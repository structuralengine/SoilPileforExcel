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8800" windowHeight="12450" tabRatio="818" activeTab="2"/>
  </bookViews>
  <sheets>
    <sheet name="ご利用方法" sheetId="48" r:id="rId1"/>
    <sheet name="入力" sheetId="44" r:id="rId2"/>
    <sheet name="場所打ち杭" sheetId="47" r:id="rId3"/>
    <sheet name="標準" sheetId="49" state="hidden" r:id="rId4"/>
    <sheet name="回転杭" sheetId="50" state="hidden" r:id="rId5"/>
  </sheets>
  <externalReferences>
    <externalReference r:id="rId6"/>
    <externalReference r:id="rId7"/>
    <externalReference r:id="rId8"/>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場所打ち杭!#REF!</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入力!$G$29</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入力!$E$4:$E$19</definedName>
    <definedName name="_xlnm.Print_Area" localSheetId="2">場所打ち杭!$B$1:$AI$865</definedName>
    <definedName name="ええ" hidden="1">{"'表紙・目次 '!$A$8:$K$8"}</definedName>
    <definedName name="パスワード">ご利用方法!$B$16</definedName>
    <definedName name="ユーザー名">ご利用方法!$B$14</definedName>
    <definedName name="液状化低減係数" localSheetId="1">入力!$L$4:$M$19</definedName>
    <definedName name="杭径" localSheetId="1">入力!$G$23</definedName>
    <definedName name="杭種名称" localSheetId="1">入力!$J$23</definedName>
    <definedName name="杭周面の土層厚" localSheetId="2">場所打ち杭!$H$355:$J$370</definedName>
    <definedName name="杭周面の土層番号" localSheetId="2">場所打ち杭!$H$112:$J$127</definedName>
    <definedName name="杭周面の変形係数" localSheetId="2">場所打ち杭!$K$112:$P$127</definedName>
    <definedName name="杭先端Ed" localSheetId="2">場所打ち杭!$K$92</definedName>
    <definedName name="杭先端径" localSheetId="2">場所打ち杭!$Q$92</definedName>
    <definedName name="杭長" localSheetId="1">入力!$G$26</definedName>
    <definedName name="湿潤重量" localSheetId="1">入力!$F$4:$F$19</definedName>
    <definedName name="終局せん断" hidden="1">{"'表紙・目次 '!$A$8:$K$8"}</definedName>
    <definedName name="水位" localSheetId="1">入力!$G$32</definedName>
    <definedName name="水中重量" localSheetId="1">入力!$G$4:$G$19</definedName>
    <definedName name="設計条件" hidden="1">{"'表紙・目次 '!$A$8:$K$8"}</definedName>
    <definedName name="線路_Lm" localSheetId="1">入力!$N$24</definedName>
    <definedName name="線路_Ln" localSheetId="1">入力!$N$25</definedName>
    <definedName name="線路_m" localSheetId="1">入力!$P$24</definedName>
    <definedName name="線路_n" localSheetId="1">入力!$P$25</definedName>
    <definedName name="層厚" localSheetId="1">入力!$C$4:$C$19</definedName>
    <definedName name="層番" localSheetId="1">入力!$B$4:$B$19</definedName>
    <definedName name="単位体積重量" localSheetId="1">入力!$J$26</definedName>
    <definedName name="弾性係数" localSheetId="1">入力!$J$29</definedName>
    <definedName name="直角_Lm" localSheetId="1">入力!$N$27</definedName>
    <definedName name="直角_Ln" localSheetId="1">入力!$N$28</definedName>
    <definedName name="直角_m" localSheetId="1">入力!$P$27</definedName>
    <definedName name="直角_n" localSheetId="1">入力!$P$28</definedName>
    <definedName name="抵抗モーメント" hidden="1">[3]ｽｲﾍｲ!$C$22</definedName>
    <definedName name="土質区分" localSheetId="1">入力!$D$4:$D$19</definedName>
    <definedName name="内部摩擦角" localSheetId="1">入力!$H$4:$I$19</definedName>
    <definedName name="粘着力" localSheetId="1">入力!$J$4:$J$19</definedName>
    <definedName name="白紙" hidden="1">[2]ｽｲﾍｲ!$C$22</definedName>
    <definedName name="変形係数" localSheetId="1">入力!$K$4:$K$19</definedName>
  </definedNames>
  <calcPr calcId="152511"/>
</workbook>
</file>

<file path=xl/calcChain.xml><?xml version="1.0" encoding="utf-8"?>
<calcChain xmlns="http://schemas.openxmlformats.org/spreadsheetml/2006/main">
  <c r="I309" i="47" l="1"/>
  <c r="A309" i="47" s="1"/>
  <c r="I308" i="47"/>
  <c r="A308" i="47" s="1"/>
  <c r="I307" i="47"/>
  <c r="A307" i="47" s="1"/>
  <c r="I306" i="47"/>
  <c r="A306" i="47" s="1"/>
  <c r="I305" i="47"/>
  <c r="A305" i="47"/>
  <c r="I304" i="47"/>
  <c r="A304" i="47" s="1"/>
  <c r="I303" i="47"/>
  <c r="A303" i="47" s="1"/>
  <c r="I302" i="47"/>
  <c r="A302" i="47" s="1"/>
  <c r="I301" i="47"/>
  <c r="A301" i="47" s="1"/>
  <c r="I300" i="47"/>
  <c r="A300" i="47" s="1"/>
  <c r="I299" i="47"/>
  <c r="A299" i="47" s="1"/>
  <c r="I298" i="47"/>
  <c r="A298" i="47" s="1"/>
  <c r="I297" i="47"/>
  <c r="A297" i="47" s="1"/>
  <c r="I296" i="47"/>
  <c r="A296" i="47" s="1"/>
  <c r="I295" i="47"/>
  <c r="A295" i="47" s="1"/>
  <c r="I294" i="47"/>
  <c r="A294" i="47"/>
  <c r="I273" i="47"/>
  <c r="I274" i="47"/>
  <c r="I275" i="47"/>
  <c r="I276" i="47"/>
  <c r="I277" i="47"/>
  <c r="I278" i="47"/>
  <c r="I279" i="47"/>
  <c r="I280" i="47"/>
  <c r="I281" i="47"/>
  <c r="I282" i="47"/>
  <c r="I283" i="47"/>
  <c r="I284" i="47"/>
  <c r="I285" i="47"/>
  <c r="I286" i="47"/>
  <c r="I287" i="47"/>
  <c r="I272" i="47"/>
  <c r="F250" i="47"/>
  <c r="F251" i="47"/>
  <c r="F252" i="47"/>
  <c r="F253" i="47"/>
  <c r="F254" i="47"/>
  <c r="F255" i="47"/>
  <c r="F256" i="47"/>
  <c r="F257" i="47"/>
  <c r="F258" i="47"/>
  <c r="F259" i="47"/>
  <c r="F260" i="47"/>
  <c r="F261" i="47"/>
  <c r="F262" i="47"/>
  <c r="F263" i="47"/>
  <c r="F264" i="47"/>
  <c r="F249" i="47"/>
  <c r="R242" i="47"/>
  <c r="T294" i="47" s="1"/>
  <c r="T295" i="47" s="1"/>
  <c r="T296" i="47" s="1"/>
  <c r="T297" i="47" s="1"/>
  <c r="T298" i="47" s="1"/>
  <c r="T299" i="47" s="1"/>
  <c r="T300" i="47" s="1"/>
  <c r="T301" i="47" s="1"/>
  <c r="T302" i="47" s="1"/>
  <c r="T303" i="47" s="1"/>
  <c r="T304" i="47" s="1"/>
  <c r="T305" i="47" s="1"/>
  <c r="T306" i="47" s="1"/>
  <c r="T307" i="47" s="1"/>
  <c r="T308" i="47" s="1"/>
  <c r="T309" i="47" s="1"/>
  <c r="F285" i="47" l="1"/>
  <c r="A262" i="47"/>
  <c r="F276" i="47"/>
  <c r="A253" i="47"/>
  <c r="F275" i="47"/>
  <c r="A252" i="47"/>
  <c r="F304" i="47"/>
  <c r="A259" i="47"/>
  <c r="F274" i="47"/>
  <c r="A251" i="47"/>
  <c r="F278" i="47"/>
  <c r="A255" i="47"/>
  <c r="F284" i="47"/>
  <c r="A261" i="47"/>
  <c r="F303" i="47"/>
  <c r="A258" i="47"/>
  <c r="F294" i="47"/>
  <c r="A249" i="47"/>
  <c r="F280" i="47"/>
  <c r="A257" i="47"/>
  <c r="F286" i="47"/>
  <c r="A263" i="47"/>
  <c r="F277" i="47"/>
  <c r="A254" i="47"/>
  <c r="F283" i="47"/>
  <c r="A260" i="47"/>
  <c r="F295" i="47"/>
  <c r="A250" i="47"/>
  <c r="F287" i="47"/>
  <c r="A264" i="47"/>
  <c r="F279" i="47"/>
  <c r="A256" i="47"/>
  <c r="F272" i="47"/>
  <c r="F297" i="47"/>
  <c r="F307" i="47"/>
  <c r="F305" i="47"/>
  <c r="F302" i="47"/>
  <c r="F299" i="47"/>
  <c r="F282" i="47"/>
  <c r="F281" i="47"/>
  <c r="F273" i="47"/>
  <c r="F296" i="47"/>
  <c r="F298" i="47"/>
  <c r="F300" i="47"/>
  <c r="F301" i="47"/>
  <c r="F306" i="47"/>
  <c r="F308" i="47"/>
  <c r="F309" i="47"/>
  <c r="U220" i="47"/>
  <c r="W862" i="47"/>
  <c r="S564" i="47"/>
  <c r="Q390" i="47"/>
  <c r="R345" i="47"/>
  <c r="S323" i="47"/>
  <c r="AA202" i="47"/>
  <c r="T148" i="47"/>
  <c r="W92" i="47"/>
  <c r="Z592" i="47"/>
  <c r="Z593" i="47"/>
  <c r="Z594" i="47"/>
  <c r="Z595" i="47"/>
  <c r="Z596" i="47"/>
  <c r="Z597" i="47"/>
  <c r="Z598" i="47"/>
  <c r="Z599" i="47"/>
  <c r="Z600" i="47"/>
  <c r="Z601" i="47"/>
  <c r="Z602" i="47"/>
  <c r="Z603" i="47"/>
  <c r="Z604" i="47"/>
  <c r="Z605" i="47"/>
  <c r="Z606" i="47"/>
  <c r="Z591" i="47"/>
  <c r="A592" i="47"/>
  <c r="A593" i="47"/>
  <c r="A594" i="47"/>
  <c r="A595" i="47"/>
  <c r="A596" i="47"/>
  <c r="A597" i="47"/>
  <c r="A598" i="47"/>
  <c r="A599" i="47"/>
  <c r="A600" i="47"/>
  <c r="A601" i="47"/>
  <c r="A602" i="47"/>
  <c r="A603" i="47"/>
  <c r="A604" i="47"/>
  <c r="A605" i="47"/>
  <c r="A606" i="47"/>
  <c r="A591" i="47"/>
  <c r="A516" i="47"/>
  <c r="A517" i="47"/>
  <c r="A518" i="47"/>
  <c r="A519" i="47"/>
  <c r="A520" i="47"/>
  <c r="A521" i="47"/>
  <c r="A522" i="47"/>
  <c r="A523" i="47"/>
  <c r="A524" i="47"/>
  <c r="A525" i="47"/>
  <c r="A526" i="47"/>
  <c r="A527" i="47"/>
  <c r="A528" i="47"/>
  <c r="A529" i="47"/>
  <c r="A530" i="47"/>
  <c r="A515" i="47"/>
  <c r="A287" i="47"/>
  <c r="A286" i="47"/>
  <c r="A285" i="47"/>
  <c r="A284" i="47"/>
  <c r="A283" i="47"/>
  <c r="A282" i="47"/>
  <c r="A281" i="47"/>
  <c r="A280" i="47"/>
  <c r="A279" i="47"/>
  <c r="A278" i="47"/>
  <c r="A277" i="47"/>
  <c r="A276" i="47"/>
  <c r="A275" i="47"/>
  <c r="A274" i="47"/>
  <c r="A273" i="47"/>
  <c r="A272" i="47"/>
  <c r="A416" i="47"/>
  <c r="A417" i="47"/>
  <c r="A418" i="47"/>
  <c r="A419" i="47"/>
  <c r="A420" i="47"/>
  <c r="A421" i="47"/>
  <c r="A422" i="47"/>
  <c r="A423" i="47"/>
  <c r="A424" i="47"/>
  <c r="A425" i="47"/>
  <c r="A426" i="47"/>
  <c r="A427" i="47"/>
  <c r="A428" i="47"/>
  <c r="A429" i="47"/>
  <c r="A430" i="47"/>
  <c r="A415" i="47"/>
  <c r="A391" i="47"/>
  <c r="A392" i="47"/>
  <c r="A393" i="47"/>
  <c r="A394" i="47"/>
  <c r="A395" i="47"/>
  <c r="A396" i="47"/>
  <c r="A397" i="47"/>
  <c r="A398" i="47"/>
  <c r="A399" i="47"/>
  <c r="A400" i="47"/>
  <c r="A401" i="47"/>
  <c r="A402" i="47"/>
  <c r="A403" i="47"/>
  <c r="A404" i="47"/>
  <c r="A405" i="47"/>
  <c r="A390" i="47"/>
  <c r="U219" i="47" l="1"/>
  <c r="Q249" i="47"/>
  <c r="A356" i="47"/>
  <c r="A357" i="47"/>
  <c r="A358" i="47"/>
  <c r="A359" i="47"/>
  <c r="A360" i="47"/>
  <c r="A361" i="47"/>
  <c r="A362" i="47"/>
  <c r="A363" i="47"/>
  <c r="A364" i="47"/>
  <c r="A365" i="47"/>
  <c r="A366" i="47"/>
  <c r="A367" i="47"/>
  <c r="A368" i="47"/>
  <c r="A369" i="47"/>
  <c r="A370" i="47"/>
  <c r="A355" i="47"/>
  <c r="J155" i="47"/>
  <c r="V347" i="47"/>
  <c r="X203" i="47"/>
  <c r="U203" i="47"/>
  <c r="R203" i="47"/>
  <c r="O203" i="47"/>
  <c r="X202" i="47"/>
  <c r="U202" i="47"/>
  <c r="R202" i="47"/>
  <c r="O202" i="47"/>
  <c r="G156" i="47"/>
  <c r="E356" i="47" s="1"/>
  <c r="G157" i="47"/>
  <c r="E357" i="47" s="1"/>
  <c r="G158" i="47"/>
  <c r="E358" i="47" s="1"/>
  <c r="G159" i="47"/>
  <c r="E359" i="47" s="1"/>
  <c r="G160" i="47"/>
  <c r="E360" i="47" s="1"/>
  <c r="G161" i="47"/>
  <c r="E361" i="47" s="1"/>
  <c r="G162" i="47"/>
  <c r="E362" i="47" s="1"/>
  <c r="G163" i="47"/>
  <c r="E363" i="47" s="1"/>
  <c r="G164" i="47"/>
  <c r="E364" i="47" s="1"/>
  <c r="G165" i="47"/>
  <c r="E365" i="47" s="1"/>
  <c r="G166" i="47"/>
  <c r="E366" i="47" s="1"/>
  <c r="G167" i="47"/>
  <c r="E367" i="47" s="1"/>
  <c r="G168" i="47"/>
  <c r="E368" i="47" s="1"/>
  <c r="G169" i="47"/>
  <c r="E369" i="47" s="1"/>
  <c r="G170" i="47"/>
  <c r="E370" i="47" s="1"/>
  <c r="G155" i="47"/>
  <c r="E355" i="47" s="1"/>
  <c r="J156" i="47"/>
  <c r="J157" i="47"/>
  <c r="J158" i="47"/>
  <c r="A158" i="47" s="1"/>
  <c r="J159" i="47"/>
  <c r="J160" i="47"/>
  <c r="J161" i="47"/>
  <c r="X161" i="47" s="1"/>
  <c r="J162" i="47"/>
  <c r="X162" i="47" s="1"/>
  <c r="J163" i="47"/>
  <c r="A163" i="47" s="1"/>
  <c r="J164" i="47"/>
  <c r="A164" i="47" s="1"/>
  <c r="J165" i="47"/>
  <c r="X165" i="47" s="1"/>
  <c r="J166" i="47"/>
  <c r="Q166" i="47" s="1"/>
  <c r="J167" i="47"/>
  <c r="A167" i="47" s="1"/>
  <c r="J168" i="47"/>
  <c r="A168" i="47" s="1"/>
  <c r="J169" i="47"/>
  <c r="X169" i="47" s="1"/>
  <c r="J170" i="47"/>
  <c r="AD170" i="47" s="1"/>
  <c r="A113" i="47"/>
  <c r="A114" i="47"/>
  <c r="A115" i="47"/>
  <c r="A116" i="47"/>
  <c r="A117" i="47"/>
  <c r="A118" i="47"/>
  <c r="A119" i="47"/>
  <c r="A120" i="47"/>
  <c r="A121" i="47"/>
  <c r="A122" i="47"/>
  <c r="A123" i="47"/>
  <c r="A124" i="47"/>
  <c r="A125" i="47"/>
  <c r="A126" i="47"/>
  <c r="A127" i="47"/>
  <c r="A112" i="47"/>
  <c r="L309" i="47" l="1"/>
  <c r="P309" i="47"/>
  <c r="L282" i="47"/>
  <c r="W282" i="47" s="1"/>
  <c r="P282" i="47"/>
  <c r="AB282" i="47" s="1"/>
  <c r="P286" i="47"/>
  <c r="AB286" i="47" s="1"/>
  <c r="L286" i="47"/>
  <c r="W286" i="47" s="1"/>
  <c r="P278" i="47"/>
  <c r="AB278" i="47" s="1"/>
  <c r="L278" i="47"/>
  <c r="W278" i="47" s="1"/>
  <c r="P279" i="47"/>
  <c r="AB279" i="47" s="1"/>
  <c r="L279" i="47"/>
  <c r="W279" i="47" s="1"/>
  <c r="K366" i="47"/>
  <c r="O366" i="47" s="1"/>
  <c r="S366" i="47" s="1"/>
  <c r="X366" i="47" s="1"/>
  <c r="AB366" i="47" s="1"/>
  <c r="M260" i="47"/>
  <c r="X260" i="47" s="1"/>
  <c r="I260" i="47"/>
  <c r="T260" i="47" s="1"/>
  <c r="A155" i="47"/>
  <c r="A157" i="47"/>
  <c r="A165" i="47"/>
  <c r="AD166" i="47"/>
  <c r="X166" i="47"/>
  <c r="Q165" i="47"/>
  <c r="AD168" i="47"/>
  <c r="X168" i="47"/>
  <c r="AD167" i="47"/>
  <c r="A166" i="47"/>
  <c r="X167" i="47"/>
  <c r="AD164" i="47"/>
  <c r="Q164" i="47"/>
  <c r="Q162" i="47"/>
  <c r="Q169" i="47"/>
  <c r="A160" i="47"/>
  <c r="Q168" i="47"/>
  <c r="X170" i="47"/>
  <c r="A159" i="47"/>
  <c r="Q167" i="47"/>
  <c r="AD169" i="47"/>
  <c r="AD165" i="47"/>
  <c r="AD161" i="47"/>
  <c r="A156" i="47"/>
  <c r="X164" i="47"/>
  <c r="Q163" i="47"/>
  <c r="AD163" i="47"/>
  <c r="A162" i="47"/>
  <c r="Q170" i="47"/>
  <c r="X163" i="47"/>
  <c r="A170" i="47"/>
  <c r="A161" i="47"/>
  <c r="Q161" i="47"/>
  <c r="AD162" i="47"/>
  <c r="A169" i="47"/>
  <c r="L303" i="47" l="1"/>
  <c r="W303" i="47" s="1"/>
  <c r="P303" i="47"/>
  <c r="AB303" i="47" s="1"/>
  <c r="L302" i="47"/>
  <c r="W302" i="47" s="1"/>
  <c r="P302" i="47"/>
  <c r="AB302" i="47" s="1"/>
  <c r="L301" i="47"/>
  <c r="W301" i="47" s="1"/>
  <c r="P301" i="47"/>
  <c r="AB301" i="47" s="1"/>
  <c r="L306" i="47"/>
  <c r="W306" i="47" s="1"/>
  <c r="P306" i="47"/>
  <c r="AB306" i="47" s="1"/>
  <c r="L300" i="47"/>
  <c r="W300" i="47" s="1"/>
  <c r="P300" i="47"/>
  <c r="AB300" i="47" s="1"/>
  <c r="L307" i="47"/>
  <c r="W307" i="47" s="1"/>
  <c r="P307" i="47"/>
  <c r="AB307" i="47" s="1"/>
  <c r="P304" i="47"/>
  <c r="AB304" i="47" s="1"/>
  <c r="L304" i="47"/>
  <c r="W304" i="47" s="1"/>
  <c r="L308" i="47"/>
  <c r="W308" i="47" s="1"/>
  <c r="P308" i="47"/>
  <c r="AB308" i="47" s="1"/>
  <c r="L305" i="47"/>
  <c r="W305" i="47" s="1"/>
  <c r="P305" i="47"/>
  <c r="AB305" i="47" s="1"/>
  <c r="AB309" i="47"/>
  <c r="W309" i="47"/>
  <c r="P281" i="47"/>
  <c r="AB281" i="47" s="1"/>
  <c r="L281" i="47"/>
  <c r="W281" i="47" s="1"/>
  <c r="P280" i="47"/>
  <c r="AB280" i="47" s="1"/>
  <c r="L280" i="47"/>
  <c r="W280" i="47" s="1"/>
  <c r="P284" i="47"/>
  <c r="AB284" i="47" s="1"/>
  <c r="L284" i="47"/>
  <c r="W284" i="47" s="1"/>
  <c r="P283" i="47"/>
  <c r="AB283" i="47" s="1"/>
  <c r="L283" i="47"/>
  <c r="W283" i="47" s="1"/>
  <c r="P287" i="47"/>
  <c r="AB287" i="47" s="1"/>
  <c r="L287" i="47"/>
  <c r="W287" i="47" s="1"/>
  <c r="P285" i="47"/>
  <c r="AB285" i="47" s="1"/>
  <c r="L285" i="47"/>
  <c r="W285" i="47" s="1"/>
  <c r="K361" i="47"/>
  <c r="O361" i="47" s="1"/>
  <c r="S361" i="47" s="1"/>
  <c r="X361" i="47" s="1"/>
  <c r="AB361" i="47" s="1"/>
  <c r="I255" i="47"/>
  <c r="T255" i="47" s="1"/>
  <c r="M255" i="47"/>
  <c r="X255" i="47" s="1"/>
  <c r="K364" i="47"/>
  <c r="O364" i="47" s="1"/>
  <c r="S364" i="47" s="1"/>
  <c r="X364" i="47" s="1"/>
  <c r="AB364" i="47" s="1"/>
  <c r="M258" i="47"/>
  <c r="X258" i="47" s="1"/>
  <c r="I258" i="47"/>
  <c r="T258" i="47" s="1"/>
  <c r="K368" i="47"/>
  <c r="O368" i="47" s="1"/>
  <c r="S368" i="47" s="1"/>
  <c r="X368" i="47" s="1"/>
  <c r="AB368" i="47" s="1"/>
  <c r="M262" i="47"/>
  <c r="X262" i="47" s="1"/>
  <c r="I262" i="47"/>
  <c r="T262" i="47" s="1"/>
  <c r="K369" i="47"/>
  <c r="O369" i="47" s="1"/>
  <c r="S369" i="47" s="1"/>
  <c r="X369" i="47" s="1"/>
  <c r="AB369" i="47" s="1"/>
  <c r="M263" i="47"/>
  <c r="X263" i="47" s="1"/>
  <c r="I263" i="47"/>
  <c r="T263" i="47" s="1"/>
  <c r="K370" i="47"/>
  <c r="O370" i="47" s="1"/>
  <c r="S370" i="47" s="1"/>
  <c r="X370" i="47" s="1"/>
  <c r="AB370" i="47" s="1"/>
  <c r="M264" i="47"/>
  <c r="X264" i="47" s="1"/>
  <c r="I264" i="47"/>
  <c r="T264" i="47" s="1"/>
  <c r="K362" i="47"/>
  <c r="O362" i="47" s="1"/>
  <c r="S362" i="47" s="1"/>
  <c r="X362" i="47" s="1"/>
  <c r="AB362" i="47" s="1"/>
  <c r="I256" i="47"/>
  <c r="T256" i="47" s="1"/>
  <c r="M256" i="47"/>
  <c r="X256" i="47" s="1"/>
  <c r="K367" i="47"/>
  <c r="O367" i="47" s="1"/>
  <c r="S367" i="47" s="1"/>
  <c r="X367" i="47" s="1"/>
  <c r="AB367" i="47" s="1"/>
  <c r="M261" i="47"/>
  <c r="X261" i="47" s="1"/>
  <c r="I261" i="47"/>
  <c r="T261" i="47" s="1"/>
  <c r="K365" i="47"/>
  <c r="O365" i="47" s="1"/>
  <c r="S365" i="47" s="1"/>
  <c r="X365" i="47" s="1"/>
  <c r="AB365" i="47" s="1"/>
  <c r="M259" i="47"/>
  <c r="X259" i="47" s="1"/>
  <c r="I259" i="47"/>
  <c r="T259" i="47" s="1"/>
  <c r="K363" i="47"/>
  <c r="O363" i="47" s="1"/>
  <c r="S363" i="47" s="1"/>
  <c r="X363" i="47" s="1"/>
  <c r="AB363" i="47" s="1"/>
  <c r="M257" i="47"/>
  <c r="X257" i="47" s="1"/>
  <c r="I257" i="47"/>
  <c r="T257" i="47" s="1"/>
  <c r="N863" i="47"/>
  <c r="Z723" i="47"/>
  <c r="H565" i="47"/>
  <c r="T272" i="47"/>
  <c r="T273" i="47" s="1"/>
  <c r="T274" i="47" s="1"/>
  <c r="T275" i="47" s="1"/>
  <c r="T276" i="47" s="1"/>
  <c r="T277" i="47" s="1"/>
  <c r="T278" i="47" s="1"/>
  <c r="T279" i="47" s="1"/>
  <c r="T280" i="47" s="1"/>
  <c r="T281" i="47" s="1"/>
  <c r="T282" i="47" s="1"/>
  <c r="T283" i="47" s="1"/>
  <c r="T284" i="47" s="1"/>
  <c r="T285" i="47" s="1"/>
  <c r="T286" i="47" s="1"/>
  <c r="T287" i="47" s="1"/>
  <c r="L381" i="47"/>
  <c r="AD348" i="47"/>
  <c r="Q96" i="47"/>
  <c r="P863" i="47"/>
  <c r="O777" i="47"/>
  <c r="O778" i="47" s="1"/>
  <c r="Z712" i="47"/>
  <c r="O565" i="47"/>
  <c r="Q250" i="47"/>
  <c r="Q251" i="47" s="1"/>
  <c r="Q252" i="47" s="1"/>
  <c r="Q253" i="47" s="1"/>
  <c r="Q254" i="47" s="1"/>
  <c r="Q255" i="47" s="1"/>
  <c r="Q256" i="47" s="1"/>
  <c r="Q257" i="47" s="1"/>
  <c r="Q258" i="47" s="1"/>
  <c r="Q259" i="47" s="1"/>
  <c r="Q260" i="47" s="1"/>
  <c r="Q261" i="47" s="1"/>
  <c r="Q262" i="47" s="1"/>
  <c r="Q263" i="47" s="1"/>
  <c r="Q264" i="47" s="1"/>
  <c r="AD377" i="47"/>
  <c r="AB347" i="47"/>
  <c r="X219" i="47"/>
  <c r="P219" i="47"/>
  <c r="Z112" i="47"/>
  <c r="Q112" i="47"/>
  <c r="U377" i="47"/>
  <c r="T717" i="47"/>
  <c r="T715" i="47"/>
  <c r="T714" i="47"/>
  <c r="T725" i="47"/>
  <c r="T724" i="47"/>
  <c r="T728" i="47"/>
  <c r="T726" i="47"/>
  <c r="T713" i="47"/>
  <c r="Q415" i="47" l="1"/>
  <c r="Q416" i="47" s="1"/>
  <c r="Q417" i="47" s="1"/>
  <c r="Q418" i="47" s="1"/>
  <c r="Q419" i="47" s="1"/>
  <c r="Q420" i="47" s="1"/>
  <c r="Q421" i="47" s="1"/>
  <c r="Q422" i="47" s="1"/>
  <c r="Q423" i="47" s="1"/>
  <c r="Q424" i="47" s="1"/>
  <c r="Q425" i="47" s="1"/>
  <c r="Q426" i="47" s="1"/>
  <c r="Q427" i="47" s="1"/>
  <c r="Q428" i="47" s="1"/>
  <c r="Q429" i="47" s="1"/>
  <c r="Q430" i="47" s="1"/>
  <c r="T613" i="47"/>
  <c r="T614" i="47" s="1"/>
  <c r="Q391" i="47"/>
  <c r="Q392" i="47" s="1"/>
  <c r="Q393" i="47" s="1"/>
  <c r="Q394" i="47" s="1"/>
  <c r="Q395" i="47" s="1"/>
  <c r="Q396" i="47" s="1"/>
  <c r="Q397" i="47" s="1"/>
  <c r="Q398" i="47" s="1"/>
  <c r="Q399" i="47" s="1"/>
  <c r="Q400" i="47" s="1"/>
  <c r="Q401" i="47" s="1"/>
  <c r="Q402" i="47" s="1"/>
  <c r="Q403" i="47" s="1"/>
  <c r="Q404" i="47" s="1"/>
  <c r="Q405" i="47" s="1"/>
  <c r="AD203" i="47"/>
  <c r="AG203" i="47" s="1"/>
  <c r="Q113" i="47"/>
  <c r="Q114" i="47" s="1"/>
  <c r="Q115" i="47" s="1"/>
  <c r="Q116" i="47" s="1"/>
  <c r="Q117" i="47" s="1"/>
  <c r="Q118" i="47" s="1"/>
  <c r="Q119" i="47" s="1"/>
  <c r="Q120" i="47" s="1"/>
  <c r="Q121" i="47" s="1"/>
  <c r="Q122" i="47" s="1"/>
  <c r="Q123" i="47" s="1"/>
  <c r="Q124" i="47" s="1"/>
  <c r="Q125" i="47" s="1"/>
  <c r="Q126" i="47" s="1"/>
  <c r="Q127" i="47" s="1"/>
  <c r="T120" i="47"/>
  <c r="M398" i="47" s="1"/>
  <c r="T126" i="47"/>
  <c r="M404" i="47" s="1"/>
  <c r="T113" i="47"/>
  <c r="M391" i="47" s="1"/>
  <c r="T125" i="47"/>
  <c r="M403" i="47" s="1"/>
  <c r="T127" i="47"/>
  <c r="M405" i="47" s="1"/>
  <c r="T114" i="47"/>
  <c r="M392" i="47" s="1"/>
  <c r="T122" i="47"/>
  <c r="M400" i="47" s="1"/>
  <c r="T117" i="47"/>
  <c r="M395" i="47" s="1"/>
  <c r="T124" i="47"/>
  <c r="M402" i="47" s="1"/>
  <c r="T121" i="47"/>
  <c r="M399" i="47" s="1"/>
  <c r="T115" i="47"/>
  <c r="M393" i="47" s="1"/>
  <c r="T116" i="47"/>
  <c r="M394" i="47" s="1"/>
  <c r="T123" i="47"/>
  <c r="M401" i="47" s="1"/>
  <c r="T118" i="47"/>
  <c r="M396" i="47" s="1"/>
  <c r="W396" i="47" s="1"/>
  <c r="T119" i="47"/>
  <c r="M397" i="47" s="1"/>
  <c r="U155" i="47"/>
  <c r="AC113" i="47"/>
  <c r="M416" i="47" s="1"/>
  <c r="AC121" i="47"/>
  <c r="M424" i="47" s="1"/>
  <c r="AC112" i="47"/>
  <c r="M415" i="47" s="1"/>
  <c r="AC114" i="47"/>
  <c r="M417" i="47" s="1"/>
  <c r="AC122" i="47"/>
  <c r="M425" i="47" s="1"/>
  <c r="AC120" i="47"/>
  <c r="M423" i="47" s="1"/>
  <c r="AC115" i="47"/>
  <c r="M418" i="47" s="1"/>
  <c r="AC123" i="47"/>
  <c r="M426" i="47" s="1"/>
  <c r="AC126" i="47"/>
  <c r="M429" i="47" s="1"/>
  <c r="AC116" i="47"/>
  <c r="M419" i="47" s="1"/>
  <c r="AC124" i="47"/>
  <c r="M427" i="47" s="1"/>
  <c r="AC117" i="47"/>
  <c r="M420" i="47" s="1"/>
  <c r="AC125" i="47"/>
  <c r="M428" i="47" s="1"/>
  <c r="AC118" i="47"/>
  <c r="M421" i="47" s="1"/>
  <c r="AC127" i="47"/>
  <c r="M430" i="47" s="1"/>
  <c r="AC119" i="47"/>
  <c r="M422" i="47" s="1"/>
  <c r="Z113" i="47"/>
  <c r="Z114" i="47" s="1"/>
  <c r="Z115" i="47" s="1"/>
  <c r="Z116" i="47" s="1"/>
  <c r="Z117" i="47" s="1"/>
  <c r="Z118" i="47" s="1"/>
  <c r="Z119" i="47" s="1"/>
  <c r="Z120" i="47" s="1"/>
  <c r="Z121" i="47" s="1"/>
  <c r="Z122" i="47" s="1"/>
  <c r="Z123" i="47" s="1"/>
  <c r="Z124" i="47" s="1"/>
  <c r="Z125" i="47" s="1"/>
  <c r="Z126" i="47" s="1"/>
  <c r="Z127" i="47" s="1"/>
  <c r="K96" i="47"/>
  <c r="W96" i="47" s="1"/>
  <c r="J228" i="47" s="1"/>
  <c r="R505" i="47" s="1"/>
  <c r="J224" i="47"/>
  <c r="M505" i="47" s="1"/>
  <c r="P864" i="47"/>
  <c r="AB371" i="47"/>
  <c r="W591" i="47"/>
  <c r="T112" i="47"/>
  <c r="R515" i="47" s="1"/>
  <c r="N515" i="47" s="1"/>
  <c r="O779" i="47"/>
  <c r="AC778" i="47"/>
  <c r="T863" i="47" s="1"/>
  <c r="Y863" i="47" s="1"/>
  <c r="H566" i="47"/>
  <c r="N668" i="47" s="1"/>
  <c r="Z219" i="47"/>
  <c r="P228" i="47" s="1"/>
  <c r="AD202" i="47"/>
  <c r="AG202" i="47" s="1"/>
  <c r="N155" i="47"/>
  <c r="AD159" i="47" l="1"/>
  <c r="X156" i="47"/>
  <c r="X159" i="47"/>
  <c r="AD157" i="47"/>
  <c r="X157" i="47"/>
  <c r="AD158" i="47"/>
  <c r="X160" i="47"/>
  <c r="AD160" i="47"/>
  <c r="AD155" i="47"/>
  <c r="X155" i="47"/>
  <c r="X158" i="47"/>
  <c r="AD156" i="47"/>
  <c r="Q159" i="47"/>
  <c r="Q158" i="47"/>
  <c r="Q156" i="47"/>
  <c r="Q155" i="47"/>
  <c r="K355" i="47" s="1"/>
  <c r="O355" i="47" s="1"/>
  <c r="Q160" i="47"/>
  <c r="Q157" i="47"/>
  <c r="W392" i="47"/>
  <c r="AC779" i="47"/>
  <c r="T864" i="47" s="1"/>
  <c r="Y864" i="47" s="1"/>
  <c r="O780" i="47"/>
  <c r="T615" i="47"/>
  <c r="Q712" i="47"/>
  <c r="Z713" i="47" s="1"/>
  <c r="W592" i="47"/>
  <c r="W593" i="47" s="1"/>
  <c r="W594" i="47" s="1"/>
  <c r="W595" i="47" s="1"/>
  <c r="W596" i="47" s="1"/>
  <c r="W597" i="47" s="1"/>
  <c r="W598" i="47" s="1"/>
  <c r="W599" i="47" s="1"/>
  <c r="W600" i="47" s="1"/>
  <c r="W601" i="47" s="1"/>
  <c r="W602" i="47" s="1"/>
  <c r="W603" i="47" s="1"/>
  <c r="W604" i="47" s="1"/>
  <c r="W605" i="47" s="1"/>
  <c r="W606" i="47" s="1"/>
  <c r="AD415" i="47"/>
  <c r="W415" i="47"/>
  <c r="W393" i="47"/>
  <c r="W391" i="47"/>
  <c r="W420" i="47"/>
  <c r="AD420" i="47"/>
  <c r="W417" i="47"/>
  <c r="AD417" i="47"/>
  <c r="W427" i="47"/>
  <c r="AD427" i="47"/>
  <c r="W416" i="47"/>
  <c r="AD416" i="47"/>
  <c r="W422" i="47"/>
  <c r="AD422" i="47"/>
  <c r="W426" i="47"/>
  <c r="AD426" i="47"/>
  <c r="W419" i="47"/>
  <c r="AD419" i="47"/>
  <c r="W424" i="47"/>
  <c r="AD424" i="47"/>
  <c r="W429" i="47"/>
  <c r="AD429" i="47"/>
  <c r="W430" i="47"/>
  <c r="AD430" i="47"/>
  <c r="W418" i="47"/>
  <c r="AD418" i="47"/>
  <c r="W421" i="47"/>
  <c r="AD421" i="47"/>
  <c r="W423" i="47"/>
  <c r="AD423" i="47"/>
  <c r="W428" i="47"/>
  <c r="AD428" i="47"/>
  <c r="W425" i="47"/>
  <c r="AD425" i="47"/>
  <c r="W401" i="47"/>
  <c r="W399" i="47"/>
  <c r="W404" i="47"/>
  <c r="W395" i="47"/>
  <c r="Z515" i="47"/>
  <c r="V515" i="47" s="1"/>
  <c r="W397" i="47"/>
  <c r="W400" i="47"/>
  <c r="W405" i="47"/>
  <c r="W402" i="47"/>
  <c r="W398" i="47"/>
  <c r="M390" i="47"/>
  <c r="W390" i="47" s="1"/>
  <c r="W394" i="47"/>
  <c r="W403" i="47"/>
  <c r="N156" i="47"/>
  <c r="N157" i="47" s="1"/>
  <c r="N158" i="47" s="1"/>
  <c r="N159" i="47" s="1"/>
  <c r="N160" i="47" s="1"/>
  <c r="N161" i="47" s="1"/>
  <c r="N162" i="47" s="1"/>
  <c r="N163" i="47" s="1"/>
  <c r="N164" i="47" s="1"/>
  <c r="N165" i="47" s="1"/>
  <c r="N166" i="47" s="1"/>
  <c r="N167" i="47" s="1"/>
  <c r="N168" i="47" s="1"/>
  <c r="N169" i="47" s="1"/>
  <c r="N170" i="47" s="1"/>
  <c r="U156" i="47"/>
  <c r="U157" i="47" s="1"/>
  <c r="U158" i="47" s="1"/>
  <c r="U159" i="47" s="1"/>
  <c r="U160" i="47" s="1"/>
  <c r="U161" i="47" s="1"/>
  <c r="U162" i="47" s="1"/>
  <c r="U163" i="47" s="1"/>
  <c r="U164" i="47" s="1"/>
  <c r="U165" i="47" s="1"/>
  <c r="U166" i="47" s="1"/>
  <c r="U167" i="47" s="1"/>
  <c r="U168" i="47" s="1"/>
  <c r="U169" i="47" s="1"/>
  <c r="U170" i="47" s="1"/>
  <c r="Q656" i="47"/>
  <c r="Q723" i="47"/>
  <c r="Z724" i="47" s="1"/>
  <c r="V228" i="47"/>
  <c r="Q668" i="47"/>
  <c r="T668" i="47" s="1"/>
  <c r="W668" i="47" s="1"/>
  <c r="N656" i="47"/>
  <c r="P224" i="47"/>
  <c r="V224" i="47" s="1"/>
  <c r="K688" i="47"/>
  <c r="Z669" i="47"/>
  <c r="Z670" i="47"/>
  <c r="Z668" i="47"/>
  <c r="L299" i="47" l="1"/>
  <c r="P299" i="47"/>
  <c r="L297" i="47"/>
  <c r="W297" i="47" s="1"/>
  <c r="P297" i="47"/>
  <c r="AB297" i="47" s="1"/>
  <c r="L295" i="47"/>
  <c r="W295" i="47" s="1"/>
  <c r="P295" i="47"/>
  <c r="AB295" i="47" s="1"/>
  <c r="P296" i="47"/>
  <c r="AB296" i="47" s="1"/>
  <c r="L296" i="47"/>
  <c r="W296" i="47" s="1"/>
  <c r="P294" i="47"/>
  <c r="L294" i="47"/>
  <c r="W294" i="47" s="1"/>
  <c r="L298" i="47"/>
  <c r="W298" i="47" s="1"/>
  <c r="P298" i="47"/>
  <c r="AB298" i="47" s="1"/>
  <c r="AA614" i="47"/>
  <c r="W299" i="47"/>
  <c r="AB299" i="47"/>
  <c r="AB294" i="47"/>
  <c r="W614" i="47"/>
  <c r="Q671" i="47"/>
  <c r="R688" i="47" s="1"/>
  <c r="V688" i="47" s="1"/>
  <c r="Q659" i="47"/>
  <c r="T659" i="47" s="1"/>
  <c r="W659" i="47" s="1"/>
  <c r="AA613" i="47"/>
  <c r="Q726" i="47" s="1"/>
  <c r="Z728" i="47" s="1"/>
  <c r="W613" i="47"/>
  <c r="Q715" i="47" s="1"/>
  <c r="Z717" i="47" s="1"/>
  <c r="S355" i="47"/>
  <c r="X355" i="47" s="1"/>
  <c r="AB355" i="47" s="1"/>
  <c r="I249" i="47"/>
  <c r="T249" i="47" s="1"/>
  <c r="M249" i="47"/>
  <c r="X249" i="47" s="1"/>
  <c r="K356" i="47"/>
  <c r="O356" i="47" s="1"/>
  <c r="S356" i="47" s="1"/>
  <c r="X356" i="47" s="1"/>
  <c r="AB356" i="47" s="1"/>
  <c r="I250" i="47"/>
  <c r="T250" i="47" s="1"/>
  <c r="M250" i="47"/>
  <c r="X250" i="47" s="1"/>
  <c r="P277" i="47"/>
  <c r="AB277" i="47" s="1"/>
  <c r="L277" i="47"/>
  <c r="W277" i="47" s="1"/>
  <c r="K358" i="47"/>
  <c r="O358" i="47" s="1"/>
  <c r="S358" i="47" s="1"/>
  <c r="X358" i="47" s="1"/>
  <c r="AB358" i="47" s="1"/>
  <c r="I252" i="47"/>
  <c r="T252" i="47" s="1"/>
  <c r="M252" i="47"/>
  <c r="X252" i="47" s="1"/>
  <c r="I253" i="47"/>
  <c r="T253" i="47" s="1"/>
  <c r="K359" i="47"/>
  <c r="O359" i="47" s="1"/>
  <c r="S359" i="47" s="1"/>
  <c r="X359" i="47" s="1"/>
  <c r="AB359" i="47" s="1"/>
  <c r="M253" i="47"/>
  <c r="X253" i="47" s="1"/>
  <c r="L274" i="47"/>
  <c r="W274" i="47" s="1"/>
  <c r="P274" i="47"/>
  <c r="AB274" i="47" s="1"/>
  <c r="P275" i="47"/>
  <c r="AB275" i="47" s="1"/>
  <c r="L275" i="47"/>
  <c r="W275" i="47" s="1"/>
  <c r="P276" i="47"/>
  <c r="AB276" i="47" s="1"/>
  <c r="L276" i="47"/>
  <c r="W276" i="47" s="1"/>
  <c r="I251" i="47"/>
  <c r="T251" i="47" s="1"/>
  <c r="K357" i="47"/>
  <c r="O357" i="47" s="1"/>
  <c r="S357" i="47" s="1"/>
  <c r="X357" i="47" s="1"/>
  <c r="AB357" i="47" s="1"/>
  <c r="M251" i="47"/>
  <c r="X251" i="47" s="1"/>
  <c r="P272" i="47"/>
  <c r="AB272" i="47" s="1"/>
  <c r="L272" i="47"/>
  <c r="W272" i="47" s="1"/>
  <c r="P273" i="47"/>
  <c r="AB273" i="47" s="1"/>
  <c r="L273" i="47"/>
  <c r="W273" i="47" s="1"/>
  <c r="M254" i="47"/>
  <c r="X254" i="47" s="1"/>
  <c r="K360" i="47"/>
  <c r="O360" i="47" s="1"/>
  <c r="S360" i="47" s="1"/>
  <c r="X360" i="47" s="1"/>
  <c r="AB360" i="47" s="1"/>
  <c r="I254" i="47"/>
  <c r="T254" i="47" s="1"/>
  <c r="Z714" i="47"/>
  <c r="O781" i="47"/>
  <c r="AC780" i="47"/>
  <c r="T616" i="47"/>
  <c r="W615" i="47"/>
  <c r="AA615" i="47"/>
  <c r="T656" i="47"/>
  <c r="W656" i="47" s="1"/>
  <c r="Z725" i="47"/>
  <c r="K826" i="47"/>
  <c r="H827" i="47" s="1"/>
  <c r="K687" i="47"/>
  <c r="K830" i="47"/>
  <c r="H831" i="47" s="1"/>
  <c r="AC669" i="47"/>
  <c r="AC670" i="47"/>
  <c r="AC668" i="47"/>
  <c r="Z656" i="47"/>
  <c r="Z657" i="47"/>
  <c r="Z659" i="47"/>
  <c r="Z661" i="47"/>
  <c r="Z658" i="47"/>
  <c r="Z726" i="47" l="1"/>
  <c r="AF355" i="47"/>
  <c r="AF362" i="47"/>
  <c r="AF361" i="47"/>
  <c r="AF364" i="47"/>
  <c r="AF370" i="47"/>
  <c r="AF369" i="47"/>
  <c r="AF368" i="47"/>
  <c r="AF360" i="47"/>
  <c r="AF366" i="47"/>
  <c r="AF356" i="47"/>
  <c r="AF367" i="47"/>
  <c r="AF357" i="47"/>
  <c r="AF358" i="47"/>
  <c r="AF363" i="47"/>
  <c r="AF359" i="47"/>
  <c r="AF365" i="47"/>
  <c r="AC781" i="47"/>
  <c r="O782" i="47"/>
  <c r="T617" i="47"/>
  <c r="W616" i="47"/>
  <c r="AA616" i="47"/>
  <c r="AC658" i="47"/>
  <c r="AC657" i="47"/>
  <c r="AC656" i="47"/>
  <c r="Z715" i="47"/>
  <c r="T671" i="47"/>
  <c r="W671" i="47" s="1"/>
  <c r="AC659" i="47"/>
  <c r="AC661" i="47"/>
  <c r="P377" i="47"/>
  <c r="Y377" i="47" s="1"/>
  <c r="O381" i="47" s="1"/>
  <c r="R381" i="47" s="1"/>
  <c r="R687" i="47"/>
  <c r="V687" i="47" s="1"/>
  <c r="L851" i="47"/>
  <c r="Y851" i="47" s="1"/>
  <c r="Z673" i="47"/>
  <c r="Z671" i="47"/>
  <c r="O783" i="47" l="1"/>
  <c r="AC782" i="47"/>
  <c r="T618" i="47"/>
  <c r="AA617" i="47"/>
  <c r="W617" i="47"/>
  <c r="AC673" i="47"/>
  <c r="AC671" i="47"/>
  <c r="U851" i="47"/>
  <c r="AC783" i="47" l="1"/>
  <c r="O784" i="47"/>
  <c r="T619" i="47"/>
  <c r="AA618" i="47"/>
  <c r="W618" i="47"/>
  <c r="O785" i="47" l="1"/>
  <c r="AC784" i="47"/>
  <c r="T620" i="47"/>
  <c r="W619" i="47"/>
  <c r="AA619" i="47"/>
  <c r="AC785" i="47" l="1"/>
  <c r="O786" i="47"/>
  <c r="T621" i="47"/>
  <c r="W620" i="47"/>
  <c r="AA620" i="47"/>
  <c r="AC786" i="47" l="1"/>
  <c r="O787" i="47"/>
  <c r="T622" i="47"/>
  <c r="W621" i="47"/>
  <c r="AA621" i="47"/>
  <c r="AC787" i="47" l="1"/>
  <c r="O788" i="47"/>
  <c r="T623" i="47"/>
  <c r="AA622" i="47"/>
  <c r="W622" i="47"/>
  <c r="O789" i="47" l="1"/>
  <c r="AC788" i="47"/>
  <c r="T624" i="47"/>
  <c r="W623" i="47"/>
  <c r="AA623" i="47"/>
  <c r="AC789" i="47" l="1"/>
  <c r="O790" i="47"/>
  <c r="T625" i="47"/>
  <c r="W624" i="47"/>
  <c r="AA624" i="47"/>
  <c r="O791" i="47" l="1"/>
  <c r="AC790" i="47"/>
  <c r="T626" i="47"/>
  <c r="AA625" i="47"/>
  <c r="W625" i="47"/>
  <c r="AC791" i="47" l="1"/>
  <c r="O792" i="47"/>
  <c r="T627" i="47"/>
  <c r="W626" i="47"/>
  <c r="AA626" i="47"/>
  <c r="O793" i="47" l="1"/>
  <c r="AC792" i="47"/>
  <c r="T628" i="47"/>
  <c r="W627" i="47"/>
  <c r="AA627" i="47"/>
  <c r="AC793" i="47" l="1"/>
  <c r="O794" i="47"/>
  <c r="W628" i="47"/>
  <c r="AA628" i="47"/>
  <c r="AC794" i="47" l="1"/>
  <c r="O795" i="47"/>
  <c r="AC795" i="47" l="1"/>
  <c r="O796" i="47"/>
  <c r="O797" i="47" l="1"/>
  <c r="AC796" i="47"/>
  <c r="AC797" i="47" l="1"/>
  <c r="O798" i="47"/>
  <c r="O799" i="47" l="1"/>
  <c r="AC798" i="47"/>
  <c r="AC799" i="47" l="1"/>
  <c r="O800" i="47"/>
  <c r="AC800" i="47" l="1"/>
  <c r="O801" i="47"/>
  <c r="AC801" i="47" l="1"/>
  <c r="O802" i="47"/>
  <c r="O803" i="47" l="1"/>
  <c r="AC802" i="47"/>
  <c r="AC803" i="47" l="1"/>
  <c r="O804" i="47"/>
  <c r="AC804" i="47" l="1"/>
  <c r="O805" i="47"/>
  <c r="AC805" i="47" l="1"/>
  <c r="O806" i="47"/>
  <c r="AC806" i="47" l="1"/>
  <c r="O807" i="47"/>
  <c r="AC807" i="47" s="1"/>
</calcChain>
</file>

<file path=xl/sharedStrings.xml><?xml version="1.0" encoding="utf-8"?>
<sst xmlns="http://schemas.openxmlformats.org/spreadsheetml/2006/main" count="1438" uniqueCount="604">
  <si>
    <t>変形係数</t>
    <rPh sb="0" eb="2">
      <t>ヘンケイ</t>
    </rPh>
    <rPh sb="2" eb="4">
      <t>ケイスウ</t>
    </rPh>
    <phoneticPr fontId="1"/>
  </si>
  <si>
    <t>×</t>
    <phoneticPr fontId="1"/>
  </si>
  <si>
    <t>：</t>
    <phoneticPr fontId="1"/>
  </si>
  <si>
    <t>ここに、</t>
    <phoneticPr fontId="1"/>
  </si>
  <si>
    <t>φ</t>
    <phoneticPr fontId="1"/>
  </si>
  <si>
    <t>β</t>
    <phoneticPr fontId="1"/>
  </si>
  <si>
    <t>＋</t>
    <phoneticPr fontId="1"/>
  </si>
  <si>
    <t>／</t>
    <phoneticPr fontId="1"/>
  </si>
  <si>
    <t>層番</t>
    <rPh sb="0" eb="1">
      <t>ソウ</t>
    </rPh>
    <rPh sb="1" eb="2">
      <t>バン</t>
    </rPh>
    <phoneticPr fontId="1"/>
  </si>
  <si>
    <t>層厚
(m)</t>
    <rPh sb="0" eb="1">
      <t>ソウ</t>
    </rPh>
    <rPh sb="1" eb="2">
      <t>アツ</t>
    </rPh>
    <phoneticPr fontId="1"/>
  </si>
  <si>
    <t>土質区分</t>
    <rPh sb="0" eb="2">
      <t>ドシツ</t>
    </rPh>
    <rPh sb="2" eb="4">
      <t>クブン</t>
    </rPh>
    <phoneticPr fontId="1"/>
  </si>
  <si>
    <t>Ｎ値</t>
    <rPh sb="1" eb="2">
      <t>アタイ</t>
    </rPh>
    <phoneticPr fontId="1"/>
  </si>
  <si>
    <t>単位体積重量</t>
    <rPh sb="0" eb="2">
      <t>タンイ</t>
    </rPh>
    <rPh sb="2" eb="4">
      <t>タイセキ</t>
    </rPh>
    <rPh sb="4" eb="6">
      <t>ジュウリョウ</t>
    </rPh>
    <phoneticPr fontId="1"/>
  </si>
  <si>
    <t>内部摩擦角</t>
    <rPh sb="0" eb="2">
      <t>ナイブ</t>
    </rPh>
    <rPh sb="2" eb="4">
      <t>マサツ</t>
    </rPh>
    <rPh sb="4" eb="5">
      <t>カク</t>
    </rPh>
    <phoneticPr fontId="1"/>
  </si>
  <si>
    <t>湿潤</t>
    <rPh sb="0" eb="2">
      <t>シツジュン</t>
    </rPh>
    <phoneticPr fontId="1"/>
  </si>
  <si>
    <t>水中</t>
    <rPh sb="0" eb="2">
      <t>スイチュウ</t>
    </rPh>
    <phoneticPr fontId="1"/>
  </si>
  <si>
    <t>φd(°)</t>
    <phoneticPr fontId="1"/>
  </si>
  <si>
    <r>
      <t>Ed(kN/m</t>
    </r>
    <r>
      <rPr>
        <vertAlign val="superscript"/>
        <sz val="10"/>
        <rFont val="ＭＳ ゴシック"/>
        <family val="3"/>
        <charset val="128"/>
      </rPr>
      <t>2</t>
    </r>
    <r>
      <rPr>
        <sz val="10"/>
        <rFont val="ＭＳ ゴシック"/>
        <family val="3"/>
        <charset val="128"/>
      </rPr>
      <t>)</t>
    </r>
    <phoneticPr fontId="1"/>
  </si>
  <si>
    <t>1.1.2　地盤のモデル化</t>
    <rPh sb="6" eb="8">
      <t>ジバン</t>
    </rPh>
    <rPh sb="12" eb="13">
      <t>カ</t>
    </rPh>
    <phoneticPr fontId="1"/>
  </si>
  <si>
    <t>ここでは、地震時も含めた地盤のモデル化を行う。</t>
    <rPh sb="5" eb="8">
      <t>ジシンジ</t>
    </rPh>
    <rPh sb="9" eb="10">
      <t>フク</t>
    </rPh>
    <rPh sb="12" eb="14">
      <t>ジバン</t>
    </rPh>
    <rPh sb="18" eb="19">
      <t>カ</t>
    </rPh>
    <rPh sb="20" eb="21">
      <t>オコナ</t>
    </rPh>
    <phoneticPr fontId="1"/>
  </si>
  <si>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1"/>
  </si>
  <si>
    <t>(a) 地盤抵抗のモデル化</t>
    <rPh sb="4" eb="6">
      <t>ジバン</t>
    </rPh>
    <rPh sb="6" eb="8">
      <t>テイコウ</t>
    </rPh>
    <rPh sb="12" eb="13">
      <t>カ</t>
    </rPh>
    <phoneticPr fontId="1"/>
  </si>
  <si>
    <t>【基礎標準 第Ⅱ編 15.2.2.5】</t>
    <rPh sb="1" eb="3">
      <t>キソ</t>
    </rPh>
    <rPh sb="3" eb="5">
      <t>ヒョウジュン</t>
    </rPh>
    <rPh sb="6" eb="7">
      <t>ダイ</t>
    </rPh>
    <rPh sb="8" eb="9">
      <t>ヘン</t>
    </rPh>
    <phoneticPr fontId="1"/>
  </si>
  <si>
    <t>モデル化する。</t>
    <phoneticPr fontId="1"/>
  </si>
  <si>
    <t>杭工法</t>
    <rPh sb="0" eb="1">
      <t>クイ</t>
    </rPh>
    <rPh sb="1" eb="3">
      <t>コウホウ</t>
    </rPh>
    <phoneticPr fontId="1"/>
  </si>
  <si>
    <r>
      <t>降伏 ρ</t>
    </r>
    <r>
      <rPr>
        <vertAlign val="subscript"/>
        <sz val="10"/>
        <rFont val="ＭＳ 明朝"/>
        <family val="1"/>
        <charset val="128"/>
      </rPr>
      <t>gty</t>
    </r>
    <rPh sb="0" eb="2">
      <t>コウフク</t>
    </rPh>
    <phoneticPr fontId="1"/>
  </si>
  <si>
    <r>
      <t>終局 ρ</t>
    </r>
    <r>
      <rPr>
        <vertAlign val="subscript"/>
        <sz val="10"/>
        <rFont val="ＭＳ 明朝"/>
        <family val="1"/>
        <charset val="128"/>
      </rPr>
      <t>gtu</t>
    </r>
    <rPh sb="0" eb="2">
      <t>シュウキョク</t>
    </rPh>
    <phoneticPr fontId="1"/>
  </si>
  <si>
    <t>＝</t>
    <phoneticPr fontId="1"/>
  </si>
  <si>
    <r>
      <t>Ｒ</t>
    </r>
    <r>
      <rPr>
        <vertAlign val="subscript"/>
        <sz val="10"/>
        <rFont val="ＭＳ 明朝"/>
        <family val="1"/>
        <charset val="128"/>
      </rPr>
      <t>ty</t>
    </r>
    <phoneticPr fontId="1"/>
  </si>
  <si>
    <r>
      <t>Ｒ</t>
    </r>
    <r>
      <rPr>
        <vertAlign val="subscript"/>
        <sz val="10"/>
        <rFont val="ＭＳ 明朝"/>
        <family val="1"/>
        <charset val="128"/>
      </rPr>
      <t>tu</t>
    </r>
    <phoneticPr fontId="1"/>
  </si>
  <si>
    <r>
      <t>ρ</t>
    </r>
    <r>
      <rPr>
        <vertAlign val="subscript"/>
        <sz val="10"/>
        <rFont val="ＭＳ 明朝"/>
        <family val="1"/>
        <charset val="128"/>
      </rPr>
      <t>gty</t>
    </r>
    <phoneticPr fontId="1"/>
  </si>
  <si>
    <r>
      <t>ρ</t>
    </r>
    <r>
      <rPr>
        <vertAlign val="subscript"/>
        <sz val="10"/>
        <rFont val="ＭＳ 明朝"/>
        <family val="1"/>
        <charset val="128"/>
      </rPr>
      <t>gtu</t>
    </r>
    <phoneticPr fontId="1"/>
  </si>
  <si>
    <r>
      <t>Ｒ</t>
    </r>
    <r>
      <rPr>
        <vertAlign val="subscript"/>
        <sz val="10"/>
        <rFont val="ＭＳ 明朝"/>
        <family val="1"/>
        <charset val="128"/>
      </rPr>
      <t>tk</t>
    </r>
    <phoneticPr fontId="1"/>
  </si>
  <si>
    <t>基準先端支持力（kN）</t>
    <rPh sb="0" eb="2">
      <t>キジュン</t>
    </rPh>
    <rPh sb="2" eb="4">
      <t>センタン</t>
    </rPh>
    <rPh sb="4" eb="7">
      <t>シジリョク</t>
    </rPh>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</si>
  <si>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1"/>
  </si>
  <si>
    <r>
      <t>降伏 ρ</t>
    </r>
    <r>
      <rPr>
        <vertAlign val="subscript"/>
        <sz val="10"/>
        <rFont val="ＭＳ 明朝"/>
        <family val="1"/>
        <charset val="128"/>
      </rPr>
      <t>gfy</t>
    </r>
    <rPh sb="0" eb="2">
      <t>コウフク</t>
    </rPh>
    <phoneticPr fontId="1"/>
  </si>
  <si>
    <r>
      <t>終局 ρ</t>
    </r>
    <r>
      <rPr>
        <vertAlign val="subscript"/>
        <sz val="10"/>
        <rFont val="ＭＳ 明朝"/>
        <family val="1"/>
        <charset val="128"/>
      </rPr>
      <t>gfu</t>
    </r>
    <rPh sb="0" eb="2">
      <t>シュウキョク</t>
    </rPh>
    <phoneticPr fontId="1"/>
  </si>
  <si>
    <r>
      <t>Ｒ</t>
    </r>
    <r>
      <rPr>
        <vertAlign val="subscript"/>
        <sz val="10"/>
        <rFont val="ＭＳ 明朝"/>
        <family val="1"/>
        <charset val="128"/>
      </rPr>
      <t>fy</t>
    </r>
    <phoneticPr fontId="1"/>
  </si>
  <si>
    <r>
      <t>Ｒ</t>
    </r>
    <r>
      <rPr>
        <vertAlign val="subscript"/>
        <sz val="10"/>
        <rFont val="ＭＳ 明朝"/>
        <family val="1"/>
        <charset val="128"/>
      </rPr>
      <t>fu</t>
    </r>
    <phoneticPr fontId="1"/>
  </si>
  <si>
    <r>
      <t>ρ</t>
    </r>
    <r>
      <rPr>
        <vertAlign val="subscript"/>
        <sz val="10"/>
        <rFont val="ＭＳ 明朝"/>
        <family val="1"/>
        <charset val="128"/>
      </rPr>
      <t>gfy</t>
    </r>
    <phoneticPr fontId="1"/>
  </si>
  <si>
    <r>
      <t>ρ</t>
    </r>
    <r>
      <rPr>
        <vertAlign val="subscript"/>
        <sz val="10"/>
        <rFont val="ＭＳ 明朝"/>
        <family val="1"/>
        <charset val="128"/>
      </rPr>
      <t>gfu</t>
    </r>
    <phoneticPr fontId="1"/>
  </si>
  <si>
    <r>
      <t>Ｒ</t>
    </r>
    <r>
      <rPr>
        <vertAlign val="subscript"/>
        <sz val="10"/>
        <rFont val="ＭＳ 明朝"/>
        <family val="1"/>
        <charset val="128"/>
      </rPr>
      <t>fk</t>
    </r>
    <phoneticPr fontId="1"/>
  </si>
  <si>
    <t>各層での基準周面支持力（kN）</t>
    <rPh sb="0" eb="1">
      <t>カク</t>
    </rPh>
    <rPh sb="1" eb="2">
      <t>ソウ</t>
    </rPh>
    <rPh sb="4" eb="6">
      <t>キジュン</t>
    </rPh>
    <rPh sb="6" eb="8">
      <t>シュウメン</t>
    </rPh>
    <rPh sb="8" eb="11">
      <t>シジリョク</t>
    </rPh>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</si>
  <si>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</si>
  <si>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1"/>
  </si>
  <si>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1"/>
  </si>
  <si>
    <t>に示す。</t>
    <rPh sb="1" eb="2">
      <t>シメ</t>
    </rPh>
    <phoneticPr fontId="1"/>
  </si>
  <si>
    <t>水平方向</t>
    <rPh sb="0" eb="2">
      <t>スイヘイ</t>
    </rPh>
    <rPh sb="2" eb="4">
      <t>ホウコウ</t>
    </rPh>
    <phoneticPr fontId="1"/>
  </si>
  <si>
    <t>鉛直方向</t>
    <rPh sb="0" eb="2">
      <t>エンチョク</t>
    </rPh>
    <rPh sb="2" eb="4">
      <t>ホウコウ</t>
    </rPh>
    <phoneticPr fontId="1"/>
  </si>
  <si>
    <t>杭周面の水平地盤ばね定数</t>
    <rPh sb="0" eb="1">
      <t>クイ</t>
    </rPh>
    <rPh sb="1" eb="3">
      <t>シュウメン</t>
    </rPh>
    <rPh sb="4" eb="6">
      <t>スイヘイ</t>
    </rPh>
    <rPh sb="6" eb="8">
      <t>ジバン</t>
    </rPh>
    <rPh sb="10" eb="12">
      <t>テイスウ</t>
    </rPh>
    <phoneticPr fontId="1"/>
  </si>
  <si>
    <t>水平地盤抵抗</t>
    <rPh sb="0" eb="2">
      <t>スイヘイ</t>
    </rPh>
    <rPh sb="2" eb="4">
      <t>ジバン</t>
    </rPh>
    <rPh sb="4" eb="6">
      <t>テイコウ</t>
    </rPh>
    <phoneticPr fontId="1"/>
  </si>
  <si>
    <t>設計ばね定数の種類</t>
    <rPh sb="0" eb="2">
      <t>セッケイ</t>
    </rPh>
    <rPh sb="4" eb="6">
      <t>テイスウ</t>
    </rPh>
    <rPh sb="7" eb="9">
      <t>シュルイ</t>
    </rPh>
    <phoneticPr fontId="1"/>
  </si>
  <si>
    <t>地盤抵抗の種別</t>
    <rPh sb="0" eb="2">
      <t>ジバン</t>
    </rPh>
    <rPh sb="2" eb="4">
      <t>テイコウ</t>
    </rPh>
    <rPh sb="5" eb="7">
      <t>シュベツ</t>
    </rPh>
    <phoneticPr fontId="1"/>
  </si>
  <si>
    <t>杭周面の鉛直せん断
地盤ばね定数</t>
    <rPh sb="0" eb="1">
      <t>クイ</t>
    </rPh>
    <rPh sb="1" eb="3">
      <t>シュウメン</t>
    </rPh>
    <rPh sb="4" eb="6">
      <t>エンチョク</t>
    </rPh>
    <rPh sb="8" eb="9">
      <t>ダン</t>
    </rPh>
    <rPh sb="10" eb="12">
      <t>ジバン</t>
    </rPh>
    <rPh sb="14" eb="16">
      <t>テイスウ</t>
    </rPh>
    <phoneticPr fontId="1"/>
  </si>
  <si>
    <t>杭先端の鉛直
地盤ばね定数</t>
    <rPh sb="0" eb="1">
      <t>クイ</t>
    </rPh>
    <rPh sb="1" eb="3">
      <t>センタン</t>
    </rPh>
    <rPh sb="4" eb="6">
      <t>エンチョク</t>
    </rPh>
    <rPh sb="7" eb="9">
      <t>ジバン</t>
    </rPh>
    <rPh sb="11" eb="13">
      <t>テイスウ</t>
    </rPh>
    <phoneticPr fontId="1"/>
  </si>
  <si>
    <t>杭周面の鉛直せん断
地盤抵抗</t>
    <rPh sb="0" eb="1">
      <t>クイ</t>
    </rPh>
    <rPh sb="1" eb="3">
      <t>シュウメン</t>
    </rPh>
    <rPh sb="4" eb="6">
      <t>エンチョク</t>
    </rPh>
    <rPh sb="8" eb="9">
      <t>ダン</t>
    </rPh>
    <rPh sb="10" eb="12">
      <t>ジバン</t>
    </rPh>
    <rPh sb="12" eb="14">
      <t>テイコウ</t>
    </rPh>
    <phoneticPr fontId="1"/>
  </si>
  <si>
    <t>地盤反力の折れ曲がり点
または上限値</t>
    <rPh sb="0" eb="2">
      <t>ジバン</t>
    </rPh>
    <rPh sb="2" eb="4">
      <t>ハンリョク</t>
    </rPh>
    <rPh sb="5" eb="6">
      <t>オ</t>
    </rPh>
    <rPh sb="7" eb="8">
      <t>マ</t>
    </rPh>
    <rPh sb="10" eb="11">
      <t>テン</t>
    </rPh>
    <rPh sb="15" eb="18">
      <t>ジョウゲンチ</t>
    </rPh>
    <phoneticPr fontId="1"/>
  </si>
  <si>
    <t>杭先端の鉛直地盤抵抗</t>
    <rPh sb="0" eb="1">
      <t>クイ</t>
    </rPh>
    <rPh sb="1" eb="3">
      <t>センタン</t>
    </rPh>
    <rPh sb="4" eb="6">
      <t>エンチョク</t>
    </rPh>
    <rPh sb="6" eb="8">
      <t>ジバン</t>
    </rPh>
    <rPh sb="8" eb="10">
      <t>テイコウ</t>
    </rPh>
    <phoneticPr fontId="1"/>
  </si>
  <si>
    <t>降伏周面支持力
終局周面支持力</t>
    <rPh sb="0" eb="2">
      <t>コウフク</t>
    </rPh>
    <rPh sb="2" eb="4">
      <t>シュウメン</t>
    </rPh>
    <rPh sb="4" eb="7">
      <t>シジリョク</t>
    </rPh>
    <rPh sb="8" eb="10">
      <t>シュウキョク</t>
    </rPh>
    <rPh sb="10" eb="12">
      <t>シュウメン</t>
    </rPh>
    <rPh sb="12" eb="15">
      <t>シジリョク</t>
    </rPh>
    <phoneticPr fontId="1"/>
  </si>
  <si>
    <t>降伏先端支持力
終局先端支持力</t>
    <rPh sb="0" eb="2">
      <t>コウフク</t>
    </rPh>
    <rPh sb="2" eb="4">
      <t>センタン</t>
    </rPh>
    <rPh sb="4" eb="7">
      <t>シジリョク</t>
    </rPh>
    <rPh sb="8" eb="10">
      <t>シュウキョク</t>
    </rPh>
    <rPh sb="10" eb="12">
      <t>センタン</t>
    </rPh>
    <rPh sb="12" eb="15">
      <t>シジリョク</t>
    </rPh>
    <phoneticPr fontId="1"/>
  </si>
  <si>
    <t>方　向</t>
    <rPh sb="0" eb="1">
      <t>ホウ</t>
    </rPh>
    <rPh sb="2" eb="3">
      <t>ムケ</t>
    </rPh>
    <phoneticPr fontId="1"/>
  </si>
  <si>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1"/>
  </si>
  <si>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1"/>
  </si>
  <si>
    <t>作用の継続時間</t>
    <rPh sb="0" eb="2">
      <t>サヨウ</t>
    </rPh>
    <rPh sb="3" eb="5">
      <t>ケイゾク</t>
    </rPh>
    <rPh sb="5" eb="7">
      <t>ジカン</t>
    </rPh>
    <phoneticPr fontId="1"/>
  </si>
  <si>
    <t>短　期</t>
    <rPh sb="0" eb="1">
      <t>タン</t>
    </rPh>
    <rPh sb="2" eb="3">
      <t>キ</t>
    </rPh>
    <phoneticPr fontId="1"/>
  </si>
  <si>
    <t>長　期</t>
    <rPh sb="0" eb="1">
      <t>チョウ</t>
    </rPh>
    <rPh sb="2" eb="3">
      <t>キ</t>
    </rPh>
    <phoneticPr fontId="1"/>
  </si>
  <si>
    <t>変動作用、偶発作用</t>
    <rPh sb="0" eb="2">
      <t>ヘンドウ</t>
    </rPh>
    <rPh sb="2" eb="4">
      <t>サヨウ</t>
    </rPh>
    <rPh sb="5" eb="7">
      <t>グウハツ</t>
    </rPh>
    <rPh sb="7" eb="9">
      <t>サヨウ</t>
    </rPh>
    <phoneticPr fontId="1"/>
  </si>
  <si>
    <t>永久作用</t>
    <rPh sb="0" eb="2">
      <t>エイキュウ</t>
    </rPh>
    <rPh sb="2" eb="4">
      <t>サヨウ</t>
    </rPh>
    <phoneticPr fontId="1"/>
  </si>
  <si>
    <t>考慮する作用</t>
    <rPh sb="0" eb="2">
      <t>コウリョ</t>
    </rPh>
    <rPh sb="4" eb="6">
      <t>サヨウ</t>
    </rPh>
    <phoneticPr fontId="1"/>
  </si>
  <si>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1"/>
  </si>
  <si>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1"/>
  </si>
  <si>
    <t>＊群杭の場合には、その影響を考慮する。</t>
    <rPh sb="1" eb="2">
      <t>グン</t>
    </rPh>
    <rPh sb="2" eb="3">
      <t>クイ</t>
    </rPh>
    <rPh sb="4" eb="6">
      <t>バアイ</t>
    </rPh>
    <rPh sb="11" eb="13">
      <t>エイキョウ</t>
    </rPh>
    <rPh sb="14" eb="16">
      <t>コウリョ</t>
    </rPh>
    <phoneticPr fontId="1"/>
  </si>
  <si>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1"/>
  </si>
  <si>
    <t>である。</t>
    <phoneticPr fontId="1"/>
  </si>
  <si>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1"/>
  </si>
  <si>
    <r>
      <t>ｋ</t>
    </r>
    <r>
      <rPr>
        <vertAlign val="subscript"/>
        <sz val="10"/>
        <rFont val="ＭＳ 明朝"/>
        <family val="1"/>
        <charset val="128"/>
      </rPr>
      <t>tv</t>
    </r>
    <phoneticPr fontId="1"/>
  </si>
  <si>
    <r>
      <t>ρ</t>
    </r>
    <r>
      <rPr>
        <vertAlign val="subscript"/>
        <sz val="10"/>
        <rFont val="ＭＳ 明朝"/>
        <family val="1"/>
        <charset val="128"/>
      </rPr>
      <t>gk</t>
    </r>
    <phoneticPr fontId="1"/>
  </si>
  <si>
    <r>
      <t>Ｅ</t>
    </r>
    <r>
      <rPr>
        <vertAlign val="subscript"/>
        <sz val="10"/>
        <rFont val="ＭＳ 明朝"/>
        <family val="1"/>
        <charset val="128"/>
      </rPr>
      <t>d</t>
    </r>
    <phoneticPr fontId="1"/>
  </si>
  <si>
    <t>Ｄ</t>
    <phoneticPr fontId="1"/>
  </si>
  <si>
    <t>ここに、</t>
    <phoneticPr fontId="1"/>
  </si>
  <si>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1"/>
  </si>
  <si>
    <t>杭径（m）</t>
    <rPh sb="0" eb="1">
      <t>クイ</t>
    </rPh>
    <rPh sb="1" eb="2">
      <t>ケイ</t>
    </rPh>
    <phoneticPr fontId="1"/>
  </si>
  <si>
    <r>
      <t>ρ</t>
    </r>
    <r>
      <rPr>
        <vertAlign val="subscript"/>
        <sz val="10"/>
        <rFont val="ＭＳ 明朝"/>
        <family val="1"/>
        <charset val="128"/>
      </rPr>
      <t>k</t>
    </r>
    <phoneticPr fontId="1"/>
  </si>
  <si>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1"/>
  </si>
  <si>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</si>
  <si>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t>Ｄ（m）</t>
    <phoneticPr fontId="1"/>
  </si>
  <si>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</si>
  <si>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1"/>
  </si>
  <si>
    <t>とおりである。</t>
    <phoneticPr fontId="1"/>
  </si>
  <si>
    <r>
      <t>ｋ</t>
    </r>
    <r>
      <rPr>
        <vertAlign val="subscript"/>
        <sz val="10"/>
        <rFont val="ＭＳ 明朝"/>
        <family val="1"/>
        <charset val="128"/>
      </rPr>
      <t>fv</t>
    </r>
    <phoneticPr fontId="1"/>
  </si>
  <si>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1"/>
  </si>
  <si>
    <t>土層
番号</t>
    <rPh sb="0" eb="2">
      <t>ドソウ</t>
    </rPh>
    <rPh sb="3" eb="5">
      <t>バンゴウ</t>
    </rPh>
    <phoneticPr fontId="1"/>
  </si>
  <si>
    <t>②</t>
    <phoneticPr fontId="1"/>
  </si>
  <si>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1"/>
  </si>
  <si>
    <t>①</t>
    <phoneticPr fontId="1"/>
  </si>
  <si>
    <t>基本計算</t>
    <rPh sb="0" eb="2">
      <t>キホン</t>
    </rPh>
    <rPh sb="2" eb="4">
      <t>ケイサン</t>
    </rPh>
    <phoneticPr fontId="1"/>
  </si>
  <si>
    <t>である。</t>
    <phoneticPr fontId="1"/>
  </si>
  <si>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1"/>
  </si>
  <si>
    <r>
      <t>ｋ</t>
    </r>
    <r>
      <rPr>
        <vertAlign val="subscript"/>
        <sz val="10"/>
        <rFont val="ＭＳ 明朝"/>
        <family val="1"/>
        <charset val="128"/>
      </rPr>
      <t>h</t>
    </r>
    <phoneticPr fontId="1"/>
  </si>
  <si>
    <t>非設計解析（バイリニア型）の場合</t>
    <rPh sb="0" eb="1">
      <t>ヒ</t>
    </rPh>
    <rPh sb="1" eb="3">
      <t>セッケイ</t>
    </rPh>
    <rPh sb="3" eb="5">
      <t>カイセキ</t>
    </rPh>
    <rPh sb="11" eb="12">
      <t>カタ</t>
    </rPh>
    <rPh sb="14" eb="16">
      <t>バアイ</t>
    </rPh>
    <phoneticPr fontId="1"/>
  </si>
  <si>
    <r>
      <t>ｋ</t>
    </r>
    <r>
      <rPr>
        <vertAlign val="subscript"/>
        <sz val="10"/>
        <rFont val="ＭＳ 明朝"/>
        <family val="1"/>
        <charset val="128"/>
      </rPr>
      <t>h</t>
    </r>
    <phoneticPr fontId="1"/>
  </si>
  <si>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1"/>
  </si>
  <si>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1"/>
  </si>
  <si>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1"/>
  </si>
  <si>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1"/>
  </si>
  <si>
    <r>
      <t>ｋ</t>
    </r>
    <r>
      <rPr>
        <vertAlign val="subscript"/>
        <sz val="10"/>
        <rFont val="ＭＳ 明朝"/>
        <family val="1"/>
        <charset val="128"/>
      </rPr>
      <t>hg</t>
    </r>
    <phoneticPr fontId="1"/>
  </si>
  <si>
    <r>
      <t>ｅ</t>
    </r>
    <r>
      <rPr>
        <vertAlign val="subscript"/>
        <sz val="10"/>
        <rFont val="ＭＳ 明朝"/>
        <family val="1"/>
        <charset val="128"/>
      </rPr>
      <t>g</t>
    </r>
    <phoneticPr fontId="1"/>
  </si>
  <si>
    <t>・</t>
    <phoneticPr fontId="1"/>
  </si>
  <si>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1"/>
  </si>
  <si>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1"/>
  </si>
  <si>
    <t>群杭の補正係数で、次式もしくは</t>
    <rPh sb="0" eb="1">
      <t>グン</t>
    </rPh>
    <rPh sb="1" eb="2">
      <t>クイ</t>
    </rPh>
    <rPh sb="3" eb="5">
      <t>ホセイ</t>
    </rPh>
    <rPh sb="5" eb="7">
      <t>ケイスウ</t>
    </rPh>
    <rPh sb="9" eb="11">
      <t>ジシキ</t>
    </rPh>
    <phoneticPr fontId="1"/>
  </si>
  <si>
    <t>用いて求める。</t>
    <rPh sb="0" eb="1">
      <t>モチ</t>
    </rPh>
    <rPh sb="3" eb="4">
      <t>モト</t>
    </rPh>
    <phoneticPr fontId="1"/>
  </si>
  <si>
    <t>ｋ</t>
    <phoneticPr fontId="1"/>
  </si>
  <si>
    <t>杭頭固定度（0.6とする）</t>
    <rPh sb="0" eb="2">
      <t>クイトウ</t>
    </rPh>
    <rPh sb="2" eb="4">
      <t>コテイ</t>
    </rPh>
    <rPh sb="4" eb="5">
      <t>ド</t>
    </rPh>
    <phoneticPr fontId="1"/>
  </si>
  <si>
    <t>ｄ</t>
  </si>
  <si>
    <t>ｄ</t>
    <phoneticPr fontId="1"/>
  </si>
  <si>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1"/>
  </si>
  <si>
    <r>
      <t>ｎＬ</t>
    </r>
    <r>
      <rPr>
        <vertAlign val="subscript"/>
        <sz val="10"/>
        <rFont val="ＭＳ 明朝"/>
        <family val="1"/>
        <charset val="128"/>
      </rPr>
      <t>n</t>
    </r>
    <phoneticPr fontId="1"/>
  </si>
  <si>
    <r>
      <t>ｍＬ</t>
    </r>
    <r>
      <rPr>
        <vertAlign val="subscript"/>
        <sz val="10"/>
        <rFont val="ＭＳ 明朝"/>
        <family val="1"/>
        <charset val="128"/>
      </rPr>
      <t>m</t>
    </r>
    <phoneticPr fontId="1"/>
  </si>
  <si>
    <t>（ｍ＋ｎ）</t>
    <phoneticPr fontId="1"/>
  </si>
  <si>
    <r>
      <t>Ｌ</t>
    </r>
    <r>
      <rPr>
        <vertAlign val="subscript"/>
        <sz val="10"/>
        <rFont val="ＭＳ 明朝"/>
        <family val="1"/>
        <charset val="128"/>
      </rPr>
      <t>m</t>
    </r>
    <phoneticPr fontId="1"/>
  </si>
  <si>
    <r>
      <t>Ｌ</t>
    </r>
    <r>
      <rPr>
        <vertAlign val="subscript"/>
        <sz val="10"/>
        <rFont val="ＭＳ 明朝"/>
        <family val="1"/>
        <charset val="128"/>
      </rPr>
      <t>n</t>
    </r>
    <phoneticPr fontId="1"/>
  </si>
  <si>
    <t>水平荷重の作用方向の杭本数</t>
    <rPh sb="0" eb="2">
      <t>スイヘイ</t>
    </rPh>
    <rPh sb="2" eb="4">
      <t>カジュウ</t>
    </rPh>
    <rPh sb="5" eb="7">
      <t>サヨウ</t>
    </rPh>
    <rPh sb="7" eb="9">
      <t>ホウコウ</t>
    </rPh>
    <rPh sb="10" eb="11">
      <t>クイ</t>
    </rPh>
    <rPh sb="11" eb="13">
      <t>ホンスウ</t>
    </rPh>
    <phoneticPr fontId="1"/>
  </si>
  <si>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1"/>
  </si>
  <si>
    <t>ｍ</t>
    <phoneticPr fontId="1"/>
  </si>
  <si>
    <t>ｎ</t>
    <phoneticPr fontId="1"/>
  </si>
  <si>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1"/>
  </si>
  <si>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1"/>
  </si>
  <si>
    <t>橋軸直角</t>
    <rPh sb="0" eb="2">
      <t>キョウジク</t>
    </rPh>
    <rPh sb="2" eb="4">
      <t>チョッカク</t>
    </rPh>
    <phoneticPr fontId="1"/>
  </si>
  <si>
    <t>橋　軸</t>
    <rPh sb="0" eb="1">
      <t>キョウ</t>
    </rPh>
    <rPh sb="2" eb="3">
      <t>ジク</t>
    </rPh>
    <phoneticPr fontId="1"/>
  </si>
  <si>
    <r>
      <t>ｅ</t>
    </r>
    <r>
      <rPr>
        <vertAlign val="subscript"/>
        <sz val="10"/>
        <rFont val="ＭＳ 明朝"/>
        <family val="1"/>
        <charset val="128"/>
      </rPr>
      <t>g</t>
    </r>
    <phoneticPr fontId="1"/>
  </si>
  <si>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1"/>
  </si>
  <si>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1"/>
  </si>
  <si>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1"/>
  </si>
  <si>
    <r>
      <t>ｋ</t>
    </r>
    <r>
      <rPr>
        <vertAlign val="subscript"/>
        <sz val="10"/>
        <rFont val="ＭＳ 明朝"/>
        <family val="1"/>
        <charset val="128"/>
      </rPr>
      <t>tv</t>
    </r>
    <phoneticPr fontId="1"/>
  </si>
  <si>
    <r>
      <t>K</t>
    </r>
    <r>
      <rPr>
        <vertAlign val="subscript"/>
        <sz val="10"/>
        <rFont val="ＭＳ 明朝"/>
        <family val="1"/>
        <charset val="128"/>
      </rPr>
      <t>tv</t>
    </r>
    <phoneticPr fontId="1"/>
  </si>
  <si>
    <r>
      <t>Ａ</t>
    </r>
    <r>
      <rPr>
        <vertAlign val="subscript"/>
        <sz val="10"/>
        <rFont val="ＭＳ 明朝"/>
        <family val="1"/>
        <charset val="128"/>
      </rPr>
      <t>v</t>
    </r>
    <phoneticPr fontId="1"/>
  </si>
  <si>
    <t>杭先端の鉛直地盤ばね定数（kN/m）</t>
    <rPh sb="0" eb="1">
      <t>クイ</t>
    </rPh>
    <rPh sb="1" eb="3">
      <t>センタン</t>
    </rPh>
    <rPh sb="4" eb="6">
      <t>エンチョク</t>
    </rPh>
    <rPh sb="6" eb="8">
      <t>ジバン</t>
    </rPh>
    <rPh sb="10" eb="12">
      <t>テイスウ</t>
    </rPh>
    <phoneticPr fontId="1"/>
  </si>
  <si>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1"/>
  </si>
  <si>
    <t>π</t>
    <phoneticPr fontId="1"/>
  </si>
  <si>
    <t>×</t>
    <phoneticPr fontId="1"/>
  </si>
  <si>
    <r>
      <t>m</t>
    </r>
    <r>
      <rPr>
        <vertAlign val="superscript"/>
        <sz val="10"/>
        <rFont val="ＭＳ 明朝"/>
        <family val="1"/>
        <charset val="128"/>
      </rPr>
      <t>2</t>
    </r>
    <phoneticPr fontId="1"/>
  </si>
  <si>
    <t>杭先端の公称径</t>
    <rPh sb="0" eb="1">
      <t>クイ</t>
    </rPh>
    <rPh sb="1" eb="3">
      <t>センタン</t>
    </rPh>
    <rPh sb="4" eb="6">
      <t>コウショウ</t>
    </rPh>
    <rPh sb="6" eb="7">
      <t>ケイ</t>
    </rPh>
    <phoneticPr fontId="1"/>
  </si>
  <si>
    <t>（</t>
    <phoneticPr fontId="1"/>
  </si>
  <si>
    <t>m）</t>
    <phoneticPr fontId="1"/>
  </si>
  <si>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1"/>
  </si>
  <si>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1"/>
  </si>
  <si>
    <r>
      <t>Ｋ</t>
    </r>
    <r>
      <rPr>
        <vertAlign val="subscript"/>
        <sz val="10"/>
        <rFont val="ＭＳ 明朝"/>
        <family val="1"/>
        <charset val="128"/>
      </rPr>
      <t>tv</t>
    </r>
    <r>
      <rPr>
        <sz val="10"/>
        <rFont val="ＭＳ 明朝"/>
        <family val="1"/>
        <charset val="128"/>
      </rPr>
      <t>（kN/m</t>
    </r>
    <r>
      <rPr>
        <sz val="10"/>
        <rFont val="ＭＳ 明朝"/>
        <family val="1"/>
        <charset val="128"/>
      </rPr>
      <t>）</t>
    </r>
    <phoneticPr fontId="1"/>
  </si>
  <si>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1"/>
  </si>
  <si>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1"/>
  </si>
  <si>
    <r>
      <t>K</t>
    </r>
    <r>
      <rPr>
        <vertAlign val="subscript"/>
        <sz val="10"/>
        <rFont val="ＭＳ 明朝"/>
        <family val="1"/>
        <charset val="128"/>
      </rPr>
      <t>fv</t>
    </r>
    <phoneticPr fontId="1"/>
  </si>
  <si>
    <r>
      <t>ｋ</t>
    </r>
    <r>
      <rPr>
        <vertAlign val="subscript"/>
        <sz val="10"/>
        <rFont val="ＭＳ 明朝"/>
        <family val="1"/>
        <charset val="128"/>
      </rPr>
      <t>fv</t>
    </r>
    <phoneticPr fontId="1"/>
  </si>
  <si>
    <t>Ｕ</t>
    <phoneticPr fontId="1"/>
  </si>
  <si>
    <t>Δ1</t>
    <phoneticPr fontId="1"/>
  </si>
  <si>
    <t>杭周面の鉛直せん断地盤ばね定数（kN/m）</t>
    <rPh sb="0" eb="1">
      <t>クイ</t>
    </rPh>
    <rPh sb="1" eb="3">
      <t>シュウメン</t>
    </rPh>
    <rPh sb="4" eb="6">
      <t>エンチョク</t>
    </rPh>
    <rPh sb="8" eb="9">
      <t>ダン</t>
    </rPh>
    <rPh sb="9" eb="11">
      <t>ジバン</t>
    </rPh>
    <rPh sb="13" eb="15">
      <t>テイスウ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</si>
  <si>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1"/>
  </si>
  <si>
    <r>
      <t>杭の周長（m</t>
    </r>
    <r>
      <rPr>
        <sz val="10"/>
        <rFont val="ＭＳ 明朝"/>
        <family val="1"/>
        <charset val="128"/>
      </rPr>
      <t>）</t>
    </r>
    <rPh sb="0" eb="1">
      <t>クイ</t>
    </rPh>
    <rPh sb="2" eb="4">
      <t>シュウチョウ</t>
    </rPh>
    <phoneticPr fontId="1"/>
  </si>
  <si>
    <t>杭の直径</t>
    <rPh sb="0" eb="1">
      <t>クイ</t>
    </rPh>
    <rPh sb="2" eb="4">
      <t>チョッケイ</t>
    </rPh>
    <phoneticPr fontId="1"/>
  </si>
  <si>
    <t>杭周面の鉛直せん断地盤ばね定数を算定する区間長さ（m）</t>
    <rPh sb="0" eb="1">
      <t>クイ</t>
    </rPh>
    <rPh sb="1" eb="3">
      <t>シュウメン</t>
    </rPh>
    <rPh sb="4" eb="6">
      <t>エンチョク</t>
    </rPh>
    <rPh sb="8" eb="9">
      <t>ダン</t>
    </rPh>
    <rPh sb="9" eb="11">
      <t>ジバン</t>
    </rPh>
    <rPh sb="13" eb="15">
      <t>テイスウ</t>
    </rPh>
    <rPh sb="16" eb="18">
      <t>サンテイ</t>
    </rPh>
    <rPh sb="20" eb="22">
      <t>クカン</t>
    </rPh>
    <rPh sb="22" eb="23">
      <t>ナガ</t>
    </rPh>
    <phoneticPr fontId="1"/>
  </si>
  <si>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1"/>
  </si>
  <si>
    <t>【基礎標準 第Ⅱ編 15.2.2.1】</t>
    <phoneticPr fontId="1"/>
  </si>
  <si>
    <t>1)</t>
    <phoneticPr fontId="1"/>
  </si>
  <si>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</si>
  <si>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</si>
  <si>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1"/>
  </si>
  <si>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1"/>
  </si>
  <si>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1"/>
  </si>
  <si>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1"/>
  </si>
  <si>
    <t>1/βの位置</t>
    <rPh sb="4" eb="6">
      <t>イチ</t>
    </rPh>
    <phoneticPr fontId="1"/>
  </si>
  <si>
    <t>βは、次式により求める。</t>
    <rPh sb="3" eb="5">
      <t>ジシキ</t>
    </rPh>
    <rPh sb="8" eb="9">
      <t>モト</t>
    </rPh>
    <phoneticPr fontId="1"/>
  </si>
  <si>
    <t>ＥＩ</t>
    <phoneticPr fontId="1"/>
  </si>
  <si>
    <t>Ｅ</t>
    <phoneticPr fontId="1"/>
  </si>
  <si>
    <t>Ｉ</t>
    <phoneticPr fontId="1"/>
  </si>
  <si>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1"/>
  </si>
  <si>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1"/>
  </si>
  <si>
    <r>
      <t>ヤング係数（kN/m</t>
    </r>
    <r>
      <rPr>
        <vertAlign val="superscript"/>
        <sz val="10"/>
        <rFont val="ＭＳ 明朝"/>
        <family val="1"/>
        <charset val="128"/>
      </rPr>
      <t>2</t>
    </r>
    <r>
      <rPr>
        <sz val="10"/>
        <rFont val="ＭＳ 明朝"/>
        <family val="1"/>
        <charset val="128"/>
      </rPr>
      <t>）</t>
    </r>
    <rPh sb="3" eb="5">
      <t>ケイスウ</t>
    </rPh>
    <phoneticPr fontId="1"/>
  </si>
  <si>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1"/>
  </si>
  <si>
    <r>
      <t>kN/mm</t>
    </r>
    <r>
      <rPr>
        <vertAlign val="superscript"/>
        <sz val="10"/>
        <rFont val="ＭＳ 明朝"/>
        <family val="1"/>
        <charset val="128"/>
      </rPr>
      <t>2</t>
    </r>
    <phoneticPr fontId="1"/>
  </si>
  <si>
    <r>
      <t>kN/m</t>
    </r>
    <r>
      <rPr>
        <vertAlign val="superscript"/>
        <sz val="10"/>
        <rFont val="ＭＳ 明朝"/>
        <family val="1"/>
        <charset val="128"/>
      </rPr>
      <t>2</t>
    </r>
    <r>
      <rPr>
        <sz val="10"/>
        <rFont val="ＭＳ 明朝"/>
        <family val="1"/>
        <charset val="128"/>
      </rPr>
      <t>）</t>
    </r>
    <phoneticPr fontId="1"/>
  </si>
  <si>
    <t>）</t>
    <phoneticPr fontId="1"/>
  </si>
  <si>
    <t>表1.1.2.10 各層の杭の特性値β</t>
    <rPh sb="0" eb="1">
      <t>ヒョウ</t>
    </rPh>
    <rPh sb="10" eb="11">
      <t>カク</t>
    </rPh>
    <rPh sb="13" eb="14">
      <t>クイ</t>
    </rPh>
    <rPh sb="15" eb="18">
      <t>トクセイチ</t>
    </rPh>
    <phoneticPr fontId="1"/>
  </si>
  <si>
    <r>
      <t>ｋ</t>
    </r>
    <r>
      <rPr>
        <vertAlign val="subscript"/>
        <sz val="10"/>
        <rFont val="ＭＳ 明朝"/>
        <family val="1"/>
        <charset val="128"/>
      </rPr>
      <t xml:space="preserve">hg
</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</si>
  <si>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層厚
ｌ（m）</t>
    <rPh sb="0" eb="2">
      <t>ソウアツ</t>
    </rPh>
    <phoneticPr fontId="1"/>
  </si>
  <si>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</si>
  <si>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r>
      <t>β</t>
    </r>
    <r>
      <rPr>
        <vertAlign val="subscript"/>
        <sz val="10"/>
        <rFont val="ＭＳ 明朝"/>
        <family val="1"/>
        <charset val="128"/>
      </rPr>
      <t xml:space="preserve">
</t>
    </r>
    <r>
      <rPr>
        <sz val="10"/>
        <rFont val="ＭＳ 明朝"/>
        <family val="1"/>
        <charset val="128"/>
      </rPr>
      <t>（l/m）</t>
    </r>
    <phoneticPr fontId="1"/>
  </si>
  <si>
    <t>β･ｌ</t>
    <phoneticPr fontId="1"/>
  </si>
  <si>
    <t>Σ(β･ｌ)</t>
    <phoneticPr fontId="1"/>
  </si>
  <si>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1"/>
  </si>
  <si>
    <t>ＥＩ</t>
    <phoneticPr fontId="1"/>
  </si>
  <si>
    <r>
      <t>kN･m</t>
    </r>
    <r>
      <rPr>
        <vertAlign val="superscript"/>
        <sz val="10"/>
        <rFont val="ＭＳ 明朝"/>
        <family val="1"/>
        <charset val="128"/>
      </rPr>
      <t>2</t>
    </r>
    <phoneticPr fontId="1"/>
  </si>
  <si>
    <t>）</t>
    <phoneticPr fontId="1"/>
  </si>
  <si>
    <r>
      <rPr>
        <sz val="10"/>
        <rFont val="ＭＳ ゴシック"/>
        <family val="3"/>
        <charset val="128"/>
      </rPr>
      <t>【基礎標準 第Ⅱ編 15.2.2.2 解説図 15.2.2.2-1】</t>
    </r>
    <r>
      <rPr>
        <sz val="10"/>
        <rFont val="ＭＳ 明朝"/>
        <family val="1"/>
        <charset val="128"/>
      </rPr>
      <t>のノモグラムを</t>
    </r>
    <phoneticPr fontId="1"/>
  </si>
  <si>
    <r>
      <t>超えた第2層にあるもの想定して、β</t>
    </r>
    <r>
      <rPr>
        <vertAlign val="subscript"/>
        <sz val="10"/>
        <rFont val="ＭＳ 明朝"/>
        <family val="1"/>
        <charset val="128"/>
      </rPr>
      <t>1</t>
    </r>
    <r>
      <rPr>
        <sz val="10"/>
        <rFont val="ＭＳ 明朝"/>
        <family val="1"/>
        <charset val="128"/>
      </rPr>
      <t>ｌ</t>
    </r>
    <r>
      <rPr>
        <vertAlign val="subscript"/>
        <sz val="10"/>
        <rFont val="ＭＳ 明朝"/>
        <family val="1"/>
        <charset val="128"/>
      </rPr>
      <t>1</t>
    </r>
    <r>
      <rPr>
        <sz val="10"/>
        <rFont val="ＭＳ 明朝"/>
        <family val="1"/>
        <charset val="128"/>
      </rPr>
      <t>＋β</t>
    </r>
    <r>
      <rPr>
        <vertAlign val="subscript"/>
        <sz val="10"/>
        <rFont val="ＭＳ 明朝"/>
        <family val="1"/>
        <charset val="128"/>
      </rPr>
      <t>2</t>
    </r>
    <r>
      <rPr>
        <sz val="10"/>
        <rFont val="ＭＳ 明朝"/>
        <family val="1"/>
        <charset val="128"/>
      </rPr>
      <t>ｌ</t>
    </r>
    <r>
      <rPr>
        <vertAlign val="subscript"/>
        <sz val="10"/>
        <rFont val="ＭＳ 明朝"/>
        <family val="1"/>
        <charset val="128"/>
      </rPr>
      <t>2</t>
    </r>
    <r>
      <rPr>
        <sz val="10"/>
        <rFont val="ＭＳ 明朝"/>
        <family val="1"/>
        <charset val="128"/>
      </rPr>
      <t>＝1を満たすｌ</t>
    </r>
    <r>
      <rPr>
        <vertAlign val="subscript"/>
        <sz val="10"/>
        <rFont val="ＭＳ 明朝"/>
        <family val="1"/>
        <charset val="128"/>
      </rPr>
      <t>2</t>
    </r>
    <r>
      <rPr>
        <sz val="10"/>
        <rFont val="ＭＳ 明朝"/>
        <family val="1"/>
        <charset val="128"/>
      </rPr>
      <t>を求める。</t>
    </r>
    <rPh sb="0" eb="1">
      <t>コ</t>
    </rPh>
    <rPh sb="3" eb="4">
      <t>ダイ</t>
    </rPh>
    <rPh sb="5" eb="6">
      <t>ソウ</t>
    </rPh>
    <rPh sb="11" eb="13">
      <t>ソウテイ</t>
    </rPh>
    <rPh sb="28" eb="29">
      <t>ミ</t>
    </rPh>
    <rPh sb="34" eb="35">
      <t>モト</t>
    </rPh>
    <phoneticPr fontId="1"/>
  </si>
  <si>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1"/>
  </si>
  <si>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1"/>
  </si>
  <si>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1"/>
  </si>
  <si>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1"/>
  </si>
  <si>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1"/>
  </si>
  <si>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1"/>
  </si>
  <si>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1"/>
  </si>
  <si>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1"/>
  </si>
  <si>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1"/>
  </si>
  <si>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1"/>
  </si>
  <si>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1"/>
  </si>
  <si>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1"/>
  </si>
  <si>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1"/>
  </si>
  <si>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</si>
  <si>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1"/>
  </si>
  <si>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1"/>
  </si>
  <si>
    <t>表1.1.123 群杭に対する補正係数</t>
    <rPh sb="0" eb="1">
      <t>ヒョウ</t>
    </rPh>
    <rPh sb="9" eb="10">
      <t>グン</t>
    </rPh>
    <rPh sb="10" eb="11">
      <t>クイ</t>
    </rPh>
    <rPh sb="12" eb="13">
      <t>タイ</t>
    </rPh>
    <rPh sb="15" eb="17">
      <t>ホセイ</t>
    </rPh>
    <rPh sb="17" eb="19">
      <t>ケイスウ</t>
    </rPh>
    <phoneticPr fontId="1"/>
  </si>
  <si>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1"/>
  </si>
  <si>
    <r>
      <t>l</t>
    </r>
    <r>
      <rPr>
        <vertAlign val="subscript"/>
        <sz val="10"/>
        <rFont val="ＭＳ 明朝"/>
        <family val="1"/>
        <charset val="128"/>
      </rPr>
      <t>2</t>
    </r>
    <phoneticPr fontId="1"/>
  </si>
  <si>
    <r>
      <t>( 1-β</t>
    </r>
    <r>
      <rPr>
        <vertAlign val="subscript"/>
        <sz val="10"/>
        <rFont val="ＭＳ 明朝"/>
        <family val="1"/>
        <charset val="128"/>
      </rPr>
      <t>1</t>
    </r>
    <r>
      <rPr>
        <sz val="10"/>
        <rFont val="ＭＳ 明朝"/>
        <family val="1"/>
        <charset val="128"/>
      </rPr>
      <t>l</t>
    </r>
    <r>
      <rPr>
        <vertAlign val="subscript"/>
        <sz val="10"/>
        <rFont val="ＭＳ 明朝"/>
        <family val="1"/>
        <charset val="128"/>
      </rPr>
      <t>1</t>
    </r>
    <r>
      <rPr>
        <sz val="10"/>
        <rFont val="ＭＳ 明朝"/>
        <family val="1"/>
        <charset val="128"/>
      </rPr>
      <t>) / β</t>
    </r>
    <r>
      <rPr>
        <vertAlign val="subscript"/>
        <sz val="10"/>
        <rFont val="ＭＳ 明朝"/>
        <family val="1"/>
        <charset val="128"/>
      </rPr>
      <t>2</t>
    </r>
    <phoneticPr fontId="1"/>
  </si>
  <si>
    <t>-</t>
    <phoneticPr fontId="1"/>
  </si>
  <si>
    <t>－</t>
    <phoneticPr fontId="1"/>
  </si>
  <si>
    <t>)</t>
    <phoneticPr fontId="1"/>
  </si>
  <si>
    <t>/</t>
    <phoneticPr fontId="1"/>
  </si>
  <si>
    <r>
      <rPr>
        <sz val="10"/>
        <rFont val="ＭＳ ゴシック"/>
        <family val="3"/>
        <charset val="128"/>
      </rPr>
      <t>表1.1.15</t>
    </r>
    <r>
      <rPr>
        <sz val="10"/>
        <rFont val="ＭＳ 明朝"/>
        <family val="1"/>
        <charset val="128"/>
      </rPr>
      <t>より、β</t>
    </r>
    <r>
      <rPr>
        <vertAlign val="subscript"/>
        <sz val="10"/>
        <rFont val="ＭＳ 明朝"/>
        <family val="1"/>
        <charset val="128"/>
      </rPr>
      <t>1</t>
    </r>
    <r>
      <rPr>
        <sz val="10"/>
        <rFont val="ＭＳ 明朝"/>
        <family val="1"/>
        <charset val="128"/>
      </rPr>
      <t>ｌ</t>
    </r>
    <r>
      <rPr>
        <vertAlign val="subscript"/>
        <sz val="10"/>
        <rFont val="ＭＳ 明朝"/>
        <family val="1"/>
        <charset val="128"/>
      </rPr>
      <t>1</t>
    </r>
    <r>
      <rPr>
        <sz val="10"/>
        <rFont val="ＭＳ 明朝"/>
        <family val="1"/>
        <charset val="128"/>
      </rPr>
      <t>＝0.2748×3.00＝0.8244＜1となるため、1/βの深さは、第1層を</t>
    </r>
    <rPh sb="0" eb="1">
      <t>ヒョウ</t>
    </rPh>
    <rPh sb="45" eb="46">
      <t>フカ</t>
    </rPh>
    <rPh sb="49" eb="50">
      <t>ダイ</t>
    </rPh>
    <rPh sb="51" eb="52">
      <t>ソウ</t>
    </rPh>
    <phoneticPr fontId="1"/>
  </si>
  <si>
    <t>(m)</t>
    <phoneticPr fontId="1"/>
  </si>
  <si>
    <t xml:space="preserve">(m) ＜ </t>
    <phoneticPr fontId="1"/>
  </si>
  <si>
    <t>（第2層の層厚）</t>
    <rPh sb="1" eb="2">
      <t>ダイ</t>
    </rPh>
    <rPh sb="3" eb="4">
      <t>ソウ</t>
    </rPh>
    <rPh sb="5" eb="6">
      <t>ソウ</t>
    </rPh>
    <rPh sb="6" eb="7">
      <t>アツ</t>
    </rPh>
    <phoneticPr fontId="1"/>
  </si>
  <si>
    <t>以上より、杭周面の設計せん断地盤反力係数および周面支持力を考慮しない深さ位置1/βは、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3" eb="24">
      <t>シュウ</t>
    </rPh>
    <rPh sb="24" eb="25">
      <t>メン</t>
    </rPh>
    <rPh sb="25" eb="27">
      <t>シジ</t>
    </rPh>
    <rPh sb="27" eb="28">
      <t>リョク</t>
    </rPh>
    <rPh sb="29" eb="31">
      <t>コウリョ</t>
    </rPh>
    <rPh sb="34" eb="35">
      <t>フカ</t>
    </rPh>
    <rPh sb="36" eb="38">
      <t>イチ</t>
    </rPh>
    <phoneticPr fontId="1"/>
  </si>
  <si>
    <t>1/β</t>
    <phoneticPr fontId="1"/>
  </si>
  <si>
    <r>
      <t>l</t>
    </r>
    <r>
      <rPr>
        <vertAlign val="subscript"/>
        <sz val="10"/>
        <rFont val="ＭＳ 明朝"/>
        <family val="1"/>
        <charset val="128"/>
      </rPr>
      <t>1</t>
    </r>
    <phoneticPr fontId="1"/>
  </si>
  <si>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1"/>
  </si>
  <si>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1"/>
  </si>
  <si>
    <t>層厚
（m）</t>
    <rPh sb="0" eb="2">
      <t>ソウアツ</t>
    </rPh>
    <phoneticPr fontId="1"/>
  </si>
  <si>
    <r>
      <t>ｋ</t>
    </r>
    <r>
      <rPr>
        <vertAlign val="subscript"/>
        <sz val="10"/>
        <rFont val="ＭＳ 明朝"/>
        <family val="1"/>
        <charset val="128"/>
      </rPr>
      <t>fv</t>
    </r>
    <phoneticPr fontId="1"/>
  </si>
  <si>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</si>
  <si>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U
（m）</t>
    <phoneticPr fontId="1"/>
  </si>
  <si>
    <t>※</t>
    <phoneticPr fontId="1"/>
  </si>
  <si>
    <r>
      <t>K</t>
    </r>
    <r>
      <rPr>
        <vertAlign val="subscript"/>
        <sz val="10"/>
        <rFont val="ＭＳ ゴシック"/>
        <family val="3"/>
        <charset val="128"/>
      </rPr>
      <t>fv</t>
    </r>
    <phoneticPr fontId="1"/>
  </si>
  <si>
    <r>
      <t>U・k</t>
    </r>
    <r>
      <rPr>
        <vertAlign val="subscript"/>
        <sz val="10"/>
        <rFont val="ＭＳ ゴシック"/>
        <family val="3"/>
        <charset val="128"/>
      </rPr>
      <t>fv</t>
    </r>
    <phoneticPr fontId="1"/>
  </si>
  <si>
    <t>表1.1.16(2)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1"/>
  </si>
  <si>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1"/>
  </si>
  <si>
    <r>
      <t>地震時は、K</t>
    </r>
    <r>
      <rPr>
        <vertAlign val="subscript"/>
        <sz val="10"/>
        <rFont val="ＭＳ ゴシック"/>
        <family val="3"/>
        <charset val="128"/>
      </rPr>
      <t>fv</t>
    </r>
    <r>
      <rPr>
        <sz val="10"/>
        <rFont val="ＭＳ ゴシック"/>
        <family val="3"/>
        <charset val="128"/>
      </rPr>
      <t>=0</t>
    </r>
    <rPh sb="0" eb="2">
      <t>ジシン</t>
    </rPh>
    <rPh sb="2" eb="3">
      <t>ジ</t>
    </rPh>
    <phoneticPr fontId="1"/>
  </si>
  <si>
    <r>
      <t>K</t>
    </r>
    <r>
      <rPr>
        <vertAlign val="subscript"/>
        <sz val="10"/>
        <rFont val="ＭＳ 明朝"/>
        <family val="1"/>
        <charset val="128"/>
      </rPr>
      <t>h</t>
    </r>
    <phoneticPr fontId="1"/>
  </si>
  <si>
    <r>
      <t>ｋ</t>
    </r>
    <r>
      <rPr>
        <vertAlign val="subscript"/>
        <sz val="10"/>
        <rFont val="ＭＳ 明朝"/>
        <family val="1"/>
        <charset val="128"/>
      </rPr>
      <t>hg</t>
    </r>
    <phoneticPr fontId="1"/>
  </si>
  <si>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1"/>
  </si>
  <si>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1"/>
  </si>
  <si>
    <t>Ｄ
（m）</t>
    <phoneticPr fontId="1"/>
  </si>
  <si>
    <t>(d) 地盤ばね定数の総括</t>
    <rPh sb="4" eb="6">
      <t>ジバン</t>
    </rPh>
    <rPh sb="8" eb="10">
      <t>テイスウ</t>
    </rPh>
    <rPh sb="11" eb="13">
      <t>ソウカツ</t>
    </rPh>
    <phoneticPr fontId="1"/>
  </si>
  <si>
    <t>①杭先端の鉛直地盤ばね定数</t>
    <rPh sb="1" eb="2">
      <t>クイ</t>
    </rPh>
    <rPh sb="2" eb="4">
      <t>センタン</t>
    </rPh>
    <rPh sb="5" eb="7">
      <t>エンチョク</t>
    </rPh>
    <rPh sb="7" eb="9">
      <t>ジバン</t>
    </rPh>
    <rPh sb="11" eb="13">
      <t>テイスウ</t>
    </rPh>
    <phoneticPr fontId="1"/>
  </si>
  <si>
    <t>杭先端の鉛直地盤ばね定数の総括を表 1.1.18に示す。</t>
    <rPh sb="0" eb="1">
      <t>クイ</t>
    </rPh>
    <rPh sb="1" eb="3">
      <t>センタン</t>
    </rPh>
    <rPh sb="4" eb="6">
      <t>エンチョク</t>
    </rPh>
    <rPh sb="6" eb="8">
      <t>ジバン</t>
    </rPh>
    <rPh sb="10" eb="12">
      <t>テイスウ</t>
    </rPh>
    <rPh sb="13" eb="15">
      <t>ソウカツ</t>
    </rPh>
    <rPh sb="16" eb="17">
      <t>ヒョウ</t>
    </rPh>
    <rPh sb="25" eb="26">
      <t>シメ</t>
    </rPh>
    <phoneticPr fontId="1"/>
  </si>
  <si>
    <t>表1.1.17 杭先端の鉛直地盤ばね定数</t>
    <rPh sb="0" eb="1">
      <t>ヒョウ</t>
    </rPh>
    <rPh sb="8" eb="9">
      <t>クイ</t>
    </rPh>
    <rPh sb="9" eb="11">
      <t>センタン</t>
    </rPh>
    <rPh sb="12" eb="14">
      <t>エンチョク</t>
    </rPh>
    <rPh sb="14" eb="16">
      <t>ジバン</t>
    </rPh>
    <rPh sb="18" eb="20">
      <t>テイスウ</t>
    </rPh>
    <phoneticPr fontId="1"/>
  </si>
  <si>
    <r>
      <t>長期
K</t>
    </r>
    <r>
      <rPr>
        <vertAlign val="subscript"/>
        <sz val="10"/>
        <rFont val="ＭＳ 明朝"/>
        <family val="1"/>
        <charset val="128"/>
      </rPr>
      <t>tv</t>
    </r>
    <r>
      <rPr>
        <sz val="10"/>
        <rFont val="ＭＳ 明朝"/>
        <family val="1"/>
        <charset val="128"/>
      </rPr>
      <t>(kN/m)</t>
    </r>
    <rPh sb="0" eb="2">
      <t>チョウキ</t>
    </rPh>
    <phoneticPr fontId="1"/>
  </si>
  <si>
    <r>
      <t>短期
K</t>
    </r>
    <r>
      <rPr>
        <vertAlign val="subscript"/>
        <sz val="10"/>
        <rFont val="ＭＳ 明朝"/>
        <family val="1"/>
        <charset val="128"/>
      </rPr>
      <t>tv</t>
    </r>
    <r>
      <rPr>
        <sz val="10"/>
        <rFont val="ＭＳ 明朝"/>
        <family val="1"/>
        <charset val="128"/>
      </rPr>
      <t>(kN/m)</t>
    </r>
    <rPh sb="0" eb="2">
      <t>タンキ</t>
    </rPh>
    <phoneticPr fontId="1"/>
  </si>
  <si>
    <t>②杭周面の鉛直せん断地盤ばね定数</t>
    <rPh sb="1" eb="2">
      <t>クイ</t>
    </rPh>
    <rPh sb="2" eb="3">
      <t>シュウ</t>
    </rPh>
    <rPh sb="3" eb="4">
      <t>メン</t>
    </rPh>
    <rPh sb="5" eb="7">
      <t>エンチョク</t>
    </rPh>
    <rPh sb="9" eb="10">
      <t>ダン</t>
    </rPh>
    <rPh sb="10" eb="12">
      <t>ジバン</t>
    </rPh>
    <rPh sb="14" eb="16">
      <t>テイスウ</t>
    </rPh>
    <phoneticPr fontId="1"/>
  </si>
  <si>
    <t>設計水平ばね定数及び杭周面の設計せん断ばね定数は、 表 1.1.19 に示すとおりである。</t>
    <rPh sb="0" eb="2">
      <t>セッケイ</t>
    </rPh>
    <rPh sb="2" eb="4">
      <t>スイヘイ</t>
    </rPh>
    <rPh sb="6" eb="8">
      <t>テイスウ</t>
    </rPh>
    <rPh sb="8" eb="9">
      <t>オヨ</t>
    </rPh>
    <rPh sb="10" eb="11">
      <t>クイ</t>
    </rPh>
    <rPh sb="11" eb="12">
      <t>シュウ</t>
    </rPh>
    <rPh sb="12" eb="13">
      <t>メン</t>
    </rPh>
    <rPh sb="14" eb="16">
      <t>セッケイ</t>
    </rPh>
    <rPh sb="18" eb="19">
      <t>ダン</t>
    </rPh>
    <rPh sb="21" eb="23">
      <t>テイスウ</t>
    </rPh>
    <rPh sb="26" eb="27">
      <t>ヒョウ</t>
    </rPh>
    <rPh sb="36" eb="37">
      <t>シメ</t>
    </rPh>
    <phoneticPr fontId="1"/>
  </si>
  <si>
    <t>表1.1.19(1) 杭周面の水平および鉛直地盤ばね定数</t>
    <rPh sb="0" eb="1">
      <t>ヒョウ</t>
    </rPh>
    <rPh sb="11" eb="12">
      <t>クイ</t>
    </rPh>
    <rPh sb="12" eb="13">
      <t>シュウ</t>
    </rPh>
    <rPh sb="13" eb="14">
      <t>メン</t>
    </rPh>
    <rPh sb="15" eb="17">
      <t>スイヘイ</t>
    </rPh>
    <rPh sb="20" eb="22">
      <t>エンチョク</t>
    </rPh>
    <rPh sb="22" eb="24">
      <t>ジバン</t>
    </rPh>
    <rPh sb="26" eb="28">
      <t>テイスウ</t>
    </rPh>
    <phoneticPr fontId="1"/>
  </si>
  <si>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1"/>
  </si>
  <si>
    <t>(a) 基準支持力 【基礎標準 第Ⅱ編 15.2.2.3】</t>
    <rPh sb="4" eb="6">
      <t>キジュン</t>
    </rPh>
    <rPh sb="6" eb="8">
      <t>シジ</t>
    </rPh>
    <rPh sb="8" eb="9">
      <t>リョク</t>
    </rPh>
    <phoneticPr fontId="1"/>
  </si>
  <si>
    <r>
      <t>R</t>
    </r>
    <r>
      <rPr>
        <vertAlign val="subscript"/>
        <sz val="10"/>
        <rFont val="ＭＳ 明朝"/>
        <family val="1"/>
        <charset val="128"/>
      </rPr>
      <t>k</t>
    </r>
    <phoneticPr fontId="1"/>
  </si>
  <si>
    <r>
      <t>R</t>
    </r>
    <r>
      <rPr>
        <vertAlign val="subscript"/>
        <sz val="10"/>
        <rFont val="ＭＳ 明朝"/>
        <family val="1"/>
        <charset val="128"/>
      </rPr>
      <t>tk</t>
    </r>
    <phoneticPr fontId="1"/>
  </si>
  <si>
    <r>
      <t>ΣR</t>
    </r>
    <r>
      <rPr>
        <vertAlign val="subscript"/>
        <sz val="10"/>
        <rFont val="ＭＳ 明朝"/>
        <family val="1"/>
        <charset val="128"/>
      </rPr>
      <t>fk</t>
    </r>
    <phoneticPr fontId="1"/>
  </si>
  <si>
    <r>
      <t>R</t>
    </r>
    <r>
      <rPr>
        <vertAlign val="subscript"/>
        <sz val="10"/>
        <rFont val="ＭＳ 明朝"/>
        <family val="1"/>
        <charset val="128"/>
      </rPr>
      <t>fk</t>
    </r>
    <phoneticPr fontId="1"/>
  </si>
  <si>
    <t>押込み側の基準支持力（kN）</t>
    <rPh sb="0" eb="2">
      <t>オシコ</t>
    </rPh>
    <rPh sb="3" eb="4">
      <t>ガワ</t>
    </rPh>
    <rPh sb="5" eb="7">
      <t>キジュン</t>
    </rPh>
    <rPh sb="7" eb="9">
      <t>シジ</t>
    </rPh>
    <rPh sb="9" eb="10">
      <t>リョク</t>
    </rPh>
    <phoneticPr fontId="1"/>
  </si>
  <si>
    <t>基準先端支持力（kN）（押込み側のみ）</t>
    <rPh sb="0" eb="2">
      <t>キジュン</t>
    </rPh>
    <rPh sb="2" eb="4">
      <t>センタン</t>
    </rPh>
    <rPh sb="4" eb="6">
      <t>シジ</t>
    </rPh>
    <rPh sb="6" eb="7">
      <t>リョク</t>
    </rPh>
    <rPh sb="12" eb="14">
      <t>オシコ</t>
    </rPh>
    <rPh sb="15" eb="16">
      <t>ガワ</t>
    </rPh>
    <phoneticPr fontId="1"/>
  </si>
  <si>
    <t>各層での基準周面支持力（kN）</t>
    <rPh sb="0" eb="2">
      <t>カクソウ</t>
    </rPh>
    <rPh sb="4" eb="6">
      <t>キジュン</t>
    </rPh>
    <rPh sb="6" eb="7">
      <t>シュウ</t>
    </rPh>
    <rPh sb="7" eb="8">
      <t>メン</t>
    </rPh>
    <rPh sb="8" eb="10">
      <t>シジ</t>
    </rPh>
    <rPh sb="10" eb="11">
      <t>リョク</t>
    </rPh>
    <phoneticPr fontId="1"/>
  </si>
  <si>
    <t>①基準先端支持力 【基礎標準 第Ⅱ編 15.2.2.3】</t>
    <rPh sb="1" eb="3">
      <t>キジュン</t>
    </rPh>
    <rPh sb="3" eb="5">
      <t>センタン</t>
    </rPh>
    <rPh sb="5" eb="7">
      <t>シジ</t>
    </rPh>
    <rPh sb="7" eb="8">
      <t>リョク</t>
    </rPh>
    <phoneticPr fontId="1"/>
  </si>
  <si>
    <t>基準先端支持力は、次式により求める。</t>
    <rPh sb="0" eb="2">
      <t>キジュン</t>
    </rPh>
    <rPh sb="2" eb="4">
      <t>センタン</t>
    </rPh>
    <rPh sb="4" eb="6">
      <t>シジ</t>
    </rPh>
    <rPh sb="6" eb="7">
      <t>リョク</t>
    </rPh>
    <rPh sb="9" eb="11">
      <t>ジシキ</t>
    </rPh>
    <rPh sb="14" eb="15">
      <t>モト</t>
    </rPh>
    <phoneticPr fontId="1"/>
  </si>
  <si>
    <r>
      <t>q</t>
    </r>
    <r>
      <rPr>
        <vertAlign val="subscript"/>
        <sz val="10"/>
        <rFont val="ＭＳ 明朝"/>
        <family val="1"/>
        <charset val="128"/>
      </rPr>
      <t>tk</t>
    </r>
    <phoneticPr fontId="1"/>
  </si>
  <si>
    <r>
      <t>A</t>
    </r>
    <r>
      <rPr>
        <vertAlign val="subscript"/>
        <sz val="10"/>
        <rFont val="ＭＳ 明朝"/>
        <family val="1"/>
        <charset val="128"/>
      </rPr>
      <t>t</t>
    </r>
    <phoneticPr fontId="1"/>
  </si>
  <si>
    <t>基準先端支持力（kN）</t>
    <rPh sb="0" eb="2">
      <t>キジュン</t>
    </rPh>
    <rPh sb="2" eb="4">
      <t>センタン</t>
    </rPh>
    <rPh sb="4" eb="6">
      <t>シジ</t>
    </rPh>
    <rPh sb="6" eb="7">
      <t>リョク</t>
    </rPh>
    <phoneticPr fontId="1"/>
  </si>
  <si>
    <t>砂質土の場合</t>
    <rPh sb="0" eb="1">
      <t>サ</t>
    </rPh>
    <rPh sb="1" eb="2">
      <t>シツ</t>
    </rPh>
    <rPh sb="2" eb="3">
      <t>ド</t>
    </rPh>
    <rPh sb="4" eb="6">
      <t>バアイ</t>
    </rPh>
    <phoneticPr fontId="1"/>
  </si>
  <si>
    <t>砂礫の場合</t>
    <rPh sb="0" eb="2">
      <t>サレキ</t>
    </rPh>
    <rPh sb="3" eb="5">
      <t>バアイ</t>
    </rPh>
    <phoneticPr fontId="1"/>
  </si>
  <si>
    <t>N</t>
    <phoneticPr fontId="1"/>
  </si>
  <si>
    <t>60N</t>
    <phoneticPr fontId="1"/>
  </si>
  <si>
    <t>≦</t>
    <phoneticPr fontId="1"/>
  </si>
  <si>
    <r>
      <t>(kN/m</t>
    </r>
    <r>
      <rPr>
        <vertAlign val="superscript"/>
        <sz val="10"/>
        <rFont val="ＭＳ 明朝"/>
        <family val="1"/>
        <charset val="128"/>
      </rPr>
      <t>2</t>
    </r>
    <r>
      <rPr>
        <sz val="10"/>
        <rFont val="ＭＳ 明朝"/>
        <family val="1"/>
        <charset val="128"/>
      </rPr>
      <t>)</t>
    </r>
    <phoneticPr fontId="1"/>
  </si>
  <si>
    <t>杭先端から下方3Dの区間の最小N値</t>
    <rPh sb="0" eb="1">
      <t>クイ</t>
    </rPh>
    <rPh sb="1" eb="3">
      <t>センタン</t>
    </rPh>
    <rPh sb="5" eb="7">
      <t>カホウ</t>
    </rPh>
    <rPh sb="10" eb="12">
      <t>クカン</t>
    </rPh>
    <rPh sb="13" eb="15">
      <t>サイショウ</t>
    </rPh>
    <rPh sb="16" eb="17">
      <t>チ</t>
    </rPh>
    <phoneticPr fontId="1"/>
  </si>
  <si>
    <t>・ N×</t>
    <phoneticPr fontId="1"/>
  </si>
  <si>
    <t>π</t>
    <phoneticPr fontId="1"/>
  </si>
  <si>
    <r>
      <t>Ｄ</t>
    </r>
    <r>
      <rPr>
        <vertAlign val="superscript"/>
        <sz val="10"/>
        <rFont val="ＭＳ 明朝"/>
        <family val="1"/>
        <charset val="128"/>
      </rPr>
      <t>2</t>
    </r>
    <phoneticPr fontId="1"/>
  </si>
  <si>
    <r>
      <t xml:space="preserve"> </t>
    </r>
    <r>
      <rPr>
        <vertAlign val="superscript"/>
        <sz val="10"/>
        <rFont val="ＭＳ 明朝"/>
        <family val="1"/>
        <charset val="128"/>
      </rPr>
      <t>2</t>
    </r>
    <phoneticPr fontId="1"/>
  </si>
  <si>
    <r>
      <t>(m</t>
    </r>
    <r>
      <rPr>
        <vertAlign val="superscript"/>
        <sz val="10"/>
        <rFont val="ＭＳ 明朝"/>
        <family val="1"/>
        <charset val="128"/>
      </rPr>
      <t>2</t>
    </r>
    <r>
      <rPr>
        <sz val="10"/>
        <rFont val="ＭＳ 明朝"/>
        <family val="1"/>
        <charset val="128"/>
      </rPr>
      <t>)</t>
    </r>
    <phoneticPr fontId="1"/>
  </si>
  <si>
    <r>
      <t>(kN</t>
    </r>
    <r>
      <rPr>
        <sz val="10"/>
        <rFont val="ＭＳ 明朝"/>
        <family val="1"/>
        <charset val="128"/>
      </rPr>
      <t>)</t>
    </r>
    <phoneticPr fontId="1"/>
  </si>
  <si>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1"/>
  </si>
  <si>
    <t>②各層での基準周面支持力 【基礎標準 第Ⅱ編 15.2.2.3】</t>
    <rPh sb="1" eb="3">
      <t>カクソウ</t>
    </rPh>
    <rPh sb="5" eb="7">
      <t>キジュン</t>
    </rPh>
    <rPh sb="7" eb="8">
      <t>シュウ</t>
    </rPh>
    <rPh sb="8" eb="9">
      <t>メン</t>
    </rPh>
    <rPh sb="9" eb="11">
      <t>シジ</t>
    </rPh>
    <rPh sb="11" eb="12">
      <t>リョク</t>
    </rPh>
    <phoneticPr fontId="1"/>
  </si>
  <si>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1"/>
  </si>
  <si>
    <r>
      <t>r</t>
    </r>
    <r>
      <rPr>
        <vertAlign val="subscript"/>
        <sz val="10"/>
        <rFont val="ＭＳ 明朝"/>
        <family val="1"/>
        <charset val="128"/>
      </rPr>
      <t>fk</t>
    </r>
    <phoneticPr fontId="1"/>
  </si>
  <si>
    <t>Ｕ</t>
    <phoneticPr fontId="1"/>
  </si>
  <si>
    <t>⊿l</t>
    <phoneticPr fontId="1"/>
  </si>
  <si>
    <t>杭の周長</t>
    <rPh sb="0" eb="1">
      <t>クイ</t>
    </rPh>
    <rPh sb="2" eb="3">
      <t>シュウ</t>
    </rPh>
    <rPh sb="3" eb="4">
      <t>チョウ</t>
    </rPh>
    <phoneticPr fontId="1"/>
  </si>
  <si>
    <t>砂質土または砂礫の場合</t>
    <rPh sb="0" eb="1">
      <t>サ</t>
    </rPh>
    <rPh sb="1" eb="2">
      <t>シツ</t>
    </rPh>
    <rPh sb="2" eb="3">
      <t>ド</t>
    </rPh>
    <rPh sb="6" eb="8">
      <t>サレキ</t>
    </rPh>
    <rPh sb="9" eb="11">
      <t>バアイ</t>
    </rPh>
    <phoneticPr fontId="1"/>
  </si>
  <si>
    <t>3・N</t>
    <phoneticPr fontId="1"/>
  </si>
  <si>
    <t>粘性土の場合</t>
    <rPh sb="0" eb="2">
      <t>ネンセイ</t>
    </rPh>
    <rPh sb="2" eb="3">
      <t>ド</t>
    </rPh>
    <rPh sb="4" eb="6">
      <t>バアイ</t>
    </rPh>
    <phoneticPr fontId="1"/>
  </si>
  <si>
    <t>0.4c</t>
    <phoneticPr fontId="1"/>
  </si>
  <si>
    <t>または</t>
    <phoneticPr fontId="1"/>
  </si>
  <si>
    <t>6・N</t>
    <phoneticPr fontId="1"/>
  </si>
  <si>
    <t>標準貫入試験のN値</t>
    <rPh sb="0" eb="2">
      <t>ヒョウジュン</t>
    </rPh>
    <rPh sb="2" eb="3">
      <t>カン</t>
    </rPh>
    <rPh sb="3" eb="4">
      <t>ニュウ</t>
    </rPh>
    <rPh sb="4" eb="6">
      <t>シケン</t>
    </rPh>
    <rPh sb="8" eb="9">
      <t>チ</t>
    </rPh>
    <phoneticPr fontId="1"/>
  </si>
  <si>
    <t>c</t>
    <phoneticPr fontId="1"/>
  </si>
  <si>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1"/>
  </si>
  <si>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1"/>
  </si>
  <si>
    <t>表1.1.18(1) 各層での基準周面支持力（地震時以外）</t>
    <rPh sb="0" eb="1">
      <t>ヒョウ</t>
    </rPh>
    <rPh sb="11" eb="13">
      <t>カクソウ</t>
    </rPh>
    <rPh sb="15" eb="17">
      <t>キジュン</t>
    </rPh>
    <rPh sb="17" eb="18">
      <t>シュウ</t>
    </rPh>
    <rPh sb="18" eb="19">
      <t>メン</t>
    </rPh>
    <rPh sb="19" eb="21">
      <t>シジ</t>
    </rPh>
    <rPh sb="21" eb="22">
      <t>リョク</t>
    </rPh>
    <rPh sb="23" eb="25">
      <t>ジシン</t>
    </rPh>
    <rPh sb="25" eb="26">
      <t>ジ</t>
    </rPh>
    <rPh sb="26" eb="28">
      <t>イガイ</t>
    </rPh>
    <phoneticPr fontId="1"/>
  </si>
  <si>
    <t>土質</t>
    <rPh sb="0" eb="2">
      <t>ドシツ</t>
    </rPh>
    <phoneticPr fontId="1"/>
  </si>
  <si>
    <t>粘性土</t>
    <rPh sb="0" eb="2">
      <t>ネンセイ</t>
    </rPh>
    <rPh sb="2" eb="3">
      <t>ド</t>
    </rPh>
    <phoneticPr fontId="1"/>
  </si>
  <si>
    <t>砂質土</t>
    <rPh sb="0" eb="1">
      <t>サ</t>
    </rPh>
    <rPh sb="1" eb="2">
      <t>シツ</t>
    </rPh>
    <rPh sb="2" eb="3">
      <t>ド</t>
    </rPh>
    <phoneticPr fontId="1"/>
  </si>
  <si>
    <t>N値
（回）</t>
    <rPh sb="1" eb="2">
      <t>チ</t>
    </rPh>
    <rPh sb="4" eb="5">
      <t>カイ</t>
    </rPh>
    <phoneticPr fontId="1"/>
  </si>
  <si>
    <t>Ｕ
（m）</t>
    <phoneticPr fontId="1"/>
  </si>
  <si>
    <r>
      <t>r</t>
    </r>
    <r>
      <rPr>
        <vertAlign val="subscript"/>
        <sz val="10"/>
        <rFont val="ＭＳ 明朝"/>
        <family val="1"/>
        <charset val="128"/>
      </rPr>
      <t xml:space="preserve">fk
</t>
    </r>
    <r>
      <rPr>
        <sz val="10"/>
        <rFont val="ＭＳ 明朝"/>
        <family val="1"/>
        <charset val="128"/>
      </rPr>
      <t>（kN）</t>
    </r>
    <phoneticPr fontId="1"/>
  </si>
  <si>
    <r>
      <t>R</t>
    </r>
    <r>
      <rPr>
        <vertAlign val="subscript"/>
        <sz val="10"/>
        <rFont val="ＭＳ 明朝"/>
        <family val="1"/>
        <charset val="128"/>
      </rPr>
      <t>fk</t>
    </r>
    <r>
      <rPr>
        <sz val="10"/>
        <rFont val="ＭＳ 明朝"/>
        <family val="1"/>
        <charset val="128"/>
      </rPr>
      <t xml:space="preserve">
（kN）</t>
    </r>
    <phoneticPr fontId="1"/>
  </si>
  <si>
    <t>表1.1.19(1) 各層での基準周面支持力（地震時）</t>
    <rPh sb="0" eb="1">
      <t>ヒョウ</t>
    </rPh>
    <rPh sb="11" eb="13">
      <t>カクソウ</t>
    </rPh>
    <rPh sb="15" eb="17">
      <t>キジュン</t>
    </rPh>
    <rPh sb="17" eb="18">
      <t>シュウ</t>
    </rPh>
    <rPh sb="18" eb="19">
      <t>メン</t>
    </rPh>
    <rPh sb="19" eb="21">
      <t>シジ</t>
    </rPh>
    <rPh sb="21" eb="22">
      <t>リョク</t>
    </rPh>
    <rPh sb="23" eb="25">
      <t>ジシン</t>
    </rPh>
    <rPh sb="25" eb="26">
      <t>ジ</t>
    </rPh>
    <phoneticPr fontId="1"/>
  </si>
  <si>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1"/>
  </si>
  <si>
    <t>①設計鉛直支持力</t>
    <rPh sb="1" eb="3">
      <t>セッケイ</t>
    </rPh>
    <rPh sb="3" eb="5">
      <t>エンチョク</t>
    </rPh>
    <rPh sb="5" eb="7">
      <t>シジ</t>
    </rPh>
    <rPh sb="7" eb="8">
      <t>リョク</t>
    </rPh>
    <phoneticPr fontId="1"/>
  </si>
  <si>
    <r>
      <t>R</t>
    </r>
    <r>
      <rPr>
        <vertAlign val="subscript"/>
        <sz val="10"/>
        <rFont val="ＭＳ 明朝"/>
        <family val="1"/>
        <charset val="128"/>
      </rPr>
      <t>vd</t>
    </r>
    <phoneticPr fontId="1"/>
  </si>
  <si>
    <r>
      <t>f</t>
    </r>
    <r>
      <rPr>
        <vertAlign val="subscript"/>
        <sz val="10"/>
        <rFont val="ＭＳ 明朝"/>
        <family val="1"/>
        <charset val="128"/>
      </rPr>
      <t>r</t>
    </r>
    <phoneticPr fontId="1"/>
  </si>
  <si>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1"/>
  </si>
  <si>
    <t>設計鉛直支持力（kN）</t>
    <rPh sb="0" eb="2">
      <t>セッケイ</t>
    </rPh>
    <rPh sb="2" eb="4">
      <t>エンチョク</t>
    </rPh>
    <rPh sb="4" eb="6">
      <t>シジ</t>
    </rPh>
    <rPh sb="6" eb="7">
      <t>リョク</t>
    </rPh>
    <phoneticPr fontId="1"/>
  </si>
  <si>
    <t>基準支持力（kN）</t>
    <rPh sb="0" eb="2">
      <t>キジュン</t>
    </rPh>
    <rPh sb="2" eb="4">
      <t>シジ</t>
    </rPh>
    <rPh sb="4" eb="5">
      <t>リョク</t>
    </rPh>
    <phoneticPr fontId="1"/>
  </si>
  <si>
    <t>基準周面支持力（kN）</t>
    <rPh sb="0" eb="2">
      <t>キジュン</t>
    </rPh>
    <rPh sb="2" eb="3">
      <t>シュウ</t>
    </rPh>
    <rPh sb="3" eb="4">
      <t>メン</t>
    </rPh>
    <rPh sb="4" eb="6">
      <t>シジ</t>
    </rPh>
    <rPh sb="6" eb="7">
      <t>リョク</t>
    </rPh>
    <phoneticPr fontId="1"/>
  </si>
  <si>
    <t>解説図 15.3.4.2-1(残留鉛直変位)より算定する。</t>
    <phoneticPr fontId="1"/>
  </si>
  <si>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1"/>
  </si>
  <si>
    <t>支持力Rvdは、次式により算出する。</t>
    <rPh sb="8" eb="10">
      <t>ジシキ</t>
    </rPh>
    <rPh sb="13" eb="15">
      <t>サンシュツ</t>
    </rPh>
    <phoneticPr fontId="1"/>
  </si>
  <si>
    <t>(支持【基礎標準 第Ⅱ編15.3.2.2】性能)、【基礎標準 第Ⅱ編 15.3.4.2】</t>
    <rPh sb="21" eb="23">
      <t>セイノウ</t>
    </rPh>
    <rPh sb="26" eb="28">
      <t>キソ</t>
    </rPh>
    <rPh sb="28" eb="30">
      <t>ヒョウジュン</t>
    </rPh>
    <rPh sb="31" eb="32">
      <t>ダイ</t>
    </rPh>
    <rPh sb="33" eb="34">
      <t>ヘン</t>
    </rPh>
    <phoneticPr fontId="1"/>
  </si>
  <si>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1"/>
  </si>
  <si>
    <t>(安定)、【基礎標準 第Ⅱ編15.3.3.2】解説図 15.3.3.2-1</t>
    <rPh sb="6" eb="8">
      <t>キソ</t>
    </rPh>
    <rPh sb="8" eb="10">
      <t>ヒョウジュン</t>
    </rPh>
    <rPh sb="11" eb="12">
      <t>ダイ</t>
    </rPh>
    <rPh sb="13" eb="14">
      <t>ヘン</t>
    </rPh>
    <rPh sb="23" eb="25">
      <t>カイセツ</t>
    </rPh>
    <rPh sb="25" eb="26">
      <t>ズ</t>
    </rPh>
    <phoneticPr fontId="1"/>
  </si>
  <si>
    <t>要求性能</t>
    <rPh sb="0" eb="2">
      <t>ヨウキュウ</t>
    </rPh>
    <rPh sb="2" eb="4">
      <t>セイノウ</t>
    </rPh>
    <phoneticPr fontId="1"/>
  </si>
  <si>
    <t>安定（地震時以外）</t>
    <rPh sb="0" eb="2">
      <t>アンテイ</t>
    </rPh>
    <rPh sb="3" eb="5">
      <t>ジシン</t>
    </rPh>
    <rPh sb="5" eb="6">
      <t>ジ</t>
    </rPh>
    <rPh sb="6" eb="8">
      <t>イガイ</t>
    </rPh>
    <phoneticPr fontId="1"/>
  </si>
  <si>
    <t>性能項目</t>
    <rPh sb="0" eb="2">
      <t>セイノウ</t>
    </rPh>
    <rPh sb="2" eb="4">
      <t>コウモク</t>
    </rPh>
    <phoneticPr fontId="1"/>
  </si>
  <si>
    <r>
      <t>R</t>
    </r>
    <r>
      <rPr>
        <vertAlign val="subscript"/>
        <sz val="10"/>
        <rFont val="ＭＳ 明朝"/>
        <family val="1"/>
        <charset val="128"/>
      </rPr>
      <t>tk</t>
    </r>
    <r>
      <rPr>
        <sz val="10"/>
        <rFont val="ＭＳ 明朝"/>
        <family val="1"/>
        <charset val="128"/>
      </rPr>
      <t xml:space="preserve">
(kN)</t>
    </r>
    <phoneticPr fontId="1"/>
  </si>
  <si>
    <t>fr</t>
    <phoneticPr fontId="1"/>
  </si>
  <si>
    <r>
      <t>R</t>
    </r>
    <r>
      <rPr>
        <vertAlign val="subscript"/>
        <sz val="10"/>
        <rFont val="ＭＳ 明朝"/>
        <family val="1"/>
        <charset val="128"/>
      </rPr>
      <t>vd</t>
    </r>
    <r>
      <rPr>
        <sz val="10"/>
        <rFont val="ＭＳ 明朝"/>
        <family val="1"/>
        <charset val="128"/>
      </rPr>
      <t xml:space="preserve">
(kN)</t>
    </r>
    <phoneticPr fontId="1"/>
  </si>
  <si>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1"/>
  </si>
  <si>
    <r>
      <t>ΣR</t>
    </r>
    <r>
      <rPr>
        <vertAlign val="subscript"/>
        <sz val="10"/>
        <rFont val="ＭＳ 明朝"/>
        <family val="1"/>
        <charset val="128"/>
      </rPr>
      <t>fk</t>
    </r>
    <r>
      <rPr>
        <sz val="10"/>
        <rFont val="ＭＳ 明朝"/>
        <family val="1"/>
        <charset val="128"/>
      </rPr>
      <t xml:space="preserve">
(kN)</t>
    </r>
    <phoneticPr fontId="1"/>
  </si>
  <si>
    <r>
      <t>R</t>
    </r>
    <r>
      <rPr>
        <vertAlign val="subscript"/>
        <sz val="10"/>
        <rFont val="ＭＳ 明朝"/>
        <family val="1"/>
        <charset val="128"/>
      </rPr>
      <t>k</t>
    </r>
    <r>
      <rPr>
        <sz val="10"/>
        <rFont val="ＭＳ 明朝"/>
        <family val="1"/>
        <charset val="128"/>
      </rPr>
      <t xml:space="preserve">
(kN)</t>
    </r>
    <phoneticPr fontId="1"/>
  </si>
  <si>
    <t>長期支持性能</t>
    <rPh sb="0" eb="2">
      <t>チョウキ</t>
    </rPh>
    <rPh sb="2" eb="4">
      <t>シジ</t>
    </rPh>
    <rPh sb="4" eb="6">
      <t>セイノウ</t>
    </rPh>
    <phoneticPr fontId="1"/>
  </si>
  <si>
    <t>短期支持性能</t>
    <rPh sb="0" eb="2">
      <t>タンキ</t>
    </rPh>
    <rPh sb="2" eb="4">
      <t>シジ</t>
    </rPh>
    <rPh sb="4" eb="6">
      <t>セイノウ</t>
    </rPh>
    <phoneticPr fontId="1"/>
  </si>
  <si>
    <t>使用性</t>
    <rPh sb="0" eb="2">
      <t>シヨウ</t>
    </rPh>
    <rPh sb="2" eb="3">
      <t>セイ</t>
    </rPh>
    <phoneticPr fontId="1"/>
  </si>
  <si>
    <t>安全性</t>
    <rPh sb="0" eb="3">
      <t>アンゼンセイ</t>
    </rPh>
    <phoneticPr fontId="1"/>
  </si>
  <si>
    <t>復旧性</t>
    <rPh sb="0" eb="2">
      <t>フッキュウ</t>
    </rPh>
    <rPh sb="2" eb="3">
      <t>セイ</t>
    </rPh>
    <phoneticPr fontId="1"/>
  </si>
  <si>
    <t>残留鉛直変位
（性能レベル１）</t>
    <rPh sb="0" eb="2">
      <t>ザンリュウ</t>
    </rPh>
    <rPh sb="2" eb="4">
      <t>エンチョク</t>
    </rPh>
    <rPh sb="4" eb="6">
      <t>ヘンイ</t>
    </rPh>
    <rPh sb="8" eb="10">
      <t>セイノウ</t>
    </rPh>
    <phoneticPr fontId="1"/>
  </si>
  <si>
    <t>残留鉛直変位
（性能レベル２）</t>
    <rPh sb="0" eb="2">
      <t>ザンリュウ</t>
    </rPh>
    <rPh sb="2" eb="4">
      <t>エンチョク</t>
    </rPh>
    <rPh sb="4" eb="6">
      <t>ヘンイ</t>
    </rPh>
    <rPh sb="8" eb="10">
      <t>セイノウ</t>
    </rPh>
    <phoneticPr fontId="1"/>
  </si>
  <si>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1"/>
  </si>
  <si>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1"/>
  </si>
  <si>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1"/>
  </si>
  <si>
    <r>
      <t>f</t>
    </r>
    <r>
      <rPr>
        <vertAlign val="subscript"/>
        <sz val="10"/>
        <rFont val="ＭＳ 明朝"/>
        <family val="1"/>
        <charset val="128"/>
      </rPr>
      <t>rt</t>
    </r>
    <phoneticPr fontId="1"/>
  </si>
  <si>
    <r>
      <t>f</t>
    </r>
    <r>
      <rPr>
        <vertAlign val="subscript"/>
        <sz val="10"/>
        <rFont val="ＭＳ 明朝"/>
        <family val="1"/>
        <charset val="128"/>
      </rPr>
      <t>rf</t>
    </r>
    <phoneticPr fontId="1"/>
  </si>
  <si>
    <t>杭先端の地盤抵抗係数</t>
    <rPh sb="0" eb="1">
      <t>クイ</t>
    </rPh>
    <rPh sb="1" eb="3">
      <t>センタン</t>
    </rPh>
    <rPh sb="4" eb="6">
      <t>ジバン</t>
    </rPh>
    <rPh sb="6" eb="8">
      <t>テイコウ</t>
    </rPh>
    <rPh sb="8" eb="10">
      <t>ケイスウ</t>
    </rPh>
    <phoneticPr fontId="1"/>
  </si>
  <si>
    <t>杭周面の地盤抵抗係数</t>
    <rPh sb="0" eb="1">
      <t>クイ</t>
    </rPh>
    <rPh sb="1" eb="2">
      <t>シュウ</t>
    </rPh>
    <rPh sb="2" eb="3">
      <t>メン</t>
    </rPh>
    <rPh sb="4" eb="6">
      <t>ジバン</t>
    </rPh>
    <rPh sb="6" eb="8">
      <t>テイコウ</t>
    </rPh>
    <rPh sb="8" eb="10">
      <t>ケイスウ</t>
    </rPh>
    <phoneticPr fontId="1"/>
  </si>
  <si>
    <t>kN</t>
    <phoneticPr fontId="1"/>
  </si>
  <si>
    <t>②設計引抜き抵抗力</t>
    <rPh sb="1" eb="3">
      <t>セッケイ</t>
    </rPh>
    <rPh sb="3" eb="5">
      <t>ヒキヌ</t>
    </rPh>
    <rPh sb="6" eb="9">
      <t>テイコウリョク</t>
    </rPh>
    <phoneticPr fontId="1"/>
  </si>
  <si>
    <t>引抜き抵抗力は、次式により算出する。</t>
    <rPh sb="3" eb="6">
      <t>テイコウリョク</t>
    </rPh>
    <rPh sb="8" eb="10">
      <t>ジシキ</t>
    </rPh>
    <rPh sb="13" eb="15">
      <t>サンシュツ</t>
    </rPh>
    <phoneticPr fontId="1"/>
  </si>
  <si>
    <r>
      <t>R</t>
    </r>
    <r>
      <rPr>
        <vertAlign val="subscript"/>
        <sz val="10"/>
        <rFont val="ＭＳ 明朝"/>
        <family val="1"/>
        <charset val="128"/>
      </rPr>
      <t>ud</t>
    </r>
    <phoneticPr fontId="1"/>
  </si>
  <si>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1"/>
  </si>
  <si>
    <r>
      <t>W</t>
    </r>
    <r>
      <rPr>
        <vertAlign val="subscript"/>
        <sz val="10"/>
        <rFont val="ＭＳ 明朝"/>
        <family val="1"/>
        <charset val="128"/>
      </rPr>
      <t>p</t>
    </r>
    <phoneticPr fontId="1"/>
  </si>
  <si>
    <t>設計引抜き抵抗力（kN）</t>
    <rPh sb="0" eb="2">
      <t>セッケイ</t>
    </rPh>
    <rPh sb="2" eb="4">
      <t>ヒキヌ</t>
    </rPh>
    <rPh sb="5" eb="7">
      <t>テイコウ</t>
    </rPh>
    <rPh sb="7" eb="8">
      <t>リョク</t>
    </rPh>
    <phoneticPr fontId="1"/>
  </si>
  <si>
    <t>地盤抵抗係数</t>
    <rPh sb="0" eb="2">
      <t>ジバン</t>
    </rPh>
    <rPh sb="2" eb="4">
      <t>テイコウ</t>
    </rPh>
    <rPh sb="4" eb="6">
      <t>ケイスウ</t>
    </rPh>
    <phoneticPr fontId="1"/>
  </si>
  <si>
    <t>杭の有効自重（kN）</t>
    <rPh sb="0" eb="1">
      <t>クイ</t>
    </rPh>
    <rPh sb="2" eb="4">
      <t>ユウコウ</t>
    </rPh>
    <rPh sb="4" eb="6">
      <t>ジジュウ</t>
    </rPh>
    <phoneticPr fontId="1"/>
  </si>
  <si>
    <t>　長期支持性能の照査に用いる設計引抜き抵抗力は、次式により算定する。</t>
    <rPh sb="1" eb="3">
      <t>チョウキ</t>
    </rPh>
    <rPh sb="3" eb="5">
      <t>シジ</t>
    </rPh>
    <rPh sb="5" eb="7">
      <t>セイノウ</t>
    </rPh>
    <rPh sb="8" eb="10">
      <t>ショウサ</t>
    </rPh>
    <rPh sb="11" eb="12">
      <t>モチ</t>
    </rPh>
    <rPh sb="14" eb="16">
      <t>セッケイ</t>
    </rPh>
    <rPh sb="16" eb="18">
      <t>ヒキヌ</t>
    </rPh>
    <rPh sb="19" eb="21">
      <t>テイコウ</t>
    </rPh>
    <rPh sb="21" eb="22">
      <t>リョク</t>
    </rPh>
    <rPh sb="24" eb="26">
      <t>ジシキ</t>
    </rPh>
    <rPh sb="29" eb="31">
      <t>サンテイ</t>
    </rPh>
    <phoneticPr fontId="1"/>
  </si>
  <si>
    <r>
      <t>W</t>
    </r>
    <r>
      <rPr>
        <vertAlign val="subscript"/>
        <sz val="10"/>
        <rFont val="ＭＳ 明朝"/>
        <family val="1"/>
        <charset val="128"/>
      </rPr>
      <t>P</t>
    </r>
    <r>
      <rPr>
        <sz val="10"/>
        <rFont val="ＭＳ 明朝"/>
        <family val="1"/>
        <charset val="128"/>
      </rPr>
      <t xml:space="preserve">
(kN)</t>
    </r>
    <phoneticPr fontId="1"/>
  </si>
  <si>
    <t>　地震時以外の基礎の安定と短期支持性能、および残留鉛直変位(性能レベル1)に用いる設計</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rPh sb="41" eb="43">
      <t>セッケイ</t>
    </rPh>
    <phoneticPr fontId="1"/>
  </si>
  <si>
    <t>(c) 有効抵抗土圧力の計算 【基礎標準 第Ⅱ編 15.2.2.4】</t>
    <rPh sb="4" eb="6">
      <t>ユウコウ</t>
    </rPh>
    <rPh sb="6" eb="8">
      <t>テイコウ</t>
    </rPh>
    <rPh sb="8" eb="9">
      <t>ド</t>
    </rPh>
    <rPh sb="9" eb="10">
      <t>アツ</t>
    </rPh>
    <rPh sb="10" eb="11">
      <t>リョク</t>
    </rPh>
    <rPh sb="12" eb="14">
      <t>ケイサン</t>
    </rPh>
    <phoneticPr fontId="1"/>
  </si>
  <si>
    <r>
      <t>η</t>
    </r>
    <r>
      <rPr>
        <vertAlign val="subscript"/>
        <sz val="10"/>
        <rFont val="ＭＳ 明朝"/>
        <family val="1"/>
        <charset val="128"/>
      </rPr>
      <t>m</t>
    </r>
    <phoneticPr fontId="1"/>
  </si>
  <si>
    <t>・</t>
    <phoneticPr fontId="1"/>
  </si>
  <si>
    <r>
      <t>η</t>
    </r>
    <r>
      <rPr>
        <vertAlign val="subscript"/>
        <sz val="10"/>
        <rFont val="ＭＳ 明朝"/>
        <family val="1"/>
        <charset val="128"/>
      </rPr>
      <t>n</t>
    </r>
    <phoneticPr fontId="1"/>
  </si>
  <si>
    <r>
      <t>p</t>
    </r>
    <r>
      <rPr>
        <vertAlign val="subscript"/>
        <sz val="10"/>
        <rFont val="ＭＳ 明朝"/>
        <family val="1"/>
        <charset val="128"/>
      </rPr>
      <t>e</t>
    </r>
    <r>
      <rPr>
        <sz val="10"/>
        <rFont val="ＭＳ 明朝"/>
        <family val="1"/>
        <charset val="128"/>
      </rPr>
      <t>(z)</t>
    </r>
    <phoneticPr fontId="1"/>
  </si>
  <si>
    <r>
      <t>p</t>
    </r>
    <r>
      <rPr>
        <vertAlign val="subscript"/>
        <sz val="10"/>
        <rFont val="ＭＳ 明朝"/>
        <family val="1"/>
        <charset val="128"/>
      </rPr>
      <t>eg</t>
    </r>
    <r>
      <rPr>
        <sz val="10"/>
        <rFont val="ＭＳ 明朝"/>
        <family val="1"/>
        <charset val="128"/>
      </rPr>
      <t>(z)</t>
    </r>
    <phoneticPr fontId="1"/>
  </si>
  <si>
    <t>≦</t>
    <phoneticPr fontId="1"/>
  </si>
  <si>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1"/>
  </si>
  <si>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1"/>
  </si>
  <si>
    <t>【基礎標準 第Ⅱ編 15.2.2.4】解説表 15.2.2.4-1に示す値</t>
    <rPh sb="19" eb="21">
      <t>カイセツ</t>
    </rPh>
    <rPh sb="21" eb="22">
      <t>ヒョウ</t>
    </rPh>
    <rPh sb="34" eb="35">
      <t>シメ</t>
    </rPh>
    <rPh sb="36" eb="37">
      <t>アタイ</t>
    </rPh>
    <phoneticPr fontId="1"/>
  </si>
  <si>
    <r>
      <t>各列ともη</t>
    </r>
    <r>
      <rPr>
        <vertAlign val="subscript"/>
        <sz val="10"/>
        <rFont val="ＭＳ 明朝"/>
        <family val="1"/>
        <charset val="128"/>
      </rPr>
      <t>m</t>
    </r>
    <r>
      <rPr>
        <sz val="10"/>
        <rFont val="ＭＳ 明朝"/>
        <family val="1"/>
        <charset val="128"/>
      </rPr>
      <t>＝1.0</t>
    </r>
    <rPh sb="0" eb="2">
      <t>カクレツ</t>
    </rPh>
    <phoneticPr fontId="1"/>
  </si>
  <si>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1"/>
  </si>
  <si>
    <t>【基礎標準 第Ⅱ編 15.2.2.4】解説表 15.2.2.4-3に示す値</t>
    <rPh sb="19" eb="21">
      <t>カイセツ</t>
    </rPh>
    <rPh sb="21" eb="22">
      <t>ヒョウ</t>
    </rPh>
    <rPh sb="34" eb="35">
      <t>シメ</t>
    </rPh>
    <rPh sb="36" eb="37">
      <t>アタイ</t>
    </rPh>
    <phoneticPr fontId="1"/>
  </si>
  <si>
    <r>
      <t>η</t>
    </r>
    <r>
      <rPr>
        <vertAlign val="subscript"/>
        <sz val="10"/>
        <rFont val="ＭＳ 明朝"/>
        <family val="1"/>
        <charset val="128"/>
      </rPr>
      <t>n</t>
    </r>
    <r>
      <rPr>
        <sz val="10"/>
        <rFont val="ＭＳ 明朝"/>
        <family val="1"/>
        <charset val="128"/>
      </rPr>
      <t>＝1.0</t>
    </r>
    <phoneticPr fontId="1"/>
  </si>
  <si>
    <t>9c</t>
    <phoneticPr fontId="1"/>
  </si>
  <si>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1"/>
  </si>
  <si>
    <r>
      <t>(1＋z/2D)(γ</t>
    </r>
    <r>
      <rPr>
        <vertAlign val="subscript"/>
        <sz val="10"/>
        <rFont val="ＭＳ 明朝"/>
        <family val="1"/>
        <charset val="128"/>
      </rPr>
      <t>e</t>
    </r>
    <r>
      <rPr>
        <sz val="10"/>
        <rFont val="ＭＳ 明朝"/>
        <family val="1"/>
        <charset val="128"/>
      </rPr>
      <t>z＋2c)</t>
    </r>
    <phoneticPr fontId="1"/>
  </si>
  <si>
    <t>z</t>
    <phoneticPr fontId="1"/>
  </si>
  <si>
    <t>有効抵抗土圧力度を求める深さ（m）</t>
    <rPh sb="0" eb="2">
      <t>ユウコウ</t>
    </rPh>
    <rPh sb="2" eb="4">
      <t>テイコウ</t>
    </rPh>
    <rPh sb="4" eb="5">
      <t>ド</t>
    </rPh>
    <rPh sb="5" eb="7">
      <t>アツリョク</t>
    </rPh>
    <rPh sb="7" eb="8">
      <t>ド</t>
    </rPh>
    <rPh sb="9" eb="10">
      <t>モト</t>
    </rPh>
    <rPh sb="12" eb="13">
      <t>フカ</t>
    </rPh>
    <phoneticPr fontId="1"/>
  </si>
  <si>
    <r>
      <t>α</t>
    </r>
    <r>
      <rPr>
        <vertAlign val="subscript"/>
        <sz val="10"/>
        <rFont val="ＭＳ 明朝"/>
        <family val="1"/>
        <charset val="128"/>
      </rPr>
      <t>h</t>
    </r>
    <r>
      <rPr>
        <sz val="10"/>
        <rFont val="ＭＳ 明朝"/>
        <family val="1"/>
        <charset val="128"/>
      </rPr>
      <t/>
    </r>
    <phoneticPr fontId="1"/>
  </si>
  <si>
    <t>杭前面の形状係数(=3.0)</t>
    <rPh sb="0" eb="1">
      <t>クイ</t>
    </rPh>
    <rPh sb="1" eb="3">
      <t>ゼンメン</t>
    </rPh>
    <rPh sb="4" eb="6">
      <t>ケイジョウ</t>
    </rPh>
    <rPh sb="6" eb="8">
      <t>ケイスウ</t>
    </rPh>
    <phoneticPr fontId="1"/>
  </si>
  <si>
    <r>
      <t>γ</t>
    </r>
    <r>
      <rPr>
        <vertAlign val="subscript"/>
        <sz val="10"/>
        <rFont val="ＭＳ 明朝"/>
        <family val="1"/>
        <charset val="128"/>
      </rPr>
      <t>e</t>
    </r>
    <r>
      <rPr>
        <sz val="10"/>
        <rFont val="ＭＳ 明朝"/>
        <family val="1"/>
        <charset val="128"/>
      </rPr>
      <t/>
    </r>
    <phoneticPr fontId="1"/>
  </si>
  <si>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1"/>
  </si>
  <si>
    <r>
      <t>K</t>
    </r>
    <r>
      <rPr>
        <vertAlign val="subscript"/>
        <sz val="10"/>
        <rFont val="ＭＳ 明朝"/>
        <family val="1"/>
        <charset val="128"/>
      </rPr>
      <t>p</t>
    </r>
    <phoneticPr fontId="1"/>
  </si>
  <si>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1"/>
  </si>
  <si>
    <t>深さzの土の内部摩擦角(度）</t>
    <rPh sb="0" eb="1">
      <t>フカ</t>
    </rPh>
    <rPh sb="4" eb="5">
      <t>ツチ</t>
    </rPh>
    <rPh sb="6" eb="8">
      <t>ナイブ</t>
    </rPh>
    <rPh sb="8" eb="10">
      <t>マサツ</t>
    </rPh>
    <rPh sb="10" eb="11">
      <t>カク</t>
    </rPh>
    <rPh sb="12" eb="13">
      <t>ド</t>
    </rPh>
    <phoneticPr fontId="1"/>
  </si>
  <si>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1"/>
  </si>
  <si>
    <t>　なお、本設計計算例のおいて、郡杭の杭本数による抵抗補正係数ηmおよびηnは、設計水平</t>
    <rPh sb="4" eb="5">
      <t>ホン</t>
    </rPh>
    <rPh sb="5" eb="7">
      <t>セッケイ</t>
    </rPh>
    <rPh sb="7" eb="9">
      <t>ケイサン</t>
    </rPh>
    <rPh sb="9" eb="10">
      <t>レイ</t>
    </rPh>
    <rPh sb="15" eb="16">
      <t>グン</t>
    </rPh>
    <rPh sb="16" eb="17">
      <t>クイ</t>
    </rPh>
    <rPh sb="18" eb="19">
      <t>クイ</t>
    </rPh>
    <rPh sb="19" eb="21">
      <t>ホンスウ</t>
    </rPh>
    <rPh sb="24" eb="26">
      <t>テイコウ</t>
    </rPh>
    <rPh sb="26" eb="28">
      <t>ホセイ</t>
    </rPh>
    <rPh sb="28" eb="30">
      <t>ケイスウ</t>
    </rPh>
    <rPh sb="39" eb="41">
      <t>セッケイ</t>
    </rPh>
    <rPh sb="41" eb="43">
      <t>スイヘイ</t>
    </rPh>
    <phoneticPr fontId="1"/>
  </si>
  <si>
    <t>地盤反力係数の補正計算にもあったように、群杭の杭本数による影響が小さいものと判断されること</t>
    <rPh sb="7" eb="9">
      <t>ホセイ</t>
    </rPh>
    <rPh sb="9" eb="11">
      <t>ケイサン</t>
    </rPh>
    <rPh sb="20" eb="21">
      <t>グン</t>
    </rPh>
    <rPh sb="21" eb="22">
      <t>クイ</t>
    </rPh>
    <rPh sb="23" eb="24">
      <t>クイ</t>
    </rPh>
    <rPh sb="24" eb="26">
      <t>ホンスウ</t>
    </rPh>
    <rPh sb="29" eb="31">
      <t>エイキョウ</t>
    </rPh>
    <rPh sb="32" eb="33">
      <t>チイ</t>
    </rPh>
    <rPh sb="38" eb="40">
      <t>ハンダン</t>
    </rPh>
    <phoneticPr fontId="1"/>
  </si>
  <si>
    <t>から考慮しない。</t>
    <phoneticPr fontId="1"/>
  </si>
  <si>
    <t>　杭の有効抵抗土圧力について、有効抵抗土圧力度に抵抗面積を考慮した有効土圧は、次式により</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rPh sb="39" eb="41">
      <t>ジシキ</t>
    </rPh>
    <phoneticPr fontId="1"/>
  </si>
  <si>
    <t>算定する。</t>
  </si>
  <si>
    <r>
      <t>P</t>
    </r>
    <r>
      <rPr>
        <vertAlign val="subscript"/>
        <sz val="10"/>
        <rFont val="ＭＳ 明朝"/>
        <family val="1"/>
        <charset val="128"/>
      </rPr>
      <t>e</t>
    </r>
    <phoneticPr fontId="1"/>
  </si>
  <si>
    <r>
      <t>p</t>
    </r>
    <r>
      <rPr>
        <vertAlign val="subscript"/>
        <sz val="10"/>
        <rFont val="ＭＳ 明朝"/>
        <family val="1"/>
        <charset val="128"/>
      </rPr>
      <t>e</t>
    </r>
    <phoneticPr fontId="1"/>
  </si>
  <si>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1"/>
  </si>
  <si>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1"/>
  </si>
  <si>
    <t>有効抵抗土圧を算定する区間の長さ(m)</t>
    <rPh sb="0" eb="2">
      <t>ユウコウ</t>
    </rPh>
    <rPh sb="2" eb="4">
      <t>テイコウ</t>
    </rPh>
    <rPh sb="4" eb="5">
      <t>ツチ</t>
    </rPh>
    <rPh sb="5" eb="6">
      <t>アツ</t>
    </rPh>
    <rPh sb="7" eb="9">
      <t>サンテイ</t>
    </rPh>
    <rPh sb="11" eb="13">
      <t>クカン</t>
    </rPh>
    <rPh sb="14" eb="15">
      <t>ナガ</t>
    </rPh>
    <phoneticPr fontId="1"/>
  </si>
  <si>
    <t>②</t>
    <phoneticPr fontId="1"/>
  </si>
  <si>
    <t>Ｚ
（m）</t>
    <phoneticPr fontId="1"/>
  </si>
  <si>
    <t>位置</t>
    <rPh sb="0" eb="2">
      <t>イチ</t>
    </rPh>
    <phoneticPr fontId="1"/>
  </si>
  <si>
    <t>下面</t>
    <rPh sb="0" eb="1">
      <t>シタ</t>
    </rPh>
    <rPh sb="1" eb="2">
      <t>メン</t>
    </rPh>
    <phoneticPr fontId="1"/>
  </si>
  <si>
    <t>上面</t>
    <rPh sb="0" eb="1">
      <t>ウエ</t>
    </rPh>
    <rPh sb="1" eb="2">
      <t>メン</t>
    </rPh>
    <phoneticPr fontId="1"/>
  </si>
  <si>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1"/>
  </si>
  <si>
    <t>φ
（度）</t>
    <rPh sb="3" eb="4">
      <t>ド</t>
    </rPh>
    <phoneticPr fontId="1"/>
  </si>
  <si>
    <r>
      <t>c
(kN/m</t>
    </r>
    <r>
      <rPr>
        <vertAlign val="superscript"/>
        <sz val="10"/>
        <rFont val="ＭＳ 明朝"/>
        <family val="1"/>
        <charset val="128"/>
      </rPr>
      <t>2</t>
    </r>
    <r>
      <rPr>
        <sz val="10"/>
        <rFont val="ＭＳ 明朝"/>
        <family val="1"/>
        <charset val="128"/>
      </rPr>
      <t>)</t>
    </r>
    <phoneticPr fontId="1"/>
  </si>
  <si>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</si>
  <si>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1"/>
  </si>
  <si>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1"/>
  </si>
  <si>
    <r>
      <t>R</t>
    </r>
    <r>
      <rPr>
        <vertAlign val="subscript"/>
        <sz val="10"/>
        <rFont val="ＭＳ 明朝"/>
        <family val="1"/>
        <charset val="128"/>
      </rPr>
      <t>ty</t>
    </r>
    <phoneticPr fontId="1"/>
  </si>
  <si>
    <r>
      <t>R</t>
    </r>
    <r>
      <rPr>
        <vertAlign val="subscript"/>
        <sz val="10"/>
        <rFont val="ＭＳ 明朝"/>
        <family val="1"/>
        <charset val="128"/>
      </rPr>
      <t>tu</t>
    </r>
    <phoneticPr fontId="1"/>
  </si>
  <si>
    <t>降伏時先端支持力（kN）</t>
    <rPh sb="0" eb="2">
      <t>コウフク</t>
    </rPh>
    <rPh sb="2" eb="3">
      <t>ジ</t>
    </rPh>
    <rPh sb="3" eb="5">
      <t>センタン</t>
    </rPh>
    <rPh sb="5" eb="7">
      <t>シジ</t>
    </rPh>
    <rPh sb="7" eb="8">
      <t>リョク</t>
    </rPh>
    <phoneticPr fontId="1"/>
  </si>
  <si>
    <t>終局時先端支持力（kN）</t>
    <rPh sb="0" eb="2">
      <t>シュウキョク</t>
    </rPh>
    <rPh sb="2" eb="3">
      <t>ジ</t>
    </rPh>
    <rPh sb="3" eb="5">
      <t>センタン</t>
    </rPh>
    <rPh sb="5" eb="7">
      <t>シジ</t>
    </rPh>
    <rPh sb="7" eb="8">
      <t>リョク</t>
    </rPh>
    <phoneticPr fontId="1"/>
  </si>
  <si>
    <t>（kN）</t>
    <phoneticPr fontId="1"/>
  </si>
  <si>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1"/>
  </si>
  <si>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1"/>
  </si>
  <si>
    <r>
      <t>R</t>
    </r>
    <r>
      <rPr>
        <vertAlign val="subscript"/>
        <sz val="10"/>
        <rFont val="ＭＳ 明朝"/>
        <family val="1"/>
        <charset val="128"/>
      </rPr>
      <t>fy</t>
    </r>
    <phoneticPr fontId="1"/>
  </si>
  <si>
    <r>
      <t>R</t>
    </r>
    <r>
      <rPr>
        <vertAlign val="subscript"/>
        <sz val="10"/>
        <rFont val="ＭＳ 明朝"/>
        <family val="1"/>
        <charset val="128"/>
      </rPr>
      <t>fu</t>
    </r>
    <phoneticPr fontId="1"/>
  </si>
  <si>
    <t>降伏周面支持力（kN）</t>
    <rPh sb="0" eb="2">
      <t>コウフク</t>
    </rPh>
    <rPh sb="2" eb="3">
      <t>シュウ</t>
    </rPh>
    <rPh sb="3" eb="4">
      <t>メン</t>
    </rPh>
    <rPh sb="4" eb="6">
      <t>シジ</t>
    </rPh>
    <rPh sb="6" eb="7">
      <t>リョク</t>
    </rPh>
    <phoneticPr fontId="1"/>
  </si>
  <si>
    <t>終局周面支持力（kN）</t>
    <rPh sb="0" eb="2">
      <t>シュウキョク</t>
    </rPh>
    <rPh sb="2" eb="3">
      <t>シュウ</t>
    </rPh>
    <rPh sb="3" eb="4">
      <t>メン</t>
    </rPh>
    <rPh sb="4" eb="6">
      <t>シジ</t>
    </rPh>
    <rPh sb="6" eb="7">
      <t>リョク</t>
    </rPh>
    <phoneticPr fontId="1"/>
  </si>
  <si>
    <t>表1.1.24(1) 降伏周面支持力および終局周面支持力</t>
    <rPh sb="0" eb="1">
      <t>ヒョウ</t>
    </rPh>
    <rPh sb="11" eb="13">
      <t>コウフク</t>
    </rPh>
    <rPh sb="13" eb="14">
      <t>シュウ</t>
    </rPh>
    <rPh sb="14" eb="15">
      <t>メン</t>
    </rPh>
    <rPh sb="15" eb="17">
      <t>シジ</t>
    </rPh>
    <rPh sb="17" eb="18">
      <t>リョク</t>
    </rPh>
    <rPh sb="21" eb="23">
      <t>シュウキョク</t>
    </rPh>
    <rPh sb="23" eb="24">
      <t>シュウ</t>
    </rPh>
    <rPh sb="24" eb="25">
      <t>メン</t>
    </rPh>
    <rPh sb="25" eb="27">
      <t>シジ</t>
    </rPh>
    <rPh sb="27" eb="28">
      <t>リョク</t>
    </rPh>
    <phoneticPr fontId="1"/>
  </si>
  <si>
    <r>
      <t>R</t>
    </r>
    <r>
      <rPr>
        <vertAlign val="subscript"/>
        <sz val="10"/>
        <rFont val="ＭＳ 明朝"/>
        <family val="1"/>
        <charset val="128"/>
      </rPr>
      <t>fy</t>
    </r>
    <r>
      <rPr>
        <sz val="10"/>
        <rFont val="ＭＳ 明朝"/>
        <family val="1"/>
        <charset val="128"/>
      </rPr>
      <t xml:space="preserve">
（kN）</t>
    </r>
    <phoneticPr fontId="1"/>
  </si>
  <si>
    <r>
      <t>R</t>
    </r>
    <r>
      <rPr>
        <vertAlign val="subscript"/>
        <sz val="10"/>
        <rFont val="ＭＳ 明朝"/>
        <family val="1"/>
        <charset val="128"/>
      </rPr>
      <t>fu</t>
    </r>
    <r>
      <rPr>
        <sz val="10"/>
        <rFont val="ＭＳ 明朝"/>
        <family val="1"/>
        <charset val="128"/>
      </rPr>
      <t xml:space="preserve">
（kN）</t>
    </r>
    <phoneticPr fontId="1"/>
  </si>
  <si>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1"/>
  </si>
  <si>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1"/>
  </si>
  <si>
    <t>表1.1.24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1"/>
  </si>
  <si>
    <t>表1.1.25 杭周面の水平地盤抵抗の上限値</t>
    <rPh sb="0" eb="1">
      <t>ヒョウ</t>
    </rPh>
    <rPh sb="8" eb="9">
      <t>クイ</t>
    </rPh>
    <rPh sb="9" eb="10">
      <t>シュウ</t>
    </rPh>
    <rPh sb="10" eb="11">
      <t>メン</t>
    </rPh>
    <rPh sb="12" eb="14">
      <t>スイヘイ</t>
    </rPh>
    <rPh sb="14" eb="16">
      <t>ジバン</t>
    </rPh>
    <rPh sb="16" eb="18">
      <t>テイコウ</t>
    </rPh>
    <rPh sb="19" eb="22">
      <t>ジョウゲンチ</t>
    </rPh>
    <phoneticPr fontId="1"/>
  </si>
  <si>
    <t>D(m)</t>
    <phoneticPr fontId="1"/>
  </si>
  <si>
    <r>
      <t>D×P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</si>
  <si>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r>
      <t>ρ</t>
    </r>
    <r>
      <rPr>
        <vertAlign val="subscript"/>
        <sz val="10"/>
        <rFont val="ＭＳ 明朝"/>
        <family val="1"/>
        <charset val="128"/>
      </rPr>
      <t>gty</t>
    </r>
    <phoneticPr fontId="1"/>
  </si>
  <si>
    <r>
      <t>ρ</t>
    </r>
    <r>
      <rPr>
        <vertAlign val="subscript"/>
        <sz val="10"/>
        <rFont val="ＭＳ 明朝"/>
        <family val="1"/>
        <charset val="128"/>
      </rPr>
      <t>fy</t>
    </r>
    <r>
      <rPr>
        <sz val="10"/>
        <rFont val="ＭＳ 明朝"/>
        <family val="1"/>
        <charset val="128"/>
      </rPr>
      <t xml:space="preserve">
（m）</t>
    </r>
    <phoneticPr fontId="1"/>
  </si>
  <si>
    <r>
      <t>ρ</t>
    </r>
    <r>
      <rPr>
        <vertAlign val="subscript"/>
        <sz val="10"/>
        <rFont val="ＭＳ 明朝"/>
        <family val="1"/>
        <charset val="128"/>
      </rPr>
      <t>fu</t>
    </r>
    <r>
      <rPr>
        <sz val="10"/>
        <rFont val="ＭＳ 明朝"/>
        <family val="1"/>
        <charset val="128"/>
      </rPr>
      <t xml:space="preserve">
（m）</t>
    </r>
    <phoneticPr fontId="1"/>
  </si>
  <si>
    <r>
      <t>降伏周面支持力に関する地盤修正係数で、場所打ち杭工法の場合ρ</t>
    </r>
    <r>
      <rPr>
        <vertAlign val="subscript"/>
        <sz val="10"/>
        <rFont val="ＭＳ 明朝"/>
        <family val="1"/>
        <charset val="128"/>
      </rPr>
      <t>gfy</t>
    </r>
    <r>
      <rPr>
        <sz val="10"/>
        <rFont val="ＭＳ 明朝"/>
        <family val="1"/>
        <charset val="128"/>
      </rPr>
      <t>=1.2</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</si>
  <si>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終局周面支持力に関する地盤修正係数で、場所打ち杭工法の場合ρ</t>
    </r>
    <r>
      <rPr>
        <vertAlign val="subscript"/>
        <sz val="10"/>
        <rFont val="ＭＳ 明朝"/>
        <family val="1"/>
        <charset val="128"/>
      </rPr>
      <t>gfu</t>
    </r>
    <r>
      <rPr>
        <sz val="10"/>
        <rFont val="ＭＳ 明朝"/>
        <family val="1"/>
        <charset val="128"/>
      </rPr>
      <t>=1.4</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</si>
  <si>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降伏時先端支持力に関する地盤修正係数で、場所打ち杭工法の場合ρ</t>
    </r>
    <r>
      <rPr>
        <vertAlign val="subscript"/>
        <sz val="10"/>
        <rFont val="ＭＳ 明朝"/>
        <family val="1"/>
        <charset val="128"/>
      </rPr>
      <t>gty</t>
    </r>
    <r>
      <rPr>
        <sz val="10"/>
        <rFont val="ＭＳ 明朝"/>
        <family val="1"/>
        <charset val="128"/>
      </rPr>
      <t>=0.6</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</si>
  <si>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r>
      <t>終局時先端支持力に関する地盤修正係数で、場所打ち杭工法の場合ρ</t>
    </r>
    <r>
      <rPr>
        <vertAlign val="subscript"/>
        <sz val="10"/>
        <rFont val="ＭＳ 明朝"/>
        <family val="1"/>
        <charset val="128"/>
      </rPr>
      <t>gtu</t>
    </r>
    <r>
      <rPr>
        <sz val="10"/>
        <rFont val="ＭＳ 明朝"/>
        <family val="1"/>
        <charset val="128"/>
      </rPr>
      <t>=1.4</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</si>
  <si>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t>杭長</t>
    <rPh sb="0" eb="1">
      <t>クイ</t>
    </rPh>
    <rPh sb="1" eb="2">
      <t>チョウ</t>
    </rPh>
    <phoneticPr fontId="1"/>
  </si>
  <si>
    <t>杭径</t>
    <rPh sb="0" eb="1">
      <t>クイ</t>
    </rPh>
    <rPh sb="1" eb="2">
      <t>ケイ</t>
    </rPh>
    <phoneticPr fontId="1"/>
  </si>
  <si>
    <r>
      <t>ｋ</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rPh sb="11" eb="12">
      <t>ハシ</t>
    </rPh>
    <rPh sb="12" eb="13">
      <t>ジク</t>
    </rPh>
    <rPh sb="13" eb="15">
      <t>ホウコウ</t>
    </rPh>
    <phoneticPr fontId="1"/>
  </si>
  <si>
    <r>
      <t>ｋ</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rPh sb="11" eb="13">
      <t>チョッカク</t>
    </rPh>
    <rPh sb="13" eb="15">
      <t>ホウコウ</t>
    </rPh>
    <phoneticPr fontId="1"/>
  </si>
  <si>
    <r>
      <t>長期
K</t>
    </r>
    <r>
      <rPr>
        <vertAlign val="subscript"/>
        <sz val="10"/>
        <rFont val="ＭＳ 明朝"/>
        <family val="1"/>
        <charset val="128"/>
      </rPr>
      <t xml:space="preserve">fv
</t>
    </r>
    <r>
      <rPr>
        <sz val="10"/>
        <rFont val="ＭＳ 明朝"/>
        <family val="1"/>
        <charset val="128"/>
      </rPr>
      <t>（kN/m）</t>
    </r>
    <rPh sb="0" eb="2">
      <t>チョウキ</t>
    </rPh>
    <phoneticPr fontId="1"/>
  </si>
  <si>
    <r>
      <t>長期
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3</t>
    </r>
    <r>
      <rPr>
        <sz val="10"/>
        <rFont val="ＭＳ 明朝"/>
        <family val="1"/>
        <charset val="128"/>
      </rPr>
      <t>)</t>
    </r>
    <rPh sb="0" eb="2">
      <t>チョウキ</t>
    </rPh>
    <phoneticPr fontId="1"/>
  </si>
  <si>
    <r>
      <t>短期
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3</t>
    </r>
    <r>
      <rPr>
        <sz val="10"/>
        <rFont val="ＭＳ 明朝"/>
        <family val="1"/>
        <charset val="128"/>
      </rPr>
      <t>)</t>
    </r>
    <rPh sb="0" eb="2">
      <t>タンキ</t>
    </rPh>
    <phoneticPr fontId="1"/>
  </si>
  <si>
    <r>
      <t>短期
K</t>
    </r>
    <r>
      <rPr>
        <vertAlign val="subscript"/>
        <sz val="10"/>
        <rFont val="ＭＳ 明朝"/>
        <family val="1"/>
        <charset val="128"/>
      </rPr>
      <t xml:space="preserve">fv
</t>
    </r>
    <r>
      <rPr>
        <sz val="10"/>
        <rFont val="ＭＳ 明朝"/>
        <family val="1"/>
        <charset val="128"/>
      </rPr>
      <t>(kN/m)</t>
    </r>
    <rPh sb="0" eb="2">
      <t>タンキ</t>
    </rPh>
    <phoneticPr fontId="1"/>
  </si>
  <si>
    <t>安定(地震時以外)</t>
    <rPh sb="0" eb="2">
      <t>アンテイ</t>
    </rPh>
    <rPh sb="3" eb="5">
      <t>ジシン</t>
    </rPh>
    <rPh sb="5" eb="6">
      <t>ジ</t>
    </rPh>
    <rPh sb="6" eb="8">
      <t>イガイ</t>
    </rPh>
    <phoneticPr fontId="1"/>
  </si>
  <si>
    <r>
      <t>R</t>
    </r>
    <r>
      <rPr>
        <vertAlign val="subscript"/>
        <sz val="10"/>
        <rFont val="ＭＳ 明朝"/>
        <family val="1"/>
        <charset val="128"/>
      </rPr>
      <t>fk</t>
    </r>
    <r>
      <rPr>
        <sz val="10"/>
        <rFont val="ＭＳ 明朝"/>
        <family val="1"/>
        <charset val="128"/>
      </rPr>
      <t>（kN）
橋軸方向</t>
    </r>
    <rPh sb="8" eb="9">
      <t>ハシ</t>
    </rPh>
    <rPh sb="9" eb="12">
      <t>ジクホウコウ</t>
    </rPh>
    <phoneticPr fontId="1"/>
  </si>
  <si>
    <r>
      <t>R</t>
    </r>
    <r>
      <rPr>
        <vertAlign val="subscript"/>
        <sz val="10"/>
        <rFont val="ＭＳ 明朝"/>
        <family val="1"/>
        <charset val="128"/>
      </rPr>
      <t>fk</t>
    </r>
    <r>
      <rPr>
        <sz val="10"/>
        <rFont val="ＭＳ 明朝"/>
        <family val="1"/>
        <charset val="128"/>
      </rPr>
      <t>（kN）
直角方向</t>
    </r>
    <rPh sb="8" eb="10">
      <t>チョッカク</t>
    </rPh>
    <rPh sb="10" eb="12">
      <t>ホウコウ</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</si>
  <si>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</si>
  <si>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1"/>
  </si>
  <si>
    <t>【橋軸方向】</t>
    <rPh sb="1" eb="2">
      <t>ハシ</t>
    </rPh>
    <rPh sb="2" eb="5">
      <t>ジクホウコウ</t>
    </rPh>
    <phoneticPr fontId="1"/>
  </si>
  <si>
    <t>【直角方向】</t>
    <rPh sb="1" eb="3">
      <t>チョッカク</t>
    </rPh>
    <rPh sb="3" eb="5">
      <t>ホウコウ</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</si>
  <si>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</si>
  <si>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上載土</t>
    <rPh sb="0" eb="1">
      <t>ウエ</t>
    </rPh>
    <rPh sb="1" eb="2">
      <t>サイ</t>
    </rPh>
    <rPh sb="2" eb="3">
      <t>ド</t>
    </rPh>
    <phoneticPr fontId="1"/>
  </si>
  <si>
    <t>層種別</t>
    <rPh sb="0" eb="1">
      <t>ソウ</t>
    </rPh>
    <rPh sb="1" eb="3">
      <t>シュベツ</t>
    </rPh>
    <phoneticPr fontId="1"/>
  </si>
  <si>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1"/>
  </si>
  <si>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1"/>
  </si>
  <si>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1"/>
  </si>
  <si>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1"/>
  </si>
  <si>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1"/>
  </si>
  <si>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1"/>
  </si>
  <si>
    <t>のようになる。</t>
    <phoneticPr fontId="1"/>
  </si>
  <si>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1"/>
  </si>
  <si>
    <t>基準先端支持力度（kN/m2）で、場所打ち杭工法の場合、次式により算定さ</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rPh sb="33" eb="35">
      <t>サンテイ</t>
    </rPh>
    <phoneticPr fontId="1"/>
  </si>
  <si>
    <t>れる。</t>
    <phoneticPr fontId="1"/>
  </si>
  <si>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1"/>
  </si>
  <si>
    <t>面積とする。</t>
    <phoneticPr fontId="1"/>
  </si>
  <si>
    <t>　本設計計算例における杭先端支持層は、N値70の砂礫層のため、杭の基準先端支持力は、橋軸</t>
    <rPh sb="1" eb="2">
      <t>ホン</t>
    </rPh>
    <rPh sb="2" eb="4">
      <t>セッケイ</t>
    </rPh>
    <rPh sb="4" eb="6">
      <t>ケイサン</t>
    </rPh>
    <rPh sb="6" eb="7">
      <t>レイ</t>
    </rPh>
    <rPh sb="11" eb="12">
      <t>クイ</t>
    </rPh>
    <rPh sb="12" eb="14">
      <t>センタン</t>
    </rPh>
    <rPh sb="14" eb="17">
      <t>シジソウ</t>
    </rPh>
    <rPh sb="20" eb="21">
      <t>チ</t>
    </rPh>
    <rPh sb="24" eb="26">
      <t>サレキ</t>
    </rPh>
    <rPh sb="26" eb="27">
      <t>ソウ</t>
    </rPh>
    <rPh sb="31" eb="32">
      <t>クイ</t>
    </rPh>
    <rPh sb="33" eb="35">
      <t>キジュン</t>
    </rPh>
    <rPh sb="35" eb="37">
      <t>センタン</t>
    </rPh>
    <rPh sb="37" eb="39">
      <t>シジ</t>
    </rPh>
    <rPh sb="39" eb="40">
      <t>リョク</t>
    </rPh>
    <rPh sb="42" eb="43">
      <t>ハシ</t>
    </rPh>
    <rPh sb="43" eb="44">
      <t>ジク</t>
    </rPh>
    <phoneticPr fontId="1"/>
  </si>
  <si>
    <t>方向・橋軸直角方向ともに次のようになる。</t>
    <rPh sb="4" eb="5">
      <t>ジク</t>
    </rPh>
    <rPh sb="5" eb="7">
      <t>チョッカク</t>
    </rPh>
    <rPh sb="7" eb="9">
      <t>ホウコウ</t>
    </rPh>
    <rPh sb="12" eb="13">
      <t>ツギ</t>
    </rPh>
    <phoneticPr fontId="1"/>
  </si>
  <si>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1"/>
  </si>
  <si>
    <t>応じて継の各式より算定する。</t>
    <rPh sb="3" eb="4">
      <t>ツギ</t>
    </rPh>
    <rPh sb="5" eb="7">
      <t>カクシキ</t>
    </rPh>
    <rPh sb="9" eb="11">
      <t>サンテイ</t>
    </rPh>
    <phoneticPr fontId="1"/>
  </si>
  <si>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1"/>
  </si>
  <si>
    <t>押込み側の周面抵抗は考慮しないものとする。</t>
    <rPh sb="3" eb="4">
      <t>ガワ</t>
    </rPh>
    <rPh sb="10" eb="12">
      <t>コウリョ</t>
    </rPh>
    <phoneticPr fontId="1"/>
  </si>
  <si>
    <t>　本設計計算例における、地震時以外の基礎の安定と基礎の支持性能、および残留鉛直変位の照査</t>
    <rPh sb="1" eb="2">
      <t>ホン</t>
    </rPh>
    <rPh sb="2" eb="4">
      <t>セッケイ</t>
    </rPh>
    <rPh sb="4" eb="6">
      <t>ケイサン</t>
    </rPh>
    <rPh sb="6" eb="7">
      <t>レイ</t>
    </rPh>
    <rPh sb="12" eb="14">
      <t>ジシン</t>
    </rPh>
    <rPh sb="14" eb="15">
      <t>ジ</t>
    </rPh>
    <rPh sb="15" eb="17">
      <t>イガイ</t>
    </rPh>
    <rPh sb="18" eb="20">
      <t>キソ</t>
    </rPh>
    <rPh sb="21" eb="23">
      <t>アンテイ</t>
    </rPh>
    <rPh sb="24" eb="26">
      <t>キソ</t>
    </rPh>
    <rPh sb="27" eb="29">
      <t>シジ</t>
    </rPh>
    <rPh sb="29" eb="31">
      <t>セイノウ</t>
    </rPh>
    <rPh sb="35" eb="37">
      <t>ザンリュウ</t>
    </rPh>
    <rPh sb="37" eb="39">
      <t>エンチョク</t>
    </rPh>
    <rPh sb="39" eb="41">
      <t>ヘンイ</t>
    </rPh>
    <rPh sb="42" eb="44">
      <t>ショウサ</t>
    </rPh>
    <phoneticPr fontId="1"/>
  </si>
  <si>
    <r>
      <t>に用いる設計鉛直支持力R</t>
    </r>
    <r>
      <rPr>
        <vertAlign val="subscript"/>
        <sz val="10"/>
        <rFont val="ＭＳ 明朝"/>
        <family val="1"/>
        <charset val="128"/>
      </rPr>
      <t>wd</t>
    </r>
    <r>
      <rPr>
        <sz val="10"/>
        <rFont val="ＭＳ 明朝"/>
        <family val="1"/>
        <charset val="128"/>
      </rPr>
      <t>は、次のようになる。</t>
    </r>
    <rPh sb="1" eb="2">
      <t>モチ</t>
    </rPh>
    <rPh sb="4" eb="6">
      <t>セッケイ</t>
    </rPh>
    <rPh sb="6" eb="10">
      <t>エンチョクシジ</t>
    </rPh>
    <rPh sb="10" eb="11">
      <t>チカラ</t>
    </rPh>
    <rPh sb="16" eb="17">
      <t>ツギ</t>
    </rPh>
    <phoneticPr fontId="1"/>
  </si>
  <si>
    <t>　本設計計算例における、地震時以外の基礎の安定と基礎の支持性能、および残留鉛直変位(性</t>
    <rPh sb="1" eb="2">
      <t>ホン</t>
    </rPh>
    <rPh sb="2" eb="4">
      <t>セッケイ</t>
    </rPh>
    <rPh sb="4" eb="6">
      <t>ケイサン</t>
    </rPh>
    <rPh sb="6" eb="7">
      <t>レイ</t>
    </rPh>
    <rPh sb="12" eb="15">
      <t>ジシンジ</t>
    </rPh>
    <rPh sb="15" eb="17">
      <t>イガイ</t>
    </rPh>
    <rPh sb="18" eb="20">
      <t>キソ</t>
    </rPh>
    <rPh sb="21" eb="23">
      <t>アンテイ</t>
    </rPh>
    <rPh sb="24" eb="26">
      <t>キソ</t>
    </rPh>
    <rPh sb="27" eb="29">
      <t>シジ</t>
    </rPh>
    <rPh sb="29" eb="31">
      <t>セイノウ</t>
    </rPh>
    <rPh sb="35" eb="37">
      <t>ザンリュウ</t>
    </rPh>
    <rPh sb="37" eb="39">
      <t>エンチョク</t>
    </rPh>
    <rPh sb="39" eb="41">
      <t>ヘンイ</t>
    </rPh>
    <rPh sb="42" eb="43">
      <t>セイ</t>
    </rPh>
    <phoneticPr fontId="1"/>
  </si>
  <si>
    <r>
      <t>能レベル1)に用いる設計引抜き抵抗力R</t>
    </r>
    <r>
      <rPr>
        <vertAlign val="subscript"/>
        <sz val="10"/>
        <rFont val="ＭＳ 明朝"/>
        <family val="1"/>
        <charset val="128"/>
      </rPr>
      <t>ud</t>
    </r>
    <r>
      <rPr>
        <sz val="10"/>
        <rFont val="ＭＳ 明朝"/>
        <family val="1"/>
        <charset val="128"/>
      </rPr>
      <t>は、次のようになる。</t>
    </r>
    <rPh sb="7" eb="8">
      <t>モチ</t>
    </rPh>
    <rPh sb="10" eb="12">
      <t>セッケイ</t>
    </rPh>
    <rPh sb="12" eb="14">
      <t>ヒキヌ</t>
    </rPh>
    <rPh sb="15" eb="18">
      <t>テイコウリョク</t>
    </rPh>
    <rPh sb="23" eb="24">
      <t>ツギ</t>
    </rPh>
    <phoneticPr fontId="1"/>
  </si>
  <si>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1"/>
  </si>
  <si>
    <t>ない。</t>
    <phoneticPr fontId="1"/>
  </si>
  <si>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1"/>
  </si>
  <si>
    <t>は じ め に</t>
    <phoneticPr fontId="1"/>
  </si>
  <si>
    <t>本ファイルを利用するには マクロを有効にしてください。</t>
    <rPh sb="0" eb="1">
      <t>ホン</t>
    </rPh>
    <rPh sb="6" eb="8">
      <t>リヨウ</t>
    </rPh>
    <rPh sb="17" eb="19">
      <t>ユウコウ</t>
    </rPh>
    <phoneticPr fontId="1"/>
  </si>
  <si>
    <t>Office ドキュメントのマクロを有効または無効にする</t>
    <phoneticPr fontId="1"/>
  </si>
  <si>
    <t>本ファイルを利用するには ユーザー名とパスワードを入力してください</t>
    <rPh sb="0" eb="1">
      <t>ホン</t>
    </rPh>
    <rPh sb="6" eb="8">
      <t>リヨウ</t>
    </rPh>
    <rPh sb="17" eb="18">
      <t>メイ</t>
    </rPh>
    <rPh sb="25" eb="27">
      <t>ニュウリョク</t>
    </rPh>
    <phoneticPr fontId="1"/>
  </si>
  <si>
    <t>ユーザー名またはメールアドレス</t>
    <phoneticPr fontId="1"/>
  </si>
  <si>
    <t>パスワード</t>
    <phoneticPr fontId="1"/>
  </si>
  <si>
    <t>※ユーザー名, パスワード を １行目に記したテキストファイルを それぞれ用意し</t>
    <rPh sb="5" eb="6">
      <t>メイ</t>
    </rPh>
    <rPh sb="17" eb="19">
      <t>ギョウメ</t>
    </rPh>
    <rPh sb="20" eb="21">
      <t>シル</t>
    </rPh>
    <rPh sb="37" eb="39">
      <t>ヨウイ</t>
    </rPh>
    <phoneticPr fontId="1"/>
  </si>
  <si>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1"/>
  </si>
  <si>
    <t>省略できます</t>
    <rPh sb="0" eb="2">
      <t>ショウリャク</t>
    </rPh>
    <phoneticPr fontId="1"/>
  </si>
  <si>
    <t>免責事項</t>
    <phoneticPr fontId="1"/>
  </si>
  <si>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</si>
  <si>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</si>
  <si>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</si>
  <si>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</si>
  <si>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</si>
  <si>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1"/>
  </si>
  <si>
    <t>データの送受信には json 形式の 文字列で通信します。</t>
    <rPh sb="4" eb="7">
      <t>ソウジュシン</t>
    </rPh>
    <rPh sb="15" eb="17">
      <t>ケイシキ</t>
    </rPh>
    <rPh sb="19" eb="22">
      <t>モジレツ</t>
    </rPh>
    <rPh sb="23" eb="25">
      <t>ツウシン</t>
    </rPh>
    <phoneticPr fontId="1"/>
  </si>
  <si>
    <t>ｖ</t>
    <phoneticPr fontId="1"/>
  </si>
  <si>
    <t>お問い合わせ</t>
    <rPh sb="1" eb="2">
      <t>ト</t>
    </rPh>
    <rPh sb="3" eb="4">
      <t>ア</t>
    </rPh>
    <phoneticPr fontId="1"/>
  </si>
  <si>
    <r>
      <rPr>
        <sz val="11"/>
        <rFont val="ＭＳ Ｐゴシック"/>
        <family val="3"/>
        <charset val="128"/>
      </rPr>
      <t>┃株式会社　ささこう</t>
    </r>
    <r>
      <rPr>
        <sz val="11"/>
        <rFont val="Courier New"/>
        <family val="3"/>
      </rPr>
      <t> </t>
    </r>
    <phoneticPr fontId="1"/>
  </si>
  <si>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1"/>
  </si>
  <si>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1"/>
  </si>
  <si>
    <r>
      <rPr>
        <sz val="11"/>
        <rFont val="ＭＳ Ｐゴシック"/>
        <family val="3"/>
        <charset val="128"/>
      </rPr>
      <t>┃　　　　　　　　　　エトワール石神井</t>
    </r>
    <r>
      <rPr>
        <sz val="11"/>
        <rFont val="Courier New"/>
        <family val="3"/>
      </rPr>
      <t>202</t>
    </r>
    <phoneticPr fontId="1"/>
  </si>
  <si>
    <r>
      <rPr>
        <sz val="11"/>
        <rFont val="ＭＳ Ｐゴシック"/>
        <family val="3"/>
        <charset val="128"/>
      </rPr>
      <t>┃　　ＴＥＬ：</t>
    </r>
    <r>
      <rPr>
        <sz val="11"/>
        <rFont val="ＭＳ Ｐゴシック"/>
        <family val="3"/>
        <charset val="128"/>
      </rPr>
      <t>050-5806-0301</t>
    </r>
    <phoneticPr fontId="1"/>
  </si>
  <si>
    <t>┃　　Ｍail ：sasaicco@gmail.com </t>
    <phoneticPr fontId="1"/>
  </si>
  <si>
    <r>
      <t>┃　　ＵＲＬ：http://structuralengine.</t>
    </r>
    <r>
      <rPr>
        <sz val="11"/>
        <rFont val="ＭＳ Ｐゴシック"/>
        <family val="3"/>
        <charset val="128"/>
      </rPr>
      <t>jp</t>
    </r>
    <phoneticPr fontId="1"/>
  </si>
  <si>
    <t>本システムは、「鉄道構造物等設計標準・同解説（基礎構造物）平成24年版」</t>
    <rPh sb="23" eb="25">
      <t>キソ</t>
    </rPh>
    <phoneticPr fontId="1"/>
  </si>
  <si>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1"/>
  </si>
  <si>
    <t>"SoilPile" --- 地盤抵抗係数算定プログラム</t>
    <rPh sb="15" eb="17">
      <t>ジバン</t>
    </rPh>
    <rPh sb="17" eb="19">
      <t>テイコウ</t>
    </rPh>
    <rPh sb="19" eb="21">
      <t>ケイスウ</t>
    </rPh>
    <rPh sb="21" eb="23">
      <t>サンテイ</t>
    </rPh>
    <phoneticPr fontId="1"/>
  </si>
  <si>
    <t>Ver.1.0.6</t>
  </si>
  <si>
    <t>ＲＣラーメン高架橋</t>
  </si>
  <si>
    <t>フーチング有無</t>
  </si>
  <si>
    <t>杭種</t>
  </si>
  <si>
    <t>杭長</t>
  </si>
  <si>
    <t>杭径</t>
  </si>
  <si>
    <t>橋軸杭本数</t>
  </si>
  <si>
    <t>直角杭本数</t>
  </si>
  <si>
    <t>橋軸杭間隔</t>
  </si>
  <si>
    <t>直角杭間隔</t>
  </si>
  <si>
    <t>(1)橋軸方向</t>
  </si>
  <si>
    <t>【杭配置情報】</t>
  </si>
  <si>
    <t>←杭配置情報がある場合、挿入される</t>
    <rPh sb="1" eb="2">
      <t>クイ</t>
    </rPh>
    <rPh sb="2" eb="4">
      <t>ハイチ</t>
    </rPh>
    <rPh sb="4" eb="6">
      <t>ジョウホウ</t>
    </rPh>
    <rPh sb="9" eb="11">
      <t>バアイ</t>
    </rPh>
    <rPh sb="12" eb="14">
      <t>ソウニュウ</t>
    </rPh>
    <phoneticPr fontId="1"/>
  </si>
  <si>
    <t>番号</t>
  </si>
  <si>
    <t>1列目からの距離</t>
  </si>
  <si>
    <t>杭本数</t>
  </si>
  <si>
    <t>地震時以外</t>
  </si>
  <si>
    <t>【設計鉛直支持力の算定】</t>
  </si>
  <si>
    <t>性能項目</t>
  </si>
  <si>
    <t>基準先端支持力Rtk(kN)</t>
  </si>
  <si>
    <t>基準周面支持力ΣRfk(kN)</t>
  </si>
  <si>
    <t>基準支持力Rk(kN)</t>
  </si>
  <si>
    <t>先端支持力比Pt</t>
  </si>
  <si>
    <t>地盤抵抗係数fr</t>
  </si>
  <si>
    <t>設計鉛直支持力Rvd(kN)</t>
  </si>
  <si>
    <t>長期支持性能</t>
  </si>
  <si>
    <t>短期支持性能</t>
  </si>
  <si>
    <t>安定(地震時以外)</t>
  </si>
  <si>
    <t>残留鉛直変位(L1)</t>
  </si>
  <si>
    <t>残留鉛直変位(L2)</t>
  </si>
  <si>
    <t>【設計引き抜き抵抗力の算定】</t>
  </si>
  <si>
    <t>杭の有効自重Wp(kN)</t>
  </si>
  <si>
    <t>設計引き抜き抵抗力vd(kN)</t>
  </si>
  <si>
    <t>【水平変位の照査】</t>
  </si>
  <si>
    <t>設計限界値δL(mm)</t>
  </si>
  <si>
    <t>設計限界値の指標</t>
  </si>
  <si>
    <t>抵抗幅</t>
  </si>
  <si>
    <t>【回転角の照査】</t>
  </si>
  <si>
    <t>設計限界値θL(mm)</t>
  </si>
  <si>
    <t>地震時</t>
  </si>
  <si>
    <t>杭先端支持力</t>
  </si>
  <si>
    <t>杭周面支持力</t>
  </si>
  <si>
    <t>鉛直支持力</t>
  </si>
  <si>
    <t>終局時修正係数ρgtu</t>
  </si>
  <si>
    <t>先端終局支持力Rtu(kN)</t>
  </si>
  <si>
    <t>終局時修正係数ρgfu</t>
  </si>
  <si>
    <t>基準周面支持力Rfk(kN)</t>
  </si>
  <si>
    <t>周面終局支持力Rfu(kN)</t>
  </si>
  <si>
    <t>(2)直角方向</t>
  </si>
  <si>
    <t>基準先端引抜き抵抗力Ruk(kN)</t>
  </si>
  <si>
    <t>設計引き抜き抵抗力Rvd(kN)</t>
  </si>
  <si>
    <t>←回転杭の場合、これに代わる</t>
    <rPh sb="1" eb="3">
      <t>カイテン</t>
    </rPh>
    <rPh sb="3" eb="4">
      <t>クイ</t>
    </rPh>
    <rPh sb="5" eb="7">
      <t>バアイ</t>
    </rPh>
    <rPh sb="11" eb="12">
      <t>カ</t>
    </rPh>
    <phoneticPr fontId="1"/>
  </si>
  <si>
    <t>【押込み側】</t>
    <phoneticPr fontId="1"/>
  </si>
  <si>
    <t>←回転杭の場合、これが入る</t>
    <rPh sb="1" eb="3">
      <t>カイテン</t>
    </rPh>
    <rPh sb="3" eb="4">
      <t>クイ</t>
    </rPh>
    <rPh sb="5" eb="7">
      <t>バアイ</t>
    </rPh>
    <rPh sb="11" eb="12">
      <t>ハイ</t>
    </rPh>
    <phoneticPr fontId="1"/>
  </si>
  <si>
    <t>【引抜き側】</t>
    <phoneticPr fontId="1"/>
  </si>
  <si>
    <t>基準先端引抜き抵抗Ruk(kN)</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</si>
  <si>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1"/>
  </si>
  <si>
    <t>Df</t>
    <phoneticPr fontId="1"/>
  </si>
  <si>
    <t>水位</t>
    <rPh sb="0" eb="2">
      <t>スイイ</t>
    </rPh>
    <phoneticPr fontId="1"/>
  </si>
  <si>
    <t>液状化低減係数DE</t>
    <rPh sb="0" eb="3">
      <t>エキジョウカ</t>
    </rPh>
    <rPh sb="3" eb="5">
      <t>テイゲン</t>
    </rPh>
    <rPh sb="5" eb="7">
      <t>ケイスウ</t>
    </rPh>
    <phoneticPr fontId="1"/>
  </si>
  <si>
    <t>L1地震動</t>
    <rPh sb="2" eb="4">
      <t>ジシン</t>
    </rPh>
    <rPh sb="4" eb="5">
      <t>ドウ</t>
    </rPh>
    <phoneticPr fontId="1"/>
  </si>
  <si>
    <t>L2地震動</t>
    <rPh sb="2" eb="4">
      <t>ジシン</t>
    </rPh>
    <rPh sb="4" eb="5">
      <t>ドウ</t>
    </rPh>
    <phoneticPr fontId="1"/>
  </si>
  <si>
    <t>杭種</t>
    <rPh sb="0" eb="1">
      <t>クイ</t>
    </rPh>
    <rPh sb="1" eb="2">
      <t>シュ</t>
    </rPh>
    <phoneticPr fontId="1"/>
  </si>
  <si>
    <t>群杭に対する補正係数</t>
    <rPh sb="0" eb="1">
      <t>グン</t>
    </rPh>
    <rPh sb="1" eb="2">
      <t>クイ</t>
    </rPh>
    <rPh sb="3" eb="4">
      <t>タイ</t>
    </rPh>
    <rPh sb="6" eb="8">
      <t>ホセイ</t>
    </rPh>
    <rPh sb="8" eb="10">
      <t>ケイスウ</t>
    </rPh>
    <phoneticPr fontId="1"/>
  </si>
  <si>
    <t>弾性係数</t>
    <rPh sb="0" eb="2">
      <t>ダンセイ</t>
    </rPh>
    <rPh sb="2" eb="4">
      <t>ケイスウ</t>
    </rPh>
    <phoneticPr fontId="1"/>
  </si>
  <si>
    <t>Lm ＝</t>
    <phoneticPr fontId="1"/>
  </si>
  <si>
    <t>m ＝</t>
    <phoneticPr fontId="1"/>
  </si>
  <si>
    <t>Ln ＝</t>
    <phoneticPr fontId="1"/>
  </si>
  <si>
    <t>n ＝</t>
    <phoneticPr fontId="1"/>
  </si>
  <si>
    <t>直角方向</t>
    <rPh sb="0" eb="2">
      <t>チョッカク</t>
    </rPh>
    <rPh sb="2" eb="4">
      <t>ホウコウ</t>
    </rPh>
    <phoneticPr fontId="1"/>
  </si>
  <si>
    <t>橋軸方向</t>
    <rPh sb="0" eb="1">
      <t>ハシ</t>
    </rPh>
    <rPh sb="1" eb="2">
      <t>ジク</t>
    </rPh>
    <rPh sb="2" eb="4">
      <t>ホウコウ</t>
    </rPh>
    <phoneticPr fontId="1"/>
  </si>
  <si>
    <t>場所打ち杭</t>
  </si>
  <si>
    <t>場所打ち杭</t>
    <phoneticPr fontId="1"/>
  </si>
  <si>
    <t>長期</t>
    <phoneticPr fontId="1"/>
  </si>
  <si>
    <t>短期</t>
    <rPh sb="0" eb="2">
      <t>タンキ</t>
    </rPh>
    <phoneticPr fontId="1"/>
  </si>
  <si>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1"/>
  </si>
  <si>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1"/>
  </si>
  <si>
    <t>ｍ(本)</t>
    <rPh sb="2" eb="3">
      <t>ホン</t>
    </rPh>
    <phoneticPr fontId="1"/>
  </si>
  <si>
    <t>ｎ(本)</t>
    <rPh sb="2" eb="3">
      <t>ホン</t>
    </rPh>
    <phoneticPr fontId="1"/>
  </si>
  <si>
    <r>
      <t>Ｌ</t>
    </r>
    <r>
      <rPr>
        <vertAlign val="subscript"/>
        <sz val="10"/>
        <rFont val="ＭＳ 明朝"/>
        <family val="1"/>
        <charset val="128"/>
      </rPr>
      <t>m</t>
    </r>
    <r>
      <rPr>
        <sz val="10"/>
        <rFont val="ＭＳ 明朝"/>
        <family val="1"/>
        <charset val="128"/>
      </rPr>
      <t>(本)</t>
    </r>
    <rPh sb="3" eb="4">
      <t>ホン</t>
    </rPh>
    <phoneticPr fontId="1"/>
  </si>
  <si>
    <r>
      <t>Ｌ</t>
    </r>
    <r>
      <rPr>
        <vertAlign val="subscript"/>
        <sz val="10"/>
        <rFont val="ＭＳ 明朝"/>
        <family val="1"/>
        <charset val="128"/>
      </rPr>
      <t>n</t>
    </r>
    <r>
      <rPr>
        <sz val="10"/>
        <rFont val="ＭＳ 明朝"/>
        <family val="1"/>
        <charset val="128"/>
      </rPr>
      <t>(本)</t>
    </r>
    <rPh sb="3" eb="4">
      <t>ホン</t>
    </rPh>
    <phoneticPr fontId="1"/>
  </si>
  <si>
    <t>Ｄ(m)</t>
    <phoneticPr fontId="1"/>
  </si>
  <si>
    <t>杭の載荷幅</t>
    <rPh sb="0" eb="1">
      <t>クイ</t>
    </rPh>
    <rPh sb="2" eb="4">
      <t>サイカ</t>
    </rPh>
    <rPh sb="4" eb="5">
      <t>ハバ</t>
    </rPh>
    <phoneticPr fontId="1"/>
  </si>
  <si>
    <t>使用性・安全性</t>
    <rPh sb="0" eb="2">
      <t>シヨウ</t>
    </rPh>
    <rPh sb="2" eb="3">
      <t>セイ</t>
    </rPh>
    <rPh sb="4" eb="7">
      <t>アンゼンセイ</t>
    </rPh>
    <phoneticPr fontId="1"/>
  </si>
  <si>
    <t>復旧性・地震時</t>
    <rPh sb="0" eb="3">
      <t>フッキュウセイ</t>
    </rPh>
    <rPh sb="4" eb="6">
      <t>ジシン</t>
    </rPh>
    <rPh sb="6" eb="7">
      <t>ジ</t>
    </rPh>
    <phoneticPr fontId="1"/>
  </si>
  <si>
    <r>
      <t>K</t>
    </r>
    <r>
      <rPr>
        <vertAlign val="subscript"/>
        <sz val="10"/>
        <rFont val="ＭＳ 明朝"/>
        <family val="1"/>
        <charset val="128"/>
      </rPr>
      <t xml:space="preserve">fv
</t>
    </r>
    <r>
      <rPr>
        <sz val="10"/>
        <rFont val="ＭＳ 明朝"/>
        <family val="1"/>
        <charset val="128"/>
      </rPr>
      <t>（kN/m</t>
    </r>
    <r>
      <rPr>
        <sz val="10"/>
        <rFont val="ＭＳ 明朝"/>
        <family val="1"/>
        <charset val="128"/>
      </rPr>
      <t>）</t>
    </r>
    <phoneticPr fontId="1"/>
  </si>
  <si>
    <t>砂質土</t>
  </si>
  <si>
    <t>砂礫</t>
  </si>
  <si>
    <t>粘着力</t>
    <rPh sb="0" eb="3">
      <t>ネンチャクリョク</t>
    </rPh>
    <phoneticPr fontId="1"/>
  </si>
  <si>
    <r>
      <t>c(kN/m</t>
    </r>
    <r>
      <rPr>
        <vertAlign val="superscript"/>
        <sz val="10"/>
        <rFont val="ＭＳ ゴシック"/>
        <family val="3"/>
        <charset val="128"/>
      </rPr>
      <t>2</t>
    </r>
    <r>
      <rPr>
        <sz val="10"/>
        <rFont val="ＭＳ ゴシック"/>
        <family val="3"/>
        <charset val="128"/>
      </rPr>
      <t>)</t>
    </r>
    <phoneticPr fontId="1"/>
  </si>
  <si>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</si>
  <si>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</si>
  <si>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(c) 杭周面の鉛直せん断地盤ばね定数</t>
    <rPh sb="4" eb="5">
      <t>クイ</t>
    </rPh>
    <rPh sb="5" eb="7">
      <t>シュウメン</t>
    </rPh>
    <rPh sb="8" eb="10">
      <t>エンチョク</t>
    </rPh>
    <rPh sb="12" eb="13">
      <t>ダン</t>
    </rPh>
    <rPh sb="13" eb="15">
      <t>ジバン</t>
    </rPh>
    <rPh sb="17" eb="19">
      <t>テイスウ</t>
    </rPh>
    <phoneticPr fontId="1"/>
  </si>
  <si>
    <t>(b) 杭周面の水平地盤ばね定数</t>
    <rPh sb="4" eb="5">
      <t>クイ</t>
    </rPh>
    <rPh sb="5" eb="7">
      <t>シュウメン</t>
    </rPh>
    <rPh sb="8" eb="10">
      <t>スイヘイ</t>
    </rPh>
    <rPh sb="10" eb="12">
      <t>ジバン</t>
    </rPh>
    <rPh sb="14" eb="16">
      <t>テイスウ</t>
    </rPh>
    <phoneticPr fontId="1"/>
  </si>
  <si>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1"/>
  </si>
  <si>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1"/>
  </si>
  <si>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1"/>
  </si>
  <si>
    <r>
      <t>K</t>
    </r>
    <r>
      <rPr>
        <vertAlign val="subscript"/>
        <sz val="10"/>
        <rFont val="ＭＳ 明朝"/>
        <family val="1"/>
        <charset val="128"/>
      </rPr>
      <t>h</t>
    </r>
    <r>
      <rPr>
        <sz val="10"/>
        <rFont val="ＭＳ 明朝"/>
        <family val="1"/>
        <charset val="128"/>
      </rPr>
      <t>（kN/m/m）
橋軸方向</t>
    </r>
    <phoneticPr fontId="1"/>
  </si>
  <si>
    <r>
      <t>K</t>
    </r>
    <r>
      <rPr>
        <vertAlign val="subscript"/>
        <sz val="10"/>
        <rFont val="ＭＳ 明朝"/>
        <family val="1"/>
        <charset val="128"/>
      </rPr>
      <t>h</t>
    </r>
    <r>
      <rPr>
        <sz val="10"/>
        <rFont val="ＭＳ 明朝"/>
        <family val="1"/>
        <charset val="128"/>
      </rPr>
      <t>（kN/m/m）
直角方向</t>
    </r>
    <phoneticPr fontId="1"/>
  </si>
  <si>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1"/>
  </si>
  <si>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1"/>
  </si>
  <si>
    <r>
      <t>K</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1"/>
  </si>
  <si>
    <r>
      <t>K</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1"/>
  </si>
  <si>
    <t>液状化低減係数</t>
    <rPh sb="0" eb="3">
      <t>エキジョウカ</t>
    </rPh>
    <rPh sb="3" eb="5">
      <t>テイゲン</t>
    </rPh>
    <rPh sb="5" eb="7">
      <t>ケイスウ</t>
    </rPh>
    <phoneticPr fontId="1"/>
  </si>
  <si>
    <t>ＤＥ</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</si>
</sst>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000_ "/>
    <numFmt numFmtId="177" formatCode="0.0"/>
    <numFmt numFmtId="178" formatCode="0.000"/>
    <numFmt numFmtId="179" formatCode="0.0000"/>
    <numFmt numFmtId="180" formatCode="0.0_ "/>
    <numFmt numFmtId="181" formatCode="#,##0_ "/>
    <numFmt numFmtId="182" formatCode="#\ ?/4"/>
    <numFmt numFmtId="183" formatCode="\(0"/>
    <numFmt numFmtId="184" formatCode="0.00_ "/>
  </numFmts>
  <fonts count="28" x14ac:knownFonts="1">
    <font>
      <sz val="11"/>
      <name val="ＭＳ Ｐゴシック"/>
      <family val="3"/>
      <charset val="128"/>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0"/>
      <color rgb="FF0070C0"/>
      <name val="ＭＳ 明朝"/>
      <family val="1"/>
      <charset val="128"/>
    </font>
    <font>
      <sz val="11"/>
      <color theme="1"/>
      <name val="ＭＳ Ｐゴシック"/>
      <family val="3"/>
      <charset val="128"/>
      <scheme val="minor"/>
    </font>
    <font>
      <sz val="11"/>
      <color rgb="FFFF0000"/>
      <name val="ＭＳ Ｐゴシック"/>
      <family val="3"/>
      <charset val="128"/>
      <scheme val="minor"/>
    </font>
    <font>
      <sz val="10"/>
      <color rgb="FFFF0000"/>
      <name val="ＭＳ 明朝"/>
      <family val="1"/>
      <charset val="128"/>
    </font>
    <font>
      <sz val="10"/>
      <color theme="4"/>
      <name val="ＭＳ 明朝"/>
      <family val="1"/>
      <charset val="128"/>
    </font>
    <font>
      <sz val="10"/>
      <color theme="1"/>
      <name val="ＭＳ 明朝"/>
      <family val="1"/>
      <charset val="128"/>
    </font>
    <font>
      <sz val="11"/>
      <color rgb="FF000000"/>
      <name val="ＭＳ Ｐゴシック"/>
      <family val="3"/>
      <charset val="128"/>
    </font>
  </fonts>
  <fills count="6">
    <fill>
      <patternFill patternType="none"/>
    </fill>
    <fill>
      <patternFill patternType="gray125"/>
    </fill>
    <fill>
      <patternFill patternType="solid">
        <fgColor indexed="43"/>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s>
  <borders count="65">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s>
  <cellStyleXfs count="4">
    <xf numFmtId="0" fontId="0" fillId="0" borderId="0"/>
    <xf numFmtId="0" fontId="17" fillId="0" borderId="0">
      <alignment vertical="center"/>
    </xf>
    <xf numFmtId="0" fontId="18" fillId="0" borderId="0" applyNumberFormat="0" applyFill="0" applyBorder="0" applyAlignment="0" applyProtection="0">
      <alignment vertical="top"/>
      <protection locked="0"/>
    </xf>
    <xf numFmtId="0" fontId="22" fillId="0" borderId="0">
      <alignment vertical="center"/>
    </xf>
  </cellStyleXfs>
  <cellXfs count="474">
    <xf numFmtId="0" fontId="0" fillId="0" borderId="0" xfId="0"/>
    <xf numFmtId="0" fontId="3" fillId="0" borderId="0" xfId="0" applyNumberFormat="1" applyFont="1" applyBorder="1" applyAlignment="1">
      <alignment horizontal="center" vertical="center"/>
    </xf>
    <xf numFmtId="0" fontId="3" fillId="0" borderId="0" xfId="0" applyNumberFormat="1" applyFont="1" applyBorder="1" applyAlignment="1">
      <alignment vertical="center"/>
    </xf>
    <xf numFmtId="0" fontId="3" fillId="0" borderId="0" xfId="0" applyNumberFormat="1" applyFont="1" applyBorder="1" applyAlignment="1">
      <alignment horizontal="right" vertical="center"/>
    </xf>
    <xf numFmtId="177" fontId="3" fillId="0" borderId="0" xfId="0" applyNumberFormat="1" applyFont="1" applyBorder="1" applyAlignment="1">
      <alignment horizontal="center" vertical="center"/>
    </xf>
    <xf numFmtId="0" fontId="6" fillId="0" borderId="0" xfId="0" applyNumberFormat="1" applyFont="1" applyBorder="1" applyAlignment="1">
      <alignment horizontal="left"/>
    </xf>
    <xf numFmtId="0" fontId="3" fillId="0" borderId="0" xfId="0" applyNumberFormat="1" applyFont="1" applyBorder="1" applyAlignment="1">
      <alignment horizontal="center"/>
    </xf>
    <xf numFmtId="0" fontId="3" fillId="0" borderId="0" xfId="0" applyNumberFormat="1" applyFont="1" applyBorder="1" applyAlignment="1"/>
    <xf numFmtId="0" fontId="3" fillId="0" borderId="0" xfId="0" applyNumberFormat="1" applyFont="1" applyBorder="1" applyAlignment="1">
      <alignment horizontal="right"/>
    </xf>
    <xf numFmtId="0" fontId="3" fillId="0" borderId="0" xfId="0" applyNumberFormat="1" applyFont="1" applyBorder="1" applyAlignment="1">
      <alignment horizontal="left"/>
    </xf>
    <xf numFmtId="0" fontId="5" fillId="0" borderId="0" xfId="0" applyNumberFormat="1" applyFont="1" applyBorder="1" applyAlignment="1">
      <alignment horizontal="left"/>
    </xf>
    <xf numFmtId="0" fontId="3" fillId="0" borderId="0" xfId="0" applyNumberFormat="1" applyFont="1" applyBorder="1" applyAlignment="1">
      <alignment horizontal="center" shrinkToFit="1"/>
    </xf>
    <xf numFmtId="0" fontId="6" fillId="0" borderId="0" xfId="0" applyNumberFormat="1" applyFont="1" applyBorder="1" applyAlignment="1"/>
    <xf numFmtId="0" fontId="9" fillId="0" borderId="0" xfId="0" applyNumberFormat="1" applyFont="1" applyBorder="1" applyAlignment="1">
      <alignment vertical="top"/>
    </xf>
    <xf numFmtId="0" fontId="3" fillId="0" borderId="0" xfId="0" applyNumberFormat="1" applyFont="1" applyBorder="1" applyAlignment="1">
      <alignment vertical="center" shrinkToFit="1"/>
    </xf>
    <xf numFmtId="0" fontId="6" fillId="0" borderId="0" xfId="0" applyNumberFormat="1" applyFont="1" applyBorder="1" applyAlignment="1">
      <alignment vertical="center" shrinkToFit="1"/>
    </xf>
    <xf numFmtId="2" fontId="3" fillId="0" borderId="0" xfId="0" applyNumberFormat="1" applyFont="1" applyBorder="1" applyAlignment="1">
      <alignment horizontal="center" vertical="center"/>
    </xf>
    <xf numFmtId="0" fontId="5" fillId="0" borderId="0" xfId="0" applyNumberFormat="1" applyFont="1" applyBorder="1" applyAlignment="1">
      <alignment horizontal="center"/>
    </xf>
    <xf numFmtId="2" fontId="3" fillId="0" borderId="0" xfId="0" applyNumberFormat="1" applyFont="1" applyBorder="1" applyAlignment="1">
      <alignment horizontal="center"/>
    </xf>
    <xf numFmtId="0" fontId="6" fillId="0" borderId="0" xfId="0" applyNumberFormat="1" applyFont="1" applyBorder="1" applyAlignment="1">
      <alignment horizontal="right"/>
    </xf>
    <xf numFmtId="0" fontId="3" fillId="0" borderId="0" xfId="0" quotePrefix="1" applyNumberFormat="1" applyFont="1" applyBorder="1" applyAlignment="1"/>
    <xf numFmtId="183" fontId="3" fillId="0" borderId="0" xfId="0" applyNumberFormat="1" applyFont="1" applyBorder="1" applyAlignment="1"/>
    <xf numFmtId="2" fontId="3" fillId="0" borderId="0" xfId="0" applyNumberFormat="1" applyFont="1" applyBorder="1" applyAlignment="1"/>
    <xf numFmtId="0" fontId="6" fillId="0" borderId="0" xfId="0" applyNumberFormat="1" applyFont="1" applyBorder="1" applyAlignment="1">
      <alignment vertical="center"/>
    </xf>
    <xf numFmtId="0" fontId="6" fillId="0" borderId="1" xfId="0" applyNumberFormat="1" applyFont="1" applyBorder="1" applyAlignment="1">
      <alignment vertical="center" shrinkToFit="1"/>
    </xf>
    <xf numFmtId="1" fontId="3" fillId="0" borderId="0" xfId="0" applyNumberFormat="1" applyFont="1" applyBorder="1" applyAlignment="1">
      <alignment horizontal="center"/>
    </xf>
    <xf numFmtId="0" fontId="3" fillId="0" borderId="0" xfId="0" applyNumberFormat="1" applyFont="1" applyBorder="1" applyAlignment="1">
      <alignment horizontal="center"/>
    </xf>
    <xf numFmtId="177" fontId="3" fillId="0" borderId="0" xfId="0" applyNumberFormat="1" applyFont="1" applyBorder="1" applyAlignment="1">
      <alignment horizontal="center"/>
    </xf>
    <xf numFmtId="0" fontId="3" fillId="0" borderId="0" xfId="0" applyNumberFormat="1" applyFont="1" applyBorder="1" applyAlignment="1">
      <alignment horizontal="center" vertical="center"/>
    </xf>
    <xf numFmtId="177" fontId="3" fillId="0" borderId="0" xfId="0" applyNumberFormat="1" applyFont="1" applyBorder="1" applyAlignment="1">
      <alignment horizontal="center" vertical="center"/>
    </xf>
    <xf numFmtId="2" fontId="3" fillId="0" borderId="0" xfId="0" applyNumberFormat="1" applyFont="1" applyBorder="1" applyAlignment="1">
      <alignment horizontal="center"/>
    </xf>
    <xf numFmtId="178" fontId="3" fillId="0" borderId="0" xfId="0" applyNumberFormat="1" applyFont="1" applyBorder="1" applyAlignment="1">
      <alignment horizontal="center" vertical="center"/>
    </xf>
    <xf numFmtId="0" fontId="3" fillId="0" borderId="0" xfId="0" applyNumberFormat="1" applyFont="1" applyBorder="1" applyAlignment="1">
      <alignment horizontal="center"/>
    </xf>
    <xf numFmtId="0" fontId="3" fillId="0" borderId="6" xfId="0" applyNumberFormat="1" applyFont="1" applyBorder="1" applyAlignment="1">
      <alignment horizontal="center"/>
    </xf>
    <xf numFmtId="0" fontId="3" fillId="0" borderId="7" xfId="0" applyNumberFormat="1" applyFont="1" applyBorder="1" applyAlignment="1">
      <alignment horizontal="center"/>
    </xf>
    <xf numFmtId="0" fontId="3" fillId="0" borderId="10" xfId="0" applyNumberFormat="1" applyFont="1" applyBorder="1" applyAlignment="1">
      <alignment horizontal="center"/>
    </xf>
    <xf numFmtId="0" fontId="13" fillId="0" borderId="0" xfId="0" applyFont="1" applyFill="1" applyAlignment="1">
      <alignment horizontal="centerContinuous"/>
    </xf>
    <xf numFmtId="0" fontId="14" fillId="0" borderId="0" xfId="0" applyFont="1" applyFill="1" applyAlignment="1">
      <alignment horizontal="centerContinuous"/>
    </xf>
    <xf numFmtId="0" fontId="14" fillId="0" borderId="0" xfId="0" applyFont="1" applyFill="1"/>
    <xf numFmtId="0" fontId="3" fillId="0" borderId="0" xfId="0" applyFont="1" applyFill="1"/>
    <xf numFmtId="0" fontId="15" fillId="0" borderId="0" xfId="0" applyFont="1" applyFill="1"/>
    <xf numFmtId="0" fontId="16" fillId="0" borderId="0" xfId="0" applyFont="1" applyFill="1"/>
    <xf numFmtId="0" fontId="16" fillId="0" borderId="0" xfId="1" applyFont="1" applyFill="1" applyBorder="1">
      <alignment vertical="center"/>
    </xf>
    <xf numFmtId="0" fontId="16" fillId="0" borderId="0" xfId="1" applyFont="1" applyFill="1">
      <alignment vertical="center"/>
    </xf>
    <xf numFmtId="0" fontId="18" fillId="0" borderId="0" xfId="2" applyFill="1" applyAlignment="1" applyProtection="1">
      <alignment vertical="center"/>
    </xf>
    <xf numFmtId="0" fontId="8" fillId="0" borderId="0" xfId="1" applyFont="1" applyFill="1" applyBorder="1">
      <alignment vertical="center"/>
    </xf>
    <xf numFmtId="0" fontId="19" fillId="0" borderId="0" xfId="0" applyFont="1" applyFill="1"/>
    <xf numFmtId="0" fontId="8" fillId="0" borderId="0" xfId="1" applyFont="1" applyFill="1">
      <alignment vertical="center"/>
    </xf>
    <xf numFmtId="0" fontId="16" fillId="0" borderId="0" xfId="1" applyFont="1" applyFill="1" applyAlignment="1">
      <alignment horizontal="left" vertical="center" indent="1"/>
    </xf>
    <xf numFmtId="0" fontId="16" fillId="0" borderId="0" xfId="1" applyFont="1" applyFill="1" applyBorder="1" applyAlignment="1">
      <alignment horizontal="center" vertical="center"/>
    </xf>
    <xf numFmtId="0" fontId="20" fillId="0" borderId="0" xfId="0" applyFont="1" applyAlignment="1">
      <alignment horizontal="left"/>
    </xf>
    <xf numFmtId="0" fontId="0" fillId="0" borderId="0" xfId="0" applyFont="1" applyAlignment="1">
      <alignment horizontal="left"/>
    </xf>
    <xf numFmtId="0" fontId="2" fillId="0" borderId="0" xfId="0" applyFont="1"/>
    <xf numFmtId="0" fontId="0" fillId="0" borderId="0" xfId="0" applyFont="1"/>
    <xf numFmtId="0" fontId="22" fillId="3" borderId="10" xfId="3" applyFill="1" applyBorder="1">
      <alignment vertical="center"/>
    </xf>
    <xf numFmtId="0" fontId="22" fillId="0" borderId="0" xfId="3">
      <alignment vertical="center"/>
    </xf>
    <xf numFmtId="0" fontId="22" fillId="4" borderId="10" xfId="3" applyFill="1" applyBorder="1">
      <alignment vertical="center"/>
    </xf>
    <xf numFmtId="0" fontId="23" fillId="0" borderId="0" xfId="3" applyFont="1">
      <alignment vertical="center"/>
    </xf>
    <xf numFmtId="0" fontId="22" fillId="0" borderId="10" xfId="3" applyBorder="1">
      <alignment vertical="center"/>
    </xf>
    <xf numFmtId="0" fontId="22" fillId="3" borderId="13" xfId="3" applyFill="1" applyBorder="1">
      <alignment vertical="center"/>
    </xf>
    <xf numFmtId="0" fontId="23" fillId="0" borderId="14" xfId="3" applyFont="1" applyFill="1" applyBorder="1">
      <alignment vertical="center"/>
    </xf>
    <xf numFmtId="0" fontId="22" fillId="0" borderId="15" xfId="3" applyBorder="1">
      <alignment vertical="center"/>
    </xf>
    <xf numFmtId="0" fontId="3" fillId="0" borderId="0" xfId="0" applyNumberFormat="1" applyFont="1" applyBorder="1" applyAlignment="1">
      <alignment horizontal="center"/>
    </xf>
    <xf numFmtId="0" fontId="3" fillId="0" borderId="10" xfId="0" applyNumberFormat="1" applyFont="1" applyBorder="1" applyAlignment="1">
      <alignment horizontal="center"/>
    </xf>
    <xf numFmtId="0" fontId="3" fillId="0" borderId="1" xfId="0" applyNumberFormat="1" applyFont="1" applyBorder="1" applyAlignment="1">
      <alignment horizontal="center" vertical="center"/>
    </xf>
    <xf numFmtId="177" fontId="3" fillId="0" borderId="1" xfId="0" applyNumberFormat="1" applyFont="1" applyBorder="1" applyAlignment="1">
      <alignment horizontal="center" vertical="center"/>
    </xf>
    <xf numFmtId="0" fontId="3" fillId="0" borderId="0" xfId="0" applyNumberFormat="1" applyFont="1" applyBorder="1" applyAlignment="1">
      <alignment horizontal="right"/>
    </xf>
    <xf numFmtId="0" fontId="3" fillId="0" borderId="0" xfId="0" applyNumberFormat="1" applyFont="1" applyBorder="1" applyAlignment="1">
      <alignment horizontal="center" vertical="center"/>
    </xf>
    <xf numFmtId="177" fontId="3" fillId="0" borderId="0" xfId="0" applyNumberFormat="1" applyFont="1" applyBorder="1" applyAlignment="1">
      <alignment horizontal="center" vertical="center"/>
    </xf>
    <xf numFmtId="0" fontId="24" fillId="0" borderId="0" xfId="0" applyNumberFormat="1" applyFont="1" applyBorder="1" applyAlignment="1">
      <alignment horizontal="center"/>
    </xf>
    <xf numFmtId="0" fontId="6" fillId="2" borderId="10" xfId="0" applyFont="1" applyFill="1" applyBorder="1" applyAlignment="1">
      <alignment horizontal="center" vertical="center" shrinkToFit="1"/>
    </xf>
    <xf numFmtId="0" fontId="6" fillId="2" borderId="10" xfId="0" applyFont="1" applyFill="1" applyBorder="1" applyAlignment="1">
      <alignment horizontal="center"/>
    </xf>
    <xf numFmtId="0" fontId="6" fillId="2" borderId="10" xfId="0" applyFont="1" applyFill="1" applyBorder="1" applyAlignment="1">
      <alignment horizontal="center" vertical="center" wrapText="1"/>
    </xf>
    <xf numFmtId="0" fontId="24" fillId="0" borderId="10" xfId="0" applyNumberFormat="1" applyFont="1" applyBorder="1" applyAlignment="1">
      <alignment horizontal="center"/>
    </xf>
    <xf numFmtId="0" fontId="24" fillId="0" borderId="5" xfId="0" applyNumberFormat="1" applyFont="1" applyBorder="1" applyAlignment="1">
      <alignment horizontal="center"/>
    </xf>
    <xf numFmtId="0" fontId="24" fillId="0" borderId="5" xfId="0" applyNumberFormat="1" applyFont="1" applyBorder="1" applyAlignment="1"/>
    <xf numFmtId="0" fontId="24" fillId="0" borderId="7" xfId="0" applyNumberFormat="1" applyFont="1" applyBorder="1" applyAlignment="1"/>
    <xf numFmtId="0" fontId="24" fillId="0" borderId="10" xfId="0" applyNumberFormat="1" applyFont="1" applyBorder="1" applyAlignment="1">
      <alignment horizontal="right"/>
    </xf>
    <xf numFmtId="181" fontId="24" fillId="0" borderId="10" xfId="0" applyNumberFormat="1" applyFont="1" applyBorder="1" applyAlignment="1">
      <alignment horizontal="right"/>
    </xf>
    <xf numFmtId="0" fontId="24" fillId="0" borderId="10" xfId="0" applyFont="1" applyBorder="1" applyAlignment="1">
      <alignment horizontal="center"/>
    </xf>
    <xf numFmtId="176" fontId="24" fillId="0" borderId="10" xfId="0" applyNumberFormat="1" applyFont="1" applyBorder="1" applyAlignment="1">
      <alignment horizontal="right"/>
    </xf>
    <xf numFmtId="180" fontId="24" fillId="0" borderId="10" xfId="0" applyNumberFormat="1" applyFont="1" applyBorder="1" applyAlignment="1">
      <alignment horizontal="right"/>
    </xf>
    <xf numFmtId="176" fontId="24" fillId="0" borderId="0" xfId="0" applyNumberFormat="1" applyFont="1" applyBorder="1" applyAlignment="1">
      <alignment horizontal="center"/>
    </xf>
    <xf numFmtId="184" fontId="24" fillId="0" borderId="10" xfId="0" applyNumberFormat="1" applyFont="1" applyBorder="1" applyAlignment="1">
      <alignment horizontal="center"/>
    </xf>
    <xf numFmtId="0" fontId="3" fillId="0" borderId="12" xfId="0" applyNumberFormat="1" applyFont="1" applyBorder="1" applyAlignment="1">
      <alignment horizontal="center"/>
    </xf>
    <xf numFmtId="0" fontId="3" fillId="0" borderId="11" xfId="0" applyNumberFormat="1" applyFont="1" applyBorder="1" applyAlignment="1">
      <alignment horizontal="center"/>
    </xf>
    <xf numFmtId="0" fontId="3" fillId="0" borderId="3" xfId="0" applyNumberFormat="1" applyFont="1" applyBorder="1" applyAlignment="1">
      <alignment horizontal="center"/>
    </xf>
    <xf numFmtId="0" fontId="3" fillId="0" borderId="4" xfId="0" applyNumberFormat="1" applyFont="1" applyBorder="1" applyAlignment="1">
      <alignment horizontal="center"/>
    </xf>
    <xf numFmtId="0" fontId="3" fillId="0" borderId="9" xfId="0" applyNumberFormat="1" applyFont="1" applyBorder="1" applyAlignment="1">
      <alignment horizontal="center"/>
    </xf>
    <xf numFmtId="0" fontId="3" fillId="0" borderId="5" xfId="0" applyNumberFormat="1" applyFont="1" applyBorder="1" applyAlignment="1">
      <alignment horizontal="left"/>
    </xf>
    <xf numFmtId="0" fontId="24" fillId="0" borderId="0" xfId="0" applyFont="1" applyBorder="1" applyAlignment="1">
      <alignment horizontal="center"/>
    </xf>
    <xf numFmtId="176" fontId="24" fillId="0" borderId="0" xfId="0" applyNumberFormat="1" applyFont="1" applyBorder="1" applyAlignment="1">
      <alignment horizontal="right"/>
    </xf>
    <xf numFmtId="0" fontId="24" fillId="0" borderId="0" xfId="0" applyNumberFormat="1" applyFont="1" applyBorder="1" applyAlignment="1">
      <alignment horizontal="right"/>
    </xf>
    <xf numFmtId="180" fontId="24" fillId="0" borderId="0" xfId="0" applyNumberFormat="1" applyFont="1" applyBorder="1" applyAlignment="1">
      <alignment horizontal="right"/>
    </xf>
    <xf numFmtId="0" fontId="24" fillId="0" borderId="0" xfId="0" applyNumberFormat="1" applyFont="1" applyBorder="1" applyAlignment="1"/>
    <xf numFmtId="181" fontId="24" fillId="0" borderId="0" xfId="0" applyNumberFormat="1" applyFont="1" applyBorder="1" applyAlignment="1">
      <alignment horizontal="right"/>
    </xf>
    <xf numFmtId="0" fontId="3" fillId="0" borderId="10" xfId="0" applyNumberFormat="1" applyFont="1" applyBorder="1" applyAlignment="1">
      <alignment horizontal="center"/>
    </xf>
    <xf numFmtId="0" fontId="3" fillId="0" borderId="0" xfId="0" applyNumberFormat="1" applyFont="1" applyBorder="1" applyAlignment="1">
      <alignment horizontal="center"/>
    </xf>
    <xf numFmtId="2" fontId="3" fillId="0" borderId="0" xfId="0" applyNumberFormat="1" applyFont="1" applyBorder="1" applyAlignment="1">
      <alignment horizontal="center"/>
    </xf>
    <xf numFmtId="0" fontId="3" fillId="0" borderId="0" xfId="0" applyNumberFormat="1" applyFont="1" applyBorder="1" applyAlignment="1">
      <alignment horizontal="center" vertical="center"/>
    </xf>
    <xf numFmtId="0" fontId="3" fillId="0" borderId="0" xfId="0" applyNumberFormat="1" applyFont="1" applyBorder="1" applyAlignment="1">
      <alignment horizontal="right"/>
    </xf>
    <xf numFmtId="177" fontId="3" fillId="0" borderId="0" xfId="0" applyNumberFormat="1" applyFont="1" applyBorder="1" applyAlignment="1">
      <alignment horizontal="center"/>
    </xf>
    <xf numFmtId="177" fontId="3" fillId="0" borderId="0" xfId="0" applyNumberFormat="1" applyFont="1" applyBorder="1" applyAlignment="1">
      <alignment horizontal="center" vertical="center"/>
    </xf>
    <xf numFmtId="0" fontId="6" fillId="0" borderId="0" xfId="0" applyNumberFormat="1" applyFont="1" applyBorder="1" applyAlignment="1">
      <alignment horizontal="centerContinuous" vertical="center"/>
    </xf>
    <xf numFmtId="0" fontId="6" fillId="0" borderId="0" xfId="0" applyNumberFormat="1" applyFont="1" applyBorder="1" applyAlignment="1">
      <alignment horizontal="centerContinuous" vertical="center" shrinkToFit="1"/>
    </xf>
    <xf numFmtId="0" fontId="3" fillId="0" borderId="0" xfId="0" applyNumberFormat="1" applyFont="1" applyBorder="1" applyAlignment="1">
      <alignment horizontal="centerContinuous"/>
    </xf>
    <xf numFmtId="0" fontId="3" fillId="0" borderId="1" xfId="0" applyNumberFormat="1" applyFont="1" applyBorder="1" applyAlignment="1"/>
    <xf numFmtId="180" fontId="24" fillId="0" borderId="10" xfId="0" applyNumberFormat="1" applyFont="1" applyBorder="1" applyAlignment="1">
      <alignment horizontal="center"/>
    </xf>
    <xf numFmtId="0" fontId="3" fillId="0" borderId="10" xfId="0" applyNumberFormat="1" applyFont="1" applyBorder="1" applyAlignment="1">
      <alignment horizontal="center"/>
    </xf>
    <xf numFmtId="0" fontId="3" fillId="0" borderId="0" xfId="0" applyNumberFormat="1" applyFont="1" applyBorder="1" applyAlignment="1">
      <alignment horizontal="center"/>
    </xf>
    <xf numFmtId="0" fontId="3" fillId="0" borderId="0" xfId="0" applyNumberFormat="1" applyFont="1" applyBorder="1" applyAlignment="1">
      <alignment horizontal="center" vertical="center"/>
    </xf>
    <xf numFmtId="0" fontId="6" fillId="0" borderId="4" xfId="0" applyNumberFormat="1" applyFont="1" applyBorder="1" applyAlignment="1">
      <alignment horizontal="centerContinuous" vertical="center"/>
    </xf>
    <xf numFmtId="1" fontId="3" fillId="0" borderId="1" xfId="0" applyNumberFormat="1" applyFont="1" applyBorder="1" applyAlignment="1">
      <alignment horizontal="center"/>
    </xf>
    <xf numFmtId="0" fontId="3" fillId="0" borderId="0" xfId="0" quotePrefix="1" applyNumberFormat="1" applyFont="1" applyBorder="1" applyAlignment="1">
      <alignment horizontal="left"/>
    </xf>
    <xf numFmtId="178" fontId="21" fillId="0" borderId="0" xfId="0" applyNumberFormat="1" applyFont="1" applyBorder="1" applyAlignment="1">
      <alignment horizontal="center" vertical="center"/>
    </xf>
    <xf numFmtId="0" fontId="24" fillId="0" borderId="7" xfId="0" applyNumberFormat="1" applyFont="1" applyBorder="1" applyAlignment="1">
      <alignment horizontal="center"/>
    </xf>
    <xf numFmtId="184" fontId="24" fillId="0" borderId="0" xfId="0" applyNumberFormat="1" applyFont="1" applyBorder="1" applyAlignment="1">
      <alignment horizontal="left"/>
    </xf>
    <xf numFmtId="0" fontId="24" fillId="0" borderId="11" xfId="0" applyNumberFormat="1" applyFont="1" applyBorder="1" applyAlignment="1">
      <alignment horizontal="left"/>
    </xf>
    <xf numFmtId="0" fontId="3" fillId="0" borderId="11" xfId="0" applyNumberFormat="1" applyFont="1" applyBorder="1" applyAlignment="1">
      <alignment horizontal="left"/>
    </xf>
    <xf numFmtId="0" fontId="3" fillId="0" borderId="12" xfId="0" applyNumberFormat="1" applyFont="1" applyBorder="1" applyAlignment="1">
      <alignment horizontal="right"/>
    </xf>
    <xf numFmtId="0" fontId="26" fillId="0" borderId="0" xfId="0" applyNumberFormat="1" applyFont="1" applyBorder="1" applyAlignment="1">
      <alignment horizontal="center"/>
    </xf>
    <xf numFmtId="0" fontId="25" fillId="0" borderId="0" xfId="0" applyNumberFormat="1" applyFont="1" applyBorder="1" applyAlignment="1">
      <alignment horizontal="center"/>
    </xf>
    <xf numFmtId="0" fontId="3" fillId="0" borderId="10" xfId="0" applyNumberFormat="1" applyFont="1" applyBorder="1" applyAlignment="1">
      <alignment horizontal="center"/>
    </xf>
    <xf numFmtId="0" fontId="3" fillId="0" borderId="0" xfId="0" applyNumberFormat="1" applyFont="1" applyBorder="1" applyAlignment="1">
      <alignment horizontal="center"/>
    </xf>
    <xf numFmtId="0" fontId="6" fillId="0" borderId="5" xfId="0" applyFont="1" applyFill="1" applyBorder="1" applyAlignment="1">
      <alignment horizontal="left" vertical="center"/>
    </xf>
    <xf numFmtId="0" fontId="6" fillId="0" borderId="6" xfId="0" applyFont="1" applyFill="1" applyBorder="1" applyAlignment="1">
      <alignment horizontal="left" vertical="center"/>
    </xf>
    <xf numFmtId="0" fontId="6" fillId="0" borderId="7" xfId="0" applyFont="1" applyFill="1" applyBorder="1" applyAlignment="1">
      <alignment horizontal="left" vertical="center"/>
    </xf>
    <xf numFmtId="0" fontId="8" fillId="0" borderId="5" xfId="1" applyFont="1" applyFill="1" applyBorder="1" applyAlignment="1">
      <alignment horizontal="left" vertical="center"/>
    </xf>
    <xf numFmtId="0" fontId="8" fillId="0" borderId="6" xfId="1" applyFont="1" applyFill="1" applyBorder="1" applyAlignment="1">
      <alignment horizontal="left" vertical="center"/>
    </xf>
    <xf numFmtId="0" fontId="8" fillId="0" borderId="7" xfId="1" applyFont="1" applyFill="1" applyBorder="1" applyAlignment="1">
      <alignment horizontal="left" vertical="center"/>
    </xf>
    <xf numFmtId="0" fontId="6" fillId="2" borderId="10" xfId="0" applyFont="1" applyFill="1" applyBorder="1" applyAlignment="1">
      <alignment horizontal="center" vertical="center" wrapText="1"/>
    </xf>
    <xf numFmtId="0" fontId="6" fillId="2" borderId="10" xfId="0" applyFont="1" applyFill="1" applyBorder="1" applyAlignment="1">
      <alignment horizontal="center" vertical="center"/>
    </xf>
    <xf numFmtId="0" fontId="6" fillId="2" borderId="10" xfId="0" applyFont="1" applyFill="1" applyBorder="1" applyAlignment="1">
      <alignment horizontal="center"/>
    </xf>
    <xf numFmtId="0" fontId="6" fillId="2" borderId="10" xfId="0" applyFont="1" applyFill="1" applyBorder="1" applyAlignment="1">
      <alignment horizontal="center" vertical="center" shrinkToFit="1"/>
    </xf>
    <xf numFmtId="0" fontId="3" fillId="0" borderId="10" xfId="0" applyNumberFormat="1" applyFont="1" applyBorder="1" applyAlignment="1">
      <alignment horizontal="center"/>
    </xf>
    <xf numFmtId="176" fontId="24" fillId="0" borderId="10" xfId="0" applyNumberFormat="1" applyFont="1" applyBorder="1" applyAlignment="1">
      <alignment horizontal="center"/>
    </xf>
    <xf numFmtId="0" fontId="6" fillId="2" borderId="5" xfId="0" applyFont="1" applyFill="1" applyBorder="1" applyAlignment="1">
      <alignment horizontal="center" vertical="center" shrinkToFit="1"/>
    </xf>
    <xf numFmtId="0" fontId="6" fillId="2" borderId="7" xfId="0" applyFont="1" applyFill="1" applyBorder="1" applyAlignment="1">
      <alignment horizontal="center" vertical="center" shrinkToFit="1"/>
    </xf>
    <xf numFmtId="184" fontId="24" fillId="0" borderId="10" xfId="0" applyNumberFormat="1" applyFont="1" applyBorder="1" applyAlignment="1">
      <alignment horizontal="center"/>
    </xf>
    <xf numFmtId="0" fontId="3" fillId="0" borderId="39" xfId="0" applyNumberFormat="1" applyFont="1" applyFill="1" applyBorder="1" applyAlignment="1">
      <alignment horizontal="center" vertical="center"/>
    </xf>
    <xf numFmtId="0" fontId="3" fillId="0" borderId="40" xfId="0" applyNumberFormat="1" applyFont="1" applyFill="1" applyBorder="1" applyAlignment="1">
      <alignment horizontal="center" vertical="center"/>
    </xf>
    <xf numFmtId="2" fontId="3" fillId="0" borderId="20" xfId="0" applyNumberFormat="1" applyFont="1" applyFill="1" applyBorder="1" applyAlignment="1">
      <alignment horizontal="center" vertical="center"/>
    </xf>
    <xf numFmtId="2" fontId="3" fillId="0" borderId="43" xfId="0" applyNumberFormat="1" applyFont="1" applyFill="1" applyBorder="1" applyAlignment="1">
      <alignment horizontal="center" vertical="center"/>
    </xf>
    <xf numFmtId="1" fontId="3" fillId="0" borderId="19" xfId="0" applyNumberFormat="1" applyFont="1" applyBorder="1" applyAlignment="1">
      <alignment horizontal="center"/>
    </xf>
    <xf numFmtId="1" fontId="3" fillId="0" borderId="20" xfId="0" applyNumberFormat="1" applyFont="1" applyBorder="1" applyAlignment="1">
      <alignment horizontal="center"/>
    </xf>
    <xf numFmtId="1" fontId="3" fillId="0" borderId="43" xfId="0" applyNumberFormat="1" applyFont="1" applyBorder="1" applyAlignment="1">
      <alignment horizontal="center"/>
    </xf>
    <xf numFmtId="2" fontId="3" fillId="0" borderId="19" xfId="0" applyNumberFormat="1" applyFont="1" applyBorder="1" applyAlignment="1">
      <alignment horizontal="center" vertical="center"/>
    </xf>
    <xf numFmtId="2" fontId="3" fillId="0" borderId="20" xfId="0" applyNumberFormat="1" applyFont="1" applyBorder="1" applyAlignment="1">
      <alignment horizontal="center" vertical="center"/>
    </xf>
    <xf numFmtId="2" fontId="3" fillId="0" borderId="43" xfId="0" applyNumberFormat="1" applyFont="1" applyBorder="1" applyAlignment="1">
      <alignment horizontal="center" vertical="center"/>
    </xf>
    <xf numFmtId="1" fontId="3" fillId="0" borderId="37" xfId="0" applyNumberFormat="1" applyFont="1" applyBorder="1" applyAlignment="1">
      <alignment horizontal="center"/>
    </xf>
    <xf numFmtId="1" fontId="3" fillId="0" borderId="21" xfId="0" applyNumberFormat="1" applyFont="1" applyBorder="1" applyAlignment="1">
      <alignment horizontal="center"/>
    </xf>
    <xf numFmtId="0" fontId="3" fillId="0" borderId="51" xfId="0" applyNumberFormat="1" applyFont="1" applyFill="1" applyBorder="1" applyAlignment="1">
      <alignment horizontal="center" vertical="center"/>
    </xf>
    <xf numFmtId="0" fontId="3" fillId="0" borderId="52" xfId="0" applyNumberFormat="1" applyFont="1" applyFill="1" applyBorder="1" applyAlignment="1">
      <alignment horizontal="center" vertical="center"/>
    </xf>
    <xf numFmtId="2" fontId="3" fillId="0" borderId="23" xfId="0" applyNumberFormat="1" applyFont="1" applyFill="1" applyBorder="1" applyAlignment="1">
      <alignment horizontal="center" vertical="center"/>
    </xf>
    <xf numFmtId="2" fontId="3" fillId="0" borderId="44" xfId="0" applyNumberFormat="1" applyFont="1" applyFill="1" applyBorder="1" applyAlignment="1">
      <alignment horizontal="center" vertical="center"/>
    </xf>
    <xf numFmtId="1" fontId="3" fillId="0" borderId="22" xfId="0" applyNumberFormat="1" applyFont="1" applyBorder="1" applyAlignment="1">
      <alignment horizontal="center"/>
    </xf>
    <xf numFmtId="1" fontId="3" fillId="0" borderId="23" xfId="0" applyNumberFormat="1" applyFont="1" applyBorder="1" applyAlignment="1">
      <alignment horizontal="center"/>
    </xf>
    <xf numFmtId="1" fontId="3" fillId="0" borderId="44" xfId="0" applyNumberFormat="1" applyFont="1" applyBorder="1" applyAlignment="1">
      <alignment horizontal="center"/>
    </xf>
    <xf numFmtId="2" fontId="3" fillId="0" borderId="22" xfId="0" applyNumberFormat="1" applyFont="1" applyBorder="1" applyAlignment="1">
      <alignment horizontal="center" vertical="center"/>
    </xf>
    <xf numFmtId="2" fontId="3" fillId="0" borderId="23" xfId="0" applyNumberFormat="1" applyFont="1" applyBorder="1" applyAlignment="1">
      <alignment horizontal="center" vertical="center"/>
    </xf>
    <xf numFmtId="2" fontId="3" fillId="0" borderId="44" xfId="0" applyNumberFormat="1" applyFont="1" applyBorder="1" applyAlignment="1">
      <alignment horizontal="center" vertical="center"/>
    </xf>
    <xf numFmtId="1" fontId="3" fillId="0" borderId="38" xfId="0" applyNumberFormat="1" applyFont="1" applyBorder="1" applyAlignment="1">
      <alignment horizontal="center"/>
    </xf>
    <xf numFmtId="1" fontId="3" fillId="0" borderId="24" xfId="0" applyNumberFormat="1" applyFont="1" applyBorder="1" applyAlignment="1">
      <alignment horizontal="center"/>
    </xf>
    <xf numFmtId="179" fontId="3" fillId="0" borderId="20" xfId="0" applyNumberFormat="1" applyFont="1" applyBorder="1" applyAlignment="1">
      <alignment horizontal="center"/>
    </xf>
    <xf numFmtId="179" fontId="3" fillId="0" borderId="21" xfId="0" applyNumberFormat="1" applyFont="1" applyBorder="1" applyAlignment="1">
      <alignment horizontal="center"/>
    </xf>
    <xf numFmtId="179" fontId="3" fillId="0" borderId="23" xfId="0" applyNumberFormat="1" applyFont="1" applyBorder="1" applyAlignment="1">
      <alignment horizontal="center"/>
    </xf>
    <xf numFmtId="179" fontId="3" fillId="0" borderId="24" xfId="0" applyNumberFormat="1" applyFont="1" applyBorder="1" applyAlignment="1">
      <alignment horizontal="center"/>
    </xf>
    <xf numFmtId="0" fontId="3" fillId="0" borderId="20" xfId="0" applyNumberFormat="1" applyFont="1" applyBorder="1" applyAlignment="1">
      <alignment horizontal="center"/>
    </xf>
    <xf numFmtId="0" fontId="3" fillId="0" borderId="23" xfId="0" applyNumberFormat="1" applyFont="1" applyBorder="1" applyAlignment="1">
      <alignment horizontal="center"/>
    </xf>
    <xf numFmtId="0" fontId="26" fillId="0" borderId="37" xfId="0" applyNumberFormat="1" applyFont="1" applyFill="1" applyBorder="1" applyAlignment="1">
      <alignment horizontal="center" vertical="center"/>
    </xf>
    <xf numFmtId="0" fontId="26" fillId="0" borderId="20" xfId="0" applyNumberFormat="1" applyFont="1" applyFill="1" applyBorder="1" applyAlignment="1">
      <alignment horizontal="center" vertical="center"/>
    </xf>
    <xf numFmtId="0" fontId="26" fillId="0" borderId="38" xfId="0" applyNumberFormat="1" applyFont="1" applyFill="1" applyBorder="1" applyAlignment="1">
      <alignment horizontal="center" vertical="center"/>
    </xf>
    <xf numFmtId="0" fontId="26" fillId="0" borderId="23" xfId="0" applyNumberFormat="1" applyFont="1" applyFill="1" applyBorder="1" applyAlignment="1">
      <alignment horizontal="center" vertical="center"/>
    </xf>
    <xf numFmtId="2" fontId="21" fillId="5" borderId="20" xfId="0" applyNumberFormat="1" applyFont="1" applyFill="1" applyBorder="1" applyAlignment="1">
      <alignment horizontal="center" vertical="center"/>
    </xf>
    <xf numFmtId="0" fontId="3" fillId="0" borderId="20" xfId="0" applyNumberFormat="1" applyFont="1" applyFill="1" applyBorder="1" applyAlignment="1">
      <alignment horizontal="center" vertical="center"/>
    </xf>
    <xf numFmtId="0" fontId="3" fillId="0" borderId="21"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2" fontId="3" fillId="0" borderId="0" xfId="0" applyNumberFormat="1" applyFont="1" applyBorder="1" applyAlignment="1">
      <alignment horizontal="center"/>
    </xf>
    <xf numFmtId="0" fontId="3" fillId="0" borderId="17" xfId="0" applyNumberFormat="1" applyFont="1" applyBorder="1" applyAlignment="1">
      <alignment horizontal="center" vertical="center" wrapText="1"/>
    </xf>
    <xf numFmtId="0" fontId="3" fillId="0" borderId="17" xfId="0" applyNumberFormat="1" applyFont="1" applyBorder="1" applyAlignment="1">
      <alignment horizontal="center" vertical="center"/>
    </xf>
    <xf numFmtId="0" fontId="3" fillId="0" borderId="42" xfId="0" applyNumberFormat="1" applyFont="1" applyBorder="1" applyAlignment="1">
      <alignment horizontal="center" vertical="center"/>
    </xf>
    <xf numFmtId="0" fontId="3" fillId="0" borderId="20" xfId="0" applyNumberFormat="1" applyFont="1" applyBorder="1" applyAlignment="1">
      <alignment horizontal="center" vertical="center" wrapText="1"/>
    </xf>
    <xf numFmtId="0" fontId="3" fillId="0" borderId="20" xfId="0" applyNumberFormat="1" applyFont="1" applyBorder="1" applyAlignment="1">
      <alignment horizontal="center" vertical="center"/>
    </xf>
    <xf numFmtId="0" fontId="3" fillId="0" borderId="43" xfId="0" applyNumberFormat="1" applyFont="1" applyBorder="1" applyAlignment="1">
      <alignment horizontal="center" vertical="center"/>
    </xf>
    <xf numFmtId="0" fontId="3" fillId="0" borderId="23" xfId="0" applyNumberFormat="1" applyFont="1" applyBorder="1" applyAlignment="1">
      <alignment horizontal="center" vertical="center"/>
    </xf>
    <xf numFmtId="0" fontId="3" fillId="0" borderId="44" xfId="0" applyNumberFormat="1" applyFont="1" applyBorder="1" applyAlignment="1">
      <alignment horizontal="center" vertical="center"/>
    </xf>
    <xf numFmtId="0" fontId="3" fillId="0" borderId="16" xfId="0" applyNumberFormat="1" applyFont="1" applyBorder="1" applyAlignment="1">
      <alignment horizontal="center" vertical="center" wrapText="1"/>
    </xf>
    <xf numFmtId="0" fontId="3" fillId="0" borderId="42" xfId="0" applyNumberFormat="1" applyFont="1" applyBorder="1" applyAlignment="1">
      <alignment horizontal="center" vertical="center" wrapText="1"/>
    </xf>
    <xf numFmtId="0" fontId="3" fillId="0" borderId="19" xfId="0" applyNumberFormat="1" applyFont="1" applyBorder="1" applyAlignment="1">
      <alignment horizontal="center" vertical="center" wrapText="1"/>
    </xf>
    <xf numFmtId="0" fontId="3" fillId="0" borderId="43" xfId="0" applyNumberFormat="1" applyFont="1" applyBorder="1" applyAlignment="1">
      <alignment horizontal="center" vertical="center" wrapText="1"/>
    </xf>
    <xf numFmtId="0" fontId="3" fillId="0" borderId="22" xfId="0" applyNumberFormat="1" applyFont="1" applyBorder="1" applyAlignment="1">
      <alignment horizontal="center" vertical="center" wrapText="1"/>
    </xf>
    <xf numFmtId="0" fontId="3" fillId="0" borderId="23" xfId="0" applyNumberFormat="1" applyFont="1" applyBorder="1" applyAlignment="1">
      <alignment horizontal="center" vertical="center" wrapText="1"/>
    </xf>
    <xf numFmtId="0" fontId="3" fillId="0" borderId="44" xfId="0" applyNumberFormat="1" applyFont="1" applyBorder="1" applyAlignment="1">
      <alignment horizontal="center" vertical="center" wrapText="1"/>
    </xf>
    <xf numFmtId="0" fontId="3" fillId="0" borderId="36" xfId="0" applyNumberFormat="1" applyFont="1" applyBorder="1" applyAlignment="1">
      <alignment horizontal="center" vertical="center" wrapText="1"/>
    </xf>
    <xf numFmtId="0" fontId="3" fillId="0" borderId="37" xfId="0" applyNumberFormat="1" applyFont="1" applyBorder="1" applyAlignment="1">
      <alignment horizontal="center" vertical="center" wrapText="1"/>
    </xf>
    <xf numFmtId="0" fontId="3" fillId="0" borderId="38" xfId="0" applyNumberFormat="1" applyFont="1" applyBorder="1" applyAlignment="1">
      <alignment horizontal="center" vertical="center" wrapText="1"/>
    </xf>
    <xf numFmtId="0" fontId="3" fillId="0" borderId="18" xfId="0" applyNumberFormat="1" applyFont="1" applyBorder="1" applyAlignment="1">
      <alignment horizontal="center" vertical="center" wrapText="1"/>
    </xf>
    <xf numFmtId="0" fontId="3" fillId="0" borderId="21" xfId="0" applyNumberFormat="1" applyFont="1" applyBorder="1" applyAlignment="1">
      <alignment horizontal="center" vertical="center" wrapText="1"/>
    </xf>
    <xf numFmtId="0" fontId="3" fillId="0" borderId="24" xfId="0" applyNumberFormat="1" applyFont="1" applyBorder="1" applyAlignment="1">
      <alignment horizontal="center" vertical="center" wrapText="1"/>
    </xf>
    <xf numFmtId="1" fontId="3" fillId="0" borderId="17" xfId="0" applyNumberFormat="1" applyFont="1" applyBorder="1" applyAlignment="1">
      <alignment horizontal="center"/>
    </xf>
    <xf numFmtId="1" fontId="3" fillId="0" borderId="42" xfId="0" applyNumberFormat="1" applyFont="1" applyBorder="1" applyAlignment="1">
      <alignment horizontal="center"/>
    </xf>
    <xf numFmtId="2" fontId="3" fillId="0" borderId="45" xfId="0" applyNumberFormat="1" applyFont="1" applyBorder="1" applyAlignment="1">
      <alignment horizontal="center" vertical="center"/>
    </xf>
    <xf numFmtId="2" fontId="3" fillId="0" borderId="40" xfId="0" applyNumberFormat="1" applyFont="1" applyBorder="1" applyAlignment="1">
      <alignment horizontal="center" vertical="center"/>
    </xf>
    <xf numFmtId="2" fontId="3" fillId="0" borderId="53" xfId="0" applyNumberFormat="1" applyFont="1" applyBorder="1" applyAlignment="1">
      <alignment horizontal="center" vertical="center"/>
    </xf>
    <xf numFmtId="1" fontId="3" fillId="0" borderId="39" xfId="0" applyNumberFormat="1" applyFont="1" applyBorder="1" applyAlignment="1">
      <alignment horizontal="center"/>
    </xf>
    <xf numFmtId="1" fontId="3" fillId="0" borderId="40" xfId="0" applyNumberFormat="1" applyFont="1" applyBorder="1" applyAlignment="1">
      <alignment horizontal="center"/>
    </xf>
    <xf numFmtId="1" fontId="3" fillId="0" borderId="41" xfId="0" applyNumberFormat="1" applyFont="1" applyBorder="1" applyAlignment="1">
      <alignment horizontal="center"/>
    </xf>
    <xf numFmtId="177" fontId="3" fillId="0" borderId="22" xfId="0" applyNumberFormat="1" applyFont="1" applyFill="1" applyBorder="1" applyAlignment="1">
      <alignment horizontal="center" vertical="center"/>
    </xf>
    <xf numFmtId="177" fontId="3" fillId="0" borderId="23" xfId="0" applyNumberFormat="1" applyFont="1" applyFill="1" applyBorder="1" applyAlignment="1">
      <alignment horizontal="center" vertical="center"/>
    </xf>
    <xf numFmtId="177" fontId="3" fillId="0" borderId="19" xfId="0" applyNumberFormat="1" applyFont="1" applyFill="1" applyBorder="1" applyAlignment="1">
      <alignment horizontal="center" vertical="center"/>
    </xf>
    <xf numFmtId="177" fontId="3" fillId="0" borderId="20" xfId="0" applyNumberFormat="1" applyFont="1" applyFill="1" applyBorder="1" applyAlignment="1">
      <alignment horizontal="center" vertical="center"/>
    </xf>
    <xf numFmtId="0" fontId="3" fillId="0" borderId="37" xfId="0" applyNumberFormat="1" applyFont="1" applyFill="1" applyBorder="1" applyAlignment="1">
      <alignment horizontal="center" vertical="center"/>
    </xf>
    <xf numFmtId="0" fontId="3" fillId="0" borderId="43" xfId="0" applyNumberFormat="1" applyFont="1" applyFill="1" applyBorder="1" applyAlignment="1">
      <alignment horizontal="center" vertical="center"/>
    </xf>
    <xf numFmtId="0" fontId="3" fillId="0" borderId="38" xfId="0" applyNumberFormat="1" applyFont="1" applyFill="1" applyBorder="1" applyAlignment="1">
      <alignment horizontal="center" vertical="center"/>
    </xf>
    <xf numFmtId="0" fontId="3" fillId="0" borderId="44" xfId="0" applyNumberFormat="1" applyFont="1" applyFill="1" applyBorder="1" applyAlignment="1">
      <alignment horizontal="center" vertical="center"/>
    </xf>
    <xf numFmtId="0" fontId="3" fillId="0" borderId="36" xfId="0" applyNumberFormat="1" applyFont="1" applyBorder="1" applyAlignment="1">
      <alignment horizontal="center" vertical="center"/>
    </xf>
    <xf numFmtId="0" fontId="3" fillId="0" borderId="18" xfId="0" applyNumberFormat="1" applyFont="1" applyBorder="1" applyAlignment="1">
      <alignment horizontal="center" vertical="center"/>
    </xf>
    <xf numFmtId="0" fontId="3" fillId="0" borderId="16" xfId="0" applyNumberFormat="1" applyFont="1" applyBorder="1" applyAlignment="1">
      <alignment horizontal="center" vertical="center"/>
    </xf>
    <xf numFmtId="0" fontId="3" fillId="0" borderId="21" xfId="0" applyNumberFormat="1" applyFont="1" applyBorder="1" applyAlignment="1">
      <alignment horizontal="center" vertical="center"/>
    </xf>
    <xf numFmtId="0" fontId="3" fillId="0" borderId="24" xfId="0" applyNumberFormat="1" applyFont="1" applyBorder="1" applyAlignment="1">
      <alignment horizontal="center" vertical="center"/>
    </xf>
    <xf numFmtId="0" fontId="3" fillId="0" borderId="37" xfId="0" applyNumberFormat="1" applyFont="1" applyBorder="1" applyAlignment="1">
      <alignment horizontal="center" vertical="center"/>
    </xf>
    <xf numFmtId="0" fontId="3" fillId="0" borderId="38" xfId="0" applyNumberFormat="1" applyFont="1" applyBorder="1" applyAlignment="1">
      <alignment horizontal="center" vertical="center"/>
    </xf>
    <xf numFmtId="0" fontId="3" fillId="0" borderId="19" xfId="0" applyNumberFormat="1" applyFont="1" applyBorder="1" applyAlignment="1">
      <alignment horizontal="center" vertical="center"/>
    </xf>
    <xf numFmtId="0" fontId="3" fillId="0" borderId="22" xfId="0" applyNumberFormat="1" applyFont="1" applyBorder="1" applyAlignment="1">
      <alignment horizontal="center" vertical="center"/>
    </xf>
    <xf numFmtId="177" fontId="3" fillId="0" borderId="37" xfId="0" applyNumberFormat="1" applyFont="1" applyFill="1" applyBorder="1" applyAlignment="1">
      <alignment horizontal="center" vertical="center"/>
    </xf>
    <xf numFmtId="0" fontId="3" fillId="0" borderId="36" xfId="0" applyNumberFormat="1" applyFont="1" applyFill="1" applyBorder="1" applyAlignment="1">
      <alignment horizontal="center" vertical="center"/>
    </xf>
    <xf numFmtId="0" fontId="3" fillId="0" borderId="17" xfId="0" applyNumberFormat="1" applyFont="1" applyFill="1" applyBorder="1" applyAlignment="1">
      <alignment horizontal="center" vertical="center"/>
    </xf>
    <xf numFmtId="0" fontId="3" fillId="0" borderId="18" xfId="0" applyNumberFormat="1" applyFont="1" applyFill="1" applyBorder="1" applyAlignment="1">
      <alignment horizontal="center" vertical="center"/>
    </xf>
    <xf numFmtId="177" fontId="3" fillId="0" borderId="19" xfId="0" applyNumberFormat="1" applyFont="1" applyBorder="1" applyAlignment="1">
      <alignment horizontal="center" vertical="center"/>
    </xf>
    <xf numFmtId="177" fontId="3" fillId="0" borderId="20" xfId="0" applyNumberFormat="1" applyFont="1" applyBorder="1" applyAlignment="1">
      <alignment horizontal="center" vertical="center"/>
    </xf>
    <xf numFmtId="0" fontId="21" fillId="5" borderId="27" xfId="0" applyNumberFormat="1" applyFont="1" applyFill="1" applyBorder="1" applyAlignment="1">
      <alignment horizontal="center" vertical="center"/>
    </xf>
    <xf numFmtId="0" fontId="21" fillId="5" borderId="28" xfId="0" applyNumberFormat="1" applyFont="1" applyFill="1" applyBorder="1" applyAlignment="1">
      <alignment horizontal="center" vertical="center"/>
    </xf>
    <xf numFmtId="0" fontId="21" fillId="5" borderId="54" xfId="0" applyNumberFormat="1" applyFont="1" applyFill="1" applyBorder="1" applyAlignment="1">
      <alignment horizontal="center" vertical="center"/>
    </xf>
    <xf numFmtId="0" fontId="21" fillId="5" borderId="43" xfId="0" applyNumberFormat="1" applyFont="1" applyFill="1" applyBorder="1" applyAlignment="1">
      <alignment horizontal="center" vertical="center"/>
    </xf>
    <xf numFmtId="177" fontId="3" fillId="0" borderId="22" xfId="0" applyNumberFormat="1" applyFont="1" applyBorder="1" applyAlignment="1">
      <alignment horizontal="center" vertical="center"/>
    </xf>
    <xf numFmtId="177" fontId="3" fillId="0" borderId="23" xfId="0" applyNumberFormat="1" applyFont="1" applyBorder="1" applyAlignment="1">
      <alignment horizontal="center" vertical="center"/>
    </xf>
    <xf numFmtId="0" fontId="21" fillId="5" borderId="29" xfId="0" applyNumberFormat="1" applyFont="1" applyFill="1" applyBorder="1" applyAlignment="1">
      <alignment horizontal="center" vertical="center"/>
    </xf>
    <xf numFmtId="0" fontId="21" fillId="5" borderId="30" xfId="0" applyNumberFormat="1" applyFont="1" applyFill="1" applyBorder="1" applyAlignment="1">
      <alignment horizontal="center" vertical="center"/>
    </xf>
    <xf numFmtId="0" fontId="21" fillId="5" borderId="55" xfId="0" applyNumberFormat="1" applyFont="1" applyFill="1" applyBorder="1" applyAlignment="1">
      <alignment horizontal="center" vertical="center"/>
    </xf>
    <xf numFmtId="0" fontId="21" fillId="5" borderId="44" xfId="0" applyNumberFormat="1" applyFont="1" applyFill="1" applyBorder="1" applyAlignment="1">
      <alignment horizontal="center" vertical="center"/>
    </xf>
    <xf numFmtId="177" fontId="3" fillId="0" borderId="10" xfId="0" applyNumberFormat="1" applyFont="1" applyBorder="1" applyAlignment="1">
      <alignment horizontal="center"/>
    </xf>
    <xf numFmtId="177" fontId="3" fillId="0" borderId="5" xfId="0" applyNumberFormat="1" applyFont="1" applyBorder="1" applyAlignment="1">
      <alignment horizontal="center"/>
    </xf>
    <xf numFmtId="0" fontId="3" fillId="0" borderId="10" xfId="0" applyNumberFormat="1" applyFont="1" applyBorder="1" applyAlignment="1">
      <alignment horizontal="center" vertical="center"/>
    </xf>
    <xf numFmtId="177" fontId="3" fillId="0" borderId="10" xfId="0" applyNumberFormat="1" applyFont="1" applyBorder="1" applyAlignment="1">
      <alignment horizontal="center" vertical="center"/>
    </xf>
    <xf numFmtId="177" fontId="3" fillId="0" borderId="2" xfId="0" applyNumberFormat="1" applyFont="1" applyBorder="1" applyAlignment="1">
      <alignment horizontal="center"/>
    </xf>
    <xf numFmtId="177" fontId="3" fillId="0" borderId="1" xfId="0" applyNumberFormat="1" applyFont="1" applyBorder="1" applyAlignment="1">
      <alignment horizontal="center"/>
    </xf>
    <xf numFmtId="2" fontId="3" fillId="0" borderId="10" xfId="0" applyNumberFormat="1" applyFont="1" applyBorder="1" applyAlignment="1">
      <alignment horizontal="center" vertical="center"/>
    </xf>
    <xf numFmtId="2" fontId="3" fillId="0" borderId="5" xfId="0" applyNumberFormat="1" applyFont="1" applyBorder="1" applyAlignment="1">
      <alignment horizontal="center" vertical="center"/>
    </xf>
    <xf numFmtId="0" fontId="3" fillId="0" borderId="47" xfId="0" applyNumberFormat="1" applyFont="1" applyBorder="1" applyAlignment="1">
      <alignment horizontal="center" vertical="center" wrapText="1"/>
    </xf>
    <xf numFmtId="0" fontId="3" fillId="0" borderId="17" xfId="0" applyNumberFormat="1" applyFont="1" applyBorder="1" applyAlignment="1">
      <alignment horizontal="center"/>
    </xf>
    <xf numFmtId="0" fontId="3" fillId="0" borderId="48" xfId="0" applyNumberFormat="1" applyFont="1" applyBorder="1" applyAlignment="1">
      <alignment horizontal="center" vertical="center" wrapText="1"/>
    </xf>
    <xf numFmtId="1" fontId="3" fillId="0" borderId="18" xfId="0" applyNumberFormat="1" applyFont="1" applyBorder="1" applyAlignment="1">
      <alignment horizontal="center"/>
    </xf>
    <xf numFmtId="0" fontId="3" fillId="0" borderId="10" xfId="0" applyNumberFormat="1" applyFont="1" applyBorder="1" applyAlignment="1">
      <alignment horizontal="center" vertical="center" wrapText="1"/>
    </xf>
    <xf numFmtId="0" fontId="3" fillId="0" borderId="5" xfId="0" applyNumberFormat="1" applyFont="1" applyBorder="1" applyAlignment="1">
      <alignment horizontal="center" vertical="center"/>
    </xf>
    <xf numFmtId="0" fontId="6" fillId="0" borderId="4" xfId="0" applyNumberFormat="1" applyFont="1" applyBorder="1" applyAlignment="1">
      <alignment horizontal="center" vertical="center" shrinkToFit="1"/>
    </xf>
    <xf numFmtId="0" fontId="3" fillId="0" borderId="5" xfId="0" applyNumberFormat="1" applyFont="1" applyBorder="1" applyAlignment="1">
      <alignment horizontal="center" vertical="center" wrapText="1"/>
    </xf>
    <xf numFmtId="0" fontId="3" fillId="0" borderId="7" xfId="0" applyNumberFormat="1" applyFont="1" applyBorder="1" applyAlignment="1">
      <alignment horizontal="center" vertical="center"/>
    </xf>
    <xf numFmtId="177" fontId="3" fillId="0" borderId="5" xfId="0" applyNumberFormat="1" applyFont="1" applyBorder="1" applyAlignment="1">
      <alignment horizontal="center" vertical="center"/>
    </xf>
    <xf numFmtId="177" fontId="3" fillId="0" borderId="6" xfId="0" applyNumberFormat="1" applyFont="1" applyBorder="1" applyAlignment="1">
      <alignment horizontal="center" vertical="center"/>
    </xf>
    <xf numFmtId="177" fontId="3" fillId="0" borderId="7" xfId="0" applyNumberFormat="1" applyFont="1" applyBorder="1" applyAlignment="1">
      <alignment horizontal="center" vertical="center"/>
    </xf>
    <xf numFmtId="0" fontId="3" fillId="0" borderId="0" xfId="0" applyNumberFormat="1" applyFont="1" applyBorder="1" applyAlignment="1">
      <alignment horizontal="center"/>
    </xf>
    <xf numFmtId="2" fontId="3" fillId="0" borderId="20" xfId="0" applyNumberFormat="1" applyFont="1" applyBorder="1" applyAlignment="1">
      <alignment horizontal="center"/>
    </xf>
    <xf numFmtId="178" fontId="3" fillId="0" borderId="20" xfId="0" applyNumberFormat="1" applyFont="1" applyBorder="1" applyAlignment="1">
      <alignment horizontal="center" vertical="center"/>
    </xf>
    <xf numFmtId="177" fontId="3" fillId="0" borderId="0" xfId="0" applyNumberFormat="1" applyFont="1" applyBorder="1" applyAlignment="1">
      <alignment horizontal="center"/>
    </xf>
    <xf numFmtId="0" fontId="3" fillId="0" borderId="1" xfId="0" applyNumberFormat="1" applyFont="1" applyBorder="1" applyAlignment="1">
      <alignment horizontal="center" vertical="center" wrapText="1"/>
    </xf>
    <xf numFmtId="0" fontId="3" fillId="0" borderId="4" xfId="0" applyNumberFormat="1" applyFont="1" applyBorder="1" applyAlignment="1">
      <alignment horizontal="center" vertical="center" wrapText="1"/>
    </xf>
    <xf numFmtId="0" fontId="3" fillId="0" borderId="2" xfId="0" applyNumberFormat="1" applyFont="1" applyBorder="1" applyAlignment="1">
      <alignment horizontal="center" vertical="center" wrapText="1"/>
    </xf>
    <xf numFmtId="0" fontId="3" fillId="0" borderId="8" xfId="0" applyNumberFormat="1" applyFont="1" applyBorder="1" applyAlignment="1">
      <alignment horizontal="center" vertical="center" wrapText="1"/>
    </xf>
    <xf numFmtId="0" fontId="3" fillId="0" borderId="3" xfId="0" applyNumberFormat="1" applyFont="1" applyBorder="1" applyAlignment="1">
      <alignment horizontal="center" vertical="center" wrapText="1"/>
    </xf>
    <xf numFmtId="0" fontId="3" fillId="0" borderId="9" xfId="0" applyNumberFormat="1" applyFont="1" applyBorder="1" applyAlignment="1">
      <alignment horizontal="center" vertical="center" wrapText="1"/>
    </xf>
    <xf numFmtId="0" fontId="3" fillId="0" borderId="2" xfId="0" applyNumberFormat="1" applyFont="1" applyBorder="1" applyAlignment="1">
      <alignment horizontal="center" vertical="center" wrapText="1" shrinkToFit="1"/>
    </xf>
    <xf numFmtId="0" fontId="3" fillId="0" borderId="1" xfId="0" applyNumberFormat="1" applyFont="1" applyBorder="1" applyAlignment="1">
      <alignment horizontal="center" vertical="center" wrapText="1" shrinkToFit="1"/>
    </xf>
    <xf numFmtId="0" fontId="3" fillId="0" borderId="3" xfId="0" applyNumberFormat="1" applyFont="1" applyBorder="1" applyAlignment="1">
      <alignment horizontal="center" vertical="center" wrapText="1" shrinkToFit="1"/>
    </xf>
    <xf numFmtId="0" fontId="3" fillId="0" borderId="4" xfId="0" applyNumberFormat="1" applyFont="1" applyBorder="1" applyAlignment="1">
      <alignment horizontal="center" vertical="center" wrapText="1" shrinkToFit="1"/>
    </xf>
    <xf numFmtId="0" fontId="3" fillId="0" borderId="17" xfId="0" applyNumberFormat="1" applyFont="1" applyBorder="1" applyAlignment="1">
      <alignment horizontal="center" vertical="center" wrapText="1" shrinkToFit="1"/>
    </xf>
    <xf numFmtId="0" fontId="3" fillId="0" borderId="23" xfId="0" applyNumberFormat="1" applyFont="1" applyBorder="1" applyAlignment="1">
      <alignment horizontal="center" vertical="center" wrapText="1" shrinkToFit="1"/>
    </xf>
    <xf numFmtId="2" fontId="3" fillId="0" borderId="40" xfId="0" applyNumberFormat="1" applyFont="1" applyBorder="1" applyAlignment="1">
      <alignment horizontal="center"/>
    </xf>
    <xf numFmtId="0" fontId="3" fillId="0" borderId="40" xfId="0" applyNumberFormat="1" applyFont="1" applyBorder="1" applyAlignment="1">
      <alignment horizontal="center"/>
    </xf>
    <xf numFmtId="0" fontId="3" fillId="0" borderId="1" xfId="0" applyNumberFormat="1" applyFont="1" applyBorder="1" applyAlignment="1">
      <alignment horizontal="center" vertical="center"/>
    </xf>
    <xf numFmtId="0" fontId="3" fillId="0" borderId="4" xfId="0" applyNumberFormat="1" applyFont="1" applyBorder="1" applyAlignment="1">
      <alignment horizontal="center" vertical="center"/>
    </xf>
    <xf numFmtId="0" fontId="3" fillId="0" borderId="2" xfId="0" applyNumberFormat="1" applyFont="1" applyBorder="1" applyAlignment="1">
      <alignment horizontal="center" vertical="center"/>
    </xf>
    <xf numFmtId="0" fontId="3" fillId="0" borderId="8" xfId="0" applyNumberFormat="1" applyFont="1" applyBorder="1" applyAlignment="1">
      <alignment horizontal="center" vertical="center"/>
    </xf>
    <xf numFmtId="0" fontId="3" fillId="0" borderId="3" xfId="0" applyNumberFormat="1" applyFont="1" applyBorder="1" applyAlignment="1">
      <alignment horizontal="center" vertical="center"/>
    </xf>
    <xf numFmtId="0" fontId="3" fillId="0" borderId="9" xfId="0" applyNumberFormat="1" applyFont="1" applyBorder="1" applyAlignment="1">
      <alignment horizontal="center" vertical="center"/>
    </xf>
    <xf numFmtId="2" fontId="3" fillId="0" borderId="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3" fillId="0" borderId="3" xfId="0" applyNumberFormat="1" applyFont="1" applyBorder="1" applyAlignment="1">
      <alignment horizontal="center" vertical="center"/>
    </xf>
    <xf numFmtId="2" fontId="3" fillId="0" borderId="4" xfId="0" applyNumberFormat="1" applyFont="1" applyBorder="1" applyAlignment="1">
      <alignment horizontal="center" vertical="center"/>
    </xf>
    <xf numFmtId="2" fontId="3" fillId="0" borderId="10" xfId="0" applyNumberFormat="1" applyFont="1" applyBorder="1" applyAlignment="1">
      <alignment horizontal="center"/>
    </xf>
    <xf numFmtId="0" fontId="3" fillId="0" borderId="5" xfId="0" applyNumberFormat="1" applyFont="1" applyBorder="1" applyAlignment="1">
      <alignment horizontal="center"/>
    </xf>
    <xf numFmtId="177" fontId="3" fillId="0" borderId="6" xfId="0" applyNumberFormat="1" applyFont="1" applyBorder="1" applyAlignment="1">
      <alignment horizontal="center"/>
    </xf>
    <xf numFmtId="177" fontId="3" fillId="0" borderId="7" xfId="0" applyNumberFormat="1" applyFont="1" applyBorder="1" applyAlignment="1">
      <alignment horizontal="center"/>
    </xf>
    <xf numFmtId="0" fontId="6" fillId="0" borderId="0" xfId="0" applyNumberFormat="1" applyFont="1" applyBorder="1" applyAlignment="1">
      <alignment horizontal="center" vertical="center" shrinkToFit="1"/>
    </xf>
    <xf numFmtId="0" fontId="3" fillId="0" borderId="1" xfId="0" applyNumberFormat="1" applyFont="1" applyBorder="1" applyAlignment="1">
      <alignment horizontal="center" vertical="center" shrinkToFit="1"/>
    </xf>
    <xf numFmtId="0" fontId="3" fillId="0" borderId="8" xfId="0" applyNumberFormat="1" applyFont="1" applyBorder="1" applyAlignment="1">
      <alignment horizontal="center" vertical="center" shrinkToFit="1"/>
    </xf>
    <xf numFmtId="0" fontId="3" fillId="0" borderId="3" xfId="0" applyNumberFormat="1" applyFont="1" applyBorder="1" applyAlignment="1">
      <alignment horizontal="center" vertical="center" shrinkToFit="1"/>
    </xf>
    <xf numFmtId="0" fontId="3" fillId="0" borderId="4" xfId="0" applyNumberFormat="1" applyFont="1" applyBorder="1" applyAlignment="1">
      <alignment horizontal="center" vertical="center" shrinkToFit="1"/>
    </xf>
    <xf numFmtId="0" fontId="3" fillId="0" borderId="9" xfId="0" applyNumberFormat="1" applyFont="1" applyBorder="1" applyAlignment="1">
      <alignment horizontal="center" vertical="center" shrinkToFit="1"/>
    </xf>
    <xf numFmtId="0" fontId="3" fillId="0" borderId="6" xfId="0" applyNumberFormat="1" applyFont="1" applyBorder="1" applyAlignment="1">
      <alignment horizontal="center" vertical="center"/>
    </xf>
    <xf numFmtId="0" fontId="3" fillId="0" borderId="6" xfId="0" applyNumberFormat="1" applyFont="1" applyBorder="1" applyAlignment="1">
      <alignment horizontal="center"/>
    </xf>
    <xf numFmtId="0" fontId="3" fillId="0" borderId="7" xfId="0" applyNumberFormat="1" applyFont="1" applyBorder="1" applyAlignment="1">
      <alignment horizontal="center"/>
    </xf>
    <xf numFmtId="2" fontId="3" fillId="0" borderId="6" xfId="0" applyNumberFormat="1" applyFont="1" applyBorder="1" applyAlignment="1">
      <alignment horizontal="center" vertical="center"/>
    </xf>
    <xf numFmtId="177" fontId="3" fillId="0" borderId="20" xfId="0" applyNumberFormat="1" applyFont="1" applyBorder="1" applyAlignment="1">
      <alignment horizontal="center"/>
    </xf>
    <xf numFmtId="177" fontId="3" fillId="0" borderId="21" xfId="0" applyNumberFormat="1" applyFont="1" applyBorder="1" applyAlignment="1">
      <alignment horizontal="center"/>
    </xf>
    <xf numFmtId="178" fontId="3" fillId="0" borderId="40" xfId="0" applyNumberFormat="1" applyFont="1" applyBorder="1" applyAlignment="1">
      <alignment horizontal="center"/>
    </xf>
    <xf numFmtId="178" fontId="3" fillId="0" borderId="20" xfId="0" applyNumberFormat="1" applyFont="1" applyBorder="1" applyAlignment="1">
      <alignment horizontal="center"/>
    </xf>
    <xf numFmtId="177" fontId="3" fillId="0" borderId="40" xfId="0" applyNumberFormat="1" applyFont="1" applyBorder="1" applyAlignment="1">
      <alignment horizontal="center" vertical="center"/>
    </xf>
    <xf numFmtId="178" fontId="3" fillId="0" borderId="40" xfId="0" applyNumberFormat="1" applyFont="1" applyBorder="1" applyAlignment="1">
      <alignment horizontal="center" vertical="center"/>
    </xf>
    <xf numFmtId="178" fontId="3" fillId="0" borderId="41" xfId="0" applyNumberFormat="1" applyFont="1" applyBorder="1" applyAlignment="1">
      <alignment horizontal="center"/>
    </xf>
    <xf numFmtId="178" fontId="3" fillId="0" borderId="21" xfId="0" applyNumberFormat="1" applyFont="1" applyBorder="1" applyAlignment="1">
      <alignment horizontal="center"/>
    </xf>
    <xf numFmtId="0" fontId="3" fillId="0" borderId="39" xfId="0" applyNumberFormat="1" applyFont="1" applyBorder="1" applyAlignment="1">
      <alignment horizontal="center" vertical="center"/>
    </xf>
    <xf numFmtId="0" fontId="3" fillId="0" borderId="40" xfId="0" applyNumberFormat="1" applyFont="1" applyBorder="1" applyAlignment="1">
      <alignment horizontal="center" vertical="center"/>
    </xf>
    <xf numFmtId="0" fontId="3" fillId="0" borderId="0" xfId="0" applyNumberFormat="1" applyFont="1" applyBorder="1" applyAlignment="1">
      <alignment horizontal="right"/>
    </xf>
    <xf numFmtId="178" fontId="21" fillId="0" borderId="10" xfId="0" applyNumberFormat="1" applyFont="1" applyBorder="1" applyAlignment="1">
      <alignment horizontal="center"/>
    </xf>
    <xf numFmtId="178" fontId="21" fillId="0" borderId="6" xfId="0" applyNumberFormat="1" applyFont="1" applyBorder="1" applyAlignment="1">
      <alignment horizontal="center"/>
    </xf>
    <xf numFmtId="178" fontId="21" fillId="0" borderId="7" xfId="0" applyNumberFormat="1" applyFont="1" applyBorder="1" applyAlignment="1">
      <alignment horizontal="center"/>
    </xf>
    <xf numFmtId="177" fontId="3" fillId="0" borderId="2" xfId="0" applyNumberFormat="1" applyFont="1" applyBorder="1" applyAlignment="1">
      <alignment horizontal="center" vertical="center"/>
    </xf>
    <xf numFmtId="177" fontId="3" fillId="0" borderId="1" xfId="0" applyNumberFormat="1" applyFont="1" applyBorder="1" applyAlignment="1">
      <alignment horizontal="center" vertical="center"/>
    </xf>
    <xf numFmtId="177" fontId="3" fillId="0" borderId="3" xfId="0" applyNumberFormat="1" applyFont="1" applyBorder="1" applyAlignment="1">
      <alignment horizontal="center" vertical="center"/>
    </xf>
    <xf numFmtId="177" fontId="3" fillId="0" borderId="4" xfId="0" applyNumberFormat="1" applyFont="1" applyBorder="1" applyAlignment="1">
      <alignment horizontal="center" vertical="center"/>
    </xf>
    <xf numFmtId="178" fontId="3" fillId="0" borderId="10" xfId="0" applyNumberFormat="1" applyFont="1" applyBorder="1" applyAlignment="1">
      <alignment horizontal="center"/>
    </xf>
    <xf numFmtId="178" fontId="21" fillId="0" borderId="2" xfId="0" applyNumberFormat="1" applyFont="1" applyBorder="1" applyAlignment="1">
      <alignment horizontal="center" vertical="center"/>
    </xf>
    <xf numFmtId="178" fontId="21" fillId="0" borderId="1" xfId="0" applyNumberFormat="1" applyFont="1" applyBorder="1" applyAlignment="1">
      <alignment horizontal="center" vertical="center"/>
    </xf>
    <xf numFmtId="178" fontId="21" fillId="0" borderId="8" xfId="0" applyNumberFormat="1" applyFont="1" applyBorder="1" applyAlignment="1">
      <alignment horizontal="center" vertical="center"/>
    </xf>
    <xf numFmtId="178" fontId="21" fillId="0" borderId="3" xfId="0" applyNumberFormat="1" applyFont="1" applyBorder="1" applyAlignment="1">
      <alignment horizontal="center" vertical="center"/>
    </xf>
    <xf numFmtId="178" fontId="21" fillId="0" borderId="4" xfId="0" applyNumberFormat="1" applyFont="1" applyBorder="1" applyAlignment="1">
      <alignment horizontal="center" vertical="center"/>
    </xf>
    <xf numFmtId="178" fontId="21" fillId="0" borderId="9" xfId="0" applyNumberFormat="1" applyFont="1" applyBorder="1" applyAlignment="1">
      <alignment horizontal="center" vertical="center"/>
    </xf>
    <xf numFmtId="0" fontId="3" fillId="0" borderId="0" xfId="0" applyNumberFormat="1" applyFont="1" applyBorder="1" applyAlignment="1">
      <alignment horizontal="center" vertical="center"/>
    </xf>
    <xf numFmtId="0" fontId="3" fillId="0" borderId="11" xfId="0" applyNumberFormat="1" applyFont="1" applyBorder="1" applyAlignment="1">
      <alignment horizontal="center" vertical="center"/>
    </xf>
    <xf numFmtId="177" fontId="3" fillId="0" borderId="8" xfId="0" applyNumberFormat="1" applyFont="1" applyBorder="1" applyAlignment="1">
      <alignment horizontal="center" vertical="center"/>
    </xf>
    <xf numFmtId="177" fontId="3" fillId="0" borderId="12" xfId="0" applyNumberFormat="1" applyFont="1" applyBorder="1" applyAlignment="1">
      <alignment horizontal="center" vertical="center"/>
    </xf>
    <xf numFmtId="177" fontId="3" fillId="0" borderId="0" xfId="0" applyNumberFormat="1" applyFont="1" applyBorder="1" applyAlignment="1">
      <alignment horizontal="center" vertical="center"/>
    </xf>
    <xf numFmtId="177" fontId="3" fillId="0" borderId="11" xfId="0" applyNumberFormat="1" applyFont="1" applyBorder="1" applyAlignment="1">
      <alignment horizontal="center" vertical="center"/>
    </xf>
    <xf numFmtId="177" fontId="3" fillId="0" borderId="9" xfId="0" applyNumberFormat="1" applyFont="1" applyBorder="1" applyAlignment="1">
      <alignment horizontal="center" vertical="center"/>
    </xf>
    <xf numFmtId="0" fontId="3" fillId="0" borderId="10" xfId="0" applyNumberFormat="1" applyFont="1" applyBorder="1" applyAlignment="1">
      <alignment horizontal="center" shrinkToFit="1"/>
    </xf>
    <xf numFmtId="177" fontId="3" fillId="0" borderId="40" xfId="0" applyNumberFormat="1" applyFont="1" applyBorder="1" applyAlignment="1">
      <alignment horizontal="center"/>
    </xf>
    <xf numFmtId="177" fontId="3" fillId="0" borderId="41" xfId="0" applyNumberFormat="1" applyFont="1" applyBorder="1" applyAlignment="1">
      <alignment horizontal="center"/>
    </xf>
    <xf numFmtId="178" fontId="3" fillId="0" borderId="10" xfId="0" applyNumberFormat="1" applyFont="1" applyBorder="1" applyAlignment="1">
      <alignment horizontal="center" vertical="center"/>
    </xf>
    <xf numFmtId="0" fontId="3" fillId="5" borderId="40" xfId="0" applyNumberFormat="1" applyFont="1" applyFill="1" applyBorder="1" applyAlignment="1">
      <alignment horizontal="center"/>
    </xf>
    <xf numFmtId="0" fontId="21" fillId="0" borderId="39" xfId="0" applyNumberFormat="1" applyFont="1" applyFill="1" applyBorder="1" applyAlignment="1">
      <alignment horizontal="center" vertical="center"/>
    </xf>
    <xf numFmtId="0" fontId="21" fillId="0" borderId="40" xfId="0" applyNumberFormat="1" applyFont="1" applyFill="1" applyBorder="1" applyAlignment="1">
      <alignment horizontal="center" vertical="center"/>
    </xf>
    <xf numFmtId="0" fontId="3" fillId="0" borderId="17" xfId="0" applyNumberFormat="1" applyFont="1" applyBorder="1" applyAlignment="1">
      <alignment horizontal="center" vertical="center" shrinkToFit="1"/>
    </xf>
    <xf numFmtId="0" fontId="3" fillId="0" borderId="23" xfId="0" applyNumberFormat="1" applyFont="1" applyBorder="1" applyAlignment="1">
      <alignment horizontal="center" vertical="center" shrinkToFit="1"/>
    </xf>
    <xf numFmtId="177" fontId="3" fillId="5" borderId="40" xfId="0" applyNumberFormat="1" applyFont="1" applyFill="1" applyBorder="1" applyAlignment="1">
      <alignment horizontal="center"/>
    </xf>
    <xf numFmtId="0" fontId="3" fillId="0" borderId="0" xfId="0" applyNumberFormat="1" applyFont="1" applyBorder="1" applyAlignment="1">
      <alignment horizontal="center" shrinkToFit="1"/>
    </xf>
    <xf numFmtId="0" fontId="3" fillId="0" borderId="0" xfId="0" applyNumberFormat="1" applyFont="1" applyBorder="1" applyAlignment="1">
      <alignment horizontal="right" shrinkToFit="1"/>
    </xf>
    <xf numFmtId="0" fontId="3" fillId="5" borderId="20" xfId="0" applyNumberFormat="1" applyFont="1" applyFill="1" applyBorder="1" applyAlignment="1">
      <alignment horizontal="center"/>
    </xf>
    <xf numFmtId="2" fontId="3" fillId="5" borderId="40" xfId="0" applyNumberFormat="1" applyFont="1" applyFill="1" applyBorder="1" applyAlignment="1">
      <alignment horizontal="center" vertical="center"/>
    </xf>
    <xf numFmtId="0" fontId="3" fillId="5" borderId="23" xfId="0" applyNumberFormat="1" applyFont="1" applyFill="1" applyBorder="1" applyAlignment="1">
      <alignment horizontal="center"/>
    </xf>
    <xf numFmtId="12" fontId="3" fillId="0" borderId="0" xfId="0" applyNumberFormat="1" applyFont="1" applyBorder="1" applyAlignment="1">
      <alignment horizontal="center"/>
    </xf>
    <xf numFmtId="178" fontId="3" fillId="0" borderId="0" xfId="0" applyNumberFormat="1" applyFont="1" applyBorder="1" applyAlignment="1">
      <alignment horizontal="center"/>
    </xf>
    <xf numFmtId="2" fontId="3" fillId="0" borderId="16" xfId="0" applyNumberFormat="1" applyFont="1" applyBorder="1" applyAlignment="1">
      <alignment horizontal="center" vertical="center"/>
    </xf>
    <xf numFmtId="2" fontId="3" fillId="0" borderId="17" xfId="0" applyNumberFormat="1" applyFont="1" applyBorder="1" applyAlignment="1">
      <alignment horizontal="center" vertical="center"/>
    </xf>
    <xf numFmtId="2" fontId="3" fillId="0" borderId="42" xfId="0" applyNumberFormat="1" applyFont="1" applyBorder="1" applyAlignment="1">
      <alignment horizontal="center" vertical="center"/>
    </xf>
    <xf numFmtId="1" fontId="3" fillId="0" borderId="16" xfId="0" applyNumberFormat="1" applyFont="1" applyBorder="1" applyAlignment="1">
      <alignment horizontal="center"/>
    </xf>
    <xf numFmtId="1" fontId="3" fillId="0" borderId="7" xfId="0" applyNumberFormat="1" applyFont="1" applyBorder="1" applyAlignment="1">
      <alignment horizontal="center"/>
    </xf>
    <xf numFmtId="1" fontId="3" fillId="0" borderId="10" xfId="0" applyNumberFormat="1" applyFont="1" applyBorder="1" applyAlignment="1">
      <alignment horizontal="center"/>
    </xf>
    <xf numFmtId="1" fontId="3" fillId="0" borderId="5" xfId="0" applyNumberFormat="1" applyFont="1" applyBorder="1" applyAlignment="1">
      <alignment horizontal="center"/>
    </xf>
    <xf numFmtId="2" fontId="3" fillId="5" borderId="41" xfId="0" applyNumberFormat="1" applyFont="1" applyFill="1" applyBorder="1" applyAlignment="1">
      <alignment horizontal="center" vertical="center"/>
    </xf>
    <xf numFmtId="0" fontId="3" fillId="0" borderId="49" xfId="0" applyNumberFormat="1" applyFont="1" applyBorder="1" applyAlignment="1">
      <alignment horizontal="center" vertical="center" wrapText="1"/>
    </xf>
    <xf numFmtId="0" fontId="3" fillId="0" borderId="50" xfId="0" applyNumberFormat="1" applyFont="1" applyBorder="1" applyAlignment="1">
      <alignment horizontal="center" vertical="center" wrapText="1"/>
    </xf>
    <xf numFmtId="0" fontId="3" fillId="0" borderId="57" xfId="0" applyNumberFormat="1" applyFont="1" applyBorder="1" applyAlignment="1">
      <alignment horizontal="center" vertical="center" wrapText="1"/>
    </xf>
    <xf numFmtId="0" fontId="3" fillId="0" borderId="33" xfId="0" applyNumberFormat="1" applyFont="1" applyBorder="1" applyAlignment="1">
      <alignment horizontal="center" vertical="center" wrapText="1"/>
    </xf>
    <xf numFmtId="0" fontId="3" fillId="0" borderId="51" xfId="0" applyNumberFormat="1" applyFont="1" applyBorder="1" applyAlignment="1">
      <alignment horizontal="center" vertical="center" wrapText="1"/>
    </xf>
    <xf numFmtId="0" fontId="3" fillId="0" borderId="52" xfId="0" applyNumberFormat="1" applyFont="1" applyBorder="1" applyAlignment="1">
      <alignment horizontal="center" vertical="center" wrapText="1"/>
    </xf>
    <xf numFmtId="0" fontId="3" fillId="0" borderId="56" xfId="0" applyNumberFormat="1" applyFont="1" applyBorder="1" applyAlignment="1">
      <alignment horizontal="center" vertical="center" wrapText="1"/>
    </xf>
    <xf numFmtId="0" fontId="3" fillId="0" borderId="34" xfId="0" applyNumberFormat="1" applyFont="1" applyBorder="1" applyAlignment="1">
      <alignment horizontal="center" vertical="center" wrapText="1"/>
    </xf>
    <xf numFmtId="0" fontId="3" fillId="0" borderId="58" xfId="0" applyNumberFormat="1" applyFont="1" applyBorder="1" applyAlignment="1">
      <alignment horizontal="center" vertical="center" wrapText="1"/>
    </xf>
    <xf numFmtId="0" fontId="3" fillId="0" borderId="18" xfId="0" applyNumberFormat="1" applyFont="1" applyBorder="1" applyAlignment="1">
      <alignment horizontal="center" vertical="center" wrapText="1" shrinkToFit="1"/>
    </xf>
    <xf numFmtId="0" fontId="3" fillId="0" borderId="20" xfId="0" applyNumberFormat="1" applyFont="1" applyBorder="1" applyAlignment="1">
      <alignment horizontal="center" vertical="center" wrapText="1" shrinkToFit="1"/>
    </xf>
    <xf numFmtId="0" fontId="3" fillId="0" borderId="21" xfId="0" applyNumberFormat="1" applyFont="1" applyBorder="1" applyAlignment="1">
      <alignment horizontal="center" vertical="center" wrapText="1" shrinkToFit="1"/>
    </xf>
    <xf numFmtId="0" fontId="3" fillId="0" borderId="24" xfId="0" applyNumberFormat="1" applyFont="1" applyBorder="1" applyAlignment="1">
      <alignment horizontal="center" vertical="center" wrapText="1" shrinkToFit="1"/>
    </xf>
    <xf numFmtId="2" fontId="3" fillId="0" borderId="17" xfId="0" applyNumberFormat="1" applyFont="1" applyFill="1" applyBorder="1" applyAlignment="1">
      <alignment horizontal="center" vertical="center"/>
    </xf>
    <xf numFmtId="2" fontId="3" fillId="0" borderId="42" xfId="0" applyNumberFormat="1" applyFont="1" applyFill="1" applyBorder="1" applyAlignment="1">
      <alignment horizontal="center" vertical="center"/>
    </xf>
    <xf numFmtId="1" fontId="3" fillId="0" borderId="53" xfId="0" applyNumberFormat="1" applyFont="1" applyBorder="1" applyAlignment="1">
      <alignment horizontal="center"/>
    </xf>
    <xf numFmtId="1" fontId="3" fillId="0" borderId="45" xfId="0" applyNumberFormat="1" applyFont="1" applyBorder="1" applyAlignment="1">
      <alignment horizontal="center"/>
    </xf>
    <xf numFmtId="0" fontId="3" fillId="0" borderId="59" xfId="0" applyNumberFormat="1" applyFont="1" applyBorder="1" applyAlignment="1">
      <alignment horizontal="center" vertical="center" wrapText="1"/>
    </xf>
    <xf numFmtId="0" fontId="3" fillId="0" borderId="60" xfId="0" applyNumberFormat="1" applyFont="1" applyBorder="1" applyAlignment="1">
      <alignment horizontal="center" vertical="center" wrapText="1"/>
    </xf>
    <xf numFmtId="0" fontId="3" fillId="0" borderId="32" xfId="0" applyNumberFormat="1" applyFont="1" applyBorder="1" applyAlignment="1">
      <alignment horizontal="center" vertical="center" wrapText="1"/>
    </xf>
    <xf numFmtId="0" fontId="3" fillId="0" borderId="61" xfId="0" applyNumberFormat="1" applyFont="1" applyBorder="1" applyAlignment="1">
      <alignment horizontal="center" vertical="center" wrapText="1"/>
    </xf>
    <xf numFmtId="0" fontId="3" fillId="0" borderId="62" xfId="0" applyNumberFormat="1" applyFont="1" applyBorder="1" applyAlignment="1">
      <alignment horizontal="center" vertical="center" wrapText="1"/>
    </xf>
    <xf numFmtId="0" fontId="3" fillId="0" borderId="63" xfId="0" applyNumberFormat="1" applyFont="1" applyBorder="1" applyAlignment="1">
      <alignment horizontal="center" vertical="center" wrapText="1"/>
    </xf>
    <xf numFmtId="0" fontId="3" fillId="0" borderId="19" xfId="0" applyNumberFormat="1" applyFont="1" applyBorder="1" applyAlignment="1">
      <alignment horizontal="center" vertical="center" wrapText="1" shrinkToFit="1"/>
    </xf>
    <xf numFmtId="0" fontId="3" fillId="0" borderId="20" xfId="0" applyNumberFormat="1" applyFont="1" applyBorder="1" applyAlignment="1">
      <alignment horizontal="center" vertical="center" shrinkToFit="1"/>
    </xf>
    <xf numFmtId="0" fontId="3" fillId="0" borderId="22" xfId="0" applyNumberFormat="1" applyFont="1" applyBorder="1" applyAlignment="1">
      <alignment horizontal="center" vertical="center" shrinkToFit="1"/>
    </xf>
    <xf numFmtId="0" fontId="3" fillId="0" borderId="21" xfId="0" applyNumberFormat="1" applyFont="1" applyBorder="1" applyAlignment="1">
      <alignment horizontal="center"/>
    </xf>
    <xf numFmtId="0" fontId="3" fillId="0" borderId="50" xfId="0" applyNumberFormat="1" applyFont="1" applyBorder="1" applyAlignment="1">
      <alignment horizontal="center" vertical="center" wrapText="1" shrinkToFit="1"/>
    </xf>
    <xf numFmtId="0" fontId="3" fillId="0" borderId="47" xfId="0" applyNumberFormat="1" applyFont="1" applyBorder="1" applyAlignment="1">
      <alignment horizontal="center" vertical="center" shrinkToFit="1"/>
    </xf>
    <xf numFmtId="179" fontId="3" fillId="0" borderId="0" xfId="0" applyNumberFormat="1" applyFont="1" applyBorder="1" applyAlignment="1">
      <alignment horizontal="center"/>
    </xf>
    <xf numFmtId="0" fontId="3" fillId="0" borderId="1" xfId="0" applyNumberFormat="1" applyFont="1" applyBorder="1" applyAlignment="1">
      <alignment horizontal="center"/>
    </xf>
    <xf numFmtId="177" fontId="3" fillId="0" borderId="16" xfId="0" applyNumberFormat="1" applyFont="1" applyFill="1" applyBorder="1" applyAlignment="1">
      <alignment horizontal="center" vertical="center"/>
    </xf>
    <xf numFmtId="177" fontId="3" fillId="0" borderId="17" xfId="0" applyNumberFormat="1" applyFont="1" applyFill="1" applyBorder="1" applyAlignment="1">
      <alignment horizontal="center" vertical="center"/>
    </xf>
    <xf numFmtId="178" fontId="3" fillId="0" borderId="23" xfId="0" applyNumberFormat="1" applyFont="1" applyBorder="1" applyAlignment="1">
      <alignment horizontal="center" vertical="center"/>
    </xf>
    <xf numFmtId="0" fontId="3" fillId="0" borderId="33" xfId="0" applyNumberFormat="1" applyFont="1" applyBorder="1" applyAlignment="1">
      <alignment horizontal="center" vertical="center"/>
    </xf>
    <xf numFmtId="0" fontId="3" fillId="0" borderId="34" xfId="0" applyNumberFormat="1" applyFont="1" applyBorder="1" applyAlignment="1">
      <alignment horizontal="center" vertical="center"/>
    </xf>
    <xf numFmtId="0" fontId="3" fillId="0" borderId="31" xfId="0" applyNumberFormat="1" applyFont="1" applyBorder="1" applyAlignment="1">
      <alignment horizontal="center" vertical="center"/>
    </xf>
    <xf numFmtId="0" fontId="3" fillId="0" borderId="35" xfId="0" applyNumberFormat="1" applyFont="1" applyBorder="1" applyAlignment="1">
      <alignment horizontal="center" vertical="center"/>
    </xf>
    <xf numFmtId="0" fontId="6" fillId="0" borderId="0" xfId="0" applyNumberFormat="1" applyFont="1" applyBorder="1" applyAlignment="1">
      <alignment horizontal="center" shrinkToFit="1"/>
    </xf>
    <xf numFmtId="0" fontId="3" fillId="0" borderId="10" xfId="0" applyNumberFormat="1" applyFont="1" applyBorder="1" applyAlignment="1">
      <alignment horizontal="center" vertical="center" shrinkToFit="1"/>
    </xf>
    <xf numFmtId="0" fontId="3" fillId="0" borderId="10" xfId="0" applyNumberFormat="1" applyFont="1" applyBorder="1" applyAlignment="1">
      <alignment horizontal="center" vertical="center" wrapText="1" shrinkToFit="1"/>
    </xf>
    <xf numFmtId="0" fontId="3" fillId="0" borderId="5" xfId="0" applyNumberFormat="1" applyFont="1" applyBorder="1" applyAlignment="1">
      <alignment horizontal="center" vertical="center" wrapText="1" shrinkToFit="1"/>
    </xf>
    <xf numFmtId="182" fontId="5" fillId="0" borderId="0" xfId="0" applyNumberFormat="1" applyFont="1" applyBorder="1" applyAlignment="1">
      <alignment horizontal="left"/>
    </xf>
    <xf numFmtId="0" fontId="3" fillId="0" borderId="32" xfId="0" applyNumberFormat="1" applyFont="1" applyBorder="1" applyAlignment="1">
      <alignment horizontal="center" vertical="center"/>
    </xf>
    <xf numFmtId="0" fontId="21" fillId="5" borderId="10" xfId="0" applyNumberFormat="1" applyFont="1" applyFill="1" applyBorder="1" applyAlignment="1">
      <alignment horizontal="center" vertical="center"/>
    </xf>
    <xf numFmtId="2" fontId="25" fillId="5" borderId="10" xfId="0" applyNumberFormat="1" applyFont="1" applyFill="1" applyBorder="1" applyAlignment="1">
      <alignment horizontal="center" vertical="center"/>
    </xf>
    <xf numFmtId="0" fontId="3" fillId="0" borderId="10" xfId="0" applyNumberFormat="1" applyFont="1" applyFill="1" applyBorder="1" applyAlignment="1">
      <alignment horizontal="center" vertical="center"/>
    </xf>
    <xf numFmtId="0" fontId="21" fillId="5" borderId="42" xfId="0" applyNumberFormat="1" applyFont="1" applyFill="1" applyBorder="1" applyAlignment="1">
      <alignment horizontal="center" vertical="center"/>
    </xf>
    <xf numFmtId="0" fontId="21" fillId="5" borderId="26" xfId="0" applyNumberFormat="1" applyFont="1" applyFill="1" applyBorder="1" applyAlignment="1">
      <alignment horizontal="center" vertical="center"/>
    </xf>
    <xf numFmtId="177" fontId="3" fillId="0" borderId="16" xfId="0" applyNumberFormat="1" applyFont="1" applyBorder="1" applyAlignment="1">
      <alignment horizontal="center" vertical="center"/>
    </xf>
    <xf numFmtId="177" fontId="3" fillId="0" borderId="17" xfId="0" applyNumberFormat="1" applyFont="1" applyBorder="1" applyAlignment="1">
      <alignment horizontal="center" vertical="center"/>
    </xf>
    <xf numFmtId="0" fontId="3" fillId="0" borderId="7" xfId="0" applyNumberFormat="1" applyFont="1" applyBorder="1" applyAlignment="1">
      <alignment horizontal="center" vertical="center" wrapText="1"/>
    </xf>
    <xf numFmtId="0" fontId="3" fillId="0" borderId="13" xfId="0" applyNumberFormat="1" applyFont="1" applyBorder="1" applyAlignment="1">
      <alignment horizontal="center" vertical="center"/>
    </xf>
    <xf numFmtId="0" fontId="3" fillId="0" borderId="64" xfId="0" applyNumberFormat="1" applyFont="1" applyBorder="1" applyAlignment="1">
      <alignment horizontal="center" vertical="center"/>
    </xf>
    <xf numFmtId="0" fontId="3" fillId="0" borderId="60" xfId="0" applyNumberFormat="1" applyFont="1" applyBorder="1" applyAlignment="1">
      <alignment horizontal="center" vertical="center"/>
    </xf>
    <xf numFmtId="0" fontId="21" fillId="5" borderId="25" xfId="0" applyNumberFormat="1" applyFont="1" applyFill="1" applyBorder="1" applyAlignment="1">
      <alignment horizontal="center" vertical="center"/>
    </xf>
    <xf numFmtId="0" fontId="21" fillId="5" borderId="31" xfId="0" applyNumberFormat="1" applyFont="1" applyFill="1" applyBorder="1" applyAlignment="1">
      <alignment horizontal="center" vertical="center"/>
    </xf>
    <xf numFmtId="177" fontId="3" fillId="0" borderId="38" xfId="0" applyNumberFormat="1" applyFont="1" applyFill="1" applyBorder="1" applyAlignment="1">
      <alignment horizontal="center" vertical="center"/>
    </xf>
    <xf numFmtId="177" fontId="3" fillId="0" borderId="36" xfId="0" applyNumberFormat="1" applyFont="1" applyFill="1" applyBorder="1" applyAlignment="1">
      <alignment horizontal="center" vertical="center"/>
    </xf>
    <xf numFmtId="0" fontId="3" fillId="0" borderId="42" xfId="0" applyNumberFormat="1" applyFont="1" applyFill="1" applyBorder="1" applyAlignment="1">
      <alignment horizontal="center" vertical="center"/>
    </xf>
    <xf numFmtId="0" fontId="3" fillId="0" borderId="48" xfId="0" applyNumberFormat="1" applyFont="1" applyBorder="1" applyAlignment="1">
      <alignment horizontal="center" vertical="center" shrinkToFit="1"/>
    </xf>
    <xf numFmtId="178" fontId="3" fillId="0" borderId="41" xfId="0" applyNumberFormat="1" applyFont="1" applyBorder="1" applyAlignment="1">
      <alignment horizontal="center" vertical="center"/>
    </xf>
    <xf numFmtId="0" fontId="3" fillId="0" borderId="41" xfId="0" applyNumberFormat="1" applyFont="1" applyBorder="1" applyAlignment="1">
      <alignment horizontal="center" vertical="center"/>
    </xf>
    <xf numFmtId="0" fontId="3" fillId="0" borderId="46" xfId="0" applyNumberFormat="1" applyFont="1" applyBorder="1" applyAlignment="1">
      <alignment horizontal="center" vertical="center"/>
    </xf>
    <xf numFmtId="0" fontId="3" fillId="0" borderId="47" xfId="0" applyNumberFormat="1" applyFont="1" applyBorder="1" applyAlignment="1">
      <alignment horizontal="center" vertical="center"/>
    </xf>
    <xf numFmtId="0" fontId="3" fillId="0" borderId="48" xfId="0" applyNumberFormat="1" applyFont="1" applyBorder="1" applyAlignment="1">
      <alignment horizontal="center" vertical="center"/>
    </xf>
    <xf numFmtId="178" fontId="3" fillId="0" borderId="24" xfId="0" applyNumberFormat="1" applyFont="1" applyBorder="1" applyAlignment="1">
      <alignment horizontal="center" vertical="center"/>
    </xf>
    <xf numFmtId="182" fontId="3" fillId="0" borderId="0" xfId="0" applyNumberFormat="1" applyFont="1" applyBorder="1" applyAlignment="1">
      <alignment horizontal="right"/>
    </xf>
    <xf numFmtId="0" fontId="26" fillId="0" borderId="39" xfId="0" applyNumberFormat="1" applyFont="1" applyFill="1" applyBorder="1" applyAlignment="1">
      <alignment horizontal="center" vertical="center"/>
    </xf>
    <xf numFmtId="0" fontId="26" fillId="0" borderId="40" xfId="0" applyNumberFormat="1" applyFont="1" applyFill="1" applyBorder="1" applyAlignment="1">
      <alignment horizontal="center" vertical="center"/>
    </xf>
    <xf numFmtId="0" fontId="3" fillId="0" borderId="0" xfId="0" applyNumberFormat="1" applyFont="1" applyBorder="1" applyAlignment="1">
      <alignment horizontal="center" vertical="center" wrapText="1"/>
    </xf>
    <xf numFmtId="0" fontId="3" fillId="0" borderId="11" xfId="0" applyNumberFormat="1" applyFont="1" applyBorder="1" applyAlignment="1">
      <alignment horizontal="center" vertical="center" wrapText="1"/>
    </xf>
    <xf numFmtId="0" fontId="3" fillId="0" borderId="12" xfId="0" applyNumberFormat="1" applyFont="1" applyBorder="1" applyAlignment="1">
      <alignment horizontal="center" vertical="center" wrapText="1" shrinkToFit="1"/>
    </xf>
    <xf numFmtId="0" fontId="3" fillId="0" borderId="0" xfId="0" applyNumberFormat="1" applyFont="1" applyBorder="1" applyAlignment="1">
      <alignment horizontal="center" vertical="center" shrinkToFit="1"/>
    </xf>
    <xf numFmtId="0" fontId="3" fillId="0" borderId="11" xfId="0" applyNumberFormat="1" applyFont="1" applyBorder="1" applyAlignment="1">
      <alignment horizontal="center" vertical="center" shrinkToFit="1"/>
    </xf>
    <xf numFmtId="0" fontId="3" fillId="0" borderId="50" xfId="0" applyNumberFormat="1" applyFont="1" applyBorder="1" applyAlignment="1">
      <alignment horizontal="center" vertical="center" shrinkToFit="1"/>
    </xf>
    <xf numFmtId="0" fontId="3" fillId="0" borderId="52" xfId="0" applyNumberFormat="1" applyFont="1" applyBorder="1" applyAlignment="1">
      <alignment horizontal="center" vertical="center" shrinkToFit="1"/>
    </xf>
    <xf numFmtId="2" fontId="21" fillId="5" borderId="23" xfId="0" applyNumberFormat="1" applyFont="1" applyFill="1" applyBorder="1" applyAlignment="1">
      <alignment horizontal="center" vertical="center"/>
    </xf>
    <xf numFmtId="2" fontId="3" fillId="0" borderId="17" xfId="0" applyNumberFormat="1" applyFont="1" applyBorder="1" applyAlignment="1">
      <alignment horizontal="center"/>
    </xf>
    <xf numFmtId="0" fontId="3" fillId="0" borderId="41" xfId="0" applyNumberFormat="1" applyFont="1" applyBorder="1" applyAlignment="1">
      <alignment horizontal="center"/>
    </xf>
    <xf numFmtId="2" fontId="21" fillId="5" borderId="40" xfId="0" applyNumberFormat="1" applyFont="1" applyFill="1" applyBorder="1" applyAlignment="1">
      <alignment horizontal="center" vertical="center"/>
    </xf>
    <xf numFmtId="181" fontId="3" fillId="0" borderId="0" xfId="0" applyNumberFormat="1" applyFont="1" applyBorder="1" applyAlignment="1">
      <alignment horizontal="center"/>
    </xf>
    <xf numFmtId="179" fontId="3" fillId="0" borderId="40" xfId="0" applyNumberFormat="1" applyFont="1" applyBorder="1" applyAlignment="1">
      <alignment horizontal="center"/>
    </xf>
    <xf numFmtId="179" fontId="3" fillId="0" borderId="41" xfId="0" applyNumberFormat="1" applyFont="1" applyBorder="1" applyAlignment="1">
      <alignment horizontal="center"/>
    </xf>
    <xf numFmtId="0" fontId="21" fillId="0" borderId="36" xfId="0" applyNumberFormat="1" applyFont="1" applyFill="1" applyBorder="1" applyAlignment="1">
      <alignment horizontal="center" vertical="center"/>
    </xf>
    <xf numFmtId="0" fontId="21" fillId="0" borderId="17" xfId="0" applyNumberFormat="1" applyFont="1" applyFill="1" applyBorder="1" applyAlignment="1">
      <alignment horizontal="center" vertical="center"/>
    </xf>
    <xf numFmtId="0" fontId="21" fillId="0" borderId="37" xfId="0" applyNumberFormat="1" applyFont="1" applyFill="1" applyBorder="1" applyAlignment="1">
      <alignment horizontal="center" vertical="center"/>
    </xf>
    <xf numFmtId="0" fontId="21" fillId="0" borderId="20" xfId="0" applyNumberFormat="1" applyFont="1" applyFill="1" applyBorder="1" applyAlignment="1">
      <alignment horizontal="center" vertical="center"/>
    </xf>
    <xf numFmtId="0" fontId="21" fillId="0" borderId="38" xfId="0" applyNumberFormat="1" applyFont="1" applyFill="1" applyBorder="1" applyAlignment="1">
      <alignment horizontal="center" vertical="center"/>
    </xf>
    <xf numFmtId="0" fontId="21" fillId="0" borderId="23" xfId="0" applyNumberFormat="1" applyFont="1" applyFill="1" applyBorder="1" applyAlignment="1">
      <alignment horizontal="center" vertical="center"/>
    </xf>
    <xf numFmtId="2" fontId="3" fillId="5" borderId="20" xfId="0" applyNumberFormat="1" applyFont="1" applyFill="1" applyBorder="1" applyAlignment="1">
      <alignment horizontal="center" vertical="center"/>
    </xf>
    <xf numFmtId="2" fontId="3" fillId="5" borderId="23" xfId="0" applyNumberFormat="1" applyFont="1" applyFill="1" applyBorder="1" applyAlignment="1">
      <alignment horizontal="center" vertical="center"/>
    </xf>
    <xf numFmtId="2" fontId="3" fillId="0" borderId="23" xfId="0" applyNumberFormat="1" applyFont="1" applyBorder="1" applyAlignment="1">
      <alignment horizontal="center"/>
    </xf>
    <xf numFmtId="2" fontId="3" fillId="5" borderId="17" xfId="0" applyNumberFormat="1" applyFont="1" applyFill="1" applyBorder="1" applyAlignment="1">
      <alignment horizontal="center" vertical="center"/>
    </xf>
    <xf numFmtId="2" fontId="3" fillId="5" borderId="45" xfId="0" applyNumberFormat="1" applyFont="1" applyFill="1" applyBorder="1" applyAlignment="1">
      <alignment horizontal="center" vertical="center"/>
    </xf>
    <xf numFmtId="2" fontId="3" fillId="5" borderId="19" xfId="0" applyNumberFormat="1" applyFont="1" applyFill="1" applyBorder="1" applyAlignment="1">
      <alignment horizontal="center" vertical="center"/>
    </xf>
    <xf numFmtId="2" fontId="3" fillId="5" borderId="22" xfId="0" applyNumberFormat="1" applyFont="1" applyFill="1" applyBorder="1" applyAlignment="1">
      <alignment horizontal="center" vertical="center"/>
    </xf>
    <xf numFmtId="2" fontId="3" fillId="5" borderId="37" xfId="0" applyNumberFormat="1" applyFont="1" applyFill="1" applyBorder="1" applyAlignment="1">
      <alignment horizontal="center" vertical="center"/>
    </xf>
    <xf numFmtId="0" fontId="3" fillId="0" borderId="24" xfId="0" applyNumberFormat="1" applyFont="1" applyBorder="1" applyAlignment="1">
      <alignment horizontal="center"/>
    </xf>
    <xf numFmtId="2" fontId="3" fillId="5" borderId="38" xfId="0" applyNumberFormat="1" applyFont="1" applyFill="1" applyBorder="1" applyAlignment="1">
      <alignment horizontal="center" vertical="center"/>
    </xf>
    <xf numFmtId="0" fontId="3" fillId="0" borderId="37" xfId="0" applyNumberFormat="1" applyFont="1" applyBorder="1" applyAlignment="1">
      <alignment horizontal="center" vertical="center" wrapText="1" shrinkToFit="1"/>
    </xf>
    <xf numFmtId="0" fontId="3" fillId="0" borderId="38" xfId="0" applyNumberFormat="1" applyFont="1" applyBorder="1" applyAlignment="1">
      <alignment horizontal="center" vertical="center" shrinkToFit="1"/>
    </xf>
    <xf numFmtId="2" fontId="3" fillId="5" borderId="39" xfId="0" applyNumberFormat="1" applyFont="1" applyFill="1" applyBorder="1" applyAlignment="1">
      <alignment horizontal="center" vertical="center"/>
    </xf>
    <xf numFmtId="0" fontId="6" fillId="0" borderId="16" xfId="0" applyNumberFormat="1" applyFont="1" applyBorder="1" applyAlignment="1">
      <alignment horizontal="center" vertical="center"/>
    </xf>
    <xf numFmtId="0" fontId="6" fillId="0" borderId="17" xfId="0" applyNumberFormat="1" applyFont="1" applyBorder="1" applyAlignment="1">
      <alignment horizontal="center" vertical="center"/>
    </xf>
    <xf numFmtId="0" fontId="6" fillId="0" borderId="42" xfId="0" applyNumberFormat="1" applyFont="1" applyBorder="1" applyAlignment="1">
      <alignment horizontal="center" vertical="center"/>
    </xf>
    <xf numFmtId="0" fontId="6" fillId="0" borderId="36" xfId="0" applyNumberFormat="1" applyFont="1" applyBorder="1" applyAlignment="1">
      <alignment horizontal="center" vertical="center"/>
    </xf>
    <xf numFmtId="0" fontId="6" fillId="0" borderId="18" xfId="0" applyNumberFormat="1" applyFont="1" applyBorder="1" applyAlignment="1">
      <alignment horizontal="center" vertical="center"/>
    </xf>
    <xf numFmtId="2" fontId="3" fillId="5" borderId="21" xfId="0" applyNumberFormat="1" applyFont="1" applyFill="1" applyBorder="1" applyAlignment="1">
      <alignment horizontal="center" vertical="center"/>
    </xf>
    <xf numFmtId="2" fontId="3" fillId="5" borderId="24" xfId="0" applyNumberFormat="1" applyFont="1" applyFill="1" applyBorder="1" applyAlignment="1">
      <alignment horizontal="center" vertical="center"/>
    </xf>
    <xf numFmtId="177" fontId="3" fillId="0" borderId="23" xfId="0" applyNumberFormat="1" applyFont="1" applyBorder="1" applyAlignment="1">
      <alignment horizontal="center"/>
    </xf>
    <xf numFmtId="177" fontId="3" fillId="5" borderId="20" xfId="0" applyNumberFormat="1" applyFont="1" applyFill="1" applyBorder="1" applyAlignment="1">
      <alignment horizontal="center"/>
    </xf>
    <xf numFmtId="177" fontId="3" fillId="5" borderId="23" xfId="0" applyNumberFormat="1" applyFont="1" applyFill="1" applyBorder="1" applyAlignment="1">
      <alignment horizontal="center"/>
    </xf>
    <xf numFmtId="177" fontId="3" fillId="0" borderId="24" xfId="0" applyNumberFormat="1" applyFont="1" applyBorder="1" applyAlignment="1">
      <alignment horizontal="center"/>
    </xf>
  </cellXfs>
  <cellStyles count="4">
    <cellStyle name="ハイパーリンク" xfId="2" builtinId="8"/>
    <cellStyle name="標準" xfId="0" builtinId="0"/>
    <cellStyle name="標準 2" xfId="3"/>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219115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{"Md":200.35,"Nd":1800,"Sections":[{"Height":800,"WTop":800,"WBottom":800,"ElasticID":"C"}],"SectionElastic":[{"fck":24,"rc":1.3,"Ec":25,"dmax":25,"rm":1,"ElasticID":"C","</a:t>
          </a:r>
          <a:r>
            <a:rPr lang="el-GR" altLang="ja-JP"/>
            <a:t>σ</a:t>
          </a:r>
          <a:r>
            <a:rPr lang="en-US" altLang="ja-JP"/>
            <a:t>cMode":0}],"Steels":[{"Depth":75,"i":"D32","n":8,"IsTensionBar":false,"ElasticID":"S"},{"Depth":167.857142857143,"i":"D32","n":2,"IsTensionBar":false,"ElasticID":"S"},{"Depth":260.714285714286,"i":"D32","n":2,"IsTensionBar":false,"ElasticID":"S"},{"Depth":353.571428571429,"i":"D32","n":2,"IsTensionBar":false,"ElasticID":"S"},{"Depth":446.428571428571,"i":"D32","n":2,"IsTensionBar":false,"ElasticID":"S"},{"Depth":539.285714285714,"i":"D32","n":2,"IsTensionBar":false,"ElasticID":"S"},{"Depth":632.142857142857,"i":"D32","n":2,"IsTensionBar":false,"ElasticID":"S"},{"Depth":725,"i":"D32","n":8,"IsTensionBar":true,"ElasticID":"S"}],"SteelElastic":[{"fsk":345,"rs":1,"Es":200,"rm":1,"c":92.9,"pw":0.1188,"kw":1,"ElasticID":"S"}]}</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Reactions":[],"ResultSigma":{"Md":200.35,"Nd":1800,"fi":1.7129529277503353E-07,"sc":[{"Depth":4.5454545454545459,"s":3.8942462749405329},{"Depth":13.636363636363637,"s":3.8553155265825705},{"Depth":22.72727272727273,"s":3.8163847782246085},{"Depth":31.81818181818182,"s":3.7774540298666461},{"Depth":40.909090909090914,"s":3.7385232815086846},{"Depth":50.000000000000007,"s":3.6995925331507218},{"Depth":59.090909090909093,"s":3.6606617847927594},{"Depth":68.181818181818187,"s":3.6217310364347974},{"Depth":77.27272727272728,"s":3.5828002880768355},{"Depth":86.363636363636374,"s":3.5438695397188735},{"Depth":95.454545454545467,"s":3.5049387913609107},{"Depth":104.54545454545456,"s":3.4660080430029487},{"Depth":113.63636363636364,"s":3.4270772946449868},{"Depth":122.72727272727273,"s":3.3881465462870244},{"Depth":131.81818181818181,"s":3.3492157979290633},{"Depth":140.90909090909091,"s":3.3102850495711005},{"Depth":150,"s":3.2713543012131385},{"Depth":159.09090909090909,"s":3.2324235528551757},{"Depth":168.18181818181819,"s":3.1934928044972137},{"Depth":177.27272727272728,"s":3.1545620561392518},{"Depth":186.36363636363637,"s":3.1156313077812894},{"Depth":195.45454545454547,"s":3.0767005594233274},{"Depth":204.54545454545456,"s":3.0377698110653655},{"Depth":213.63636363636365,"s":2.9988390627074031},{"Depth":222.72727272727272,"s":2.9599083143494407},{"Depth":231.81818181818181,"s":2.9209775659914787},{"Depth":240.90909090909091,"s":2.8820468176335163},{"Depth":250,"s":2.8431160692755544},{"Depth":259.09090909090912,"s":2.804185320917592},{"Depth":268.18181818181824,"s":2.7652545725596296},{"Depth":277.27272727272731,"s":2.7263238242016676},{"Depth":286.36363636363643,"s":2.6873930758437052},{"Depth":295.4545454545455,"s":2.6484623274857433},{"Depth":304.54545454545456,"s":2.6095315791277813},{"Depth":313.63636363636368,"s":2.5706008307698185},{"Depth":322.72727272727275,"s":2.531670082411857},{"Depth":331.81818181818187,"s":2.4927393340538946},{"Depth":340.90909090909093,"s":2.4538085856959322},{"Depth":350.00000000000006,"s":2.4148778373379702},{"Depth":359.09090909090912,"s":2.3759470889800078},{"Depth":368.18181818181824,"s":2.3370163406220459},{"Depth":377.27272727272731,"s":2.2980855922640844},{"Depth":386.36363636363643,"s":2.2591548439061215},{"Depth":395.4545454545455,"s":2.2202240955481596},{"Depth":404.54545454545462,"s":2.1812933471901972},{"Depth":413.63636363636368,"s":2.1423625988322352},{"Depth":422.7272727272728,"s":2.1034318504742728},{"Depth":431.81818181818187,"s":2.0645011021163109},{"Depth":440.90909090909093,"s":2.0255703537583489},{"Depth":450.00000000000006,"s":1.9866396054003861},{"Depth":459.09090909090912,"s":1.9477088570424244},{"Depth":468.18181818181824,"s":1.908778108684462},{"Depth":477.27272727272731,"s":1.8698473603265},{"Depth":486.36363636363643,"s":1.8309166119685376},{"Depth":495.4545454545455,"s":1.7919858636105757},{"Depth":504.54545454545462,"s":1.7530551152526135},{"Depth":513.63636363636363,"s":1.7141243668946513},{"Depth":522.72727272727275,"s":1.6751936185366894},{"Depth":531.81818181818187,"s":1.636262870178727},{"Depth":540.90909090909088,"s":1.597332121820765},{"Depth":550,"s":1.5584013734628026},{"Depth":559.09090909090912,"s":1.5194706251048404},{"Depth":568.18181818181824,"s":1.480539876746878},{"Depth":577.27272727272725,"s":1.4416091283889163},{"Depth":586.36363636363637,"s":1.4026783800309541},{"Depth":595.4545454545455,"s":1.3637476316729917},{"Depth":604.5454545454545,"s":1.32481688331503},{"Depth":613.63636363636363,"s":1.2858861349570676},{"Depth":622.72727272727275,"s":1.2469553865991052},{"Depth":631.81818181818187,"s":1.208024638241143},{"Depth":640.90909090909088,"s":1.1690938898831813},{"Depth":650,"s":1.1301631415252191},{"Depth":659.09090909090912,"s":1.0912323931672567},{"Depth":668.18181818181824,"s":1.0523016448092943},{"Depth":677.27272727272725,"s":1.0133708964513324},{"Depth":686.36363636363637,"s":0.97444014809337021},{"Depth":695.4545454545455,"s":0.93550939973540792},{"Depth":704.54545454545462,"s":0.89657865137744552},{"Depth":713.63636363636363,"s":0.8576479030194839},{"Depth":722.72727272727275,"s":0.81871715466152151},{"Depth":731.81818181818187,"s":0.77978640630355922},{"Depth":740.90909090909088,"s":0.74085565794559738},{"Depth":750,"s":0.70192490958763509},{"Depth":759.09090909090912,"s":0.66299416122967281},{"Depth":768.18181818181824,"s":0.62406341287171041},{"Depth":777.27272727272725,"s":0.58513266451374879},{"Depth":786.36363636363637,"s":0.54620191615578639},{"Depth":795.4545454545455,"s":0.50727116779782411}],"st":[{"Depth":75,"s":28.740263801330606},{"Depth":167.857142857143,"s":25.559065506937124},{"Depth":260.714285714286,"s":22.377867212543638},{"Depth":353.571428571429,"s":19.196668918150152},{"Depth":446.428571428571,"s":16.015470623756702},{"Depth":539.285714285714,"s":12.83427232936322},{"Depth":632.142857142857,"s":9.6530740349697339},{"Depth":725,"s":6.4718757405762481}],"x":913.909912109375}}</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21</xdr:row>
      <xdr:rowOff>88901</xdr:rowOff>
    </xdr:from>
    <xdr:to>
      <xdr:col>5</xdr:col>
      <xdr:colOff>123480</xdr:colOff>
      <xdr:row>31</xdr:row>
      <xdr:rowOff>78317</xdr:rowOff>
    </xdr:to>
    <xdr:grpSp>
      <xdr:nvGrpSpPr>
        <xdr:cNvPr id="46" name="グループ化 45"/>
        <xdr:cNvGrpSpPr/>
      </xdr:nvGrpSpPr>
      <xdr:grpSpPr>
        <a:xfrm>
          <a:off x="180975" y="4324725"/>
          <a:ext cx="2654329" cy="2006474"/>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97672" y="5432535"/>
            <a:ext cx="472967"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323850</xdr:colOff>
          <xdr:row>1</xdr:row>
          <xdr:rowOff>57150</xdr:rowOff>
        </xdr:from>
        <xdr:to>
          <xdr:col>15</xdr:col>
          <xdr:colOff>200025</xdr:colOff>
          <xdr:row>4</xdr:row>
          <xdr:rowOff>95250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200025</xdr:colOff>
      <xdr:row>12</xdr:row>
      <xdr:rowOff>0</xdr:rowOff>
    </xdr:from>
    <xdr:to>
      <xdr:col>17</xdr:col>
      <xdr:colOff>47625</xdr:colOff>
      <xdr:row>19</xdr:row>
      <xdr:rowOff>57150</xdr:rowOff>
    </xdr:to>
    <xdr:grpSp>
      <xdr:nvGrpSpPr>
        <xdr:cNvPr id="73601" name="グループ化 68"/>
        <xdr:cNvGrpSpPr>
          <a:grpSpLocks/>
        </xdr:cNvGrpSpPr>
      </xdr:nvGrpSpPr>
      <xdr:grpSpPr bwMode="auto">
        <a:xfrm>
          <a:off x="1757643" y="2420471"/>
          <a:ext cx="2268070" cy="1469091"/>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0</xdr:colOff>
      <xdr:row>22</xdr:row>
      <xdr:rowOff>123825</xdr:rowOff>
    </xdr:from>
    <xdr:to>
      <xdr:col>17</xdr:col>
      <xdr:colOff>142875</xdr:colOff>
      <xdr:row>30</xdr:row>
      <xdr:rowOff>57150</xdr:rowOff>
    </xdr:to>
    <xdr:grpSp>
      <xdr:nvGrpSpPr>
        <xdr:cNvPr id="73602" name="グループ化 69"/>
        <xdr:cNvGrpSpPr>
          <a:grpSpLocks/>
        </xdr:cNvGrpSpPr>
      </xdr:nvGrpSpPr>
      <xdr:grpSpPr bwMode="auto">
        <a:xfrm>
          <a:off x="1759324" y="4561354"/>
          <a:ext cx="2361639" cy="1546972"/>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5</xdr:col>
      <xdr:colOff>200025</xdr:colOff>
      <xdr:row>34</xdr:row>
      <xdr:rowOff>0</xdr:rowOff>
    </xdr:from>
    <xdr:to>
      <xdr:col>17</xdr:col>
      <xdr:colOff>161925</xdr:colOff>
      <xdr:row>41</xdr:row>
      <xdr:rowOff>47625</xdr:rowOff>
    </xdr:to>
    <xdr:grpSp>
      <xdr:nvGrpSpPr>
        <xdr:cNvPr id="73603" name="グループ化 74"/>
        <xdr:cNvGrpSpPr>
          <a:grpSpLocks/>
        </xdr:cNvGrpSpPr>
      </xdr:nvGrpSpPr>
      <xdr:grpSpPr bwMode="auto">
        <a:xfrm>
          <a:off x="1757643" y="6858000"/>
          <a:ext cx="2382370" cy="1459566"/>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10</xdr:col>
      <xdr:colOff>9525</xdr:colOff>
      <xdr:row>36</xdr:row>
      <xdr:rowOff>9525</xdr:rowOff>
    </xdr:from>
    <xdr:to>
      <xdr:col>17</xdr:col>
      <xdr:colOff>0</xdr:colOff>
      <xdr:row>36</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26</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15</xdr:col>
      <xdr:colOff>9525</xdr:colOff>
      <xdr:row>192</xdr:row>
      <xdr:rowOff>0</xdr:rowOff>
    </xdr:from>
    <xdr:to>
      <xdr:col>20</xdr:col>
      <xdr:colOff>0</xdr:colOff>
      <xdr:row>192</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8</xdr:col>
      <xdr:colOff>123825</xdr:colOff>
      <xdr:row>340</xdr:row>
      <xdr:rowOff>9525</xdr:rowOff>
    </xdr:from>
    <xdr:to>
      <xdr:col>9</xdr:col>
      <xdr:colOff>28575</xdr:colOff>
      <xdr:row>340</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28575</xdr:colOff>
      <xdr:row>340</xdr:row>
      <xdr:rowOff>9525</xdr:rowOff>
    </xdr:from>
    <xdr:to>
      <xdr:col>16</xdr:col>
      <xdr:colOff>9525</xdr:colOff>
      <xdr:row>340</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27</xdr:col>
      <xdr:colOff>96837</xdr:colOff>
      <xdr:row>514</xdr:row>
      <xdr:rowOff>152399</xdr:rowOff>
    </xdr:from>
    <xdr:to>
      <xdr:col>28</xdr:col>
      <xdr:colOff>96836</xdr:colOff>
      <xdr:row>515</xdr:row>
      <xdr:rowOff>0</xdr:rowOff>
    </xdr:to>
    <xdr:sp macro="" textlink="">
      <xdr:nvSpPr>
        <xdr:cNvPr id="51" name="テキスト ボックス 50"/>
        <xdr:cNvSpPr txBox="1"/>
      </xdr:nvSpPr>
      <xdr:spPr>
        <a:xfrm>
          <a:off x="6605587" y="92624274"/>
          <a:ext cx="198437" cy="182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800">
              <a:latin typeface="ＭＳ 明朝" panose="02020609040205080304" pitchFamily="17" charset="-128"/>
              <a:ea typeface="ＭＳ 明朝" panose="02020609040205080304" pitchFamily="17" charset="-128"/>
            </a:rPr>
            <a:t>※</a:t>
          </a:r>
          <a:endParaRPr kumimoji="1" lang="ja-JP" altLang="en-US" sz="800">
            <a:latin typeface="ＭＳ 明朝" panose="02020609040205080304" pitchFamily="17" charset="-128"/>
            <a:ea typeface="ＭＳ 明朝" panose="02020609040205080304" pitchFamily="17" charset="-128"/>
          </a:endParaRPr>
        </a:p>
      </xdr:txBody>
    </xdr:sp>
    <xdr:clientData/>
  </xdr:twoCellAnchor>
  <xdr:twoCellAnchor>
    <xdr:from>
      <xdr:col>22</xdr:col>
      <xdr:colOff>28575</xdr:colOff>
      <xdr:row>749</xdr:row>
      <xdr:rowOff>57150</xdr:rowOff>
    </xdr:from>
    <xdr:to>
      <xdr:col>22</xdr:col>
      <xdr:colOff>114300</xdr:colOff>
      <xdr:row>749</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750</xdr:row>
      <xdr:rowOff>47625</xdr:rowOff>
    </xdr:from>
    <xdr:to>
      <xdr:col>24</xdr:col>
      <xdr:colOff>171450</xdr:colOff>
      <xdr:row>750</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57150</xdr:colOff>
      <xdr:row>753</xdr:row>
      <xdr:rowOff>57150</xdr:rowOff>
    </xdr:from>
    <xdr:to>
      <xdr:col>9</xdr:col>
      <xdr:colOff>142875</xdr:colOff>
      <xdr:row>753</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58" zoomScaleNormal="100" workbookViewId="0"/>
  </sheetViews>
  <sheetFormatPr defaultColWidth="12.375" defaultRowHeight="14.25" customHeight="1" x14ac:dyDescent="0.15"/>
  <cols>
    <col min="1" max="1" width="3.5" style="42" customWidth="1"/>
    <col min="2" max="5" width="12.375" style="43" customWidth="1"/>
    <col min="6" max="6" width="12.375" style="42" customWidth="1"/>
    <col min="7" max="12" width="12.375" style="43" customWidth="1"/>
    <col min="13" max="13" width="12.375" style="42" customWidth="1"/>
    <col min="14" max="18" width="12.375" style="43" customWidth="1"/>
    <col min="19" max="19" width="12.375" style="42" customWidth="1"/>
    <col min="20" max="16384" width="12.375" style="43"/>
  </cols>
  <sheetData>
    <row r="1" spans="1:19" s="38" customFormat="1" ht="15.75" customHeight="1" x14ac:dyDescent="0.2">
      <c r="A1" s="36" t="s">
        <v>498</v>
      </c>
      <c r="B1" s="37"/>
      <c r="C1" s="37"/>
      <c r="D1" s="37"/>
      <c r="E1" s="37"/>
      <c r="F1" s="37"/>
      <c r="G1" s="37"/>
      <c r="H1" s="37"/>
      <c r="I1" s="37"/>
      <c r="J1" s="37"/>
    </row>
    <row r="3" spans="1:19" s="39" customFormat="1" ht="14.25" customHeight="1" x14ac:dyDescent="0.15">
      <c r="B3" s="40" t="s">
        <v>470</v>
      </c>
      <c r="K3" s="41"/>
    </row>
    <row r="4" spans="1:19" s="39" customFormat="1" ht="7.5" customHeight="1" x14ac:dyDescent="0.15"/>
    <row r="5" spans="1:19" s="39" customFormat="1" ht="14.25" customHeight="1" x14ac:dyDescent="0.15">
      <c r="B5" s="39" t="s">
        <v>496</v>
      </c>
    </row>
    <row r="6" spans="1:19" s="39" customFormat="1" ht="14.25" customHeight="1" x14ac:dyDescent="0.15">
      <c r="B6" s="39" t="s">
        <v>497</v>
      </c>
    </row>
    <row r="7" spans="1:19" s="39" customFormat="1" ht="14.25" customHeight="1" x14ac:dyDescent="0.15"/>
    <row r="8" spans="1:19" ht="14.25" customHeight="1" x14ac:dyDescent="0.15">
      <c r="B8" s="43" t="s">
        <v>471</v>
      </c>
    </row>
    <row r="9" spans="1:19" ht="14.25" customHeight="1" x14ac:dyDescent="0.15">
      <c r="B9" s="44" t="s">
        <v>472</v>
      </c>
    </row>
    <row r="11" spans="1:19" ht="14.25" customHeight="1" x14ac:dyDescent="0.15">
      <c r="B11" s="43" t="s">
        <v>473</v>
      </c>
    </row>
    <row r="13" spans="1:19" s="47" customFormat="1" ht="14.25" customHeight="1" x14ac:dyDescent="0.15">
      <c r="A13" s="45"/>
      <c r="B13" s="46" t="s">
        <v>474</v>
      </c>
      <c r="F13" s="45"/>
      <c r="M13" s="45"/>
      <c r="S13" s="45"/>
    </row>
    <row r="14" spans="1:19" s="47" customFormat="1" ht="14.25" customHeight="1" x14ac:dyDescent="0.15">
      <c r="A14" s="45"/>
      <c r="B14" s="124"/>
      <c r="C14" s="125"/>
      <c r="D14" s="125"/>
      <c r="E14" s="125"/>
      <c r="F14" s="125"/>
      <c r="G14" s="125"/>
      <c r="H14" s="126"/>
      <c r="M14" s="45"/>
      <c r="S14" s="45"/>
    </row>
    <row r="15" spans="1:19" s="47" customFormat="1" ht="14.25" customHeight="1" x14ac:dyDescent="0.15">
      <c r="A15" s="45"/>
      <c r="B15" s="46" t="s">
        <v>475</v>
      </c>
      <c r="F15" s="45"/>
      <c r="M15" s="45"/>
      <c r="S15" s="45"/>
    </row>
    <row r="16" spans="1:19" s="47" customFormat="1" ht="14.25" customHeight="1" x14ac:dyDescent="0.15">
      <c r="A16" s="45"/>
      <c r="B16" s="127"/>
      <c r="C16" s="128"/>
      <c r="D16" s="128"/>
      <c r="E16" s="128"/>
      <c r="F16" s="128"/>
      <c r="G16" s="128"/>
      <c r="H16" s="129"/>
      <c r="M16" s="45"/>
      <c r="S16" s="45"/>
    </row>
    <row r="18" spans="2:11" ht="14.25" customHeight="1" x14ac:dyDescent="0.15">
      <c r="B18" s="43" t="s">
        <v>476</v>
      </c>
    </row>
    <row r="19" spans="2:11" ht="14.25" customHeight="1" x14ac:dyDescent="0.15">
      <c r="B19" s="48" t="s">
        <v>477</v>
      </c>
    </row>
    <row r="20" spans="2:11" ht="14.25" customHeight="1" x14ac:dyDescent="0.15">
      <c r="B20" s="48" t="s">
        <v>478</v>
      </c>
    </row>
    <row r="23" spans="2:11" s="39" customFormat="1" ht="14.25" customHeight="1" x14ac:dyDescent="0.15">
      <c r="B23" s="40" t="s">
        <v>479</v>
      </c>
      <c r="K23" s="41"/>
    </row>
    <row r="24" spans="2:11" s="39" customFormat="1" ht="7.5" customHeight="1" x14ac:dyDescent="0.15"/>
    <row r="25" spans="2:11" ht="14.25" customHeight="1" x14ac:dyDescent="0.15">
      <c r="B25" s="43" t="s">
        <v>480</v>
      </c>
    </row>
    <row r="26" spans="2:11" ht="14.25" customHeight="1" x14ac:dyDescent="0.15">
      <c r="B26" s="43" t="s">
        <v>481</v>
      </c>
    </row>
    <row r="27" spans="2:11" ht="14.25" customHeight="1" x14ac:dyDescent="0.15">
      <c r="B27" s="43" t="s">
        <v>482</v>
      </c>
    </row>
    <row r="28" spans="2:11" ht="14.25" customHeight="1" x14ac:dyDescent="0.15">
      <c r="B28" s="43" t="s">
        <v>483</v>
      </c>
    </row>
    <row r="29" spans="2:11" ht="14.25" customHeight="1" x14ac:dyDescent="0.15">
      <c r="B29" s="43" t="s">
        <v>484</v>
      </c>
    </row>
    <row r="32" spans="2:11" s="39" customFormat="1" ht="14.25" customHeight="1" x14ac:dyDescent="0.15">
      <c r="B32" s="40" t="s">
        <v>485</v>
      </c>
      <c r="K32" s="41"/>
    </row>
    <row r="33" spans="2:21" s="39" customFormat="1" ht="7.5" customHeight="1" x14ac:dyDescent="0.15"/>
    <row r="34" spans="2:21" ht="14.25" customHeight="1" x14ac:dyDescent="0.15">
      <c r="B34" s="39" t="s">
        <v>555</v>
      </c>
    </row>
    <row r="35" spans="2:21" ht="14.25" customHeight="1" x14ac:dyDescent="0.15">
      <c r="B35" s="43" t="s">
        <v>486</v>
      </c>
    </row>
    <row r="37" spans="2:21" ht="14.25" customHeight="1" x14ac:dyDescent="0.15">
      <c r="U37"/>
    </row>
    <row r="42" spans="2:21" ht="14.25" customHeight="1" x14ac:dyDescent="0.15">
      <c r="N42"/>
    </row>
    <row r="43" spans="2:21" ht="14.25" customHeight="1" x14ac:dyDescent="0.15">
      <c r="N43" s="43" t="s">
        <v>487</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42" customFormat="1" ht="14.25" customHeight="1" x14ac:dyDescent="0.15">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row>
    <row r="60" spans="1:41" ht="14.25" customHeight="1" x14ac:dyDescent="0.15">
      <c r="N60"/>
    </row>
    <row r="92" spans="2:11" s="39" customFormat="1" ht="14.25" customHeight="1" x14ac:dyDescent="0.15">
      <c r="B92" s="40" t="s">
        <v>488</v>
      </c>
      <c r="K92" s="41"/>
    </row>
    <row r="93" spans="2:11" s="39" customFormat="1" ht="7.5" customHeight="1" x14ac:dyDescent="0.15"/>
    <row r="94" spans="2:11" ht="14.25" customHeight="1" x14ac:dyDescent="0.25">
      <c r="B94" s="50" t="s">
        <v>489</v>
      </c>
    </row>
    <row r="95" spans="2:11" ht="14.25" customHeight="1" x14ac:dyDescent="0.25">
      <c r="B95" s="50" t="s">
        <v>490</v>
      </c>
    </row>
    <row r="96" spans="2:11" ht="14.25" customHeight="1" x14ac:dyDescent="0.25">
      <c r="B96" s="50" t="s">
        <v>491</v>
      </c>
    </row>
    <row r="97" spans="2:2" ht="14.25" customHeight="1" x14ac:dyDescent="0.25">
      <c r="B97" s="50" t="s">
        <v>492</v>
      </c>
    </row>
    <row r="98" spans="2:2" ht="14.25" customHeight="1" x14ac:dyDescent="0.15">
      <c r="B98" s="51" t="s">
        <v>493</v>
      </c>
    </row>
    <row r="99" spans="2:2" ht="14.25" customHeight="1" x14ac:dyDescent="0.15">
      <c r="B99" s="52" t="s">
        <v>494</v>
      </c>
    </row>
    <row r="100" spans="2:2" ht="14.25" customHeight="1" x14ac:dyDescent="0.15">
      <c r="B100" s="53" t="s">
        <v>495</v>
      </c>
    </row>
  </sheetData>
  <mergeCells count="2">
    <mergeCell ref="B14:H14"/>
    <mergeCell ref="B16:H16"/>
  </mergeCells>
  <phoneticPr fontId="1"/>
  <hyperlinks>
    <hyperlink ref="B9" r:id="rId1"/>
  </hyperlinks>
  <pageMargins left="0.75" right="0.75" top="1" bottom="1" header="0.51200000000000001" footer="0.5120000000000000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2:P291"/>
  <sheetViews>
    <sheetView zoomScale="85" zoomScaleNormal="85" zoomScaleSheetLayoutView="85" workbookViewId="0">
      <selection activeCell="F22" sqref="F22"/>
    </sheetView>
  </sheetViews>
  <sheetFormatPr defaultColWidth="9.375" defaultRowHeight="15.75" customHeight="1" x14ac:dyDescent="0.15"/>
  <cols>
    <col min="1" max="1" width="9.375" style="32"/>
    <col min="2" max="2" width="5" style="6" bestFit="1" customWidth="1"/>
    <col min="3" max="3" width="7.625" style="7" bestFit="1" customWidth="1"/>
    <col min="4" max="4" width="8.5" style="6" bestFit="1" customWidth="1"/>
    <col min="5" max="5" width="5" style="6" bestFit="1" customWidth="1"/>
    <col min="6" max="9" width="6.125" style="6" customWidth="1"/>
    <col min="10" max="10" width="12.25" style="6" bestFit="1" customWidth="1"/>
    <col min="11" max="11" width="11.5" style="6" customWidth="1"/>
    <col min="12" max="13" width="8.5" style="6" bestFit="1" customWidth="1"/>
    <col min="14" max="14" width="9.375" style="6"/>
    <col min="15" max="15" width="5.25" style="6" bestFit="1" customWidth="1"/>
    <col min="16" max="16" width="5.5" style="6" customWidth="1"/>
    <col min="17" max="16384" width="9.375" style="6"/>
  </cols>
  <sheetData>
    <row r="2" spans="2:13" ht="15.75" customHeight="1" x14ac:dyDescent="0.15">
      <c r="B2" s="130" t="s">
        <v>8</v>
      </c>
      <c r="C2" s="130" t="s">
        <v>9</v>
      </c>
      <c r="D2" s="130" t="s">
        <v>10</v>
      </c>
      <c r="E2" s="130" t="s">
        <v>11</v>
      </c>
      <c r="F2" s="132" t="s">
        <v>12</v>
      </c>
      <c r="G2" s="132"/>
      <c r="H2" s="133" t="s">
        <v>13</v>
      </c>
      <c r="I2" s="133"/>
      <c r="J2" s="70" t="s">
        <v>587</v>
      </c>
      <c r="K2" s="70" t="s">
        <v>0</v>
      </c>
      <c r="L2" s="136" t="s">
        <v>558</v>
      </c>
      <c r="M2" s="137"/>
    </row>
    <row r="3" spans="2:13" ht="15.75" customHeight="1" x14ac:dyDescent="0.15">
      <c r="B3" s="131"/>
      <c r="C3" s="130"/>
      <c r="D3" s="130"/>
      <c r="E3" s="130"/>
      <c r="F3" s="71" t="s">
        <v>14</v>
      </c>
      <c r="G3" s="71" t="s">
        <v>15</v>
      </c>
      <c r="H3" s="130" t="s">
        <v>16</v>
      </c>
      <c r="I3" s="130"/>
      <c r="J3" s="72" t="s">
        <v>588</v>
      </c>
      <c r="K3" s="72" t="s">
        <v>17</v>
      </c>
      <c r="L3" s="72" t="s">
        <v>559</v>
      </c>
      <c r="M3" s="72" t="s">
        <v>560</v>
      </c>
    </row>
    <row r="4" spans="2:13" ht="15.75" customHeight="1" x14ac:dyDescent="0.15">
      <c r="B4" s="73">
        <v>1</v>
      </c>
      <c r="C4" s="80">
        <v>1</v>
      </c>
      <c r="D4" s="73" t="s">
        <v>585</v>
      </c>
      <c r="E4" s="73"/>
      <c r="F4" s="73">
        <v>18</v>
      </c>
      <c r="G4" s="73">
        <v>9</v>
      </c>
      <c r="H4" s="74"/>
      <c r="I4" s="115"/>
      <c r="J4" s="107"/>
      <c r="K4" s="73"/>
      <c r="L4" s="73">
        <v>1</v>
      </c>
      <c r="M4" s="73">
        <v>1</v>
      </c>
    </row>
    <row r="5" spans="2:13" ht="15.75" customHeight="1" x14ac:dyDescent="0.15">
      <c r="B5" s="73">
        <v>2</v>
      </c>
      <c r="C5" s="80">
        <v>0.9</v>
      </c>
      <c r="D5" s="73" t="s">
        <v>585</v>
      </c>
      <c r="E5" s="73"/>
      <c r="F5" s="73">
        <v>18</v>
      </c>
      <c r="G5" s="73">
        <v>9</v>
      </c>
      <c r="H5" s="74"/>
      <c r="I5" s="115"/>
      <c r="J5" s="107"/>
      <c r="K5" s="73">
        <v>13930</v>
      </c>
      <c r="L5" s="73">
        <v>1</v>
      </c>
      <c r="M5" s="73">
        <v>1</v>
      </c>
    </row>
    <row r="6" spans="2:13" ht="15.75" customHeight="1" x14ac:dyDescent="0.15">
      <c r="B6" s="79">
        <v>3</v>
      </c>
      <c r="C6" s="80">
        <v>3</v>
      </c>
      <c r="D6" s="73" t="s">
        <v>296</v>
      </c>
      <c r="E6" s="73">
        <v>5</v>
      </c>
      <c r="F6" s="73">
        <v>16</v>
      </c>
      <c r="G6" s="73">
        <v>6</v>
      </c>
      <c r="H6" s="74"/>
      <c r="I6" s="115"/>
      <c r="J6" s="107">
        <v>31.3</v>
      </c>
      <c r="K6" s="73">
        <v>13930</v>
      </c>
      <c r="L6" s="73">
        <v>1</v>
      </c>
      <c r="M6" s="73">
        <v>1</v>
      </c>
    </row>
    <row r="7" spans="2:13" ht="15.75" customHeight="1" x14ac:dyDescent="0.15">
      <c r="B7" s="79">
        <v>4</v>
      </c>
      <c r="C7" s="80">
        <v>5</v>
      </c>
      <c r="D7" s="73" t="s">
        <v>585</v>
      </c>
      <c r="E7" s="73">
        <v>15</v>
      </c>
      <c r="F7" s="73">
        <v>18</v>
      </c>
      <c r="G7" s="73">
        <v>9</v>
      </c>
      <c r="H7" s="74">
        <v>34.299999999999997</v>
      </c>
      <c r="I7" s="115">
        <v>32.9</v>
      </c>
      <c r="J7" s="107"/>
      <c r="K7" s="73">
        <v>28620</v>
      </c>
      <c r="L7" s="73">
        <v>1</v>
      </c>
      <c r="M7" s="73">
        <v>1</v>
      </c>
    </row>
    <row r="8" spans="2:13" ht="15.75" customHeight="1" x14ac:dyDescent="0.15">
      <c r="B8" s="79">
        <v>5</v>
      </c>
      <c r="C8" s="80">
        <v>8</v>
      </c>
      <c r="D8" s="73" t="s">
        <v>296</v>
      </c>
      <c r="E8" s="73">
        <v>10</v>
      </c>
      <c r="F8" s="73">
        <v>16</v>
      </c>
      <c r="G8" s="73">
        <v>7</v>
      </c>
      <c r="H8" s="74"/>
      <c r="I8" s="115"/>
      <c r="J8" s="107">
        <v>62.5</v>
      </c>
      <c r="K8" s="73">
        <v>32570</v>
      </c>
      <c r="L8" s="73">
        <v>1</v>
      </c>
      <c r="M8" s="73">
        <v>1</v>
      </c>
    </row>
    <row r="9" spans="2:13" ht="15.75" customHeight="1" x14ac:dyDescent="0.15">
      <c r="B9" s="79">
        <v>6</v>
      </c>
      <c r="C9" s="80">
        <v>4</v>
      </c>
      <c r="D9" s="73" t="s">
        <v>296</v>
      </c>
      <c r="E9" s="73">
        <v>20</v>
      </c>
      <c r="F9" s="73">
        <v>16</v>
      </c>
      <c r="G9" s="73">
        <v>7</v>
      </c>
      <c r="H9" s="74"/>
      <c r="I9" s="115"/>
      <c r="J9" s="107">
        <v>125</v>
      </c>
      <c r="K9" s="73">
        <v>46440</v>
      </c>
      <c r="L9" s="73">
        <v>1</v>
      </c>
      <c r="M9" s="73">
        <v>1</v>
      </c>
    </row>
    <row r="10" spans="2:13" s="32" customFormat="1" ht="15.75" customHeight="1" x14ac:dyDescent="0.15">
      <c r="B10" s="79">
        <v>7</v>
      </c>
      <c r="C10" s="80">
        <v>10</v>
      </c>
      <c r="D10" s="73" t="s">
        <v>586</v>
      </c>
      <c r="E10" s="73">
        <v>70</v>
      </c>
      <c r="F10" s="73">
        <v>19</v>
      </c>
      <c r="G10" s="73">
        <v>10</v>
      </c>
      <c r="H10" s="74">
        <v>37.1</v>
      </c>
      <c r="I10" s="115">
        <v>36.9</v>
      </c>
      <c r="J10" s="107"/>
      <c r="K10" s="73">
        <v>91760</v>
      </c>
      <c r="L10" s="73">
        <v>1</v>
      </c>
      <c r="M10" s="73">
        <v>1</v>
      </c>
    </row>
    <row r="11" spans="2:13" s="32" customFormat="1" ht="15.75" customHeight="1" x14ac:dyDescent="0.15">
      <c r="B11" s="79"/>
      <c r="C11" s="80"/>
      <c r="D11" s="73"/>
      <c r="E11" s="77"/>
      <c r="F11" s="81"/>
      <c r="G11" s="81"/>
      <c r="H11" s="75"/>
      <c r="I11" s="76"/>
      <c r="J11" s="107"/>
      <c r="K11" s="78"/>
      <c r="L11" s="73"/>
      <c r="M11" s="73"/>
    </row>
    <row r="12" spans="2:13" s="32" customFormat="1" ht="15.75" customHeight="1" x14ac:dyDescent="0.15">
      <c r="B12" s="79"/>
      <c r="C12" s="80"/>
      <c r="D12" s="73"/>
      <c r="E12" s="77"/>
      <c r="F12" s="81"/>
      <c r="G12" s="81"/>
      <c r="H12" s="75"/>
      <c r="I12" s="76"/>
      <c r="J12" s="107"/>
      <c r="K12" s="78"/>
      <c r="L12" s="73"/>
      <c r="M12" s="73"/>
    </row>
    <row r="13" spans="2:13" s="32" customFormat="1" ht="15.75" customHeight="1" x14ac:dyDescent="0.15">
      <c r="B13" s="79"/>
      <c r="C13" s="80"/>
      <c r="D13" s="73"/>
      <c r="E13" s="77"/>
      <c r="F13" s="81"/>
      <c r="G13" s="81"/>
      <c r="H13" s="75"/>
      <c r="I13" s="76"/>
      <c r="J13" s="107"/>
      <c r="K13" s="78"/>
      <c r="L13" s="73"/>
      <c r="M13" s="73"/>
    </row>
    <row r="14" spans="2:13" s="32" customFormat="1" ht="15.75" customHeight="1" x14ac:dyDescent="0.15">
      <c r="B14" s="79"/>
      <c r="C14" s="80"/>
      <c r="D14" s="73"/>
      <c r="E14" s="77"/>
      <c r="F14" s="81"/>
      <c r="G14" s="81"/>
      <c r="H14" s="75"/>
      <c r="I14" s="76"/>
      <c r="J14" s="107"/>
      <c r="K14" s="78"/>
      <c r="L14" s="73"/>
      <c r="M14" s="73"/>
    </row>
    <row r="15" spans="2:13" ht="15.75" customHeight="1" x14ac:dyDescent="0.15">
      <c r="B15" s="79"/>
      <c r="C15" s="80"/>
      <c r="D15" s="73"/>
      <c r="E15" s="77"/>
      <c r="F15" s="81"/>
      <c r="G15" s="81"/>
      <c r="H15" s="75"/>
      <c r="I15" s="76"/>
      <c r="J15" s="107"/>
      <c r="K15" s="78"/>
      <c r="L15" s="73"/>
      <c r="M15" s="73"/>
    </row>
    <row r="16" spans="2:13" ht="15.75" customHeight="1" x14ac:dyDescent="0.15">
      <c r="B16" s="79"/>
      <c r="C16" s="80"/>
      <c r="D16" s="73"/>
      <c r="E16" s="77"/>
      <c r="F16" s="81"/>
      <c r="G16" s="81"/>
      <c r="H16" s="75"/>
      <c r="I16" s="76"/>
      <c r="J16" s="107"/>
      <c r="K16" s="78"/>
      <c r="L16" s="73"/>
      <c r="M16" s="73"/>
    </row>
    <row r="17" spans="2:16" ht="15.75" customHeight="1" x14ac:dyDescent="0.15">
      <c r="B17" s="79"/>
      <c r="C17" s="80"/>
      <c r="D17" s="73"/>
      <c r="E17" s="77"/>
      <c r="F17" s="81"/>
      <c r="G17" s="81"/>
      <c r="H17" s="75"/>
      <c r="I17" s="76"/>
      <c r="J17" s="107"/>
      <c r="K17" s="78"/>
      <c r="L17" s="73"/>
      <c r="M17" s="73"/>
    </row>
    <row r="18" spans="2:16" ht="15.75" customHeight="1" x14ac:dyDescent="0.15">
      <c r="B18" s="79"/>
      <c r="C18" s="80"/>
      <c r="D18" s="73"/>
      <c r="E18" s="77"/>
      <c r="F18" s="81"/>
      <c r="G18" s="81"/>
      <c r="H18" s="75"/>
      <c r="I18" s="76"/>
      <c r="J18" s="107"/>
      <c r="K18" s="78"/>
      <c r="L18" s="73"/>
      <c r="M18" s="73"/>
    </row>
    <row r="19" spans="2:16" ht="15.75" customHeight="1" x14ac:dyDescent="0.15">
      <c r="B19" s="79"/>
      <c r="C19" s="80"/>
      <c r="D19" s="73"/>
      <c r="E19" s="77"/>
      <c r="F19" s="81"/>
      <c r="G19" s="81"/>
      <c r="H19" s="75"/>
      <c r="I19" s="76"/>
      <c r="J19" s="107"/>
      <c r="K19" s="78"/>
      <c r="L19" s="73"/>
      <c r="M19" s="73"/>
    </row>
    <row r="20" spans="2:16" s="32" customFormat="1" ht="15.75" customHeight="1" x14ac:dyDescent="0.15">
      <c r="B20" s="90"/>
      <c r="C20" s="91"/>
      <c r="D20" s="82"/>
      <c r="E20" s="92"/>
      <c r="F20" s="93"/>
      <c r="G20" s="93"/>
      <c r="H20" s="94"/>
      <c r="I20" s="94"/>
      <c r="J20" s="92"/>
      <c r="K20" s="95"/>
      <c r="L20" s="69"/>
      <c r="M20" s="69"/>
    </row>
    <row r="21" spans="2:16" ht="15.75" customHeight="1" x14ac:dyDescent="0.15">
      <c r="B21" s="7"/>
      <c r="C21" s="5"/>
      <c r="D21" s="5"/>
      <c r="E21" s="5"/>
      <c r="F21" s="7"/>
      <c r="G21" s="7"/>
      <c r="H21" s="7"/>
      <c r="I21" s="7"/>
      <c r="J21" s="7"/>
      <c r="K21" s="7"/>
    </row>
    <row r="22" spans="2:16" ht="15.75" customHeight="1" x14ac:dyDescent="0.15">
      <c r="G22" s="134" t="s">
        <v>428</v>
      </c>
      <c r="H22" s="134"/>
      <c r="J22" s="35" t="s">
        <v>561</v>
      </c>
      <c r="L22" s="89" t="s">
        <v>562</v>
      </c>
      <c r="M22" s="33"/>
      <c r="N22" s="33"/>
      <c r="O22" s="33"/>
      <c r="P22" s="34"/>
    </row>
    <row r="23" spans="2:16" ht="15.75" customHeight="1" x14ac:dyDescent="0.15">
      <c r="C23" s="6"/>
      <c r="G23" s="138">
        <v>1</v>
      </c>
      <c r="H23" s="138"/>
      <c r="J23" s="83" t="s">
        <v>570</v>
      </c>
      <c r="L23" s="84"/>
      <c r="M23" s="32"/>
      <c r="N23" s="32"/>
      <c r="O23" s="32"/>
      <c r="P23" s="85"/>
    </row>
    <row r="24" spans="2:16" ht="15.75" customHeight="1" x14ac:dyDescent="0.15">
      <c r="C24" s="6"/>
      <c r="G24" s="7"/>
      <c r="H24" s="7"/>
      <c r="L24" s="119" t="s">
        <v>569</v>
      </c>
      <c r="M24" s="100" t="s">
        <v>564</v>
      </c>
      <c r="N24" s="116">
        <v>9.83</v>
      </c>
      <c r="O24" s="100" t="s">
        <v>565</v>
      </c>
      <c r="P24" s="117">
        <v>1</v>
      </c>
    </row>
    <row r="25" spans="2:16" ht="15.75" customHeight="1" x14ac:dyDescent="0.15">
      <c r="G25" s="134" t="s">
        <v>427</v>
      </c>
      <c r="H25" s="134"/>
      <c r="J25" s="35" t="s">
        <v>12</v>
      </c>
      <c r="L25" s="119"/>
      <c r="M25" s="100" t="s">
        <v>566</v>
      </c>
      <c r="N25" s="116">
        <v>5</v>
      </c>
      <c r="O25" s="100" t="s">
        <v>567</v>
      </c>
      <c r="P25" s="117">
        <v>2</v>
      </c>
    </row>
    <row r="26" spans="2:16" ht="15.75" customHeight="1" x14ac:dyDescent="0.15">
      <c r="G26" s="135">
        <v>21</v>
      </c>
      <c r="H26" s="135"/>
      <c r="J26" s="107">
        <v>24.5</v>
      </c>
      <c r="L26" s="119"/>
      <c r="M26" s="100"/>
      <c r="N26" s="9"/>
      <c r="O26" s="100"/>
      <c r="P26" s="118"/>
    </row>
    <row r="27" spans="2:16" ht="15.75" customHeight="1" x14ac:dyDescent="0.15">
      <c r="G27" s="7"/>
      <c r="H27" s="7"/>
      <c r="L27" s="119" t="s">
        <v>568</v>
      </c>
      <c r="M27" s="100" t="s">
        <v>564</v>
      </c>
      <c r="N27" s="116">
        <v>5</v>
      </c>
      <c r="O27" s="100" t="s">
        <v>565</v>
      </c>
      <c r="P27" s="117">
        <v>2</v>
      </c>
    </row>
    <row r="28" spans="2:16" ht="15.75" customHeight="1" x14ac:dyDescent="0.15">
      <c r="G28" s="134" t="s">
        <v>556</v>
      </c>
      <c r="H28" s="134"/>
      <c r="J28" s="35" t="s">
        <v>563</v>
      </c>
      <c r="L28" s="119"/>
      <c r="M28" s="100" t="s">
        <v>566</v>
      </c>
      <c r="N28" s="116">
        <v>9.83</v>
      </c>
      <c r="O28" s="100" t="s">
        <v>567</v>
      </c>
      <c r="P28" s="117">
        <v>1</v>
      </c>
    </row>
    <row r="29" spans="2:16" ht="15.75" customHeight="1" x14ac:dyDescent="0.15">
      <c r="G29" s="135">
        <v>1.9</v>
      </c>
      <c r="H29" s="135"/>
      <c r="J29" s="107">
        <v>22.4</v>
      </c>
      <c r="L29" s="86"/>
      <c r="M29" s="87"/>
      <c r="N29" s="87"/>
      <c r="O29" s="87"/>
      <c r="P29" s="88"/>
    </row>
    <row r="30" spans="2:16" ht="15.75" customHeight="1" x14ac:dyDescent="0.15">
      <c r="G30" s="7"/>
      <c r="H30" s="7"/>
    </row>
    <row r="31" spans="2:16" ht="15.75" customHeight="1" x14ac:dyDescent="0.15">
      <c r="G31" s="134" t="s">
        <v>557</v>
      </c>
      <c r="H31" s="134"/>
    </row>
    <row r="32" spans="2:16" ht="15.75" customHeight="1" x14ac:dyDescent="0.15">
      <c r="G32" s="135">
        <v>2</v>
      </c>
      <c r="H32" s="135"/>
    </row>
    <row r="276" spans="5:10" ht="15.75" customHeight="1" x14ac:dyDescent="0.15">
      <c r="E276" s="120"/>
      <c r="F276" s="120"/>
      <c r="G276" s="120"/>
      <c r="H276" s="121"/>
      <c r="I276" s="121"/>
      <c r="J276" s="121"/>
    </row>
    <row r="277" spans="5:10" ht="15.75" customHeight="1" x14ac:dyDescent="0.15">
      <c r="E277" s="120"/>
      <c r="F277" s="120"/>
      <c r="G277" s="120"/>
      <c r="H277" s="121"/>
      <c r="I277" s="121"/>
      <c r="J277" s="121"/>
    </row>
    <row r="278" spans="5:10" ht="15.75" customHeight="1" x14ac:dyDescent="0.15">
      <c r="E278" s="120"/>
      <c r="F278" s="120"/>
      <c r="G278" s="120"/>
      <c r="H278" s="121"/>
      <c r="I278" s="121"/>
      <c r="J278" s="121"/>
    </row>
    <row r="279" spans="5:10" ht="15.75" customHeight="1" x14ac:dyDescent="0.15">
      <c r="E279" s="120"/>
      <c r="F279" s="120"/>
      <c r="G279" s="120"/>
      <c r="H279" s="121"/>
      <c r="I279" s="121"/>
      <c r="J279" s="121"/>
    </row>
    <row r="280" spans="5:10" ht="15.75" customHeight="1" x14ac:dyDescent="0.15">
      <c r="E280" s="120"/>
      <c r="F280" s="120"/>
      <c r="G280" s="120"/>
      <c r="H280" s="121"/>
      <c r="I280" s="121"/>
      <c r="J280" s="121"/>
    </row>
    <row r="281" spans="5:10" ht="15.75" customHeight="1" x14ac:dyDescent="0.15">
      <c r="E281" s="120"/>
      <c r="F281" s="120"/>
      <c r="G281" s="120"/>
      <c r="H281" s="121"/>
      <c r="I281" s="121"/>
      <c r="J281" s="121"/>
    </row>
    <row r="282" spans="5:10" ht="15.75" customHeight="1" x14ac:dyDescent="0.15">
      <c r="E282" s="120"/>
      <c r="F282" s="120"/>
      <c r="G282" s="120"/>
      <c r="H282" s="121"/>
      <c r="I282" s="121"/>
      <c r="J282" s="121"/>
    </row>
    <row r="283" spans="5:10" ht="15.75" customHeight="1" x14ac:dyDescent="0.15">
      <c r="E283" s="120"/>
      <c r="F283" s="120"/>
      <c r="G283" s="120"/>
      <c r="H283" s="121"/>
      <c r="I283" s="121"/>
      <c r="J283" s="121"/>
    </row>
    <row r="284" spans="5:10" ht="15.75" customHeight="1" x14ac:dyDescent="0.15">
      <c r="E284" s="120"/>
      <c r="F284" s="120"/>
      <c r="G284" s="120"/>
      <c r="H284" s="121"/>
      <c r="I284" s="121"/>
      <c r="J284" s="121"/>
    </row>
    <row r="285" spans="5:10" ht="15.75" customHeight="1" x14ac:dyDescent="0.15">
      <c r="E285" s="120"/>
      <c r="F285" s="120"/>
      <c r="G285" s="120"/>
      <c r="H285" s="121"/>
      <c r="I285" s="121"/>
      <c r="J285" s="121"/>
    </row>
    <row r="286" spans="5:10" ht="15.75" customHeight="1" x14ac:dyDescent="0.15">
      <c r="E286" s="120"/>
      <c r="F286" s="120"/>
      <c r="G286" s="120"/>
      <c r="H286" s="121"/>
      <c r="I286" s="121"/>
      <c r="J286" s="121"/>
    </row>
    <row r="287" spans="5:10" ht="15.75" customHeight="1" x14ac:dyDescent="0.15">
      <c r="E287" s="120"/>
      <c r="F287" s="120"/>
      <c r="G287" s="120"/>
      <c r="H287" s="121"/>
      <c r="I287" s="121"/>
      <c r="J287" s="121"/>
    </row>
    <row r="288" spans="5:10" ht="15.75" customHeight="1" x14ac:dyDescent="0.15">
      <c r="E288" s="120"/>
      <c r="F288" s="120"/>
      <c r="G288" s="120"/>
      <c r="H288" s="121"/>
      <c r="I288" s="121"/>
      <c r="J288" s="121"/>
    </row>
    <row r="289" spans="5:10" ht="15.75" customHeight="1" x14ac:dyDescent="0.15">
      <c r="E289" s="120"/>
      <c r="F289" s="120"/>
      <c r="G289" s="120"/>
      <c r="H289" s="121"/>
      <c r="I289" s="121"/>
      <c r="J289" s="121"/>
    </row>
    <row r="290" spans="5:10" ht="15.75" customHeight="1" x14ac:dyDescent="0.15">
      <c r="E290" s="120"/>
      <c r="F290" s="120"/>
      <c r="G290" s="120"/>
      <c r="H290" s="121"/>
      <c r="I290" s="121"/>
      <c r="J290" s="121"/>
    </row>
    <row r="291" spans="5:10" ht="15.75" customHeight="1" x14ac:dyDescent="0.15">
      <c r="E291" s="120"/>
      <c r="F291" s="120"/>
      <c r="G291" s="120"/>
      <c r="H291" s="121"/>
      <c r="I291" s="121"/>
      <c r="J291" s="121"/>
    </row>
  </sheetData>
  <mergeCells count="16">
    <mergeCell ref="G31:H31"/>
    <mergeCell ref="G32:H32"/>
    <mergeCell ref="L2:M2"/>
    <mergeCell ref="G22:H22"/>
    <mergeCell ref="G23:H23"/>
    <mergeCell ref="G25:H25"/>
    <mergeCell ref="G26:H26"/>
    <mergeCell ref="G28:H28"/>
    <mergeCell ref="G29:H29"/>
    <mergeCell ref="B2:B3"/>
    <mergeCell ref="C2:C3"/>
    <mergeCell ref="D2:D3"/>
    <mergeCell ref="H3:I3"/>
    <mergeCell ref="E2:E3"/>
    <mergeCell ref="F2:G2"/>
    <mergeCell ref="H2:I2"/>
  </mergeCells>
  <phoneticPr fontId="1"/>
  <dataValidations disablePrompts="1" count="2">
    <dataValidation type="list" allowBlank="1" showInputMessage="1" showErrorMessage="1" sqref="J23">
      <formula1>"場所打ち杭"</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323850</xdr:colOff>
                    <xdr:row>1</xdr:row>
                    <xdr:rowOff>57150</xdr:rowOff>
                  </from>
                  <to>
                    <xdr:col>15</xdr:col>
                    <xdr:colOff>200025</xdr:colOff>
                    <xdr:row>4</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場所打ち杭Sheet"/>
  <dimension ref="A2:CD1388"/>
  <sheetViews>
    <sheetView tabSelected="1" view="pageBreakPreview" topLeftCell="A99" zoomScale="85" zoomScaleNormal="90" zoomScaleSheetLayoutView="85" workbookViewId="0">
      <selection activeCell="I259" sqref="I259:L259"/>
    </sheetView>
  </sheetViews>
  <sheetFormatPr defaultColWidth="2.625" defaultRowHeight="15.75" customHeight="1" x14ac:dyDescent="0.15"/>
  <cols>
    <col min="1" max="1" width="9.75" style="6" customWidth="1"/>
    <col min="2" max="2" width="2.75" style="6" customWidth="1"/>
    <col min="3" max="3" width="2.625" style="7" customWidth="1"/>
    <col min="4" max="4" width="2.625" style="6" customWidth="1"/>
    <col min="5" max="5" width="2.625" style="7" customWidth="1"/>
    <col min="6" max="10" width="2.625" style="6"/>
    <col min="11" max="11" width="2.625" style="6" customWidth="1"/>
    <col min="12" max="13" width="2.625" style="6"/>
    <col min="14" max="14" width="2.625" style="6" customWidth="1"/>
    <col min="15" max="15" width="2.625" style="6"/>
    <col min="16" max="16" width="2.625" style="6" customWidth="1"/>
    <col min="17" max="39" width="2.625" style="6"/>
    <col min="57" max="57" width="2.625" style="6"/>
    <col min="58" max="58" width="2.625" style="32"/>
    <col min="59" max="59" width="2.625" style="6"/>
    <col min="60" max="60" width="2.625" style="32"/>
    <col min="61" max="61" width="2.625" style="6"/>
    <col min="62" max="62" width="2.625" style="32"/>
    <col min="63" max="63" width="2.625" style="6"/>
    <col min="64" max="65" width="2.625" style="32"/>
    <col min="66" max="66" width="2.625" style="6"/>
    <col min="67" max="70" width="2.625" style="32"/>
    <col min="71" max="71" width="2.625" style="6" customWidth="1"/>
    <col min="72" max="72" width="2.625" style="32"/>
    <col min="73" max="73" width="2.625" style="6"/>
    <col min="74" max="75" width="2.625" style="32"/>
    <col min="76" max="76" width="2.625" style="6"/>
    <col min="77" max="77" width="2.625" style="32"/>
    <col min="78" max="16384" width="2.625" style="6"/>
  </cols>
  <sheetData>
    <row r="2" spans="3:35" ht="15.75" customHeight="1" x14ac:dyDescent="0.15">
      <c r="C2" s="5" t="s">
        <v>18</v>
      </c>
    </row>
    <row r="3" spans="3:35" ht="15.75" customHeight="1" x14ac:dyDescent="0.15">
      <c r="E3" s="7" t="s">
        <v>19</v>
      </c>
    </row>
    <row r="5" spans="3:35" ht="15.75" customHeight="1" x14ac:dyDescent="0.15">
      <c r="D5" s="5" t="s">
        <v>20</v>
      </c>
    </row>
    <row r="7" spans="3:35" ht="15.75" customHeight="1" x14ac:dyDescent="0.15">
      <c r="D7" s="7" t="s">
        <v>21</v>
      </c>
      <c r="M7" s="12" t="s">
        <v>22</v>
      </c>
    </row>
    <row r="8" spans="3:35" ht="15.75" customHeight="1" x14ac:dyDescent="0.15">
      <c r="D8" s="7"/>
      <c r="M8" s="12"/>
    </row>
    <row r="9" spans="3:35" s="7" customFormat="1" ht="15.75" customHeight="1" x14ac:dyDescent="0.15">
      <c r="F9" s="7" t="s">
        <v>193</v>
      </c>
    </row>
    <row r="10" spans="3:35" s="7" customFormat="1" ht="15.75" customHeight="1" x14ac:dyDescent="0.15">
      <c r="F10" s="7" t="s">
        <v>23</v>
      </c>
    </row>
    <row r="11" spans="3:35" s="7" customFormat="1" ht="15.75" customHeight="1" x14ac:dyDescent="0.15"/>
    <row r="12" spans="3:35" s="7" customFormat="1" ht="15.75" customHeight="1" x14ac:dyDescent="0.15"/>
    <row r="13" spans="3:35" s="7" customFormat="1" ht="15.75" customHeight="1" x14ac:dyDescent="0.15">
      <c r="U13" s="111" t="s">
        <v>197</v>
      </c>
      <c r="V13" s="111"/>
      <c r="W13" s="111"/>
      <c r="X13" s="111"/>
      <c r="Y13" s="111"/>
      <c r="Z13" s="111"/>
      <c r="AA13" s="111"/>
      <c r="AB13" s="111"/>
      <c r="AC13" s="111"/>
      <c r="AD13" s="111"/>
      <c r="AE13" s="111"/>
      <c r="AF13" s="111"/>
      <c r="AG13" s="111"/>
      <c r="AH13" s="111"/>
      <c r="AI13" s="111"/>
    </row>
    <row r="14" spans="3:35" s="7" customFormat="1" ht="15.75" customHeight="1" x14ac:dyDescent="0.15">
      <c r="U14" s="243" t="s">
        <v>24</v>
      </c>
      <c r="V14" s="243"/>
      <c r="W14" s="243"/>
      <c r="X14" s="243"/>
      <c r="Y14" s="243"/>
      <c r="Z14" s="243"/>
      <c r="AA14" s="243"/>
      <c r="AB14" s="243" t="s">
        <v>25</v>
      </c>
      <c r="AC14" s="243"/>
      <c r="AD14" s="243"/>
      <c r="AE14" s="243"/>
      <c r="AF14" s="243" t="s">
        <v>26</v>
      </c>
      <c r="AG14" s="243"/>
      <c r="AH14" s="243"/>
      <c r="AI14" s="243"/>
    </row>
    <row r="15" spans="3:35" s="7" customFormat="1" ht="15.75" customHeight="1" x14ac:dyDescent="0.15">
      <c r="U15" s="243" t="s">
        <v>571</v>
      </c>
      <c r="V15" s="243"/>
      <c r="W15" s="243"/>
      <c r="X15" s="243"/>
      <c r="Y15" s="243"/>
      <c r="Z15" s="243"/>
      <c r="AA15" s="243"/>
      <c r="AB15" s="243">
        <v>0.6</v>
      </c>
      <c r="AC15" s="243"/>
      <c r="AD15" s="243"/>
      <c r="AE15" s="243"/>
      <c r="AF15" s="243">
        <v>1.4</v>
      </c>
      <c r="AG15" s="243"/>
      <c r="AH15" s="243"/>
      <c r="AI15" s="243"/>
    </row>
    <row r="16" spans="3:35" s="7" customFormat="1" ht="15.75" customHeight="1" x14ac:dyDescent="0.2">
      <c r="Y16" s="390" t="s">
        <v>28</v>
      </c>
      <c r="Z16" s="390"/>
      <c r="AA16" s="6" t="s">
        <v>27</v>
      </c>
      <c r="AB16" s="390" t="s">
        <v>30</v>
      </c>
      <c r="AC16" s="390"/>
      <c r="AD16" s="6" t="s">
        <v>1</v>
      </c>
      <c r="AE16" s="261" t="s">
        <v>32</v>
      </c>
      <c r="AF16" s="261"/>
    </row>
    <row r="17" spans="5:35" s="7" customFormat="1" ht="15.75" customHeight="1" x14ac:dyDescent="0.2">
      <c r="Y17" s="261" t="s">
        <v>29</v>
      </c>
      <c r="Z17" s="261"/>
      <c r="AA17" s="6" t="s">
        <v>27</v>
      </c>
      <c r="AB17" s="261" t="s">
        <v>31</v>
      </c>
      <c r="AC17" s="261"/>
      <c r="AD17" s="6" t="s">
        <v>1</v>
      </c>
      <c r="AE17" s="261" t="s">
        <v>32</v>
      </c>
      <c r="AF17" s="261"/>
    </row>
    <row r="18" spans="5:35" s="7" customFormat="1" ht="15.75" customHeight="1" x14ac:dyDescent="0.2">
      <c r="J18" s="13" t="s">
        <v>34</v>
      </c>
      <c r="W18" s="261" t="s">
        <v>32</v>
      </c>
      <c r="X18" s="261"/>
      <c r="Y18" s="6" t="s">
        <v>2</v>
      </c>
      <c r="Z18" s="7" t="s">
        <v>33</v>
      </c>
    </row>
    <row r="19" spans="5:35" s="7" customFormat="1" ht="15.75" customHeight="1" x14ac:dyDescent="0.15"/>
    <row r="20" spans="5:35" s="7" customFormat="1" ht="15.75" customHeight="1" x14ac:dyDescent="0.15"/>
    <row r="21" spans="5:35" s="7" customFormat="1" ht="15.75" customHeight="1" x14ac:dyDescent="0.15">
      <c r="E21" s="398" t="s">
        <v>194</v>
      </c>
      <c r="F21" s="398"/>
      <c r="G21" s="398"/>
      <c r="H21" s="398"/>
      <c r="I21" s="398"/>
      <c r="J21" s="398"/>
      <c r="K21" s="398"/>
      <c r="L21" s="398"/>
      <c r="M21" s="398"/>
      <c r="N21" s="398"/>
      <c r="O21" s="398"/>
      <c r="P21" s="398"/>
      <c r="Q21" s="398"/>
      <c r="R21" s="398"/>
      <c r="S21" s="398"/>
      <c r="T21" s="398"/>
    </row>
    <row r="22" spans="5:35" s="7" customFormat="1" ht="15.75" customHeight="1" x14ac:dyDescent="0.15"/>
    <row r="23" spans="5:35" s="7" customFormat="1" ht="15.75" customHeight="1" x14ac:dyDescent="0.15"/>
    <row r="24" spans="5:35" s="7" customFormat="1" ht="15.75" customHeight="1" x14ac:dyDescent="0.15">
      <c r="U24" s="111" t="s">
        <v>198</v>
      </c>
      <c r="V24" s="111"/>
      <c r="W24" s="111"/>
      <c r="X24" s="111"/>
      <c r="Y24" s="111"/>
      <c r="Z24" s="111"/>
      <c r="AA24" s="111"/>
      <c r="AB24" s="111"/>
      <c r="AC24" s="111"/>
      <c r="AD24" s="111"/>
      <c r="AE24" s="111"/>
      <c r="AF24" s="111"/>
      <c r="AG24" s="111"/>
      <c r="AH24" s="111"/>
      <c r="AI24" s="111"/>
    </row>
    <row r="25" spans="5:35" s="7" customFormat="1" ht="15.75" customHeight="1" x14ac:dyDescent="0.15">
      <c r="U25" s="243" t="s">
        <v>24</v>
      </c>
      <c r="V25" s="243"/>
      <c r="W25" s="243"/>
      <c r="X25" s="243"/>
      <c r="Y25" s="243"/>
      <c r="Z25" s="243"/>
      <c r="AA25" s="243"/>
      <c r="AB25" s="243" t="s">
        <v>35</v>
      </c>
      <c r="AC25" s="243"/>
      <c r="AD25" s="243"/>
      <c r="AE25" s="243"/>
      <c r="AF25" s="243" t="s">
        <v>36</v>
      </c>
      <c r="AG25" s="243"/>
      <c r="AH25" s="243"/>
      <c r="AI25" s="243"/>
    </row>
    <row r="26" spans="5:35" s="7" customFormat="1" ht="15.75" customHeight="1" x14ac:dyDescent="0.15">
      <c r="U26" s="243" t="s">
        <v>571</v>
      </c>
      <c r="V26" s="243"/>
      <c r="W26" s="243"/>
      <c r="X26" s="243"/>
      <c r="Y26" s="243"/>
      <c r="Z26" s="243"/>
      <c r="AA26" s="243"/>
      <c r="AB26" s="243">
        <v>1.2</v>
      </c>
      <c r="AC26" s="243"/>
      <c r="AD26" s="243"/>
      <c r="AE26" s="243"/>
      <c r="AF26" s="243">
        <v>1.4</v>
      </c>
      <c r="AG26" s="243"/>
      <c r="AH26" s="243"/>
      <c r="AI26" s="243"/>
    </row>
    <row r="27" spans="5:35" s="7" customFormat="1" ht="15.75" customHeight="1" x14ac:dyDescent="0.2">
      <c r="Y27" s="390" t="s">
        <v>37</v>
      </c>
      <c r="Z27" s="390"/>
      <c r="AA27" s="6" t="s">
        <v>27</v>
      </c>
      <c r="AB27" s="390" t="s">
        <v>39</v>
      </c>
      <c r="AC27" s="390"/>
      <c r="AD27" s="6" t="s">
        <v>1</v>
      </c>
      <c r="AE27" s="261" t="s">
        <v>41</v>
      </c>
      <c r="AF27" s="261"/>
    </row>
    <row r="28" spans="5:35" s="7" customFormat="1" ht="15.75" customHeight="1" x14ac:dyDescent="0.2">
      <c r="Y28" s="261" t="s">
        <v>38</v>
      </c>
      <c r="Z28" s="261"/>
      <c r="AA28" s="6" t="s">
        <v>27</v>
      </c>
      <c r="AB28" s="261" t="s">
        <v>40</v>
      </c>
      <c r="AC28" s="261"/>
      <c r="AD28" s="6" t="s">
        <v>1</v>
      </c>
      <c r="AE28" s="261" t="s">
        <v>41</v>
      </c>
      <c r="AF28" s="261"/>
    </row>
    <row r="29" spans="5:35" s="7" customFormat="1" ht="15.75" customHeight="1" x14ac:dyDescent="0.2">
      <c r="J29" s="13" t="s">
        <v>43</v>
      </c>
      <c r="W29" s="261" t="s">
        <v>41</v>
      </c>
      <c r="X29" s="261"/>
      <c r="Y29" s="6" t="s">
        <v>2</v>
      </c>
      <c r="Z29" s="7" t="s">
        <v>42</v>
      </c>
    </row>
    <row r="30" spans="5:35" s="7" customFormat="1" ht="15.75" customHeight="1" x14ac:dyDescent="0.15"/>
    <row r="31" spans="5:35" s="7" customFormat="1" ht="15.75" customHeight="1" x14ac:dyDescent="0.15"/>
    <row r="32" spans="5:35" s="7" customFormat="1" ht="15.75" customHeight="1" x14ac:dyDescent="0.15">
      <c r="E32" s="398" t="s">
        <v>195</v>
      </c>
      <c r="F32" s="398"/>
      <c r="G32" s="398"/>
      <c r="H32" s="398"/>
      <c r="I32" s="398"/>
      <c r="J32" s="398"/>
      <c r="K32" s="398"/>
      <c r="L32" s="398"/>
      <c r="M32" s="398"/>
      <c r="N32" s="398"/>
      <c r="O32" s="398"/>
      <c r="P32" s="398"/>
      <c r="Q32" s="398"/>
      <c r="R32" s="398"/>
      <c r="S32" s="398"/>
      <c r="T32" s="398"/>
    </row>
    <row r="33" spans="4:20" s="7" customFormat="1" ht="15.75" customHeight="1" x14ac:dyDescent="0.15"/>
    <row r="34" spans="4:20" s="7" customFormat="1" ht="15.75" customHeight="1" x14ac:dyDescent="0.15"/>
    <row r="35" spans="4:20" s="7" customFormat="1" ht="15.75" customHeight="1" x14ac:dyDescent="0.15"/>
    <row r="36" spans="4:20" s="7" customFormat="1" ht="15.75" customHeight="1" x14ac:dyDescent="0.15"/>
    <row r="37" spans="4:20" s="7" customFormat="1" ht="15.75" customHeight="1" x14ac:dyDescent="0.15"/>
    <row r="38" spans="4:20" s="7" customFormat="1" ht="15.75" customHeight="1" x14ac:dyDescent="0.15"/>
    <row r="39" spans="4:20" s="7" customFormat="1" ht="15.75" customHeight="1" x14ac:dyDescent="0.15"/>
    <row r="40" spans="4:20" s="7" customFormat="1" ht="15.75" customHeight="1" x14ac:dyDescent="0.15">
      <c r="J40" s="13" t="s">
        <v>44</v>
      </c>
    </row>
    <row r="41" spans="4:20" s="7" customFormat="1" ht="15.75" customHeight="1" x14ac:dyDescent="0.15"/>
    <row r="42" spans="4:20" s="7" customFormat="1" ht="15.75" customHeight="1" x14ac:dyDescent="0.15"/>
    <row r="43" spans="4:20" s="7" customFormat="1" ht="15.75" customHeight="1" x14ac:dyDescent="0.15">
      <c r="E43" s="398" t="s">
        <v>196</v>
      </c>
      <c r="F43" s="398"/>
      <c r="G43" s="398"/>
      <c r="H43" s="398"/>
      <c r="I43" s="398"/>
      <c r="J43" s="398"/>
      <c r="K43" s="398"/>
      <c r="L43" s="398"/>
      <c r="M43" s="398"/>
      <c r="N43" s="398"/>
      <c r="O43" s="398"/>
      <c r="P43" s="398"/>
      <c r="Q43" s="398"/>
      <c r="R43" s="398"/>
      <c r="S43" s="398"/>
      <c r="T43" s="398"/>
    </row>
    <row r="44" spans="4:20" s="7" customFormat="1" ht="15.75" customHeight="1" x14ac:dyDescent="0.15"/>
    <row r="45" spans="4:20" s="7" customFormat="1" ht="15.75" customHeight="1" x14ac:dyDescent="0.15"/>
    <row r="46" spans="4:20" s="7" customFormat="1" ht="15.75" customHeight="1" x14ac:dyDescent="0.15"/>
    <row r="47" spans="4:20" s="7" customFormat="1" ht="15.75" customHeight="1" x14ac:dyDescent="0.15"/>
    <row r="48" spans="4:20" ht="15.75" customHeight="1" x14ac:dyDescent="0.15">
      <c r="D48" s="7" t="s">
        <v>45</v>
      </c>
      <c r="M48" s="12"/>
    </row>
    <row r="49" spans="4:36" s="7" customFormat="1" ht="15.75" customHeight="1" x14ac:dyDescent="0.15"/>
    <row r="50" spans="4:36" s="7" customFormat="1" ht="15.75" customHeight="1" x14ac:dyDescent="0.15">
      <c r="F50" s="7" t="s">
        <v>199</v>
      </c>
    </row>
    <row r="51" spans="4:36" s="7" customFormat="1" ht="15.75" customHeight="1" x14ac:dyDescent="0.15">
      <c r="F51" s="7" t="s">
        <v>46</v>
      </c>
    </row>
    <row r="52" spans="4:36" s="7" customFormat="1" ht="15.75" customHeight="1" x14ac:dyDescent="0.15"/>
    <row r="53" spans="4:36" s="7" customFormat="1" ht="15.75" customHeight="1" x14ac:dyDescent="0.15">
      <c r="D53" s="103" t="s">
        <v>200</v>
      </c>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row>
    <row r="54" spans="4:36" s="7" customFormat="1" ht="15.75" customHeight="1" x14ac:dyDescent="0.15">
      <c r="D54" s="257" t="s">
        <v>60</v>
      </c>
      <c r="E54" s="243"/>
      <c r="F54" s="243"/>
      <c r="G54" s="243"/>
      <c r="H54" s="243" t="s">
        <v>51</v>
      </c>
      <c r="I54" s="243"/>
      <c r="J54" s="243"/>
      <c r="K54" s="243"/>
      <c r="L54" s="243"/>
      <c r="M54" s="243"/>
      <c r="N54" s="243"/>
      <c r="O54" s="243"/>
      <c r="P54" s="243"/>
      <c r="Q54" s="243" t="s">
        <v>52</v>
      </c>
      <c r="R54" s="243"/>
      <c r="S54" s="243"/>
      <c r="T54" s="243"/>
      <c r="U54" s="243"/>
      <c r="V54" s="243"/>
      <c r="W54" s="243"/>
      <c r="X54" s="243"/>
      <c r="Y54" s="243"/>
      <c r="Z54" s="400" t="s">
        <v>56</v>
      </c>
      <c r="AA54" s="400"/>
      <c r="AB54" s="400"/>
      <c r="AC54" s="400"/>
      <c r="AD54" s="400"/>
      <c r="AE54" s="400"/>
      <c r="AF54" s="400"/>
      <c r="AG54" s="400"/>
      <c r="AH54" s="401"/>
      <c r="AI54" s="14"/>
      <c r="AJ54" s="14"/>
    </row>
    <row r="55" spans="4:36" s="7" customFormat="1" ht="15.75" customHeight="1" x14ac:dyDescent="0.15">
      <c r="D55" s="257"/>
      <c r="E55" s="243"/>
      <c r="F55" s="243"/>
      <c r="G55" s="243"/>
      <c r="H55" s="243"/>
      <c r="I55" s="243"/>
      <c r="J55" s="243"/>
      <c r="K55" s="243"/>
      <c r="L55" s="243"/>
      <c r="M55" s="243"/>
      <c r="N55" s="243"/>
      <c r="O55" s="243"/>
      <c r="P55" s="243"/>
      <c r="Q55" s="243"/>
      <c r="R55" s="243"/>
      <c r="S55" s="243"/>
      <c r="T55" s="243"/>
      <c r="U55" s="243"/>
      <c r="V55" s="243"/>
      <c r="W55" s="243"/>
      <c r="X55" s="243"/>
      <c r="Y55" s="243"/>
      <c r="Z55" s="400"/>
      <c r="AA55" s="400"/>
      <c r="AB55" s="400"/>
      <c r="AC55" s="400"/>
      <c r="AD55" s="400"/>
      <c r="AE55" s="400"/>
      <c r="AF55" s="400"/>
      <c r="AG55" s="400"/>
      <c r="AH55" s="401"/>
      <c r="AI55" s="14"/>
      <c r="AJ55" s="14"/>
    </row>
    <row r="56" spans="4:36" s="7" customFormat="1" ht="15.75" customHeight="1" x14ac:dyDescent="0.15">
      <c r="D56" s="257" t="s">
        <v>47</v>
      </c>
      <c r="E56" s="243"/>
      <c r="F56" s="243"/>
      <c r="G56" s="243"/>
      <c r="H56" s="399" t="s">
        <v>49</v>
      </c>
      <c r="I56" s="399"/>
      <c r="J56" s="399"/>
      <c r="K56" s="399"/>
      <c r="L56" s="399"/>
      <c r="M56" s="399"/>
      <c r="N56" s="399"/>
      <c r="O56" s="399"/>
      <c r="P56" s="399"/>
      <c r="Q56" s="243" t="s">
        <v>50</v>
      </c>
      <c r="R56" s="243"/>
      <c r="S56" s="243"/>
      <c r="T56" s="243"/>
      <c r="U56" s="243"/>
      <c r="V56" s="243"/>
      <c r="W56" s="243"/>
      <c r="X56" s="243"/>
      <c r="Y56" s="243"/>
      <c r="Z56" s="243" t="s">
        <v>70</v>
      </c>
      <c r="AA56" s="243"/>
      <c r="AB56" s="243"/>
      <c r="AC56" s="243"/>
      <c r="AD56" s="243"/>
      <c r="AE56" s="243"/>
      <c r="AF56" s="243"/>
      <c r="AG56" s="243"/>
      <c r="AH56" s="254"/>
      <c r="AI56" s="2"/>
      <c r="AJ56" s="2"/>
    </row>
    <row r="57" spans="4:36" s="7" customFormat="1" ht="15.75" customHeight="1" x14ac:dyDescent="0.15">
      <c r="D57" s="257"/>
      <c r="E57" s="243"/>
      <c r="F57" s="243"/>
      <c r="G57" s="243"/>
      <c r="H57" s="399"/>
      <c r="I57" s="399"/>
      <c r="J57" s="399"/>
      <c r="K57" s="399"/>
      <c r="L57" s="399"/>
      <c r="M57" s="399"/>
      <c r="N57" s="399"/>
      <c r="O57" s="399"/>
      <c r="P57" s="399"/>
      <c r="Q57" s="243"/>
      <c r="R57" s="243"/>
      <c r="S57" s="243"/>
      <c r="T57" s="243"/>
      <c r="U57" s="243"/>
      <c r="V57" s="243"/>
      <c r="W57" s="243"/>
      <c r="X57" s="243"/>
      <c r="Y57" s="243"/>
      <c r="Z57" s="243"/>
      <c r="AA57" s="243"/>
      <c r="AB57" s="243"/>
      <c r="AC57" s="243"/>
      <c r="AD57" s="243"/>
      <c r="AE57" s="243"/>
      <c r="AF57" s="243"/>
      <c r="AG57" s="243"/>
      <c r="AH57" s="254"/>
      <c r="AI57" s="2"/>
      <c r="AJ57" s="2"/>
    </row>
    <row r="58" spans="4:36" s="7" customFormat="1" ht="15.75" customHeight="1" x14ac:dyDescent="0.15">
      <c r="D58" s="257" t="s">
        <v>48</v>
      </c>
      <c r="E58" s="243"/>
      <c r="F58" s="243"/>
      <c r="G58" s="243"/>
      <c r="H58" s="253" t="s">
        <v>53</v>
      </c>
      <c r="I58" s="243"/>
      <c r="J58" s="243"/>
      <c r="K58" s="243"/>
      <c r="L58" s="243"/>
      <c r="M58" s="243"/>
      <c r="N58" s="243"/>
      <c r="O58" s="243"/>
      <c r="P58" s="243"/>
      <c r="Q58" s="253" t="s">
        <v>55</v>
      </c>
      <c r="R58" s="243"/>
      <c r="S58" s="243"/>
      <c r="T58" s="243"/>
      <c r="U58" s="243"/>
      <c r="V58" s="243"/>
      <c r="W58" s="243"/>
      <c r="X58" s="243"/>
      <c r="Y58" s="243"/>
      <c r="Z58" s="253" t="s">
        <v>58</v>
      </c>
      <c r="AA58" s="243"/>
      <c r="AB58" s="243"/>
      <c r="AC58" s="243"/>
      <c r="AD58" s="243"/>
      <c r="AE58" s="243"/>
      <c r="AF58" s="243"/>
      <c r="AG58" s="243"/>
      <c r="AH58" s="254"/>
      <c r="AI58" s="2"/>
      <c r="AJ58" s="2"/>
    </row>
    <row r="59" spans="4:36" s="7" customFormat="1" ht="15.75" customHeight="1" x14ac:dyDescent="0.15">
      <c r="D59" s="257"/>
      <c r="E59" s="243"/>
      <c r="F59" s="243"/>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c r="AG59" s="243"/>
      <c r="AH59" s="254"/>
      <c r="AI59" s="2"/>
      <c r="AJ59" s="2"/>
    </row>
    <row r="60" spans="4:36" s="7" customFormat="1" ht="15.75" customHeight="1" x14ac:dyDescent="0.15">
      <c r="D60" s="257"/>
      <c r="E60" s="243"/>
      <c r="F60" s="243"/>
      <c r="G60" s="243"/>
      <c r="H60" s="253" t="s">
        <v>54</v>
      </c>
      <c r="I60" s="243"/>
      <c r="J60" s="243"/>
      <c r="K60" s="243"/>
      <c r="L60" s="243"/>
      <c r="M60" s="243"/>
      <c r="N60" s="243"/>
      <c r="O60" s="243"/>
      <c r="P60" s="243"/>
      <c r="Q60" s="253" t="s">
        <v>57</v>
      </c>
      <c r="R60" s="243"/>
      <c r="S60" s="243"/>
      <c r="T60" s="243"/>
      <c r="U60" s="243"/>
      <c r="V60" s="243"/>
      <c r="W60" s="243"/>
      <c r="X60" s="243"/>
      <c r="Y60" s="243"/>
      <c r="Z60" s="253" t="s">
        <v>59</v>
      </c>
      <c r="AA60" s="243"/>
      <c r="AB60" s="243"/>
      <c r="AC60" s="243"/>
      <c r="AD60" s="243"/>
      <c r="AE60" s="243"/>
      <c r="AF60" s="243"/>
      <c r="AG60" s="243"/>
      <c r="AH60" s="254"/>
      <c r="AI60" s="2"/>
      <c r="AJ60" s="2"/>
    </row>
    <row r="61" spans="4:36" s="7" customFormat="1" ht="15.75" customHeight="1" x14ac:dyDescent="0.15">
      <c r="D61" s="257"/>
      <c r="E61" s="243"/>
      <c r="F61" s="243"/>
      <c r="G61" s="243"/>
      <c r="H61" s="243"/>
      <c r="I61" s="243"/>
      <c r="J61" s="243"/>
      <c r="K61" s="243"/>
      <c r="L61" s="243"/>
      <c r="M61" s="243"/>
      <c r="N61" s="243"/>
      <c r="O61" s="243"/>
      <c r="P61" s="243"/>
      <c r="Q61" s="243"/>
      <c r="R61" s="243"/>
      <c r="S61" s="243"/>
      <c r="T61" s="243"/>
      <c r="U61" s="243"/>
      <c r="V61" s="243"/>
      <c r="W61" s="243"/>
      <c r="X61" s="243"/>
      <c r="Y61" s="243"/>
      <c r="Z61" s="243"/>
      <c r="AA61" s="243"/>
      <c r="AB61" s="243"/>
      <c r="AC61" s="243"/>
      <c r="AD61" s="243"/>
      <c r="AE61" s="243"/>
      <c r="AF61" s="243"/>
      <c r="AG61" s="243"/>
      <c r="AH61" s="254"/>
      <c r="AI61" s="2"/>
      <c r="AJ61" s="2"/>
    </row>
    <row r="62" spans="4:36" s="7" customFormat="1" ht="15.75" customHeight="1" x14ac:dyDescent="0.15">
      <c r="H62" s="7" t="s">
        <v>71</v>
      </c>
    </row>
    <row r="63" spans="4:36" s="7" customFormat="1" ht="15.75" customHeight="1" x14ac:dyDescent="0.15"/>
    <row r="64" spans="4:36" s="7" customFormat="1" ht="15.75" customHeight="1" x14ac:dyDescent="0.15"/>
    <row r="65" spans="4:36" ht="15.75" customHeight="1" x14ac:dyDescent="0.15">
      <c r="D65" s="5" t="s">
        <v>61</v>
      </c>
    </row>
    <row r="67" spans="4:36" ht="15.75" customHeight="1" x14ac:dyDescent="0.2">
      <c r="D67" s="7" t="s">
        <v>62</v>
      </c>
      <c r="M67" s="12"/>
    </row>
    <row r="68" spans="4:36" s="7" customFormat="1" ht="15.75" customHeight="1" x14ac:dyDescent="0.15"/>
    <row r="69" spans="4:36" s="7" customFormat="1" ht="15.75" customHeight="1" x14ac:dyDescent="0.2">
      <c r="F69" s="7" t="s">
        <v>201</v>
      </c>
    </row>
    <row r="70" spans="4:36" s="7" customFormat="1" ht="15.75" customHeight="1" x14ac:dyDescent="0.15"/>
    <row r="71" spans="4:36" s="7" customFormat="1" ht="15.75" customHeight="1" x14ac:dyDescent="0.15">
      <c r="F71" s="103" t="s">
        <v>202</v>
      </c>
      <c r="G71" s="103"/>
      <c r="H71" s="103"/>
      <c r="I71" s="103"/>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5"/>
      <c r="AI71" s="15"/>
      <c r="AJ71" s="15"/>
    </row>
    <row r="72" spans="4:36" s="7" customFormat="1" ht="15.75" customHeight="1" x14ac:dyDescent="0.15">
      <c r="F72" s="257" t="s">
        <v>63</v>
      </c>
      <c r="G72" s="243"/>
      <c r="H72" s="243"/>
      <c r="I72" s="243"/>
      <c r="J72" s="243"/>
      <c r="K72" s="243"/>
      <c r="L72" s="243" t="s">
        <v>68</v>
      </c>
      <c r="M72" s="243"/>
      <c r="N72" s="243"/>
      <c r="O72" s="243"/>
      <c r="P72" s="243"/>
      <c r="Q72" s="243"/>
      <c r="R72" s="243"/>
      <c r="S72" s="243"/>
      <c r="T72" s="243" t="s">
        <v>69</v>
      </c>
      <c r="U72" s="243"/>
      <c r="V72" s="243"/>
      <c r="W72" s="243"/>
      <c r="X72" s="243"/>
      <c r="Y72" s="243"/>
      <c r="Z72" s="243"/>
      <c r="AA72" s="243"/>
      <c r="AB72" s="243"/>
      <c r="AC72" s="243"/>
      <c r="AD72" s="243"/>
      <c r="AE72" s="243"/>
      <c r="AF72" s="243"/>
      <c r="AG72" s="254"/>
    </row>
    <row r="73" spans="4:36" s="7" customFormat="1" ht="15.75" customHeight="1" x14ac:dyDescent="0.15">
      <c r="F73" s="257" t="s">
        <v>64</v>
      </c>
      <c r="G73" s="243"/>
      <c r="H73" s="243"/>
      <c r="I73" s="243"/>
      <c r="J73" s="243"/>
      <c r="K73" s="243"/>
      <c r="L73" s="243" t="s">
        <v>66</v>
      </c>
      <c r="M73" s="243"/>
      <c r="N73" s="243"/>
      <c r="O73" s="243"/>
      <c r="P73" s="243"/>
      <c r="Q73" s="243"/>
      <c r="R73" s="243"/>
      <c r="S73" s="243"/>
      <c r="T73" s="244">
        <v>1</v>
      </c>
      <c r="U73" s="244"/>
      <c r="V73" s="244"/>
      <c r="W73" s="244"/>
      <c r="X73" s="244"/>
      <c r="Y73" s="244"/>
      <c r="Z73" s="244"/>
      <c r="AA73" s="244"/>
      <c r="AB73" s="244"/>
      <c r="AC73" s="244"/>
      <c r="AD73" s="244"/>
      <c r="AE73" s="244"/>
      <c r="AF73" s="244"/>
      <c r="AG73" s="258"/>
    </row>
    <row r="74" spans="4:36" s="7" customFormat="1" ht="15.75" customHeight="1" x14ac:dyDescent="0.15">
      <c r="F74" s="257" t="s">
        <v>65</v>
      </c>
      <c r="G74" s="243"/>
      <c r="H74" s="243"/>
      <c r="I74" s="243"/>
      <c r="J74" s="243"/>
      <c r="K74" s="243"/>
      <c r="L74" s="243" t="s">
        <v>67</v>
      </c>
      <c r="M74" s="243"/>
      <c r="N74" s="243"/>
      <c r="O74" s="243"/>
      <c r="P74" s="243"/>
      <c r="Q74" s="243"/>
      <c r="R74" s="243"/>
      <c r="S74" s="243"/>
      <c r="T74" s="243">
        <v>0.5</v>
      </c>
      <c r="U74" s="243"/>
      <c r="V74" s="243"/>
      <c r="W74" s="243"/>
      <c r="X74" s="243"/>
      <c r="Y74" s="243"/>
      <c r="Z74" s="243"/>
      <c r="AA74" s="243"/>
      <c r="AB74" s="243"/>
      <c r="AC74" s="243"/>
      <c r="AD74" s="243"/>
      <c r="AE74" s="243"/>
      <c r="AF74" s="243"/>
      <c r="AG74" s="254"/>
    </row>
    <row r="75" spans="4:36" s="7" customFormat="1" ht="15.75" customHeight="1" x14ac:dyDescent="0.2">
      <c r="J75" s="7" t="s">
        <v>72</v>
      </c>
    </row>
    <row r="76" spans="4:36" s="7" customFormat="1" ht="15.75" customHeight="1" x14ac:dyDescent="0.15"/>
    <row r="77" spans="4:36" s="7" customFormat="1" ht="15.75" customHeight="1" x14ac:dyDescent="0.15"/>
    <row r="78" spans="4:36" ht="15.75" customHeight="1" x14ac:dyDescent="0.2">
      <c r="D78" s="7" t="s">
        <v>74</v>
      </c>
      <c r="M78" s="12"/>
    </row>
    <row r="79" spans="4:36" s="7" customFormat="1" ht="15.75" customHeight="1" x14ac:dyDescent="0.15"/>
    <row r="80" spans="4:36" s="7" customFormat="1" ht="15.75" customHeight="1" x14ac:dyDescent="0.2">
      <c r="F80" s="7" t="s">
        <v>203</v>
      </c>
    </row>
    <row r="81" spans="6:35" s="7" customFormat="1" ht="15.75" customHeight="1" x14ac:dyDescent="0.15">
      <c r="F81" s="7" t="s">
        <v>73</v>
      </c>
    </row>
    <row r="82" spans="6:35" s="7" customFormat="1" ht="15.75" customHeight="1" x14ac:dyDescent="0.15"/>
    <row r="83" spans="6:35" s="7" customFormat="1" ht="15.75" customHeight="1" x14ac:dyDescent="0.2">
      <c r="F83" s="261" t="s">
        <v>75</v>
      </c>
      <c r="G83" s="261"/>
      <c r="H83" s="6" t="s">
        <v>27</v>
      </c>
      <c r="I83" s="261">
        <v>1.4</v>
      </c>
      <c r="J83" s="261"/>
      <c r="K83" s="261" t="s">
        <v>76</v>
      </c>
      <c r="L83" s="261"/>
      <c r="M83" s="261" t="s">
        <v>77</v>
      </c>
      <c r="N83" s="261"/>
      <c r="O83" s="6" t="s">
        <v>78</v>
      </c>
      <c r="P83" s="402">
        <v>-0.75</v>
      </c>
      <c r="Q83" s="402"/>
    </row>
    <row r="84" spans="6:35" s="7" customFormat="1" ht="15.75" customHeight="1" x14ac:dyDescent="0.15"/>
    <row r="85" spans="6:35" s="7" customFormat="1" ht="15.75" customHeight="1" x14ac:dyDescent="0.2">
      <c r="G85" s="7" t="s">
        <v>79</v>
      </c>
      <c r="J85" s="261" t="s">
        <v>75</v>
      </c>
      <c r="K85" s="261"/>
      <c r="L85" s="6" t="s">
        <v>2</v>
      </c>
      <c r="M85" s="7" t="s">
        <v>80</v>
      </c>
    </row>
    <row r="86" spans="6:35" s="7" customFormat="1" ht="15.75" customHeight="1" x14ac:dyDescent="0.2">
      <c r="J86" s="261" t="s">
        <v>76</v>
      </c>
      <c r="K86" s="261"/>
      <c r="L86" s="6" t="s">
        <v>2</v>
      </c>
      <c r="M86" s="7" t="s">
        <v>90</v>
      </c>
    </row>
    <row r="87" spans="6:35" s="7" customFormat="1" ht="15.75" customHeight="1" x14ac:dyDescent="0.2">
      <c r="J87" s="261" t="s">
        <v>77</v>
      </c>
      <c r="K87" s="261"/>
      <c r="L87" s="6" t="s">
        <v>2</v>
      </c>
      <c r="M87" s="7" t="s">
        <v>83</v>
      </c>
    </row>
    <row r="88" spans="6:35" s="7" customFormat="1" ht="15.75" customHeight="1" x14ac:dyDescent="0.15">
      <c r="J88" s="261" t="s">
        <v>78</v>
      </c>
      <c r="K88" s="261"/>
      <c r="L88" s="6" t="s">
        <v>2</v>
      </c>
      <c r="M88" s="7" t="s">
        <v>81</v>
      </c>
    </row>
    <row r="89" spans="6:35" s="7" customFormat="1" ht="15.75" customHeight="1" x14ac:dyDescent="0.15"/>
    <row r="90" spans="6:35" s="7" customFormat="1" ht="15.75" customHeight="1" x14ac:dyDescent="0.15">
      <c r="H90" s="103" t="s">
        <v>204</v>
      </c>
      <c r="I90" s="103"/>
      <c r="J90" s="103"/>
      <c r="K90" s="103"/>
      <c r="L90" s="103"/>
      <c r="M90" s="103"/>
      <c r="N90" s="103"/>
      <c r="O90" s="103"/>
      <c r="P90" s="103"/>
      <c r="Q90" s="103"/>
      <c r="R90" s="103"/>
      <c r="S90" s="103"/>
      <c r="T90" s="103"/>
      <c r="U90" s="103"/>
      <c r="V90" s="103"/>
      <c r="W90" s="103"/>
      <c r="X90" s="103"/>
      <c r="Y90" s="103"/>
      <c r="Z90" s="103"/>
      <c r="AA90" s="103"/>
      <c r="AB90" s="103"/>
      <c r="AC90" s="15"/>
      <c r="AD90" s="15"/>
      <c r="AE90" s="15"/>
      <c r="AF90" s="15"/>
      <c r="AG90" s="15"/>
      <c r="AH90" s="15"/>
      <c r="AI90" s="15"/>
    </row>
    <row r="91" spans="6:35" s="7" customFormat="1" ht="15.75" customHeight="1" x14ac:dyDescent="0.15">
      <c r="H91" s="257" t="s">
        <v>82</v>
      </c>
      <c r="I91" s="243"/>
      <c r="J91" s="243"/>
      <c r="K91" s="243" t="s">
        <v>84</v>
      </c>
      <c r="L91" s="243"/>
      <c r="M91" s="243"/>
      <c r="N91" s="243"/>
      <c r="O91" s="243"/>
      <c r="P91" s="243"/>
      <c r="Q91" s="243" t="s">
        <v>85</v>
      </c>
      <c r="R91" s="243"/>
      <c r="S91" s="243"/>
      <c r="T91" s="243"/>
      <c r="U91" s="243"/>
      <c r="V91" s="243"/>
      <c r="W91" s="243" t="s">
        <v>86</v>
      </c>
      <c r="X91" s="243"/>
      <c r="Y91" s="243"/>
      <c r="Z91" s="243"/>
      <c r="AA91" s="243"/>
      <c r="AB91" s="254"/>
    </row>
    <row r="92" spans="6:35" s="7" customFormat="1" ht="15.75" customHeight="1" x14ac:dyDescent="0.15">
      <c r="H92" s="260">
        <v>0.5</v>
      </c>
      <c r="I92" s="244"/>
      <c r="J92" s="244"/>
      <c r="K92" s="404">
        <v>91760</v>
      </c>
      <c r="L92" s="404"/>
      <c r="M92" s="404"/>
      <c r="N92" s="404"/>
      <c r="O92" s="404"/>
      <c r="P92" s="404"/>
      <c r="Q92" s="405">
        <v>1</v>
      </c>
      <c r="R92" s="405"/>
      <c r="S92" s="405"/>
      <c r="T92" s="405"/>
      <c r="U92" s="405"/>
      <c r="V92" s="405"/>
      <c r="W92" s="243">
        <f>ROUND(I83*H92*K92*Q92^P83,0)</f>
        <v>64232</v>
      </c>
      <c r="X92" s="243"/>
      <c r="Y92" s="243"/>
      <c r="Z92" s="243"/>
      <c r="AA92" s="243"/>
      <c r="AB92" s="254"/>
    </row>
    <row r="93" spans="6:35" s="7" customFormat="1" ht="15.75" customHeight="1" x14ac:dyDescent="0.15"/>
    <row r="94" spans="6:35" s="7" customFormat="1" ht="15.75" customHeight="1" x14ac:dyDescent="0.15">
      <c r="H94" s="103" t="s">
        <v>205</v>
      </c>
      <c r="I94" s="103"/>
      <c r="J94" s="103"/>
      <c r="K94" s="103"/>
      <c r="L94" s="103"/>
      <c r="M94" s="103"/>
      <c r="N94" s="103"/>
      <c r="O94" s="103"/>
      <c r="P94" s="103"/>
      <c r="Q94" s="103"/>
      <c r="R94" s="103"/>
      <c r="S94" s="103"/>
      <c r="T94" s="103"/>
      <c r="U94" s="103"/>
      <c r="V94" s="103"/>
      <c r="W94" s="103"/>
      <c r="X94" s="103"/>
      <c r="Y94" s="103"/>
      <c r="Z94" s="103"/>
      <c r="AA94" s="103"/>
      <c r="AB94" s="103"/>
    </row>
    <row r="95" spans="6:35" s="7" customFormat="1" ht="15.75" customHeight="1" x14ac:dyDescent="0.15">
      <c r="H95" s="257" t="s">
        <v>82</v>
      </c>
      <c r="I95" s="243"/>
      <c r="J95" s="243"/>
      <c r="K95" s="243" t="s">
        <v>84</v>
      </c>
      <c r="L95" s="243"/>
      <c r="M95" s="243"/>
      <c r="N95" s="243"/>
      <c r="O95" s="243"/>
      <c r="P95" s="243"/>
      <c r="Q95" s="243" t="s">
        <v>85</v>
      </c>
      <c r="R95" s="243"/>
      <c r="S95" s="243"/>
      <c r="T95" s="243"/>
      <c r="U95" s="243"/>
      <c r="V95" s="243"/>
      <c r="W95" s="243" t="s">
        <v>86</v>
      </c>
      <c r="X95" s="243"/>
      <c r="Y95" s="243"/>
      <c r="Z95" s="243"/>
      <c r="AA95" s="243"/>
      <c r="AB95" s="254"/>
    </row>
    <row r="96" spans="6:35" s="7" customFormat="1" ht="15.75" customHeight="1" x14ac:dyDescent="0.15">
      <c r="H96" s="260">
        <v>1</v>
      </c>
      <c r="I96" s="244"/>
      <c r="J96" s="244"/>
      <c r="K96" s="406">
        <f>K92</f>
        <v>91760</v>
      </c>
      <c r="L96" s="406"/>
      <c r="M96" s="406"/>
      <c r="N96" s="406"/>
      <c r="O96" s="406"/>
      <c r="P96" s="406"/>
      <c r="Q96" s="247">
        <f>Q92</f>
        <v>1</v>
      </c>
      <c r="R96" s="247"/>
      <c r="S96" s="247"/>
      <c r="T96" s="247"/>
      <c r="U96" s="247"/>
      <c r="V96" s="247"/>
      <c r="W96" s="243">
        <f>ROUND(I83*H96*K96*Q96^P83,0)</f>
        <v>128464</v>
      </c>
      <c r="X96" s="243"/>
      <c r="Y96" s="243"/>
      <c r="Z96" s="243"/>
      <c r="AA96" s="243"/>
      <c r="AB96" s="254"/>
    </row>
    <row r="97" spans="1:35" s="7" customFormat="1" ht="15.75" customHeight="1" x14ac:dyDescent="0.15">
      <c r="H97" s="4"/>
      <c r="I97" s="4"/>
      <c r="J97" s="4"/>
      <c r="K97" s="1"/>
      <c r="L97" s="1"/>
      <c r="M97" s="1"/>
      <c r="N97" s="1"/>
      <c r="O97" s="1"/>
      <c r="P97" s="1"/>
      <c r="Q97" s="16"/>
      <c r="R97" s="16"/>
      <c r="S97" s="16"/>
      <c r="T97" s="16"/>
      <c r="U97" s="16"/>
      <c r="V97" s="16"/>
      <c r="W97" s="1"/>
      <c r="X97" s="1"/>
      <c r="Y97" s="1"/>
      <c r="Z97" s="1"/>
      <c r="AA97" s="1"/>
      <c r="AB97" s="1"/>
    </row>
    <row r="98" spans="1:35" ht="15.75" customHeight="1" x14ac:dyDescent="0.2">
      <c r="D98" s="7" t="s">
        <v>87</v>
      </c>
      <c r="M98" s="12"/>
    </row>
    <row r="99" spans="1:35" s="7" customFormat="1" ht="15.75" customHeight="1" x14ac:dyDescent="0.15"/>
    <row r="100" spans="1:35" s="7" customFormat="1" ht="15.75" customHeight="1" x14ac:dyDescent="0.2">
      <c r="F100" s="7" t="s">
        <v>206</v>
      </c>
    </row>
    <row r="101" spans="1:35" s="7" customFormat="1" ht="15.75" customHeight="1" x14ac:dyDescent="0.15">
      <c r="F101" s="7" t="s">
        <v>88</v>
      </c>
    </row>
    <row r="102" spans="1:35" s="7" customFormat="1" ht="15.75" customHeight="1" x14ac:dyDescent="0.15"/>
    <row r="103" spans="1:35" s="7" customFormat="1" ht="15.75" customHeight="1" x14ac:dyDescent="0.2">
      <c r="F103" s="261" t="s">
        <v>89</v>
      </c>
      <c r="G103" s="261"/>
      <c r="H103" s="6" t="s">
        <v>27</v>
      </c>
      <c r="I103" s="261">
        <v>0.2</v>
      </c>
      <c r="J103" s="261"/>
      <c r="K103" s="261" t="s">
        <v>76</v>
      </c>
      <c r="L103" s="261"/>
      <c r="M103" s="261" t="s">
        <v>77</v>
      </c>
      <c r="N103" s="261"/>
    </row>
    <row r="104" spans="1:35" s="7" customFormat="1" ht="15.75" customHeight="1" x14ac:dyDescent="0.15"/>
    <row r="105" spans="1:35" s="7" customFormat="1" ht="15.75" customHeight="1" x14ac:dyDescent="0.2">
      <c r="G105" s="7" t="s">
        <v>79</v>
      </c>
      <c r="J105" s="261" t="s">
        <v>227</v>
      </c>
      <c r="K105" s="261"/>
      <c r="L105" s="6" t="s">
        <v>2</v>
      </c>
      <c r="M105" s="7" t="s">
        <v>207</v>
      </c>
    </row>
    <row r="106" spans="1:35" s="7" customFormat="1" ht="15.75" customHeight="1" x14ac:dyDescent="0.2">
      <c r="J106" s="261" t="s">
        <v>76</v>
      </c>
      <c r="K106" s="261"/>
      <c r="L106" s="6" t="s">
        <v>2</v>
      </c>
      <c r="M106" s="7" t="s">
        <v>90</v>
      </c>
    </row>
    <row r="107" spans="1:35" s="7" customFormat="1" ht="15.75" customHeight="1" x14ac:dyDescent="0.2">
      <c r="J107" s="261" t="s">
        <v>77</v>
      </c>
      <c r="K107" s="261"/>
      <c r="L107" s="6" t="s">
        <v>2</v>
      </c>
      <c r="M107" s="7" t="s">
        <v>83</v>
      </c>
    </row>
    <row r="108" spans="1:35" s="7" customFormat="1" ht="15.75" customHeight="1" x14ac:dyDescent="0.15"/>
    <row r="109" spans="1:35" s="7" customFormat="1" ht="15.75" customHeight="1" x14ac:dyDescent="0.15">
      <c r="H109" s="103" t="s">
        <v>574</v>
      </c>
      <c r="I109" s="104"/>
      <c r="J109" s="104"/>
      <c r="K109" s="104"/>
      <c r="L109" s="104"/>
      <c r="M109" s="104"/>
      <c r="N109" s="104"/>
      <c r="O109" s="104"/>
      <c r="P109" s="104"/>
      <c r="Q109" s="104"/>
      <c r="R109" s="104"/>
      <c r="S109" s="104"/>
      <c r="T109" s="104"/>
      <c r="U109" s="105"/>
      <c r="V109" s="104"/>
      <c r="W109" s="104"/>
      <c r="X109" s="104"/>
      <c r="Y109" s="104"/>
      <c r="Z109" s="105"/>
      <c r="AA109" s="105"/>
      <c r="AB109" s="105"/>
      <c r="AC109" s="104"/>
      <c r="AD109" s="104"/>
      <c r="AE109" s="104"/>
      <c r="AF109" s="104"/>
      <c r="AG109" s="104"/>
      <c r="AH109" s="104"/>
      <c r="AI109" s="15"/>
    </row>
    <row r="110" spans="1:35" s="7" customFormat="1" ht="15.75" customHeight="1" x14ac:dyDescent="0.15">
      <c r="H110" s="411" t="s">
        <v>91</v>
      </c>
      <c r="I110" s="243"/>
      <c r="J110" s="254"/>
      <c r="K110" s="413" t="s">
        <v>84</v>
      </c>
      <c r="L110" s="243"/>
      <c r="M110" s="243"/>
      <c r="N110" s="243"/>
      <c r="O110" s="243"/>
      <c r="P110" s="243"/>
      <c r="Q110" s="396" t="s">
        <v>572</v>
      </c>
      <c r="R110" s="397"/>
      <c r="S110" s="397"/>
      <c r="T110" s="397"/>
      <c r="U110" s="397"/>
      <c r="V110" s="397"/>
      <c r="W110" s="397"/>
      <c r="X110" s="397"/>
      <c r="Y110" s="397"/>
      <c r="Z110" s="396" t="s">
        <v>573</v>
      </c>
      <c r="AA110" s="397"/>
      <c r="AB110" s="397"/>
      <c r="AC110" s="397"/>
      <c r="AD110" s="397"/>
      <c r="AE110" s="397"/>
      <c r="AF110" s="397"/>
      <c r="AG110" s="397"/>
      <c r="AH110" s="397"/>
    </row>
    <row r="111" spans="1:35" s="7" customFormat="1" ht="15.75" customHeight="1" x14ac:dyDescent="0.15">
      <c r="H111" s="282"/>
      <c r="I111" s="412"/>
      <c r="J111" s="281"/>
      <c r="K111" s="414"/>
      <c r="L111" s="412"/>
      <c r="M111" s="412"/>
      <c r="N111" s="412"/>
      <c r="O111" s="412"/>
      <c r="P111" s="412"/>
      <c r="Q111" s="403" t="s">
        <v>82</v>
      </c>
      <c r="R111" s="394"/>
      <c r="S111" s="394"/>
      <c r="T111" s="394" t="s">
        <v>228</v>
      </c>
      <c r="U111" s="394"/>
      <c r="V111" s="394"/>
      <c r="W111" s="394"/>
      <c r="X111" s="394"/>
      <c r="Y111" s="395"/>
      <c r="Z111" s="403" t="s">
        <v>82</v>
      </c>
      <c r="AA111" s="394"/>
      <c r="AB111" s="394"/>
      <c r="AC111" s="394" t="s">
        <v>228</v>
      </c>
      <c r="AD111" s="394"/>
      <c r="AE111" s="394"/>
      <c r="AF111" s="394"/>
      <c r="AG111" s="394"/>
      <c r="AH111" s="395"/>
    </row>
    <row r="112" spans="1:35" s="7" customFormat="1" ht="15.75" customHeight="1" x14ac:dyDescent="0.15">
      <c r="A112" s="63" t="str">
        <f>IF(K112="","×","")</f>
        <v/>
      </c>
      <c r="H112" s="415">
        <v>3</v>
      </c>
      <c r="I112" s="408"/>
      <c r="J112" s="416"/>
      <c r="K112" s="407">
        <v>13930</v>
      </c>
      <c r="L112" s="408"/>
      <c r="M112" s="408"/>
      <c r="N112" s="408"/>
      <c r="O112" s="408"/>
      <c r="P112" s="408"/>
      <c r="Q112" s="409">
        <f>H92</f>
        <v>0.5</v>
      </c>
      <c r="R112" s="410"/>
      <c r="S112" s="410"/>
      <c r="T112" s="180">
        <f t="shared" ref="T112:T127" si="0">ROUND($I$103*$Q$112*K112,0)</f>
        <v>1393</v>
      </c>
      <c r="U112" s="180"/>
      <c r="V112" s="180"/>
      <c r="W112" s="180"/>
      <c r="X112" s="180"/>
      <c r="Y112" s="217"/>
      <c r="Z112" s="409">
        <f>H96</f>
        <v>1</v>
      </c>
      <c r="AA112" s="410"/>
      <c r="AB112" s="410"/>
      <c r="AC112" s="180">
        <f>ROUND($I$103*$Z$112*K112,0)</f>
        <v>2786</v>
      </c>
      <c r="AD112" s="180"/>
      <c r="AE112" s="180"/>
      <c r="AF112" s="180"/>
      <c r="AG112" s="180"/>
      <c r="AH112" s="217"/>
    </row>
    <row r="113" spans="1:34" s="7" customFormat="1" ht="15.75" customHeight="1" x14ac:dyDescent="0.15">
      <c r="A113" s="63" t="str">
        <f t="shared" ref="A113:A127" si="1">IF(K113="","×","")</f>
        <v/>
      </c>
      <c r="H113" s="231">
        <v>4</v>
      </c>
      <c r="I113" s="232"/>
      <c r="J113" s="233"/>
      <c r="K113" s="234">
        <v>28620</v>
      </c>
      <c r="L113" s="232"/>
      <c r="M113" s="232"/>
      <c r="N113" s="232"/>
      <c r="O113" s="232"/>
      <c r="P113" s="232"/>
      <c r="Q113" s="229">
        <f>Q112</f>
        <v>0.5</v>
      </c>
      <c r="R113" s="230"/>
      <c r="S113" s="230"/>
      <c r="T113" s="183">
        <f t="shared" si="0"/>
        <v>2862</v>
      </c>
      <c r="U113" s="183"/>
      <c r="V113" s="183"/>
      <c r="W113" s="183"/>
      <c r="X113" s="183"/>
      <c r="Y113" s="219"/>
      <c r="Z113" s="229">
        <f>Z112</f>
        <v>1</v>
      </c>
      <c r="AA113" s="230"/>
      <c r="AB113" s="230"/>
      <c r="AC113" s="183">
        <f t="shared" ref="AC113:AC127" si="2">ROUND($I$103*$Z$112*K113,0)</f>
        <v>5724</v>
      </c>
      <c r="AD113" s="183"/>
      <c r="AE113" s="183"/>
      <c r="AF113" s="183"/>
      <c r="AG113" s="183"/>
      <c r="AH113" s="219"/>
    </row>
    <row r="114" spans="1:34" s="7" customFormat="1" ht="15.75" customHeight="1" x14ac:dyDescent="0.15">
      <c r="A114" s="63" t="str">
        <f t="shared" si="1"/>
        <v/>
      </c>
      <c r="H114" s="231">
        <v>5</v>
      </c>
      <c r="I114" s="232"/>
      <c r="J114" s="233"/>
      <c r="K114" s="234">
        <v>32570</v>
      </c>
      <c r="L114" s="232"/>
      <c r="M114" s="232"/>
      <c r="N114" s="232"/>
      <c r="O114" s="232"/>
      <c r="P114" s="232"/>
      <c r="Q114" s="229">
        <f t="shared" ref="Q114:Q120" si="3">Q113</f>
        <v>0.5</v>
      </c>
      <c r="R114" s="230"/>
      <c r="S114" s="230"/>
      <c r="T114" s="183">
        <f t="shared" si="0"/>
        <v>3257</v>
      </c>
      <c r="U114" s="183"/>
      <c r="V114" s="183"/>
      <c r="W114" s="183"/>
      <c r="X114" s="183"/>
      <c r="Y114" s="219"/>
      <c r="Z114" s="229">
        <f t="shared" ref="Z114:Z127" si="4">Z113</f>
        <v>1</v>
      </c>
      <c r="AA114" s="230"/>
      <c r="AB114" s="230"/>
      <c r="AC114" s="183">
        <f t="shared" si="2"/>
        <v>6514</v>
      </c>
      <c r="AD114" s="183"/>
      <c r="AE114" s="183"/>
      <c r="AF114" s="183"/>
      <c r="AG114" s="183"/>
      <c r="AH114" s="219"/>
    </row>
    <row r="115" spans="1:34" s="7" customFormat="1" ht="15.75" customHeight="1" x14ac:dyDescent="0.15">
      <c r="A115" s="63" t="str">
        <f t="shared" si="1"/>
        <v/>
      </c>
      <c r="H115" s="231">
        <v>6</v>
      </c>
      <c r="I115" s="232"/>
      <c r="J115" s="233"/>
      <c r="K115" s="234">
        <v>46440</v>
      </c>
      <c r="L115" s="232"/>
      <c r="M115" s="232"/>
      <c r="N115" s="232"/>
      <c r="O115" s="232"/>
      <c r="P115" s="232"/>
      <c r="Q115" s="229">
        <f t="shared" si="3"/>
        <v>0.5</v>
      </c>
      <c r="R115" s="230"/>
      <c r="S115" s="230"/>
      <c r="T115" s="183">
        <f t="shared" si="0"/>
        <v>4644</v>
      </c>
      <c r="U115" s="183"/>
      <c r="V115" s="183"/>
      <c r="W115" s="183"/>
      <c r="X115" s="183"/>
      <c r="Y115" s="219"/>
      <c r="Z115" s="229">
        <f t="shared" si="4"/>
        <v>1</v>
      </c>
      <c r="AA115" s="230"/>
      <c r="AB115" s="230"/>
      <c r="AC115" s="183">
        <f t="shared" si="2"/>
        <v>9288</v>
      </c>
      <c r="AD115" s="183"/>
      <c r="AE115" s="183"/>
      <c r="AF115" s="183"/>
      <c r="AG115" s="183"/>
      <c r="AH115" s="219"/>
    </row>
    <row r="116" spans="1:34" s="7" customFormat="1" ht="15.75" customHeight="1" x14ac:dyDescent="0.15">
      <c r="A116" s="63" t="str">
        <f t="shared" si="1"/>
        <v/>
      </c>
      <c r="H116" s="231">
        <v>7</v>
      </c>
      <c r="I116" s="232"/>
      <c r="J116" s="233"/>
      <c r="K116" s="234">
        <v>91760</v>
      </c>
      <c r="L116" s="232"/>
      <c r="M116" s="232"/>
      <c r="N116" s="232"/>
      <c r="O116" s="232"/>
      <c r="P116" s="232"/>
      <c r="Q116" s="229">
        <f t="shared" si="3"/>
        <v>0.5</v>
      </c>
      <c r="R116" s="230"/>
      <c r="S116" s="230"/>
      <c r="T116" s="183">
        <f t="shared" si="0"/>
        <v>9176</v>
      </c>
      <c r="U116" s="183"/>
      <c r="V116" s="183"/>
      <c r="W116" s="183"/>
      <c r="X116" s="183"/>
      <c r="Y116" s="219"/>
      <c r="Z116" s="229">
        <f t="shared" si="4"/>
        <v>1</v>
      </c>
      <c r="AA116" s="230"/>
      <c r="AB116" s="230"/>
      <c r="AC116" s="183">
        <f t="shared" si="2"/>
        <v>18352</v>
      </c>
      <c r="AD116" s="183"/>
      <c r="AE116" s="183"/>
      <c r="AF116" s="183"/>
      <c r="AG116" s="183"/>
      <c r="AH116" s="219"/>
    </row>
    <row r="117" spans="1:34" s="7" customFormat="1" ht="15.75" customHeight="1" x14ac:dyDescent="0.15">
      <c r="A117" s="63" t="str">
        <f t="shared" si="1"/>
        <v>×</v>
      </c>
      <c r="H117" s="231"/>
      <c r="I117" s="232"/>
      <c r="J117" s="233"/>
      <c r="K117" s="234"/>
      <c r="L117" s="232"/>
      <c r="M117" s="232"/>
      <c r="N117" s="232"/>
      <c r="O117" s="232"/>
      <c r="P117" s="232"/>
      <c r="Q117" s="229">
        <f t="shared" si="3"/>
        <v>0.5</v>
      </c>
      <c r="R117" s="230"/>
      <c r="S117" s="230"/>
      <c r="T117" s="183">
        <f t="shared" si="0"/>
        <v>0</v>
      </c>
      <c r="U117" s="183"/>
      <c r="V117" s="183"/>
      <c r="W117" s="183"/>
      <c r="X117" s="183"/>
      <c r="Y117" s="219"/>
      <c r="Z117" s="229">
        <f t="shared" si="4"/>
        <v>1</v>
      </c>
      <c r="AA117" s="230"/>
      <c r="AB117" s="230"/>
      <c r="AC117" s="183">
        <f t="shared" si="2"/>
        <v>0</v>
      </c>
      <c r="AD117" s="183"/>
      <c r="AE117" s="183"/>
      <c r="AF117" s="183"/>
      <c r="AG117" s="183"/>
      <c r="AH117" s="219"/>
    </row>
    <row r="118" spans="1:34" s="7" customFormat="1" ht="15.75" customHeight="1" x14ac:dyDescent="0.15">
      <c r="A118" s="63" t="str">
        <f t="shared" si="1"/>
        <v>×</v>
      </c>
      <c r="H118" s="231"/>
      <c r="I118" s="232"/>
      <c r="J118" s="233"/>
      <c r="K118" s="234"/>
      <c r="L118" s="232"/>
      <c r="M118" s="232"/>
      <c r="N118" s="232"/>
      <c r="O118" s="232"/>
      <c r="P118" s="232"/>
      <c r="Q118" s="229">
        <f t="shared" si="3"/>
        <v>0.5</v>
      </c>
      <c r="R118" s="230"/>
      <c r="S118" s="230"/>
      <c r="T118" s="183">
        <f t="shared" si="0"/>
        <v>0</v>
      </c>
      <c r="U118" s="183"/>
      <c r="V118" s="183"/>
      <c r="W118" s="183"/>
      <c r="X118" s="183"/>
      <c r="Y118" s="219"/>
      <c r="Z118" s="229">
        <f t="shared" si="4"/>
        <v>1</v>
      </c>
      <c r="AA118" s="230"/>
      <c r="AB118" s="230"/>
      <c r="AC118" s="183">
        <f t="shared" si="2"/>
        <v>0</v>
      </c>
      <c r="AD118" s="183"/>
      <c r="AE118" s="183"/>
      <c r="AF118" s="183"/>
      <c r="AG118" s="183"/>
      <c r="AH118" s="219"/>
    </row>
    <row r="119" spans="1:34" s="7" customFormat="1" ht="15.75" customHeight="1" x14ac:dyDescent="0.15">
      <c r="A119" s="63" t="str">
        <f t="shared" si="1"/>
        <v>×</v>
      </c>
      <c r="H119" s="231"/>
      <c r="I119" s="232"/>
      <c r="J119" s="233"/>
      <c r="K119" s="234"/>
      <c r="L119" s="232"/>
      <c r="M119" s="232"/>
      <c r="N119" s="232"/>
      <c r="O119" s="232"/>
      <c r="P119" s="232"/>
      <c r="Q119" s="229">
        <f t="shared" si="3"/>
        <v>0.5</v>
      </c>
      <c r="R119" s="230"/>
      <c r="S119" s="230"/>
      <c r="T119" s="183">
        <f t="shared" si="0"/>
        <v>0</v>
      </c>
      <c r="U119" s="183"/>
      <c r="V119" s="183"/>
      <c r="W119" s="183"/>
      <c r="X119" s="183"/>
      <c r="Y119" s="219"/>
      <c r="Z119" s="229">
        <f t="shared" si="4"/>
        <v>1</v>
      </c>
      <c r="AA119" s="230"/>
      <c r="AB119" s="230"/>
      <c r="AC119" s="183">
        <f t="shared" si="2"/>
        <v>0</v>
      </c>
      <c r="AD119" s="183"/>
      <c r="AE119" s="183"/>
      <c r="AF119" s="183"/>
      <c r="AG119" s="183"/>
      <c r="AH119" s="219"/>
    </row>
    <row r="120" spans="1:34" s="7" customFormat="1" ht="15.75" customHeight="1" x14ac:dyDescent="0.15">
      <c r="A120" s="63" t="str">
        <f t="shared" si="1"/>
        <v>×</v>
      </c>
      <c r="H120" s="231"/>
      <c r="I120" s="232"/>
      <c r="J120" s="233"/>
      <c r="K120" s="234"/>
      <c r="L120" s="232"/>
      <c r="M120" s="232"/>
      <c r="N120" s="232"/>
      <c r="O120" s="232"/>
      <c r="P120" s="232"/>
      <c r="Q120" s="229">
        <f t="shared" si="3"/>
        <v>0.5</v>
      </c>
      <c r="R120" s="230"/>
      <c r="S120" s="230"/>
      <c r="T120" s="183">
        <f t="shared" si="0"/>
        <v>0</v>
      </c>
      <c r="U120" s="183"/>
      <c r="V120" s="183"/>
      <c r="W120" s="183"/>
      <c r="X120" s="183"/>
      <c r="Y120" s="219"/>
      <c r="Z120" s="229">
        <f t="shared" si="4"/>
        <v>1</v>
      </c>
      <c r="AA120" s="230"/>
      <c r="AB120" s="230"/>
      <c r="AC120" s="183">
        <f t="shared" si="2"/>
        <v>0</v>
      </c>
      <c r="AD120" s="183"/>
      <c r="AE120" s="183"/>
      <c r="AF120" s="183"/>
      <c r="AG120" s="183"/>
      <c r="AH120" s="219"/>
    </row>
    <row r="121" spans="1:34" s="7" customFormat="1" ht="15.75" customHeight="1" x14ac:dyDescent="0.15">
      <c r="A121" s="63" t="str">
        <f t="shared" si="1"/>
        <v>×</v>
      </c>
      <c r="H121" s="231"/>
      <c r="I121" s="232"/>
      <c r="J121" s="233"/>
      <c r="K121" s="234"/>
      <c r="L121" s="232"/>
      <c r="M121" s="232"/>
      <c r="N121" s="232"/>
      <c r="O121" s="232"/>
      <c r="P121" s="232"/>
      <c r="Q121" s="229">
        <f t="shared" ref="Q121:Q125" si="5">Q120</f>
        <v>0.5</v>
      </c>
      <c r="R121" s="230"/>
      <c r="S121" s="230"/>
      <c r="T121" s="183">
        <f t="shared" si="0"/>
        <v>0</v>
      </c>
      <c r="U121" s="183"/>
      <c r="V121" s="183"/>
      <c r="W121" s="183"/>
      <c r="X121" s="183"/>
      <c r="Y121" s="219"/>
      <c r="Z121" s="229">
        <f t="shared" si="4"/>
        <v>1</v>
      </c>
      <c r="AA121" s="230"/>
      <c r="AB121" s="230"/>
      <c r="AC121" s="183">
        <f t="shared" si="2"/>
        <v>0</v>
      </c>
      <c r="AD121" s="183"/>
      <c r="AE121" s="183"/>
      <c r="AF121" s="183"/>
      <c r="AG121" s="183"/>
      <c r="AH121" s="219"/>
    </row>
    <row r="122" spans="1:34" s="7" customFormat="1" ht="15.75" customHeight="1" x14ac:dyDescent="0.15">
      <c r="A122" s="63" t="str">
        <f t="shared" si="1"/>
        <v>×</v>
      </c>
      <c r="H122" s="231"/>
      <c r="I122" s="232"/>
      <c r="J122" s="233"/>
      <c r="K122" s="234"/>
      <c r="L122" s="232"/>
      <c r="M122" s="232"/>
      <c r="N122" s="232"/>
      <c r="O122" s="232"/>
      <c r="P122" s="232"/>
      <c r="Q122" s="229">
        <f t="shared" si="5"/>
        <v>0.5</v>
      </c>
      <c r="R122" s="230"/>
      <c r="S122" s="230"/>
      <c r="T122" s="183">
        <f t="shared" si="0"/>
        <v>0</v>
      </c>
      <c r="U122" s="183"/>
      <c r="V122" s="183"/>
      <c r="W122" s="183"/>
      <c r="X122" s="183"/>
      <c r="Y122" s="219"/>
      <c r="Z122" s="229">
        <f t="shared" si="4"/>
        <v>1</v>
      </c>
      <c r="AA122" s="230"/>
      <c r="AB122" s="230"/>
      <c r="AC122" s="183">
        <f t="shared" si="2"/>
        <v>0</v>
      </c>
      <c r="AD122" s="183"/>
      <c r="AE122" s="183"/>
      <c r="AF122" s="183"/>
      <c r="AG122" s="183"/>
      <c r="AH122" s="219"/>
    </row>
    <row r="123" spans="1:34" s="7" customFormat="1" ht="15.75" customHeight="1" x14ac:dyDescent="0.15">
      <c r="A123" s="63" t="str">
        <f t="shared" si="1"/>
        <v>×</v>
      </c>
      <c r="H123" s="231"/>
      <c r="I123" s="232"/>
      <c r="J123" s="233"/>
      <c r="K123" s="234"/>
      <c r="L123" s="232"/>
      <c r="M123" s="232"/>
      <c r="N123" s="232"/>
      <c r="O123" s="232"/>
      <c r="P123" s="232"/>
      <c r="Q123" s="229">
        <f t="shared" si="5"/>
        <v>0.5</v>
      </c>
      <c r="R123" s="230"/>
      <c r="S123" s="230"/>
      <c r="T123" s="183">
        <f t="shared" si="0"/>
        <v>0</v>
      </c>
      <c r="U123" s="183"/>
      <c r="V123" s="183"/>
      <c r="W123" s="183"/>
      <c r="X123" s="183"/>
      <c r="Y123" s="219"/>
      <c r="Z123" s="229">
        <f t="shared" si="4"/>
        <v>1</v>
      </c>
      <c r="AA123" s="230"/>
      <c r="AB123" s="230"/>
      <c r="AC123" s="183">
        <f t="shared" si="2"/>
        <v>0</v>
      </c>
      <c r="AD123" s="183"/>
      <c r="AE123" s="183"/>
      <c r="AF123" s="183"/>
      <c r="AG123" s="183"/>
      <c r="AH123" s="219"/>
    </row>
    <row r="124" spans="1:34" s="7" customFormat="1" ht="15.75" customHeight="1" x14ac:dyDescent="0.15">
      <c r="A124" s="63" t="str">
        <f t="shared" si="1"/>
        <v>×</v>
      </c>
      <c r="H124" s="231"/>
      <c r="I124" s="232"/>
      <c r="J124" s="233"/>
      <c r="K124" s="234"/>
      <c r="L124" s="232"/>
      <c r="M124" s="232"/>
      <c r="N124" s="232"/>
      <c r="O124" s="232"/>
      <c r="P124" s="232"/>
      <c r="Q124" s="229">
        <f t="shared" si="5"/>
        <v>0.5</v>
      </c>
      <c r="R124" s="230"/>
      <c r="S124" s="230"/>
      <c r="T124" s="183">
        <f t="shared" si="0"/>
        <v>0</v>
      </c>
      <c r="U124" s="183"/>
      <c r="V124" s="183"/>
      <c r="W124" s="183"/>
      <c r="X124" s="183"/>
      <c r="Y124" s="219"/>
      <c r="Z124" s="229">
        <f t="shared" si="4"/>
        <v>1</v>
      </c>
      <c r="AA124" s="230"/>
      <c r="AB124" s="230"/>
      <c r="AC124" s="183">
        <f t="shared" si="2"/>
        <v>0</v>
      </c>
      <c r="AD124" s="183"/>
      <c r="AE124" s="183"/>
      <c r="AF124" s="183"/>
      <c r="AG124" s="183"/>
      <c r="AH124" s="219"/>
    </row>
    <row r="125" spans="1:34" s="7" customFormat="1" ht="15.75" customHeight="1" x14ac:dyDescent="0.15">
      <c r="A125" s="63" t="str">
        <f t="shared" si="1"/>
        <v>×</v>
      </c>
      <c r="H125" s="231"/>
      <c r="I125" s="232"/>
      <c r="J125" s="233"/>
      <c r="K125" s="234"/>
      <c r="L125" s="232"/>
      <c r="M125" s="232"/>
      <c r="N125" s="232"/>
      <c r="O125" s="232"/>
      <c r="P125" s="232"/>
      <c r="Q125" s="229">
        <f t="shared" si="5"/>
        <v>0.5</v>
      </c>
      <c r="R125" s="230"/>
      <c r="S125" s="230"/>
      <c r="T125" s="183">
        <f t="shared" si="0"/>
        <v>0</v>
      </c>
      <c r="U125" s="183"/>
      <c r="V125" s="183"/>
      <c r="W125" s="183"/>
      <c r="X125" s="183"/>
      <c r="Y125" s="219"/>
      <c r="Z125" s="229">
        <f t="shared" si="4"/>
        <v>1</v>
      </c>
      <c r="AA125" s="230"/>
      <c r="AB125" s="230"/>
      <c r="AC125" s="183">
        <f t="shared" si="2"/>
        <v>0</v>
      </c>
      <c r="AD125" s="183"/>
      <c r="AE125" s="183"/>
      <c r="AF125" s="183"/>
      <c r="AG125" s="183"/>
      <c r="AH125" s="219"/>
    </row>
    <row r="126" spans="1:34" s="7" customFormat="1" ht="15.75" customHeight="1" x14ac:dyDescent="0.15">
      <c r="A126" s="63" t="str">
        <f t="shared" si="1"/>
        <v>×</v>
      </c>
      <c r="H126" s="231"/>
      <c r="I126" s="232"/>
      <c r="J126" s="233"/>
      <c r="K126" s="234"/>
      <c r="L126" s="232"/>
      <c r="M126" s="232"/>
      <c r="N126" s="232"/>
      <c r="O126" s="232"/>
      <c r="P126" s="232"/>
      <c r="Q126" s="229">
        <f t="shared" ref="Q126:Q127" si="6">Q125</f>
        <v>0.5</v>
      </c>
      <c r="R126" s="230"/>
      <c r="S126" s="230"/>
      <c r="T126" s="183">
        <f t="shared" si="0"/>
        <v>0</v>
      </c>
      <c r="U126" s="183"/>
      <c r="V126" s="183"/>
      <c r="W126" s="183"/>
      <c r="X126" s="183"/>
      <c r="Y126" s="219"/>
      <c r="Z126" s="229">
        <f t="shared" si="4"/>
        <v>1</v>
      </c>
      <c r="AA126" s="230"/>
      <c r="AB126" s="230"/>
      <c r="AC126" s="183">
        <f t="shared" si="2"/>
        <v>0</v>
      </c>
      <c r="AD126" s="183"/>
      <c r="AE126" s="183"/>
      <c r="AF126" s="183"/>
      <c r="AG126" s="183"/>
      <c r="AH126" s="219"/>
    </row>
    <row r="127" spans="1:34" s="7" customFormat="1" ht="15.75" customHeight="1" x14ac:dyDescent="0.15">
      <c r="A127" s="63" t="str">
        <f t="shared" si="1"/>
        <v>×</v>
      </c>
      <c r="H127" s="237"/>
      <c r="I127" s="238"/>
      <c r="J127" s="239"/>
      <c r="K127" s="240"/>
      <c r="L127" s="238"/>
      <c r="M127" s="238"/>
      <c r="N127" s="238"/>
      <c r="O127" s="238"/>
      <c r="P127" s="238"/>
      <c r="Q127" s="235">
        <f t="shared" si="6"/>
        <v>0.5</v>
      </c>
      <c r="R127" s="236"/>
      <c r="S127" s="236"/>
      <c r="T127" s="185">
        <f t="shared" si="0"/>
        <v>0</v>
      </c>
      <c r="U127" s="185"/>
      <c r="V127" s="185"/>
      <c r="W127" s="185"/>
      <c r="X127" s="185"/>
      <c r="Y127" s="220"/>
      <c r="Z127" s="235">
        <f t="shared" si="4"/>
        <v>1</v>
      </c>
      <c r="AA127" s="236"/>
      <c r="AB127" s="236"/>
      <c r="AC127" s="185">
        <f t="shared" si="2"/>
        <v>0</v>
      </c>
      <c r="AD127" s="185"/>
      <c r="AE127" s="185"/>
      <c r="AF127" s="185"/>
      <c r="AG127" s="185"/>
      <c r="AH127" s="220"/>
    </row>
    <row r="128" spans="1:34" s="7" customFormat="1" ht="15.75" customHeight="1" x14ac:dyDescent="0.15">
      <c r="H128" s="64"/>
      <c r="I128" s="64"/>
      <c r="J128" s="64"/>
      <c r="K128" s="65"/>
      <c r="L128" s="65"/>
      <c r="M128" s="65"/>
      <c r="N128" s="64"/>
      <c r="O128" s="64"/>
      <c r="P128" s="64"/>
      <c r="Q128" s="64"/>
      <c r="R128" s="64"/>
      <c r="S128" s="64"/>
      <c r="T128" s="64"/>
      <c r="U128" s="64"/>
      <c r="V128" s="64"/>
      <c r="W128" s="64"/>
      <c r="X128" s="64"/>
      <c r="Y128" s="64"/>
      <c r="Z128" s="106"/>
      <c r="AA128" s="106"/>
      <c r="AB128" s="106"/>
      <c r="AC128" s="106"/>
      <c r="AD128" s="106"/>
      <c r="AE128" s="106"/>
      <c r="AF128" s="106"/>
      <c r="AG128" s="106"/>
      <c r="AH128" s="106"/>
    </row>
    <row r="129" spans="4:17" s="7" customFormat="1" ht="15.75" customHeight="1" x14ac:dyDescent="0.15"/>
    <row r="130" spans="4:17" s="7" customFormat="1" ht="15.75" customHeight="1" x14ac:dyDescent="0.15"/>
    <row r="131" spans="4:17" s="7" customFormat="1" ht="15.75" customHeight="1" x14ac:dyDescent="0.15"/>
    <row r="132" spans="4:17" ht="15.75" customHeight="1" x14ac:dyDescent="0.2">
      <c r="D132" s="7" t="s">
        <v>93</v>
      </c>
      <c r="M132" s="12"/>
    </row>
    <row r="133" spans="4:17" s="7" customFormat="1" ht="15.75" customHeight="1" x14ac:dyDescent="0.15"/>
    <row r="134" spans="4:17" s="7" customFormat="1" ht="15.75" customHeight="1" x14ac:dyDescent="0.15">
      <c r="E134" s="7" t="s">
        <v>94</v>
      </c>
      <c r="F134" s="7" t="s">
        <v>95</v>
      </c>
    </row>
    <row r="135" spans="4:17" s="7" customFormat="1" ht="15.75" customHeight="1" x14ac:dyDescent="0.15"/>
    <row r="136" spans="4:17" s="7" customFormat="1" ht="15.75" customHeight="1" x14ac:dyDescent="0.2">
      <c r="F136" s="7" t="s">
        <v>208</v>
      </c>
    </row>
    <row r="137" spans="4:17" s="7" customFormat="1" ht="15.75" customHeight="1" x14ac:dyDescent="0.15">
      <c r="F137" s="7" t="s">
        <v>96</v>
      </c>
    </row>
    <row r="138" spans="4:17" s="7" customFormat="1" ht="15.75" customHeight="1" x14ac:dyDescent="0.15"/>
    <row r="139" spans="4:17" s="7" customFormat="1" ht="15.75" customHeight="1" x14ac:dyDescent="0.15">
      <c r="F139" s="7" t="s">
        <v>97</v>
      </c>
    </row>
    <row r="140" spans="4:17" s="7" customFormat="1" ht="15.75" customHeight="1" x14ac:dyDescent="0.2">
      <c r="F140" s="261" t="s">
        <v>98</v>
      </c>
      <c r="G140" s="261"/>
      <c r="H140" s="6" t="s">
        <v>27</v>
      </c>
      <c r="I140" s="261">
        <v>1.8</v>
      </c>
      <c r="J140" s="261"/>
      <c r="K140" s="261" t="s">
        <v>76</v>
      </c>
      <c r="L140" s="261"/>
      <c r="M140" s="261" t="s">
        <v>77</v>
      </c>
      <c r="N140" s="261"/>
      <c r="O140" s="6" t="s">
        <v>78</v>
      </c>
      <c r="P140" s="402">
        <v>-0.75</v>
      </c>
      <c r="Q140" s="402"/>
    </row>
    <row r="141" spans="4:17" s="7" customFormat="1" ht="15.75" customHeight="1" x14ac:dyDescent="0.15"/>
    <row r="142" spans="4:17" s="7" customFormat="1" ht="15.75" customHeight="1" x14ac:dyDescent="0.15">
      <c r="F142" s="7" t="s">
        <v>99</v>
      </c>
    </row>
    <row r="143" spans="4:17" s="7" customFormat="1" ht="15.75" customHeight="1" x14ac:dyDescent="0.2">
      <c r="F143" s="261" t="s">
        <v>98</v>
      </c>
      <c r="G143" s="261"/>
      <c r="H143" s="6" t="s">
        <v>27</v>
      </c>
      <c r="I143" s="261">
        <v>3.6</v>
      </c>
      <c r="J143" s="261"/>
      <c r="K143" s="261" t="s">
        <v>76</v>
      </c>
      <c r="L143" s="261"/>
      <c r="M143" s="261" t="s">
        <v>77</v>
      </c>
      <c r="N143" s="261"/>
      <c r="O143" s="6" t="s">
        <v>78</v>
      </c>
      <c r="P143" s="402">
        <v>-0.75</v>
      </c>
      <c r="Q143" s="402"/>
    </row>
    <row r="144" spans="4:17" s="7" customFormat="1" ht="15.75" customHeight="1" x14ac:dyDescent="0.15"/>
    <row r="145" spans="1:35" s="7" customFormat="1" ht="15.75" customHeight="1" x14ac:dyDescent="0.2">
      <c r="G145" s="7" t="s">
        <v>79</v>
      </c>
      <c r="J145" s="261" t="s">
        <v>100</v>
      </c>
      <c r="K145" s="261"/>
      <c r="L145" s="6" t="s">
        <v>2</v>
      </c>
      <c r="M145" s="7" t="s">
        <v>101</v>
      </c>
    </row>
    <row r="146" spans="1:35" s="7" customFormat="1" ht="15.75" customHeight="1" x14ac:dyDescent="0.2">
      <c r="J146" s="261" t="s">
        <v>76</v>
      </c>
      <c r="K146" s="261"/>
      <c r="L146" s="6" t="s">
        <v>2</v>
      </c>
      <c r="M146" s="7" t="s">
        <v>90</v>
      </c>
    </row>
    <row r="147" spans="1:35" s="7" customFormat="1" ht="15.75" customHeight="1" x14ac:dyDescent="0.2">
      <c r="J147" s="261" t="s">
        <v>77</v>
      </c>
      <c r="K147" s="261"/>
      <c r="L147" s="6" t="s">
        <v>2</v>
      </c>
      <c r="M147" s="7" t="s">
        <v>83</v>
      </c>
    </row>
    <row r="148" spans="1:35" s="7" customFormat="1" ht="15.75" customHeight="1" x14ac:dyDescent="0.15">
      <c r="J148" s="261" t="s">
        <v>78</v>
      </c>
      <c r="K148" s="261"/>
      <c r="L148" s="62" t="s">
        <v>2</v>
      </c>
      <c r="M148" s="7" t="s">
        <v>581</v>
      </c>
      <c r="R148" s="66" t="s">
        <v>143</v>
      </c>
      <c r="S148" s="62" t="s">
        <v>27</v>
      </c>
      <c r="T148" s="178">
        <f>Q92</f>
        <v>1</v>
      </c>
      <c r="U148" s="178"/>
      <c r="V148" s="178"/>
      <c r="W148" s="7" t="s">
        <v>144</v>
      </c>
    </row>
    <row r="149" spans="1:35" s="7" customFormat="1" ht="15.75" customHeight="1" x14ac:dyDescent="0.15">
      <c r="J149" s="6"/>
      <c r="K149" s="6"/>
      <c r="L149" s="6"/>
    </row>
    <row r="150" spans="1:35" s="7" customFormat="1" ht="15.75" customHeight="1" x14ac:dyDescent="0.15">
      <c r="G150" s="103" t="s">
        <v>575</v>
      </c>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5"/>
      <c r="AF150" s="105"/>
      <c r="AG150" s="105"/>
      <c r="AH150" s="105"/>
      <c r="AI150" s="105"/>
    </row>
    <row r="151" spans="1:35" s="7" customFormat="1" ht="15.75" customHeight="1" x14ac:dyDescent="0.15">
      <c r="G151" s="194" t="s">
        <v>91</v>
      </c>
      <c r="H151" s="179"/>
      <c r="I151" s="197"/>
      <c r="J151" s="179" t="s">
        <v>589</v>
      </c>
      <c r="K151" s="180"/>
      <c r="L151" s="180"/>
      <c r="M151" s="181"/>
      <c r="N151" s="216" t="s">
        <v>572</v>
      </c>
      <c r="O151" s="180"/>
      <c r="P151" s="180"/>
      <c r="Q151" s="180"/>
      <c r="R151" s="180"/>
      <c r="S151" s="180"/>
      <c r="T151" s="217"/>
      <c r="U151" s="218" t="s">
        <v>573</v>
      </c>
      <c r="V151" s="180"/>
      <c r="W151" s="180"/>
      <c r="X151" s="180"/>
      <c r="Y151" s="180"/>
      <c r="Z151" s="180"/>
      <c r="AA151" s="180"/>
      <c r="AB151" s="180"/>
      <c r="AC151" s="180"/>
      <c r="AD151" s="180"/>
      <c r="AE151" s="180"/>
      <c r="AF151" s="180"/>
      <c r="AG151" s="180"/>
      <c r="AH151" s="180"/>
      <c r="AI151" s="217"/>
    </row>
    <row r="152" spans="1:35" s="7" customFormat="1" ht="15.75" customHeight="1" x14ac:dyDescent="0.15">
      <c r="G152" s="195"/>
      <c r="H152" s="182"/>
      <c r="I152" s="198"/>
      <c r="J152" s="183"/>
      <c r="K152" s="183"/>
      <c r="L152" s="183"/>
      <c r="M152" s="184"/>
      <c r="N152" s="221" t="s">
        <v>82</v>
      </c>
      <c r="O152" s="183"/>
      <c r="P152" s="183"/>
      <c r="Q152" s="182" t="s">
        <v>590</v>
      </c>
      <c r="R152" s="183"/>
      <c r="S152" s="183"/>
      <c r="T152" s="219"/>
      <c r="U152" s="223" t="s">
        <v>82</v>
      </c>
      <c r="V152" s="183"/>
      <c r="W152" s="183"/>
      <c r="X152" s="182" t="s">
        <v>102</v>
      </c>
      <c r="Y152" s="183"/>
      <c r="Z152" s="183"/>
      <c r="AA152" s="183"/>
      <c r="AB152" s="183"/>
      <c r="AC152" s="183"/>
      <c r="AD152" s="182" t="s">
        <v>103</v>
      </c>
      <c r="AE152" s="183"/>
      <c r="AF152" s="183"/>
      <c r="AG152" s="183"/>
      <c r="AH152" s="183"/>
      <c r="AI152" s="219"/>
    </row>
    <row r="153" spans="1:35" s="7" customFormat="1" ht="15.75" customHeight="1" x14ac:dyDescent="0.15">
      <c r="G153" s="195"/>
      <c r="H153" s="182"/>
      <c r="I153" s="198"/>
      <c r="J153" s="183"/>
      <c r="K153" s="183"/>
      <c r="L153" s="183"/>
      <c r="M153" s="184"/>
      <c r="N153" s="221"/>
      <c r="O153" s="183"/>
      <c r="P153" s="183"/>
      <c r="Q153" s="183"/>
      <c r="R153" s="183"/>
      <c r="S153" s="183"/>
      <c r="T153" s="219"/>
      <c r="U153" s="223"/>
      <c r="V153" s="183"/>
      <c r="W153" s="183"/>
      <c r="X153" s="182"/>
      <c r="Y153" s="183"/>
      <c r="Z153" s="183"/>
      <c r="AA153" s="183"/>
      <c r="AB153" s="183"/>
      <c r="AC153" s="183"/>
      <c r="AD153" s="182"/>
      <c r="AE153" s="183"/>
      <c r="AF153" s="183"/>
      <c r="AG153" s="183"/>
      <c r="AH153" s="183"/>
      <c r="AI153" s="219"/>
    </row>
    <row r="154" spans="1:35" s="7" customFormat="1" ht="15.75" customHeight="1" x14ac:dyDescent="0.15">
      <c r="G154" s="196"/>
      <c r="H154" s="192"/>
      <c r="I154" s="199"/>
      <c r="J154" s="185"/>
      <c r="K154" s="185"/>
      <c r="L154" s="185"/>
      <c r="M154" s="186"/>
      <c r="N154" s="222"/>
      <c r="O154" s="185"/>
      <c r="P154" s="185"/>
      <c r="Q154" s="185"/>
      <c r="R154" s="185"/>
      <c r="S154" s="185"/>
      <c r="T154" s="220"/>
      <c r="U154" s="224"/>
      <c r="V154" s="185"/>
      <c r="W154" s="185"/>
      <c r="X154" s="185"/>
      <c r="Y154" s="185"/>
      <c r="Z154" s="185"/>
      <c r="AA154" s="185"/>
      <c r="AB154" s="185"/>
      <c r="AC154" s="185"/>
      <c r="AD154" s="185"/>
      <c r="AE154" s="185"/>
      <c r="AF154" s="185"/>
      <c r="AG154" s="185"/>
      <c r="AH154" s="185"/>
      <c r="AI154" s="220"/>
    </row>
    <row r="155" spans="1:35" s="7" customFormat="1" ht="15.75" customHeight="1" x14ac:dyDescent="0.15">
      <c r="A155" s="63" t="str">
        <f t="shared" ref="A155:A170" si="7">IF(J155="","×","")</f>
        <v/>
      </c>
      <c r="G155" s="226">
        <f t="shared" ref="G155:G170" si="8">IF(H112="","",H112)</f>
        <v>3</v>
      </c>
      <c r="H155" s="227"/>
      <c r="I155" s="228"/>
      <c r="J155" s="227">
        <f t="shared" ref="J155:J170" si="9">IF(K112="","",K112)</f>
        <v>13930</v>
      </c>
      <c r="K155" s="227"/>
      <c r="L155" s="227"/>
      <c r="M155" s="419"/>
      <c r="N155" s="418">
        <f>Q112</f>
        <v>0.5</v>
      </c>
      <c r="O155" s="392"/>
      <c r="P155" s="392"/>
      <c r="Q155" s="227">
        <f t="shared" ref="Q155:Q170" si="10">IF(J155="","",ROUND($I$140*$N$155*J155*$T$148^$P$140,0))</f>
        <v>12537</v>
      </c>
      <c r="R155" s="227"/>
      <c r="S155" s="227"/>
      <c r="T155" s="228"/>
      <c r="U155" s="391">
        <f>Z112</f>
        <v>1</v>
      </c>
      <c r="V155" s="392"/>
      <c r="W155" s="392"/>
      <c r="X155" s="227">
        <f t="shared" ref="X155:X170" si="11">IF(J155="","",ROUND($I$140*$U$155*J155*$T$148^$P$143,0))</f>
        <v>25074</v>
      </c>
      <c r="Y155" s="227"/>
      <c r="Z155" s="227"/>
      <c r="AA155" s="227"/>
      <c r="AB155" s="227"/>
      <c r="AC155" s="227"/>
      <c r="AD155" s="227">
        <f t="shared" ref="AD155:AD170" si="12">IF(J155="","",ROUND($I$143*$U$155*J155*$T$148^$P$143,0))</f>
        <v>50148</v>
      </c>
      <c r="AE155" s="227"/>
      <c r="AF155" s="227"/>
      <c r="AG155" s="227"/>
      <c r="AH155" s="227"/>
      <c r="AI155" s="228"/>
    </row>
    <row r="156" spans="1:35" s="7" customFormat="1" ht="15.75" customHeight="1" x14ac:dyDescent="0.15">
      <c r="A156" s="63" t="str">
        <f t="shared" si="7"/>
        <v/>
      </c>
      <c r="G156" s="212">
        <f t="shared" si="8"/>
        <v>4</v>
      </c>
      <c r="H156" s="174"/>
      <c r="I156" s="175"/>
      <c r="J156" s="174">
        <f t="shared" si="9"/>
        <v>28620</v>
      </c>
      <c r="K156" s="174"/>
      <c r="L156" s="174"/>
      <c r="M156" s="213"/>
      <c r="N156" s="225">
        <f>N155</f>
        <v>0.5</v>
      </c>
      <c r="O156" s="211"/>
      <c r="P156" s="211"/>
      <c r="Q156" s="174">
        <f t="shared" si="10"/>
        <v>25758</v>
      </c>
      <c r="R156" s="174"/>
      <c r="S156" s="174"/>
      <c r="T156" s="175"/>
      <c r="U156" s="210">
        <f>U155</f>
        <v>1</v>
      </c>
      <c r="V156" s="211"/>
      <c r="W156" s="211"/>
      <c r="X156" s="174">
        <f t="shared" si="11"/>
        <v>51516</v>
      </c>
      <c r="Y156" s="174"/>
      <c r="Z156" s="174"/>
      <c r="AA156" s="174"/>
      <c r="AB156" s="174"/>
      <c r="AC156" s="174"/>
      <c r="AD156" s="174">
        <f t="shared" si="12"/>
        <v>103032</v>
      </c>
      <c r="AE156" s="174"/>
      <c r="AF156" s="174"/>
      <c r="AG156" s="174"/>
      <c r="AH156" s="174"/>
      <c r="AI156" s="175"/>
    </row>
    <row r="157" spans="1:35" s="7" customFormat="1" ht="15.75" customHeight="1" x14ac:dyDescent="0.15">
      <c r="A157" s="63" t="str">
        <f t="shared" si="7"/>
        <v/>
      </c>
      <c r="G157" s="212">
        <f t="shared" si="8"/>
        <v>5</v>
      </c>
      <c r="H157" s="174"/>
      <c r="I157" s="175"/>
      <c r="J157" s="174">
        <f t="shared" si="9"/>
        <v>32570</v>
      </c>
      <c r="K157" s="174"/>
      <c r="L157" s="174"/>
      <c r="M157" s="213"/>
      <c r="N157" s="225">
        <f t="shared" ref="N157:N170" si="13">N156</f>
        <v>0.5</v>
      </c>
      <c r="O157" s="211"/>
      <c r="P157" s="211"/>
      <c r="Q157" s="174">
        <f t="shared" si="10"/>
        <v>29313</v>
      </c>
      <c r="R157" s="174"/>
      <c r="S157" s="174"/>
      <c r="T157" s="175"/>
      <c r="U157" s="210">
        <f t="shared" ref="U157:U170" si="14">U156</f>
        <v>1</v>
      </c>
      <c r="V157" s="211"/>
      <c r="W157" s="211"/>
      <c r="X157" s="174">
        <f t="shared" si="11"/>
        <v>58626</v>
      </c>
      <c r="Y157" s="174"/>
      <c r="Z157" s="174"/>
      <c r="AA157" s="174"/>
      <c r="AB157" s="174"/>
      <c r="AC157" s="174"/>
      <c r="AD157" s="174">
        <f t="shared" si="12"/>
        <v>117252</v>
      </c>
      <c r="AE157" s="174"/>
      <c r="AF157" s="174"/>
      <c r="AG157" s="174"/>
      <c r="AH157" s="174"/>
      <c r="AI157" s="175"/>
    </row>
    <row r="158" spans="1:35" s="7" customFormat="1" ht="15.75" customHeight="1" x14ac:dyDescent="0.15">
      <c r="A158" s="63" t="str">
        <f t="shared" si="7"/>
        <v/>
      </c>
      <c r="G158" s="212">
        <f t="shared" si="8"/>
        <v>6</v>
      </c>
      <c r="H158" s="174"/>
      <c r="I158" s="175"/>
      <c r="J158" s="174">
        <f t="shared" si="9"/>
        <v>46440</v>
      </c>
      <c r="K158" s="174"/>
      <c r="L158" s="174"/>
      <c r="M158" s="213"/>
      <c r="N158" s="225">
        <f t="shared" si="13"/>
        <v>0.5</v>
      </c>
      <c r="O158" s="211"/>
      <c r="P158" s="211"/>
      <c r="Q158" s="174">
        <f t="shared" si="10"/>
        <v>41796</v>
      </c>
      <c r="R158" s="174"/>
      <c r="S158" s="174"/>
      <c r="T158" s="175"/>
      <c r="U158" s="210">
        <f t="shared" si="14"/>
        <v>1</v>
      </c>
      <c r="V158" s="211"/>
      <c r="W158" s="211"/>
      <c r="X158" s="174">
        <f t="shared" si="11"/>
        <v>83592</v>
      </c>
      <c r="Y158" s="174"/>
      <c r="Z158" s="174"/>
      <c r="AA158" s="174"/>
      <c r="AB158" s="174"/>
      <c r="AC158" s="174"/>
      <c r="AD158" s="174">
        <f t="shared" si="12"/>
        <v>167184</v>
      </c>
      <c r="AE158" s="174"/>
      <c r="AF158" s="174"/>
      <c r="AG158" s="174"/>
      <c r="AH158" s="174"/>
      <c r="AI158" s="175"/>
    </row>
    <row r="159" spans="1:35" s="7" customFormat="1" ht="15.75" customHeight="1" x14ac:dyDescent="0.15">
      <c r="A159" s="63" t="str">
        <f t="shared" si="7"/>
        <v/>
      </c>
      <c r="G159" s="212">
        <f t="shared" si="8"/>
        <v>7</v>
      </c>
      <c r="H159" s="174"/>
      <c r="I159" s="175"/>
      <c r="J159" s="174">
        <f t="shared" si="9"/>
        <v>91760</v>
      </c>
      <c r="K159" s="174"/>
      <c r="L159" s="174"/>
      <c r="M159" s="213"/>
      <c r="N159" s="225">
        <f t="shared" si="13"/>
        <v>0.5</v>
      </c>
      <c r="O159" s="211"/>
      <c r="P159" s="211"/>
      <c r="Q159" s="174">
        <f t="shared" si="10"/>
        <v>82584</v>
      </c>
      <c r="R159" s="174"/>
      <c r="S159" s="174"/>
      <c r="T159" s="175"/>
      <c r="U159" s="210">
        <f t="shared" si="14"/>
        <v>1</v>
      </c>
      <c r="V159" s="211"/>
      <c r="W159" s="211"/>
      <c r="X159" s="174">
        <f t="shared" si="11"/>
        <v>165168</v>
      </c>
      <c r="Y159" s="174"/>
      <c r="Z159" s="174"/>
      <c r="AA159" s="174"/>
      <c r="AB159" s="174"/>
      <c r="AC159" s="174"/>
      <c r="AD159" s="174">
        <f t="shared" si="12"/>
        <v>330336</v>
      </c>
      <c r="AE159" s="174"/>
      <c r="AF159" s="174"/>
      <c r="AG159" s="174"/>
      <c r="AH159" s="174"/>
      <c r="AI159" s="175"/>
    </row>
    <row r="160" spans="1:35" s="7" customFormat="1" ht="15.75" customHeight="1" x14ac:dyDescent="0.15">
      <c r="A160" s="63" t="str">
        <f t="shared" si="7"/>
        <v>×</v>
      </c>
      <c r="G160" s="212" t="str">
        <f t="shared" si="8"/>
        <v/>
      </c>
      <c r="H160" s="174"/>
      <c r="I160" s="175"/>
      <c r="J160" s="174" t="str">
        <f t="shared" si="9"/>
        <v/>
      </c>
      <c r="K160" s="174"/>
      <c r="L160" s="174"/>
      <c r="M160" s="213"/>
      <c r="N160" s="225">
        <f t="shared" si="13"/>
        <v>0.5</v>
      </c>
      <c r="O160" s="211"/>
      <c r="P160" s="211"/>
      <c r="Q160" s="174" t="str">
        <f t="shared" si="10"/>
        <v/>
      </c>
      <c r="R160" s="174"/>
      <c r="S160" s="174"/>
      <c r="T160" s="175"/>
      <c r="U160" s="210">
        <f t="shared" si="14"/>
        <v>1</v>
      </c>
      <c r="V160" s="211"/>
      <c r="W160" s="211"/>
      <c r="X160" s="174" t="str">
        <f t="shared" si="11"/>
        <v/>
      </c>
      <c r="Y160" s="174"/>
      <c r="Z160" s="174"/>
      <c r="AA160" s="174"/>
      <c r="AB160" s="174"/>
      <c r="AC160" s="174"/>
      <c r="AD160" s="174" t="str">
        <f t="shared" si="12"/>
        <v/>
      </c>
      <c r="AE160" s="174"/>
      <c r="AF160" s="174"/>
      <c r="AG160" s="174"/>
      <c r="AH160" s="174"/>
      <c r="AI160" s="175"/>
    </row>
    <row r="161" spans="1:72" s="7" customFormat="1" ht="15.75" customHeight="1" x14ac:dyDescent="0.15">
      <c r="A161" s="63" t="str">
        <f t="shared" si="7"/>
        <v>×</v>
      </c>
      <c r="G161" s="212" t="str">
        <f t="shared" si="8"/>
        <v/>
      </c>
      <c r="H161" s="174"/>
      <c r="I161" s="175"/>
      <c r="J161" s="174" t="str">
        <f t="shared" si="9"/>
        <v/>
      </c>
      <c r="K161" s="174"/>
      <c r="L161" s="174"/>
      <c r="M161" s="213"/>
      <c r="N161" s="225">
        <f t="shared" si="13"/>
        <v>0.5</v>
      </c>
      <c r="O161" s="211"/>
      <c r="P161" s="211"/>
      <c r="Q161" s="174" t="str">
        <f t="shared" si="10"/>
        <v/>
      </c>
      <c r="R161" s="174"/>
      <c r="S161" s="174"/>
      <c r="T161" s="175"/>
      <c r="U161" s="210">
        <f t="shared" si="14"/>
        <v>1</v>
      </c>
      <c r="V161" s="211"/>
      <c r="W161" s="211"/>
      <c r="X161" s="174" t="str">
        <f t="shared" si="11"/>
        <v/>
      </c>
      <c r="Y161" s="174"/>
      <c r="Z161" s="174"/>
      <c r="AA161" s="174"/>
      <c r="AB161" s="174"/>
      <c r="AC161" s="174"/>
      <c r="AD161" s="174" t="str">
        <f t="shared" si="12"/>
        <v/>
      </c>
      <c r="AE161" s="174"/>
      <c r="AF161" s="174"/>
      <c r="AG161" s="174"/>
      <c r="AH161" s="174"/>
      <c r="AI161" s="175"/>
    </row>
    <row r="162" spans="1:72" s="7" customFormat="1" ht="15.75" customHeight="1" x14ac:dyDescent="0.15">
      <c r="A162" s="63" t="str">
        <f t="shared" si="7"/>
        <v>×</v>
      </c>
      <c r="G162" s="212" t="str">
        <f t="shared" si="8"/>
        <v/>
      </c>
      <c r="H162" s="174"/>
      <c r="I162" s="175"/>
      <c r="J162" s="174" t="str">
        <f t="shared" si="9"/>
        <v/>
      </c>
      <c r="K162" s="174"/>
      <c r="L162" s="174"/>
      <c r="M162" s="213"/>
      <c r="N162" s="225">
        <f t="shared" si="13"/>
        <v>0.5</v>
      </c>
      <c r="O162" s="211"/>
      <c r="P162" s="211"/>
      <c r="Q162" s="174" t="str">
        <f t="shared" si="10"/>
        <v/>
      </c>
      <c r="R162" s="174"/>
      <c r="S162" s="174"/>
      <c r="T162" s="175"/>
      <c r="U162" s="210">
        <f t="shared" si="14"/>
        <v>1</v>
      </c>
      <c r="V162" s="211"/>
      <c r="W162" s="211"/>
      <c r="X162" s="174" t="str">
        <f t="shared" si="11"/>
        <v/>
      </c>
      <c r="Y162" s="174"/>
      <c r="Z162" s="174"/>
      <c r="AA162" s="174"/>
      <c r="AB162" s="174"/>
      <c r="AC162" s="174"/>
      <c r="AD162" s="174" t="str">
        <f t="shared" si="12"/>
        <v/>
      </c>
      <c r="AE162" s="174"/>
      <c r="AF162" s="174"/>
      <c r="AG162" s="174"/>
      <c r="AH162" s="174"/>
      <c r="AI162" s="175"/>
    </row>
    <row r="163" spans="1:72" s="7" customFormat="1" ht="15.75" customHeight="1" x14ac:dyDescent="0.15">
      <c r="A163" s="63" t="str">
        <f t="shared" si="7"/>
        <v>×</v>
      </c>
      <c r="G163" s="212" t="str">
        <f t="shared" si="8"/>
        <v/>
      </c>
      <c r="H163" s="174"/>
      <c r="I163" s="175"/>
      <c r="J163" s="174" t="str">
        <f t="shared" si="9"/>
        <v/>
      </c>
      <c r="K163" s="174"/>
      <c r="L163" s="174"/>
      <c r="M163" s="213"/>
      <c r="N163" s="225">
        <f t="shared" si="13"/>
        <v>0.5</v>
      </c>
      <c r="O163" s="211"/>
      <c r="P163" s="211"/>
      <c r="Q163" s="174" t="str">
        <f t="shared" si="10"/>
        <v/>
      </c>
      <c r="R163" s="174"/>
      <c r="S163" s="174"/>
      <c r="T163" s="175"/>
      <c r="U163" s="210">
        <f t="shared" si="14"/>
        <v>1</v>
      </c>
      <c r="V163" s="211"/>
      <c r="W163" s="211"/>
      <c r="X163" s="174" t="str">
        <f t="shared" si="11"/>
        <v/>
      </c>
      <c r="Y163" s="174"/>
      <c r="Z163" s="174"/>
      <c r="AA163" s="174"/>
      <c r="AB163" s="174"/>
      <c r="AC163" s="174"/>
      <c r="AD163" s="174" t="str">
        <f t="shared" si="12"/>
        <v/>
      </c>
      <c r="AE163" s="174"/>
      <c r="AF163" s="174"/>
      <c r="AG163" s="174"/>
      <c r="AH163" s="174"/>
      <c r="AI163" s="175"/>
    </row>
    <row r="164" spans="1:72" s="7" customFormat="1" ht="15.75" customHeight="1" x14ac:dyDescent="0.15">
      <c r="A164" s="63" t="str">
        <f t="shared" si="7"/>
        <v>×</v>
      </c>
      <c r="G164" s="212" t="str">
        <f t="shared" si="8"/>
        <v/>
      </c>
      <c r="H164" s="174"/>
      <c r="I164" s="175"/>
      <c r="J164" s="174" t="str">
        <f t="shared" si="9"/>
        <v/>
      </c>
      <c r="K164" s="174"/>
      <c r="L164" s="174"/>
      <c r="M164" s="213"/>
      <c r="N164" s="225">
        <f t="shared" si="13"/>
        <v>0.5</v>
      </c>
      <c r="O164" s="211"/>
      <c r="P164" s="211"/>
      <c r="Q164" s="174" t="str">
        <f t="shared" si="10"/>
        <v/>
      </c>
      <c r="R164" s="174"/>
      <c r="S164" s="174"/>
      <c r="T164" s="175"/>
      <c r="U164" s="210">
        <f t="shared" si="14"/>
        <v>1</v>
      </c>
      <c r="V164" s="211"/>
      <c r="W164" s="211"/>
      <c r="X164" s="174" t="str">
        <f t="shared" si="11"/>
        <v/>
      </c>
      <c r="Y164" s="174"/>
      <c r="Z164" s="174"/>
      <c r="AA164" s="174"/>
      <c r="AB164" s="174"/>
      <c r="AC164" s="174"/>
      <c r="AD164" s="174" t="str">
        <f t="shared" si="12"/>
        <v/>
      </c>
      <c r="AE164" s="174"/>
      <c r="AF164" s="174"/>
      <c r="AG164" s="174"/>
      <c r="AH164" s="174"/>
      <c r="AI164" s="175"/>
    </row>
    <row r="165" spans="1:72" s="7" customFormat="1" ht="15.75" customHeight="1" x14ac:dyDescent="0.15">
      <c r="A165" s="63" t="str">
        <f t="shared" si="7"/>
        <v>×</v>
      </c>
      <c r="G165" s="212" t="str">
        <f t="shared" si="8"/>
        <v/>
      </c>
      <c r="H165" s="174"/>
      <c r="I165" s="175"/>
      <c r="J165" s="174" t="str">
        <f t="shared" si="9"/>
        <v/>
      </c>
      <c r="K165" s="174"/>
      <c r="L165" s="174"/>
      <c r="M165" s="213"/>
      <c r="N165" s="225">
        <f t="shared" si="13"/>
        <v>0.5</v>
      </c>
      <c r="O165" s="211"/>
      <c r="P165" s="211"/>
      <c r="Q165" s="174" t="str">
        <f t="shared" si="10"/>
        <v/>
      </c>
      <c r="R165" s="174"/>
      <c r="S165" s="174"/>
      <c r="T165" s="175"/>
      <c r="U165" s="210">
        <f t="shared" si="14"/>
        <v>1</v>
      </c>
      <c r="V165" s="211"/>
      <c r="W165" s="211"/>
      <c r="X165" s="174" t="str">
        <f t="shared" si="11"/>
        <v/>
      </c>
      <c r="Y165" s="174"/>
      <c r="Z165" s="174"/>
      <c r="AA165" s="174"/>
      <c r="AB165" s="174"/>
      <c r="AC165" s="174"/>
      <c r="AD165" s="174" t="str">
        <f t="shared" si="12"/>
        <v/>
      </c>
      <c r="AE165" s="174"/>
      <c r="AF165" s="174"/>
      <c r="AG165" s="174"/>
      <c r="AH165" s="174"/>
      <c r="AI165" s="175"/>
    </row>
    <row r="166" spans="1:72" s="7" customFormat="1" ht="15.75" customHeight="1" x14ac:dyDescent="0.15">
      <c r="A166" s="63" t="str">
        <f t="shared" si="7"/>
        <v>×</v>
      </c>
      <c r="G166" s="212" t="str">
        <f t="shared" si="8"/>
        <v/>
      </c>
      <c r="H166" s="174"/>
      <c r="I166" s="175"/>
      <c r="J166" s="174" t="str">
        <f t="shared" si="9"/>
        <v/>
      </c>
      <c r="K166" s="174"/>
      <c r="L166" s="174"/>
      <c r="M166" s="213"/>
      <c r="N166" s="225">
        <f t="shared" si="13"/>
        <v>0.5</v>
      </c>
      <c r="O166" s="211"/>
      <c r="P166" s="211"/>
      <c r="Q166" s="174" t="str">
        <f t="shared" si="10"/>
        <v/>
      </c>
      <c r="R166" s="174"/>
      <c r="S166" s="174"/>
      <c r="T166" s="175"/>
      <c r="U166" s="210">
        <f t="shared" si="14"/>
        <v>1</v>
      </c>
      <c r="V166" s="211"/>
      <c r="W166" s="211"/>
      <c r="X166" s="174" t="str">
        <f t="shared" si="11"/>
        <v/>
      </c>
      <c r="Y166" s="174"/>
      <c r="Z166" s="174"/>
      <c r="AA166" s="174"/>
      <c r="AB166" s="174"/>
      <c r="AC166" s="174"/>
      <c r="AD166" s="174" t="str">
        <f t="shared" si="12"/>
        <v/>
      </c>
      <c r="AE166" s="174"/>
      <c r="AF166" s="174"/>
      <c r="AG166" s="174"/>
      <c r="AH166" s="174"/>
      <c r="AI166" s="175"/>
    </row>
    <row r="167" spans="1:72" s="7" customFormat="1" ht="15.75" customHeight="1" x14ac:dyDescent="0.15">
      <c r="A167" s="63" t="str">
        <f t="shared" si="7"/>
        <v>×</v>
      </c>
      <c r="G167" s="212" t="str">
        <f t="shared" si="8"/>
        <v/>
      </c>
      <c r="H167" s="174"/>
      <c r="I167" s="175"/>
      <c r="J167" s="174" t="str">
        <f t="shared" si="9"/>
        <v/>
      </c>
      <c r="K167" s="174"/>
      <c r="L167" s="174"/>
      <c r="M167" s="213"/>
      <c r="N167" s="225">
        <f t="shared" si="13"/>
        <v>0.5</v>
      </c>
      <c r="O167" s="211"/>
      <c r="P167" s="211"/>
      <c r="Q167" s="174" t="str">
        <f t="shared" si="10"/>
        <v/>
      </c>
      <c r="R167" s="174"/>
      <c r="S167" s="174"/>
      <c r="T167" s="175"/>
      <c r="U167" s="210">
        <f t="shared" si="14"/>
        <v>1</v>
      </c>
      <c r="V167" s="211"/>
      <c r="W167" s="211"/>
      <c r="X167" s="174" t="str">
        <f t="shared" si="11"/>
        <v/>
      </c>
      <c r="Y167" s="174"/>
      <c r="Z167" s="174"/>
      <c r="AA167" s="174"/>
      <c r="AB167" s="174"/>
      <c r="AC167" s="174"/>
      <c r="AD167" s="174" t="str">
        <f t="shared" si="12"/>
        <v/>
      </c>
      <c r="AE167" s="174"/>
      <c r="AF167" s="174"/>
      <c r="AG167" s="174"/>
      <c r="AH167" s="174"/>
      <c r="AI167" s="175"/>
    </row>
    <row r="168" spans="1:72" s="7" customFormat="1" ht="15.75" customHeight="1" x14ac:dyDescent="0.15">
      <c r="A168" s="63" t="str">
        <f t="shared" si="7"/>
        <v>×</v>
      </c>
      <c r="G168" s="212" t="str">
        <f t="shared" si="8"/>
        <v/>
      </c>
      <c r="H168" s="174"/>
      <c r="I168" s="175"/>
      <c r="J168" s="174" t="str">
        <f t="shared" si="9"/>
        <v/>
      </c>
      <c r="K168" s="174"/>
      <c r="L168" s="174"/>
      <c r="M168" s="213"/>
      <c r="N168" s="225">
        <f t="shared" si="13"/>
        <v>0.5</v>
      </c>
      <c r="O168" s="211"/>
      <c r="P168" s="211"/>
      <c r="Q168" s="174" t="str">
        <f t="shared" si="10"/>
        <v/>
      </c>
      <c r="R168" s="174"/>
      <c r="S168" s="174"/>
      <c r="T168" s="175"/>
      <c r="U168" s="210">
        <f t="shared" si="14"/>
        <v>1</v>
      </c>
      <c r="V168" s="211"/>
      <c r="W168" s="211"/>
      <c r="X168" s="174" t="str">
        <f t="shared" si="11"/>
        <v/>
      </c>
      <c r="Y168" s="174"/>
      <c r="Z168" s="174"/>
      <c r="AA168" s="174"/>
      <c r="AB168" s="174"/>
      <c r="AC168" s="174"/>
      <c r="AD168" s="174" t="str">
        <f t="shared" si="12"/>
        <v/>
      </c>
      <c r="AE168" s="174"/>
      <c r="AF168" s="174"/>
      <c r="AG168" s="174"/>
      <c r="AH168" s="174"/>
      <c r="AI168" s="175"/>
    </row>
    <row r="169" spans="1:72" s="7" customFormat="1" ht="15.75" customHeight="1" x14ac:dyDescent="0.15">
      <c r="A169" s="63" t="str">
        <f t="shared" si="7"/>
        <v>×</v>
      </c>
      <c r="G169" s="212" t="str">
        <f t="shared" si="8"/>
        <v/>
      </c>
      <c r="H169" s="174"/>
      <c r="I169" s="175"/>
      <c r="J169" s="174" t="str">
        <f t="shared" si="9"/>
        <v/>
      </c>
      <c r="K169" s="174"/>
      <c r="L169" s="174"/>
      <c r="M169" s="213"/>
      <c r="N169" s="225">
        <f t="shared" si="13"/>
        <v>0.5</v>
      </c>
      <c r="O169" s="211"/>
      <c r="P169" s="211"/>
      <c r="Q169" s="174" t="str">
        <f t="shared" si="10"/>
        <v/>
      </c>
      <c r="R169" s="174"/>
      <c r="S169" s="174"/>
      <c r="T169" s="175"/>
      <c r="U169" s="210">
        <f t="shared" si="14"/>
        <v>1</v>
      </c>
      <c r="V169" s="211"/>
      <c r="W169" s="211"/>
      <c r="X169" s="174" t="str">
        <f t="shared" si="11"/>
        <v/>
      </c>
      <c r="Y169" s="174"/>
      <c r="Z169" s="174"/>
      <c r="AA169" s="174"/>
      <c r="AB169" s="174"/>
      <c r="AC169" s="174"/>
      <c r="AD169" s="174" t="str">
        <f t="shared" si="12"/>
        <v/>
      </c>
      <c r="AE169" s="174"/>
      <c r="AF169" s="174"/>
      <c r="AG169" s="174"/>
      <c r="AH169" s="174"/>
      <c r="AI169" s="175"/>
    </row>
    <row r="170" spans="1:72" s="7" customFormat="1" ht="15.75" customHeight="1" x14ac:dyDescent="0.15">
      <c r="A170" s="63" t="str">
        <f t="shared" si="7"/>
        <v>×</v>
      </c>
      <c r="G170" s="214" t="str">
        <f t="shared" si="8"/>
        <v/>
      </c>
      <c r="H170" s="176"/>
      <c r="I170" s="177"/>
      <c r="J170" s="176" t="str">
        <f t="shared" si="9"/>
        <v/>
      </c>
      <c r="K170" s="176"/>
      <c r="L170" s="176"/>
      <c r="M170" s="215"/>
      <c r="N170" s="417">
        <f t="shared" si="13"/>
        <v>0.5</v>
      </c>
      <c r="O170" s="209"/>
      <c r="P170" s="209"/>
      <c r="Q170" s="176" t="str">
        <f t="shared" si="10"/>
        <v/>
      </c>
      <c r="R170" s="176"/>
      <c r="S170" s="176"/>
      <c r="T170" s="177"/>
      <c r="U170" s="208">
        <f t="shared" si="14"/>
        <v>1</v>
      </c>
      <c r="V170" s="209"/>
      <c r="W170" s="209"/>
      <c r="X170" s="176" t="str">
        <f t="shared" si="11"/>
        <v/>
      </c>
      <c r="Y170" s="176"/>
      <c r="Z170" s="176"/>
      <c r="AA170" s="176"/>
      <c r="AB170" s="176"/>
      <c r="AC170" s="176"/>
      <c r="AD170" s="176" t="str">
        <f t="shared" si="12"/>
        <v/>
      </c>
      <c r="AE170" s="176"/>
      <c r="AF170" s="176"/>
      <c r="AG170" s="176"/>
      <c r="AH170" s="176"/>
      <c r="AI170" s="177"/>
    </row>
    <row r="171" spans="1:72" s="7" customFormat="1" ht="15.75" customHeight="1" x14ac:dyDescent="0.15">
      <c r="BN171" s="67"/>
      <c r="BO171" s="67"/>
      <c r="BP171" s="67"/>
      <c r="BQ171" s="68"/>
      <c r="BR171" s="68"/>
      <c r="BS171" s="68"/>
      <c r="BT171" s="67"/>
    </row>
    <row r="172" spans="1:72" s="7" customFormat="1" ht="15.75" customHeight="1" x14ac:dyDescent="0.15">
      <c r="C172" s="67"/>
      <c r="D172" s="67"/>
      <c r="E172" s="67"/>
      <c r="F172" s="68"/>
      <c r="G172" s="68"/>
      <c r="H172" s="68"/>
      <c r="I172" s="67"/>
      <c r="J172" s="67"/>
      <c r="K172" s="67"/>
      <c r="L172" s="67"/>
      <c r="M172" s="67"/>
      <c r="N172" s="67"/>
      <c r="O172" s="16"/>
      <c r="P172" s="16"/>
      <c r="Q172" s="16"/>
      <c r="R172" s="16"/>
      <c r="S172" s="67"/>
      <c r="T172" s="67"/>
      <c r="U172" s="67"/>
      <c r="V172" s="67"/>
      <c r="W172" s="67"/>
      <c r="X172" s="67"/>
    </row>
    <row r="173" spans="1:72" s="7" customFormat="1" ht="15.75" customHeight="1" x14ac:dyDescent="0.15">
      <c r="H173" s="67"/>
      <c r="I173" s="67"/>
      <c r="J173" s="67"/>
      <c r="K173" s="68"/>
      <c r="L173" s="68"/>
      <c r="M173" s="68"/>
      <c r="N173" s="67"/>
      <c r="O173" s="67"/>
      <c r="P173" s="67"/>
      <c r="Q173" s="67"/>
      <c r="R173" s="67"/>
      <c r="S173" s="67"/>
      <c r="T173" s="16"/>
      <c r="U173" s="16"/>
      <c r="V173" s="16"/>
      <c r="W173" s="16"/>
      <c r="X173" s="67"/>
      <c r="Y173" s="67"/>
      <c r="Z173" s="67"/>
      <c r="AA173" s="67"/>
      <c r="AB173" s="67"/>
      <c r="AC173" s="67"/>
    </row>
    <row r="174" spans="1:72" s="7" customFormat="1" ht="15.75" customHeight="1" x14ac:dyDescent="0.15"/>
    <row r="175" spans="1:72" s="7" customFormat="1" ht="15.75" customHeight="1" x14ac:dyDescent="0.15"/>
    <row r="176" spans="1:72" s="7" customFormat="1" ht="15.75" customHeight="1" x14ac:dyDescent="0.15"/>
    <row r="177" spans="5:20" s="7" customFormat="1" ht="15.75" customHeight="1" x14ac:dyDescent="0.15">
      <c r="E177" s="7" t="s">
        <v>92</v>
      </c>
      <c r="F177" s="7" t="s">
        <v>104</v>
      </c>
    </row>
    <row r="178" spans="5:20" s="7" customFormat="1" ht="15.75" customHeight="1" x14ac:dyDescent="0.15"/>
    <row r="179" spans="5:20" s="7" customFormat="1" ht="15.75" customHeight="1" x14ac:dyDescent="0.2">
      <c r="F179" s="7" t="s">
        <v>445</v>
      </c>
    </row>
    <row r="180" spans="5:20" s="7" customFormat="1" ht="15.75" customHeight="1" x14ac:dyDescent="0.15">
      <c r="F180" s="7" t="s">
        <v>446</v>
      </c>
    </row>
    <row r="181" spans="5:20" s="7" customFormat="1" ht="15.75" customHeight="1" x14ac:dyDescent="0.15"/>
    <row r="182" spans="5:20" s="7" customFormat="1" ht="15.75" customHeight="1" x14ac:dyDescent="0.2">
      <c r="F182" s="261" t="s">
        <v>105</v>
      </c>
      <c r="G182" s="261"/>
      <c r="H182" s="6" t="s">
        <v>27</v>
      </c>
      <c r="I182" s="261" t="s">
        <v>106</v>
      </c>
      <c r="J182" s="261"/>
      <c r="K182" s="6" t="s">
        <v>107</v>
      </c>
      <c r="L182" s="261" t="s">
        <v>98</v>
      </c>
      <c r="M182" s="261"/>
    </row>
    <row r="183" spans="5:20" s="7" customFormat="1" ht="15.75" customHeight="1" x14ac:dyDescent="0.15"/>
    <row r="184" spans="5:20" s="7" customFormat="1" ht="15.75" customHeight="1" x14ac:dyDescent="0.2">
      <c r="G184" s="7" t="s">
        <v>3</v>
      </c>
      <c r="J184" s="261" t="s">
        <v>105</v>
      </c>
      <c r="K184" s="261"/>
      <c r="L184" s="6" t="s">
        <v>2</v>
      </c>
      <c r="M184" s="7" t="s">
        <v>108</v>
      </c>
    </row>
    <row r="185" spans="5:20" s="7" customFormat="1" ht="15.75" customHeight="1" x14ac:dyDescent="0.2">
      <c r="J185" s="261" t="s">
        <v>98</v>
      </c>
      <c r="K185" s="261"/>
      <c r="L185" s="6" t="s">
        <v>2</v>
      </c>
      <c r="M185" s="7" t="s">
        <v>109</v>
      </c>
    </row>
    <row r="186" spans="5:20" s="7" customFormat="1" ht="15.75" customHeight="1" x14ac:dyDescent="0.2">
      <c r="J186" s="261" t="s">
        <v>106</v>
      </c>
      <c r="K186" s="261"/>
      <c r="L186" s="6" t="s">
        <v>2</v>
      </c>
      <c r="M186" s="7" t="s">
        <v>110</v>
      </c>
    </row>
    <row r="187" spans="5:20" s="7" customFormat="1" ht="15.75" customHeight="1" x14ac:dyDescent="0.15">
      <c r="J187" s="6"/>
      <c r="K187" s="6"/>
      <c r="L187" s="6"/>
      <c r="M187" s="7" t="s">
        <v>191</v>
      </c>
    </row>
    <row r="188" spans="5:20" s="7" customFormat="1" ht="15.75" customHeight="1" x14ac:dyDescent="0.15">
      <c r="J188" s="6"/>
      <c r="K188" s="6"/>
      <c r="L188" s="6"/>
      <c r="M188" s="7" t="s">
        <v>111</v>
      </c>
    </row>
    <row r="189" spans="5:20" s="7" customFormat="1" ht="15.75" customHeight="1" x14ac:dyDescent="0.2">
      <c r="J189" s="6"/>
      <c r="K189" s="6"/>
      <c r="L189" s="6"/>
      <c r="M189" s="261" t="s">
        <v>106</v>
      </c>
      <c r="N189" s="261"/>
      <c r="O189" s="6" t="s">
        <v>27</v>
      </c>
      <c r="P189" s="7" t="s">
        <v>131</v>
      </c>
    </row>
    <row r="190" spans="5:20" s="7" customFormat="1" ht="15.75" customHeight="1" x14ac:dyDescent="0.15">
      <c r="J190" s="261" t="s">
        <v>112</v>
      </c>
      <c r="K190" s="261"/>
      <c r="L190" s="6" t="s">
        <v>2</v>
      </c>
      <c r="M190" s="7" t="s">
        <v>113</v>
      </c>
    </row>
    <row r="191" spans="5:20" s="7" customFormat="1" ht="15.75" customHeight="1" x14ac:dyDescent="0.15">
      <c r="J191" s="261" t="s">
        <v>115</v>
      </c>
      <c r="K191" s="261"/>
      <c r="L191" s="6" t="s">
        <v>2</v>
      </c>
      <c r="M191" s="7" t="s">
        <v>116</v>
      </c>
    </row>
    <row r="192" spans="5:20" s="2" customFormat="1" ht="15.75" customHeight="1" x14ac:dyDescent="0.15">
      <c r="J192" s="1"/>
      <c r="K192" s="1"/>
      <c r="L192" s="1"/>
      <c r="M192" s="328" t="s">
        <v>115</v>
      </c>
      <c r="N192" s="328"/>
      <c r="O192" s="328" t="s">
        <v>27</v>
      </c>
      <c r="P192" s="328" t="s">
        <v>118</v>
      </c>
      <c r="Q192" s="328"/>
      <c r="R192" s="1" t="s">
        <v>6</v>
      </c>
      <c r="S192" s="328" t="s">
        <v>117</v>
      </c>
      <c r="T192" s="328"/>
    </row>
    <row r="193" spans="4:35" s="2" customFormat="1" ht="15.75" customHeight="1" x14ac:dyDescent="0.15">
      <c r="J193" s="1"/>
      <c r="K193" s="1"/>
      <c r="L193" s="1"/>
      <c r="M193" s="328"/>
      <c r="N193" s="328"/>
      <c r="O193" s="328"/>
      <c r="P193" s="3" t="s">
        <v>78</v>
      </c>
      <c r="Q193" s="328" t="s">
        <v>119</v>
      </c>
      <c r="R193" s="328"/>
      <c r="S193" s="328"/>
      <c r="T193" s="328"/>
    </row>
    <row r="194" spans="4:35" s="7" customFormat="1" ht="15.75" customHeight="1" x14ac:dyDescent="0.15">
      <c r="J194" s="328" t="s">
        <v>120</v>
      </c>
      <c r="K194" s="328"/>
      <c r="L194" s="6" t="s">
        <v>2</v>
      </c>
      <c r="M194" s="7" t="s">
        <v>126</v>
      </c>
    </row>
    <row r="195" spans="4:35" s="7" customFormat="1" ht="15.75" customHeight="1" x14ac:dyDescent="0.15">
      <c r="J195" s="328" t="s">
        <v>121</v>
      </c>
      <c r="K195" s="328"/>
      <c r="L195" s="6" t="s">
        <v>2</v>
      </c>
      <c r="M195" s="7" t="s">
        <v>127</v>
      </c>
    </row>
    <row r="196" spans="4:35" s="7" customFormat="1" ht="15.75" customHeight="1" x14ac:dyDescent="0.15">
      <c r="J196" s="261" t="s">
        <v>78</v>
      </c>
      <c r="K196" s="261"/>
      <c r="L196" s="6" t="s">
        <v>2</v>
      </c>
      <c r="M196" s="7" t="s">
        <v>81</v>
      </c>
    </row>
    <row r="197" spans="4:35" s="7" customFormat="1" ht="15.75" customHeight="1" x14ac:dyDescent="0.15">
      <c r="J197" s="328" t="s">
        <v>124</v>
      </c>
      <c r="K197" s="328"/>
      <c r="L197" s="6" t="s">
        <v>2</v>
      </c>
      <c r="M197" s="7" t="s">
        <v>122</v>
      </c>
    </row>
    <row r="198" spans="4:35" s="7" customFormat="1" ht="15.75" customHeight="1" x14ac:dyDescent="0.15">
      <c r="J198" s="328" t="s">
        <v>125</v>
      </c>
      <c r="K198" s="328"/>
      <c r="L198" s="6" t="s">
        <v>2</v>
      </c>
      <c r="M198" s="7" t="s">
        <v>123</v>
      </c>
    </row>
    <row r="199" spans="4:35" s="7" customFormat="1" ht="15.75" customHeight="1" x14ac:dyDescent="0.15"/>
    <row r="200" spans="4:35" s="7" customFormat="1" ht="15.75" customHeight="1" x14ac:dyDescent="0.15">
      <c r="G200" s="104" t="s">
        <v>209</v>
      </c>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row>
    <row r="201" spans="4:35" s="7" customFormat="1" ht="15.75" customHeight="1" x14ac:dyDescent="0.15">
      <c r="G201" s="423" t="s">
        <v>60</v>
      </c>
      <c r="H201" s="424"/>
      <c r="I201" s="424"/>
      <c r="J201" s="424"/>
      <c r="K201" s="425"/>
      <c r="L201" s="424" t="s">
        <v>112</v>
      </c>
      <c r="M201" s="424"/>
      <c r="N201" s="424"/>
      <c r="O201" s="388" t="s">
        <v>576</v>
      </c>
      <c r="P201" s="388"/>
      <c r="Q201" s="388"/>
      <c r="R201" s="388" t="s">
        <v>577</v>
      </c>
      <c r="S201" s="388"/>
      <c r="T201" s="388"/>
      <c r="U201" s="388" t="s">
        <v>578</v>
      </c>
      <c r="V201" s="388"/>
      <c r="W201" s="388"/>
      <c r="X201" s="388" t="s">
        <v>579</v>
      </c>
      <c r="Y201" s="388"/>
      <c r="Z201" s="388"/>
      <c r="AA201" s="388" t="s">
        <v>580</v>
      </c>
      <c r="AB201" s="388"/>
      <c r="AC201" s="388"/>
      <c r="AD201" s="388" t="s">
        <v>114</v>
      </c>
      <c r="AE201" s="388"/>
      <c r="AF201" s="388"/>
      <c r="AG201" s="388" t="s">
        <v>130</v>
      </c>
      <c r="AH201" s="388"/>
      <c r="AI201" s="420"/>
    </row>
    <row r="202" spans="4:35" s="7" customFormat="1" ht="15.75" customHeight="1" x14ac:dyDescent="0.15">
      <c r="G202" s="311" t="s">
        <v>129</v>
      </c>
      <c r="H202" s="312"/>
      <c r="I202" s="312"/>
      <c r="J202" s="312"/>
      <c r="K202" s="422"/>
      <c r="L202" s="312">
        <v>0.6</v>
      </c>
      <c r="M202" s="312"/>
      <c r="N202" s="312"/>
      <c r="O202" s="312">
        <f>入力!P24</f>
        <v>1</v>
      </c>
      <c r="P202" s="312"/>
      <c r="Q202" s="312"/>
      <c r="R202" s="312">
        <f>入力!P25</f>
        <v>2</v>
      </c>
      <c r="S202" s="312"/>
      <c r="T202" s="312"/>
      <c r="U202" s="203">
        <f>入力!N24</f>
        <v>9.83</v>
      </c>
      <c r="V202" s="203"/>
      <c r="W202" s="203"/>
      <c r="X202" s="203">
        <f>入力!N25</f>
        <v>5</v>
      </c>
      <c r="Y202" s="203"/>
      <c r="Z202" s="203"/>
      <c r="AA202" s="203">
        <f>Q92</f>
        <v>1</v>
      </c>
      <c r="AB202" s="203"/>
      <c r="AC202" s="203"/>
      <c r="AD202" s="308">
        <f>(O202*U202+R202*X202)/((O202+R202)*$AA$202)</f>
        <v>6.6099999999999994</v>
      </c>
      <c r="AE202" s="308"/>
      <c r="AF202" s="308"/>
      <c r="AG202" s="308">
        <f>(1-5*(1-(0.6-0.25*$L$202)*AD202^(0.3+0.2*$L$202))*(1-O202^(-0.22)*R202^(-0.09)))^(4/3)</f>
        <v>0.99786833101375771</v>
      </c>
      <c r="AH202" s="308"/>
      <c r="AI202" s="421"/>
    </row>
    <row r="203" spans="4:35" s="7" customFormat="1" ht="15.75" customHeight="1" x14ac:dyDescent="0.15">
      <c r="G203" s="222" t="s">
        <v>128</v>
      </c>
      <c r="H203" s="185"/>
      <c r="I203" s="185"/>
      <c r="J203" s="185"/>
      <c r="K203" s="220"/>
      <c r="L203" s="185"/>
      <c r="M203" s="185"/>
      <c r="N203" s="185"/>
      <c r="O203" s="185">
        <f>入力!P27</f>
        <v>2</v>
      </c>
      <c r="P203" s="185"/>
      <c r="Q203" s="185"/>
      <c r="R203" s="185">
        <f>入力!P28</f>
        <v>1</v>
      </c>
      <c r="S203" s="185"/>
      <c r="T203" s="185"/>
      <c r="U203" s="159">
        <f>入力!N27</f>
        <v>5</v>
      </c>
      <c r="V203" s="159"/>
      <c r="W203" s="159"/>
      <c r="X203" s="159">
        <f>入力!N28</f>
        <v>9.83</v>
      </c>
      <c r="Y203" s="159"/>
      <c r="Z203" s="159"/>
      <c r="AA203" s="159"/>
      <c r="AB203" s="159"/>
      <c r="AC203" s="159"/>
      <c r="AD203" s="393">
        <f>(O203*U203+R203*X203)/((O203+R203)*$AA$202)</f>
        <v>6.6099999999999994</v>
      </c>
      <c r="AE203" s="393"/>
      <c r="AF203" s="393"/>
      <c r="AG203" s="393">
        <f>(1-5*(1-(0.6-0.25*$L$202)*AD203^(0.3+0.2*$L$202))*(1-O203^(-0.22)*R203^(-0.09)))^(4/3)</f>
        <v>0.99501657327709314</v>
      </c>
      <c r="AH203" s="393"/>
      <c r="AI203" s="426"/>
    </row>
    <row r="204" spans="4:35" s="7" customFormat="1" ht="15.75" customHeight="1" x14ac:dyDescent="0.15"/>
    <row r="205" spans="4:35" s="7" customFormat="1" ht="15.75" customHeight="1" x14ac:dyDescent="0.15"/>
    <row r="206" spans="4:35" s="7" customFormat="1" ht="15.75" customHeight="1" x14ac:dyDescent="0.15">
      <c r="D206" s="12" t="s">
        <v>132</v>
      </c>
    </row>
    <row r="207" spans="4:35" s="7" customFormat="1" ht="15.75" customHeight="1" x14ac:dyDescent="0.15"/>
    <row r="208" spans="4:35" s="7" customFormat="1" ht="15.75" customHeight="1" x14ac:dyDescent="0.15">
      <c r="D208" s="7" t="s">
        <v>133</v>
      </c>
      <c r="M208" s="12"/>
    </row>
    <row r="209" spans="6:37" s="7" customFormat="1" ht="15.75" customHeight="1" x14ac:dyDescent="0.15"/>
    <row r="210" spans="6:37" s="7" customFormat="1" ht="15.75" customHeight="1" x14ac:dyDescent="0.15">
      <c r="F210" s="7" t="s">
        <v>210</v>
      </c>
    </row>
    <row r="211" spans="6:37" s="7" customFormat="1" ht="15.75" customHeight="1" x14ac:dyDescent="0.15">
      <c r="F211" s="7" t="s">
        <v>88</v>
      </c>
    </row>
    <row r="212" spans="6:37" s="7" customFormat="1" ht="15.75" customHeight="1" x14ac:dyDescent="0.15"/>
    <row r="213" spans="6:37" s="7" customFormat="1" ht="15.75" customHeight="1" x14ac:dyDescent="0.2">
      <c r="F213" s="261" t="s">
        <v>135</v>
      </c>
      <c r="G213" s="261"/>
      <c r="H213" s="6" t="s">
        <v>27</v>
      </c>
      <c r="I213" s="261" t="s">
        <v>134</v>
      </c>
      <c r="J213" s="261"/>
      <c r="K213" s="6" t="s">
        <v>107</v>
      </c>
      <c r="L213" s="261" t="s">
        <v>136</v>
      </c>
      <c r="M213" s="261"/>
    </row>
    <row r="214" spans="6:37" s="7" customFormat="1" ht="15.75" customHeight="1" x14ac:dyDescent="0.15"/>
    <row r="215" spans="6:37" s="7" customFormat="1" ht="15.75" customHeight="1" x14ac:dyDescent="0.2">
      <c r="G215" s="7" t="s">
        <v>3</v>
      </c>
      <c r="J215" s="261" t="s">
        <v>135</v>
      </c>
      <c r="K215" s="261"/>
      <c r="L215" s="6" t="s">
        <v>2</v>
      </c>
      <c r="M215" s="7" t="s">
        <v>137</v>
      </c>
    </row>
    <row r="216" spans="6:37" s="7" customFormat="1" ht="15.75" customHeight="1" x14ac:dyDescent="0.2">
      <c r="J216" s="261" t="s">
        <v>98</v>
      </c>
      <c r="K216" s="261"/>
      <c r="L216" s="6" t="s">
        <v>2</v>
      </c>
      <c r="M216" s="7" t="s">
        <v>80</v>
      </c>
    </row>
    <row r="217" spans="6:37" s="7" customFormat="1" ht="15.75" customHeight="1" x14ac:dyDescent="0.2">
      <c r="J217" s="261" t="s">
        <v>136</v>
      </c>
      <c r="K217" s="261"/>
      <c r="L217" s="6" t="s">
        <v>2</v>
      </c>
      <c r="M217" s="7" t="s">
        <v>138</v>
      </c>
    </row>
    <row r="218" spans="6:37" s="7" customFormat="1" ht="15.75" customHeight="1" x14ac:dyDescent="0.2">
      <c r="J218" s="6"/>
      <c r="K218" s="6"/>
      <c r="L218" s="6"/>
      <c r="M218" s="261" t="s">
        <v>136</v>
      </c>
      <c r="N218" s="261"/>
      <c r="O218" s="6" t="s">
        <v>27</v>
      </c>
      <c r="P218" s="427">
        <v>0.25</v>
      </c>
      <c r="Q218" s="427"/>
      <c r="R218" s="6" t="s">
        <v>107</v>
      </c>
      <c r="S218" s="6" t="s">
        <v>139</v>
      </c>
      <c r="T218" s="6" t="s">
        <v>107</v>
      </c>
      <c r="U218" s="8" t="s">
        <v>78</v>
      </c>
      <c r="V218" s="10">
        <v>2</v>
      </c>
    </row>
    <row r="219" spans="6:37" s="7" customFormat="1" ht="15.75" customHeight="1" x14ac:dyDescent="0.15">
      <c r="J219" s="6"/>
      <c r="K219" s="6"/>
      <c r="L219" s="6"/>
      <c r="M219" s="6"/>
      <c r="N219" s="6"/>
      <c r="O219" s="6" t="s">
        <v>27</v>
      </c>
      <c r="P219" s="427">
        <f>P218</f>
        <v>0.25</v>
      </c>
      <c r="Q219" s="427"/>
      <c r="R219" s="6" t="s">
        <v>140</v>
      </c>
      <c r="S219" s="6" t="s">
        <v>139</v>
      </c>
      <c r="T219" s="6" t="s">
        <v>140</v>
      </c>
      <c r="U219" s="178">
        <f>U220</f>
        <v>1</v>
      </c>
      <c r="V219" s="178"/>
      <c r="W219" s="178"/>
      <c r="X219" s="10">
        <f>V218</f>
        <v>2</v>
      </c>
      <c r="Y219" s="6" t="s">
        <v>27</v>
      </c>
      <c r="Z219" s="261">
        <f>ROUND(P219*PI()*U219^X219,3)</f>
        <v>0.78500000000000003</v>
      </c>
      <c r="AA219" s="261"/>
      <c r="AB219" s="261"/>
      <c r="AC219" s="7" t="s">
        <v>141</v>
      </c>
    </row>
    <row r="220" spans="6:37" s="7" customFormat="1" ht="15.75" customHeight="1" x14ac:dyDescent="0.15">
      <c r="J220" s="261" t="s">
        <v>78</v>
      </c>
      <c r="K220" s="261"/>
      <c r="L220" s="6" t="s">
        <v>2</v>
      </c>
      <c r="M220" s="7" t="s">
        <v>142</v>
      </c>
      <c r="S220" s="8" t="s">
        <v>143</v>
      </c>
      <c r="T220" s="6" t="s">
        <v>27</v>
      </c>
      <c r="U220" s="178">
        <f>Q92</f>
        <v>1</v>
      </c>
      <c r="V220" s="178"/>
      <c r="W220" s="178"/>
      <c r="X220" s="7" t="s">
        <v>144</v>
      </c>
    </row>
    <row r="221" spans="6:37" s="7" customFormat="1" ht="15.75" customHeight="1" x14ac:dyDescent="0.15">
      <c r="J221" s="6"/>
      <c r="K221" s="6"/>
      <c r="L221" s="6"/>
      <c r="R221" s="8"/>
      <c r="S221" s="6"/>
      <c r="T221" s="18"/>
      <c r="U221" s="18"/>
    </row>
    <row r="222" spans="6:37" s="7" customFormat="1" ht="15.75" customHeight="1" x14ac:dyDescent="0.15">
      <c r="J222" s="111" t="s">
        <v>145</v>
      </c>
      <c r="K222" s="111"/>
      <c r="L222" s="111"/>
      <c r="M222" s="111"/>
      <c r="N222" s="111"/>
      <c r="O222" s="111"/>
      <c r="P222" s="111"/>
      <c r="Q222" s="111"/>
      <c r="R222" s="111"/>
      <c r="S222" s="111"/>
      <c r="T222" s="111"/>
      <c r="U222" s="111"/>
      <c r="V222" s="111"/>
      <c r="W222" s="111"/>
      <c r="X222" s="111"/>
      <c r="Y222" s="111"/>
      <c r="Z222" s="111"/>
      <c r="AA222" s="111"/>
      <c r="AB222" s="15"/>
      <c r="AC222" s="15"/>
      <c r="AD222" s="15"/>
      <c r="AE222" s="15"/>
      <c r="AF222" s="15"/>
      <c r="AG222" s="15"/>
      <c r="AH222" s="15"/>
      <c r="AI222" s="15"/>
      <c r="AJ222" s="15"/>
      <c r="AK222" s="15"/>
    </row>
    <row r="223" spans="6:37" s="7" customFormat="1" ht="15.75" customHeight="1" x14ac:dyDescent="0.15">
      <c r="J223" s="216" t="s">
        <v>86</v>
      </c>
      <c r="K223" s="180"/>
      <c r="L223" s="180"/>
      <c r="M223" s="180"/>
      <c r="N223" s="180"/>
      <c r="O223" s="180"/>
      <c r="P223" s="180" t="s">
        <v>146</v>
      </c>
      <c r="Q223" s="180"/>
      <c r="R223" s="180"/>
      <c r="S223" s="180"/>
      <c r="T223" s="180"/>
      <c r="U223" s="180"/>
      <c r="V223" s="180" t="s">
        <v>147</v>
      </c>
      <c r="W223" s="180"/>
      <c r="X223" s="180"/>
      <c r="Y223" s="180"/>
      <c r="Z223" s="180"/>
      <c r="AA223" s="217"/>
    </row>
    <row r="224" spans="6:37" s="7" customFormat="1" ht="15.75" customHeight="1" x14ac:dyDescent="0.15">
      <c r="J224" s="222">
        <f>W92</f>
        <v>64232</v>
      </c>
      <c r="K224" s="185"/>
      <c r="L224" s="185"/>
      <c r="M224" s="185"/>
      <c r="N224" s="185"/>
      <c r="O224" s="185"/>
      <c r="P224" s="393">
        <f>ROUND(Z219,3)</f>
        <v>0.78500000000000003</v>
      </c>
      <c r="Q224" s="393"/>
      <c r="R224" s="393"/>
      <c r="S224" s="393"/>
      <c r="T224" s="393"/>
      <c r="U224" s="393"/>
      <c r="V224" s="185">
        <f>ROUND(J224*P224,0)</f>
        <v>50422</v>
      </c>
      <c r="W224" s="185"/>
      <c r="X224" s="185"/>
      <c r="Y224" s="185"/>
      <c r="Z224" s="185"/>
      <c r="AA224" s="220"/>
    </row>
    <row r="225" spans="4:37" s="7" customFormat="1" ht="15.75" customHeight="1" x14ac:dyDescent="0.15"/>
    <row r="226" spans="4:37" s="7" customFormat="1" ht="15.75" customHeight="1" x14ac:dyDescent="0.15">
      <c r="J226" s="111" t="s">
        <v>148</v>
      </c>
      <c r="K226" s="111"/>
      <c r="L226" s="111"/>
      <c r="M226" s="111"/>
      <c r="N226" s="111"/>
      <c r="O226" s="111"/>
      <c r="P226" s="111"/>
      <c r="Q226" s="111"/>
      <c r="R226" s="111"/>
      <c r="S226" s="111"/>
      <c r="T226" s="111"/>
      <c r="U226" s="111"/>
      <c r="V226" s="111"/>
      <c r="W226" s="111"/>
      <c r="X226" s="111"/>
      <c r="Y226" s="111"/>
      <c r="Z226" s="111"/>
      <c r="AA226" s="111"/>
      <c r="AB226" s="15"/>
      <c r="AC226" s="15"/>
      <c r="AD226" s="15"/>
      <c r="AE226" s="15"/>
      <c r="AF226" s="15"/>
      <c r="AG226" s="15"/>
      <c r="AH226" s="15"/>
      <c r="AI226" s="15"/>
      <c r="AJ226" s="15"/>
      <c r="AK226" s="15"/>
    </row>
    <row r="227" spans="4:37" s="7" customFormat="1" ht="15.75" customHeight="1" x14ac:dyDescent="0.15">
      <c r="J227" s="216" t="s">
        <v>86</v>
      </c>
      <c r="K227" s="180"/>
      <c r="L227" s="180"/>
      <c r="M227" s="180"/>
      <c r="N227" s="180"/>
      <c r="O227" s="180"/>
      <c r="P227" s="180" t="s">
        <v>146</v>
      </c>
      <c r="Q227" s="180"/>
      <c r="R227" s="180"/>
      <c r="S227" s="180"/>
      <c r="T227" s="180"/>
      <c r="U227" s="180"/>
      <c r="V227" s="180" t="s">
        <v>147</v>
      </c>
      <c r="W227" s="180"/>
      <c r="X227" s="180"/>
      <c r="Y227" s="180"/>
      <c r="Z227" s="180"/>
      <c r="AA227" s="217"/>
    </row>
    <row r="228" spans="4:37" s="7" customFormat="1" ht="15.75" customHeight="1" x14ac:dyDescent="0.15">
      <c r="J228" s="222">
        <f>W96</f>
        <v>128464</v>
      </c>
      <c r="K228" s="185"/>
      <c r="L228" s="185"/>
      <c r="M228" s="185"/>
      <c r="N228" s="185"/>
      <c r="O228" s="185"/>
      <c r="P228" s="393">
        <f>ROUND(Z219,3)</f>
        <v>0.78500000000000003</v>
      </c>
      <c r="Q228" s="393"/>
      <c r="R228" s="393"/>
      <c r="S228" s="393"/>
      <c r="T228" s="393"/>
      <c r="U228" s="393"/>
      <c r="V228" s="185">
        <f>ROUND(J228*P228,0)</f>
        <v>100844</v>
      </c>
      <c r="W228" s="185"/>
      <c r="X228" s="185"/>
      <c r="Y228" s="185"/>
      <c r="Z228" s="185"/>
      <c r="AA228" s="220"/>
    </row>
    <row r="233" spans="4:37" s="7" customFormat="1" ht="15.75" customHeight="1" x14ac:dyDescent="0.15">
      <c r="D233" s="7" t="s">
        <v>592</v>
      </c>
    </row>
    <row r="234" spans="4:37" s="7" customFormat="1" ht="15.75" customHeight="1" x14ac:dyDescent="0.15"/>
    <row r="235" spans="4:37" s="7" customFormat="1" ht="15.75" customHeight="1" x14ac:dyDescent="0.15">
      <c r="F235" s="7" t="s">
        <v>452</v>
      </c>
    </row>
    <row r="236" spans="4:37" s="7" customFormat="1" ht="15.75" customHeight="1" x14ac:dyDescent="0.15">
      <c r="F236" s="7" t="s">
        <v>451</v>
      </c>
    </row>
    <row r="237" spans="4:37" s="7" customFormat="1" ht="15.75" customHeight="1" x14ac:dyDescent="0.15"/>
    <row r="238" spans="4:37" s="7" customFormat="1" ht="15.75" customHeight="1" x14ac:dyDescent="0.2">
      <c r="F238" s="261" t="s">
        <v>236</v>
      </c>
      <c r="G238" s="261"/>
      <c r="H238" s="6" t="s">
        <v>27</v>
      </c>
      <c r="I238" s="261" t="s">
        <v>237</v>
      </c>
      <c r="J238" s="261"/>
      <c r="K238" s="6" t="s">
        <v>107</v>
      </c>
      <c r="L238" s="6" t="s">
        <v>78</v>
      </c>
      <c r="M238" s="123" t="s">
        <v>107</v>
      </c>
      <c r="N238" s="9" t="s">
        <v>603</v>
      </c>
    </row>
    <row r="239" spans="4:37" s="7" customFormat="1" ht="15.75" customHeight="1" x14ac:dyDescent="0.15"/>
    <row r="240" spans="4:37" s="7" customFormat="1" ht="15.75" customHeight="1" x14ac:dyDescent="0.2">
      <c r="G240" s="7" t="s">
        <v>3</v>
      </c>
      <c r="J240" s="261" t="s">
        <v>236</v>
      </c>
      <c r="K240" s="261"/>
      <c r="L240" s="6" t="s">
        <v>2</v>
      </c>
      <c r="M240" s="7" t="s">
        <v>599</v>
      </c>
    </row>
    <row r="241" spans="1:36" s="7" customFormat="1" ht="15.75" customHeight="1" x14ac:dyDescent="0.2">
      <c r="J241" s="261" t="s">
        <v>237</v>
      </c>
      <c r="K241" s="261"/>
      <c r="L241" s="6" t="s">
        <v>2</v>
      </c>
      <c r="M241" s="7" t="s">
        <v>238</v>
      </c>
    </row>
    <row r="242" spans="1:36" s="7" customFormat="1" ht="15.75" customHeight="1" x14ac:dyDescent="0.15">
      <c r="J242" s="261" t="s">
        <v>78</v>
      </c>
      <c r="K242" s="261"/>
      <c r="L242" s="6" t="s">
        <v>2</v>
      </c>
      <c r="M242" s="7" t="s">
        <v>157</v>
      </c>
      <c r="P242" s="8" t="s">
        <v>143</v>
      </c>
      <c r="Q242" s="6" t="s">
        <v>27</v>
      </c>
      <c r="R242" s="178">
        <f>Q92</f>
        <v>1</v>
      </c>
      <c r="S242" s="178"/>
      <c r="T242" s="178"/>
      <c r="U242" s="7" t="s">
        <v>144</v>
      </c>
    </row>
    <row r="243" spans="1:36" s="7" customFormat="1" ht="15.75" customHeight="1" x14ac:dyDescent="0.15">
      <c r="J243" s="261" t="s">
        <v>603</v>
      </c>
      <c r="K243" s="261"/>
      <c r="L243" s="123" t="s">
        <v>2</v>
      </c>
      <c r="M243" s="7" t="s">
        <v>602</v>
      </c>
    </row>
    <row r="244" spans="1:36" s="7" customFormat="1" ht="15.75" customHeight="1" x14ac:dyDescent="0.15"/>
    <row r="245" spans="1:36" s="7" customFormat="1" ht="15.75" customHeight="1" x14ac:dyDescent="0.15">
      <c r="F245" s="103" t="s">
        <v>239</v>
      </c>
      <c r="G245" s="105"/>
      <c r="H245" s="105"/>
      <c r="I245" s="103"/>
      <c r="J245" s="103"/>
      <c r="K245" s="103"/>
      <c r="L245" s="103"/>
      <c r="M245" s="103"/>
      <c r="N245" s="103"/>
      <c r="O245" s="103"/>
      <c r="P245" s="103"/>
      <c r="Q245" s="103"/>
      <c r="R245" s="103"/>
      <c r="S245" s="103"/>
      <c r="T245" s="103"/>
      <c r="U245" s="103"/>
      <c r="V245" s="103"/>
      <c r="W245" s="103"/>
      <c r="X245" s="103"/>
      <c r="Y245" s="103"/>
      <c r="Z245" s="105"/>
      <c r="AA245" s="105"/>
      <c r="AF245" s="15"/>
      <c r="AG245" s="15"/>
      <c r="AH245" s="15"/>
      <c r="AI245" s="15"/>
      <c r="AJ245" s="15"/>
    </row>
    <row r="246" spans="1:36" s="7" customFormat="1" ht="15.75" customHeight="1" x14ac:dyDescent="0.15">
      <c r="F246" s="360" t="s">
        <v>91</v>
      </c>
      <c r="G246" s="361"/>
      <c r="H246" s="361"/>
      <c r="I246" s="377" t="s">
        <v>429</v>
      </c>
      <c r="J246" s="361"/>
      <c r="K246" s="361"/>
      <c r="L246" s="361"/>
      <c r="M246" s="361" t="s">
        <v>430</v>
      </c>
      <c r="N246" s="361"/>
      <c r="O246" s="361"/>
      <c r="P246" s="378"/>
      <c r="Q246" s="377" t="s">
        <v>240</v>
      </c>
      <c r="R246" s="361"/>
      <c r="S246" s="378"/>
      <c r="T246" s="360" t="s">
        <v>600</v>
      </c>
      <c r="U246" s="361"/>
      <c r="V246" s="361"/>
      <c r="W246" s="361"/>
      <c r="X246" s="361" t="s">
        <v>601</v>
      </c>
      <c r="Y246" s="361"/>
      <c r="Z246" s="361"/>
      <c r="AA246" s="366"/>
      <c r="AF246" s="15"/>
      <c r="AG246" s="15"/>
      <c r="AH246" s="15"/>
      <c r="AI246" s="15"/>
      <c r="AJ246" s="15"/>
    </row>
    <row r="247" spans="1:36" s="7" customFormat="1" ht="15.75" customHeight="1" x14ac:dyDescent="0.15">
      <c r="F247" s="362"/>
      <c r="G247" s="363"/>
      <c r="H247" s="363"/>
      <c r="I247" s="379"/>
      <c r="J247" s="363"/>
      <c r="K247" s="363"/>
      <c r="L247" s="363"/>
      <c r="M247" s="363"/>
      <c r="N247" s="363"/>
      <c r="O247" s="363"/>
      <c r="P247" s="380"/>
      <c r="Q247" s="379"/>
      <c r="R247" s="363"/>
      <c r="S247" s="380"/>
      <c r="T247" s="362"/>
      <c r="U247" s="363"/>
      <c r="V247" s="363"/>
      <c r="W247" s="363"/>
      <c r="X247" s="363"/>
      <c r="Y247" s="363"/>
      <c r="Z247" s="363"/>
      <c r="AA247" s="367"/>
      <c r="AF247" s="15"/>
      <c r="AG247" s="15"/>
      <c r="AH247" s="15"/>
      <c r="AI247" s="15"/>
      <c r="AJ247" s="15"/>
    </row>
    <row r="248" spans="1:36" s="7" customFormat="1" ht="15.75" customHeight="1" x14ac:dyDescent="0.15">
      <c r="F248" s="364"/>
      <c r="G248" s="365"/>
      <c r="H248" s="365"/>
      <c r="I248" s="381"/>
      <c r="J248" s="365"/>
      <c r="K248" s="365"/>
      <c r="L248" s="365"/>
      <c r="M248" s="365"/>
      <c r="N248" s="365"/>
      <c r="O248" s="365"/>
      <c r="P248" s="382"/>
      <c r="Q248" s="381"/>
      <c r="R248" s="365"/>
      <c r="S248" s="382"/>
      <c r="T248" s="364"/>
      <c r="U248" s="365"/>
      <c r="V248" s="365"/>
      <c r="W248" s="365"/>
      <c r="X248" s="365"/>
      <c r="Y248" s="365"/>
      <c r="Z248" s="365"/>
      <c r="AA248" s="368"/>
      <c r="AF248" s="15"/>
      <c r="AG248" s="15"/>
      <c r="AH248" s="15"/>
      <c r="AI248" s="15"/>
      <c r="AJ248" s="15"/>
    </row>
    <row r="249" spans="1:36" s="7" customFormat="1" ht="15.75" customHeight="1" x14ac:dyDescent="0.15">
      <c r="A249" s="96" t="str">
        <f>IF(F249="","×","")</f>
        <v/>
      </c>
      <c r="F249" s="226">
        <f>IF(H112="","",H112)</f>
        <v>3</v>
      </c>
      <c r="G249" s="227"/>
      <c r="H249" s="227"/>
      <c r="I249" s="355">
        <f>IF(Q155="","",Q155*AG$202)</f>
        <v>12510.275265919481</v>
      </c>
      <c r="J249" s="200"/>
      <c r="K249" s="200"/>
      <c r="L249" s="200"/>
      <c r="M249" s="200">
        <f>IF(Q155="","",Q155*AG$203)</f>
        <v>12474.522779174917</v>
      </c>
      <c r="N249" s="200"/>
      <c r="O249" s="200"/>
      <c r="P249" s="201"/>
      <c r="Q249" s="352">
        <f>R242</f>
        <v>1</v>
      </c>
      <c r="R249" s="353"/>
      <c r="S249" s="354"/>
      <c r="T249" s="355">
        <f>IF(I249="","",ROUND(I249*Q249,-1))</f>
        <v>12510</v>
      </c>
      <c r="U249" s="200"/>
      <c r="V249" s="200"/>
      <c r="W249" s="200"/>
      <c r="X249" s="200">
        <f>IF(M249="","",ROUND(M249*Q249,-1))</f>
        <v>12470</v>
      </c>
      <c r="Y249" s="200"/>
      <c r="Z249" s="200"/>
      <c r="AA249" s="252"/>
      <c r="AB249" s="15"/>
      <c r="AC249" s="15"/>
      <c r="AD249" s="15"/>
      <c r="AE249" s="15"/>
      <c r="AF249" s="15"/>
      <c r="AG249" s="15"/>
      <c r="AH249" s="15"/>
      <c r="AI249" s="15"/>
      <c r="AJ249" s="15"/>
    </row>
    <row r="250" spans="1:36" s="7" customFormat="1" ht="15.75" customHeight="1" x14ac:dyDescent="0.15">
      <c r="A250" s="122" t="str">
        <f t="shared" ref="A250:A264" si="15">IF(F250="","×","")</f>
        <v/>
      </c>
      <c r="F250" s="212">
        <f>IF(H113="","",H113)</f>
        <v>4</v>
      </c>
      <c r="G250" s="174"/>
      <c r="H250" s="174"/>
      <c r="I250" s="143">
        <f>IF(Q156="","",Q156*AG$202)</f>
        <v>25703.09247025237</v>
      </c>
      <c r="J250" s="144"/>
      <c r="K250" s="144"/>
      <c r="L250" s="144"/>
      <c r="M250" s="144">
        <f>IF(Q156="","",Q156*AG$203)</f>
        <v>25629.636894471365</v>
      </c>
      <c r="N250" s="144"/>
      <c r="O250" s="144"/>
      <c r="P250" s="145"/>
      <c r="Q250" s="146">
        <f>Q249</f>
        <v>1</v>
      </c>
      <c r="R250" s="147"/>
      <c r="S250" s="148"/>
      <c r="T250" s="143">
        <f t="shared" ref="T250:T264" si="16">IF(I250="","",ROUND(I250*Q250,-1))</f>
        <v>25700</v>
      </c>
      <c r="U250" s="144"/>
      <c r="V250" s="144"/>
      <c r="W250" s="144"/>
      <c r="X250" s="144">
        <f t="shared" ref="X250:X264" si="17">IF(M250="","",ROUND(M250*Q250,-1))</f>
        <v>25630</v>
      </c>
      <c r="Y250" s="144"/>
      <c r="Z250" s="144"/>
      <c r="AA250" s="150"/>
      <c r="AB250" s="15"/>
      <c r="AC250" s="15"/>
      <c r="AD250" s="15"/>
      <c r="AE250" s="15"/>
      <c r="AF250" s="15"/>
      <c r="AG250" s="15"/>
      <c r="AH250" s="15"/>
      <c r="AI250" s="15"/>
      <c r="AJ250" s="15"/>
    </row>
    <row r="251" spans="1:36" s="7" customFormat="1" ht="15.75" customHeight="1" x14ac:dyDescent="0.15">
      <c r="A251" s="122" t="str">
        <f t="shared" si="15"/>
        <v/>
      </c>
      <c r="F251" s="212">
        <f>IF(H114="","",H114)</f>
        <v>5</v>
      </c>
      <c r="G251" s="174"/>
      <c r="H251" s="174"/>
      <c r="I251" s="143">
        <f>IF(Q157="","",Q157*AG$202)</f>
        <v>29250.514387006278</v>
      </c>
      <c r="J251" s="144"/>
      <c r="K251" s="144"/>
      <c r="L251" s="144"/>
      <c r="M251" s="144">
        <f>IF(Q157="","",Q157*AG$203)</f>
        <v>29166.920812471431</v>
      </c>
      <c r="N251" s="144"/>
      <c r="O251" s="144"/>
      <c r="P251" s="145"/>
      <c r="Q251" s="146">
        <f t="shared" ref="Q251:Q264" si="18">Q250</f>
        <v>1</v>
      </c>
      <c r="R251" s="147"/>
      <c r="S251" s="148"/>
      <c r="T251" s="143">
        <f t="shared" si="16"/>
        <v>29250</v>
      </c>
      <c r="U251" s="144"/>
      <c r="V251" s="144"/>
      <c r="W251" s="144"/>
      <c r="X251" s="144">
        <f t="shared" si="17"/>
        <v>29170</v>
      </c>
      <c r="Y251" s="144"/>
      <c r="Z251" s="144"/>
      <c r="AA251" s="150"/>
      <c r="AB251" s="15"/>
      <c r="AC251" s="15"/>
      <c r="AD251" s="15"/>
      <c r="AE251" s="15"/>
      <c r="AF251" s="15"/>
      <c r="AG251" s="15"/>
      <c r="AH251" s="15"/>
      <c r="AI251" s="15"/>
      <c r="AJ251" s="15"/>
    </row>
    <row r="252" spans="1:36" s="7" customFormat="1" ht="15.75" customHeight="1" x14ac:dyDescent="0.15">
      <c r="A252" s="122" t="str">
        <f t="shared" si="15"/>
        <v/>
      </c>
      <c r="F252" s="212">
        <f>IF(H115="","",H115)</f>
        <v>6</v>
      </c>
      <c r="G252" s="174"/>
      <c r="H252" s="174"/>
      <c r="I252" s="143">
        <f>IF(Q158="","",Q158*AG$202)</f>
        <v>41706.904763051018</v>
      </c>
      <c r="J252" s="144"/>
      <c r="K252" s="144"/>
      <c r="L252" s="144"/>
      <c r="M252" s="144">
        <f>IF(Q158="","",Q158*AG$203)</f>
        <v>41587.712696689385</v>
      </c>
      <c r="N252" s="144"/>
      <c r="O252" s="144"/>
      <c r="P252" s="145"/>
      <c r="Q252" s="146">
        <f t="shared" si="18"/>
        <v>1</v>
      </c>
      <c r="R252" s="147"/>
      <c r="S252" s="148"/>
      <c r="T252" s="143">
        <f t="shared" si="16"/>
        <v>41710</v>
      </c>
      <c r="U252" s="144"/>
      <c r="V252" s="144"/>
      <c r="W252" s="144"/>
      <c r="X252" s="144">
        <f t="shared" si="17"/>
        <v>41590</v>
      </c>
      <c r="Y252" s="144"/>
      <c r="Z252" s="144"/>
      <c r="AA252" s="150"/>
      <c r="AB252" s="15"/>
      <c r="AC252" s="15"/>
      <c r="AD252" s="15"/>
      <c r="AE252" s="15"/>
      <c r="AF252" s="15"/>
      <c r="AG252" s="15"/>
      <c r="AH252" s="15"/>
      <c r="AI252" s="15"/>
      <c r="AJ252" s="15"/>
    </row>
    <row r="253" spans="1:36" s="7" customFormat="1" ht="15.75" customHeight="1" x14ac:dyDescent="0.15">
      <c r="A253" s="122" t="str">
        <f t="shared" si="15"/>
        <v/>
      </c>
      <c r="F253" s="212">
        <f>IF(H116="","",H116)</f>
        <v>7</v>
      </c>
      <c r="G253" s="174"/>
      <c r="H253" s="174"/>
      <c r="I253" s="143">
        <f>IF(Q159="","",Q159*AG$202)</f>
        <v>82407.958248440162</v>
      </c>
      <c r="J253" s="144"/>
      <c r="K253" s="144"/>
      <c r="L253" s="144"/>
      <c r="M253" s="144">
        <f>IF(Q159="","",Q159*AG$203)</f>
        <v>82172.448687515454</v>
      </c>
      <c r="N253" s="144"/>
      <c r="O253" s="144"/>
      <c r="P253" s="145"/>
      <c r="Q253" s="146">
        <f t="shared" si="18"/>
        <v>1</v>
      </c>
      <c r="R253" s="147"/>
      <c r="S253" s="148"/>
      <c r="T253" s="143">
        <f t="shared" si="16"/>
        <v>82410</v>
      </c>
      <c r="U253" s="144"/>
      <c r="V253" s="144"/>
      <c r="W253" s="144"/>
      <c r="X253" s="144">
        <f t="shared" si="17"/>
        <v>82170</v>
      </c>
      <c r="Y253" s="144"/>
      <c r="Z253" s="144"/>
      <c r="AA253" s="150"/>
      <c r="AB253" s="15"/>
      <c r="AC253" s="15"/>
      <c r="AD253" s="15"/>
      <c r="AE253" s="15"/>
      <c r="AF253" s="15"/>
      <c r="AG253" s="15"/>
      <c r="AH253" s="15"/>
      <c r="AI253" s="15"/>
      <c r="AJ253" s="15"/>
    </row>
    <row r="254" spans="1:36" s="7" customFormat="1" ht="15.75" customHeight="1" x14ac:dyDescent="0.15">
      <c r="A254" s="122" t="str">
        <f t="shared" si="15"/>
        <v>×</v>
      </c>
      <c r="F254" s="212" t="str">
        <f>IF(H117="","",H117)</f>
        <v/>
      </c>
      <c r="G254" s="174"/>
      <c r="H254" s="174"/>
      <c r="I254" s="143" t="str">
        <f>IF(Q160="","",Q160*AG$202)</f>
        <v/>
      </c>
      <c r="J254" s="144"/>
      <c r="K254" s="144"/>
      <c r="L254" s="144"/>
      <c r="M254" s="144" t="str">
        <f>IF(Q160="","",Q160*AG$203)</f>
        <v/>
      </c>
      <c r="N254" s="144"/>
      <c r="O254" s="144"/>
      <c r="P254" s="145"/>
      <c r="Q254" s="146">
        <f t="shared" si="18"/>
        <v>1</v>
      </c>
      <c r="R254" s="147"/>
      <c r="S254" s="148"/>
      <c r="T254" s="143" t="str">
        <f t="shared" si="16"/>
        <v/>
      </c>
      <c r="U254" s="144"/>
      <c r="V254" s="144"/>
      <c r="W254" s="144"/>
      <c r="X254" s="144" t="str">
        <f t="shared" si="17"/>
        <v/>
      </c>
      <c r="Y254" s="144"/>
      <c r="Z254" s="144"/>
      <c r="AA254" s="150"/>
      <c r="AB254" s="15"/>
      <c r="AC254" s="15"/>
      <c r="AD254" s="15"/>
      <c r="AE254" s="15"/>
      <c r="AF254" s="15"/>
      <c r="AG254" s="15"/>
      <c r="AH254" s="15"/>
      <c r="AI254" s="15"/>
      <c r="AJ254" s="15"/>
    </row>
    <row r="255" spans="1:36" s="7" customFormat="1" ht="15.75" customHeight="1" x14ac:dyDescent="0.15">
      <c r="A255" s="122" t="str">
        <f t="shared" si="15"/>
        <v>×</v>
      </c>
      <c r="F255" s="212" t="str">
        <f>IF(H118="","",H118)</f>
        <v/>
      </c>
      <c r="G255" s="174"/>
      <c r="H255" s="174"/>
      <c r="I255" s="143" t="str">
        <f>IF(Q161="","",Q161*AG$202)</f>
        <v/>
      </c>
      <c r="J255" s="144"/>
      <c r="K255" s="144"/>
      <c r="L255" s="144"/>
      <c r="M255" s="144" t="str">
        <f>IF(Q161="","",Q161*AG$203)</f>
        <v/>
      </c>
      <c r="N255" s="144"/>
      <c r="O255" s="144"/>
      <c r="P255" s="145"/>
      <c r="Q255" s="146">
        <f t="shared" si="18"/>
        <v>1</v>
      </c>
      <c r="R255" s="147"/>
      <c r="S255" s="148"/>
      <c r="T255" s="143" t="str">
        <f t="shared" si="16"/>
        <v/>
      </c>
      <c r="U255" s="144"/>
      <c r="V255" s="144"/>
      <c r="W255" s="144"/>
      <c r="X255" s="144" t="str">
        <f t="shared" si="17"/>
        <v/>
      </c>
      <c r="Y255" s="144"/>
      <c r="Z255" s="144"/>
      <c r="AA255" s="150"/>
      <c r="AB255" s="15"/>
      <c r="AC255" s="15"/>
      <c r="AD255" s="15"/>
      <c r="AE255" s="15"/>
      <c r="AF255" s="15"/>
      <c r="AG255" s="15"/>
      <c r="AH255" s="15"/>
      <c r="AI255" s="15"/>
      <c r="AJ255" s="15"/>
    </row>
    <row r="256" spans="1:36" s="7" customFormat="1" ht="15.75" customHeight="1" x14ac:dyDescent="0.15">
      <c r="A256" s="122" t="str">
        <f t="shared" si="15"/>
        <v>×</v>
      </c>
      <c r="F256" s="212" t="str">
        <f>IF(H119="","",H119)</f>
        <v/>
      </c>
      <c r="G256" s="174"/>
      <c r="H256" s="174"/>
      <c r="I256" s="143" t="str">
        <f>IF(Q162="","",Q162*AG$202)</f>
        <v/>
      </c>
      <c r="J256" s="144"/>
      <c r="K256" s="144"/>
      <c r="L256" s="144"/>
      <c r="M256" s="144" t="str">
        <f>IF(Q162="","",Q162*AG$203)</f>
        <v/>
      </c>
      <c r="N256" s="144"/>
      <c r="O256" s="144"/>
      <c r="P256" s="145"/>
      <c r="Q256" s="146">
        <f t="shared" si="18"/>
        <v>1</v>
      </c>
      <c r="R256" s="147"/>
      <c r="S256" s="148"/>
      <c r="T256" s="143" t="str">
        <f t="shared" si="16"/>
        <v/>
      </c>
      <c r="U256" s="144"/>
      <c r="V256" s="144"/>
      <c r="W256" s="144"/>
      <c r="X256" s="144" t="str">
        <f t="shared" si="17"/>
        <v/>
      </c>
      <c r="Y256" s="144"/>
      <c r="Z256" s="144"/>
      <c r="AA256" s="150"/>
      <c r="AB256" s="15"/>
      <c r="AC256" s="15"/>
      <c r="AD256" s="15"/>
      <c r="AE256" s="15"/>
      <c r="AF256" s="15"/>
      <c r="AG256" s="15"/>
      <c r="AH256" s="15"/>
      <c r="AI256" s="15"/>
      <c r="AJ256" s="15"/>
    </row>
    <row r="257" spans="1:82" s="7" customFormat="1" ht="15.75" customHeight="1" x14ac:dyDescent="0.15">
      <c r="A257" s="122" t="str">
        <f t="shared" si="15"/>
        <v>×</v>
      </c>
      <c r="F257" s="212" t="str">
        <f>IF(H120="","",H120)</f>
        <v/>
      </c>
      <c r="G257" s="174"/>
      <c r="H257" s="174"/>
      <c r="I257" s="143" t="str">
        <f>IF(Q163="","",Q163*AG$202)</f>
        <v/>
      </c>
      <c r="J257" s="144"/>
      <c r="K257" s="144"/>
      <c r="L257" s="144"/>
      <c r="M257" s="144" t="str">
        <f>IF(Q163="","",Q163*AG$203)</f>
        <v/>
      </c>
      <c r="N257" s="144"/>
      <c r="O257" s="144"/>
      <c r="P257" s="145"/>
      <c r="Q257" s="146">
        <f t="shared" si="18"/>
        <v>1</v>
      </c>
      <c r="R257" s="147"/>
      <c r="S257" s="148"/>
      <c r="T257" s="143" t="str">
        <f t="shared" si="16"/>
        <v/>
      </c>
      <c r="U257" s="144"/>
      <c r="V257" s="144"/>
      <c r="W257" s="144"/>
      <c r="X257" s="144" t="str">
        <f t="shared" si="17"/>
        <v/>
      </c>
      <c r="Y257" s="144"/>
      <c r="Z257" s="144"/>
      <c r="AA257" s="150"/>
      <c r="AB257" s="15"/>
      <c r="AC257" s="15"/>
      <c r="AD257" s="15"/>
      <c r="AE257" s="15"/>
      <c r="AF257" s="15"/>
      <c r="AG257" s="15"/>
      <c r="AH257" s="15"/>
      <c r="AI257" s="15"/>
      <c r="AJ257" s="15"/>
    </row>
    <row r="258" spans="1:82" s="7" customFormat="1" ht="15.75" customHeight="1" x14ac:dyDescent="0.15">
      <c r="A258" s="122" t="str">
        <f t="shared" si="15"/>
        <v>×</v>
      </c>
      <c r="F258" s="212" t="str">
        <f>IF(H121="","",H121)</f>
        <v/>
      </c>
      <c r="G258" s="174"/>
      <c r="H258" s="174"/>
      <c r="I258" s="143" t="str">
        <f>IF(Q164="","",Q164*AG$202)</f>
        <v/>
      </c>
      <c r="J258" s="144"/>
      <c r="K258" s="144"/>
      <c r="L258" s="144"/>
      <c r="M258" s="144" t="str">
        <f>IF(Q164="","",Q164*AG$203)</f>
        <v/>
      </c>
      <c r="N258" s="144"/>
      <c r="O258" s="144"/>
      <c r="P258" s="145"/>
      <c r="Q258" s="146">
        <f t="shared" si="18"/>
        <v>1</v>
      </c>
      <c r="R258" s="147"/>
      <c r="S258" s="148"/>
      <c r="T258" s="143" t="str">
        <f t="shared" si="16"/>
        <v/>
      </c>
      <c r="U258" s="144"/>
      <c r="V258" s="144"/>
      <c r="W258" s="144"/>
      <c r="X258" s="144" t="str">
        <f t="shared" si="17"/>
        <v/>
      </c>
      <c r="Y258" s="144"/>
      <c r="Z258" s="144"/>
      <c r="AA258" s="150"/>
      <c r="AB258" s="15"/>
      <c r="AC258" s="15"/>
      <c r="AD258" s="15"/>
      <c r="AE258" s="15"/>
      <c r="AF258" s="15"/>
      <c r="AG258" s="15"/>
      <c r="AH258" s="15"/>
      <c r="AI258" s="15"/>
      <c r="AJ258" s="15"/>
    </row>
    <row r="259" spans="1:82" s="7" customFormat="1" ht="15.75" customHeight="1" x14ac:dyDescent="0.15">
      <c r="A259" s="122" t="str">
        <f t="shared" si="15"/>
        <v>×</v>
      </c>
      <c r="F259" s="212" t="str">
        <f>IF(H122="","",H122)</f>
        <v/>
      </c>
      <c r="G259" s="174"/>
      <c r="H259" s="174"/>
      <c r="I259" s="143" t="str">
        <f>IF(Q165="","",Q165*AG$202)</f>
        <v/>
      </c>
      <c r="J259" s="144"/>
      <c r="K259" s="144"/>
      <c r="L259" s="144"/>
      <c r="M259" s="144" t="str">
        <f>IF(Q165="","",Q165*AG$203)</f>
        <v/>
      </c>
      <c r="N259" s="144"/>
      <c r="O259" s="144"/>
      <c r="P259" s="145"/>
      <c r="Q259" s="146">
        <f t="shared" si="18"/>
        <v>1</v>
      </c>
      <c r="R259" s="147"/>
      <c r="S259" s="148"/>
      <c r="T259" s="143" t="str">
        <f t="shared" si="16"/>
        <v/>
      </c>
      <c r="U259" s="144"/>
      <c r="V259" s="144"/>
      <c r="W259" s="144"/>
      <c r="X259" s="144" t="str">
        <f t="shared" si="17"/>
        <v/>
      </c>
      <c r="Y259" s="144"/>
      <c r="Z259" s="144"/>
      <c r="AA259" s="150"/>
      <c r="AB259" s="15"/>
      <c r="AC259" s="15"/>
      <c r="AD259" s="15"/>
      <c r="AE259" s="15"/>
      <c r="AF259" s="15"/>
      <c r="AG259" s="15"/>
      <c r="AH259" s="15"/>
      <c r="AI259" s="15"/>
      <c r="AJ259" s="15"/>
    </row>
    <row r="260" spans="1:82" s="7" customFormat="1" ht="15.75" customHeight="1" x14ac:dyDescent="0.15">
      <c r="A260" s="122" t="str">
        <f t="shared" si="15"/>
        <v>×</v>
      </c>
      <c r="F260" s="212" t="str">
        <f>IF(H123="","",H123)</f>
        <v/>
      </c>
      <c r="G260" s="174"/>
      <c r="H260" s="174"/>
      <c r="I260" s="143" t="str">
        <f>IF(Q166="","",Q166*AG$202)</f>
        <v/>
      </c>
      <c r="J260" s="144"/>
      <c r="K260" s="144"/>
      <c r="L260" s="144"/>
      <c r="M260" s="144" t="str">
        <f>IF(Q166="","",Q166*AG$203)</f>
        <v/>
      </c>
      <c r="N260" s="144"/>
      <c r="O260" s="144"/>
      <c r="P260" s="145"/>
      <c r="Q260" s="146">
        <f t="shared" si="18"/>
        <v>1</v>
      </c>
      <c r="R260" s="147"/>
      <c r="S260" s="148"/>
      <c r="T260" s="143" t="str">
        <f t="shared" si="16"/>
        <v/>
      </c>
      <c r="U260" s="144"/>
      <c r="V260" s="144"/>
      <c r="W260" s="144"/>
      <c r="X260" s="144" t="str">
        <f t="shared" si="17"/>
        <v/>
      </c>
      <c r="Y260" s="144"/>
      <c r="Z260" s="144"/>
      <c r="AA260" s="150"/>
      <c r="AB260" s="15"/>
      <c r="AC260" s="15"/>
      <c r="AD260" s="15"/>
      <c r="AE260" s="15"/>
      <c r="AF260" s="15"/>
      <c r="AG260" s="15"/>
      <c r="AH260" s="15"/>
      <c r="AI260" s="15"/>
      <c r="AJ260" s="15"/>
    </row>
    <row r="261" spans="1:82" s="7" customFormat="1" ht="15.75" customHeight="1" x14ac:dyDescent="0.15">
      <c r="A261" s="122" t="str">
        <f t="shared" si="15"/>
        <v>×</v>
      </c>
      <c r="F261" s="212" t="str">
        <f>IF(H124="","",H124)</f>
        <v/>
      </c>
      <c r="G261" s="174"/>
      <c r="H261" s="174"/>
      <c r="I261" s="143" t="str">
        <f>IF(Q167="","",Q167*AG$202)</f>
        <v/>
      </c>
      <c r="J261" s="144"/>
      <c r="K261" s="144"/>
      <c r="L261" s="144"/>
      <c r="M261" s="144" t="str">
        <f>IF(Q167="","",Q167*AG$203)</f>
        <v/>
      </c>
      <c r="N261" s="144"/>
      <c r="O261" s="144"/>
      <c r="P261" s="145"/>
      <c r="Q261" s="146">
        <f t="shared" si="18"/>
        <v>1</v>
      </c>
      <c r="R261" s="147"/>
      <c r="S261" s="148"/>
      <c r="T261" s="143" t="str">
        <f t="shared" si="16"/>
        <v/>
      </c>
      <c r="U261" s="144"/>
      <c r="V261" s="144"/>
      <c r="W261" s="144"/>
      <c r="X261" s="144" t="str">
        <f t="shared" si="17"/>
        <v/>
      </c>
      <c r="Y261" s="144"/>
      <c r="Z261" s="144"/>
      <c r="AA261" s="150"/>
      <c r="AB261" s="15"/>
      <c r="AC261" s="15"/>
      <c r="AD261" s="15"/>
      <c r="AE261" s="15"/>
      <c r="AF261" s="15"/>
      <c r="AG261" s="15"/>
      <c r="AH261" s="15"/>
      <c r="AI261" s="15"/>
      <c r="AJ261" s="15"/>
    </row>
    <row r="262" spans="1:82" s="7" customFormat="1" ht="15.75" customHeight="1" x14ac:dyDescent="0.15">
      <c r="A262" s="122" t="str">
        <f t="shared" si="15"/>
        <v>×</v>
      </c>
      <c r="F262" s="212" t="str">
        <f>IF(H125="","",H125)</f>
        <v/>
      </c>
      <c r="G262" s="174"/>
      <c r="H262" s="174"/>
      <c r="I262" s="143" t="str">
        <f>IF(Q168="","",Q168*AG$202)</f>
        <v/>
      </c>
      <c r="J262" s="144"/>
      <c r="K262" s="144"/>
      <c r="L262" s="144"/>
      <c r="M262" s="144" t="str">
        <f>IF(Q168="","",Q168*AG$203)</f>
        <v/>
      </c>
      <c r="N262" s="144"/>
      <c r="O262" s="144"/>
      <c r="P262" s="145"/>
      <c r="Q262" s="146">
        <f t="shared" si="18"/>
        <v>1</v>
      </c>
      <c r="R262" s="147"/>
      <c r="S262" s="148"/>
      <c r="T262" s="143" t="str">
        <f t="shared" si="16"/>
        <v/>
      </c>
      <c r="U262" s="144"/>
      <c r="V262" s="144"/>
      <c r="W262" s="144"/>
      <c r="X262" s="144" t="str">
        <f t="shared" si="17"/>
        <v/>
      </c>
      <c r="Y262" s="144"/>
      <c r="Z262" s="144"/>
      <c r="AA262" s="150"/>
      <c r="AB262" s="15"/>
      <c r="AC262" s="15"/>
      <c r="AD262" s="15"/>
      <c r="AE262" s="15"/>
      <c r="AF262" s="15"/>
      <c r="AG262" s="15"/>
      <c r="AH262" s="15"/>
      <c r="AI262" s="15"/>
      <c r="AJ262" s="15"/>
    </row>
    <row r="263" spans="1:82" s="7" customFormat="1" ht="15.75" customHeight="1" x14ac:dyDescent="0.15">
      <c r="A263" s="122" t="str">
        <f t="shared" si="15"/>
        <v>×</v>
      </c>
      <c r="F263" s="212" t="str">
        <f>IF(H126="","",H126)</f>
        <v/>
      </c>
      <c r="G263" s="174"/>
      <c r="H263" s="174"/>
      <c r="I263" s="143" t="str">
        <f>IF(Q169="","",Q169*AG$202)</f>
        <v/>
      </c>
      <c r="J263" s="144"/>
      <c r="K263" s="144"/>
      <c r="L263" s="144"/>
      <c r="M263" s="144" t="str">
        <f>IF(Q169="","",Q169*AG$203)</f>
        <v/>
      </c>
      <c r="N263" s="144"/>
      <c r="O263" s="144"/>
      <c r="P263" s="145"/>
      <c r="Q263" s="146">
        <f t="shared" si="18"/>
        <v>1</v>
      </c>
      <c r="R263" s="147"/>
      <c r="S263" s="148"/>
      <c r="T263" s="143" t="str">
        <f t="shared" si="16"/>
        <v/>
      </c>
      <c r="U263" s="144"/>
      <c r="V263" s="144"/>
      <c r="W263" s="144"/>
      <c r="X263" s="144" t="str">
        <f t="shared" si="17"/>
        <v/>
      </c>
      <c r="Y263" s="144"/>
      <c r="Z263" s="144"/>
      <c r="AA263" s="150"/>
      <c r="AB263" s="15"/>
      <c r="AC263" s="15"/>
      <c r="AD263" s="15"/>
      <c r="AE263" s="15"/>
      <c r="AF263" s="15"/>
      <c r="AG263" s="15"/>
      <c r="AH263" s="15"/>
      <c r="AI263" s="15"/>
      <c r="AJ263" s="15"/>
    </row>
    <row r="264" spans="1:82" s="7" customFormat="1" ht="15.75" customHeight="1" x14ac:dyDescent="0.15">
      <c r="A264" s="122" t="str">
        <f t="shared" si="15"/>
        <v>×</v>
      </c>
      <c r="F264" s="214" t="str">
        <f>IF(H127="","",H127)</f>
        <v/>
      </c>
      <c r="G264" s="176"/>
      <c r="H264" s="176"/>
      <c r="I264" s="155" t="str">
        <f>IF(Q170="","",Q170*AG$202)</f>
        <v/>
      </c>
      <c r="J264" s="156"/>
      <c r="K264" s="156"/>
      <c r="L264" s="156"/>
      <c r="M264" s="156" t="str">
        <f>IF(Q170="","",Q170*AG$203)</f>
        <v/>
      </c>
      <c r="N264" s="156"/>
      <c r="O264" s="156"/>
      <c r="P264" s="157"/>
      <c r="Q264" s="158">
        <f t="shared" si="18"/>
        <v>1</v>
      </c>
      <c r="R264" s="159"/>
      <c r="S264" s="160"/>
      <c r="T264" s="155" t="str">
        <f t="shared" si="16"/>
        <v/>
      </c>
      <c r="U264" s="156"/>
      <c r="V264" s="156"/>
      <c r="W264" s="156"/>
      <c r="X264" s="156" t="str">
        <f t="shared" si="17"/>
        <v/>
      </c>
      <c r="Y264" s="156"/>
      <c r="Z264" s="156"/>
      <c r="AA264" s="162"/>
      <c r="AB264" s="15"/>
      <c r="AC264" s="15"/>
      <c r="AD264" s="15"/>
      <c r="AE264" s="15"/>
      <c r="AF264" s="15"/>
      <c r="AG264" s="15"/>
      <c r="AH264" s="15"/>
      <c r="AI264" s="15"/>
      <c r="AJ264" s="15"/>
    </row>
    <row r="265" spans="1:82" s="7" customFormat="1" ht="15.75" customHeight="1" x14ac:dyDescent="0.15">
      <c r="AM265" s="15"/>
      <c r="BE265" s="15"/>
      <c r="BF265" s="15"/>
      <c r="BG265" s="15"/>
      <c r="BH265" s="15"/>
      <c r="BI265" s="15"/>
      <c r="BJ265" s="15"/>
      <c r="BK265" s="15"/>
      <c r="BL265" s="15"/>
      <c r="BM265" s="15"/>
      <c r="BN265" s="15"/>
      <c r="BO265" s="15"/>
      <c r="BP265" s="15"/>
      <c r="BQ265" s="15"/>
      <c r="BR265" s="15"/>
      <c r="BS265" s="15"/>
      <c r="BT265" s="15"/>
      <c r="BU265" s="15"/>
      <c r="BV265" s="15"/>
      <c r="BW265" s="15"/>
      <c r="BX265" s="15"/>
      <c r="BY265" s="15"/>
    </row>
    <row r="266" spans="1:82" s="7" customFormat="1" ht="15.75" customHeight="1" x14ac:dyDescent="0.15">
      <c r="AM266" s="15"/>
      <c r="BE266" s="15"/>
      <c r="BF266" s="15"/>
      <c r="BG266" s="15"/>
      <c r="BH266" s="15"/>
      <c r="BI266" s="15"/>
      <c r="BJ266" s="15"/>
      <c r="BK266" s="15"/>
      <c r="BL266" s="15"/>
      <c r="BM266" s="15"/>
      <c r="BN266" s="15"/>
      <c r="BO266" s="15"/>
      <c r="BP266" s="15"/>
      <c r="BQ266" s="15"/>
      <c r="BR266" s="15"/>
      <c r="BS266" s="15"/>
      <c r="BT266" s="15"/>
      <c r="BU266" s="15"/>
      <c r="BV266" s="15"/>
      <c r="BW266" s="15"/>
      <c r="BX266" s="15"/>
      <c r="BY266" s="15"/>
    </row>
    <row r="267" spans="1:82" s="7" customFormat="1" ht="15.75" customHeight="1" x14ac:dyDescent="0.15">
      <c r="AM267" s="15"/>
      <c r="BE267" s="15"/>
      <c r="BF267" s="15"/>
      <c r="BG267" s="15"/>
      <c r="BH267" s="15"/>
      <c r="BI267" s="15"/>
      <c r="BJ267" s="15"/>
      <c r="BK267" s="15"/>
      <c r="BL267" s="15"/>
      <c r="BM267" s="15"/>
      <c r="BN267" s="15"/>
      <c r="BO267" s="15"/>
      <c r="BP267" s="15"/>
      <c r="BQ267" s="15"/>
      <c r="BR267" s="15"/>
      <c r="BS267" s="15"/>
      <c r="BT267" s="15"/>
      <c r="BU267" s="15"/>
      <c r="BV267" s="15"/>
      <c r="BW267" s="15"/>
      <c r="BX267" s="15"/>
      <c r="BY267" s="15"/>
    </row>
    <row r="268" spans="1:82" s="7" customFormat="1" ht="15.75" customHeight="1" x14ac:dyDescent="0.15">
      <c r="F268" s="103" t="s">
        <v>593</v>
      </c>
      <c r="G268" s="105"/>
      <c r="H268" s="105"/>
      <c r="I268" s="105"/>
      <c r="J268" s="105"/>
      <c r="K268" s="105"/>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5"/>
      <c r="AH268" s="15"/>
      <c r="AI268" s="15"/>
      <c r="AJ268" s="15"/>
      <c r="AK268" s="15"/>
      <c r="AL268" s="15"/>
      <c r="AM268" s="15"/>
      <c r="AN268" s="15"/>
      <c r="BF268" s="15"/>
      <c r="BG268" s="15"/>
      <c r="BH268" s="15"/>
      <c r="BI268" s="15"/>
      <c r="BJ268" s="15"/>
      <c r="BK268" s="15"/>
      <c r="BL268" s="15"/>
      <c r="BM268" s="15"/>
      <c r="BN268" s="15"/>
      <c r="BO268" s="15"/>
      <c r="BP268" s="15"/>
      <c r="BQ268" s="15"/>
      <c r="BR268" s="15"/>
      <c r="BS268" s="15"/>
      <c r="BT268" s="15"/>
      <c r="BU268" s="15"/>
      <c r="BV268" s="15"/>
      <c r="BW268" s="15"/>
      <c r="BX268" s="15"/>
      <c r="BY268" s="15"/>
      <c r="BZ268" s="15"/>
    </row>
    <row r="269" spans="1:82" s="7" customFormat="1" ht="15.75" customHeight="1" x14ac:dyDescent="0.15">
      <c r="F269" s="194" t="s">
        <v>91</v>
      </c>
      <c r="G269" s="179"/>
      <c r="H269" s="179"/>
      <c r="I269" s="275" t="s">
        <v>226</v>
      </c>
      <c r="J269" s="275"/>
      <c r="K269" s="369"/>
      <c r="L269" s="187" t="s">
        <v>594</v>
      </c>
      <c r="M269" s="180"/>
      <c r="N269" s="180"/>
      <c r="O269" s="180"/>
      <c r="P269" s="179" t="s">
        <v>595</v>
      </c>
      <c r="Q269" s="180"/>
      <c r="R269" s="180"/>
      <c r="S269" s="181"/>
      <c r="T269" s="187" t="s">
        <v>240</v>
      </c>
      <c r="U269" s="179"/>
      <c r="V269" s="188"/>
      <c r="W269" s="194" t="s">
        <v>596</v>
      </c>
      <c r="X269" s="179"/>
      <c r="Y269" s="179"/>
      <c r="Z269" s="179"/>
      <c r="AA269" s="179"/>
      <c r="AB269" s="179" t="s">
        <v>597</v>
      </c>
      <c r="AC269" s="179"/>
      <c r="AD269" s="179"/>
      <c r="AE269" s="179"/>
      <c r="AF269" s="197"/>
      <c r="AK269" s="15"/>
      <c r="AL269" s="15"/>
      <c r="AM269" s="15"/>
      <c r="AN269" s="15"/>
      <c r="BF269" s="15"/>
      <c r="BG269" s="15"/>
      <c r="BH269" s="15"/>
      <c r="BI269" s="15"/>
      <c r="BJ269" s="15"/>
      <c r="BK269" s="15"/>
      <c r="BL269" s="15"/>
      <c r="BM269" s="15"/>
      <c r="BN269" s="15"/>
      <c r="BO269" s="15"/>
      <c r="BP269" s="15"/>
      <c r="BQ269" s="15"/>
      <c r="BR269" s="15"/>
      <c r="BS269" s="15"/>
      <c r="BT269" s="15"/>
      <c r="BU269" s="15"/>
      <c r="BV269" s="15"/>
      <c r="BW269" s="15"/>
      <c r="BX269" s="15"/>
      <c r="BY269" s="15"/>
      <c r="BZ269" s="15"/>
      <c r="CA269" s="15"/>
      <c r="CB269" s="15"/>
      <c r="CC269" s="15"/>
      <c r="CD269" s="15"/>
    </row>
    <row r="270" spans="1:82" s="7" customFormat="1" ht="15.75" customHeight="1" x14ac:dyDescent="0.15">
      <c r="F270" s="195"/>
      <c r="G270" s="182"/>
      <c r="H270" s="182"/>
      <c r="I270" s="370"/>
      <c r="J270" s="370"/>
      <c r="K270" s="371"/>
      <c r="L270" s="189"/>
      <c r="M270" s="183"/>
      <c r="N270" s="183"/>
      <c r="O270" s="183"/>
      <c r="P270" s="182"/>
      <c r="Q270" s="183"/>
      <c r="R270" s="183"/>
      <c r="S270" s="184"/>
      <c r="T270" s="189"/>
      <c r="U270" s="182"/>
      <c r="V270" s="190"/>
      <c r="W270" s="195"/>
      <c r="X270" s="182"/>
      <c r="Y270" s="182"/>
      <c r="Z270" s="182"/>
      <c r="AA270" s="182"/>
      <c r="AB270" s="182"/>
      <c r="AC270" s="182"/>
      <c r="AD270" s="182"/>
      <c r="AE270" s="182"/>
      <c r="AF270" s="198"/>
      <c r="AK270" s="15"/>
      <c r="AL270" s="15"/>
      <c r="AM270" s="15"/>
      <c r="AN270" s="15"/>
      <c r="BF270" s="15"/>
      <c r="BG270" s="15"/>
      <c r="BH270" s="15"/>
      <c r="BI270" s="15"/>
      <c r="BJ270" s="15"/>
      <c r="BK270" s="15"/>
      <c r="BL270" s="15"/>
      <c r="BM270" s="15"/>
      <c r="BN270" s="15"/>
      <c r="BO270" s="15"/>
      <c r="BP270" s="15"/>
      <c r="BQ270" s="15"/>
      <c r="BR270" s="15"/>
      <c r="BS270" s="15"/>
      <c r="BT270" s="15"/>
      <c r="BU270" s="15"/>
      <c r="BV270" s="15"/>
      <c r="BW270" s="15"/>
      <c r="BX270" s="15"/>
      <c r="BY270" s="15"/>
      <c r="BZ270" s="15"/>
      <c r="CA270" s="15"/>
      <c r="CB270" s="15"/>
      <c r="CC270" s="15"/>
      <c r="CD270" s="15"/>
    </row>
    <row r="271" spans="1:82" s="7" customFormat="1" ht="15.75" customHeight="1" x14ac:dyDescent="0.15">
      <c r="F271" s="196"/>
      <c r="G271" s="192"/>
      <c r="H271" s="192"/>
      <c r="I271" s="276"/>
      <c r="J271" s="276"/>
      <c r="K271" s="372"/>
      <c r="L271" s="224"/>
      <c r="M271" s="185"/>
      <c r="N271" s="185"/>
      <c r="O271" s="185"/>
      <c r="P271" s="185"/>
      <c r="Q271" s="185"/>
      <c r="R271" s="185"/>
      <c r="S271" s="186"/>
      <c r="T271" s="191"/>
      <c r="U271" s="192"/>
      <c r="V271" s="193"/>
      <c r="W271" s="196"/>
      <c r="X271" s="192"/>
      <c r="Y271" s="192"/>
      <c r="Z271" s="192"/>
      <c r="AA271" s="192"/>
      <c r="AB271" s="192"/>
      <c r="AC271" s="192"/>
      <c r="AD271" s="192"/>
      <c r="AE271" s="192"/>
      <c r="AF271" s="199"/>
      <c r="AK271" s="15"/>
      <c r="AL271" s="15"/>
      <c r="AM271" s="15"/>
      <c r="AN271" s="15"/>
      <c r="BF271" s="15"/>
      <c r="BG271" s="15"/>
      <c r="BH271" s="15"/>
      <c r="BI271" s="15"/>
      <c r="BJ271" s="15"/>
      <c r="BK271" s="15"/>
      <c r="BL271" s="15"/>
      <c r="BM271" s="15"/>
      <c r="BN271" s="15"/>
      <c r="BO271" s="15"/>
      <c r="BP271" s="15"/>
      <c r="BQ271" s="15"/>
      <c r="BR271" s="15"/>
      <c r="BS271" s="15"/>
      <c r="BT271" s="15"/>
      <c r="BU271" s="15"/>
      <c r="BV271" s="15"/>
      <c r="BW271" s="15"/>
      <c r="BX271" s="15"/>
      <c r="BY271" s="15"/>
      <c r="BZ271" s="15"/>
      <c r="CA271" s="15"/>
      <c r="CB271" s="15"/>
      <c r="CC271" s="15"/>
      <c r="CD271" s="15"/>
    </row>
    <row r="272" spans="1:82" s="7" customFormat="1" ht="15.75" customHeight="1" x14ac:dyDescent="0.15">
      <c r="A272" s="96" t="e">
        <f>IF(I272="","×","")</f>
        <v>#REF!</v>
      </c>
      <c r="F272" s="226">
        <f>F249</f>
        <v>3</v>
      </c>
      <c r="G272" s="227"/>
      <c r="H272" s="227"/>
      <c r="I272" s="373" t="e">
        <f>IF(#REF!="","",#REF!)</f>
        <v>#REF!</v>
      </c>
      <c r="J272" s="373"/>
      <c r="K272" s="374"/>
      <c r="L272" s="376">
        <f>IF(X155="","",X155*AG$202)</f>
        <v>25020.550531838962</v>
      </c>
      <c r="M272" s="206"/>
      <c r="N272" s="206"/>
      <c r="O272" s="206"/>
      <c r="P272" s="206">
        <f>IF(X155="","",X155*AG$203)</f>
        <v>24949.045558349833</v>
      </c>
      <c r="Q272" s="206"/>
      <c r="R272" s="206"/>
      <c r="S272" s="375"/>
      <c r="T272" s="202">
        <f>R242</f>
        <v>1</v>
      </c>
      <c r="U272" s="203"/>
      <c r="V272" s="204"/>
      <c r="W272" s="205" t="e">
        <f>IF(L272="","",ROUND(L272*T272*I272,-1))</f>
        <v>#REF!</v>
      </c>
      <c r="X272" s="206"/>
      <c r="Y272" s="206"/>
      <c r="Z272" s="206"/>
      <c r="AA272" s="206"/>
      <c r="AB272" s="206" t="e">
        <f>IF(P272="","",ROUND(P272*T272*I272,-1))</f>
        <v>#REF!</v>
      </c>
      <c r="AC272" s="206"/>
      <c r="AD272" s="206"/>
      <c r="AE272" s="206"/>
      <c r="AF272" s="207"/>
      <c r="AK272" s="15"/>
      <c r="AL272" s="15"/>
      <c r="AM272" s="15"/>
      <c r="AN272" s="15"/>
      <c r="CB272" s="15"/>
      <c r="CC272" s="15"/>
      <c r="CD272" s="15"/>
    </row>
    <row r="273" spans="1:82" s="7" customFormat="1" ht="15.75" customHeight="1" x14ac:dyDescent="0.15">
      <c r="A273" s="96" t="e">
        <f t="shared" ref="A273:A287" si="19">IF(I273="","×","")</f>
        <v>#REF!</v>
      </c>
      <c r="F273" s="139">
        <f>F250</f>
        <v>4</v>
      </c>
      <c r="G273" s="140"/>
      <c r="H273" s="140"/>
      <c r="I273" s="141" t="e">
        <f>IF(#REF!="","",#REF!)</f>
        <v>#REF!</v>
      </c>
      <c r="J273" s="141"/>
      <c r="K273" s="142"/>
      <c r="L273" s="143">
        <f>IF(X156="","",X156*AG$202)</f>
        <v>51406.18494050474</v>
      </c>
      <c r="M273" s="144"/>
      <c r="N273" s="144"/>
      <c r="O273" s="144"/>
      <c r="P273" s="144">
        <f>IF(X156="","",X156*AG$203)</f>
        <v>51259.27378894273</v>
      </c>
      <c r="Q273" s="144"/>
      <c r="R273" s="144"/>
      <c r="S273" s="145"/>
      <c r="T273" s="146">
        <f>T272</f>
        <v>1</v>
      </c>
      <c r="U273" s="147"/>
      <c r="V273" s="148"/>
      <c r="W273" s="149" t="e">
        <f t="shared" ref="W273:W287" si="20">IF(L273="","",ROUND(L273*T273*I273,-1))</f>
        <v>#REF!</v>
      </c>
      <c r="X273" s="144"/>
      <c r="Y273" s="144"/>
      <c r="Z273" s="144"/>
      <c r="AA273" s="144"/>
      <c r="AB273" s="144" t="e">
        <f t="shared" ref="AB273:AB287" si="21">IF(P273="","",ROUND(P273*T273*I273,-1))</f>
        <v>#REF!</v>
      </c>
      <c r="AC273" s="144"/>
      <c r="AD273" s="144"/>
      <c r="AE273" s="144"/>
      <c r="AF273" s="150"/>
      <c r="AK273" s="15"/>
      <c r="AL273" s="15"/>
      <c r="AM273" s="15"/>
      <c r="AN273" s="15"/>
      <c r="CB273" s="15"/>
      <c r="CC273" s="15"/>
      <c r="CD273" s="15"/>
    </row>
    <row r="274" spans="1:82" s="7" customFormat="1" ht="15.75" customHeight="1" x14ac:dyDescent="0.15">
      <c r="A274" s="96" t="e">
        <f t="shared" si="19"/>
        <v>#REF!</v>
      </c>
      <c r="F274" s="139">
        <f>F251</f>
        <v>5</v>
      </c>
      <c r="G274" s="140"/>
      <c r="H274" s="140"/>
      <c r="I274" s="141" t="e">
        <f>IF(#REF!="","",#REF!)</f>
        <v>#REF!</v>
      </c>
      <c r="J274" s="141"/>
      <c r="K274" s="142"/>
      <c r="L274" s="143">
        <f>IF(X157="","",X157*AG$202)</f>
        <v>58501.028774012557</v>
      </c>
      <c r="M274" s="144"/>
      <c r="N274" s="144"/>
      <c r="O274" s="144"/>
      <c r="P274" s="144">
        <f>IF(X157="","",X157*AG$203)</f>
        <v>58333.841624942863</v>
      </c>
      <c r="Q274" s="144"/>
      <c r="R274" s="144"/>
      <c r="S274" s="145"/>
      <c r="T274" s="146">
        <f t="shared" ref="T274:T287" si="22">T273</f>
        <v>1</v>
      </c>
      <c r="U274" s="147"/>
      <c r="V274" s="148"/>
      <c r="W274" s="149" t="e">
        <f t="shared" si="20"/>
        <v>#REF!</v>
      </c>
      <c r="X274" s="144"/>
      <c r="Y274" s="144"/>
      <c r="Z274" s="144"/>
      <c r="AA274" s="144"/>
      <c r="AB274" s="144" t="e">
        <f t="shared" si="21"/>
        <v>#REF!</v>
      </c>
      <c r="AC274" s="144"/>
      <c r="AD274" s="144"/>
      <c r="AE274" s="144"/>
      <c r="AF274" s="150"/>
      <c r="AJ274" s="15"/>
      <c r="AK274" s="15"/>
      <c r="AL274" s="15"/>
      <c r="AM274" s="15"/>
      <c r="CA274" s="15"/>
      <c r="CB274" s="15"/>
      <c r="CC274" s="15"/>
    </row>
    <row r="275" spans="1:82" s="7" customFormat="1" ht="15.75" customHeight="1" x14ac:dyDescent="0.15">
      <c r="A275" s="96" t="e">
        <f t="shared" si="19"/>
        <v>#REF!</v>
      </c>
      <c r="F275" s="139">
        <f>F252</f>
        <v>6</v>
      </c>
      <c r="G275" s="140"/>
      <c r="H275" s="140"/>
      <c r="I275" s="141" t="e">
        <f>IF(#REF!="","",#REF!)</f>
        <v>#REF!</v>
      </c>
      <c r="J275" s="141"/>
      <c r="K275" s="142"/>
      <c r="L275" s="143">
        <f>IF(X158="","",X158*AG$202)</f>
        <v>83413.809526102035</v>
      </c>
      <c r="M275" s="144"/>
      <c r="N275" s="144"/>
      <c r="O275" s="144"/>
      <c r="P275" s="144">
        <f>IF(X158="","",X158*AG$203)</f>
        <v>83175.42539337877</v>
      </c>
      <c r="Q275" s="144"/>
      <c r="R275" s="144"/>
      <c r="S275" s="145"/>
      <c r="T275" s="146">
        <f t="shared" si="22"/>
        <v>1</v>
      </c>
      <c r="U275" s="147"/>
      <c r="V275" s="148"/>
      <c r="W275" s="149" t="e">
        <f t="shared" si="20"/>
        <v>#REF!</v>
      </c>
      <c r="X275" s="144"/>
      <c r="Y275" s="144"/>
      <c r="Z275" s="144"/>
      <c r="AA275" s="144"/>
      <c r="AB275" s="144" t="e">
        <f t="shared" si="21"/>
        <v>#REF!</v>
      </c>
      <c r="AC275" s="144"/>
      <c r="AD275" s="144"/>
      <c r="AE275" s="144"/>
      <c r="AF275" s="150"/>
      <c r="AJ275" s="15"/>
      <c r="AK275" s="15"/>
      <c r="AL275" s="15"/>
      <c r="AM275" s="15"/>
      <c r="CA275" s="15"/>
      <c r="CB275" s="15"/>
      <c r="CC275" s="15"/>
    </row>
    <row r="276" spans="1:82" s="7" customFormat="1" ht="15.75" customHeight="1" x14ac:dyDescent="0.15">
      <c r="A276" s="96" t="e">
        <f t="shared" si="19"/>
        <v>#REF!</v>
      </c>
      <c r="F276" s="139">
        <f>F253</f>
        <v>7</v>
      </c>
      <c r="G276" s="140"/>
      <c r="H276" s="140"/>
      <c r="I276" s="141" t="e">
        <f>IF(#REF!="","",#REF!)</f>
        <v>#REF!</v>
      </c>
      <c r="J276" s="141"/>
      <c r="K276" s="142"/>
      <c r="L276" s="143">
        <f>IF(X159="","",X159*AG$202)</f>
        <v>164815.91649688032</v>
      </c>
      <c r="M276" s="144"/>
      <c r="N276" s="144"/>
      <c r="O276" s="144"/>
      <c r="P276" s="144">
        <f>IF(X159="","",X159*AG$203)</f>
        <v>164344.89737503091</v>
      </c>
      <c r="Q276" s="144"/>
      <c r="R276" s="144"/>
      <c r="S276" s="145"/>
      <c r="T276" s="146">
        <f t="shared" si="22"/>
        <v>1</v>
      </c>
      <c r="U276" s="147"/>
      <c r="V276" s="148"/>
      <c r="W276" s="149" t="e">
        <f t="shared" si="20"/>
        <v>#REF!</v>
      </c>
      <c r="X276" s="144"/>
      <c r="Y276" s="144"/>
      <c r="Z276" s="144"/>
      <c r="AA276" s="144"/>
      <c r="AB276" s="144" t="e">
        <f t="shared" si="21"/>
        <v>#REF!</v>
      </c>
      <c r="AC276" s="144"/>
      <c r="AD276" s="144"/>
      <c r="AE276" s="144"/>
      <c r="AF276" s="150"/>
      <c r="AJ276" s="15"/>
      <c r="AK276" s="15"/>
      <c r="AL276" s="15"/>
      <c r="AM276" s="15"/>
      <c r="CA276" s="15"/>
      <c r="CB276" s="15"/>
      <c r="CC276" s="15"/>
    </row>
    <row r="277" spans="1:82" s="7" customFormat="1" ht="15.75" customHeight="1" x14ac:dyDescent="0.15">
      <c r="A277" s="96" t="e">
        <f t="shared" si="19"/>
        <v>#REF!</v>
      </c>
      <c r="F277" s="139" t="str">
        <f>F254</f>
        <v/>
      </c>
      <c r="G277" s="140"/>
      <c r="H277" s="140"/>
      <c r="I277" s="141" t="e">
        <f>IF(#REF!="","",#REF!)</f>
        <v>#REF!</v>
      </c>
      <c r="J277" s="141"/>
      <c r="K277" s="142"/>
      <c r="L277" s="143" t="str">
        <f>IF(X160="","",X160*AG$202)</f>
        <v/>
      </c>
      <c r="M277" s="144"/>
      <c r="N277" s="144"/>
      <c r="O277" s="144"/>
      <c r="P277" s="144" t="str">
        <f>IF(X160="","",X160*AG$203)</f>
        <v/>
      </c>
      <c r="Q277" s="144"/>
      <c r="R277" s="144"/>
      <c r="S277" s="145"/>
      <c r="T277" s="146">
        <f t="shared" si="22"/>
        <v>1</v>
      </c>
      <c r="U277" s="147"/>
      <c r="V277" s="148"/>
      <c r="W277" s="149" t="str">
        <f t="shared" si="20"/>
        <v/>
      </c>
      <c r="X277" s="144"/>
      <c r="Y277" s="144"/>
      <c r="Z277" s="144"/>
      <c r="AA277" s="144"/>
      <c r="AB277" s="144" t="str">
        <f t="shared" si="21"/>
        <v/>
      </c>
      <c r="AC277" s="144"/>
      <c r="AD277" s="144"/>
      <c r="AE277" s="144"/>
      <c r="AF277" s="150"/>
      <c r="AJ277" s="15"/>
      <c r="AK277" s="15"/>
      <c r="AL277" s="15"/>
      <c r="AM277" s="15"/>
      <c r="CA277" s="15"/>
      <c r="CB277" s="15"/>
      <c r="CC277" s="15"/>
    </row>
    <row r="278" spans="1:82" s="7" customFormat="1" ht="15.75" customHeight="1" x14ac:dyDescent="0.15">
      <c r="A278" s="96" t="e">
        <f t="shared" si="19"/>
        <v>#REF!</v>
      </c>
      <c r="F278" s="139" t="str">
        <f>F255</f>
        <v/>
      </c>
      <c r="G278" s="140"/>
      <c r="H278" s="140"/>
      <c r="I278" s="141" t="e">
        <f>IF(#REF!="","",#REF!)</f>
        <v>#REF!</v>
      </c>
      <c r="J278" s="141"/>
      <c r="K278" s="142"/>
      <c r="L278" s="143" t="str">
        <f>IF(X161="","",X161*AG$202)</f>
        <v/>
      </c>
      <c r="M278" s="144"/>
      <c r="N278" s="144"/>
      <c r="O278" s="144"/>
      <c r="P278" s="144" t="str">
        <f>IF(X161="","",X161*AG$203)</f>
        <v/>
      </c>
      <c r="Q278" s="144"/>
      <c r="R278" s="144"/>
      <c r="S278" s="145"/>
      <c r="T278" s="146">
        <f t="shared" si="22"/>
        <v>1</v>
      </c>
      <c r="U278" s="147"/>
      <c r="V278" s="148"/>
      <c r="W278" s="149" t="str">
        <f t="shared" si="20"/>
        <v/>
      </c>
      <c r="X278" s="144"/>
      <c r="Y278" s="144"/>
      <c r="Z278" s="144"/>
      <c r="AA278" s="144"/>
      <c r="AB278" s="144" t="str">
        <f t="shared" si="21"/>
        <v/>
      </c>
      <c r="AC278" s="144"/>
      <c r="AD278" s="144"/>
      <c r="AE278" s="144"/>
      <c r="AF278" s="150"/>
      <c r="AJ278" s="15"/>
      <c r="AK278" s="15"/>
      <c r="AL278" s="15"/>
      <c r="AM278" s="15"/>
      <c r="CA278" s="15"/>
      <c r="CB278" s="15"/>
      <c r="CC278" s="15"/>
    </row>
    <row r="279" spans="1:82" s="7" customFormat="1" ht="15.75" customHeight="1" x14ac:dyDescent="0.15">
      <c r="A279" s="96" t="e">
        <f t="shared" si="19"/>
        <v>#REF!</v>
      </c>
      <c r="F279" s="139" t="str">
        <f>F256</f>
        <v/>
      </c>
      <c r="G279" s="140"/>
      <c r="H279" s="140"/>
      <c r="I279" s="141" t="e">
        <f>IF(#REF!="","",#REF!)</f>
        <v>#REF!</v>
      </c>
      <c r="J279" s="141"/>
      <c r="K279" s="142"/>
      <c r="L279" s="143" t="str">
        <f>IF(X162="","",X162*AG$202)</f>
        <v/>
      </c>
      <c r="M279" s="144"/>
      <c r="N279" s="144"/>
      <c r="O279" s="144"/>
      <c r="P279" s="144" t="str">
        <f>IF(X162="","",X162*AG$203)</f>
        <v/>
      </c>
      <c r="Q279" s="144"/>
      <c r="R279" s="144"/>
      <c r="S279" s="145"/>
      <c r="T279" s="146">
        <f t="shared" si="22"/>
        <v>1</v>
      </c>
      <c r="U279" s="147"/>
      <c r="V279" s="148"/>
      <c r="W279" s="149" t="str">
        <f t="shared" si="20"/>
        <v/>
      </c>
      <c r="X279" s="144"/>
      <c r="Y279" s="144"/>
      <c r="Z279" s="144"/>
      <c r="AA279" s="144"/>
      <c r="AB279" s="144" t="str">
        <f t="shared" si="21"/>
        <v/>
      </c>
      <c r="AC279" s="144"/>
      <c r="AD279" s="144"/>
      <c r="AE279" s="144"/>
      <c r="AF279" s="150"/>
      <c r="AJ279" s="15"/>
      <c r="AK279" s="15"/>
      <c r="AL279" s="15"/>
      <c r="AM279" s="15"/>
      <c r="CA279" s="15"/>
      <c r="CB279" s="15"/>
      <c r="CC279" s="15"/>
    </row>
    <row r="280" spans="1:82" s="7" customFormat="1" ht="15.75" customHeight="1" x14ac:dyDescent="0.15">
      <c r="A280" s="96" t="e">
        <f t="shared" si="19"/>
        <v>#REF!</v>
      </c>
      <c r="F280" s="139" t="str">
        <f>F257</f>
        <v/>
      </c>
      <c r="G280" s="140"/>
      <c r="H280" s="140"/>
      <c r="I280" s="141" t="e">
        <f>IF(#REF!="","",#REF!)</f>
        <v>#REF!</v>
      </c>
      <c r="J280" s="141"/>
      <c r="K280" s="142"/>
      <c r="L280" s="143" t="str">
        <f>IF(X163="","",X163*AG$202)</f>
        <v/>
      </c>
      <c r="M280" s="144"/>
      <c r="N280" s="144"/>
      <c r="O280" s="144"/>
      <c r="P280" s="144" t="str">
        <f>IF(X163="","",X163*AG$203)</f>
        <v/>
      </c>
      <c r="Q280" s="144"/>
      <c r="R280" s="144"/>
      <c r="S280" s="145"/>
      <c r="T280" s="146">
        <f t="shared" si="22"/>
        <v>1</v>
      </c>
      <c r="U280" s="147"/>
      <c r="V280" s="148"/>
      <c r="W280" s="149" t="str">
        <f t="shared" si="20"/>
        <v/>
      </c>
      <c r="X280" s="144"/>
      <c r="Y280" s="144"/>
      <c r="Z280" s="144"/>
      <c r="AA280" s="144"/>
      <c r="AB280" s="144" t="str">
        <f t="shared" si="21"/>
        <v/>
      </c>
      <c r="AC280" s="144"/>
      <c r="AD280" s="144"/>
      <c r="AE280" s="144"/>
      <c r="AF280" s="150"/>
      <c r="AJ280" s="15"/>
      <c r="AK280" s="15"/>
      <c r="AL280" s="15"/>
      <c r="AM280" s="15"/>
      <c r="CA280" s="15"/>
      <c r="CB280" s="15"/>
      <c r="CC280" s="15"/>
    </row>
    <row r="281" spans="1:82" s="7" customFormat="1" ht="15.75" customHeight="1" x14ac:dyDescent="0.15">
      <c r="A281" s="96" t="e">
        <f t="shared" si="19"/>
        <v>#REF!</v>
      </c>
      <c r="F281" s="139" t="str">
        <f>F258</f>
        <v/>
      </c>
      <c r="G281" s="140"/>
      <c r="H281" s="140"/>
      <c r="I281" s="141" t="e">
        <f>IF(#REF!="","",#REF!)</f>
        <v>#REF!</v>
      </c>
      <c r="J281" s="141"/>
      <c r="K281" s="142"/>
      <c r="L281" s="143" t="str">
        <f>IF(X164="","",X164*AG$202)</f>
        <v/>
      </c>
      <c r="M281" s="144"/>
      <c r="N281" s="144"/>
      <c r="O281" s="144"/>
      <c r="P281" s="144" t="str">
        <f>IF(X164="","",X164*AG$203)</f>
        <v/>
      </c>
      <c r="Q281" s="144"/>
      <c r="R281" s="144"/>
      <c r="S281" s="145"/>
      <c r="T281" s="146">
        <f t="shared" si="22"/>
        <v>1</v>
      </c>
      <c r="U281" s="147"/>
      <c r="V281" s="148"/>
      <c r="W281" s="149" t="str">
        <f t="shared" si="20"/>
        <v/>
      </c>
      <c r="X281" s="144"/>
      <c r="Y281" s="144"/>
      <c r="Z281" s="144"/>
      <c r="AA281" s="144"/>
      <c r="AB281" s="144" t="str">
        <f t="shared" si="21"/>
        <v/>
      </c>
      <c r="AC281" s="144"/>
      <c r="AD281" s="144"/>
      <c r="AE281" s="144"/>
      <c r="AF281" s="150"/>
      <c r="AJ281" s="15"/>
      <c r="AK281" s="15"/>
      <c r="AL281" s="15"/>
      <c r="AM281" s="15"/>
      <c r="CA281" s="15"/>
      <c r="CB281" s="15"/>
      <c r="CC281" s="15"/>
    </row>
    <row r="282" spans="1:82" s="7" customFormat="1" ht="15.75" customHeight="1" x14ac:dyDescent="0.15">
      <c r="A282" s="96" t="e">
        <f t="shared" si="19"/>
        <v>#REF!</v>
      </c>
      <c r="F282" s="139" t="str">
        <f>F259</f>
        <v/>
      </c>
      <c r="G282" s="140"/>
      <c r="H282" s="140"/>
      <c r="I282" s="141" t="e">
        <f>IF(#REF!="","",#REF!)</f>
        <v>#REF!</v>
      </c>
      <c r="J282" s="141"/>
      <c r="K282" s="142"/>
      <c r="L282" s="143" t="str">
        <f>IF(X165="","",X165*AG$202)</f>
        <v/>
      </c>
      <c r="M282" s="144"/>
      <c r="N282" s="144"/>
      <c r="O282" s="144"/>
      <c r="P282" s="144" t="str">
        <f>IF(X165="","",X165*AG$203)</f>
        <v/>
      </c>
      <c r="Q282" s="144"/>
      <c r="R282" s="144"/>
      <c r="S282" s="145"/>
      <c r="T282" s="146">
        <f t="shared" si="22"/>
        <v>1</v>
      </c>
      <c r="U282" s="147"/>
      <c r="V282" s="148"/>
      <c r="W282" s="149" t="str">
        <f t="shared" si="20"/>
        <v/>
      </c>
      <c r="X282" s="144"/>
      <c r="Y282" s="144"/>
      <c r="Z282" s="144"/>
      <c r="AA282" s="144"/>
      <c r="AB282" s="144" t="str">
        <f t="shared" si="21"/>
        <v/>
      </c>
      <c r="AC282" s="144"/>
      <c r="AD282" s="144"/>
      <c r="AE282" s="144"/>
      <c r="AF282" s="150"/>
      <c r="AJ282" s="15"/>
      <c r="AK282" s="15"/>
      <c r="AL282" s="15"/>
      <c r="AM282" s="15"/>
      <c r="CA282" s="15"/>
      <c r="CB282" s="15"/>
      <c r="CC282" s="15"/>
    </row>
    <row r="283" spans="1:82" s="7" customFormat="1" ht="15.75" customHeight="1" x14ac:dyDescent="0.15">
      <c r="A283" s="96" t="e">
        <f t="shared" si="19"/>
        <v>#REF!</v>
      </c>
      <c r="F283" s="139" t="str">
        <f>F260</f>
        <v/>
      </c>
      <c r="G283" s="140"/>
      <c r="H283" s="140"/>
      <c r="I283" s="141" t="e">
        <f>IF(#REF!="","",#REF!)</f>
        <v>#REF!</v>
      </c>
      <c r="J283" s="141"/>
      <c r="K283" s="142"/>
      <c r="L283" s="143" t="str">
        <f>IF(X166="","",X166*AG$202)</f>
        <v/>
      </c>
      <c r="M283" s="144"/>
      <c r="N283" s="144"/>
      <c r="O283" s="144"/>
      <c r="P283" s="144" t="str">
        <f>IF(X166="","",X166*AG$203)</f>
        <v/>
      </c>
      <c r="Q283" s="144"/>
      <c r="R283" s="144"/>
      <c r="S283" s="145"/>
      <c r="T283" s="146">
        <f t="shared" si="22"/>
        <v>1</v>
      </c>
      <c r="U283" s="147"/>
      <c r="V283" s="148"/>
      <c r="W283" s="149" t="str">
        <f t="shared" si="20"/>
        <v/>
      </c>
      <c r="X283" s="144"/>
      <c r="Y283" s="144"/>
      <c r="Z283" s="144"/>
      <c r="AA283" s="144"/>
      <c r="AB283" s="144" t="str">
        <f t="shared" si="21"/>
        <v/>
      </c>
      <c r="AC283" s="144"/>
      <c r="AD283" s="144"/>
      <c r="AE283" s="144"/>
      <c r="AF283" s="150"/>
      <c r="AJ283" s="15"/>
      <c r="AK283" s="15"/>
      <c r="AL283" s="15"/>
      <c r="AM283" s="15"/>
      <c r="CA283" s="15"/>
      <c r="CB283" s="15"/>
      <c r="CC283" s="15"/>
    </row>
    <row r="284" spans="1:82" s="7" customFormat="1" ht="15.75" customHeight="1" x14ac:dyDescent="0.15">
      <c r="A284" s="96" t="e">
        <f t="shared" si="19"/>
        <v>#REF!</v>
      </c>
      <c r="F284" s="139" t="str">
        <f>F261</f>
        <v/>
      </c>
      <c r="G284" s="140"/>
      <c r="H284" s="140"/>
      <c r="I284" s="141" t="e">
        <f>IF(#REF!="","",#REF!)</f>
        <v>#REF!</v>
      </c>
      <c r="J284" s="141"/>
      <c r="K284" s="142"/>
      <c r="L284" s="143" t="str">
        <f>IF(X167="","",X167*AG$202)</f>
        <v/>
      </c>
      <c r="M284" s="144"/>
      <c r="N284" s="144"/>
      <c r="O284" s="144"/>
      <c r="P284" s="144" t="str">
        <f>IF(X167="","",X167*AG$203)</f>
        <v/>
      </c>
      <c r="Q284" s="144"/>
      <c r="R284" s="144"/>
      <c r="S284" s="145"/>
      <c r="T284" s="146">
        <f t="shared" si="22"/>
        <v>1</v>
      </c>
      <c r="U284" s="147"/>
      <c r="V284" s="148"/>
      <c r="W284" s="149" t="str">
        <f t="shared" si="20"/>
        <v/>
      </c>
      <c r="X284" s="144"/>
      <c r="Y284" s="144"/>
      <c r="Z284" s="144"/>
      <c r="AA284" s="144"/>
      <c r="AB284" s="144" t="str">
        <f t="shared" si="21"/>
        <v/>
      </c>
      <c r="AC284" s="144"/>
      <c r="AD284" s="144"/>
      <c r="AE284" s="144"/>
      <c r="AF284" s="150"/>
      <c r="AJ284" s="15"/>
      <c r="AK284" s="15"/>
      <c r="AL284" s="15"/>
      <c r="AM284" s="15"/>
      <c r="CA284" s="15"/>
      <c r="CB284" s="15"/>
      <c r="CC284" s="15"/>
    </row>
    <row r="285" spans="1:82" s="7" customFormat="1" ht="15.75" customHeight="1" x14ac:dyDescent="0.15">
      <c r="A285" s="96" t="e">
        <f t="shared" si="19"/>
        <v>#REF!</v>
      </c>
      <c r="F285" s="139" t="str">
        <f>F262</f>
        <v/>
      </c>
      <c r="G285" s="140"/>
      <c r="H285" s="140"/>
      <c r="I285" s="141" t="e">
        <f>IF(#REF!="","",#REF!)</f>
        <v>#REF!</v>
      </c>
      <c r="J285" s="141"/>
      <c r="K285" s="142"/>
      <c r="L285" s="143" t="str">
        <f>IF(X168="","",X168*AG$202)</f>
        <v/>
      </c>
      <c r="M285" s="144"/>
      <c r="N285" s="144"/>
      <c r="O285" s="144"/>
      <c r="P285" s="144" t="str">
        <f>IF(X168="","",X168*AG$203)</f>
        <v/>
      </c>
      <c r="Q285" s="144"/>
      <c r="R285" s="144"/>
      <c r="S285" s="145"/>
      <c r="T285" s="146">
        <f t="shared" si="22"/>
        <v>1</v>
      </c>
      <c r="U285" s="147"/>
      <c r="V285" s="148"/>
      <c r="W285" s="149" t="str">
        <f t="shared" si="20"/>
        <v/>
      </c>
      <c r="X285" s="144"/>
      <c r="Y285" s="144"/>
      <c r="Z285" s="144"/>
      <c r="AA285" s="144"/>
      <c r="AB285" s="144" t="str">
        <f t="shared" si="21"/>
        <v/>
      </c>
      <c r="AC285" s="144"/>
      <c r="AD285" s="144"/>
      <c r="AE285" s="144"/>
      <c r="AF285" s="150"/>
      <c r="AJ285" s="15"/>
      <c r="AK285" s="15"/>
      <c r="AL285" s="15"/>
      <c r="AM285" s="15"/>
      <c r="CA285" s="15"/>
      <c r="CB285" s="15"/>
      <c r="CC285" s="15"/>
    </row>
    <row r="286" spans="1:82" s="7" customFormat="1" ht="15.75" customHeight="1" x14ac:dyDescent="0.15">
      <c r="A286" s="96" t="e">
        <f t="shared" si="19"/>
        <v>#REF!</v>
      </c>
      <c r="F286" s="139" t="str">
        <f>F263</f>
        <v/>
      </c>
      <c r="G286" s="140"/>
      <c r="H286" s="140"/>
      <c r="I286" s="141" t="e">
        <f>IF(#REF!="","",#REF!)</f>
        <v>#REF!</v>
      </c>
      <c r="J286" s="141"/>
      <c r="K286" s="142"/>
      <c r="L286" s="143" t="str">
        <f>IF(X169="","",X169*AG$202)</f>
        <v/>
      </c>
      <c r="M286" s="144"/>
      <c r="N286" s="144"/>
      <c r="O286" s="144"/>
      <c r="P286" s="144" t="str">
        <f>IF(X169="","",X169*AG$203)</f>
        <v/>
      </c>
      <c r="Q286" s="144"/>
      <c r="R286" s="144"/>
      <c r="S286" s="145"/>
      <c r="T286" s="146">
        <f t="shared" si="22"/>
        <v>1</v>
      </c>
      <c r="U286" s="147"/>
      <c r="V286" s="148"/>
      <c r="W286" s="149" t="str">
        <f t="shared" si="20"/>
        <v/>
      </c>
      <c r="X286" s="144"/>
      <c r="Y286" s="144"/>
      <c r="Z286" s="144"/>
      <c r="AA286" s="144"/>
      <c r="AB286" s="144" t="str">
        <f t="shared" si="21"/>
        <v/>
      </c>
      <c r="AC286" s="144"/>
      <c r="AD286" s="144"/>
      <c r="AE286" s="144"/>
      <c r="AF286" s="150"/>
      <c r="AJ286" s="15"/>
      <c r="AK286" s="15"/>
      <c r="AL286" s="15"/>
      <c r="AM286" s="15"/>
      <c r="CA286" s="15"/>
      <c r="CB286" s="15"/>
      <c r="CC286" s="15"/>
    </row>
    <row r="287" spans="1:82" s="7" customFormat="1" ht="15.75" customHeight="1" x14ac:dyDescent="0.15">
      <c r="A287" s="96" t="e">
        <f t="shared" si="19"/>
        <v>#REF!</v>
      </c>
      <c r="F287" s="151" t="str">
        <f>F264</f>
        <v/>
      </c>
      <c r="G287" s="152"/>
      <c r="H287" s="152"/>
      <c r="I287" s="153" t="e">
        <f>IF(#REF!="","",#REF!)</f>
        <v>#REF!</v>
      </c>
      <c r="J287" s="153"/>
      <c r="K287" s="154"/>
      <c r="L287" s="155" t="str">
        <f>IF(X170="","",X170*AG$202)</f>
        <v/>
      </c>
      <c r="M287" s="156"/>
      <c r="N287" s="156"/>
      <c r="O287" s="156"/>
      <c r="P287" s="156" t="str">
        <f>IF(X170="","",X170*AG$203)</f>
        <v/>
      </c>
      <c r="Q287" s="156"/>
      <c r="R287" s="156"/>
      <c r="S287" s="157"/>
      <c r="T287" s="158">
        <f t="shared" si="22"/>
        <v>1</v>
      </c>
      <c r="U287" s="159"/>
      <c r="V287" s="160"/>
      <c r="W287" s="161" t="str">
        <f t="shared" si="20"/>
        <v/>
      </c>
      <c r="X287" s="156"/>
      <c r="Y287" s="156"/>
      <c r="Z287" s="156"/>
      <c r="AA287" s="156"/>
      <c r="AB287" s="156" t="str">
        <f t="shared" si="21"/>
        <v/>
      </c>
      <c r="AC287" s="156"/>
      <c r="AD287" s="156"/>
      <c r="AE287" s="156"/>
      <c r="AF287" s="162"/>
      <c r="AJ287" s="15"/>
      <c r="AK287" s="15"/>
      <c r="AL287" s="15"/>
      <c r="AM287" s="15"/>
      <c r="CA287" s="15"/>
      <c r="CB287" s="15"/>
      <c r="CC287" s="15"/>
    </row>
    <row r="288" spans="1:82" s="7" customFormat="1" ht="15.75" customHeight="1" x14ac:dyDescent="0.15">
      <c r="E288" s="99"/>
      <c r="F288" s="99"/>
      <c r="G288" s="99"/>
      <c r="H288" s="16"/>
      <c r="I288" s="16"/>
      <c r="J288" s="16"/>
      <c r="K288" s="25"/>
      <c r="L288" s="25"/>
      <c r="M288" s="25"/>
      <c r="N288" s="25"/>
      <c r="O288" s="25"/>
      <c r="P288" s="25"/>
      <c r="Q288" s="25"/>
      <c r="R288" s="25"/>
      <c r="S288" s="16"/>
      <c r="T288" s="16"/>
      <c r="U288" s="16"/>
      <c r="V288" s="25"/>
      <c r="W288" s="25"/>
      <c r="X288" s="25"/>
      <c r="Y288" s="25"/>
      <c r="Z288" s="25"/>
      <c r="AA288" s="25"/>
      <c r="AB288" s="25"/>
      <c r="AC288" s="25"/>
      <c r="AD288" s="25"/>
      <c r="AE288" s="25"/>
      <c r="AJ288" s="15"/>
      <c r="AK288" s="15"/>
      <c r="AL288" s="15"/>
      <c r="AM288" s="15"/>
      <c r="CA288" s="15"/>
      <c r="CB288" s="15"/>
      <c r="CC288" s="15"/>
    </row>
    <row r="289" spans="1:82" s="7" customFormat="1" ht="15.75" customHeight="1" x14ac:dyDescent="0.15">
      <c r="E289" s="110"/>
      <c r="F289" s="110"/>
      <c r="G289" s="110"/>
      <c r="H289" s="16"/>
      <c r="I289" s="16"/>
      <c r="J289" s="16"/>
      <c r="K289" s="25"/>
      <c r="L289" s="25"/>
      <c r="M289" s="25"/>
      <c r="N289" s="25"/>
      <c r="O289" s="25"/>
      <c r="P289" s="25"/>
      <c r="Q289" s="25"/>
      <c r="R289" s="25"/>
      <c r="S289" s="16"/>
      <c r="T289" s="16"/>
      <c r="U289" s="16"/>
      <c r="V289" s="25"/>
      <c r="W289" s="25"/>
      <c r="X289" s="25"/>
      <c r="Y289" s="25"/>
      <c r="Z289" s="25"/>
      <c r="AA289" s="25"/>
      <c r="AB289" s="25"/>
      <c r="AC289" s="25"/>
      <c r="AD289" s="25"/>
      <c r="AE289" s="25"/>
      <c r="AJ289" s="15"/>
      <c r="AK289" s="15"/>
      <c r="AL289" s="15"/>
      <c r="AM289" s="15"/>
      <c r="CA289" s="15"/>
      <c r="CB289" s="15"/>
      <c r="CC289" s="15"/>
    </row>
    <row r="290" spans="1:82" s="7" customFormat="1" ht="15.75" customHeight="1" x14ac:dyDescent="0.15">
      <c r="F290" s="103" t="s">
        <v>598</v>
      </c>
      <c r="G290" s="105"/>
      <c r="H290" s="105"/>
      <c r="I290" s="105"/>
      <c r="J290" s="105"/>
      <c r="K290" s="105"/>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5"/>
      <c r="AH290" s="15"/>
      <c r="AI290" s="15"/>
      <c r="AJ290" s="15"/>
      <c r="AK290" s="15"/>
      <c r="AL290" s="15"/>
      <c r="AM290" s="15"/>
      <c r="AN290" s="15"/>
      <c r="BF290" s="15"/>
      <c r="BG290" s="15"/>
      <c r="BH290" s="15"/>
      <c r="BI290" s="15"/>
      <c r="BJ290" s="15"/>
      <c r="BK290" s="15"/>
      <c r="BL290" s="15"/>
      <c r="BM290" s="15"/>
      <c r="BN290" s="15"/>
      <c r="BO290" s="15"/>
      <c r="BP290" s="15"/>
      <c r="BQ290" s="15"/>
      <c r="BR290" s="15"/>
      <c r="BS290" s="15"/>
      <c r="BT290" s="15"/>
      <c r="BU290" s="15"/>
      <c r="BV290" s="15"/>
      <c r="BW290" s="15"/>
      <c r="BX290" s="15"/>
      <c r="BY290" s="15"/>
      <c r="BZ290" s="15"/>
    </row>
    <row r="291" spans="1:82" s="7" customFormat="1" ht="15.75" customHeight="1" x14ac:dyDescent="0.15">
      <c r="F291" s="194" t="s">
        <v>91</v>
      </c>
      <c r="G291" s="179"/>
      <c r="H291" s="179"/>
      <c r="I291" s="275" t="s">
        <v>226</v>
      </c>
      <c r="J291" s="275"/>
      <c r="K291" s="369"/>
      <c r="L291" s="187" t="s">
        <v>594</v>
      </c>
      <c r="M291" s="180"/>
      <c r="N291" s="180"/>
      <c r="O291" s="180"/>
      <c r="P291" s="179" t="s">
        <v>595</v>
      </c>
      <c r="Q291" s="180"/>
      <c r="R291" s="180"/>
      <c r="S291" s="181"/>
      <c r="T291" s="187" t="s">
        <v>240</v>
      </c>
      <c r="U291" s="179"/>
      <c r="V291" s="188"/>
      <c r="W291" s="194" t="s">
        <v>596</v>
      </c>
      <c r="X291" s="179"/>
      <c r="Y291" s="179"/>
      <c r="Z291" s="179"/>
      <c r="AA291" s="179"/>
      <c r="AB291" s="179" t="s">
        <v>597</v>
      </c>
      <c r="AC291" s="179"/>
      <c r="AD291" s="179"/>
      <c r="AE291" s="179"/>
      <c r="AF291" s="197"/>
      <c r="AK291" s="15"/>
      <c r="AL291" s="15"/>
      <c r="AM291" s="15"/>
      <c r="AN291" s="15"/>
      <c r="BF291" s="15"/>
      <c r="BG291" s="15"/>
      <c r="BH291" s="15"/>
      <c r="BI291" s="15"/>
      <c r="BJ291" s="15"/>
      <c r="BK291" s="15"/>
      <c r="BL291" s="15"/>
      <c r="BM291" s="15"/>
      <c r="BN291" s="15"/>
      <c r="BO291" s="15"/>
      <c r="BP291" s="15"/>
      <c r="BQ291" s="15"/>
      <c r="BR291" s="15"/>
      <c r="BS291" s="15"/>
      <c r="BT291" s="15"/>
      <c r="BU291" s="15"/>
      <c r="BV291" s="15"/>
      <c r="BW291" s="15"/>
      <c r="BX291" s="15"/>
      <c r="BY291" s="15"/>
      <c r="BZ291" s="15"/>
      <c r="CA291" s="15"/>
      <c r="CB291" s="15"/>
      <c r="CC291" s="15"/>
      <c r="CD291" s="15"/>
    </row>
    <row r="292" spans="1:82" s="7" customFormat="1" ht="15.75" customHeight="1" x14ac:dyDescent="0.15">
      <c r="F292" s="195"/>
      <c r="G292" s="182"/>
      <c r="H292" s="182"/>
      <c r="I292" s="370"/>
      <c r="J292" s="370"/>
      <c r="K292" s="371"/>
      <c r="L292" s="189"/>
      <c r="M292" s="183"/>
      <c r="N292" s="183"/>
      <c r="O292" s="183"/>
      <c r="P292" s="182"/>
      <c r="Q292" s="183"/>
      <c r="R292" s="183"/>
      <c r="S292" s="184"/>
      <c r="T292" s="189"/>
      <c r="U292" s="182"/>
      <c r="V292" s="190"/>
      <c r="W292" s="195"/>
      <c r="X292" s="182"/>
      <c r="Y292" s="182"/>
      <c r="Z292" s="182"/>
      <c r="AA292" s="182"/>
      <c r="AB292" s="182"/>
      <c r="AC292" s="182"/>
      <c r="AD292" s="182"/>
      <c r="AE292" s="182"/>
      <c r="AF292" s="198"/>
      <c r="AK292" s="15"/>
      <c r="AL292" s="15"/>
      <c r="AM292" s="15"/>
      <c r="AN292" s="15"/>
      <c r="BF292" s="15"/>
      <c r="BG292" s="15"/>
      <c r="BH292" s="15"/>
      <c r="BI292" s="15"/>
      <c r="BJ292" s="15"/>
      <c r="BK292" s="15"/>
      <c r="BL292" s="15"/>
      <c r="BM292" s="15"/>
      <c r="BN292" s="15"/>
      <c r="BO292" s="15"/>
      <c r="BP292" s="15"/>
      <c r="BQ292" s="15"/>
      <c r="BR292" s="15"/>
      <c r="BS292" s="15"/>
      <c r="BT292" s="15"/>
      <c r="BU292" s="15"/>
      <c r="BV292" s="15"/>
      <c r="BW292" s="15"/>
      <c r="BX292" s="15"/>
      <c r="BY292" s="15"/>
      <c r="BZ292" s="15"/>
      <c r="CA292" s="15"/>
      <c r="CB292" s="15"/>
      <c r="CC292" s="15"/>
      <c r="CD292" s="15"/>
    </row>
    <row r="293" spans="1:82" s="7" customFormat="1" ht="15.75" customHeight="1" x14ac:dyDescent="0.15">
      <c r="F293" s="196"/>
      <c r="G293" s="192"/>
      <c r="H293" s="192"/>
      <c r="I293" s="276"/>
      <c r="J293" s="276"/>
      <c r="K293" s="372"/>
      <c r="L293" s="224"/>
      <c r="M293" s="185"/>
      <c r="N293" s="185"/>
      <c r="O293" s="185"/>
      <c r="P293" s="185"/>
      <c r="Q293" s="185"/>
      <c r="R293" s="185"/>
      <c r="S293" s="186"/>
      <c r="T293" s="191"/>
      <c r="U293" s="192"/>
      <c r="V293" s="193"/>
      <c r="W293" s="196"/>
      <c r="X293" s="192"/>
      <c r="Y293" s="192"/>
      <c r="Z293" s="192"/>
      <c r="AA293" s="192"/>
      <c r="AB293" s="192"/>
      <c r="AC293" s="192"/>
      <c r="AD293" s="192"/>
      <c r="AE293" s="192"/>
      <c r="AF293" s="199"/>
      <c r="AK293" s="15"/>
      <c r="AL293" s="15"/>
      <c r="AM293" s="15"/>
      <c r="AN293" s="15"/>
      <c r="BF293" s="15"/>
      <c r="BG293" s="15"/>
      <c r="BH293" s="15"/>
      <c r="BI293" s="15"/>
      <c r="BJ293" s="15"/>
      <c r="BK293" s="15"/>
      <c r="BL293" s="15"/>
      <c r="BM293" s="15"/>
      <c r="BN293" s="15"/>
      <c r="BO293" s="15"/>
      <c r="BP293" s="15"/>
      <c r="BQ293" s="15"/>
      <c r="BR293" s="15"/>
      <c r="BS293" s="15"/>
      <c r="BT293" s="15"/>
      <c r="BU293" s="15"/>
      <c r="BV293" s="15"/>
      <c r="BW293" s="15"/>
      <c r="BX293" s="15"/>
      <c r="BY293" s="15"/>
      <c r="BZ293" s="15"/>
      <c r="CA293" s="15"/>
      <c r="CB293" s="15"/>
      <c r="CC293" s="15"/>
      <c r="CD293" s="15"/>
    </row>
    <row r="294" spans="1:82" s="7" customFormat="1" ht="15.75" customHeight="1" x14ac:dyDescent="0.15">
      <c r="A294" s="108" t="e">
        <f>IF(I294="","×","")</f>
        <v>#REF!</v>
      </c>
      <c r="F294" s="226">
        <f t="shared" ref="F294:F309" si="23">F249</f>
        <v>3</v>
      </c>
      <c r="G294" s="227"/>
      <c r="H294" s="227"/>
      <c r="I294" s="373" t="e">
        <f>IF(#REF!="","",#REF!)</f>
        <v>#REF!</v>
      </c>
      <c r="J294" s="373"/>
      <c r="K294" s="374"/>
      <c r="L294" s="355">
        <f>IF(AD155="","",AD155*AG$202)</f>
        <v>50041.101063677925</v>
      </c>
      <c r="M294" s="200"/>
      <c r="N294" s="200"/>
      <c r="O294" s="200"/>
      <c r="P294" s="200">
        <f>IF(AD155="","",AD155*AG$203)</f>
        <v>49898.091116699667</v>
      </c>
      <c r="Q294" s="200"/>
      <c r="R294" s="200"/>
      <c r="S294" s="201"/>
      <c r="T294" s="202">
        <f>R242</f>
        <v>1</v>
      </c>
      <c r="U294" s="203"/>
      <c r="V294" s="204"/>
      <c r="W294" s="205" t="e">
        <f>IF(L294="","",ROUND(L294*T294*I294,-1))</f>
        <v>#REF!</v>
      </c>
      <c r="X294" s="206"/>
      <c r="Y294" s="206"/>
      <c r="Z294" s="206"/>
      <c r="AA294" s="206"/>
      <c r="AB294" s="206" t="e">
        <f>IF(P294="","",ROUND(P294*T294*I294,-1))</f>
        <v>#REF!</v>
      </c>
      <c r="AC294" s="206"/>
      <c r="AD294" s="206"/>
      <c r="AE294" s="206"/>
      <c r="AF294" s="207"/>
      <c r="AK294" s="15"/>
      <c r="AL294" s="15"/>
      <c r="AM294" s="15"/>
      <c r="AN294" s="15"/>
      <c r="CB294" s="15"/>
      <c r="CC294" s="15"/>
      <c r="CD294" s="15"/>
    </row>
    <row r="295" spans="1:82" s="7" customFormat="1" ht="15.75" customHeight="1" x14ac:dyDescent="0.15">
      <c r="A295" s="108" t="e">
        <f t="shared" ref="A295:A309" si="24">IF(I295="","×","")</f>
        <v>#REF!</v>
      </c>
      <c r="F295" s="139">
        <f t="shared" si="23"/>
        <v>4</v>
      </c>
      <c r="G295" s="140"/>
      <c r="H295" s="140"/>
      <c r="I295" s="141" t="e">
        <f>IF(#REF!="","",#REF!)</f>
        <v>#REF!</v>
      </c>
      <c r="J295" s="141"/>
      <c r="K295" s="142"/>
      <c r="L295" s="143">
        <f>IF(AD156="","",AD156*AG$202)</f>
        <v>102812.36988100948</v>
      </c>
      <c r="M295" s="144"/>
      <c r="N295" s="144"/>
      <c r="O295" s="144"/>
      <c r="P295" s="144">
        <f>IF(AD156="","",AD156*AG$203)</f>
        <v>102518.54757788546</v>
      </c>
      <c r="Q295" s="144"/>
      <c r="R295" s="144"/>
      <c r="S295" s="145"/>
      <c r="T295" s="146">
        <f>T294</f>
        <v>1</v>
      </c>
      <c r="U295" s="147"/>
      <c r="V295" s="148"/>
      <c r="W295" s="149" t="e">
        <f t="shared" ref="W295:W309" si="25">IF(L295="","",ROUND(L295*T295*I295,-1))</f>
        <v>#REF!</v>
      </c>
      <c r="X295" s="144"/>
      <c r="Y295" s="144"/>
      <c r="Z295" s="144"/>
      <c r="AA295" s="144"/>
      <c r="AB295" s="144" t="e">
        <f t="shared" ref="AB295:AB309" si="26">IF(P295="","",ROUND(P295*T295*I295,-1))</f>
        <v>#REF!</v>
      </c>
      <c r="AC295" s="144"/>
      <c r="AD295" s="144"/>
      <c r="AE295" s="144"/>
      <c r="AF295" s="150"/>
      <c r="AK295" s="15"/>
      <c r="AL295" s="15"/>
      <c r="AM295" s="15"/>
      <c r="AN295" s="15"/>
      <c r="CB295" s="15"/>
      <c r="CC295" s="15"/>
      <c r="CD295" s="15"/>
    </row>
    <row r="296" spans="1:82" s="7" customFormat="1" ht="15.75" customHeight="1" x14ac:dyDescent="0.15">
      <c r="A296" s="108" t="e">
        <f t="shared" si="24"/>
        <v>#REF!</v>
      </c>
      <c r="F296" s="139">
        <f t="shared" si="23"/>
        <v>5</v>
      </c>
      <c r="G296" s="140"/>
      <c r="H296" s="140"/>
      <c r="I296" s="141" t="e">
        <f>IF(#REF!="","",#REF!)</f>
        <v>#REF!</v>
      </c>
      <c r="J296" s="141"/>
      <c r="K296" s="142"/>
      <c r="L296" s="143">
        <f>IF(AD157="","",AD157*AG$202)</f>
        <v>117002.05754802511</v>
      </c>
      <c r="M296" s="144"/>
      <c r="N296" s="144"/>
      <c r="O296" s="144"/>
      <c r="P296" s="144">
        <f>IF(AD157="","",AD157*AG$203)</f>
        <v>116667.68324988573</v>
      </c>
      <c r="Q296" s="144"/>
      <c r="R296" s="144"/>
      <c r="S296" s="145"/>
      <c r="T296" s="146">
        <f t="shared" ref="T296:T309" si="27">T295</f>
        <v>1</v>
      </c>
      <c r="U296" s="147"/>
      <c r="V296" s="148"/>
      <c r="W296" s="149" t="e">
        <f t="shared" si="25"/>
        <v>#REF!</v>
      </c>
      <c r="X296" s="144"/>
      <c r="Y296" s="144"/>
      <c r="Z296" s="144"/>
      <c r="AA296" s="144"/>
      <c r="AB296" s="144" t="e">
        <f t="shared" si="26"/>
        <v>#REF!</v>
      </c>
      <c r="AC296" s="144"/>
      <c r="AD296" s="144"/>
      <c r="AE296" s="144"/>
      <c r="AF296" s="150"/>
      <c r="AJ296" s="15"/>
      <c r="AK296" s="15"/>
      <c r="AL296" s="15"/>
      <c r="AM296" s="15"/>
      <c r="CA296" s="15"/>
      <c r="CB296" s="15"/>
      <c r="CC296" s="15"/>
    </row>
    <row r="297" spans="1:82" s="7" customFormat="1" ht="15.75" customHeight="1" x14ac:dyDescent="0.15">
      <c r="A297" s="108" t="e">
        <f t="shared" si="24"/>
        <v>#REF!</v>
      </c>
      <c r="F297" s="139">
        <f t="shared" si="23"/>
        <v>6</v>
      </c>
      <c r="G297" s="140"/>
      <c r="H297" s="140"/>
      <c r="I297" s="141" t="e">
        <f>IF(#REF!="","",#REF!)</f>
        <v>#REF!</v>
      </c>
      <c r="J297" s="141"/>
      <c r="K297" s="142"/>
      <c r="L297" s="143">
        <f>IF(AD158="","",AD158*AG$202)</f>
        <v>166827.61905220407</v>
      </c>
      <c r="M297" s="144"/>
      <c r="N297" s="144"/>
      <c r="O297" s="144"/>
      <c r="P297" s="144">
        <f>IF(AD158="","",AD158*AG$203)</f>
        <v>166350.85078675754</v>
      </c>
      <c r="Q297" s="144"/>
      <c r="R297" s="144"/>
      <c r="S297" s="145"/>
      <c r="T297" s="146">
        <f t="shared" si="27"/>
        <v>1</v>
      </c>
      <c r="U297" s="147"/>
      <c r="V297" s="148"/>
      <c r="W297" s="149" t="e">
        <f t="shared" si="25"/>
        <v>#REF!</v>
      </c>
      <c r="X297" s="144"/>
      <c r="Y297" s="144"/>
      <c r="Z297" s="144"/>
      <c r="AA297" s="144"/>
      <c r="AB297" s="144" t="e">
        <f t="shared" si="26"/>
        <v>#REF!</v>
      </c>
      <c r="AC297" s="144"/>
      <c r="AD297" s="144"/>
      <c r="AE297" s="144"/>
      <c r="AF297" s="150"/>
      <c r="AJ297" s="15"/>
      <c r="AK297" s="15"/>
      <c r="AL297" s="15"/>
      <c r="AM297" s="15"/>
      <c r="CA297" s="15"/>
      <c r="CB297" s="15"/>
      <c r="CC297" s="15"/>
    </row>
    <row r="298" spans="1:82" s="7" customFormat="1" ht="15.75" customHeight="1" x14ac:dyDescent="0.15">
      <c r="A298" s="108" t="e">
        <f t="shared" si="24"/>
        <v>#REF!</v>
      </c>
      <c r="F298" s="139">
        <f t="shared" si="23"/>
        <v>7</v>
      </c>
      <c r="G298" s="140"/>
      <c r="H298" s="140"/>
      <c r="I298" s="141" t="e">
        <f>IF(#REF!="","",#REF!)</f>
        <v>#REF!</v>
      </c>
      <c r="J298" s="141"/>
      <c r="K298" s="142"/>
      <c r="L298" s="143">
        <f>IF(AD159="","",AD159*AG$202)</f>
        <v>329631.83299376065</v>
      </c>
      <c r="M298" s="144"/>
      <c r="N298" s="144"/>
      <c r="O298" s="144"/>
      <c r="P298" s="144">
        <f>IF(AD159="","",AD159*AG$203)</f>
        <v>328689.79475006182</v>
      </c>
      <c r="Q298" s="144"/>
      <c r="R298" s="144"/>
      <c r="S298" s="145"/>
      <c r="T298" s="146">
        <f t="shared" si="27"/>
        <v>1</v>
      </c>
      <c r="U298" s="147"/>
      <c r="V298" s="148"/>
      <c r="W298" s="149" t="e">
        <f t="shared" si="25"/>
        <v>#REF!</v>
      </c>
      <c r="X298" s="144"/>
      <c r="Y298" s="144"/>
      <c r="Z298" s="144"/>
      <c r="AA298" s="144"/>
      <c r="AB298" s="144" t="e">
        <f t="shared" si="26"/>
        <v>#REF!</v>
      </c>
      <c r="AC298" s="144"/>
      <c r="AD298" s="144"/>
      <c r="AE298" s="144"/>
      <c r="AF298" s="150"/>
      <c r="AJ298" s="15"/>
      <c r="AK298" s="15"/>
      <c r="AL298" s="15"/>
      <c r="AM298" s="15"/>
      <c r="CA298" s="15"/>
      <c r="CB298" s="15"/>
      <c r="CC298" s="15"/>
    </row>
    <row r="299" spans="1:82" s="7" customFormat="1" ht="15.75" customHeight="1" x14ac:dyDescent="0.15">
      <c r="A299" s="108" t="e">
        <f t="shared" si="24"/>
        <v>#REF!</v>
      </c>
      <c r="F299" s="139" t="str">
        <f t="shared" si="23"/>
        <v/>
      </c>
      <c r="G299" s="140"/>
      <c r="H299" s="140"/>
      <c r="I299" s="141" t="e">
        <f>IF(#REF!="","",#REF!)</f>
        <v>#REF!</v>
      </c>
      <c r="J299" s="141"/>
      <c r="K299" s="142"/>
      <c r="L299" s="143" t="str">
        <f>IF(AD160="","",AD160*AG$202)</f>
        <v/>
      </c>
      <c r="M299" s="144"/>
      <c r="N299" s="144"/>
      <c r="O299" s="144"/>
      <c r="P299" s="144" t="str">
        <f>IF(AD160="","",AD160*AG$203)</f>
        <v/>
      </c>
      <c r="Q299" s="144"/>
      <c r="R299" s="144"/>
      <c r="S299" s="145"/>
      <c r="T299" s="146">
        <f t="shared" si="27"/>
        <v>1</v>
      </c>
      <c r="U299" s="147"/>
      <c r="V299" s="148"/>
      <c r="W299" s="149" t="str">
        <f t="shared" si="25"/>
        <v/>
      </c>
      <c r="X299" s="144"/>
      <c r="Y299" s="144"/>
      <c r="Z299" s="144"/>
      <c r="AA299" s="144"/>
      <c r="AB299" s="144" t="str">
        <f t="shared" si="26"/>
        <v/>
      </c>
      <c r="AC299" s="144"/>
      <c r="AD299" s="144"/>
      <c r="AE299" s="144"/>
      <c r="AF299" s="150"/>
      <c r="AJ299" s="15"/>
      <c r="AK299" s="15"/>
      <c r="AL299" s="15"/>
      <c r="AM299" s="15"/>
      <c r="CA299" s="15"/>
      <c r="CB299" s="15"/>
      <c r="CC299" s="15"/>
    </row>
    <row r="300" spans="1:82" s="7" customFormat="1" ht="15.75" customHeight="1" x14ac:dyDescent="0.15">
      <c r="A300" s="108" t="e">
        <f t="shared" si="24"/>
        <v>#REF!</v>
      </c>
      <c r="F300" s="139" t="str">
        <f t="shared" si="23"/>
        <v/>
      </c>
      <c r="G300" s="140"/>
      <c r="H300" s="140"/>
      <c r="I300" s="141" t="e">
        <f>IF(#REF!="","",#REF!)</f>
        <v>#REF!</v>
      </c>
      <c r="J300" s="141"/>
      <c r="K300" s="142"/>
      <c r="L300" s="143" t="str">
        <f>IF(AD161="","",AD161*AG$202)</f>
        <v/>
      </c>
      <c r="M300" s="144"/>
      <c r="N300" s="144"/>
      <c r="O300" s="144"/>
      <c r="P300" s="144" t="str">
        <f>IF(AD161="","",AD161*AG$203)</f>
        <v/>
      </c>
      <c r="Q300" s="144"/>
      <c r="R300" s="144"/>
      <c r="S300" s="145"/>
      <c r="T300" s="146">
        <f t="shared" si="27"/>
        <v>1</v>
      </c>
      <c r="U300" s="147"/>
      <c r="V300" s="148"/>
      <c r="W300" s="149" t="str">
        <f t="shared" si="25"/>
        <v/>
      </c>
      <c r="X300" s="144"/>
      <c r="Y300" s="144"/>
      <c r="Z300" s="144"/>
      <c r="AA300" s="144"/>
      <c r="AB300" s="144" t="str">
        <f t="shared" si="26"/>
        <v/>
      </c>
      <c r="AC300" s="144"/>
      <c r="AD300" s="144"/>
      <c r="AE300" s="144"/>
      <c r="AF300" s="150"/>
      <c r="AJ300" s="15"/>
      <c r="AK300" s="15"/>
      <c r="AL300" s="15"/>
      <c r="AM300" s="15"/>
      <c r="CA300" s="15"/>
      <c r="CB300" s="15"/>
      <c r="CC300" s="15"/>
    </row>
    <row r="301" spans="1:82" s="7" customFormat="1" ht="15.75" customHeight="1" x14ac:dyDescent="0.15">
      <c r="A301" s="108" t="e">
        <f t="shared" si="24"/>
        <v>#REF!</v>
      </c>
      <c r="F301" s="139" t="str">
        <f t="shared" si="23"/>
        <v/>
      </c>
      <c r="G301" s="140"/>
      <c r="H301" s="140"/>
      <c r="I301" s="141" t="e">
        <f>IF(#REF!="","",#REF!)</f>
        <v>#REF!</v>
      </c>
      <c r="J301" s="141"/>
      <c r="K301" s="142"/>
      <c r="L301" s="143" t="str">
        <f>IF(AD162="","",AD162*AG$202)</f>
        <v/>
      </c>
      <c r="M301" s="144"/>
      <c r="N301" s="144"/>
      <c r="O301" s="144"/>
      <c r="P301" s="144" t="str">
        <f>IF(AD162="","",AD162*AG$203)</f>
        <v/>
      </c>
      <c r="Q301" s="144"/>
      <c r="R301" s="144"/>
      <c r="S301" s="145"/>
      <c r="T301" s="146">
        <f t="shared" si="27"/>
        <v>1</v>
      </c>
      <c r="U301" s="147"/>
      <c r="V301" s="148"/>
      <c r="W301" s="149" t="str">
        <f t="shared" si="25"/>
        <v/>
      </c>
      <c r="X301" s="144"/>
      <c r="Y301" s="144"/>
      <c r="Z301" s="144"/>
      <c r="AA301" s="144"/>
      <c r="AB301" s="144" t="str">
        <f t="shared" si="26"/>
        <v/>
      </c>
      <c r="AC301" s="144"/>
      <c r="AD301" s="144"/>
      <c r="AE301" s="144"/>
      <c r="AF301" s="150"/>
      <c r="AJ301" s="15"/>
      <c r="AK301" s="15"/>
      <c r="AL301" s="15"/>
      <c r="AM301" s="15"/>
      <c r="CA301" s="15"/>
      <c r="CB301" s="15"/>
      <c r="CC301" s="15"/>
    </row>
    <row r="302" spans="1:82" s="7" customFormat="1" ht="15.75" customHeight="1" x14ac:dyDescent="0.15">
      <c r="A302" s="108" t="e">
        <f t="shared" si="24"/>
        <v>#REF!</v>
      </c>
      <c r="F302" s="139" t="str">
        <f t="shared" si="23"/>
        <v/>
      </c>
      <c r="G302" s="140"/>
      <c r="H302" s="140"/>
      <c r="I302" s="141" t="e">
        <f>IF(#REF!="","",#REF!)</f>
        <v>#REF!</v>
      </c>
      <c r="J302" s="141"/>
      <c r="K302" s="142"/>
      <c r="L302" s="143" t="str">
        <f>IF(AD163="","",AD163*AG$202)</f>
        <v/>
      </c>
      <c r="M302" s="144"/>
      <c r="N302" s="144"/>
      <c r="O302" s="144"/>
      <c r="P302" s="144" t="str">
        <f>IF(AD163="","",AD163*AG$203)</f>
        <v/>
      </c>
      <c r="Q302" s="144"/>
      <c r="R302" s="144"/>
      <c r="S302" s="145"/>
      <c r="T302" s="146">
        <f t="shared" si="27"/>
        <v>1</v>
      </c>
      <c r="U302" s="147"/>
      <c r="V302" s="148"/>
      <c r="W302" s="149" t="str">
        <f t="shared" si="25"/>
        <v/>
      </c>
      <c r="X302" s="144"/>
      <c r="Y302" s="144"/>
      <c r="Z302" s="144"/>
      <c r="AA302" s="144"/>
      <c r="AB302" s="144" t="str">
        <f t="shared" si="26"/>
        <v/>
      </c>
      <c r="AC302" s="144"/>
      <c r="AD302" s="144"/>
      <c r="AE302" s="144"/>
      <c r="AF302" s="150"/>
      <c r="AJ302" s="15"/>
      <c r="AK302" s="15"/>
      <c r="AL302" s="15"/>
      <c r="AM302" s="15"/>
      <c r="CA302" s="15"/>
      <c r="CB302" s="15"/>
      <c r="CC302" s="15"/>
    </row>
    <row r="303" spans="1:82" s="7" customFormat="1" ht="15.75" customHeight="1" x14ac:dyDescent="0.15">
      <c r="A303" s="108" t="e">
        <f t="shared" si="24"/>
        <v>#REF!</v>
      </c>
      <c r="F303" s="139" t="str">
        <f t="shared" si="23"/>
        <v/>
      </c>
      <c r="G303" s="140"/>
      <c r="H303" s="140"/>
      <c r="I303" s="141" t="e">
        <f>IF(#REF!="","",#REF!)</f>
        <v>#REF!</v>
      </c>
      <c r="J303" s="141"/>
      <c r="K303" s="142"/>
      <c r="L303" s="143" t="str">
        <f>IF(AD164="","",AD164*AG$202)</f>
        <v/>
      </c>
      <c r="M303" s="144"/>
      <c r="N303" s="144"/>
      <c r="O303" s="144"/>
      <c r="P303" s="144" t="str">
        <f>IF(AD164="","",AD164*AG$203)</f>
        <v/>
      </c>
      <c r="Q303" s="144"/>
      <c r="R303" s="144"/>
      <c r="S303" s="145"/>
      <c r="T303" s="146">
        <f t="shared" si="27"/>
        <v>1</v>
      </c>
      <c r="U303" s="147"/>
      <c r="V303" s="148"/>
      <c r="W303" s="149" t="str">
        <f t="shared" si="25"/>
        <v/>
      </c>
      <c r="X303" s="144"/>
      <c r="Y303" s="144"/>
      <c r="Z303" s="144"/>
      <c r="AA303" s="144"/>
      <c r="AB303" s="144" t="str">
        <f t="shared" si="26"/>
        <v/>
      </c>
      <c r="AC303" s="144"/>
      <c r="AD303" s="144"/>
      <c r="AE303" s="144"/>
      <c r="AF303" s="150"/>
      <c r="AJ303" s="15"/>
      <c r="AK303" s="15"/>
      <c r="AL303" s="15"/>
      <c r="AM303" s="15"/>
      <c r="CA303" s="15"/>
      <c r="CB303" s="15"/>
      <c r="CC303" s="15"/>
    </row>
    <row r="304" spans="1:82" s="7" customFormat="1" ht="15.75" customHeight="1" x14ac:dyDescent="0.15">
      <c r="A304" s="108" t="e">
        <f t="shared" si="24"/>
        <v>#REF!</v>
      </c>
      <c r="F304" s="139" t="str">
        <f t="shared" si="23"/>
        <v/>
      </c>
      <c r="G304" s="140"/>
      <c r="H304" s="140"/>
      <c r="I304" s="141" t="e">
        <f>IF(#REF!="","",#REF!)</f>
        <v>#REF!</v>
      </c>
      <c r="J304" s="141"/>
      <c r="K304" s="142"/>
      <c r="L304" s="143" t="str">
        <f>IF(AD165="","",AD165*AG$202)</f>
        <v/>
      </c>
      <c r="M304" s="144"/>
      <c r="N304" s="144"/>
      <c r="O304" s="144"/>
      <c r="P304" s="144" t="str">
        <f>IF(AD165="","",AD165*AG$203)</f>
        <v/>
      </c>
      <c r="Q304" s="144"/>
      <c r="R304" s="144"/>
      <c r="S304" s="145"/>
      <c r="T304" s="146">
        <f t="shared" si="27"/>
        <v>1</v>
      </c>
      <c r="U304" s="147"/>
      <c r="V304" s="148"/>
      <c r="W304" s="149" t="str">
        <f t="shared" si="25"/>
        <v/>
      </c>
      <c r="X304" s="144"/>
      <c r="Y304" s="144"/>
      <c r="Z304" s="144"/>
      <c r="AA304" s="144"/>
      <c r="AB304" s="144" t="str">
        <f t="shared" si="26"/>
        <v/>
      </c>
      <c r="AC304" s="144"/>
      <c r="AD304" s="144"/>
      <c r="AE304" s="144"/>
      <c r="AF304" s="150"/>
      <c r="AJ304" s="15"/>
      <c r="AK304" s="15"/>
      <c r="AL304" s="15"/>
      <c r="AM304" s="15"/>
      <c r="CA304" s="15"/>
      <c r="CB304" s="15"/>
      <c r="CC304" s="15"/>
    </row>
    <row r="305" spans="1:81" s="7" customFormat="1" ht="15.75" customHeight="1" x14ac:dyDescent="0.15">
      <c r="A305" s="108" t="e">
        <f t="shared" si="24"/>
        <v>#REF!</v>
      </c>
      <c r="F305" s="139" t="str">
        <f t="shared" si="23"/>
        <v/>
      </c>
      <c r="G305" s="140"/>
      <c r="H305" s="140"/>
      <c r="I305" s="141" t="e">
        <f>IF(#REF!="","",#REF!)</f>
        <v>#REF!</v>
      </c>
      <c r="J305" s="141"/>
      <c r="K305" s="142"/>
      <c r="L305" s="143" t="str">
        <f>IF(AD166="","",AD166*AG$202)</f>
        <v/>
      </c>
      <c r="M305" s="144"/>
      <c r="N305" s="144"/>
      <c r="O305" s="144"/>
      <c r="P305" s="144" t="str">
        <f>IF(AD166="","",AD166*AG$203)</f>
        <v/>
      </c>
      <c r="Q305" s="144"/>
      <c r="R305" s="144"/>
      <c r="S305" s="145"/>
      <c r="T305" s="146">
        <f t="shared" si="27"/>
        <v>1</v>
      </c>
      <c r="U305" s="147"/>
      <c r="V305" s="148"/>
      <c r="W305" s="149" t="str">
        <f t="shared" si="25"/>
        <v/>
      </c>
      <c r="X305" s="144"/>
      <c r="Y305" s="144"/>
      <c r="Z305" s="144"/>
      <c r="AA305" s="144"/>
      <c r="AB305" s="144" t="str">
        <f t="shared" si="26"/>
        <v/>
      </c>
      <c r="AC305" s="144"/>
      <c r="AD305" s="144"/>
      <c r="AE305" s="144"/>
      <c r="AF305" s="150"/>
      <c r="AJ305" s="15"/>
      <c r="AK305" s="15"/>
      <c r="AL305" s="15"/>
      <c r="AM305" s="15"/>
      <c r="CA305" s="15"/>
      <c r="CB305" s="15"/>
      <c r="CC305" s="15"/>
    </row>
    <row r="306" spans="1:81" s="7" customFormat="1" ht="15.75" customHeight="1" x14ac:dyDescent="0.15">
      <c r="A306" s="108" t="e">
        <f t="shared" si="24"/>
        <v>#REF!</v>
      </c>
      <c r="F306" s="139" t="str">
        <f t="shared" si="23"/>
        <v/>
      </c>
      <c r="G306" s="140"/>
      <c r="H306" s="140"/>
      <c r="I306" s="141" t="e">
        <f>IF(#REF!="","",#REF!)</f>
        <v>#REF!</v>
      </c>
      <c r="J306" s="141"/>
      <c r="K306" s="142"/>
      <c r="L306" s="143" t="str">
        <f>IF(AD167="","",AD167*AG$202)</f>
        <v/>
      </c>
      <c r="M306" s="144"/>
      <c r="N306" s="144"/>
      <c r="O306" s="144"/>
      <c r="P306" s="144" t="str">
        <f>IF(AD167="","",AD167*AG$203)</f>
        <v/>
      </c>
      <c r="Q306" s="144"/>
      <c r="R306" s="144"/>
      <c r="S306" s="145"/>
      <c r="T306" s="146">
        <f t="shared" si="27"/>
        <v>1</v>
      </c>
      <c r="U306" s="147"/>
      <c r="V306" s="148"/>
      <c r="W306" s="149" t="str">
        <f t="shared" si="25"/>
        <v/>
      </c>
      <c r="X306" s="144"/>
      <c r="Y306" s="144"/>
      <c r="Z306" s="144"/>
      <c r="AA306" s="144"/>
      <c r="AB306" s="144" t="str">
        <f t="shared" si="26"/>
        <v/>
      </c>
      <c r="AC306" s="144"/>
      <c r="AD306" s="144"/>
      <c r="AE306" s="144"/>
      <c r="AF306" s="150"/>
      <c r="AJ306" s="15"/>
      <c r="AK306" s="15"/>
      <c r="AL306" s="15"/>
      <c r="AM306" s="15"/>
      <c r="CA306" s="15"/>
      <c r="CB306" s="15"/>
      <c r="CC306" s="15"/>
    </row>
    <row r="307" spans="1:81" s="7" customFormat="1" ht="15.75" customHeight="1" x14ac:dyDescent="0.15">
      <c r="A307" s="108" t="e">
        <f t="shared" si="24"/>
        <v>#REF!</v>
      </c>
      <c r="F307" s="139" t="str">
        <f t="shared" si="23"/>
        <v/>
      </c>
      <c r="G307" s="140"/>
      <c r="H307" s="140"/>
      <c r="I307" s="141" t="e">
        <f>IF(#REF!="","",#REF!)</f>
        <v>#REF!</v>
      </c>
      <c r="J307" s="141"/>
      <c r="K307" s="142"/>
      <c r="L307" s="143" t="str">
        <f>IF(AD168="","",AD168*AG$202)</f>
        <v/>
      </c>
      <c r="M307" s="144"/>
      <c r="N307" s="144"/>
      <c r="O307" s="144"/>
      <c r="P307" s="144" t="str">
        <f>IF(AD168="","",AD168*AG$203)</f>
        <v/>
      </c>
      <c r="Q307" s="144"/>
      <c r="R307" s="144"/>
      <c r="S307" s="145"/>
      <c r="T307" s="146">
        <f t="shared" si="27"/>
        <v>1</v>
      </c>
      <c r="U307" s="147"/>
      <c r="V307" s="148"/>
      <c r="W307" s="149" t="str">
        <f t="shared" si="25"/>
        <v/>
      </c>
      <c r="X307" s="144"/>
      <c r="Y307" s="144"/>
      <c r="Z307" s="144"/>
      <c r="AA307" s="144"/>
      <c r="AB307" s="144" t="str">
        <f t="shared" si="26"/>
        <v/>
      </c>
      <c r="AC307" s="144"/>
      <c r="AD307" s="144"/>
      <c r="AE307" s="144"/>
      <c r="AF307" s="150"/>
      <c r="AJ307" s="15"/>
      <c r="AK307" s="15"/>
      <c r="AL307" s="15"/>
      <c r="AM307" s="15"/>
      <c r="CA307" s="15"/>
      <c r="CB307" s="15"/>
      <c r="CC307" s="15"/>
    </row>
    <row r="308" spans="1:81" s="7" customFormat="1" ht="15.75" customHeight="1" x14ac:dyDescent="0.15">
      <c r="A308" s="108" t="e">
        <f t="shared" si="24"/>
        <v>#REF!</v>
      </c>
      <c r="F308" s="139" t="str">
        <f t="shared" si="23"/>
        <v/>
      </c>
      <c r="G308" s="140"/>
      <c r="H308" s="140"/>
      <c r="I308" s="141" t="e">
        <f>IF(#REF!="","",#REF!)</f>
        <v>#REF!</v>
      </c>
      <c r="J308" s="141"/>
      <c r="K308" s="142"/>
      <c r="L308" s="143" t="str">
        <f>IF(AD169="","",AD169*AG$202)</f>
        <v/>
      </c>
      <c r="M308" s="144"/>
      <c r="N308" s="144"/>
      <c r="O308" s="144"/>
      <c r="P308" s="144" t="str">
        <f>IF(AD169="","",AD169*AG$203)</f>
        <v/>
      </c>
      <c r="Q308" s="144"/>
      <c r="R308" s="144"/>
      <c r="S308" s="145"/>
      <c r="T308" s="146">
        <f t="shared" si="27"/>
        <v>1</v>
      </c>
      <c r="U308" s="147"/>
      <c r="V308" s="148"/>
      <c r="W308" s="149" t="str">
        <f t="shared" si="25"/>
        <v/>
      </c>
      <c r="X308" s="144"/>
      <c r="Y308" s="144"/>
      <c r="Z308" s="144"/>
      <c r="AA308" s="144"/>
      <c r="AB308" s="144" t="str">
        <f t="shared" si="26"/>
        <v/>
      </c>
      <c r="AC308" s="144"/>
      <c r="AD308" s="144"/>
      <c r="AE308" s="144"/>
      <c r="AF308" s="150"/>
      <c r="AJ308" s="15"/>
      <c r="AK308" s="15"/>
      <c r="AL308" s="15"/>
      <c r="AM308" s="15"/>
      <c r="CA308" s="15"/>
      <c r="CB308" s="15"/>
      <c r="CC308" s="15"/>
    </row>
    <row r="309" spans="1:81" s="7" customFormat="1" ht="15.75" customHeight="1" x14ac:dyDescent="0.15">
      <c r="A309" s="108" t="e">
        <f t="shared" si="24"/>
        <v>#REF!</v>
      </c>
      <c r="F309" s="151" t="str">
        <f t="shared" si="23"/>
        <v/>
      </c>
      <c r="G309" s="152"/>
      <c r="H309" s="152"/>
      <c r="I309" s="153" t="e">
        <f>IF(#REF!="","",#REF!)</f>
        <v>#REF!</v>
      </c>
      <c r="J309" s="153"/>
      <c r="K309" s="154"/>
      <c r="L309" s="155" t="str">
        <f>IF(AD170="","",AD170*AG$202)</f>
        <v/>
      </c>
      <c r="M309" s="156"/>
      <c r="N309" s="156"/>
      <c r="O309" s="156"/>
      <c r="P309" s="156" t="str">
        <f>IF(AD170="","",AD170*AG$203)</f>
        <v/>
      </c>
      <c r="Q309" s="156"/>
      <c r="R309" s="156"/>
      <c r="S309" s="157"/>
      <c r="T309" s="158">
        <f t="shared" si="27"/>
        <v>1</v>
      </c>
      <c r="U309" s="159"/>
      <c r="V309" s="160"/>
      <c r="W309" s="161" t="str">
        <f t="shared" si="25"/>
        <v/>
      </c>
      <c r="X309" s="156"/>
      <c r="Y309" s="156"/>
      <c r="Z309" s="156"/>
      <c r="AA309" s="156"/>
      <c r="AB309" s="156" t="str">
        <f t="shared" si="26"/>
        <v/>
      </c>
      <c r="AC309" s="156"/>
      <c r="AD309" s="156"/>
      <c r="AE309" s="156"/>
      <c r="AF309" s="162"/>
      <c r="AJ309" s="15"/>
      <c r="AK309" s="15"/>
      <c r="AL309" s="15"/>
      <c r="AM309" s="15"/>
      <c r="CA309" s="15"/>
      <c r="CB309" s="15"/>
      <c r="CC309" s="15"/>
    </row>
    <row r="310" spans="1:81" s="7" customFormat="1" ht="15.75" customHeight="1" x14ac:dyDescent="0.15">
      <c r="E310" s="110"/>
      <c r="F310" s="110"/>
      <c r="G310" s="110"/>
      <c r="H310" s="16"/>
      <c r="I310" s="16"/>
      <c r="J310" s="16"/>
      <c r="K310" s="25"/>
      <c r="L310" s="25"/>
      <c r="M310" s="25"/>
      <c r="N310" s="25"/>
      <c r="O310" s="25"/>
      <c r="P310" s="25"/>
      <c r="Q310" s="25"/>
      <c r="R310" s="25"/>
      <c r="S310" s="16"/>
      <c r="T310" s="16"/>
      <c r="U310" s="16"/>
      <c r="V310" s="25"/>
      <c r="W310" s="25"/>
      <c r="X310" s="25"/>
      <c r="Y310" s="25"/>
      <c r="Z310" s="25"/>
      <c r="AA310" s="25"/>
      <c r="AB310" s="25"/>
      <c r="AC310" s="25"/>
      <c r="AD310" s="25"/>
      <c r="AE310" s="25"/>
      <c r="AJ310" s="15"/>
      <c r="AK310" s="15"/>
      <c r="AL310" s="15"/>
      <c r="AM310" s="15"/>
      <c r="CA310" s="15"/>
      <c r="CB310" s="15"/>
      <c r="CC310" s="15"/>
    </row>
    <row r="311" spans="1:81" s="109" customFormat="1" ht="15.75" customHeight="1" x14ac:dyDescent="0.15">
      <c r="C311" s="7"/>
      <c r="E311" s="7"/>
      <c r="AN311"/>
      <c r="AO311"/>
      <c r="AP311"/>
      <c r="AQ311"/>
      <c r="AR311"/>
      <c r="AS311"/>
      <c r="AT311"/>
      <c r="AU311"/>
      <c r="AV311"/>
      <c r="AW311"/>
      <c r="AX311"/>
      <c r="AY311"/>
      <c r="AZ311"/>
      <c r="BA311"/>
      <c r="BB311"/>
      <c r="BC311"/>
      <c r="BD311"/>
    </row>
    <row r="312" spans="1:81" s="109" customFormat="1" ht="15.75" customHeight="1" x14ac:dyDescent="0.15">
      <c r="C312" s="7"/>
      <c r="E312" s="7"/>
      <c r="AN312"/>
      <c r="AO312"/>
      <c r="AP312"/>
      <c r="AQ312"/>
      <c r="AR312"/>
      <c r="AS312"/>
      <c r="AT312"/>
      <c r="AU312"/>
      <c r="AV312"/>
      <c r="AW312"/>
      <c r="AX312"/>
      <c r="AY312"/>
      <c r="AZ312"/>
      <c r="BA312"/>
      <c r="BB312"/>
      <c r="BC312"/>
      <c r="BD312"/>
    </row>
    <row r="313" spans="1:81" s="109" customFormat="1" ht="15.75" customHeight="1" x14ac:dyDescent="0.15">
      <c r="C313" s="7"/>
      <c r="E313" s="7"/>
      <c r="AN313"/>
      <c r="AO313"/>
      <c r="AP313"/>
      <c r="AQ313"/>
      <c r="AR313"/>
      <c r="AS313"/>
      <c r="AT313"/>
      <c r="AU313"/>
      <c r="AV313"/>
      <c r="AW313"/>
      <c r="AX313"/>
      <c r="AY313"/>
      <c r="AZ313"/>
      <c r="BA313"/>
      <c r="BB313"/>
      <c r="BC313"/>
      <c r="BD313"/>
    </row>
    <row r="314" spans="1:81" ht="15.75" customHeight="1" x14ac:dyDescent="0.15">
      <c r="D314" s="7" t="s">
        <v>591</v>
      </c>
      <c r="M314" s="12"/>
    </row>
    <row r="316" spans="1:81" ht="15.75" customHeight="1" x14ac:dyDescent="0.15">
      <c r="F316" s="7" t="s">
        <v>149</v>
      </c>
    </row>
    <row r="318" spans="1:81" s="7" customFormat="1" ht="15.75" customHeight="1" x14ac:dyDescent="0.2">
      <c r="F318" s="261" t="s">
        <v>150</v>
      </c>
      <c r="G318" s="261"/>
      <c r="H318" s="6" t="s">
        <v>27</v>
      </c>
      <c r="I318" s="261" t="s">
        <v>151</v>
      </c>
      <c r="J318" s="261"/>
      <c r="K318" s="6" t="s">
        <v>107</v>
      </c>
      <c r="L318" s="6" t="s">
        <v>152</v>
      </c>
      <c r="M318" s="6" t="s">
        <v>107</v>
      </c>
      <c r="N318" s="261" t="s">
        <v>153</v>
      </c>
      <c r="O318" s="261"/>
    </row>
    <row r="319" spans="1:81" s="7" customFormat="1" ht="15.75" customHeight="1" x14ac:dyDescent="0.15"/>
    <row r="320" spans="1:81" s="7" customFormat="1" ht="15.75" customHeight="1" x14ac:dyDescent="0.2">
      <c r="G320" s="7" t="s">
        <v>3</v>
      </c>
      <c r="J320" s="261" t="s">
        <v>150</v>
      </c>
      <c r="K320" s="261"/>
      <c r="L320" s="6" t="s">
        <v>2</v>
      </c>
      <c r="M320" s="7" t="s">
        <v>154</v>
      </c>
    </row>
    <row r="321" spans="6:35" s="7" customFormat="1" ht="15.75" customHeight="1" x14ac:dyDescent="0.2">
      <c r="J321" s="261" t="s">
        <v>151</v>
      </c>
      <c r="K321" s="261"/>
      <c r="L321" s="6" t="s">
        <v>2</v>
      </c>
      <c r="M321" s="7" t="s">
        <v>155</v>
      </c>
    </row>
    <row r="322" spans="6:35" s="7" customFormat="1" ht="15.75" customHeight="1" x14ac:dyDescent="0.15">
      <c r="J322" s="261" t="s">
        <v>152</v>
      </c>
      <c r="K322" s="261"/>
      <c r="L322" s="6" t="s">
        <v>2</v>
      </c>
      <c r="M322" s="7" t="s">
        <v>156</v>
      </c>
      <c r="R322" s="6" t="s">
        <v>27</v>
      </c>
      <c r="S322" s="6" t="s">
        <v>139</v>
      </c>
      <c r="T322" s="6" t="s">
        <v>107</v>
      </c>
      <c r="U322" s="8" t="s">
        <v>78</v>
      </c>
    </row>
    <row r="323" spans="6:35" s="7" customFormat="1" ht="15.75" customHeight="1" x14ac:dyDescent="0.15">
      <c r="J323" s="261" t="s">
        <v>78</v>
      </c>
      <c r="K323" s="261"/>
      <c r="L323" s="6" t="s">
        <v>2</v>
      </c>
      <c r="M323" s="7" t="s">
        <v>157</v>
      </c>
      <c r="Q323" s="100" t="s">
        <v>143</v>
      </c>
      <c r="R323" s="97" t="s">
        <v>27</v>
      </c>
      <c r="S323" s="178">
        <f>Q92</f>
        <v>1</v>
      </c>
      <c r="T323" s="178"/>
      <c r="U323" s="178"/>
      <c r="V323" s="7" t="s">
        <v>144</v>
      </c>
    </row>
    <row r="324" spans="6:35" ht="15.75" customHeight="1" x14ac:dyDescent="0.15">
      <c r="J324" s="261" t="s">
        <v>153</v>
      </c>
      <c r="K324" s="261"/>
      <c r="L324" s="6" t="s">
        <v>2</v>
      </c>
      <c r="M324" s="7" t="s">
        <v>158</v>
      </c>
    </row>
    <row r="326" spans="6:35" s="7" customFormat="1" ht="15.75" customHeight="1" x14ac:dyDescent="0.15">
      <c r="F326" s="7" t="s">
        <v>159</v>
      </c>
    </row>
    <row r="327" spans="6:35" s="7" customFormat="1" ht="15.75" customHeight="1" x14ac:dyDescent="0.15">
      <c r="AI327" s="19" t="s">
        <v>160</v>
      </c>
    </row>
    <row r="328" spans="6:35" s="7" customFormat="1" ht="15.75" customHeight="1" x14ac:dyDescent="0.15">
      <c r="G328" s="20" t="s">
        <v>161</v>
      </c>
      <c r="H328" s="7" t="s">
        <v>167</v>
      </c>
    </row>
    <row r="329" spans="6:35" s="7" customFormat="1" ht="15.75" customHeight="1" x14ac:dyDescent="0.15">
      <c r="G329" s="20"/>
      <c r="H329" s="7" t="s">
        <v>164</v>
      </c>
    </row>
    <row r="330" spans="6:35" s="7" customFormat="1" ht="15.75" customHeight="1" x14ac:dyDescent="0.15">
      <c r="G330" s="20" t="s">
        <v>162</v>
      </c>
      <c r="H330" s="7" t="s">
        <v>165</v>
      </c>
    </row>
    <row r="331" spans="6:35" s="7" customFormat="1" ht="15.75" customHeight="1" x14ac:dyDescent="0.2">
      <c r="G331" s="20"/>
      <c r="H331" s="7" t="s">
        <v>166</v>
      </c>
    </row>
    <row r="332" spans="6:35" s="7" customFormat="1" ht="15.75" customHeight="1" x14ac:dyDescent="0.15">
      <c r="G332" s="20" t="s">
        <v>163</v>
      </c>
      <c r="H332" s="7" t="s">
        <v>447</v>
      </c>
    </row>
    <row r="333" spans="6:35" s="7" customFormat="1" ht="15.75" customHeight="1" x14ac:dyDescent="0.2">
      <c r="H333" s="7" t="s">
        <v>448</v>
      </c>
    </row>
    <row r="334" spans="6:35" s="7" customFormat="1" ht="15.75" customHeight="1" x14ac:dyDescent="0.15">
      <c r="H334" s="7" t="s">
        <v>449</v>
      </c>
    </row>
    <row r="335" spans="6:35" s="7" customFormat="1" ht="15.75" customHeight="1" x14ac:dyDescent="0.15">
      <c r="H335" s="7" t="s">
        <v>450</v>
      </c>
    </row>
    <row r="336" spans="6:35" s="7" customFormat="1" ht="15.75" customHeight="1" x14ac:dyDescent="0.15"/>
    <row r="337" spans="3:56" s="7" customFormat="1" ht="15.75" customHeight="1" x14ac:dyDescent="0.15">
      <c r="E337" s="7" t="s">
        <v>94</v>
      </c>
      <c r="F337" s="7" t="s">
        <v>168</v>
      </c>
    </row>
    <row r="338" spans="3:56" s="7" customFormat="1" ht="15.75" customHeight="1" x14ac:dyDescent="0.15"/>
    <row r="339" spans="3:56" s="7" customFormat="1" ht="15.75" customHeight="1" x14ac:dyDescent="0.15">
      <c r="F339" s="7" t="s">
        <v>169</v>
      </c>
    </row>
    <row r="340" spans="3:56" s="7" customFormat="1" ht="15.75" customHeight="1" x14ac:dyDescent="0.15"/>
    <row r="341" spans="3:56" s="7" customFormat="1" ht="15.75" customHeight="1" x14ac:dyDescent="0.2">
      <c r="F341" s="261" t="s">
        <v>5</v>
      </c>
      <c r="G341" s="261"/>
      <c r="H341" s="6" t="s">
        <v>27</v>
      </c>
      <c r="I341" s="17">
        <v>4</v>
      </c>
      <c r="J341" s="261" t="s">
        <v>105</v>
      </c>
      <c r="K341" s="261"/>
      <c r="L341" s="6" t="s">
        <v>78</v>
      </c>
      <c r="M341" s="7" t="s">
        <v>7</v>
      </c>
      <c r="N341" s="6">
        <v>4</v>
      </c>
      <c r="O341" s="261" t="s">
        <v>170</v>
      </c>
      <c r="P341" s="261"/>
    </row>
    <row r="342" spans="3:56" s="7" customFormat="1" ht="15.75" customHeight="1" x14ac:dyDescent="0.15"/>
    <row r="343" spans="3:56" s="7" customFormat="1" ht="15.75" customHeight="1" x14ac:dyDescent="0.15">
      <c r="G343" s="7" t="s">
        <v>3</v>
      </c>
      <c r="J343" s="261" t="s">
        <v>5</v>
      </c>
      <c r="K343" s="261"/>
      <c r="L343" s="6" t="s">
        <v>2</v>
      </c>
      <c r="M343" s="7" t="s">
        <v>173</v>
      </c>
    </row>
    <row r="344" spans="3:56" s="7" customFormat="1" ht="15.75" customHeight="1" x14ac:dyDescent="0.2">
      <c r="J344" s="261" t="s">
        <v>105</v>
      </c>
      <c r="K344" s="261"/>
      <c r="L344" s="6" t="s">
        <v>2</v>
      </c>
      <c r="M344" s="7" t="s">
        <v>108</v>
      </c>
    </row>
    <row r="345" spans="3:56" s="7" customFormat="1" ht="15.75" customHeight="1" x14ac:dyDescent="0.15">
      <c r="J345" s="261" t="s">
        <v>78</v>
      </c>
      <c r="K345" s="261"/>
      <c r="L345" s="6" t="s">
        <v>2</v>
      </c>
      <c r="M345" s="7" t="s">
        <v>157</v>
      </c>
      <c r="P345" s="8" t="s">
        <v>143</v>
      </c>
      <c r="Q345" s="6" t="s">
        <v>27</v>
      </c>
      <c r="R345" s="178">
        <f>Q92</f>
        <v>1</v>
      </c>
      <c r="S345" s="178"/>
      <c r="T345" s="178"/>
      <c r="U345" s="7" t="s">
        <v>144</v>
      </c>
    </row>
    <row r="346" spans="3:56" ht="15.75" customHeight="1" x14ac:dyDescent="0.15">
      <c r="J346" s="261" t="s">
        <v>170</v>
      </c>
      <c r="K346" s="261"/>
      <c r="L346" s="6" t="s">
        <v>2</v>
      </c>
      <c r="M346" s="7" t="s">
        <v>174</v>
      </c>
    </row>
    <row r="347" spans="3:56" ht="15.75" customHeight="1" x14ac:dyDescent="0.15">
      <c r="J347" s="261" t="s">
        <v>171</v>
      </c>
      <c r="K347" s="261"/>
      <c r="L347" s="6" t="s">
        <v>2</v>
      </c>
      <c r="M347" s="7" t="s">
        <v>175</v>
      </c>
      <c r="T347" s="8" t="s">
        <v>143</v>
      </c>
      <c r="U347" s="6" t="s">
        <v>27</v>
      </c>
      <c r="V347" s="261">
        <f>入力!J29</f>
        <v>22.4</v>
      </c>
      <c r="W347" s="261"/>
      <c r="X347" s="7" t="s">
        <v>177</v>
      </c>
      <c r="AA347" s="6" t="s">
        <v>27</v>
      </c>
      <c r="AB347" s="261">
        <f>V347</f>
        <v>22.4</v>
      </c>
      <c r="AC347" s="261"/>
      <c r="AD347" s="6" t="s">
        <v>1</v>
      </c>
      <c r="AE347" s="11">
        <v>10</v>
      </c>
      <c r="AF347" s="10">
        <v>6</v>
      </c>
      <c r="AG347" s="7" t="s">
        <v>178</v>
      </c>
    </row>
    <row r="348" spans="3:56" ht="15.75" customHeight="1" x14ac:dyDescent="0.15">
      <c r="J348" s="261" t="s">
        <v>172</v>
      </c>
      <c r="K348" s="261"/>
      <c r="L348" s="6" t="s">
        <v>2</v>
      </c>
      <c r="M348" s="7" t="s">
        <v>176</v>
      </c>
      <c r="V348" s="8" t="s">
        <v>143</v>
      </c>
      <c r="W348" s="6" t="s">
        <v>27</v>
      </c>
      <c r="X348" s="6" t="s">
        <v>139</v>
      </c>
      <c r="Y348" s="8" t="s">
        <v>78</v>
      </c>
      <c r="Z348" s="10">
        <v>4</v>
      </c>
      <c r="AA348" s="7" t="s">
        <v>7</v>
      </c>
      <c r="AB348" s="11">
        <v>64</v>
      </c>
      <c r="AC348" s="6" t="s">
        <v>27</v>
      </c>
      <c r="AD348" s="261">
        <f>ROUND(PI()*R345^Z348/AB348,5)</f>
        <v>4.9090000000000002E-2</v>
      </c>
      <c r="AE348" s="261"/>
      <c r="AF348" s="261"/>
      <c r="AG348" s="261"/>
      <c r="AH348" s="6" t="s">
        <v>179</v>
      </c>
    </row>
    <row r="349" spans="3:56" s="97" customFormat="1" ht="15.75" customHeight="1" x14ac:dyDescent="0.15">
      <c r="C349" s="7"/>
      <c r="E349" s="7"/>
      <c r="AN349"/>
      <c r="AO349"/>
      <c r="AP349"/>
      <c r="AQ349"/>
      <c r="AR349"/>
      <c r="AS349"/>
      <c r="AT349"/>
      <c r="AU349"/>
      <c r="AV349"/>
      <c r="AW349"/>
      <c r="AX349"/>
      <c r="AY349"/>
      <c r="AZ349"/>
      <c r="BA349"/>
      <c r="BB349"/>
      <c r="BC349"/>
      <c r="BD349"/>
    </row>
    <row r="350" spans="3:56" s="97" customFormat="1" ht="15.75" customHeight="1" x14ac:dyDescent="0.15">
      <c r="C350" s="7"/>
      <c r="E350" s="7"/>
      <c r="AN350"/>
      <c r="AO350"/>
      <c r="AP350"/>
      <c r="AQ350"/>
      <c r="AR350"/>
      <c r="AS350"/>
      <c r="AT350"/>
      <c r="AU350"/>
      <c r="AV350"/>
      <c r="AW350"/>
      <c r="AX350"/>
      <c r="AY350"/>
      <c r="AZ350"/>
      <c r="BA350"/>
      <c r="BB350"/>
      <c r="BC350"/>
      <c r="BD350"/>
    </row>
    <row r="351" spans="3:56" s="97" customFormat="1" ht="15.75" customHeight="1" x14ac:dyDescent="0.15">
      <c r="C351" s="7"/>
      <c r="E351" s="7"/>
      <c r="AN351"/>
      <c r="AO351"/>
      <c r="AP351"/>
      <c r="AQ351"/>
      <c r="AR351"/>
      <c r="AS351"/>
      <c r="AT351"/>
      <c r="AU351"/>
      <c r="AV351"/>
      <c r="AW351"/>
      <c r="AX351"/>
      <c r="AY351"/>
      <c r="AZ351"/>
      <c r="BA351"/>
      <c r="BB351"/>
      <c r="BC351"/>
      <c r="BD351"/>
    </row>
    <row r="352" spans="3:56" s="7" customFormat="1" ht="15.75" customHeight="1" x14ac:dyDescent="0.15">
      <c r="E352" s="111" t="s">
        <v>180</v>
      </c>
      <c r="F352" s="111"/>
      <c r="G352" s="111"/>
      <c r="H352" s="111"/>
      <c r="I352" s="111"/>
      <c r="J352" s="111"/>
      <c r="K352" s="111"/>
      <c r="L352" s="111"/>
      <c r="M352" s="111"/>
      <c r="N352" s="111"/>
      <c r="O352" s="111"/>
      <c r="P352" s="111"/>
      <c r="Q352" s="111"/>
      <c r="R352" s="111"/>
      <c r="S352" s="111"/>
      <c r="T352" s="111"/>
      <c r="U352" s="111"/>
      <c r="V352" s="111"/>
      <c r="W352" s="111"/>
      <c r="X352" s="111"/>
      <c r="Y352" s="111"/>
      <c r="Z352" s="111"/>
      <c r="AA352" s="111"/>
      <c r="AB352" s="111"/>
      <c r="AC352" s="111"/>
      <c r="AD352" s="111"/>
      <c r="AE352" s="111"/>
      <c r="AF352" s="111"/>
      <c r="AG352" s="111"/>
      <c r="AH352" s="111"/>
      <c r="AI352" s="111"/>
    </row>
    <row r="353" spans="1:35" s="7" customFormat="1" ht="15.75" customHeight="1" x14ac:dyDescent="0.15">
      <c r="E353" s="194" t="s">
        <v>91</v>
      </c>
      <c r="F353" s="179"/>
      <c r="G353" s="179"/>
      <c r="H353" s="275" t="s">
        <v>182</v>
      </c>
      <c r="I353" s="342"/>
      <c r="J353" s="342"/>
      <c r="K353" s="179" t="s">
        <v>181</v>
      </c>
      <c r="L353" s="179"/>
      <c r="M353" s="179"/>
      <c r="N353" s="179"/>
      <c r="O353" s="179" t="s">
        <v>183</v>
      </c>
      <c r="P353" s="179"/>
      <c r="Q353" s="179"/>
      <c r="R353" s="179"/>
      <c r="S353" s="179" t="s">
        <v>187</v>
      </c>
      <c r="T353" s="179"/>
      <c r="U353" s="179"/>
      <c r="V353" s="179"/>
      <c r="W353" s="179"/>
      <c r="X353" s="179" t="s">
        <v>184</v>
      </c>
      <c r="Y353" s="179"/>
      <c r="Z353" s="179"/>
      <c r="AA353" s="179"/>
      <c r="AB353" s="179" t="s">
        <v>185</v>
      </c>
      <c r="AC353" s="179"/>
      <c r="AD353" s="179"/>
      <c r="AE353" s="179"/>
      <c r="AF353" s="179" t="s">
        <v>186</v>
      </c>
      <c r="AG353" s="179"/>
      <c r="AH353" s="179"/>
      <c r="AI353" s="197"/>
    </row>
    <row r="354" spans="1:35" s="7" customFormat="1" ht="15.75" customHeight="1" x14ac:dyDescent="0.15">
      <c r="E354" s="196"/>
      <c r="F354" s="192"/>
      <c r="G354" s="192"/>
      <c r="H354" s="343"/>
      <c r="I354" s="343"/>
      <c r="J354" s="343"/>
      <c r="K354" s="192"/>
      <c r="L354" s="192"/>
      <c r="M354" s="192"/>
      <c r="N354" s="192"/>
      <c r="O354" s="192"/>
      <c r="P354" s="192"/>
      <c r="Q354" s="192"/>
      <c r="R354" s="192"/>
      <c r="S354" s="192"/>
      <c r="T354" s="192"/>
      <c r="U354" s="192"/>
      <c r="V354" s="192"/>
      <c r="W354" s="192"/>
      <c r="X354" s="192"/>
      <c r="Y354" s="192"/>
      <c r="Z354" s="192"/>
      <c r="AA354" s="192"/>
      <c r="AB354" s="192"/>
      <c r="AC354" s="192"/>
      <c r="AD354" s="192"/>
      <c r="AE354" s="192"/>
      <c r="AF354" s="192"/>
      <c r="AG354" s="192"/>
      <c r="AH354" s="192"/>
      <c r="AI354" s="199"/>
    </row>
    <row r="355" spans="1:35" s="7" customFormat="1" ht="15.75" customHeight="1" x14ac:dyDescent="0.15">
      <c r="A355" s="63" t="str">
        <f>IF(H355="","×","")</f>
        <v/>
      </c>
      <c r="E355" s="428">
        <f>IF(G155="","",G155)</f>
        <v>3</v>
      </c>
      <c r="F355" s="429"/>
      <c r="G355" s="429"/>
      <c r="H355" s="440">
        <v>3</v>
      </c>
      <c r="I355" s="440"/>
      <c r="J355" s="440"/>
      <c r="K355" s="278">
        <f t="shared" ref="K355:K370" si="28">Q155</f>
        <v>12537</v>
      </c>
      <c r="L355" s="278"/>
      <c r="M355" s="278"/>
      <c r="N355" s="278"/>
      <c r="O355" s="278">
        <f>IF(K355="","",ROUND(K355*$R$345,0))</f>
        <v>12537</v>
      </c>
      <c r="P355" s="278"/>
      <c r="Q355" s="278"/>
      <c r="R355" s="278"/>
      <c r="S355" s="278">
        <f>IF(O355="","",ROUND(O355/$AB$371,6))</f>
        <v>2.8500000000000001E-3</v>
      </c>
      <c r="T355" s="278"/>
      <c r="U355" s="278"/>
      <c r="V355" s="278"/>
      <c r="W355" s="278"/>
      <c r="X355" s="278">
        <f>IF(S355="","",ROUND(S355^0.25,4))</f>
        <v>0.2311</v>
      </c>
      <c r="Y355" s="278"/>
      <c r="Z355" s="278"/>
      <c r="AA355" s="278"/>
      <c r="AB355" s="442">
        <f>IF(X355="","",ROUND(X355*H355,4))</f>
        <v>0.69330000000000003</v>
      </c>
      <c r="AC355" s="442"/>
      <c r="AD355" s="442"/>
      <c r="AE355" s="442"/>
      <c r="AF355" s="442">
        <f>SUM(AB$355:AB355)</f>
        <v>0.69330000000000003</v>
      </c>
      <c r="AG355" s="442"/>
      <c r="AH355" s="442"/>
      <c r="AI355" s="443"/>
    </row>
    <row r="356" spans="1:35" s="7" customFormat="1" ht="15.75" customHeight="1" x14ac:dyDescent="0.15">
      <c r="A356" s="63" t="str">
        <f t="shared" ref="A356:A370" si="29">IF(H356="","×","")</f>
        <v/>
      </c>
      <c r="E356" s="169">
        <f>IF(G156="","",G156)</f>
        <v>4</v>
      </c>
      <c r="F356" s="170"/>
      <c r="G356" s="170"/>
      <c r="H356" s="173">
        <v>5</v>
      </c>
      <c r="I356" s="173"/>
      <c r="J356" s="173"/>
      <c r="K356" s="167">
        <f t="shared" si="28"/>
        <v>25758</v>
      </c>
      <c r="L356" s="167"/>
      <c r="M356" s="167"/>
      <c r="N356" s="167"/>
      <c r="O356" s="167">
        <f t="shared" ref="O356:O368" si="30">IF(K356="","",ROUND(K356*$R$345,0))</f>
        <v>25758</v>
      </c>
      <c r="P356" s="167"/>
      <c r="Q356" s="167"/>
      <c r="R356" s="167"/>
      <c r="S356" s="167">
        <f t="shared" ref="S356:S370" si="31">IF(O356="","",ROUND(O356/$AB$371,6))</f>
        <v>5.8560000000000001E-3</v>
      </c>
      <c r="T356" s="167"/>
      <c r="U356" s="167"/>
      <c r="V356" s="167"/>
      <c r="W356" s="167"/>
      <c r="X356" s="167">
        <f t="shared" ref="X356:X370" si="32">IF(S356="","",ROUND(S356^0.25,4))</f>
        <v>0.27660000000000001</v>
      </c>
      <c r="Y356" s="167"/>
      <c r="Z356" s="167"/>
      <c r="AA356" s="167"/>
      <c r="AB356" s="163">
        <f t="shared" ref="AB356:AB370" si="33">IF(X356="","",ROUND(X356*H356,4))</f>
        <v>1.383</v>
      </c>
      <c r="AC356" s="163"/>
      <c r="AD356" s="163"/>
      <c r="AE356" s="163"/>
      <c r="AF356" s="163">
        <f>SUM(AB$355:AB356)</f>
        <v>2.0762999999999998</v>
      </c>
      <c r="AG356" s="163"/>
      <c r="AH356" s="163"/>
      <c r="AI356" s="164"/>
    </row>
    <row r="357" spans="1:35" s="7" customFormat="1" ht="15.75" customHeight="1" x14ac:dyDescent="0.15">
      <c r="A357" s="63" t="str">
        <f t="shared" si="29"/>
        <v/>
      </c>
      <c r="E357" s="169">
        <f>IF(G157="","",G157)</f>
        <v>5</v>
      </c>
      <c r="F357" s="170"/>
      <c r="G357" s="170"/>
      <c r="H357" s="173">
        <v>8</v>
      </c>
      <c r="I357" s="173"/>
      <c r="J357" s="173"/>
      <c r="K357" s="167">
        <f t="shared" si="28"/>
        <v>29313</v>
      </c>
      <c r="L357" s="167"/>
      <c r="M357" s="167"/>
      <c r="N357" s="167"/>
      <c r="O357" s="167">
        <f t="shared" si="30"/>
        <v>29313</v>
      </c>
      <c r="P357" s="167"/>
      <c r="Q357" s="167"/>
      <c r="R357" s="167"/>
      <c r="S357" s="167">
        <f t="shared" si="31"/>
        <v>6.6639999999999998E-3</v>
      </c>
      <c r="T357" s="167"/>
      <c r="U357" s="167"/>
      <c r="V357" s="167"/>
      <c r="W357" s="167"/>
      <c r="X357" s="167">
        <f t="shared" si="32"/>
        <v>0.28570000000000001</v>
      </c>
      <c r="Y357" s="167"/>
      <c r="Z357" s="167"/>
      <c r="AA357" s="167"/>
      <c r="AB357" s="163">
        <f t="shared" si="33"/>
        <v>2.2856000000000001</v>
      </c>
      <c r="AC357" s="163"/>
      <c r="AD357" s="163"/>
      <c r="AE357" s="163"/>
      <c r="AF357" s="163">
        <f>SUM(AB$355:AB357)</f>
        <v>4.3619000000000003</v>
      </c>
      <c r="AG357" s="163"/>
      <c r="AH357" s="163"/>
      <c r="AI357" s="164"/>
    </row>
    <row r="358" spans="1:35" s="7" customFormat="1" ht="15.75" customHeight="1" x14ac:dyDescent="0.15">
      <c r="A358" s="63" t="str">
        <f t="shared" si="29"/>
        <v/>
      </c>
      <c r="E358" s="169">
        <f>IF(G158="","",G158)</f>
        <v>6</v>
      </c>
      <c r="F358" s="170"/>
      <c r="G358" s="170"/>
      <c r="H358" s="173">
        <v>4</v>
      </c>
      <c r="I358" s="173"/>
      <c r="J358" s="173"/>
      <c r="K358" s="167">
        <f t="shared" si="28"/>
        <v>41796</v>
      </c>
      <c r="L358" s="167"/>
      <c r="M358" s="167"/>
      <c r="N358" s="167"/>
      <c r="O358" s="167">
        <f t="shared" si="30"/>
        <v>41796</v>
      </c>
      <c r="P358" s="167"/>
      <c r="Q358" s="167"/>
      <c r="R358" s="167"/>
      <c r="S358" s="167">
        <f t="shared" si="31"/>
        <v>9.502E-3</v>
      </c>
      <c r="T358" s="167"/>
      <c r="U358" s="167"/>
      <c r="V358" s="167"/>
      <c r="W358" s="167"/>
      <c r="X358" s="167">
        <f t="shared" si="32"/>
        <v>0.31219999999999998</v>
      </c>
      <c r="Y358" s="167"/>
      <c r="Z358" s="167"/>
      <c r="AA358" s="167"/>
      <c r="AB358" s="163">
        <f t="shared" si="33"/>
        <v>1.2487999999999999</v>
      </c>
      <c r="AC358" s="163"/>
      <c r="AD358" s="163"/>
      <c r="AE358" s="163"/>
      <c r="AF358" s="163">
        <f>SUM(AB$355:AB358)</f>
        <v>5.6107000000000005</v>
      </c>
      <c r="AG358" s="163"/>
      <c r="AH358" s="163"/>
      <c r="AI358" s="164"/>
    </row>
    <row r="359" spans="1:35" s="7" customFormat="1" ht="15.75" customHeight="1" x14ac:dyDescent="0.15">
      <c r="A359" s="63" t="str">
        <f t="shared" si="29"/>
        <v/>
      </c>
      <c r="E359" s="169">
        <f>IF(G159="","",G159)</f>
        <v>7</v>
      </c>
      <c r="F359" s="170"/>
      <c r="G359" s="170"/>
      <c r="H359" s="173">
        <v>1</v>
      </c>
      <c r="I359" s="173"/>
      <c r="J359" s="173"/>
      <c r="K359" s="167">
        <f t="shared" si="28"/>
        <v>82584</v>
      </c>
      <c r="L359" s="167"/>
      <c r="M359" s="167"/>
      <c r="N359" s="167"/>
      <c r="O359" s="167">
        <f t="shared" si="30"/>
        <v>82584</v>
      </c>
      <c r="P359" s="167"/>
      <c r="Q359" s="167"/>
      <c r="R359" s="167"/>
      <c r="S359" s="167">
        <f t="shared" si="31"/>
        <v>1.8776000000000001E-2</v>
      </c>
      <c r="T359" s="167"/>
      <c r="U359" s="167"/>
      <c r="V359" s="167"/>
      <c r="W359" s="167"/>
      <c r="X359" s="167">
        <f t="shared" si="32"/>
        <v>0.37019999999999997</v>
      </c>
      <c r="Y359" s="167"/>
      <c r="Z359" s="167"/>
      <c r="AA359" s="167"/>
      <c r="AB359" s="163">
        <f t="shared" si="33"/>
        <v>0.37019999999999997</v>
      </c>
      <c r="AC359" s="163"/>
      <c r="AD359" s="163"/>
      <c r="AE359" s="163"/>
      <c r="AF359" s="163">
        <f>SUM(AB$355:AB359)</f>
        <v>5.9809000000000001</v>
      </c>
      <c r="AG359" s="163"/>
      <c r="AH359" s="163"/>
      <c r="AI359" s="164"/>
    </row>
    <row r="360" spans="1:35" s="7" customFormat="1" ht="15.75" customHeight="1" x14ac:dyDescent="0.15">
      <c r="A360" s="63" t="str">
        <f t="shared" si="29"/>
        <v>×</v>
      </c>
      <c r="E360" s="169" t="str">
        <f>IF(G160="","",G160)</f>
        <v/>
      </c>
      <c r="F360" s="170"/>
      <c r="G360" s="170"/>
      <c r="H360" s="173"/>
      <c r="I360" s="173"/>
      <c r="J360" s="173"/>
      <c r="K360" s="167" t="str">
        <f t="shared" si="28"/>
        <v/>
      </c>
      <c r="L360" s="167"/>
      <c r="M360" s="167"/>
      <c r="N360" s="167"/>
      <c r="O360" s="167" t="str">
        <f t="shared" si="30"/>
        <v/>
      </c>
      <c r="P360" s="167"/>
      <c r="Q360" s="167"/>
      <c r="R360" s="167"/>
      <c r="S360" s="167" t="str">
        <f t="shared" si="31"/>
        <v/>
      </c>
      <c r="T360" s="167"/>
      <c r="U360" s="167"/>
      <c r="V360" s="167"/>
      <c r="W360" s="167"/>
      <c r="X360" s="167" t="str">
        <f t="shared" si="32"/>
        <v/>
      </c>
      <c r="Y360" s="167"/>
      <c r="Z360" s="167"/>
      <c r="AA360" s="167"/>
      <c r="AB360" s="163" t="str">
        <f t="shared" si="33"/>
        <v/>
      </c>
      <c r="AC360" s="163"/>
      <c r="AD360" s="163"/>
      <c r="AE360" s="163"/>
      <c r="AF360" s="163">
        <f>SUM(AB$355:AB360)</f>
        <v>5.9809000000000001</v>
      </c>
      <c r="AG360" s="163"/>
      <c r="AH360" s="163"/>
      <c r="AI360" s="164"/>
    </row>
    <row r="361" spans="1:35" s="7" customFormat="1" ht="15.75" customHeight="1" x14ac:dyDescent="0.15">
      <c r="A361" s="63" t="str">
        <f t="shared" si="29"/>
        <v>×</v>
      </c>
      <c r="E361" s="169" t="str">
        <f>IF(G161="","",G161)</f>
        <v/>
      </c>
      <c r="F361" s="170"/>
      <c r="G361" s="170"/>
      <c r="H361" s="173"/>
      <c r="I361" s="173"/>
      <c r="J361" s="173"/>
      <c r="K361" s="167" t="str">
        <f t="shared" si="28"/>
        <v/>
      </c>
      <c r="L361" s="167"/>
      <c r="M361" s="167"/>
      <c r="N361" s="167"/>
      <c r="O361" s="167" t="str">
        <f t="shared" si="30"/>
        <v/>
      </c>
      <c r="P361" s="167"/>
      <c r="Q361" s="167"/>
      <c r="R361" s="167"/>
      <c r="S361" s="167" t="str">
        <f t="shared" si="31"/>
        <v/>
      </c>
      <c r="T361" s="167"/>
      <c r="U361" s="167"/>
      <c r="V361" s="167"/>
      <c r="W361" s="167"/>
      <c r="X361" s="167" t="str">
        <f t="shared" si="32"/>
        <v/>
      </c>
      <c r="Y361" s="167"/>
      <c r="Z361" s="167"/>
      <c r="AA361" s="167"/>
      <c r="AB361" s="163" t="str">
        <f t="shared" si="33"/>
        <v/>
      </c>
      <c r="AC361" s="163"/>
      <c r="AD361" s="163"/>
      <c r="AE361" s="163"/>
      <c r="AF361" s="163">
        <f>SUM(AB$355:AB361)</f>
        <v>5.9809000000000001</v>
      </c>
      <c r="AG361" s="163"/>
      <c r="AH361" s="163"/>
      <c r="AI361" s="164"/>
    </row>
    <row r="362" spans="1:35" s="7" customFormat="1" ht="15.75" customHeight="1" x14ac:dyDescent="0.15">
      <c r="A362" s="63" t="str">
        <f t="shared" si="29"/>
        <v>×</v>
      </c>
      <c r="E362" s="169" t="str">
        <f>IF(G162="","",G162)</f>
        <v/>
      </c>
      <c r="F362" s="170"/>
      <c r="G362" s="170"/>
      <c r="H362" s="173"/>
      <c r="I362" s="173"/>
      <c r="J362" s="173"/>
      <c r="K362" s="167" t="str">
        <f t="shared" si="28"/>
        <v/>
      </c>
      <c r="L362" s="167"/>
      <c r="M362" s="167"/>
      <c r="N362" s="167"/>
      <c r="O362" s="167" t="str">
        <f t="shared" si="30"/>
        <v/>
      </c>
      <c r="P362" s="167"/>
      <c r="Q362" s="167"/>
      <c r="R362" s="167"/>
      <c r="S362" s="167" t="str">
        <f t="shared" si="31"/>
        <v/>
      </c>
      <c r="T362" s="167"/>
      <c r="U362" s="167"/>
      <c r="V362" s="167"/>
      <c r="W362" s="167"/>
      <c r="X362" s="167" t="str">
        <f t="shared" si="32"/>
        <v/>
      </c>
      <c r="Y362" s="167"/>
      <c r="Z362" s="167"/>
      <c r="AA362" s="167"/>
      <c r="AB362" s="163" t="str">
        <f t="shared" si="33"/>
        <v/>
      </c>
      <c r="AC362" s="163"/>
      <c r="AD362" s="163"/>
      <c r="AE362" s="163"/>
      <c r="AF362" s="163">
        <f>SUM(AB$355:AB362)</f>
        <v>5.9809000000000001</v>
      </c>
      <c r="AG362" s="163"/>
      <c r="AH362" s="163"/>
      <c r="AI362" s="164"/>
    </row>
    <row r="363" spans="1:35" s="7" customFormat="1" ht="15.75" customHeight="1" x14ac:dyDescent="0.15">
      <c r="A363" s="63" t="str">
        <f t="shared" si="29"/>
        <v>×</v>
      </c>
      <c r="E363" s="169" t="str">
        <f>IF(G163="","",G163)</f>
        <v/>
      </c>
      <c r="F363" s="170"/>
      <c r="G363" s="170"/>
      <c r="H363" s="173"/>
      <c r="I363" s="173"/>
      <c r="J363" s="173"/>
      <c r="K363" s="167" t="str">
        <f t="shared" si="28"/>
        <v/>
      </c>
      <c r="L363" s="167"/>
      <c r="M363" s="167"/>
      <c r="N363" s="167"/>
      <c r="O363" s="167" t="str">
        <f t="shared" si="30"/>
        <v/>
      </c>
      <c r="P363" s="167"/>
      <c r="Q363" s="167"/>
      <c r="R363" s="167"/>
      <c r="S363" s="167" t="str">
        <f t="shared" si="31"/>
        <v/>
      </c>
      <c r="T363" s="167"/>
      <c r="U363" s="167"/>
      <c r="V363" s="167"/>
      <c r="W363" s="167"/>
      <c r="X363" s="167" t="str">
        <f t="shared" si="32"/>
        <v/>
      </c>
      <c r="Y363" s="167"/>
      <c r="Z363" s="167"/>
      <c r="AA363" s="167"/>
      <c r="AB363" s="163" t="str">
        <f t="shared" si="33"/>
        <v/>
      </c>
      <c r="AC363" s="163"/>
      <c r="AD363" s="163"/>
      <c r="AE363" s="163"/>
      <c r="AF363" s="163">
        <f>SUM(AB$355:AB363)</f>
        <v>5.9809000000000001</v>
      </c>
      <c r="AG363" s="163"/>
      <c r="AH363" s="163"/>
      <c r="AI363" s="164"/>
    </row>
    <row r="364" spans="1:35" s="7" customFormat="1" ht="15.75" customHeight="1" x14ac:dyDescent="0.15">
      <c r="A364" s="63" t="str">
        <f t="shared" si="29"/>
        <v>×</v>
      </c>
      <c r="E364" s="169" t="str">
        <f>IF(G164="","",G164)</f>
        <v/>
      </c>
      <c r="F364" s="170"/>
      <c r="G364" s="170"/>
      <c r="H364" s="173"/>
      <c r="I364" s="173"/>
      <c r="J364" s="173"/>
      <c r="K364" s="167" t="str">
        <f t="shared" si="28"/>
        <v/>
      </c>
      <c r="L364" s="167"/>
      <c r="M364" s="167"/>
      <c r="N364" s="167"/>
      <c r="O364" s="167" t="str">
        <f t="shared" si="30"/>
        <v/>
      </c>
      <c r="P364" s="167"/>
      <c r="Q364" s="167"/>
      <c r="R364" s="167"/>
      <c r="S364" s="167" t="str">
        <f t="shared" si="31"/>
        <v/>
      </c>
      <c r="T364" s="167"/>
      <c r="U364" s="167"/>
      <c r="V364" s="167"/>
      <c r="W364" s="167"/>
      <c r="X364" s="167" t="str">
        <f t="shared" si="32"/>
        <v/>
      </c>
      <c r="Y364" s="167"/>
      <c r="Z364" s="167"/>
      <c r="AA364" s="167"/>
      <c r="AB364" s="163" t="str">
        <f t="shared" si="33"/>
        <v/>
      </c>
      <c r="AC364" s="163"/>
      <c r="AD364" s="163"/>
      <c r="AE364" s="163"/>
      <c r="AF364" s="163">
        <f>SUM(AB$355:AB364)</f>
        <v>5.9809000000000001</v>
      </c>
      <c r="AG364" s="163"/>
      <c r="AH364" s="163"/>
      <c r="AI364" s="164"/>
    </row>
    <row r="365" spans="1:35" s="7" customFormat="1" ht="15.75" customHeight="1" x14ac:dyDescent="0.15">
      <c r="A365" s="63" t="str">
        <f t="shared" si="29"/>
        <v>×</v>
      </c>
      <c r="E365" s="169" t="str">
        <f>IF(G165="","",G165)</f>
        <v/>
      </c>
      <c r="F365" s="170"/>
      <c r="G365" s="170"/>
      <c r="H365" s="173"/>
      <c r="I365" s="173"/>
      <c r="J365" s="173"/>
      <c r="K365" s="167" t="str">
        <f t="shared" si="28"/>
        <v/>
      </c>
      <c r="L365" s="167"/>
      <c r="M365" s="167"/>
      <c r="N365" s="167"/>
      <c r="O365" s="167" t="str">
        <f t="shared" si="30"/>
        <v/>
      </c>
      <c r="P365" s="167"/>
      <c r="Q365" s="167"/>
      <c r="R365" s="167"/>
      <c r="S365" s="167" t="str">
        <f t="shared" si="31"/>
        <v/>
      </c>
      <c r="T365" s="167"/>
      <c r="U365" s="167"/>
      <c r="V365" s="167"/>
      <c r="W365" s="167"/>
      <c r="X365" s="167" t="str">
        <f t="shared" si="32"/>
        <v/>
      </c>
      <c r="Y365" s="167"/>
      <c r="Z365" s="167"/>
      <c r="AA365" s="167"/>
      <c r="AB365" s="163" t="str">
        <f t="shared" si="33"/>
        <v/>
      </c>
      <c r="AC365" s="163"/>
      <c r="AD365" s="163"/>
      <c r="AE365" s="163"/>
      <c r="AF365" s="163">
        <f>SUM(AB$355:AB365)</f>
        <v>5.9809000000000001</v>
      </c>
      <c r="AG365" s="163"/>
      <c r="AH365" s="163"/>
      <c r="AI365" s="164"/>
    </row>
    <row r="366" spans="1:35" s="7" customFormat="1" ht="15.75" customHeight="1" x14ac:dyDescent="0.15">
      <c r="A366" s="63" t="str">
        <f t="shared" si="29"/>
        <v>×</v>
      </c>
      <c r="E366" s="169" t="str">
        <f>IF(G166="","",G166)</f>
        <v/>
      </c>
      <c r="F366" s="170"/>
      <c r="G366" s="170"/>
      <c r="H366" s="173"/>
      <c r="I366" s="173"/>
      <c r="J366" s="173"/>
      <c r="K366" s="167" t="str">
        <f t="shared" si="28"/>
        <v/>
      </c>
      <c r="L366" s="167"/>
      <c r="M366" s="167"/>
      <c r="N366" s="167"/>
      <c r="O366" s="167" t="str">
        <f t="shared" si="30"/>
        <v/>
      </c>
      <c r="P366" s="167"/>
      <c r="Q366" s="167"/>
      <c r="R366" s="167"/>
      <c r="S366" s="167" t="str">
        <f t="shared" si="31"/>
        <v/>
      </c>
      <c r="T366" s="167"/>
      <c r="U366" s="167"/>
      <c r="V366" s="167"/>
      <c r="W366" s="167"/>
      <c r="X366" s="167" t="str">
        <f t="shared" si="32"/>
        <v/>
      </c>
      <c r="Y366" s="167"/>
      <c r="Z366" s="167"/>
      <c r="AA366" s="167"/>
      <c r="AB366" s="163" t="str">
        <f t="shared" si="33"/>
        <v/>
      </c>
      <c r="AC366" s="163"/>
      <c r="AD366" s="163"/>
      <c r="AE366" s="163"/>
      <c r="AF366" s="163">
        <f>SUM(AB$355:AB366)</f>
        <v>5.9809000000000001</v>
      </c>
      <c r="AG366" s="163"/>
      <c r="AH366" s="163"/>
      <c r="AI366" s="164"/>
    </row>
    <row r="367" spans="1:35" s="7" customFormat="1" ht="15.75" customHeight="1" x14ac:dyDescent="0.15">
      <c r="A367" s="63" t="str">
        <f t="shared" si="29"/>
        <v>×</v>
      </c>
      <c r="E367" s="169" t="str">
        <f>IF(G167="","",G167)</f>
        <v/>
      </c>
      <c r="F367" s="170"/>
      <c r="G367" s="170"/>
      <c r="H367" s="173"/>
      <c r="I367" s="173"/>
      <c r="J367" s="173"/>
      <c r="K367" s="167" t="str">
        <f t="shared" si="28"/>
        <v/>
      </c>
      <c r="L367" s="167"/>
      <c r="M367" s="167"/>
      <c r="N367" s="167"/>
      <c r="O367" s="167" t="str">
        <f t="shared" si="30"/>
        <v/>
      </c>
      <c r="P367" s="167"/>
      <c r="Q367" s="167"/>
      <c r="R367" s="167"/>
      <c r="S367" s="167" t="str">
        <f t="shared" si="31"/>
        <v/>
      </c>
      <c r="T367" s="167"/>
      <c r="U367" s="167"/>
      <c r="V367" s="167"/>
      <c r="W367" s="167"/>
      <c r="X367" s="167" t="str">
        <f t="shared" si="32"/>
        <v/>
      </c>
      <c r="Y367" s="167"/>
      <c r="Z367" s="167"/>
      <c r="AA367" s="167"/>
      <c r="AB367" s="163" t="str">
        <f t="shared" si="33"/>
        <v/>
      </c>
      <c r="AC367" s="163"/>
      <c r="AD367" s="163"/>
      <c r="AE367" s="163"/>
      <c r="AF367" s="163">
        <f>SUM(AB$355:AB367)</f>
        <v>5.9809000000000001</v>
      </c>
      <c r="AG367" s="163"/>
      <c r="AH367" s="163"/>
      <c r="AI367" s="164"/>
    </row>
    <row r="368" spans="1:35" s="7" customFormat="1" ht="15.75" customHeight="1" x14ac:dyDescent="0.15">
      <c r="A368" s="63" t="str">
        <f t="shared" si="29"/>
        <v>×</v>
      </c>
      <c r="E368" s="169" t="str">
        <f>IF(G168="","",G168)</f>
        <v/>
      </c>
      <c r="F368" s="170"/>
      <c r="G368" s="170"/>
      <c r="H368" s="173"/>
      <c r="I368" s="173"/>
      <c r="J368" s="173"/>
      <c r="K368" s="167" t="str">
        <f t="shared" si="28"/>
        <v/>
      </c>
      <c r="L368" s="167"/>
      <c r="M368" s="167"/>
      <c r="N368" s="167"/>
      <c r="O368" s="167" t="str">
        <f t="shared" si="30"/>
        <v/>
      </c>
      <c r="P368" s="167"/>
      <c r="Q368" s="167"/>
      <c r="R368" s="167"/>
      <c r="S368" s="167" t="str">
        <f t="shared" si="31"/>
        <v/>
      </c>
      <c r="T368" s="167"/>
      <c r="U368" s="167"/>
      <c r="V368" s="167"/>
      <c r="W368" s="167"/>
      <c r="X368" s="167" t="str">
        <f t="shared" si="32"/>
        <v/>
      </c>
      <c r="Y368" s="167"/>
      <c r="Z368" s="167"/>
      <c r="AA368" s="167"/>
      <c r="AB368" s="163" t="str">
        <f t="shared" si="33"/>
        <v/>
      </c>
      <c r="AC368" s="163"/>
      <c r="AD368" s="163"/>
      <c r="AE368" s="163"/>
      <c r="AF368" s="163">
        <f>SUM(AB$355:AB368)</f>
        <v>5.9809000000000001</v>
      </c>
      <c r="AG368" s="163"/>
      <c r="AH368" s="163"/>
      <c r="AI368" s="164"/>
    </row>
    <row r="369" spans="1:35" s="7" customFormat="1" ht="15.75" customHeight="1" x14ac:dyDescent="0.15">
      <c r="A369" s="63" t="str">
        <f t="shared" si="29"/>
        <v>×</v>
      </c>
      <c r="E369" s="169" t="str">
        <f>IF(G169="","",G169)</f>
        <v/>
      </c>
      <c r="F369" s="170"/>
      <c r="G369" s="170"/>
      <c r="H369" s="173"/>
      <c r="I369" s="173"/>
      <c r="J369" s="173"/>
      <c r="K369" s="167" t="str">
        <f t="shared" si="28"/>
        <v/>
      </c>
      <c r="L369" s="167"/>
      <c r="M369" s="167"/>
      <c r="N369" s="167"/>
      <c r="O369" s="167" t="str">
        <f t="shared" ref="O369:O370" si="34">IF(K369="","",ROUND(K369*$R$345,0))</f>
        <v/>
      </c>
      <c r="P369" s="167"/>
      <c r="Q369" s="167"/>
      <c r="R369" s="167"/>
      <c r="S369" s="167" t="str">
        <f t="shared" si="31"/>
        <v/>
      </c>
      <c r="T369" s="167"/>
      <c r="U369" s="167"/>
      <c r="V369" s="167"/>
      <c r="W369" s="167"/>
      <c r="X369" s="167" t="str">
        <f t="shared" si="32"/>
        <v/>
      </c>
      <c r="Y369" s="167"/>
      <c r="Z369" s="167"/>
      <c r="AA369" s="167"/>
      <c r="AB369" s="163" t="str">
        <f t="shared" si="33"/>
        <v/>
      </c>
      <c r="AC369" s="163"/>
      <c r="AD369" s="163"/>
      <c r="AE369" s="163"/>
      <c r="AF369" s="163">
        <f>SUM(AB$355:AB369)</f>
        <v>5.9809000000000001</v>
      </c>
      <c r="AG369" s="163"/>
      <c r="AH369" s="163"/>
      <c r="AI369" s="164"/>
    </row>
    <row r="370" spans="1:35" s="7" customFormat="1" ht="15.75" customHeight="1" x14ac:dyDescent="0.15">
      <c r="A370" s="63" t="str">
        <f t="shared" si="29"/>
        <v>×</v>
      </c>
      <c r="E370" s="171" t="str">
        <f>IF(G170="","",G170)</f>
        <v/>
      </c>
      <c r="F370" s="172"/>
      <c r="G370" s="172"/>
      <c r="H370" s="437"/>
      <c r="I370" s="437"/>
      <c r="J370" s="437"/>
      <c r="K370" s="168" t="str">
        <f t="shared" si="28"/>
        <v/>
      </c>
      <c r="L370" s="168"/>
      <c r="M370" s="168"/>
      <c r="N370" s="168"/>
      <c r="O370" s="168" t="str">
        <f t="shared" si="34"/>
        <v/>
      </c>
      <c r="P370" s="168"/>
      <c r="Q370" s="168"/>
      <c r="R370" s="168"/>
      <c r="S370" s="168" t="str">
        <f t="shared" si="31"/>
        <v/>
      </c>
      <c r="T370" s="168"/>
      <c r="U370" s="168"/>
      <c r="V370" s="168"/>
      <c r="W370" s="168"/>
      <c r="X370" s="168" t="str">
        <f t="shared" si="32"/>
        <v/>
      </c>
      <c r="Y370" s="168"/>
      <c r="Z370" s="168"/>
      <c r="AA370" s="168"/>
      <c r="AB370" s="165" t="str">
        <f t="shared" si="33"/>
        <v/>
      </c>
      <c r="AC370" s="165"/>
      <c r="AD370" s="165"/>
      <c r="AE370" s="165"/>
      <c r="AF370" s="165">
        <f>SUM(AB$355:AB370)</f>
        <v>5.9809000000000001</v>
      </c>
      <c r="AG370" s="165"/>
      <c r="AH370" s="165"/>
      <c r="AI370" s="166"/>
    </row>
    <row r="371" spans="1:35" ht="15.75" customHeight="1" x14ac:dyDescent="0.15">
      <c r="E371" s="6"/>
      <c r="W371" s="8" t="s">
        <v>143</v>
      </c>
      <c r="X371" s="6">
        <v>4</v>
      </c>
      <c r="Y371" s="261" t="s">
        <v>188</v>
      </c>
      <c r="Z371" s="261"/>
      <c r="AA371" s="6" t="s">
        <v>27</v>
      </c>
      <c r="AB371" s="441">
        <f>ROUND(4*AB347*AE347^AF347*AD348,0)</f>
        <v>4398464</v>
      </c>
      <c r="AC371" s="441"/>
      <c r="AD371" s="441"/>
      <c r="AE371" s="441"/>
      <c r="AF371" s="441"/>
      <c r="AG371" s="345" t="s">
        <v>189</v>
      </c>
      <c r="AH371" s="345"/>
      <c r="AI371" s="6" t="s">
        <v>190</v>
      </c>
    </row>
    <row r="372" spans="1:35" ht="15.75" customHeight="1" x14ac:dyDescent="0.15">
      <c r="E372" s="6"/>
    </row>
    <row r="373" spans="1:35" ht="15.75" hidden="1" customHeight="1" x14ac:dyDescent="0.15"/>
    <row r="374" spans="1:35" s="7" customFormat="1" ht="15.75" hidden="1" customHeight="1" x14ac:dyDescent="0.2">
      <c r="F374" s="7" t="s">
        <v>217</v>
      </c>
    </row>
    <row r="375" spans="1:35" s="7" customFormat="1" ht="15.75" hidden="1" customHeight="1" x14ac:dyDescent="0.2">
      <c r="F375" s="7" t="s">
        <v>192</v>
      </c>
    </row>
    <row r="376" spans="1:35" s="7" customFormat="1" ht="15.75" hidden="1" customHeight="1" x14ac:dyDescent="0.15">
      <c r="AC376" s="345" t="s">
        <v>220</v>
      </c>
      <c r="AD376" s="345"/>
      <c r="AE376" s="345"/>
      <c r="AF376" s="345"/>
    </row>
    <row r="377" spans="1:35" s="7" customFormat="1" ht="15.75" hidden="1" customHeight="1" x14ac:dyDescent="0.2">
      <c r="F377" s="8" t="s">
        <v>211</v>
      </c>
      <c r="G377" s="6" t="s">
        <v>27</v>
      </c>
      <c r="H377" s="7" t="s">
        <v>212</v>
      </c>
      <c r="M377" s="6" t="s">
        <v>27</v>
      </c>
      <c r="N377" s="21">
        <v>1</v>
      </c>
      <c r="O377" s="6" t="s">
        <v>214</v>
      </c>
      <c r="P377" s="389">
        <f>AB355</f>
        <v>0.69330000000000003</v>
      </c>
      <c r="Q377" s="261"/>
      <c r="R377" s="261"/>
      <c r="S377" s="7" t="s">
        <v>215</v>
      </c>
      <c r="T377" s="7" t="s">
        <v>216</v>
      </c>
      <c r="U377" s="389" t="e">
        <f>#REF!</f>
        <v>#REF!</v>
      </c>
      <c r="V377" s="261"/>
      <c r="W377" s="261"/>
      <c r="X377" s="6" t="s">
        <v>27</v>
      </c>
      <c r="Y377" s="178" t="e">
        <f>(N377-P377)/U377</f>
        <v>#REF!</v>
      </c>
      <c r="Z377" s="178"/>
      <c r="AA377" s="22" t="s">
        <v>219</v>
      </c>
      <c r="AD377" s="178" t="e">
        <f>#REF!</f>
        <v>#REF!</v>
      </c>
      <c r="AE377" s="178"/>
      <c r="AF377" s="22" t="s">
        <v>218</v>
      </c>
    </row>
    <row r="378" spans="1:35" s="7" customFormat="1" ht="15.75" hidden="1" customHeight="1" x14ac:dyDescent="0.15"/>
    <row r="379" spans="1:35" s="7" customFormat="1" ht="15.75" hidden="1" customHeight="1" x14ac:dyDescent="0.15">
      <c r="F379" s="7" t="s">
        <v>221</v>
      </c>
    </row>
    <row r="380" spans="1:35" s="7" customFormat="1" ht="15.75" hidden="1" customHeight="1" x14ac:dyDescent="0.15"/>
    <row r="381" spans="1:35" s="7" customFormat="1" ht="15.75" hidden="1" customHeight="1" x14ac:dyDescent="0.2">
      <c r="F381" s="8" t="s">
        <v>222</v>
      </c>
      <c r="G381" s="6" t="s">
        <v>27</v>
      </c>
      <c r="H381" s="8" t="s">
        <v>223</v>
      </c>
      <c r="I381" s="1" t="s">
        <v>6</v>
      </c>
      <c r="J381" s="8" t="s">
        <v>211</v>
      </c>
      <c r="K381" s="6" t="s">
        <v>27</v>
      </c>
      <c r="L381" s="178">
        <f>H355</f>
        <v>3</v>
      </c>
      <c r="M381" s="178"/>
      <c r="N381" s="1" t="s">
        <v>6</v>
      </c>
      <c r="O381" s="178" t="e">
        <f>Y377</f>
        <v>#REF!</v>
      </c>
      <c r="P381" s="178"/>
      <c r="Q381" s="6" t="s">
        <v>27</v>
      </c>
      <c r="R381" s="178" t="e">
        <f>L381+O381</f>
        <v>#REF!</v>
      </c>
      <c r="S381" s="178"/>
      <c r="T381" s="22" t="s">
        <v>218</v>
      </c>
    </row>
    <row r="382" spans="1:35" s="7" customFormat="1" ht="15.75" customHeight="1" x14ac:dyDescent="0.15"/>
    <row r="383" spans="1:35" s="7" customFormat="1" ht="15.75" customHeight="1" x14ac:dyDescent="0.15">
      <c r="E383" s="7" t="s">
        <v>92</v>
      </c>
      <c r="F383" s="7" t="s">
        <v>224</v>
      </c>
    </row>
    <row r="384" spans="1:35" s="7" customFormat="1" ht="15.75" customHeight="1" x14ac:dyDescent="0.15"/>
    <row r="385" spans="1:38" s="7" customFormat="1" ht="15.75" customHeight="1" x14ac:dyDescent="0.15">
      <c r="F385" s="7" t="s">
        <v>225</v>
      </c>
    </row>
    <row r="386" spans="1:38" s="7" customFormat="1" ht="15.75" customHeight="1" x14ac:dyDescent="0.15"/>
    <row r="387" spans="1:38" s="7" customFormat="1" ht="15.75" customHeight="1" x14ac:dyDescent="0.15">
      <c r="J387" s="104" t="s">
        <v>234</v>
      </c>
      <c r="K387" s="104"/>
      <c r="L387" s="104"/>
      <c r="M387" s="104"/>
      <c r="N387" s="104"/>
      <c r="O387" s="104"/>
      <c r="P387" s="104"/>
      <c r="Q387" s="104"/>
      <c r="R387" s="104"/>
      <c r="S387" s="104"/>
      <c r="T387" s="104"/>
      <c r="U387" s="104"/>
      <c r="V387" s="104"/>
      <c r="W387" s="104"/>
      <c r="X387" s="104"/>
      <c r="Y387" s="104"/>
      <c r="Z387" s="104"/>
      <c r="AA387" s="15"/>
      <c r="AB387" s="15"/>
      <c r="AC387" s="15"/>
      <c r="AD387" s="15"/>
      <c r="AE387" s="15"/>
      <c r="AF387" s="15"/>
      <c r="AG387" s="15"/>
      <c r="AH387" s="15"/>
      <c r="AI387" s="15"/>
      <c r="AJ387" s="15"/>
      <c r="AK387" s="15"/>
      <c r="AL387" s="15"/>
    </row>
    <row r="388" spans="1:38" s="7" customFormat="1" ht="15.75" customHeight="1" x14ac:dyDescent="0.15">
      <c r="J388" s="360" t="s">
        <v>91</v>
      </c>
      <c r="K388" s="361"/>
      <c r="L388" s="361"/>
      <c r="M388" s="249" t="s">
        <v>228</v>
      </c>
      <c r="N388" s="249"/>
      <c r="O388" s="249"/>
      <c r="P388" s="249"/>
      <c r="Q388" s="249" t="s">
        <v>229</v>
      </c>
      <c r="R388" s="249"/>
      <c r="S388" s="249"/>
      <c r="T388" s="387" t="s">
        <v>226</v>
      </c>
      <c r="U388" s="435"/>
      <c r="V388" s="435"/>
      <c r="W388" s="249" t="s">
        <v>584</v>
      </c>
      <c r="X388" s="249"/>
      <c r="Y388" s="249"/>
      <c r="Z388" s="251"/>
      <c r="AA388" s="15"/>
      <c r="AB388" s="15"/>
      <c r="AC388" s="15"/>
    </row>
    <row r="389" spans="1:38" s="7" customFormat="1" ht="15.75" customHeight="1" x14ac:dyDescent="0.15">
      <c r="J389" s="364"/>
      <c r="K389" s="365"/>
      <c r="L389" s="365"/>
      <c r="M389" s="249"/>
      <c r="N389" s="249"/>
      <c r="O389" s="249"/>
      <c r="P389" s="249"/>
      <c r="Q389" s="249"/>
      <c r="R389" s="249"/>
      <c r="S389" s="249"/>
      <c r="T389" s="436"/>
      <c r="U389" s="436"/>
      <c r="V389" s="436"/>
      <c r="W389" s="249"/>
      <c r="X389" s="249"/>
      <c r="Y389" s="249"/>
      <c r="Z389" s="251"/>
      <c r="AA389" s="15"/>
      <c r="AB389" s="15"/>
      <c r="AC389" s="15"/>
    </row>
    <row r="390" spans="1:38" s="7" customFormat="1" ht="15.75" customHeight="1" x14ac:dyDescent="0.15">
      <c r="A390" s="96" t="str">
        <f>IF(T390="","×","")</f>
        <v>×</v>
      </c>
      <c r="J390" s="444"/>
      <c r="K390" s="445"/>
      <c r="L390" s="445"/>
      <c r="M390" s="250">
        <f t="shared" ref="M390:M405" si="35">T112</f>
        <v>1393</v>
      </c>
      <c r="N390" s="250"/>
      <c r="O390" s="250"/>
      <c r="P390" s="250"/>
      <c r="Q390" s="438">
        <f>PI()*Q92</f>
        <v>3.1415926535897931</v>
      </c>
      <c r="R390" s="438"/>
      <c r="S390" s="438"/>
      <c r="T390" s="453"/>
      <c r="U390" s="453"/>
      <c r="V390" s="453"/>
      <c r="W390" s="200">
        <f t="shared" ref="W390:W405" si="36">ROUND(T390*M390*Q390,-1)</f>
        <v>0</v>
      </c>
      <c r="X390" s="200"/>
      <c r="Y390" s="200"/>
      <c r="Z390" s="252"/>
      <c r="AA390" s="15"/>
      <c r="AB390" s="15"/>
      <c r="AC390" s="15"/>
      <c r="AD390" s="15"/>
    </row>
    <row r="391" spans="1:38" s="7" customFormat="1" ht="15.75" customHeight="1" x14ac:dyDescent="0.15">
      <c r="A391" s="96" t="str">
        <f t="shared" ref="A391:A405" si="37">IF(T391="","×","")</f>
        <v>×</v>
      </c>
      <c r="J391" s="446"/>
      <c r="K391" s="447"/>
      <c r="L391" s="447"/>
      <c r="M391" s="167">
        <f t="shared" si="35"/>
        <v>2862</v>
      </c>
      <c r="N391" s="167"/>
      <c r="O391" s="167"/>
      <c r="P391" s="167"/>
      <c r="Q391" s="262">
        <f>Q390</f>
        <v>3.1415926535897931</v>
      </c>
      <c r="R391" s="262"/>
      <c r="S391" s="262"/>
      <c r="T391" s="450"/>
      <c r="U391" s="450"/>
      <c r="V391" s="450"/>
      <c r="W391" s="144">
        <f t="shared" si="36"/>
        <v>0</v>
      </c>
      <c r="X391" s="144"/>
      <c r="Y391" s="144"/>
      <c r="Z391" s="150"/>
      <c r="AA391" s="15"/>
      <c r="AB391" s="15"/>
      <c r="AC391" s="15"/>
      <c r="AD391" s="15"/>
    </row>
    <row r="392" spans="1:38" s="7" customFormat="1" ht="15.75" customHeight="1" x14ac:dyDescent="0.15">
      <c r="A392" s="96" t="str">
        <f t="shared" si="37"/>
        <v>×</v>
      </c>
      <c r="J392" s="446"/>
      <c r="K392" s="447"/>
      <c r="L392" s="447"/>
      <c r="M392" s="167">
        <f t="shared" si="35"/>
        <v>3257</v>
      </c>
      <c r="N392" s="167"/>
      <c r="O392" s="167"/>
      <c r="P392" s="167"/>
      <c r="Q392" s="262">
        <f t="shared" ref="Q392:Q405" si="38">Q391</f>
        <v>3.1415926535897931</v>
      </c>
      <c r="R392" s="262"/>
      <c r="S392" s="262"/>
      <c r="T392" s="450"/>
      <c r="U392" s="450"/>
      <c r="V392" s="450"/>
      <c r="W392" s="144">
        <f t="shared" si="36"/>
        <v>0</v>
      </c>
      <c r="X392" s="144"/>
      <c r="Y392" s="144"/>
      <c r="Z392" s="150"/>
      <c r="AA392" s="15"/>
      <c r="AB392" s="15"/>
      <c r="AC392" s="15"/>
      <c r="AD392" s="15"/>
    </row>
    <row r="393" spans="1:38" s="7" customFormat="1" ht="15.75" customHeight="1" x14ac:dyDescent="0.15">
      <c r="A393" s="96" t="str">
        <f t="shared" si="37"/>
        <v>×</v>
      </c>
      <c r="J393" s="446"/>
      <c r="K393" s="447"/>
      <c r="L393" s="447"/>
      <c r="M393" s="167">
        <f t="shared" si="35"/>
        <v>4644</v>
      </c>
      <c r="N393" s="167"/>
      <c r="O393" s="167"/>
      <c r="P393" s="167"/>
      <c r="Q393" s="262">
        <f t="shared" si="38"/>
        <v>3.1415926535897931</v>
      </c>
      <c r="R393" s="262"/>
      <c r="S393" s="262"/>
      <c r="T393" s="450"/>
      <c r="U393" s="450"/>
      <c r="V393" s="450"/>
      <c r="W393" s="144">
        <f t="shared" si="36"/>
        <v>0</v>
      </c>
      <c r="X393" s="144"/>
      <c r="Y393" s="144"/>
      <c r="Z393" s="150"/>
      <c r="AA393" s="15"/>
      <c r="AB393" s="15"/>
      <c r="AC393" s="15"/>
      <c r="AD393" s="15"/>
    </row>
    <row r="394" spans="1:38" s="7" customFormat="1" ht="15.75" customHeight="1" x14ac:dyDescent="0.15">
      <c r="A394" s="96" t="str">
        <f t="shared" si="37"/>
        <v>×</v>
      </c>
      <c r="J394" s="446"/>
      <c r="K394" s="447"/>
      <c r="L394" s="447"/>
      <c r="M394" s="167">
        <f t="shared" si="35"/>
        <v>9176</v>
      </c>
      <c r="N394" s="167"/>
      <c r="O394" s="167"/>
      <c r="P394" s="167"/>
      <c r="Q394" s="262">
        <f t="shared" si="38"/>
        <v>3.1415926535897931</v>
      </c>
      <c r="R394" s="262"/>
      <c r="S394" s="262"/>
      <c r="T394" s="450"/>
      <c r="U394" s="450"/>
      <c r="V394" s="450"/>
      <c r="W394" s="144">
        <f t="shared" si="36"/>
        <v>0</v>
      </c>
      <c r="X394" s="144"/>
      <c r="Y394" s="144"/>
      <c r="Z394" s="150"/>
      <c r="AA394" s="15"/>
      <c r="AB394" s="15"/>
      <c r="AC394" s="15"/>
      <c r="AD394" s="15"/>
    </row>
    <row r="395" spans="1:38" s="7" customFormat="1" ht="15.75" customHeight="1" x14ac:dyDescent="0.15">
      <c r="A395" s="96" t="str">
        <f t="shared" si="37"/>
        <v>×</v>
      </c>
      <c r="J395" s="446"/>
      <c r="K395" s="447"/>
      <c r="L395" s="447"/>
      <c r="M395" s="167">
        <f t="shared" si="35"/>
        <v>0</v>
      </c>
      <c r="N395" s="167"/>
      <c r="O395" s="167"/>
      <c r="P395" s="167"/>
      <c r="Q395" s="262">
        <f t="shared" si="38"/>
        <v>3.1415926535897931</v>
      </c>
      <c r="R395" s="262"/>
      <c r="S395" s="262"/>
      <c r="T395" s="450"/>
      <c r="U395" s="450"/>
      <c r="V395" s="450"/>
      <c r="W395" s="144">
        <f t="shared" si="36"/>
        <v>0</v>
      </c>
      <c r="X395" s="144"/>
      <c r="Y395" s="144"/>
      <c r="Z395" s="150"/>
      <c r="AA395" s="15"/>
      <c r="AB395" s="15"/>
      <c r="AC395" s="15"/>
      <c r="AD395" s="15"/>
    </row>
    <row r="396" spans="1:38" s="7" customFormat="1" ht="15.75" customHeight="1" x14ac:dyDescent="0.15">
      <c r="A396" s="96" t="str">
        <f t="shared" si="37"/>
        <v>×</v>
      </c>
      <c r="J396" s="446"/>
      <c r="K396" s="447"/>
      <c r="L396" s="447"/>
      <c r="M396" s="167">
        <f t="shared" si="35"/>
        <v>0</v>
      </c>
      <c r="N396" s="167"/>
      <c r="O396" s="167"/>
      <c r="P396" s="167"/>
      <c r="Q396" s="262">
        <f t="shared" si="38"/>
        <v>3.1415926535897931</v>
      </c>
      <c r="R396" s="262"/>
      <c r="S396" s="262"/>
      <c r="T396" s="450"/>
      <c r="U396" s="450"/>
      <c r="V396" s="450"/>
      <c r="W396" s="144">
        <f t="shared" si="36"/>
        <v>0</v>
      </c>
      <c r="X396" s="144"/>
      <c r="Y396" s="144"/>
      <c r="Z396" s="150"/>
      <c r="AA396" s="15"/>
      <c r="AB396" s="15"/>
      <c r="AC396" s="15"/>
      <c r="AD396" s="15"/>
    </row>
    <row r="397" spans="1:38" s="7" customFormat="1" ht="15.75" customHeight="1" x14ac:dyDescent="0.15">
      <c r="A397" s="96" t="str">
        <f t="shared" si="37"/>
        <v>×</v>
      </c>
      <c r="J397" s="446"/>
      <c r="K397" s="447"/>
      <c r="L397" s="447"/>
      <c r="M397" s="167">
        <f t="shared" si="35"/>
        <v>0</v>
      </c>
      <c r="N397" s="167"/>
      <c r="O397" s="167"/>
      <c r="P397" s="167"/>
      <c r="Q397" s="262">
        <f t="shared" si="38"/>
        <v>3.1415926535897931</v>
      </c>
      <c r="R397" s="262"/>
      <c r="S397" s="262"/>
      <c r="T397" s="450"/>
      <c r="U397" s="450"/>
      <c r="V397" s="450"/>
      <c r="W397" s="144">
        <f t="shared" si="36"/>
        <v>0</v>
      </c>
      <c r="X397" s="144"/>
      <c r="Y397" s="144"/>
      <c r="Z397" s="150"/>
      <c r="AA397" s="15"/>
      <c r="AB397" s="15"/>
      <c r="AC397" s="15"/>
      <c r="AD397" s="15"/>
    </row>
    <row r="398" spans="1:38" s="7" customFormat="1" ht="15.75" customHeight="1" x14ac:dyDescent="0.15">
      <c r="A398" s="96" t="str">
        <f t="shared" si="37"/>
        <v>×</v>
      </c>
      <c r="J398" s="446"/>
      <c r="K398" s="447"/>
      <c r="L398" s="447"/>
      <c r="M398" s="167">
        <f t="shared" si="35"/>
        <v>0</v>
      </c>
      <c r="N398" s="167"/>
      <c r="O398" s="167"/>
      <c r="P398" s="167"/>
      <c r="Q398" s="262">
        <f t="shared" si="38"/>
        <v>3.1415926535897931</v>
      </c>
      <c r="R398" s="262"/>
      <c r="S398" s="262"/>
      <c r="T398" s="450"/>
      <c r="U398" s="450"/>
      <c r="V398" s="450"/>
      <c r="W398" s="144">
        <f t="shared" si="36"/>
        <v>0</v>
      </c>
      <c r="X398" s="144"/>
      <c r="Y398" s="144"/>
      <c r="Z398" s="150"/>
      <c r="AA398" s="15"/>
      <c r="AB398" s="15"/>
      <c r="AC398" s="15"/>
      <c r="AD398" s="15"/>
    </row>
    <row r="399" spans="1:38" s="7" customFormat="1" ht="15.75" customHeight="1" x14ac:dyDescent="0.15">
      <c r="A399" s="96" t="str">
        <f t="shared" si="37"/>
        <v>×</v>
      </c>
      <c r="J399" s="446"/>
      <c r="K399" s="447"/>
      <c r="L399" s="447"/>
      <c r="M399" s="167">
        <f t="shared" si="35"/>
        <v>0</v>
      </c>
      <c r="N399" s="167"/>
      <c r="O399" s="167"/>
      <c r="P399" s="167"/>
      <c r="Q399" s="262">
        <f t="shared" si="38"/>
        <v>3.1415926535897931</v>
      </c>
      <c r="R399" s="262"/>
      <c r="S399" s="262"/>
      <c r="T399" s="450"/>
      <c r="U399" s="450"/>
      <c r="V399" s="450"/>
      <c r="W399" s="144">
        <f t="shared" si="36"/>
        <v>0</v>
      </c>
      <c r="X399" s="144"/>
      <c r="Y399" s="144"/>
      <c r="Z399" s="150"/>
      <c r="AA399" s="15"/>
      <c r="AB399" s="15"/>
      <c r="AC399" s="15"/>
      <c r="AD399" s="15"/>
    </row>
    <row r="400" spans="1:38" s="7" customFormat="1" ht="15.75" customHeight="1" x14ac:dyDescent="0.15">
      <c r="A400" s="96" t="str">
        <f t="shared" si="37"/>
        <v>×</v>
      </c>
      <c r="J400" s="446"/>
      <c r="K400" s="447"/>
      <c r="L400" s="447"/>
      <c r="M400" s="167">
        <f t="shared" si="35"/>
        <v>0</v>
      </c>
      <c r="N400" s="167"/>
      <c r="O400" s="167"/>
      <c r="P400" s="167"/>
      <c r="Q400" s="262">
        <f t="shared" si="38"/>
        <v>3.1415926535897931</v>
      </c>
      <c r="R400" s="262"/>
      <c r="S400" s="262"/>
      <c r="T400" s="450"/>
      <c r="U400" s="450"/>
      <c r="V400" s="450"/>
      <c r="W400" s="144">
        <f t="shared" si="36"/>
        <v>0</v>
      </c>
      <c r="X400" s="144"/>
      <c r="Y400" s="144"/>
      <c r="Z400" s="150"/>
      <c r="AA400" s="15"/>
      <c r="AB400" s="15"/>
      <c r="AC400" s="15"/>
      <c r="AD400" s="15"/>
    </row>
    <row r="401" spans="1:39" s="7" customFormat="1" ht="15.75" customHeight="1" x14ac:dyDescent="0.15">
      <c r="A401" s="96" t="str">
        <f t="shared" si="37"/>
        <v>×</v>
      </c>
      <c r="J401" s="446"/>
      <c r="K401" s="447"/>
      <c r="L401" s="447"/>
      <c r="M401" s="167">
        <f t="shared" si="35"/>
        <v>0</v>
      </c>
      <c r="N401" s="167"/>
      <c r="O401" s="167"/>
      <c r="P401" s="167"/>
      <c r="Q401" s="262">
        <f t="shared" si="38"/>
        <v>3.1415926535897931</v>
      </c>
      <c r="R401" s="262"/>
      <c r="S401" s="262"/>
      <c r="T401" s="450"/>
      <c r="U401" s="450"/>
      <c r="V401" s="450"/>
      <c r="W401" s="144">
        <f t="shared" si="36"/>
        <v>0</v>
      </c>
      <c r="X401" s="144"/>
      <c r="Y401" s="144"/>
      <c r="Z401" s="150"/>
      <c r="AA401" s="15"/>
      <c r="AB401" s="15"/>
      <c r="AC401" s="15"/>
      <c r="AD401" s="15"/>
    </row>
    <row r="402" spans="1:39" s="7" customFormat="1" ht="15.75" customHeight="1" x14ac:dyDescent="0.15">
      <c r="A402" s="96" t="str">
        <f t="shared" si="37"/>
        <v>×</v>
      </c>
      <c r="J402" s="446"/>
      <c r="K402" s="447"/>
      <c r="L402" s="447"/>
      <c r="M402" s="167">
        <f t="shared" si="35"/>
        <v>0</v>
      </c>
      <c r="N402" s="167"/>
      <c r="O402" s="167"/>
      <c r="P402" s="167"/>
      <c r="Q402" s="262">
        <f t="shared" si="38"/>
        <v>3.1415926535897931</v>
      </c>
      <c r="R402" s="262"/>
      <c r="S402" s="262"/>
      <c r="T402" s="450"/>
      <c r="U402" s="450"/>
      <c r="V402" s="450"/>
      <c r="W402" s="144">
        <f t="shared" si="36"/>
        <v>0</v>
      </c>
      <c r="X402" s="144"/>
      <c r="Y402" s="144"/>
      <c r="Z402" s="150"/>
      <c r="AA402" s="15"/>
      <c r="AB402" s="15"/>
      <c r="AC402" s="15"/>
      <c r="AD402" s="15"/>
    </row>
    <row r="403" spans="1:39" s="7" customFormat="1" ht="15.75" customHeight="1" x14ac:dyDescent="0.15">
      <c r="A403" s="96" t="str">
        <f t="shared" si="37"/>
        <v>×</v>
      </c>
      <c r="J403" s="446"/>
      <c r="K403" s="447"/>
      <c r="L403" s="447"/>
      <c r="M403" s="167">
        <f t="shared" si="35"/>
        <v>0</v>
      </c>
      <c r="N403" s="167"/>
      <c r="O403" s="167"/>
      <c r="P403" s="167"/>
      <c r="Q403" s="262">
        <f t="shared" si="38"/>
        <v>3.1415926535897931</v>
      </c>
      <c r="R403" s="262"/>
      <c r="S403" s="262"/>
      <c r="T403" s="450"/>
      <c r="U403" s="450"/>
      <c r="V403" s="450"/>
      <c r="W403" s="144">
        <f t="shared" si="36"/>
        <v>0</v>
      </c>
      <c r="X403" s="144"/>
      <c r="Y403" s="144"/>
      <c r="Z403" s="150"/>
      <c r="AA403" s="15"/>
      <c r="AB403" s="15"/>
      <c r="AC403" s="15"/>
      <c r="AD403" s="15"/>
    </row>
    <row r="404" spans="1:39" s="7" customFormat="1" ht="15.75" customHeight="1" x14ac:dyDescent="0.15">
      <c r="A404" s="96" t="str">
        <f t="shared" si="37"/>
        <v>×</v>
      </c>
      <c r="J404" s="446"/>
      <c r="K404" s="447"/>
      <c r="L404" s="447"/>
      <c r="M404" s="167">
        <f t="shared" si="35"/>
        <v>0</v>
      </c>
      <c r="N404" s="167"/>
      <c r="O404" s="167"/>
      <c r="P404" s="167"/>
      <c r="Q404" s="262">
        <f t="shared" si="38"/>
        <v>3.1415926535897931</v>
      </c>
      <c r="R404" s="262"/>
      <c r="S404" s="262"/>
      <c r="T404" s="450"/>
      <c r="U404" s="450"/>
      <c r="V404" s="450"/>
      <c r="W404" s="144">
        <f t="shared" si="36"/>
        <v>0</v>
      </c>
      <c r="X404" s="144"/>
      <c r="Y404" s="144"/>
      <c r="Z404" s="150"/>
      <c r="AA404" s="15"/>
      <c r="AB404" s="15"/>
      <c r="AC404" s="15"/>
      <c r="AD404" s="15"/>
    </row>
    <row r="405" spans="1:39" s="7" customFormat="1" ht="15.75" customHeight="1" x14ac:dyDescent="0.15">
      <c r="A405" s="96" t="str">
        <f t="shared" si="37"/>
        <v>×</v>
      </c>
      <c r="J405" s="448"/>
      <c r="K405" s="449"/>
      <c r="L405" s="449"/>
      <c r="M405" s="168">
        <f t="shared" si="35"/>
        <v>0</v>
      </c>
      <c r="N405" s="168"/>
      <c r="O405" s="168"/>
      <c r="P405" s="168"/>
      <c r="Q405" s="452">
        <f t="shared" si="38"/>
        <v>3.1415926535897931</v>
      </c>
      <c r="R405" s="452"/>
      <c r="S405" s="452"/>
      <c r="T405" s="451"/>
      <c r="U405" s="451"/>
      <c r="V405" s="451"/>
      <c r="W405" s="156">
        <f t="shared" si="36"/>
        <v>0</v>
      </c>
      <c r="X405" s="156"/>
      <c r="Y405" s="156"/>
      <c r="Z405" s="162"/>
      <c r="AA405" s="15"/>
      <c r="AB405" s="15"/>
      <c r="AC405" s="15"/>
      <c r="AD405" s="15"/>
    </row>
    <row r="406" spans="1:39" s="7" customFormat="1" ht="15.75" customHeight="1" x14ac:dyDescent="0.15">
      <c r="J406" s="99"/>
      <c r="K406" s="99"/>
      <c r="L406" s="99"/>
      <c r="M406" s="16"/>
      <c r="N406" s="16"/>
      <c r="O406" s="16"/>
      <c r="P406" s="97"/>
      <c r="Q406" s="97"/>
      <c r="R406" s="97"/>
      <c r="S406" s="97"/>
      <c r="T406" s="98"/>
      <c r="U406" s="98"/>
      <c r="V406" s="98"/>
      <c r="W406" s="25"/>
      <c r="X406" s="25"/>
      <c r="Y406" s="25"/>
      <c r="Z406" s="25"/>
      <c r="AA406" s="15"/>
      <c r="AB406" s="15"/>
      <c r="AC406" s="15"/>
      <c r="AD406" s="15"/>
      <c r="AE406" s="15"/>
      <c r="AF406" s="15"/>
      <c r="AG406" s="15"/>
      <c r="AH406" s="15"/>
      <c r="AI406" s="15"/>
      <c r="AJ406" s="15"/>
      <c r="AK406" s="15"/>
      <c r="AL406" s="15"/>
      <c r="AM406" s="15"/>
    </row>
    <row r="407" spans="1:39" s="7" customFormat="1" ht="15.75" customHeight="1" x14ac:dyDescent="0.15">
      <c r="J407" s="99"/>
      <c r="K407" s="99"/>
      <c r="L407" s="99"/>
      <c r="M407" s="16"/>
      <c r="N407" s="16"/>
      <c r="O407" s="16"/>
      <c r="P407" s="97"/>
      <c r="Q407" s="97"/>
      <c r="R407" s="97"/>
      <c r="S407" s="97"/>
      <c r="T407" s="98"/>
      <c r="U407" s="98"/>
      <c r="V407" s="15" t="s">
        <v>230</v>
      </c>
      <c r="W407" s="15" t="s">
        <v>231</v>
      </c>
      <c r="X407" s="6" t="s">
        <v>27</v>
      </c>
      <c r="Y407" s="293" t="s">
        <v>232</v>
      </c>
      <c r="Z407" s="293"/>
      <c r="AA407" s="15"/>
      <c r="AB407" s="15"/>
      <c r="AC407" s="15"/>
      <c r="AD407" s="15"/>
      <c r="AE407" s="15"/>
      <c r="AF407" s="15"/>
      <c r="AG407" s="15"/>
      <c r="AH407" s="15"/>
      <c r="AI407" s="15"/>
      <c r="AJ407" s="15"/>
      <c r="AK407" s="15"/>
      <c r="AL407" s="15"/>
      <c r="AM407" s="15"/>
    </row>
    <row r="408" spans="1:39" s="7" customFormat="1" ht="15.75" customHeight="1" x14ac:dyDescent="0.15">
      <c r="J408" s="99"/>
      <c r="K408" s="99"/>
      <c r="L408" s="99"/>
      <c r="M408" s="16"/>
      <c r="N408" s="16"/>
      <c r="O408" s="16"/>
      <c r="P408" s="97"/>
      <c r="Q408" s="97"/>
      <c r="R408" s="97"/>
      <c r="S408" s="97"/>
      <c r="T408" s="98"/>
      <c r="U408" s="98"/>
      <c r="V408" s="98"/>
      <c r="W408" s="25"/>
      <c r="X408" s="25"/>
      <c r="Y408" s="25"/>
      <c r="Z408" s="25"/>
      <c r="AA408" s="15"/>
      <c r="AB408" s="15"/>
      <c r="AC408" s="15"/>
      <c r="AD408" s="15"/>
      <c r="AE408" s="15"/>
      <c r="AF408" s="15"/>
      <c r="AG408" s="15"/>
      <c r="AH408" s="15"/>
      <c r="AI408" s="15"/>
      <c r="AJ408" s="15"/>
      <c r="AK408" s="15"/>
      <c r="AL408" s="15"/>
      <c r="AM408" s="15"/>
    </row>
    <row r="409" spans="1:39" s="7" customFormat="1" ht="15.75" customHeight="1" x14ac:dyDescent="0.15">
      <c r="J409" s="99"/>
      <c r="K409" s="99"/>
      <c r="L409" s="99"/>
      <c r="M409" s="16"/>
      <c r="N409" s="16"/>
      <c r="O409" s="16"/>
      <c r="P409" s="97"/>
      <c r="Q409" s="97"/>
      <c r="R409" s="97"/>
      <c r="S409" s="97"/>
      <c r="T409" s="98"/>
      <c r="U409" s="98"/>
      <c r="V409" s="98"/>
      <c r="W409" s="25"/>
      <c r="X409" s="25"/>
      <c r="Y409" s="25"/>
      <c r="Z409" s="25"/>
      <c r="AA409" s="15"/>
      <c r="AB409" s="15"/>
      <c r="AC409" s="15"/>
      <c r="AD409" s="15"/>
      <c r="AE409" s="15"/>
      <c r="AF409" s="15"/>
      <c r="AG409" s="15"/>
      <c r="AH409" s="15"/>
      <c r="AI409" s="15"/>
      <c r="AJ409" s="15"/>
      <c r="AK409" s="15"/>
      <c r="AL409" s="15"/>
      <c r="AM409" s="15"/>
    </row>
    <row r="410" spans="1:39" s="7" customFormat="1" ht="15.75" customHeight="1" x14ac:dyDescent="0.15">
      <c r="T410" s="15"/>
      <c r="U410" s="15"/>
      <c r="V410" s="15"/>
      <c r="W410" s="15"/>
      <c r="X410" s="15"/>
      <c r="Y410" s="15"/>
      <c r="Z410" s="15"/>
      <c r="AA410" s="15"/>
      <c r="AB410" s="15"/>
      <c r="AC410" s="15"/>
      <c r="AD410" s="15"/>
      <c r="AE410" s="15"/>
      <c r="AF410" s="15"/>
      <c r="AG410" s="15"/>
      <c r="AH410" s="15"/>
      <c r="AI410" s="15"/>
      <c r="AJ410" s="15"/>
      <c r="AK410" s="15"/>
      <c r="AL410" s="15"/>
      <c r="AM410" s="15"/>
    </row>
    <row r="411" spans="1:39" s="7" customFormat="1" ht="15.75" customHeight="1" x14ac:dyDescent="0.15">
      <c r="J411" s="111" t="s">
        <v>233</v>
      </c>
      <c r="K411" s="111"/>
      <c r="L411" s="111"/>
      <c r="M411" s="111"/>
      <c r="N411" s="111"/>
      <c r="O411" s="111"/>
      <c r="P411" s="111"/>
      <c r="Q411" s="111"/>
      <c r="R411" s="111"/>
      <c r="S411" s="111"/>
      <c r="T411" s="111"/>
      <c r="U411" s="111"/>
      <c r="V411" s="111"/>
      <c r="W411" s="111"/>
      <c r="X411" s="111"/>
      <c r="Y411" s="111"/>
      <c r="Z411" s="111"/>
      <c r="AA411" s="111"/>
      <c r="AB411" s="111"/>
      <c r="AC411" s="111"/>
      <c r="AD411" s="111"/>
      <c r="AE411" s="111"/>
      <c r="AF411" s="111"/>
      <c r="AG411" s="111"/>
      <c r="AI411" s="15"/>
      <c r="AJ411" s="15"/>
      <c r="AK411" s="15"/>
      <c r="AL411" s="15"/>
      <c r="AM411" s="15"/>
    </row>
    <row r="412" spans="1:39" s="7" customFormat="1" ht="15.75" customHeight="1" x14ac:dyDescent="0.15">
      <c r="J412" s="194" t="s">
        <v>91</v>
      </c>
      <c r="K412" s="179"/>
      <c r="L412" s="179"/>
      <c r="M412" s="179" t="s">
        <v>228</v>
      </c>
      <c r="N412" s="179"/>
      <c r="O412" s="179"/>
      <c r="P412" s="179"/>
      <c r="Q412" s="179" t="s">
        <v>229</v>
      </c>
      <c r="R412" s="179"/>
      <c r="S412" s="197"/>
      <c r="T412" s="463" t="s">
        <v>582</v>
      </c>
      <c r="U412" s="464"/>
      <c r="V412" s="464"/>
      <c r="W412" s="464"/>
      <c r="X412" s="464"/>
      <c r="Y412" s="464"/>
      <c r="Z412" s="465"/>
      <c r="AA412" s="466" t="s">
        <v>583</v>
      </c>
      <c r="AB412" s="464"/>
      <c r="AC412" s="464"/>
      <c r="AD412" s="464"/>
      <c r="AE412" s="464"/>
      <c r="AF412" s="464"/>
      <c r="AG412" s="467"/>
      <c r="AI412" s="15"/>
      <c r="AJ412" s="15"/>
      <c r="AK412" s="15"/>
      <c r="AL412" s="15"/>
      <c r="AM412" s="15"/>
    </row>
    <row r="413" spans="1:39" s="7" customFormat="1" ht="15.75" customHeight="1" x14ac:dyDescent="0.15">
      <c r="J413" s="195"/>
      <c r="K413" s="182"/>
      <c r="L413" s="182"/>
      <c r="M413" s="182"/>
      <c r="N413" s="182"/>
      <c r="O413" s="182"/>
      <c r="P413" s="182"/>
      <c r="Q413" s="182"/>
      <c r="R413" s="182"/>
      <c r="S413" s="198"/>
      <c r="T413" s="383" t="s">
        <v>226</v>
      </c>
      <c r="U413" s="384"/>
      <c r="V413" s="384"/>
      <c r="W413" s="182" t="s">
        <v>584</v>
      </c>
      <c r="X413" s="182"/>
      <c r="Y413" s="182"/>
      <c r="Z413" s="190"/>
      <c r="AA413" s="460" t="s">
        <v>226</v>
      </c>
      <c r="AB413" s="384"/>
      <c r="AC413" s="384"/>
      <c r="AD413" s="182" t="s">
        <v>584</v>
      </c>
      <c r="AE413" s="182"/>
      <c r="AF413" s="182"/>
      <c r="AG413" s="198"/>
    </row>
    <row r="414" spans="1:39" s="7" customFormat="1" ht="15.75" customHeight="1" x14ac:dyDescent="0.15">
      <c r="J414" s="196"/>
      <c r="K414" s="192"/>
      <c r="L414" s="192"/>
      <c r="M414" s="192"/>
      <c r="N414" s="192"/>
      <c r="O414" s="192"/>
      <c r="P414" s="192"/>
      <c r="Q414" s="192"/>
      <c r="R414" s="192"/>
      <c r="S414" s="199"/>
      <c r="T414" s="385"/>
      <c r="U414" s="343"/>
      <c r="V414" s="343"/>
      <c r="W414" s="192"/>
      <c r="X414" s="192"/>
      <c r="Y414" s="192"/>
      <c r="Z414" s="193"/>
      <c r="AA414" s="461"/>
      <c r="AB414" s="343"/>
      <c r="AC414" s="343"/>
      <c r="AD414" s="192"/>
      <c r="AE414" s="192"/>
      <c r="AF414" s="192"/>
      <c r="AG414" s="199"/>
    </row>
    <row r="415" spans="1:39" s="7" customFormat="1" ht="15.75" customHeight="1" x14ac:dyDescent="0.15">
      <c r="A415" s="96" t="str">
        <f>IF(J415="","×","")</f>
        <v>×</v>
      </c>
      <c r="J415" s="340"/>
      <c r="K415" s="341"/>
      <c r="L415" s="341"/>
      <c r="M415" s="278">
        <f t="shared" ref="M415:M430" si="39">AC112</f>
        <v>2786</v>
      </c>
      <c r="N415" s="278"/>
      <c r="O415" s="278"/>
      <c r="P415" s="278"/>
      <c r="Q415" s="277">
        <f>Q390</f>
        <v>3.1415926535897931</v>
      </c>
      <c r="R415" s="278"/>
      <c r="S415" s="439"/>
      <c r="T415" s="454"/>
      <c r="U415" s="348"/>
      <c r="V415" s="348"/>
      <c r="W415" s="206">
        <f t="shared" ref="W415:W430" si="40">ROUND(T415*M415*Q415,-1)</f>
        <v>0</v>
      </c>
      <c r="X415" s="206"/>
      <c r="Y415" s="206"/>
      <c r="Z415" s="375"/>
      <c r="AA415" s="462"/>
      <c r="AB415" s="348"/>
      <c r="AC415" s="348"/>
      <c r="AD415" s="206">
        <f>ROUND(T415*M415*Q415,-1)</f>
        <v>0</v>
      </c>
      <c r="AE415" s="206"/>
      <c r="AF415" s="206"/>
      <c r="AG415" s="207"/>
    </row>
    <row r="416" spans="1:39" s="7" customFormat="1" ht="15.75" customHeight="1" x14ac:dyDescent="0.15">
      <c r="A416" s="96" t="str">
        <f t="shared" ref="A416:A430" si="41">IF(J416="","×","")</f>
        <v>×</v>
      </c>
      <c r="J416" s="446"/>
      <c r="K416" s="447"/>
      <c r="L416" s="447"/>
      <c r="M416" s="167">
        <f t="shared" si="39"/>
        <v>5724</v>
      </c>
      <c r="N416" s="167"/>
      <c r="O416" s="167"/>
      <c r="P416" s="167"/>
      <c r="Q416" s="262">
        <f>Q415</f>
        <v>3.1415926535897931</v>
      </c>
      <c r="R416" s="167"/>
      <c r="S416" s="386"/>
      <c r="T416" s="455"/>
      <c r="U416" s="450"/>
      <c r="V416" s="450"/>
      <c r="W416" s="144">
        <f t="shared" si="40"/>
        <v>0</v>
      </c>
      <c r="X416" s="144"/>
      <c r="Y416" s="144"/>
      <c r="Z416" s="145"/>
      <c r="AA416" s="457"/>
      <c r="AB416" s="450"/>
      <c r="AC416" s="450"/>
      <c r="AD416" s="144">
        <f t="shared" ref="AD416:AD430" si="42">ROUND(T416*M416*Q416,-1)</f>
        <v>0</v>
      </c>
      <c r="AE416" s="144"/>
      <c r="AF416" s="144"/>
      <c r="AG416" s="150"/>
    </row>
    <row r="417" spans="1:39" s="7" customFormat="1" ht="15.75" customHeight="1" x14ac:dyDescent="0.15">
      <c r="A417" s="96" t="str">
        <f t="shared" si="41"/>
        <v>×</v>
      </c>
      <c r="J417" s="446"/>
      <c r="K417" s="447"/>
      <c r="L417" s="447"/>
      <c r="M417" s="167">
        <f t="shared" si="39"/>
        <v>6514</v>
      </c>
      <c r="N417" s="167"/>
      <c r="O417" s="167"/>
      <c r="P417" s="167"/>
      <c r="Q417" s="262">
        <f t="shared" ref="Q417:Q430" si="43">Q416</f>
        <v>3.1415926535897931</v>
      </c>
      <c r="R417" s="167"/>
      <c r="S417" s="386"/>
      <c r="T417" s="455"/>
      <c r="U417" s="450"/>
      <c r="V417" s="450"/>
      <c r="W417" s="144">
        <f t="shared" si="40"/>
        <v>0</v>
      </c>
      <c r="X417" s="144"/>
      <c r="Y417" s="144"/>
      <c r="Z417" s="145"/>
      <c r="AA417" s="457"/>
      <c r="AB417" s="450"/>
      <c r="AC417" s="450"/>
      <c r="AD417" s="144">
        <f t="shared" si="42"/>
        <v>0</v>
      </c>
      <c r="AE417" s="144"/>
      <c r="AF417" s="144"/>
      <c r="AG417" s="150"/>
    </row>
    <row r="418" spans="1:39" s="7" customFormat="1" ht="15.75" customHeight="1" x14ac:dyDescent="0.15">
      <c r="A418" s="96" t="str">
        <f t="shared" si="41"/>
        <v>×</v>
      </c>
      <c r="J418" s="446"/>
      <c r="K418" s="447"/>
      <c r="L418" s="447"/>
      <c r="M418" s="167">
        <f t="shared" si="39"/>
        <v>9288</v>
      </c>
      <c r="N418" s="167"/>
      <c r="O418" s="167"/>
      <c r="P418" s="167"/>
      <c r="Q418" s="262">
        <f t="shared" si="43"/>
        <v>3.1415926535897931</v>
      </c>
      <c r="R418" s="167"/>
      <c r="S418" s="386"/>
      <c r="T418" s="455"/>
      <c r="U418" s="450"/>
      <c r="V418" s="450"/>
      <c r="W418" s="144">
        <f t="shared" si="40"/>
        <v>0</v>
      </c>
      <c r="X418" s="144"/>
      <c r="Y418" s="144"/>
      <c r="Z418" s="145"/>
      <c r="AA418" s="457"/>
      <c r="AB418" s="450"/>
      <c r="AC418" s="450"/>
      <c r="AD418" s="144">
        <f t="shared" si="42"/>
        <v>0</v>
      </c>
      <c r="AE418" s="144"/>
      <c r="AF418" s="144"/>
      <c r="AG418" s="150"/>
    </row>
    <row r="419" spans="1:39" s="7" customFormat="1" ht="15.75" customHeight="1" x14ac:dyDescent="0.15">
      <c r="A419" s="96" t="str">
        <f t="shared" si="41"/>
        <v>×</v>
      </c>
      <c r="J419" s="446"/>
      <c r="K419" s="447"/>
      <c r="L419" s="447"/>
      <c r="M419" s="167">
        <f t="shared" si="39"/>
        <v>18352</v>
      </c>
      <c r="N419" s="167"/>
      <c r="O419" s="167"/>
      <c r="P419" s="167"/>
      <c r="Q419" s="262">
        <f t="shared" si="43"/>
        <v>3.1415926535897931</v>
      </c>
      <c r="R419" s="167"/>
      <c r="S419" s="386"/>
      <c r="T419" s="455"/>
      <c r="U419" s="450"/>
      <c r="V419" s="450"/>
      <c r="W419" s="144">
        <f t="shared" si="40"/>
        <v>0</v>
      </c>
      <c r="X419" s="144"/>
      <c r="Y419" s="144"/>
      <c r="Z419" s="145"/>
      <c r="AA419" s="457"/>
      <c r="AB419" s="450"/>
      <c r="AC419" s="450"/>
      <c r="AD419" s="144">
        <f t="shared" si="42"/>
        <v>0</v>
      </c>
      <c r="AE419" s="144"/>
      <c r="AF419" s="144"/>
      <c r="AG419" s="150"/>
    </row>
    <row r="420" spans="1:39" s="7" customFormat="1" ht="15.75" customHeight="1" x14ac:dyDescent="0.15">
      <c r="A420" s="96" t="str">
        <f t="shared" si="41"/>
        <v>×</v>
      </c>
      <c r="J420" s="446"/>
      <c r="K420" s="447"/>
      <c r="L420" s="447"/>
      <c r="M420" s="167">
        <f t="shared" si="39"/>
        <v>0</v>
      </c>
      <c r="N420" s="167"/>
      <c r="O420" s="167"/>
      <c r="P420" s="167"/>
      <c r="Q420" s="262">
        <f t="shared" si="43"/>
        <v>3.1415926535897931</v>
      </c>
      <c r="R420" s="167"/>
      <c r="S420" s="386"/>
      <c r="T420" s="455"/>
      <c r="U420" s="450"/>
      <c r="V420" s="450"/>
      <c r="W420" s="144">
        <f t="shared" si="40"/>
        <v>0</v>
      </c>
      <c r="X420" s="144"/>
      <c r="Y420" s="144"/>
      <c r="Z420" s="145"/>
      <c r="AA420" s="457"/>
      <c r="AB420" s="450"/>
      <c r="AC420" s="450"/>
      <c r="AD420" s="144">
        <f t="shared" si="42"/>
        <v>0</v>
      </c>
      <c r="AE420" s="144"/>
      <c r="AF420" s="144"/>
      <c r="AG420" s="150"/>
    </row>
    <row r="421" spans="1:39" s="7" customFormat="1" ht="15.75" customHeight="1" x14ac:dyDescent="0.15">
      <c r="A421" s="96" t="str">
        <f t="shared" si="41"/>
        <v>×</v>
      </c>
      <c r="J421" s="446"/>
      <c r="K421" s="447"/>
      <c r="L421" s="447"/>
      <c r="M421" s="167">
        <f t="shared" si="39"/>
        <v>0</v>
      </c>
      <c r="N421" s="167"/>
      <c r="O421" s="167"/>
      <c r="P421" s="167"/>
      <c r="Q421" s="262">
        <f t="shared" si="43"/>
        <v>3.1415926535897931</v>
      </c>
      <c r="R421" s="167"/>
      <c r="S421" s="386"/>
      <c r="T421" s="455"/>
      <c r="U421" s="450"/>
      <c r="V421" s="450"/>
      <c r="W421" s="144">
        <f t="shared" si="40"/>
        <v>0</v>
      </c>
      <c r="X421" s="144"/>
      <c r="Y421" s="144"/>
      <c r="Z421" s="145"/>
      <c r="AA421" s="457"/>
      <c r="AB421" s="450"/>
      <c r="AC421" s="450"/>
      <c r="AD421" s="144">
        <f t="shared" si="42"/>
        <v>0</v>
      </c>
      <c r="AE421" s="144"/>
      <c r="AF421" s="144"/>
      <c r="AG421" s="150"/>
    </row>
    <row r="422" spans="1:39" s="7" customFormat="1" ht="15.75" customHeight="1" x14ac:dyDescent="0.15">
      <c r="A422" s="96" t="str">
        <f t="shared" si="41"/>
        <v>×</v>
      </c>
      <c r="J422" s="446"/>
      <c r="K422" s="447"/>
      <c r="L422" s="447"/>
      <c r="M422" s="167">
        <f t="shared" si="39"/>
        <v>0</v>
      </c>
      <c r="N422" s="167"/>
      <c r="O422" s="167"/>
      <c r="P422" s="167"/>
      <c r="Q422" s="262">
        <f t="shared" si="43"/>
        <v>3.1415926535897931</v>
      </c>
      <c r="R422" s="167"/>
      <c r="S422" s="386"/>
      <c r="T422" s="455"/>
      <c r="U422" s="450"/>
      <c r="V422" s="450"/>
      <c r="W422" s="144">
        <f t="shared" si="40"/>
        <v>0</v>
      </c>
      <c r="X422" s="144"/>
      <c r="Y422" s="144"/>
      <c r="Z422" s="145"/>
      <c r="AA422" s="457"/>
      <c r="AB422" s="450"/>
      <c r="AC422" s="450"/>
      <c r="AD422" s="144">
        <f t="shared" si="42"/>
        <v>0</v>
      </c>
      <c r="AE422" s="144"/>
      <c r="AF422" s="144"/>
      <c r="AG422" s="150"/>
    </row>
    <row r="423" spans="1:39" s="7" customFormat="1" ht="15.75" customHeight="1" x14ac:dyDescent="0.15">
      <c r="A423" s="96" t="str">
        <f t="shared" si="41"/>
        <v>×</v>
      </c>
      <c r="J423" s="446"/>
      <c r="K423" s="447"/>
      <c r="L423" s="447"/>
      <c r="M423" s="167">
        <f t="shared" si="39"/>
        <v>0</v>
      </c>
      <c r="N423" s="167"/>
      <c r="O423" s="167"/>
      <c r="P423" s="167"/>
      <c r="Q423" s="262">
        <f t="shared" si="43"/>
        <v>3.1415926535897931</v>
      </c>
      <c r="R423" s="167"/>
      <c r="S423" s="386"/>
      <c r="T423" s="455"/>
      <c r="U423" s="450"/>
      <c r="V423" s="450"/>
      <c r="W423" s="144">
        <f t="shared" si="40"/>
        <v>0</v>
      </c>
      <c r="X423" s="144"/>
      <c r="Y423" s="144"/>
      <c r="Z423" s="145"/>
      <c r="AA423" s="457"/>
      <c r="AB423" s="450"/>
      <c r="AC423" s="450"/>
      <c r="AD423" s="144">
        <f t="shared" si="42"/>
        <v>0</v>
      </c>
      <c r="AE423" s="144"/>
      <c r="AF423" s="144"/>
      <c r="AG423" s="150"/>
    </row>
    <row r="424" spans="1:39" s="7" customFormat="1" ht="15.75" customHeight="1" x14ac:dyDescent="0.15">
      <c r="A424" s="96" t="str">
        <f t="shared" si="41"/>
        <v>×</v>
      </c>
      <c r="J424" s="446"/>
      <c r="K424" s="447"/>
      <c r="L424" s="447"/>
      <c r="M424" s="167">
        <f t="shared" si="39"/>
        <v>0</v>
      </c>
      <c r="N424" s="167"/>
      <c r="O424" s="167"/>
      <c r="P424" s="167"/>
      <c r="Q424" s="262">
        <f t="shared" si="43"/>
        <v>3.1415926535897931</v>
      </c>
      <c r="R424" s="167"/>
      <c r="S424" s="386"/>
      <c r="T424" s="455"/>
      <c r="U424" s="450"/>
      <c r="V424" s="450"/>
      <c r="W424" s="144">
        <f t="shared" si="40"/>
        <v>0</v>
      </c>
      <c r="X424" s="144"/>
      <c r="Y424" s="144"/>
      <c r="Z424" s="145"/>
      <c r="AA424" s="457"/>
      <c r="AB424" s="450"/>
      <c r="AC424" s="450"/>
      <c r="AD424" s="144">
        <f t="shared" si="42"/>
        <v>0</v>
      </c>
      <c r="AE424" s="144"/>
      <c r="AF424" s="144"/>
      <c r="AG424" s="150"/>
    </row>
    <row r="425" spans="1:39" s="7" customFormat="1" ht="15.75" customHeight="1" x14ac:dyDescent="0.15">
      <c r="A425" s="96" t="str">
        <f t="shared" si="41"/>
        <v>×</v>
      </c>
      <c r="J425" s="446"/>
      <c r="K425" s="447"/>
      <c r="L425" s="447"/>
      <c r="M425" s="167">
        <f t="shared" si="39"/>
        <v>0</v>
      </c>
      <c r="N425" s="167"/>
      <c r="O425" s="167"/>
      <c r="P425" s="167"/>
      <c r="Q425" s="262">
        <f t="shared" si="43"/>
        <v>3.1415926535897931</v>
      </c>
      <c r="R425" s="167"/>
      <c r="S425" s="386"/>
      <c r="T425" s="455"/>
      <c r="U425" s="450"/>
      <c r="V425" s="450"/>
      <c r="W425" s="144">
        <f t="shared" si="40"/>
        <v>0</v>
      </c>
      <c r="X425" s="144"/>
      <c r="Y425" s="144"/>
      <c r="Z425" s="145"/>
      <c r="AA425" s="457"/>
      <c r="AB425" s="450"/>
      <c r="AC425" s="450"/>
      <c r="AD425" s="144">
        <f t="shared" si="42"/>
        <v>0</v>
      </c>
      <c r="AE425" s="144"/>
      <c r="AF425" s="144"/>
      <c r="AG425" s="150"/>
    </row>
    <row r="426" spans="1:39" s="7" customFormat="1" ht="15.75" customHeight="1" x14ac:dyDescent="0.15">
      <c r="A426" s="96" t="str">
        <f t="shared" si="41"/>
        <v>×</v>
      </c>
      <c r="J426" s="446"/>
      <c r="K426" s="447"/>
      <c r="L426" s="447"/>
      <c r="M426" s="167">
        <f t="shared" si="39"/>
        <v>0</v>
      </c>
      <c r="N426" s="167"/>
      <c r="O426" s="167"/>
      <c r="P426" s="167"/>
      <c r="Q426" s="262">
        <f t="shared" si="43"/>
        <v>3.1415926535897931</v>
      </c>
      <c r="R426" s="167"/>
      <c r="S426" s="386"/>
      <c r="T426" s="455"/>
      <c r="U426" s="450"/>
      <c r="V426" s="450"/>
      <c r="W426" s="144">
        <f t="shared" si="40"/>
        <v>0</v>
      </c>
      <c r="X426" s="144"/>
      <c r="Y426" s="144"/>
      <c r="Z426" s="145"/>
      <c r="AA426" s="457"/>
      <c r="AB426" s="450"/>
      <c r="AC426" s="450"/>
      <c r="AD426" s="144">
        <f t="shared" si="42"/>
        <v>0</v>
      </c>
      <c r="AE426" s="144"/>
      <c r="AF426" s="144"/>
      <c r="AG426" s="150"/>
    </row>
    <row r="427" spans="1:39" s="7" customFormat="1" ht="15.75" customHeight="1" x14ac:dyDescent="0.15">
      <c r="A427" s="96" t="str">
        <f t="shared" si="41"/>
        <v>×</v>
      </c>
      <c r="J427" s="446"/>
      <c r="K427" s="447"/>
      <c r="L427" s="447"/>
      <c r="M427" s="167">
        <f t="shared" si="39"/>
        <v>0</v>
      </c>
      <c r="N427" s="167"/>
      <c r="O427" s="167"/>
      <c r="P427" s="167"/>
      <c r="Q427" s="262">
        <f t="shared" si="43"/>
        <v>3.1415926535897931</v>
      </c>
      <c r="R427" s="167"/>
      <c r="S427" s="386"/>
      <c r="T427" s="455"/>
      <c r="U427" s="450"/>
      <c r="V427" s="450"/>
      <c r="W427" s="144">
        <f t="shared" si="40"/>
        <v>0</v>
      </c>
      <c r="X427" s="144"/>
      <c r="Y427" s="144"/>
      <c r="Z427" s="145"/>
      <c r="AA427" s="457"/>
      <c r="AB427" s="450"/>
      <c r="AC427" s="450"/>
      <c r="AD427" s="144">
        <f t="shared" si="42"/>
        <v>0</v>
      </c>
      <c r="AE427" s="144"/>
      <c r="AF427" s="144"/>
      <c r="AG427" s="150"/>
    </row>
    <row r="428" spans="1:39" s="7" customFormat="1" ht="15.75" customHeight="1" x14ac:dyDescent="0.15">
      <c r="A428" s="96" t="str">
        <f t="shared" si="41"/>
        <v>×</v>
      </c>
      <c r="J428" s="446"/>
      <c r="K428" s="447"/>
      <c r="L428" s="447"/>
      <c r="M428" s="167">
        <f t="shared" si="39"/>
        <v>0</v>
      </c>
      <c r="N428" s="167"/>
      <c r="O428" s="167"/>
      <c r="P428" s="167"/>
      <c r="Q428" s="262">
        <f t="shared" si="43"/>
        <v>3.1415926535897931</v>
      </c>
      <c r="R428" s="167"/>
      <c r="S428" s="386"/>
      <c r="T428" s="455"/>
      <c r="U428" s="450"/>
      <c r="V428" s="450"/>
      <c r="W428" s="144">
        <f t="shared" si="40"/>
        <v>0</v>
      </c>
      <c r="X428" s="144"/>
      <c r="Y428" s="144"/>
      <c r="Z428" s="145"/>
      <c r="AA428" s="457"/>
      <c r="AB428" s="450"/>
      <c r="AC428" s="450"/>
      <c r="AD428" s="144">
        <f t="shared" si="42"/>
        <v>0</v>
      </c>
      <c r="AE428" s="144"/>
      <c r="AF428" s="144"/>
      <c r="AG428" s="150"/>
    </row>
    <row r="429" spans="1:39" s="7" customFormat="1" ht="15.75" customHeight="1" x14ac:dyDescent="0.15">
      <c r="A429" s="96" t="str">
        <f t="shared" si="41"/>
        <v>×</v>
      </c>
      <c r="J429" s="446"/>
      <c r="K429" s="447"/>
      <c r="L429" s="447"/>
      <c r="M429" s="167">
        <f t="shared" si="39"/>
        <v>0</v>
      </c>
      <c r="N429" s="167"/>
      <c r="O429" s="167"/>
      <c r="P429" s="167"/>
      <c r="Q429" s="262">
        <f t="shared" si="43"/>
        <v>3.1415926535897931</v>
      </c>
      <c r="R429" s="167"/>
      <c r="S429" s="386"/>
      <c r="T429" s="455"/>
      <c r="U429" s="450"/>
      <c r="V429" s="450"/>
      <c r="W429" s="144">
        <f t="shared" si="40"/>
        <v>0</v>
      </c>
      <c r="X429" s="144"/>
      <c r="Y429" s="144"/>
      <c r="Z429" s="145"/>
      <c r="AA429" s="457"/>
      <c r="AB429" s="450"/>
      <c r="AC429" s="450"/>
      <c r="AD429" s="144">
        <f t="shared" si="42"/>
        <v>0</v>
      </c>
      <c r="AE429" s="144"/>
      <c r="AF429" s="144"/>
      <c r="AG429" s="150"/>
    </row>
    <row r="430" spans="1:39" s="7" customFormat="1" ht="15.75" customHeight="1" x14ac:dyDescent="0.15">
      <c r="A430" s="96" t="str">
        <f t="shared" si="41"/>
        <v>×</v>
      </c>
      <c r="J430" s="448"/>
      <c r="K430" s="449"/>
      <c r="L430" s="449"/>
      <c r="M430" s="168">
        <f t="shared" si="39"/>
        <v>0</v>
      </c>
      <c r="N430" s="168"/>
      <c r="O430" s="168"/>
      <c r="P430" s="168"/>
      <c r="Q430" s="452">
        <f t="shared" si="43"/>
        <v>3.1415926535897931</v>
      </c>
      <c r="R430" s="168"/>
      <c r="S430" s="458"/>
      <c r="T430" s="456"/>
      <c r="U430" s="451"/>
      <c r="V430" s="451"/>
      <c r="W430" s="156">
        <f t="shared" si="40"/>
        <v>0</v>
      </c>
      <c r="X430" s="156"/>
      <c r="Y430" s="156"/>
      <c r="Z430" s="157"/>
      <c r="AA430" s="459"/>
      <c r="AB430" s="451"/>
      <c r="AC430" s="451"/>
      <c r="AD430" s="156">
        <f t="shared" si="42"/>
        <v>0</v>
      </c>
      <c r="AE430" s="156"/>
      <c r="AF430" s="156"/>
      <c r="AG430" s="162"/>
    </row>
    <row r="431" spans="1:39" s="7" customFormat="1" ht="15.75" customHeight="1" x14ac:dyDescent="0.15">
      <c r="J431" s="99"/>
      <c r="K431" s="99"/>
      <c r="L431" s="99"/>
      <c r="M431" s="16"/>
      <c r="N431" s="16"/>
      <c r="O431" s="16"/>
      <c r="P431" s="97"/>
      <c r="Q431" s="97"/>
      <c r="R431" s="97"/>
      <c r="S431" s="97"/>
      <c r="T431" s="98"/>
      <c r="U431" s="97"/>
      <c r="V431" s="97"/>
      <c r="W431" s="25"/>
      <c r="X431" s="25"/>
      <c r="Y431" s="25"/>
      <c r="Z431" s="25"/>
      <c r="AA431" s="15"/>
      <c r="AB431" s="15" t="s">
        <v>230</v>
      </c>
      <c r="AC431" s="23" t="s">
        <v>235</v>
      </c>
      <c r="AD431" s="6"/>
      <c r="AE431" s="15"/>
      <c r="AF431" s="15"/>
      <c r="AG431" s="15"/>
      <c r="AH431" s="15"/>
      <c r="AI431" s="15"/>
      <c r="AJ431" s="15"/>
      <c r="AK431" s="15"/>
      <c r="AL431" s="15"/>
      <c r="AM431" s="15"/>
    </row>
    <row r="432" spans="1:39" s="7" customFormat="1" ht="15.75" customHeight="1" x14ac:dyDescent="0.15">
      <c r="J432" s="99"/>
      <c r="K432" s="99"/>
      <c r="L432" s="99"/>
      <c r="M432" s="16"/>
      <c r="N432" s="16"/>
      <c r="O432" s="16"/>
      <c r="P432" s="97"/>
      <c r="Q432" s="97"/>
      <c r="R432" s="97"/>
      <c r="S432" s="97"/>
      <c r="T432" s="98"/>
      <c r="U432" s="97"/>
      <c r="V432" s="97"/>
      <c r="W432" s="25"/>
      <c r="X432" s="25"/>
      <c r="Y432" s="25"/>
      <c r="Z432" s="25"/>
      <c r="AA432" s="15"/>
      <c r="AB432" s="15"/>
      <c r="AC432" s="15"/>
      <c r="AD432" s="15"/>
      <c r="AE432" s="15"/>
      <c r="AF432" s="15"/>
      <c r="AG432" s="15"/>
      <c r="AH432" s="15"/>
      <c r="AI432" s="15"/>
      <c r="AJ432" s="15"/>
      <c r="AK432" s="15"/>
      <c r="AL432" s="15"/>
      <c r="AM432" s="15"/>
    </row>
    <row r="433" spans="8:39" s="7" customFormat="1" ht="15.75" customHeight="1" x14ac:dyDescent="0.15">
      <c r="H433" s="6"/>
      <c r="J433" s="6"/>
      <c r="K433" s="6"/>
      <c r="L433" s="6"/>
      <c r="M433" s="6"/>
      <c r="N433" s="6"/>
      <c r="O433" s="6"/>
      <c r="P433" s="6"/>
      <c r="Q433" s="6"/>
      <c r="R433" s="6"/>
      <c r="S433" s="6"/>
      <c r="T433" s="15"/>
      <c r="AA433" s="15"/>
      <c r="AB433" s="15"/>
      <c r="AC433" s="15"/>
      <c r="AD433" s="15"/>
      <c r="AE433" s="15"/>
      <c r="AF433" s="15"/>
      <c r="AG433" s="15"/>
      <c r="AH433" s="15"/>
      <c r="AI433" s="15"/>
      <c r="AJ433" s="15"/>
      <c r="AK433" s="15"/>
      <c r="AL433" s="15"/>
      <c r="AM433" s="15"/>
    </row>
    <row r="434" spans="8:39" s="7" customFormat="1" ht="15.75" customHeight="1" x14ac:dyDescent="0.15">
      <c r="H434" s="26"/>
      <c r="J434" s="26"/>
      <c r="K434" s="26"/>
      <c r="L434" s="26"/>
      <c r="M434" s="26"/>
      <c r="N434" s="26"/>
      <c r="O434" s="26"/>
      <c r="P434" s="26"/>
      <c r="Q434" s="26"/>
      <c r="R434" s="26"/>
      <c r="S434" s="26"/>
      <c r="T434" s="15"/>
      <c r="U434" s="15"/>
      <c r="V434" s="23"/>
      <c r="W434" s="26"/>
      <c r="X434" s="15"/>
      <c r="Y434" s="15"/>
      <c r="Z434" s="15"/>
      <c r="AA434" s="15"/>
      <c r="AB434" s="15"/>
      <c r="AC434" s="15"/>
      <c r="AD434" s="15"/>
      <c r="AE434" s="15"/>
      <c r="AF434" s="15"/>
      <c r="AG434" s="15"/>
      <c r="AH434" s="15"/>
      <c r="AI434" s="15"/>
      <c r="AJ434" s="15"/>
      <c r="AK434" s="15"/>
      <c r="AL434" s="15"/>
      <c r="AM434" s="15"/>
    </row>
    <row r="435" spans="8:39" s="7" customFormat="1" ht="15.75" customHeight="1" x14ac:dyDescent="0.15"/>
    <row r="436" spans="8:39" s="7" customFormat="1" ht="15.75" customHeight="1" x14ac:dyDescent="0.15"/>
    <row r="494" spans="39:77" s="7" customFormat="1" ht="15.75" customHeight="1" x14ac:dyDescent="0.15">
      <c r="AM494" s="15"/>
      <c r="BS494" s="15"/>
      <c r="BT494" s="15"/>
      <c r="BU494" s="15"/>
      <c r="BV494" s="15"/>
      <c r="BW494" s="15"/>
      <c r="BX494" s="15"/>
      <c r="BY494" s="15"/>
    </row>
    <row r="495" spans="39:77" s="7" customFormat="1" ht="15.75" customHeight="1" x14ac:dyDescent="0.15">
      <c r="AM495" s="15"/>
      <c r="BS495" s="15"/>
      <c r="BT495" s="15"/>
      <c r="BU495" s="15"/>
      <c r="BV495" s="15"/>
      <c r="BW495" s="15"/>
      <c r="BX495" s="15"/>
      <c r="BY495" s="15"/>
    </row>
    <row r="496" spans="39:77" s="7" customFormat="1" ht="15.75" customHeight="1" x14ac:dyDescent="0.15">
      <c r="AM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row>
    <row r="497" spans="4:77" s="7" customFormat="1" ht="15.75" customHeight="1" x14ac:dyDescent="0.15">
      <c r="D497" s="7" t="s">
        <v>241</v>
      </c>
      <c r="AM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row>
    <row r="498" spans="4:77" s="7" customFormat="1" ht="15.75" customHeight="1" x14ac:dyDescent="0.15">
      <c r="AM498" s="15"/>
      <c r="BE498" s="15"/>
      <c r="BF498" s="15"/>
      <c r="BG498" s="15"/>
      <c r="BH498" s="15"/>
      <c r="BI498" s="15"/>
      <c r="BJ498" s="15"/>
      <c r="BK498" s="15"/>
      <c r="BL498" s="15"/>
      <c r="BM498" s="15"/>
      <c r="BN498" s="15"/>
      <c r="BO498" s="15"/>
      <c r="BP498" s="15"/>
      <c r="BQ498" s="15"/>
      <c r="BR498" s="15"/>
      <c r="BS498" s="15"/>
      <c r="BT498" s="15"/>
      <c r="BU498" s="15"/>
      <c r="BV498" s="15"/>
      <c r="BW498" s="15"/>
      <c r="BX498" s="15"/>
      <c r="BY498" s="15"/>
    </row>
    <row r="499" spans="4:77" s="7" customFormat="1" ht="15.75" customHeight="1" x14ac:dyDescent="0.15">
      <c r="F499" s="7" t="s">
        <v>242</v>
      </c>
      <c r="AM499" s="15"/>
      <c r="BE499" s="15"/>
      <c r="BF499" s="15"/>
      <c r="BG499" s="15"/>
      <c r="BH499" s="15"/>
      <c r="BI499" s="15"/>
      <c r="BJ499" s="15"/>
      <c r="BK499" s="15"/>
      <c r="BL499" s="15"/>
      <c r="BM499" s="15"/>
      <c r="BN499" s="15"/>
      <c r="BO499" s="15"/>
      <c r="BP499" s="15"/>
      <c r="BQ499" s="15"/>
      <c r="BR499" s="15"/>
      <c r="BS499" s="15"/>
      <c r="BT499" s="15"/>
      <c r="BU499" s="15"/>
      <c r="BV499" s="15"/>
      <c r="BW499" s="15"/>
      <c r="BX499" s="15"/>
      <c r="BY499" s="15"/>
    </row>
    <row r="500" spans="4:77" s="7" customFormat="1" ht="15.75" customHeight="1" x14ac:dyDescent="0.15">
      <c r="G500" s="7" t="s">
        <v>243</v>
      </c>
    </row>
    <row r="501" spans="4:77" s="7" customFormat="1" ht="15.75" customHeight="1" x14ac:dyDescent="0.15"/>
    <row r="502" spans="4:77" s="7" customFormat="1" ht="15.75" customHeight="1" x14ac:dyDescent="0.15">
      <c r="K502" s="15"/>
      <c r="L502" s="15"/>
      <c r="M502" s="103" t="s">
        <v>244</v>
      </c>
      <c r="N502" s="103"/>
      <c r="O502" s="103"/>
      <c r="P502" s="103"/>
      <c r="Q502" s="103"/>
      <c r="R502" s="103"/>
      <c r="S502" s="103"/>
      <c r="T502" s="103"/>
      <c r="U502" s="103"/>
      <c r="V502" s="103"/>
      <c r="W502" s="15"/>
      <c r="X502" s="15"/>
      <c r="Y502" s="15"/>
      <c r="Z502" s="15"/>
    </row>
    <row r="503" spans="4:77" s="7" customFormat="1" ht="15.75" customHeight="1" x14ac:dyDescent="0.15">
      <c r="M503" s="411" t="s">
        <v>245</v>
      </c>
      <c r="N503" s="243"/>
      <c r="O503" s="243"/>
      <c r="P503" s="243"/>
      <c r="Q503" s="243"/>
      <c r="R503" s="253" t="s">
        <v>246</v>
      </c>
      <c r="S503" s="243"/>
      <c r="T503" s="243"/>
      <c r="U503" s="243"/>
      <c r="V503" s="254"/>
    </row>
    <row r="504" spans="4:77" s="7" customFormat="1" ht="15.75" customHeight="1" x14ac:dyDescent="0.15">
      <c r="M504" s="257"/>
      <c r="N504" s="243"/>
      <c r="O504" s="243"/>
      <c r="P504" s="243"/>
      <c r="Q504" s="243"/>
      <c r="R504" s="243"/>
      <c r="S504" s="243"/>
      <c r="T504" s="243"/>
      <c r="U504" s="243"/>
      <c r="V504" s="254"/>
    </row>
    <row r="505" spans="4:77" s="7" customFormat="1" ht="15.75" customHeight="1" x14ac:dyDescent="0.15">
      <c r="M505" s="356">
        <f>J224*0.65^2*PI()</f>
        <v>85256.604264972892</v>
      </c>
      <c r="N505" s="357"/>
      <c r="O505" s="357"/>
      <c r="P505" s="357"/>
      <c r="Q505" s="357"/>
      <c r="R505" s="357">
        <f>J228*0.65^2*PI()</f>
        <v>170513.20852994578</v>
      </c>
      <c r="S505" s="357"/>
      <c r="T505" s="357"/>
      <c r="U505" s="357"/>
      <c r="V505" s="358"/>
    </row>
    <row r="506" spans="4:77" s="7" customFormat="1" ht="15.75" customHeight="1" x14ac:dyDescent="0.15"/>
    <row r="507" spans="4:77" s="7" customFormat="1" ht="15.75" customHeight="1" x14ac:dyDescent="0.15"/>
    <row r="508" spans="4:77" s="7" customFormat="1" ht="15.75" customHeight="1" x14ac:dyDescent="0.15">
      <c r="F508" s="7" t="s">
        <v>247</v>
      </c>
    </row>
    <row r="509" spans="4:77" s="7" customFormat="1" ht="15.75" customHeight="1" x14ac:dyDescent="0.15">
      <c r="G509" s="7" t="s">
        <v>248</v>
      </c>
    </row>
    <row r="510" spans="4:77" s="7" customFormat="1" ht="15.75" customHeight="1" x14ac:dyDescent="0.15"/>
    <row r="511" spans="4:77" s="7" customFormat="1" ht="15.75" customHeight="1" x14ac:dyDescent="0.15">
      <c r="H511" s="103" t="s">
        <v>249</v>
      </c>
      <c r="I511" s="105"/>
      <c r="J511" s="105"/>
      <c r="K511" s="103"/>
      <c r="L511" s="103"/>
      <c r="M511" s="103"/>
      <c r="N511" s="103"/>
      <c r="O511" s="103"/>
      <c r="P511" s="103"/>
      <c r="Q511" s="103"/>
      <c r="R511" s="103"/>
      <c r="S511" s="103"/>
      <c r="T511" s="103"/>
      <c r="U511" s="103"/>
      <c r="V511" s="103"/>
      <c r="W511" s="103"/>
      <c r="X511" s="103"/>
      <c r="Y511" s="103"/>
      <c r="Z511" s="103"/>
      <c r="AA511" s="103"/>
      <c r="AB511" s="103"/>
      <c r="AC511" s="103"/>
      <c r="AD511" s="15"/>
      <c r="AE511" s="15"/>
    </row>
    <row r="512" spans="4:77" s="7" customFormat="1" ht="15.75" customHeight="1" x14ac:dyDescent="0.15">
      <c r="H512" s="265" t="s">
        <v>91</v>
      </c>
      <c r="I512" s="265"/>
      <c r="J512" s="268"/>
      <c r="K512" s="271" t="s">
        <v>226</v>
      </c>
      <c r="L512" s="294"/>
      <c r="M512" s="295"/>
      <c r="N512" s="253" t="s">
        <v>431</v>
      </c>
      <c r="O512" s="253"/>
      <c r="P512" s="253"/>
      <c r="Q512" s="256"/>
      <c r="R512" s="253" t="s">
        <v>432</v>
      </c>
      <c r="S512" s="243"/>
      <c r="T512" s="243"/>
      <c r="U512" s="243"/>
      <c r="V512" s="253" t="s">
        <v>434</v>
      </c>
      <c r="W512" s="243"/>
      <c r="X512" s="243"/>
      <c r="Y512" s="243"/>
      <c r="Z512" s="253" t="s">
        <v>433</v>
      </c>
      <c r="AA512" s="243"/>
      <c r="AB512" s="243"/>
      <c r="AC512" s="254"/>
    </row>
    <row r="513" spans="1:29" s="7" customFormat="1" ht="15.75" customHeight="1" x14ac:dyDescent="0.15">
      <c r="H513" s="430"/>
      <c r="I513" s="430"/>
      <c r="J513" s="431"/>
      <c r="K513" s="432"/>
      <c r="L513" s="433"/>
      <c r="M513" s="434"/>
      <c r="N513" s="253"/>
      <c r="O513" s="253"/>
      <c r="P513" s="253"/>
      <c r="Q513" s="256"/>
      <c r="R513" s="253"/>
      <c r="S513" s="243"/>
      <c r="T513" s="243"/>
      <c r="U513" s="243"/>
      <c r="V513" s="253"/>
      <c r="W513" s="243"/>
      <c r="X513" s="243"/>
      <c r="Y513" s="243"/>
      <c r="Z513" s="253"/>
      <c r="AA513" s="243"/>
      <c r="AB513" s="243"/>
      <c r="AC513" s="254"/>
    </row>
    <row r="514" spans="1:29" s="7" customFormat="1" ht="15.75" customHeight="1" x14ac:dyDescent="0.15">
      <c r="H514" s="266"/>
      <c r="I514" s="266"/>
      <c r="J514" s="270"/>
      <c r="K514" s="296"/>
      <c r="L514" s="297"/>
      <c r="M514" s="298"/>
      <c r="N514" s="253"/>
      <c r="O514" s="253"/>
      <c r="P514" s="253"/>
      <c r="Q514" s="256"/>
      <c r="R514" s="243"/>
      <c r="S514" s="243"/>
      <c r="T514" s="243"/>
      <c r="U514" s="243"/>
      <c r="V514" s="243"/>
      <c r="W514" s="243"/>
      <c r="X514" s="243"/>
      <c r="Y514" s="243"/>
      <c r="Z514" s="243"/>
      <c r="AA514" s="243"/>
      <c r="AB514" s="243"/>
      <c r="AC514" s="254"/>
    </row>
    <row r="515" spans="1:29" s="7" customFormat="1" ht="15.75" customHeight="1" x14ac:dyDescent="0.15">
      <c r="A515" s="96" t="str">
        <f>IF(K515="","×","")</f>
        <v>×</v>
      </c>
      <c r="H515" s="340"/>
      <c r="I515" s="341"/>
      <c r="J515" s="341"/>
      <c r="K515" s="348"/>
      <c r="L515" s="348"/>
      <c r="M515" s="359"/>
      <c r="N515" s="357">
        <f>R515*Q390*K515</f>
        <v>0</v>
      </c>
      <c r="O515" s="134"/>
      <c r="P515" s="134"/>
      <c r="Q515" s="134"/>
      <c r="R515" s="357">
        <f>T112</f>
        <v>1393</v>
      </c>
      <c r="S515" s="134"/>
      <c r="T515" s="134"/>
      <c r="U515" s="134"/>
      <c r="V515" s="357">
        <f>Z515*Q390*K515</f>
        <v>0</v>
      </c>
      <c r="W515" s="134"/>
      <c r="X515" s="134"/>
      <c r="Y515" s="134"/>
      <c r="Z515" s="357">
        <f>AC112</f>
        <v>2786</v>
      </c>
      <c r="AA515" s="357"/>
      <c r="AB515" s="357"/>
      <c r="AC515" s="358"/>
    </row>
    <row r="516" spans="1:29" s="7" customFormat="1" ht="15.75" customHeight="1" x14ac:dyDescent="0.15">
      <c r="A516" s="96" t="str">
        <f t="shared" ref="A516:A530" si="44">IF(K516="","×","")</f>
        <v>×</v>
      </c>
      <c r="H516" s="446"/>
      <c r="I516" s="447"/>
      <c r="J516" s="447"/>
      <c r="K516" s="450"/>
      <c r="L516" s="450"/>
      <c r="M516" s="468"/>
      <c r="N516" s="25"/>
      <c r="O516" s="97"/>
      <c r="P516" s="97"/>
      <c r="Q516" s="97"/>
      <c r="R516" s="25"/>
      <c r="S516" s="97"/>
      <c r="T516" s="97"/>
      <c r="U516" s="97"/>
      <c r="V516" s="25"/>
      <c r="W516" s="97"/>
      <c r="X516" s="97"/>
      <c r="Y516" s="97"/>
      <c r="Z516" s="25"/>
      <c r="AA516" s="25"/>
      <c r="AB516" s="112"/>
      <c r="AC516" s="112"/>
    </row>
    <row r="517" spans="1:29" s="7" customFormat="1" ht="15.75" customHeight="1" x14ac:dyDescent="0.15">
      <c r="A517" s="96" t="str">
        <f t="shared" si="44"/>
        <v>×</v>
      </c>
      <c r="H517" s="446"/>
      <c r="I517" s="447"/>
      <c r="J517" s="447"/>
      <c r="K517" s="450"/>
      <c r="L517" s="450"/>
      <c r="M517" s="468"/>
      <c r="N517" s="25"/>
      <c r="O517" s="97"/>
      <c r="P517" s="97"/>
      <c r="Q517" s="97"/>
      <c r="R517" s="25"/>
      <c r="S517" s="97"/>
      <c r="T517" s="97"/>
      <c r="U517" s="97"/>
      <c r="V517" s="25"/>
      <c r="W517" s="97"/>
      <c r="X517" s="97"/>
      <c r="Y517" s="97"/>
      <c r="Z517" s="25"/>
      <c r="AA517" s="25"/>
      <c r="AB517" s="112"/>
      <c r="AC517" s="112"/>
    </row>
    <row r="518" spans="1:29" s="7" customFormat="1" ht="15.75" customHeight="1" x14ac:dyDescent="0.15">
      <c r="A518" s="96" t="str">
        <f t="shared" si="44"/>
        <v>×</v>
      </c>
      <c r="H518" s="446"/>
      <c r="I518" s="447"/>
      <c r="J518" s="447"/>
      <c r="K518" s="450"/>
      <c r="L518" s="450"/>
      <c r="M518" s="468"/>
      <c r="N518" s="25"/>
      <c r="O518" s="97"/>
      <c r="P518" s="97"/>
      <c r="Q518" s="97"/>
      <c r="R518" s="25"/>
      <c r="S518" s="97"/>
      <c r="T518" s="97"/>
      <c r="U518" s="97"/>
      <c r="V518" s="25"/>
      <c r="W518" s="97"/>
      <c r="X518" s="97"/>
      <c r="Y518" s="97"/>
      <c r="Z518" s="25"/>
      <c r="AA518" s="25"/>
      <c r="AB518" s="112"/>
      <c r="AC518" s="112"/>
    </row>
    <row r="519" spans="1:29" s="7" customFormat="1" ht="15.75" customHeight="1" x14ac:dyDescent="0.15">
      <c r="A519" s="96" t="str">
        <f t="shared" si="44"/>
        <v>×</v>
      </c>
      <c r="H519" s="446"/>
      <c r="I519" s="447"/>
      <c r="J519" s="447"/>
      <c r="K519" s="450"/>
      <c r="L519" s="450"/>
      <c r="M519" s="468"/>
      <c r="N519" s="25"/>
      <c r="O519" s="97"/>
      <c r="P519" s="97"/>
      <c r="Q519" s="97"/>
      <c r="R519" s="25"/>
      <c r="S519" s="97"/>
      <c r="T519" s="97"/>
      <c r="U519" s="97"/>
      <c r="V519" s="25"/>
      <c r="W519" s="97"/>
      <c r="X519" s="97"/>
      <c r="Y519" s="97"/>
      <c r="Z519" s="25"/>
      <c r="AA519" s="25"/>
      <c r="AB519" s="112"/>
      <c r="AC519" s="112"/>
    </row>
    <row r="520" spans="1:29" s="7" customFormat="1" ht="15.75" customHeight="1" x14ac:dyDescent="0.15">
      <c r="A520" s="96" t="str">
        <f t="shared" si="44"/>
        <v>×</v>
      </c>
      <c r="H520" s="446"/>
      <c r="I520" s="447"/>
      <c r="J520" s="447"/>
      <c r="K520" s="450"/>
      <c r="L520" s="450"/>
      <c r="M520" s="468"/>
      <c r="N520" s="25"/>
      <c r="O520" s="97"/>
      <c r="P520" s="97"/>
      <c r="Q520" s="97"/>
      <c r="R520" s="25"/>
      <c r="S520" s="97"/>
      <c r="T520" s="97"/>
      <c r="U520" s="97"/>
      <c r="V520" s="25"/>
      <c r="W520" s="97"/>
      <c r="X520" s="97"/>
      <c r="Y520" s="97"/>
      <c r="Z520" s="25"/>
      <c r="AA520" s="25"/>
      <c r="AB520" s="112"/>
      <c r="AC520" s="112"/>
    </row>
    <row r="521" spans="1:29" s="7" customFormat="1" ht="15.75" customHeight="1" x14ac:dyDescent="0.15">
      <c r="A521" s="96" t="str">
        <f t="shared" si="44"/>
        <v>×</v>
      </c>
      <c r="H521" s="446"/>
      <c r="I521" s="447"/>
      <c r="J521" s="447"/>
      <c r="K521" s="450"/>
      <c r="L521" s="450"/>
      <c r="M521" s="468"/>
      <c r="N521" s="25"/>
      <c r="O521" s="97"/>
      <c r="P521" s="97"/>
      <c r="Q521" s="97"/>
      <c r="R521" s="25"/>
      <c r="S521" s="97"/>
      <c r="T521" s="97"/>
      <c r="U521" s="97"/>
      <c r="V521" s="25"/>
      <c r="W521" s="97"/>
      <c r="X521" s="97"/>
      <c r="Y521" s="97"/>
      <c r="Z521" s="25"/>
      <c r="AA521" s="25"/>
      <c r="AB521" s="112"/>
      <c r="AC521" s="112"/>
    </row>
    <row r="522" spans="1:29" s="7" customFormat="1" ht="15.75" customHeight="1" x14ac:dyDescent="0.15">
      <c r="A522" s="96" t="str">
        <f t="shared" si="44"/>
        <v>×</v>
      </c>
      <c r="H522" s="446"/>
      <c r="I522" s="447"/>
      <c r="J522" s="447"/>
      <c r="K522" s="450"/>
      <c r="L522" s="450"/>
      <c r="M522" s="468"/>
      <c r="N522" s="25"/>
      <c r="O522" s="97"/>
      <c r="P522" s="97"/>
      <c r="Q522" s="97"/>
      <c r="R522" s="25"/>
      <c r="S522" s="97"/>
      <c r="T522" s="97"/>
      <c r="U522" s="97"/>
      <c r="V522" s="25"/>
      <c r="W522" s="97"/>
      <c r="X522" s="97"/>
      <c r="Y522" s="97"/>
      <c r="Z522" s="25"/>
      <c r="AA522" s="25"/>
      <c r="AB522" s="112"/>
      <c r="AC522" s="112"/>
    </row>
    <row r="523" spans="1:29" s="7" customFormat="1" ht="15.75" customHeight="1" x14ac:dyDescent="0.15">
      <c r="A523" s="96" t="str">
        <f t="shared" si="44"/>
        <v>×</v>
      </c>
      <c r="H523" s="446"/>
      <c r="I523" s="447"/>
      <c r="J523" s="447"/>
      <c r="K523" s="450"/>
      <c r="L523" s="450"/>
      <c r="M523" s="468"/>
      <c r="N523" s="25"/>
      <c r="O523" s="97"/>
      <c r="P523" s="97"/>
      <c r="Q523" s="97"/>
      <c r="R523" s="25"/>
      <c r="S523" s="97"/>
      <c r="T523" s="97"/>
      <c r="U523" s="97"/>
      <c r="V523" s="25"/>
      <c r="W523" s="97"/>
      <c r="X523" s="97"/>
      <c r="Y523" s="97"/>
      <c r="Z523" s="25"/>
      <c r="AA523" s="25"/>
      <c r="AB523" s="112"/>
      <c r="AC523" s="112"/>
    </row>
    <row r="524" spans="1:29" s="7" customFormat="1" ht="15.75" customHeight="1" x14ac:dyDescent="0.15">
      <c r="A524" s="96" t="str">
        <f t="shared" si="44"/>
        <v>×</v>
      </c>
      <c r="H524" s="446"/>
      <c r="I524" s="447"/>
      <c r="J524" s="447"/>
      <c r="K524" s="450"/>
      <c r="L524" s="450"/>
      <c r="M524" s="468"/>
      <c r="N524" s="25"/>
      <c r="O524" s="97"/>
      <c r="P524" s="97"/>
      <c r="Q524" s="97"/>
      <c r="R524" s="25"/>
      <c r="S524" s="97"/>
      <c r="T524" s="97"/>
      <c r="U524" s="97"/>
      <c r="V524" s="25"/>
      <c r="W524" s="97"/>
      <c r="X524" s="97"/>
      <c r="Y524" s="97"/>
      <c r="Z524" s="25"/>
      <c r="AA524" s="25"/>
      <c r="AB524" s="112"/>
      <c r="AC524" s="112"/>
    </row>
    <row r="525" spans="1:29" s="7" customFormat="1" ht="15.75" customHeight="1" x14ac:dyDescent="0.15">
      <c r="A525" s="96" t="str">
        <f t="shared" si="44"/>
        <v>×</v>
      </c>
      <c r="H525" s="446"/>
      <c r="I525" s="447"/>
      <c r="J525" s="447"/>
      <c r="K525" s="450"/>
      <c r="L525" s="450"/>
      <c r="M525" s="468"/>
      <c r="N525" s="25"/>
      <c r="O525" s="97"/>
      <c r="P525" s="97"/>
      <c r="Q525" s="97"/>
      <c r="R525" s="25"/>
      <c r="S525" s="97"/>
      <c r="T525" s="97"/>
      <c r="U525" s="97"/>
      <c r="V525" s="25"/>
      <c r="W525" s="97"/>
      <c r="X525" s="97"/>
      <c r="Y525" s="97"/>
      <c r="Z525" s="25"/>
      <c r="AA525" s="25"/>
      <c r="AB525" s="112"/>
      <c r="AC525" s="112"/>
    </row>
    <row r="526" spans="1:29" s="7" customFormat="1" ht="15.75" customHeight="1" x14ac:dyDescent="0.15">
      <c r="A526" s="96" t="str">
        <f t="shared" si="44"/>
        <v>×</v>
      </c>
      <c r="H526" s="446"/>
      <c r="I526" s="447"/>
      <c r="J526" s="447"/>
      <c r="K526" s="450"/>
      <c r="L526" s="450"/>
      <c r="M526" s="468"/>
      <c r="N526" s="25"/>
      <c r="O526" s="97"/>
      <c r="P526" s="97"/>
      <c r="Q526" s="97"/>
      <c r="R526" s="25"/>
      <c r="S526" s="97"/>
      <c r="T526" s="97"/>
      <c r="U526" s="97"/>
      <c r="V526" s="25"/>
      <c r="W526" s="97"/>
      <c r="X526" s="97"/>
      <c r="Y526" s="97"/>
      <c r="Z526" s="25"/>
      <c r="AA526" s="25"/>
      <c r="AB526" s="112"/>
      <c r="AC526" s="112"/>
    </row>
    <row r="527" spans="1:29" s="7" customFormat="1" ht="15.75" customHeight="1" x14ac:dyDescent="0.15">
      <c r="A527" s="96" t="str">
        <f t="shared" si="44"/>
        <v>×</v>
      </c>
      <c r="H527" s="446"/>
      <c r="I527" s="447"/>
      <c r="J527" s="447"/>
      <c r="K527" s="450"/>
      <c r="L527" s="450"/>
      <c r="M527" s="468"/>
      <c r="N527" s="25"/>
      <c r="O527" s="97"/>
      <c r="P527" s="97"/>
      <c r="Q527" s="97"/>
      <c r="R527" s="25"/>
      <c r="S527" s="97"/>
      <c r="T527" s="97"/>
      <c r="U527" s="97"/>
      <c r="V527" s="25"/>
      <c r="W527" s="97"/>
      <c r="X527" s="97"/>
      <c r="Y527" s="97"/>
      <c r="Z527" s="25"/>
      <c r="AA527" s="25"/>
      <c r="AB527" s="112"/>
      <c r="AC527" s="112"/>
    </row>
    <row r="528" spans="1:29" s="7" customFormat="1" ht="15.75" customHeight="1" x14ac:dyDescent="0.15">
      <c r="A528" s="96" t="str">
        <f t="shared" si="44"/>
        <v>×</v>
      </c>
      <c r="H528" s="446"/>
      <c r="I528" s="447"/>
      <c r="J528" s="447"/>
      <c r="K528" s="450"/>
      <c r="L528" s="450"/>
      <c r="M528" s="468"/>
      <c r="N528" s="25"/>
      <c r="O528" s="97"/>
      <c r="P528" s="97"/>
      <c r="Q528" s="97"/>
      <c r="R528" s="25"/>
      <c r="S528" s="97"/>
      <c r="T528" s="97"/>
      <c r="U528" s="97"/>
      <c r="V528" s="25"/>
      <c r="W528" s="97"/>
      <c r="X528" s="97"/>
      <c r="Y528" s="97"/>
      <c r="Z528" s="25"/>
      <c r="AA528" s="25"/>
      <c r="AB528" s="112"/>
      <c r="AC528" s="112"/>
    </row>
    <row r="529" spans="1:31" s="7" customFormat="1" ht="15.75" customHeight="1" x14ac:dyDescent="0.15">
      <c r="A529" s="96" t="str">
        <f t="shared" si="44"/>
        <v>×</v>
      </c>
      <c r="H529" s="446"/>
      <c r="I529" s="447"/>
      <c r="J529" s="447"/>
      <c r="K529" s="450"/>
      <c r="L529" s="450"/>
      <c r="M529" s="468"/>
      <c r="N529" s="25"/>
      <c r="O529" s="97"/>
      <c r="P529" s="97"/>
      <c r="Q529" s="97"/>
      <c r="R529" s="25"/>
      <c r="S529" s="97"/>
      <c r="T529" s="97"/>
      <c r="U529" s="97"/>
      <c r="V529" s="25"/>
      <c r="W529" s="97"/>
      <c r="X529" s="97"/>
      <c r="Y529" s="97"/>
      <c r="Z529" s="25"/>
      <c r="AA529" s="25"/>
      <c r="AB529" s="112"/>
      <c r="AC529" s="112"/>
    </row>
    <row r="530" spans="1:31" s="7" customFormat="1" ht="15.75" customHeight="1" x14ac:dyDescent="0.15">
      <c r="A530" s="96" t="str">
        <f t="shared" si="44"/>
        <v>×</v>
      </c>
      <c r="H530" s="448"/>
      <c r="I530" s="449"/>
      <c r="J530" s="449"/>
      <c r="K530" s="451"/>
      <c r="L530" s="451"/>
      <c r="M530" s="469"/>
      <c r="N530" s="25"/>
      <c r="O530" s="97"/>
      <c r="P530" s="97"/>
      <c r="Q530" s="97"/>
      <c r="R530" s="25"/>
      <c r="S530" s="97"/>
      <c r="T530" s="97"/>
      <c r="U530" s="97"/>
      <c r="V530" s="25"/>
      <c r="W530" s="97"/>
      <c r="X530" s="97"/>
      <c r="Y530" s="97"/>
      <c r="Z530" s="25"/>
      <c r="AA530" s="25"/>
      <c r="AB530" s="112"/>
      <c r="AC530" s="112"/>
    </row>
    <row r="531" spans="1:31" s="7" customFormat="1" ht="15.75" customHeight="1" x14ac:dyDescent="0.15">
      <c r="H531" s="6"/>
      <c r="J531" s="6"/>
      <c r="K531" s="6"/>
      <c r="L531" s="6"/>
      <c r="M531" s="6"/>
      <c r="N531" s="6"/>
      <c r="O531" s="6"/>
      <c r="P531" s="6"/>
      <c r="Q531" s="6"/>
      <c r="R531" s="6"/>
      <c r="S531" s="6"/>
      <c r="T531" s="6"/>
      <c r="U531" s="6"/>
      <c r="V531" s="6"/>
      <c r="W531" s="6"/>
      <c r="X531" s="15"/>
      <c r="Y531" s="15"/>
      <c r="Z531" s="23"/>
      <c r="AA531" s="6"/>
      <c r="AB531" s="24"/>
      <c r="AC531" s="24"/>
      <c r="AD531" s="15"/>
      <c r="AE531" s="15"/>
    </row>
    <row r="532" spans="1:31" s="7" customFormat="1" ht="15.75" customHeight="1" x14ac:dyDescent="0.15"/>
    <row r="533" spans="1:31" s="7" customFormat="1" ht="15.75" customHeight="1" x14ac:dyDescent="0.15"/>
    <row r="534" spans="1:31" s="7" customFormat="1" ht="15.75" customHeight="1" x14ac:dyDescent="0.15"/>
    <row r="535" spans="1:31" s="7" customFormat="1" ht="15.75" customHeight="1" x14ac:dyDescent="0.15">
      <c r="D535" s="12" t="s">
        <v>250</v>
      </c>
    </row>
    <row r="536" spans="1:31" s="7" customFormat="1" ht="15.75" customHeight="1" x14ac:dyDescent="0.15"/>
    <row r="537" spans="1:31" s="7" customFormat="1" ht="15.75" customHeight="1" x14ac:dyDescent="0.15">
      <c r="D537" s="12" t="s">
        <v>251</v>
      </c>
    </row>
    <row r="538" spans="1:31" s="7" customFormat="1" ht="15.75" customHeight="1" x14ac:dyDescent="0.15"/>
    <row r="539" spans="1:31" s="7" customFormat="1" ht="15.75" customHeight="1" x14ac:dyDescent="0.2">
      <c r="E539" s="261" t="s">
        <v>252</v>
      </c>
      <c r="F539" s="261"/>
      <c r="G539" s="6" t="s">
        <v>27</v>
      </c>
      <c r="H539" s="261" t="s">
        <v>253</v>
      </c>
      <c r="I539" s="261"/>
      <c r="J539" s="6" t="s">
        <v>6</v>
      </c>
      <c r="K539" s="261" t="s">
        <v>254</v>
      </c>
      <c r="L539" s="261"/>
    </row>
    <row r="540" spans="1:31" s="7" customFormat="1" ht="15.75" customHeight="1" x14ac:dyDescent="0.15"/>
    <row r="541" spans="1:31" s="7" customFormat="1" ht="15.75" customHeight="1" x14ac:dyDescent="0.2">
      <c r="F541" s="7" t="s">
        <v>3</v>
      </c>
      <c r="I541" s="313" t="s">
        <v>252</v>
      </c>
      <c r="J541" s="313"/>
      <c r="K541" s="6" t="s">
        <v>2</v>
      </c>
      <c r="L541" s="7" t="s">
        <v>256</v>
      </c>
    </row>
    <row r="542" spans="1:31" s="7" customFormat="1" ht="15.75" customHeight="1" x14ac:dyDescent="0.2">
      <c r="I542" s="313" t="s">
        <v>253</v>
      </c>
      <c r="J542" s="313"/>
      <c r="K542" s="6" t="s">
        <v>2</v>
      </c>
      <c r="L542" s="7" t="s">
        <v>257</v>
      </c>
    </row>
    <row r="543" spans="1:31" s="7" customFormat="1" ht="15.75" customHeight="1" x14ac:dyDescent="0.2">
      <c r="I543" s="313" t="s">
        <v>255</v>
      </c>
      <c r="J543" s="313"/>
      <c r="K543" s="6" t="s">
        <v>2</v>
      </c>
      <c r="L543" s="7" t="s">
        <v>258</v>
      </c>
    </row>
    <row r="544" spans="1:31" s="7" customFormat="1" ht="15.75" customHeight="1" x14ac:dyDescent="0.15"/>
    <row r="545" spans="5:27" s="7" customFormat="1" ht="15.75" customHeight="1" x14ac:dyDescent="0.15">
      <c r="E545" s="7" t="s">
        <v>259</v>
      </c>
    </row>
    <row r="546" spans="5:27" s="7" customFormat="1" ht="15.75" customHeight="1" x14ac:dyDescent="0.15">
      <c r="F546" s="7" t="s">
        <v>260</v>
      </c>
    </row>
    <row r="547" spans="5:27" ht="15.75" customHeight="1" x14ac:dyDescent="0.15">
      <c r="E547" s="6"/>
    </row>
    <row r="548" spans="5:27" s="7" customFormat="1" ht="15.75" customHeight="1" x14ac:dyDescent="0.2">
      <c r="E548" s="261" t="s">
        <v>253</v>
      </c>
      <c r="F548" s="261"/>
      <c r="G548" s="6" t="s">
        <v>27</v>
      </c>
      <c r="H548" s="261" t="s">
        <v>261</v>
      </c>
      <c r="I548" s="261"/>
      <c r="J548" s="6" t="s">
        <v>6</v>
      </c>
      <c r="K548" s="261" t="s">
        <v>262</v>
      </c>
      <c r="L548" s="261"/>
    </row>
    <row r="549" spans="5:27" s="7" customFormat="1" ht="15.75" customHeight="1" x14ac:dyDescent="0.15"/>
    <row r="550" spans="5:27" s="7" customFormat="1" ht="15.75" customHeight="1" x14ac:dyDescent="0.2">
      <c r="F550" s="7" t="s">
        <v>3</v>
      </c>
      <c r="I550" s="313" t="s">
        <v>253</v>
      </c>
      <c r="J550" s="313"/>
      <c r="K550" s="6" t="s">
        <v>2</v>
      </c>
      <c r="L550" s="7" t="s">
        <v>263</v>
      </c>
    </row>
    <row r="551" spans="5:27" s="7" customFormat="1" ht="15.75" customHeight="1" x14ac:dyDescent="0.2">
      <c r="I551" s="313" t="s">
        <v>261</v>
      </c>
      <c r="J551" s="313"/>
      <c r="K551" s="6" t="s">
        <v>2</v>
      </c>
      <c r="L551" s="7" t="s">
        <v>453</v>
      </c>
    </row>
    <row r="552" spans="5:27" s="7" customFormat="1" ht="15.75" customHeight="1" x14ac:dyDescent="0.15">
      <c r="I552" s="8"/>
      <c r="J552" s="8"/>
      <c r="K552" s="6"/>
      <c r="L552" s="7" t="s">
        <v>454</v>
      </c>
    </row>
    <row r="553" spans="5:27" s="7" customFormat="1" ht="15.75" customHeight="1" x14ac:dyDescent="0.2">
      <c r="I553" s="8"/>
      <c r="J553" s="8"/>
      <c r="K553" s="6"/>
      <c r="M553" s="7" t="s">
        <v>264</v>
      </c>
      <c r="R553" s="6" t="s">
        <v>2</v>
      </c>
      <c r="S553" s="261" t="s">
        <v>261</v>
      </c>
      <c r="T553" s="261"/>
      <c r="U553" s="6" t="s">
        <v>27</v>
      </c>
      <c r="V553" s="261" t="s">
        <v>267</v>
      </c>
      <c r="W553" s="261"/>
      <c r="X553" s="7" t="s">
        <v>268</v>
      </c>
      <c r="Y553" s="261">
        <v>3500</v>
      </c>
      <c r="Z553" s="261"/>
      <c r="AA553" s="7" t="s">
        <v>269</v>
      </c>
    </row>
    <row r="554" spans="5:27" s="7" customFormat="1" ht="15.75" customHeight="1" x14ac:dyDescent="0.2">
      <c r="I554" s="8"/>
      <c r="J554" s="8"/>
      <c r="K554" s="6"/>
      <c r="M554" s="7" t="s">
        <v>265</v>
      </c>
      <c r="R554" s="6" t="s">
        <v>2</v>
      </c>
      <c r="S554" s="261" t="s">
        <v>261</v>
      </c>
      <c r="T554" s="261"/>
      <c r="U554" s="6" t="s">
        <v>27</v>
      </c>
      <c r="V554" s="261" t="s">
        <v>267</v>
      </c>
      <c r="W554" s="261"/>
      <c r="X554" s="7" t="s">
        <v>268</v>
      </c>
      <c r="Y554" s="261">
        <v>7500</v>
      </c>
      <c r="Z554" s="261"/>
      <c r="AA554" s="7" t="s">
        <v>269</v>
      </c>
    </row>
    <row r="555" spans="5:27" s="7" customFormat="1" ht="15.75" customHeight="1" x14ac:dyDescent="0.15">
      <c r="I555" s="8"/>
      <c r="J555" s="8"/>
      <c r="K555" s="6"/>
      <c r="M555" s="7" t="s">
        <v>266</v>
      </c>
      <c r="N555" s="6" t="s">
        <v>2</v>
      </c>
      <c r="O555" s="7" t="s">
        <v>270</v>
      </c>
    </row>
    <row r="556" spans="5:27" s="7" customFormat="1" ht="15.75" customHeight="1" x14ac:dyDescent="0.2">
      <c r="I556" s="313" t="s">
        <v>262</v>
      </c>
      <c r="J556" s="313"/>
      <c r="K556" s="6" t="s">
        <v>2</v>
      </c>
      <c r="L556" s="7" t="s">
        <v>455</v>
      </c>
    </row>
    <row r="557" spans="5:27" ht="15.75" customHeight="1" x14ac:dyDescent="0.15">
      <c r="E557" s="6"/>
      <c r="L557" s="9" t="s">
        <v>456</v>
      </c>
    </row>
    <row r="558" spans="5:27" ht="15.75" customHeight="1" x14ac:dyDescent="0.15">
      <c r="E558" s="6"/>
    </row>
    <row r="559" spans="5:27" ht="15.75" customHeight="1" x14ac:dyDescent="0.15">
      <c r="E559" s="7" t="s">
        <v>457</v>
      </c>
    </row>
    <row r="560" spans="5:27" ht="15.75" customHeight="1" x14ac:dyDescent="0.15">
      <c r="E560" s="7" t="s">
        <v>458</v>
      </c>
    </row>
    <row r="562" spans="5:78" ht="15.75" customHeight="1" x14ac:dyDescent="0.2">
      <c r="E562" s="261" t="s">
        <v>253</v>
      </c>
      <c r="F562" s="261"/>
      <c r="G562" s="6" t="s">
        <v>27</v>
      </c>
      <c r="H562" s="261" t="s">
        <v>261</v>
      </c>
      <c r="I562" s="261"/>
      <c r="J562" s="6" t="s">
        <v>6</v>
      </c>
      <c r="K562" s="261" t="s">
        <v>262</v>
      </c>
      <c r="L562" s="261"/>
    </row>
    <row r="563" spans="5:78" ht="15.75" customHeight="1" x14ac:dyDescent="0.15">
      <c r="G563" s="6" t="s">
        <v>27</v>
      </c>
      <c r="H563" s="261">
        <v>60</v>
      </c>
      <c r="I563" s="261"/>
      <c r="J563" s="261" t="s">
        <v>271</v>
      </c>
      <c r="K563" s="261"/>
      <c r="L563" s="350">
        <v>0.25</v>
      </c>
      <c r="M563" s="350"/>
      <c r="N563" s="6" t="s">
        <v>272</v>
      </c>
      <c r="O563" s="6" t="s">
        <v>107</v>
      </c>
      <c r="P563" s="261" t="s">
        <v>273</v>
      </c>
      <c r="Q563" s="261"/>
    </row>
    <row r="564" spans="5:78" ht="15.75" customHeight="1" x14ac:dyDescent="0.15">
      <c r="G564" s="6" t="s">
        <v>27</v>
      </c>
      <c r="H564" s="261">
        <v>60</v>
      </c>
      <c r="I564" s="261"/>
      <c r="J564" s="6" t="s">
        <v>1</v>
      </c>
      <c r="K564" s="261">
        <v>50</v>
      </c>
      <c r="L564" s="261"/>
      <c r="M564" s="6" t="s">
        <v>1</v>
      </c>
      <c r="N564" s="350">
        <v>0.25</v>
      </c>
      <c r="O564" s="350"/>
      <c r="P564" s="6" t="s">
        <v>1</v>
      </c>
      <c r="Q564" s="6" t="s">
        <v>272</v>
      </c>
      <c r="R564" s="6" t="s">
        <v>1</v>
      </c>
      <c r="S564" s="351">
        <f>Q92</f>
        <v>1</v>
      </c>
      <c r="T564" s="351"/>
      <c r="U564" s="351"/>
      <c r="V564" s="113" t="s">
        <v>274</v>
      </c>
    </row>
    <row r="565" spans="5:78" ht="15.75" customHeight="1" x14ac:dyDescent="0.15">
      <c r="G565" s="6" t="s">
        <v>27</v>
      </c>
      <c r="H565" s="261">
        <f>H564*K564*S564^2</f>
        <v>3000</v>
      </c>
      <c r="I565" s="261"/>
      <c r="J565" s="261"/>
      <c r="K565" s="7" t="s">
        <v>269</v>
      </c>
      <c r="N565" s="6" t="s">
        <v>1</v>
      </c>
      <c r="O565" s="351">
        <f>N564*PI()</f>
        <v>0.78539816339744828</v>
      </c>
      <c r="P565" s="351"/>
      <c r="Q565" s="351"/>
      <c r="R565" s="7" t="s">
        <v>275</v>
      </c>
      <c r="AN565" s="6"/>
      <c r="BE565"/>
      <c r="BF565" s="6"/>
      <c r="BG565" s="32"/>
      <c r="BH565" s="6"/>
      <c r="BI565" s="32"/>
      <c r="BJ565" s="6"/>
      <c r="BK565" s="32"/>
      <c r="BL565" s="6"/>
      <c r="BN565" s="32"/>
      <c r="BO565" s="6"/>
      <c r="BS565" s="32"/>
      <c r="BU565" s="32"/>
      <c r="BV565" s="6"/>
      <c r="BX565" s="32"/>
      <c r="BY565" s="6"/>
      <c r="BZ565" s="32"/>
    </row>
    <row r="566" spans="5:78" ht="15.75" customHeight="1" x14ac:dyDescent="0.15">
      <c r="G566" s="6" t="s">
        <v>27</v>
      </c>
      <c r="H566" s="264">
        <f>H565*O565</f>
        <v>2356.1944901923448</v>
      </c>
      <c r="I566" s="264"/>
      <c r="J566" s="264"/>
      <c r="K566" s="7" t="s">
        <v>276</v>
      </c>
    </row>
    <row r="568" spans="5:78" ht="15.75" customHeight="1" x14ac:dyDescent="0.15">
      <c r="F568" s="9" t="s">
        <v>277</v>
      </c>
    </row>
    <row r="571" spans="5:78" ht="15.75" customHeight="1" x14ac:dyDescent="0.15">
      <c r="E571" s="7" t="s">
        <v>278</v>
      </c>
      <c r="F571" s="7"/>
      <c r="G571" s="7"/>
      <c r="H571" s="7"/>
      <c r="I571" s="7"/>
      <c r="J571" s="7"/>
      <c r="K571" s="7"/>
      <c r="L571" s="7"/>
      <c r="M571" s="7"/>
      <c r="N571" s="7"/>
      <c r="O571" s="7"/>
      <c r="P571" s="7"/>
      <c r="Q571" s="7"/>
      <c r="R571" s="7"/>
      <c r="S571" s="7"/>
      <c r="T571" s="7"/>
      <c r="U571" s="7"/>
      <c r="V571" s="7"/>
      <c r="W571" s="7"/>
      <c r="X571" s="7"/>
      <c r="Y571" s="7"/>
      <c r="Z571" s="7"/>
      <c r="AA571" s="7"/>
      <c r="AB571" s="7"/>
      <c r="AC571" s="7"/>
      <c r="AD571" s="7"/>
      <c r="AE571" s="7"/>
      <c r="AF571" s="7"/>
      <c r="AG571" s="7"/>
      <c r="AH571" s="7"/>
    </row>
    <row r="572" spans="5:78" ht="15.75" customHeight="1" x14ac:dyDescent="0.15">
      <c r="F572" s="7" t="s">
        <v>279</v>
      </c>
      <c r="G572" s="7"/>
      <c r="H572" s="7"/>
      <c r="I572" s="7"/>
      <c r="J572" s="7"/>
      <c r="K572" s="7"/>
      <c r="L572" s="7"/>
      <c r="M572" s="7"/>
      <c r="N572" s="7"/>
      <c r="O572" s="7"/>
      <c r="P572" s="7"/>
      <c r="Q572" s="7"/>
      <c r="R572" s="7"/>
      <c r="S572" s="7"/>
      <c r="T572" s="7"/>
      <c r="U572" s="7"/>
      <c r="V572" s="7"/>
      <c r="W572" s="7"/>
      <c r="X572" s="7"/>
      <c r="Y572" s="7"/>
      <c r="Z572" s="7"/>
      <c r="AA572" s="7"/>
      <c r="AB572" s="7"/>
      <c r="AC572" s="7"/>
      <c r="AD572" s="7"/>
      <c r="AE572" s="7"/>
      <c r="AF572" s="7"/>
      <c r="AG572" s="7"/>
      <c r="AH572" s="7"/>
    </row>
    <row r="573" spans="5:78" ht="15.75" customHeight="1" x14ac:dyDescent="0.15">
      <c r="E573" s="6"/>
    </row>
    <row r="574" spans="5:78" ht="15.75" customHeight="1" x14ac:dyDescent="0.2">
      <c r="E574" s="261" t="s">
        <v>255</v>
      </c>
      <c r="F574" s="261"/>
      <c r="G574" s="6" t="s">
        <v>27</v>
      </c>
      <c r="H574" s="261" t="s">
        <v>280</v>
      </c>
      <c r="I574" s="261"/>
      <c r="J574" s="6" t="s">
        <v>1</v>
      </c>
      <c r="K574" s="261" t="s">
        <v>281</v>
      </c>
      <c r="L574" s="261"/>
      <c r="M574" s="7" t="s">
        <v>1</v>
      </c>
      <c r="N574" s="9" t="s">
        <v>282</v>
      </c>
      <c r="O574" s="7"/>
      <c r="P574" s="7"/>
      <c r="Q574" s="7"/>
      <c r="R574" s="7"/>
      <c r="S574" s="7"/>
      <c r="T574" s="7"/>
      <c r="U574" s="7"/>
      <c r="V574" s="7"/>
      <c r="W574" s="7"/>
      <c r="X574" s="7"/>
      <c r="Y574" s="7"/>
      <c r="Z574" s="7"/>
      <c r="AA574" s="7"/>
      <c r="AB574" s="7"/>
      <c r="AC574" s="7"/>
      <c r="AD574" s="7"/>
      <c r="AE574" s="7"/>
      <c r="AF574" s="7"/>
      <c r="AG574" s="7"/>
      <c r="AH574" s="7"/>
    </row>
    <row r="575" spans="5:78" ht="15.75" customHeight="1" x14ac:dyDescent="0.15">
      <c r="F575" s="7"/>
      <c r="G575" s="7"/>
      <c r="H575" s="7"/>
      <c r="I575" s="7"/>
      <c r="J575" s="7"/>
      <c r="K575" s="7"/>
      <c r="L575" s="7"/>
      <c r="M575" s="7"/>
      <c r="N575" s="7"/>
      <c r="O575" s="7"/>
      <c r="P575" s="7"/>
      <c r="Q575" s="7"/>
      <c r="R575" s="7"/>
      <c r="S575" s="7"/>
      <c r="T575" s="7"/>
      <c r="U575" s="7"/>
      <c r="V575" s="7"/>
      <c r="W575" s="7"/>
      <c r="X575" s="7"/>
      <c r="Y575" s="7"/>
      <c r="Z575" s="7"/>
      <c r="AA575" s="7"/>
      <c r="AB575" s="7"/>
      <c r="AC575" s="7"/>
      <c r="AD575" s="7"/>
      <c r="AE575" s="7"/>
      <c r="AF575" s="7"/>
      <c r="AG575" s="7"/>
      <c r="AH575" s="7"/>
    </row>
    <row r="576" spans="5:78" ht="15.75" customHeight="1" x14ac:dyDescent="0.15">
      <c r="F576" s="7" t="s">
        <v>3</v>
      </c>
      <c r="G576" s="7"/>
      <c r="H576" s="7"/>
      <c r="I576" s="261" t="s">
        <v>281</v>
      </c>
      <c r="J576" s="261"/>
      <c r="K576" s="6" t="s">
        <v>2</v>
      </c>
      <c r="L576" s="7" t="s">
        <v>283</v>
      </c>
      <c r="M576" s="7"/>
      <c r="N576" s="7"/>
      <c r="O576" s="7"/>
      <c r="P576" s="7"/>
      <c r="Q576" s="7"/>
      <c r="R576" s="7"/>
      <c r="S576" s="7"/>
      <c r="T576" s="7"/>
      <c r="U576" s="7"/>
      <c r="V576" s="7"/>
      <c r="W576" s="7"/>
      <c r="X576" s="7"/>
      <c r="Y576" s="7"/>
      <c r="Z576" s="7"/>
      <c r="AA576" s="7"/>
      <c r="AB576" s="7"/>
      <c r="AC576" s="7"/>
      <c r="AD576" s="7"/>
      <c r="AE576" s="7"/>
      <c r="AF576" s="7"/>
      <c r="AG576" s="7"/>
      <c r="AH576" s="7"/>
    </row>
    <row r="577" spans="1:38" ht="15.75" customHeight="1" x14ac:dyDescent="0.2">
      <c r="F577" s="7"/>
      <c r="G577" s="7"/>
      <c r="H577" s="7"/>
      <c r="I577" s="261" t="s">
        <v>280</v>
      </c>
      <c r="J577" s="261"/>
      <c r="K577" s="6" t="s">
        <v>2</v>
      </c>
      <c r="L577" s="7" t="s">
        <v>459</v>
      </c>
      <c r="M577" s="7"/>
      <c r="N577" s="7"/>
      <c r="O577" s="7"/>
      <c r="P577" s="7"/>
      <c r="Q577" s="7"/>
      <c r="R577" s="7"/>
      <c r="S577" s="7"/>
      <c r="T577" s="7"/>
      <c r="U577" s="7"/>
      <c r="V577" s="7"/>
      <c r="W577" s="7"/>
      <c r="X577" s="7"/>
      <c r="Y577" s="7"/>
      <c r="Z577" s="7"/>
      <c r="AA577" s="7"/>
      <c r="AB577" s="7"/>
      <c r="AC577" s="7"/>
      <c r="AD577" s="7"/>
      <c r="AE577" s="7"/>
      <c r="AF577" s="7"/>
      <c r="AG577" s="7"/>
      <c r="AH577" s="7"/>
    </row>
    <row r="578" spans="1:38" ht="15.75" customHeight="1" x14ac:dyDescent="0.15">
      <c r="F578" s="7"/>
      <c r="G578" s="7"/>
      <c r="H578" s="7"/>
      <c r="L578" s="7" t="s">
        <v>460</v>
      </c>
      <c r="M578" s="7"/>
      <c r="N578" s="7"/>
      <c r="O578" s="7"/>
      <c r="P578" s="7"/>
      <c r="Q578" s="7"/>
      <c r="R578" s="7"/>
      <c r="S578" s="7"/>
      <c r="T578" s="7"/>
      <c r="U578" s="7"/>
      <c r="V578" s="7"/>
      <c r="W578" s="7"/>
      <c r="X578" s="7"/>
      <c r="Y578" s="7"/>
      <c r="Z578" s="7"/>
      <c r="AA578" s="7"/>
      <c r="AB578" s="7"/>
      <c r="AC578" s="7"/>
      <c r="AD578" s="7"/>
      <c r="AE578" s="7"/>
      <c r="AF578" s="7"/>
      <c r="AG578" s="7"/>
      <c r="AH578" s="7"/>
    </row>
    <row r="579" spans="1:38" ht="15.75" customHeight="1" x14ac:dyDescent="0.2">
      <c r="F579" s="7"/>
      <c r="G579" s="7"/>
      <c r="H579" s="7"/>
      <c r="L579" s="7"/>
      <c r="M579" s="7" t="s">
        <v>284</v>
      </c>
      <c r="N579" s="7"/>
      <c r="O579" s="7"/>
      <c r="P579" s="7"/>
      <c r="Q579" s="7"/>
      <c r="R579" s="7"/>
      <c r="S579" s="7"/>
      <c r="T579" s="7"/>
      <c r="U579" s="6" t="s">
        <v>2</v>
      </c>
      <c r="V579" s="261" t="s">
        <v>280</v>
      </c>
      <c r="W579" s="261"/>
      <c r="X579" s="6" t="s">
        <v>27</v>
      </c>
      <c r="Y579" s="261" t="s">
        <v>285</v>
      </c>
      <c r="Z579" s="261"/>
      <c r="AA579" s="7" t="s">
        <v>268</v>
      </c>
      <c r="AB579" s="261">
        <v>150</v>
      </c>
      <c r="AC579" s="261"/>
      <c r="AD579" s="7" t="s">
        <v>269</v>
      </c>
      <c r="AE579" s="7"/>
      <c r="AF579" s="7"/>
      <c r="AG579" s="7"/>
      <c r="AH579" s="7"/>
      <c r="AI579" s="7"/>
      <c r="AJ579" s="7"/>
      <c r="AK579" s="7"/>
      <c r="AL579" s="7"/>
    </row>
    <row r="580" spans="1:38" ht="15.75" customHeight="1" x14ac:dyDescent="0.2">
      <c r="F580" s="7"/>
      <c r="G580" s="7"/>
      <c r="H580" s="7"/>
      <c r="L580" s="346" t="s">
        <v>286</v>
      </c>
      <c r="M580" s="346"/>
      <c r="N580" s="346"/>
      <c r="O580" s="346"/>
      <c r="P580" s="346"/>
      <c r="Q580" s="6" t="s">
        <v>2</v>
      </c>
      <c r="R580" s="261" t="s">
        <v>280</v>
      </c>
      <c r="S580" s="261"/>
      <c r="T580" s="6" t="s">
        <v>27</v>
      </c>
      <c r="U580" s="261" t="s">
        <v>287</v>
      </c>
      <c r="V580" s="261"/>
      <c r="W580" s="7" t="s">
        <v>268</v>
      </c>
      <c r="X580" s="261">
        <v>150</v>
      </c>
      <c r="Y580" s="261"/>
      <c r="Z580" s="345" t="s">
        <v>288</v>
      </c>
      <c r="AA580" s="345"/>
      <c r="AB580" s="261" t="s">
        <v>289</v>
      </c>
      <c r="AC580" s="261"/>
      <c r="AD580" s="7" t="s">
        <v>268</v>
      </c>
      <c r="AE580" s="261">
        <v>150</v>
      </c>
      <c r="AF580" s="261"/>
      <c r="AG580" s="7" t="s">
        <v>269</v>
      </c>
      <c r="AH580" s="7"/>
      <c r="AI580" s="7"/>
    </row>
    <row r="581" spans="1:38" ht="15.75" customHeight="1" x14ac:dyDescent="0.15">
      <c r="F581" s="7"/>
      <c r="G581" s="7"/>
      <c r="H581" s="7"/>
      <c r="L581" s="7"/>
      <c r="M581" s="8" t="s">
        <v>266</v>
      </c>
      <c r="N581" s="6" t="s">
        <v>2</v>
      </c>
      <c r="O581" s="7" t="s">
        <v>290</v>
      </c>
      <c r="P581" s="7"/>
      <c r="Q581" s="7"/>
      <c r="R581" s="7"/>
      <c r="S581" s="7"/>
      <c r="T581" s="7"/>
      <c r="U581" s="7"/>
      <c r="V581" s="7"/>
      <c r="W581" s="7"/>
      <c r="X581" s="7"/>
      <c r="Y581" s="7"/>
      <c r="Z581" s="7"/>
      <c r="AA581" s="7"/>
      <c r="AB581" s="7"/>
      <c r="AC581" s="7"/>
      <c r="AD581" s="7"/>
      <c r="AE581" s="7"/>
      <c r="AF581" s="7"/>
      <c r="AG581" s="7"/>
      <c r="AH581" s="7"/>
    </row>
    <row r="582" spans="1:38" ht="15.75" customHeight="1" x14ac:dyDescent="0.15">
      <c r="E582" s="6"/>
      <c r="M582" s="8" t="s">
        <v>291</v>
      </c>
      <c r="N582" s="6" t="s">
        <v>2</v>
      </c>
      <c r="O582" s="9" t="s">
        <v>292</v>
      </c>
    </row>
    <row r="583" spans="1:38" ht="15.75" customHeight="1" x14ac:dyDescent="0.15">
      <c r="M583" s="8" t="s">
        <v>282</v>
      </c>
      <c r="N583" s="6" t="s">
        <v>2</v>
      </c>
      <c r="O583" s="9" t="s">
        <v>293</v>
      </c>
    </row>
    <row r="585" spans="1:38" ht="15.75" customHeight="1" x14ac:dyDescent="0.2">
      <c r="F585" s="9" t="s">
        <v>461</v>
      </c>
    </row>
    <row r="586" spans="1:38" s="9" customFormat="1" ht="15.75" customHeight="1" x14ac:dyDescent="0.15">
      <c r="F586" s="9" t="s">
        <v>462</v>
      </c>
    </row>
    <row r="587" spans="1:38" s="9" customFormat="1" ht="15.75" customHeight="1" x14ac:dyDescent="0.15"/>
    <row r="588" spans="1:38" s="9" customFormat="1" ht="15.75" customHeight="1" x14ac:dyDescent="0.15">
      <c r="G588" s="103" t="s">
        <v>294</v>
      </c>
      <c r="H588" s="105"/>
      <c r="I588" s="105"/>
      <c r="J588" s="105"/>
      <c r="K588" s="103"/>
      <c r="L588" s="103"/>
      <c r="M588" s="103"/>
      <c r="N588" s="103"/>
      <c r="O588" s="103"/>
      <c r="P588" s="103"/>
      <c r="Q588" s="103"/>
      <c r="R588" s="103"/>
      <c r="S588" s="103"/>
      <c r="T588" s="103"/>
      <c r="U588" s="103"/>
      <c r="V588" s="103"/>
      <c r="W588" s="103"/>
      <c r="X588" s="103"/>
      <c r="Y588" s="103"/>
      <c r="Z588" s="103"/>
      <c r="AA588" s="103"/>
      <c r="AB588" s="103"/>
      <c r="AC588" s="103"/>
    </row>
    <row r="589" spans="1:38" s="9" customFormat="1" ht="15.75" customHeight="1" x14ac:dyDescent="0.15">
      <c r="G589" s="194" t="s">
        <v>91</v>
      </c>
      <c r="H589" s="179"/>
      <c r="I589" s="179"/>
      <c r="J589" s="275" t="s">
        <v>226</v>
      </c>
      <c r="K589" s="342"/>
      <c r="L589" s="342"/>
      <c r="M589" s="179" t="s">
        <v>295</v>
      </c>
      <c r="N589" s="180"/>
      <c r="O589" s="180"/>
      <c r="P589" s="180"/>
      <c r="Q589" s="179" t="s">
        <v>298</v>
      </c>
      <c r="R589" s="179"/>
      <c r="S589" s="179"/>
      <c r="T589" s="179" t="s">
        <v>300</v>
      </c>
      <c r="U589" s="179"/>
      <c r="V589" s="179"/>
      <c r="W589" s="179" t="s">
        <v>299</v>
      </c>
      <c r="X589" s="179"/>
      <c r="Y589" s="179"/>
      <c r="Z589" s="179" t="s">
        <v>301</v>
      </c>
      <c r="AA589" s="179"/>
      <c r="AB589" s="179"/>
      <c r="AC589" s="197"/>
    </row>
    <row r="590" spans="1:38" s="9" customFormat="1" ht="15.75" customHeight="1" x14ac:dyDescent="0.15">
      <c r="G590" s="196"/>
      <c r="H590" s="192"/>
      <c r="I590" s="192"/>
      <c r="J590" s="343"/>
      <c r="K590" s="343"/>
      <c r="L590" s="343"/>
      <c r="M590" s="185"/>
      <c r="N590" s="185"/>
      <c r="O590" s="185"/>
      <c r="P590" s="185"/>
      <c r="Q590" s="192"/>
      <c r="R590" s="192"/>
      <c r="S590" s="192"/>
      <c r="T590" s="192"/>
      <c r="U590" s="192"/>
      <c r="V590" s="192"/>
      <c r="W590" s="192"/>
      <c r="X590" s="192"/>
      <c r="Y590" s="192"/>
      <c r="Z590" s="192"/>
      <c r="AA590" s="192"/>
      <c r="AB590" s="192"/>
      <c r="AC590" s="199"/>
    </row>
    <row r="591" spans="1:38" s="9" customFormat="1" ht="15.75" customHeight="1" x14ac:dyDescent="0.15">
      <c r="A591" s="96" t="str">
        <f>IF(J591="","×","")</f>
        <v>×</v>
      </c>
      <c r="G591" s="340"/>
      <c r="H591" s="341"/>
      <c r="I591" s="341"/>
      <c r="J591" s="348"/>
      <c r="K591" s="348"/>
      <c r="L591" s="348"/>
      <c r="M591" s="339"/>
      <c r="N591" s="339"/>
      <c r="O591" s="339"/>
      <c r="P591" s="339"/>
      <c r="Q591" s="339"/>
      <c r="R591" s="339"/>
      <c r="S591" s="339"/>
      <c r="T591" s="336">
        <v>150</v>
      </c>
      <c r="U591" s="336"/>
      <c r="V591" s="336"/>
      <c r="W591" s="203">
        <f>Q390</f>
        <v>3.1415926535897931</v>
      </c>
      <c r="X591" s="203"/>
      <c r="Y591" s="203"/>
      <c r="Z591" s="336" t="str">
        <f>IF(J591="","",J591*T591*$W$591)</f>
        <v/>
      </c>
      <c r="AA591" s="336"/>
      <c r="AB591" s="336"/>
      <c r="AC591" s="337"/>
    </row>
    <row r="592" spans="1:38" s="9" customFormat="1" ht="15.75" customHeight="1" x14ac:dyDescent="0.15">
      <c r="A592" s="96" t="str">
        <f t="shared" ref="A592:A606" si="45">IF(J592="","×","")</f>
        <v>×</v>
      </c>
      <c r="G592" s="446"/>
      <c r="H592" s="447"/>
      <c r="I592" s="447"/>
      <c r="J592" s="450"/>
      <c r="K592" s="450"/>
      <c r="L592" s="450"/>
      <c r="M592" s="347"/>
      <c r="N592" s="347"/>
      <c r="O592" s="347"/>
      <c r="P592" s="347"/>
      <c r="Q592" s="347"/>
      <c r="R592" s="347"/>
      <c r="S592" s="347"/>
      <c r="T592" s="303">
        <v>151</v>
      </c>
      <c r="U592" s="303"/>
      <c r="V592" s="303"/>
      <c r="W592" s="147">
        <f>W591</f>
        <v>3.1415926535897931</v>
      </c>
      <c r="X592" s="147"/>
      <c r="Y592" s="147"/>
      <c r="Z592" s="336" t="str">
        <f t="shared" ref="Z592:Z606" si="46">IF(J592="","",J592*T592*$W$591)</f>
        <v/>
      </c>
      <c r="AA592" s="336"/>
      <c r="AB592" s="336"/>
      <c r="AC592" s="337"/>
    </row>
    <row r="593" spans="1:29" s="9" customFormat="1" ht="15.75" customHeight="1" x14ac:dyDescent="0.15">
      <c r="A593" s="96" t="str">
        <f t="shared" si="45"/>
        <v>×</v>
      </c>
      <c r="G593" s="446"/>
      <c r="H593" s="447"/>
      <c r="I593" s="447"/>
      <c r="J593" s="450"/>
      <c r="K593" s="450"/>
      <c r="L593" s="450"/>
      <c r="M593" s="347"/>
      <c r="N593" s="347"/>
      <c r="O593" s="347"/>
      <c r="P593" s="347"/>
      <c r="Q593" s="347"/>
      <c r="R593" s="347"/>
      <c r="S593" s="347"/>
      <c r="T593" s="303">
        <v>152</v>
      </c>
      <c r="U593" s="303"/>
      <c r="V593" s="303"/>
      <c r="W593" s="147">
        <f t="shared" ref="W593:W606" si="47">W592</f>
        <v>3.1415926535897931</v>
      </c>
      <c r="X593" s="147"/>
      <c r="Y593" s="147"/>
      <c r="Z593" s="336" t="str">
        <f t="shared" si="46"/>
        <v/>
      </c>
      <c r="AA593" s="336"/>
      <c r="AB593" s="336"/>
      <c r="AC593" s="337"/>
    </row>
    <row r="594" spans="1:29" s="9" customFormat="1" ht="15.75" customHeight="1" x14ac:dyDescent="0.15">
      <c r="A594" s="96" t="str">
        <f t="shared" si="45"/>
        <v>×</v>
      </c>
      <c r="G594" s="446"/>
      <c r="H594" s="447"/>
      <c r="I594" s="447"/>
      <c r="J594" s="450"/>
      <c r="K594" s="450"/>
      <c r="L594" s="450"/>
      <c r="M594" s="347"/>
      <c r="N594" s="347"/>
      <c r="O594" s="347"/>
      <c r="P594" s="347"/>
      <c r="Q594" s="347"/>
      <c r="R594" s="347"/>
      <c r="S594" s="347"/>
      <c r="T594" s="303">
        <v>153</v>
      </c>
      <c r="U594" s="303"/>
      <c r="V594" s="303"/>
      <c r="W594" s="147">
        <f t="shared" si="47"/>
        <v>3.1415926535897931</v>
      </c>
      <c r="X594" s="147"/>
      <c r="Y594" s="147"/>
      <c r="Z594" s="336" t="str">
        <f t="shared" si="46"/>
        <v/>
      </c>
      <c r="AA594" s="336"/>
      <c r="AB594" s="336"/>
      <c r="AC594" s="337"/>
    </row>
    <row r="595" spans="1:29" s="9" customFormat="1" ht="15.75" customHeight="1" x14ac:dyDescent="0.15">
      <c r="A595" s="96" t="str">
        <f t="shared" si="45"/>
        <v>×</v>
      </c>
      <c r="G595" s="446"/>
      <c r="H595" s="447"/>
      <c r="I595" s="447"/>
      <c r="J595" s="450"/>
      <c r="K595" s="450"/>
      <c r="L595" s="450"/>
      <c r="M595" s="347"/>
      <c r="N595" s="347"/>
      <c r="O595" s="347"/>
      <c r="P595" s="347"/>
      <c r="Q595" s="347"/>
      <c r="R595" s="347"/>
      <c r="S595" s="347"/>
      <c r="T595" s="303">
        <v>154</v>
      </c>
      <c r="U595" s="303"/>
      <c r="V595" s="303"/>
      <c r="W595" s="147">
        <f t="shared" si="47"/>
        <v>3.1415926535897931</v>
      </c>
      <c r="X595" s="147"/>
      <c r="Y595" s="147"/>
      <c r="Z595" s="336" t="str">
        <f t="shared" si="46"/>
        <v/>
      </c>
      <c r="AA595" s="336"/>
      <c r="AB595" s="336"/>
      <c r="AC595" s="337"/>
    </row>
    <row r="596" spans="1:29" s="9" customFormat="1" ht="15.75" customHeight="1" x14ac:dyDescent="0.15">
      <c r="A596" s="96" t="str">
        <f t="shared" si="45"/>
        <v>×</v>
      </c>
      <c r="G596" s="446"/>
      <c r="H596" s="447"/>
      <c r="I596" s="447"/>
      <c r="J596" s="450"/>
      <c r="K596" s="450"/>
      <c r="L596" s="450"/>
      <c r="M596" s="347"/>
      <c r="N596" s="347"/>
      <c r="O596" s="347"/>
      <c r="P596" s="347"/>
      <c r="Q596" s="347"/>
      <c r="R596" s="347"/>
      <c r="S596" s="347"/>
      <c r="T596" s="303">
        <v>155</v>
      </c>
      <c r="U596" s="303"/>
      <c r="V596" s="303"/>
      <c r="W596" s="147">
        <f t="shared" si="47"/>
        <v>3.1415926535897931</v>
      </c>
      <c r="X596" s="147"/>
      <c r="Y596" s="147"/>
      <c r="Z596" s="336" t="str">
        <f t="shared" si="46"/>
        <v/>
      </c>
      <c r="AA596" s="336"/>
      <c r="AB596" s="336"/>
      <c r="AC596" s="337"/>
    </row>
    <row r="597" spans="1:29" s="9" customFormat="1" ht="15.75" customHeight="1" x14ac:dyDescent="0.15">
      <c r="A597" s="96" t="str">
        <f t="shared" si="45"/>
        <v>×</v>
      </c>
      <c r="G597" s="446"/>
      <c r="H597" s="447"/>
      <c r="I597" s="447"/>
      <c r="J597" s="450"/>
      <c r="K597" s="450"/>
      <c r="L597" s="450"/>
      <c r="M597" s="347"/>
      <c r="N597" s="347"/>
      <c r="O597" s="347"/>
      <c r="P597" s="347"/>
      <c r="Q597" s="347"/>
      <c r="R597" s="347"/>
      <c r="S597" s="347"/>
      <c r="T597" s="303">
        <v>156</v>
      </c>
      <c r="U597" s="303"/>
      <c r="V597" s="303"/>
      <c r="W597" s="147">
        <f t="shared" si="47"/>
        <v>3.1415926535897931</v>
      </c>
      <c r="X597" s="147"/>
      <c r="Y597" s="147"/>
      <c r="Z597" s="336" t="str">
        <f t="shared" si="46"/>
        <v/>
      </c>
      <c r="AA597" s="336"/>
      <c r="AB597" s="336"/>
      <c r="AC597" s="337"/>
    </row>
    <row r="598" spans="1:29" s="9" customFormat="1" ht="15.75" customHeight="1" x14ac:dyDescent="0.15">
      <c r="A598" s="96" t="str">
        <f t="shared" si="45"/>
        <v>×</v>
      </c>
      <c r="G598" s="446"/>
      <c r="H598" s="447"/>
      <c r="I598" s="447"/>
      <c r="J598" s="450"/>
      <c r="K598" s="450"/>
      <c r="L598" s="450"/>
      <c r="M598" s="347"/>
      <c r="N598" s="347"/>
      <c r="O598" s="347"/>
      <c r="P598" s="347"/>
      <c r="Q598" s="347"/>
      <c r="R598" s="347"/>
      <c r="S598" s="347"/>
      <c r="T598" s="303">
        <v>157</v>
      </c>
      <c r="U598" s="303"/>
      <c r="V598" s="303"/>
      <c r="W598" s="147">
        <f t="shared" si="47"/>
        <v>3.1415926535897931</v>
      </c>
      <c r="X598" s="147"/>
      <c r="Y598" s="147"/>
      <c r="Z598" s="336" t="str">
        <f t="shared" si="46"/>
        <v/>
      </c>
      <c r="AA598" s="336"/>
      <c r="AB598" s="336"/>
      <c r="AC598" s="337"/>
    </row>
    <row r="599" spans="1:29" s="9" customFormat="1" ht="15.75" customHeight="1" x14ac:dyDescent="0.15">
      <c r="A599" s="96" t="str">
        <f t="shared" si="45"/>
        <v>×</v>
      </c>
      <c r="G599" s="446"/>
      <c r="H599" s="447"/>
      <c r="I599" s="447"/>
      <c r="J599" s="450"/>
      <c r="K599" s="450"/>
      <c r="L599" s="450"/>
      <c r="M599" s="347"/>
      <c r="N599" s="347"/>
      <c r="O599" s="347"/>
      <c r="P599" s="347"/>
      <c r="Q599" s="347"/>
      <c r="R599" s="347"/>
      <c r="S599" s="347"/>
      <c r="T599" s="303">
        <v>158</v>
      </c>
      <c r="U599" s="303"/>
      <c r="V599" s="303"/>
      <c r="W599" s="147">
        <f t="shared" si="47"/>
        <v>3.1415926535897931</v>
      </c>
      <c r="X599" s="147"/>
      <c r="Y599" s="147"/>
      <c r="Z599" s="336" t="str">
        <f t="shared" si="46"/>
        <v/>
      </c>
      <c r="AA599" s="336"/>
      <c r="AB599" s="336"/>
      <c r="AC599" s="337"/>
    </row>
    <row r="600" spans="1:29" s="9" customFormat="1" ht="15.75" customHeight="1" x14ac:dyDescent="0.15">
      <c r="A600" s="96" t="str">
        <f t="shared" si="45"/>
        <v>×</v>
      </c>
      <c r="G600" s="446"/>
      <c r="H600" s="447"/>
      <c r="I600" s="447"/>
      <c r="J600" s="450"/>
      <c r="K600" s="450"/>
      <c r="L600" s="450"/>
      <c r="M600" s="347"/>
      <c r="N600" s="347"/>
      <c r="O600" s="347"/>
      <c r="P600" s="347"/>
      <c r="Q600" s="347"/>
      <c r="R600" s="347"/>
      <c r="S600" s="347"/>
      <c r="T600" s="303">
        <v>159</v>
      </c>
      <c r="U600" s="303"/>
      <c r="V600" s="303"/>
      <c r="W600" s="147">
        <f t="shared" si="47"/>
        <v>3.1415926535897931</v>
      </c>
      <c r="X600" s="147"/>
      <c r="Y600" s="147"/>
      <c r="Z600" s="336" t="str">
        <f t="shared" si="46"/>
        <v/>
      </c>
      <c r="AA600" s="336"/>
      <c r="AB600" s="336"/>
      <c r="AC600" s="337"/>
    </row>
    <row r="601" spans="1:29" s="9" customFormat="1" ht="15.75" customHeight="1" x14ac:dyDescent="0.15">
      <c r="A601" s="96" t="str">
        <f t="shared" si="45"/>
        <v>×</v>
      </c>
      <c r="G601" s="446"/>
      <c r="H601" s="447"/>
      <c r="I601" s="447"/>
      <c r="J601" s="450"/>
      <c r="K601" s="450"/>
      <c r="L601" s="450"/>
      <c r="M601" s="347"/>
      <c r="N601" s="347"/>
      <c r="O601" s="347"/>
      <c r="P601" s="347"/>
      <c r="Q601" s="347"/>
      <c r="R601" s="347"/>
      <c r="S601" s="347"/>
      <c r="T601" s="303">
        <v>160</v>
      </c>
      <c r="U601" s="303"/>
      <c r="V601" s="303"/>
      <c r="W601" s="147">
        <f t="shared" si="47"/>
        <v>3.1415926535897931</v>
      </c>
      <c r="X601" s="147"/>
      <c r="Y601" s="147"/>
      <c r="Z601" s="336" t="str">
        <f t="shared" si="46"/>
        <v/>
      </c>
      <c r="AA601" s="336"/>
      <c r="AB601" s="336"/>
      <c r="AC601" s="337"/>
    </row>
    <row r="602" spans="1:29" s="9" customFormat="1" ht="15.75" customHeight="1" x14ac:dyDescent="0.15">
      <c r="A602" s="96" t="str">
        <f t="shared" si="45"/>
        <v>×</v>
      </c>
      <c r="G602" s="446"/>
      <c r="H602" s="447"/>
      <c r="I602" s="447"/>
      <c r="J602" s="450"/>
      <c r="K602" s="450"/>
      <c r="L602" s="450"/>
      <c r="M602" s="347"/>
      <c r="N602" s="347"/>
      <c r="O602" s="347"/>
      <c r="P602" s="347"/>
      <c r="Q602" s="347"/>
      <c r="R602" s="347"/>
      <c r="S602" s="347"/>
      <c r="T602" s="303">
        <v>161</v>
      </c>
      <c r="U602" s="303"/>
      <c r="V602" s="303"/>
      <c r="W602" s="147">
        <f t="shared" si="47"/>
        <v>3.1415926535897931</v>
      </c>
      <c r="X602" s="147"/>
      <c r="Y602" s="147"/>
      <c r="Z602" s="336" t="str">
        <f t="shared" si="46"/>
        <v/>
      </c>
      <c r="AA602" s="336"/>
      <c r="AB602" s="336"/>
      <c r="AC602" s="337"/>
    </row>
    <row r="603" spans="1:29" s="9" customFormat="1" ht="15.75" customHeight="1" x14ac:dyDescent="0.15">
      <c r="A603" s="96" t="str">
        <f t="shared" si="45"/>
        <v>×</v>
      </c>
      <c r="G603" s="446"/>
      <c r="H603" s="447"/>
      <c r="I603" s="447"/>
      <c r="J603" s="450"/>
      <c r="K603" s="450"/>
      <c r="L603" s="450"/>
      <c r="M603" s="347"/>
      <c r="N603" s="347"/>
      <c r="O603" s="347"/>
      <c r="P603" s="347"/>
      <c r="Q603" s="347"/>
      <c r="R603" s="347"/>
      <c r="S603" s="347"/>
      <c r="T603" s="303">
        <v>162</v>
      </c>
      <c r="U603" s="303"/>
      <c r="V603" s="303"/>
      <c r="W603" s="147">
        <f t="shared" si="47"/>
        <v>3.1415926535897931</v>
      </c>
      <c r="X603" s="147"/>
      <c r="Y603" s="147"/>
      <c r="Z603" s="336" t="str">
        <f t="shared" si="46"/>
        <v/>
      </c>
      <c r="AA603" s="336"/>
      <c r="AB603" s="336"/>
      <c r="AC603" s="337"/>
    </row>
    <row r="604" spans="1:29" s="9" customFormat="1" ht="15.75" customHeight="1" x14ac:dyDescent="0.15">
      <c r="A604" s="96" t="str">
        <f t="shared" si="45"/>
        <v>×</v>
      </c>
      <c r="G604" s="446"/>
      <c r="H604" s="447"/>
      <c r="I604" s="447"/>
      <c r="J604" s="450"/>
      <c r="K604" s="450"/>
      <c r="L604" s="450"/>
      <c r="M604" s="347"/>
      <c r="N604" s="347"/>
      <c r="O604" s="347"/>
      <c r="P604" s="347"/>
      <c r="Q604" s="347"/>
      <c r="R604" s="347"/>
      <c r="S604" s="347"/>
      <c r="T604" s="303">
        <v>163</v>
      </c>
      <c r="U604" s="303"/>
      <c r="V604" s="303"/>
      <c r="W604" s="147">
        <f t="shared" si="47"/>
        <v>3.1415926535897931</v>
      </c>
      <c r="X604" s="147"/>
      <c r="Y604" s="147"/>
      <c r="Z604" s="336" t="str">
        <f t="shared" si="46"/>
        <v/>
      </c>
      <c r="AA604" s="336"/>
      <c r="AB604" s="336"/>
      <c r="AC604" s="337"/>
    </row>
    <row r="605" spans="1:29" s="9" customFormat="1" ht="15.75" customHeight="1" x14ac:dyDescent="0.15">
      <c r="A605" s="96" t="str">
        <f t="shared" si="45"/>
        <v>×</v>
      </c>
      <c r="G605" s="446"/>
      <c r="H605" s="447"/>
      <c r="I605" s="447"/>
      <c r="J605" s="450"/>
      <c r="K605" s="450"/>
      <c r="L605" s="450"/>
      <c r="M605" s="347"/>
      <c r="N605" s="347"/>
      <c r="O605" s="347"/>
      <c r="P605" s="347"/>
      <c r="Q605" s="347"/>
      <c r="R605" s="347"/>
      <c r="S605" s="347"/>
      <c r="T605" s="303">
        <v>164</v>
      </c>
      <c r="U605" s="303"/>
      <c r="V605" s="303"/>
      <c r="W605" s="147">
        <f t="shared" si="47"/>
        <v>3.1415926535897931</v>
      </c>
      <c r="X605" s="147"/>
      <c r="Y605" s="147"/>
      <c r="Z605" s="336" t="str">
        <f t="shared" si="46"/>
        <v/>
      </c>
      <c r="AA605" s="336"/>
      <c r="AB605" s="336"/>
      <c r="AC605" s="337"/>
    </row>
    <row r="606" spans="1:29" s="9" customFormat="1" ht="15.75" customHeight="1" x14ac:dyDescent="0.15">
      <c r="A606" s="96" t="str">
        <f t="shared" si="45"/>
        <v>×</v>
      </c>
      <c r="G606" s="448"/>
      <c r="H606" s="449"/>
      <c r="I606" s="449"/>
      <c r="J606" s="451"/>
      <c r="K606" s="451"/>
      <c r="L606" s="451"/>
      <c r="M606" s="349"/>
      <c r="N606" s="349"/>
      <c r="O606" s="349"/>
      <c r="P606" s="349"/>
      <c r="Q606" s="349"/>
      <c r="R606" s="349"/>
      <c r="S606" s="349"/>
      <c r="T606" s="470">
        <v>165</v>
      </c>
      <c r="U606" s="470"/>
      <c r="V606" s="470"/>
      <c r="W606" s="159">
        <f t="shared" si="47"/>
        <v>3.1415926535897931</v>
      </c>
      <c r="X606" s="159"/>
      <c r="Y606" s="159"/>
      <c r="Z606" s="336" t="str">
        <f t="shared" si="46"/>
        <v/>
      </c>
      <c r="AA606" s="336"/>
      <c r="AB606" s="336"/>
      <c r="AC606" s="337"/>
    </row>
    <row r="607" spans="1:29" s="9" customFormat="1" ht="15.75" customHeight="1" x14ac:dyDescent="0.15">
      <c r="G607" s="99"/>
      <c r="H607" s="99"/>
      <c r="I607" s="99"/>
      <c r="J607" s="16"/>
      <c r="K607" s="16"/>
      <c r="L607" s="16"/>
      <c r="M607" s="97"/>
      <c r="N607" s="97"/>
      <c r="O607" s="97"/>
      <c r="P607" s="97"/>
      <c r="Q607" s="97"/>
      <c r="R607" s="97"/>
      <c r="S607" s="97"/>
      <c r="T607" s="101"/>
      <c r="U607" s="101"/>
      <c r="V607" s="101"/>
      <c r="W607" s="16"/>
      <c r="X607" s="16"/>
      <c r="Y607" s="16"/>
      <c r="Z607" s="101"/>
      <c r="AA607" s="101"/>
      <c r="AB607" s="101"/>
      <c r="AC607" s="101"/>
    </row>
    <row r="608" spans="1:29" s="9" customFormat="1" ht="15.75" customHeight="1" x14ac:dyDescent="0.15">
      <c r="G608" s="7"/>
      <c r="H608" s="6"/>
      <c r="I608" s="7"/>
      <c r="J608" s="6"/>
      <c r="K608" s="6"/>
      <c r="L608" s="6"/>
      <c r="M608" s="6"/>
      <c r="N608" s="6"/>
      <c r="O608" s="6"/>
      <c r="P608" s="6"/>
      <c r="Q608" s="6"/>
      <c r="R608" s="6"/>
      <c r="S608" s="6"/>
      <c r="T608" s="6"/>
      <c r="U608" s="6"/>
      <c r="V608" s="6"/>
      <c r="W608" s="15"/>
      <c r="X608" s="23"/>
      <c r="Y608" s="6"/>
      <c r="Z608" s="15"/>
      <c r="AA608" s="15"/>
      <c r="AB608" s="15"/>
      <c r="AC608" s="15"/>
    </row>
    <row r="609" spans="7:30" s="9" customFormat="1" ht="15.75" customHeight="1" x14ac:dyDescent="0.15"/>
    <row r="610" spans="7:30" s="9" customFormat="1" ht="15.75" customHeight="1" x14ac:dyDescent="0.15">
      <c r="G610" s="103" t="s">
        <v>302</v>
      </c>
      <c r="H610" s="105"/>
      <c r="I610" s="105"/>
      <c r="J610" s="105"/>
      <c r="K610" s="103"/>
      <c r="L610" s="103"/>
      <c r="M610" s="103"/>
      <c r="N610" s="103"/>
      <c r="O610" s="103"/>
      <c r="P610" s="103"/>
      <c r="Q610" s="103"/>
      <c r="R610" s="103"/>
      <c r="S610" s="103"/>
      <c r="T610" s="103"/>
      <c r="U610" s="103"/>
      <c r="V610" s="103"/>
      <c r="W610" s="103"/>
      <c r="X610" s="103"/>
      <c r="Y610" s="103"/>
      <c r="Z610" s="103"/>
      <c r="AA610" s="103"/>
      <c r="AB610" s="103"/>
      <c r="AC610" s="103"/>
      <c r="AD610" s="105"/>
    </row>
    <row r="611" spans="7:30" s="9" customFormat="1" ht="15.75" customHeight="1" x14ac:dyDescent="0.15">
      <c r="G611" s="194" t="s">
        <v>91</v>
      </c>
      <c r="H611" s="179"/>
      <c r="I611" s="179"/>
      <c r="J611" s="275" t="s">
        <v>226</v>
      </c>
      <c r="K611" s="342"/>
      <c r="L611" s="342"/>
      <c r="M611" s="179" t="s">
        <v>295</v>
      </c>
      <c r="N611" s="180"/>
      <c r="O611" s="180"/>
      <c r="P611" s="180"/>
      <c r="Q611" s="179" t="s">
        <v>300</v>
      </c>
      <c r="R611" s="179"/>
      <c r="S611" s="179"/>
      <c r="T611" s="179" t="s">
        <v>299</v>
      </c>
      <c r="U611" s="179"/>
      <c r="V611" s="179"/>
      <c r="W611" s="179" t="s">
        <v>436</v>
      </c>
      <c r="X611" s="179"/>
      <c r="Y611" s="179"/>
      <c r="Z611" s="179"/>
      <c r="AA611" s="179" t="s">
        <v>437</v>
      </c>
      <c r="AB611" s="179"/>
      <c r="AC611" s="179"/>
      <c r="AD611" s="197"/>
    </row>
    <row r="612" spans="7:30" s="9" customFormat="1" ht="15.75" customHeight="1" x14ac:dyDescent="0.15">
      <c r="G612" s="196"/>
      <c r="H612" s="192"/>
      <c r="I612" s="192"/>
      <c r="J612" s="343"/>
      <c r="K612" s="343"/>
      <c r="L612" s="343"/>
      <c r="M612" s="185"/>
      <c r="N612" s="185"/>
      <c r="O612" s="185"/>
      <c r="P612" s="185"/>
      <c r="Q612" s="192"/>
      <c r="R612" s="192"/>
      <c r="S612" s="192"/>
      <c r="T612" s="192"/>
      <c r="U612" s="192"/>
      <c r="V612" s="192"/>
      <c r="W612" s="192"/>
      <c r="X612" s="192"/>
      <c r="Y612" s="192"/>
      <c r="Z612" s="192"/>
      <c r="AA612" s="192"/>
      <c r="AB612" s="192"/>
      <c r="AC612" s="192"/>
      <c r="AD612" s="199"/>
    </row>
    <row r="613" spans="7:30" s="9" customFormat="1" ht="15.75" customHeight="1" x14ac:dyDescent="0.15">
      <c r="G613" s="340"/>
      <c r="H613" s="341"/>
      <c r="I613" s="341"/>
      <c r="J613" s="348"/>
      <c r="K613" s="348"/>
      <c r="L613" s="348"/>
      <c r="M613" s="339"/>
      <c r="N613" s="339"/>
      <c r="O613" s="339"/>
      <c r="P613" s="339"/>
      <c r="Q613" s="344"/>
      <c r="R613" s="344"/>
      <c r="S613" s="344"/>
      <c r="T613" s="203">
        <f>Q390</f>
        <v>3.1415926535897931</v>
      </c>
      <c r="U613" s="203"/>
      <c r="V613" s="203"/>
      <c r="W613" s="336">
        <f>(J613-(1/((X155*AG202*Q92)/AB371)^0.25))*Q613*T613</f>
        <v>0</v>
      </c>
      <c r="X613" s="336"/>
      <c r="Y613" s="336"/>
      <c r="Z613" s="336"/>
      <c r="AA613" s="336">
        <f>(J613-(1/((X155*AG203*Q92)/AB371)^0.25))*T613*Q613</f>
        <v>0</v>
      </c>
      <c r="AB613" s="336"/>
      <c r="AC613" s="336"/>
      <c r="AD613" s="337"/>
    </row>
    <row r="614" spans="7:30" s="9" customFormat="1" ht="15.75" customHeight="1" x14ac:dyDescent="0.15">
      <c r="G614" s="446"/>
      <c r="H614" s="447"/>
      <c r="I614" s="447"/>
      <c r="J614" s="450"/>
      <c r="K614" s="450"/>
      <c r="L614" s="450"/>
      <c r="M614" s="347"/>
      <c r="N614" s="347"/>
      <c r="O614" s="347"/>
      <c r="P614" s="347"/>
      <c r="Q614" s="471"/>
      <c r="R614" s="471"/>
      <c r="S614" s="471"/>
      <c r="T614" s="147">
        <f>T613</f>
        <v>3.1415926535897931</v>
      </c>
      <c r="U614" s="147"/>
      <c r="V614" s="147"/>
      <c r="W614" s="303" t="e">
        <f>(J614-(1/((X156*AG203*入力!G24)/AB372)^0.25))*Q614*T614</f>
        <v>#DIV/0!</v>
      </c>
      <c r="X614" s="303"/>
      <c r="Y614" s="303"/>
      <c r="Z614" s="303"/>
      <c r="AA614" s="303" t="e">
        <f>(J614-(1/((X156*AG204*入力!G24)/AB372)^0.25))*T614*Q614</f>
        <v>#DIV/0!</v>
      </c>
      <c r="AB614" s="303"/>
      <c r="AC614" s="303"/>
      <c r="AD614" s="304"/>
    </row>
    <row r="615" spans="7:30" s="9" customFormat="1" ht="15.75" customHeight="1" x14ac:dyDescent="0.15">
      <c r="G615" s="446"/>
      <c r="H615" s="447"/>
      <c r="I615" s="447"/>
      <c r="J615" s="450"/>
      <c r="K615" s="450"/>
      <c r="L615" s="450"/>
      <c r="M615" s="347"/>
      <c r="N615" s="347"/>
      <c r="O615" s="347"/>
      <c r="P615" s="347"/>
      <c r="Q615" s="471"/>
      <c r="R615" s="471"/>
      <c r="S615" s="471"/>
      <c r="T615" s="147">
        <f t="shared" ref="T615:T628" si="48">T614</f>
        <v>3.1415926535897931</v>
      </c>
      <c r="U615" s="147"/>
      <c r="V615" s="147"/>
      <c r="W615" s="303" t="e">
        <f>(J615-(1/((X157*AG204*入力!G25)/AB373)^0.25))*Q615*T615</f>
        <v>#VALUE!</v>
      </c>
      <c r="X615" s="303"/>
      <c r="Y615" s="303"/>
      <c r="Z615" s="303"/>
      <c r="AA615" s="303" t="e">
        <f>(J615-(1/((X157*AG205*入力!G25)/AB373)^0.25))*T615*Q615</f>
        <v>#VALUE!</v>
      </c>
      <c r="AB615" s="303"/>
      <c r="AC615" s="303"/>
      <c r="AD615" s="304"/>
    </row>
    <row r="616" spans="7:30" s="9" customFormat="1" ht="15.75" customHeight="1" x14ac:dyDescent="0.15">
      <c r="G616" s="446"/>
      <c r="H616" s="447"/>
      <c r="I616" s="447"/>
      <c r="J616" s="450"/>
      <c r="K616" s="450"/>
      <c r="L616" s="450"/>
      <c r="M616" s="347"/>
      <c r="N616" s="347"/>
      <c r="O616" s="347"/>
      <c r="P616" s="347"/>
      <c r="Q616" s="471"/>
      <c r="R616" s="471"/>
      <c r="S616" s="471"/>
      <c r="T616" s="147">
        <f t="shared" si="48"/>
        <v>3.1415926535897931</v>
      </c>
      <c r="U616" s="147"/>
      <c r="V616" s="147"/>
      <c r="W616" s="303" t="e">
        <f>(J616-(1/((X158*AG205*入力!G26)/AB374)^0.25))*Q616*T616</f>
        <v>#DIV/0!</v>
      </c>
      <c r="X616" s="303"/>
      <c r="Y616" s="303"/>
      <c r="Z616" s="303"/>
      <c r="AA616" s="303" t="e">
        <f>(J616-(1/((X158*AG206*入力!G26)/AB374)^0.25))*T616*Q616</f>
        <v>#DIV/0!</v>
      </c>
      <c r="AB616" s="303"/>
      <c r="AC616" s="303"/>
      <c r="AD616" s="304"/>
    </row>
    <row r="617" spans="7:30" s="9" customFormat="1" ht="15.75" customHeight="1" x14ac:dyDescent="0.15">
      <c r="G617" s="446"/>
      <c r="H617" s="447"/>
      <c r="I617" s="447"/>
      <c r="J617" s="450"/>
      <c r="K617" s="450"/>
      <c r="L617" s="450"/>
      <c r="M617" s="347"/>
      <c r="N617" s="347"/>
      <c r="O617" s="347"/>
      <c r="P617" s="347"/>
      <c r="Q617" s="471"/>
      <c r="R617" s="471"/>
      <c r="S617" s="471"/>
      <c r="T617" s="147">
        <f t="shared" si="48"/>
        <v>3.1415926535897931</v>
      </c>
      <c r="U617" s="147"/>
      <c r="V617" s="147"/>
      <c r="W617" s="303" t="e">
        <f>(J617-(1/((X159*AG206*入力!G27)/AB375)^0.25))*Q617*T617</f>
        <v>#DIV/0!</v>
      </c>
      <c r="X617" s="303"/>
      <c r="Y617" s="303"/>
      <c r="Z617" s="303"/>
      <c r="AA617" s="303" t="e">
        <f>(J617-(1/((X159*AG207*入力!G27)/AB375)^0.25))*T617*Q617</f>
        <v>#DIV/0!</v>
      </c>
      <c r="AB617" s="303"/>
      <c r="AC617" s="303"/>
      <c r="AD617" s="304"/>
    </row>
    <row r="618" spans="7:30" s="9" customFormat="1" ht="15.75" customHeight="1" x14ac:dyDescent="0.15">
      <c r="G618" s="446"/>
      <c r="H618" s="447"/>
      <c r="I618" s="447"/>
      <c r="J618" s="450"/>
      <c r="K618" s="450"/>
      <c r="L618" s="450"/>
      <c r="M618" s="347"/>
      <c r="N618" s="347"/>
      <c r="O618" s="347"/>
      <c r="P618" s="347"/>
      <c r="Q618" s="471"/>
      <c r="R618" s="471"/>
      <c r="S618" s="471"/>
      <c r="T618" s="147">
        <f t="shared" si="48"/>
        <v>3.1415926535897931</v>
      </c>
      <c r="U618" s="147"/>
      <c r="V618" s="147"/>
      <c r="W618" s="303" t="e">
        <f>(J618-(1/((X160*AG207*入力!G28)/AB376)^0.25))*Q618*T618</f>
        <v>#VALUE!</v>
      </c>
      <c r="X618" s="303"/>
      <c r="Y618" s="303"/>
      <c r="Z618" s="303"/>
      <c r="AA618" s="303" t="e">
        <f>(J618-(1/((X160*AG208*入力!G28)/AB376)^0.25))*T618*Q618</f>
        <v>#VALUE!</v>
      </c>
      <c r="AB618" s="303"/>
      <c r="AC618" s="303"/>
      <c r="AD618" s="304"/>
    </row>
    <row r="619" spans="7:30" s="9" customFormat="1" ht="15.75" customHeight="1" x14ac:dyDescent="0.15">
      <c r="G619" s="446"/>
      <c r="H619" s="447"/>
      <c r="I619" s="447"/>
      <c r="J619" s="450"/>
      <c r="K619" s="450"/>
      <c r="L619" s="450"/>
      <c r="M619" s="347"/>
      <c r="N619" s="347"/>
      <c r="O619" s="347"/>
      <c r="P619" s="347"/>
      <c r="Q619" s="471"/>
      <c r="R619" s="471"/>
      <c r="S619" s="471"/>
      <c r="T619" s="147">
        <f t="shared" si="48"/>
        <v>3.1415926535897931</v>
      </c>
      <c r="U619" s="147"/>
      <c r="V619" s="147"/>
      <c r="W619" s="303" t="e">
        <f>(J619-(1/((X161*AG208*入力!G29)/AB377)^0.25))*Q619*T619</f>
        <v>#VALUE!</v>
      </c>
      <c r="X619" s="303"/>
      <c r="Y619" s="303"/>
      <c r="Z619" s="303"/>
      <c r="AA619" s="303" t="e">
        <f>(J619-(1/((X161*AG209*入力!G29)/AB377)^0.25))*T619*Q619</f>
        <v>#VALUE!</v>
      </c>
      <c r="AB619" s="303"/>
      <c r="AC619" s="303"/>
      <c r="AD619" s="304"/>
    </row>
    <row r="620" spans="7:30" s="9" customFormat="1" ht="15.75" customHeight="1" x14ac:dyDescent="0.15">
      <c r="G620" s="446"/>
      <c r="H620" s="447"/>
      <c r="I620" s="447"/>
      <c r="J620" s="450"/>
      <c r="K620" s="450"/>
      <c r="L620" s="450"/>
      <c r="M620" s="347"/>
      <c r="N620" s="347"/>
      <c r="O620" s="347"/>
      <c r="P620" s="347"/>
      <c r="Q620" s="471"/>
      <c r="R620" s="471"/>
      <c r="S620" s="471"/>
      <c r="T620" s="147">
        <f t="shared" si="48"/>
        <v>3.1415926535897931</v>
      </c>
      <c r="U620" s="147"/>
      <c r="V620" s="147"/>
      <c r="W620" s="303" t="e">
        <f>(J620-(1/((X162*AG209*入力!G30)/AB378)^0.25))*Q620*T620</f>
        <v>#VALUE!</v>
      </c>
      <c r="X620" s="303"/>
      <c r="Y620" s="303"/>
      <c r="Z620" s="303"/>
      <c r="AA620" s="303" t="e">
        <f>(J620-(1/((X162*AG210*入力!G30)/AB378)^0.25))*T620*Q620</f>
        <v>#VALUE!</v>
      </c>
      <c r="AB620" s="303"/>
      <c r="AC620" s="303"/>
      <c r="AD620" s="304"/>
    </row>
    <row r="621" spans="7:30" s="9" customFormat="1" ht="15.75" customHeight="1" x14ac:dyDescent="0.15">
      <c r="G621" s="446"/>
      <c r="H621" s="447"/>
      <c r="I621" s="447"/>
      <c r="J621" s="450"/>
      <c r="K621" s="450"/>
      <c r="L621" s="450"/>
      <c r="M621" s="347"/>
      <c r="N621" s="347"/>
      <c r="O621" s="347"/>
      <c r="P621" s="347"/>
      <c r="Q621" s="471"/>
      <c r="R621" s="471"/>
      <c r="S621" s="471"/>
      <c r="T621" s="147">
        <f t="shared" si="48"/>
        <v>3.1415926535897931</v>
      </c>
      <c r="U621" s="147"/>
      <c r="V621" s="147"/>
      <c r="W621" s="303" t="e">
        <f>(J621-(1/((X163*AG210*入力!G31)/AB379)^0.25))*Q621*T621</f>
        <v>#VALUE!</v>
      </c>
      <c r="X621" s="303"/>
      <c r="Y621" s="303"/>
      <c r="Z621" s="303"/>
      <c r="AA621" s="303" t="e">
        <f>(J621-(1/((X163*AG211*入力!G31)/AB379)^0.25))*T621*Q621</f>
        <v>#VALUE!</v>
      </c>
      <c r="AB621" s="303"/>
      <c r="AC621" s="303"/>
      <c r="AD621" s="304"/>
    </row>
    <row r="622" spans="7:30" s="9" customFormat="1" ht="15.75" customHeight="1" x14ac:dyDescent="0.15">
      <c r="G622" s="446"/>
      <c r="H622" s="447"/>
      <c r="I622" s="447"/>
      <c r="J622" s="450"/>
      <c r="K622" s="450"/>
      <c r="L622" s="450"/>
      <c r="M622" s="347"/>
      <c r="N622" s="347"/>
      <c r="O622" s="347"/>
      <c r="P622" s="347"/>
      <c r="Q622" s="471"/>
      <c r="R622" s="471"/>
      <c r="S622" s="471"/>
      <c r="T622" s="147">
        <f t="shared" si="48"/>
        <v>3.1415926535897931</v>
      </c>
      <c r="U622" s="147"/>
      <c r="V622" s="147"/>
      <c r="W622" s="303" t="e">
        <f>(J622-(1/((X164*AG211*入力!G32)/AB380)^0.25))*Q622*T622</f>
        <v>#VALUE!</v>
      </c>
      <c r="X622" s="303"/>
      <c r="Y622" s="303"/>
      <c r="Z622" s="303"/>
      <c r="AA622" s="303" t="e">
        <f>(J622-(1/((X164*AG212*入力!G32)/AB380)^0.25))*T622*Q622</f>
        <v>#VALUE!</v>
      </c>
      <c r="AB622" s="303"/>
      <c r="AC622" s="303"/>
      <c r="AD622" s="304"/>
    </row>
    <row r="623" spans="7:30" s="9" customFormat="1" ht="15.75" customHeight="1" x14ac:dyDescent="0.15">
      <c r="G623" s="446"/>
      <c r="H623" s="447"/>
      <c r="I623" s="447"/>
      <c r="J623" s="450"/>
      <c r="K623" s="450"/>
      <c r="L623" s="450"/>
      <c r="M623" s="347"/>
      <c r="N623" s="347"/>
      <c r="O623" s="347"/>
      <c r="P623" s="347"/>
      <c r="Q623" s="471"/>
      <c r="R623" s="471"/>
      <c r="S623" s="471"/>
      <c r="T623" s="147">
        <f t="shared" si="48"/>
        <v>3.1415926535897931</v>
      </c>
      <c r="U623" s="147"/>
      <c r="V623" s="147"/>
      <c r="W623" s="303" t="e">
        <f>(J623-(1/((X165*AG212*入力!G33)/AB381)^0.25))*Q623*T623</f>
        <v>#VALUE!</v>
      </c>
      <c r="X623" s="303"/>
      <c r="Y623" s="303"/>
      <c r="Z623" s="303"/>
      <c r="AA623" s="303" t="e">
        <f>(J623-(1/((X165*AG213*入力!G33)/AB381)^0.25))*T623*Q623</f>
        <v>#VALUE!</v>
      </c>
      <c r="AB623" s="303"/>
      <c r="AC623" s="303"/>
      <c r="AD623" s="304"/>
    </row>
    <row r="624" spans="7:30" s="9" customFormat="1" ht="15.75" customHeight="1" x14ac:dyDescent="0.15">
      <c r="G624" s="446"/>
      <c r="H624" s="447"/>
      <c r="I624" s="447"/>
      <c r="J624" s="450"/>
      <c r="K624" s="450"/>
      <c r="L624" s="450"/>
      <c r="M624" s="347"/>
      <c r="N624" s="347"/>
      <c r="O624" s="347"/>
      <c r="P624" s="347"/>
      <c r="Q624" s="471"/>
      <c r="R624" s="471"/>
      <c r="S624" s="471"/>
      <c r="T624" s="147">
        <f t="shared" si="48"/>
        <v>3.1415926535897931</v>
      </c>
      <c r="U624" s="147"/>
      <c r="V624" s="147"/>
      <c r="W624" s="303" t="e">
        <f>(J624-(1/((X166*AG213*入力!G34)/AB382)^0.25))*Q624*T624</f>
        <v>#VALUE!</v>
      </c>
      <c r="X624" s="303"/>
      <c r="Y624" s="303"/>
      <c r="Z624" s="303"/>
      <c r="AA624" s="303" t="e">
        <f>(J624-(1/((X166*AG214*入力!G34)/AB382)^0.25))*T624*Q624</f>
        <v>#VALUE!</v>
      </c>
      <c r="AB624" s="303"/>
      <c r="AC624" s="303"/>
      <c r="AD624" s="304"/>
    </row>
    <row r="625" spans="4:30" s="9" customFormat="1" ht="15.75" customHeight="1" x14ac:dyDescent="0.15">
      <c r="G625" s="446"/>
      <c r="H625" s="447"/>
      <c r="I625" s="447"/>
      <c r="J625" s="450"/>
      <c r="K625" s="450"/>
      <c r="L625" s="450"/>
      <c r="M625" s="347"/>
      <c r="N625" s="347"/>
      <c r="O625" s="347"/>
      <c r="P625" s="347"/>
      <c r="Q625" s="471"/>
      <c r="R625" s="471"/>
      <c r="S625" s="471"/>
      <c r="T625" s="147">
        <f t="shared" si="48"/>
        <v>3.1415926535897931</v>
      </c>
      <c r="U625" s="147"/>
      <c r="V625" s="147"/>
      <c r="W625" s="303" t="e">
        <f>(J625-(1/((X167*AG214*入力!G35)/AB383)^0.25))*Q625*T625</f>
        <v>#VALUE!</v>
      </c>
      <c r="X625" s="303"/>
      <c r="Y625" s="303"/>
      <c r="Z625" s="303"/>
      <c r="AA625" s="303" t="e">
        <f>(J625-(1/((X167*AG215*入力!G35)/AB383)^0.25))*T625*Q625</f>
        <v>#VALUE!</v>
      </c>
      <c r="AB625" s="303"/>
      <c r="AC625" s="303"/>
      <c r="AD625" s="304"/>
    </row>
    <row r="626" spans="4:30" s="9" customFormat="1" ht="15.75" customHeight="1" x14ac:dyDescent="0.15">
      <c r="G626" s="446"/>
      <c r="H626" s="447"/>
      <c r="I626" s="447"/>
      <c r="J626" s="450"/>
      <c r="K626" s="450"/>
      <c r="L626" s="450"/>
      <c r="M626" s="347"/>
      <c r="N626" s="347"/>
      <c r="O626" s="347"/>
      <c r="P626" s="347"/>
      <c r="Q626" s="471"/>
      <c r="R626" s="471"/>
      <c r="S626" s="471"/>
      <c r="T626" s="147">
        <f t="shared" si="48"/>
        <v>3.1415926535897931</v>
      </c>
      <c r="U626" s="147"/>
      <c r="V626" s="147"/>
      <c r="W626" s="303" t="e">
        <f>(J626-(1/((X168*AG215*入力!G36)/AB384)^0.25))*Q626*T626</f>
        <v>#VALUE!</v>
      </c>
      <c r="X626" s="303"/>
      <c r="Y626" s="303"/>
      <c r="Z626" s="303"/>
      <c r="AA626" s="303" t="e">
        <f>(J626-(1/((X168*AG216*入力!G36)/AB384)^0.25))*T626*Q626</f>
        <v>#VALUE!</v>
      </c>
      <c r="AB626" s="303"/>
      <c r="AC626" s="303"/>
      <c r="AD626" s="304"/>
    </row>
    <row r="627" spans="4:30" s="9" customFormat="1" ht="15.75" customHeight="1" x14ac:dyDescent="0.15">
      <c r="G627" s="446"/>
      <c r="H627" s="447"/>
      <c r="I627" s="447"/>
      <c r="J627" s="450"/>
      <c r="K627" s="450"/>
      <c r="L627" s="450"/>
      <c r="M627" s="347"/>
      <c r="N627" s="347"/>
      <c r="O627" s="347"/>
      <c r="P627" s="347"/>
      <c r="Q627" s="471"/>
      <c r="R627" s="471"/>
      <c r="S627" s="471"/>
      <c r="T627" s="147">
        <f t="shared" si="48"/>
        <v>3.1415926535897931</v>
      </c>
      <c r="U627" s="147"/>
      <c r="V627" s="147"/>
      <c r="W627" s="303" t="e">
        <f>(J627-(1/((X169*AG216*入力!G37)/AB385)^0.25))*Q627*T627</f>
        <v>#VALUE!</v>
      </c>
      <c r="X627" s="303"/>
      <c r="Y627" s="303"/>
      <c r="Z627" s="303"/>
      <c r="AA627" s="303" t="e">
        <f>(J627-(1/((X169*AG217*入力!G37)/AB385)^0.25))*T627*Q627</f>
        <v>#VALUE!</v>
      </c>
      <c r="AB627" s="303"/>
      <c r="AC627" s="303"/>
      <c r="AD627" s="304"/>
    </row>
    <row r="628" spans="4:30" s="9" customFormat="1" ht="15.75" customHeight="1" x14ac:dyDescent="0.15">
      <c r="G628" s="448"/>
      <c r="H628" s="449"/>
      <c r="I628" s="449"/>
      <c r="J628" s="451"/>
      <c r="K628" s="451"/>
      <c r="L628" s="451"/>
      <c r="M628" s="349"/>
      <c r="N628" s="349"/>
      <c r="O628" s="349"/>
      <c r="P628" s="349"/>
      <c r="Q628" s="472"/>
      <c r="R628" s="472"/>
      <c r="S628" s="472"/>
      <c r="T628" s="159">
        <f t="shared" si="48"/>
        <v>3.1415926535897931</v>
      </c>
      <c r="U628" s="159"/>
      <c r="V628" s="159"/>
      <c r="W628" s="470" t="e">
        <f>(J628-(1/((X170*AG217*入力!G38)/AB386)^0.25))*Q628*T628</f>
        <v>#VALUE!</v>
      </c>
      <c r="X628" s="470"/>
      <c r="Y628" s="470"/>
      <c r="Z628" s="470"/>
      <c r="AA628" s="470" t="e">
        <f>(J628-(1/((X170*AG218*入力!G38)/AB386)^0.25))*T628*Q628</f>
        <v>#VALUE!</v>
      </c>
      <c r="AB628" s="470"/>
      <c r="AC628" s="470"/>
      <c r="AD628" s="473"/>
    </row>
    <row r="629" spans="4:30" s="9" customFormat="1" ht="15.75" customHeight="1" x14ac:dyDescent="0.15">
      <c r="G629" s="99"/>
      <c r="H629" s="99"/>
      <c r="I629" s="99"/>
      <c r="J629" s="16"/>
      <c r="K629" s="16"/>
      <c r="L629" s="16"/>
      <c r="M629" s="97"/>
      <c r="N629" s="97"/>
      <c r="O629" s="97"/>
      <c r="P629" s="97"/>
      <c r="Q629" s="101"/>
      <c r="R629" s="101"/>
      <c r="S629" s="101"/>
      <c r="T629" s="16"/>
      <c r="U629" s="16"/>
      <c r="V629" s="16"/>
      <c r="W629" s="101"/>
      <c r="X629" s="101"/>
      <c r="Y629" s="101"/>
      <c r="Z629" s="101"/>
      <c r="AA629" s="101"/>
      <c r="AB629" s="101"/>
      <c r="AC629" s="101"/>
      <c r="AD629" s="101"/>
    </row>
    <row r="630" spans="4:30" s="9" customFormat="1" ht="15.75" customHeight="1" x14ac:dyDescent="0.15">
      <c r="G630" s="99"/>
      <c r="H630" s="99"/>
      <c r="I630" s="99"/>
      <c r="J630" s="16"/>
      <c r="K630" s="16"/>
      <c r="L630" s="16"/>
      <c r="M630" s="97"/>
      <c r="N630" s="97"/>
      <c r="O630" s="97"/>
      <c r="P630" s="97"/>
      <c r="Q630" s="101"/>
      <c r="R630" s="101"/>
      <c r="S630" s="101"/>
      <c r="T630" s="16"/>
      <c r="U630" s="16"/>
      <c r="V630" s="16"/>
      <c r="W630" s="101"/>
      <c r="X630" s="101"/>
      <c r="Y630" s="101"/>
      <c r="Z630" s="101"/>
      <c r="AA630" s="101"/>
      <c r="AB630" s="101"/>
      <c r="AC630" s="101"/>
      <c r="AD630" s="101"/>
    </row>
    <row r="631" spans="4:30" s="9" customFormat="1" ht="15.75" customHeight="1" x14ac:dyDescent="0.15">
      <c r="G631" s="99"/>
      <c r="H631" s="99"/>
      <c r="I631" s="99"/>
      <c r="J631" s="16"/>
      <c r="K631" s="16"/>
      <c r="L631" s="16"/>
      <c r="M631" s="97"/>
      <c r="N631" s="97"/>
      <c r="O631" s="97"/>
      <c r="P631" s="97"/>
      <c r="Q631" s="101"/>
      <c r="R631" s="101"/>
      <c r="S631" s="101"/>
      <c r="T631" s="16"/>
      <c r="U631" s="16"/>
      <c r="V631" s="16"/>
      <c r="W631" s="101"/>
      <c r="X631" s="101"/>
      <c r="Y631" s="101"/>
      <c r="Z631" s="101"/>
      <c r="AA631" s="101"/>
      <c r="AB631" s="101"/>
      <c r="AC631" s="101"/>
      <c r="AD631" s="101"/>
    </row>
    <row r="632" spans="4:30" s="9" customFormat="1" ht="15.75" customHeight="1" x14ac:dyDescent="0.15">
      <c r="D632" s="12" t="s">
        <v>303</v>
      </c>
    </row>
    <row r="633" spans="4:30" s="9" customFormat="1" ht="15.75" customHeight="1" x14ac:dyDescent="0.15"/>
    <row r="634" spans="4:30" s="9" customFormat="1" ht="15.75" customHeight="1" x14ac:dyDescent="0.15">
      <c r="E634" s="7" t="s">
        <v>304</v>
      </c>
    </row>
    <row r="635" spans="4:30" s="9" customFormat="1" ht="15.75" customHeight="1" x14ac:dyDescent="0.15">
      <c r="F635" s="9" t="s">
        <v>312</v>
      </c>
    </row>
    <row r="636" spans="4:30" s="9" customFormat="1" ht="15.75" customHeight="1" x14ac:dyDescent="0.15">
      <c r="F636" s="9" t="s">
        <v>313</v>
      </c>
    </row>
    <row r="637" spans="4:30" s="9" customFormat="1" ht="15.75" customHeight="1" x14ac:dyDescent="0.15"/>
    <row r="638" spans="4:30" s="9" customFormat="1" ht="15.75" customHeight="1" x14ac:dyDescent="0.2">
      <c r="E638" s="261" t="s">
        <v>305</v>
      </c>
      <c r="F638" s="261"/>
      <c r="G638" s="6" t="s">
        <v>27</v>
      </c>
      <c r="H638" s="261" t="s">
        <v>306</v>
      </c>
      <c r="I638" s="261"/>
      <c r="J638" s="9" t="s">
        <v>1</v>
      </c>
      <c r="K638" s="261" t="s">
        <v>252</v>
      </c>
      <c r="L638" s="261"/>
    </row>
    <row r="639" spans="4:30" s="9" customFormat="1" ht="15.75" customHeight="1" x14ac:dyDescent="0.2">
      <c r="G639" s="6" t="s">
        <v>27</v>
      </c>
      <c r="H639" s="261" t="s">
        <v>306</v>
      </c>
      <c r="I639" s="261"/>
      <c r="J639" s="9" t="s">
        <v>1</v>
      </c>
      <c r="K639" s="9" t="s">
        <v>307</v>
      </c>
    </row>
    <row r="640" spans="4:30" s="9" customFormat="1" ht="15.75" customHeight="1" x14ac:dyDescent="0.15"/>
    <row r="641" spans="5:31" s="9" customFormat="1" ht="15.75" customHeight="1" x14ac:dyDescent="0.2">
      <c r="F641" s="7" t="s">
        <v>3</v>
      </c>
      <c r="G641" s="7"/>
      <c r="H641" s="7"/>
      <c r="I641" s="261" t="s">
        <v>305</v>
      </c>
      <c r="J641" s="261"/>
      <c r="K641" s="6" t="s">
        <v>2</v>
      </c>
      <c r="L641" s="7" t="s">
        <v>308</v>
      </c>
    </row>
    <row r="642" spans="5:31" s="9" customFormat="1" ht="15.75" customHeight="1" x14ac:dyDescent="0.2">
      <c r="F642" s="7"/>
      <c r="G642" s="7"/>
      <c r="H642" s="7"/>
      <c r="I642" s="261" t="s">
        <v>252</v>
      </c>
      <c r="J642" s="261"/>
      <c r="K642" s="6" t="s">
        <v>2</v>
      </c>
      <c r="L642" s="7" t="s">
        <v>309</v>
      </c>
    </row>
    <row r="643" spans="5:31" s="9" customFormat="1" ht="15.75" customHeight="1" x14ac:dyDescent="0.2">
      <c r="I643" s="261" t="s">
        <v>253</v>
      </c>
      <c r="J643" s="261"/>
      <c r="K643" s="6" t="s">
        <v>2</v>
      </c>
      <c r="L643" s="7" t="s">
        <v>263</v>
      </c>
    </row>
    <row r="644" spans="5:31" s="9" customFormat="1" ht="15.75" customHeight="1" x14ac:dyDescent="0.2">
      <c r="I644" s="261" t="s">
        <v>255</v>
      </c>
      <c r="J644" s="261"/>
      <c r="K644" s="6" t="s">
        <v>2</v>
      </c>
      <c r="L644" s="7" t="s">
        <v>310</v>
      </c>
    </row>
    <row r="645" spans="5:31" s="9" customFormat="1" ht="15.75" customHeight="1" x14ac:dyDescent="0.2">
      <c r="I645" s="261" t="s">
        <v>306</v>
      </c>
      <c r="J645" s="261"/>
      <c r="K645" s="6" t="s">
        <v>2</v>
      </c>
      <c r="L645" s="9" t="s">
        <v>315</v>
      </c>
    </row>
    <row r="646" spans="5:31" s="9" customFormat="1" ht="15.75" customHeight="1" x14ac:dyDescent="0.15">
      <c r="L646" s="9" t="s">
        <v>316</v>
      </c>
    </row>
    <row r="647" spans="5:31" s="9" customFormat="1" ht="15.75" customHeight="1" x14ac:dyDescent="0.15">
      <c r="L647" s="9" t="s">
        <v>314</v>
      </c>
    </row>
    <row r="648" spans="5:31" s="9" customFormat="1" ht="15.75" customHeight="1" x14ac:dyDescent="0.15">
      <c r="L648" s="9" t="s">
        <v>311</v>
      </c>
    </row>
    <row r="649" spans="5:31" s="9" customFormat="1" ht="15.75" customHeight="1" x14ac:dyDescent="0.15"/>
    <row r="650" spans="5:31" ht="15.75" customHeight="1" x14ac:dyDescent="0.15">
      <c r="E650" s="7" t="s">
        <v>463</v>
      </c>
    </row>
    <row r="651" spans="5:31" ht="15.75" customHeight="1" x14ac:dyDescent="0.2">
      <c r="E651" s="7" t="s">
        <v>464</v>
      </c>
    </row>
    <row r="652" spans="5:31" s="9" customFormat="1" ht="15.75" customHeight="1" x14ac:dyDescent="0.15"/>
    <row r="653" spans="5:31" s="9" customFormat="1" ht="15.75" customHeight="1" x14ac:dyDescent="0.15">
      <c r="E653" s="103" t="s">
        <v>438</v>
      </c>
      <c r="F653" s="105"/>
      <c r="G653" s="105"/>
      <c r="H653" s="105"/>
      <c r="I653" s="105"/>
      <c r="J653" s="105"/>
      <c r="K653" s="103"/>
      <c r="L653" s="103"/>
      <c r="M653" s="103"/>
      <c r="N653" s="103"/>
      <c r="O653" s="103"/>
      <c r="P653" s="103"/>
      <c r="Q653" s="103"/>
      <c r="R653" s="103"/>
      <c r="S653" s="103"/>
      <c r="T653" s="103"/>
      <c r="U653" s="103"/>
      <c r="V653" s="103"/>
      <c r="W653" s="103"/>
      <c r="X653" s="103"/>
      <c r="Y653" s="103"/>
      <c r="Z653" s="103"/>
      <c r="AA653" s="105"/>
      <c r="AB653" s="105"/>
      <c r="AC653" s="105"/>
      <c r="AD653" s="105"/>
      <c r="AE653" s="105"/>
    </row>
    <row r="654" spans="5:31" s="9" customFormat="1" ht="15.75" customHeight="1" x14ac:dyDescent="0.15">
      <c r="E654" s="257" t="s">
        <v>317</v>
      </c>
      <c r="F654" s="243"/>
      <c r="G654" s="243"/>
      <c r="H654" s="243" t="s">
        <v>319</v>
      </c>
      <c r="I654" s="243"/>
      <c r="J654" s="243"/>
      <c r="K654" s="243"/>
      <c r="L654" s="243"/>
      <c r="M654" s="243"/>
      <c r="N654" s="253" t="s">
        <v>320</v>
      </c>
      <c r="O654" s="243"/>
      <c r="P654" s="243"/>
      <c r="Q654" s="253" t="s">
        <v>324</v>
      </c>
      <c r="R654" s="243"/>
      <c r="S654" s="243"/>
      <c r="T654" s="253" t="s">
        <v>325</v>
      </c>
      <c r="U654" s="243"/>
      <c r="V654" s="243"/>
      <c r="W654" s="253" t="s">
        <v>323</v>
      </c>
      <c r="X654" s="243"/>
      <c r="Y654" s="243"/>
      <c r="Z654" s="253" t="s">
        <v>321</v>
      </c>
      <c r="AA654" s="243"/>
      <c r="AB654" s="243"/>
      <c r="AC654" s="253" t="s">
        <v>322</v>
      </c>
      <c r="AD654" s="243"/>
      <c r="AE654" s="254"/>
    </row>
    <row r="655" spans="5:31" s="9" customFormat="1" ht="15.75" customHeight="1" x14ac:dyDescent="0.15">
      <c r="E655" s="257"/>
      <c r="F655" s="243"/>
      <c r="G655" s="243"/>
      <c r="H655" s="243"/>
      <c r="I655" s="243"/>
      <c r="J655" s="243"/>
      <c r="K655" s="243"/>
      <c r="L655" s="243"/>
      <c r="M655" s="243"/>
      <c r="N655" s="243"/>
      <c r="O655" s="243"/>
      <c r="P655" s="243"/>
      <c r="Q655" s="243"/>
      <c r="R655" s="243"/>
      <c r="S655" s="243"/>
      <c r="T655" s="243"/>
      <c r="U655" s="243"/>
      <c r="V655" s="243"/>
      <c r="W655" s="243"/>
      <c r="X655" s="243"/>
      <c r="Y655" s="243"/>
      <c r="Z655" s="243"/>
      <c r="AA655" s="243"/>
      <c r="AB655" s="243"/>
      <c r="AC655" s="243"/>
      <c r="AD655" s="243"/>
      <c r="AE655" s="254"/>
    </row>
    <row r="656" spans="5:31" s="9" customFormat="1" ht="15.75" customHeight="1" x14ac:dyDescent="0.15">
      <c r="E656" s="257" t="s">
        <v>328</v>
      </c>
      <c r="F656" s="243"/>
      <c r="G656" s="243"/>
      <c r="H656" s="134" t="s">
        <v>326</v>
      </c>
      <c r="I656" s="134"/>
      <c r="J656" s="134"/>
      <c r="K656" s="134"/>
      <c r="L656" s="134"/>
      <c r="M656" s="134"/>
      <c r="N656" s="317">
        <f>H566</f>
        <v>2356.1944901923448</v>
      </c>
      <c r="O656" s="318"/>
      <c r="P656" s="330"/>
      <c r="Q656" s="244">
        <f>11.7*T591*$W$591</f>
        <v>5513.4951070500865</v>
      </c>
      <c r="R656" s="244"/>
      <c r="S656" s="244"/>
      <c r="T656" s="244">
        <f>N656+Q656</f>
        <v>7869.6895972424318</v>
      </c>
      <c r="U656" s="244"/>
      <c r="V656" s="244"/>
      <c r="W656" s="338">
        <f>N656/T656</f>
        <v>0.29940119760479039</v>
      </c>
      <c r="X656" s="338"/>
      <c r="Y656" s="338"/>
      <c r="Z656" s="314">
        <f>g地盤抵抗係数(1,W656)</f>
        <v>0.44800000000000001</v>
      </c>
      <c r="AA656" s="314"/>
      <c r="AB656" s="314"/>
      <c r="AC656" s="241">
        <f>Z656*$T$656</f>
        <v>3525.6209395646097</v>
      </c>
      <c r="AD656" s="241"/>
      <c r="AE656" s="242"/>
    </row>
    <row r="657" spans="5:31" s="9" customFormat="1" ht="15.75" customHeight="1" x14ac:dyDescent="0.15">
      <c r="E657" s="257"/>
      <c r="F657" s="243"/>
      <c r="G657" s="243"/>
      <c r="H657" s="134" t="s">
        <v>327</v>
      </c>
      <c r="I657" s="134"/>
      <c r="J657" s="134"/>
      <c r="K657" s="134"/>
      <c r="L657" s="134"/>
      <c r="M657" s="134"/>
      <c r="N657" s="331"/>
      <c r="O657" s="332"/>
      <c r="P657" s="333"/>
      <c r="Q657" s="244"/>
      <c r="R657" s="244"/>
      <c r="S657" s="244"/>
      <c r="T657" s="244"/>
      <c r="U657" s="244"/>
      <c r="V657" s="244"/>
      <c r="W657" s="338"/>
      <c r="X657" s="338"/>
      <c r="Y657" s="338"/>
      <c r="Z657" s="314">
        <f>g地盤抵抗係数(2,W656)</f>
        <v>0.56699999999999995</v>
      </c>
      <c r="AA657" s="315"/>
      <c r="AB657" s="316"/>
      <c r="AC657" s="241">
        <f>Z657*$T$656</f>
        <v>4462.1140016364589</v>
      </c>
      <c r="AD657" s="241"/>
      <c r="AE657" s="242"/>
    </row>
    <row r="658" spans="5:31" s="9" customFormat="1" ht="15.75" customHeight="1" x14ac:dyDescent="0.15">
      <c r="E658" s="301" t="s">
        <v>329</v>
      </c>
      <c r="F658" s="134"/>
      <c r="G658" s="134"/>
      <c r="H658" s="134" t="s">
        <v>435</v>
      </c>
      <c r="I658" s="134"/>
      <c r="J658" s="134"/>
      <c r="K658" s="134"/>
      <c r="L658" s="134"/>
      <c r="M658" s="134"/>
      <c r="N658" s="331"/>
      <c r="O658" s="332"/>
      <c r="P658" s="333"/>
      <c r="Q658" s="244"/>
      <c r="R658" s="244"/>
      <c r="S658" s="244"/>
      <c r="T658" s="244"/>
      <c r="U658" s="244"/>
      <c r="V658" s="244"/>
      <c r="W658" s="338"/>
      <c r="X658" s="338"/>
      <c r="Y658" s="338"/>
      <c r="Z658" s="314">
        <f>g地盤抵抗係数(3,W656)</f>
        <v>0.78800000000000003</v>
      </c>
      <c r="AA658" s="315"/>
      <c r="AB658" s="316"/>
      <c r="AC658" s="241">
        <f>Z658*$T$656</f>
        <v>6201.3154026270367</v>
      </c>
      <c r="AD658" s="241"/>
      <c r="AE658" s="242"/>
    </row>
    <row r="659" spans="5:31" s="9" customFormat="1" ht="15.75" customHeight="1" x14ac:dyDescent="0.15">
      <c r="E659" s="279" t="s">
        <v>330</v>
      </c>
      <c r="F659" s="279"/>
      <c r="G659" s="282"/>
      <c r="H659" s="267" t="s">
        <v>331</v>
      </c>
      <c r="I659" s="279"/>
      <c r="J659" s="279"/>
      <c r="K659" s="279"/>
      <c r="L659" s="279"/>
      <c r="M659" s="282"/>
      <c r="N659" s="331"/>
      <c r="O659" s="332"/>
      <c r="P659" s="333"/>
      <c r="Q659" s="244">
        <f>(11.7-(1/((X155*AG202*Q92)/AB371)^0.25))*Q613*T613</f>
        <v>0</v>
      </c>
      <c r="R659" s="244"/>
      <c r="S659" s="244"/>
      <c r="T659" s="244">
        <f>N656+Q659</f>
        <v>2356.1944901923448</v>
      </c>
      <c r="U659" s="244"/>
      <c r="V659" s="244"/>
      <c r="W659" s="338">
        <f>N656/T659</f>
        <v>1</v>
      </c>
      <c r="X659" s="338"/>
      <c r="Y659" s="338"/>
      <c r="Z659" s="322">
        <f>g地盤抵抗係数(4,W659)</f>
        <v>0.53200000000000003</v>
      </c>
      <c r="AA659" s="323"/>
      <c r="AB659" s="324"/>
      <c r="AC659" s="317">
        <f>Z659*$T$659</f>
        <v>1253.4954687823274</v>
      </c>
      <c r="AD659" s="318"/>
      <c r="AE659" s="318"/>
    </row>
    <row r="660" spans="5:31" s="9" customFormat="1" ht="15.75" customHeight="1" x14ac:dyDescent="0.15">
      <c r="E660" s="328"/>
      <c r="F660" s="328"/>
      <c r="G660" s="329"/>
      <c r="H660" s="283"/>
      <c r="I660" s="280"/>
      <c r="J660" s="280"/>
      <c r="K660" s="280"/>
      <c r="L660" s="280"/>
      <c r="M660" s="284"/>
      <c r="N660" s="331"/>
      <c r="O660" s="332"/>
      <c r="P660" s="333"/>
      <c r="Q660" s="244"/>
      <c r="R660" s="244"/>
      <c r="S660" s="244"/>
      <c r="T660" s="244"/>
      <c r="U660" s="244"/>
      <c r="V660" s="244"/>
      <c r="W660" s="338"/>
      <c r="X660" s="338"/>
      <c r="Y660" s="338"/>
      <c r="Z660" s="325"/>
      <c r="AA660" s="326"/>
      <c r="AB660" s="327"/>
      <c r="AC660" s="319"/>
      <c r="AD660" s="320"/>
      <c r="AE660" s="320"/>
    </row>
    <row r="661" spans="5:31" s="9" customFormat="1" ht="15.75" customHeight="1" x14ac:dyDescent="0.15">
      <c r="E661" s="328"/>
      <c r="F661" s="328"/>
      <c r="G661" s="329"/>
      <c r="H661" s="267" t="s">
        <v>332</v>
      </c>
      <c r="I661" s="279"/>
      <c r="J661" s="279"/>
      <c r="K661" s="279"/>
      <c r="L661" s="279"/>
      <c r="M661" s="282"/>
      <c r="N661" s="331"/>
      <c r="O661" s="332"/>
      <c r="P661" s="333"/>
      <c r="Q661" s="244"/>
      <c r="R661" s="244"/>
      <c r="S661" s="244"/>
      <c r="T661" s="244"/>
      <c r="U661" s="244"/>
      <c r="V661" s="244"/>
      <c r="W661" s="338"/>
      <c r="X661" s="338"/>
      <c r="Y661" s="338"/>
      <c r="Z661" s="322">
        <f>g地盤抵抗係数(5,W659)</f>
        <v>1.0489999999999999</v>
      </c>
      <c r="AA661" s="323"/>
      <c r="AB661" s="324"/>
      <c r="AC661" s="317">
        <f>Z661*$T$659</f>
        <v>2471.6480202117696</v>
      </c>
      <c r="AD661" s="318"/>
      <c r="AE661" s="318"/>
    </row>
    <row r="662" spans="5:31" s="9" customFormat="1" ht="15.75" customHeight="1" x14ac:dyDescent="0.15">
      <c r="E662" s="280"/>
      <c r="F662" s="280"/>
      <c r="G662" s="284"/>
      <c r="H662" s="283"/>
      <c r="I662" s="280"/>
      <c r="J662" s="280"/>
      <c r="K662" s="280"/>
      <c r="L662" s="280"/>
      <c r="M662" s="284"/>
      <c r="N662" s="319"/>
      <c r="O662" s="320"/>
      <c r="P662" s="334"/>
      <c r="Q662" s="244"/>
      <c r="R662" s="244"/>
      <c r="S662" s="244"/>
      <c r="T662" s="244"/>
      <c r="U662" s="244"/>
      <c r="V662" s="244"/>
      <c r="W662" s="338"/>
      <c r="X662" s="338"/>
      <c r="Y662" s="338"/>
      <c r="Z662" s="325"/>
      <c r="AA662" s="326"/>
      <c r="AB662" s="327"/>
      <c r="AC662" s="319"/>
      <c r="AD662" s="320"/>
      <c r="AE662" s="320"/>
    </row>
    <row r="663" spans="5:31" s="9" customFormat="1" ht="15.75" customHeight="1" x14ac:dyDescent="0.15"/>
    <row r="664" spans="5:31" s="9" customFormat="1" ht="15.75" customHeight="1" x14ac:dyDescent="0.15"/>
    <row r="665" spans="5:31" s="9" customFormat="1" ht="15.75" customHeight="1" x14ac:dyDescent="0.15">
      <c r="E665" s="103" t="s">
        <v>439</v>
      </c>
      <c r="F665" s="105"/>
      <c r="G665" s="105"/>
      <c r="H665" s="105"/>
      <c r="I665" s="105"/>
      <c r="J665" s="105"/>
      <c r="K665" s="103"/>
      <c r="L665" s="103"/>
      <c r="M665" s="103"/>
      <c r="N665" s="103"/>
      <c r="O665" s="103"/>
      <c r="P665" s="103"/>
      <c r="Q665" s="103"/>
      <c r="R665" s="103"/>
      <c r="S665" s="103"/>
      <c r="T665" s="103"/>
      <c r="U665" s="103"/>
      <c r="V665" s="103"/>
      <c r="W665" s="103"/>
      <c r="X665" s="103"/>
      <c r="Y665" s="103"/>
      <c r="Z665" s="103"/>
      <c r="AA665" s="105"/>
      <c r="AB665" s="105"/>
      <c r="AC665" s="105"/>
      <c r="AD665" s="105"/>
      <c r="AE665" s="105"/>
    </row>
    <row r="666" spans="5:31" s="9" customFormat="1" ht="15.75" customHeight="1" x14ac:dyDescent="0.15">
      <c r="E666" s="257" t="s">
        <v>317</v>
      </c>
      <c r="F666" s="243"/>
      <c r="G666" s="243"/>
      <c r="H666" s="243" t="s">
        <v>319</v>
      </c>
      <c r="I666" s="243"/>
      <c r="J666" s="243"/>
      <c r="K666" s="243"/>
      <c r="L666" s="243"/>
      <c r="M666" s="243"/>
      <c r="N666" s="253" t="s">
        <v>320</v>
      </c>
      <c r="O666" s="243"/>
      <c r="P666" s="243"/>
      <c r="Q666" s="253" t="s">
        <v>324</v>
      </c>
      <c r="R666" s="243"/>
      <c r="S666" s="243"/>
      <c r="T666" s="253" t="s">
        <v>325</v>
      </c>
      <c r="U666" s="243"/>
      <c r="V666" s="243"/>
      <c r="W666" s="253" t="s">
        <v>323</v>
      </c>
      <c r="X666" s="243"/>
      <c r="Y666" s="243"/>
      <c r="Z666" s="253" t="s">
        <v>321</v>
      </c>
      <c r="AA666" s="243"/>
      <c r="AB666" s="243"/>
      <c r="AC666" s="253" t="s">
        <v>322</v>
      </c>
      <c r="AD666" s="243"/>
      <c r="AE666" s="254"/>
    </row>
    <row r="667" spans="5:31" s="9" customFormat="1" ht="15.75" customHeight="1" x14ac:dyDescent="0.15">
      <c r="E667" s="257"/>
      <c r="F667" s="243"/>
      <c r="G667" s="243"/>
      <c r="H667" s="243"/>
      <c r="I667" s="243"/>
      <c r="J667" s="243"/>
      <c r="K667" s="243"/>
      <c r="L667" s="243"/>
      <c r="M667" s="243"/>
      <c r="N667" s="243"/>
      <c r="O667" s="243"/>
      <c r="P667" s="243"/>
      <c r="Q667" s="243"/>
      <c r="R667" s="243"/>
      <c r="S667" s="243"/>
      <c r="T667" s="243"/>
      <c r="U667" s="243"/>
      <c r="V667" s="243"/>
      <c r="W667" s="243"/>
      <c r="X667" s="243"/>
      <c r="Y667" s="243"/>
      <c r="Z667" s="243"/>
      <c r="AA667" s="243"/>
      <c r="AB667" s="243"/>
      <c r="AC667" s="243"/>
      <c r="AD667" s="243"/>
      <c r="AE667" s="254"/>
    </row>
    <row r="668" spans="5:31" s="9" customFormat="1" ht="15.75" customHeight="1" x14ac:dyDescent="0.15">
      <c r="E668" s="257" t="s">
        <v>328</v>
      </c>
      <c r="F668" s="243"/>
      <c r="G668" s="243"/>
      <c r="H668" s="134" t="s">
        <v>326</v>
      </c>
      <c r="I668" s="134"/>
      <c r="J668" s="134"/>
      <c r="K668" s="134"/>
      <c r="L668" s="134"/>
      <c r="M668" s="134"/>
      <c r="N668" s="317">
        <f>H566</f>
        <v>2356.1944901923448</v>
      </c>
      <c r="O668" s="318"/>
      <c r="P668" s="330"/>
      <c r="Q668" s="244">
        <f>11.7*T591*$W$591</f>
        <v>5513.4951070500865</v>
      </c>
      <c r="R668" s="244"/>
      <c r="S668" s="244"/>
      <c r="T668" s="244">
        <f>N668+Q668</f>
        <v>7869.6895972424318</v>
      </c>
      <c r="U668" s="244"/>
      <c r="V668" s="244"/>
      <c r="W668" s="338">
        <f>N668/T668</f>
        <v>0.29940119760479039</v>
      </c>
      <c r="X668" s="338"/>
      <c r="Y668" s="338"/>
      <c r="Z668" s="314">
        <f>g地盤抵抗係数(1,W668)</f>
        <v>0.44800000000000001</v>
      </c>
      <c r="AA668" s="314"/>
      <c r="AB668" s="314"/>
      <c r="AC668" s="241">
        <f>Z668*$T$668</f>
        <v>3525.6209395646097</v>
      </c>
      <c r="AD668" s="241"/>
      <c r="AE668" s="242"/>
    </row>
    <row r="669" spans="5:31" s="9" customFormat="1" ht="15.75" customHeight="1" x14ac:dyDescent="0.15">
      <c r="E669" s="257"/>
      <c r="F669" s="243"/>
      <c r="G669" s="243"/>
      <c r="H669" s="134" t="s">
        <v>327</v>
      </c>
      <c r="I669" s="134"/>
      <c r="J669" s="134"/>
      <c r="K669" s="134"/>
      <c r="L669" s="134"/>
      <c r="M669" s="134"/>
      <c r="N669" s="331"/>
      <c r="O669" s="332"/>
      <c r="P669" s="333"/>
      <c r="Q669" s="244"/>
      <c r="R669" s="244"/>
      <c r="S669" s="244"/>
      <c r="T669" s="244"/>
      <c r="U669" s="244"/>
      <c r="V669" s="244"/>
      <c r="W669" s="338"/>
      <c r="X669" s="338"/>
      <c r="Y669" s="338"/>
      <c r="Z669" s="314">
        <f>g地盤抵抗係数(2,W668)</f>
        <v>0.56699999999999995</v>
      </c>
      <c r="AA669" s="315"/>
      <c r="AB669" s="316"/>
      <c r="AC669" s="241">
        <f>Z669*$T$668</f>
        <v>4462.1140016364589</v>
      </c>
      <c r="AD669" s="241"/>
      <c r="AE669" s="242"/>
    </row>
    <row r="670" spans="5:31" s="9" customFormat="1" ht="15.75" customHeight="1" x14ac:dyDescent="0.15">
      <c r="E670" s="301" t="s">
        <v>329</v>
      </c>
      <c r="F670" s="134"/>
      <c r="G670" s="134"/>
      <c r="H670" s="134" t="s">
        <v>435</v>
      </c>
      <c r="I670" s="134"/>
      <c r="J670" s="134"/>
      <c r="K670" s="134"/>
      <c r="L670" s="134"/>
      <c r="M670" s="134"/>
      <c r="N670" s="331"/>
      <c r="O670" s="332"/>
      <c r="P670" s="333"/>
      <c r="Q670" s="244"/>
      <c r="R670" s="244"/>
      <c r="S670" s="244"/>
      <c r="T670" s="244"/>
      <c r="U670" s="244"/>
      <c r="V670" s="244"/>
      <c r="W670" s="338"/>
      <c r="X670" s="338"/>
      <c r="Y670" s="338"/>
      <c r="Z670" s="314">
        <f>g地盤抵抗係数(3,W668)</f>
        <v>0.78800000000000003</v>
      </c>
      <c r="AA670" s="315"/>
      <c r="AB670" s="316"/>
      <c r="AC670" s="241">
        <f>Z670*$T$668</f>
        <v>6201.3154026270367</v>
      </c>
      <c r="AD670" s="241"/>
      <c r="AE670" s="242"/>
    </row>
    <row r="671" spans="5:31" s="9" customFormat="1" ht="15.75" customHeight="1" x14ac:dyDescent="0.15">
      <c r="E671" s="279" t="s">
        <v>330</v>
      </c>
      <c r="F671" s="279"/>
      <c r="G671" s="282"/>
      <c r="H671" s="267" t="s">
        <v>331</v>
      </c>
      <c r="I671" s="279"/>
      <c r="J671" s="279"/>
      <c r="K671" s="279"/>
      <c r="L671" s="279"/>
      <c r="M671" s="282"/>
      <c r="N671" s="331"/>
      <c r="O671" s="332"/>
      <c r="P671" s="333"/>
      <c r="Q671" s="244">
        <f>(11.7-(1/((X155*AG203*Q92)/AB371)^0.25))*Q613*T613</f>
        <v>0</v>
      </c>
      <c r="R671" s="244"/>
      <c r="S671" s="244"/>
      <c r="T671" s="244">
        <f>N668+Q671</f>
        <v>2356.1944901923448</v>
      </c>
      <c r="U671" s="244"/>
      <c r="V671" s="244"/>
      <c r="W671" s="338">
        <f>N668/T671</f>
        <v>1</v>
      </c>
      <c r="X671" s="338"/>
      <c r="Y671" s="338"/>
      <c r="Z671" s="322">
        <f>g地盤抵抗係数(4,W671)</f>
        <v>0.53200000000000003</v>
      </c>
      <c r="AA671" s="323"/>
      <c r="AB671" s="324"/>
      <c r="AC671" s="317">
        <f>Z671*$T$671</f>
        <v>1253.4954687823274</v>
      </c>
      <c r="AD671" s="318"/>
      <c r="AE671" s="318"/>
    </row>
    <row r="672" spans="5:31" s="9" customFormat="1" ht="15.75" customHeight="1" x14ac:dyDescent="0.15">
      <c r="E672" s="328"/>
      <c r="F672" s="328"/>
      <c r="G672" s="329"/>
      <c r="H672" s="283"/>
      <c r="I672" s="280"/>
      <c r="J672" s="280"/>
      <c r="K672" s="280"/>
      <c r="L672" s="280"/>
      <c r="M672" s="284"/>
      <c r="N672" s="331"/>
      <c r="O672" s="332"/>
      <c r="P672" s="333"/>
      <c r="Q672" s="244"/>
      <c r="R672" s="244"/>
      <c r="S672" s="244"/>
      <c r="T672" s="244"/>
      <c r="U672" s="244"/>
      <c r="V672" s="244"/>
      <c r="W672" s="338"/>
      <c r="X672" s="338"/>
      <c r="Y672" s="338"/>
      <c r="Z672" s="325"/>
      <c r="AA672" s="326"/>
      <c r="AB672" s="327"/>
      <c r="AC672" s="319"/>
      <c r="AD672" s="320"/>
      <c r="AE672" s="320"/>
    </row>
    <row r="673" spans="5:31" s="9" customFormat="1" ht="15.75" customHeight="1" x14ac:dyDescent="0.15">
      <c r="E673" s="328"/>
      <c r="F673" s="328"/>
      <c r="G673" s="329"/>
      <c r="H673" s="267" t="s">
        <v>332</v>
      </c>
      <c r="I673" s="279"/>
      <c r="J673" s="279"/>
      <c r="K673" s="279"/>
      <c r="L673" s="279"/>
      <c r="M673" s="282"/>
      <c r="N673" s="331"/>
      <c r="O673" s="332"/>
      <c r="P673" s="333"/>
      <c r="Q673" s="244"/>
      <c r="R673" s="244"/>
      <c r="S673" s="244"/>
      <c r="T673" s="244"/>
      <c r="U673" s="244"/>
      <c r="V673" s="244"/>
      <c r="W673" s="338"/>
      <c r="X673" s="338"/>
      <c r="Y673" s="338"/>
      <c r="Z673" s="322">
        <f>g地盤抵抗係数(5,W671)</f>
        <v>1.0489999999999999</v>
      </c>
      <c r="AA673" s="323"/>
      <c r="AB673" s="324"/>
      <c r="AC673" s="317">
        <f>Z673*$T$671</f>
        <v>2471.6480202117696</v>
      </c>
      <c r="AD673" s="318"/>
      <c r="AE673" s="318"/>
    </row>
    <row r="674" spans="5:31" s="9" customFormat="1" ht="15.75" customHeight="1" x14ac:dyDescent="0.15">
      <c r="E674" s="280"/>
      <c r="F674" s="280"/>
      <c r="G674" s="284"/>
      <c r="H674" s="283"/>
      <c r="I674" s="280"/>
      <c r="J674" s="280"/>
      <c r="K674" s="280"/>
      <c r="L674" s="280"/>
      <c r="M674" s="284"/>
      <c r="N674" s="319"/>
      <c r="O674" s="320"/>
      <c r="P674" s="334"/>
      <c r="Q674" s="244"/>
      <c r="R674" s="244"/>
      <c r="S674" s="244"/>
      <c r="T674" s="244"/>
      <c r="U674" s="244"/>
      <c r="V674" s="244"/>
      <c r="W674" s="338"/>
      <c r="X674" s="338"/>
      <c r="Y674" s="338"/>
      <c r="Z674" s="325"/>
      <c r="AA674" s="326"/>
      <c r="AB674" s="327"/>
      <c r="AC674" s="319"/>
      <c r="AD674" s="320"/>
      <c r="AE674" s="320"/>
    </row>
    <row r="675" spans="5:31" s="9" customFormat="1" ht="15.75" customHeight="1" x14ac:dyDescent="0.15">
      <c r="E675" s="99"/>
      <c r="F675" s="99"/>
      <c r="G675" s="99"/>
      <c r="H675" s="99"/>
      <c r="I675" s="99"/>
      <c r="J675" s="99"/>
      <c r="K675" s="99"/>
      <c r="L675" s="99"/>
      <c r="M675" s="99"/>
      <c r="N675" s="102"/>
      <c r="O675" s="102"/>
      <c r="P675" s="102"/>
      <c r="Q675" s="102"/>
      <c r="R675" s="102"/>
      <c r="S675" s="102"/>
      <c r="T675" s="102"/>
      <c r="U675" s="102"/>
      <c r="V675" s="102"/>
      <c r="W675" s="31"/>
      <c r="X675" s="31"/>
      <c r="Y675" s="31"/>
      <c r="Z675" s="114"/>
      <c r="AA675" s="114"/>
      <c r="AB675" s="114"/>
      <c r="AC675" s="102"/>
      <c r="AD675" s="102"/>
      <c r="AE675" s="102"/>
    </row>
    <row r="676" spans="5:31" s="9" customFormat="1" ht="15.75" customHeight="1" x14ac:dyDescent="0.15"/>
    <row r="677" spans="5:31" s="9" customFormat="1" ht="15.75" customHeight="1" x14ac:dyDescent="0.15"/>
    <row r="678" spans="5:31" s="9" customFormat="1" ht="15.75" customHeight="1" x14ac:dyDescent="0.2">
      <c r="E678" s="7" t="s">
        <v>333</v>
      </c>
    </row>
    <row r="679" spans="5:31" s="9" customFormat="1" ht="15.75" customHeight="1" x14ac:dyDescent="0.15"/>
    <row r="680" spans="5:31" s="9" customFormat="1" ht="15.75" customHeight="1" x14ac:dyDescent="0.2">
      <c r="E680" s="261" t="s">
        <v>305</v>
      </c>
      <c r="F680" s="261"/>
      <c r="G680" s="6" t="s">
        <v>27</v>
      </c>
      <c r="H680" s="261" t="s">
        <v>334</v>
      </c>
      <c r="I680" s="261"/>
      <c r="J680" s="9" t="s">
        <v>6</v>
      </c>
      <c r="K680" s="261" t="s">
        <v>335</v>
      </c>
      <c r="L680" s="261"/>
    </row>
    <row r="681" spans="5:31" s="9" customFormat="1" ht="15.75" customHeight="1" x14ac:dyDescent="0.15"/>
    <row r="682" spans="5:31" s="9" customFormat="1" ht="15.75" customHeight="1" x14ac:dyDescent="0.2">
      <c r="F682" s="7" t="s">
        <v>3</v>
      </c>
      <c r="G682" s="7"/>
      <c r="H682" s="7"/>
      <c r="I682" s="261" t="s">
        <v>253</v>
      </c>
      <c r="J682" s="261"/>
      <c r="K682" s="6" t="s">
        <v>2</v>
      </c>
      <c r="L682" s="7" t="s">
        <v>263</v>
      </c>
    </row>
    <row r="683" spans="5:31" s="9" customFormat="1" ht="15.75" customHeight="1" x14ac:dyDescent="0.2">
      <c r="F683" s="7"/>
      <c r="G683" s="7"/>
      <c r="H683" s="7"/>
      <c r="I683" s="261" t="s">
        <v>255</v>
      </c>
      <c r="J683" s="261"/>
      <c r="K683" s="6" t="s">
        <v>2</v>
      </c>
      <c r="L683" s="7" t="s">
        <v>310</v>
      </c>
    </row>
    <row r="684" spans="5:31" s="9" customFormat="1" ht="15.75" customHeight="1" x14ac:dyDescent="0.2">
      <c r="I684" s="261" t="s">
        <v>336</v>
      </c>
      <c r="J684" s="261"/>
      <c r="K684" s="6" t="s">
        <v>2</v>
      </c>
      <c r="L684" s="7" t="s">
        <v>338</v>
      </c>
    </row>
    <row r="685" spans="5:31" s="9" customFormat="1" ht="15.75" customHeight="1" x14ac:dyDescent="0.2">
      <c r="I685" s="261" t="s">
        <v>337</v>
      </c>
      <c r="J685" s="261"/>
      <c r="K685" s="6" t="s">
        <v>2</v>
      </c>
      <c r="L685" s="7" t="s">
        <v>339</v>
      </c>
    </row>
    <row r="686" spans="5:31" s="9" customFormat="1" ht="15.75" customHeight="1" x14ac:dyDescent="0.15">
      <c r="I686" s="7"/>
      <c r="J686" s="7"/>
      <c r="K686" s="6"/>
    </row>
    <row r="687" spans="5:31" s="9" customFormat="1" ht="15.75" customHeight="1" x14ac:dyDescent="0.2">
      <c r="E687" s="261" t="s">
        <v>305</v>
      </c>
      <c r="F687" s="261"/>
      <c r="G687" s="6" t="s">
        <v>27</v>
      </c>
      <c r="H687" s="261">
        <v>1.4</v>
      </c>
      <c r="I687" s="261"/>
      <c r="J687" s="9" t="s">
        <v>1</v>
      </c>
      <c r="K687" s="264">
        <f>N656</f>
        <v>2356.1944901923448</v>
      </c>
      <c r="L687" s="264"/>
      <c r="M687" s="264"/>
      <c r="N687" s="9" t="s">
        <v>6</v>
      </c>
      <c r="O687" s="261">
        <v>1.4</v>
      </c>
      <c r="P687" s="261"/>
      <c r="Q687" s="9" t="s">
        <v>1</v>
      </c>
      <c r="R687" s="264">
        <f>Q659</f>
        <v>0</v>
      </c>
      <c r="S687" s="264"/>
      <c r="T687" s="264"/>
      <c r="U687" s="6" t="s">
        <v>27</v>
      </c>
      <c r="V687" s="264">
        <f>H687*K687+O687*R687</f>
        <v>3298.6722862692827</v>
      </c>
      <c r="W687" s="264"/>
      <c r="X687" s="264"/>
      <c r="Y687" s="9" t="s">
        <v>340</v>
      </c>
      <c r="AA687" s="9" t="s">
        <v>440</v>
      </c>
    </row>
    <row r="688" spans="5:31" s="9" customFormat="1" ht="15.75" customHeight="1" x14ac:dyDescent="0.2">
      <c r="E688" s="261" t="s">
        <v>305</v>
      </c>
      <c r="F688" s="261"/>
      <c r="G688" s="6" t="s">
        <v>27</v>
      </c>
      <c r="H688" s="261">
        <v>1.4</v>
      </c>
      <c r="I688" s="261"/>
      <c r="J688" s="9" t="s">
        <v>1</v>
      </c>
      <c r="K688" s="264">
        <f>N668</f>
        <v>2356.1944901923448</v>
      </c>
      <c r="L688" s="264"/>
      <c r="M688" s="264"/>
      <c r="N688" s="9" t="s">
        <v>6</v>
      </c>
      <c r="O688" s="261">
        <v>1.4</v>
      </c>
      <c r="P688" s="261"/>
      <c r="Q688" s="9" t="s">
        <v>1</v>
      </c>
      <c r="R688" s="264">
        <f>Q671</f>
        <v>0</v>
      </c>
      <c r="S688" s="264"/>
      <c r="T688" s="264"/>
      <c r="U688" s="6" t="s">
        <v>27</v>
      </c>
      <c r="V688" s="264">
        <f>H688*K688+O688*R688</f>
        <v>3298.6722862692827</v>
      </c>
      <c r="W688" s="264"/>
      <c r="X688" s="264"/>
      <c r="Y688" s="9" t="s">
        <v>340</v>
      </c>
      <c r="AA688" s="9" t="s">
        <v>441</v>
      </c>
    </row>
    <row r="689" spans="5:12" s="9" customFormat="1" ht="15.75" customHeight="1" x14ac:dyDescent="0.15"/>
    <row r="690" spans="5:12" s="9" customFormat="1" ht="15.75" customHeight="1" x14ac:dyDescent="0.15"/>
    <row r="691" spans="5:12" s="9" customFormat="1" ht="15.75" customHeight="1" x14ac:dyDescent="0.15"/>
    <row r="692" spans="5:12" s="9" customFormat="1" ht="15.75" customHeight="1" x14ac:dyDescent="0.15">
      <c r="E692" s="7" t="s">
        <v>341</v>
      </c>
    </row>
    <row r="693" spans="5:12" s="9" customFormat="1" ht="15.75" customHeight="1" x14ac:dyDescent="0.15">
      <c r="F693" s="9" t="s">
        <v>351</v>
      </c>
    </row>
    <row r="694" spans="5:12" s="9" customFormat="1" ht="15.75" customHeight="1" x14ac:dyDescent="0.15">
      <c r="F694" s="9" t="s">
        <v>342</v>
      </c>
    </row>
    <row r="695" spans="5:12" s="9" customFormat="1" ht="15.75" customHeight="1" x14ac:dyDescent="0.15"/>
    <row r="696" spans="5:12" s="9" customFormat="1" ht="15.75" customHeight="1" x14ac:dyDescent="0.2">
      <c r="E696" s="261" t="s">
        <v>343</v>
      </c>
      <c r="F696" s="261"/>
      <c r="G696" s="6" t="s">
        <v>27</v>
      </c>
      <c r="H696" s="261" t="s">
        <v>344</v>
      </c>
      <c r="I696" s="261"/>
      <c r="J696" s="9" t="s">
        <v>6</v>
      </c>
      <c r="K696" s="261" t="s">
        <v>345</v>
      </c>
      <c r="L696" s="261"/>
    </row>
    <row r="697" spans="5:12" s="9" customFormat="1" ht="15.75" customHeight="1" x14ac:dyDescent="0.15"/>
    <row r="698" spans="5:12" s="9" customFormat="1" ht="15.75" customHeight="1" x14ac:dyDescent="0.2">
      <c r="F698" s="7" t="s">
        <v>3</v>
      </c>
      <c r="G698" s="7"/>
      <c r="H698" s="7"/>
      <c r="I698" s="261" t="s">
        <v>343</v>
      </c>
      <c r="J698" s="261"/>
      <c r="K698" s="6" t="s">
        <v>2</v>
      </c>
      <c r="L698" s="7" t="s">
        <v>346</v>
      </c>
    </row>
    <row r="699" spans="5:12" s="9" customFormat="1" ht="15.75" customHeight="1" x14ac:dyDescent="0.2">
      <c r="F699" s="7"/>
      <c r="G699" s="7"/>
      <c r="H699" s="7"/>
      <c r="I699" s="261" t="s">
        <v>255</v>
      </c>
      <c r="J699" s="261"/>
      <c r="K699" s="6" t="s">
        <v>2</v>
      </c>
      <c r="L699" s="7" t="s">
        <v>310</v>
      </c>
    </row>
    <row r="700" spans="5:12" s="9" customFormat="1" ht="15.75" customHeight="1" x14ac:dyDescent="0.2">
      <c r="I700" s="261" t="s">
        <v>306</v>
      </c>
      <c r="J700" s="261"/>
      <c r="K700" s="6" t="s">
        <v>2</v>
      </c>
      <c r="L700" s="7" t="s">
        <v>347</v>
      </c>
    </row>
    <row r="701" spans="5:12" s="9" customFormat="1" ht="15.75" customHeight="1" x14ac:dyDescent="0.2">
      <c r="I701" s="261" t="s">
        <v>345</v>
      </c>
      <c r="J701" s="261"/>
      <c r="K701" s="6" t="s">
        <v>2</v>
      </c>
      <c r="L701" s="7" t="s">
        <v>348</v>
      </c>
    </row>
    <row r="702" spans="5:12" s="9" customFormat="1" ht="15.75" customHeight="1" x14ac:dyDescent="0.15">
      <c r="F702" s="9" t="s">
        <v>349</v>
      </c>
    </row>
    <row r="703" spans="5:12" s="9" customFormat="1" ht="15.75" customHeight="1" x14ac:dyDescent="0.15"/>
    <row r="704" spans="5:12" s="9" customFormat="1" ht="15.75" customHeight="1" x14ac:dyDescent="0.2">
      <c r="E704" s="261" t="s">
        <v>343</v>
      </c>
      <c r="F704" s="261"/>
      <c r="G704" s="6" t="s">
        <v>27</v>
      </c>
      <c r="H704" s="261" t="s">
        <v>345</v>
      </c>
      <c r="I704" s="261"/>
    </row>
    <row r="705" spans="6:28" s="9" customFormat="1" ht="15.75" customHeight="1" x14ac:dyDescent="0.15"/>
    <row r="706" spans="6:28" s="9" customFormat="1" ht="15.75" customHeight="1" x14ac:dyDescent="0.15">
      <c r="F706" s="9" t="s">
        <v>465</v>
      </c>
    </row>
    <row r="707" spans="6:28" s="9" customFormat="1" ht="15.75" customHeight="1" x14ac:dyDescent="0.2">
      <c r="F707" s="9" t="s">
        <v>466</v>
      </c>
    </row>
    <row r="708" spans="6:28" s="9" customFormat="1" ht="15.75" customHeight="1" x14ac:dyDescent="0.15"/>
    <row r="709" spans="6:28" s="9" customFormat="1" ht="15.75" customHeight="1" x14ac:dyDescent="0.15">
      <c r="H709" s="103" t="s">
        <v>442</v>
      </c>
      <c r="I709" s="105"/>
      <c r="J709" s="105"/>
      <c r="K709" s="103"/>
      <c r="L709" s="103"/>
      <c r="M709" s="103"/>
      <c r="N709" s="103"/>
      <c r="O709" s="103"/>
      <c r="P709" s="103"/>
      <c r="Q709" s="103"/>
      <c r="R709" s="103"/>
      <c r="S709" s="103"/>
      <c r="T709" s="103"/>
      <c r="U709" s="103"/>
      <c r="V709" s="103"/>
      <c r="W709" s="103"/>
      <c r="X709" s="103"/>
      <c r="Y709" s="103"/>
      <c r="Z709" s="103"/>
      <c r="AA709" s="105"/>
      <c r="AB709" s="105"/>
    </row>
    <row r="710" spans="6:28" s="9" customFormat="1" ht="15.75" customHeight="1" x14ac:dyDescent="0.15">
      <c r="H710" s="257" t="s">
        <v>317</v>
      </c>
      <c r="I710" s="243"/>
      <c r="J710" s="243"/>
      <c r="K710" s="243" t="s">
        <v>319</v>
      </c>
      <c r="L710" s="243"/>
      <c r="M710" s="243"/>
      <c r="N710" s="243"/>
      <c r="O710" s="243"/>
      <c r="P710" s="243"/>
      <c r="Q710" s="253" t="s">
        <v>324</v>
      </c>
      <c r="R710" s="243"/>
      <c r="S710" s="243"/>
      <c r="T710" s="253" t="s">
        <v>321</v>
      </c>
      <c r="U710" s="243"/>
      <c r="V710" s="243"/>
      <c r="W710" s="253" t="s">
        <v>350</v>
      </c>
      <c r="X710" s="243"/>
      <c r="Y710" s="243"/>
      <c r="Z710" s="253" t="s">
        <v>322</v>
      </c>
      <c r="AA710" s="243"/>
      <c r="AB710" s="254"/>
    </row>
    <row r="711" spans="6:28" s="9" customFormat="1" ht="15.75" customHeight="1" x14ac:dyDescent="0.15">
      <c r="H711" s="257"/>
      <c r="I711" s="243"/>
      <c r="J711" s="243"/>
      <c r="K711" s="243"/>
      <c r="L711" s="243"/>
      <c r="M711" s="243"/>
      <c r="N711" s="243"/>
      <c r="O711" s="243"/>
      <c r="P711" s="243"/>
      <c r="Q711" s="243"/>
      <c r="R711" s="243"/>
      <c r="S711" s="243"/>
      <c r="T711" s="243"/>
      <c r="U711" s="243"/>
      <c r="V711" s="243"/>
      <c r="W711" s="243"/>
      <c r="X711" s="243"/>
      <c r="Y711" s="243"/>
      <c r="Z711" s="243"/>
      <c r="AA711" s="243"/>
      <c r="AB711" s="254"/>
    </row>
    <row r="712" spans="6:28" s="9" customFormat="1" ht="15.75" customHeight="1" x14ac:dyDescent="0.15">
      <c r="H712" s="257" t="s">
        <v>328</v>
      </c>
      <c r="I712" s="243"/>
      <c r="J712" s="243"/>
      <c r="K712" s="134" t="s">
        <v>326</v>
      </c>
      <c r="L712" s="134"/>
      <c r="M712" s="134"/>
      <c r="N712" s="134"/>
      <c r="O712" s="134"/>
      <c r="P712" s="134"/>
      <c r="Q712" s="244" t="str">
        <f>Z591</f>
        <v/>
      </c>
      <c r="R712" s="244"/>
      <c r="S712" s="244"/>
      <c r="T712" s="321" t="s">
        <v>213</v>
      </c>
      <c r="U712" s="321"/>
      <c r="V712" s="321"/>
      <c r="W712" s="317">
        <v>250.2</v>
      </c>
      <c r="X712" s="318"/>
      <c r="Y712" s="330"/>
      <c r="Z712" s="241">
        <f>W712</f>
        <v>250.2</v>
      </c>
      <c r="AA712" s="241"/>
      <c r="AB712" s="242"/>
    </row>
    <row r="713" spans="6:28" s="9" customFormat="1" ht="15.75" customHeight="1" x14ac:dyDescent="0.15">
      <c r="H713" s="257"/>
      <c r="I713" s="243"/>
      <c r="J713" s="243"/>
      <c r="K713" s="134" t="s">
        <v>327</v>
      </c>
      <c r="L713" s="134"/>
      <c r="M713" s="134"/>
      <c r="N713" s="134"/>
      <c r="O713" s="134"/>
      <c r="P713" s="134"/>
      <c r="Q713" s="244"/>
      <c r="R713" s="244"/>
      <c r="S713" s="244"/>
      <c r="T713" s="314">
        <f>g地盤抵抗係数(2,0)</f>
        <v>0.58699999999999997</v>
      </c>
      <c r="U713" s="315"/>
      <c r="V713" s="316"/>
      <c r="W713" s="331"/>
      <c r="X713" s="332"/>
      <c r="Y713" s="333"/>
      <c r="Z713" s="241" t="e">
        <f>Q712*T713+$W$712</f>
        <v>#VALUE!</v>
      </c>
      <c r="AA713" s="241"/>
      <c r="AB713" s="242"/>
    </row>
    <row r="714" spans="6:28" s="9" customFormat="1" ht="15.75" customHeight="1" x14ac:dyDescent="0.15">
      <c r="H714" s="301" t="s">
        <v>329</v>
      </c>
      <c r="I714" s="134"/>
      <c r="J714" s="134"/>
      <c r="K714" s="335" t="s">
        <v>318</v>
      </c>
      <c r="L714" s="335"/>
      <c r="M714" s="335"/>
      <c r="N714" s="335"/>
      <c r="O714" s="335"/>
      <c r="P714" s="335"/>
      <c r="Q714" s="244"/>
      <c r="R714" s="244"/>
      <c r="S714" s="244"/>
      <c r="T714" s="314">
        <f>g地盤抵抗係数(3,0)</f>
        <v>0.78600000000000003</v>
      </c>
      <c r="U714" s="315"/>
      <c r="V714" s="316"/>
      <c r="W714" s="331"/>
      <c r="X714" s="332"/>
      <c r="Y714" s="333"/>
      <c r="Z714" s="241" t="e">
        <f>Q712*T714+$W$712</f>
        <v>#VALUE!</v>
      </c>
      <c r="AA714" s="241"/>
      <c r="AB714" s="242"/>
    </row>
    <row r="715" spans="6:28" s="9" customFormat="1" ht="15.75" customHeight="1" x14ac:dyDescent="0.15">
      <c r="H715" s="279" t="s">
        <v>330</v>
      </c>
      <c r="I715" s="279"/>
      <c r="J715" s="282"/>
      <c r="K715" s="267" t="s">
        <v>331</v>
      </c>
      <c r="L715" s="279"/>
      <c r="M715" s="279"/>
      <c r="N715" s="279"/>
      <c r="O715" s="279"/>
      <c r="P715" s="282"/>
      <c r="Q715" s="244">
        <f>W613</f>
        <v>0</v>
      </c>
      <c r="R715" s="244"/>
      <c r="S715" s="244"/>
      <c r="T715" s="322">
        <f>g地盤抵抗係数(4,0)</f>
        <v>0.86499999999999999</v>
      </c>
      <c r="U715" s="323"/>
      <c r="V715" s="324"/>
      <c r="W715" s="331"/>
      <c r="X715" s="332"/>
      <c r="Y715" s="333"/>
      <c r="Z715" s="317">
        <f>Q715*T715+W712</f>
        <v>250.2</v>
      </c>
      <c r="AA715" s="318"/>
      <c r="AB715" s="318"/>
    </row>
    <row r="716" spans="6:28" s="9" customFormat="1" ht="15.75" customHeight="1" x14ac:dyDescent="0.15">
      <c r="H716" s="328"/>
      <c r="I716" s="328"/>
      <c r="J716" s="329"/>
      <c r="K716" s="283"/>
      <c r="L716" s="280"/>
      <c r="M716" s="280"/>
      <c r="N716" s="280"/>
      <c r="O716" s="280"/>
      <c r="P716" s="284"/>
      <c r="Q716" s="244"/>
      <c r="R716" s="244"/>
      <c r="S716" s="244"/>
      <c r="T716" s="325"/>
      <c r="U716" s="326"/>
      <c r="V716" s="327"/>
      <c r="W716" s="331"/>
      <c r="X716" s="332"/>
      <c r="Y716" s="333"/>
      <c r="Z716" s="319"/>
      <c r="AA716" s="320"/>
      <c r="AB716" s="320"/>
    </row>
    <row r="717" spans="6:28" s="9" customFormat="1" ht="15.75" customHeight="1" x14ac:dyDescent="0.15">
      <c r="H717" s="328"/>
      <c r="I717" s="328"/>
      <c r="J717" s="329"/>
      <c r="K717" s="267" t="s">
        <v>332</v>
      </c>
      <c r="L717" s="279"/>
      <c r="M717" s="279"/>
      <c r="N717" s="279"/>
      <c r="O717" s="279"/>
      <c r="P717" s="282"/>
      <c r="Q717" s="244"/>
      <c r="R717" s="244"/>
      <c r="S717" s="244"/>
      <c r="T717" s="322">
        <f>g地盤抵抗係数(5,0)</f>
        <v>1.1439999999999999</v>
      </c>
      <c r="U717" s="323"/>
      <c r="V717" s="324"/>
      <c r="W717" s="331"/>
      <c r="X717" s="332"/>
      <c r="Y717" s="333"/>
      <c r="Z717" s="317">
        <f>Q715*T717+W712</f>
        <v>250.2</v>
      </c>
      <c r="AA717" s="318"/>
      <c r="AB717" s="318"/>
    </row>
    <row r="718" spans="6:28" s="9" customFormat="1" ht="15.75" customHeight="1" x14ac:dyDescent="0.15">
      <c r="H718" s="280"/>
      <c r="I718" s="280"/>
      <c r="J718" s="284"/>
      <c r="K718" s="283"/>
      <c r="L718" s="280"/>
      <c r="M718" s="280"/>
      <c r="N718" s="280"/>
      <c r="O718" s="280"/>
      <c r="P718" s="284"/>
      <c r="Q718" s="244"/>
      <c r="R718" s="244"/>
      <c r="S718" s="244"/>
      <c r="T718" s="325"/>
      <c r="U718" s="326"/>
      <c r="V718" s="327"/>
      <c r="W718" s="319"/>
      <c r="X718" s="320"/>
      <c r="Y718" s="334"/>
      <c r="Z718" s="319"/>
      <c r="AA718" s="320"/>
      <c r="AB718" s="320"/>
    </row>
    <row r="719" spans="6:28" s="9" customFormat="1" ht="15.75" customHeight="1" x14ac:dyDescent="0.15"/>
    <row r="720" spans="6:28" s="9" customFormat="1" ht="15.75" customHeight="1" x14ac:dyDescent="0.15">
      <c r="H720" s="103" t="s">
        <v>442</v>
      </c>
      <c r="I720" s="105"/>
      <c r="J720" s="105"/>
      <c r="K720" s="103"/>
      <c r="L720" s="103"/>
      <c r="M720" s="103"/>
      <c r="N720" s="103"/>
      <c r="O720" s="103"/>
      <c r="P720" s="103"/>
      <c r="Q720" s="103"/>
      <c r="R720" s="103"/>
      <c r="S720" s="103"/>
      <c r="T720" s="103"/>
      <c r="U720" s="103"/>
      <c r="V720" s="103"/>
      <c r="W720" s="103"/>
      <c r="X720" s="103"/>
      <c r="Y720" s="103"/>
      <c r="Z720" s="103"/>
      <c r="AA720" s="105"/>
      <c r="AB720" s="105"/>
    </row>
    <row r="721" spans="4:28" s="9" customFormat="1" ht="15.75" customHeight="1" x14ac:dyDescent="0.15">
      <c r="H721" s="257" t="s">
        <v>317</v>
      </c>
      <c r="I721" s="243"/>
      <c r="J721" s="243"/>
      <c r="K721" s="243" t="s">
        <v>319</v>
      </c>
      <c r="L721" s="243"/>
      <c r="M721" s="243"/>
      <c r="N721" s="243"/>
      <c r="O721" s="243"/>
      <c r="P721" s="243"/>
      <c r="Q721" s="253" t="s">
        <v>324</v>
      </c>
      <c r="R721" s="243"/>
      <c r="S721" s="243"/>
      <c r="T721" s="253" t="s">
        <v>321</v>
      </c>
      <c r="U721" s="243"/>
      <c r="V721" s="243"/>
      <c r="W721" s="253" t="s">
        <v>350</v>
      </c>
      <c r="X721" s="243"/>
      <c r="Y721" s="243"/>
      <c r="Z721" s="253" t="s">
        <v>322</v>
      </c>
      <c r="AA721" s="243"/>
      <c r="AB721" s="254"/>
    </row>
    <row r="722" spans="4:28" s="9" customFormat="1" ht="15.75" customHeight="1" x14ac:dyDescent="0.15">
      <c r="H722" s="257"/>
      <c r="I722" s="243"/>
      <c r="J722" s="243"/>
      <c r="K722" s="243"/>
      <c r="L722" s="243"/>
      <c r="M722" s="243"/>
      <c r="N722" s="243"/>
      <c r="O722" s="243"/>
      <c r="P722" s="243"/>
      <c r="Q722" s="243"/>
      <c r="R722" s="243"/>
      <c r="S722" s="243"/>
      <c r="T722" s="243"/>
      <c r="U722" s="243"/>
      <c r="V722" s="243"/>
      <c r="W722" s="243"/>
      <c r="X722" s="243"/>
      <c r="Y722" s="243"/>
      <c r="Z722" s="243"/>
      <c r="AA722" s="243"/>
      <c r="AB722" s="254"/>
    </row>
    <row r="723" spans="4:28" s="9" customFormat="1" ht="15.75" customHeight="1" x14ac:dyDescent="0.15">
      <c r="H723" s="257" t="s">
        <v>328</v>
      </c>
      <c r="I723" s="243"/>
      <c r="J723" s="243"/>
      <c r="K723" s="134" t="s">
        <v>326</v>
      </c>
      <c r="L723" s="134"/>
      <c r="M723" s="134"/>
      <c r="N723" s="134"/>
      <c r="O723" s="134"/>
      <c r="P723" s="134"/>
      <c r="Q723" s="244" t="str">
        <f>Z591</f>
        <v/>
      </c>
      <c r="R723" s="244"/>
      <c r="S723" s="244"/>
      <c r="T723" s="321" t="s">
        <v>213</v>
      </c>
      <c r="U723" s="321"/>
      <c r="V723" s="321"/>
      <c r="W723" s="317">
        <v>250.2</v>
      </c>
      <c r="X723" s="318"/>
      <c r="Y723" s="330"/>
      <c r="Z723" s="241">
        <f>W723</f>
        <v>250.2</v>
      </c>
      <c r="AA723" s="241"/>
      <c r="AB723" s="242"/>
    </row>
    <row r="724" spans="4:28" s="9" customFormat="1" ht="15.75" customHeight="1" x14ac:dyDescent="0.15">
      <c r="H724" s="257"/>
      <c r="I724" s="243"/>
      <c r="J724" s="243"/>
      <c r="K724" s="134" t="s">
        <v>327</v>
      </c>
      <c r="L724" s="134"/>
      <c r="M724" s="134"/>
      <c r="N724" s="134"/>
      <c r="O724" s="134"/>
      <c r="P724" s="134"/>
      <c r="Q724" s="244"/>
      <c r="R724" s="244"/>
      <c r="S724" s="244"/>
      <c r="T724" s="314">
        <f>g地盤抵抗係数(2,0)</f>
        <v>0.58699999999999997</v>
      </c>
      <c r="U724" s="315"/>
      <c r="V724" s="316"/>
      <c r="W724" s="331"/>
      <c r="X724" s="332"/>
      <c r="Y724" s="333"/>
      <c r="Z724" s="241" t="e">
        <f>Q723*T724+$W$712</f>
        <v>#VALUE!</v>
      </c>
      <c r="AA724" s="241"/>
      <c r="AB724" s="242"/>
    </row>
    <row r="725" spans="4:28" s="9" customFormat="1" ht="15.75" customHeight="1" x14ac:dyDescent="0.15">
      <c r="H725" s="301" t="s">
        <v>329</v>
      </c>
      <c r="I725" s="134"/>
      <c r="J725" s="134"/>
      <c r="K725" s="335" t="s">
        <v>318</v>
      </c>
      <c r="L725" s="335"/>
      <c r="M725" s="335"/>
      <c r="N725" s="335"/>
      <c r="O725" s="335"/>
      <c r="P725" s="335"/>
      <c r="Q725" s="244"/>
      <c r="R725" s="244"/>
      <c r="S725" s="244"/>
      <c r="T725" s="314">
        <f>g地盤抵抗係数(3,0)</f>
        <v>0.78600000000000003</v>
      </c>
      <c r="U725" s="315"/>
      <c r="V725" s="316"/>
      <c r="W725" s="331"/>
      <c r="X725" s="332"/>
      <c r="Y725" s="333"/>
      <c r="Z725" s="241" t="e">
        <f>Q723*T725+$W$712</f>
        <v>#VALUE!</v>
      </c>
      <c r="AA725" s="241"/>
      <c r="AB725" s="242"/>
    </row>
    <row r="726" spans="4:28" s="9" customFormat="1" ht="15.75" customHeight="1" x14ac:dyDescent="0.15">
      <c r="H726" s="279" t="s">
        <v>330</v>
      </c>
      <c r="I726" s="279"/>
      <c r="J726" s="282"/>
      <c r="K726" s="267" t="s">
        <v>331</v>
      </c>
      <c r="L726" s="279"/>
      <c r="M726" s="279"/>
      <c r="N726" s="279"/>
      <c r="O726" s="279"/>
      <c r="P726" s="282"/>
      <c r="Q726" s="244">
        <f>AA613</f>
        <v>0</v>
      </c>
      <c r="R726" s="244"/>
      <c r="S726" s="244"/>
      <c r="T726" s="322">
        <f>g地盤抵抗係数(4,0)</f>
        <v>0.86499999999999999</v>
      </c>
      <c r="U726" s="323"/>
      <c r="V726" s="324"/>
      <c r="W726" s="331"/>
      <c r="X726" s="332"/>
      <c r="Y726" s="333"/>
      <c r="Z726" s="317">
        <f>Q726*T726+W723</f>
        <v>250.2</v>
      </c>
      <c r="AA726" s="318"/>
      <c r="AB726" s="318"/>
    </row>
    <row r="727" spans="4:28" s="9" customFormat="1" ht="15.75" customHeight="1" x14ac:dyDescent="0.15">
      <c r="H727" s="328"/>
      <c r="I727" s="328"/>
      <c r="J727" s="329"/>
      <c r="K727" s="283"/>
      <c r="L727" s="280"/>
      <c r="M727" s="280"/>
      <c r="N727" s="280"/>
      <c r="O727" s="280"/>
      <c r="P727" s="284"/>
      <c r="Q727" s="244"/>
      <c r="R727" s="244"/>
      <c r="S727" s="244"/>
      <c r="T727" s="325"/>
      <c r="U727" s="326"/>
      <c r="V727" s="327"/>
      <c r="W727" s="331"/>
      <c r="X727" s="332"/>
      <c r="Y727" s="333"/>
      <c r="Z727" s="319"/>
      <c r="AA727" s="320"/>
      <c r="AB727" s="320"/>
    </row>
    <row r="728" spans="4:28" s="9" customFormat="1" ht="15.75" customHeight="1" x14ac:dyDescent="0.15">
      <c r="H728" s="328"/>
      <c r="I728" s="328"/>
      <c r="J728" s="329"/>
      <c r="K728" s="267" t="s">
        <v>332</v>
      </c>
      <c r="L728" s="279"/>
      <c r="M728" s="279"/>
      <c r="N728" s="279"/>
      <c r="O728" s="279"/>
      <c r="P728" s="282"/>
      <c r="Q728" s="244"/>
      <c r="R728" s="244"/>
      <c r="S728" s="244"/>
      <c r="T728" s="322">
        <f>g地盤抵抗係数(5,0)</f>
        <v>1.1439999999999999</v>
      </c>
      <c r="U728" s="323"/>
      <c r="V728" s="324"/>
      <c r="W728" s="331"/>
      <c r="X728" s="332"/>
      <c r="Y728" s="333"/>
      <c r="Z728" s="317">
        <f>Q726*T728+W723</f>
        <v>250.2</v>
      </c>
      <c r="AA728" s="318"/>
      <c r="AB728" s="318"/>
    </row>
    <row r="729" spans="4:28" s="9" customFormat="1" ht="15.75" customHeight="1" x14ac:dyDescent="0.15">
      <c r="H729" s="280"/>
      <c r="I729" s="280"/>
      <c r="J729" s="284"/>
      <c r="K729" s="283"/>
      <c r="L729" s="280"/>
      <c r="M729" s="280"/>
      <c r="N729" s="280"/>
      <c r="O729" s="280"/>
      <c r="P729" s="284"/>
      <c r="Q729" s="244"/>
      <c r="R729" s="244"/>
      <c r="S729" s="244"/>
      <c r="T729" s="325"/>
      <c r="U729" s="326"/>
      <c r="V729" s="327"/>
      <c r="W729" s="319"/>
      <c r="X729" s="320"/>
      <c r="Y729" s="334"/>
      <c r="Z729" s="319"/>
      <c r="AA729" s="320"/>
      <c r="AB729" s="320"/>
    </row>
    <row r="730" spans="4:28" s="9" customFormat="1" ht="15.75" customHeight="1" x14ac:dyDescent="0.15"/>
    <row r="731" spans="4:28" s="9" customFormat="1" ht="15.75" customHeight="1" x14ac:dyDescent="0.15">
      <c r="E731" s="7" t="s">
        <v>467</v>
      </c>
    </row>
    <row r="732" spans="4:28" s="9" customFormat="1" ht="15.75" customHeight="1" x14ac:dyDescent="0.15">
      <c r="E732" s="9" t="s">
        <v>468</v>
      </c>
    </row>
    <row r="733" spans="4:28" s="9" customFormat="1" ht="15.75" customHeight="1" x14ac:dyDescent="0.15"/>
    <row r="734" spans="4:28" s="9" customFormat="1" ht="15.75" customHeight="1" x14ac:dyDescent="0.15"/>
    <row r="735" spans="4:28" s="9" customFormat="1" ht="15.75" customHeight="1" x14ac:dyDescent="0.15"/>
    <row r="736" spans="4:28" s="9" customFormat="1" ht="15.75" customHeight="1" x14ac:dyDescent="0.15">
      <c r="D736" s="12" t="s">
        <v>352</v>
      </c>
    </row>
    <row r="737" spans="5:30" s="9" customFormat="1" ht="15.75" customHeight="1" x14ac:dyDescent="0.15"/>
    <row r="738" spans="5:30" s="9" customFormat="1" ht="15.75" customHeight="1" x14ac:dyDescent="0.15">
      <c r="E738" s="9" t="s">
        <v>469</v>
      </c>
    </row>
    <row r="739" spans="5:30" s="9" customFormat="1" ht="15.75" customHeight="1" x14ac:dyDescent="0.15"/>
    <row r="740" spans="5:30" s="9" customFormat="1" ht="15.75" customHeight="1" x14ac:dyDescent="0.2">
      <c r="E740" s="261" t="s">
        <v>357</v>
      </c>
      <c r="F740" s="261"/>
      <c r="G740" s="6" t="s">
        <v>27</v>
      </c>
      <c r="H740" s="261" t="s">
        <v>353</v>
      </c>
      <c r="I740" s="261"/>
      <c r="J740" s="9" t="s">
        <v>354</v>
      </c>
      <c r="K740" s="261" t="s">
        <v>355</v>
      </c>
      <c r="L740" s="261"/>
      <c r="M740" s="9" t="s">
        <v>354</v>
      </c>
      <c r="N740" s="261" t="s">
        <v>356</v>
      </c>
      <c r="O740" s="261"/>
      <c r="P740" s="9" t="s">
        <v>358</v>
      </c>
      <c r="Q740" s="261" t="s">
        <v>356</v>
      </c>
      <c r="R740" s="261"/>
    </row>
    <row r="741" spans="5:30" s="9" customFormat="1" ht="15.75" customHeight="1" x14ac:dyDescent="0.15"/>
    <row r="742" spans="5:30" s="9" customFormat="1" ht="15.75" customHeight="1" x14ac:dyDescent="0.2">
      <c r="F742" s="7" t="s">
        <v>3</v>
      </c>
      <c r="G742" s="7"/>
      <c r="H742" s="7"/>
      <c r="I742" s="261" t="s">
        <v>357</v>
      </c>
      <c r="J742" s="261"/>
      <c r="K742" s="6" t="s">
        <v>2</v>
      </c>
      <c r="L742" s="7" t="s">
        <v>359</v>
      </c>
    </row>
    <row r="743" spans="5:30" s="9" customFormat="1" ht="15.75" customHeight="1" x14ac:dyDescent="0.2">
      <c r="F743" s="7"/>
      <c r="G743" s="7"/>
      <c r="H743" s="7"/>
      <c r="I743" s="261" t="s">
        <v>353</v>
      </c>
      <c r="J743" s="261"/>
      <c r="K743" s="6" t="s">
        <v>2</v>
      </c>
      <c r="L743" s="7" t="s">
        <v>360</v>
      </c>
    </row>
    <row r="744" spans="5:30" s="9" customFormat="1" ht="15.75" customHeight="1" x14ac:dyDescent="0.15">
      <c r="L744" s="313" t="s">
        <v>297</v>
      </c>
      <c r="M744" s="313"/>
      <c r="N744" s="313"/>
      <c r="O744" s="6" t="s">
        <v>2</v>
      </c>
      <c r="P744" s="9" t="s">
        <v>361</v>
      </c>
    </row>
    <row r="745" spans="5:30" s="9" customFormat="1" ht="15.75" customHeight="1" x14ac:dyDescent="0.2">
      <c r="L745" s="313" t="s">
        <v>296</v>
      </c>
      <c r="M745" s="313"/>
      <c r="N745" s="313"/>
      <c r="O745" s="6" t="s">
        <v>2</v>
      </c>
      <c r="P745" s="9" t="s">
        <v>362</v>
      </c>
    </row>
    <row r="746" spans="5:30" s="9" customFormat="1" ht="15.75" customHeight="1" x14ac:dyDescent="0.2">
      <c r="I746" s="261" t="s">
        <v>355</v>
      </c>
      <c r="J746" s="261"/>
      <c r="K746" s="6" t="s">
        <v>2</v>
      </c>
      <c r="L746" s="7" t="s">
        <v>363</v>
      </c>
    </row>
    <row r="747" spans="5:30" s="9" customFormat="1" ht="15.75" customHeight="1" x14ac:dyDescent="0.15">
      <c r="L747" s="313" t="s">
        <v>297</v>
      </c>
      <c r="M747" s="313"/>
      <c r="N747" s="313"/>
      <c r="O747" s="6" t="s">
        <v>2</v>
      </c>
      <c r="P747" s="9" t="s">
        <v>364</v>
      </c>
    </row>
    <row r="748" spans="5:30" s="9" customFormat="1" ht="15.75" customHeight="1" x14ac:dyDescent="0.2">
      <c r="L748" s="313" t="s">
        <v>296</v>
      </c>
      <c r="M748" s="313"/>
      <c r="N748" s="313"/>
      <c r="O748" s="6" t="s">
        <v>2</v>
      </c>
      <c r="P748" s="9" t="s">
        <v>365</v>
      </c>
    </row>
    <row r="749" spans="5:30" s="9" customFormat="1" ht="15.75" customHeight="1" x14ac:dyDescent="0.2">
      <c r="I749" s="261" t="s">
        <v>356</v>
      </c>
      <c r="J749" s="261"/>
      <c r="K749" s="6" t="s">
        <v>2</v>
      </c>
      <c r="L749" s="9" t="s">
        <v>359</v>
      </c>
    </row>
    <row r="750" spans="5:30" s="9" customFormat="1" ht="15.75" customHeight="1" x14ac:dyDescent="0.2">
      <c r="M750" s="7" t="s">
        <v>264</v>
      </c>
      <c r="N750" s="7"/>
      <c r="O750" s="7"/>
      <c r="P750" s="7"/>
      <c r="Q750" s="7"/>
      <c r="R750" s="6" t="s">
        <v>2</v>
      </c>
      <c r="S750" s="261" t="s">
        <v>356</v>
      </c>
      <c r="T750" s="261"/>
      <c r="U750" s="6" t="s">
        <v>27</v>
      </c>
      <c r="V750" s="9" t="s">
        <v>367</v>
      </c>
    </row>
    <row r="751" spans="5:30" s="9" customFormat="1" ht="15.75" customHeight="1" x14ac:dyDescent="0.2">
      <c r="M751" s="7" t="s">
        <v>286</v>
      </c>
      <c r="N751" s="7"/>
      <c r="O751" s="7"/>
      <c r="P751" s="7"/>
      <c r="Q751" s="7"/>
      <c r="R751" s="6" t="s">
        <v>2</v>
      </c>
      <c r="S751" s="261" t="s">
        <v>356</v>
      </c>
      <c r="T751" s="261"/>
      <c r="U751" s="6" t="s">
        <v>27</v>
      </c>
      <c r="V751" s="9" t="s">
        <v>368</v>
      </c>
      <c r="AC751" s="9" t="s">
        <v>358</v>
      </c>
      <c r="AD751" s="9" t="s">
        <v>366</v>
      </c>
    </row>
    <row r="752" spans="5:30" s="9" customFormat="1" ht="15.75" customHeight="1" x14ac:dyDescent="0.15">
      <c r="J752" s="8" t="s">
        <v>369</v>
      </c>
      <c r="K752" s="6" t="s">
        <v>2</v>
      </c>
      <c r="L752" s="9" t="s">
        <v>370</v>
      </c>
    </row>
    <row r="753" spans="5:34" s="9" customFormat="1" ht="15.75" customHeight="1" x14ac:dyDescent="0.2">
      <c r="J753" s="8" t="s">
        <v>371</v>
      </c>
      <c r="K753" s="6" t="s">
        <v>2</v>
      </c>
      <c r="L753" s="9" t="s">
        <v>372</v>
      </c>
    </row>
    <row r="754" spans="5:34" s="9" customFormat="1" ht="15.75" customHeight="1" x14ac:dyDescent="0.2">
      <c r="J754" s="9" t="s">
        <v>373</v>
      </c>
      <c r="K754" s="6" t="s">
        <v>2</v>
      </c>
      <c r="L754" s="9" t="s">
        <v>374</v>
      </c>
    </row>
    <row r="755" spans="5:34" s="9" customFormat="1" ht="15.75" customHeight="1" x14ac:dyDescent="0.2">
      <c r="J755" s="8" t="s">
        <v>375</v>
      </c>
      <c r="K755" s="6" t="s">
        <v>2</v>
      </c>
      <c r="L755" s="9" t="s">
        <v>376</v>
      </c>
    </row>
    <row r="756" spans="5:34" s="9" customFormat="1" ht="15.75" customHeight="1" x14ac:dyDescent="0.15">
      <c r="J756" s="8" t="s">
        <v>4</v>
      </c>
      <c r="K756" s="6" t="s">
        <v>2</v>
      </c>
      <c r="L756" s="9" t="s">
        <v>377</v>
      </c>
    </row>
    <row r="757" spans="5:34" s="9" customFormat="1" ht="15.75" customHeight="1" x14ac:dyDescent="0.15">
      <c r="J757" s="8" t="s">
        <v>291</v>
      </c>
      <c r="K757" s="6" t="s">
        <v>2</v>
      </c>
      <c r="L757" s="9" t="s">
        <v>378</v>
      </c>
    </row>
    <row r="758" spans="5:34" s="9" customFormat="1" ht="15.75" customHeight="1" x14ac:dyDescent="0.15"/>
    <row r="759" spans="5:34" s="9" customFormat="1" ht="15.75" customHeight="1" x14ac:dyDescent="0.15">
      <c r="E759" s="9" t="s">
        <v>379</v>
      </c>
    </row>
    <row r="760" spans="5:34" s="9" customFormat="1" ht="15.75" customHeight="1" x14ac:dyDescent="0.15">
      <c r="E760" s="9" t="s">
        <v>380</v>
      </c>
    </row>
    <row r="761" spans="5:34" s="9" customFormat="1" ht="15.75" customHeight="1" x14ac:dyDescent="0.15">
      <c r="E761" s="9" t="s">
        <v>381</v>
      </c>
    </row>
    <row r="762" spans="5:34" s="9" customFormat="1" ht="15.75" customHeight="1" x14ac:dyDescent="0.15">
      <c r="E762" s="9" t="s">
        <v>382</v>
      </c>
    </row>
    <row r="763" spans="5:34" s="9" customFormat="1" ht="15.75" customHeight="1" x14ac:dyDescent="0.15">
      <c r="E763" s="9" t="s">
        <v>383</v>
      </c>
    </row>
    <row r="764" spans="5:34" s="9" customFormat="1" ht="15.75" customHeight="1" x14ac:dyDescent="0.15"/>
    <row r="765" spans="5:34" ht="15.75" customHeight="1" x14ac:dyDescent="0.2">
      <c r="E765" s="261" t="s">
        <v>384</v>
      </c>
      <c r="F765" s="261"/>
      <c r="G765" s="6" t="s">
        <v>27</v>
      </c>
      <c r="H765" s="261" t="s">
        <v>385</v>
      </c>
      <c r="I765" s="261"/>
      <c r="J765" s="6" t="s">
        <v>1</v>
      </c>
      <c r="K765" s="261" t="s">
        <v>78</v>
      </c>
      <c r="L765" s="261"/>
      <c r="M765" s="7" t="s">
        <v>1</v>
      </c>
      <c r="N765" s="9" t="s">
        <v>282</v>
      </c>
      <c r="O765" s="7"/>
      <c r="P765" s="7"/>
      <c r="Q765" s="7"/>
      <c r="R765" s="7"/>
      <c r="S765" s="7"/>
      <c r="T765" s="7"/>
      <c r="U765" s="7"/>
      <c r="V765" s="7"/>
      <c r="W765" s="7"/>
      <c r="X765" s="7"/>
      <c r="Y765" s="7"/>
      <c r="Z765" s="7"/>
      <c r="AA765" s="7"/>
      <c r="AB765" s="7"/>
      <c r="AC765" s="7"/>
      <c r="AD765" s="7"/>
      <c r="AE765" s="7"/>
      <c r="AF765" s="7"/>
      <c r="AG765" s="7"/>
      <c r="AH765" s="7"/>
    </row>
    <row r="766" spans="5:34" ht="15.75" customHeight="1" x14ac:dyDescent="0.15">
      <c r="F766" s="7"/>
      <c r="G766" s="7"/>
      <c r="H766" s="7"/>
      <c r="I766" s="7"/>
      <c r="J766" s="7"/>
      <c r="K766" s="7"/>
      <c r="L766" s="7"/>
      <c r="M766" s="7"/>
      <c r="N766" s="7"/>
      <c r="O766" s="7"/>
      <c r="P766" s="7"/>
      <c r="Q766" s="7"/>
      <c r="R766" s="7"/>
      <c r="S766" s="7"/>
      <c r="T766" s="7"/>
      <c r="U766" s="7"/>
      <c r="V766" s="7"/>
      <c r="W766" s="7"/>
      <c r="X766" s="7"/>
      <c r="Y766" s="7"/>
      <c r="Z766" s="7"/>
      <c r="AA766" s="7"/>
      <c r="AB766" s="7"/>
      <c r="AC766" s="7"/>
      <c r="AD766" s="7"/>
      <c r="AE766" s="7"/>
      <c r="AF766" s="7"/>
      <c r="AG766" s="7"/>
      <c r="AH766" s="7"/>
    </row>
    <row r="767" spans="5:34" ht="15.75" customHeight="1" x14ac:dyDescent="0.2">
      <c r="F767" s="7" t="s">
        <v>3</v>
      </c>
      <c r="G767" s="7"/>
      <c r="H767" s="7"/>
      <c r="I767" s="261" t="s">
        <v>385</v>
      </c>
      <c r="J767" s="261"/>
      <c r="K767" s="6" t="s">
        <v>2</v>
      </c>
      <c r="L767" s="7" t="s">
        <v>386</v>
      </c>
      <c r="M767" s="7"/>
      <c r="N767" s="7"/>
      <c r="O767" s="7"/>
      <c r="P767" s="7"/>
      <c r="Q767" s="7"/>
      <c r="R767" s="7"/>
      <c r="S767" s="7"/>
      <c r="T767" s="7"/>
      <c r="U767" s="7"/>
      <c r="V767" s="7"/>
      <c r="W767" s="7"/>
      <c r="X767" s="7"/>
      <c r="Y767" s="7"/>
      <c r="Z767" s="7"/>
      <c r="AA767" s="7"/>
      <c r="AB767" s="7"/>
      <c r="AC767" s="7"/>
      <c r="AD767" s="7"/>
      <c r="AE767" s="7"/>
      <c r="AF767" s="7"/>
      <c r="AG767" s="7"/>
      <c r="AH767" s="7"/>
    </row>
    <row r="768" spans="5:34" s="9" customFormat="1" ht="15.75" customHeight="1" x14ac:dyDescent="0.15">
      <c r="I768" s="261" t="s">
        <v>78</v>
      </c>
      <c r="J768" s="261"/>
      <c r="K768" s="6" t="s">
        <v>2</v>
      </c>
      <c r="L768" s="9" t="s">
        <v>387</v>
      </c>
    </row>
    <row r="769" spans="8:31" s="9" customFormat="1" ht="15.75" customHeight="1" x14ac:dyDescent="0.15">
      <c r="I769" s="261" t="s">
        <v>282</v>
      </c>
      <c r="J769" s="261"/>
      <c r="K769" s="6" t="s">
        <v>2</v>
      </c>
      <c r="L769" s="9" t="s">
        <v>388</v>
      </c>
    </row>
    <row r="770" spans="8:31" s="9" customFormat="1" ht="15.75" customHeight="1" x14ac:dyDescent="0.15"/>
    <row r="771" spans="8:31" s="9" customFormat="1" ht="15.75" customHeight="1" x14ac:dyDescent="0.15"/>
    <row r="772" spans="8:31" s="9" customFormat="1" ht="15.75" customHeight="1" x14ac:dyDescent="0.15"/>
    <row r="773" spans="8:31" s="9" customFormat="1" ht="15.75" customHeight="1" x14ac:dyDescent="0.15">
      <c r="H773" s="103" t="s">
        <v>416</v>
      </c>
      <c r="I773" s="105"/>
      <c r="J773" s="105"/>
      <c r="K773" s="105"/>
      <c r="L773" s="103"/>
      <c r="M773" s="103"/>
      <c r="N773" s="103"/>
      <c r="O773" s="103"/>
      <c r="P773" s="103"/>
      <c r="Q773" s="103"/>
      <c r="R773" s="103"/>
      <c r="S773" s="103"/>
      <c r="T773" s="103"/>
      <c r="U773" s="103"/>
      <c r="V773" s="103"/>
      <c r="W773" s="103"/>
      <c r="X773" s="103"/>
      <c r="Y773" s="103"/>
      <c r="Z773" s="103"/>
      <c r="AA773" s="103"/>
      <c r="AB773" s="105"/>
      <c r="AC773" s="105"/>
      <c r="AD773" s="105"/>
      <c r="AE773" s="105"/>
    </row>
    <row r="774" spans="8:31" s="9" customFormat="1" ht="15.75" customHeight="1" x14ac:dyDescent="0.15">
      <c r="H774" s="194" t="s">
        <v>8</v>
      </c>
      <c r="I774" s="179"/>
      <c r="J774" s="179" t="s">
        <v>444</v>
      </c>
      <c r="K774" s="179"/>
      <c r="L774" s="179"/>
      <c r="M774" s="275" t="s">
        <v>226</v>
      </c>
      <c r="N774" s="275"/>
      <c r="O774" s="275" t="s">
        <v>390</v>
      </c>
      <c r="P774" s="275"/>
      <c r="Q774" s="179" t="s">
        <v>396</v>
      </c>
      <c r="R774" s="180"/>
      <c r="S774" s="180"/>
      <c r="T774" s="179" t="s">
        <v>395</v>
      </c>
      <c r="U774" s="180"/>
      <c r="V774" s="180"/>
      <c r="W774" s="179" t="s">
        <v>394</v>
      </c>
      <c r="X774" s="180"/>
      <c r="Y774" s="180"/>
      <c r="Z774" s="180" t="s">
        <v>375</v>
      </c>
      <c r="AA774" s="180"/>
      <c r="AB774" s="180"/>
      <c r="AC774" s="179" t="s">
        <v>397</v>
      </c>
      <c r="AD774" s="180"/>
      <c r="AE774" s="217"/>
    </row>
    <row r="775" spans="8:31" s="9" customFormat="1" ht="15.75" customHeight="1" x14ac:dyDescent="0.15">
      <c r="H775" s="196"/>
      <c r="I775" s="192"/>
      <c r="J775" s="192"/>
      <c r="K775" s="192"/>
      <c r="L775" s="192"/>
      <c r="M775" s="276"/>
      <c r="N775" s="276"/>
      <c r="O775" s="276"/>
      <c r="P775" s="276"/>
      <c r="Q775" s="185"/>
      <c r="R775" s="185"/>
      <c r="S775" s="185"/>
      <c r="T775" s="185"/>
      <c r="U775" s="185"/>
      <c r="V775" s="185"/>
      <c r="W775" s="185"/>
      <c r="X775" s="185"/>
      <c r="Y775" s="185"/>
      <c r="Z775" s="185"/>
      <c r="AA775" s="185"/>
      <c r="AB775" s="185"/>
      <c r="AC775" s="185"/>
      <c r="AD775" s="185"/>
      <c r="AE775" s="220"/>
    </row>
    <row r="776" spans="8:31" s="9" customFormat="1" ht="15.75" customHeight="1" x14ac:dyDescent="0.15">
      <c r="H776" s="311">
        <v>1</v>
      </c>
      <c r="I776" s="312"/>
      <c r="J776" s="312" t="s">
        <v>443</v>
      </c>
      <c r="K776" s="312"/>
      <c r="L776" s="312"/>
      <c r="M776" s="203">
        <v>1.3</v>
      </c>
      <c r="N776" s="203"/>
      <c r="O776" s="277">
        <v>0</v>
      </c>
      <c r="P776" s="278"/>
      <c r="Q776" s="307">
        <v>0</v>
      </c>
      <c r="R776" s="307"/>
      <c r="S776" s="307"/>
      <c r="T776" s="203" t="s">
        <v>213</v>
      </c>
      <c r="U776" s="203"/>
      <c r="V776" s="203"/>
      <c r="W776" s="305" t="s">
        <v>213</v>
      </c>
      <c r="X776" s="305"/>
      <c r="Y776" s="305"/>
      <c r="Z776" s="308" t="s">
        <v>213</v>
      </c>
      <c r="AA776" s="308"/>
      <c r="AB776" s="308"/>
      <c r="AC776" s="305" t="s">
        <v>213</v>
      </c>
      <c r="AD776" s="305"/>
      <c r="AE776" s="309"/>
    </row>
    <row r="777" spans="8:31" s="9" customFormat="1" ht="15.75" customHeight="1" x14ac:dyDescent="0.15">
      <c r="H777" s="221"/>
      <c r="I777" s="183"/>
      <c r="J777" s="183"/>
      <c r="K777" s="183"/>
      <c r="L777" s="183"/>
      <c r="M777" s="147"/>
      <c r="N777" s="147"/>
      <c r="O777" s="147">
        <f>M776+O776</f>
        <v>1.3</v>
      </c>
      <c r="P777" s="147"/>
      <c r="Q777" s="230"/>
      <c r="R777" s="230"/>
      <c r="S777" s="230"/>
      <c r="T777" s="147"/>
      <c r="U777" s="147"/>
      <c r="V777" s="147"/>
      <c r="W777" s="306" t="s">
        <v>213</v>
      </c>
      <c r="X777" s="306"/>
      <c r="Y777" s="306"/>
      <c r="Z777" s="263"/>
      <c r="AA777" s="263"/>
      <c r="AB777" s="263"/>
      <c r="AC777" s="306" t="s">
        <v>213</v>
      </c>
      <c r="AD777" s="306"/>
      <c r="AE777" s="310"/>
    </row>
    <row r="778" spans="8:31" s="9" customFormat="1" ht="15.75" customHeight="1" x14ac:dyDescent="0.15">
      <c r="H778" s="221">
        <v>2</v>
      </c>
      <c r="I778" s="183"/>
      <c r="J778" s="183" t="s">
        <v>297</v>
      </c>
      <c r="K778" s="183"/>
      <c r="L778" s="183"/>
      <c r="M778" s="147">
        <v>13</v>
      </c>
      <c r="N778" s="147"/>
      <c r="O778" s="262">
        <f>O777</f>
        <v>1.3</v>
      </c>
      <c r="P778" s="167"/>
      <c r="Q778" s="230">
        <v>0</v>
      </c>
      <c r="R778" s="230"/>
      <c r="S778" s="230"/>
      <c r="T778" s="147">
        <v>43</v>
      </c>
      <c r="U778" s="147"/>
      <c r="V778" s="147"/>
      <c r="W778" s="262">
        <v>6</v>
      </c>
      <c r="X778" s="262"/>
      <c r="Y778" s="262"/>
      <c r="Z778" s="263">
        <v>5.2889999999999997</v>
      </c>
      <c r="AA778" s="263"/>
      <c r="AB778" s="263"/>
      <c r="AC778" s="303">
        <f>3*W778*O778*Z778</f>
        <v>123.76260000000001</v>
      </c>
      <c r="AD778" s="303"/>
      <c r="AE778" s="304"/>
    </row>
    <row r="779" spans="8:31" s="9" customFormat="1" ht="15.75" customHeight="1" x14ac:dyDescent="0.15">
      <c r="H779" s="221"/>
      <c r="I779" s="183"/>
      <c r="J779" s="183"/>
      <c r="K779" s="183"/>
      <c r="L779" s="183"/>
      <c r="M779" s="147"/>
      <c r="N779" s="147"/>
      <c r="O779" s="147">
        <f>M778+O778</f>
        <v>14.3</v>
      </c>
      <c r="P779" s="147"/>
      <c r="Q779" s="230"/>
      <c r="R779" s="230"/>
      <c r="S779" s="230"/>
      <c r="T779" s="147"/>
      <c r="U779" s="147"/>
      <c r="V779" s="147"/>
      <c r="W779" s="262">
        <v>9.6</v>
      </c>
      <c r="X779" s="262"/>
      <c r="Y779" s="262"/>
      <c r="Z779" s="263"/>
      <c r="AA779" s="263"/>
      <c r="AB779" s="263"/>
      <c r="AC779" s="303">
        <f>3*W779*O779*Z778</f>
        <v>2178.2217599999999</v>
      </c>
      <c r="AD779" s="303"/>
      <c r="AE779" s="304"/>
    </row>
    <row r="780" spans="8:31" s="9" customFormat="1" ht="15.75" customHeight="1" x14ac:dyDescent="0.15">
      <c r="H780" s="221">
        <v>3</v>
      </c>
      <c r="I780" s="183"/>
      <c r="J780" s="183" t="s">
        <v>297</v>
      </c>
      <c r="K780" s="183"/>
      <c r="L780" s="183"/>
      <c r="M780" s="147">
        <v>13</v>
      </c>
      <c r="N780" s="147"/>
      <c r="O780" s="262">
        <f>O779</f>
        <v>14.3</v>
      </c>
      <c r="P780" s="167"/>
      <c r="Q780" s="230">
        <v>0</v>
      </c>
      <c r="R780" s="230"/>
      <c r="S780" s="230"/>
      <c r="T780" s="147">
        <v>43</v>
      </c>
      <c r="U780" s="147"/>
      <c r="V780" s="147"/>
      <c r="W780" s="262">
        <v>6</v>
      </c>
      <c r="X780" s="262"/>
      <c r="Y780" s="262"/>
      <c r="Z780" s="263">
        <v>5.2889999999999997</v>
      </c>
      <c r="AA780" s="263"/>
      <c r="AB780" s="263"/>
      <c r="AC780" s="303">
        <f>3*W780*O780*Z780</f>
        <v>1361.3886</v>
      </c>
      <c r="AD780" s="303"/>
      <c r="AE780" s="304"/>
    </row>
    <row r="781" spans="8:31" s="9" customFormat="1" ht="15.75" customHeight="1" x14ac:dyDescent="0.15">
      <c r="H781" s="221"/>
      <c r="I781" s="183"/>
      <c r="J781" s="183"/>
      <c r="K781" s="183"/>
      <c r="L781" s="183"/>
      <c r="M781" s="147"/>
      <c r="N781" s="147"/>
      <c r="O781" s="147">
        <f>M780+O780</f>
        <v>27.3</v>
      </c>
      <c r="P781" s="147"/>
      <c r="Q781" s="230"/>
      <c r="R781" s="230"/>
      <c r="S781" s="230"/>
      <c r="T781" s="147"/>
      <c r="U781" s="147"/>
      <c r="V781" s="147"/>
      <c r="W781" s="262">
        <v>9.6</v>
      </c>
      <c r="X781" s="262"/>
      <c r="Y781" s="262"/>
      <c r="Z781" s="263"/>
      <c r="AA781" s="263"/>
      <c r="AB781" s="263"/>
      <c r="AC781" s="303">
        <f>3*W781*O781*Z780</f>
        <v>4158.4233599999989</v>
      </c>
      <c r="AD781" s="303"/>
      <c r="AE781" s="304"/>
    </row>
    <row r="782" spans="8:31" s="9" customFormat="1" ht="15.75" customHeight="1" x14ac:dyDescent="0.15">
      <c r="H782" s="221">
        <v>4</v>
      </c>
      <c r="I782" s="183"/>
      <c r="J782" s="183" t="s">
        <v>297</v>
      </c>
      <c r="K782" s="183"/>
      <c r="L782" s="183"/>
      <c r="M782" s="147">
        <v>13</v>
      </c>
      <c r="N782" s="147"/>
      <c r="O782" s="262">
        <f>O781</f>
        <v>27.3</v>
      </c>
      <c r="P782" s="167"/>
      <c r="Q782" s="230">
        <v>0</v>
      </c>
      <c r="R782" s="230"/>
      <c r="S782" s="230"/>
      <c r="T782" s="147">
        <v>43</v>
      </c>
      <c r="U782" s="147"/>
      <c r="V782" s="147"/>
      <c r="W782" s="262">
        <v>6</v>
      </c>
      <c r="X782" s="262"/>
      <c r="Y782" s="262"/>
      <c r="Z782" s="263">
        <v>5.2889999999999997</v>
      </c>
      <c r="AA782" s="263"/>
      <c r="AB782" s="263"/>
      <c r="AC782" s="303">
        <f>3*W782*O782*Z782</f>
        <v>2599.0146</v>
      </c>
      <c r="AD782" s="303"/>
      <c r="AE782" s="304"/>
    </row>
    <row r="783" spans="8:31" s="9" customFormat="1" ht="15.75" customHeight="1" x14ac:dyDescent="0.15">
      <c r="H783" s="221"/>
      <c r="I783" s="183"/>
      <c r="J783" s="183"/>
      <c r="K783" s="183"/>
      <c r="L783" s="183"/>
      <c r="M783" s="147"/>
      <c r="N783" s="147"/>
      <c r="O783" s="147">
        <f>M782+O782</f>
        <v>40.299999999999997</v>
      </c>
      <c r="P783" s="147"/>
      <c r="Q783" s="230"/>
      <c r="R783" s="230"/>
      <c r="S783" s="230"/>
      <c r="T783" s="147"/>
      <c r="U783" s="147"/>
      <c r="V783" s="147"/>
      <c r="W783" s="262">
        <v>9.6</v>
      </c>
      <c r="X783" s="262"/>
      <c r="Y783" s="262"/>
      <c r="Z783" s="263"/>
      <c r="AA783" s="263"/>
      <c r="AB783" s="263"/>
      <c r="AC783" s="303">
        <f>3*W783*O783*Z782</f>
        <v>6138.6249599999992</v>
      </c>
      <c r="AD783" s="303"/>
      <c r="AE783" s="304"/>
    </row>
    <row r="784" spans="8:31" s="9" customFormat="1" ht="15.75" customHeight="1" x14ac:dyDescent="0.15">
      <c r="H784" s="221">
        <v>5</v>
      </c>
      <c r="I784" s="183"/>
      <c r="J784" s="183" t="s">
        <v>297</v>
      </c>
      <c r="K784" s="183"/>
      <c r="L784" s="183"/>
      <c r="M784" s="147">
        <v>13</v>
      </c>
      <c r="N784" s="147"/>
      <c r="O784" s="262">
        <f>O783</f>
        <v>40.299999999999997</v>
      </c>
      <c r="P784" s="167"/>
      <c r="Q784" s="230">
        <v>0</v>
      </c>
      <c r="R784" s="230"/>
      <c r="S784" s="230"/>
      <c r="T784" s="147">
        <v>43</v>
      </c>
      <c r="U784" s="147"/>
      <c r="V784" s="147"/>
      <c r="W784" s="262">
        <v>6</v>
      </c>
      <c r="X784" s="262"/>
      <c r="Y784" s="262"/>
      <c r="Z784" s="263">
        <v>5.2889999999999997</v>
      </c>
      <c r="AA784" s="263"/>
      <c r="AB784" s="263"/>
      <c r="AC784" s="303">
        <f>3*W784*O784*Z784</f>
        <v>3836.6405999999997</v>
      </c>
      <c r="AD784" s="303"/>
      <c r="AE784" s="304"/>
    </row>
    <row r="785" spans="8:31" s="9" customFormat="1" ht="15.75" customHeight="1" x14ac:dyDescent="0.15">
      <c r="H785" s="221"/>
      <c r="I785" s="183"/>
      <c r="J785" s="183"/>
      <c r="K785" s="183"/>
      <c r="L785" s="183"/>
      <c r="M785" s="147"/>
      <c r="N785" s="147"/>
      <c r="O785" s="147">
        <f>M784+O784</f>
        <v>53.3</v>
      </c>
      <c r="P785" s="147"/>
      <c r="Q785" s="230"/>
      <c r="R785" s="230"/>
      <c r="S785" s="230"/>
      <c r="T785" s="147"/>
      <c r="U785" s="147"/>
      <c r="V785" s="147"/>
      <c r="W785" s="262">
        <v>9.6</v>
      </c>
      <c r="X785" s="262"/>
      <c r="Y785" s="262"/>
      <c r="Z785" s="263"/>
      <c r="AA785" s="263"/>
      <c r="AB785" s="263"/>
      <c r="AC785" s="303">
        <f>3*W785*O785*Z784</f>
        <v>8118.8265599999977</v>
      </c>
      <c r="AD785" s="303"/>
      <c r="AE785" s="304"/>
    </row>
    <row r="786" spans="8:31" s="9" customFormat="1" ht="15.75" customHeight="1" x14ac:dyDescent="0.15">
      <c r="H786" s="221">
        <v>6</v>
      </c>
      <c r="I786" s="183"/>
      <c r="J786" s="183" t="s">
        <v>297</v>
      </c>
      <c r="K786" s="183"/>
      <c r="L786" s="183"/>
      <c r="M786" s="147">
        <v>13</v>
      </c>
      <c r="N786" s="147"/>
      <c r="O786" s="262">
        <f>O785</f>
        <v>53.3</v>
      </c>
      <c r="P786" s="167"/>
      <c r="Q786" s="230">
        <v>0</v>
      </c>
      <c r="R786" s="230"/>
      <c r="S786" s="230"/>
      <c r="T786" s="147">
        <v>43</v>
      </c>
      <c r="U786" s="147"/>
      <c r="V786" s="147"/>
      <c r="W786" s="262">
        <v>6</v>
      </c>
      <c r="X786" s="262"/>
      <c r="Y786" s="262"/>
      <c r="Z786" s="263">
        <v>5.2889999999999997</v>
      </c>
      <c r="AA786" s="263"/>
      <c r="AB786" s="263"/>
      <c r="AC786" s="303">
        <f>3*W786*O786*Z786</f>
        <v>5074.2665999999999</v>
      </c>
      <c r="AD786" s="303"/>
      <c r="AE786" s="304"/>
    </row>
    <row r="787" spans="8:31" s="9" customFormat="1" ht="15.75" customHeight="1" x14ac:dyDescent="0.15">
      <c r="H787" s="221"/>
      <c r="I787" s="183"/>
      <c r="J787" s="183"/>
      <c r="K787" s="183"/>
      <c r="L787" s="183"/>
      <c r="M787" s="147"/>
      <c r="N787" s="147"/>
      <c r="O787" s="147">
        <f>M786+O786</f>
        <v>66.3</v>
      </c>
      <c r="P787" s="147"/>
      <c r="Q787" s="230"/>
      <c r="R787" s="230"/>
      <c r="S787" s="230"/>
      <c r="T787" s="147"/>
      <c r="U787" s="147"/>
      <c r="V787" s="147"/>
      <c r="W787" s="262">
        <v>9.6</v>
      </c>
      <c r="X787" s="262"/>
      <c r="Y787" s="262"/>
      <c r="Z787" s="263"/>
      <c r="AA787" s="263"/>
      <c r="AB787" s="263"/>
      <c r="AC787" s="303">
        <f>3*W787*O787*Z786</f>
        <v>10099.028159999998</v>
      </c>
      <c r="AD787" s="303"/>
      <c r="AE787" s="304"/>
    </row>
    <row r="788" spans="8:31" s="9" customFormat="1" ht="15.75" customHeight="1" x14ac:dyDescent="0.15">
      <c r="H788" s="221">
        <v>7</v>
      </c>
      <c r="I788" s="183"/>
      <c r="J788" s="183" t="s">
        <v>297</v>
      </c>
      <c r="K788" s="183"/>
      <c r="L788" s="183"/>
      <c r="M788" s="147">
        <v>13</v>
      </c>
      <c r="N788" s="147"/>
      <c r="O788" s="262">
        <f>O787</f>
        <v>66.3</v>
      </c>
      <c r="P788" s="167"/>
      <c r="Q788" s="230">
        <v>0</v>
      </c>
      <c r="R788" s="230"/>
      <c r="S788" s="230"/>
      <c r="T788" s="147">
        <v>43</v>
      </c>
      <c r="U788" s="147"/>
      <c r="V788" s="147"/>
      <c r="W788" s="262">
        <v>6</v>
      </c>
      <c r="X788" s="262"/>
      <c r="Y788" s="262"/>
      <c r="Z788" s="263">
        <v>5.2889999999999997</v>
      </c>
      <c r="AA788" s="263"/>
      <c r="AB788" s="263"/>
      <c r="AC788" s="303">
        <f>3*W788*O788*Z788</f>
        <v>6311.8925999999992</v>
      </c>
      <c r="AD788" s="303"/>
      <c r="AE788" s="304"/>
    </row>
    <row r="789" spans="8:31" s="9" customFormat="1" ht="15.75" customHeight="1" x14ac:dyDescent="0.15">
      <c r="H789" s="221"/>
      <c r="I789" s="183"/>
      <c r="J789" s="183"/>
      <c r="K789" s="183"/>
      <c r="L789" s="183"/>
      <c r="M789" s="147"/>
      <c r="N789" s="147"/>
      <c r="O789" s="147">
        <f>M788+O788</f>
        <v>79.3</v>
      </c>
      <c r="P789" s="147"/>
      <c r="Q789" s="230"/>
      <c r="R789" s="230"/>
      <c r="S789" s="230"/>
      <c r="T789" s="147"/>
      <c r="U789" s="147"/>
      <c r="V789" s="147"/>
      <c r="W789" s="262">
        <v>9.6</v>
      </c>
      <c r="X789" s="262"/>
      <c r="Y789" s="262"/>
      <c r="Z789" s="263"/>
      <c r="AA789" s="263"/>
      <c r="AB789" s="263"/>
      <c r="AC789" s="303">
        <f>3*W789*O789*Z788</f>
        <v>12079.229759999998</v>
      </c>
      <c r="AD789" s="303"/>
      <c r="AE789" s="304"/>
    </row>
    <row r="790" spans="8:31" s="9" customFormat="1" ht="15.75" customHeight="1" x14ac:dyDescent="0.15">
      <c r="H790" s="221">
        <v>8</v>
      </c>
      <c r="I790" s="183"/>
      <c r="J790" s="183" t="s">
        <v>297</v>
      </c>
      <c r="K790" s="183"/>
      <c r="L790" s="183"/>
      <c r="M790" s="147">
        <v>13</v>
      </c>
      <c r="N790" s="147"/>
      <c r="O790" s="262">
        <f>O789</f>
        <v>79.3</v>
      </c>
      <c r="P790" s="167"/>
      <c r="Q790" s="230">
        <v>0</v>
      </c>
      <c r="R790" s="230"/>
      <c r="S790" s="230"/>
      <c r="T790" s="147">
        <v>43</v>
      </c>
      <c r="U790" s="147"/>
      <c r="V790" s="147"/>
      <c r="W790" s="262">
        <v>6</v>
      </c>
      <c r="X790" s="262"/>
      <c r="Y790" s="262"/>
      <c r="Z790" s="263">
        <v>5.2889999999999997</v>
      </c>
      <c r="AA790" s="263"/>
      <c r="AB790" s="263"/>
      <c r="AC790" s="303">
        <f>3*W790*O790*Z790</f>
        <v>7549.5185999999985</v>
      </c>
      <c r="AD790" s="303"/>
      <c r="AE790" s="304"/>
    </row>
    <row r="791" spans="8:31" s="9" customFormat="1" ht="15.75" customHeight="1" x14ac:dyDescent="0.15">
      <c r="H791" s="221"/>
      <c r="I791" s="183"/>
      <c r="J791" s="183"/>
      <c r="K791" s="183"/>
      <c r="L791" s="183"/>
      <c r="M791" s="147"/>
      <c r="N791" s="147"/>
      <c r="O791" s="147">
        <f>M790+O790</f>
        <v>92.3</v>
      </c>
      <c r="P791" s="147"/>
      <c r="Q791" s="230"/>
      <c r="R791" s="230"/>
      <c r="S791" s="230"/>
      <c r="T791" s="147"/>
      <c r="U791" s="147"/>
      <c r="V791" s="147"/>
      <c r="W791" s="262">
        <v>9.6</v>
      </c>
      <c r="X791" s="262"/>
      <c r="Y791" s="262"/>
      <c r="Z791" s="263"/>
      <c r="AA791" s="263"/>
      <c r="AB791" s="263"/>
      <c r="AC791" s="303">
        <f>3*W791*O791*Z790</f>
        <v>14059.431359999999</v>
      </c>
      <c r="AD791" s="303"/>
      <c r="AE791" s="304"/>
    </row>
    <row r="792" spans="8:31" s="9" customFormat="1" ht="15.75" customHeight="1" x14ac:dyDescent="0.15">
      <c r="H792" s="221">
        <v>9</v>
      </c>
      <c r="I792" s="183"/>
      <c r="J792" s="183" t="s">
        <v>297</v>
      </c>
      <c r="K792" s="183"/>
      <c r="L792" s="183"/>
      <c r="M792" s="147">
        <v>13</v>
      </c>
      <c r="N792" s="147"/>
      <c r="O792" s="262">
        <f>O791</f>
        <v>92.3</v>
      </c>
      <c r="P792" s="167"/>
      <c r="Q792" s="230">
        <v>0</v>
      </c>
      <c r="R792" s="230"/>
      <c r="S792" s="230"/>
      <c r="T792" s="147">
        <v>43</v>
      </c>
      <c r="U792" s="147"/>
      <c r="V792" s="147"/>
      <c r="W792" s="262">
        <v>6</v>
      </c>
      <c r="X792" s="262"/>
      <c r="Y792" s="262"/>
      <c r="Z792" s="263">
        <v>5.2889999999999997</v>
      </c>
      <c r="AA792" s="263"/>
      <c r="AB792" s="263"/>
      <c r="AC792" s="303">
        <f>3*W792*O792*Z792</f>
        <v>8787.1445999999996</v>
      </c>
      <c r="AD792" s="303"/>
      <c r="AE792" s="304"/>
    </row>
    <row r="793" spans="8:31" s="9" customFormat="1" ht="15.75" customHeight="1" x14ac:dyDescent="0.15">
      <c r="H793" s="221"/>
      <c r="I793" s="183"/>
      <c r="J793" s="183"/>
      <c r="K793" s="183"/>
      <c r="L793" s="183"/>
      <c r="M793" s="147"/>
      <c r="N793" s="147"/>
      <c r="O793" s="147">
        <f>M792+O792</f>
        <v>105.3</v>
      </c>
      <c r="P793" s="147"/>
      <c r="Q793" s="230"/>
      <c r="R793" s="230"/>
      <c r="S793" s="230"/>
      <c r="T793" s="147"/>
      <c r="U793" s="147"/>
      <c r="V793" s="147"/>
      <c r="W793" s="262">
        <v>9.6</v>
      </c>
      <c r="X793" s="262"/>
      <c r="Y793" s="262"/>
      <c r="Z793" s="263"/>
      <c r="AA793" s="263"/>
      <c r="AB793" s="263"/>
      <c r="AC793" s="303">
        <f>3*W793*O793*Z792</f>
        <v>16039.632959999995</v>
      </c>
      <c r="AD793" s="303"/>
      <c r="AE793" s="304"/>
    </row>
    <row r="794" spans="8:31" s="9" customFormat="1" ht="15.75" customHeight="1" x14ac:dyDescent="0.15">
      <c r="H794" s="221">
        <v>10</v>
      </c>
      <c r="I794" s="183"/>
      <c r="J794" s="183" t="s">
        <v>297</v>
      </c>
      <c r="K794" s="183"/>
      <c r="L794" s="183"/>
      <c r="M794" s="147">
        <v>13</v>
      </c>
      <c r="N794" s="147"/>
      <c r="O794" s="262">
        <f>O793</f>
        <v>105.3</v>
      </c>
      <c r="P794" s="167"/>
      <c r="Q794" s="230">
        <v>0</v>
      </c>
      <c r="R794" s="230"/>
      <c r="S794" s="230"/>
      <c r="T794" s="147">
        <v>43</v>
      </c>
      <c r="U794" s="147"/>
      <c r="V794" s="147"/>
      <c r="W794" s="262">
        <v>6</v>
      </c>
      <c r="X794" s="262"/>
      <c r="Y794" s="262"/>
      <c r="Z794" s="263">
        <v>5.2889999999999997</v>
      </c>
      <c r="AA794" s="263"/>
      <c r="AB794" s="263"/>
      <c r="AC794" s="303">
        <f>3*W794*O794*Z794</f>
        <v>10024.770599999998</v>
      </c>
      <c r="AD794" s="303"/>
      <c r="AE794" s="304"/>
    </row>
    <row r="795" spans="8:31" s="9" customFormat="1" ht="15.75" customHeight="1" x14ac:dyDescent="0.15">
      <c r="H795" s="221"/>
      <c r="I795" s="183"/>
      <c r="J795" s="183"/>
      <c r="K795" s="183"/>
      <c r="L795" s="183"/>
      <c r="M795" s="147"/>
      <c r="N795" s="147"/>
      <c r="O795" s="147">
        <f>M794+O794</f>
        <v>118.3</v>
      </c>
      <c r="P795" s="147"/>
      <c r="Q795" s="230"/>
      <c r="R795" s="230"/>
      <c r="S795" s="230"/>
      <c r="T795" s="147"/>
      <c r="U795" s="147"/>
      <c r="V795" s="147"/>
      <c r="W795" s="262">
        <v>9.6</v>
      </c>
      <c r="X795" s="262"/>
      <c r="Y795" s="262"/>
      <c r="Z795" s="263"/>
      <c r="AA795" s="263"/>
      <c r="AB795" s="263"/>
      <c r="AC795" s="303">
        <f>3*W795*O795*Z794</f>
        <v>18019.834559999996</v>
      </c>
      <c r="AD795" s="303"/>
      <c r="AE795" s="304"/>
    </row>
    <row r="796" spans="8:31" s="9" customFormat="1" ht="15.75" customHeight="1" x14ac:dyDescent="0.15">
      <c r="H796" s="221">
        <v>11</v>
      </c>
      <c r="I796" s="183"/>
      <c r="J796" s="183" t="s">
        <v>297</v>
      </c>
      <c r="K796" s="183"/>
      <c r="L796" s="183"/>
      <c r="M796" s="147">
        <v>13</v>
      </c>
      <c r="N796" s="147"/>
      <c r="O796" s="262">
        <f>O795</f>
        <v>118.3</v>
      </c>
      <c r="P796" s="167"/>
      <c r="Q796" s="230">
        <v>0</v>
      </c>
      <c r="R796" s="230"/>
      <c r="S796" s="230"/>
      <c r="T796" s="147">
        <v>43</v>
      </c>
      <c r="U796" s="147"/>
      <c r="V796" s="147"/>
      <c r="W796" s="262">
        <v>6</v>
      </c>
      <c r="X796" s="262"/>
      <c r="Y796" s="262"/>
      <c r="Z796" s="263">
        <v>5.2889999999999997</v>
      </c>
      <c r="AA796" s="263"/>
      <c r="AB796" s="263"/>
      <c r="AC796" s="303">
        <f>3*W796*O796*Z796</f>
        <v>11262.3966</v>
      </c>
      <c r="AD796" s="303"/>
      <c r="AE796" s="304"/>
    </row>
    <row r="797" spans="8:31" s="9" customFormat="1" ht="15.75" customHeight="1" x14ac:dyDescent="0.15">
      <c r="H797" s="221"/>
      <c r="I797" s="183"/>
      <c r="J797" s="183"/>
      <c r="K797" s="183"/>
      <c r="L797" s="183"/>
      <c r="M797" s="147"/>
      <c r="N797" s="147"/>
      <c r="O797" s="147">
        <f>M796+O796</f>
        <v>131.30000000000001</v>
      </c>
      <c r="P797" s="147"/>
      <c r="Q797" s="230"/>
      <c r="R797" s="230"/>
      <c r="S797" s="230"/>
      <c r="T797" s="147"/>
      <c r="U797" s="147"/>
      <c r="V797" s="147"/>
      <c r="W797" s="262">
        <v>9.6</v>
      </c>
      <c r="X797" s="262"/>
      <c r="Y797" s="262"/>
      <c r="Z797" s="263"/>
      <c r="AA797" s="263"/>
      <c r="AB797" s="263"/>
      <c r="AC797" s="303">
        <f>3*W797*O797*Z796</f>
        <v>20000.03616</v>
      </c>
      <c r="AD797" s="303"/>
      <c r="AE797" s="304"/>
    </row>
    <row r="798" spans="8:31" s="9" customFormat="1" ht="15.75" customHeight="1" x14ac:dyDescent="0.15">
      <c r="H798" s="221">
        <v>12</v>
      </c>
      <c r="I798" s="183"/>
      <c r="J798" s="183" t="s">
        <v>297</v>
      </c>
      <c r="K798" s="183"/>
      <c r="L798" s="183"/>
      <c r="M798" s="147">
        <v>13</v>
      </c>
      <c r="N798" s="147"/>
      <c r="O798" s="262">
        <f>O797</f>
        <v>131.30000000000001</v>
      </c>
      <c r="P798" s="167"/>
      <c r="Q798" s="230">
        <v>0</v>
      </c>
      <c r="R798" s="230"/>
      <c r="S798" s="230"/>
      <c r="T798" s="147">
        <v>43</v>
      </c>
      <c r="U798" s="147"/>
      <c r="V798" s="147"/>
      <c r="W798" s="262">
        <v>6</v>
      </c>
      <c r="X798" s="262"/>
      <c r="Y798" s="262"/>
      <c r="Z798" s="263">
        <v>5.2889999999999997</v>
      </c>
      <c r="AA798" s="263"/>
      <c r="AB798" s="263"/>
      <c r="AC798" s="303">
        <f>3*W798*O798*Z798</f>
        <v>12500.0226</v>
      </c>
      <c r="AD798" s="303"/>
      <c r="AE798" s="304"/>
    </row>
    <row r="799" spans="8:31" s="9" customFormat="1" ht="15.75" customHeight="1" x14ac:dyDescent="0.15">
      <c r="H799" s="221"/>
      <c r="I799" s="183"/>
      <c r="J799" s="183"/>
      <c r="K799" s="183"/>
      <c r="L799" s="183"/>
      <c r="M799" s="147"/>
      <c r="N799" s="147"/>
      <c r="O799" s="147">
        <f>M798+O798</f>
        <v>144.30000000000001</v>
      </c>
      <c r="P799" s="147"/>
      <c r="Q799" s="230"/>
      <c r="R799" s="230"/>
      <c r="S799" s="230"/>
      <c r="T799" s="147"/>
      <c r="U799" s="147"/>
      <c r="V799" s="147"/>
      <c r="W799" s="262">
        <v>9.6</v>
      </c>
      <c r="X799" s="262"/>
      <c r="Y799" s="262"/>
      <c r="Z799" s="263"/>
      <c r="AA799" s="263"/>
      <c r="AB799" s="263"/>
      <c r="AC799" s="303">
        <f>3*W799*O799*Z798</f>
        <v>21980.23776</v>
      </c>
      <c r="AD799" s="303"/>
      <c r="AE799" s="304"/>
    </row>
    <row r="800" spans="8:31" s="9" customFormat="1" ht="15.75" customHeight="1" x14ac:dyDescent="0.15">
      <c r="H800" s="221">
        <v>13</v>
      </c>
      <c r="I800" s="183"/>
      <c r="J800" s="183" t="s">
        <v>297</v>
      </c>
      <c r="K800" s="183"/>
      <c r="L800" s="183"/>
      <c r="M800" s="147">
        <v>13</v>
      </c>
      <c r="N800" s="147"/>
      <c r="O800" s="262">
        <f>O799</f>
        <v>144.30000000000001</v>
      </c>
      <c r="P800" s="167"/>
      <c r="Q800" s="230">
        <v>0</v>
      </c>
      <c r="R800" s="230"/>
      <c r="S800" s="230"/>
      <c r="T800" s="147">
        <v>43</v>
      </c>
      <c r="U800" s="147"/>
      <c r="V800" s="147"/>
      <c r="W800" s="262">
        <v>6</v>
      </c>
      <c r="X800" s="262"/>
      <c r="Y800" s="262"/>
      <c r="Z800" s="263">
        <v>5.2889999999999997</v>
      </c>
      <c r="AA800" s="263"/>
      <c r="AB800" s="263"/>
      <c r="AC800" s="303">
        <f>3*W800*O800*Z800</f>
        <v>13737.6486</v>
      </c>
      <c r="AD800" s="303"/>
      <c r="AE800" s="304"/>
    </row>
    <row r="801" spans="4:31" s="9" customFormat="1" ht="15.75" customHeight="1" x14ac:dyDescent="0.15">
      <c r="H801" s="221"/>
      <c r="I801" s="183"/>
      <c r="J801" s="183"/>
      <c r="K801" s="183"/>
      <c r="L801" s="183"/>
      <c r="M801" s="147"/>
      <c r="N801" s="147"/>
      <c r="O801" s="147">
        <f>M800+O800</f>
        <v>157.30000000000001</v>
      </c>
      <c r="P801" s="147"/>
      <c r="Q801" s="230"/>
      <c r="R801" s="230"/>
      <c r="S801" s="230"/>
      <c r="T801" s="147"/>
      <c r="U801" s="147"/>
      <c r="V801" s="147"/>
      <c r="W801" s="262">
        <v>9.6</v>
      </c>
      <c r="X801" s="262"/>
      <c r="Y801" s="262"/>
      <c r="Z801" s="263"/>
      <c r="AA801" s="263"/>
      <c r="AB801" s="263"/>
      <c r="AC801" s="303">
        <f>3*W801*O801*Z800</f>
        <v>23960.439359999997</v>
      </c>
      <c r="AD801" s="303"/>
      <c r="AE801" s="304"/>
    </row>
    <row r="802" spans="4:31" s="9" customFormat="1" ht="15.75" customHeight="1" x14ac:dyDescent="0.15">
      <c r="H802" s="221">
        <v>14</v>
      </c>
      <c r="I802" s="183"/>
      <c r="J802" s="183" t="s">
        <v>297</v>
      </c>
      <c r="K802" s="183"/>
      <c r="L802" s="183"/>
      <c r="M802" s="147">
        <v>13</v>
      </c>
      <c r="N802" s="147"/>
      <c r="O802" s="262">
        <f>O801</f>
        <v>157.30000000000001</v>
      </c>
      <c r="P802" s="167"/>
      <c r="Q802" s="230">
        <v>0</v>
      </c>
      <c r="R802" s="230"/>
      <c r="S802" s="230"/>
      <c r="T802" s="147">
        <v>43</v>
      </c>
      <c r="U802" s="147"/>
      <c r="V802" s="147"/>
      <c r="W802" s="262">
        <v>6</v>
      </c>
      <c r="X802" s="262"/>
      <c r="Y802" s="262"/>
      <c r="Z802" s="263">
        <v>5.2889999999999997</v>
      </c>
      <c r="AA802" s="263"/>
      <c r="AB802" s="263"/>
      <c r="AC802" s="303">
        <f>3*W802*O802*Z802</f>
        <v>14975.274599999999</v>
      </c>
      <c r="AD802" s="303"/>
      <c r="AE802" s="304"/>
    </row>
    <row r="803" spans="4:31" s="9" customFormat="1" ht="15.75" customHeight="1" x14ac:dyDescent="0.15">
      <c r="H803" s="221"/>
      <c r="I803" s="183"/>
      <c r="J803" s="183"/>
      <c r="K803" s="183"/>
      <c r="L803" s="183"/>
      <c r="M803" s="147"/>
      <c r="N803" s="147"/>
      <c r="O803" s="147">
        <f>M802+O802</f>
        <v>170.3</v>
      </c>
      <c r="P803" s="147"/>
      <c r="Q803" s="230"/>
      <c r="R803" s="230"/>
      <c r="S803" s="230"/>
      <c r="T803" s="147"/>
      <c r="U803" s="147"/>
      <c r="V803" s="147"/>
      <c r="W803" s="262">
        <v>9.6</v>
      </c>
      <c r="X803" s="262"/>
      <c r="Y803" s="262"/>
      <c r="Z803" s="263"/>
      <c r="AA803" s="263"/>
      <c r="AB803" s="263"/>
      <c r="AC803" s="303">
        <f>3*W803*O803*Z802</f>
        <v>25940.640959999997</v>
      </c>
      <c r="AD803" s="303"/>
      <c r="AE803" s="304"/>
    </row>
    <row r="804" spans="4:31" s="9" customFormat="1" ht="15.75" customHeight="1" x14ac:dyDescent="0.15">
      <c r="H804" s="221">
        <v>15</v>
      </c>
      <c r="I804" s="183"/>
      <c r="J804" s="183" t="s">
        <v>297</v>
      </c>
      <c r="K804" s="183"/>
      <c r="L804" s="183"/>
      <c r="M804" s="147">
        <v>13</v>
      </c>
      <c r="N804" s="147"/>
      <c r="O804" s="262">
        <f>O803</f>
        <v>170.3</v>
      </c>
      <c r="P804" s="167"/>
      <c r="Q804" s="230">
        <v>0</v>
      </c>
      <c r="R804" s="230"/>
      <c r="S804" s="230"/>
      <c r="T804" s="147">
        <v>43</v>
      </c>
      <c r="U804" s="147"/>
      <c r="V804" s="147"/>
      <c r="W804" s="262">
        <v>6</v>
      </c>
      <c r="X804" s="262"/>
      <c r="Y804" s="262"/>
      <c r="Z804" s="263">
        <v>5.2889999999999997</v>
      </c>
      <c r="AA804" s="263"/>
      <c r="AB804" s="263"/>
      <c r="AC804" s="303">
        <f>3*W804*O804*Z804</f>
        <v>16212.900599999999</v>
      </c>
      <c r="AD804" s="303"/>
      <c r="AE804" s="304"/>
    </row>
    <row r="805" spans="4:31" s="9" customFormat="1" ht="15.75" customHeight="1" x14ac:dyDescent="0.15">
      <c r="H805" s="221"/>
      <c r="I805" s="183"/>
      <c r="J805" s="183"/>
      <c r="K805" s="183"/>
      <c r="L805" s="183"/>
      <c r="M805" s="147"/>
      <c r="N805" s="147"/>
      <c r="O805" s="147">
        <f>M804+O804</f>
        <v>183.3</v>
      </c>
      <c r="P805" s="147"/>
      <c r="Q805" s="230"/>
      <c r="R805" s="230"/>
      <c r="S805" s="230"/>
      <c r="T805" s="147"/>
      <c r="U805" s="147"/>
      <c r="V805" s="147"/>
      <c r="W805" s="262">
        <v>9.6</v>
      </c>
      <c r="X805" s="262"/>
      <c r="Y805" s="262"/>
      <c r="Z805" s="263"/>
      <c r="AA805" s="263"/>
      <c r="AB805" s="263"/>
      <c r="AC805" s="303">
        <f>3*W805*O805*Z804</f>
        <v>27920.842559999997</v>
      </c>
      <c r="AD805" s="303"/>
      <c r="AE805" s="304"/>
    </row>
    <row r="806" spans="4:31" s="9" customFormat="1" ht="15.75" customHeight="1" x14ac:dyDescent="0.15">
      <c r="H806" s="221">
        <v>16</v>
      </c>
      <c r="I806" s="183"/>
      <c r="J806" s="183" t="s">
        <v>297</v>
      </c>
      <c r="K806" s="183"/>
      <c r="L806" s="183"/>
      <c r="M806" s="147">
        <v>13</v>
      </c>
      <c r="N806" s="147"/>
      <c r="O806" s="262">
        <f>O805</f>
        <v>183.3</v>
      </c>
      <c r="P806" s="167"/>
      <c r="Q806" s="230">
        <v>0</v>
      </c>
      <c r="R806" s="230"/>
      <c r="S806" s="230"/>
      <c r="T806" s="147">
        <v>43</v>
      </c>
      <c r="U806" s="147"/>
      <c r="V806" s="147"/>
      <c r="W806" s="262">
        <v>6</v>
      </c>
      <c r="X806" s="262"/>
      <c r="Y806" s="262"/>
      <c r="Z806" s="263">
        <v>5.2889999999999997</v>
      </c>
      <c r="AA806" s="263"/>
      <c r="AB806" s="263"/>
      <c r="AC806" s="303">
        <f>3*W806*O806*Z806</f>
        <v>17450.526600000001</v>
      </c>
      <c r="AD806" s="303"/>
      <c r="AE806" s="304"/>
    </row>
    <row r="807" spans="4:31" s="9" customFormat="1" ht="15.75" customHeight="1" x14ac:dyDescent="0.15">
      <c r="H807" s="222"/>
      <c r="I807" s="185"/>
      <c r="J807" s="185"/>
      <c r="K807" s="185"/>
      <c r="L807" s="185"/>
      <c r="M807" s="159"/>
      <c r="N807" s="159"/>
      <c r="O807" s="159">
        <f>M806+O806</f>
        <v>196.3</v>
      </c>
      <c r="P807" s="159"/>
      <c r="Q807" s="236"/>
      <c r="R807" s="236"/>
      <c r="S807" s="236"/>
      <c r="T807" s="159"/>
      <c r="U807" s="159"/>
      <c r="V807" s="159"/>
      <c r="W807" s="452">
        <v>9.6</v>
      </c>
      <c r="X807" s="452"/>
      <c r="Y807" s="452"/>
      <c r="Z807" s="393"/>
      <c r="AA807" s="393"/>
      <c r="AB807" s="393"/>
      <c r="AC807" s="470">
        <f>3*W807*O807*Z806</f>
        <v>29901.044159999998</v>
      </c>
      <c r="AD807" s="470"/>
      <c r="AE807" s="473"/>
    </row>
    <row r="808" spans="4:31" s="9" customFormat="1" ht="15.75" customHeight="1" x14ac:dyDescent="0.15">
      <c r="H808" s="99"/>
      <c r="I808" s="99"/>
      <c r="J808" s="99"/>
      <c r="K808" s="99"/>
      <c r="L808" s="99"/>
      <c r="M808" s="16"/>
      <c r="N808" s="16"/>
      <c r="O808" s="16"/>
      <c r="P808" s="16"/>
      <c r="Q808" s="102"/>
      <c r="R808" s="102"/>
      <c r="S808" s="102"/>
      <c r="T808" s="16"/>
      <c r="U808" s="16"/>
      <c r="V808" s="16"/>
      <c r="W808" s="98"/>
      <c r="X808" s="98"/>
      <c r="Y808" s="98"/>
      <c r="Z808" s="31"/>
      <c r="AA808" s="31"/>
      <c r="AB808" s="31"/>
      <c r="AC808" s="101"/>
      <c r="AD808" s="101"/>
      <c r="AE808" s="101"/>
    </row>
    <row r="809" spans="4:31" s="9" customFormat="1" ht="15.75" customHeight="1" x14ac:dyDescent="0.15">
      <c r="H809" s="99"/>
      <c r="I809" s="99"/>
      <c r="J809" s="99"/>
      <c r="K809" s="99"/>
      <c r="L809" s="99"/>
      <c r="M809" s="16"/>
      <c r="N809" s="16"/>
      <c r="O809" s="16"/>
      <c r="P809" s="16"/>
      <c r="Q809" s="102"/>
      <c r="R809" s="102"/>
      <c r="S809" s="102"/>
      <c r="T809" s="16"/>
      <c r="U809" s="16"/>
      <c r="V809" s="16"/>
      <c r="W809" s="98"/>
      <c r="X809" s="98"/>
      <c r="Y809" s="98"/>
      <c r="Z809" s="31"/>
      <c r="AA809" s="31"/>
      <c r="AB809" s="31"/>
      <c r="AC809" s="101"/>
      <c r="AD809" s="101"/>
      <c r="AE809" s="101"/>
    </row>
    <row r="810" spans="4:31" s="9" customFormat="1" ht="15.75" customHeight="1" x14ac:dyDescent="0.15">
      <c r="H810" s="28"/>
      <c r="I810" s="28"/>
      <c r="J810" s="28"/>
      <c r="K810" s="28"/>
      <c r="L810" s="28"/>
      <c r="M810" s="16"/>
      <c r="N810" s="16"/>
      <c r="O810" s="16"/>
      <c r="P810" s="16"/>
      <c r="Q810" s="29"/>
      <c r="R810" s="29"/>
      <c r="S810" s="29"/>
      <c r="T810" s="16"/>
      <c r="U810" s="16"/>
      <c r="V810" s="16"/>
      <c r="W810" s="30"/>
      <c r="X810" s="30"/>
      <c r="Y810" s="30"/>
      <c r="Z810" s="31"/>
      <c r="AA810" s="31"/>
      <c r="AB810" s="31"/>
      <c r="AC810" s="27"/>
      <c r="AD810" s="27"/>
      <c r="AE810" s="27"/>
    </row>
    <row r="811" spans="4:31" s="9" customFormat="1" ht="15.75" customHeight="1" x14ac:dyDescent="0.15"/>
    <row r="812" spans="4:31" s="9" customFormat="1" ht="15.75" customHeight="1" x14ac:dyDescent="0.15">
      <c r="D812" s="12" t="s">
        <v>398</v>
      </c>
    </row>
    <row r="813" spans="4:31" s="9" customFormat="1" ht="15.75" customHeight="1" x14ac:dyDescent="0.15"/>
    <row r="814" spans="4:31" s="9" customFormat="1" ht="15.75" customHeight="1" x14ac:dyDescent="0.15">
      <c r="E814" s="9" t="s">
        <v>399</v>
      </c>
    </row>
    <row r="815" spans="4:31" s="9" customFormat="1" ht="15.75" customHeight="1" x14ac:dyDescent="0.15"/>
    <row r="816" spans="4:31" s="9" customFormat="1" ht="15.75" customHeight="1" x14ac:dyDescent="0.2">
      <c r="E816" s="261" t="s">
        <v>400</v>
      </c>
      <c r="F816" s="261"/>
      <c r="G816" s="6" t="s">
        <v>27</v>
      </c>
      <c r="H816" s="261" t="s">
        <v>420</v>
      </c>
      <c r="I816" s="261"/>
      <c r="J816" s="9" t="s">
        <v>1</v>
      </c>
      <c r="K816" s="261" t="s">
        <v>253</v>
      </c>
      <c r="L816" s="261"/>
    </row>
    <row r="817" spans="5:13" s="9" customFormat="1" ht="15.75" customHeight="1" x14ac:dyDescent="0.2">
      <c r="E817" s="261" t="s">
        <v>401</v>
      </c>
      <c r="F817" s="261"/>
      <c r="G817" s="6" t="s">
        <v>27</v>
      </c>
      <c r="H817" s="261" t="s">
        <v>31</v>
      </c>
      <c r="I817" s="261"/>
      <c r="J817" s="9" t="s">
        <v>1</v>
      </c>
      <c r="K817" s="261" t="s">
        <v>253</v>
      </c>
      <c r="L817" s="261"/>
    </row>
    <row r="818" spans="5:13" s="9" customFormat="1" ht="15.75" customHeight="1" x14ac:dyDescent="0.15"/>
    <row r="819" spans="5:13" s="9" customFormat="1" ht="15.75" customHeight="1" x14ac:dyDescent="0.2">
      <c r="F819" s="7" t="s">
        <v>3</v>
      </c>
      <c r="G819" s="7"/>
      <c r="H819" s="7"/>
      <c r="I819" s="261" t="s">
        <v>400</v>
      </c>
      <c r="J819" s="261"/>
      <c r="K819" s="6" t="s">
        <v>2</v>
      </c>
      <c r="L819" s="7" t="s">
        <v>402</v>
      </c>
    </row>
    <row r="820" spans="5:13" s="9" customFormat="1" ht="15.75" customHeight="1" x14ac:dyDescent="0.2">
      <c r="F820" s="7"/>
      <c r="G820" s="7"/>
      <c r="H820" s="7"/>
      <c r="I820" s="261" t="s">
        <v>401</v>
      </c>
      <c r="J820" s="261"/>
      <c r="K820" s="6" t="s">
        <v>2</v>
      </c>
      <c r="L820" s="7" t="s">
        <v>403</v>
      </c>
    </row>
    <row r="821" spans="5:13" s="9" customFormat="1" ht="15.75" customHeight="1" x14ac:dyDescent="0.2">
      <c r="I821" s="261" t="s">
        <v>420</v>
      </c>
      <c r="J821" s="261"/>
      <c r="K821" s="6" t="s">
        <v>2</v>
      </c>
      <c r="L821" s="7" t="s">
        <v>425</v>
      </c>
    </row>
    <row r="822" spans="5:13" s="9" customFormat="1" ht="15.75" customHeight="1" x14ac:dyDescent="0.2">
      <c r="I822" s="261" t="s">
        <v>31</v>
      </c>
      <c r="J822" s="261"/>
      <c r="K822" s="6" t="s">
        <v>2</v>
      </c>
      <c r="L822" s="7" t="s">
        <v>426</v>
      </c>
    </row>
    <row r="823" spans="5:13" s="9" customFormat="1" ht="15.75" customHeight="1" x14ac:dyDescent="0.2">
      <c r="I823" s="261" t="s">
        <v>253</v>
      </c>
      <c r="J823" s="261"/>
      <c r="K823" s="6" t="s">
        <v>2</v>
      </c>
      <c r="L823" s="7" t="s">
        <v>263</v>
      </c>
    </row>
    <row r="824" spans="5:13" s="9" customFormat="1" ht="15.75" customHeight="1" x14ac:dyDescent="0.15"/>
    <row r="825" spans="5:13" s="9" customFormat="1" ht="15.75" customHeight="1" x14ac:dyDescent="0.2">
      <c r="E825" s="261" t="s">
        <v>400</v>
      </c>
      <c r="F825" s="261"/>
      <c r="G825" s="6" t="s">
        <v>27</v>
      </c>
      <c r="H825" s="261" t="s">
        <v>420</v>
      </c>
      <c r="I825" s="261"/>
      <c r="J825" s="9" t="s">
        <v>1</v>
      </c>
      <c r="K825" s="261" t="s">
        <v>253</v>
      </c>
      <c r="L825" s="261"/>
    </row>
    <row r="826" spans="5:13" s="9" customFormat="1" ht="15.75" customHeight="1" x14ac:dyDescent="0.15">
      <c r="G826" s="6" t="s">
        <v>27</v>
      </c>
      <c r="H826" s="261">
        <v>0.6</v>
      </c>
      <c r="I826" s="261"/>
      <c r="J826" s="9" t="s">
        <v>1</v>
      </c>
      <c r="K826" s="264">
        <f>N656</f>
        <v>2356.1944901923448</v>
      </c>
      <c r="L826" s="261"/>
      <c r="M826" s="261"/>
    </row>
    <row r="827" spans="5:13" s="9" customFormat="1" ht="15.75" customHeight="1" x14ac:dyDescent="0.15">
      <c r="G827" s="6" t="s">
        <v>27</v>
      </c>
      <c r="H827" s="264">
        <f>H826*K826</f>
        <v>1413.7166941154069</v>
      </c>
      <c r="I827" s="261"/>
      <c r="J827" s="261"/>
      <c r="K827" s="9" t="s">
        <v>404</v>
      </c>
    </row>
    <row r="828" spans="5:13" s="9" customFormat="1" ht="15.75" customHeight="1" x14ac:dyDescent="0.15"/>
    <row r="829" spans="5:13" s="9" customFormat="1" ht="15.75" customHeight="1" x14ac:dyDescent="0.2">
      <c r="E829" s="261" t="s">
        <v>401</v>
      </c>
      <c r="F829" s="261"/>
      <c r="G829" s="6" t="s">
        <v>27</v>
      </c>
      <c r="H829" s="261" t="s">
        <v>31</v>
      </c>
      <c r="I829" s="261"/>
      <c r="J829" s="9" t="s">
        <v>1</v>
      </c>
      <c r="K829" s="261" t="s">
        <v>253</v>
      </c>
      <c r="L829" s="261"/>
    </row>
    <row r="830" spans="5:13" s="9" customFormat="1" ht="15.75" customHeight="1" x14ac:dyDescent="0.15">
      <c r="G830" s="6" t="s">
        <v>27</v>
      </c>
      <c r="H830" s="261">
        <v>1.4</v>
      </c>
      <c r="I830" s="261"/>
      <c r="J830" s="9" t="s">
        <v>1</v>
      </c>
      <c r="K830" s="264">
        <f>N656</f>
        <v>2356.1944901923448</v>
      </c>
      <c r="L830" s="261"/>
      <c r="M830" s="261"/>
    </row>
    <row r="831" spans="5:13" s="9" customFormat="1" ht="15.75" customHeight="1" x14ac:dyDescent="0.15">
      <c r="G831" s="6" t="s">
        <v>27</v>
      </c>
      <c r="H831" s="264">
        <f>H830*K830</f>
        <v>3298.6722862692827</v>
      </c>
      <c r="I831" s="261"/>
      <c r="J831" s="261"/>
      <c r="K831" s="9" t="s">
        <v>404</v>
      </c>
    </row>
    <row r="832" spans="5:13" s="9" customFormat="1" ht="15.75" customHeight="1" x14ac:dyDescent="0.15"/>
    <row r="833" spans="4:31" s="9" customFormat="1" ht="15.75" customHeight="1" x14ac:dyDescent="0.15"/>
    <row r="834" spans="4:31" s="9" customFormat="1" ht="15.75" customHeight="1" x14ac:dyDescent="0.15">
      <c r="D834" s="12" t="s">
        <v>405</v>
      </c>
    </row>
    <row r="835" spans="4:31" s="9" customFormat="1" ht="15.75" customHeight="1" x14ac:dyDescent="0.15"/>
    <row r="836" spans="4:31" s="9" customFormat="1" ht="15.75" customHeight="1" x14ac:dyDescent="0.15">
      <c r="E836" s="9" t="s">
        <v>406</v>
      </c>
    </row>
    <row r="837" spans="4:31" s="9" customFormat="1" ht="15.75" customHeight="1" x14ac:dyDescent="0.15">
      <c r="E837" s="9" t="s">
        <v>88</v>
      </c>
    </row>
    <row r="838" spans="4:31" s="9" customFormat="1" ht="15.75" customHeight="1" x14ac:dyDescent="0.15"/>
    <row r="839" spans="4:31" s="9" customFormat="1" ht="15.75" customHeight="1" x14ac:dyDescent="0.2">
      <c r="E839" s="261" t="s">
        <v>407</v>
      </c>
      <c r="F839" s="261"/>
      <c r="G839" s="6" t="s">
        <v>27</v>
      </c>
      <c r="H839" s="261" t="s">
        <v>39</v>
      </c>
      <c r="I839" s="261"/>
      <c r="J839" s="9" t="s">
        <v>1</v>
      </c>
      <c r="K839" s="261" t="s">
        <v>255</v>
      </c>
      <c r="L839" s="261"/>
    </row>
    <row r="840" spans="4:31" s="9" customFormat="1" ht="15.75" customHeight="1" x14ac:dyDescent="0.2">
      <c r="E840" s="261" t="s">
        <v>408</v>
      </c>
      <c r="F840" s="261"/>
      <c r="G840" s="6" t="s">
        <v>27</v>
      </c>
      <c r="H840" s="261" t="s">
        <v>40</v>
      </c>
      <c r="I840" s="261"/>
      <c r="J840" s="9" t="s">
        <v>1</v>
      </c>
      <c r="K840" s="261" t="s">
        <v>255</v>
      </c>
      <c r="L840" s="261"/>
    </row>
    <row r="841" spans="4:31" s="9" customFormat="1" ht="15.75" customHeight="1" x14ac:dyDescent="0.15"/>
    <row r="842" spans="4:31" s="9" customFormat="1" ht="15.75" customHeight="1" x14ac:dyDescent="0.2">
      <c r="F842" s="7" t="s">
        <v>3</v>
      </c>
      <c r="G842" s="7"/>
      <c r="H842" s="7"/>
      <c r="I842" s="261" t="s">
        <v>400</v>
      </c>
      <c r="J842" s="261"/>
      <c r="K842" s="6" t="s">
        <v>2</v>
      </c>
      <c r="L842" s="7" t="s">
        <v>409</v>
      </c>
    </row>
    <row r="843" spans="4:31" s="9" customFormat="1" ht="15.75" customHeight="1" x14ac:dyDescent="0.2">
      <c r="F843" s="7"/>
      <c r="G843" s="7"/>
      <c r="H843" s="7"/>
      <c r="I843" s="261" t="s">
        <v>401</v>
      </c>
      <c r="J843" s="261"/>
      <c r="K843" s="6" t="s">
        <v>2</v>
      </c>
      <c r="L843" s="7" t="s">
        <v>410</v>
      </c>
    </row>
    <row r="844" spans="4:31" s="9" customFormat="1" ht="15.75" customHeight="1" x14ac:dyDescent="0.2">
      <c r="I844" s="261" t="s">
        <v>39</v>
      </c>
      <c r="J844" s="261"/>
      <c r="K844" s="6" t="s">
        <v>2</v>
      </c>
      <c r="L844" s="7" t="s">
        <v>423</v>
      </c>
    </row>
    <row r="845" spans="4:31" s="9" customFormat="1" ht="15.75" customHeight="1" x14ac:dyDescent="0.2">
      <c r="I845" s="261" t="s">
        <v>40</v>
      </c>
      <c r="J845" s="261"/>
      <c r="K845" s="6" t="s">
        <v>2</v>
      </c>
      <c r="L845" s="7" t="s">
        <v>424</v>
      </c>
    </row>
    <row r="846" spans="4:31" s="9" customFormat="1" ht="15.75" customHeight="1" x14ac:dyDescent="0.2">
      <c r="I846" s="261" t="s">
        <v>253</v>
      </c>
      <c r="J846" s="261"/>
      <c r="K846" s="6" t="s">
        <v>2</v>
      </c>
      <c r="L846" s="7" t="s">
        <v>258</v>
      </c>
    </row>
    <row r="847" spans="4:31" s="9" customFormat="1" ht="15.75" customHeight="1" x14ac:dyDescent="0.15"/>
    <row r="848" spans="4:31" s="9" customFormat="1" ht="15.75" customHeight="1" x14ac:dyDescent="0.15">
      <c r="I848" s="7"/>
      <c r="J848" s="7"/>
      <c r="K848" s="7"/>
      <c r="L848" s="293" t="s">
        <v>411</v>
      </c>
      <c r="M848" s="293"/>
      <c r="N848" s="293"/>
      <c r="O848" s="293"/>
      <c r="P848" s="293"/>
      <c r="Q848" s="293"/>
      <c r="R848" s="293"/>
      <c r="S848" s="293"/>
      <c r="T848" s="293"/>
      <c r="U848" s="293"/>
      <c r="V848" s="293"/>
      <c r="W848" s="293"/>
      <c r="X848" s="293"/>
      <c r="Y848" s="293"/>
      <c r="Z848" s="293"/>
      <c r="AA848" s="293"/>
      <c r="AB848" s="293"/>
      <c r="AC848" s="15"/>
      <c r="AD848" s="15"/>
      <c r="AE848" s="15"/>
    </row>
    <row r="849" spans="4:39" s="9" customFormat="1" ht="15.75" customHeight="1" x14ac:dyDescent="0.15">
      <c r="I849" s="265" t="s">
        <v>91</v>
      </c>
      <c r="J849" s="265"/>
      <c r="K849" s="268"/>
      <c r="L849" s="271" t="s">
        <v>301</v>
      </c>
      <c r="M849" s="294"/>
      <c r="N849" s="295"/>
      <c r="O849" s="271" t="s">
        <v>421</v>
      </c>
      <c r="P849" s="294"/>
      <c r="Q849" s="295"/>
      <c r="R849" s="271" t="s">
        <v>422</v>
      </c>
      <c r="S849" s="294"/>
      <c r="T849" s="295"/>
      <c r="U849" s="253" t="s">
        <v>412</v>
      </c>
      <c r="V849" s="253"/>
      <c r="W849" s="253"/>
      <c r="X849" s="256"/>
      <c r="Y849" s="253" t="s">
        <v>413</v>
      </c>
      <c r="Z849" s="253"/>
      <c r="AA849" s="253"/>
      <c r="AB849" s="256"/>
    </row>
    <row r="850" spans="4:39" s="9" customFormat="1" ht="15.75" customHeight="1" x14ac:dyDescent="0.15">
      <c r="I850" s="266"/>
      <c r="J850" s="266"/>
      <c r="K850" s="270"/>
      <c r="L850" s="296"/>
      <c r="M850" s="297"/>
      <c r="N850" s="298"/>
      <c r="O850" s="296"/>
      <c r="P850" s="297"/>
      <c r="Q850" s="298"/>
      <c r="R850" s="296"/>
      <c r="S850" s="297"/>
      <c r="T850" s="298"/>
      <c r="U850" s="253"/>
      <c r="V850" s="253"/>
      <c r="W850" s="253"/>
      <c r="X850" s="256"/>
      <c r="Y850" s="253"/>
      <c r="Z850" s="253"/>
      <c r="AA850" s="253"/>
      <c r="AB850" s="256"/>
    </row>
    <row r="851" spans="4:39" s="9" customFormat="1" ht="15.75" customHeight="1" x14ac:dyDescent="0.15">
      <c r="I851" s="257" t="s">
        <v>92</v>
      </c>
      <c r="J851" s="243"/>
      <c r="K851" s="243"/>
      <c r="L851" s="258">
        <f>Q659</f>
        <v>0</v>
      </c>
      <c r="M851" s="259"/>
      <c r="N851" s="260"/>
      <c r="O851" s="258">
        <v>1.2</v>
      </c>
      <c r="P851" s="259"/>
      <c r="Q851" s="260"/>
      <c r="R851" s="258">
        <v>1.4</v>
      </c>
      <c r="S851" s="259"/>
      <c r="T851" s="260"/>
      <c r="U851" s="241">
        <f>L851*$O$851</f>
        <v>0</v>
      </c>
      <c r="V851" s="241"/>
      <c r="W851" s="241"/>
      <c r="X851" s="241"/>
      <c r="Y851" s="241">
        <f>L851*$R$851</f>
        <v>0</v>
      </c>
      <c r="Z851" s="241"/>
      <c r="AA851" s="241"/>
      <c r="AB851" s="242"/>
      <c r="AH851" s="7"/>
      <c r="AI851" s="7"/>
      <c r="AJ851" s="7"/>
      <c r="AK851" s="7"/>
      <c r="AL851" s="7"/>
      <c r="AM851" s="7"/>
    </row>
    <row r="852" spans="4:39" s="9" customFormat="1" ht="15.75" customHeight="1" x14ac:dyDescent="0.15">
      <c r="I852" s="7"/>
      <c r="J852" s="6"/>
      <c r="K852" s="7"/>
      <c r="L852" s="6"/>
      <c r="M852" s="6"/>
      <c r="N852" s="6"/>
      <c r="O852" s="6"/>
      <c r="P852" s="6"/>
      <c r="Q852" s="6"/>
      <c r="R852" s="6"/>
      <c r="S852" s="6"/>
      <c r="T852" s="6"/>
      <c r="U852" s="6"/>
      <c r="V852" s="15"/>
      <c r="W852" s="23"/>
      <c r="X852" s="6"/>
      <c r="Y852" s="15"/>
      <c r="Z852" s="15"/>
      <c r="AA852" s="15"/>
      <c r="AB852" s="15"/>
      <c r="AL852" s="7"/>
      <c r="AM852" s="7"/>
    </row>
    <row r="853" spans="4:39" s="9" customFormat="1" ht="15.75" customHeight="1" x14ac:dyDescent="0.15"/>
    <row r="854" spans="4:39" s="9" customFormat="1" ht="15.75" customHeight="1" x14ac:dyDescent="0.15"/>
    <row r="855" spans="4:39" s="9" customFormat="1" ht="15.75" customHeight="1" x14ac:dyDescent="0.15">
      <c r="D855" s="12" t="s">
        <v>414</v>
      </c>
    </row>
    <row r="856" spans="4:39" s="9" customFormat="1" ht="15.75" customHeight="1" x14ac:dyDescent="0.15"/>
    <row r="857" spans="4:39" s="9" customFormat="1" ht="15.75" customHeight="1" x14ac:dyDescent="0.2">
      <c r="E857" s="9" t="s">
        <v>415</v>
      </c>
    </row>
    <row r="858" spans="4:39" s="9" customFormat="1" ht="15.75" customHeight="1" x14ac:dyDescent="0.15"/>
    <row r="859" spans="4:39" s="9" customFormat="1" ht="15.75" customHeight="1" x14ac:dyDescent="0.15">
      <c r="J859" s="255" t="s">
        <v>417</v>
      </c>
      <c r="K859" s="255"/>
      <c r="L859" s="255"/>
      <c r="M859" s="255"/>
      <c r="N859" s="255"/>
      <c r="O859" s="255"/>
      <c r="P859" s="255"/>
      <c r="Q859" s="255"/>
      <c r="R859" s="255"/>
      <c r="S859" s="255"/>
      <c r="T859" s="255"/>
      <c r="U859" s="255"/>
      <c r="V859" s="255"/>
      <c r="W859" s="255"/>
      <c r="X859" s="255"/>
      <c r="Y859" s="255"/>
      <c r="Z859" s="255"/>
      <c r="AA859" s="255"/>
    </row>
    <row r="860" spans="4:39" s="9" customFormat="1" ht="15.75" customHeight="1" x14ac:dyDescent="0.15">
      <c r="I860" s="265" t="s">
        <v>91</v>
      </c>
      <c r="J860" s="265"/>
      <c r="K860" s="267" t="s">
        <v>295</v>
      </c>
      <c r="L860" s="265"/>
      <c r="M860" s="268"/>
      <c r="N860" s="271" t="s">
        <v>226</v>
      </c>
      <c r="O860" s="272"/>
      <c r="P860" s="271" t="s">
        <v>390</v>
      </c>
      <c r="Q860" s="272"/>
      <c r="R860" s="243" t="s">
        <v>391</v>
      </c>
      <c r="S860" s="243"/>
      <c r="T860" s="253" t="s">
        <v>397</v>
      </c>
      <c r="U860" s="243"/>
      <c r="V860" s="254"/>
      <c r="W860" s="243" t="s">
        <v>418</v>
      </c>
      <c r="X860" s="243"/>
      <c r="Y860" s="253" t="s">
        <v>419</v>
      </c>
      <c r="Z860" s="253"/>
      <c r="AA860" s="253"/>
      <c r="AB860" s="256"/>
    </row>
    <row r="861" spans="4:39" s="9" customFormat="1" ht="15.75" customHeight="1" x14ac:dyDescent="0.15">
      <c r="I861" s="266"/>
      <c r="J861" s="266"/>
      <c r="K861" s="269"/>
      <c r="L861" s="266"/>
      <c r="M861" s="270"/>
      <c r="N861" s="273"/>
      <c r="O861" s="274"/>
      <c r="P861" s="273"/>
      <c r="Q861" s="274"/>
      <c r="R861" s="243"/>
      <c r="S861" s="243"/>
      <c r="T861" s="243"/>
      <c r="U861" s="243"/>
      <c r="V861" s="254"/>
      <c r="W861" s="243"/>
      <c r="X861" s="243"/>
      <c r="Y861" s="253"/>
      <c r="Z861" s="253"/>
      <c r="AA861" s="253"/>
      <c r="AB861" s="256"/>
    </row>
    <row r="862" spans="4:39" s="9" customFormat="1" ht="15.75" customHeight="1" x14ac:dyDescent="0.15">
      <c r="I862" s="299" t="s">
        <v>94</v>
      </c>
      <c r="J862" s="257"/>
      <c r="K862" s="290" t="s">
        <v>443</v>
      </c>
      <c r="L862" s="300"/>
      <c r="M862" s="301"/>
      <c r="N862" s="248">
        <v>1.3</v>
      </c>
      <c r="O862" s="302"/>
      <c r="P862" s="247">
        <v>1.3</v>
      </c>
      <c r="Q862" s="248"/>
      <c r="R862" s="134" t="s">
        <v>392</v>
      </c>
      <c r="S862" s="134"/>
      <c r="T862" s="245" t="s">
        <v>213</v>
      </c>
      <c r="U862" s="246"/>
      <c r="V862" s="246"/>
      <c r="W862" s="244">
        <f>Q92</f>
        <v>1</v>
      </c>
      <c r="X862" s="244"/>
      <c r="Y862" s="241" t="s">
        <v>213</v>
      </c>
      <c r="Z862" s="241"/>
      <c r="AA862" s="241"/>
      <c r="AB862" s="242"/>
    </row>
    <row r="863" spans="4:39" s="9" customFormat="1" ht="15.75" customHeight="1" x14ac:dyDescent="0.15">
      <c r="I863" s="279" t="s">
        <v>389</v>
      </c>
      <c r="J863" s="279"/>
      <c r="K863" s="281" t="s">
        <v>297</v>
      </c>
      <c r="L863" s="279"/>
      <c r="M863" s="282"/>
      <c r="N863" s="285">
        <f>入力!C5</f>
        <v>0.9</v>
      </c>
      <c r="O863" s="286"/>
      <c r="P863" s="289">
        <f>P862</f>
        <v>1.3</v>
      </c>
      <c r="Q863" s="290"/>
      <c r="R863" s="134" t="s">
        <v>393</v>
      </c>
      <c r="S863" s="134"/>
      <c r="T863" s="245">
        <f>AC778</f>
        <v>123.76260000000001</v>
      </c>
      <c r="U863" s="246"/>
      <c r="V863" s="246"/>
      <c r="W863" s="244"/>
      <c r="X863" s="244"/>
      <c r="Y863" s="241">
        <f>T863*$W$862</f>
        <v>123.76260000000001</v>
      </c>
      <c r="Z863" s="241"/>
      <c r="AA863" s="241"/>
      <c r="AB863" s="242"/>
    </row>
    <row r="864" spans="4:39" s="9" customFormat="1" ht="15.75" customHeight="1" x14ac:dyDescent="0.15">
      <c r="I864" s="280"/>
      <c r="J864" s="280"/>
      <c r="K864" s="283"/>
      <c r="L864" s="280"/>
      <c r="M864" s="284"/>
      <c r="N864" s="287"/>
      <c r="O864" s="288"/>
      <c r="P864" s="247">
        <f>N863+P863</f>
        <v>2.2000000000000002</v>
      </c>
      <c r="Q864" s="248"/>
      <c r="R864" s="134" t="s">
        <v>392</v>
      </c>
      <c r="S864" s="134"/>
      <c r="T864" s="242">
        <f>AC779</f>
        <v>2178.2217599999999</v>
      </c>
      <c r="U864" s="291"/>
      <c r="V864" s="292"/>
      <c r="W864" s="244"/>
      <c r="X864" s="244"/>
      <c r="Y864" s="241">
        <f>T864*$W$862</f>
        <v>2178.2217599999999</v>
      </c>
      <c r="Z864" s="241"/>
      <c r="AA864" s="241"/>
      <c r="AB864" s="242"/>
    </row>
    <row r="865" s="9" customFormat="1" ht="15.75" customHeight="1" x14ac:dyDescent="0.15"/>
    <row r="866" s="9" customFormat="1" ht="15.75" customHeight="1" x14ac:dyDescent="0.15"/>
    <row r="867" s="9" customFormat="1" ht="15.75" customHeight="1" x14ac:dyDescent="0.15"/>
    <row r="868" s="9" customFormat="1" ht="15.75" customHeight="1" x14ac:dyDescent="0.15"/>
    <row r="869" s="9" customFormat="1" ht="15.75" customHeight="1" x14ac:dyDescent="0.15"/>
    <row r="870" s="9" customFormat="1" ht="15.75" customHeight="1" x14ac:dyDescent="0.15"/>
    <row r="871" s="9" customFormat="1" ht="15.75" customHeight="1" x14ac:dyDescent="0.15"/>
    <row r="872" s="9" customFormat="1" ht="15.75" customHeight="1" x14ac:dyDescent="0.15"/>
    <row r="873" s="9" customFormat="1" ht="15.75" customHeight="1" x14ac:dyDescent="0.15"/>
    <row r="874" s="9" customFormat="1" ht="15.75" customHeight="1" x14ac:dyDescent="0.15"/>
    <row r="875" s="9" customFormat="1" ht="15.75" customHeight="1" x14ac:dyDescent="0.15"/>
    <row r="876" s="9" customFormat="1" ht="15.75" customHeight="1" x14ac:dyDescent="0.15"/>
    <row r="877" s="9" customFormat="1" ht="15.75" customHeight="1" x14ac:dyDescent="0.15"/>
    <row r="878" s="9" customFormat="1" ht="15.75" customHeight="1" x14ac:dyDescent="0.15"/>
    <row r="879" s="9" customFormat="1" ht="15.75" customHeight="1" x14ac:dyDescent="0.15"/>
    <row r="880" s="9" customFormat="1" ht="15.75" customHeight="1" x14ac:dyDescent="0.15"/>
    <row r="881" s="9" customFormat="1" ht="15.75" customHeight="1" x14ac:dyDescent="0.15"/>
    <row r="882" s="9" customFormat="1" ht="15.75" customHeight="1" x14ac:dyDescent="0.15"/>
    <row r="883" s="9" customFormat="1" ht="15.75" customHeight="1" x14ac:dyDescent="0.15"/>
    <row r="884" s="9" customFormat="1" ht="15.75" customHeight="1" x14ac:dyDescent="0.15"/>
    <row r="885" s="9" customFormat="1" ht="15.75" customHeight="1" x14ac:dyDescent="0.15"/>
    <row r="886" s="9" customFormat="1" ht="15.75" customHeight="1" x14ac:dyDescent="0.15"/>
    <row r="887" s="9" customFormat="1" ht="15.75" customHeight="1" x14ac:dyDescent="0.15"/>
    <row r="888" s="9" customFormat="1" ht="15.75" customHeight="1" x14ac:dyDescent="0.15"/>
    <row r="889" s="9" customFormat="1" ht="15.75" customHeight="1" x14ac:dyDescent="0.15"/>
    <row r="890" s="9" customFormat="1" ht="15.75" customHeight="1" x14ac:dyDescent="0.15"/>
    <row r="891" s="9" customFormat="1" ht="15.75" customHeight="1" x14ac:dyDescent="0.15"/>
    <row r="892" s="9" customFormat="1" ht="15.75" customHeight="1" x14ac:dyDescent="0.15"/>
    <row r="893" s="9" customFormat="1" ht="15.75" customHeight="1" x14ac:dyDescent="0.15"/>
    <row r="894" s="9" customFormat="1" ht="15.75" customHeight="1" x14ac:dyDescent="0.15"/>
    <row r="895" s="9" customFormat="1" ht="15.75" customHeight="1" x14ac:dyDescent="0.15"/>
    <row r="896" s="9" customFormat="1" ht="15.75" customHeight="1" x14ac:dyDescent="0.15"/>
    <row r="897" s="9" customFormat="1" ht="15.75" customHeight="1" x14ac:dyDescent="0.15"/>
    <row r="898" s="9" customFormat="1" ht="15.75" customHeight="1" x14ac:dyDescent="0.15"/>
    <row r="899" s="9" customFormat="1" ht="15.75" customHeight="1" x14ac:dyDescent="0.15"/>
    <row r="900" s="9" customFormat="1" ht="15.75" customHeight="1" x14ac:dyDescent="0.15"/>
    <row r="901" s="9" customFormat="1" ht="15.75" customHeight="1" x14ac:dyDescent="0.15"/>
    <row r="902" s="9" customFormat="1" ht="15.75" customHeight="1" x14ac:dyDescent="0.15"/>
    <row r="903" s="9" customFormat="1" ht="15.75" customHeight="1" x14ac:dyDescent="0.15"/>
    <row r="904" s="9" customFormat="1" ht="15.75" customHeight="1" x14ac:dyDescent="0.15"/>
    <row r="905" s="9" customFormat="1" ht="15.75" customHeight="1" x14ac:dyDescent="0.15"/>
    <row r="906" s="9" customFormat="1" ht="15.75" customHeight="1" x14ac:dyDescent="0.15"/>
    <row r="907" s="9" customFormat="1" ht="15.75" customHeight="1" x14ac:dyDescent="0.15"/>
    <row r="908" s="9" customFormat="1" ht="15.75" customHeight="1" x14ac:dyDescent="0.15"/>
    <row r="909" s="9" customFormat="1" ht="15.75" customHeight="1" x14ac:dyDescent="0.15"/>
    <row r="910" s="9" customFormat="1" ht="15.75" customHeight="1" x14ac:dyDescent="0.15"/>
    <row r="911" s="9" customFormat="1" ht="15.75" customHeight="1" x14ac:dyDescent="0.15"/>
    <row r="912" s="9" customFormat="1" ht="15.75" customHeight="1" x14ac:dyDescent="0.15"/>
    <row r="913" s="9" customFormat="1" ht="15.75" customHeight="1" x14ac:dyDescent="0.15"/>
    <row r="914" s="9" customFormat="1" ht="15.75" customHeight="1" x14ac:dyDescent="0.15"/>
    <row r="915" s="9" customFormat="1" ht="15.75" customHeight="1" x14ac:dyDescent="0.15"/>
    <row r="916" s="9" customFormat="1" ht="15.75" customHeight="1" x14ac:dyDescent="0.15"/>
    <row r="917" s="9" customFormat="1" ht="15.75" customHeight="1" x14ac:dyDescent="0.15"/>
    <row r="918" s="9" customFormat="1" ht="15.75" customHeight="1" x14ac:dyDescent="0.15"/>
    <row r="919" s="9" customFormat="1" ht="15.75" customHeight="1" x14ac:dyDescent="0.15"/>
    <row r="920" s="9" customFormat="1" ht="15.75" customHeight="1" x14ac:dyDescent="0.15"/>
    <row r="921" s="9" customFormat="1" ht="15.75" customHeight="1" x14ac:dyDescent="0.15"/>
    <row r="922" s="9" customFormat="1" ht="15.75" customHeight="1" x14ac:dyDescent="0.15"/>
    <row r="923" s="9" customFormat="1" ht="15.75" customHeight="1" x14ac:dyDescent="0.15"/>
    <row r="924" s="9" customFormat="1" ht="15.75" customHeight="1" x14ac:dyDescent="0.15"/>
    <row r="925" s="9" customFormat="1" ht="15.75" customHeight="1" x14ac:dyDescent="0.15"/>
    <row r="926" s="9" customFormat="1" ht="15.75" customHeight="1" x14ac:dyDescent="0.15"/>
    <row r="927" s="9" customFormat="1" ht="15.75" customHeight="1" x14ac:dyDescent="0.15"/>
    <row r="928" s="9" customFormat="1" ht="15.75" customHeight="1" x14ac:dyDescent="0.15"/>
    <row r="929" s="9" customFormat="1" ht="15.75" customHeight="1" x14ac:dyDescent="0.15"/>
    <row r="930" s="9" customFormat="1" ht="15.75" customHeight="1" x14ac:dyDescent="0.15"/>
    <row r="931" s="9" customFormat="1" ht="15.75" customHeight="1" x14ac:dyDescent="0.15"/>
    <row r="932" s="9" customFormat="1" ht="15.75" customHeight="1" x14ac:dyDescent="0.15"/>
    <row r="933" s="9" customFormat="1" ht="15.75" customHeight="1" x14ac:dyDescent="0.15"/>
    <row r="934" s="9" customFormat="1" ht="15.75" customHeight="1" x14ac:dyDescent="0.15"/>
    <row r="935" s="9" customFormat="1" ht="15.75" customHeight="1" x14ac:dyDescent="0.15"/>
    <row r="936" s="9" customFormat="1" ht="15.75" customHeight="1" x14ac:dyDescent="0.15"/>
    <row r="937" s="9" customFormat="1" ht="15.75" customHeight="1" x14ac:dyDescent="0.15"/>
    <row r="938" s="9" customFormat="1" ht="15.75" customHeight="1" x14ac:dyDescent="0.15"/>
    <row r="939" s="9" customFormat="1" ht="15.75" customHeight="1" x14ac:dyDescent="0.15"/>
    <row r="940" s="9" customFormat="1" ht="15.75" customHeight="1" x14ac:dyDescent="0.15"/>
    <row r="941" s="9" customFormat="1" ht="15.75" customHeight="1" x14ac:dyDescent="0.15"/>
    <row r="942" s="9" customFormat="1" ht="15.75" customHeight="1" x14ac:dyDescent="0.15"/>
    <row r="943" s="9" customFormat="1" ht="15.75" customHeight="1" x14ac:dyDescent="0.15"/>
    <row r="944" s="9" customFormat="1" ht="15.75" customHeight="1" x14ac:dyDescent="0.15"/>
    <row r="945" s="9" customFormat="1" ht="15.75" customHeight="1" x14ac:dyDescent="0.15"/>
    <row r="946" s="9" customFormat="1" ht="15.75" customHeight="1" x14ac:dyDescent="0.15"/>
    <row r="947" s="9" customFormat="1" ht="15.75" customHeight="1" x14ac:dyDescent="0.15"/>
    <row r="948" s="9" customFormat="1" ht="15.75" customHeight="1" x14ac:dyDescent="0.15"/>
    <row r="949" s="9" customFormat="1" ht="15.75" customHeight="1" x14ac:dyDescent="0.15"/>
    <row r="950" s="9" customFormat="1" ht="15.75" customHeight="1" x14ac:dyDescent="0.15"/>
    <row r="951" s="9" customFormat="1" ht="15.75" customHeight="1" x14ac:dyDescent="0.15"/>
    <row r="952" s="9" customFormat="1" ht="15.75" customHeight="1" x14ac:dyDescent="0.15"/>
    <row r="953" s="9" customFormat="1" ht="15.75" customHeight="1" x14ac:dyDescent="0.15"/>
    <row r="954" s="9" customFormat="1" ht="15.75" customHeight="1" x14ac:dyDescent="0.15"/>
    <row r="955" s="9" customFormat="1" ht="15.75" customHeight="1" x14ac:dyDescent="0.15"/>
    <row r="956" s="9" customFormat="1" ht="15.75" customHeight="1" x14ac:dyDescent="0.15"/>
    <row r="957" s="9" customFormat="1" ht="15.75" customHeight="1" x14ac:dyDescent="0.15"/>
    <row r="958" s="9" customFormat="1" ht="15.75" customHeight="1" x14ac:dyDescent="0.15"/>
    <row r="959" s="9" customFormat="1" ht="15.75" customHeight="1" x14ac:dyDescent="0.15"/>
    <row r="960" s="9" customFormat="1" ht="15.75" customHeight="1" x14ac:dyDescent="0.15"/>
    <row r="961" s="9" customFormat="1" ht="15.75" customHeight="1" x14ac:dyDescent="0.15"/>
    <row r="962" s="9" customFormat="1" ht="15.75" customHeight="1" x14ac:dyDescent="0.15"/>
    <row r="963" s="9" customFormat="1" ht="15.75" customHeight="1" x14ac:dyDescent="0.15"/>
    <row r="964" s="9" customFormat="1" ht="15.75" customHeight="1" x14ac:dyDescent="0.15"/>
    <row r="965" s="9" customFormat="1" ht="15.75" customHeight="1" x14ac:dyDescent="0.15"/>
    <row r="966" s="9" customFormat="1" ht="15.75" customHeight="1" x14ac:dyDescent="0.15"/>
    <row r="967" s="9" customFormat="1" ht="15.75" customHeight="1" x14ac:dyDescent="0.15"/>
    <row r="968" s="9" customFormat="1" ht="15.75" customHeight="1" x14ac:dyDescent="0.15"/>
    <row r="969" s="9" customFormat="1" ht="15.75" customHeight="1" x14ac:dyDescent="0.15"/>
    <row r="970" s="9" customFormat="1" ht="15.75" customHeight="1" x14ac:dyDescent="0.15"/>
    <row r="971" s="9" customFormat="1" ht="15.75" customHeight="1" x14ac:dyDescent="0.15"/>
    <row r="972" s="9" customFormat="1" ht="15.75" customHeight="1" x14ac:dyDescent="0.15"/>
    <row r="973" s="9" customFormat="1" ht="15.75" customHeight="1" x14ac:dyDescent="0.15"/>
    <row r="974" s="9" customFormat="1" ht="15.75" customHeight="1" x14ac:dyDescent="0.15"/>
    <row r="975" s="9" customFormat="1" ht="15.75" customHeight="1" x14ac:dyDescent="0.15"/>
    <row r="976" s="9" customFormat="1" ht="15.75" customHeight="1" x14ac:dyDescent="0.15"/>
    <row r="977" s="9" customFormat="1" ht="15.75" customHeight="1" x14ac:dyDescent="0.15"/>
    <row r="978" s="9" customFormat="1" ht="15.75" customHeight="1" x14ac:dyDescent="0.15"/>
    <row r="979" s="9" customFormat="1" ht="15.75" customHeight="1" x14ac:dyDescent="0.15"/>
    <row r="980" s="9" customFormat="1" ht="15.75" customHeight="1" x14ac:dyDescent="0.15"/>
    <row r="981" s="9" customFormat="1" ht="15.75" customHeight="1" x14ac:dyDescent="0.15"/>
    <row r="982" s="9" customFormat="1" ht="15.75" customHeight="1" x14ac:dyDescent="0.15"/>
    <row r="983" s="9" customFormat="1" ht="15.75" customHeight="1" x14ac:dyDescent="0.15"/>
    <row r="984" s="9" customFormat="1" ht="15.75" customHeight="1" x14ac:dyDescent="0.15"/>
    <row r="985" s="9" customFormat="1" ht="15.75" customHeight="1" x14ac:dyDescent="0.15"/>
    <row r="986" s="9" customFormat="1" ht="15.75" customHeight="1" x14ac:dyDescent="0.15"/>
    <row r="987" s="9" customFormat="1" ht="15.75" customHeight="1" x14ac:dyDescent="0.15"/>
    <row r="988" s="9" customFormat="1" ht="15.75" customHeight="1" x14ac:dyDescent="0.15"/>
    <row r="989" s="9" customFormat="1" ht="15.75" customHeight="1" x14ac:dyDescent="0.15"/>
    <row r="990" s="9" customFormat="1" ht="15.75" customHeight="1" x14ac:dyDescent="0.15"/>
    <row r="991" s="9" customFormat="1" ht="15.75" customHeight="1" x14ac:dyDescent="0.15"/>
    <row r="992" s="9" customFormat="1" ht="15.75" customHeight="1" x14ac:dyDescent="0.15"/>
    <row r="993" s="9" customFormat="1" ht="15.75" customHeight="1" x14ac:dyDescent="0.15"/>
    <row r="994" s="9" customFormat="1" ht="15.75" customHeight="1" x14ac:dyDescent="0.15"/>
    <row r="995" s="9" customFormat="1" ht="15.75" customHeight="1" x14ac:dyDescent="0.15"/>
    <row r="996" s="9" customFormat="1" ht="15.75" customHeight="1" x14ac:dyDescent="0.15"/>
    <row r="997" s="9" customFormat="1" ht="15.75" customHeight="1" x14ac:dyDescent="0.15"/>
    <row r="998" s="9" customFormat="1" ht="15.75" customHeight="1" x14ac:dyDescent="0.15"/>
    <row r="999" s="9" customFormat="1" ht="15.75" customHeight="1" x14ac:dyDescent="0.15"/>
    <row r="1000" s="9" customFormat="1" ht="15.75" customHeight="1" x14ac:dyDescent="0.15"/>
    <row r="1001" s="9" customFormat="1" ht="15.75" customHeight="1" x14ac:dyDescent="0.15"/>
    <row r="1002" s="9" customFormat="1" ht="15.75" customHeight="1" x14ac:dyDescent="0.15"/>
    <row r="1003" s="9" customFormat="1" ht="15.75" customHeight="1" x14ac:dyDescent="0.15"/>
    <row r="1004" s="9" customFormat="1" ht="15.75" customHeight="1" x14ac:dyDescent="0.15"/>
    <row r="1005" s="9" customFormat="1" ht="15.75" customHeight="1" x14ac:dyDescent="0.15"/>
    <row r="1006" s="9" customFormat="1" ht="15.75" customHeight="1" x14ac:dyDescent="0.15"/>
    <row r="1007" s="9" customFormat="1" ht="15.75" customHeight="1" x14ac:dyDescent="0.15"/>
    <row r="1008" s="9" customFormat="1" ht="15.75" customHeight="1" x14ac:dyDescent="0.15"/>
    <row r="1009" s="9" customFormat="1" ht="15.75" customHeight="1" x14ac:dyDescent="0.15"/>
    <row r="1010" s="9" customFormat="1" ht="15.75" customHeight="1" x14ac:dyDescent="0.15"/>
    <row r="1011" s="9" customFormat="1" ht="15.75" customHeight="1" x14ac:dyDescent="0.15"/>
    <row r="1012" s="9" customFormat="1" ht="15.75" customHeight="1" x14ac:dyDescent="0.15"/>
    <row r="1013" s="9" customFormat="1" ht="15.75" customHeight="1" x14ac:dyDescent="0.15"/>
    <row r="1014" s="9" customFormat="1" ht="15.75" customHeight="1" x14ac:dyDescent="0.15"/>
    <row r="1015" s="9" customFormat="1" ht="15.75" customHeight="1" x14ac:dyDescent="0.15"/>
    <row r="1016" s="9" customFormat="1" ht="15.75" customHeight="1" x14ac:dyDescent="0.15"/>
    <row r="1017" s="9" customFormat="1" ht="15.75" customHeight="1" x14ac:dyDescent="0.15"/>
    <row r="1018" s="9" customFormat="1" ht="15.75" customHeight="1" x14ac:dyDescent="0.15"/>
    <row r="1019" s="9" customFormat="1" ht="15.75" customHeight="1" x14ac:dyDescent="0.15"/>
    <row r="1020" s="9" customFormat="1" ht="15.75" customHeight="1" x14ac:dyDescent="0.15"/>
    <row r="1021" s="9" customFormat="1" ht="15.75" customHeight="1" x14ac:dyDescent="0.15"/>
    <row r="1022" s="9" customFormat="1" ht="15.75" customHeight="1" x14ac:dyDescent="0.15"/>
    <row r="1023" s="9" customFormat="1" ht="15.75" customHeight="1" x14ac:dyDescent="0.15"/>
    <row r="1024" s="9" customFormat="1" ht="15.75" customHeight="1" x14ac:dyDescent="0.15"/>
    <row r="1025" s="9" customFormat="1" ht="15.75" customHeight="1" x14ac:dyDescent="0.15"/>
    <row r="1026" s="9" customFormat="1" ht="15.75" customHeight="1" x14ac:dyDescent="0.15"/>
    <row r="1027" s="9" customFormat="1" ht="15.75" customHeight="1" x14ac:dyDescent="0.15"/>
    <row r="1028" s="9" customFormat="1" ht="15.75" customHeight="1" x14ac:dyDescent="0.15"/>
    <row r="1029" s="9" customFormat="1" ht="15.75" customHeight="1" x14ac:dyDescent="0.15"/>
    <row r="1030" s="9" customFormat="1" ht="15.75" customHeight="1" x14ac:dyDescent="0.15"/>
    <row r="1031" s="9" customFormat="1" ht="15.75" customHeight="1" x14ac:dyDescent="0.15"/>
    <row r="1032" s="9" customFormat="1" ht="15.75" customHeight="1" x14ac:dyDescent="0.15"/>
    <row r="1033" s="9" customFormat="1" ht="15.75" customHeight="1" x14ac:dyDescent="0.15"/>
    <row r="1034" s="9" customFormat="1" ht="15.75" customHeight="1" x14ac:dyDescent="0.15"/>
    <row r="1035" s="9" customFormat="1" ht="15.75" customHeight="1" x14ac:dyDescent="0.15"/>
    <row r="1036" s="9" customFormat="1" ht="15.75" customHeight="1" x14ac:dyDescent="0.15"/>
    <row r="1037" s="9" customFormat="1" ht="15.75" customHeight="1" x14ac:dyDescent="0.15"/>
    <row r="1038" s="9" customFormat="1" ht="15.75" customHeight="1" x14ac:dyDescent="0.15"/>
    <row r="1039" s="9" customFormat="1" ht="15.75" customHeight="1" x14ac:dyDescent="0.15"/>
    <row r="1040" s="9" customFormat="1" ht="15.75" customHeight="1" x14ac:dyDescent="0.15"/>
    <row r="1041" s="9" customFormat="1" ht="15.75" customHeight="1" x14ac:dyDescent="0.15"/>
    <row r="1042" s="9" customFormat="1" ht="15.75" customHeight="1" x14ac:dyDescent="0.15"/>
    <row r="1043" s="9" customFormat="1" ht="15.75" customHeight="1" x14ac:dyDescent="0.15"/>
    <row r="1044" s="9" customFormat="1" ht="15.75" customHeight="1" x14ac:dyDescent="0.15"/>
    <row r="1045" s="9" customFormat="1" ht="15.75" customHeight="1" x14ac:dyDescent="0.15"/>
    <row r="1046" s="9" customFormat="1" ht="15.75" customHeight="1" x14ac:dyDescent="0.15"/>
    <row r="1047" s="9" customFormat="1" ht="15.75" customHeight="1" x14ac:dyDescent="0.15"/>
    <row r="1048" s="9" customFormat="1" ht="15.75" customHeight="1" x14ac:dyDescent="0.15"/>
    <row r="1049" s="9" customFormat="1" ht="15.75" customHeight="1" x14ac:dyDescent="0.15"/>
    <row r="1050" s="9" customFormat="1" ht="15.75" customHeight="1" x14ac:dyDescent="0.15"/>
    <row r="1051" s="9" customFormat="1" ht="15.75" customHeight="1" x14ac:dyDescent="0.15"/>
    <row r="1052" s="9" customFormat="1" ht="15.75" customHeight="1" x14ac:dyDescent="0.15"/>
    <row r="1053" s="9" customFormat="1" ht="15.75" customHeight="1" x14ac:dyDescent="0.15"/>
    <row r="1054" s="9" customFormat="1" ht="15.75" customHeight="1" x14ac:dyDescent="0.15"/>
    <row r="1055" s="9" customFormat="1" ht="15.75" customHeight="1" x14ac:dyDescent="0.15"/>
    <row r="1056" s="9" customFormat="1" ht="15.75" customHeight="1" x14ac:dyDescent="0.15"/>
    <row r="1057" s="9" customFormat="1" ht="15.75" customHeight="1" x14ac:dyDescent="0.15"/>
    <row r="1058" s="9" customFormat="1" ht="15.75" customHeight="1" x14ac:dyDescent="0.15"/>
    <row r="1059" s="9" customFormat="1" ht="15.75" customHeight="1" x14ac:dyDescent="0.15"/>
    <row r="1060" s="9" customFormat="1" ht="15.75" customHeight="1" x14ac:dyDescent="0.15"/>
    <row r="1061" s="9" customFormat="1" ht="15.75" customHeight="1" x14ac:dyDescent="0.15"/>
    <row r="1062" s="9" customFormat="1" ht="15.75" customHeight="1" x14ac:dyDescent="0.15"/>
    <row r="1063" s="9" customFormat="1" ht="15.75" customHeight="1" x14ac:dyDescent="0.15"/>
    <row r="1064" s="9" customFormat="1" ht="15.75" customHeight="1" x14ac:dyDescent="0.15"/>
    <row r="1065" s="9" customFormat="1" ht="15.75" customHeight="1" x14ac:dyDescent="0.15"/>
    <row r="1066" s="9" customFormat="1" ht="15.75" customHeight="1" x14ac:dyDescent="0.15"/>
    <row r="1067" s="9" customFormat="1" ht="15.75" customHeight="1" x14ac:dyDescent="0.15"/>
    <row r="1068" s="9" customFormat="1" ht="15.75" customHeight="1" x14ac:dyDescent="0.15"/>
    <row r="1069" s="9" customFormat="1" ht="15.75" customHeight="1" x14ac:dyDescent="0.15"/>
    <row r="1070" s="9" customFormat="1" ht="15.75" customHeight="1" x14ac:dyDescent="0.15"/>
    <row r="1071" s="9" customFormat="1" ht="15.75" customHeight="1" x14ac:dyDescent="0.15"/>
    <row r="1072" s="9" customFormat="1" ht="15.75" customHeight="1" x14ac:dyDescent="0.15"/>
    <row r="1073" s="9" customFormat="1" ht="15.75" customHeight="1" x14ac:dyDescent="0.15"/>
    <row r="1074" s="9" customFormat="1" ht="15.75" customHeight="1" x14ac:dyDescent="0.15"/>
    <row r="1075" s="9" customFormat="1" ht="15.75" customHeight="1" x14ac:dyDescent="0.15"/>
    <row r="1076" s="9" customFormat="1" ht="15.75" customHeight="1" x14ac:dyDescent="0.15"/>
    <row r="1077" s="9" customFormat="1" ht="15.75" customHeight="1" x14ac:dyDescent="0.15"/>
    <row r="1078" s="9" customFormat="1" ht="15.75" customHeight="1" x14ac:dyDescent="0.15"/>
    <row r="1079" s="9" customFormat="1" ht="15.75" customHeight="1" x14ac:dyDescent="0.15"/>
    <row r="1080" s="9" customFormat="1" ht="15.75" customHeight="1" x14ac:dyDescent="0.15"/>
    <row r="1081" s="9" customFormat="1" ht="15.75" customHeight="1" x14ac:dyDescent="0.15"/>
    <row r="1082" s="9" customFormat="1" ht="15.75" customHeight="1" x14ac:dyDescent="0.15"/>
    <row r="1083" s="9" customFormat="1" ht="15.75" customHeight="1" x14ac:dyDescent="0.15"/>
    <row r="1084" s="9" customFormat="1" ht="15.75" customHeight="1" x14ac:dyDescent="0.15"/>
    <row r="1085" s="9" customFormat="1" ht="15.75" customHeight="1" x14ac:dyDescent="0.15"/>
    <row r="1086" s="9" customFormat="1" ht="15.75" customHeight="1" x14ac:dyDescent="0.15"/>
    <row r="1087" s="9" customFormat="1" ht="15.75" customHeight="1" x14ac:dyDescent="0.15"/>
    <row r="1088" s="9" customFormat="1" ht="15.75" customHeight="1" x14ac:dyDescent="0.15"/>
    <row r="1089" s="9" customFormat="1" ht="15.75" customHeight="1" x14ac:dyDescent="0.15"/>
    <row r="1090" s="9" customFormat="1" ht="15.75" customHeight="1" x14ac:dyDescent="0.15"/>
    <row r="1091" s="9" customFormat="1" ht="15.75" customHeight="1" x14ac:dyDescent="0.15"/>
    <row r="1092" s="9" customFormat="1" ht="15.75" customHeight="1" x14ac:dyDescent="0.15"/>
    <row r="1093" s="9" customFormat="1" ht="15.75" customHeight="1" x14ac:dyDescent="0.15"/>
    <row r="1094" s="9" customFormat="1" ht="15.75" customHeight="1" x14ac:dyDescent="0.15"/>
    <row r="1095" s="9" customFormat="1" ht="15.75" customHeight="1" x14ac:dyDescent="0.15"/>
    <row r="1096" s="9" customFormat="1" ht="15.75" customHeight="1" x14ac:dyDescent="0.15"/>
    <row r="1097" s="9" customFormat="1" ht="15.75" customHeight="1" x14ac:dyDescent="0.15"/>
    <row r="1098" s="9" customFormat="1" ht="15.75" customHeight="1" x14ac:dyDescent="0.15"/>
    <row r="1099" s="9" customFormat="1" ht="15.75" customHeight="1" x14ac:dyDescent="0.15"/>
    <row r="1100" s="9" customFormat="1" ht="15.75" customHeight="1" x14ac:dyDescent="0.15"/>
    <row r="1101" s="9" customFormat="1" ht="15.75" customHeight="1" x14ac:dyDescent="0.15"/>
    <row r="1102" s="9" customFormat="1" ht="15.75" customHeight="1" x14ac:dyDescent="0.15"/>
    <row r="1103" s="9" customFormat="1" ht="15.75" customHeight="1" x14ac:dyDescent="0.15"/>
    <row r="1104" s="9" customFormat="1" ht="15.75" customHeight="1" x14ac:dyDescent="0.15"/>
    <row r="1105" s="9" customFormat="1" ht="15.75" customHeight="1" x14ac:dyDescent="0.15"/>
    <row r="1106" s="9" customFormat="1" ht="15.75" customHeight="1" x14ac:dyDescent="0.15"/>
    <row r="1107" s="9" customFormat="1" ht="15.75" customHeight="1" x14ac:dyDescent="0.15"/>
    <row r="1108" s="9" customFormat="1" ht="15.75" customHeight="1" x14ac:dyDescent="0.15"/>
    <row r="1109" s="9" customFormat="1" ht="15.75" customHeight="1" x14ac:dyDescent="0.15"/>
    <row r="1110" s="9" customFormat="1" ht="15.75" customHeight="1" x14ac:dyDescent="0.15"/>
    <row r="1111" s="9" customFormat="1" ht="15.75" customHeight="1" x14ac:dyDescent="0.15"/>
    <row r="1112" s="9" customFormat="1" ht="15.75" customHeight="1" x14ac:dyDescent="0.15"/>
    <row r="1113" s="9" customFormat="1" ht="15.75" customHeight="1" x14ac:dyDescent="0.15"/>
    <row r="1114" s="9" customFormat="1" ht="15.75" customHeight="1" x14ac:dyDescent="0.15"/>
    <row r="1115" s="9" customFormat="1" ht="15.75" customHeight="1" x14ac:dyDescent="0.15"/>
    <row r="1116" s="9" customFormat="1" ht="15.75" customHeight="1" x14ac:dyDescent="0.15"/>
    <row r="1117" s="9" customFormat="1" ht="15.75" customHeight="1" x14ac:dyDescent="0.15"/>
    <row r="1118" s="9" customFormat="1" ht="15.75" customHeight="1" x14ac:dyDescent="0.15"/>
    <row r="1119" s="9" customFormat="1" ht="15.75" customHeight="1" x14ac:dyDescent="0.15"/>
    <row r="1120" s="9" customFormat="1" ht="15.75" customHeight="1" x14ac:dyDescent="0.15"/>
    <row r="1121" s="9" customFormat="1" ht="15.75" customHeight="1" x14ac:dyDescent="0.15"/>
    <row r="1122" s="9" customFormat="1" ht="15.75" customHeight="1" x14ac:dyDescent="0.15"/>
    <row r="1123" s="9" customFormat="1" ht="15.75" customHeight="1" x14ac:dyDescent="0.15"/>
    <row r="1124" s="9" customFormat="1" ht="15.75" customHeight="1" x14ac:dyDescent="0.15"/>
    <row r="1125" s="9" customFormat="1" ht="15.75" customHeight="1" x14ac:dyDescent="0.15"/>
    <row r="1126" s="9" customFormat="1" ht="15.75" customHeight="1" x14ac:dyDescent="0.15"/>
    <row r="1127" s="9" customFormat="1" ht="15.75" customHeight="1" x14ac:dyDescent="0.15"/>
    <row r="1128" s="9" customFormat="1" ht="15.75" customHeight="1" x14ac:dyDescent="0.15"/>
    <row r="1129" s="9" customFormat="1" ht="15.75" customHeight="1" x14ac:dyDescent="0.15"/>
    <row r="1130" s="9" customFormat="1" ht="15.75" customHeight="1" x14ac:dyDescent="0.15"/>
    <row r="1131" s="9" customFormat="1" ht="15.75" customHeight="1" x14ac:dyDescent="0.15"/>
    <row r="1132" s="9" customFormat="1" ht="15.75" customHeight="1" x14ac:dyDescent="0.15"/>
    <row r="1133" s="9" customFormat="1" ht="15.75" customHeight="1" x14ac:dyDescent="0.15"/>
    <row r="1134" s="9" customFormat="1" ht="15.75" customHeight="1" x14ac:dyDescent="0.15"/>
    <row r="1135" s="9" customFormat="1" ht="15.75" customHeight="1" x14ac:dyDescent="0.15"/>
    <row r="1136" s="9" customFormat="1" ht="15.75" customHeight="1" x14ac:dyDescent="0.15"/>
    <row r="1137" s="9" customFormat="1" ht="15.75" customHeight="1" x14ac:dyDescent="0.15"/>
    <row r="1138" s="9" customFormat="1" ht="15.75" customHeight="1" x14ac:dyDescent="0.15"/>
    <row r="1139" s="9" customFormat="1" ht="15.75" customHeight="1" x14ac:dyDescent="0.15"/>
    <row r="1140" s="9" customFormat="1" ht="15.75" customHeight="1" x14ac:dyDescent="0.15"/>
    <row r="1141" s="9" customFormat="1" ht="15.75" customHeight="1" x14ac:dyDescent="0.15"/>
    <row r="1142" s="9" customFormat="1" ht="15.75" customHeight="1" x14ac:dyDescent="0.15"/>
    <row r="1143" s="9" customFormat="1" ht="15.75" customHeight="1" x14ac:dyDescent="0.15"/>
    <row r="1144" s="9" customFormat="1" ht="15.75" customHeight="1" x14ac:dyDescent="0.15"/>
    <row r="1145" s="9" customFormat="1" ht="15.75" customHeight="1" x14ac:dyDescent="0.15"/>
    <row r="1146" s="9" customFormat="1" ht="15.75" customHeight="1" x14ac:dyDescent="0.15"/>
    <row r="1147" s="9" customFormat="1" ht="15.75" customHeight="1" x14ac:dyDescent="0.15"/>
    <row r="1148" s="9" customFormat="1" ht="15.75" customHeight="1" x14ac:dyDescent="0.15"/>
    <row r="1149" s="9" customFormat="1" ht="15.75" customHeight="1" x14ac:dyDescent="0.15"/>
    <row r="1150" s="9" customFormat="1" ht="15.75" customHeight="1" x14ac:dyDescent="0.15"/>
    <row r="1151" s="9" customFormat="1" ht="15.75" customHeight="1" x14ac:dyDescent="0.15"/>
    <row r="1152" s="9" customFormat="1" ht="15.75" customHeight="1" x14ac:dyDescent="0.15"/>
    <row r="1153" s="9" customFormat="1" ht="15.75" customHeight="1" x14ac:dyDescent="0.15"/>
    <row r="1154" s="9" customFormat="1" ht="15.75" customHeight="1" x14ac:dyDescent="0.15"/>
    <row r="1155" s="9" customFormat="1" ht="15.75" customHeight="1" x14ac:dyDescent="0.15"/>
    <row r="1156" s="9" customFormat="1" ht="15.75" customHeight="1" x14ac:dyDescent="0.15"/>
    <row r="1157" s="9" customFormat="1" ht="15.75" customHeight="1" x14ac:dyDescent="0.15"/>
    <row r="1158" s="9" customFormat="1" ht="15.75" customHeight="1" x14ac:dyDescent="0.15"/>
    <row r="1159" s="9" customFormat="1" ht="15.75" customHeight="1" x14ac:dyDescent="0.15"/>
    <row r="1160" s="9" customFormat="1" ht="15.75" customHeight="1" x14ac:dyDescent="0.15"/>
    <row r="1161" s="9" customFormat="1" ht="15.75" customHeight="1" x14ac:dyDescent="0.15"/>
    <row r="1162" s="9" customFormat="1" ht="15.75" customHeight="1" x14ac:dyDescent="0.15"/>
    <row r="1163" s="9" customFormat="1" ht="15.75" customHeight="1" x14ac:dyDescent="0.15"/>
    <row r="1164" s="9" customFormat="1" ht="15.75" customHeight="1" x14ac:dyDescent="0.15"/>
    <row r="1165" s="9" customFormat="1" ht="15.75" customHeight="1" x14ac:dyDescent="0.15"/>
    <row r="1166" s="9" customFormat="1" ht="15.75" customHeight="1" x14ac:dyDescent="0.15"/>
    <row r="1167" s="9" customFormat="1" ht="15.75" customHeight="1" x14ac:dyDescent="0.15"/>
    <row r="1168" s="9" customFormat="1" ht="15.75" customHeight="1" x14ac:dyDescent="0.15"/>
    <row r="1169" s="9" customFormat="1" ht="15.75" customHeight="1" x14ac:dyDescent="0.15"/>
    <row r="1170" s="9" customFormat="1" ht="15.75" customHeight="1" x14ac:dyDescent="0.15"/>
    <row r="1171" s="9" customFormat="1" ht="15.75" customHeight="1" x14ac:dyDescent="0.15"/>
    <row r="1172" s="9" customFormat="1" ht="15.75" customHeight="1" x14ac:dyDescent="0.15"/>
    <row r="1173" s="9" customFormat="1" ht="15.75" customHeight="1" x14ac:dyDescent="0.15"/>
    <row r="1174" s="9" customFormat="1" ht="15.75" customHeight="1" x14ac:dyDescent="0.15"/>
    <row r="1175" s="9" customFormat="1" ht="15.75" customHeight="1" x14ac:dyDescent="0.15"/>
    <row r="1176" s="9" customFormat="1" ht="15.75" customHeight="1" x14ac:dyDescent="0.15"/>
    <row r="1177" s="9" customFormat="1" ht="15.75" customHeight="1" x14ac:dyDescent="0.15"/>
    <row r="1178" s="9" customFormat="1" ht="15.75" customHeight="1" x14ac:dyDescent="0.15"/>
    <row r="1179" s="9" customFormat="1" ht="15.75" customHeight="1" x14ac:dyDescent="0.15"/>
    <row r="1180" s="9" customFormat="1" ht="15.75" customHeight="1" x14ac:dyDescent="0.15"/>
    <row r="1181" s="9" customFormat="1" ht="15.75" customHeight="1" x14ac:dyDescent="0.15"/>
    <row r="1182" s="9" customFormat="1" ht="15.75" customHeight="1" x14ac:dyDescent="0.15"/>
    <row r="1183" s="9" customFormat="1" ht="15.75" customHeight="1" x14ac:dyDescent="0.15"/>
    <row r="1184" s="9" customFormat="1" ht="15.75" customHeight="1" x14ac:dyDescent="0.15"/>
    <row r="1185" s="9" customFormat="1" ht="15.75" customHeight="1" x14ac:dyDescent="0.15"/>
    <row r="1186" s="9" customFormat="1" ht="15.75" customHeight="1" x14ac:dyDescent="0.15"/>
    <row r="1187" s="9" customFormat="1" ht="15.75" customHeight="1" x14ac:dyDescent="0.15"/>
    <row r="1188" s="9" customFormat="1" ht="15.75" customHeight="1" x14ac:dyDescent="0.15"/>
    <row r="1189" s="9" customFormat="1" ht="15.75" customHeight="1" x14ac:dyDescent="0.15"/>
    <row r="1190" s="9" customFormat="1" ht="15.75" customHeight="1" x14ac:dyDescent="0.15"/>
    <row r="1191" s="9" customFormat="1" ht="15.75" customHeight="1" x14ac:dyDescent="0.15"/>
    <row r="1192" s="9" customFormat="1" ht="15.75" customHeight="1" x14ac:dyDescent="0.15"/>
    <row r="1193" s="9" customFormat="1" ht="15.75" customHeight="1" x14ac:dyDescent="0.15"/>
    <row r="1194" s="9" customFormat="1" ht="15.75" customHeight="1" x14ac:dyDescent="0.15"/>
    <row r="1195" s="9" customFormat="1" ht="15.75" customHeight="1" x14ac:dyDescent="0.15"/>
    <row r="1196" s="9" customFormat="1" ht="15.75" customHeight="1" x14ac:dyDescent="0.15"/>
    <row r="1197" s="9" customFormat="1" ht="15.75" customHeight="1" x14ac:dyDescent="0.15"/>
    <row r="1198" s="9" customFormat="1" ht="15.75" customHeight="1" x14ac:dyDescent="0.15"/>
    <row r="1199" s="9" customFormat="1" ht="15.75" customHeight="1" x14ac:dyDescent="0.15"/>
    <row r="1200" s="9" customFormat="1" ht="15.75" customHeight="1" x14ac:dyDescent="0.15"/>
    <row r="1201" s="9" customFormat="1" ht="15.75" customHeight="1" x14ac:dyDescent="0.15"/>
    <row r="1202" s="9" customFormat="1" ht="15.75" customHeight="1" x14ac:dyDescent="0.15"/>
    <row r="1203" s="9" customFormat="1" ht="15.75" customHeight="1" x14ac:dyDescent="0.15"/>
    <row r="1204" s="9" customFormat="1" ht="15.75" customHeight="1" x14ac:dyDescent="0.15"/>
    <row r="1205" s="9" customFormat="1" ht="15.75" customHeight="1" x14ac:dyDescent="0.15"/>
    <row r="1206" s="9" customFormat="1" ht="15.75" customHeight="1" x14ac:dyDescent="0.15"/>
    <row r="1207" s="9" customFormat="1" ht="15.75" customHeight="1" x14ac:dyDescent="0.15"/>
    <row r="1208" s="9" customFormat="1" ht="15.75" customHeight="1" x14ac:dyDescent="0.15"/>
    <row r="1209" s="9" customFormat="1" ht="15.75" customHeight="1" x14ac:dyDescent="0.15"/>
    <row r="1210" s="9" customFormat="1" ht="15.75" customHeight="1" x14ac:dyDescent="0.15"/>
    <row r="1211" s="9" customFormat="1" ht="15.75" customHeight="1" x14ac:dyDescent="0.15"/>
    <row r="1212" s="9" customFormat="1" ht="15.75" customHeight="1" x14ac:dyDescent="0.15"/>
    <row r="1213" s="9" customFormat="1" ht="15.75" customHeight="1" x14ac:dyDescent="0.15"/>
    <row r="1214" s="9" customFormat="1" ht="15.75" customHeight="1" x14ac:dyDescent="0.15"/>
    <row r="1215" s="9" customFormat="1" ht="15.75" customHeight="1" x14ac:dyDescent="0.15"/>
    <row r="1216" s="9" customFormat="1" ht="15.75" customHeight="1" x14ac:dyDescent="0.15"/>
    <row r="1217" s="9" customFormat="1" ht="15.75" customHeight="1" x14ac:dyDescent="0.15"/>
    <row r="1218" s="9" customFormat="1" ht="15.75" customHeight="1" x14ac:dyDescent="0.15"/>
    <row r="1219" s="9" customFormat="1" ht="15.75" customHeight="1" x14ac:dyDescent="0.15"/>
    <row r="1220" s="9" customFormat="1" ht="15.75" customHeight="1" x14ac:dyDescent="0.15"/>
    <row r="1221" s="9" customFormat="1" ht="15.75" customHeight="1" x14ac:dyDescent="0.15"/>
    <row r="1222" s="9" customFormat="1" ht="15.75" customHeight="1" x14ac:dyDescent="0.15"/>
    <row r="1223" s="9" customFormat="1" ht="15.75" customHeight="1" x14ac:dyDescent="0.15"/>
    <row r="1224" s="9" customFormat="1" ht="15.75" customHeight="1" x14ac:dyDescent="0.15"/>
    <row r="1225" s="9" customFormat="1" ht="15.75" customHeight="1" x14ac:dyDescent="0.15"/>
    <row r="1226" s="9" customFormat="1" ht="15.75" customHeight="1" x14ac:dyDescent="0.15"/>
    <row r="1227" s="9" customFormat="1" ht="15.75" customHeight="1" x14ac:dyDescent="0.15"/>
    <row r="1228" s="9" customFormat="1" ht="15.75" customHeight="1" x14ac:dyDescent="0.15"/>
    <row r="1229" s="9" customFormat="1" ht="15.75" customHeight="1" x14ac:dyDescent="0.15"/>
    <row r="1230" s="9" customFormat="1" ht="15.75" customHeight="1" x14ac:dyDescent="0.15"/>
    <row r="1231" s="9" customFormat="1" ht="15.75" customHeight="1" x14ac:dyDescent="0.15"/>
    <row r="1232" s="9" customFormat="1" ht="15.75" customHeight="1" x14ac:dyDescent="0.15"/>
    <row r="1233" s="9" customFormat="1" ht="15.75" customHeight="1" x14ac:dyDescent="0.15"/>
    <row r="1234" s="9" customFormat="1" ht="15.75" customHeight="1" x14ac:dyDescent="0.15"/>
    <row r="1235" s="9" customFormat="1" ht="15.75" customHeight="1" x14ac:dyDescent="0.15"/>
    <row r="1236" s="9" customFormat="1" ht="15.75" customHeight="1" x14ac:dyDescent="0.15"/>
    <row r="1237" s="9" customFormat="1" ht="15.75" customHeight="1" x14ac:dyDescent="0.15"/>
    <row r="1238" s="9" customFormat="1" ht="15.75" customHeight="1" x14ac:dyDescent="0.15"/>
    <row r="1239" s="9" customFormat="1" ht="15.75" customHeight="1" x14ac:dyDescent="0.15"/>
    <row r="1240" s="9" customFormat="1" ht="15.75" customHeight="1" x14ac:dyDescent="0.15"/>
    <row r="1241" s="9" customFormat="1" ht="15.75" customHeight="1" x14ac:dyDescent="0.15"/>
    <row r="1242" s="9" customFormat="1" ht="15.75" customHeight="1" x14ac:dyDescent="0.15"/>
    <row r="1243" s="9" customFormat="1" ht="15.75" customHeight="1" x14ac:dyDescent="0.15"/>
    <row r="1244" s="9" customFormat="1" ht="15.75" customHeight="1" x14ac:dyDescent="0.15"/>
    <row r="1245" s="9" customFormat="1" ht="15.75" customHeight="1" x14ac:dyDescent="0.15"/>
    <row r="1246" s="9" customFormat="1" ht="15.75" customHeight="1" x14ac:dyDescent="0.15"/>
    <row r="1247" s="9" customFormat="1" ht="15.75" customHeight="1" x14ac:dyDescent="0.15"/>
    <row r="1248" s="9" customFormat="1" ht="15.75" customHeight="1" x14ac:dyDescent="0.15"/>
    <row r="1249" s="9" customFormat="1" ht="15.75" customHeight="1" x14ac:dyDescent="0.15"/>
    <row r="1250" s="9" customFormat="1" ht="15.75" customHeight="1" x14ac:dyDescent="0.15"/>
    <row r="1251" s="9" customFormat="1" ht="15.75" customHeight="1" x14ac:dyDescent="0.15"/>
    <row r="1252" s="9" customFormat="1" ht="15.75" customHeight="1" x14ac:dyDescent="0.15"/>
    <row r="1253" s="9" customFormat="1" ht="15.75" customHeight="1" x14ac:dyDescent="0.15"/>
    <row r="1254" s="9" customFormat="1" ht="15.75" customHeight="1" x14ac:dyDescent="0.15"/>
    <row r="1255" s="9" customFormat="1" ht="15.75" customHeight="1" x14ac:dyDescent="0.15"/>
    <row r="1256" s="9" customFormat="1" ht="15.75" customHeight="1" x14ac:dyDescent="0.15"/>
    <row r="1257" s="9" customFormat="1" ht="15.75" customHeight="1" x14ac:dyDescent="0.15"/>
    <row r="1258" s="9" customFormat="1" ht="15.75" customHeight="1" x14ac:dyDescent="0.15"/>
    <row r="1259" s="9" customFormat="1" ht="15.75" customHeight="1" x14ac:dyDescent="0.15"/>
    <row r="1260" s="9" customFormat="1" ht="15.75" customHeight="1" x14ac:dyDescent="0.15"/>
    <row r="1261" s="9" customFormat="1" ht="15.75" customHeight="1" x14ac:dyDescent="0.15"/>
    <row r="1262" s="9" customFormat="1" ht="15.75" customHeight="1" x14ac:dyDescent="0.15"/>
    <row r="1263" s="9" customFormat="1" ht="15.75" customHeight="1" x14ac:dyDescent="0.15"/>
    <row r="1264" s="9" customFormat="1" ht="15.75" customHeight="1" x14ac:dyDescent="0.15"/>
    <row r="1265" s="9" customFormat="1" ht="15.75" customHeight="1" x14ac:dyDescent="0.15"/>
    <row r="1266" s="9" customFormat="1" ht="15.75" customHeight="1" x14ac:dyDescent="0.15"/>
    <row r="1267" s="9" customFormat="1" ht="15.75" customHeight="1" x14ac:dyDescent="0.15"/>
    <row r="1268" s="9" customFormat="1" ht="15.75" customHeight="1" x14ac:dyDescent="0.15"/>
    <row r="1269" s="9" customFormat="1" ht="15.75" customHeight="1" x14ac:dyDescent="0.15"/>
    <row r="1270" s="9" customFormat="1" ht="15.75" customHeight="1" x14ac:dyDescent="0.15"/>
    <row r="1271" s="9" customFormat="1" ht="15.75" customHeight="1" x14ac:dyDescent="0.15"/>
    <row r="1272" s="9" customFormat="1" ht="15.75" customHeight="1" x14ac:dyDescent="0.15"/>
    <row r="1273" s="9" customFormat="1" ht="15.75" customHeight="1" x14ac:dyDescent="0.15"/>
    <row r="1274" s="9" customFormat="1" ht="15.75" customHeight="1" x14ac:dyDescent="0.15"/>
    <row r="1275" s="9" customFormat="1" ht="15.75" customHeight="1" x14ac:dyDescent="0.15"/>
    <row r="1276" s="9" customFormat="1" ht="15.75" customHeight="1" x14ac:dyDescent="0.15"/>
    <row r="1277" s="9" customFormat="1" ht="15.75" customHeight="1" x14ac:dyDescent="0.15"/>
    <row r="1278" s="9" customFormat="1" ht="15.75" customHeight="1" x14ac:dyDescent="0.15"/>
    <row r="1279" s="9" customFormat="1" ht="15.75" customHeight="1" x14ac:dyDescent="0.15"/>
    <row r="1280" s="9" customFormat="1" ht="15.75" customHeight="1" x14ac:dyDescent="0.15"/>
    <row r="1281" s="9" customFormat="1" ht="15.75" customHeight="1" x14ac:dyDescent="0.15"/>
    <row r="1282" s="9" customFormat="1" ht="15.75" customHeight="1" x14ac:dyDescent="0.15"/>
    <row r="1283" s="9" customFormat="1" ht="15.75" customHeight="1" x14ac:dyDescent="0.15"/>
    <row r="1284" s="9" customFormat="1" ht="15.75" customHeight="1" x14ac:dyDescent="0.15"/>
    <row r="1285" s="9" customFormat="1" ht="15.75" customHeight="1" x14ac:dyDescent="0.15"/>
    <row r="1286" s="9" customFormat="1" ht="15.75" customHeight="1" x14ac:dyDescent="0.15"/>
    <row r="1287" s="9" customFormat="1" ht="15.75" customHeight="1" x14ac:dyDescent="0.15"/>
    <row r="1288" s="9" customFormat="1" ht="15.75" customHeight="1" x14ac:dyDescent="0.15"/>
    <row r="1289" s="9" customFormat="1" ht="15.75" customHeight="1" x14ac:dyDescent="0.15"/>
    <row r="1290" s="9" customFormat="1" ht="15.75" customHeight="1" x14ac:dyDescent="0.15"/>
    <row r="1291" s="9" customFormat="1" ht="15.75" customHeight="1" x14ac:dyDescent="0.15"/>
    <row r="1292" s="9" customFormat="1" ht="15.75" customHeight="1" x14ac:dyDescent="0.15"/>
    <row r="1293" s="9" customFormat="1" ht="15.75" customHeight="1" x14ac:dyDescent="0.15"/>
    <row r="1294" s="9" customFormat="1" ht="15.75" customHeight="1" x14ac:dyDescent="0.15"/>
    <row r="1295" s="9" customFormat="1" ht="15.75" customHeight="1" x14ac:dyDescent="0.15"/>
    <row r="1296" s="9" customFormat="1" ht="15.75" customHeight="1" x14ac:dyDescent="0.15"/>
    <row r="1297" s="9" customFormat="1" ht="15.75" customHeight="1" x14ac:dyDescent="0.15"/>
    <row r="1298" s="9" customFormat="1" ht="15.75" customHeight="1" x14ac:dyDescent="0.15"/>
    <row r="1299" s="9" customFormat="1" ht="15.75" customHeight="1" x14ac:dyDescent="0.15"/>
    <row r="1300" s="9" customFormat="1" ht="15.75" customHeight="1" x14ac:dyDescent="0.15"/>
    <row r="1301" s="9" customFormat="1" ht="15.75" customHeight="1" x14ac:dyDescent="0.15"/>
    <row r="1302" s="9" customFormat="1" ht="15.75" customHeight="1" x14ac:dyDescent="0.15"/>
    <row r="1303" s="9" customFormat="1" ht="15.75" customHeight="1" x14ac:dyDescent="0.15"/>
    <row r="1304" s="9" customFormat="1" ht="15.75" customHeight="1" x14ac:dyDescent="0.15"/>
    <row r="1305" s="9" customFormat="1" ht="15.75" customHeight="1" x14ac:dyDescent="0.15"/>
    <row r="1306" s="9" customFormat="1" ht="15.75" customHeight="1" x14ac:dyDescent="0.15"/>
    <row r="1307" s="9" customFormat="1" ht="15.75" customHeight="1" x14ac:dyDescent="0.15"/>
    <row r="1308" s="9" customFormat="1" ht="15.75" customHeight="1" x14ac:dyDescent="0.15"/>
    <row r="1309" s="9" customFormat="1" ht="15.75" customHeight="1" x14ac:dyDescent="0.15"/>
    <row r="1310" s="9" customFormat="1" ht="15.75" customHeight="1" x14ac:dyDescent="0.15"/>
    <row r="1311" s="9" customFormat="1" ht="15.75" customHeight="1" x14ac:dyDescent="0.15"/>
    <row r="1312" s="9" customFormat="1" ht="15.75" customHeight="1" x14ac:dyDescent="0.15"/>
    <row r="1313" s="9" customFormat="1" ht="15.75" customHeight="1" x14ac:dyDescent="0.15"/>
    <row r="1314" s="9" customFormat="1" ht="15.75" customHeight="1" x14ac:dyDescent="0.15"/>
    <row r="1315" s="9" customFormat="1" ht="15.75" customHeight="1" x14ac:dyDescent="0.15"/>
    <row r="1316" s="9" customFormat="1" ht="15.75" customHeight="1" x14ac:dyDescent="0.15"/>
    <row r="1317" s="9" customFormat="1" ht="15.75" customHeight="1" x14ac:dyDescent="0.15"/>
    <row r="1318" s="9" customFormat="1" ht="15.75" customHeight="1" x14ac:dyDescent="0.15"/>
    <row r="1319" s="9" customFormat="1" ht="15.75" customHeight="1" x14ac:dyDescent="0.15"/>
    <row r="1320" s="9" customFormat="1" ht="15.75" customHeight="1" x14ac:dyDescent="0.15"/>
    <row r="1321" s="9" customFormat="1" ht="15.75" customHeight="1" x14ac:dyDescent="0.15"/>
    <row r="1322" s="9" customFormat="1" ht="15.75" customHeight="1" x14ac:dyDescent="0.15"/>
    <row r="1323" s="9" customFormat="1" ht="15.75" customHeight="1" x14ac:dyDescent="0.15"/>
    <row r="1324" s="9" customFormat="1" ht="15.75" customHeight="1" x14ac:dyDescent="0.15"/>
    <row r="1325" s="9" customFormat="1" ht="15.75" customHeight="1" x14ac:dyDescent="0.15"/>
    <row r="1326" s="9" customFormat="1" ht="15.75" customHeight="1" x14ac:dyDescent="0.15"/>
    <row r="1327" s="9" customFormat="1" ht="15.75" customHeight="1" x14ac:dyDescent="0.15"/>
    <row r="1328" s="9" customFormat="1" ht="15.75" customHeight="1" x14ac:dyDescent="0.15"/>
    <row r="1329" s="9" customFormat="1" ht="15.75" customHeight="1" x14ac:dyDescent="0.15"/>
    <row r="1330" s="9" customFormat="1" ht="15.75" customHeight="1" x14ac:dyDescent="0.15"/>
    <row r="1331" s="9" customFormat="1" ht="15.75" customHeight="1" x14ac:dyDescent="0.15"/>
    <row r="1332" s="9" customFormat="1" ht="15.75" customHeight="1" x14ac:dyDescent="0.15"/>
    <row r="1333" s="9" customFormat="1" ht="15.75" customHeight="1" x14ac:dyDescent="0.15"/>
    <row r="1334" s="9" customFormat="1" ht="15.75" customHeight="1" x14ac:dyDescent="0.15"/>
    <row r="1335" s="9" customFormat="1" ht="15.75" customHeight="1" x14ac:dyDescent="0.15"/>
    <row r="1336" s="9" customFormat="1" ht="15.75" customHeight="1" x14ac:dyDescent="0.15"/>
    <row r="1337" s="9" customFormat="1" ht="15.75" customHeight="1" x14ac:dyDescent="0.15"/>
    <row r="1338" s="9" customFormat="1" ht="15.75" customHeight="1" x14ac:dyDescent="0.15"/>
    <row r="1339" s="9" customFormat="1" ht="15.75" customHeight="1" x14ac:dyDescent="0.15"/>
    <row r="1340" s="9" customFormat="1" ht="15.75" customHeight="1" x14ac:dyDescent="0.15"/>
    <row r="1341" s="9" customFormat="1" ht="15.75" customHeight="1" x14ac:dyDescent="0.15"/>
    <row r="1342" s="9" customFormat="1" ht="15.75" customHeight="1" x14ac:dyDescent="0.15"/>
    <row r="1343" s="9" customFormat="1" ht="15.75" customHeight="1" x14ac:dyDescent="0.15"/>
    <row r="1344" s="9" customFormat="1" ht="15.75" customHeight="1" x14ac:dyDescent="0.15"/>
    <row r="1345" s="9" customFormat="1" ht="15.75" customHeight="1" x14ac:dyDescent="0.15"/>
    <row r="1346" s="9" customFormat="1" ht="15.75" customHeight="1" x14ac:dyDescent="0.15"/>
    <row r="1347" s="9" customFormat="1" ht="15.75" customHeight="1" x14ac:dyDescent="0.15"/>
    <row r="1348" s="9" customFormat="1" ht="15.75" customHeight="1" x14ac:dyDescent="0.15"/>
    <row r="1349" s="9" customFormat="1" ht="15.75" customHeight="1" x14ac:dyDescent="0.15"/>
    <row r="1350" s="9" customFormat="1" ht="15.75" customHeight="1" x14ac:dyDescent="0.15"/>
    <row r="1351" s="9" customFormat="1" ht="15.75" customHeight="1" x14ac:dyDescent="0.15"/>
    <row r="1352" s="9" customFormat="1" ht="15.75" customHeight="1" x14ac:dyDescent="0.15"/>
    <row r="1353" s="9" customFormat="1" ht="15.75" customHeight="1" x14ac:dyDescent="0.15"/>
    <row r="1354" s="9" customFormat="1" ht="15.75" customHeight="1" x14ac:dyDescent="0.15"/>
    <row r="1355" s="9" customFormat="1" ht="15.75" customHeight="1" x14ac:dyDescent="0.15"/>
    <row r="1356" s="9" customFormat="1" ht="15.75" customHeight="1" x14ac:dyDescent="0.15"/>
    <row r="1357" s="9" customFormat="1" ht="15.75" customHeight="1" x14ac:dyDescent="0.15"/>
    <row r="1358" s="9" customFormat="1" ht="15.75" customHeight="1" x14ac:dyDescent="0.15"/>
    <row r="1359" s="9" customFormat="1" ht="15.75" customHeight="1" x14ac:dyDescent="0.15"/>
    <row r="1360" s="9" customFormat="1" ht="15.75" customHeight="1" x14ac:dyDescent="0.15"/>
    <row r="1361" s="9" customFormat="1" ht="15.75" customHeight="1" x14ac:dyDescent="0.15"/>
    <row r="1362" s="9" customFormat="1" ht="15.75" customHeight="1" x14ac:dyDescent="0.15"/>
    <row r="1363" s="9" customFormat="1" ht="15.75" customHeight="1" x14ac:dyDescent="0.15"/>
    <row r="1364" s="9" customFormat="1" ht="15.75" customHeight="1" x14ac:dyDescent="0.15"/>
    <row r="1365" s="9" customFormat="1" ht="15.75" customHeight="1" x14ac:dyDescent="0.15"/>
    <row r="1366" s="9" customFormat="1" ht="15.75" customHeight="1" x14ac:dyDescent="0.15"/>
    <row r="1367" s="9" customFormat="1" ht="15.75" customHeight="1" x14ac:dyDescent="0.15"/>
    <row r="1368" s="9" customFormat="1" ht="15.75" customHeight="1" x14ac:dyDescent="0.15"/>
    <row r="1369" s="9" customFormat="1" ht="15.75" customHeight="1" x14ac:dyDescent="0.15"/>
    <row r="1370" s="9" customFormat="1" ht="15.75" customHeight="1" x14ac:dyDescent="0.15"/>
    <row r="1371" s="9" customFormat="1" ht="15.75" customHeight="1" x14ac:dyDescent="0.15"/>
    <row r="1372" s="9" customFormat="1" ht="15.75" customHeight="1" x14ac:dyDescent="0.15"/>
    <row r="1373" s="9" customFormat="1" ht="15.75" customHeight="1" x14ac:dyDescent="0.15"/>
    <row r="1374" s="9" customFormat="1" ht="15.75" customHeight="1" x14ac:dyDescent="0.15"/>
    <row r="1375" s="9" customFormat="1" ht="15.75" customHeight="1" x14ac:dyDescent="0.15"/>
    <row r="1376" s="9" customFormat="1" ht="15.75" customHeight="1" x14ac:dyDescent="0.15"/>
    <row r="1377" s="9" customFormat="1" ht="15.75" customHeight="1" x14ac:dyDescent="0.15"/>
    <row r="1378" s="9" customFormat="1" ht="15.75" customHeight="1" x14ac:dyDescent="0.15"/>
    <row r="1379" s="9" customFormat="1" ht="15.75" customHeight="1" x14ac:dyDescent="0.15"/>
    <row r="1380" s="9" customFormat="1" ht="15.75" customHeight="1" x14ac:dyDescent="0.15"/>
    <row r="1381" s="9" customFormat="1" ht="15.75" customHeight="1" x14ac:dyDescent="0.15"/>
    <row r="1382" s="9" customFormat="1" ht="15.75" customHeight="1" x14ac:dyDescent="0.15"/>
    <row r="1383" s="9" customFormat="1" ht="15.75" customHeight="1" x14ac:dyDescent="0.15"/>
    <row r="1384" s="9" customFormat="1" ht="15.75" customHeight="1" x14ac:dyDescent="0.15"/>
    <row r="1385" s="9" customFormat="1" ht="15.75" customHeight="1" x14ac:dyDescent="0.15"/>
    <row r="1386" s="9" customFormat="1" ht="15.75" customHeight="1" x14ac:dyDescent="0.15"/>
    <row r="1387" s="9" customFormat="1" ht="15.75" customHeight="1" x14ac:dyDescent="0.15"/>
    <row r="1388" s="9" customFormat="1" ht="15.75" customHeight="1" x14ac:dyDescent="0.15"/>
  </sheetData>
  <dataConsolidate/>
  <mergeCells count="1902">
    <mergeCell ref="H804:I805"/>
    <mergeCell ref="J804:L805"/>
    <mergeCell ref="M804:N805"/>
    <mergeCell ref="O804:P804"/>
    <mergeCell ref="Q804:S805"/>
    <mergeCell ref="T804:V805"/>
    <mergeCell ref="W804:Y804"/>
    <mergeCell ref="Z804:AB805"/>
    <mergeCell ref="AC804:AE804"/>
    <mergeCell ref="O805:P805"/>
    <mergeCell ref="W805:Y805"/>
    <mergeCell ref="AC805:AE805"/>
    <mergeCell ref="H806:I807"/>
    <mergeCell ref="J806:L807"/>
    <mergeCell ref="M806:N807"/>
    <mergeCell ref="O806:P806"/>
    <mergeCell ref="Q806:S807"/>
    <mergeCell ref="T806:V807"/>
    <mergeCell ref="W806:Y806"/>
    <mergeCell ref="Z806:AB807"/>
    <mergeCell ref="AC806:AE806"/>
    <mergeCell ref="O807:P807"/>
    <mergeCell ref="W807:Y807"/>
    <mergeCell ref="AC807:AE807"/>
    <mergeCell ref="M800:N801"/>
    <mergeCell ref="O800:P800"/>
    <mergeCell ref="Q800:S801"/>
    <mergeCell ref="T800:V801"/>
    <mergeCell ref="W800:Y800"/>
    <mergeCell ref="Z800:AB801"/>
    <mergeCell ref="AC800:AE800"/>
    <mergeCell ref="O801:P801"/>
    <mergeCell ref="W801:Y801"/>
    <mergeCell ref="AC801:AE801"/>
    <mergeCell ref="H802:I803"/>
    <mergeCell ref="J802:L803"/>
    <mergeCell ref="M802:N803"/>
    <mergeCell ref="O802:P802"/>
    <mergeCell ref="Q802:S803"/>
    <mergeCell ref="T802:V803"/>
    <mergeCell ref="W802:Y802"/>
    <mergeCell ref="Z802:AB803"/>
    <mergeCell ref="AC802:AE802"/>
    <mergeCell ref="O803:P803"/>
    <mergeCell ref="W803:Y803"/>
    <mergeCell ref="AC803:AE803"/>
    <mergeCell ref="Q796:S797"/>
    <mergeCell ref="T796:V797"/>
    <mergeCell ref="W796:Y796"/>
    <mergeCell ref="Z796:AB797"/>
    <mergeCell ref="AC796:AE796"/>
    <mergeCell ref="O797:P797"/>
    <mergeCell ref="W797:Y797"/>
    <mergeCell ref="AC797:AE797"/>
    <mergeCell ref="H798:I799"/>
    <mergeCell ref="J798:L799"/>
    <mergeCell ref="M798:N799"/>
    <mergeCell ref="O798:P798"/>
    <mergeCell ref="Q798:S799"/>
    <mergeCell ref="T798:V799"/>
    <mergeCell ref="W798:Y798"/>
    <mergeCell ref="Z798:AB799"/>
    <mergeCell ref="AC798:AE798"/>
    <mergeCell ref="O799:P799"/>
    <mergeCell ref="W799:Y799"/>
    <mergeCell ref="AC799:AE799"/>
    <mergeCell ref="AC791:AE791"/>
    <mergeCell ref="H792:I793"/>
    <mergeCell ref="J792:L793"/>
    <mergeCell ref="M792:N793"/>
    <mergeCell ref="O792:P792"/>
    <mergeCell ref="Q792:S793"/>
    <mergeCell ref="T792:V793"/>
    <mergeCell ref="W792:Y792"/>
    <mergeCell ref="Z792:AB793"/>
    <mergeCell ref="AC792:AE792"/>
    <mergeCell ref="O793:P793"/>
    <mergeCell ref="W793:Y793"/>
    <mergeCell ref="AC793:AE793"/>
    <mergeCell ref="H794:I795"/>
    <mergeCell ref="J794:L795"/>
    <mergeCell ref="M794:N795"/>
    <mergeCell ref="O794:P794"/>
    <mergeCell ref="Q794:S795"/>
    <mergeCell ref="T794:V795"/>
    <mergeCell ref="W794:Y794"/>
    <mergeCell ref="Z794:AB795"/>
    <mergeCell ref="AC794:AE794"/>
    <mergeCell ref="O795:P795"/>
    <mergeCell ref="W795:Y795"/>
    <mergeCell ref="AC795:AE795"/>
    <mergeCell ref="AC786:AE786"/>
    <mergeCell ref="O787:P787"/>
    <mergeCell ref="W787:Y787"/>
    <mergeCell ref="AC787:AE787"/>
    <mergeCell ref="I819:J819"/>
    <mergeCell ref="K817:L817"/>
    <mergeCell ref="H817:I817"/>
    <mergeCell ref="E817:F817"/>
    <mergeCell ref="K816:L816"/>
    <mergeCell ref="H816:I816"/>
    <mergeCell ref="E816:F816"/>
    <mergeCell ref="H788:I789"/>
    <mergeCell ref="J788:L789"/>
    <mergeCell ref="M788:N789"/>
    <mergeCell ref="O788:P788"/>
    <mergeCell ref="Q788:S789"/>
    <mergeCell ref="T788:V789"/>
    <mergeCell ref="W788:Y788"/>
    <mergeCell ref="Z788:AB789"/>
    <mergeCell ref="AC788:AE788"/>
    <mergeCell ref="O789:P789"/>
    <mergeCell ref="W789:Y789"/>
    <mergeCell ref="AC789:AE789"/>
    <mergeCell ref="H790:I791"/>
    <mergeCell ref="J790:L791"/>
    <mergeCell ref="M790:N791"/>
    <mergeCell ref="O790:P790"/>
    <mergeCell ref="Q790:S791"/>
    <mergeCell ref="T790:V791"/>
    <mergeCell ref="W790:Y790"/>
    <mergeCell ref="Z790:AB791"/>
    <mergeCell ref="AC790:AE790"/>
    <mergeCell ref="AC780:AE780"/>
    <mergeCell ref="O781:P781"/>
    <mergeCell ref="W781:Y781"/>
    <mergeCell ref="AC781:AE781"/>
    <mergeCell ref="H782:I783"/>
    <mergeCell ref="J782:L783"/>
    <mergeCell ref="M782:N783"/>
    <mergeCell ref="O782:P782"/>
    <mergeCell ref="Q782:S783"/>
    <mergeCell ref="T782:V783"/>
    <mergeCell ref="W782:Y782"/>
    <mergeCell ref="Z782:AB783"/>
    <mergeCell ref="AC782:AE782"/>
    <mergeCell ref="O783:P783"/>
    <mergeCell ref="W783:Y783"/>
    <mergeCell ref="AC783:AE783"/>
    <mergeCell ref="H784:I785"/>
    <mergeCell ref="J784:L785"/>
    <mergeCell ref="M784:N785"/>
    <mergeCell ref="O784:P784"/>
    <mergeCell ref="Q784:S785"/>
    <mergeCell ref="T784:V785"/>
    <mergeCell ref="W784:Y784"/>
    <mergeCell ref="Z784:AB785"/>
    <mergeCell ref="AC784:AE784"/>
    <mergeCell ref="O785:P785"/>
    <mergeCell ref="W785:Y785"/>
    <mergeCell ref="AC785:AE785"/>
    <mergeCell ref="Q780:S781"/>
    <mergeCell ref="T780:V781"/>
    <mergeCell ref="W780:Y780"/>
    <mergeCell ref="Z780:AB781"/>
    <mergeCell ref="W615:Z615"/>
    <mergeCell ref="W616:Z616"/>
    <mergeCell ref="W617:Z617"/>
    <mergeCell ref="W618:Z618"/>
    <mergeCell ref="W619:Z619"/>
    <mergeCell ref="W620:Z620"/>
    <mergeCell ref="W621:Z621"/>
    <mergeCell ref="W622:Z622"/>
    <mergeCell ref="W623:Z623"/>
    <mergeCell ref="W624:Z624"/>
    <mergeCell ref="W625:Z625"/>
    <mergeCell ref="W626:Z626"/>
    <mergeCell ref="W627:Z627"/>
    <mergeCell ref="W628:Z628"/>
    <mergeCell ref="AA614:AD614"/>
    <mergeCell ref="AA615:AD615"/>
    <mergeCell ref="AA616:AD616"/>
    <mergeCell ref="AA617:AD617"/>
    <mergeCell ref="AA618:AD618"/>
    <mergeCell ref="AA619:AD619"/>
    <mergeCell ref="AA620:AD620"/>
    <mergeCell ref="AA621:AD621"/>
    <mergeCell ref="AA622:AD622"/>
    <mergeCell ref="AA623:AD623"/>
    <mergeCell ref="AA624:AD624"/>
    <mergeCell ref="AA625:AD625"/>
    <mergeCell ref="AA626:AD626"/>
    <mergeCell ref="AA627:AD627"/>
    <mergeCell ref="AA628:AD628"/>
    <mergeCell ref="M625:P625"/>
    <mergeCell ref="Q625:S625"/>
    <mergeCell ref="M626:P626"/>
    <mergeCell ref="Q626:S626"/>
    <mergeCell ref="M627:P627"/>
    <mergeCell ref="Q627:S627"/>
    <mergeCell ref="M628:P628"/>
    <mergeCell ref="Q628:S628"/>
    <mergeCell ref="T614:V614"/>
    <mergeCell ref="T615:V615"/>
    <mergeCell ref="T616:V616"/>
    <mergeCell ref="T617:V617"/>
    <mergeCell ref="T618:V618"/>
    <mergeCell ref="T619:V619"/>
    <mergeCell ref="T620:V620"/>
    <mergeCell ref="T621:V621"/>
    <mergeCell ref="T622:V622"/>
    <mergeCell ref="T623:V623"/>
    <mergeCell ref="T624:V624"/>
    <mergeCell ref="T625:V625"/>
    <mergeCell ref="T626:V626"/>
    <mergeCell ref="T627:V627"/>
    <mergeCell ref="T628:V628"/>
    <mergeCell ref="G624:I624"/>
    <mergeCell ref="J624:L624"/>
    <mergeCell ref="G625:I625"/>
    <mergeCell ref="J625:L625"/>
    <mergeCell ref="G626:I626"/>
    <mergeCell ref="J626:L626"/>
    <mergeCell ref="G627:I627"/>
    <mergeCell ref="J627:L627"/>
    <mergeCell ref="G628:I628"/>
    <mergeCell ref="J628:L628"/>
    <mergeCell ref="M614:P614"/>
    <mergeCell ref="Q614:S614"/>
    <mergeCell ref="M615:P615"/>
    <mergeCell ref="Q615:S615"/>
    <mergeCell ref="M616:P616"/>
    <mergeCell ref="Q616:S616"/>
    <mergeCell ref="M617:P617"/>
    <mergeCell ref="Q617:S617"/>
    <mergeCell ref="M618:P618"/>
    <mergeCell ref="Q618:S618"/>
    <mergeCell ref="M619:P619"/>
    <mergeCell ref="Q619:S619"/>
    <mergeCell ref="M620:P620"/>
    <mergeCell ref="Q620:S620"/>
    <mergeCell ref="M621:P621"/>
    <mergeCell ref="Q621:S621"/>
    <mergeCell ref="M622:P622"/>
    <mergeCell ref="Q622:S622"/>
    <mergeCell ref="M623:P623"/>
    <mergeCell ref="Q623:S623"/>
    <mergeCell ref="M624:P624"/>
    <mergeCell ref="Q624:S624"/>
    <mergeCell ref="G615:I615"/>
    <mergeCell ref="J615:L615"/>
    <mergeCell ref="G616:I616"/>
    <mergeCell ref="J616:L616"/>
    <mergeCell ref="G617:I617"/>
    <mergeCell ref="J617:L617"/>
    <mergeCell ref="G618:I618"/>
    <mergeCell ref="J618:L618"/>
    <mergeCell ref="G619:I619"/>
    <mergeCell ref="J619:L619"/>
    <mergeCell ref="G620:I620"/>
    <mergeCell ref="J620:L620"/>
    <mergeCell ref="G621:I621"/>
    <mergeCell ref="J621:L621"/>
    <mergeCell ref="G622:I622"/>
    <mergeCell ref="J622:L622"/>
    <mergeCell ref="G623:I623"/>
    <mergeCell ref="J623:L623"/>
    <mergeCell ref="Z594:AC594"/>
    <mergeCell ref="Z595:AC595"/>
    <mergeCell ref="Z596:AC596"/>
    <mergeCell ref="Z597:AC597"/>
    <mergeCell ref="Z598:AC598"/>
    <mergeCell ref="Z599:AC599"/>
    <mergeCell ref="Z600:AC600"/>
    <mergeCell ref="Z601:AC601"/>
    <mergeCell ref="Z602:AC602"/>
    <mergeCell ref="Z603:AC603"/>
    <mergeCell ref="Z604:AC604"/>
    <mergeCell ref="Z605:AC605"/>
    <mergeCell ref="Z606:AC606"/>
    <mergeCell ref="G614:I614"/>
    <mergeCell ref="J614:L614"/>
    <mergeCell ref="W614:Z614"/>
    <mergeCell ref="T599:V599"/>
    <mergeCell ref="T600:V600"/>
    <mergeCell ref="T601:V601"/>
    <mergeCell ref="T602:V602"/>
    <mergeCell ref="T603:V603"/>
    <mergeCell ref="T604:V604"/>
    <mergeCell ref="T605:V605"/>
    <mergeCell ref="T606:V606"/>
    <mergeCell ref="W594:Y594"/>
    <mergeCell ref="W595:Y595"/>
    <mergeCell ref="W596:Y596"/>
    <mergeCell ref="W597:Y597"/>
    <mergeCell ref="W598:Y598"/>
    <mergeCell ref="W599:Y599"/>
    <mergeCell ref="W600:Y600"/>
    <mergeCell ref="W601:Y601"/>
    <mergeCell ref="W602:Y602"/>
    <mergeCell ref="W603:Y603"/>
    <mergeCell ref="W604:Y604"/>
    <mergeCell ref="W605:Y605"/>
    <mergeCell ref="W606:Y606"/>
    <mergeCell ref="G602:I602"/>
    <mergeCell ref="J602:L602"/>
    <mergeCell ref="G603:I603"/>
    <mergeCell ref="J603:L603"/>
    <mergeCell ref="G604:I604"/>
    <mergeCell ref="J604:L604"/>
    <mergeCell ref="G605:I605"/>
    <mergeCell ref="J605:L605"/>
    <mergeCell ref="G606:I606"/>
    <mergeCell ref="J606:L606"/>
    <mergeCell ref="J601:L601"/>
    <mergeCell ref="M595:P595"/>
    <mergeCell ref="M596:P596"/>
    <mergeCell ref="M597:P597"/>
    <mergeCell ref="M598:P598"/>
    <mergeCell ref="M599:P599"/>
    <mergeCell ref="M600:P600"/>
    <mergeCell ref="M601:P601"/>
    <mergeCell ref="M602:P602"/>
    <mergeCell ref="M603:P603"/>
    <mergeCell ref="M604:P604"/>
    <mergeCell ref="M605:P605"/>
    <mergeCell ref="M606:P606"/>
    <mergeCell ref="G593:I593"/>
    <mergeCell ref="J593:L593"/>
    <mergeCell ref="G594:I594"/>
    <mergeCell ref="J594:L594"/>
    <mergeCell ref="G595:I595"/>
    <mergeCell ref="J595:L595"/>
    <mergeCell ref="G596:I596"/>
    <mergeCell ref="J596:L596"/>
    <mergeCell ref="G597:I597"/>
    <mergeCell ref="J597:L597"/>
    <mergeCell ref="G598:I598"/>
    <mergeCell ref="J598:L598"/>
    <mergeCell ref="G599:I599"/>
    <mergeCell ref="J599:L599"/>
    <mergeCell ref="G600:I600"/>
    <mergeCell ref="J600:L600"/>
    <mergeCell ref="G601:I601"/>
    <mergeCell ref="H526:J526"/>
    <mergeCell ref="K526:M526"/>
    <mergeCell ref="H527:J527"/>
    <mergeCell ref="K527:M527"/>
    <mergeCell ref="H528:J528"/>
    <mergeCell ref="K528:M528"/>
    <mergeCell ref="H529:J529"/>
    <mergeCell ref="K529:M529"/>
    <mergeCell ref="H530:J530"/>
    <mergeCell ref="K530:M530"/>
    <mergeCell ref="O565:Q565"/>
    <mergeCell ref="H565:J565"/>
    <mergeCell ref="G591:I591"/>
    <mergeCell ref="J591:L591"/>
    <mergeCell ref="G592:I592"/>
    <mergeCell ref="J592:L592"/>
    <mergeCell ref="Q592:S592"/>
    <mergeCell ref="H564:I564"/>
    <mergeCell ref="Q589:S590"/>
    <mergeCell ref="H566:J566"/>
    <mergeCell ref="M592:P592"/>
    <mergeCell ref="H517:J517"/>
    <mergeCell ref="K517:M517"/>
    <mergeCell ref="H518:J518"/>
    <mergeCell ref="K518:M518"/>
    <mergeCell ref="H519:J519"/>
    <mergeCell ref="K519:M519"/>
    <mergeCell ref="H520:J520"/>
    <mergeCell ref="K520:M520"/>
    <mergeCell ref="H521:J521"/>
    <mergeCell ref="K521:M521"/>
    <mergeCell ref="H522:J522"/>
    <mergeCell ref="K522:M522"/>
    <mergeCell ref="H523:J523"/>
    <mergeCell ref="K523:M523"/>
    <mergeCell ref="H524:J524"/>
    <mergeCell ref="K524:M524"/>
    <mergeCell ref="H525:J525"/>
    <mergeCell ref="K525:M525"/>
    <mergeCell ref="AB273:AF273"/>
    <mergeCell ref="AB274:AF274"/>
    <mergeCell ref="AB275:AF275"/>
    <mergeCell ref="AB276:AF276"/>
    <mergeCell ref="AB277:AF277"/>
    <mergeCell ref="AB278:AF278"/>
    <mergeCell ref="AB279:AF279"/>
    <mergeCell ref="AB280:AF280"/>
    <mergeCell ref="AB281:AF281"/>
    <mergeCell ref="AB282:AF282"/>
    <mergeCell ref="AB283:AF283"/>
    <mergeCell ref="AB284:AF284"/>
    <mergeCell ref="AB285:AF285"/>
    <mergeCell ref="AB286:AF286"/>
    <mergeCell ref="AB287:AF287"/>
    <mergeCell ref="H516:J516"/>
    <mergeCell ref="K516:M516"/>
    <mergeCell ref="P287:S287"/>
    <mergeCell ref="T273:V273"/>
    <mergeCell ref="T274:V274"/>
    <mergeCell ref="T275:V275"/>
    <mergeCell ref="T276:V276"/>
    <mergeCell ref="T277:V277"/>
    <mergeCell ref="T278:V278"/>
    <mergeCell ref="T279:V279"/>
    <mergeCell ref="T280:V280"/>
    <mergeCell ref="T281:V281"/>
    <mergeCell ref="T282:V282"/>
    <mergeCell ref="T283:V283"/>
    <mergeCell ref="T284:V284"/>
    <mergeCell ref="T285:V285"/>
    <mergeCell ref="T286:V286"/>
    <mergeCell ref="T287:V287"/>
    <mergeCell ref="W273:AA273"/>
    <mergeCell ref="W274:AA274"/>
    <mergeCell ref="W275:AA275"/>
    <mergeCell ref="W276:AA276"/>
    <mergeCell ref="W277:AA277"/>
    <mergeCell ref="W278:AA278"/>
    <mergeCell ref="W279:AA279"/>
    <mergeCell ref="W280:AA280"/>
    <mergeCell ref="W281:AA281"/>
    <mergeCell ref="W282:AA282"/>
    <mergeCell ref="W283:AA283"/>
    <mergeCell ref="W284:AA284"/>
    <mergeCell ref="W285:AA285"/>
    <mergeCell ref="W286:AA286"/>
    <mergeCell ref="W287:AA287"/>
    <mergeCell ref="F274:H274"/>
    <mergeCell ref="I274:K274"/>
    <mergeCell ref="F275:H275"/>
    <mergeCell ref="P273:S273"/>
    <mergeCell ref="P274:S274"/>
    <mergeCell ref="P275:S275"/>
    <mergeCell ref="P276:S276"/>
    <mergeCell ref="P277:S277"/>
    <mergeCell ref="P278:S278"/>
    <mergeCell ref="P279:S279"/>
    <mergeCell ref="P280:S280"/>
    <mergeCell ref="P281:S281"/>
    <mergeCell ref="P282:S282"/>
    <mergeCell ref="P283:S283"/>
    <mergeCell ref="P284:S284"/>
    <mergeCell ref="P285:S285"/>
    <mergeCell ref="P286:S286"/>
    <mergeCell ref="Q257:S257"/>
    <mergeCell ref="Q258:S258"/>
    <mergeCell ref="Q259:S259"/>
    <mergeCell ref="F282:H282"/>
    <mergeCell ref="I282:K282"/>
    <mergeCell ref="F283:H283"/>
    <mergeCell ref="I283:K283"/>
    <mergeCell ref="F284:H284"/>
    <mergeCell ref="I284:K284"/>
    <mergeCell ref="F285:H285"/>
    <mergeCell ref="I285:K285"/>
    <mergeCell ref="F286:H286"/>
    <mergeCell ref="I286:K286"/>
    <mergeCell ref="F287:H287"/>
    <mergeCell ref="I287:K287"/>
    <mergeCell ref="L273:O273"/>
    <mergeCell ref="L274:O274"/>
    <mergeCell ref="L275:O275"/>
    <mergeCell ref="L276:O276"/>
    <mergeCell ref="L277:O277"/>
    <mergeCell ref="L278:O278"/>
    <mergeCell ref="L279:O279"/>
    <mergeCell ref="L280:O280"/>
    <mergeCell ref="L281:O281"/>
    <mergeCell ref="L282:O282"/>
    <mergeCell ref="L283:O283"/>
    <mergeCell ref="L284:O284"/>
    <mergeCell ref="L285:O285"/>
    <mergeCell ref="L286:O286"/>
    <mergeCell ref="L287:O287"/>
    <mergeCell ref="F273:H273"/>
    <mergeCell ref="I273:K273"/>
    <mergeCell ref="Q253:S253"/>
    <mergeCell ref="Q254:S254"/>
    <mergeCell ref="Q255:S255"/>
    <mergeCell ref="I275:K275"/>
    <mergeCell ref="F276:H276"/>
    <mergeCell ref="I276:K276"/>
    <mergeCell ref="F277:H277"/>
    <mergeCell ref="I277:K277"/>
    <mergeCell ref="F278:H278"/>
    <mergeCell ref="I278:K278"/>
    <mergeCell ref="F279:H279"/>
    <mergeCell ref="I279:K279"/>
    <mergeCell ref="F280:H280"/>
    <mergeCell ref="I280:K280"/>
    <mergeCell ref="F281:H281"/>
    <mergeCell ref="I281:K281"/>
    <mergeCell ref="T250:W250"/>
    <mergeCell ref="T251:W251"/>
    <mergeCell ref="T252:W252"/>
    <mergeCell ref="T253:W253"/>
    <mergeCell ref="T254:W254"/>
    <mergeCell ref="T255:W255"/>
    <mergeCell ref="T256:W256"/>
    <mergeCell ref="T257:W257"/>
    <mergeCell ref="T258:W258"/>
    <mergeCell ref="T259:W259"/>
    <mergeCell ref="T260:W260"/>
    <mergeCell ref="T261:W261"/>
    <mergeCell ref="T262:W262"/>
    <mergeCell ref="T263:W263"/>
    <mergeCell ref="T264:W264"/>
    <mergeCell ref="Q256:S256"/>
    <mergeCell ref="I262:L262"/>
    <mergeCell ref="I263:L263"/>
    <mergeCell ref="I264:L264"/>
    <mergeCell ref="X250:AA250"/>
    <mergeCell ref="X251:AA251"/>
    <mergeCell ref="X252:AA252"/>
    <mergeCell ref="X253:AA253"/>
    <mergeCell ref="X254:AA254"/>
    <mergeCell ref="X255:AA255"/>
    <mergeCell ref="X256:AA256"/>
    <mergeCell ref="X257:AA257"/>
    <mergeCell ref="X258:AA258"/>
    <mergeCell ref="X259:AA259"/>
    <mergeCell ref="X260:AA260"/>
    <mergeCell ref="X261:AA261"/>
    <mergeCell ref="X262:AA262"/>
    <mergeCell ref="X263:AA263"/>
    <mergeCell ref="X264:AA264"/>
    <mergeCell ref="M254:P254"/>
    <mergeCell ref="M255:P255"/>
    <mergeCell ref="M256:P256"/>
    <mergeCell ref="M257:P257"/>
    <mergeCell ref="M258:P258"/>
    <mergeCell ref="M259:P259"/>
    <mergeCell ref="M260:P260"/>
    <mergeCell ref="M261:P261"/>
    <mergeCell ref="M262:P262"/>
    <mergeCell ref="M263:P263"/>
    <mergeCell ref="M264:P264"/>
    <mergeCell ref="Q250:S250"/>
    <mergeCell ref="Q251:S251"/>
    <mergeCell ref="Q252:S252"/>
    <mergeCell ref="AA412:AG412"/>
    <mergeCell ref="F249:H249"/>
    <mergeCell ref="F250:H250"/>
    <mergeCell ref="F251:H251"/>
    <mergeCell ref="F252:H252"/>
    <mergeCell ref="F253:H253"/>
    <mergeCell ref="F254:H254"/>
    <mergeCell ref="F255:H255"/>
    <mergeCell ref="F256:H256"/>
    <mergeCell ref="F257:H257"/>
    <mergeCell ref="F258:H258"/>
    <mergeCell ref="F259:H259"/>
    <mergeCell ref="F260:H260"/>
    <mergeCell ref="M250:P250"/>
    <mergeCell ref="M251:P251"/>
    <mergeCell ref="M252:P252"/>
    <mergeCell ref="M253:P253"/>
    <mergeCell ref="Q260:S260"/>
    <mergeCell ref="Q261:S261"/>
    <mergeCell ref="Q262:S262"/>
    <mergeCell ref="Q263:S263"/>
    <mergeCell ref="AA427:AC427"/>
    <mergeCell ref="AD427:AG427"/>
    <mergeCell ref="AA428:AC428"/>
    <mergeCell ref="AD428:AG428"/>
    <mergeCell ref="AA429:AC429"/>
    <mergeCell ref="AD429:AG429"/>
    <mergeCell ref="AA430:AC430"/>
    <mergeCell ref="AD430:AG430"/>
    <mergeCell ref="AA413:AC414"/>
    <mergeCell ref="AD413:AG414"/>
    <mergeCell ref="AA415:AC415"/>
    <mergeCell ref="AD415:AG415"/>
    <mergeCell ref="AA416:AC416"/>
    <mergeCell ref="AD416:AG416"/>
    <mergeCell ref="AA417:AC417"/>
    <mergeCell ref="AD417:AG417"/>
    <mergeCell ref="AA418:AC418"/>
    <mergeCell ref="AD418:AG418"/>
    <mergeCell ref="AA419:AC419"/>
    <mergeCell ref="AD419:AG419"/>
    <mergeCell ref="AA420:AC420"/>
    <mergeCell ref="AD420:AG420"/>
    <mergeCell ref="AA421:AC421"/>
    <mergeCell ref="AD421:AG421"/>
    <mergeCell ref="AA422:AC422"/>
    <mergeCell ref="AD422:AG422"/>
    <mergeCell ref="Q424:S424"/>
    <mergeCell ref="Q425:S425"/>
    <mergeCell ref="Q426:S426"/>
    <mergeCell ref="Q427:S427"/>
    <mergeCell ref="Q428:S428"/>
    <mergeCell ref="Q429:S429"/>
    <mergeCell ref="Q430:S430"/>
    <mergeCell ref="W416:Z416"/>
    <mergeCell ref="W417:Z417"/>
    <mergeCell ref="W418:Z418"/>
    <mergeCell ref="W419:Z419"/>
    <mergeCell ref="W420:Z420"/>
    <mergeCell ref="W421:Z421"/>
    <mergeCell ref="W422:Z422"/>
    <mergeCell ref="W423:Z423"/>
    <mergeCell ref="W424:Z424"/>
    <mergeCell ref="W425:Z425"/>
    <mergeCell ref="W426:Z426"/>
    <mergeCell ref="W427:Z427"/>
    <mergeCell ref="W428:Z428"/>
    <mergeCell ref="W429:Z429"/>
    <mergeCell ref="W430:Z430"/>
    <mergeCell ref="AA423:AC423"/>
    <mergeCell ref="AD423:AG423"/>
    <mergeCell ref="AA424:AC424"/>
    <mergeCell ref="AD424:AG424"/>
    <mergeCell ref="AA425:AC425"/>
    <mergeCell ref="AD425:AG425"/>
    <mergeCell ref="AA426:AC426"/>
    <mergeCell ref="AD426:AG426"/>
    <mergeCell ref="J425:L425"/>
    <mergeCell ref="T425:V425"/>
    <mergeCell ref="J426:L426"/>
    <mergeCell ref="T426:V426"/>
    <mergeCell ref="J427:L427"/>
    <mergeCell ref="T427:V427"/>
    <mergeCell ref="J428:L428"/>
    <mergeCell ref="T428:V428"/>
    <mergeCell ref="J429:L429"/>
    <mergeCell ref="T429:V429"/>
    <mergeCell ref="J430:L430"/>
    <mergeCell ref="T430:V430"/>
    <mergeCell ref="M416:P416"/>
    <mergeCell ref="M417:P417"/>
    <mergeCell ref="M418:P418"/>
    <mergeCell ref="M419:P419"/>
    <mergeCell ref="M420:P420"/>
    <mergeCell ref="M421:P421"/>
    <mergeCell ref="M422:P422"/>
    <mergeCell ref="M423:P423"/>
    <mergeCell ref="M424:P424"/>
    <mergeCell ref="M425:P425"/>
    <mergeCell ref="M426:P426"/>
    <mergeCell ref="M427:P427"/>
    <mergeCell ref="M428:P428"/>
    <mergeCell ref="M429:P429"/>
    <mergeCell ref="M430:P430"/>
    <mergeCell ref="J416:L416"/>
    <mergeCell ref="T416:V416"/>
    <mergeCell ref="J417:L417"/>
    <mergeCell ref="T417:V417"/>
    <mergeCell ref="J418:L418"/>
    <mergeCell ref="T418:V418"/>
    <mergeCell ref="J419:L419"/>
    <mergeCell ref="T419:V419"/>
    <mergeCell ref="J420:L420"/>
    <mergeCell ref="T420:V420"/>
    <mergeCell ref="J421:L421"/>
    <mergeCell ref="T421:V421"/>
    <mergeCell ref="J422:L422"/>
    <mergeCell ref="T422:V422"/>
    <mergeCell ref="J423:L423"/>
    <mergeCell ref="T423:V423"/>
    <mergeCell ref="J424:L424"/>
    <mergeCell ref="T424:V424"/>
    <mergeCell ref="W391:Z391"/>
    <mergeCell ref="W392:Z392"/>
    <mergeCell ref="W393:Z393"/>
    <mergeCell ref="W394:Z394"/>
    <mergeCell ref="W395:Z395"/>
    <mergeCell ref="W396:Z396"/>
    <mergeCell ref="W397:Z397"/>
    <mergeCell ref="W398:Z398"/>
    <mergeCell ref="W399:Z399"/>
    <mergeCell ref="W400:Z400"/>
    <mergeCell ref="W401:Z401"/>
    <mergeCell ref="W402:Z402"/>
    <mergeCell ref="W403:Z403"/>
    <mergeCell ref="W404:Z404"/>
    <mergeCell ref="W405:Z405"/>
    <mergeCell ref="T390:V390"/>
    <mergeCell ref="J415:L415"/>
    <mergeCell ref="T415:V415"/>
    <mergeCell ref="J412:L414"/>
    <mergeCell ref="M412:P414"/>
    <mergeCell ref="Q412:S414"/>
    <mergeCell ref="T412:Z412"/>
    <mergeCell ref="T391:V391"/>
    <mergeCell ref="T392:V392"/>
    <mergeCell ref="T393:V393"/>
    <mergeCell ref="T394:V394"/>
    <mergeCell ref="T395:V395"/>
    <mergeCell ref="T396:V396"/>
    <mergeCell ref="T397:V397"/>
    <mergeCell ref="T398:V398"/>
    <mergeCell ref="T399:V399"/>
    <mergeCell ref="T400:V400"/>
    <mergeCell ref="T401:V401"/>
    <mergeCell ref="T402:V402"/>
    <mergeCell ref="T403:V403"/>
    <mergeCell ref="T404:V404"/>
    <mergeCell ref="T405:V405"/>
    <mergeCell ref="M391:P391"/>
    <mergeCell ref="M392:P392"/>
    <mergeCell ref="M393:P393"/>
    <mergeCell ref="M394:P394"/>
    <mergeCell ref="M395:P395"/>
    <mergeCell ref="M396:P396"/>
    <mergeCell ref="M397:P397"/>
    <mergeCell ref="M398:P398"/>
    <mergeCell ref="M399:P399"/>
    <mergeCell ref="M400:P400"/>
    <mergeCell ref="M401:P401"/>
    <mergeCell ref="M402:P402"/>
    <mergeCell ref="M403:P403"/>
    <mergeCell ref="M404:P404"/>
    <mergeCell ref="M405:P405"/>
    <mergeCell ref="Q391:S391"/>
    <mergeCell ref="Q392:S392"/>
    <mergeCell ref="J390:L390"/>
    <mergeCell ref="J391:L391"/>
    <mergeCell ref="J392:L392"/>
    <mergeCell ref="J393:L393"/>
    <mergeCell ref="J394:L394"/>
    <mergeCell ref="J395:L395"/>
    <mergeCell ref="J396:L396"/>
    <mergeCell ref="J397:L397"/>
    <mergeCell ref="J398:L398"/>
    <mergeCell ref="J399:L399"/>
    <mergeCell ref="J400:L400"/>
    <mergeCell ref="J401:L401"/>
    <mergeCell ref="J402:L402"/>
    <mergeCell ref="J403:L403"/>
    <mergeCell ref="J404:L404"/>
    <mergeCell ref="J405:L405"/>
    <mergeCell ref="O364:R364"/>
    <mergeCell ref="O365:R365"/>
    <mergeCell ref="O366:R366"/>
    <mergeCell ref="Q393:S393"/>
    <mergeCell ref="Q394:S394"/>
    <mergeCell ref="Q395:S395"/>
    <mergeCell ref="Q396:S396"/>
    <mergeCell ref="Q397:S397"/>
    <mergeCell ref="Q398:S398"/>
    <mergeCell ref="Q399:S399"/>
    <mergeCell ref="Q400:S400"/>
    <mergeCell ref="Q401:S401"/>
    <mergeCell ref="Q402:S402"/>
    <mergeCell ref="Q403:S403"/>
    <mergeCell ref="Q404:S404"/>
    <mergeCell ref="Q405:S405"/>
    <mergeCell ref="W297:AA297"/>
    <mergeCell ref="AB297:AF297"/>
    <mergeCell ref="AB371:AF371"/>
    <mergeCell ref="AF353:AI354"/>
    <mergeCell ref="O355:R355"/>
    <mergeCell ref="S355:W355"/>
    <mergeCell ref="X355:AA355"/>
    <mergeCell ref="AB355:AE355"/>
    <mergeCell ref="AF355:AI355"/>
    <mergeCell ref="X353:AA354"/>
    <mergeCell ref="F318:G318"/>
    <mergeCell ref="AG371:AH371"/>
    <mergeCell ref="J346:K346"/>
    <mergeCell ref="J347:K347"/>
    <mergeCell ref="J348:K348"/>
    <mergeCell ref="J322:K322"/>
    <mergeCell ref="F341:G341"/>
    <mergeCell ref="J341:K341"/>
    <mergeCell ref="J323:K323"/>
    <mergeCell ref="J321:K321"/>
    <mergeCell ref="AB347:AC347"/>
    <mergeCell ref="V347:W347"/>
    <mergeCell ref="AB353:AE354"/>
    <mergeCell ref="AD348:AG348"/>
    <mergeCell ref="H361:J361"/>
    <mergeCell ref="H362:J362"/>
    <mergeCell ref="O356:R356"/>
    <mergeCell ref="O357:R357"/>
    <mergeCell ref="O358:R358"/>
    <mergeCell ref="O359:R359"/>
    <mergeCell ref="O360:R360"/>
    <mergeCell ref="O361:R361"/>
    <mergeCell ref="Q390:S390"/>
    <mergeCell ref="Q415:S415"/>
    <mergeCell ref="W415:Z415"/>
    <mergeCell ref="J227:O227"/>
    <mergeCell ref="P227:U227"/>
    <mergeCell ref="V227:AA227"/>
    <mergeCell ref="Z219:AB219"/>
    <mergeCell ref="J223:O223"/>
    <mergeCell ref="P223:U223"/>
    <mergeCell ref="V223:AA223"/>
    <mergeCell ref="J224:O224"/>
    <mergeCell ref="P224:U224"/>
    <mergeCell ref="V224:AA224"/>
    <mergeCell ref="U220:W220"/>
    <mergeCell ref="U219:W219"/>
    <mergeCell ref="E353:G354"/>
    <mergeCell ref="H353:J354"/>
    <mergeCell ref="K353:N354"/>
    <mergeCell ref="H355:J355"/>
    <mergeCell ref="K355:N355"/>
    <mergeCell ref="O353:R354"/>
    <mergeCell ref="S353:W354"/>
    <mergeCell ref="L295:O295"/>
    <mergeCell ref="F296:H296"/>
    <mergeCell ref="I296:K296"/>
    <mergeCell ref="L296:O296"/>
    <mergeCell ref="W296:AA296"/>
    <mergeCell ref="AB296:AF296"/>
    <mergeCell ref="F297:H297"/>
    <mergeCell ref="I297:K297"/>
    <mergeCell ref="L297:O297"/>
    <mergeCell ref="P297:S297"/>
    <mergeCell ref="V228:AA228"/>
    <mergeCell ref="E355:G355"/>
    <mergeCell ref="E356:G356"/>
    <mergeCell ref="E357:G357"/>
    <mergeCell ref="E358:G358"/>
    <mergeCell ref="E359:G359"/>
    <mergeCell ref="E360:G360"/>
    <mergeCell ref="E361:G361"/>
    <mergeCell ref="E362:G362"/>
    <mergeCell ref="N515:Q515"/>
    <mergeCell ref="R515:U515"/>
    <mergeCell ref="H512:J514"/>
    <mergeCell ref="V515:Y515"/>
    <mergeCell ref="Z512:AC514"/>
    <mergeCell ref="K512:M514"/>
    <mergeCell ref="N512:Q514"/>
    <mergeCell ref="R512:U514"/>
    <mergeCell ref="V512:Y514"/>
    <mergeCell ref="M503:Q504"/>
    <mergeCell ref="R503:V504"/>
    <mergeCell ref="M415:P415"/>
    <mergeCell ref="L381:M381"/>
    <mergeCell ref="J344:K344"/>
    <mergeCell ref="J345:K345"/>
    <mergeCell ref="Y407:Z407"/>
    <mergeCell ref="Y371:Z371"/>
    <mergeCell ref="Q388:S389"/>
    <mergeCell ref="J388:L389"/>
    <mergeCell ref="T388:V389"/>
    <mergeCell ref="H363:J363"/>
    <mergeCell ref="H364:J364"/>
    <mergeCell ref="H365:J365"/>
    <mergeCell ref="O381:P381"/>
    <mergeCell ref="R381:S381"/>
    <mergeCell ref="F213:G213"/>
    <mergeCell ref="I213:J213"/>
    <mergeCell ref="L213:M213"/>
    <mergeCell ref="J215:K215"/>
    <mergeCell ref="J216:K216"/>
    <mergeCell ref="J220:K220"/>
    <mergeCell ref="I318:J318"/>
    <mergeCell ref="J320:K320"/>
    <mergeCell ref="J217:K217"/>
    <mergeCell ref="M218:N218"/>
    <mergeCell ref="N318:O318"/>
    <mergeCell ref="P218:Q218"/>
    <mergeCell ref="P219:Q219"/>
    <mergeCell ref="J228:O228"/>
    <mergeCell ref="P228:U228"/>
    <mergeCell ref="H366:J366"/>
    <mergeCell ref="H367:J367"/>
    <mergeCell ref="H368:J368"/>
    <mergeCell ref="H369:J369"/>
    <mergeCell ref="H370:J370"/>
    <mergeCell ref="O363:R363"/>
    <mergeCell ref="T297:V297"/>
    <mergeCell ref="O362:R362"/>
    <mergeCell ref="E363:G363"/>
    <mergeCell ref="S323:U323"/>
    <mergeCell ref="Q264:S264"/>
    <mergeCell ref="I250:L250"/>
    <mergeCell ref="P192:Q192"/>
    <mergeCell ref="S192:T192"/>
    <mergeCell ref="Q193:T193"/>
    <mergeCell ref="O201:Q201"/>
    <mergeCell ref="R201:T201"/>
    <mergeCell ref="J197:K197"/>
    <mergeCell ref="J198:K198"/>
    <mergeCell ref="AD201:AF201"/>
    <mergeCell ref="AG201:AI201"/>
    <mergeCell ref="O202:Q202"/>
    <mergeCell ref="AG202:AI202"/>
    <mergeCell ref="R202:T202"/>
    <mergeCell ref="U202:W202"/>
    <mergeCell ref="X202:Z202"/>
    <mergeCell ref="AD202:AF202"/>
    <mergeCell ref="G203:K203"/>
    <mergeCell ref="G202:K202"/>
    <mergeCell ref="G201:K201"/>
    <mergeCell ref="L201:N201"/>
    <mergeCell ref="L202:N203"/>
    <mergeCell ref="AG203:AI203"/>
    <mergeCell ref="AA202:AC203"/>
    <mergeCell ref="R203:T203"/>
    <mergeCell ref="U203:W203"/>
    <mergeCell ref="X203:Z203"/>
    <mergeCell ref="J145:K145"/>
    <mergeCell ref="F140:G140"/>
    <mergeCell ref="I140:J140"/>
    <mergeCell ref="K140:L140"/>
    <mergeCell ref="M140:N140"/>
    <mergeCell ref="P140:Q140"/>
    <mergeCell ref="Q155:T155"/>
    <mergeCell ref="F182:G182"/>
    <mergeCell ref="I182:J182"/>
    <mergeCell ref="L182:M182"/>
    <mergeCell ref="J146:K146"/>
    <mergeCell ref="J147:K147"/>
    <mergeCell ref="J148:K148"/>
    <mergeCell ref="N167:P167"/>
    <mergeCell ref="N168:P168"/>
    <mergeCell ref="N169:P169"/>
    <mergeCell ref="N170:P170"/>
    <mergeCell ref="N155:P155"/>
    <mergeCell ref="J155:M155"/>
    <mergeCell ref="J105:K105"/>
    <mergeCell ref="J106:K106"/>
    <mergeCell ref="J107:K107"/>
    <mergeCell ref="K112:P112"/>
    <mergeCell ref="T112:Y112"/>
    <mergeCell ref="Z112:AB112"/>
    <mergeCell ref="H110:J111"/>
    <mergeCell ref="K110:P111"/>
    <mergeCell ref="H112:J112"/>
    <mergeCell ref="Q112:S112"/>
    <mergeCell ref="AC112:AH112"/>
    <mergeCell ref="K113:P113"/>
    <mergeCell ref="T113:Y113"/>
    <mergeCell ref="H114:J114"/>
    <mergeCell ref="Q114:S114"/>
    <mergeCell ref="F143:G143"/>
    <mergeCell ref="I143:J143"/>
    <mergeCell ref="K143:L143"/>
    <mergeCell ref="M143:N143"/>
    <mergeCell ref="P143:Q143"/>
    <mergeCell ref="H117:J117"/>
    <mergeCell ref="Q117:S117"/>
    <mergeCell ref="K117:P117"/>
    <mergeCell ref="H118:J118"/>
    <mergeCell ref="Q118:S118"/>
    <mergeCell ref="K118:P118"/>
    <mergeCell ref="H92:J92"/>
    <mergeCell ref="W91:AB91"/>
    <mergeCell ref="K92:P92"/>
    <mergeCell ref="Q92:V92"/>
    <mergeCell ref="W92:AB92"/>
    <mergeCell ref="H95:J95"/>
    <mergeCell ref="K95:P95"/>
    <mergeCell ref="Q95:V95"/>
    <mergeCell ref="W95:AB95"/>
    <mergeCell ref="H91:J91"/>
    <mergeCell ref="K91:P91"/>
    <mergeCell ref="H96:J96"/>
    <mergeCell ref="K96:P96"/>
    <mergeCell ref="Q96:V96"/>
    <mergeCell ref="W96:AB96"/>
    <mergeCell ref="T74:AG74"/>
    <mergeCell ref="F103:G103"/>
    <mergeCell ref="I103:J103"/>
    <mergeCell ref="K103:L103"/>
    <mergeCell ref="M103:N103"/>
    <mergeCell ref="L72:S72"/>
    <mergeCell ref="T72:AG72"/>
    <mergeCell ref="F83:G83"/>
    <mergeCell ref="I83:J83"/>
    <mergeCell ref="K83:L83"/>
    <mergeCell ref="M83:N83"/>
    <mergeCell ref="P83:Q83"/>
    <mergeCell ref="D58:G61"/>
    <mergeCell ref="H58:P59"/>
    <mergeCell ref="H60:P61"/>
    <mergeCell ref="Q58:Y59"/>
    <mergeCell ref="Q60:Y61"/>
    <mergeCell ref="Z58:AH59"/>
    <mergeCell ref="F72:K72"/>
    <mergeCell ref="F73:K73"/>
    <mergeCell ref="F74:K74"/>
    <mergeCell ref="H113:J113"/>
    <mergeCell ref="Q113:S113"/>
    <mergeCell ref="J86:K86"/>
    <mergeCell ref="J88:K88"/>
    <mergeCell ref="J85:K85"/>
    <mergeCell ref="J87:K87"/>
    <mergeCell ref="L73:S73"/>
    <mergeCell ref="L74:S74"/>
    <mergeCell ref="Z60:AH61"/>
    <mergeCell ref="T73:AG73"/>
    <mergeCell ref="Q111:S111"/>
    <mergeCell ref="Z110:AH110"/>
    <mergeCell ref="Z111:AB111"/>
    <mergeCell ref="AC111:AH111"/>
    <mergeCell ref="AC113:AH113"/>
    <mergeCell ref="Q91:V91"/>
    <mergeCell ref="AB26:AE26"/>
    <mergeCell ref="U15:AA15"/>
    <mergeCell ref="W18:X18"/>
    <mergeCell ref="AE16:AF16"/>
    <mergeCell ref="Y28:Z28"/>
    <mergeCell ref="AB28:AC28"/>
    <mergeCell ref="AE28:AF28"/>
    <mergeCell ref="W29:X29"/>
    <mergeCell ref="E32:T32"/>
    <mergeCell ref="E21:T21"/>
    <mergeCell ref="E43:T43"/>
    <mergeCell ref="D56:G57"/>
    <mergeCell ref="D54:G55"/>
    <mergeCell ref="H54:P55"/>
    <mergeCell ref="Q54:Y55"/>
    <mergeCell ref="H56:P57"/>
    <mergeCell ref="Q56:Y57"/>
    <mergeCell ref="Z54:AH55"/>
    <mergeCell ref="Z56:AH57"/>
    <mergeCell ref="Y16:Z16"/>
    <mergeCell ref="Y17:Z17"/>
    <mergeCell ref="AB16:AC16"/>
    <mergeCell ref="AB17:AC17"/>
    <mergeCell ref="AF14:AI14"/>
    <mergeCell ref="AF15:AI15"/>
    <mergeCell ref="AF26:AI26"/>
    <mergeCell ref="AE17:AF17"/>
    <mergeCell ref="AB14:AE14"/>
    <mergeCell ref="AB15:AE15"/>
    <mergeCell ref="Y27:Z27"/>
    <mergeCell ref="AB27:AC27"/>
    <mergeCell ref="AE27:AF27"/>
    <mergeCell ref="U25:AA25"/>
    <mergeCell ref="AB25:AE25"/>
    <mergeCell ref="AF25:AI25"/>
    <mergeCell ref="U14:AA14"/>
    <mergeCell ref="U26:AA26"/>
    <mergeCell ref="AD152:AI154"/>
    <mergeCell ref="X155:AC155"/>
    <mergeCell ref="AD377:AE377"/>
    <mergeCell ref="AC376:AF376"/>
    <mergeCell ref="AD155:AI155"/>
    <mergeCell ref="U155:W155"/>
    <mergeCell ref="X163:AC163"/>
    <mergeCell ref="AD203:AF203"/>
    <mergeCell ref="T117:Y117"/>
    <mergeCell ref="T118:Y118"/>
    <mergeCell ref="AC122:AH122"/>
    <mergeCell ref="AC123:AH123"/>
    <mergeCell ref="AC124:AH124"/>
    <mergeCell ref="AC125:AH125"/>
    <mergeCell ref="AC126:AH126"/>
    <mergeCell ref="AC127:AH127"/>
    <mergeCell ref="T111:Y111"/>
    <mergeCell ref="Q110:Y110"/>
    <mergeCell ref="J184:K184"/>
    <mergeCell ref="U201:W201"/>
    <mergeCell ref="J195:K195"/>
    <mergeCell ref="O192:O193"/>
    <mergeCell ref="P377:R377"/>
    <mergeCell ref="U377:W377"/>
    <mergeCell ref="Y377:Z377"/>
    <mergeCell ref="J185:K185"/>
    <mergeCell ref="J186:K186"/>
    <mergeCell ref="J196:K196"/>
    <mergeCell ref="M189:N189"/>
    <mergeCell ref="J190:K190"/>
    <mergeCell ref="J191:K191"/>
    <mergeCell ref="X152:AC154"/>
    <mergeCell ref="U156:W156"/>
    <mergeCell ref="U157:W157"/>
    <mergeCell ref="U158:W158"/>
    <mergeCell ref="U159:W159"/>
    <mergeCell ref="U160:W160"/>
    <mergeCell ref="M192:N193"/>
    <mergeCell ref="J194:K194"/>
    <mergeCell ref="O203:Q203"/>
    <mergeCell ref="X201:Z201"/>
    <mergeCell ref="AA201:AC201"/>
    <mergeCell ref="J167:M167"/>
    <mergeCell ref="U167:W167"/>
    <mergeCell ref="U168:W168"/>
    <mergeCell ref="U169:W169"/>
    <mergeCell ref="H357:J357"/>
    <mergeCell ref="H358:J358"/>
    <mergeCell ref="H359:J359"/>
    <mergeCell ref="H360:J360"/>
    <mergeCell ref="F238:G238"/>
    <mergeCell ref="I238:J238"/>
    <mergeCell ref="M249:P249"/>
    <mergeCell ref="Q246:S248"/>
    <mergeCell ref="J240:K240"/>
    <mergeCell ref="J241:K241"/>
    <mergeCell ref="J242:K242"/>
    <mergeCell ref="J243:K243"/>
    <mergeCell ref="T413:V414"/>
    <mergeCell ref="Q416:S416"/>
    <mergeCell ref="Q417:S417"/>
    <mergeCell ref="Q418:S418"/>
    <mergeCell ref="Q419:S419"/>
    <mergeCell ref="Q420:S420"/>
    <mergeCell ref="Q421:S421"/>
    <mergeCell ref="Q422:S422"/>
    <mergeCell ref="F246:H248"/>
    <mergeCell ref="I246:L248"/>
    <mergeCell ref="M246:P248"/>
    <mergeCell ref="F291:H293"/>
    <mergeCell ref="I291:K293"/>
    <mergeCell ref="L291:O293"/>
    <mergeCell ref="F294:H294"/>
    <mergeCell ref="I294:K294"/>
    <mergeCell ref="L294:O294"/>
    <mergeCell ref="F295:H295"/>
    <mergeCell ref="I295:K295"/>
    <mergeCell ref="J324:K324"/>
    <mergeCell ref="O341:P341"/>
    <mergeCell ref="J343:K343"/>
    <mergeCell ref="T246:W248"/>
    <mergeCell ref="X246:AA248"/>
    <mergeCell ref="X249:AA249"/>
    <mergeCell ref="F269:H271"/>
    <mergeCell ref="I269:K271"/>
    <mergeCell ref="F272:H272"/>
    <mergeCell ref="I272:K272"/>
    <mergeCell ref="T269:V271"/>
    <mergeCell ref="T272:V272"/>
    <mergeCell ref="P269:S271"/>
    <mergeCell ref="P272:S272"/>
    <mergeCell ref="AB269:AF271"/>
    <mergeCell ref="AB272:AF272"/>
    <mergeCell ref="L272:O272"/>
    <mergeCell ref="F261:H261"/>
    <mergeCell ref="F262:H262"/>
    <mergeCell ref="F263:H263"/>
    <mergeCell ref="F264:H264"/>
    <mergeCell ref="L269:O271"/>
    <mergeCell ref="I251:L251"/>
    <mergeCell ref="I252:L252"/>
    <mergeCell ref="I253:L253"/>
    <mergeCell ref="I254:L254"/>
    <mergeCell ref="I255:L255"/>
    <mergeCell ref="I256:L256"/>
    <mergeCell ref="I257:L257"/>
    <mergeCell ref="I258:L258"/>
    <mergeCell ref="I259:L259"/>
    <mergeCell ref="I260:L260"/>
    <mergeCell ref="I261:L261"/>
    <mergeCell ref="E539:F539"/>
    <mergeCell ref="H539:I539"/>
    <mergeCell ref="K539:L539"/>
    <mergeCell ref="Z728:AB729"/>
    <mergeCell ref="Q249:S249"/>
    <mergeCell ref="T249:W249"/>
    <mergeCell ref="W269:AA271"/>
    <mergeCell ref="W272:AA272"/>
    <mergeCell ref="I541:J541"/>
    <mergeCell ref="I542:J542"/>
    <mergeCell ref="I543:J543"/>
    <mergeCell ref="E548:F548"/>
    <mergeCell ref="H548:I548"/>
    <mergeCell ref="K548:L548"/>
    <mergeCell ref="I550:J550"/>
    <mergeCell ref="I551:J551"/>
    <mergeCell ref="I556:J556"/>
    <mergeCell ref="S553:T553"/>
    <mergeCell ref="S554:T554"/>
    <mergeCell ref="V553:W553"/>
    <mergeCell ref="V554:W554"/>
    <mergeCell ref="Y553:Z553"/>
    <mergeCell ref="I249:L249"/>
    <mergeCell ref="M505:Q505"/>
    <mergeCell ref="R505:V505"/>
    <mergeCell ref="Z515:AC515"/>
    <mergeCell ref="H515:J515"/>
    <mergeCell ref="K515:M515"/>
    <mergeCell ref="G589:I590"/>
    <mergeCell ref="J589:L590"/>
    <mergeCell ref="M589:P590"/>
    <mergeCell ref="Q423:S423"/>
    <mergeCell ref="E574:F574"/>
    <mergeCell ref="H574:I574"/>
    <mergeCell ref="K574:L574"/>
    <mergeCell ref="I576:J576"/>
    <mergeCell ref="K564:L564"/>
    <mergeCell ref="I577:J577"/>
    <mergeCell ref="Y554:Z554"/>
    <mergeCell ref="E562:F562"/>
    <mergeCell ref="H562:I562"/>
    <mergeCell ref="K562:L562"/>
    <mergeCell ref="H563:I563"/>
    <mergeCell ref="J563:K563"/>
    <mergeCell ref="L563:M563"/>
    <mergeCell ref="P563:Q563"/>
    <mergeCell ref="N564:O564"/>
    <mergeCell ref="S564:U564"/>
    <mergeCell ref="Q593:S593"/>
    <mergeCell ref="M593:P593"/>
    <mergeCell ref="Z592:AC592"/>
    <mergeCell ref="Z593:AC593"/>
    <mergeCell ref="W592:Y592"/>
    <mergeCell ref="W593:Y593"/>
    <mergeCell ref="Q595:S595"/>
    <mergeCell ref="Q596:S596"/>
    <mergeCell ref="T592:V592"/>
    <mergeCell ref="T593:V593"/>
    <mergeCell ref="T594:V594"/>
    <mergeCell ref="T595:V595"/>
    <mergeCell ref="T589:V590"/>
    <mergeCell ref="Z654:AB655"/>
    <mergeCell ref="J613:L613"/>
    <mergeCell ref="Z589:AC590"/>
    <mergeCell ref="AB579:AC579"/>
    <mergeCell ref="R580:S580"/>
    <mergeCell ref="U580:V580"/>
    <mergeCell ref="AB580:AC580"/>
    <mergeCell ref="M591:P591"/>
    <mergeCell ref="V579:W579"/>
    <mergeCell ref="Y579:Z579"/>
    <mergeCell ref="W589:Y590"/>
    <mergeCell ref="T591:V591"/>
    <mergeCell ref="W591:Y591"/>
    <mergeCell ref="T611:V612"/>
    <mergeCell ref="Q597:S597"/>
    <mergeCell ref="Q598:S598"/>
    <mergeCell ref="Q599:S599"/>
    <mergeCell ref="Q600:S600"/>
    <mergeCell ref="Q601:S601"/>
    <mergeCell ref="Q602:S602"/>
    <mergeCell ref="Q603:S603"/>
    <mergeCell ref="Q604:S604"/>
    <mergeCell ref="Q605:S605"/>
    <mergeCell ref="Q606:S606"/>
    <mergeCell ref="M594:P594"/>
    <mergeCell ref="T597:V597"/>
    <mergeCell ref="T598:V598"/>
    <mergeCell ref="I641:J641"/>
    <mergeCell ref="I642:J642"/>
    <mergeCell ref="W723:Y729"/>
    <mergeCell ref="T725:V725"/>
    <mergeCell ref="H726:J729"/>
    <mergeCell ref="K726:P727"/>
    <mergeCell ref="I643:J643"/>
    <mergeCell ref="H723:J724"/>
    <mergeCell ref="K723:P723"/>
    <mergeCell ref="Q723:S725"/>
    <mergeCell ref="T723:V723"/>
    <mergeCell ref="H670:M670"/>
    <mergeCell ref="AA611:AD612"/>
    <mergeCell ref="AE580:AF580"/>
    <mergeCell ref="Z580:AA580"/>
    <mergeCell ref="L580:P580"/>
    <mergeCell ref="H658:M658"/>
    <mergeCell ref="H656:M656"/>
    <mergeCell ref="H657:M657"/>
    <mergeCell ref="X580:Y580"/>
    <mergeCell ref="W654:Y655"/>
    <mergeCell ref="Q656:S658"/>
    <mergeCell ref="AC654:AE655"/>
    <mergeCell ref="Z591:AC591"/>
    <mergeCell ref="AC656:AE656"/>
    <mergeCell ref="AC657:AE657"/>
    <mergeCell ref="T656:V658"/>
    <mergeCell ref="W656:Y658"/>
    <mergeCell ref="Z656:AB656"/>
    <mergeCell ref="Q594:S594"/>
    <mergeCell ref="I644:J644"/>
    <mergeCell ref="I645:J645"/>
    <mergeCell ref="AC668:AE668"/>
    <mergeCell ref="Z669:AB669"/>
    <mergeCell ref="AC669:AE669"/>
    <mergeCell ref="Z670:AB670"/>
    <mergeCell ref="AC670:AE670"/>
    <mergeCell ref="N668:P674"/>
    <mergeCell ref="Q668:S670"/>
    <mergeCell ref="K725:P725"/>
    <mergeCell ref="Q591:S591"/>
    <mergeCell ref="V688:X688"/>
    <mergeCell ref="H721:J722"/>
    <mergeCell ref="K721:P722"/>
    <mergeCell ref="Q721:S722"/>
    <mergeCell ref="T721:V722"/>
    <mergeCell ref="W721:Y722"/>
    <mergeCell ref="Z721:AB722"/>
    <mergeCell ref="G613:I613"/>
    <mergeCell ref="G611:I612"/>
    <mergeCell ref="J611:L612"/>
    <mergeCell ref="M611:P612"/>
    <mergeCell ref="Q611:S612"/>
    <mergeCell ref="W611:Z612"/>
    <mergeCell ref="M613:P613"/>
    <mergeCell ref="Q613:S613"/>
    <mergeCell ref="T613:V613"/>
    <mergeCell ref="T668:V670"/>
    <mergeCell ref="W668:Y670"/>
    <mergeCell ref="H669:M669"/>
    <mergeCell ref="H654:M655"/>
    <mergeCell ref="T596:V596"/>
    <mergeCell ref="Q666:S667"/>
    <mergeCell ref="T666:V667"/>
    <mergeCell ref="Z659:AB660"/>
    <mergeCell ref="Z661:AB662"/>
    <mergeCell ref="E638:F638"/>
    <mergeCell ref="H638:I638"/>
    <mergeCell ref="K638:L638"/>
    <mergeCell ref="H639:I639"/>
    <mergeCell ref="AC671:AE672"/>
    <mergeCell ref="AC673:AE674"/>
    <mergeCell ref="E688:F688"/>
    <mergeCell ref="H688:I688"/>
    <mergeCell ref="K688:M688"/>
    <mergeCell ref="O688:P688"/>
    <mergeCell ref="R688:T688"/>
    <mergeCell ref="T671:V674"/>
    <mergeCell ref="W671:Y674"/>
    <mergeCell ref="Z671:AB672"/>
    <mergeCell ref="H673:M674"/>
    <mergeCell ref="Z673:AB674"/>
    <mergeCell ref="I683:J683"/>
    <mergeCell ref="I684:J684"/>
    <mergeCell ref="I685:J685"/>
    <mergeCell ref="H671:M672"/>
    <mergeCell ref="Q671:S674"/>
    <mergeCell ref="I682:J682"/>
    <mergeCell ref="E687:F687"/>
    <mergeCell ref="H687:I687"/>
    <mergeCell ref="K687:M687"/>
    <mergeCell ref="O687:P687"/>
    <mergeCell ref="R687:T687"/>
    <mergeCell ref="Z657:AB657"/>
    <mergeCell ref="E659:G662"/>
    <mergeCell ref="E680:F680"/>
    <mergeCell ref="H680:I680"/>
    <mergeCell ref="K680:L680"/>
    <mergeCell ref="H659:M660"/>
    <mergeCell ref="H661:M662"/>
    <mergeCell ref="E668:G669"/>
    <mergeCell ref="H668:M668"/>
    <mergeCell ref="E670:G670"/>
    <mergeCell ref="E671:G674"/>
    <mergeCell ref="AA613:AD613"/>
    <mergeCell ref="N656:P662"/>
    <mergeCell ref="W666:Y667"/>
    <mergeCell ref="Z666:AB667"/>
    <mergeCell ref="AC666:AE667"/>
    <mergeCell ref="W613:Z613"/>
    <mergeCell ref="AC659:AE660"/>
    <mergeCell ref="AC661:AE662"/>
    <mergeCell ref="Q654:S655"/>
    <mergeCell ref="T654:V655"/>
    <mergeCell ref="Z658:AB658"/>
    <mergeCell ref="AC658:AE658"/>
    <mergeCell ref="Q659:S662"/>
    <mergeCell ref="T659:V662"/>
    <mergeCell ref="W659:Y662"/>
    <mergeCell ref="H666:M667"/>
    <mergeCell ref="N666:P667"/>
    <mergeCell ref="E654:G655"/>
    <mergeCell ref="E658:G658"/>
    <mergeCell ref="E656:G657"/>
    <mergeCell ref="E666:G667"/>
    <mergeCell ref="N654:P655"/>
    <mergeCell ref="W710:Y711"/>
    <mergeCell ref="T710:V711"/>
    <mergeCell ref="Z710:AB711"/>
    <mergeCell ref="E696:F696"/>
    <mergeCell ref="H696:I696"/>
    <mergeCell ref="K696:L696"/>
    <mergeCell ref="I698:J698"/>
    <mergeCell ref="I699:J699"/>
    <mergeCell ref="I700:J700"/>
    <mergeCell ref="I701:J701"/>
    <mergeCell ref="E704:F704"/>
    <mergeCell ref="H704:I704"/>
    <mergeCell ref="H710:J711"/>
    <mergeCell ref="K710:P711"/>
    <mergeCell ref="Q710:S711"/>
    <mergeCell ref="Z668:AB668"/>
    <mergeCell ref="I746:J746"/>
    <mergeCell ref="E740:F740"/>
    <mergeCell ref="L745:N745"/>
    <mergeCell ref="H715:J718"/>
    <mergeCell ref="K715:P716"/>
    <mergeCell ref="Q715:S718"/>
    <mergeCell ref="T715:V716"/>
    <mergeCell ref="Z715:AB716"/>
    <mergeCell ref="K717:P718"/>
    <mergeCell ref="T717:V718"/>
    <mergeCell ref="Z717:AB718"/>
    <mergeCell ref="W712:Y718"/>
    <mergeCell ref="K714:P714"/>
    <mergeCell ref="T714:V714"/>
    <mergeCell ref="Z714:AB714"/>
    <mergeCell ref="V687:X687"/>
    <mergeCell ref="L747:N747"/>
    <mergeCell ref="L748:N748"/>
    <mergeCell ref="I749:J749"/>
    <mergeCell ref="S750:T750"/>
    <mergeCell ref="S751:T751"/>
    <mergeCell ref="T713:V713"/>
    <mergeCell ref="Z713:AB713"/>
    <mergeCell ref="H714:J714"/>
    <mergeCell ref="Z726:AB727"/>
    <mergeCell ref="Z723:AB723"/>
    <mergeCell ref="Z724:AB724"/>
    <mergeCell ref="Z725:AB725"/>
    <mergeCell ref="K724:P724"/>
    <mergeCell ref="T724:V724"/>
    <mergeCell ref="H725:J725"/>
    <mergeCell ref="H712:J713"/>
    <mergeCell ref="K712:P712"/>
    <mergeCell ref="Q712:S714"/>
    <mergeCell ref="T712:V712"/>
    <mergeCell ref="Z712:AB712"/>
    <mergeCell ref="K713:P713"/>
    <mergeCell ref="Q726:S729"/>
    <mergeCell ref="T726:V727"/>
    <mergeCell ref="K728:P729"/>
    <mergeCell ref="T728:V729"/>
    <mergeCell ref="H740:I740"/>
    <mergeCell ref="K740:L740"/>
    <mergeCell ref="I742:J742"/>
    <mergeCell ref="I743:J743"/>
    <mergeCell ref="N740:O740"/>
    <mergeCell ref="Q740:R740"/>
    <mergeCell ref="L744:N744"/>
    <mergeCell ref="E765:F765"/>
    <mergeCell ref="H765:I765"/>
    <mergeCell ref="K765:L765"/>
    <mergeCell ref="I842:J842"/>
    <mergeCell ref="I843:J843"/>
    <mergeCell ref="H831:J831"/>
    <mergeCell ref="E839:F839"/>
    <mergeCell ref="H839:I839"/>
    <mergeCell ref="I767:J767"/>
    <mergeCell ref="I768:J768"/>
    <mergeCell ref="I769:J769"/>
    <mergeCell ref="H774:I775"/>
    <mergeCell ref="H776:I777"/>
    <mergeCell ref="K839:L839"/>
    <mergeCell ref="E840:F840"/>
    <mergeCell ref="H840:I840"/>
    <mergeCell ref="K840:L840"/>
    <mergeCell ref="J774:L775"/>
    <mergeCell ref="J776:L777"/>
    <mergeCell ref="J778:L779"/>
    <mergeCell ref="H778:I779"/>
    <mergeCell ref="H827:J827"/>
    <mergeCell ref="E829:F829"/>
    <mergeCell ref="H829:I829"/>
    <mergeCell ref="H780:I781"/>
    <mergeCell ref="J780:L781"/>
    <mergeCell ref="H786:I787"/>
    <mergeCell ref="J786:L787"/>
    <mergeCell ref="H796:I797"/>
    <mergeCell ref="J796:L797"/>
    <mergeCell ref="H800:I801"/>
    <mergeCell ref="J800:L801"/>
    <mergeCell ref="AC778:AE778"/>
    <mergeCell ref="AC779:AE779"/>
    <mergeCell ref="T776:V777"/>
    <mergeCell ref="T778:V779"/>
    <mergeCell ref="W776:Y776"/>
    <mergeCell ref="W777:Y777"/>
    <mergeCell ref="W778:Y778"/>
    <mergeCell ref="W779:Y779"/>
    <mergeCell ref="Q778:S779"/>
    <mergeCell ref="Z778:AB779"/>
    <mergeCell ref="T774:V775"/>
    <mergeCell ref="Z774:AB775"/>
    <mergeCell ref="Q774:S775"/>
    <mergeCell ref="AC774:AE775"/>
    <mergeCell ref="Q776:S777"/>
    <mergeCell ref="Z776:AB777"/>
    <mergeCell ref="W774:Y775"/>
    <mergeCell ref="AC776:AE776"/>
    <mergeCell ref="AC777:AE777"/>
    <mergeCell ref="N863:O864"/>
    <mergeCell ref="P863:Q863"/>
    <mergeCell ref="R863:S863"/>
    <mergeCell ref="T864:V864"/>
    <mergeCell ref="L848:AB848"/>
    <mergeCell ref="I849:K850"/>
    <mergeCell ref="L849:N850"/>
    <mergeCell ref="O849:Q850"/>
    <mergeCell ref="R849:T850"/>
    <mergeCell ref="U849:X850"/>
    <mergeCell ref="I822:J822"/>
    <mergeCell ref="I823:J823"/>
    <mergeCell ref="Y849:AB850"/>
    <mergeCell ref="Y851:AB851"/>
    <mergeCell ref="I862:J862"/>
    <mergeCell ref="K862:M862"/>
    <mergeCell ref="N862:O862"/>
    <mergeCell ref="P862:Q862"/>
    <mergeCell ref="R862:S862"/>
    <mergeCell ref="T862:V862"/>
    <mergeCell ref="Q122:S122"/>
    <mergeCell ref="K122:P122"/>
    <mergeCell ref="T122:Y122"/>
    <mergeCell ref="E825:F825"/>
    <mergeCell ref="H825:I825"/>
    <mergeCell ref="K825:L825"/>
    <mergeCell ref="K829:L829"/>
    <mergeCell ref="H830:I830"/>
    <mergeCell ref="K830:M830"/>
    <mergeCell ref="H826:I826"/>
    <mergeCell ref="K826:M826"/>
    <mergeCell ref="I820:J820"/>
    <mergeCell ref="I821:J821"/>
    <mergeCell ref="I845:J845"/>
    <mergeCell ref="I846:J846"/>
    <mergeCell ref="I860:J861"/>
    <mergeCell ref="K860:M861"/>
    <mergeCell ref="N860:O861"/>
    <mergeCell ref="P860:Q861"/>
    <mergeCell ref="R860:S861"/>
    <mergeCell ref="O851:Q851"/>
    <mergeCell ref="R851:T851"/>
    <mergeCell ref="O774:P775"/>
    <mergeCell ref="O776:P776"/>
    <mergeCell ref="O777:P777"/>
    <mergeCell ref="M774:N775"/>
    <mergeCell ref="M776:N777"/>
    <mergeCell ref="M778:N779"/>
    <mergeCell ref="O778:P778"/>
    <mergeCell ref="O779:P779"/>
    <mergeCell ref="M780:N781"/>
    <mergeCell ref="O780:P780"/>
    <mergeCell ref="K114:P114"/>
    <mergeCell ref="T114:Y114"/>
    <mergeCell ref="H115:J115"/>
    <mergeCell ref="Q115:S115"/>
    <mergeCell ref="K115:P115"/>
    <mergeCell ref="T115:Y115"/>
    <mergeCell ref="H116:J116"/>
    <mergeCell ref="Q116:S116"/>
    <mergeCell ref="K116:P116"/>
    <mergeCell ref="T116:Y116"/>
    <mergeCell ref="H120:J120"/>
    <mergeCell ref="Q120:S120"/>
    <mergeCell ref="K120:P120"/>
    <mergeCell ref="T120:Y120"/>
    <mergeCell ref="H121:J121"/>
    <mergeCell ref="Q121:S121"/>
    <mergeCell ref="K121:P121"/>
    <mergeCell ref="T121:Y121"/>
    <mergeCell ref="Y862:AB862"/>
    <mergeCell ref="Y863:AB863"/>
    <mergeCell ref="Y864:AB864"/>
    <mergeCell ref="W860:X861"/>
    <mergeCell ref="W862:X864"/>
    <mergeCell ref="T863:V863"/>
    <mergeCell ref="P864:Q864"/>
    <mergeCell ref="R864:S864"/>
    <mergeCell ref="M388:P389"/>
    <mergeCell ref="M390:P390"/>
    <mergeCell ref="W388:Z389"/>
    <mergeCell ref="W390:Z390"/>
    <mergeCell ref="W413:Z414"/>
    <mergeCell ref="T860:V861"/>
    <mergeCell ref="J859:AA859"/>
    <mergeCell ref="Y860:AB861"/>
    <mergeCell ref="I851:K851"/>
    <mergeCell ref="L851:N851"/>
    <mergeCell ref="U851:X851"/>
    <mergeCell ref="I844:J844"/>
    <mergeCell ref="M786:N787"/>
    <mergeCell ref="O786:P786"/>
    <mergeCell ref="Q786:S787"/>
    <mergeCell ref="T786:V787"/>
    <mergeCell ref="W786:Y786"/>
    <mergeCell ref="Z786:AB787"/>
    <mergeCell ref="O791:P791"/>
    <mergeCell ref="W791:Y791"/>
    <mergeCell ref="M796:N797"/>
    <mergeCell ref="O796:P796"/>
    <mergeCell ref="I863:J864"/>
    <mergeCell ref="K863:M864"/>
    <mergeCell ref="H119:J119"/>
    <mergeCell ref="Q119:S119"/>
    <mergeCell ref="K119:P119"/>
    <mergeCell ref="T119:Y119"/>
    <mergeCell ref="Z124:AB124"/>
    <mergeCell ref="Z125:AB125"/>
    <mergeCell ref="Z126:AB126"/>
    <mergeCell ref="Z127:AB127"/>
    <mergeCell ref="T148:V148"/>
    <mergeCell ref="H126:J126"/>
    <mergeCell ref="Q126:S126"/>
    <mergeCell ref="K126:P126"/>
    <mergeCell ref="T126:Y126"/>
    <mergeCell ref="H127:J127"/>
    <mergeCell ref="Q127:S127"/>
    <mergeCell ref="K127:P127"/>
    <mergeCell ref="T127:Y127"/>
    <mergeCell ref="H123:J123"/>
    <mergeCell ref="Q123:S123"/>
    <mergeCell ref="K123:P123"/>
    <mergeCell ref="T123:Y123"/>
    <mergeCell ref="H124:J124"/>
    <mergeCell ref="Q124:S124"/>
    <mergeCell ref="K124:P124"/>
    <mergeCell ref="T124:Y124"/>
    <mergeCell ref="H125:J125"/>
    <mergeCell ref="Q125:S125"/>
    <mergeCell ref="K125:P125"/>
    <mergeCell ref="T125:Y125"/>
    <mergeCell ref="Z122:AB122"/>
    <mergeCell ref="Z123:AB123"/>
    <mergeCell ref="H122:J122"/>
    <mergeCell ref="AC114:AH114"/>
    <mergeCell ref="AC115:AH115"/>
    <mergeCell ref="AC116:AH116"/>
    <mergeCell ref="AC117:AH117"/>
    <mergeCell ref="AC118:AH118"/>
    <mergeCell ref="AC119:AH119"/>
    <mergeCell ref="AC120:AH120"/>
    <mergeCell ref="AC121:AH121"/>
    <mergeCell ref="Z113:AB113"/>
    <mergeCell ref="Z114:AB114"/>
    <mergeCell ref="Z115:AB115"/>
    <mergeCell ref="Z116:AB116"/>
    <mergeCell ref="Z117:AB117"/>
    <mergeCell ref="Z118:AB118"/>
    <mergeCell ref="Z119:AB119"/>
    <mergeCell ref="Z120:AB120"/>
    <mergeCell ref="Z121:AB121"/>
    <mergeCell ref="G168:I168"/>
    <mergeCell ref="J168:M168"/>
    <mergeCell ref="G159:I159"/>
    <mergeCell ref="J159:M159"/>
    <mergeCell ref="G160:I160"/>
    <mergeCell ref="J160:M160"/>
    <mergeCell ref="G161:I161"/>
    <mergeCell ref="J161:M161"/>
    <mergeCell ref="G162:I162"/>
    <mergeCell ref="J162:M162"/>
    <mergeCell ref="G163:I163"/>
    <mergeCell ref="J163:M163"/>
    <mergeCell ref="G155:I155"/>
    <mergeCell ref="G156:I156"/>
    <mergeCell ref="J156:M156"/>
    <mergeCell ref="G157:I157"/>
    <mergeCell ref="J157:M157"/>
    <mergeCell ref="G158:I158"/>
    <mergeCell ref="J158:M158"/>
    <mergeCell ref="G169:I169"/>
    <mergeCell ref="J169:M169"/>
    <mergeCell ref="G170:I170"/>
    <mergeCell ref="J170:M170"/>
    <mergeCell ref="N151:T151"/>
    <mergeCell ref="U151:AI151"/>
    <mergeCell ref="Q152:T154"/>
    <mergeCell ref="N152:P154"/>
    <mergeCell ref="U152:W154"/>
    <mergeCell ref="J151:M154"/>
    <mergeCell ref="G151:I154"/>
    <mergeCell ref="N156:P156"/>
    <mergeCell ref="N157:P157"/>
    <mergeCell ref="N158:P158"/>
    <mergeCell ref="N159:P159"/>
    <mergeCell ref="N160:P160"/>
    <mergeCell ref="N161:P161"/>
    <mergeCell ref="N162:P162"/>
    <mergeCell ref="N163:P163"/>
    <mergeCell ref="N164:P164"/>
    <mergeCell ref="N165:P165"/>
    <mergeCell ref="N166:P166"/>
    <mergeCell ref="G164:I164"/>
    <mergeCell ref="J164:M164"/>
    <mergeCell ref="G165:I165"/>
    <mergeCell ref="J165:M165"/>
    <mergeCell ref="G166:I166"/>
    <mergeCell ref="J166:M166"/>
    <mergeCell ref="G167:I167"/>
    <mergeCell ref="X156:AC156"/>
    <mergeCell ref="AD156:AI156"/>
    <mergeCell ref="X157:AC157"/>
    <mergeCell ref="AD157:AI157"/>
    <mergeCell ref="X158:AC158"/>
    <mergeCell ref="AD158:AI158"/>
    <mergeCell ref="X159:AC159"/>
    <mergeCell ref="AD159:AI159"/>
    <mergeCell ref="X160:AC160"/>
    <mergeCell ref="AD160:AI160"/>
    <mergeCell ref="U170:W170"/>
    <mergeCell ref="Q156:T156"/>
    <mergeCell ref="Q157:T157"/>
    <mergeCell ref="Q158:T158"/>
    <mergeCell ref="Q159:T159"/>
    <mergeCell ref="Q160:T160"/>
    <mergeCell ref="Q161:T161"/>
    <mergeCell ref="Q162:T162"/>
    <mergeCell ref="Q163:T163"/>
    <mergeCell ref="Q164:T164"/>
    <mergeCell ref="Q165:T165"/>
    <mergeCell ref="Q166:T166"/>
    <mergeCell ref="Q167:T167"/>
    <mergeCell ref="Q168:T168"/>
    <mergeCell ref="Q169:T169"/>
    <mergeCell ref="Q170:T170"/>
    <mergeCell ref="U161:W161"/>
    <mergeCell ref="U162:W162"/>
    <mergeCell ref="U163:W163"/>
    <mergeCell ref="U164:W164"/>
    <mergeCell ref="U165:W165"/>
    <mergeCell ref="U166:W166"/>
    <mergeCell ref="X166:AC166"/>
    <mergeCell ref="AD166:AI166"/>
    <mergeCell ref="X167:AC167"/>
    <mergeCell ref="AD167:AI167"/>
    <mergeCell ref="X168:AC168"/>
    <mergeCell ref="AD168:AI168"/>
    <mergeCell ref="X169:AC169"/>
    <mergeCell ref="AD169:AI169"/>
    <mergeCell ref="X170:AC170"/>
    <mergeCell ref="AD170:AI170"/>
    <mergeCell ref="X161:AC161"/>
    <mergeCell ref="AD161:AI161"/>
    <mergeCell ref="X162:AC162"/>
    <mergeCell ref="AD162:AI162"/>
    <mergeCell ref="AD163:AI163"/>
    <mergeCell ref="X164:AC164"/>
    <mergeCell ref="AD164:AI164"/>
    <mergeCell ref="X165:AC165"/>
    <mergeCell ref="AD165:AI165"/>
    <mergeCell ref="R345:T345"/>
    <mergeCell ref="R242:T242"/>
    <mergeCell ref="P291:S293"/>
    <mergeCell ref="T291:V293"/>
    <mergeCell ref="W291:AA293"/>
    <mergeCell ref="AB291:AF293"/>
    <mergeCell ref="P294:S294"/>
    <mergeCell ref="T294:V294"/>
    <mergeCell ref="W294:AA294"/>
    <mergeCell ref="AB294:AF294"/>
    <mergeCell ref="P295:S295"/>
    <mergeCell ref="T295:V295"/>
    <mergeCell ref="W295:AA295"/>
    <mergeCell ref="AB295:AF295"/>
    <mergeCell ref="P296:S296"/>
    <mergeCell ref="T296:V296"/>
    <mergeCell ref="E364:G364"/>
    <mergeCell ref="E365:G365"/>
    <mergeCell ref="E366:G366"/>
    <mergeCell ref="E367:G367"/>
    <mergeCell ref="E368:G368"/>
    <mergeCell ref="E369:G369"/>
    <mergeCell ref="E370:G370"/>
    <mergeCell ref="K356:N356"/>
    <mergeCell ref="K357:N357"/>
    <mergeCell ref="K358:N358"/>
    <mergeCell ref="K359:N359"/>
    <mergeCell ref="K360:N360"/>
    <mergeCell ref="K361:N361"/>
    <mergeCell ref="K362:N362"/>
    <mergeCell ref="K363:N363"/>
    <mergeCell ref="K364:N364"/>
    <mergeCell ref="K365:N365"/>
    <mergeCell ref="K366:N366"/>
    <mergeCell ref="K367:N367"/>
    <mergeCell ref="K368:N368"/>
    <mergeCell ref="K369:N369"/>
    <mergeCell ref="K370:N370"/>
    <mergeCell ref="H356:J356"/>
    <mergeCell ref="AB367:AE367"/>
    <mergeCell ref="AB368:AE368"/>
    <mergeCell ref="AB369:AE369"/>
    <mergeCell ref="AB370:AE370"/>
    <mergeCell ref="X356:AA356"/>
    <mergeCell ref="X357:AA357"/>
    <mergeCell ref="X358:AA358"/>
    <mergeCell ref="X359:AA359"/>
    <mergeCell ref="X360:AA360"/>
    <mergeCell ref="X361:AA361"/>
    <mergeCell ref="X362:AA362"/>
    <mergeCell ref="X363:AA363"/>
    <mergeCell ref="X364:AA364"/>
    <mergeCell ref="O367:R367"/>
    <mergeCell ref="O368:R368"/>
    <mergeCell ref="O369:R369"/>
    <mergeCell ref="O370:R370"/>
    <mergeCell ref="S356:W356"/>
    <mergeCell ref="S357:W357"/>
    <mergeCell ref="S358:W358"/>
    <mergeCell ref="S359:W359"/>
    <mergeCell ref="S360:W360"/>
    <mergeCell ref="S361:W361"/>
    <mergeCell ref="S362:W362"/>
    <mergeCell ref="S363:W363"/>
    <mergeCell ref="S364:W364"/>
    <mergeCell ref="S365:W365"/>
    <mergeCell ref="S366:W366"/>
    <mergeCell ref="S367:W367"/>
    <mergeCell ref="S368:W368"/>
    <mergeCell ref="S369:W369"/>
    <mergeCell ref="S370:W370"/>
    <mergeCell ref="AF365:AI365"/>
    <mergeCell ref="AF366:AI366"/>
    <mergeCell ref="AF367:AI367"/>
    <mergeCell ref="AF368:AI368"/>
    <mergeCell ref="AF369:AI369"/>
    <mergeCell ref="AF370:AI370"/>
    <mergeCell ref="AF356:AI356"/>
    <mergeCell ref="AF357:AI357"/>
    <mergeCell ref="AF358:AI358"/>
    <mergeCell ref="AF359:AI359"/>
    <mergeCell ref="AF360:AI360"/>
    <mergeCell ref="AF361:AI361"/>
    <mergeCell ref="AF362:AI362"/>
    <mergeCell ref="AF363:AI363"/>
    <mergeCell ref="AF364:AI364"/>
    <mergeCell ref="X365:AA365"/>
    <mergeCell ref="X366:AA366"/>
    <mergeCell ref="X367:AA367"/>
    <mergeCell ref="X368:AA368"/>
    <mergeCell ref="X369:AA369"/>
    <mergeCell ref="X370:AA370"/>
    <mergeCell ref="AB356:AE356"/>
    <mergeCell ref="AB357:AE357"/>
    <mergeCell ref="AB358:AE358"/>
    <mergeCell ref="AB359:AE359"/>
    <mergeCell ref="AB360:AE360"/>
    <mergeCell ref="AB361:AE361"/>
    <mergeCell ref="AB362:AE362"/>
    <mergeCell ref="AB363:AE363"/>
    <mergeCell ref="AB364:AE364"/>
    <mergeCell ref="AB365:AE365"/>
    <mergeCell ref="AB366:AE366"/>
    <mergeCell ref="F298:H298"/>
    <mergeCell ref="I298:K298"/>
    <mergeCell ref="L298:O298"/>
    <mergeCell ref="P298:S298"/>
    <mergeCell ref="T298:V298"/>
    <mergeCell ref="W298:AA298"/>
    <mergeCell ref="AB298:AF298"/>
    <mergeCell ref="F299:H299"/>
    <mergeCell ref="I299:K299"/>
    <mergeCell ref="L299:O299"/>
    <mergeCell ref="P299:S299"/>
    <mergeCell ref="T299:V299"/>
    <mergeCell ref="W299:AA299"/>
    <mergeCell ref="AB299:AF299"/>
    <mergeCell ref="F300:H300"/>
    <mergeCell ref="I300:K300"/>
    <mergeCell ref="L300:O300"/>
    <mergeCell ref="P300:S300"/>
    <mergeCell ref="T300:V300"/>
    <mergeCell ref="W300:AA300"/>
    <mergeCell ref="AB300:AF300"/>
    <mergeCell ref="F301:H301"/>
    <mergeCell ref="I301:K301"/>
    <mergeCell ref="L301:O301"/>
    <mergeCell ref="P301:S301"/>
    <mergeCell ref="T301:V301"/>
    <mergeCell ref="W301:AA301"/>
    <mergeCell ref="AB301:AF301"/>
    <mergeCell ref="F302:H302"/>
    <mergeCell ref="I302:K302"/>
    <mergeCell ref="L302:O302"/>
    <mergeCell ref="P302:S302"/>
    <mergeCell ref="T302:V302"/>
    <mergeCell ref="W302:AA302"/>
    <mergeCell ref="AB302:AF302"/>
    <mergeCell ref="F303:H303"/>
    <mergeCell ref="I303:K303"/>
    <mergeCell ref="L303:O303"/>
    <mergeCell ref="P303:S303"/>
    <mergeCell ref="T303:V303"/>
    <mergeCell ref="W303:AA303"/>
    <mergeCell ref="AB303:AF303"/>
    <mergeCell ref="F304:H304"/>
    <mergeCell ref="I304:K304"/>
    <mergeCell ref="L304:O304"/>
    <mergeCell ref="P304:S304"/>
    <mergeCell ref="T304:V304"/>
    <mergeCell ref="W304:AA304"/>
    <mergeCell ref="AB304:AF304"/>
    <mergeCell ref="F305:H305"/>
    <mergeCell ref="I305:K305"/>
    <mergeCell ref="L305:O305"/>
    <mergeCell ref="P305:S305"/>
    <mergeCell ref="T305:V305"/>
    <mergeCell ref="W305:AA305"/>
    <mergeCell ref="AB305:AF305"/>
    <mergeCell ref="F306:H306"/>
    <mergeCell ref="I306:K306"/>
    <mergeCell ref="L306:O306"/>
    <mergeCell ref="P306:S306"/>
    <mergeCell ref="T306:V306"/>
    <mergeCell ref="W306:AA306"/>
    <mergeCell ref="AB306:AF306"/>
    <mergeCell ref="F307:H307"/>
    <mergeCell ref="I307:K307"/>
    <mergeCell ref="L307:O307"/>
    <mergeCell ref="P307:S307"/>
    <mergeCell ref="T307:V307"/>
    <mergeCell ref="W307:AA307"/>
    <mergeCell ref="AB307:AF307"/>
    <mergeCell ref="F308:H308"/>
    <mergeCell ref="I308:K308"/>
    <mergeCell ref="L308:O308"/>
    <mergeCell ref="P308:S308"/>
    <mergeCell ref="T308:V308"/>
    <mergeCell ref="W308:AA308"/>
    <mergeCell ref="AB308:AF308"/>
    <mergeCell ref="F309:H309"/>
    <mergeCell ref="I309:K309"/>
    <mergeCell ref="L309:O309"/>
    <mergeCell ref="P309:S309"/>
    <mergeCell ref="T309:V309"/>
    <mergeCell ref="W309:AA309"/>
    <mergeCell ref="AB309:AF309"/>
  </mergeCells>
  <phoneticPr fontId="1"/>
  <pageMargins left="0.74803149606299213" right="0.74803149606299213" top="0.98425196850393704" bottom="0.98425196850393704" header="0.51181102362204722" footer="0.51181102362204722"/>
  <pageSetup paperSize="9" scale="97" fitToHeight="0" orientation="portrait" r:id="rId1"/>
  <headerFooter alignWithMargins="0"/>
  <rowBreaks count="23" manualBreakCount="23">
    <brk id="46" max="16383" man="1"/>
    <brk id="96" max="16383" man="1"/>
    <brk id="130" max="16383" man="1"/>
    <brk id="175" max="16383" man="1"/>
    <brk id="204" max="16383" man="1"/>
    <brk id="231" max="16383" man="1"/>
    <brk id="266" min="1" max="34" man="1"/>
    <brk id="312" min="1" max="34" man="1"/>
    <brk id="350" min="1" max="34" man="1"/>
    <brk id="408" min="1" max="34" man="1"/>
    <brk id="434" min="1" max="34" man="1"/>
    <brk id="494" min="1" max="34" man="1"/>
    <brk id="532" min="1" max="34" man="1"/>
    <brk id="569" min="1" max="34" man="1"/>
    <brk id="608" min="1" max="34" man="1"/>
    <brk id="630" min="1" max="34" man="1"/>
    <brk id="676" min="1" max="34" man="1"/>
    <brk id="690" min="1" max="34" man="1"/>
    <brk id="734" min="1" max="34" man="1"/>
    <brk id="771" min="1" max="34" man="1"/>
    <brk id="810" min="1" max="34" man="1"/>
    <brk id="832" min="1" max="34" man="1"/>
    <brk id="853" min="1" max="34" man="1"/>
  </rowBreaks>
  <ignoredErrors>
    <ignoredError sqref="O777 O779:P779 O778:P778 P864:Q864" formula="1"/>
    <ignoredError sqref="W656 T656 AC656:AE658 T671:Y674" evalErro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13"/>
  <sheetViews>
    <sheetView topLeftCell="A85" zoomScaleNormal="100" workbookViewId="0">
      <selection activeCell="B30" sqref="B30"/>
    </sheetView>
  </sheetViews>
  <sheetFormatPr defaultRowHeight="13.5" x14ac:dyDescent="0.15"/>
  <cols>
    <col min="1" max="1" width="27.25" style="55" bestFit="1" customWidth="1"/>
    <col min="2" max="2" width="28.125" style="55" bestFit="1" customWidth="1"/>
    <col min="3" max="3" width="23.875" style="55" bestFit="1" customWidth="1"/>
    <col min="4" max="4" width="20" style="55" bestFit="1" customWidth="1"/>
    <col min="5" max="5" width="24.375" style="55" bestFit="1" customWidth="1"/>
    <col min="6" max="6" width="25.625" style="55" bestFit="1" customWidth="1"/>
    <col min="7" max="8" width="25.625" style="55" customWidth="1"/>
    <col min="9" max="256" width="9" style="55"/>
    <col min="257" max="257" width="27.25" style="55" bestFit="1" customWidth="1"/>
    <col min="258" max="258" width="28.125" style="55" bestFit="1" customWidth="1"/>
    <col min="259" max="259" width="23.875" style="55" bestFit="1" customWidth="1"/>
    <col min="260" max="260" width="20" style="55" bestFit="1" customWidth="1"/>
    <col min="261" max="261" width="24.375" style="55" bestFit="1" customWidth="1"/>
    <col min="262" max="262" width="25.625" style="55" bestFit="1" customWidth="1"/>
    <col min="263" max="264" width="25.625" style="55" customWidth="1"/>
    <col min="265" max="512" width="9" style="55"/>
    <col min="513" max="513" width="27.25" style="55" bestFit="1" customWidth="1"/>
    <col min="514" max="514" width="28.125" style="55" bestFit="1" customWidth="1"/>
    <col min="515" max="515" width="23.875" style="55" bestFit="1" customWidth="1"/>
    <col min="516" max="516" width="20" style="55" bestFit="1" customWidth="1"/>
    <col min="517" max="517" width="24.375" style="55" bestFit="1" customWidth="1"/>
    <col min="518" max="518" width="25.625" style="55" bestFit="1" customWidth="1"/>
    <col min="519" max="520" width="25.625" style="55" customWidth="1"/>
    <col min="521" max="768" width="9" style="55"/>
    <col min="769" max="769" width="27.25" style="55" bestFit="1" customWidth="1"/>
    <col min="770" max="770" width="28.125" style="55" bestFit="1" customWidth="1"/>
    <col min="771" max="771" width="23.875" style="55" bestFit="1" customWidth="1"/>
    <col min="772" max="772" width="20" style="55" bestFit="1" customWidth="1"/>
    <col min="773" max="773" width="24.375" style="55" bestFit="1" customWidth="1"/>
    <col min="774" max="774" width="25.625" style="55" bestFit="1" customWidth="1"/>
    <col min="775" max="776" width="25.625" style="55" customWidth="1"/>
    <col min="777" max="1024" width="9" style="55"/>
    <col min="1025" max="1025" width="27.25" style="55" bestFit="1" customWidth="1"/>
    <col min="1026" max="1026" width="28.125" style="55" bestFit="1" customWidth="1"/>
    <col min="1027" max="1027" width="23.875" style="55" bestFit="1" customWidth="1"/>
    <col min="1028" max="1028" width="20" style="55" bestFit="1" customWidth="1"/>
    <col min="1029" max="1029" width="24.375" style="55" bestFit="1" customWidth="1"/>
    <col min="1030" max="1030" width="25.625" style="55" bestFit="1" customWidth="1"/>
    <col min="1031" max="1032" width="25.625" style="55" customWidth="1"/>
    <col min="1033" max="1280" width="9" style="55"/>
    <col min="1281" max="1281" width="27.25" style="55" bestFit="1" customWidth="1"/>
    <col min="1282" max="1282" width="28.125" style="55" bestFit="1" customWidth="1"/>
    <col min="1283" max="1283" width="23.875" style="55" bestFit="1" customWidth="1"/>
    <col min="1284" max="1284" width="20" style="55" bestFit="1" customWidth="1"/>
    <col min="1285" max="1285" width="24.375" style="55" bestFit="1" customWidth="1"/>
    <col min="1286" max="1286" width="25.625" style="55" bestFit="1" customWidth="1"/>
    <col min="1287" max="1288" width="25.625" style="55" customWidth="1"/>
    <col min="1289" max="1536" width="9" style="55"/>
    <col min="1537" max="1537" width="27.25" style="55" bestFit="1" customWidth="1"/>
    <col min="1538" max="1538" width="28.125" style="55" bestFit="1" customWidth="1"/>
    <col min="1539" max="1539" width="23.875" style="55" bestFit="1" customWidth="1"/>
    <col min="1540" max="1540" width="20" style="55" bestFit="1" customWidth="1"/>
    <col min="1541" max="1541" width="24.375" style="55" bestFit="1" customWidth="1"/>
    <col min="1542" max="1542" width="25.625" style="55" bestFit="1" customWidth="1"/>
    <col min="1543" max="1544" width="25.625" style="55" customWidth="1"/>
    <col min="1545" max="1792" width="9" style="55"/>
    <col min="1793" max="1793" width="27.25" style="55" bestFit="1" customWidth="1"/>
    <col min="1794" max="1794" width="28.125" style="55" bestFit="1" customWidth="1"/>
    <col min="1795" max="1795" width="23.875" style="55" bestFit="1" customWidth="1"/>
    <col min="1796" max="1796" width="20" style="55" bestFit="1" customWidth="1"/>
    <col min="1797" max="1797" width="24.375" style="55" bestFit="1" customWidth="1"/>
    <col min="1798" max="1798" width="25.625" style="55" bestFit="1" customWidth="1"/>
    <col min="1799" max="1800" width="25.625" style="55" customWidth="1"/>
    <col min="1801" max="2048" width="9" style="55"/>
    <col min="2049" max="2049" width="27.25" style="55" bestFit="1" customWidth="1"/>
    <col min="2050" max="2050" width="28.125" style="55" bestFit="1" customWidth="1"/>
    <col min="2051" max="2051" width="23.875" style="55" bestFit="1" customWidth="1"/>
    <col min="2052" max="2052" width="20" style="55" bestFit="1" customWidth="1"/>
    <col min="2053" max="2053" width="24.375" style="55" bestFit="1" customWidth="1"/>
    <col min="2054" max="2054" width="25.625" style="55" bestFit="1" customWidth="1"/>
    <col min="2055" max="2056" width="25.625" style="55" customWidth="1"/>
    <col min="2057" max="2304" width="9" style="55"/>
    <col min="2305" max="2305" width="27.25" style="55" bestFit="1" customWidth="1"/>
    <col min="2306" max="2306" width="28.125" style="55" bestFit="1" customWidth="1"/>
    <col min="2307" max="2307" width="23.875" style="55" bestFit="1" customWidth="1"/>
    <col min="2308" max="2308" width="20" style="55" bestFit="1" customWidth="1"/>
    <col min="2309" max="2309" width="24.375" style="55" bestFit="1" customWidth="1"/>
    <col min="2310" max="2310" width="25.625" style="55" bestFit="1" customWidth="1"/>
    <col min="2311" max="2312" width="25.625" style="55" customWidth="1"/>
    <col min="2313" max="2560" width="9" style="55"/>
    <col min="2561" max="2561" width="27.25" style="55" bestFit="1" customWidth="1"/>
    <col min="2562" max="2562" width="28.125" style="55" bestFit="1" customWidth="1"/>
    <col min="2563" max="2563" width="23.875" style="55" bestFit="1" customWidth="1"/>
    <col min="2564" max="2564" width="20" style="55" bestFit="1" customWidth="1"/>
    <col min="2565" max="2565" width="24.375" style="55" bestFit="1" customWidth="1"/>
    <col min="2566" max="2566" width="25.625" style="55" bestFit="1" customWidth="1"/>
    <col min="2567" max="2568" width="25.625" style="55" customWidth="1"/>
    <col min="2569" max="2816" width="9" style="55"/>
    <col min="2817" max="2817" width="27.25" style="55" bestFit="1" customWidth="1"/>
    <col min="2818" max="2818" width="28.125" style="55" bestFit="1" customWidth="1"/>
    <col min="2819" max="2819" width="23.875" style="55" bestFit="1" customWidth="1"/>
    <col min="2820" max="2820" width="20" style="55" bestFit="1" customWidth="1"/>
    <col min="2821" max="2821" width="24.375" style="55" bestFit="1" customWidth="1"/>
    <col min="2822" max="2822" width="25.625" style="55" bestFit="1" customWidth="1"/>
    <col min="2823" max="2824" width="25.625" style="55" customWidth="1"/>
    <col min="2825" max="3072" width="9" style="55"/>
    <col min="3073" max="3073" width="27.25" style="55" bestFit="1" customWidth="1"/>
    <col min="3074" max="3074" width="28.125" style="55" bestFit="1" customWidth="1"/>
    <col min="3075" max="3075" width="23.875" style="55" bestFit="1" customWidth="1"/>
    <col min="3076" max="3076" width="20" style="55" bestFit="1" customWidth="1"/>
    <col min="3077" max="3077" width="24.375" style="55" bestFit="1" customWidth="1"/>
    <col min="3078" max="3078" width="25.625" style="55" bestFit="1" customWidth="1"/>
    <col min="3079" max="3080" width="25.625" style="55" customWidth="1"/>
    <col min="3081" max="3328" width="9" style="55"/>
    <col min="3329" max="3329" width="27.25" style="55" bestFit="1" customWidth="1"/>
    <col min="3330" max="3330" width="28.125" style="55" bestFit="1" customWidth="1"/>
    <col min="3331" max="3331" width="23.875" style="55" bestFit="1" customWidth="1"/>
    <col min="3332" max="3332" width="20" style="55" bestFit="1" customWidth="1"/>
    <col min="3333" max="3333" width="24.375" style="55" bestFit="1" customWidth="1"/>
    <col min="3334" max="3334" width="25.625" style="55" bestFit="1" customWidth="1"/>
    <col min="3335" max="3336" width="25.625" style="55" customWidth="1"/>
    <col min="3337" max="3584" width="9" style="55"/>
    <col min="3585" max="3585" width="27.25" style="55" bestFit="1" customWidth="1"/>
    <col min="3586" max="3586" width="28.125" style="55" bestFit="1" customWidth="1"/>
    <col min="3587" max="3587" width="23.875" style="55" bestFit="1" customWidth="1"/>
    <col min="3588" max="3588" width="20" style="55" bestFit="1" customWidth="1"/>
    <col min="3589" max="3589" width="24.375" style="55" bestFit="1" customWidth="1"/>
    <col min="3590" max="3590" width="25.625" style="55" bestFit="1" customWidth="1"/>
    <col min="3591" max="3592" width="25.625" style="55" customWidth="1"/>
    <col min="3593" max="3840" width="9" style="55"/>
    <col min="3841" max="3841" width="27.25" style="55" bestFit="1" customWidth="1"/>
    <col min="3842" max="3842" width="28.125" style="55" bestFit="1" customWidth="1"/>
    <col min="3843" max="3843" width="23.875" style="55" bestFit="1" customWidth="1"/>
    <col min="3844" max="3844" width="20" style="55" bestFit="1" customWidth="1"/>
    <col min="3845" max="3845" width="24.375" style="55" bestFit="1" customWidth="1"/>
    <col min="3846" max="3846" width="25.625" style="55" bestFit="1" customWidth="1"/>
    <col min="3847" max="3848" width="25.625" style="55" customWidth="1"/>
    <col min="3849" max="4096" width="9" style="55"/>
    <col min="4097" max="4097" width="27.25" style="55" bestFit="1" customWidth="1"/>
    <col min="4098" max="4098" width="28.125" style="55" bestFit="1" customWidth="1"/>
    <col min="4099" max="4099" width="23.875" style="55" bestFit="1" customWidth="1"/>
    <col min="4100" max="4100" width="20" style="55" bestFit="1" customWidth="1"/>
    <col min="4101" max="4101" width="24.375" style="55" bestFit="1" customWidth="1"/>
    <col min="4102" max="4102" width="25.625" style="55" bestFit="1" customWidth="1"/>
    <col min="4103" max="4104" width="25.625" style="55" customWidth="1"/>
    <col min="4105" max="4352" width="9" style="55"/>
    <col min="4353" max="4353" width="27.25" style="55" bestFit="1" customWidth="1"/>
    <col min="4354" max="4354" width="28.125" style="55" bestFit="1" customWidth="1"/>
    <col min="4355" max="4355" width="23.875" style="55" bestFit="1" customWidth="1"/>
    <col min="4356" max="4356" width="20" style="55" bestFit="1" customWidth="1"/>
    <col min="4357" max="4357" width="24.375" style="55" bestFit="1" customWidth="1"/>
    <col min="4358" max="4358" width="25.625" style="55" bestFit="1" customWidth="1"/>
    <col min="4359" max="4360" width="25.625" style="55" customWidth="1"/>
    <col min="4361" max="4608" width="9" style="55"/>
    <col min="4609" max="4609" width="27.25" style="55" bestFit="1" customWidth="1"/>
    <col min="4610" max="4610" width="28.125" style="55" bestFit="1" customWidth="1"/>
    <col min="4611" max="4611" width="23.875" style="55" bestFit="1" customWidth="1"/>
    <col min="4612" max="4612" width="20" style="55" bestFit="1" customWidth="1"/>
    <col min="4613" max="4613" width="24.375" style="55" bestFit="1" customWidth="1"/>
    <col min="4614" max="4614" width="25.625" style="55" bestFit="1" customWidth="1"/>
    <col min="4615" max="4616" width="25.625" style="55" customWidth="1"/>
    <col min="4617" max="4864" width="9" style="55"/>
    <col min="4865" max="4865" width="27.25" style="55" bestFit="1" customWidth="1"/>
    <col min="4866" max="4866" width="28.125" style="55" bestFit="1" customWidth="1"/>
    <col min="4867" max="4867" width="23.875" style="55" bestFit="1" customWidth="1"/>
    <col min="4868" max="4868" width="20" style="55" bestFit="1" customWidth="1"/>
    <col min="4869" max="4869" width="24.375" style="55" bestFit="1" customWidth="1"/>
    <col min="4870" max="4870" width="25.625" style="55" bestFit="1" customWidth="1"/>
    <col min="4871" max="4872" width="25.625" style="55" customWidth="1"/>
    <col min="4873" max="5120" width="9" style="55"/>
    <col min="5121" max="5121" width="27.25" style="55" bestFit="1" customWidth="1"/>
    <col min="5122" max="5122" width="28.125" style="55" bestFit="1" customWidth="1"/>
    <col min="5123" max="5123" width="23.875" style="55" bestFit="1" customWidth="1"/>
    <col min="5124" max="5124" width="20" style="55" bestFit="1" customWidth="1"/>
    <col min="5125" max="5125" width="24.375" style="55" bestFit="1" customWidth="1"/>
    <col min="5126" max="5126" width="25.625" style="55" bestFit="1" customWidth="1"/>
    <col min="5127" max="5128" width="25.625" style="55" customWidth="1"/>
    <col min="5129" max="5376" width="9" style="55"/>
    <col min="5377" max="5377" width="27.25" style="55" bestFit="1" customWidth="1"/>
    <col min="5378" max="5378" width="28.125" style="55" bestFit="1" customWidth="1"/>
    <col min="5379" max="5379" width="23.875" style="55" bestFit="1" customWidth="1"/>
    <col min="5380" max="5380" width="20" style="55" bestFit="1" customWidth="1"/>
    <col min="5381" max="5381" width="24.375" style="55" bestFit="1" customWidth="1"/>
    <col min="5382" max="5382" width="25.625" style="55" bestFit="1" customWidth="1"/>
    <col min="5383" max="5384" width="25.625" style="55" customWidth="1"/>
    <col min="5385" max="5632" width="9" style="55"/>
    <col min="5633" max="5633" width="27.25" style="55" bestFit="1" customWidth="1"/>
    <col min="5634" max="5634" width="28.125" style="55" bestFit="1" customWidth="1"/>
    <col min="5635" max="5635" width="23.875" style="55" bestFit="1" customWidth="1"/>
    <col min="5636" max="5636" width="20" style="55" bestFit="1" customWidth="1"/>
    <col min="5637" max="5637" width="24.375" style="55" bestFit="1" customWidth="1"/>
    <col min="5638" max="5638" width="25.625" style="55" bestFit="1" customWidth="1"/>
    <col min="5639" max="5640" width="25.625" style="55" customWidth="1"/>
    <col min="5641" max="5888" width="9" style="55"/>
    <col min="5889" max="5889" width="27.25" style="55" bestFit="1" customWidth="1"/>
    <col min="5890" max="5890" width="28.125" style="55" bestFit="1" customWidth="1"/>
    <col min="5891" max="5891" width="23.875" style="55" bestFit="1" customWidth="1"/>
    <col min="5892" max="5892" width="20" style="55" bestFit="1" customWidth="1"/>
    <col min="5893" max="5893" width="24.375" style="55" bestFit="1" customWidth="1"/>
    <col min="5894" max="5894" width="25.625" style="55" bestFit="1" customWidth="1"/>
    <col min="5895" max="5896" width="25.625" style="55" customWidth="1"/>
    <col min="5897" max="6144" width="9" style="55"/>
    <col min="6145" max="6145" width="27.25" style="55" bestFit="1" customWidth="1"/>
    <col min="6146" max="6146" width="28.125" style="55" bestFit="1" customWidth="1"/>
    <col min="6147" max="6147" width="23.875" style="55" bestFit="1" customWidth="1"/>
    <col min="6148" max="6148" width="20" style="55" bestFit="1" customWidth="1"/>
    <col min="6149" max="6149" width="24.375" style="55" bestFit="1" customWidth="1"/>
    <col min="6150" max="6150" width="25.625" style="55" bestFit="1" customWidth="1"/>
    <col min="6151" max="6152" width="25.625" style="55" customWidth="1"/>
    <col min="6153" max="6400" width="9" style="55"/>
    <col min="6401" max="6401" width="27.25" style="55" bestFit="1" customWidth="1"/>
    <col min="6402" max="6402" width="28.125" style="55" bestFit="1" customWidth="1"/>
    <col min="6403" max="6403" width="23.875" style="55" bestFit="1" customWidth="1"/>
    <col min="6404" max="6404" width="20" style="55" bestFit="1" customWidth="1"/>
    <col min="6405" max="6405" width="24.375" style="55" bestFit="1" customWidth="1"/>
    <col min="6406" max="6406" width="25.625" style="55" bestFit="1" customWidth="1"/>
    <col min="6407" max="6408" width="25.625" style="55" customWidth="1"/>
    <col min="6409" max="6656" width="9" style="55"/>
    <col min="6657" max="6657" width="27.25" style="55" bestFit="1" customWidth="1"/>
    <col min="6658" max="6658" width="28.125" style="55" bestFit="1" customWidth="1"/>
    <col min="6659" max="6659" width="23.875" style="55" bestFit="1" customWidth="1"/>
    <col min="6660" max="6660" width="20" style="55" bestFit="1" customWidth="1"/>
    <col min="6661" max="6661" width="24.375" style="55" bestFit="1" customWidth="1"/>
    <col min="6662" max="6662" width="25.625" style="55" bestFit="1" customWidth="1"/>
    <col min="6663" max="6664" width="25.625" style="55" customWidth="1"/>
    <col min="6665" max="6912" width="9" style="55"/>
    <col min="6913" max="6913" width="27.25" style="55" bestFit="1" customWidth="1"/>
    <col min="6914" max="6914" width="28.125" style="55" bestFit="1" customWidth="1"/>
    <col min="6915" max="6915" width="23.875" style="55" bestFit="1" customWidth="1"/>
    <col min="6916" max="6916" width="20" style="55" bestFit="1" customWidth="1"/>
    <col min="6917" max="6917" width="24.375" style="55" bestFit="1" customWidth="1"/>
    <col min="6918" max="6918" width="25.625" style="55" bestFit="1" customWidth="1"/>
    <col min="6919" max="6920" width="25.625" style="55" customWidth="1"/>
    <col min="6921" max="7168" width="9" style="55"/>
    <col min="7169" max="7169" width="27.25" style="55" bestFit="1" customWidth="1"/>
    <col min="7170" max="7170" width="28.125" style="55" bestFit="1" customWidth="1"/>
    <col min="7171" max="7171" width="23.875" style="55" bestFit="1" customWidth="1"/>
    <col min="7172" max="7172" width="20" style="55" bestFit="1" customWidth="1"/>
    <col min="7173" max="7173" width="24.375" style="55" bestFit="1" customWidth="1"/>
    <col min="7174" max="7174" width="25.625" style="55" bestFit="1" customWidth="1"/>
    <col min="7175" max="7176" width="25.625" style="55" customWidth="1"/>
    <col min="7177" max="7424" width="9" style="55"/>
    <col min="7425" max="7425" width="27.25" style="55" bestFit="1" customWidth="1"/>
    <col min="7426" max="7426" width="28.125" style="55" bestFit="1" customWidth="1"/>
    <col min="7427" max="7427" width="23.875" style="55" bestFit="1" customWidth="1"/>
    <col min="7428" max="7428" width="20" style="55" bestFit="1" customWidth="1"/>
    <col min="7429" max="7429" width="24.375" style="55" bestFit="1" customWidth="1"/>
    <col min="7430" max="7430" width="25.625" style="55" bestFit="1" customWidth="1"/>
    <col min="7431" max="7432" width="25.625" style="55" customWidth="1"/>
    <col min="7433" max="7680" width="9" style="55"/>
    <col min="7681" max="7681" width="27.25" style="55" bestFit="1" customWidth="1"/>
    <col min="7682" max="7682" width="28.125" style="55" bestFit="1" customWidth="1"/>
    <col min="7683" max="7683" width="23.875" style="55" bestFit="1" customWidth="1"/>
    <col min="7684" max="7684" width="20" style="55" bestFit="1" customWidth="1"/>
    <col min="7685" max="7685" width="24.375" style="55" bestFit="1" customWidth="1"/>
    <col min="7686" max="7686" width="25.625" style="55" bestFit="1" customWidth="1"/>
    <col min="7687" max="7688" width="25.625" style="55" customWidth="1"/>
    <col min="7689" max="7936" width="9" style="55"/>
    <col min="7937" max="7937" width="27.25" style="55" bestFit="1" customWidth="1"/>
    <col min="7938" max="7938" width="28.125" style="55" bestFit="1" customWidth="1"/>
    <col min="7939" max="7939" width="23.875" style="55" bestFit="1" customWidth="1"/>
    <col min="7940" max="7940" width="20" style="55" bestFit="1" customWidth="1"/>
    <col min="7941" max="7941" width="24.375" style="55" bestFit="1" customWidth="1"/>
    <col min="7942" max="7942" width="25.625" style="55" bestFit="1" customWidth="1"/>
    <col min="7943" max="7944" width="25.625" style="55" customWidth="1"/>
    <col min="7945" max="8192" width="9" style="55"/>
    <col min="8193" max="8193" width="27.25" style="55" bestFit="1" customWidth="1"/>
    <col min="8194" max="8194" width="28.125" style="55" bestFit="1" customWidth="1"/>
    <col min="8195" max="8195" width="23.875" style="55" bestFit="1" customWidth="1"/>
    <col min="8196" max="8196" width="20" style="55" bestFit="1" customWidth="1"/>
    <col min="8197" max="8197" width="24.375" style="55" bestFit="1" customWidth="1"/>
    <col min="8198" max="8198" width="25.625" style="55" bestFit="1" customWidth="1"/>
    <col min="8199" max="8200" width="25.625" style="55" customWidth="1"/>
    <col min="8201" max="8448" width="9" style="55"/>
    <col min="8449" max="8449" width="27.25" style="55" bestFit="1" customWidth="1"/>
    <col min="8450" max="8450" width="28.125" style="55" bestFit="1" customWidth="1"/>
    <col min="8451" max="8451" width="23.875" style="55" bestFit="1" customWidth="1"/>
    <col min="8452" max="8452" width="20" style="55" bestFit="1" customWidth="1"/>
    <col min="8453" max="8453" width="24.375" style="55" bestFit="1" customWidth="1"/>
    <col min="8454" max="8454" width="25.625" style="55" bestFit="1" customWidth="1"/>
    <col min="8455" max="8456" width="25.625" style="55" customWidth="1"/>
    <col min="8457" max="8704" width="9" style="55"/>
    <col min="8705" max="8705" width="27.25" style="55" bestFit="1" customWidth="1"/>
    <col min="8706" max="8706" width="28.125" style="55" bestFit="1" customWidth="1"/>
    <col min="8707" max="8707" width="23.875" style="55" bestFit="1" customWidth="1"/>
    <col min="8708" max="8708" width="20" style="55" bestFit="1" customWidth="1"/>
    <col min="8709" max="8709" width="24.375" style="55" bestFit="1" customWidth="1"/>
    <col min="8710" max="8710" width="25.625" style="55" bestFit="1" customWidth="1"/>
    <col min="8711" max="8712" width="25.625" style="55" customWidth="1"/>
    <col min="8713" max="8960" width="9" style="55"/>
    <col min="8961" max="8961" width="27.25" style="55" bestFit="1" customWidth="1"/>
    <col min="8962" max="8962" width="28.125" style="55" bestFit="1" customWidth="1"/>
    <col min="8963" max="8963" width="23.875" style="55" bestFit="1" customWidth="1"/>
    <col min="8964" max="8964" width="20" style="55" bestFit="1" customWidth="1"/>
    <col min="8965" max="8965" width="24.375" style="55" bestFit="1" customWidth="1"/>
    <col min="8966" max="8966" width="25.625" style="55" bestFit="1" customWidth="1"/>
    <col min="8967" max="8968" width="25.625" style="55" customWidth="1"/>
    <col min="8969" max="9216" width="9" style="55"/>
    <col min="9217" max="9217" width="27.25" style="55" bestFit="1" customWidth="1"/>
    <col min="9218" max="9218" width="28.125" style="55" bestFit="1" customWidth="1"/>
    <col min="9219" max="9219" width="23.875" style="55" bestFit="1" customWidth="1"/>
    <col min="9220" max="9220" width="20" style="55" bestFit="1" customWidth="1"/>
    <col min="9221" max="9221" width="24.375" style="55" bestFit="1" customWidth="1"/>
    <col min="9222" max="9222" width="25.625" style="55" bestFit="1" customWidth="1"/>
    <col min="9223" max="9224" width="25.625" style="55" customWidth="1"/>
    <col min="9225" max="9472" width="9" style="55"/>
    <col min="9473" max="9473" width="27.25" style="55" bestFit="1" customWidth="1"/>
    <col min="9474" max="9474" width="28.125" style="55" bestFit="1" customWidth="1"/>
    <col min="9475" max="9475" width="23.875" style="55" bestFit="1" customWidth="1"/>
    <col min="9476" max="9476" width="20" style="55" bestFit="1" customWidth="1"/>
    <col min="9477" max="9477" width="24.375" style="55" bestFit="1" customWidth="1"/>
    <col min="9478" max="9478" width="25.625" style="55" bestFit="1" customWidth="1"/>
    <col min="9479" max="9480" width="25.625" style="55" customWidth="1"/>
    <col min="9481" max="9728" width="9" style="55"/>
    <col min="9729" max="9729" width="27.25" style="55" bestFit="1" customWidth="1"/>
    <col min="9730" max="9730" width="28.125" style="55" bestFit="1" customWidth="1"/>
    <col min="9731" max="9731" width="23.875" style="55" bestFit="1" customWidth="1"/>
    <col min="9732" max="9732" width="20" style="55" bestFit="1" customWidth="1"/>
    <col min="9733" max="9733" width="24.375" style="55" bestFit="1" customWidth="1"/>
    <col min="9734" max="9734" width="25.625" style="55" bestFit="1" customWidth="1"/>
    <col min="9735" max="9736" width="25.625" style="55" customWidth="1"/>
    <col min="9737" max="9984" width="9" style="55"/>
    <col min="9985" max="9985" width="27.25" style="55" bestFit="1" customWidth="1"/>
    <col min="9986" max="9986" width="28.125" style="55" bestFit="1" customWidth="1"/>
    <col min="9987" max="9987" width="23.875" style="55" bestFit="1" customWidth="1"/>
    <col min="9988" max="9988" width="20" style="55" bestFit="1" customWidth="1"/>
    <col min="9989" max="9989" width="24.375" style="55" bestFit="1" customWidth="1"/>
    <col min="9990" max="9990" width="25.625" style="55" bestFit="1" customWidth="1"/>
    <col min="9991" max="9992" width="25.625" style="55" customWidth="1"/>
    <col min="9993" max="10240" width="9" style="55"/>
    <col min="10241" max="10241" width="27.25" style="55" bestFit="1" customWidth="1"/>
    <col min="10242" max="10242" width="28.125" style="55" bestFit="1" customWidth="1"/>
    <col min="10243" max="10243" width="23.875" style="55" bestFit="1" customWidth="1"/>
    <col min="10244" max="10244" width="20" style="55" bestFit="1" customWidth="1"/>
    <col min="10245" max="10245" width="24.375" style="55" bestFit="1" customWidth="1"/>
    <col min="10246" max="10246" width="25.625" style="55" bestFit="1" customWidth="1"/>
    <col min="10247" max="10248" width="25.625" style="55" customWidth="1"/>
    <col min="10249" max="10496" width="9" style="55"/>
    <col min="10497" max="10497" width="27.25" style="55" bestFit="1" customWidth="1"/>
    <col min="10498" max="10498" width="28.125" style="55" bestFit="1" customWidth="1"/>
    <col min="10499" max="10499" width="23.875" style="55" bestFit="1" customWidth="1"/>
    <col min="10500" max="10500" width="20" style="55" bestFit="1" customWidth="1"/>
    <col min="10501" max="10501" width="24.375" style="55" bestFit="1" customWidth="1"/>
    <col min="10502" max="10502" width="25.625" style="55" bestFit="1" customWidth="1"/>
    <col min="10503" max="10504" width="25.625" style="55" customWidth="1"/>
    <col min="10505" max="10752" width="9" style="55"/>
    <col min="10753" max="10753" width="27.25" style="55" bestFit="1" customWidth="1"/>
    <col min="10754" max="10754" width="28.125" style="55" bestFit="1" customWidth="1"/>
    <col min="10755" max="10755" width="23.875" style="55" bestFit="1" customWidth="1"/>
    <col min="10756" max="10756" width="20" style="55" bestFit="1" customWidth="1"/>
    <col min="10757" max="10757" width="24.375" style="55" bestFit="1" customWidth="1"/>
    <col min="10758" max="10758" width="25.625" style="55" bestFit="1" customWidth="1"/>
    <col min="10759" max="10760" width="25.625" style="55" customWidth="1"/>
    <col min="10761" max="11008" width="9" style="55"/>
    <col min="11009" max="11009" width="27.25" style="55" bestFit="1" customWidth="1"/>
    <col min="11010" max="11010" width="28.125" style="55" bestFit="1" customWidth="1"/>
    <col min="11011" max="11011" width="23.875" style="55" bestFit="1" customWidth="1"/>
    <col min="11012" max="11012" width="20" style="55" bestFit="1" customWidth="1"/>
    <col min="11013" max="11013" width="24.375" style="55" bestFit="1" customWidth="1"/>
    <col min="11014" max="11014" width="25.625" style="55" bestFit="1" customWidth="1"/>
    <col min="11015" max="11016" width="25.625" style="55" customWidth="1"/>
    <col min="11017" max="11264" width="9" style="55"/>
    <col min="11265" max="11265" width="27.25" style="55" bestFit="1" customWidth="1"/>
    <col min="11266" max="11266" width="28.125" style="55" bestFit="1" customWidth="1"/>
    <col min="11267" max="11267" width="23.875" style="55" bestFit="1" customWidth="1"/>
    <col min="11268" max="11268" width="20" style="55" bestFit="1" customWidth="1"/>
    <col min="11269" max="11269" width="24.375" style="55" bestFit="1" customWidth="1"/>
    <col min="11270" max="11270" width="25.625" style="55" bestFit="1" customWidth="1"/>
    <col min="11271" max="11272" width="25.625" style="55" customWidth="1"/>
    <col min="11273" max="11520" width="9" style="55"/>
    <col min="11521" max="11521" width="27.25" style="55" bestFit="1" customWidth="1"/>
    <col min="11522" max="11522" width="28.125" style="55" bestFit="1" customWidth="1"/>
    <col min="11523" max="11523" width="23.875" style="55" bestFit="1" customWidth="1"/>
    <col min="11524" max="11524" width="20" style="55" bestFit="1" customWidth="1"/>
    <col min="11525" max="11525" width="24.375" style="55" bestFit="1" customWidth="1"/>
    <col min="11526" max="11526" width="25.625" style="55" bestFit="1" customWidth="1"/>
    <col min="11527" max="11528" width="25.625" style="55" customWidth="1"/>
    <col min="11529" max="11776" width="9" style="55"/>
    <col min="11777" max="11777" width="27.25" style="55" bestFit="1" customWidth="1"/>
    <col min="11778" max="11778" width="28.125" style="55" bestFit="1" customWidth="1"/>
    <col min="11779" max="11779" width="23.875" style="55" bestFit="1" customWidth="1"/>
    <col min="11780" max="11780" width="20" style="55" bestFit="1" customWidth="1"/>
    <col min="11781" max="11781" width="24.375" style="55" bestFit="1" customWidth="1"/>
    <col min="11782" max="11782" width="25.625" style="55" bestFit="1" customWidth="1"/>
    <col min="11783" max="11784" width="25.625" style="55" customWidth="1"/>
    <col min="11785" max="12032" width="9" style="55"/>
    <col min="12033" max="12033" width="27.25" style="55" bestFit="1" customWidth="1"/>
    <col min="12034" max="12034" width="28.125" style="55" bestFit="1" customWidth="1"/>
    <col min="12035" max="12035" width="23.875" style="55" bestFit="1" customWidth="1"/>
    <col min="12036" max="12036" width="20" style="55" bestFit="1" customWidth="1"/>
    <col min="12037" max="12037" width="24.375" style="55" bestFit="1" customWidth="1"/>
    <col min="12038" max="12038" width="25.625" style="55" bestFit="1" customWidth="1"/>
    <col min="12039" max="12040" width="25.625" style="55" customWidth="1"/>
    <col min="12041" max="12288" width="9" style="55"/>
    <col min="12289" max="12289" width="27.25" style="55" bestFit="1" customWidth="1"/>
    <col min="12290" max="12290" width="28.125" style="55" bestFit="1" customWidth="1"/>
    <col min="12291" max="12291" width="23.875" style="55" bestFit="1" customWidth="1"/>
    <col min="12292" max="12292" width="20" style="55" bestFit="1" customWidth="1"/>
    <col min="12293" max="12293" width="24.375" style="55" bestFit="1" customWidth="1"/>
    <col min="12294" max="12294" width="25.625" style="55" bestFit="1" customWidth="1"/>
    <col min="12295" max="12296" width="25.625" style="55" customWidth="1"/>
    <col min="12297" max="12544" width="9" style="55"/>
    <col min="12545" max="12545" width="27.25" style="55" bestFit="1" customWidth="1"/>
    <col min="12546" max="12546" width="28.125" style="55" bestFit="1" customWidth="1"/>
    <col min="12547" max="12547" width="23.875" style="55" bestFit="1" customWidth="1"/>
    <col min="12548" max="12548" width="20" style="55" bestFit="1" customWidth="1"/>
    <col min="12549" max="12549" width="24.375" style="55" bestFit="1" customWidth="1"/>
    <col min="12550" max="12550" width="25.625" style="55" bestFit="1" customWidth="1"/>
    <col min="12551" max="12552" width="25.625" style="55" customWidth="1"/>
    <col min="12553" max="12800" width="9" style="55"/>
    <col min="12801" max="12801" width="27.25" style="55" bestFit="1" customWidth="1"/>
    <col min="12802" max="12802" width="28.125" style="55" bestFit="1" customWidth="1"/>
    <col min="12803" max="12803" width="23.875" style="55" bestFit="1" customWidth="1"/>
    <col min="12804" max="12804" width="20" style="55" bestFit="1" customWidth="1"/>
    <col min="12805" max="12805" width="24.375" style="55" bestFit="1" customWidth="1"/>
    <col min="12806" max="12806" width="25.625" style="55" bestFit="1" customWidth="1"/>
    <col min="12807" max="12808" width="25.625" style="55" customWidth="1"/>
    <col min="12809" max="13056" width="9" style="55"/>
    <col min="13057" max="13057" width="27.25" style="55" bestFit="1" customWidth="1"/>
    <col min="13058" max="13058" width="28.125" style="55" bestFit="1" customWidth="1"/>
    <col min="13059" max="13059" width="23.875" style="55" bestFit="1" customWidth="1"/>
    <col min="13060" max="13060" width="20" style="55" bestFit="1" customWidth="1"/>
    <col min="13061" max="13061" width="24.375" style="55" bestFit="1" customWidth="1"/>
    <col min="13062" max="13062" width="25.625" style="55" bestFit="1" customWidth="1"/>
    <col min="13063" max="13064" width="25.625" style="55" customWidth="1"/>
    <col min="13065" max="13312" width="9" style="55"/>
    <col min="13313" max="13313" width="27.25" style="55" bestFit="1" customWidth="1"/>
    <col min="13314" max="13314" width="28.125" style="55" bestFit="1" customWidth="1"/>
    <col min="13315" max="13315" width="23.875" style="55" bestFit="1" customWidth="1"/>
    <col min="13316" max="13316" width="20" style="55" bestFit="1" customWidth="1"/>
    <col min="13317" max="13317" width="24.375" style="55" bestFit="1" customWidth="1"/>
    <col min="13318" max="13318" width="25.625" style="55" bestFit="1" customWidth="1"/>
    <col min="13319" max="13320" width="25.625" style="55" customWidth="1"/>
    <col min="13321" max="13568" width="9" style="55"/>
    <col min="13569" max="13569" width="27.25" style="55" bestFit="1" customWidth="1"/>
    <col min="13570" max="13570" width="28.125" style="55" bestFit="1" customWidth="1"/>
    <col min="13571" max="13571" width="23.875" style="55" bestFit="1" customWidth="1"/>
    <col min="13572" max="13572" width="20" style="55" bestFit="1" customWidth="1"/>
    <col min="13573" max="13573" width="24.375" style="55" bestFit="1" customWidth="1"/>
    <col min="13574" max="13574" width="25.625" style="55" bestFit="1" customWidth="1"/>
    <col min="13575" max="13576" width="25.625" style="55" customWidth="1"/>
    <col min="13577" max="13824" width="9" style="55"/>
    <col min="13825" max="13825" width="27.25" style="55" bestFit="1" customWidth="1"/>
    <col min="13826" max="13826" width="28.125" style="55" bestFit="1" customWidth="1"/>
    <col min="13827" max="13827" width="23.875" style="55" bestFit="1" customWidth="1"/>
    <col min="13828" max="13828" width="20" style="55" bestFit="1" customWidth="1"/>
    <col min="13829" max="13829" width="24.375" style="55" bestFit="1" customWidth="1"/>
    <col min="13830" max="13830" width="25.625" style="55" bestFit="1" customWidth="1"/>
    <col min="13831" max="13832" width="25.625" style="55" customWidth="1"/>
    <col min="13833" max="14080" width="9" style="55"/>
    <col min="14081" max="14081" width="27.25" style="55" bestFit="1" customWidth="1"/>
    <col min="14082" max="14082" width="28.125" style="55" bestFit="1" customWidth="1"/>
    <col min="14083" max="14083" width="23.875" style="55" bestFit="1" customWidth="1"/>
    <col min="14084" max="14084" width="20" style="55" bestFit="1" customWidth="1"/>
    <col min="14085" max="14085" width="24.375" style="55" bestFit="1" customWidth="1"/>
    <col min="14086" max="14086" width="25.625" style="55" bestFit="1" customWidth="1"/>
    <col min="14087" max="14088" width="25.625" style="55" customWidth="1"/>
    <col min="14089" max="14336" width="9" style="55"/>
    <col min="14337" max="14337" width="27.25" style="55" bestFit="1" customWidth="1"/>
    <col min="14338" max="14338" width="28.125" style="55" bestFit="1" customWidth="1"/>
    <col min="14339" max="14339" width="23.875" style="55" bestFit="1" customWidth="1"/>
    <col min="14340" max="14340" width="20" style="55" bestFit="1" customWidth="1"/>
    <col min="14341" max="14341" width="24.375" style="55" bestFit="1" customWidth="1"/>
    <col min="14342" max="14342" width="25.625" style="55" bestFit="1" customWidth="1"/>
    <col min="14343" max="14344" width="25.625" style="55" customWidth="1"/>
    <col min="14345" max="14592" width="9" style="55"/>
    <col min="14593" max="14593" width="27.25" style="55" bestFit="1" customWidth="1"/>
    <col min="14594" max="14594" width="28.125" style="55" bestFit="1" customWidth="1"/>
    <col min="14595" max="14595" width="23.875" style="55" bestFit="1" customWidth="1"/>
    <col min="14596" max="14596" width="20" style="55" bestFit="1" customWidth="1"/>
    <col min="14597" max="14597" width="24.375" style="55" bestFit="1" customWidth="1"/>
    <col min="14598" max="14598" width="25.625" style="55" bestFit="1" customWidth="1"/>
    <col min="14599" max="14600" width="25.625" style="55" customWidth="1"/>
    <col min="14601" max="14848" width="9" style="55"/>
    <col min="14849" max="14849" width="27.25" style="55" bestFit="1" customWidth="1"/>
    <col min="14850" max="14850" width="28.125" style="55" bestFit="1" customWidth="1"/>
    <col min="14851" max="14851" width="23.875" style="55" bestFit="1" customWidth="1"/>
    <col min="14852" max="14852" width="20" style="55" bestFit="1" customWidth="1"/>
    <col min="14853" max="14853" width="24.375" style="55" bestFit="1" customWidth="1"/>
    <col min="14854" max="14854" width="25.625" style="55" bestFit="1" customWidth="1"/>
    <col min="14855" max="14856" width="25.625" style="55" customWidth="1"/>
    <col min="14857" max="15104" width="9" style="55"/>
    <col min="15105" max="15105" width="27.25" style="55" bestFit="1" customWidth="1"/>
    <col min="15106" max="15106" width="28.125" style="55" bestFit="1" customWidth="1"/>
    <col min="15107" max="15107" width="23.875" style="55" bestFit="1" customWidth="1"/>
    <col min="15108" max="15108" width="20" style="55" bestFit="1" customWidth="1"/>
    <col min="15109" max="15109" width="24.375" style="55" bestFit="1" customWidth="1"/>
    <col min="15110" max="15110" width="25.625" style="55" bestFit="1" customWidth="1"/>
    <col min="15111" max="15112" width="25.625" style="55" customWidth="1"/>
    <col min="15113" max="15360" width="9" style="55"/>
    <col min="15361" max="15361" width="27.25" style="55" bestFit="1" customWidth="1"/>
    <col min="15362" max="15362" width="28.125" style="55" bestFit="1" customWidth="1"/>
    <col min="15363" max="15363" width="23.875" style="55" bestFit="1" customWidth="1"/>
    <col min="15364" max="15364" width="20" style="55" bestFit="1" customWidth="1"/>
    <col min="15365" max="15365" width="24.375" style="55" bestFit="1" customWidth="1"/>
    <col min="15366" max="15366" width="25.625" style="55" bestFit="1" customWidth="1"/>
    <col min="15367" max="15368" width="25.625" style="55" customWidth="1"/>
    <col min="15369" max="15616" width="9" style="55"/>
    <col min="15617" max="15617" width="27.25" style="55" bestFit="1" customWidth="1"/>
    <col min="15618" max="15618" width="28.125" style="55" bestFit="1" customWidth="1"/>
    <col min="15619" max="15619" width="23.875" style="55" bestFit="1" customWidth="1"/>
    <col min="15620" max="15620" width="20" style="55" bestFit="1" customWidth="1"/>
    <col min="15621" max="15621" width="24.375" style="55" bestFit="1" customWidth="1"/>
    <col min="15622" max="15622" width="25.625" style="55" bestFit="1" customWidth="1"/>
    <col min="15623" max="15624" width="25.625" style="55" customWidth="1"/>
    <col min="15625" max="15872" width="9" style="55"/>
    <col min="15873" max="15873" width="27.25" style="55" bestFit="1" customWidth="1"/>
    <col min="15874" max="15874" width="28.125" style="55" bestFit="1" customWidth="1"/>
    <col min="15875" max="15875" width="23.875" style="55" bestFit="1" customWidth="1"/>
    <col min="15876" max="15876" width="20" style="55" bestFit="1" customWidth="1"/>
    <col min="15877" max="15877" width="24.375" style="55" bestFit="1" customWidth="1"/>
    <col min="15878" max="15878" width="25.625" style="55" bestFit="1" customWidth="1"/>
    <col min="15879" max="15880" width="25.625" style="55" customWidth="1"/>
    <col min="15881" max="16128" width="9" style="55"/>
    <col min="16129" max="16129" width="27.25" style="55" bestFit="1" customWidth="1"/>
    <col min="16130" max="16130" width="28.125" style="55" bestFit="1" customWidth="1"/>
    <col min="16131" max="16131" width="23.875" style="55" bestFit="1" customWidth="1"/>
    <col min="16132" max="16132" width="20" style="55" bestFit="1" customWidth="1"/>
    <col min="16133" max="16133" width="24.375" style="55" bestFit="1" customWidth="1"/>
    <col min="16134" max="16134" width="25.625" style="55" bestFit="1" customWidth="1"/>
    <col min="16135" max="16136" width="25.625" style="55" customWidth="1"/>
    <col min="16137" max="16384" width="9" style="55"/>
  </cols>
  <sheetData>
    <row r="1" spans="1:8" x14ac:dyDescent="0.15">
      <c r="A1" s="54" t="s">
        <v>499</v>
      </c>
    </row>
    <row r="2" spans="1:8" x14ac:dyDescent="0.15">
      <c r="A2" s="56" t="s">
        <v>500</v>
      </c>
    </row>
    <row r="3" spans="1:8" x14ac:dyDescent="0.15">
      <c r="A3" s="54" t="s">
        <v>501</v>
      </c>
      <c r="B3" s="54" t="s">
        <v>502</v>
      </c>
      <c r="C3" s="54" t="s">
        <v>503</v>
      </c>
      <c r="D3" s="54" t="s">
        <v>504</v>
      </c>
      <c r="E3" s="54" t="s">
        <v>505</v>
      </c>
      <c r="F3" s="54" t="s">
        <v>506</v>
      </c>
      <c r="G3" s="54" t="s">
        <v>507</v>
      </c>
      <c r="H3" s="54" t="s">
        <v>508</v>
      </c>
    </row>
    <row r="4" spans="1:8" x14ac:dyDescent="0.15">
      <c r="A4" s="56">
        <v>2</v>
      </c>
      <c r="B4" s="56">
        <v>1</v>
      </c>
      <c r="C4" s="56">
        <v>21</v>
      </c>
      <c r="D4" s="56">
        <v>1</v>
      </c>
      <c r="E4" s="56">
        <v>6</v>
      </c>
      <c r="F4" s="56">
        <v>2</v>
      </c>
      <c r="G4" s="56">
        <v>9.5649999999999995</v>
      </c>
      <c r="H4" s="56">
        <v>5</v>
      </c>
    </row>
    <row r="5" spans="1:8" x14ac:dyDescent="0.15">
      <c r="A5" s="54" t="s">
        <v>509</v>
      </c>
    </row>
    <row r="6" spans="1:8" x14ac:dyDescent="0.15">
      <c r="A6" s="54" t="s">
        <v>510</v>
      </c>
      <c r="B6" s="57" t="s">
        <v>511</v>
      </c>
    </row>
    <row r="7" spans="1:8" x14ac:dyDescent="0.15">
      <c r="A7" s="54" t="s">
        <v>512</v>
      </c>
      <c r="B7" s="54" t="s">
        <v>513</v>
      </c>
      <c r="C7" s="54" t="s">
        <v>514</v>
      </c>
      <c r="D7" s="57" t="s">
        <v>511</v>
      </c>
    </row>
    <row r="8" spans="1:8" x14ac:dyDescent="0.15">
      <c r="A8" s="56">
        <v>1</v>
      </c>
      <c r="B8" s="56"/>
      <c r="C8" s="56"/>
      <c r="D8" s="57" t="s">
        <v>511</v>
      </c>
    </row>
    <row r="9" spans="1:8" x14ac:dyDescent="0.15">
      <c r="A9" s="56">
        <v>2</v>
      </c>
      <c r="B9" s="56"/>
      <c r="C9" s="56"/>
      <c r="D9" s="57" t="s">
        <v>511</v>
      </c>
    </row>
    <row r="10" spans="1:8" x14ac:dyDescent="0.15">
      <c r="A10" s="56">
        <v>3</v>
      </c>
      <c r="B10" s="56"/>
      <c r="C10" s="56"/>
      <c r="D10" s="57" t="s">
        <v>511</v>
      </c>
    </row>
    <row r="11" spans="1:8" x14ac:dyDescent="0.15">
      <c r="A11" s="56">
        <v>4</v>
      </c>
      <c r="B11" s="56"/>
      <c r="C11" s="56"/>
      <c r="D11" s="57" t="s">
        <v>511</v>
      </c>
    </row>
    <row r="12" spans="1:8" x14ac:dyDescent="0.15">
      <c r="A12" s="56">
        <v>5</v>
      </c>
      <c r="B12" s="56"/>
      <c r="C12" s="56"/>
      <c r="D12" s="57" t="s">
        <v>511</v>
      </c>
    </row>
    <row r="13" spans="1:8" x14ac:dyDescent="0.15">
      <c r="A13" s="56">
        <v>6</v>
      </c>
      <c r="B13" s="56"/>
      <c r="C13" s="56"/>
      <c r="D13" s="57" t="s">
        <v>511</v>
      </c>
    </row>
    <row r="15" spans="1:8" x14ac:dyDescent="0.15">
      <c r="A15" s="54" t="s">
        <v>515</v>
      </c>
    </row>
    <row r="16" spans="1:8" x14ac:dyDescent="0.15">
      <c r="A16" s="54" t="s">
        <v>516</v>
      </c>
    </row>
    <row r="17" spans="1:7" x14ac:dyDescent="0.15">
      <c r="A17" s="54" t="s">
        <v>517</v>
      </c>
      <c r="B17" s="54" t="s">
        <v>518</v>
      </c>
      <c r="C17" s="54" t="s">
        <v>519</v>
      </c>
      <c r="D17" s="54" t="s">
        <v>520</v>
      </c>
      <c r="E17" s="54" t="s">
        <v>521</v>
      </c>
      <c r="F17" s="54" t="s">
        <v>522</v>
      </c>
      <c r="G17" s="54" t="s">
        <v>523</v>
      </c>
    </row>
    <row r="18" spans="1:7" x14ac:dyDescent="0.15">
      <c r="A18" s="54" t="s">
        <v>524</v>
      </c>
      <c r="B18" s="56"/>
      <c r="C18" s="56"/>
      <c r="D18" s="56"/>
      <c r="E18" s="56"/>
      <c r="F18" s="56"/>
      <c r="G18" s="56"/>
    </row>
    <row r="19" spans="1:7" x14ac:dyDescent="0.15">
      <c r="A19" s="54" t="s">
        <v>525</v>
      </c>
      <c r="B19" s="56"/>
      <c r="C19" s="56"/>
      <c r="D19" s="56"/>
      <c r="E19" s="56"/>
      <c r="F19" s="56"/>
      <c r="G19" s="56"/>
    </row>
    <row r="20" spans="1:7" x14ac:dyDescent="0.15">
      <c r="A20" s="54" t="s">
        <v>526</v>
      </c>
      <c r="B20" s="56"/>
      <c r="C20" s="56"/>
      <c r="D20" s="56"/>
      <c r="E20" s="56"/>
      <c r="F20" s="56"/>
      <c r="G20" s="56"/>
    </row>
    <row r="21" spans="1:7" x14ac:dyDescent="0.15">
      <c r="A21" s="54" t="s">
        <v>527</v>
      </c>
      <c r="B21" s="56"/>
      <c r="C21" s="56"/>
      <c r="D21" s="56"/>
      <c r="E21" s="56"/>
      <c r="F21" s="56"/>
      <c r="G21" s="56"/>
    </row>
    <row r="22" spans="1:7" x14ac:dyDescent="0.15">
      <c r="A22" s="54" t="s">
        <v>528</v>
      </c>
      <c r="B22" s="56"/>
      <c r="C22" s="56"/>
      <c r="D22" s="56"/>
      <c r="E22" s="56"/>
      <c r="F22" s="56"/>
      <c r="G22" s="56"/>
    </row>
    <row r="23" spans="1:7" x14ac:dyDescent="0.15">
      <c r="A23" s="58"/>
    </row>
    <row r="24" spans="1:7" x14ac:dyDescent="0.15">
      <c r="A24" s="54" t="s">
        <v>529</v>
      </c>
    </row>
    <row r="25" spans="1:7" x14ac:dyDescent="0.15">
      <c r="A25" s="54" t="s">
        <v>517</v>
      </c>
      <c r="B25" s="54" t="s">
        <v>519</v>
      </c>
      <c r="C25" s="54" t="s">
        <v>530</v>
      </c>
      <c r="D25" s="54" t="s">
        <v>522</v>
      </c>
      <c r="E25" s="54" t="s">
        <v>531</v>
      </c>
    </row>
    <row r="26" spans="1:7" x14ac:dyDescent="0.15">
      <c r="A26" s="54" t="s">
        <v>524</v>
      </c>
      <c r="B26" s="56"/>
      <c r="C26" s="56"/>
      <c r="D26" s="56"/>
      <c r="E26" s="56"/>
    </row>
    <row r="27" spans="1:7" x14ac:dyDescent="0.15">
      <c r="A27" s="54" t="s">
        <v>525</v>
      </c>
      <c r="B27" s="56"/>
      <c r="C27" s="56"/>
      <c r="D27" s="56"/>
      <c r="E27" s="56"/>
    </row>
    <row r="28" spans="1:7" x14ac:dyDescent="0.15">
      <c r="A28" s="54" t="s">
        <v>526</v>
      </c>
      <c r="B28" s="56"/>
      <c r="C28" s="56"/>
      <c r="D28" s="56"/>
      <c r="E28" s="56"/>
    </row>
    <row r="29" spans="1:7" x14ac:dyDescent="0.15">
      <c r="A29" s="54" t="s">
        <v>527</v>
      </c>
      <c r="B29" s="56"/>
      <c r="C29" s="56"/>
      <c r="D29" s="56"/>
      <c r="E29" s="56"/>
    </row>
    <row r="30" spans="1:7" x14ac:dyDescent="0.15">
      <c r="A30" s="54" t="s">
        <v>528</v>
      </c>
      <c r="B30" s="56"/>
      <c r="C30" s="56"/>
      <c r="D30" s="56"/>
      <c r="E30" s="56"/>
    </row>
    <row r="32" spans="1:7" x14ac:dyDescent="0.15">
      <c r="A32" s="54" t="s">
        <v>532</v>
      </c>
    </row>
    <row r="33" spans="1:4" x14ac:dyDescent="0.15">
      <c r="A33" s="54" t="s">
        <v>517</v>
      </c>
      <c r="B33" s="54" t="s">
        <v>533</v>
      </c>
      <c r="C33" s="54" t="s">
        <v>534</v>
      </c>
      <c r="D33" s="54" t="s">
        <v>535</v>
      </c>
    </row>
    <row r="34" spans="1:4" x14ac:dyDescent="0.15">
      <c r="A34" s="54" t="s">
        <v>524</v>
      </c>
      <c r="B34" s="56"/>
      <c r="C34" s="56"/>
      <c r="D34" s="56"/>
    </row>
    <row r="35" spans="1:4" x14ac:dyDescent="0.15">
      <c r="A35" s="54" t="s">
        <v>525</v>
      </c>
      <c r="B35" s="56"/>
      <c r="C35" s="56"/>
      <c r="D35" s="56"/>
    </row>
    <row r="36" spans="1:4" x14ac:dyDescent="0.15">
      <c r="A36" s="54" t="s">
        <v>526</v>
      </c>
      <c r="B36" s="56"/>
      <c r="C36" s="56"/>
      <c r="D36" s="56"/>
    </row>
    <row r="37" spans="1:4" x14ac:dyDescent="0.15">
      <c r="A37" s="54" t="s">
        <v>527</v>
      </c>
      <c r="B37" s="56"/>
      <c r="C37" s="56"/>
      <c r="D37" s="56"/>
    </row>
    <row r="38" spans="1:4" x14ac:dyDescent="0.15">
      <c r="A38" s="54" t="s">
        <v>528</v>
      </c>
      <c r="B38" s="56"/>
      <c r="C38" s="56"/>
      <c r="D38" s="56"/>
    </row>
    <row r="39" spans="1:4" x14ac:dyDescent="0.15">
      <c r="A39" s="58"/>
    </row>
    <row r="40" spans="1:4" x14ac:dyDescent="0.15">
      <c r="A40" s="54" t="s">
        <v>536</v>
      </c>
    </row>
    <row r="41" spans="1:4" x14ac:dyDescent="0.15">
      <c r="A41" s="54" t="s">
        <v>517</v>
      </c>
      <c r="B41" s="54" t="s">
        <v>537</v>
      </c>
    </row>
    <row r="42" spans="1:4" x14ac:dyDescent="0.15">
      <c r="A42" s="54" t="s">
        <v>524</v>
      </c>
      <c r="B42" s="56"/>
    </row>
    <row r="43" spans="1:4" x14ac:dyDescent="0.15">
      <c r="A43" s="54" t="s">
        <v>525</v>
      </c>
      <c r="B43" s="56"/>
    </row>
    <row r="44" spans="1:4" x14ac:dyDescent="0.15">
      <c r="A44" s="54" t="s">
        <v>526</v>
      </c>
      <c r="B44" s="56"/>
    </row>
    <row r="45" spans="1:4" x14ac:dyDescent="0.15">
      <c r="A45" s="54" t="s">
        <v>527</v>
      </c>
      <c r="B45" s="56"/>
    </row>
    <row r="46" spans="1:4" x14ac:dyDescent="0.15">
      <c r="A46" s="54" t="s">
        <v>528</v>
      </c>
      <c r="B46" s="56"/>
    </row>
    <row r="48" spans="1:4" x14ac:dyDescent="0.15">
      <c r="A48" s="54" t="s">
        <v>538</v>
      </c>
    </row>
    <row r="49" spans="1:7" x14ac:dyDescent="0.15">
      <c r="A49" s="59" t="s">
        <v>516</v>
      </c>
    </row>
    <row r="50" spans="1:7" x14ac:dyDescent="0.15">
      <c r="A50" s="54" t="s">
        <v>539</v>
      </c>
      <c r="B50" s="54"/>
      <c r="C50" s="54"/>
      <c r="D50" s="54" t="s">
        <v>540</v>
      </c>
      <c r="E50" s="54"/>
      <c r="F50" s="54"/>
      <c r="G50" s="54" t="s">
        <v>541</v>
      </c>
    </row>
    <row r="51" spans="1:7" x14ac:dyDescent="0.15">
      <c r="A51" s="54" t="s">
        <v>542</v>
      </c>
      <c r="B51" s="54" t="s">
        <v>518</v>
      </c>
      <c r="C51" s="54" t="s">
        <v>543</v>
      </c>
      <c r="D51" s="54" t="s">
        <v>544</v>
      </c>
      <c r="E51" s="54" t="s">
        <v>545</v>
      </c>
      <c r="F51" s="54" t="s">
        <v>546</v>
      </c>
      <c r="G51" s="54"/>
    </row>
    <row r="52" spans="1:7" x14ac:dyDescent="0.15">
      <c r="A52" s="56"/>
      <c r="B52" s="56"/>
      <c r="C52" s="56"/>
      <c r="D52" s="56"/>
      <c r="E52" s="56"/>
      <c r="F52" s="56"/>
      <c r="G52" s="56"/>
    </row>
    <row r="53" spans="1:7" x14ac:dyDescent="0.15">
      <c r="A53" s="58"/>
    </row>
    <row r="54" spans="1:7" x14ac:dyDescent="0.15">
      <c r="A54" s="54" t="s">
        <v>532</v>
      </c>
    </row>
    <row r="55" spans="1:7" x14ac:dyDescent="0.15">
      <c r="A55" s="54" t="s">
        <v>533</v>
      </c>
      <c r="B55" s="54" t="s">
        <v>534</v>
      </c>
      <c r="C55" s="54" t="s">
        <v>535</v>
      </c>
    </row>
    <row r="56" spans="1:7" x14ac:dyDescent="0.15">
      <c r="A56" s="56"/>
      <c r="B56" s="56"/>
      <c r="C56" s="56"/>
    </row>
    <row r="57" spans="1:7" x14ac:dyDescent="0.15">
      <c r="A57" s="58"/>
    </row>
    <row r="58" spans="1:7" x14ac:dyDescent="0.15">
      <c r="A58" s="54" t="s">
        <v>536</v>
      </c>
    </row>
    <row r="59" spans="1:7" x14ac:dyDescent="0.15">
      <c r="A59" s="54" t="s">
        <v>537</v>
      </c>
    </row>
    <row r="60" spans="1:7" x14ac:dyDescent="0.15">
      <c r="A60" s="56"/>
    </row>
    <row r="62" spans="1:7" x14ac:dyDescent="0.15">
      <c r="A62" s="54" t="s">
        <v>547</v>
      </c>
    </row>
    <row r="63" spans="1:7" x14ac:dyDescent="0.15">
      <c r="A63" s="54" t="s">
        <v>510</v>
      </c>
      <c r="B63" s="57" t="s">
        <v>511</v>
      </c>
    </row>
    <row r="64" spans="1:7" x14ac:dyDescent="0.15">
      <c r="A64" s="54" t="s">
        <v>512</v>
      </c>
      <c r="B64" s="54" t="s">
        <v>513</v>
      </c>
      <c r="C64" s="54" t="s">
        <v>514</v>
      </c>
      <c r="D64" s="57" t="s">
        <v>511</v>
      </c>
    </row>
    <row r="65" spans="1:7" x14ac:dyDescent="0.15">
      <c r="A65" s="56">
        <v>1</v>
      </c>
      <c r="B65" s="56">
        <v>0</v>
      </c>
      <c r="C65" s="56">
        <v>6</v>
      </c>
      <c r="D65" s="57" t="s">
        <v>511</v>
      </c>
    </row>
    <row r="66" spans="1:7" x14ac:dyDescent="0.15">
      <c r="A66" s="56">
        <v>2</v>
      </c>
      <c r="B66" s="56">
        <v>5</v>
      </c>
      <c r="C66" s="56">
        <v>6</v>
      </c>
      <c r="D66" s="57" t="s">
        <v>511</v>
      </c>
    </row>
    <row r="68" spans="1:7" x14ac:dyDescent="0.15">
      <c r="A68" s="54" t="s">
        <v>515</v>
      </c>
    </row>
    <row r="69" spans="1:7" x14ac:dyDescent="0.15">
      <c r="A69" s="54" t="s">
        <v>516</v>
      </c>
    </row>
    <row r="70" spans="1:7" x14ac:dyDescent="0.15">
      <c r="A70" s="54" t="s">
        <v>517</v>
      </c>
      <c r="B70" s="54" t="s">
        <v>518</v>
      </c>
      <c r="C70" s="54" t="s">
        <v>519</v>
      </c>
      <c r="D70" s="54" t="s">
        <v>520</v>
      </c>
      <c r="E70" s="54" t="s">
        <v>521</v>
      </c>
      <c r="F70" s="54" t="s">
        <v>522</v>
      </c>
      <c r="G70" s="54" t="s">
        <v>523</v>
      </c>
    </row>
    <row r="71" spans="1:7" x14ac:dyDescent="0.15">
      <c r="A71" s="54" t="s">
        <v>524</v>
      </c>
      <c r="B71" s="56"/>
      <c r="C71" s="56"/>
      <c r="D71" s="56"/>
      <c r="E71" s="56"/>
      <c r="F71" s="56"/>
      <c r="G71" s="56"/>
    </row>
    <row r="72" spans="1:7" x14ac:dyDescent="0.15">
      <c r="A72" s="54" t="s">
        <v>525</v>
      </c>
      <c r="B72" s="56"/>
      <c r="C72" s="56"/>
      <c r="D72" s="56"/>
      <c r="E72" s="56"/>
      <c r="F72" s="56"/>
      <c r="G72" s="56"/>
    </row>
    <row r="73" spans="1:7" x14ac:dyDescent="0.15">
      <c r="A73" s="54" t="s">
        <v>526</v>
      </c>
      <c r="B73" s="56"/>
      <c r="C73" s="56"/>
      <c r="D73" s="56"/>
      <c r="E73" s="56"/>
      <c r="F73" s="56"/>
      <c r="G73" s="56"/>
    </row>
    <row r="74" spans="1:7" x14ac:dyDescent="0.15">
      <c r="A74" s="54" t="s">
        <v>527</v>
      </c>
      <c r="B74" s="56"/>
      <c r="C74" s="56"/>
      <c r="D74" s="56"/>
      <c r="E74" s="56"/>
      <c r="F74" s="56"/>
      <c r="G74" s="56"/>
    </row>
    <row r="75" spans="1:7" x14ac:dyDescent="0.15">
      <c r="A75" s="54" t="s">
        <v>528</v>
      </c>
      <c r="B75" s="56"/>
      <c r="C75" s="56"/>
      <c r="D75" s="56"/>
      <c r="E75" s="56"/>
      <c r="F75" s="56"/>
      <c r="G75" s="56"/>
    </row>
    <row r="77" spans="1:7" x14ac:dyDescent="0.15">
      <c r="A77" s="54" t="s">
        <v>529</v>
      </c>
    </row>
    <row r="78" spans="1:7" x14ac:dyDescent="0.15">
      <c r="A78" s="54" t="s">
        <v>517</v>
      </c>
      <c r="B78" s="54" t="s">
        <v>519</v>
      </c>
      <c r="C78" s="54" t="s">
        <v>530</v>
      </c>
      <c r="D78" s="54" t="s">
        <v>522</v>
      </c>
      <c r="E78" s="54" t="s">
        <v>531</v>
      </c>
    </row>
    <row r="79" spans="1:7" x14ac:dyDescent="0.15">
      <c r="A79" s="54" t="s">
        <v>524</v>
      </c>
      <c r="B79" s="56"/>
      <c r="C79" s="56"/>
      <c r="D79" s="56"/>
      <c r="E79" s="56"/>
    </row>
    <row r="80" spans="1:7" x14ac:dyDescent="0.15">
      <c r="A80" s="54" t="s">
        <v>525</v>
      </c>
      <c r="B80" s="56"/>
      <c r="C80" s="56"/>
      <c r="D80" s="56"/>
      <c r="E80" s="56"/>
    </row>
    <row r="81" spans="1:5" x14ac:dyDescent="0.15">
      <c r="A81" s="54" t="s">
        <v>526</v>
      </c>
      <c r="B81" s="56"/>
      <c r="C81" s="56"/>
      <c r="D81" s="56"/>
      <c r="E81" s="56"/>
    </row>
    <row r="82" spans="1:5" x14ac:dyDescent="0.15">
      <c r="A82" s="54" t="s">
        <v>527</v>
      </c>
      <c r="B82" s="56"/>
      <c r="C82" s="56"/>
      <c r="D82" s="56"/>
      <c r="E82" s="56"/>
    </row>
    <row r="83" spans="1:5" x14ac:dyDescent="0.15">
      <c r="A83" s="54" t="s">
        <v>528</v>
      </c>
      <c r="B83" s="56"/>
      <c r="C83" s="56"/>
      <c r="D83" s="56"/>
      <c r="E83" s="56"/>
    </row>
    <row r="85" spans="1:5" x14ac:dyDescent="0.15">
      <c r="A85" s="54" t="s">
        <v>532</v>
      </c>
    </row>
    <row r="86" spans="1:5" x14ac:dyDescent="0.15">
      <c r="A86" s="54" t="s">
        <v>517</v>
      </c>
      <c r="B86" s="54" t="s">
        <v>533</v>
      </c>
      <c r="C86" s="54" t="s">
        <v>534</v>
      </c>
      <c r="D86" s="54" t="s">
        <v>535</v>
      </c>
    </row>
    <row r="87" spans="1:5" x14ac:dyDescent="0.15">
      <c r="A87" s="54" t="s">
        <v>524</v>
      </c>
      <c r="B87" s="56"/>
      <c r="C87" s="56"/>
      <c r="D87" s="56"/>
    </row>
    <row r="88" spans="1:5" x14ac:dyDescent="0.15">
      <c r="A88" s="54" t="s">
        <v>525</v>
      </c>
      <c r="B88" s="56"/>
      <c r="C88" s="56"/>
      <c r="D88" s="56"/>
    </row>
    <row r="89" spans="1:5" x14ac:dyDescent="0.15">
      <c r="A89" s="54" t="s">
        <v>526</v>
      </c>
      <c r="B89" s="56"/>
      <c r="C89" s="56"/>
      <c r="D89" s="56"/>
    </row>
    <row r="90" spans="1:5" x14ac:dyDescent="0.15">
      <c r="A90" s="54" t="s">
        <v>527</v>
      </c>
      <c r="B90" s="56"/>
      <c r="C90" s="56"/>
      <c r="D90" s="56"/>
    </row>
    <row r="91" spans="1:5" x14ac:dyDescent="0.15">
      <c r="A91" s="54" t="s">
        <v>528</v>
      </c>
      <c r="B91" s="56"/>
      <c r="C91" s="56"/>
      <c r="D91" s="56"/>
    </row>
    <row r="93" spans="1:5" x14ac:dyDescent="0.15">
      <c r="A93" s="54" t="s">
        <v>536</v>
      </c>
    </row>
    <row r="94" spans="1:5" x14ac:dyDescent="0.15">
      <c r="A94" s="54" t="s">
        <v>517</v>
      </c>
      <c r="B94" s="54" t="s">
        <v>537</v>
      </c>
    </row>
    <row r="95" spans="1:5" x14ac:dyDescent="0.15">
      <c r="A95" s="54" t="s">
        <v>524</v>
      </c>
      <c r="B95" s="56"/>
    </row>
    <row r="96" spans="1:5" x14ac:dyDescent="0.15">
      <c r="A96" s="54" t="s">
        <v>525</v>
      </c>
      <c r="B96" s="56"/>
    </row>
    <row r="97" spans="1:7" x14ac:dyDescent="0.15">
      <c r="A97" s="54" t="s">
        <v>526</v>
      </c>
      <c r="B97" s="56"/>
    </row>
    <row r="98" spans="1:7" x14ac:dyDescent="0.15">
      <c r="A98" s="54" t="s">
        <v>527</v>
      </c>
      <c r="B98" s="56"/>
    </row>
    <row r="99" spans="1:7" x14ac:dyDescent="0.15">
      <c r="A99" s="54" t="s">
        <v>528</v>
      </c>
      <c r="B99" s="56"/>
    </row>
    <row r="101" spans="1:7" x14ac:dyDescent="0.15">
      <c r="A101" s="54" t="s">
        <v>538</v>
      </c>
    </row>
    <row r="102" spans="1:7" x14ac:dyDescent="0.15">
      <c r="A102" s="59" t="s">
        <v>516</v>
      </c>
    </row>
    <row r="103" spans="1:7" x14ac:dyDescent="0.15">
      <c r="A103" s="54" t="s">
        <v>539</v>
      </c>
      <c r="B103" s="54"/>
      <c r="C103" s="54"/>
      <c r="D103" s="54" t="s">
        <v>540</v>
      </c>
      <c r="E103" s="54"/>
      <c r="F103" s="54"/>
      <c r="G103" s="54" t="s">
        <v>541</v>
      </c>
    </row>
    <row r="104" spans="1:7" x14ac:dyDescent="0.15">
      <c r="A104" s="54" t="s">
        <v>542</v>
      </c>
      <c r="B104" s="54" t="s">
        <v>518</v>
      </c>
      <c r="C104" s="54" t="s">
        <v>543</v>
      </c>
      <c r="D104" s="54" t="s">
        <v>544</v>
      </c>
      <c r="E104" s="54" t="s">
        <v>545</v>
      </c>
      <c r="F104" s="54" t="s">
        <v>546</v>
      </c>
      <c r="G104" s="54"/>
    </row>
    <row r="105" spans="1:7" x14ac:dyDescent="0.15">
      <c r="A105" s="56"/>
      <c r="B105" s="56"/>
      <c r="C105" s="56"/>
      <c r="D105" s="56"/>
      <c r="E105" s="56"/>
      <c r="F105" s="56"/>
      <c r="G105" s="56"/>
    </row>
    <row r="106" spans="1:7" x14ac:dyDescent="0.15">
      <c r="A106" s="58"/>
    </row>
    <row r="107" spans="1:7" x14ac:dyDescent="0.15">
      <c r="A107" s="54" t="s">
        <v>532</v>
      </c>
    </row>
    <row r="108" spans="1:7" x14ac:dyDescent="0.15">
      <c r="A108" s="54" t="s">
        <v>533</v>
      </c>
      <c r="B108" s="54" t="s">
        <v>534</v>
      </c>
      <c r="C108" s="54" t="s">
        <v>535</v>
      </c>
    </row>
    <row r="109" spans="1:7" x14ac:dyDescent="0.15">
      <c r="A109" s="56"/>
      <c r="B109" s="56"/>
      <c r="C109" s="56"/>
    </row>
    <row r="110" spans="1:7" x14ac:dyDescent="0.15">
      <c r="A110" s="58"/>
    </row>
    <row r="111" spans="1:7" x14ac:dyDescent="0.15">
      <c r="A111" s="54" t="s">
        <v>536</v>
      </c>
    </row>
    <row r="112" spans="1:7" x14ac:dyDescent="0.15">
      <c r="A112" s="54" t="s">
        <v>537</v>
      </c>
    </row>
    <row r="113" spans="1:1" x14ac:dyDescent="0.15">
      <c r="A113" s="56"/>
    </row>
  </sheetData>
  <phoneticPr fontId="1"/>
  <pageMargins left="0.7" right="0.7" top="0.75" bottom="0.75" header="0.3" footer="0.3"/>
  <pageSetup paperSize="9" scale="4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23"/>
  <sheetViews>
    <sheetView topLeftCell="A19" zoomScaleNormal="100" workbookViewId="0">
      <selection activeCell="B30" sqref="B30"/>
    </sheetView>
  </sheetViews>
  <sheetFormatPr defaultRowHeight="13.5" x14ac:dyDescent="0.15"/>
  <cols>
    <col min="1" max="1" width="27.25" style="55" bestFit="1" customWidth="1"/>
    <col min="2" max="2" width="28.125" style="55" bestFit="1" customWidth="1"/>
    <col min="3" max="3" width="23.875" style="55" bestFit="1" customWidth="1"/>
    <col min="4" max="4" width="20" style="55" bestFit="1" customWidth="1"/>
    <col min="5" max="5" width="24.375" style="55" bestFit="1" customWidth="1"/>
    <col min="6" max="6" width="25.625" style="55" bestFit="1" customWidth="1"/>
    <col min="7" max="8" width="25.625" style="55" customWidth="1"/>
    <col min="9" max="256" width="9" style="55"/>
    <col min="257" max="257" width="27.25" style="55" bestFit="1" customWidth="1"/>
    <col min="258" max="258" width="28.125" style="55" bestFit="1" customWidth="1"/>
    <col min="259" max="259" width="23.875" style="55" bestFit="1" customWidth="1"/>
    <col min="260" max="260" width="20" style="55" bestFit="1" customWidth="1"/>
    <col min="261" max="261" width="24.375" style="55" bestFit="1" customWidth="1"/>
    <col min="262" max="262" width="25.625" style="55" bestFit="1" customWidth="1"/>
    <col min="263" max="264" width="25.625" style="55" customWidth="1"/>
    <col min="265" max="512" width="9" style="55"/>
    <col min="513" max="513" width="27.25" style="55" bestFit="1" customWidth="1"/>
    <col min="514" max="514" width="28.125" style="55" bestFit="1" customWidth="1"/>
    <col min="515" max="515" width="23.875" style="55" bestFit="1" customWidth="1"/>
    <col min="516" max="516" width="20" style="55" bestFit="1" customWidth="1"/>
    <col min="517" max="517" width="24.375" style="55" bestFit="1" customWidth="1"/>
    <col min="518" max="518" width="25.625" style="55" bestFit="1" customWidth="1"/>
    <col min="519" max="520" width="25.625" style="55" customWidth="1"/>
    <col min="521" max="768" width="9" style="55"/>
    <col min="769" max="769" width="27.25" style="55" bestFit="1" customWidth="1"/>
    <col min="770" max="770" width="28.125" style="55" bestFit="1" customWidth="1"/>
    <col min="771" max="771" width="23.875" style="55" bestFit="1" customWidth="1"/>
    <col min="772" max="772" width="20" style="55" bestFit="1" customWidth="1"/>
    <col min="773" max="773" width="24.375" style="55" bestFit="1" customWidth="1"/>
    <col min="774" max="774" width="25.625" style="55" bestFit="1" customWidth="1"/>
    <col min="775" max="776" width="25.625" style="55" customWidth="1"/>
    <col min="777" max="1024" width="9" style="55"/>
    <col min="1025" max="1025" width="27.25" style="55" bestFit="1" customWidth="1"/>
    <col min="1026" max="1026" width="28.125" style="55" bestFit="1" customWidth="1"/>
    <col min="1027" max="1027" width="23.875" style="55" bestFit="1" customWidth="1"/>
    <col min="1028" max="1028" width="20" style="55" bestFit="1" customWidth="1"/>
    <col min="1029" max="1029" width="24.375" style="55" bestFit="1" customWidth="1"/>
    <col min="1030" max="1030" width="25.625" style="55" bestFit="1" customWidth="1"/>
    <col min="1031" max="1032" width="25.625" style="55" customWidth="1"/>
    <col min="1033" max="1280" width="9" style="55"/>
    <col min="1281" max="1281" width="27.25" style="55" bestFit="1" customWidth="1"/>
    <col min="1282" max="1282" width="28.125" style="55" bestFit="1" customWidth="1"/>
    <col min="1283" max="1283" width="23.875" style="55" bestFit="1" customWidth="1"/>
    <col min="1284" max="1284" width="20" style="55" bestFit="1" customWidth="1"/>
    <col min="1285" max="1285" width="24.375" style="55" bestFit="1" customWidth="1"/>
    <col min="1286" max="1286" width="25.625" style="55" bestFit="1" customWidth="1"/>
    <col min="1287" max="1288" width="25.625" style="55" customWidth="1"/>
    <col min="1289" max="1536" width="9" style="55"/>
    <col min="1537" max="1537" width="27.25" style="55" bestFit="1" customWidth="1"/>
    <col min="1538" max="1538" width="28.125" style="55" bestFit="1" customWidth="1"/>
    <col min="1539" max="1539" width="23.875" style="55" bestFit="1" customWidth="1"/>
    <col min="1540" max="1540" width="20" style="55" bestFit="1" customWidth="1"/>
    <col min="1541" max="1541" width="24.375" style="55" bestFit="1" customWidth="1"/>
    <col min="1542" max="1542" width="25.625" style="55" bestFit="1" customWidth="1"/>
    <col min="1543" max="1544" width="25.625" style="55" customWidth="1"/>
    <col min="1545" max="1792" width="9" style="55"/>
    <col min="1793" max="1793" width="27.25" style="55" bestFit="1" customWidth="1"/>
    <col min="1794" max="1794" width="28.125" style="55" bestFit="1" customWidth="1"/>
    <col min="1795" max="1795" width="23.875" style="55" bestFit="1" customWidth="1"/>
    <col min="1796" max="1796" width="20" style="55" bestFit="1" customWidth="1"/>
    <col min="1797" max="1797" width="24.375" style="55" bestFit="1" customWidth="1"/>
    <col min="1798" max="1798" width="25.625" style="55" bestFit="1" customWidth="1"/>
    <col min="1799" max="1800" width="25.625" style="55" customWidth="1"/>
    <col min="1801" max="2048" width="9" style="55"/>
    <col min="2049" max="2049" width="27.25" style="55" bestFit="1" customWidth="1"/>
    <col min="2050" max="2050" width="28.125" style="55" bestFit="1" customWidth="1"/>
    <col min="2051" max="2051" width="23.875" style="55" bestFit="1" customWidth="1"/>
    <col min="2052" max="2052" width="20" style="55" bestFit="1" customWidth="1"/>
    <col min="2053" max="2053" width="24.375" style="55" bestFit="1" customWidth="1"/>
    <col min="2054" max="2054" width="25.625" style="55" bestFit="1" customWidth="1"/>
    <col min="2055" max="2056" width="25.625" style="55" customWidth="1"/>
    <col min="2057" max="2304" width="9" style="55"/>
    <col min="2305" max="2305" width="27.25" style="55" bestFit="1" customWidth="1"/>
    <col min="2306" max="2306" width="28.125" style="55" bestFit="1" customWidth="1"/>
    <col min="2307" max="2307" width="23.875" style="55" bestFit="1" customWidth="1"/>
    <col min="2308" max="2308" width="20" style="55" bestFit="1" customWidth="1"/>
    <col min="2309" max="2309" width="24.375" style="55" bestFit="1" customWidth="1"/>
    <col min="2310" max="2310" width="25.625" style="55" bestFit="1" customWidth="1"/>
    <col min="2311" max="2312" width="25.625" style="55" customWidth="1"/>
    <col min="2313" max="2560" width="9" style="55"/>
    <col min="2561" max="2561" width="27.25" style="55" bestFit="1" customWidth="1"/>
    <col min="2562" max="2562" width="28.125" style="55" bestFit="1" customWidth="1"/>
    <col min="2563" max="2563" width="23.875" style="55" bestFit="1" customWidth="1"/>
    <col min="2564" max="2564" width="20" style="55" bestFit="1" customWidth="1"/>
    <col min="2565" max="2565" width="24.375" style="55" bestFit="1" customWidth="1"/>
    <col min="2566" max="2566" width="25.625" style="55" bestFit="1" customWidth="1"/>
    <col min="2567" max="2568" width="25.625" style="55" customWidth="1"/>
    <col min="2569" max="2816" width="9" style="55"/>
    <col min="2817" max="2817" width="27.25" style="55" bestFit="1" customWidth="1"/>
    <col min="2818" max="2818" width="28.125" style="55" bestFit="1" customWidth="1"/>
    <col min="2819" max="2819" width="23.875" style="55" bestFit="1" customWidth="1"/>
    <col min="2820" max="2820" width="20" style="55" bestFit="1" customWidth="1"/>
    <col min="2821" max="2821" width="24.375" style="55" bestFit="1" customWidth="1"/>
    <col min="2822" max="2822" width="25.625" style="55" bestFit="1" customWidth="1"/>
    <col min="2823" max="2824" width="25.625" style="55" customWidth="1"/>
    <col min="2825" max="3072" width="9" style="55"/>
    <col min="3073" max="3073" width="27.25" style="55" bestFit="1" customWidth="1"/>
    <col min="3074" max="3074" width="28.125" style="55" bestFit="1" customWidth="1"/>
    <col min="3075" max="3075" width="23.875" style="55" bestFit="1" customWidth="1"/>
    <col min="3076" max="3076" width="20" style="55" bestFit="1" customWidth="1"/>
    <col min="3077" max="3077" width="24.375" style="55" bestFit="1" customWidth="1"/>
    <col min="3078" max="3078" width="25.625" style="55" bestFit="1" customWidth="1"/>
    <col min="3079" max="3080" width="25.625" style="55" customWidth="1"/>
    <col min="3081" max="3328" width="9" style="55"/>
    <col min="3329" max="3329" width="27.25" style="55" bestFit="1" customWidth="1"/>
    <col min="3330" max="3330" width="28.125" style="55" bestFit="1" customWidth="1"/>
    <col min="3331" max="3331" width="23.875" style="55" bestFit="1" customWidth="1"/>
    <col min="3332" max="3332" width="20" style="55" bestFit="1" customWidth="1"/>
    <col min="3333" max="3333" width="24.375" style="55" bestFit="1" customWidth="1"/>
    <col min="3334" max="3334" width="25.625" style="55" bestFit="1" customWidth="1"/>
    <col min="3335" max="3336" width="25.625" style="55" customWidth="1"/>
    <col min="3337" max="3584" width="9" style="55"/>
    <col min="3585" max="3585" width="27.25" style="55" bestFit="1" customWidth="1"/>
    <col min="3586" max="3586" width="28.125" style="55" bestFit="1" customWidth="1"/>
    <col min="3587" max="3587" width="23.875" style="55" bestFit="1" customWidth="1"/>
    <col min="3588" max="3588" width="20" style="55" bestFit="1" customWidth="1"/>
    <col min="3589" max="3589" width="24.375" style="55" bestFit="1" customWidth="1"/>
    <col min="3590" max="3590" width="25.625" style="55" bestFit="1" customWidth="1"/>
    <col min="3591" max="3592" width="25.625" style="55" customWidth="1"/>
    <col min="3593" max="3840" width="9" style="55"/>
    <col min="3841" max="3841" width="27.25" style="55" bestFit="1" customWidth="1"/>
    <col min="3842" max="3842" width="28.125" style="55" bestFit="1" customWidth="1"/>
    <col min="3843" max="3843" width="23.875" style="55" bestFit="1" customWidth="1"/>
    <col min="3844" max="3844" width="20" style="55" bestFit="1" customWidth="1"/>
    <col min="3845" max="3845" width="24.375" style="55" bestFit="1" customWidth="1"/>
    <col min="3846" max="3846" width="25.625" style="55" bestFit="1" customWidth="1"/>
    <col min="3847" max="3848" width="25.625" style="55" customWidth="1"/>
    <col min="3849" max="4096" width="9" style="55"/>
    <col min="4097" max="4097" width="27.25" style="55" bestFit="1" customWidth="1"/>
    <col min="4098" max="4098" width="28.125" style="55" bestFit="1" customWidth="1"/>
    <col min="4099" max="4099" width="23.875" style="55" bestFit="1" customWidth="1"/>
    <col min="4100" max="4100" width="20" style="55" bestFit="1" customWidth="1"/>
    <col min="4101" max="4101" width="24.375" style="55" bestFit="1" customWidth="1"/>
    <col min="4102" max="4102" width="25.625" style="55" bestFit="1" customWidth="1"/>
    <col min="4103" max="4104" width="25.625" style="55" customWidth="1"/>
    <col min="4105" max="4352" width="9" style="55"/>
    <col min="4353" max="4353" width="27.25" style="55" bestFit="1" customWidth="1"/>
    <col min="4354" max="4354" width="28.125" style="55" bestFit="1" customWidth="1"/>
    <col min="4355" max="4355" width="23.875" style="55" bestFit="1" customWidth="1"/>
    <col min="4356" max="4356" width="20" style="55" bestFit="1" customWidth="1"/>
    <col min="4357" max="4357" width="24.375" style="55" bestFit="1" customWidth="1"/>
    <col min="4358" max="4358" width="25.625" style="55" bestFit="1" customWidth="1"/>
    <col min="4359" max="4360" width="25.625" style="55" customWidth="1"/>
    <col min="4361" max="4608" width="9" style="55"/>
    <col min="4609" max="4609" width="27.25" style="55" bestFit="1" customWidth="1"/>
    <col min="4610" max="4610" width="28.125" style="55" bestFit="1" customWidth="1"/>
    <col min="4611" max="4611" width="23.875" style="55" bestFit="1" customWidth="1"/>
    <col min="4612" max="4612" width="20" style="55" bestFit="1" customWidth="1"/>
    <col min="4613" max="4613" width="24.375" style="55" bestFit="1" customWidth="1"/>
    <col min="4614" max="4614" width="25.625" style="55" bestFit="1" customWidth="1"/>
    <col min="4615" max="4616" width="25.625" style="55" customWidth="1"/>
    <col min="4617" max="4864" width="9" style="55"/>
    <col min="4865" max="4865" width="27.25" style="55" bestFit="1" customWidth="1"/>
    <col min="4866" max="4866" width="28.125" style="55" bestFit="1" customWidth="1"/>
    <col min="4867" max="4867" width="23.875" style="55" bestFit="1" customWidth="1"/>
    <col min="4868" max="4868" width="20" style="55" bestFit="1" customWidth="1"/>
    <col min="4869" max="4869" width="24.375" style="55" bestFit="1" customWidth="1"/>
    <col min="4870" max="4870" width="25.625" style="55" bestFit="1" customWidth="1"/>
    <col min="4871" max="4872" width="25.625" style="55" customWidth="1"/>
    <col min="4873" max="5120" width="9" style="55"/>
    <col min="5121" max="5121" width="27.25" style="55" bestFit="1" customWidth="1"/>
    <col min="5122" max="5122" width="28.125" style="55" bestFit="1" customWidth="1"/>
    <col min="5123" max="5123" width="23.875" style="55" bestFit="1" customWidth="1"/>
    <col min="5124" max="5124" width="20" style="55" bestFit="1" customWidth="1"/>
    <col min="5125" max="5125" width="24.375" style="55" bestFit="1" customWidth="1"/>
    <col min="5126" max="5126" width="25.625" style="55" bestFit="1" customWidth="1"/>
    <col min="5127" max="5128" width="25.625" style="55" customWidth="1"/>
    <col min="5129" max="5376" width="9" style="55"/>
    <col min="5377" max="5377" width="27.25" style="55" bestFit="1" customWidth="1"/>
    <col min="5378" max="5378" width="28.125" style="55" bestFit="1" customWidth="1"/>
    <col min="5379" max="5379" width="23.875" style="55" bestFit="1" customWidth="1"/>
    <col min="5380" max="5380" width="20" style="55" bestFit="1" customWidth="1"/>
    <col min="5381" max="5381" width="24.375" style="55" bestFit="1" customWidth="1"/>
    <col min="5382" max="5382" width="25.625" style="55" bestFit="1" customWidth="1"/>
    <col min="5383" max="5384" width="25.625" style="55" customWidth="1"/>
    <col min="5385" max="5632" width="9" style="55"/>
    <col min="5633" max="5633" width="27.25" style="55" bestFit="1" customWidth="1"/>
    <col min="5634" max="5634" width="28.125" style="55" bestFit="1" customWidth="1"/>
    <col min="5635" max="5635" width="23.875" style="55" bestFit="1" customWidth="1"/>
    <col min="5636" max="5636" width="20" style="55" bestFit="1" customWidth="1"/>
    <col min="5637" max="5637" width="24.375" style="55" bestFit="1" customWidth="1"/>
    <col min="5638" max="5638" width="25.625" style="55" bestFit="1" customWidth="1"/>
    <col min="5639" max="5640" width="25.625" style="55" customWidth="1"/>
    <col min="5641" max="5888" width="9" style="55"/>
    <col min="5889" max="5889" width="27.25" style="55" bestFit="1" customWidth="1"/>
    <col min="5890" max="5890" width="28.125" style="55" bestFit="1" customWidth="1"/>
    <col min="5891" max="5891" width="23.875" style="55" bestFit="1" customWidth="1"/>
    <col min="5892" max="5892" width="20" style="55" bestFit="1" customWidth="1"/>
    <col min="5893" max="5893" width="24.375" style="55" bestFit="1" customWidth="1"/>
    <col min="5894" max="5894" width="25.625" style="55" bestFit="1" customWidth="1"/>
    <col min="5895" max="5896" width="25.625" style="55" customWidth="1"/>
    <col min="5897" max="6144" width="9" style="55"/>
    <col min="6145" max="6145" width="27.25" style="55" bestFit="1" customWidth="1"/>
    <col min="6146" max="6146" width="28.125" style="55" bestFit="1" customWidth="1"/>
    <col min="6147" max="6147" width="23.875" style="55" bestFit="1" customWidth="1"/>
    <col min="6148" max="6148" width="20" style="55" bestFit="1" customWidth="1"/>
    <col min="6149" max="6149" width="24.375" style="55" bestFit="1" customWidth="1"/>
    <col min="6150" max="6150" width="25.625" style="55" bestFit="1" customWidth="1"/>
    <col min="6151" max="6152" width="25.625" style="55" customWidth="1"/>
    <col min="6153" max="6400" width="9" style="55"/>
    <col min="6401" max="6401" width="27.25" style="55" bestFit="1" customWidth="1"/>
    <col min="6402" max="6402" width="28.125" style="55" bestFit="1" customWidth="1"/>
    <col min="6403" max="6403" width="23.875" style="55" bestFit="1" customWidth="1"/>
    <col min="6404" max="6404" width="20" style="55" bestFit="1" customWidth="1"/>
    <col min="6405" max="6405" width="24.375" style="55" bestFit="1" customWidth="1"/>
    <col min="6406" max="6406" width="25.625" style="55" bestFit="1" customWidth="1"/>
    <col min="6407" max="6408" width="25.625" style="55" customWidth="1"/>
    <col min="6409" max="6656" width="9" style="55"/>
    <col min="6657" max="6657" width="27.25" style="55" bestFit="1" customWidth="1"/>
    <col min="6658" max="6658" width="28.125" style="55" bestFit="1" customWidth="1"/>
    <col min="6659" max="6659" width="23.875" style="55" bestFit="1" customWidth="1"/>
    <col min="6660" max="6660" width="20" style="55" bestFit="1" customWidth="1"/>
    <col min="6661" max="6661" width="24.375" style="55" bestFit="1" customWidth="1"/>
    <col min="6662" max="6662" width="25.625" style="55" bestFit="1" customWidth="1"/>
    <col min="6663" max="6664" width="25.625" style="55" customWidth="1"/>
    <col min="6665" max="6912" width="9" style="55"/>
    <col min="6913" max="6913" width="27.25" style="55" bestFit="1" customWidth="1"/>
    <col min="6914" max="6914" width="28.125" style="55" bestFit="1" customWidth="1"/>
    <col min="6915" max="6915" width="23.875" style="55" bestFit="1" customWidth="1"/>
    <col min="6916" max="6916" width="20" style="55" bestFit="1" customWidth="1"/>
    <col min="6917" max="6917" width="24.375" style="55" bestFit="1" customWidth="1"/>
    <col min="6918" max="6918" width="25.625" style="55" bestFit="1" customWidth="1"/>
    <col min="6919" max="6920" width="25.625" style="55" customWidth="1"/>
    <col min="6921" max="7168" width="9" style="55"/>
    <col min="7169" max="7169" width="27.25" style="55" bestFit="1" customWidth="1"/>
    <col min="7170" max="7170" width="28.125" style="55" bestFit="1" customWidth="1"/>
    <col min="7171" max="7171" width="23.875" style="55" bestFit="1" customWidth="1"/>
    <col min="7172" max="7172" width="20" style="55" bestFit="1" customWidth="1"/>
    <col min="7173" max="7173" width="24.375" style="55" bestFit="1" customWidth="1"/>
    <col min="7174" max="7174" width="25.625" style="55" bestFit="1" customWidth="1"/>
    <col min="7175" max="7176" width="25.625" style="55" customWidth="1"/>
    <col min="7177" max="7424" width="9" style="55"/>
    <col min="7425" max="7425" width="27.25" style="55" bestFit="1" customWidth="1"/>
    <col min="7426" max="7426" width="28.125" style="55" bestFit="1" customWidth="1"/>
    <col min="7427" max="7427" width="23.875" style="55" bestFit="1" customWidth="1"/>
    <col min="7428" max="7428" width="20" style="55" bestFit="1" customWidth="1"/>
    <col min="7429" max="7429" width="24.375" style="55" bestFit="1" customWidth="1"/>
    <col min="7430" max="7430" width="25.625" style="55" bestFit="1" customWidth="1"/>
    <col min="7431" max="7432" width="25.625" style="55" customWidth="1"/>
    <col min="7433" max="7680" width="9" style="55"/>
    <col min="7681" max="7681" width="27.25" style="55" bestFit="1" customWidth="1"/>
    <col min="7682" max="7682" width="28.125" style="55" bestFit="1" customWidth="1"/>
    <col min="7683" max="7683" width="23.875" style="55" bestFit="1" customWidth="1"/>
    <col min="7684" max="7684" width="20" style="55" bestFit="1" customWidth="1"/>
    <col min="7685" max="7685" width="24.375" style="55" bestFit="1" customWidth="1"/>
    <col min="7686" max="7686" width="25.625" style="55" bestFit="1" customWidth="1"/>
    <col min="7687" max="7688" width="25.625" style="55" customWidth="1"/>
    <col min="7689" max="7936" width="9" style="55"/>
    <col min="7937" max="7937" width="27.25" style="55" bestFit="1" customWidth="1"/>
    <col min="7938" max="7938" width="28.125" style="55" bestFit="1" customWidth="1"/>
    <col min="7939" max="7939" width="23.875" style="55" bestFit="1" customWidth="1"/>
    <col min="7940" max="7940" width="20" style="55" bestFit="1" customWidth="1"/>
    <col min="7941" max="7941" width="24.375" style="55" bestFit="1" customWidth="1"/>
    <col min="7942" max="7942" width="25.625" style="55" bestFit="1" customWidth="1"/>
    <col min="7943" max="7944" width="25.625" style="55" customWidth="1"/>
    <col min="7945" max="8192" width="9" style="55"/>
    <col min="8193" max="8193" width="27.25" style="55" bestFit="1" customWidth="1"/>
    <col min="8194" max="8194" width="28.125" style="55" bestFit="1" customWidth="1"/>
    <col min="8195" max="8195" width="23.875" style="55" bestFit="1" customWidth="1"/>
    <col min="8196" max="8196" width="20" style="55" bestFit="1" customWidth="1"/>
    <col min="8197" max="8197" width="24.375" style="55" bestFit="1" customWidth="1"/>
    <col min="8198" max="8198" width="25.625" style="55" bestFit="1" customWidth="1"/>
    <col min="8199" max="8200" width="25.625" style="55" customWidth="1"/>
    <col min="8201" max="8448" width="9" style="55"/>
    <col min="8449" max="8449" width="27.25" style="55" bestFit="1" customWidth="1"/>
    <col min="8450" max="8450" width="28.125" style="55" bestFit="1" customWidth="1"/>
    <col min="8451" max="8451" width="23.875" style="55" bestFit="1" customWidth="1"/>
    <col min="8452" max="8452" width="20" style="55" bestFit="1" customWidth="1"/>
    <col min="8453" max="8453" width="24.375" style="55" bestFit="1" customWidth="1"/>
    <col min="8454" max="8454" width="25.625" style="55" bestFit="1" customWidth="1"/>
    <col min="8455" max="8456" width="25.625" style="55" customWidth="1"/>
    <col min="8457" max="8704" width="9" style="55"/>
    <col min="8705" max="8705" width="27.25" style="55" bestFit="1" customWidth="1"/>
    <col min="8706" max="8706" width="28.125" style="55" bestFit="1" customWidth="1"/>
    <col min="8707" max="8707" width="23.875" style="55" bestFit="1" customWidth="1"/>
    <col min="8708" max="8708" width="20" style="55" bestFit="1" customWidth="1"/>
    <col min="8709" max="8709" width="24.375" style="55" bestFit="1" customWidth="1"/>
    <col min="8710" max="8710" width="25.625" style="55" bestFit="1" customWidth="1"/>
    <col min="8711" max="8712" width="25.625" style="55" customWidth="1"/>
    <col min="8713" max="8960" width="9" style="55"/>
    <col min="8961" max="8961" width="27.25" style="55" bestFit="1" customWidth="1"/>
    <col min="8962" max="8962" width="28.125" style="55" bestFit="1" customWidth="1"/>
    <col min="8963" max="8963" width="23.875" style="55" bestFit="1" customWidth="1"/>
    <col min="8964" max="8964" width="20" style="55" bestFit="1" customWidth="1"/>
    <col min="8965" max="8965" width="24.375" style="55" bestFit="1" customWidth="1"/>
    <col min="8966" max="8966" width="25.625" style="55" bestFit="1" customWidth="1"/>
    <col min="8967" max="8968" width="25.625" style="55" customWidth="1"/>
    <col min="8969" max="9216" width="9" style="55"/>
    <col min="9217" max="9217" width="27.25" style="55" bestFit="1" customWidth="1"/>
    <col min="9218" max="9218" width="28.125" style="55" bestFit="1" customWidth="1"/>
    <col min="9219" max="9219" width="23.875" style="55" bestFit="1" customWidth="1"/>
    <col min="9220" max="9220" width="20" style="55" bestFit="1" customWidth="1"/>
    <col min="9221" max="9221" width="24.375" style="55" bestFit="1" customWidth="1"/>
    <col min="9222" max="9222" width="25.625" style="55" bestFit="1" customWidth="1"/>
    <col min="9223" max="9224" width="25.625" style="55" customWidth="1"/>
    <col min="9225" max="9472" width="9" style="55"/>
    <col min="9473" max="9473" width="27.25" style="55" bestFit="1" customWidth="1"/>
    <col min="9474" max="9474" width="28.125" style="55" bestFit="1" customWidth="1"/>
    <col min="9475" max="9475" width="23.875" style="55" bestFit="1" customWidth="1"/>
    <col min="9476" max="9476" width="20" style="55" bestFit="1" customWidth="1"/>
    <col min="9477" max="9477" width="24.375" style="55" bestFit="1" customWidth="1"/>
    <col min="9478" max="9478" width="25.625" style="55" bestFit="1" customWidth="1"/>
    <col min="9479" max="9480" width="25.625" style="55" customWidth="1"/>
    <col min="9481" max="9728" width="9" style="55"/>
    <col min="9729" max="9729" width="27.25" style="55" bestFit="1" customWidth="1"/>
    <col min="9730" max="9730" width="28.125" style="55" bestFit="1" customWidth="1"/>
    <col min="9731" max="9731" width="23.875" style="55" bestFit="1" customWidth="1"/>
    <col min="9732" max="9732" width="20" style="55" bestFit="1" customWidth="1"/>
    <col min="9733" max="9733" width="24.375" style="55" bestFit="1" customWidth="1"/>
    <col min="9734" max="9734" width="25.625" style="55" bestFit="1" customWidth="1"/>
    <col min="9735" max="9736" width="25.625" style="55" customWidth="1"/>
    <col min="9737" max="9984" width="9" style="55"/>
    <col min="9985" max="9985" width="27.25" style="55" bestFit="1" customWidth="1"/>
    <col min="9986" max="9986" width="28.125" style="55" bestFit="1" customWidth="1"/>
    <col min="9987" max="9987" width="23.875" style="55" bestFit="1" customWidth="1"/>
    <col min="9988" max="9988" width="20" style="55" bestFit="1" customWidth="1"/>
    <col min="9989" max="9989" width="24.375" style="55" bestFit="1" customWidth="1"/>
    <col min="9990" max="9990" width="25.625" style="55" bestFit="1" customWidth="1"/>
    <col min="9991" max="9992" width="25.625" style="55" customWidth="1"/>
    <col min="9993" max="10240" width="9" style="55"/>
    <col min="10241" max="10241" width="27.25" style="55" bestFit="1" customWidth="1"/>
    <col min="10242" max="10242" width="28.125" style="55" bestFit="1" customWidth="1"/>
    <col min="10243" max="10243" width="23.875" style="55" bestFit="1" customWidth="1"/>
    <col min="10244" max="10244" width="20" style="55" bestFit="1" customWidth="1"/>
    <col min="10245" max="10245" width="24.375" style="55" bestFit="1" customWidth="1"/>
    <col min="10246" max="10246" width="25.625" style="55" bestFit="1" customWidth="1"/>
    <col min="10247" max="10248" width="25.625" style="55" customWidth="1"/>
    <col min="10249" max="10496" width="9" style="55"/>
    <col min="10497" max="10497" width="27.25" style="55" bestFit="1" customWidth="1"/>
    <col min="10498" max="10498" width="28.125" style="55" bestFit="1" customWidth="1"/>
    <col min="10499" max="10499" width="23.875" style="55" bestFit="1" customWidth="1"/>
    <col min="10500" max="10500" width="20" style="55" bestFit="1" customWidth="1"/>
    <col min="10501" max="10501" width="24.375" style="55" bestFit="1" customWidth="1"/>
    <col min="10502" max="10502" width="25.625" style="55" bestFit="1" customWidth="1"/>
    <col min="10503" max="10504" width="25.625" style="55" customWidth="1"/>
    <col min="10505" max="10752" width="9" style="55"/>
    <col min="10753" max="10753" width="27.25" style="55" bestFit="1" customWidth="1"/>
    <col min="10754" max="10754" width="28.125" style="55" bestFit="1" customWidth="1"/>
    <col min="10755" max="10755" width="23.875" style="55" bestFit="1" customWidth="1"/>
    <col min="10756" max="10756" width="20" style="55" bestFit="1" customWidth="1"/>
    <col min="10757" max="10757" width="24.375" style="55" bestFit="1" customWidth="1"/>
    <col min="10758" max="10758" width="25.625" style="55" bestFit="1" customWidth="1"/>
    <col min="10759" max="10760" width="25.625" style="55" customWidth="1"/>
    <col min="10761" max="11008" width="9" style="55"/>
    <col min="11009" max="11009" width="27.25" style="55" bestFit="1" customWidth="1"/>
    <col min="11010" max="11010" width="28.125" style="55" bestFit="1" customWidth="1"/>
    <col min="11011" max="11011" width="23.875" style="55" bestFit="1" customWidth="1"/>
    <col min="11012" max="11012" width="20" style="55" bestFit="1" customWidth="1"/>
    <col min="11013" max="11013" width="24.375" style="55" bestFit="1" customWidth="1"/>
    <col min="11014" max="11014" width="25.625" style="55" bestFit="1" customWidth="1"/>
    <col min="11015" max="11016" width="25.625" style="55" customWidth="1"/>
    <col min="11017" max="11264" width="9" style="55"/>
    <col min="11265" max="11265" width="27.25" style="55" bestFit="1" customWidth="1"/>
    <col min="11266" max="11266" width="28.125" style="55" bestFit="1" customWidth="1"/>
    <col min="11267" max="11267" width="23.875" style="55" bestFit="1" customWidth="1"/>
    <col min="11268" max="11268" width="20" style="55" bestFit="1" customWidth="1"/>
    <col min="11269" max="11269" width="24.375" style="55" bestFit="1" customWidth="1"/>
    <col min="11270" max="11270" width="25.625" style="55" bestFit="1" customWidth="1"/>
    <col min="11271" max="11272" width="25.625" style="55" customWidth="1"/>
    <col min="11273" max="11520" width="9" style="55"/>
    <col min="11521" max="11521" width="27.25" style="55" bestFit="1" customWidth="1"/>
    <col min="11522" max="11522" width="28.125" style="55" bestFit="1" customWidth="1"/>
    <col min="11523" max="11523" width="23.875" style="55" bestFit="1" customWidth="1"/>
    <col min="11524" max="11524" width="20" style="55" bestFit="1" customWidth="1"/>
    <col min="11525" max="11525" width="24.375" style="55" bestFit="1" customWidth="1"/>
    <col min="11526" max="11526" width="25.625" style="55" bestFit="1" customWidth="1"/>
    <col min="11527" max="11528" width="25.625" style="55" customWidth="1"/>
    <col min="11529" max="11776" width="9" style="55"/>
    <col min="11777" max="11777" width="27.25" style="55" bestFit="1" customWidth="1"/>
    <col min="11778" max="11778" width="28.125" style="55" bestFit="1" customWidth="1"/>
    <col min="11779" max="11779" width="23.875" style="55" bestFit="1" customWidth="1"/>
    <col min="11780" max="11780" width="20" style="55" bestFit="1" customWidth="1"/>
    <col min="11781" max="11781" width="24.375" style="55" bestFit="1" customWidth="1"/>
    <col min="11782" max="11782" width="25.625" style="55" bestFit="1" customWidth="1"/>
    <col min="11783" max="11784" width="25.625" style="55" customWidth="1"/>
    <col min="11785" max="12032" width="9" style="55"/>
    <col min="12033" max="12033" width="27.25" style="55" bestFit="1" customWidth="1"/>
    <col min="12034" max="12034" width="28.125" style="55" bestFit="1" customWidth="1"/>
    <col min="12035" max="12035" width="23.875" style="55" bestFit="1" customWidth="1"/>
    <col min="12036" max="12036" width="20" style="55" bestFit="1" customWidth="1"/>
    <col min="12037" max="12037" width="24.375" style="55" bestFit="1" customWidth="1"/>
    <col min="12038" max="12038" width="25.625" style="55" bestFit="1" customWidth="1"/>
    <col min="12039" max="12040" width="25.625" style="55" customWidth="1"/>
    <col min="12041" max="12288" width="9" style="55"/>
    <col min="12289" max="12289" width="27.25" style="55" bestFit="1" customWidth="1"/>
    <col min="12290" max="12290" width="28.125" style="55" bestFit="1" customWidth="1"/>
    <col min="12291" max="12291" width="23.875" style="55" bestFit="1" customWidth="1"/>
    <col min="12292" max="12292" width="20" style="55" bestFit="1" customWidth="1"/>
    <col min="12293" max="12293" width="24.375" style="55" bestFit="1" customWidth="1"/>
    <col min="12294" max="12294" width="25.625" style="55" bestFit="1" customWidth="1"/>
    <col min="12295" max="12296" width="25.625" style="55" customWidth="1"/>
    <col min="12297" max="12544" width="9" style="55"/>
    <col min="12545" max="12545" width="27.25" style="55" bestFit="1" customWidth="1"/>
    <col min="12546" max="12546" width="28.125" style="55" bestFit="1" customWidth="1"/>
    <col min="12547" max="12547" width="23.875" style="55" bestFit="1" customWidth="1"/>
    <col min="12548" max="12548" width="20" style="55" bestFit="1" customWidth="1"/>
    <col min="12549" max="12549" width="24.375" style="55" bestFit="1" customWidth="1"/>
    <col min="12550" max="12550" width="25.625" style="55" bestFit="1" customWidth="1"/>
    <col min="12551" max="12552" width="25.625" style="55" customWidth="1"/>
    <col min="12553" max="12800" width="9" style="55"/>
    <col min="12801" max="12801" width="27.25" style="55" bestFit="1" customWidth="1"/>
    <col min="12802" max="12802" width="28.125" style="55" bestFit="1" customWidth="1"/>
    <col min="12803" max="12803" width="23.875" style="55" bestFit="1" customWidth="1"/>
    <col min="12804" max="12804" width="20" style="55" bestFit="1" customWidth="1"/>
    <col min="12805" max="12805" width="24.375" style="55" bestFit="1" customWidth="1"/>
    <col min="12806" max="12806" width="25.625" style="55" bestFit="1" customWidth="1"/>
    <col min="12807" max="12808" width="25.625" style="55" customWidth="1"/>
    <col min="12809" max="13056" width="9" style="55"/>
    <col min="13057" max="13057" width="27.25" style="55" bestFit="1" customWidth="1"/>
    <col min="13058" max="13058" width="28.125" style="55" bestFit="1" customWidth="1"/>
    <col min="13059" max="13059" width="23.875" style="55" bestFit="1" customWidth="1"/>
    <col min="13060" max="13060" width="20" style="55" bestFit="1" customWidth="1"/>
    <col min="13061" max="13061" width="24.375" style="55" bestFit="1" customWidth="1"/>
    <col min="13062" max="13062" width="25.625" style="55" bestFit="1" customWidth="1"/>
    <col min="13063" max="13064" width="25.625" style="55" customWidth="1"/>
    <col min="13065" max="13312" width="9" style="55"/>
    <col min="13313" max="13313" width="27.25" style="55" bestFit="1" customWidth="1"/>
    <col min="13314" max="13314" width="28.125" style="55" bestFit="1" customWidth="1"/>
    <col min="13315" max="13315" width="23.875" style="55" bestFit="1" customWidth="1"/>
    <col min="13316" max="13316" width="20" style="55" bestFit="1" customWidth="1"/>
    <col min="13317" max="13317" width="24.375" style="55" bestFit="1" customWidth="1"/>
    <col min="13318" max="13318" width="25.625" style="55" bestFit="1" customWidth="1"/>
    <col min="13319" max="13320" width="25.625" style="55" customWidth="1"/>
    <col min="13321" max="13568" width="9" style="55"/>
    <col min="13569" max="13569" width="27.25" style="55" bestFit="1" customWidth="1"/>
    <col min="13570" max="13570" width="28.125" style="55" bestFit="1" customWidth="1"/>
    <col min="13571" max="13571" width="23.875" style="55" bestFit="1" customWidth="1"/>
    <col min="13572" max="13572" width="20" style="55" bestFit="1" customWidth="1"/>
    <col min="13573" max="13573" width="24.375" style="55" bestFit="1" customWidth="1"/>
    <col min="13574" max="13574" width="25.625" style="55" bestFit="1" customWidth="1"/>
    <col min="13575" max="13576" width="25.625" style="55" customWidth="1"/>
    <col min="13577" max="13824" width="9" style="55"/>
    <col min="13825" max="13825" width="27.25" style="55" bestFit="1" customWidth="1"/>
    <col min="13826" max="13826" width="28.125" style="55" bestFit="1" customWidth="1"/>
    <col min="13827" max="13827" width="23.875" style="55" bestFit="1" customWidth="1"/>
    <col min="13828" max="13828" width="20" style="55" bestFit="1" customWidth="1"/>
    <col min="13829" max="13829" width="24.375" style="55" bestFit="1" customWidth="1"/>
    <col min="13830" max="13830" width="25.625" style="55" bestFit="1" customWidth="1"/>
    <col min="13831" max="13832" width="25.625" style="55" customWidth="1"/>
    <col min="13833" max="14080" width="9" style="55"/>
    <col min="14081" max="14081" width="27.25" style="55" bestFit="1" customWidth="1"/>
    <col min="14082" max="14082" width="28.125" style="55" bestFit="1" customWidth="1"/>
    <col min="14083" max="14083" width="23.875" style="55" bestFit="1" customWidth="1"/>
    <col min="14084" max="14084" width="20" style="55" bestFit="1" customWidth="1"/>
    <col min="14085" max="14085" width="24.375" style="55" bestFit="1" customWidth="1"/>
    <col min="14086" max="14086" width="25.625" style="55" bestFit="1" customWidth="1"/>
    <col min="14087" max="14088" width="25.625" style="55" customWidth="1"/>
    <col min="14089" max="14336" width="9" style="55"/>
    <col min="14337" max="14337" width="27.25" style="55" bestFit="1" customWidth="1"/>
    <col min="14338" max="14338" width="28.125" style="55" bestFit="1" customWidth="1"/>
    <col min="14339" max="14339" width="23.875" style="55" bestFit="1" customWidth="1"/>
    <col min="14340" max="14340" width="20" style="55" bestFit="1" customWidth="1"/>
    <col min="14341" max="14341" width="24.375" style="55" bestFit="1" customWidth="1"/>
    <col min="14342" max="14342" width="25.625" style="55" bestFit="1" customWidth="1"/>
    <col min="14343" max="14344" width="25.625" style="55" customWidth="1"/>
    <col min="14345" max="14592" width="9" style="55"/>
    <col min="14593" max="14593" width="27.25" style="55" bestFit="1" customWidth="1"/>
    <col min="14594" max="14594" width="28.125" style="55" bestFit="1" customWidth="1"/>
    <col min="14595" max="14595" width="23.875" style="55" bestFit="1" customWidth="1"/>
    <col min="14596" max="14596" width="20" style="55" bestFit="1" customWidth="1"/>
    <col min="14597" max="14597" width="24.375" style="55" bestFit="1" customWidth="1"/>
    <col min="14598" max="14598" width="25.625" style="55" bestFit="1" customWidth="1"/>
    <col min="14599" max="14600" width="25.625" style="55" customWidth="1"/>
    <col min="14601" max="14848" width="9" style="55"/>
    <col min="14849" max="14849" width="27.25" style="55" bestFit="1" customWidth="1"/>
    <col min="14850" max="14850" width="28.125" style="55" bestFit="1" customWidth="1"/>
    <col min="14851" max="14851" width="23.875" style="55" bestFit="1" customWidth="1"/>
    <col min="14852" max="14852" width="20" style="55" bestFit="1" customWidth="1"/>
    <col min="14853" max="14853" width="24.375" style="55" bestFit="1" customWidth="1"/>
    <col min="14854" max="14854" width="25.625" style="55" bestFit="1" customWidth="1"/>
    <col min="14855" max="14856" width="25.625" style="55" customWidth="1"/>
    <col min="14857" max="15104" width="9" style="55"/>
    <col min="15105" max="15105" width="27.25" style="55" bestFit="1" customWidth="1"/>
    <col min="15106" max="15106" width="28.125" style="55" bestFit="1" customWidth="1"/>
    <col min="15107" max="15107" width="23.875" style="55" bestFit="1" customWidth="1"/>
    <col min="15108" max="15108" width="20" style="55" bestFit="1" customWidth="1"/>
    <col min="15109" max="15109" width="24.375" style="55" bestFit="1" customWidth="1"/>
    <col min="15110" max="15110" width="25.625" style="55" bestFit="1" customWidth="1"/>
    <col min="15111" max="15112" width="25.625" style="55" customWidth="1"/>
    <col min="15113" max="15360" width="9" style="55"/>
    <col min="15361" max="15361" width="27.25" style="55" bestFit="1" customWidth="1"/>
    <col min="15362" max="15362" width="28.125" style="55" bestFit="1" customWidth="1"/>
    <col min="15363" max="15363" width="23.875" style="55" bestFit="1" customWidth="1"/>
    <col min="15364" max="15364" width="20" style="55" bestFit="1" customWidth="1"/>
    <col min="15365" max="15365" width="24.375" style="55" bestFit="1" customWidth="1"/>
    <col min="15366" max="15366" width="25.625" style="55" bestFit="1" customWidth="1"/>
    <col min="15367" max="15368" width="25.625" style="55" customWidth="1"/>
    <col min="15369" max="15616" width="9" style="55"/>
    <col min="15617" max="15617" width="27.25" style="55" bestFit="1" customWidth="1"/>
    <col min="15618" max="15618" width="28.125" style="55" bestFit="1" customWidth="1"/>
    <col min="15619" max="15619" width="23.875" style="55" bestFit="1" customWidth="1"/>
    <col min="15620" max="15620" width="20" style="55" bestFit="1" customWidth="1"/>
    <col min="15621" max="15621" width="24.375" style="55" bestFit="1" customWidth="1"/>
    <col min="15622" max="15622" width="25.625" style="55" bestFit="1" customWidth="1"/>
    <col min="15623" max="15624" width="25.625" style="55" customWidth="1"/>
    <col min="15625" max="15872" width="9" style="55"/>
    <col min="15873" max="15873" width="27.25" style="55" bestFit="1" customWidth="1"/>
    <col min="15874" max="15874" width="28.125" style="55" bestFit="1" customWidth="1"/>
    <col min="15875" max="15875" width="23.875" style="55" bestFit="1" customWidth="1"/>
    <col min="15876" max="15876" width="20" style="55" bestFit="1" customWidth="1"/>
    <col min="15877" max="15877" width="24.375" style="55" bestFit="1" customWidth="1"/>
    <col min="15878" max="15878" width="25.625" style="55" bestFit="1" customWidth="1"/>
    <col min="15879" max="15880" width="25.625" style="55" customWidth="1"/>
    <col min="15881" max="16128" width="9" style="55"/>
    <col min="16129" max="16129" width="27.25" style="55" bestFit="1" customWidth="1"/>
    <col min="16130" max="16130" width="28.125" style="55" bestFit="1" customWidth="1"/>
    <col min="16131" max="16131" width="23.875" style="55" bestFit="1" customWidth="1"/>
    <col min="16132" max="16132" width="20" style="55" bestFit="1" customWidth="1"/>
    <col min="16133" max="16133" width="24.375" style="55" bestFit="1" customWidth="1"/>
    <col min="16134" max="16134" width="25.625" style="55" bestFit="1" customWidth="1"/>
    <col min="16135" max="16136" width="25.625" style="55" customWidth="1"/>
    <col min="16137" max="16384" width="9" style="55"/>
  </cols>
  <sheetData>
    <row r="1" spans="1:8" x14ac:dyDescent="0.15">
      <c r="A1" s="54" t="s">
        <v>499</v>
      </c>
    </row>
    <row r="2" spans="1:8" x14ac:dyDescent="0.15">
      <c r="A2" s="56" t="s">
        <v>500</v>
      </c>
    </row>
    <row r="3" spans="1:8" x14ac:dyDescent="0.15">
      <c r="A3" s="54" t="s">
        <v>501</v>
      </c>
      <c r="B3" s="54" t="s">
        <v>502</v>
      </c>
      <c r="C3" s="54" t="s">
        <v>503</v>
      </c>
      <c r="D3" s="54" t="s">
        <v>504</v>
      </c>
      <c r="E3" s="54" t="s">
        <v>505</v>
      </c>
      <c r="F3" s="54" t="s">
        <v>506</v>
      </c>
      <c r="G3" s="54" t="s">
        <v>507</v>
      </c>
      <c r="H3" s="54" t="s">
        <v>508</v>
      </c>
    </row>
    <row r="4" spans="1:8" x14ac:dyDescent="0.15">
      <c r="A4" s="56">
        <v>2</v>
      </c>
      <c r="B4" s="56">
        <v>1</v>
      </c>
      <c r="C4" s="56">
        <v>21</v>
      </c>
      <c r="D4" s="56">
        <v>1</v>
      </c>
      <c r="E4" s="56">
        <v>6</v>
      </c>
      <c r="F4" s="56">
        <v>2</v>
      </c>
      <c r="G4" s="56">
        <v>9.5649999999999995</v>
      </c>
      <c r="H4" s="56">
        <v>5</v>
      </c>
    </row>
    <row r="5" spans="1:8" x14ac:dyDescent="0.15">
      <c r="A5" s="54" t="s">
        <v>509</v>
      </c>
    </row>
    <row r="6" spans="1:8" x14ac:dyDescent="0.15">
      <c r="A6" s="54" t="s">
        <v>510</v>
      </c>
      <c r="B6" s="57" t="s">
        <v>511</v>
      </c>
    </row>
    <row r="7" spans="1:8" x14ac:dyDescent="0.15">
      <c r="A7" s="54" t="s">
        <v>512</v>
      </c>
      <c r="B7" s="54" t="s">
        <v>513</v>
      </c>
      <c r="C7" s="54" t="s">
        <v>514</v>
      </c>
      <c r="D7" s="57" t="s">
        <v>511</v>
      </c>
      <c r="E7" s="57"/>
    </row>
    <row r="8" spans="1:8" x14ac:dyDescent="0.15">
      <c r="A8" s="56">
        <v>1</v>
      </c>
      <c r="B8" s="56"/>
      <c r="C8" s="56"/>
      <c r="D8" s="57" t="s">
        <v>511</v>
      </c>
    </row>
    <row r="9" spans="1:8" x14ac:dyDescent="0.15">
      <c r="A9" s="56">
        <v>2</v>
      </c>
      <c r="B9" s="56"/>
      <c r="C9" s="56"/>
      <c r="D9" s="57" t="s">
        <v>511</v>
      </c>
    </row>
    <row r="10" spans="1:8" x14ac:dyDescent="0.15">
      <c r="A10" s="56">
        <v>3</v>
      </c>
      <c r="B10" s="56"/>
      <c r="C10" s="56"/>
      <c r="D10" s="57" t="s">
        <v>511</v>
      </c>
    </row>
    <row r="11" spans="1:8" x14ac:dyDescent="0.15">
      <c r="A11" s="56">
        <v>4</v>
      </c>
      <c r="B11" s="56"/>
      <c r="C11" s="56"/>
      <c r="D11" s="57" t="s">
        <v>511</v>
      </c>
    </row>
    <row r="12" spans="1:8" x14ac:dyDescent="0.15">
      <c r="A12" s="56">
        <v>5</v>
      </c>
      <c r="B12" s="56"/>
      <c r="C12" s="56"/>
      <c r="D12" s="57" t="s">
        <v>511</v>
      </c>
    </row>
    <row r="13" spans="1:8" x14ac:dyDescent="0.15">
      <c r="A13" s="56">
        <v>6</v>
      </c>
      <c r="B13" s="56"/>
      <c r="C13" s="56"/>
      <c r="D13" s="57" t="s">
        <v>511</v>
      </c>
    </row>
    <row r="15" spans="1:8" x14ac:dyDescent="0.15">
      <c r="A15" s="54" t="s">
        <v>515</v>
      </c>
    </row>
    <row r="16" spans="1:8" x14ac:dyDescent="0.15">
      <c r="A16" s="54" t="s">
        <v>516</v>
      </c>
    </row>
    <row r="17" spans="1:7" x14ac:dyDescent="0.15">
      <c r="A17" s="54" t="s">
        <v>517</v>
      </c>
      <c r="B17" s="54" t="s">
        <v>518</v>
      </c>
      <c r="C17" s="54" t="s">
        <v>519</v>
      </c>
      <c r="D17" s="54" t="s">
        <v>520</v>
      </c>
      <c r="E17" s="54" t="s">
        <v>521</v>
      </c>
      <c r="F17" s="54" t="s">
        <v>522</v>
      </c>
      <c r="G17" s="54" t="s">
        <v>523</v>
      </c>
    </row>
    <row r="18" spans="1:7" x14ac:dyDescent="0.15">
      <c r="A18" s="54" t="s">
        <v>524</v>
      </c>
      <c r="B18" s="56"/>
      <c r="C18" s="56"/>
      <c r="D18" s="56"/>
      <c r="E18" s="56"/>
      <c r="F18" s="56"/>
      <c r="G18" s="56"/>
    </row>
    <row r="19" spans="1:7" x14ac:dyDescent="0.15">
      <c r="A19" s="54" t="s">
        <v>525</v>
      </c>
      <c r="B19" s="56"/>
      <c r="C19" s="56"/>
      <c r="D19" s="56"/>
      <c r="E19" s="56"/>
      <c r="F19" s="56"/>
      <c r="G19" s="56"/>
    </row>
    <row r="20" spans="1:7" x14ac:dyDescent="0.15">
      <c r="A20" s="54" t="s">
        <v>526</v>
      </c>
      <c r="B20" s="56"/>
      <c r="C20" s="56"/>
      <c r="D20" s="56"/>
      <c r="E20" s="56"/>
      <c r="F20" s="56"/>
      <c r="G20" s="56"/>
    </row>
    <row r="21" spans="1:7" x14ac:dyDescent="0.15">
      <c r="A21" s="54" t="s">
        <v>527</v>
      </c>
      <c r="B21" s="56"/>
      <c r="C21" s="56"/>
      <c r="D21" s="56"/>
      <c r="E21" s="56"/>
      <c r="F21" s="56"/>
      <c r="G21" s="56"/>
    </row>
    <row r="22" spans="1:7" x14ac:dyDescent="0.15">
      <c r="A22" s="54" t="s">
        <v>528</v>
      </c>
      <c r="B22" s="56"/>
      <c r="C22" s="56"/>
      <c r="D22" s="56"/>
      <c r="E22" s="56"/>
      <c r="F22" s="56"/>
      <c r="G22" s="56"/>
    </row>
    <row r="23" spans="1:7" x14ac:dyDescent="0.15">
      <c r="A23" s="58"/>
    </row>
    <row r="24" spans="1:7" x14ac:dyDescent="0.15">
      <c r="A24" s="54" t="s">
        <v>529</v>
      </c>
    </row>
    <row r="25" spans="1:7" x14ac:dyDescent="0.15">
      <c r="A25" s="54" t="s">
        <v>517</v>
      </c>
      <c r="B25" s="54" t="s">
        <v>548</v>
      </c>
      <c r="C25" s="54" t="s">
        <v>519</v>
      </c>
      <c r="D25" s="54" t="s">
        <v>530</v>
      </c>
      <c r="E25" s="54" t="s">
        <v>522</v>
      </c>
      <c r="F25" s="54" t="s">
        <v>549</v>
      </c>
      <c r="G25" s="60" t="s">
        <v>550</v>
      </c>
    </row>
    <row r="26" spans="1:7" x14ac:dyDescent="0.15">
      <c r="A26" s="54" t="s">
        <v>524</v>
      </c>
      <c r="B26" s="56"/>
      <c r="C26" s="56"/>
      <c r="D26" s="56"/>
      <c r="E26" s="56"/>
      <c r="F26" s="56"/>
    </row>
    <row r="27" spans="1:7" x14ac:dyDescent="0.15">
      <c r="A27" s="54" t="s">
        <v>525</v>
      </c>
      <c r="B27" s="56"/>
      <c r="C27" s="56"/>
      <c r="D27" s="56"/>
      <c r="E27" s="56"/>
      <c r="F27" s="56"/>
    </row>
    <row r="28" spans="1:7" x14ac:dyDescent="0.15">
      <c r="A28" s="54" t="s">
        <v>526</v>
      </c>
      <c r="B28" s="56"/>
      <c r="C28" s="56"/>
      <c r="D28" s="56"/>
      <c r="E28" s="56"/>
      <c r="F28" s="56"/>
    </row>
    <row r="29" spans="1:7" x14ac:dyDescent="0.15">
      <c r="A29" s="54" t="s">
        <v>527</v>
      </c>
      <c r="B29" s="56"/>
      <c r="C29" s="56"/>
      <c r="D29" s="56"/>
      <c r="E29" s="56"/>
      <c r="F29" s="56"/>
    </row>
    <row r="30" spans="1:7" x14ac:dyDescent="0.15">
      <c r="A30" s="54" t="s">
        <v>528</v>
      </c>
      <c r="B30" s="56"/>
      <c r="C30" s="56"/>
      <c r="D30" s="56"/>
      <c r="E30" s="56"/>
      <c r="F30" s="56"/>
    </row>
    <row r="32" spans="1:7" x14ac:dyDescent="0.15">
      <c r="A32" s="54" t="s">
        <v>532</v>
      </c>
    </row>
    <row r="33" spans="1:4" x14ac:dyDescent="0.15">
      <c r="A33" s="54" t="s">
        <v>517</v>
      </c>
      <c r="B33" s="54" t="s">
        <v>533</v>
      </c>
      <c r="C33" s="54" t="s">
        <v>534</v>
      </c>
      <c r="D33" s="54" t="s">
        <v>535</v>
      </c>
    </row>
    <row r="34" spans="1:4" x14ac:dyDescent="0.15">
      <c r="A34" s="54" t="s">
        <v>524</v>
      </c>
      <c r="B34" s="56"/>
      <c r="C34" s="56"/>
      <c r="D34" s="56"/>
    </row>
    <row r="35" spans="1:4" x14ac:dyDescent="0.15">
      <c r="A35" s="54" t="s">
        <v>525</v>
      </c>
      <c r="B35" s="56"/>
      <c r="C35" s="56"/>
      <c r="D35" s="56"/>
    </row>
    <row r="36" spans="1:4" x14ac:dyDescent="0.15">
      <c r="A36" s="54" t="s">
        <v>526</v>
      </c>
      <c r="B36" s="56"/>
      <c r="C36" s="56"/>
      <c r="D36" s="56"/>
    </row>
    <row r="37" spans="1:4" x14ac:dyDescent="0.15">
      <c r="A37" s="54" t="s">
        <v>527</v>
      </c>
      <c r="B37" s="56"/>
      <c r="C37" s="56"/>
      <c r="D37" s="56"/>
    </row>
    <row r="38" spans="1:4" x14ac:dyDescent="0.15">
      <c r="A38" s="54" t="s">
        <v>528</v>
      </c>
      <c r="B38" s="56"/>
      <c r="C38" s="56"/>
      <c r="D38" s="56"/>
    </row>
    <row r="39" spans="1:4" x14ac:dyDescent="0.15">
      <c r="A39" s="58"/>
    </row>
    <row r="40" spans="1:4" x14ac:dyDescent="0.15">
      <c r="A40" s="54" t="s">
        <v>536</v>
      </c>
    </row>
    <row r="41" spans="1:4" x14ac:dyDescent="0.15">
      <c r="A41" s="54" t="s">
        <v>517</v>
      </c>
      <c r="B41" s="54" t="s">
        <v>537</v>
      </c>
    </row>
    <row r="42" spans="1:4" x14ac:dyDescent="0.15">
      <c r="A42" s="54" t="s">
        <v>524</v>
      </c>
      <c r="B42" s="56"/>
    </row>
    <row r="43" spans="1:4" x14ac:dyDescent="0.15">
      <c r="A43" s="54" t="s">
        <v>525</v>
      </c>
      <c r="B43" s="56"/>
    </row>
    <row r="44" spans="1:4" x14ac:dyDescent="0.15">
      <c r="A44" s="54" t="s">
        <v>526</v>
      </c>
      <c r="B44" s="56"/>
    </row>
    <row r="45" spans="1:4" x14ac:dyDescent="0.15">
      <c r="A45" s="54" t="s">
        <v>527</v>
      </c>
      <c r="B45" s="56"/>
    </row>
    <row r="46" spans="1:4" x14ac:dyDescent="0.15">
      <c r="A46" s="54" t="s">
        <v>528</v>
      </c>
      <c r="B46" s="56"/>
    </row>
    <row r="48" spans="1:4" x14ac:dyDescent="0.15">
      <c r="A48" s="54" t="s">
        <v>538</v>
      </c>
    </row>
    <row r="49" spans="1:7" x14ac:dyDescent="0.15">
      <c r="A49" s="59" t="s">
        <v>516</v>
      </c>
    </row>
    <row r="50" spans="1:7" x14ac:dyDescent="0.15">
      <c r="A50" s="59" t="s">
        <v>551</v>
      </c>
      <c r="B50" s="60" t="s">
        <v>552</v>
      </c>
    </row>
    <row r="51" spans="1:7" x14ac:dyDescent="0.15">
      <c r="A51" s="54" t="s">
        <v>539</v>
      </c>
      <c r="B51" s="54"/>
      <c r="C51" s="54"/>
      <c r="D51" s="54" t="s">
        <v>540</v>
      </c>
      <c r="E51" s="54"/>
      <c r="F51" s="54"/>
      <c r="G51" s="54" t="s">
        <v>541</v>
      </c>
    </row>
    <row r="52" spans="1:7" x14ac:dyDescent="0.15">
      <c r="A52" s="54" t="s">
        <v>542</v>
      </c>
      <c r="B52" s="54" t="s">
        <v>518</v>
      </c>
      <c r="C52" s="54" t="s">
        <v>543</v>
      </c>
      <c r="D52" s="54" t="s">
        <v>544</v>
      </c>
      <c r="E52" s="54" t="s">
        <v>545</v>
      </c>
      <c r="F52" s="54" t="s">
        <v>546</v>
      </c>
      <c r="G52" s="54"/>
    </row>
    <row r="53" spans="1:7" x14ac:dyDescent="0.15">
      <c r="A53" s="56"/>
      <c r="B53" s="56"/>
      <c r="C53" s="56"/>
      <c r="D53" s="56"/>
      <c r="E53" s="56"/>
      <c r="F53" s="56"/>
      <c r="G53" s="56"/>
    </row>
    <row r="54" spans="1:7" x14ac:dyDescent="0.15">
      <c r="A54" s="59" t="s">
        <v>553</v>
      </c>
      <c r="B54" s="60" t="s">
        <v>552</v>
      </c>
    </row>
    <row r="55" spans="1:7" x14ac:dyDescent="0.15">
      <c r="A55" s="54" t="s">
        <v>539</v>
      </c>
      <c r="B55" s="54"/>
      <c r="C55" s="54"/>
      <c r="D55" s="54" t="s">
        <v>540</v>
      </c>
      <c r="E55" s="54"/>
      <c r="F55" s="54"/>
      <c r="G55" s="54" t="s">
        <v>541</v>
      </c>
    </row>
    <row r="56" spans="1:7" x14ac:dyDescent="0.15">
      <c r="A56" s="54" t="s">
        <v>542</v>
      </c>
      <c r="B56" s="54" t="s">
        <v>554</v>
      </c>
      <c r="C56" s="54" t="s">
        <v>543</v>
      </c>
      <c r="D56" s="54" t="s">
        <v>544</v>
      </c>
      <c r="E56" s="54" t="s">
        <v>545</v>
      </c>
      <c r="F56" s="54" t="s">
        <v>546</v>
      </c>
      <c r="G56" s="54"/>
    </row>
    <row r="57" spans="1:7" x14ac:dyDescent="0.15">
      <c r="A57" s="56"/>
      <c r="B57" s="56"/>
      <c r="C57" s="56"/>
      <c r="D57" s="56"/>
      <c r="E57" s="56"/>
      <c r="F57" s="56"/>
      <c r="G57" s="56"/>
    </row>
    <row r="58" spans="1:7" x14ac:dyDescent="0.15">
      <c r="A58" s="61"/>
    </row>
    <row r="59" spans="1:7" x14ac:dyDescent="0.15">
      <c r="A59" s="54" t="s">
        <v>532</v>
      </c>
    </row>
    <row r="60" spans="1:7" x14ac:dyDescent="0.15">
      <c r="A60" s="54" t="s">
        <v>533</v>
      </c>
      <c r="B60" s="54" t="s">
        <v>534</v>
      </c>
      <c r="C60" s="54" t="s">
        <v>535</v>
      </c>
    </row>
    <row r="61" spans="1:7" x14ac:dyDescent="0.15">
      <c r="A61" s="56"/>
      <c r="B61" s="56"/>
      <c r="C61" s="56"/>
    </row>
    <row r="62" spans="1:7" x14ac:dyDescent="0.15">
      <c r="A62" s="58"/>
    </row>
    <row r="63" spans="1:7" x14ac:dyDescent="0.15">
      <c r="A63" s="54" t="s">
        <v>536</v>
      </c>
    </row>
    <row r="64" spans="1:7" x14ac:dyDescent="0.15">
      <c r="A64" s="54" t="s">
        <v>537</v>
      </c>
    </row>
    <row r="65" spans="1:7" x14ac:dyDescent="0.15">
      <c r="A65" s="56"/>
    </row>
    <row r="67" spans="1:7" x14ac:dyDescent="0.15">
      <c r="A67" s="54" t="s">
        <v>547</v>
      </c>
    </row>
    <row r="68" spans="1:7" x14ac:dyDescent="0.15">
      <c r="A68" s="59" t="s">
        <v>510</v>
      </c>
      <c r="B68" s="57" t="s">
        <v>511</v>
      </c>
    </row>
    <row r="69" spans="1:7" x14ac:dyDescent="0.15">
      <c r="A69" s="54" t="s">
        <v>512</v>
      </c>
      <c r="B69" s="54" t="s">
        <v>513</v>
      </c>
      <c r="C69" s="54" t="s">
        <v>514</v>
      </c>
      <c r="D69" s="57" t="s">
        <v>511</v>
      </c>
    </row>
    <row r="70" spans="1:7" x14ac:dyDescent="0.15">
      <c r="A70" s="56">
        <v>1</v>
      </c>
      <c r="B70" s="56">
        <v>0</v>
      </c>
      <c r="C70" s="56">
        <v>6</v>
      </c>
      <c r="D70" s="57" t="s">
        <v>511</v>
      </c>
    </row>
    <row r="71" spans="1:7" x14ac:dyDescent="0.15">
      <c r="A71" s="56">
        <v>2</v>
      </c>
      <c r="B71" s="56">
        <v>5</v>
      </c>
      <c r="C71" s="56">
        <v>6</v>
      </c>
      <c r="D71" s="57" t="s">
        <v>511</v>
      </c>
    </row>
    <row r="73" spans="1:7" x14ac:dyDescent="0.15">
      <c r="A73" s="54" t="s">
        <v>515</v>
      </c>
    </row>
    <row r="74" spans="1:7" x14ac:dyDescent="0.15">
      <c r="A74" s="54" t="s">
        <v>516</v>
      </c>
    </row>
    <row r="75" spans="1:7" x14ac:dyDescent="0.15">
      <c r="A75" s="54" t="s">
        <v>517</v>
      </c>
      <c r="B75" s="54" t="s">
        <v>518</v>
      </c>
      <c r="C75" s="54" t="s">
        <v>519</v>
      </c>
      <c r="D75" s="54" t="s">
        <v>520</v>
      </c>
      <c r="E75" s="54" t="s">
        <v>521</v>
      </c>
      <c r="F75" s="54" t="s">
        <v>522</v>
      </c>
      <c r="G75" s="54" t="s">
        <v>523</v>
      </c>
    </row>
    <row r="76" spans="1:7" x14ac:dyDescent="0.15">
      <c r="A76" s="54" t="s">
        <v>524</v>
      </c>
      <c r="B76" s="56"/>
      <c r="C76" s="56"/>
      <c r="D76" s="56"/>
      <c r="E76" s="56"/>
      <c r="F76" s="56"/>
      <c r="G76" s="56"/>
    </row>
    <row r="77" spans="1:7" x14ac:dyDescent="0.15">
      <c r="A77" s="54" t="s">
        <v>525</v>
      </c>
      <c r="B77" s="56"/>
      <c r="C77" s="56"/>
      <c r="D77" s="56"/>
      <c r="E77" s="56"/>
      <c r="F77" s="56"/>
      <c r="G77" s="56"/>
    </row>
    <row r="78" spans="1:7" x14ac:dyDescent="0.15">
      <c r="A78" s="54" t="s">
        <v>526</v>
      </c>
      <c r="B78" s="56"/>
      <c r="C78" s="56"/>
      <c r="D78" s="56"/>
      <c r="E78" s="56"/>
      <c r="F78" s="56"/>
      <c r="G78" s="56"/>
    </row>
    <row r="79" spans="1:7" x14ac:dyDescent="0.15">
      <c r="A79" s="54" t="s">
        <v>527</v>
      </c>
      <c r="B79" s="56"/>
      <c r="C79" s="56"/>
      <c r="D79" s="56"/>
      <c r="E79" s="56"/>
      <c r="F79" s="56"/>
      <c r="G79" s="56"/>
    </row>
    <row r="80" spans="1:7" x14ac:dyDescent="0.15">
      <c r="A80" s="54" t="s">
        <v>528</v>
      </c>
      <c r="B80" s="56"/>
      <c r="C80" s="56"/>
      <c r="D80" s="56"/>
      <c r="E80" s="56"/>
      <c r="F80" s="56"/>
      <c r="G80" s="56"/>
    </row>
    <row r="81" spans="1:7" x14ac:dyDescent="0.15">
      <c r="A81" s="58"/>
    </row>
    <row r="82" spans="1:7" x14ac:dyDescent="0.15">
      <c r="A82" s="54" t="s">
        <v>529</v>
      </c>
    </row>
    <row r="83" spans="1:7" x14ac:dyDescent="0.15">
      <c r="A83" s="54" t="s">
        <v>517</v>
      </c>
      <c r="B83" s="54" t="s">
        <v>548</v>
      </c>
      <c r="C83" s="54" t="s">
        <v>519</v>
      </c>
      <c r="D83" s="54" t="s">
        <v>530</v>
      </c>
      <c r="E83" s="54" t="s">
        <v>522</v>
      </c>
      <c r="F83" s="54" t="s">
        <v>549</v>
      </c>
      <c r="G83" s="60" t="s">
        <v>550</v>
      </c>
    </row>
    <row r="84" spans="1:7" x14ac:dyDescent="0.15">
      <c r="A84" s="54" t="s">
        <v>524</v>
      </c>
      <c r="B84" s="56"/>
      <c r="C84" s="56"/>
      <c r="D84" s="56"/>
      <c r="E84" s="56"/>
      <c r="F84" s="56"/>
    </row>
    <row r="85" spans="1:7" x14ac:dyDescent="0.15">
      <c r="A85" s="54" t="s">
        <v>525</v>
      </c>
      <c r="B85" s="56"/>
      <c r="C85" s="56"/>
      <c r="D85" s="56"/>
      <c r="E85" s="56"/>
      <c r="F85" s="56"/>
    </row>
    <row r="86" spans="1:7" x14ac:dyDescent="0.15">
      <c r="A86" s="54" t="s">
        <v>526</v>
      </c>
      <c r="B86" s="56"/>
      <c r="C86" s="56"/>
      <c r="D86" s="56"/>
      <c r="E86" s="56"/>
      <c r="F86" s="56"/>
    </row>
    <row r="87" spans="1:7" x14ac:dyDescent="0.15">
      <c r="A87" s="54" t="s">
        <v>527</v>
      </c>
      <c r="B87" s="56"/>
      <c r="C87" s="56"/>
      <c r="D87" s="56"/>
      <c r="E87" s="56"/>
      <c r="F87" s="56"/>
    </row>
    <row r="88" spans="1:7" x14ac:dyDescent="0.15">
      <c r="A88" s="54" t="s">
        <v>528</v>
      </c>
      <c r="B88" s="56"/>
      <c r="C88" s="56"/>
      <c r="D88" s="56"/>
      <c r="E88" s="56"/>
      <c r="F88" s="56"/>
    </row>
    <row r="90" spans="1:7" x14ac:dyDescent="0.15">
      <c r="A90" s="54" t="s">
        <v>532</v>
      </c>
    </row>
    <row r="91" spans="1:7" x14ac:dyDescent="0.15">
      <c r="A91" s="54" t="s">
        <v>517</v>
      </c>
      <c r="B91" s="54" t="s">
        <v>533</v>
      </c>
      <c r="C91" s="54" t="s">
        <v>534</v>
      </c>
      <c r="D91" s="54" t="s">
        <v>535</v>
      </c>
    </row>
    <row r="92" spans="1:7" x14ac:dyDescent="0.15">
      <c r="A92" s="54" t="s">
        <v>524</v>
      </c>
      <c r="B92" s="56"/>
      <c r="C92" s="56"/>
      <c r="D92" s="56"/>
    </row>
    <row r="93" spans="1:7" x14ac:dyDescent="0.15">
      <c r="A93" s="54" t="s">
        <v>525</v>
      </c>
      <c r="B93" s="56"/>
      <c r="C93" s="56"/>
      <c r="D93" s="56"/>
    </row>
    <row r="94" spans="1:7" x14ac:dyDescent="0.15">
      <c r="A94" s="54" t="s">
        <v>526</v>
      </c>
      <c r="B94" s="56"/>
      <c r="C94" s="56"/>
      <c r="D94" s="56"/>
    </row>
    <row r="95" spans="1:7" x14ac:dyDescent="0.15">
      <c r="A95" s="54" t="s">
        <v>527</v>
      </c>
      <c r="B95" s="56"/>
      <c r="C95" s="56"/>
      <c r="D95" s="56"/>
    </row>
    <row r="96" spans="1:7" x14ac:dyDescent="0.15">
      <c r="A96" s="54" t="s">
        <v>528</v>
      </c>
      <c r="B96" s="56"/>
      <c r="C96" s="56"/>
      <c r="D96" s="56"/>
    </row>
    <row r="97" spans="1:7" x14ac:dyDescent="0.15">
      <c r="A97" s="58"/>
    </row>
    <row r="98" spans="1:7" x14ac:dyDescent="0.15">
      <c r="A98" s="54" t="s">
        <v>536</v>
      </c>
    </row>
    <row r="99" spans="1:7" x14ac:dyDescent="0.15">
      <c r="A99" s="54" t="s">
        <v>517</v>
      </c>
      <c r="B99" s="54" t="s">
        <v>537</v>
      </c>
    </row>
    <row r="100" spans="1:7" x14ac:dyDescent="0.15">
      <c r="A100" s="54" t="s">
        <v>524</v>
      </c>
      <c r="B100" s="56"/>
    </row>
    <row r="101" spans="1:7" x14ac:dyDescent="0.15">
      <c r="A101" s="54" t="s">
        <v>525</v>
      </c>
      <c r="B101" s="56"/>
    </row>
    <row r="102" spans="1:7" x14ac:dyDescent="0.15">
      <c r="A102" s="54" t="s">
        <v>526</v>
      </c>
      <c r="B102" s="56"/>
    </row>
    <row r="103" spans="1:7" x14ac:dyDescent="0.15">
      <c r="A103" s="54" t="s">
        <v>527</v>
      </c>
      <c r="B103" s="56"/>
    </row>
    <row r="104" spans="1:7" x14ac:dyDescent="0.15">
      <c r="A104" s="54" t="s">
        <v>528</v>
      </c>
      <c r="B104" s="56"/>
    </row>
    <row r="106" spans="1:7" x14ac:dyDescent="0.15">
      <c r="A106" s="54" t="s">
        <v>538</v>
      </c>
    </row>
    <row r="107" spans="1:7" x14ac:dyDescent="0.15">
      <c r="A107" s="59" t="s">
        <v>516</v>
      </c>
    </row>
    <row r="108" spans="1:7" x14ac:dyDescent="0.15">
      <c r="A108" s="59" t="s">
        <v>551</v>
      </c>
      <c r="B108" s="60" t="s">
        <v>552</v>
      </c>
    </row>
    <row r="109" spans="1:7" x14ac:dyDescent="0.15">
      <c r="A109" s="54" t="s">
        <v>539</v>
      </c>
      <c r="B109" s="54"/>
      <c r="C109" s="54"/>
      <c r="D109" s="54" t="s">
        <v>540</v>
      </c>
      <c r="E109" s="54"/>
      <c r="F109" s="54"/>
      <c r="G109" s="54" t="s">
        <v>541</v>
      </c>
    </row>
    <row r="110" spans="1:7" x14ac:dyDescent="0.15">
      <c r="A110" s="54" t="s">
        <v>542</v>
      </c>
      <c r="B110" s="54" t="s">
        <v>518</v>
      </c>
      <c r="C110" s="54" t="s">
        <v>543</v>
      </c>
      <c r="D110" s="54" t="s">
        <v>544</v>
      </c>
      <c r="E110" s="54" t="s">
        <v>545</v>
      </c>
      <c r="F110" s="54" t="s">
        <v>546</v>
      </c>
      <c r="G110" s="54"/>
    </row>
    <row r="111" spans="1:7" x14ac:dyDescent="0.15">
      <c r="A111" s="56"/>
      <c r="B111" s="56"/>
      <c r="C111" s="56"/>
      <c r="D111" s="56"/>
      <c r="E111" s="56"/>
      <c r="F111" s="56"/>
      <c r="G111" s="56"/>
    </row>
    <row r="112" spans="1:7" x14ac:dyDescent="0.15">
      <c r="A112" s="59" t="s">
        <v>553</v>
      </c>
      <c r="B112" s="60" t="s">
        <v>552</v>
      </c>
    </row>
    <row r="113" spans="1:7" x14ac:dyDescent="0.15">
      <c r="A113" s="54" t="s">
        <v>539</v>
      </c>
      <c r="B113" s="54"/>
      <c r="C113" s="54"/>
      <c r="D113" s="54" t="s">
        <v>540</v>
      </c>
      <c r="E113" s="54"/>
      <c r="F113" s="54"/>
      <c r="G113" s="54" t="s">
        <v>541</v>
      </c>
    </row>
    <row r="114" spans="1:7" x14ac:dyDescent="0.15">
      <c r="A114" s="54" t="s">
        <v>542</v>
      </c>
      <c r="B114" s="54" t="s">
        <v>554</v>
      </c>
      <c r="C114" s="54" t="s">
        <v>543</v>
      </c>
      <c r="D114" s="54" t="s">
        <v>544</v>
      </c>
      <c r="E114" s="54" t="s">
        <v>545</v>
      </c>
      <c r="F114" s="54" t="s">
        <v>546</v>
      </c>
      <c r="G114" s="54"/>
    </row>
    <row r="115" spans="1:7" x14ac:dyDescent="0.15">
      <c r="A115" s="56"/>
      <c r="B115" s="56"/>
      <c r="C115" s="56"/>
      <c r="D115" s="56"/>
      <c r="E115" s="56"/>
      <c r="F115" s="56"/>
      <c r="G115" s="56"/>
    </row>
    <row r="116" spans="1:7" x14ac:dyDescent="0.15">
      <c r="A116" s="61"/>
    </row>
    <row r="117" spans="1:7" x14ac:dyDescent="0.15">
      <c r="A117" s="54" t="s">
        <v>532</v>
      </c>
    </row>
    <row r="118" spans="1:7" x14ac:dyDescent="0.15">
      <c r="A118" s="54" t="s">
        <v>533</v>
      </c>
      <c r="B118" s="54" t="s">
        <v>534</v>
      </c>
      <c r="C118" s="54" t="s">
        <v>535</v>
      </c>
    </row>
    <row r="119" spans="1:7" x14ac:dyDescent="0.15">
      <c r="A119" s="56"/>
      <c r="B119" s="56"/>
      <c r="C119" s="56"/>
    </row>
    <row r="120" spans="1:7" x14ac:dyDescent="0.15">
      <c r="A120" s="58"/>
    </row>
    <row r="121" spans="1:7" x14ac:dyDescent="0.15">
      <c r="A121" s="54" t="s">
        <v>536</v>
      </c>
    </row>
    <row r="122" spans="1:7" x14ac:dyDescent="0.15">
      <c r="A122" s="54" t="s">
        <v>537</v>
      </c>
    </row>
    <row r="123" spans="1:7" x14ac:dyDescent="0.15">
      <c r="A123" s="56"/>
    </row>
  </sheetData>
  <phoneticPr fontId="1"/>
  <pageMargins left="0.7" right="0.7" top="0.75" bottom="0.75" header="0.3" footer="0.3"/>
  <pageSetup paperSize="9" scale="44" orientation="portrait"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1C155C1-1291-47F7-A039-8880775231D0}">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C33D6702-8C08-407C-AC1B-6AD826B49447}">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33</vt:i4>
      </vt:variant>
    </vt:vector>
  </HeadingPairs>
  <TitlesOfParts>
    <vt:vector size="38" baseType="lpstr">
      <vt:lpstr>ご利用方法</vt:lpstr>
      <vt:lpstr>入力</vt:lpstr>
      <vt:lpstr>場所打ち杭</vt:lpstr>
      <vt:lpstr>標準</vt:lpstr>
      <vt:lpstr>回転杭</vt:lpstr>
      <vt:lpstr>入力!DF</vt:lpstr>
      <vt:lpstr>入力!N値</vt:lpstr>
      <vt:lpstr>場所打ち杭!Print_Area</vt:lpstr>
      <vt:lpstr>パスワード</vt:lpstr>
      <vt:lpstr>ユーザー名</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入力!杭長</vt:lpstr>
      <vt:lpstr>入力!湿潤重量</vt:lpstr>
      <vt:lpstr>入力!水位</vt:lpstr>
      <vt:lpstr>入力!水中重量</vt:lpstr>
      <vt:lpstr>入力!線路_Lm</vt:lpstr>
      <vt:lpstr>入力!線路_Ln</vt:lpstr>
      <vt:lpstr>入力!線路_m</vt:lpstr>
      <vt:lpstr>入力!線路_n</vt:lpstr>
      <vt:lpstr>入力!層厚</vt:lpstr>
      <vt:lpstr>入力!層番</vt:lpstr>
      <vt:lpstr>入力!単位体積重量</vt:lpstr>
      <vt:lpstr>入力!弾性係数</vt:lpstr>
      <vt:lpstr>入力!直角_Lm</vt:lpstr>
      <vt:lpstr>入力!直角_Ln</vt:lpstr>
      <vt:lpstr>入力!直角_m</vt:lpstr>
      <vt:lpstr>入力!直角_n</vt:lpstr>
      <vt:lpstr>入力!土質区分</vt:lpstr>
      <vt:lpstr>入力!内部摩擦角</vt:lpstr>
      <vt:lpstr>入力!粘着力</vt:lpstr>
      <vt:lpstr>入力!変形係数</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2017-07-12T09:15:17Z</cp:lastPrinted>
  <dcterms:created xsi:type="dcterms:W3CDTF">1997-12-09T00:45:52Z</dcterms:created>
  <dcterms:modified xsi:type="dcterms:W3CDTF">2017-07-12T12:01:42Z</dcterms:modified>
</cp:coreProperties>
</file>