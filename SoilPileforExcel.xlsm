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2"/>
  </bookViews>
  <sheets>
    <sheet name="ご利用方法" sheetId="48" r:id="rId1"/>
    <sheet name="入力" sheetId="44" r:id="rId2"/>
    <sheet name="場所打ち杭" sheetId="47" r:id="rId3"/>
    <sheet name="標準" sheetId="49" state="hidden" r:id="rId4"/>
    <sheet name="回転杭" sheetId="50" state="hidden" r:id="rId5"/>
  </sheets>
  <externalReferences>
    <externalReference r:id="rId6"/>
    <externalReference r:id="rId7"/>
    <externalReference r:id="rId8"/>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場所打ち杭!$A$2:$A$2238</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入力!$G$29</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場所打ち杭!$B$1:$AI$1714</definedName>
    <definedName name="β1_線路" localSheetId="2">場所打ち杭!$H$468</definedName>
    <definedName name="β1_線路液状L1" localSheetId="2">場所打ち杭!$H$493</definedName>
    <definedName name="β1_線路液状L2" localSheetId="2">場所打ち杭!$H$518</definedName>
    <definedName name="β1_直角" localSheetId="2">場所打ち杭!$H$543</definedName>
    <definedName name="β1_直角液状L1" localSheetId="2">場所打ち杭!$H$568</definedName>
    <definedName name="β1_直角液状L2" localSheetId="2">場所打ち杭!$H$593</definedName>
    <definedName name="βL_線路" localSheetId="2">場所打ち杭!$AB$449:$AE$464</definedName>
    <definedName name="βL_線路液状L1" localSheetId="2">場所打ち杭!$AB$474:$AE$489</definedName>
    <definedName name="βL_線路液状L2" localSheetId="2">場所打ち杭!$AB$499:$AE$514</definedName>
    <definedName name="βL_直角" localSheetId="2">場所打ち杭!$AB$524:$AE$539</definedName>
    <definedName name="βL_直角液状L1" localSheetId="2">場所打ち杭!$AB$549:$AE$564</definedName>
    <definedName name="βL_直角液状L2" localSheetId="2">場所打ち杭!$AB$574:$AE$589</definedName>
    <definedName name="ええ" hidden="1">{"'表紙・目次 '!$A$8:$K$8"}</definedName>
    <definedName name="せん断バネTable線路_引" localSheetId="2">場所打ち杭!$T$650:$AC$665</definedName>
    <definedName name="せん断バネTable線路_押" localSheetId="2">場所打ち杭!$E$650:$N$665</definedName>
    <definedName name="せん断バネTable線路液状L1_引" localSheetId="2">場所打ち杭!$T$673:$AC$688</definedName>
    <definedName name="せん断バネTable線路液状L1_押" localSheetId="2">場所打ち杭!$E$673:$N$688</definedName>
    <definedName name="せん断バネTable線路液状L2_引" localSheetId="2">場所打ち杭!$T$696:$AC$711</definedName>
    <definedName name="せん断バネTable線路液状L2_押" localSheetId="2">場所打ち杭!$E$696:$N$711</definedName>
    <definedName name="せん断バネTable短期_引" localSheetId="2">場所打ち杭!$T$627:$AC$642</definedName>
    <definedName name="せん断バネTable短期_押" localSheetId="2">場所打ち杭!$E$627:$N$642</definedName>
    <definedName name="せん断バネTable長期_引" localSheetId="2">場所打ち杭!$T$604:$AC$619</definedName>
    <definedName name="せん断バネTable長期_押" localSheetId="2">場所打ち杭!$E$604:$N$619</definedName>
    <definedName name="せん断バネTable直角_引" localSheetId="2">場所打ち杭!$T$719:$AC$734</definedName>
    <definedName name="せん断バネTable直角_押" localSheetId="2">場所打ち杭!$E$719:$N$734</definedName>
    <definedName name="せん断バネTable直角液状L1_引" localSheetId="2">場所打ち杭!$T$742:$AC$757</definedName>
    <definedName name="せん断バネTable直角液状L1_押" localSheetId="2">場所打ち杭!$E$742:$N$757</definedName>
    <definedName name="せん断バネTable直角液状L2_引" localSheetId="2">場所打ち杭!$T$765:$AC$780</definedName>
    <definedName name="せん断バネTable直角液状L2_押" localSheetId="2">場所打ち杭!$E$765:$N$780</definedName>
    <definedName name="パスワード">ご利用方法!$B$16</definedName>
    <definedName name="ユーザー名">ご利用方法!$B$14</definedName>
    <definedName name="液状化DEL1" localSheetId="2">場所打ち杭!$Q$295:$T$310</definedName>
    <definedName name="液状化DEL2" localSheetId="2">場所打ち杭!$Q$317:$T$332</definedName>
    <definedName name="液状化L1の有無" localSheetId="2">場所打ち杭!$A$290</definedName>
    <definedName name="液状化L2の有無" localSheetId="2">場所打ち杭!$A$312</definedName>
    <definedName name="液状化低減係数" localSheetId="1">入力!$L$4:$M$19</definedName>
    <definedName name="杭径" localSheetId="1">入力!$G$23</definedName>
    <definedName name="杭種名称" localSheetId="1">入力!$J$23</definedName>
    <definedName name="杭周面の土層厚" localSheetId="2">場所打ち杭!$H$449:$J$464</definedName>
    <definedName name="杭周面の土層番号" localSheetId="2">場所打ち杭!$H$112:$J$127</definedName>
    <definedName name="杭周面の変形係数" localSheetId="2">場所打ち杭!$K$112:$P$127</definedName>
    <definedName name="杭先端Ed" localSheetId="2">場所打ち杭!$K$92</definedName>
    <definedName name="杭先端径" localSheetId="2">場所打ち杭!$Q$92</definedName>
    <definedName name="杭長" localSheetId="1">入力!$G$26</definedName>
    <definedName name="施工条件" localSheetId="1">入力!$J$26</definedName>
    <definedName name="施工条件">入力!$J$26</definedName>
    <definedName name="湿潤重量" localSheetId="1">入力!$F$4:$F$19</definedName>
    <definedName name="周面砂式" localSheetId="2">場所打ち杭!$X$830</definedName>
    <definedName name="周面砂上限値" localSheetId="2">場所打ち杭!$AB$830</definedName>
    <definedName name="周面支持力Table線路_引" localSheetId="2">場所打ち杭!$T$891:$AD$906</definedName>
    <definedName name="周面支持力Table線路_押" localSheetId="2">場所打ち杭!$E$891:$O$906</definedName>
    <definedName name="周面支持力Table線路液状L1_引" localSheetId="2">場所打ち杭!$T$915:$AD$930</definedName>
    <definedName name="周面支持力Table線路液状L1_押" localSheetId="2">場所打ち杭!$E$915:$O$930</definedName>
    <definedName name="周面支持力Table線路液状L2_引" localSheetId="2">場所打ち杭!$T$939:$AD$954</definedName>
    <definedName name="周面支持力Table線路液状L2_押" localSheetId="2">場所打ち杭!$E$939:$O$954</definedName>
    <definedName name="周面支持力Table短期_引" localSheetId="2">場所打ち杭!$T$867:$AD$882</definedName>
    <definedName name="周面支持力Table短期_押" localSheetId="2">場所打ち杭!$E$867:$O$882</definedName>
    <definedName name="周面支持力Table長期_引" localSheetId="2">場所打ち杭!$T$843:$AD$858</definedName>
    <definedName name="周面支持力Table長期_押" localSheetId="2">場所打ち杭!$E$843:$O$858</definedName>
    <definedName name="周面支持力Table直角_引" localSheetId="2">場所打ち杭!$T$963:$AD$978</definedName>
    <definedName name="周面支持力Table直角_押" localSheetId="2">場所打ち杭!$E$963:$O$978</definedName>
    <definedName name="周面支持力Table直角液状L1_引" localSheetId="2">場所打ち杭!$T$987:$AD$1002</definedName>
    <definedName name="周面支持力Table直角液状L1_押" localSheetId="2">場所打ち杭!$E$987:$O$1002</definedName>
    <definedName name="周面支持力Table直角液状L2_引" localSheetId="2">場所打ち杭!$T$1011:$AD$1026</definedName>
    <definedName name="周面支持力Table直角液状L2_押" localSheetId="2">場所打ち杭!$E$1011:$O$1026</definedName>
    <definedName name="周面粘式c" localSheetId="2">場所打ち杭!$T$831</definedName>
    <definedName name="周面粘式c上限値" localSheetId="2">場所打ち杭!$X$831</definedName>
    <definedName name="周面粘式N" localSheetId="2">場所打ち杭!$AB$831</definedName>
    <definedName name="周面粘式N上限値" localSheetId="2">場所打ち杭!$AE$831</definedName>
    <definedName name="終局せん断" hidden="1">{"'表紙・目次 '!$A$8:$K$8"}</definedName>
    <definedName name="水位" localSheetId="1">入力!$G$32</definedName>
    <definedName name="水中重量" localSheetId="1">入力!$G$4:$G$19</definedName>
    <definedName name="水平有効抵抗土圧Table" localSheetId="2">場所打ち杭!$D$1222:$U$1251</definedName>
    <definedName name="設計条件" hidden="1">{"'表紙・目次 '!$A$8:$K$8"}</definedName>
    <definedName name="先端N" localSheetId="2">場所打ち杭!$K$811</definedName>
    <definedName name="先端qtk" localSheetId="2">場所打ち杭!$H$810</definedName>
    <definedName name="先端qtk式" localSheetId="2">場所打ち杭!$K$810</definedName>
    <definedName name="先端qtk上限" localSheetId="2">場所打ち杭!$O$812</definedName>
    <definedName name="線路_Lm" localSheetId="1">入力!$N$24</definedName>
    <definedName name="線路_Ln" localSheetId="1">入力!$N$25</definedName>
    <definedName name="線路_m" localSheetId="1">入力!$P$24</definedName>
    <definedName name="線路_n" localSheetId="1">入力!$P$25</definedName>
    <definedName name="層厚" localSheetId="1">入力!$C$4:$C$19</definedName>
    <definedName name="層番" localSheetId="1">入力!$B$4:$B$19</definedName>
    <definedName name="単位体積重量" localSheetId="1">入力!$J$29</definedName>
    <definedName name="短期せん断地盤係数" localSheetId="2">場所打ち杭!$AC$112:$AH$127</definedName>
    <definedName name="弾性係数" localSheetId="1">入力!$J$32</definedName>
    <definedName name="長期せん断地盤係数" localSheetId="2">場所打ち杭!$T$112:$Y$127</definedName>
    <definedName name="直角_Lm" localSheetId="1">入力!$N$27</definedName>
    <definedName name="直角_Ln" localSheetId="1">入力!$N$28</definedName>
    <definedName name="直角_m" localSheetId="1">入力!$P$27</definedName>
    <definedName name="直角_n" localSheetId="1">入力!$P$28</definedName>
    <definedName name="抵抗モーメント" hidden="1">[3]ｽｲﾍｲ!$C$22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表層地盤Table" localSheetId="2">場所打ち杭!$D$1201:$O$1216</definedName>
    <definedName name="変形係数" localSheetId="1">入力!$K$4:$K$19</definedName>
  </definedNames>
  <calcPr calcId="152511"/>
</workbook>
</file>

<file path=xl/calcChain.xml><?xml version="1.0" encoding="utf-8"?>
<calcChain xmlns="http://schemas.openxmlformats.org/spreadsheetml/2006/main">
  <c r="V1699" i="47" l="1"/>
  <c r="V1700" i="47"/>
  <c r="V1701" i="47"/>
  <c r="V1702" i="47"/>
  <c r="V1703" i="47"/>
  <c r="V1704" i="47"/>
  <c r="V1705" i="47"/>
  <c r="V1706" i="47"/>
  <c r="V1707" i="47"/>
  <c r="V1708" i="47"/>
  <c r="V1709" i="47"/>
  <c r="V1710" i="47"/>
  <c r="V1711" i="47"/>
  <c r="V1712" i="47"/>
  <c r="V1713" i="47"/>
  <c r="T1699" i="47"/>
  <c r="T1700" i="47"/>
  <c r="T1701" i="47"/>
  <c r="T1702" i="47"/>
  <c r="T1703" i="47"/>
  <c r="T1704" i="47"/>
  <c r="T1705" i="47"/>
  <c r="T1706" i="47"/>
  <c r="T1707" i="47"/>
  <c r="T1708" i="47"/>
  <c r="T1709" i="47"/>
  <c r="T1710" i="47"/>
  <c r="T1711" i="47"/>
  <c r="T1712" i="47"/>
  <c r="T1713" i="47"/>
  <c r="G1699" i="47"/>
  <c r="G1700" i="47"/>
  <c r="G1701" i="47"/>
  <c r="G1702" i="47"/>
  <c r="G1703" i="47"/>
  <c r="G1704" i="47"/>
  <c r="G1705" i="47"/>
  <c r="G1706" i="47"/>
  <c r="G1707" i="47"/>
  <c r="G1708" i="47"/>
  <c r="G1709" i="47"/>
  <c r="G1710" i="47"/>
  <c r="G1711" i="47"/>
  <c r="G1712" i="47"/>
  <c r="G1713" i="47"/>
  <c r="E1699" i="47"/>
  <c r="E1700" i="47"/>
  <c r="E1701" i="47"/>
  <c r="E1702" i="47"/>
  <c r="E1703" i="47"/>
  <c r="E1704" i="47"/>
  <c r="E1705" i="47"/>
  <c r="E1706" i="47"/>
  <c r="E1707" i="47"/>
  <c r="E1708" i="47"/>
  <c r="E1709" i="47"/>
  <c r="E1710" i="47"/>
  <c r="E1711" i="47"/>
  <c r="E1712" i="47"/>
  <c r="E1713" i="47"/>
  <c r="V1698" i="47"/>
  <c r="T1698" i="47"/>
  <c r="G1698" i="47"/>
  <c r="E1698" i="47"/>
  <c r="V1677" i="47"/>
  <c r="V1678" i="47"/>
  <c r="V1679" i="47"/>
  <c r="V1680" i="47"/>
  <c r="V1681" i="47"/>
  <c r="V1682" i="47"/>
  <c r="V1683" i="47"/>
  <c r="V1684" i="47"/>
  <c r="V1685" i="47"/>
  <c r="V1686" i="47"/>
  <c r="V1687" i="47"/>
  <c r="V1688" i="47"/>
  <c r="V1689" i="47"/>
  <c r="V1690" i="47"/>
  <c r="V1691" i="47"/>
  <c r="T1677" i="47"/>
  <c r="T1678" i="47"/>
  <c r="T1679" i="47"/>
  <c r="T1680" i="47"/>
  <c r="T1681" i="47"/>
  <c r="T1682" i="47"/>
  <c r="T1683" i="47"/>
  <c r="T1684" i="47"/>
  <c r="T1685" i="47"/>
  <c r="T1686" i="47"/>
  <c r="T1687" i="47"/>
  <c r="T1688" i="47"/>
  <c r="T1689" i="47"/>
  <c r="T1690" i="47"/>
  <c r="T1691" i="47"/>
  <c r="G1677" i="47"/>
  <c r="G1678" i="47"/>
  <c r="G1679" i="47"/>
  <c r="G1680" i="47"/>
  <c r="G1681" i="47"/>
  <c r="G1682" i="47"/>
  <c r="G1683" i="47"/>
  <c r="G1684" i="47"/>
  <c r="G1685" i="47"/>
  <c r="G1686" i="47"/>
  <c r="G1687" i="47"/>
  <c r="G1688" i="47"/>
  <c r="G1689" i="47"/>
  <c r="G1690" i="47"/>
  <c r="G1691" i="47"/>
  <c r="E1677" i="47"/>
  <c r="E1678" i="47"/>
  <c r="E1679" i="47"/>
  <c r="E1680" i="47"/>
  <c r="E1681" i="47"/>
  <c r="E1682" i="47"/>
  <c r="E1683" i="47"/>
  <c r="E1684" i="47"/>
  <c r="E1685" i="47"/>
  <c r="E1686" i="47"/>
  <c r="E1687" i="47"/>
  <c r="E1688" i="47"/>
  <c r="E1689" i="47"/>
  <c r="E1690" i="47"/>
  <c r="E1691" i="47"/>
  <c r="V1676" i="47"/>
  <c r="T1676" i="47"/>
  <c r="G1676" i="47"/>
  <c r="E1676" i="47"/>
  <c r="V1655" i="47"/>
  <c r="V1656" i="47"/>
  <c r="V1657" i="47"/>
  <c r="V1658" i="47"/>
  <c r="V1659" i="47"/>
  <c r="V1660" i="47"/>
  <c r="V1661" i="47"/>
  <c r="V1662" i="47"/>
  <c r="V1663" i="47"/>
  <c r="V1664" i="47"/>
  <c r="V1665" i="47"/>
  <c r="V1666" i="47"/>
  <c r="V1667" i="47"/>
  <c r="V1668" i="47"/>
  <c r="V1669" i="47"/>
  <c r="T1655" i="47"/>
  <c r="T1656" i="47"/>
  <c r="T1657" i="47"/>
  <c r="T1658" i="47"/>
  <c r="T1659" i="47"/>
  <c r="T1660" i="47"/>
  <c r="T1661" i="47"/>
  <c r="T1662" i="47"/>
  <c r="T1663" i="47"/>
  <c r="T1664" i="47"/>
  <c r="T1665" i="47"/>
  <c r="T1666" i="47"/>
  <c r="T1667" i="47"/>
  <c r="T1668" i="47"/>
  <c r="T1669" i="47"/>
  <c r="G1655" i="47"/>
  <c r="G1656" i="47"/>
  <c r="G1657" i="47"/>
  <c r="G1658" i="47"/>
  <c r="G1659" i="47"/>
  <c r="G1660" i="47"/>
  <c r="G1661" i="47"/>
  <c r="G1662" i="47"/>
  <c r="G1663" i="47"/>
  <c r="G1664" i="47"/>
  <c r="G1665" i="47"/>
  <c r="G1666" i="47"/>
  <c r="G1667" i="47"/>
  <c r="G1668" i="47"/>
  <c r="G1669" i="47"/>
  <c r="E1655" i="47"/>
  <c r="E1656" i="47"/>
  <c r="A1656" i="47" s="1"/>
  <c r="E1657" i="47"/>
  <c r="A1657" i="47" s="1"/>
  <c r="E1658" i="47"/>
  <c r="E1659" i="47"/>
  <c r="E1660" i="47"/>
  <c r="E1661" i="47"/>
  <c r="E1662" i="47"/>
  <c r="E1663" i="47"/>
  <c r="E1664" i="47"/>
  <c r="E1665" i="47"/>
  <c r="A1665" i="47" s="1"/>
  <c r="E1666" i="47"/>
  <c r="E1667" i="47"/>
  <c r="E1668" i="47"/>
  <c r="E1669" i="47"/>
  <c r="V1654" i="47"/>
  <c r="T1654" i="47"/>
  <c r="G1654" i="47"/>
  <c r="E1654" i="47"/>
  <c r="A1713" i="47"/>
  <c r="A1712" i="47"/>
  <c r="A1711" i="47"/>
  <c r="A1710" i="47"/>
  <c r="A1709" i="47"/>
  <c r="A1708" i="47"/>
  <c r="A1707" i="47"/>
  <c r="A1706" i="47"/>
  <c r="A1705" i="47"/>
  <c r="A1704" i="47"/>
  <c r="A1703" i="47"/>
  <c r="A1702" i="47"/>
  <c r="A1701" i="47"/>
  <c r="A1700" i="47"/>
  <c r="A1699" i="47"/>
  <c r="A1698" i="47"/>
  <c r="A1697" i="47"/>
  <c r="A1696" i="47"/>
  <c r="A1695" i="47"/>
  <c r="A1694" i="47"/>
  <c r="A1692" i="47"/>
  <c r="A1691" i="47"/>
  <c r="A1690" i="47"/>
  <c r="A1689" i="47"/>
  <c r="A1688" i="47"/>
  <c r="A1687" i="47"/>
  <c r="A1686" i="47"/>
  <c r="A1685" i="47"/>
  <c r="A1684" i="47"/>
  <c r="A1683" i="47"/>
  <c r="A1682" i="47"/>
  <c r="A1681" i="47"/>
  <c r="A1680" i="47"/>
  <c r="A1679" i="47"/>
  <c r="A1678" i="47"/>
  <c r="A1677" i="47"/>
  <c r="A1676" i="47"/>
  <c r="A1675" i="47"/>
  <c r="A1674" i="47"/>
  <c r="A1673" i="47"/>
  <c r="A1672" i="47"/>
  <c r="A1671" i="47"/>
  <c r="V1631" i="47"/>
  <c r="V1632" i="47"/>
  <c r="V1633" i="47"/>
  <c r="V1634" i="47"/>
  <c r="V1635" i="47"/>
  <c r="V1636" i="47"/>
  <c r="V1637" i="47"/>
  <c r="V1638" i="47"/>
  <c r="V1639" i="47"/>
  <c r="V1640" i="47"/>
  <c r="V1641" i="47"/>
  <c r="V1642" i="47"/>
  <c r="V1643" i="47"/>
  <c r="V1644" i="47"/>
  <c r="V1645" i="47"/>
  <c r="T1631" i="47"/>
  <c r="T1632" i="47"/>
  <c r="T1633" i="47"/>
  <c r="T1634" i="47"/>
  <c r="T1635" i="47"/>
  <c r="T1636" i="47"/>
  <c r="T1637" i="47"/>
  <c r="T1638" i="47"/>
  <c r="T1639" i="47"/>
  <c r="T1640" i="47"/>
  <c r="T1641" i="47"/>
  <c r="T1642" i="47"/>
  <c r="T1643" i="47"/>
  <c r="T1644" i="47"/>
  <c r="T1645" i="47"/>
  <c r="G1631" i="47"/>
  <c r="G1632" i="47"/>
  <c r="G1633" i="47"/>
  <c r="G1634" i="47"/>
  <c r="G1635" i="47"/>
  <c r="G1636" i="47"/>
  <c r="G1637" i="47"/>
  <c r="G1638" i="47"/>
  <c r="G1639" i="47"/>
  <c r="G1640" i="47"/>
  <c r="G1641" i="47"/>
  <c r="G1642" i="47"/>
  <c r="G1643" i="47"/>
  <c r="G1644" i="47"/>
  <c r="G1645" i="47"/>
  <c r="E1631" i="47"/>
  <c r="E1632" i="47"/>
  <c r="E1633" i="47"/>
  <c r="E1634" i="47"/>
  <c r="E1635" i="47"/>
  <c r="E1636" i="47"/>
  <c r="E1637" i="47"/>
  <c r="E1638" i="47"/>
  <c r="E1639" i="47"/>
  <c r="E1640" i="47"/>
  <c r="E1641" i="47"/>
  <c r="E1642" i="47"/>
  <c r="E1643" i="47"/>
  <c r="E1644" i="47"/>
  <c r="E1645" i="47"/>
  <c r="V1630" i="47"/>
  <c r="T1630" i="47"/>
  <c r="G1630" i="47"/>
  <c r="E1630" i="47"/>
  <c r="A1645" i="47"/>
  <c r="A1644" i="47"/>
  <c r="A1643" i="47"/>
  <c r="A1642" i="47"/>
  <c r="A1641" i="47"/>
  <c r="A1640" i="47"/>
  <c r="A1639" i="47"/>
  <c r="A1638" i="47"/>
  <c r="A1637" i="47"/>
  <c r="A1636" i="47"/>
  <c r="A1635" i="47"/>
  <c r="A1634" i="47"/>
  <c r="A1633" i="47"/>
  <c r="A1632" i="47"/>
  <c r="A1631" i="47"/>
  <c r="A1630" i="47"/>
  <c r="A1629" i="47"/>
  <c r="A1628" i="47"/>
  <c r="A1627" i="47"/>
  <c r="A1626" i="47"/>
  <c r="A1542" i="47"/>
  <c r="A1540" i="47"/>
  <c r="A1541" i="47" s="1"/>
  <c r="A1538" i="47"/>
  <c r="A1539" i="47" s="1"/>
  <c r="A1536" i="47"/>
  <c r="A1537" i="47" s="1"/>
  <c r="A1534" i="47"/>
  <c r="A1535" i="47" s="1"/>
  <c r="A1532" i="47"/>
  <c r="A1533" i="47" s="1"/>
  <c r="A1530" i="47"/>
  <c r="A1531" i="47" s="1"/>
  <c r="A1528" i="47"/>
  <c r="A1529" i="47" s="1"/>
  <c r="A1526" i="47"/>
  <c r="A1527" i="47" s="1"/>
  <c r="A1524" i="47"/>
  <c r="A1525" i="47" s="1"/>
  <c r="A1522" i="47"/>
  <c r="A1523" i="47" s="1"/>
  <c r="A1520" i="47"/>
  <c r="A1521" i="47" s="1"/>
  <c r="A1518" i="47"/>
  <c r="A1519" i="47" s="1"/>
  <c r="A1516" i="47"/>
  <c r="A1517" i="47" s="1"/>
  <c r="A1514" i="47"/>
  <c r="A1515" i="47" s="1"/>
  <c r="A1512" i="47"/>
  <c r="A1513" i="47" s="1"/>
  <c r="A1511" i="47"/>
  <c r="A1510" i="47"/>
  <c r="A1509" i="47"/>
  <c r="A1508" i="47"/>
  <c r="A1399" i="47"/>
  <c r="A1397" i="47"/>
  <c r="A1398" i="47" s="1"/>
  <c r="A1395" i="47"/>
  <c r="A1396" i="47" s="1"/>
  <c r="A1393" i="47"/>
  <c r="A1394" i="47" s="1"/>
  <c r="A1391" i="47"/>
  <c r="A1392" i="47" s="1"/>
  <c r="A1389" i="47"/>
  <c r="A1390" i="47" s="1"/>
  <c r="A1387" i="47"/>
  <c r="A1388" i="47" s="1"/>
  <c r="A1385" i="47"/>
  <c r="A1386" i="47" s="1"/>
  <c r="A1383" i="47"/>
  <c r="A1384" i="47" s="1"/>
  <c r="A1381" i="47"/>
  <c r="A1382" i="47" s="1"/>
  <c r="A1379" i="47"/>
  <c r="A1380" i="47" s="1"/>
  <c r="A1377" i="47"/>
  <c r="A1378" i="47" s="1"/>
  <c r="A1375" i="47"/>
  <c r="A1376" i="47" s="1"/>
  <c r="A1373" i="47"/>
  <c r="A1374" i="47" s="1"/>
  <c r="A1371" i="47"/>
  <c r="A1372" i="47" s="1"/>
  <c r="A1369" i="47"/>
  <c r="A1368" i="47"/>
  <c r="A1367" i="47"/>
  <c r="A1366" i="47"/>
  <c r="A1365" i="47"/>
  <c r="A1131" i="47"/>
  <c r="A1120" i="47"/>
  <c r="A1090" i="47"/>
  <c r="A1089" i="47"/>
  <c r="A1088" i="47"/>
  <c r="A1073" i="47"/>
  <c r="A1062" i="47"/>
  <c r="A1029" i="47"/>
  <c r="A1028" i="47"/>
  <c r="A1026" i="47"/>
  <c r="A1025" i="47"/>
  <c r="A1024" i="47"/>
  <c r="A1023" i="47"/>
  <c r="A1022" i="47"/>
  <c r="A1021" i="47"/>
  <c r="A1020" i="47"/>
  <c r="A1019" i="47"/>
  <c r="A1018" i="47"/>
  <c r="A1017" i="47"/>
  <c r="A1016" i="47"/>
  <c r="A1015" i="47"/>
  <c r="A1014" i="47"/>
  <c r="A1013" i="47"/>
  <c r="A1012" i="47"/>
  <c r="A1011" i="47"/>
  <c r="A1010" i="47"/>
  <c r="A1009" i="47"/>
  <c r="A1008" i="47"/>
  <c r="A1007" i="47"/>
  <c r="A957" i="47"/>
  <c r="A956" i="47"/>
  <c r="A955" i="47"/>
  <c r="A954" i="47"/>
  <c r="A953" i="47"/>
  <c r="A952" i="47"/>
  <c r="A951" i="47"/>
  <c r="A950" i="47"/>
  <c r="A949" i="47"/>
  <c r="A948" i="47"/>
  <c r="A947" i="47"/>
  <c r="A946" i="47"/>
  <c r="A945" i="47"/>
  <c r="A944" i="47"/>
  <c r="A943" i="47"/>
  <c r="A942" i="47"/>
  <c r="A941" i="47"/>
  <c r="A940" i="47"/>
  <c r="A939" i="47"/>
  <c r="A938" i="47"/>
  <c r="A937" i="47"/>
  <c r="A936" i="47"/>
  <c r="A935" i="47"/>
  <c r="A782" i="47"/>
  <c r="A781" i="47"/>
  <c r="A780" i="47"/>
  <c r="A779" i="47"/>
  <c r="A778" i="47"/>
  <c r="A777" i="47"/>
  <c r="A776" i="47"/>
  <c r="A775" i="47"/>
  <c r="A774" i="47"/>
  <c r="A773" i="47"/>
  <c r="A772" i="47"/>
  <c r="A771" i="47"/>
  <c r="A770" i="47"/>
  <c r="A769" i="47"/>
  <c r="A768" i="47"/>
  <c r="A767" i="47"/>
  <c r="A766" i="47"/>
  <c r="A765" i="47"/>
  <c r="A764" i="47"/>
  <c r="A763" i="47"/>
  <c r="A762" i="47"/>
  <c r="A761" i="47"/>
  <c r="A713" i="47"/>
  <c r="A712" i="47"/>
  <c r="A711" i="47"/>
  <c r="A710" i="47"/>
  <c r="A709" i="47"/>
  <c r="A708" i="47"/>
  <c r="A707" i="47"/>
  <c r="A706" i="47"/>
  <c r="A705" i="47"/>
  <c r="A704" i="47"/>
  <c r="A703" i="47"/>
  <c r="A702" i="47"/>
  <c r="A701" i="47"/>
  <c r="A700" i="47"/>
  <c r="A699" i="47"/>
  <c r="A698" i="47"/>
  <c r="A697" i="47"/>
  <c r="A696" i="47"/>
  <c r="A695" i="47"/>
  <c r="A694" i="47"/>
  <c r="A693" i="47"/>
  <c r="A692" i="47"/>
  <c r="A593" i="47"/>
  <c r="A592" i="47"/>
  <c r="A591" i="47"/>
  <c r="A590" i="47"/>
  <c r="A589" i="47"/>
  <c r="A588" i="47"/>
  <c r="A587" i="47"/>
  <c r="A586" i="47"/>
  <c r="A585" i="47"/>
  <c r="A584" i="47"/>
  <c r="A583" i="47"/>
  <c r="A582" i="47"/>
  <c r="A581" i="47"/>
  <c r="A580" i="47"/>
  <c r="A579" i="47"/>
  <c r="A578" i="47"/>
  <c r="A577" i="47"/>
  <c r="A576" i="47"/>
  <c r="A575" i="47"/>
  <c r="A574" i="47"/>
  <c r="A573" i="47"/>
  <c r="A572" i="47"/>
  <c r="A571" i="47"/>
  <c r="A518" i="47"/>
  <c r="A517" i="47"/>
  <c r="A516" i="47"/>
  <c r="A515" i="47"/>
  <c r="A514" i="47"/>
  <c r="A513" i="47"/>
  <c r="A512" i="47"/>
  <c r="A511" i="47"/>
  <c r="A510" i="47"/>
  <c r="A509" i="47"/>
  <c r="A508" i="47"/>
  <c r="A507" i="47"/>
  <c r="A506" i="47"/>
  <c r="A505" i="47"/>
  <c r="A504" i="47"/>
  <c r="A503" i="47"/>
  <c r="A502" i="47"/>
  <c r="A501" i="47"/>
  <c r="A500" i="47"/>
  <c r="A499" i="47"/>
  <c r="A498" i="47"/>
  <c r="A497" i="47"/>
  <c r="A496" i="47"/>
  <c r="A406" i="47"/>
  <c r="A405" i="47"/>
  <c r="A404" i="47"/>
  <c r="A403" i="47"/>
  <c r="A402" i="47"/>
  <c r="A401" i="47"/>
  <c r="A400" i="47"/>
  <c r="A399" i="47"/>
  <c r="A398" i="47"/>
  <c r="A397" i="47"/>
  <c r="A396" i="47"/>
  <c r="A395" i="47"/>
  <c r="A394" i="47"/>
  <c r="A393" i="47"/>
  <c r="A392" i="47"/>
  <c r="A391" i="47"/>
  <c r="A390" i="47"/>
  <c r="A389" i="47"/>
  <c r="A388" i="47"/>
  <c r="A387" i="47"/>
  <c r="A386" i="47"/>
  <c r="A385" i="47"/>
  <c r="A384" i="47"/>
  <c r="A334" i="47"/>
  <c r="A333" i="47"/>
  <c r="A332" i="47"/>
  <c r="A331" i="47"/>
  <c r="A330" i="47"/>
  <c r="A329" i="47"/>
  <c r="A328" i="47"/>
  <c r="A327" i="47"/>
  <c r="A326" i="47"/>
  <c r="A325" i="47"/>
  <c r="A324" i="47"/>
  <c r="A323" i="47"/>
  <c r="A322" i="47"/>
  <c r="A321" i="47"/>
  <c r="A320" i="47"/>
  <c r="A319" i="47"/>
  <c r="A318" i="47"/>
  <c r="A317" i="47"/>
  <c r="A316" i="47"/>
  <c r="A315" i="47"/>
  <c r="A314" i="47"/>
  <c r="A313" i="47"/>
  <c r="A1624" i="47"/>
  <c r="A1623" i="47"/>
  <c r="A1622" i="47"/>
  <c r="A1621" i="47"/>
  <c r="A1620" i="47"/>
  <c r="A1619" i="47"/>
  <c r="A1618" i="47"/>
  <c r="A1617" i="47"/>
  <c r="A1616" i="47"/>
  <c r="A1615" i="47"/>
  <c r="A1614" i="47"/>
  <c r="A1613" i="47"/>
  <c r="A1612" i="47"/>
  <c r="A1611" i="47"/>
  <c r="A1610" i="47"/>
  <c r="A1609" i="47"/>
  <c r="A1608" i="47"/>
  <c r="A1607" i="47"/>
  <c r="A1606" i="47"/>
  <c r="A1605" i="47"/>
  <c r="A1604" i="47"/>
  <c r="A1603" i="47"/>
  <c r="A1507" i="47"/>
  <c r="A1505" i="47"/>
  <c r="A1503" i="47"/>
  <c r="A1504" i="47" s="1"/>
  <c r="A1501" i="47"/>
  <c r="A1502" i="47" s="1"/>
  <c r="A1499" i="47"/>
  <c r="A1500" i="47" s="1"/>
  <c r="A1497" i="47"/>
  <c r="A1498" i="47" s="1"/>
  <c r="A1495" i="47"/>
  <c r="A1496" i="47" s="1"/>
  <c r="A1493" i="47"/>
  <c r="A1494" i="47" s="1"/>
  <c r="A1491" i="47"/>
  <c r="A1492" i="47" s="1"/>
  <c r="A1489" i="47"/>
  <c r="A1487" i="47"/>
  <c r="A1488" i="47" s="1"/>
  <c r="A1485" i="47"/>
  <c r="A1486" i="47" s="1"/>
  <c r="A1483" i="47"/>
  <c r="A1484" i="47" s="1"/>
  <c r="A1481" i="47"/>
  <c r="A1482" i="47" s="1"/>
  <c r="A1479" i="47"/>
  <c r="A1480" i="47" s="1"/>
  <c r="A1477" i="47"/>
  <c r="A1478" i="47" s="1"/>
  <c r="A1476" i="47"/>
  <c r="A1475" i="47"/>
  <c r="A1474" i="47"/>
  <c r="A1473" i="47"/>
  <c r="A1364" i="47"/>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33" i="47"/>
  <c r="A1332" i="47"/>
  <c r="A1331" i="47"/>
  <c r="A1330" i="47"/>
  <c r="A1130" i="47"/>
  <c r="A1119" i="47"/>
  <c r="A1072" i="47"/>
  <c r="A1061" i="47"/>
  <c r="A1005" i="47"/>
  <c r="A1004" i="47"/>
  <c r="A1002" i="47"/>
  <c r="A1001" i="47"/>
  <c r="A1000" i="47"/>
  <c r="A999" i="47"/>
  <c r="A998" i="47"/>
  <c r="A997" i="47"/>
  <c r="A996" i="47"/>
  <c r="A995" i="47"/>
  <c r="A994" i="47"/>
  <c r="A993" i="47"/>
  <c r="A992" i="47"/>
  <c r="A991" i="47"/>
  <c r="A990" i="47"/>
  <c r="A989" i="47"/>
  <c r="A988" i="47"/>
  <c r="A987" i="47"/>
  <c r="A986" i="47"/>
  <c r="A985" i="47"/>
  <c r="A984" i="47"/>
  <c r="A983" i="47"/>
  <c r="A933" i="47"/>
  <c r="A932" i="47"/>
  <c r="A931" i="47"/>
  <c r="A930" i="47"/>
  <c r="A929" i="47"/>
  <c r="A928" i="47"/>
  <c r="A927" i="47"/>
  <c r="A926" i="47"/>
  <c r="A925" i="47"/>
  <c r="A924" i="47"/>
  <c r="A923" i="47"/>
  <c r="A922" i="47"/>
  <c r="A921" i="47"/>
  <c r="A920" i="47"/>
  <c r="A919" i="47"/>
  <c r="A918" i="47"/>
  <c r="A917" i="47"/>
  <c r="A916" i="47"/>
  <c r="A915" i="47"/>
  <c r="A914" i="47"/>
  <c r="A913" i="47"/>
  <c r="A912" i="47"/>
  <c r="A911" i="47"/>
  <c r="A759" i="47"/>
  <c r="A758" i="47"/>
  <c r="A757" i="47"/>
  <c r="A756" i="47"/>
  <c r="A755" i="47"/>
  <c r="A754" i="47"/>
  <c r="A753" i="47"/>
  <c r="A752" i="47"/>
  <c r="A751" i="47"/>
  <c r="A750" i="47"/>
  <c r="A749" i="47"/>
  <c r="A748" i="47"/>
  <c r="A747" i="47"/>
  <c r="A746" i="47"/>
  <c r="A745" i="47"/>
  <c r="A744" i="47"/>
  <c r="A743" i="47"/>
  <c r="A742" i="47"/>
  <c r="A741" i="47"/>
  <c r="A740" i="47"/>
  <c r="A739" i="47"/>
  <c r="A738" i="47"/>
  <c r="A690" i="47"/>
  <c r="A689" i="47"/>
  <c r="A688" i="47"/>
  <c r="A687" i="47"/>
  <c r="A686" i="47"/>
  <c r="A685" i="47"/>
  <c r="A684" i="47"/>
  <c r="A683" i="47"/>
  <c r="A682" i="47"/>
  <c r="A681" i="47"/>
  <c r="A680" i="47"/>
  <c r="A679" i="47"/>
  <c r="A678" i="47"/>
  <c r="A677" i="47"/>
  <c r="A676" i="47"/>
  <c r="A675" i="47"/>
  <c r="A674" i="47"/>
  <c r="A673" i="47"/>
  <c r="A672" i="47"/>
  <c r="A671" i="47"/>
  <c r="A670" i="47"/>
  <c r="A669" i="47"/>
  <c r="A568" i="47"/>
  <c r="A567" i="47"/>
  <c r="A566" i="47"/>
  <c r="A565" i="47"/>
  <c r="A564" i="47"/>
  <c r="A563" i="47"/>
  <c r="A562" i="47"/>
  <c r="A561" i="47"/>
  <c r="A560" i="47"/>
  <c r="A559" i="47"/>
  <c r="A558" i="47"/>
  <c r="A557" i="47"/>
  <c r="A556" i="47"/>
  <c r="A555" i="47"/>
  <c r="A554" i="47"/>
  <c r="A553" i="47"/>
  <c r="A552" i="47"/>
  <c r="A551" i="47"/>
  <c r="A550" i="47"/>
  <c r="A549" i="47"/>
  <c r="A548" i="47"/>
  <c r="A547" i="47"/>
  <c r="A546" i="47"/>
  <c r="A493" i="47"/>
  <c r="A492" i="47"/>
  <c r="A491" i="47"/>
  <c r="A490" i="47"/>
  <c r="A489" i="47"/>
  <c r="A488" i="47"/>
  <c r="A487" i="47"/>
  <c r="A486" i="47"/>
  <c r="A485" i="47"/>
  <c r="A484" i="47"/>
  <c r="A483" i="47"/>
  <c r="A482" i="47"/>
  <c r="A481" i="47"/>
  <c r="A480" i="47"/>
  <c r="A479" i="47"/>
  <c r="A478" i="47"/>
  <c r="A477" i="47"/>
  <c r="A476" i="47"/>
  <c r="A475" i="47"/>
  <c r="A474" i="47"/>
  <c r="A473" i="47"/>
  <c r="A472" i="47"/>
  <c r="A471" i="47"/>
  <c r="A383" i="47"/>
  <c r="A382" i="47"/>
  <c r="A381" i="47"/>
  <c r="A380" i="47"/>
  <c r="A379" i="47"/>
  <c r="A378" i="47"/>
  <c r="A377" i="47"/>
  <c r="A376" i="47"/>
  <c r="A375" i="47"/>
  <c r="A374" i="47"/>
  <c r="A373" i="47"/>
  <c r="A372" i="47"/>
  <c r="A371" i="47"/>
  <c r="A370" i="47"/>
  <c r="A369" i="47"/>
  <c r="A368" i="47"/>
  <c r="A367" i="47"/>
  <c r="A366" i="47"/>
  <c r="A365" i="47"/>
  <c r="A364" i="47"/>
  <c r="A363" i="47"/>
  <c r="A362" i="47"/>
  <c r="A311" i="47"/>
  <c r="A310" i="47"/>
  <c r="A309" i="47"/>
  <c r="A308" i="47"/>
  <c r="A307" i="47"/>
  <c r="A306" i="47"/>
  <c r="A305" i="47"/>
  <c r="A304" i="47"/>
  <c r="A303" i="47"/>
  <c r="A302" i="47"/>
  <c r="A301" i="47"/>
  <c r="A300" i="47"/>
  <c r="A299" i="47"/>
  <c r="A298" i="47"/>
  <c r="A297" i="47"/>
  <c r="A296" i="47"/>
  <c r="A295" i="47"/>
  <c r="A294" i="47"/>
  <c r="A293" i="47"/>
  <c r="A292" i="47"/>
  <c r="A291" i="47"/>
  <c r="V1609" i="47"/>
  <c r="V1610" i="47"/>
  <c r="V1611" i="47"/>
  <c r="V1612" i="47"/>
  <c r="V1613" i="47"/>
  <c r="V1614" i="47"/>
  <c r="V1615" i="47"/>
  <c r="V1616" i="47"/>
  <c r="V1617" i="47"/>
  <c r="V1618" i="47"/>
  <c r="V1619" i="47"/>
  <c r="V1620" i="47"/>
  <c r="V1621" i="47"/>
  <c r="V1622" i="47"/>
  <c r="V1623" i="47"/>
  <c r="T1609" i="47"/>
  <c r="T1610" i="47"/>
  <c r="T1611" i="47"/>
  <c r="T1612" i="47"/>
  <c r="T1613" i="47"/>
  <c r="T1614" i="47"/>
  <c r="T1615" i="47"/>
  <c r="T1616" i="47"/>
  <c r="T1617" i="47"/>
  <c r="T1618" i="47"/>
  <c r="T1619" i="47"/>
  <c r="T1620" i="47"/>
  <c r="T1621" i="47"/>
  <c r="T1622" i="47"/>
  <c r="T1623" i="47"/>
  <c r="G1609" i="47"/>
  <c r="G1610" i="47"/>
  <c r="G1611" i="47"/>
  <c r="G1612" i="47"/>
  <c r="G1613" i="47"/>
  <c r="G1614" i="47"/>
  <c r="G1615" i="47"/>
  <c r="G1616" i="47"/>
  <c r="G1617" i="47"/>
  <c r="G1618" i="47"/>
  <c r="G1619" i="47"/>
  <c r="G1620" i="47"/>
  <c r="G1621" i="47"/>
  <c r="G1622" i="47"/>
  <c r="G1623" i="47"/>
  <c r="E1609" i="47"/>
  <c r="E1610" i="47"/>
  <c r="E1611" i="47"/>
  <c r="E1612" i="47"/>
  <c r="E1613" i="47"/>
  <c r="E1614" i="47"/>
  <c r="E1615" i="47"/>
  <c r="E1616" i="47"/>
  <c r="E1617" i="47"/>
  <c r="E1618" i="47"/>
  <c r="E1619" i="47"/>
  <c r="E1620" i="47"/>
  <c r="E1621" i="47"/>
  <c r="E1622" i="47"/>
  <c r="E1623" i="47"/>
  <c r="V1608" i="47"/>
  <c r="T1608" i="47"/>
  <c r="G1608" i="47"/>
  <c r="E1608" i="47"/>
  <c r="E1599" i="47"/>
  <c r="G1599" i="47"/>
  <c r="T1599" i="47"/>
  <c r="V1599" i="47"/>
  <c r="E1600" i="47"/>
  <c r="G1600" i="47"/>
  <c r="T1600" i="47"/>
  <c r="V1600" i="47"/>
  <c r="E1601" i="47"/>
  <c r="G1601" i="47"/>
  <c r="T1601" i="47"/>
  <c r="V1601" i="47"/>
  <c r="E1587" i="47"/>
  <c r="G1587" i="47"/>
  <c r="T1587" i="47"/>
  <c r="V1587" i="47"/>
  <c r="E1588" i="47"/>
  <c r="G1588" i="47"/>
  <c r="T1588" i="47"/>
  <c r="V1588" i="47"/>
  <c r="E1589" i="47"/>
  <c r="G1589" i="47"/>
  <c r="T1589" i="47"/>
  <c r="V1589" i="47"/>
  <c r="E1590" i="47"/>
  <c r="G1590" i="47"/>
  <c r="T1590" i="47"/>
  <c r="V1590" i="47"/>
  <c r="E1591" i="47"/>
  <c r="G1591" i="47"/>
  <c r="T1591" i="47"/>
  <c r="V1591" i="47"/>
  <c r="E1592" i="47"/>
  <c r="G1592" i="47"/>
  <c r="T1592" i="47"/>
  <c r="V1592" i="47"/>
  <c r="E1593" i="47"/>
  <c r="G1593" i="47"/>
  <c r="T1593" i="47"/>
  <c r="V1593" i="47"/>
  <c r="E1594" i="47"/>
  <c r="G1594" i="47"/>
  <c r="T1594" i="47"/>
  <c r="V1594" i="47"/>
  <c r="E1595" i="47"/>
  <c r="G1595" i="47"/>
  <c r="T1595" i="47"/>
  <c r="V1595" i="47"/>
  <c r="E1596" i="47"/>
  <c r="G1596" i="47"/>
  <c r="T1596" i="47"/>
  <c r="V1596" i="47"/>
  <c r="E1597" i="47"/>
  <c r="G1597" i="47"/>
  <c r="T1597" i="47"/>
  <c r="V1597" i="47"/>
  <c r="E1598" i="47"/>
  <c r="G1598" i="47"/>
  <c r="T1598" i="47"/>
  <c r="V1598" i="47"/>
  <c r="V1586" i="47"/>
  <c r="T1586" i="47"/>
  <c r="G1586" i="47"/>
  <c r="E1586" i="47"/>
  <c r="AD1542" i="47"/>
  <c r="AJ1540" i="47"/>
  <c r="H1540" i="47"/>
  <c r="E1540" i="47"/>
  <c r="O1540" i="47" s="1"/>
  <c r="O1541" i="47" s="1"/>
  <c r="B1540" i="47"/>
  <c r="AJ1538" i="47"/>
  <c r="H1538" i="47"/>
  <c r="E1538" i="47"/>
  <c r="AB1538" i="47" s="1"/>
  <c r="B1538" i="47"/>
  <c r="AJ1536" i="47"/>
  <c r="H1536" i="47"/>
  <c r="E1536" i="47"/>
  <c r="AB1537" i="47" s="1"/>
  <c r="B1536" i="47"/>
  <c r="AJ1534" i="47"/>
  <c r="H1534" i="47"/>
  <c r="E1534" i="47"/>
  <c r="AB1534" i="47" s="1"/>
  <c r="B1534" i="47"/>
  <c r="AJ1532" i="47"/>
  <c r="H1532" i="47"/>
  <c r="E1532" i="47"/>
  <c r="O1532" i="47" s="1"/>
  <c r="O1533" i="47" s="1"/>
  <c r="B1532" i="47"/>
  <c r="AJ1530" i="47"/>
  <c r="H1530" i="47"/>
  <c r="E1530" i="47"/>
  <c r="U1530" i="47" s="1"/>
  <c r="U1531" i="47" s="1"/>
  <c r="B1530" i="47"/>
  <c r="AJ1528" i="47"/>
  <c r="H1528" i="47"/>
  <c r="E1528" i="47"/>
  <c r="O1528" i="47" s="1"/>
  <c r="O1529" i="47" s="1"/>
  <c r="B1528" i="47"/>
  <c r="AJ1526" i="47"/>
  <c r="H1526" i="47"/>
  <c r="E1526" i="47"/>
  <c r="U1526" i="47" s="1"/>
  <c r="U1527" i="47" s="1"/>
  <c r="B1526" i="47"/>
  <c r="AJ1524" i="47"/>
  <c r="H1524" i="47"/>
  <c r="E1524" i="47"/>
  <c r="AB1525" i="47" s="1"/>
  <c r="B1524" i="47"/>
  <c r="AJ1522" i="47"/>
  <c r="H1522" i="47"/>
  <c r="E1522" i="47"/>
  <c r="X1522" i="47" s="1"/>
  <c r="B1522" i="47"/>
  <c r="AJ1520" i="47"/>
  <c r="H1520" i="47"/>
  <c r="E1520" i="47"/>
  <c r="B1520" i="47"/>
  <c r="AJ1518" i="47"/>
  <c r="H1518" i="47"/>
  <c r="E1518" i="47"/>
  <c r="O1518" i="47" s="1"/>
  <c r="O1519" i="47" s="1"/>
  <c r="B1518" i="47"/>
  <c r="AJ1516" i="47"/>
  <c r="H1516" i="47"/>
  <c r="E1516" i="47"/>
  <c r="U1516" i="47" s="1"/>
  <c r="U1517" i="47" s="1"/>
  <c r="B1516" i="47"/>
  <c r="AJ1514" i="47"/>
  <c r="H1514" i="47"/>
  <c r="E1514" i="47"/>
  <c r="B1514" i="47"/>
  <c r="AJ1512" i="47"/>
  <c r="H1512" i="47"/>
  <c r="E1512" i="47"/>
  <c r="O1512" i="47" s="1"/>
  <c r="O1513" i="47" s="1"/>
  <c r="B1512" i="47"/>
  <c r="AD1507" i="47"/>
  <c r="AJ1505" i="47"/>
  <c r="H1505" i="47"/>
  <c r="E1505" i="47"/>
  <c r="U1505" i="47" s="1"/>
  <c r="U1506" i="47" s="1"/>
  <c r="B1505" i="47"/>
  <c r="A1506" i="47"/>
  <c r="AJ1503" i="47"/>
  <c r="H1503" i="47"/>
  <c r="E1503" i="47"/>
  <c r="O1503" i="47" s="1"/>
  <c r="O1504" i="47" s="1"/>
  <c r="B1503" i="47"/>
  <c r="AJ1501" i="47"/>
  <c r="H1501" i="47"/>
  <c r="E1501" i="47"/>
  <c r="U1501" i="47" s="1"/>
  <c r="U1502" i="47" s="1"/>
  <c r="B1501" i="47"/>
  <c r="AJ1499" i="47"/>
  <c r="H1499" i="47"/>
  <c r="E1499" i="47"/>
  <c r="AB1499" i="47" s="1"/>
  <c r="B1499" i="47"/>
  <c r="AJ1497" i="47"/>
  <c r="H1497" i="47"/>
  <c r="E1497" i="47"/>
  <c r="AF1497" i="47" s="1"/>
  <c r="B1497" i="47"/>
  <c r="AJ1495" i="47"/>
  <c r="H1495" i="47"/>
  <c r="E1495" i="47"/>
  <c r="O1495" i="47" s="1"/>
  <c r="O1496" i="47" s="1"/>
  <c r="B1495" i="47"/>
  <c r="AJ1493" i="47"/>
  <c r="H1493" i="47"/>
  <c r="E1493" i="47"/>
  <c r="U1493" i="47" s="1"/>
  <c r="U1494" i="47" s="1"/>
  <c r="B1493" i="47"/>
  <c r="AJ1491" i="47"/>
  <c r="H1491" i="47"/>
  <c r="E1491" i="47"/>
  <c r="O1491" i="47" s="1"/>
  <c r="O1492" i="47" s="1"/>
  <c r="B1491" i="47"/>
  <c r="AJ1489" i="47"/>
  <c r="H1489" i="47"/>
  <c r="E1489" i="47"/>
  <c r="AB1490" i="47" s="1"/>
  <c r="B1489" i="47"/>
  <c r="A1490" i="47"/>
  <c r="AJ1487" i="47"/>
  <c r="H1487" i="47"/>
  <c r="E1487" i="47"/>
  <c r="X1487" i="47" s="1"/>
  <c r="B1487" i="47"/>
  <c r="AJ1485" i="47"/>
  <c r="H1485" i="47"/>
  <c r="E1485" i="47"/>
  <c r="B1485" i="47"/>
  <c r="AJ1483" i="47"/>
  <c r="H1483" i="47"/>
  <c r="E1483" i="47"/>
  <c r="U1483" i="47" s="1"/>
  <c r="U1484" i="47" s="1"/>
  <c r="B1483" i="47"/>
  <c r="AJ1481" i="47"/>
  <c r="H1481" i="47"/>
  <c r="E1481" i="47"/>
  <c r="O1481" i="47" s="1"/>
  <c r="O1482" i="47" s="1"/>
  <c r="B1481" i="47"/>
  <c r="AJ1479" i="47"/>
  <c r="H1479" i="47"/>
  <c r="E1479" i="47"/>
  <c r="B1479" i="47"/>
  <c r="AJ1477" i="47"/>
  <c r="H1477" i="47"/>
  <c r="E1477" i="47"/>
  <c r="U1477" i="47" s="1"/>
  <c r="U1478" i="47" s="1"/>
  <c r="B1477" i="47"/>
  <c r="AD1471" i="47"/>
  <c r="H1469" i="47"/>
  <c r="A1469" i="47" s="1"/>
  <c r="A1470" i="47" s="1"/>
  <c r="E1469" i="47"/>
  <c r="AF1470" i="47" s="1"/>
  <c r="B1469" i="47"/>
  <c r="H1467" i="47"/>
  <c r="A1467" i="47" s="1"/>
  <c r="A1468" i="47" s="1"/>
  <c r="E1467" i="47"/>
  <c r="X1468" i="47" s="1"/>
  <c r="B1467" i="47"/>
  <c r="H1465" i="47"/>
  <c r="A1465" i="47" s="1"/>
  <c r="A1466" i="47" s="1"/>
  <c r="E1465" i="47"/>
  <c r="AF1466" i="47" s="1"/>
  <c r="B1465" i="47"/>
  <c r="H1463" i="47"/>
  <c r="A1463" i="47" s="1"/>
  <c r="A1464" i="47" s="1"/>
  <c r="E1463" i="47"/>
  <c r="Q1463" i="47" s="1"/>
  <c r="Q1464" i="47" s="1"/>
  <c r="B1463" i="47"/>
  <c r="H1461" i="47"/>
  <c r="A1461" i="47" s="1"/>
  <c r="A1462" i="47" s="1"/>
  <c r="E1461" i="47"/>
  <c r="S1461" i="47" s="1"/>
  <c r="S1462" i="47" s="1"/>
  <c r="B1461" i="47"/>
  <c r="H1459" i="47"/>
  <c r="A1459" i="47" s="1"/>
  <c r="A1460" i="47" s="1"/>
  <c r="E1459" i="47"/>
  <c r="O1459" i="47" s="1"/>
  <c r="O1460" i="47" s="1"/>
  <c r="B1459" i="47"/>
  <c r="H1457" i="47"/>
  <c r="A1457" i="47" s="1"/>
  <c r="A1458" i="47" s="1"/>
  <c r="E1457" i="47"/>
  <c r="O1457" i="47" s="1"/>
  <c r="O1458" i="47" s="1"/>
  <c r="B1457" i="47"/>
  <c r="H1455" i="47"/>
  <c r="A1455" i="47" s="1"/>
  <c r="A1456" i="47" s="1"/>
  <c r="E1455" i="47"/>
  <c r="AF1455" i="47" s="1"/>
  <c r="B1455" i="47"/>
  <c r="H1453" i="47"/>
  <c r="A1453" i="47" s="1"/>
  <c r="A1454" i="47" s="1"/>
  <c r="E1453" i="47"/>
  <c r="S1453" i="47" s="1"/>
  <c r="S1454" i="47" s="1"/>
  <c r="B1453" i="47"/>
  <c r="H1451" i="47"/>
  <c r="A1451" i="47" s="1"/>
  <c r="A1452" i="47" s="1"/>
  <c r="E1451" i="47"/>
  <c r="U1451" i="47" s="1"/>
  <c r="U1452" i="47" s="1"/>
  <c r="B1451" i="47"/>
  <c r="H1449" i="47"/>
  <c r="A1449" i="47" s="1"/>
  <c r="A1450" i="47" s="1"/>
  <c r="E1449" i="47"/>
  <c r="B1449" i="47"/>
  <c r="H1447" i="47"/>
  <c r="A1447" i="47" s="1"/>
  <c r="A1448" i="47" s="1"/>
  <c r="E1447" i="47"/>
  <c r="O1447" i="47" s="1"/>
  <c r="B1447" i="47"/>
  <c r="H1445" i="47"/>
  <c r="A1445" i="47" s="1"/>
  <c r="A1446" i="47" s="1"/>
  <c r="E1445" i="47"/>
  <c r="S1445" i="47" s="1"/>
  <c r="S1446" i="47" s="1"/>
  <c r="B1445" i="47"/>
  <c r="H1443" i="47"/>
  <c r="A1443" i="47" s="1"/>
  <c r="A1444" i="47" s="1"/>
  <c r="E1443" i="47"/>
  <c r="B1443" i="47"/>
  <c r="H1441" i="47"/>
  <c r="A1441" i="47" s="1"/>
  <c r="A1442" i="47" s="1"/>
  <c r="E1441" i="47"/>
  <c r="O1441" i="47" s="1"/>
  <c r="B1441" i="47"/>
  <c r="AD1435" i="47"/>
  <c r="H1433" i="47"/>
  <c r="A1433" i="47" s="1"/>
  <c r="A1434" i="47" s="1"/>
  <c r="E1433" i="47"/>
  <c r="X1434" i="47" s="1"/>
  <c r="B1433" i="47"/>
  <c r="H1431" i="47"/>
  <c r="A1431" i="47" s="1"/>
  <c r="A1432" i="47" s="1"/>
  <c r="E1431" i="47"/>
  <c r="AF1432" i="47" s="1"/>
  <c r="B1431" i="47"/>
  <c r="H1429" i="47"/>
  <c r="A1429" i="47" s="1"/>
  <c r="A1430" i="47" s="1"/>
  <c r="E1429" i="47"/>
  <c r="AB1429" i="47" s="1"/>
  <c r="B1429" i="47"/>
  <c r="H1427" i="47"/>
  <c r="A1427" i="47" s="1"/>
  <c r="A1428" i="47" s="1"/>
  <c r="E1427" i="47"/>
  <c r="X1427" i="47" s="1"/>
  <c r="B1427" i="47"/>
  <c r="H1425" i="47"/>
  <c r="A1425" i="47" s="1"/>
  <c r="A1426" i="47" s="1"/>
  <c r="E1425" i="47"/>
  <c r="S1425" i="47" s="1"/>
  <c r="S1426" i="47" s="1"/>
  <c r="B1425" i="47"/>
  <c r="H1423" i="47"/>
  <c r="A1423" i="47" s="1"/>
  <c r="A1424" i="47" s="1"/>
  <c r="E1423" i="47"/>
  <c r="Q1423" i="47" s="1"/>
  <c r="Q1424" i="47" s="1"/>
  <c r="B1423" i="47"/>
  <c r="H1421" i="47"/>
  <c r="A1421" i="47" s="1"/>
  <c r="A1422" i="47" s="1"/>
  <c r="E1421" i="47"/>
  <c r="U1421" i="47" s="1"/>
  <c r="U1422" i="47" s="1"/>
  <c r="B1421" i="47"/>
  <c r="H1419" i="47"/>
  <c r="A1419" i="47" s="1"/>
  <c r="A1420" i="47" s="1"/>
  <c r="E1419" i="47"/>
  <c r="AB1420" i="47" s="1"/>
  <c r="B1419" i="47"/>
  <c r="H1417" i="47"/>
  <c r="A1417" i="47" s="1"/>
  <c r="A1418" i="47" s="1"/>
  <c r="E1417" i="47"/>
  <c r="AF1417" i="47" s="1"/>
  <c r="B1417" i="47"/>
  <c r="H1415" i="47"/>
  <c r="A1415" i="47" s="1"/>
  <c r="A1416" i="47" s="1"/>
  <c r="E1415" i="47"/>
  <c r="O1415" i="47" s="1"/>
  <c r="O1416" i="47" s="1"/>
  <c r="B1415" i="47"/>
  <c r="H1413" i="47"/>
  <c r="A1413" i="47" s="1"/>
  <c r="A1414" i="47" s="1"/>
  <c r="E1413" i="47"/>
  <c r="B1413" i="47"/>
  <c r="H1411" i="47"/>
  <c r="A1411" i="47" s="1"/>
  <c r="A1412" i="47" s="1"/>
  <c r="E1411" i="47"/>
  <c r="Q1411" i="47" s="1"/>
  <c r="Q1412" i="47" s="1"/>
  <c r="B1411" i="47"/>
  <c r="H1409" i="47"/>
  <c r="A1409" i="47" s="1"/>
  <c r="A1410" i="47" s="1"/>
  <c r="E1409" i="47"/>
  <c r="S1409" i="47" s="1"/>
  <c r="S1410" i="47" s="1"/>
  <c r="B1409" i="47"/>
  <c r="H1407" i="47"/>
  <c r="A1407" i="47" s="1"/>
  <c r="A1408" i="47" s="1"/>
  <c r="E1407" i="47"/>
  <c r="B1407" i="47"/>
  <c r="H1405" i="47"/>
  <c r="A1405" i="47" s="1"/>
  <c r="A1406" i="47" s="1"/>
  <c r="E1405" i="47"/>
  <c r="U1405" i="47" s="1"/>
  <c r="B1405" i="47"/>
  <c r="AJ1397" i="47"/>
  <c r="AJ1395" i="47"/>
  <c r="AJ1393" i="47"/>
  <c r="AJ1391" i="47"/>
  <c r="AJ1389" i="47"/>
  <c r="AJ1387" i="47"/>
  <c r="AJ1385" i="47"/>
  <c r="AJ1383" i="47"/>
  <c r="AJ1381" i="47"/>
  <c r="AJ1379" i="47"/>
  <c r="AJ1377" i="47"/>
  <c r="AJ1375" i="47"/>
  <c r="AJ1373" i="47"/>
  <c r="AJ1371" i="47"/>
  <c r="AJ1369" i="47"/>
  <c r="AD1399" i="47"/>
  <c r="U1398" i="47"/>
  <c r="S1398" i="47"/>
  <c r="Q1398" i="47"/>
  <c r="O1398" i="47"/>
  <c r="H1397" i="47"/>
  <c r="E1397" i="47"/>
  <c r="AF1398" i="47" s="1"/>
  <c r="B1397" i="47"/>
  <c r="U1396" i="47"/>
  <c r="U1397" i="47" s="1"/>
  <c r="S1396" i="47"/>
  <c r="S1397" i="47" s="1"/>
  <c r="Q1396" i="47"/>
  <c r="Q1397" i="47" s="1"/>
  <c r="O1396" i="47"/>
  <c r="O1397" i="47" s="1"/>
  <c r="H1395" i="47"/>
  <c r="E1395" i="47"/>
  <c r="AB1396" i="47" s="1"/>
  <c r="B1395" i="47"/>
  <c r="U1394" i="47"/>
  <c r="U1395" i="47" s="1"/>
  <c r="S1394" i="47"/>
  <c r="S1395" i="47" s="1"/>
  <c r="Q1394" i="47"/>
  <c r="Q1395" i="47" s="1"/>
  <c r="O1394" i="47"/>
  <c r="O1395" i="47" s="1"/>
  <c r="H1393" i="47"/>
  <c r="E1393" i="47"/>
  <c r="AB1393" i="47" s="1"/>
  <c r="B1393" i="47"/>
  <c r="U1392" i="47"/>
  <c r="U1393" i="47" s="1"/>
  <c r="S1392" i="47"/>
  <c r="S1393" i="47" s="1"/>
  <c r="Q1392" i="47"/>
  <c r="Q1393" i="47" s="1"/>
  <c r="O1392" i="47"/>
  <c r="O1393" i="47" s="1"/>
  <c r="H1391" i="47"/>
  <c r="E1391" i="47"/>
  <c r="X1392" i="47" s="1"/>
  <c r="B1391" i="47"/>
  <c r="U1390" i="47"/>
  <c r="U1391" i="47" s="1"/>
  <c r="H1389" i="47"/>
  <c r="E1389" i="47"/>
  <c r="Q1389" i="47" s="1"/>
  <c r="Q1390" i="47" s="1"/>
  <c r="B1389" i="47"/>
  <c r="U1388" i="47"/>
  <c r="U1389" i="47" s="1"/>
  <c r="H1387" i="47"/>
  <c r="E1387" i="47"/>
  <c r="AB1387" i="47" s="1"/>
  <c r="B1387" i="47"/>
  <c r="U1386" i="47"/>
  <c r="U1387" i="47" s="1"/>
  <c r="H1385" i="47"/>
  <c r="E1385" i="47"/>
  <c r="AB1385" i="47" s="1"/>
  <c r="B1385" i="47"/>
  <c r="U1384" i="47"/>
  <c r="U1385" i="47" s="1"/>
  <c r="H1383" i="47"/>
  <c r="E1383" i="47"/>
  <c r="U1383" i="47" s="1"/>
  <c r="B1383" i="47"/>
  <c r="H1381" i="47"/>
  <c r="E1381" i="47"/>
  <c r="Q1381" i="47" s="1"/>
  <c r="Q1382" i="47" s="1"/>
  <c r="B1381" i="47"/>
  <c r="H1379" i="47"/>
  <c r="E1379" i="47"/>
  <c r="AB1379" i="47" s="1"/>
  <c r="B1379" i="47"/>
  <c r="H1377" i="47"/>
  <c r="E1377" i="47"/>
  <c r="B1377" i="47"/>
  <c r="H1375" i="47"/>
  <c r="E1375" i="47"/>
  <c r="U1375" i="47" s="1"/>
  <c r="U1376" i="47" s="1"/>
  <c r="B1375" i="47"/>
  <c r="H1373" i="47"/>
  <c r="E1373" i="47"/>
  <c r="Q1373" i="47" s="1"/>
  <c r="Q1374" i="47" s="1"/>
  <c r="B1373" i="47"/>
  <c r="H1371" i="47"/>
  <c r="E1371" i="47"/>
  <c r="B1371" i="47"/>
  <c r="H1369" i="47"/>
  <c r="E1369" i="47"/>
  <c r="S1369" i="47" s="1"/>
  <c r="S1370" i="47" s="1"/>
  <c r="B1369" i="47"/>
  <c r="AJ1362" i="47"/>
  <c r="AJ1360" i="47"/>
  <c r="AJ1358" i="47"/>
  <c r="AJ1356" i="47"/>
  <c r="AJ1354" i="47"/>
  <c r="AJ1352" i="47"/>
  <c r="AJ1350" i="47"/>
  <c r="AJ1348" i="47"/>
  <c r="AJ1346" i="47"/>
  <c r="AJ1344" i="47"/>
  <c r="AJ1342" i="47"/>
  <c r="AJ1340" i="47"/>
  <c r="AJ1338" i="47"/>
  <c r="AJ1336" i="47"/>
  <c r="AJ1334" i="47"/>
  <c r="H1362" i="47"/>
  <c r="E1362" i="47"/>
  <c r="X1363" i="47" s="1"/>
  <c r="B1362" i="47"/>
  <c r="H1360" i="47"/>
  <c r="E1360" i="47"/>
  <c r="AF1361" i="47" s="1"/>
  <c r="B1360" i="47"/>
  <c r="H1358" i="47"/>
  <c r="E1358" i="47"/>
  <c r="X1359" i="47" s="1"/>
  <c r="B1358" i="47"/>
  <c r="H1356" i="47"/>
  <c r="E1356" i="47"/>
  <c r="AF1356" i="47" s="1"/>
  <c r="B1356" i="47"/>
  <c r="H1354" i="47"/>
  <c r="E1354" i="47"/>
  <c r="AB1355" i="47" s="1"/>
  <c r="B1354" i="47"/>
  <c r="H1352" i="47"/>
  <c r="E1352" i="47"/>
  <c r="AF1352" i="47" s="1"/>
  <c r="B1352" i="47"/>
  <c r="H1350" i="47"/>
  <c r="E1350" i="47"/>
  <c r="AF1350" i="47" s="1"/>
  <c r="B1350" i="47"/>
  <c r="H1348" i="47"/>
  <c r="E1348" i="47"/>
  <c r="X1348" i="47" s="1"/>
  <c r="B1348" i="47"/>
  <c r="H1346" i="47"/>
  <c r="E1346" i="47"/>
  <c r="X1347" i="47" s="1"/>
  <c r="B1346" i="47"/>
  <c r="H1344" i="47"/>
  <c r="E1344" i="47"/>
  <c r="AF1345" i="47" s="1"/>
  <c r="B1344" i="47"/>
  <c r="H1342" i="47"/>
  <c r="E1342" i="47"/>
  <c r="B1342" i="47"/>
  <c r="H1340" i="47"/>
  <c r="E1340" i="47"/>
  <c r="S1340" i="47" s="1"/>
  <c r="S1341" i="47" s="1"/>
  <c r="B1340" i="47"/>
  <c r="H1338" i="47"/>
  <c r="E1338" i="47"/>
  <c r="O1338" i="47" s="1"/>
  <c r="O1339" i="47" s="1"/>
  <c r="B1338" i="47"/>
  <c r="H1336" i="47"/>
  <c r="E1336" i="47"/>
  <c r="B1336" i="47"/>
  <c r="H1334" i="47"/>
  <c r="E1334" i="47"/>
  <c r="U1334" i="47" s="1"/>
  <c r="U1335" i="47" s="1"/>
  <c r="B1334" i="47"/>
  <c r="H1326" i="47"/>
  <c r="A1326" i="47" s="1"/>
  <c r="A1327" i="47" s="1"/>
  <c r="E1326" i="47"/>
  <c r="Q1326" i="47" s="1"/>
  <c r="Q1327" i="47" s="1"/>
  <c r="B1326" i="47"/>
  <c r="H1324" i="47"/>
  <c r="A1324" i="47" s="1"/>
  <c r="A1325" i="47" s="1"/>
  <c r="E1324" i="47"/>
  <c r="S1324" i="47" s="1"/>
  <c r="S1325" i="47" s="1"/>
  <c r="B1324" i="47"/>
  <c r="H1322" i="47"/>
  <c r="A1322" i="47" s="1"/>
  <c r="A1323" i="47" s="1"/>
  <c r="E1322" i="47"/>
  <c r="S1322" i="47" s="1"/>
  <c r="S1323" i="47" s="1"/>
  <c r="B1322" i="47"/>
  <c r="H1320" i="47"/>
  <c r="A1320" i="47" s="1"/>
  <c r="A1321" i="47" s="1"/>
  <c r="E1320" i="47"/>
  <c r="S1320" i="47" s="1"/>
  <c r="S1321" i="47" s="1"/>
  <c r="B1320" i="47"/>
  <c r="H1318" i="47"/>
  <c r="A1318" i="47" s="1"/>
  <c r="A1319" i="47" s="1"/>
  <c r="E1318" i="47"/>
  <c r="X1318" i="47" s="1"/>
  <c r="B1318" i="47"/>
  <c r="H1316" i="47"/>
  <c r="A1316" i="47" s="1"/>
  <c r="A1317" i="47" s="1"/>
  <c r="E1316" i="47"/>
  <c r="O1316" i="47" s="1"/>
  <c r="O1317" i="47" s="1"/>
  <c r="B1316" i="47"/>
  <c r="H1314" i="47"/>
  <c r="A1314" i="47" s="1"/>
  <c r="A1315" i="47" s="1"/>
  <c r="E1314" i="47"/>
  <c r="AF1315" i="47" s="1"/>
  <c r="B1314" i="47"/>
  <c r="H1312" i="47"/>
  <c r="A1312" i="47" s="1"/>
  <c r="A1313" i="47" s="1"/>
  <c r="E1312" i="47"/>
  <c r="S1312" i="47" s="1"/>
  <c r="S1313" i="47" s="1"/>
  <c r="B1312" i="47"/>
  <c r="H1310" i="47"/>
  <c r="A1310" i="47" s="1"/>
  <c r="A1311" i="47" s="1"/>
  <c r="E1310" i="47"/>
  <c r="O1310" i="47" s="1"/>
  <c r="O1311" i="47" s="1"/>
  <c r="B1310" i="47"/>
  <c r="H1308" i="47"/>
  <c r="A1308" i="47" s="1"/>
  <c r="A1309" i="47" s="1"/>
  <c r="E1308" i="47"/>
  <c r="O1308" i="47" s="1"/>
  <c r="O1309" i="47" s="1"/>
  <c r="B1308" i="47"/>
  <c r="H1306" i="47"/>
  <c r="A1306" i="47" s="1"/>
  <c r="A1307" i="47" s="1"/>
  <c r="E1306" i="47"/>
  <c r="B1306" i="47"/>
  <c r="H1304" i="47"/>
  <c r="A1304" i="47" s="1"/>
  <c r="A1305" i="47" s="1"/>
  <c r="E1304" i="47"/>
  <c r="Q1304" i="47" s="1"/>
  <c r="Q1305" i="47" s="1"/>
  <c r="B1304" i="47"/>
  <c r="H1302" i="47"/>
  <c r="A1302" i="47" s="1"/>
  <c r="A1303" i="47" s="1"/>
  <c r="E1302" i="47"/>
  <c r="U1302" i="47" s="1"/>
  <c r="U1303" i="47" s="1"/>
  <c r="B1302" i="47"/>
  <c r="H1300" i="47"/>
  <c r="A1300" i="47" s="1"/>
  <c r="A1301" i="47" s="1"/>
  <c r="E1300" i="47"/>
  <c r="B1300" i="47"/>
  <c r="H1298" i="47"/>
  <c r="A1298" i="47" s="1"/>
  <c r="A1299" i="47" s="1"/>
  <c r="E1298" i="47"/>
  <c r="S1298" i="47" s="1"/>
  <c r="S1299" i="47" s="1"/>
  <c r="B1298" i="47"/>
  <c r="B1280" i="47"/>
  <c r="E1280" i="47"/>
  <c r="AF1280" i="47" s="1"/>
  <c r="H1280" i="47"/>
  <c r="A1280" i="47" s="1"/>
  <c r="A1281" i="47" s="1"/>
  <c r="B1282" i="47"/>
  <c r="E1282" i="47"/>
  <c r="AB1283" i="47" s="1"/>
  <c r="H1282" i="47"/>
  <c r="A1282" i="47" s="1"/>
  <c r="A1283" i="47" s="1"/>
  <c r="B1284" i="47"/>
  <c r="E1284" i="47"/>
  <c r="O1284" i="47" s="1"/>
  <c r="H1284" i="47"/>
  <c r="A1284" i="47" s="1"/>
  <c r="A1285" i="47" s="1"/>
  <c r="B1286" i="47"/>
  <c r="E1286" i="47"/>
  <c r="X1286" i="47" s="1"/>
  <c r="H1286" i="47"/>
  <c r="A1286" i="47" s="1"/>
  <c r="A1287" i="47" s="1"/>
  <c r="B1288" i="47"/>
  <c r="E1288" i="47"/>
  <c r="AF1288" i="47" s="1"/>
  <c r="H1288" i="47"/>
  <c r="A1288" i="47" s="1"/>
  <c r="A1289" i="47" s="1"/>
  <c r="B1290" i="47"/>
  <c r="E1290" i="47"/>
  <c r="AF1291" i="47" s="1"/>
  <c r="H1290" i="47"/>
  <c r="A1290" i="47" s="1"/>
  <c r="A1291" i="47" s="1"/>
  <c r="B1264" i="47"/>
  <c r="E1264" i="47"/>
  <c r="H1264" i="47"/>
  <c r="A1264" i="47" s="1"/>
  <c r="A1265" i="47" s="1"/>
  <c r="B1266" i="47"/>
  <c r="E1266" i="47"/>
  <c r="O1266" i="47" s="1"/>
  <c r="O1267" i="47" s="1"/>
  <c r="H1266" i="47"/>
  <c r="A1266" i="47" s="1"/>
  <c r="A1267" i="47" s="1"/>
  <c r="B1268" i="47"/>
  <c r="E1268" i="47"/>
  <c r="Q1268" i="47" s="1"/>
  <c r="Q1269" i="47" s="1"/>
  <c r="H1268" i="47"/>
  <c r="A1268" i="47" s="1"/>
  <c r="A1269" i="47" s="1"/>
  <c r="B1270" i="47"/>
  <c r="E1270" i="47"/>
  <c r="H1270" i="47"/>
  <c r="A1270" i="47" s="1"/>
  <c r="A1271" i="47" s="1"/>
  <c r="B1272" i="47"/>
  <c r="E1272" i="47"/>
  <c r="AF1273" i="47" s="1"/>
  <c r="H1272" i="47"/>
  <c r="A1272" i="47" s="1"/>
  <c r="A1273" i="47" s="1"/>
  <c r="B1274" i="47"/>
  <c r="E1274" i="47"/>
  <c r="AB1274" i="47" s="1"/>
  <c r="H1274" i="47"/>
  <c r="A1274" i="47" s="1"/>
  <c r="A1275" i="47" s="1"/>
  <c r="B1276" i="47"/>
  <c r="E1276" i="47"/>
  <c r="AB1276" i="47" s="1"/>
  <c r="H1276" i="47"/>
  <c r="A1276" i="47" s="1"/>
  <c r="A1277" i="47" s="1"/>
  <c r="B1278" i="47"/>
  <c r="E1278" i="47"/>
  <c r="X1279" i="47" s="1"/>
  <c r="H1278" i="47"/>
  <c r="A1278" i="47" s="1"/>
  <c r="A1279" i="47" s="1"/>
  <c r="H1262" i="47"/>
  <c r="A1262" i="47" s="1"/>
  <c r="A1263" i="47" s="1"/>
  <c r="E1262" i="47"/>
  <c r="U1262" i="47" s="1"/>
  <c r="U1263" i="47" s="1"/>
  <c r="B1262" i="47"/>
  <c r="AD1364" i="47"/>
  <c r="U1363" i="47"/>
  <c r="S1363" i="47"/>
  <c r="Q1363" i="47"/>
  <c r="O1363" i="47"/>
  <c r="U1361" i="47"/>
  <c r="U1362" i="47" s="1"/>
  <c r="S1361" i="47"/>
  <c r="S1362" i="47" s="1"/>
  <c r="Q1361" i="47"/>
  <c r="Q1362" i="47" s="1"/>
  <c r="O1361" i="47"/>
  <c r="O1362" i="47" s="1"/>
  <c r="U1359" i="47"/>
  <c r="U1360" i="47" s="1"/>
  <c r="S1359" i="47"/>
  <c r="S1360" i="47" s="1"/>
  <c r="Q1359" i="47"/>
  <c r="Q1360" i="47" s="1"/>
  <c r="O1359" i="47"/>
  <c r="O1360" i="47" s="1"/>
  <c r="U1357" i="47"/>
  <c r="U1358" i="47" s="1"/>
  <c r="S1357" i="47"/>
  <c r="S1358" i="47" s="1"/>
  <c r="Q1357" i="47"/>
  <c r="Q1358" i="47" s="1"/>
  <c r="O1357" i="47"/>
  <c r="O1358" i="47" s="1"/>
  <c r="U1355" i="47"/>
  <c r="U1356" i="47" s="1"/>
  <c r="U1353" i="47"/>
  <c r="U1354" i="47" s="1"/>
  <c r="U1351" i="47"/>
  <c r="U1352" i="47" s="1"/>
  <c r="U1349" i="47"/>
  <c r="U1350" i="47" s="1"/>
  <c r="AD1328" i="47"/>
  <c r="U1327" i="47"/>
  <c r="U1325" i="47"/>
  <c r="U1326" i="47" s="1"/>
  <c r="U1323" i="47"/>
  <c r="U1324" i="47" s="1"/>
  <c r="U1321" i="47"/>
  <c r="U1322" i="47" s="1"/>
  <c r="U1319" i="47"/>
  <c r="U1320" i="47" s="1"/>
  <c r="U1317" i="47"/>
  <c r="U1318" i="47" s="1"/>
  <c r="U1315" i="47"/>
  <c r="U1316" i="47" s="1"/>
  <c r="U1313" i="47"/>
  <c r="U1314" i="47" s="1"/>
  <c r="O1285" i="47"/>
  <c r="O1286" i="47" s="1"/>
  <c r="Q1285" i="47"/>
  <c r="Q1286" i="47" s="1"/>
  <c r="S1285" i="47"/>
  <c r="S1286" i="47" s="1"/>
  <c r="O1287" i="47"/>
  <c r="O1288" i="47" s="1"/>
  <c r="Q1287" i="47"/>
  <c r="Q1288" i="47" s="1"/>
  <c r="S1287" i="47"/>
  <c r="S1288" i="47" s="1"/>
  <c r="O1289" i="47"/>
  <c r="O1290" i="47" s="1"/>
  <c r="Q1289" i="47"/>
  <c r="Q1290" i="47" s="1"/>
  <c r="S1289" i="47"/>
  <c r="S1290" i="47" s="1"/>
  <c r="O1291" i="47"/>
  <c r="Q1291" i="47"/>
  <c r="S1291" i="47"/>
  <c r="U1289" i="47"/>
  <c r="U1290" i="47" s="1"/>
  <c r="U1291" i="47"/>
  <c r="U1277" i="47"/>
  <c r="U1278" i="47" s="1"/>
  <c r="U1279" i="47"/>
  <c r="U1280" i="47" s="1"/>
  <c r="U1281" i="47"/>
  <c r="U1282" i="47" s="1"/>
  <c r="U1283" i="47"/>
  <c r="U1284" i="47" s="1"/>
  <c r="U1285" i="47"/>
  <c r="U1286" i="47" s="1"/>
  <c r="U1287" i="47"/>
  <c r="U1288" i="47" s="1"/>
  <c r="AD1292" i="47"/>
  <c r="R1171" i="47"/>
  <c r="AA1172" i="47" s="1"/>
  <c r="R1167" i="47"/>
  <c r="AA1168" i="47" s="1"/>
  <c r="V1170" i="47"/>
  <c r="V1166" i="47"/>
  <c r="Z1170" i="47"/>
  <c r="Z1166" i="47"/>
  <c r="V1156" i="47"/>
  <c r="V1157" i="47"/>
  <c r="Z1157" i="47"/>
  <c r="Z1156" i="47"/>
  <c r="AF1233" i="44"/>
  <c r="O1489" i="47" l="1"/>
  <c r="O1490" i="47" s="1"/>
  <c r="A1668" i="47"/>
  <c r="A1661" i="47"/>
  <c r="A1654" i="47"/>
  <c r="A1663" i="47"/>
  <c r="AB1319" i="47"/>
  <c r="S1302" i="47"/>
  <c r="S1303" i="47" s="1"/>
  <c r="S1346" i="47"/>
  <c r="S1347" i="47" s="1"/>
  <c r="O1455" i="47"/>
  <c r="O1456" i="47" s="1"/>
  <c r="X1498" i="47"/>
  <c r="AB1533" i="47"/>
  <c r="AB1498" i="47"/>
  <c r="A1659" i="47"/>
  <c r="A1655" i="47"/>
  <c r="A1666" i="47"/>
  <c r="AB1431" i="47"/>
  <c r="S1415" i="47"/>
  <c r="S1416" i="47" s="1"/>
  <c r="X1490" i="47"/>
  <c r="O1431" i="47"/>
  <c r="O1432" i="47" s="1"/>
  <c r="AB1491" i="47"/>
  <c r="AF1431" i="47"/>
  <c r="X1489" i="47"/>
  <c r="AF1489" i="47"/>
  <c r="AF1532" i="47"/>
  <c r="Q1431" i="47"/>
  <c r="Q1432" i="47" s="1"/>
  <c r="A1662" i="47"/>
  <c r="A1669" i="47"/>
  <c r="A1660" i="47"/>
  <c r="A1664" i="47"/>
  <c r="A1658" i="47"/>
  <c r="A1667" i="47"/>
  <c r="A1587" i="47"/>
  <c r="A1590" i="47"/>
  <c r="A1598" i="47"/>
  <c r="A1594" i="47"/>
  <c r="A1597" i="47"/>
  <c r="A1595" i="47"/>
  <c r="A1593" i="47"/>
  <c r="A1591" i="47"/>
  <c r="A1589" i="47"/>
  <c r="A1592" i="47"/>
  <c r="A1600" i="47"/>
  <c r="A1596" i="47"/>
  <c r="A1588" i="47"/>
  <c r="A1601" i="47"/>
  <c r="A1599" i="47"/>
  <c r="AF1287" i="47"/>
  <c r="O1356" i="47"/>
  <c r="U1423" i="47"/>
  <c r="U1424" i="47" s="1"/>
  <c r="U1540" i="47"/>
  <c r="U1541" i="47" s="1"/>
  <c r="U1499" i="47"/>
  <c r="U1500" i="47" s="1"/>
  <c r="AF1318" i="47"/>
  <c r="O1318" i="47"/>
  <c r="O1319" i="47" s="1"/>
  <c r="O1427" i="47"/>
  <c r="O1428" i="47" s="1"/>
  <c r="O1451" i="47"/>
  <c r="O1452" i="47" s="1"/>
  <c r="X1357" i="47"/>
  <c r="Q1405" i="47"/>
  <c r="Q1406" i="47" s="1"/>
  <c r="U1491" i="47"/>
  <c r="U1492" i="47" s="1"/>
  <c r="AF1428" i="47"/>
  <c r="O1405" i="47"/>
  <c r="Q1415" i="47"/>
  <c r="Q1416" i="47" s="1"/>
  <c r="O1493" i="47"/>
  <c r="O1494" i="47" s="1"/>
  <c r="S1518" i="47"/>
  <c r="S1519" i="47" s="1"/>
  <c r="AB1363" i="47"/>
  <c r="AF1346" i="47"/>
  <c r="X1395" i="47"/>
  <c r="AF1524" i="47"/>
  <c r="AF1468" i="47"/>
  <c r="AB1434" i="47"/>
  <c r="AB1321" i="47"/>
  <c r="AB1460" i="47"/>
  <c r="AB1502" i="47"/>
  <c r="O1419" i="47"/>
  <c r="O1420" i="47" s="1"/>
  <c r="Q1481" i="47"/>
  <c r="Q1482" i="47" s="1"/>
  <c r="Q1503" i="47"/>
  <c r="Q1504" i="47" s="1"/>
  <c r="S1532" i="47"/>
  <c r="S1533" i="47" s="1"/>
  <c r="Q1467" i="47"/>
  <c r="Q1468" i="47" s="1"/>
  <c r="AF1325" i="47"/>
  <c r="X1320" i="47"/>
  <c r="AB1504" i="47"/>
  <c r="U1524" i="47"/>
  <c r="U1525" i="47" s="1"/>
  <c r="Q1369" i="47"/>
  <c r="Q1370" i="47" s="1"/>
  <c r="AF1426" i="47"/>
  <c r="Q1433" i="47"/>
  <c r="Q1434" i="47" s="1"/>
  <c r="S1459" i="47"/>
  <c r="S1460" i="47" s="1"/>
  <c r="AF1321" i="47"/>
  <c r="O1346" i="47"/>
  <c r="O1347" i="47" s="1"/>
  <c r="Q1419" i="47"/>
  <c r="Q1420" i="47" s="1"/>
  <c r="O1483" i="47"/>
  <c r="O1484" i="47" s="1"/>
  <c r="U1503" i="47"/>
  <c r="U1504" i="47" s="1"/>
  <c r="U1532" i="47"/>
  <c r="U1533" i="47" s="1"/>
  <c r="X1346" i="47"/>
  <c r="U1518" i="47"/>
  <c r="U1519" i="47" s="1"/>
  <c r="S1524" i="47"/>
  <c r="S1525" i="47" s="1"/>
  <c r="AB1309" i="47"/>
  <c r="U1373" i="47"/>
  <c r="U1374" i="47" s="1"/>
  <c r="S1387" i="47"/>
  <c r="S1388" i="47" s="1"/>
  <c r="AF1425" i="47"/>
  <c r="Q1495" i="47"/>
  <c r="Q1496" i="47" s="1"/>
  <c r="Q1459" i="47"/>
  <c r="Q1460" i="47" s="1"/>
  <c r="AB1459" i="47"/>
  <c r="S1528" i="47"/>
  <c r="S1529" i="47" s="1"/>
  <c r="Q1346" i="47"/>
  <c r="Q1347" i="47" s="1"/>
  <c r="X1424" i="47"/>
  <c r="AB1532" i="47"/>
  <c r="S1423" i="47"/>
  <c r="S1424" i="47" s="1"/>
  <c r="Q1487" i="47"/>
  <c r="Q1488" i="47" s="1"/>
  <c r="Q1512" i="47"/>
  <c r="Q1513" i="47" s="1"/>
  <c r="Q1540" i="47"/>
  <c r="Q1541" i="47" s="1"/>
  <c r="A1586" i="47"/>
  <c r="U1272" i="47"/>
  <c r="U1273" i="47" s="1"/>
  <c r="O1272" i="47"/>
  <c r="O1273" i="47" s="1"/>
  <c r="S1276" i="47"/>
  <c r="S1277" i="47" s="1"/>
  <c r="Q1276" i="47"/>
  <c r="Q1277" i="47" s="1"/>
  <c r="U1528" i="47"/>
  <c r="U1529" i="47" s="1"/>
  <c r="Q1451" i="47"/>
  <c r="Q1452" i="47" s="1"/>
  <c r="X1319" i="47"/>
  <c r="Q1302" i="47"/>
  <c r="Q1303" i="47" s="1"/>
  <c r="X1388" i="47"/>
  <c r="X1432" i="47"/>
  <c r="AB1492" i="47"/>
  <c r="X1525" i="47"/>
  <c r="O1417" i="47"/>
  <c r="O1418" i="47" s="1"/>
  <c r="U1425" i="47"/>
  <c r="U1426" i="47" s="1"/>
  <c r="S1431" i="47"/>
  <c r="S1432" i="47" s="1"/>
  <c r="Q1483" i="47"/>
  <c r="Q1484" i="47" s="1"/>
  <c r="Q1493" i="47"/>
  <c r="Q1494" i="47" s="1"/>
  <c r="S1503" i="47"/>
  <c r="S1504" i="47" s="1"/>
  <c r="Q1524" i="47"/>
  <c r="Q1525" i="47" s="1"/>
  <c r="Q1532" i="47"/>
  <c r="Q1533" i="47" s="1"/>
  <c r="S1540" i="47"/>
  <c r="S1541" i="47" s="1"/>
  <c r="S1451" i="47"/>
  <c r="S1452" i="47" s="1"/>
  <c r="O1467" i="47"/>
  <c r="O1468" i="47" s="1"/>
  <c r="AB1311" i="47"/>
  <c r="AB1500" i="47"/>
  <c r="S1467" i="47"/>
  <c r="S1468" i="47" s="1"/>
  <c r="S1405" i="47"/>
  <c r="S1406" i="47" s="1"/>
  <c r="S1419" i="47"/>
  <c r="S1420" i="47" s="1"/>
  <c r="S1427" i="47"/>
  <c r="S1428" i="47" s="1"/>
  <c r="U1433" i="47"/>
  <c r="U1434" i="47" s="1"/>
  <c r="Q1489" i="47"/>
  <c r="Q1490" i="47" s="1"/>
  <c r="U1495" i="47"/>
  <c r="U1496" i="47" s="1"/>
  <c r="S1512" i="47"/>
  <c r="S1513" i="47" s="1"/>
  <c r="O1526" i="47"/>
  <c r="O1527" i="47" s="1"/>
  <c r="Q1536" i="47"/>
  <c r="Q1537" i="47" s="1"/>
  <c r="U1459" i="47"/>
  <c r="U1460" i="47" s="1"/>
  <c r="S1455" i="47"/>
  <c r="S1456" i="47" s="1"/>
  <c r="AF1326" i="47"/>
  <c r="Q1427" i="47"/>
  <c r="Q1428" i="47" s="1"/>
  <c r="S1433" i="47"/>
  <c r="S1434" i="47" s="1"/>
  <c r="U1455" i="47"/>
  <c r="U1456" i="47" s="1"/>
  <c r="O1326" i="47"/>
  <c r="O1327" i="47" s="1"/>
  <c r="X1425" i="47"/>
  <c r="AB1427" i="47"/>
  <c r="X1433" i="47"/>
  <c r="X1466" i="47"/>
  <c r="AB1495" i="47"/>
  <c r="O1423" i="47"/>
  <c r="O1424" i="47" s="1"/>
  <c r="U1427" i="47"/>
  <c r="U1428" i="47" s="1"/>
  <c r="O1477" i="47"/>
  <c r="O1478" i="47" s="1"/>
  <c r="Q1491" i="47"/>
  <c r="Q1492" i="47" s="1"/>
  <c r="Q1499" i="47"/>
  <c r="Q1500" i="47" s="1"/>
  <c r="U1512" i="47"/>
  <c r="U1513" i="47" s="1"/>
  <c r="Q1526" i="47"/>
  <c r="Q1527" i="47" s="1"/>
  <c r="S1536" i="47"/>
  <c r="S1537" i="47" s="1"/>
  <c r="U1461" i="47"/>
  <c r="U1462" i="47" s="1"/>
  <c r="Q1457" i="47"/>
  <c r="Q1458" i="47" s="1"/>
  <c r="O1538" i="47"/>
  <c r="O1539" i="47" s="1"/>
  <c r="AB1539" i="47"/>
  <c r="S1495" i="47"/>
  <c r="S1496" i="47" s="1"/>
  <c r="Q1455" i="47"/>
  <c r="Q1456" i="47" s="1"/>
  <c r="Q1318" i="47"/>
  <c r="Q1319" i="47" s="1"/>
  <c r="X1423" i="47"/>
  <c r="AB1425" i="47"/>
  <c r="X1428" i="47"/>
  <c r="X1431" i="47"/>
  <c r="AF1433" i="47"/>
  <c r="AB1466" i="47"/>
  <c r="AB1493" i="47"/>
  <c r="X1524" i="47"/>
  <c r="AB1526" i="47"/>
  <c r="X1532" i="47"/>
  <c r="U1409" i="47"/>
  <c r="U1410" i="47" s="1"/>
  <c r="U1429" i="47"/>
  <c r="U1430" i="47" s="1"/>
  <c r="Q1477" i="47"/>
  <c r="Q1478" i="47" s="1"/>
  <c r="S1491" i="47"/>
  <c r="S1492" i="47" s="1"/>
  <c r="S1499" i="47"/>
  <c r="S1500" i="47" s="1"/>
  <c r="Q1518" i="47"/>
  <c r="Q1519" i="47" s="1"/>
  <c r="Q1528" i="47"/>
  <c r="Q1529" i="47" s="1"/>
  <c r="U1536" i="47"/>
  <c r="U1537" i="47" s="1"/>
  <c r="U1469" i="47"/>
  <c r="U1470" i="47" s="1"/>
  <c r="AB1290" i="47"/>
  <c r="AF1279" i="47"/>
  <c r="S1282" i="47"/>
  <c r="S1283" i="47" s="1"/>
  <c r="X1290" i="47"/>
  <c r="Q1447" i="47"/>
  <c r="Q1448" i="47" s="1"/>
  <c r="S1487" i="47"/>
  <c r="S1488" i="47" s="1"/>
  <c r="U1457" i="47"/>
  <c r="U1458" i="47" s="1"/>
  <c r="S1447" i="47"/>
  <c r="S1448" i="47" s="1"/>
  <c r="O1463" i="47"/>
  <c r="O1464" i="47" s="1"/>
  <c r="U1415" i="47"/>
  <c r="U1416" i="47" s="1"/>
  <c r="U1487" i="47"/>
  <c r="U1488" i="47" s="1"/>
  <c r="Q1441" i="47"/>
  <c r="Q1442" i="47" s="1"/>
  <c r="O1497" i="47"/>
  <c r="O1498" i="47" s="1"/>
  <c r="U1441" i="47"/>
  <c r="U1442" i="47" s="1"/>
  <c r="S1441" i="47"/>
  <c r="S1442" i="47" s="1"/>
  <c r="S1463" i="47"/>
  <c r="S1464" i="47" s="1"/>
  <c r="AF1290" i="47"/>
  <c r="X1415" i="47"/>
  <c r="Q1497" i="47"/>
  <c r="Q1498" i="47" s="1"/>
  <c r="Q1534" i="47"/>
  <c r="Q1535" i="47" s="1"/>
  <c r="Q1538" i="47"/>
  <c r="Q1539" i="47" s="1"/>
  <c r="U1445" i="47"/>
  <c r="U1446" i="47" s="1"/>
  <c r="O1469" i="47"/>
  <c r="O1470" i="47" s="1"/>
  <c r="Q1272" i="47"/>
  <c r="Q1273" i="47" s="1"/>
  <c r="X1272" i="47"/>
  <c r="X1291" i="47"/>
  <c r="O1334" i="47"/>
  <c r="O1335" i="47" s="1"/>
  <c r="AB1347" i="47"/>
  <c r="S1356" i="47"/>
  <c r="X1362" i="47"/>
  <c r="AF1363" i="47"/>
  <c r="AF1416" i="47"/>
  <c r="AB1432" i="47"/>
  <c r="AF1434" i="47"/>
  <c r="X1467" i="47"/>
  <c r="X1469" i="47"/>
  <c r="X1497" i="47"/>
  <c r="AB1501" i="47"/>
  <c r="X1503" i="47"/>
  <c r="X1533" i="47"/>
  <c r="O1409" i="47"/>
  <c r="O1410" i="47" s="1"/>
  <c r="S1411" i="47"/>
  <c r="S1412" i="47" s="1"/>
  <c r="Q1417" i="47"/>
  <c r="Q1418" i="47" s="1"/>
  <c r="Q1421" i="47"/>
  <c r="Q1422" i="47" s="1"/>
  <c r="O1425" i="47"/>
  <c r="O1426" i="47" s="1"/>
  <c r="O1429" i="47"/>
  <c r="O1430" i="47" s="1"/>
  <c r="U1431" i="47"/>
  <c r="U1432" i="47" s="1"/>
  <c r="S1477" i="47"/>
  <c r="S1478" i="47" s="1"/>
  <c r="S1483" i="47"/>
  <c r="S1484" i="47" s="1"/>
  <c r="S1489" i="47"/>
  <c r="S1490" i="47" s="1"/>
  <c r="S1493" i="47"/>
  <c r="S1494" i="47" s="1"/>
  <c r="S1497" i="47"/>
  <c r="S1498" i="47" s="1"/>
  <c r="S1501" i="47"/>
  <c r="S1502" i="47" s="1"/>
  <c r="S1505" i="47"/>
  <c r="S1506" i="47" s="1"/>
  <c r="S1516" i="47"/>
  <c r="S1517" i="47" s="1"/>
  <c r="S1522" i="47"/>
  <c r="S1523" i="47" s="1"/>
  <c r="S1526" i="47"/>
  <c r="S1527" i="47" s="1"/>
  <c r="S1530" i="47"/>
  <c r="S1531" i="47" s="1"/>
  <c r="S1534" i="47"/>
  <c r="S1535" i="47" s="1"/>
  <c r="S1538" i="47"/>
  <c r="S1539" i="47" s="1"/>
  <c r="U1447" i="47"/>
  <c r="U1448" i="47" s="1"/>
  <c r="U1463" i="47"/>
  <c r="U1464" i="47" s="1"/>
  <c r="Q1445" i="47"/>
  <c r="Q1446" i="47" s="1"/>
  <c r="O1453" i="47"/>
  <c r="O1454" i="47" s="1"/>
  <c r="O1461" i="47"/>
  <c r="O1462" i="47" s="1"/>
  <c r="O1465" i="47"/>
  <c r="O1466" i="47" s="1"/>
  <c r="Q1469" i="47"/>
  <c r="Q1470" i="47" s="1"/>
  <c r="S1457" i="47"/>
  <c r="S1458" i="47" s="1"/>
  <c r="U1481" i="47"/>
  <c r="U1482" i="47" s="1"/>
  <c r="AB1421" i="47"/>
  <c r="O1411" i="47"/>
  <c r="O1412" i="47" s="1"/>
  <c r="U1419" i="47"/>
  <c r="U1420" i="47" s="1"/>
  <c r="O1501" i="47"/>
  <c r="O1502" i="47" s="1"/>
  <c r="O1505" i="47"/>
  <c r="O1506" i="47" s="1"/>
  <c r="O1516" i="47"/>
  <c r="O1517" i="47" s="1"/>
  <c r="O1522" i="47"/>
  <c r="O1523" i="47" s="1"/>
  <c r="O1530" i="47"/>
  <c r="O1531" i="47" s="1"/>
  <c r="O1534" i="47"/>
  <c r="O1535" i="47" s="1"/>
  <c r="O1302" i="47"/>
  <c r="O1303" i="47" s="1"/>
  <c r="Q1356" i="47"/>
  <c r="AB1488" i="47"/>
  <c r="AB1535" i="47"/>
  <c r="O1421" i="47"/>
  <c r="O1422" i="47" s="1"/>
  <c r="Q1501" i="47"/>
  <c r="Q1502" i="47" s="1"/>
  <c r="Q1505" i="47"/>
  <c r="Q1506" i="47" s="1"/>
  <c r="Q1516" i="47"/>
  <c r="Q1517" i="47" s="1"/>
  <c r="Q1522" i="47"/>
  <c r="Q1523" i="47" s="1"/>
  <c r="Q1530" i="47"/>
  <c r="Q1531" i="47" s="1"/>
  <c r="O1445" i="47"/>
  <c r="O1446" i="47" s="1"/>
  <c r="AF1274" i="47"/>
  <c r="U1340" i="47"/>
  <c r="U1341" i="47" s="1"/>
  <c r="AF1347" i="47"/>
  <c r="X1356" i="47"/>
  <c r="AB1362" i="47"/>
  <c r="AF1420" i="47"/>
  <c r="X1465" i="47"/>
  <c r="AF1467" i="47"/>
  <c r="AB1497" i="47"/>
  <c r="AB1503" i="47"/>
  <c r="X1538" i="47"/>
  <c r="Q1409" i="47"/>
  <c r="Q1410" i="47" s="1"/>
  <c r="U1411" i="47"/>
  <c r="U1412" i="47" s="1"/>
  <c r="S1417" i="47"/>
  <c r="S1418" i="47" s="1"/>
  <c r="S1421" i="47"/>
  <c r="S1422" i="47" s="1"/>
  <c r="Q1425" i="47"/>
  <c r="Q1426" i="47" s="1"/>
  <c r="Q1429" i="47"/>
  <c r="Q1430" i="47" s="1"/>
  <c r="U1489" i="47"/>
  <c r="U1490" i="47" s="1"/>
  <c r="U1497" i="47"/>
  <c r="U1498" i="47" s="1"/>
  <c r="U1522" i="47"/>
  <c r="U1523" i="47" s="1"/>
  <c r="U1534" i="47"/>
  <c r="U1535" i="47" s="1"/>
  <c r="U1538" i="47"/>
  <c r="U1539" i="47" s="1"/>
  <c r="U1465" i="47"/>
  <c r="U1466" i="47" s="1"/>
  <c r="Q1453" i="47"/>
  <c r="Q1454" i="47" s="1"/>
  <c r="Q1461" i="47"/>
  <c r="Q1462" i="47" s="1"/>
  <c r="Q1465" i="47"/>
  <c r="Q1466" i="47" s="1"/>
  <c r="S1469" i="47"/>
  <c r="S1470" i="47" s="1"/>
  <c r="S1481" i="47"/>
  <c r="S1482" i="47" s="1"/>
  <c r="X1312" i="47"/>
  <c r="AB1457" i="47"/>
  <c r="AB1523" i="47"/>
  <c r="AB1357" i="47"/>
  <c r="X1458" i="47"/>
  <c r="AB1279" i="47"/>
  <c r="AF1308" i="47"/>
  <c r="AB1318" i="47"/>
  <c r="S1318" i="47"/>
  <c r="S1319" i="47" s="1"/>
  <c r="AF1344" i="47"/>
  <c r="AF1362" i="47"/>
  <c r="AF1465" i="47"/>
  <c r="AB1468" i="47"/>
  <c r="U1417" i="47"/>
  <c r="U1418" i="47" s="1"/>
  <c r="S1429" i="47"/>
  <c r="S1430" i="47" s="1"/>
  <c r="O1433" i="47"/>
  <c r="O1434" i="47" s="1"/>
  <c r="O1487" i="47"/>
  <c r="O1488" i="47" s="1"/>
  <c r="O1499" i="47"/>
  <c r="O1500" i="47" s="1"/>
  <c r="O1524" i="47"/>
  <c r="O1525" i="47" s="1"/>
  <c r="O1536" i="47"/>
  <c r="O1537" i="47" s="1"/>
  <c r="U1453" i="47"/>
  <c r="U1454" i="47" s="1"/>
  <c r="U1467" i="47"/>
  <c r="U1468" i="47" s="1"/>
  <c r="S1465" i="47"/>
  <c r="S1466" i="47" s="1"/>
  <c r="O1406" i="47"/>
  <c r="AB1418" i="47"/>
  <c r="X1452" i="47"/>
  <c r="AB1451" i="47"/>
  <c r="AF1452" i="47"/>
  <c r="X1451" i="47"/>
  <c r="AB1452" i="47"/>
  <c r="AF1506" i="47"/>
  <c r="AB1506" i="47"/>
  <c r="AF1505" i="47"/>
  <c r="X1505" i="47"/>
  <c r="X1506" i="47"/>
  <c r="X1454" i="47"/>
  <c r="X1453" i="47"/>
  <c r="AF1454" i="47"/>
  <c r="AB1453" i="47"/>
  <c r="AB1454" i="47"/>
  <c r="X1461" i="47"/>
  <c r="AF1462" i="47"/>
  <c r="AB1461" i="47"/>
  <c r="AB1462" i="47"/>
  <c r="X1462" i="47"/>
  <c r="U1406" i="47"/>
  <c r="X1417" i="47"/>
  <c r="AF1422" i="47"/>
  <c r="AF1421" i="47"/>
  <c r="X1422" i="47"/>
  <c r="AF1464" i="47"/>
  <c r="X1464" i="47"/>
  <c r="AB1463" i="47"/>
  <c r="AB1464" i="47"/>
  <c r="AB1505" i="47"/>
  <c r="AB1417" i="47"/>
  <c r="AB1422" i="47"/>
  <c r="AB1430" i="47"/>
  <c r="AB1458" i="47"/>
  <c r="AF1457" i="47"/>
  <c r="AF1458" i="47"/>
  <c r="AF1461" i="47"/>
  <c r="AF1451" i="47"/>
  <c r="AF1453" i="47"/>
  <c r="AF1496" i="47"/>
  <c r="X1496" i="47"/>
  <c r="AF1495" i="47"/>
  <c r="X1495" i="47"/>
  <c r="AB1496" i="47"/>
  <c r="X1418" i="47"/>
  <c r="AF1430" i="47"/>
  <c r="X1430" i="47"/>
  <c r="X1429" i="47"/>
  <c r="AF1418" i="47"/>
  <c r="O1448" i="47"/>
  <c r="AF1456" i="47"/>
  <c r="AB1455" i="47"/>
  <c r="AB1456" i="47"/>
  <c r="X1455" i="47"/>
  <c r="X1456" i="47"/>
  <c r="X1426" i="47"/>
  <c r="AF1429" i="47"/>
  <c r="O1442" i="47"/>
  <c r="X1463" i="47"/>
  <c r="X1421" i="47"/>
  <c r="AB1426" i="47"/>
  <c r="X1457" i="47"/>
  <c r="AF1463" i="47"/>
  <c r="X1529" i="47"/>
  <c r="AF1528" i="47"/>
  <c r="X1528" i="47"/>
  <c r="AB1528" i="47"/>
  <c r="AF1529" i="47"/>
  <c r="AB1529" i="47"/>
  <c r="AF1531" i="47"/>
  <c r="X1531" i="47"/>
  <c r="AF1530" i="47"/>
  <c r="AB1530" i="47"/>
  <c r="X1530" i="47"/>
  <c r="AB1531" i="47"/>
  <c r="AF1541" i="47"/>
  <c r="AB1541" i="47"/>
  <c r="AF1540" i="47"/>
  <c r="AB1540" i="47"/>
  <c r="X1540" i="47"/>
  <c r="X1541" i="47"/>
  <c r="X1494" i="47"/>
  <c r="AF1493" i="47"/>
  <c r="X1493" i="47"/>
  <c r="AB1415" i="47"/>
  <c r="X1416" i="47"/>
  <c r="X1526" i="47"/>
  <c r="AF1527" i="47"/>
  <c r="AF1526" i="47"/>
  <c r="X1527" i="47"/>
  <c r="AF1415" i="47"/>
  <c r="AB1416" i="47"/>
  <c r="X1419" i="47"/>
  <c r="AF1427" i="47"/>
  <c r="AB1428" i="47"/>
  <c r="AB1470" i="47"/>
  <c r="AF1469" i="47"/>
  <c r="AB1469" i="47"/>
  <c r="X1470" i="47"/>
  <c r="X1491" i="47"/>
  <c r="AF1492" i="47"/>
  <c r="AF1491" i="47"/>
  <c r="X1492" i="47"/>
  <c r="AB1536" i="47"/>
  <c r="AB1419" i="47"/>
  <c r="X1420" i="47"/>
  <c r="AB1494" i="47"/>
  <c r="AF1523" i="47"/>
  <c r="X1523" i="47"/>
  <c r="AF1522" i="47"/>
  <c r="AB1522" i="47"/>
  <c r="X1534" i="47"/>
  <c r="AF1535" i="47"/>
  <c r="X1535" i="47"/>
  <c r="AF1534" i="47"/>
  <c r="X1537" i="47"/>
  <c r="AF1536" i="47"/>
  <c r="X1536" i="47"/>
  <c r="AF1537" i="47"/>
  <c r="AF1419" i="47"/>
  <c r="AB1424" i="47"/>
  <c r="AF1423" i="47"/>
  <c r="AB1423" i="47"/>
  <c r="AF1424" i="47"/>
  <c r="AF1488" i="47"/>
  <c r="X1488" i="47"/>
  <c r="AF1487" i="47"/>
  <c r="AB1487" i="47"/>
  <c r="AF1494" i="47"/>
  <c r="X1499" i="47"/>
  <c r="AF1500" i="47"/>
  <c r="X1500" i="47"/>
  <c r="AF1499" i="47"/>
  <c r="X1502" i="47"/>
  <c r="AF1501" i="47"/>
  <c r="X1501" i="47"/>
  <c r="AF1502" i="47"/>
  <c r="AB1527" i="47"/>
  <c r="AB1433" i="47"/>
  <c r="X1459" i="47"/>
  <c r="X1460" i="47"/>
  <c r="AB1465" i="47"/>
  <c r="AB1489" i="47"/>
  <c r="AF1498" i="47"/>
  <c r="AF1504" i="47"/>
  <c r="X1504" i="47"/>
  <c r="AF1503" i="47"/>
  <c r="AB1524" i="47"/>
  <c r="AF1533" i="47"/>
  <c r="AF1539" i="47"/>
  <c r="X1539" i="47"/>
  <c r="AF1538" i="47"/>
  <c r="AF1459" i="47"/>
  <c r="AF1460" i="47"/>
  <c r="AF1490" i="47"/>
  <c r="AF1525" i="47"/>
  <c r="AB1467" i="47"/>
  <c r="AF1311" i="47"/>
  <c r="O1282" i="47"/>
  <c r="O1283" i="47" s="1"/>
  <c r="X1327" i="47"/>
  <c r="AF1348" i="47"/>
  <c r="AF1327" i="47"/>
  <c r="AB1350" i="47"/>
  <c r="X1281" i="47"/>
  <c r="AB1291" i="47"/>
  <c r="AB1310" i="47"/>
  <c r="AF1319" i="47"/>
  <c r="S1310" i="47"/>
  <c r="S1311" i="47" s="1"/>
  <c r="O1340" i="47"/>
  <c r="O1341" i="47" s="1"/>
  <c r="AB1356" i="47"/>
  <c r="AF1357" i="47"/>
  <c r="AB1348" i="47"/>
  <c r="U1310" i="47"/>
  <c r="U1311" i="47" s="1"/>
  <c r="AB1327" i="47"/>
  <c r="Q1312" i="47"/>
  <c r="Q1313" i="47" s="1"/>
  <c r="X1282" i="47"/>
  <c r="AF1310" i="47"/>
  <c r="X1326" i="47"/>
  <c r="S1326" i="47"/>
  <c r="S1327" i="47" s="1"/>
  <c r="Q1310" i="47"/>
  <c r="Q1311" i="47" s="1"/>
  <c r="Q1340" i="47"/>
  <c r="Q1341" i="47" s="1"/>
  <c r="AF1351" i="47"/>
  <c r="Q1282" i="47"/>
  <c r="Q1283" i="47" s="1"/>
  <c r="X1310" i="47"/>
  <c r="Q1334" i="47"/>
  <c r="Q1335" i="47" s="1"/>
  <c r="AF1283" i="47"/>
  <c r="X1311" i="47"/>
  <c r="AB1326" i="47"/>
  <c r="AF1275" i="47"/>
  <c r="AB1286" i="47"/>
  <c r="S1344" i="47"/>
  <c r="S1345" i="47" s="1"/>
  <c r="X1360" i="47"/>
  <c r="O1274" i="47"/>
  <c r="O1275" i="47" s="1"/>
  <c r="AF1276" i="47"/>
  <c r="AB1287" i="47"/>
  <c r="AB1312" i="47"/>
  <c r="AB1320" i="47"/>
  <c r="S1314" i="47"/>
  <c r="S1315" i="47" s="1"/>
  <c r="AB1344" i="47"/>
  <c r="AB1351" i="47"/>
  <c r="S1373" i="47"/>
  <c r="S1374" i="47" s="1"/>
  <c r="U1381" i="47"/>
  <c r="U1382" i="47" s="1"/>
  <c r="X1387" i="47"/>
  <c r="AF1395" i="47"/>
  <c r="X1394" i="47"/>
  <c r="AB1394" i="47"/>
  <c r="Q1320" i="47"/>
  <c r="Q1321" i="47" s="1"/>
  <c r="X1391" i="47"/>
  <c r="S1280" i="47"/>
  <c r="S1281" i="47" s="1"/>
  <c r="AB1281" i="47"/>
  <c r="O1320" i="47"/>
  <c r="O1321" i="47" s="1"/>
  <c r="Q1350" i="47"/>
  <c r="Q1351" i="47" s="1"/>
  <c r="AF1353" i="47"/>
  <c r="X1361" i="47"/>
  <c r="AF1379" i="47"/>
  <c r="X1383" i="47"/>
  <c r="X1393" i="47"/>
  <c r="Q1352" i="47"/>
  <c r="Q1353" i="47" s="1"/>
  <c r="U1304" i="47"/>
  <c r="U1305" i="47" s="1"/>
  <c r="X1314" i="47"/>
  <c r="S1379" i="47"/>
  <c r="S1380" i="47" s="1"/>
  <c r="AB1388" i="47"/>
  <c r="AF1394" i="47"/>
  <c r="U1276" i="47"/>
  <c r="Q1280" i="47"/>
  <c r="Q1281" i="47" s="1"/>
  <c r="X1323" i="47"/>
  <c r="O1304" i="47"/>
  <c r="O1305" i="47" s="1"/>
  <c r="S1350" i="47"/>
  <c r="S1351" i="47" s="1"/>
  <c r="AB1361" i="47"/>
  <c r="O1387" i="47"/>
  <c r="O1388" i="47" s="1"/>
  <c r="X1396" i="47"/>
  <c r="Q1262" i="47"/>
  <c r="Q1263" i="47" s="1"/>
  <c r="X1317" i="47"/>
  <c r="S1338" i="47"/>
  <c r="S1339" i="47" s="1"/>
  <c r="X1385" i="47"/>
  <c r="S1262" i="47"/>
  <c r="S1263" i="47" s="1"/>
  <c r="X1275" i="47"/>
  <c r="AF1286" i="47"/>
  <c r="AF1314" i="47"/>
  <c r="AB1317" i="47"/>
  <c r="U1338" i="47"/>
  <c r="U1339" i="47" s="1"/>
  <c r="U1344" i="47"/>
  <c r="U1345" i="47" s="1"/>
  <c r="X1353" i="47"/>
  <c r="X1355" i="47"/>
  <c r="U1379" i="47"/>
  <c r="U1380" i="47" s="1"/>
  <c r="AF1385" i="47"/>
  <c r="S1268" i="47"/>
  <c r="S1269" i="47" s="1"/>
  <c r="O1280" i="47"/>
  <c r="O1281" i="47" s="1"/>
  <c r="AB1275" i="47"/>
  <c r="X1280" i="47"/>
  <c r="X1287" i="47"/>
  <c r="AF1317" i="47"/>
  <c r="O1298" i="47"/>
  <c r="O1299" i="47" s="1"/>
  <c r="O1312" i="47"/>
  <c r="O1313" i="47" s="1"/>
  <c r="X1344" i="47"/>
  <c r="O1350" i="47"/>
  <c r="O1351" i="47" s="1"/>
  <c r="O1352" i="47"/>
  <c r="O1353" i="47" s="1"/>
  <c r="AB1353" i="47"/>
  <c r="AF1355" i="47"/>
  <c r="O1369" i="47"/>
  <c r="O1370" i="47" s="1"/>
  <c r="X1379" i="47"/>
  <c r="S1381" i="47"/>
  <c r="S1382" i="47" s="1"/>
  <c r="Q1387" i="47"/>
  <c r="Q1388" i="47" s="1"/>
  <c r="AF1388" i="47"/>
  <c r="AF1396" i="47"/>
  <c r="Q1354" i="47"/>
  <c r="Q1355" i="47" s="1"/>
  <c r="X1380" i="47"/>
  <c r="X1381" i="47"/>
  <c r="AB1386" i="47"/>
  <c r="U1274" i="47"/>
  <c r="U1275" i="47" s="1"/>
  <c r="O1276" i="47"/>
  <c r="O1277" i="47" s="1"/>
  <c r="X1277" i="47"/>
  <c r="AB1316" i="47"/>
  <c r="AB1380" i="47"/>
  <c r="O1385" i="47"/>
  <c r="O1386" i="47" s="1"/>
  <c r="S1274" i="47"/>
  <c r="S1275" i="47" s="1"/>
  <c r="X1274" i="47"/>
  <c r="AB1277" i="47"/>
  <c r="AB1289" i="47"/>
  <c r="AF1316" i="47"/>
  <c r="Q1322" i="47"/>
  <c r="Q1323" i="47" s="1"/>
  <c r="Q1316" i="47"/>
  <c r="Q1317" i="47" s="1"/>
  <c r="S1304" i="47"/>
  <c r="S1305" i="47" s="1"/>
  <c r="S1334" i="47"/>
  <c r="S1335" i="47" s="1"/>
  <c r="O1344" i="47"/>
  <c r="O1345" i="47" s="1"/>
  <c r="AB1345" i="47"/>
  <c r="AB1352" i="47"/>
  <c r="X1354" i="47"/>
  <c r="AF1360" i="47"/>
  <c r="O1379" i="47"/>
  <c r="O1380" i="47" s="1"/>
  <c r="AF1380" i="47"/>
  <c r="Q1385" i="47"/>
  <c r="Q1386" i="47" s="1"/>
  <c r="AF1387" i="47"/>
  <c r="S1389" i="47"/>
  <c r="S1390" i="47" s="1"/>
  <c r="AF1393" i="47"/>
  <c r="X1397" i="47"/>
  <c r="X1386" i="47"/>
  <c r="X1316" i="47"/>
  <c r="S1352" i="47"/>
  <c r="S1353" i="47" s="1"/>
  <c r="X1289" i="47"/>
  <c r="AF1320" i="47"/>
  <c r="S1316" i="47"/>
  <c r="S1317" i="47" s="1"/>
  <c r="X1345" i="47"/>
  <c r="X1352" i="47"/>
  <c r="S1354" i="47"/>
  <c r="S1355" i="47" s="1"/>
  <c r="AB1360" i="47"/>
  <c r="AF1386" i="47"/>
  <c r="U1266" i="47"/>
  <c r="U1267" i="47" s="1"/>
  <c r="Q1274" i="47"/>
  <c r="Q1275" i="47" s="1"/>
  <c r="AF1277" i="47"/>
  <c r="AF1289" i="47"/>
  <c r="X1321" i="47"/>
  <c r="Q1338" i="47"/>
  <c r="Q1339" i="47" s="1"/>
  <c r="Q1344" i="47"/>
  <c r="Q1345" i="47" s="1"/>
  <c r="X1351" i="47"/>
  <c r="AF1354" i="47"/>
  <c r="Q1379" i="47"/>
  <c r="Q1380" i="47" s="1"/>
  <c r="S1385" i="47"/>
  <c r="S1386" i="47" s="1"/>
  <c r="X1389" i="47"/>
  <c r="A1370" i="47"/>
  <c r="O1262" i="47"/>
  <c r="O1263" i="47" s="1"/>
  <c r="AB1383" i="47"/>
  <c r="AB1381" i="47"/>
  <c r="AB1397" i="47"/>
  <c r="X1382" i="47"/>
  <c r="AF1384" i="47"/>
  <c r="AF1389" i="47"/>
  <c r="O1391" i="47"/>
  <c r="AF1392" i="47"/>
  <c r="X1398" i="47"/>
  <c r="U1369" i="47"/>
  <c r="U1370" i="47" s="1"/>
  <c r="Q1375" i="47"/>
  <c r="Q1376" i="47" s="1"/>
  <c r="AB1382" i="47"/>
  <c r="Q1383" i="47"/>
  <c r="Q1384" i="47" s="1"/>
  <c r="AB1390" i="47"/>
  <c r="Q1391" i="47"/>
  <c r="AB1395" i="47"/>
  <c r="AB1398" i="47"/>
  <c r="AB1384" i="47"/>
  <c r="AB1389" i="47"/>
  <c r="AB1392" i="47"/>
  <c r="O1375" i="47"/>
  <c r="O1376" i="47" s="1"/>
  <c r="X1390" i="47"/>
  <c r="AF1397" i="47"/>
  <c r="O1373" i="47"/>
  <c r="O1374" i="47" s="1"/>
  <c r="S1375" i="47"/>
  <c r="S1376" i="47" s="1"/>
  <c r="O1381" i="47"/>
  <c r="O1382" i="47" s="1"/>
  <c r="AF1382" i="47"/>
  <c r="S1383" i="47"/>
  <c r="S1384" i="47" s="1"/>
  <c r="O1389" i="47"/>
  <c r="O1390" i="47" s="1"/>
  <c r="AF1390" i="47"/>
  <c r="S1391" i="47"/>
  <c r="AB1391" i="47"/>
  <c r="AF1383" i="47"/>
  <c r="X1384" i="47"/>
  <c r="AF1391" i="47"/>
  <c r="AF1381" i="47"/>
  <c r="O1383" i="47"/>
  <c r="O1384" i="47" s="1"/>
  <c r="AB1280" i="47"/>
  <c r="AB1358" i="47"/>
  <c r="AB1359" i="47"/>
  <c r="U1346" i="47"/>
  <c r="U1347" i="47" s="1"/>
  <c r="O1348" i="47"/>
  <c r="O1349" i="47" s="1"/>
  <c r="X1350" i="47"/>
  <c r="AB1354" i="47"/>
  <c r="AF1358" i="47"/>
  <c r="AF1359" i="47"/>
  <c r="X1358" i="47"/>
  <c r="Q1348" i="47"/>
  <c r="Q1349" i="47" s="1"/>
  <c r="X1349" i="47"/>
  <c r="AB1346" i="47"/>
  <c r="S1348" i="47"/>
  <c r="S1349" i="47" s="1"/>
  <c r="AB1349" i="47"/>
  <c r="U1348" i="47"/>
  <c r="AF1349" i="47"/>
  <c r="O1354" i="47"/>
  <c r="O1355" i="47" s="1"/>
  <c r="AB1323" i="47"/>
  <c r="X1325" i="47"/>
  <c r="O1322" i="47"/>
  <c r="O1323" i="47" s="1"/>
  <c r="U1298" i="47"/>
  <c r="U1299" i="47" s="1"/>
  <c r="X1309" i="47"/>
  <c r="AF1312" i="47"/>
  <c r="AB1314" i="47"/>
  <c r="AF1323" i="47"/>
  <c r="AB1325" i="47"/>
  <c r="AF1309" i="47"/>
  <c r="U1308" i="47"/>
  <c r="U1309" i="47" s="1"/>
  <c r="X1313" i="47"/>
  <c r="X1315" i="47"/>
  <c r="AB1322" i="47"/>
  <c r="AB1324" i="47"/>
  <c r="Q1324" i="47"/>
  <c r="Q1325" i="47" s="1"/>
  <c r="Q1314" i="47"/>
  <c r="Q1315" i="47" s="1"/>
  <c r="S1308" i="47"/>
  <c r="S1309" i="47" s="1"/>
  <c r="X1308" i="47"/>
  <c r="AB1313" i="47"/>
  <c r="AB1315" i="47"/>
  <c r="AF1322" i="47"/>
  <c r="AF1324" i="47"/>
  <c r="Q1298" i="47"/>
  <c r="Q1299" i="47" s="1"/>
  <c r="O1324" i="47"/>
  <c r="O1325" i="47" s="1"/>
  <c r="O1314" i="47"/>
  <c r="O1315" i="47" s="1"/>
  <c r="Q1308" i="47"/>
  <c r="Q1309" i="47" s="1"/>
  <c r="X1322" i="47"/>
  <c r="X1324" i="47"/>
  <c r="AB1308" i="47"/>
  <c r="U1312" i="47"/>
  <c r="AF1313" i="47"/>
  <c r="AF1281" i="47"/>
  <c r="AB1284" i="47"/>
  <c r="AF1284" i="47"/>
  <c r="S1284" i="47"/>
  <c r="AF1282" i="47"/>
  <c r="AB1285" i="47"/>
  <c r="X1288" i="47"/>
  <c r="X1284" i="47"/>
  <c r="AB1282" i="47"/>
  <c r="Q1284" i="47"/>
  <c r="X1283" i="47"/>
  <c r="AF1285" i="47"/>
  <c r="AB1288" i="47"/>
  <c r="X1285" i="47"/>
  <c r="S1272" i="47"/>
  <c r="S1273" i="47" s="1"/>
  <c r="AB1272" i="47"/>
  <c r="AF1272" i="47"/>
  <c r="X1278" i="47"/>
  <c r="S1278" i="47"/>
  <c r="S1279" i="47" s="1"/>
  <c r="X1273" i="47"/>
  <c r="AB1278" i="47"/>
  <c r="Q1278" i="47"/>
  <c r="Q1279" i="47" s="1"/>
  <c r="AB1273" i="47"/>
  <c r="X1276" i="47"/>
  <c r="AF1278" i="47"/>
  <c r="O1268" i="47"/>
  <c r="O1269" i="47" s="1"/>
  <c r="O1278" i="47"/>
  <c r="O1279" i="47" s="1"/>
  <c r="Q1266" i="47"/>
  <c r="Q1267" i="47" s="1"/>
  <c r="S1266" i="47"/>
  <c r="S1267" i="47" s="1"/>
  <c r="U1268" i="47"/>
  <c r="U1269" i="47" s="1"/>
  <c r="AD1166" i="47"/>
  <c r="S1168" i="47" s="1"/>
  <c r="R1169" i="47" s="1"/>
  <c r="AD1170" i="47"/>
  <c r="S1172" i="47" s="1"/>
  <c r="R1173" i="47" s="1"/>
  <c r="AD1157" i="47"/>
  <c r="AD1156" i="47"/>
  <c r="AB1232" i="44"/>
  <c r="Y1232" i="44"/>
  <c r="Y1231" i="44"/>
  <c r="A1250" i="47"/>
  <c r="A1251" i="47" s="1"/>
  <c r="A1248" i="47"/>
  <c r="A1249" i="47" s="1"/>
  <c r="A1246" i="47"/>
  <c r="A1247" i="47" s="1"/>
  <c r="A1244" i="47"/>
  <c r="A1245" i="47" s="1"/>
  <c r="A1242" i="47"/>
  <c r="A1243" i="47" s="1"/>
  <c r="A1240" i="47"/>
  <c r="A1241" i="47" s="1"/>
  <c r="A1238" i="47"/>
  <c r="A1239" i="47" s="1"/>
  <c r="A1236" i="47"/>
  <c r="A1237" i="47" s="1"/>
  <c r="A1234" i="47"/>
  <c r="A1235" i="47" s="1"/>
  <c r="A1232" i="47"/>
  <c r="A1233" i="47" s="1"/>
  <c r="A1230" i="47"/>
  <c r="A1231" i="47" s="1"/>
  <c r="A1228" i="47"/>
  <c r="A1229" i="47" s="1"/>
  <c r="A1226" i="47"/>
  <c r="A1227" i="47" s="1"/>
  <c r="A1224" i="47"/>
  <c r="A1225" i="47" s="1"/>
  <c r="A1222" i="47"/>
  <c r="A1223" i="47" s="1"/>
  <c r="A1202" i="47"/>
  <c r="A1203" i="47"/>
  <c r="A1204" i="47"/>
  <c r="A1205" i="47"/>
  <c r="A1206" i="47"/>
  <c r="A1207" i="47"/>
  <c r="A1208" i="47"/>
  <c r="A1209" i="47"/>
  <c r="A1210" i="47"/>
  <c r="A1211" i="47"/>
  <c r="A1212" i="47"/>
  <c r="A1213" i="47"/>
  <c r="A1214" i="47"/>
  <c r="A1215" i="47"/>
  <c r="A1216" i="47"/>
  <c r="A1201" i="47"/>
  <c r="AC1250" i="47"/>
  <c r="AC1248" i="47"/>
  <c r="AC1246" i="47"/>
  <c r="AC1244" i="47"/>
  <c r="AC1242" i="47"/>
  <c r="AC1240" i="47"/>
  <c r="AC1238" i="47"/>
  <c r="AC1236" i="47"/>
  <c r="AC1234" i="47"/>
  <c r="AC1232" i="47"/>
  <c r="AC1230" i="47"/>
  <c r="AC1228" i="47"/>
  <c r="AC1226" i="47"/>
  <c r="AC1224" i="47"/>
  <c r="AC1222" i="47"/>
  <c r="P1202" i="47"/>
  <c r="P1203" i="47"/>
  <c r="P1204" i="47"/>
  <c r="P1205" i="47"/>
  <c r="P1206" i="47"/>
  <c r="P1207" i="47"/>
  <c r="P1208" i="47"/>
  <c r="P1209" i="47"/>
  <c r="P1210" i="47"/>
  <c r="P1211" i="47"/>
  <c r="P1212" i="47"/>
  <c r="P1213" i="47"/>
  <c r="P1214" i="47"/>
  <c r="P1215" i="47"/>
  <c r="P1216" i="47"/>
  <c r="V1222" i="47" s="1"/>
  <c r="P1201" i="47"/>
  <c r="S1201" i="47" s="1"/>
  <c r="S1202" i="47" s="1"/>
  <c r="S1203" i="47" s="1"/>
  <c r="S1204" i="47" s="1"/>
  <c r="S1205" i="47" s="1"/>
  <c r="S1206" i="47" s="1"/>
  <c r="S1207" i="47" s="1"/>
  <c r="S1208" i="47" s="1"/>
  <c r="S1209" i="47" s="1"/>
  <c r="S1210" i="47" s="1"/>
  <c r="S1211" i="47" s="1"/>
  <c r="S1212" i="47" s="1"/>
  <c r="S1213" i="47" s="1"/>
  <c r="S1214" i="47" s="1"/>
  <c r="S1215" i="47" s="1"/>
  <c r="S1216" i="47" s="1"/>
  <c r="Y1222" i="47" s="1"/>
  <c r="U1479" i="47" l="1"/>
  <c r="U1480" i="47" s="1"/>
  <c r="U1449" i="47"/>
  <c r="U1450" i="47" s="1"/>
  <c r="U1514" i="47"/>
  <c r="U1515" i="47" s="1"/>
  <c r="U1413" i="47"/>
  <c r="U1414" i="47" s="1"/>
  <c r="U1407" i="47"/>
  <c r="U1408" i="47" s="1"/>
  <c r="U1520" i="47"/>
  <c r="U1521" i="47" s="1"/>
  <c r="U1443" i="47"/>
  <c r="U1444" i="47" s="1"/>
  <c r="U1485" i="47"/>
  <c r="U1486" i="47" s="1"/>
  <c r="U1371" i="47"/>
  <c r="U1372" i="47" s="1"/>
  <c r="U1377" i="47"/>
  <c r="U1378" i="47" s="1"/>
  <c r="U1342" i="47"/>
  <c r="U1343" i="47" s="1"/>
  <c r="U1336" i="47"/>
  <c r="U1337" i="47" s="1"/>
  <c r="U1306" i="47"/>
  <c r="U1307" i="47" s="1"/>
  <c r="U1300" i="47"/>
  <c r="U1301" i="47" s="1"/>
  <c r="AJ1156" i="47"/>
  <c r="AK1156" i="47"/>
  <c r="AK1157" i="47"/>
  <c r="AJ1157" i="47"/>
  <c r="U1264" i="47"/>
  <c r="U1265" i="47" s="1"/>
  <c r="U1270" i="47"/>
  <c r="U1271" i="47" s="1"/>
  <c r="AF1222" i="47"/>
  <c r="AC1104" i="47"/>
  <c r="AC1105" i="47" s="1"/>
  <c r="M1105" i="47"/>
  <c r="M1104" i="47" s="1"/>
  <c r="AE1017" i="47"/>
  <c r="Y1704" i="47" s="1"/>
  <c r="AE1018" i="47"/>
  <c r="Y1705" i="47" s="1"/>
  <c r="AE1019" i="47"/>
  <c r="Y1706" i="47" s="1"/>
  <c r="AE1020" i="47"/>
  <c r="Y1707" i="47" s="1"/>
  <c r="AE1021" i="47"/>
  <c r="Y1708" i="47" s="1"/>
  <c r="AE1022" i="47"/>
  <c r="Y1709" i="47" s="1"/>
  <c r="AE1023" i="47"/>
  <c r="Y1710" i="47" s="1"/>
  <c r="AE1024" i="47"/>
  <c r="Y1711" i="47" s="1"/>
  <c r="AE1025" i="47"/>
  <c r="Y1712" i="47" s="1"/>
  <c r="AE1026" i="47"/>
  <c r="Y1713" i="47" s="1"/>
  <c r="P1018" i="47"/>
  <c r="J1705" i="47" s="1"/>
  <c r="P1019" i="47"/>
  <c r="J1706" i="47" s="1"/>
  <c r="P1020" i="47"/>
  <c r="J1707" i="47" s="1"/>
  <c r="P1021" i="47"/>
  <c r="J1708" i="47" s="1"/>
  <c r="P1022" i="47"/>
  <c r="J1709" i="47" s="1"/>
  <c r="P1023" i="47"/>
  <c r="J1710" i="47" s="1"/>
  <c r="P1024" i="47"/>
  <c r="J1711" i="47" s="1"/>
  <c r="P1025" i="47"/>
  <c r="J1712" i="47" s="1"/>
  <c r="P1026" i="47"/>
  <c r="J1713" i="47" s="1"/>
  <c r="AE993" i="47"/>
  <c r="Y1682" i="47" s="1"/>
  <c r="AE994" i="47"/>
  <c r="Y1683" i="47" s="1"/>
  <c r="AE995" i="47"/>
  <c r="Y1684" i="47" s="1"/>
  <c r="AE996" i="47"/>
  <c r="Y1685" i="47" s="1"/>
  <c r="AE997" i="47"/>
  <c r="Y1686" i="47" s="1"/>
  <c r="AE998" i="47"/>
  <c r="Y1687" i="47" s="1"/>
  <c r="AE999" i="47"/>
  <c r="Y1688" i="47" s="1"/>
  <c r="AE1000" i="47"/>
  <c r="Y1689" i="47" s="1"/>
  <c r="AE1001" i="47"/>
  <c r="Y1690" i="47" s="1"/>
  <c r="AE1002" i="47"/>
  <c r="Y1691" i="47" s="1"/>
  <c r="P994" i="47"/>
  <c r="J1683" i="47" s="1"/>
  <c r="P995" i="47"/>
  <c r="J1684" i="47" s="1"/>
  <c r="P996" i="47"/>
  <c r="J1685" i="47" s="1"/>
  <c r="P997" i="47"/>
  <c r="J1686" i="47" s="1"/>
  <c r="P998" i="47"/>
  <c r="J1687" i="47" s="1"/>
  <c r="P999" i="47"/>
  <c r="J1688" i="47" s="1"/>
  <c r="P1000" i="47"/>
  <c r="J1689" i="47" s="1"/>
  <c r="P1001" i="47"/>
  <c r="J1690" i="47" s="1"/>
  <c r="P1002" i="47"/>
  <c r="J1691" i="47" s="1"/>
  <c r="AE969" i="47"/>
  <c r="Y1660" i="47" s="1"/>
  <c r="AE970" i="47"/>
  <c r="Y1661" i="47" s="1"/>
  <c r="AE971" i="47"/>
  <c r="Y1662" i="47" s="1"/>
  <c r="AE972" i="47"/>
  <c r="Y1663" i="47" s="1"/>
  <c r="AE973" i="47"/>
  <c r="Y1664" i="47" s="1"/>
  <c r="AE974" i="47"/>
  <c r="Y1665" i="47" s="1"/>
  <c r="AE975" i="47"/>
  <c r="Y1666" i="47" s="1"/>
  <c r="AE976" i="47"/>
  <c r="Y1667" i="47" s="1"/>
  <c r="AE977" i="47"/>
  <c r="Y1668" i="47" s="1"/>
  <c r="AE978" i="47"/>
  <c r="Y1669" i="47" s="1"/>
  <c r="P970" i="47"/>
  <c r="J1661" i="47" s="1"/>
  <c r="P971" i="47"/>
  <c r="J1662" i="47" s="1"/>
  <c r="P972" i="47"/>
  <c r="J1663" i="47" s="1"/>
  <c r="P973" i="47"/>
  <c r="J1664" i="47" s="1"/>
  <c r="P974" i="47"/>
  <c r="J1665" i="47" s="1"/>
  <c r="P975" i="47"/>
  <c r="J1666" i="47" s="1"/>
  <c r="P976" i="47"/>
  <c r="J1667" i="47" s="1"/>
  <c r="P977" i="47"/>
  <c r="J1668" i="47" s="1"/>
  <c r="P978" i="47"/>
  <c r="J1669" i="47" s="1"/>
  <c r="AE945" i="47"/>
  <c r="AE946" i="47"/>
  <c r="AE947" i="47"/>
  <c r="AE948" i="47"/>
  <c r="AE949" i="47"/>
  <c r="AE950" i="47"/>
  <c r="AE951" i="47"/>
  <c r="AE952" i="47"/>
  <c r="AE953" i="47"/>
  <c r="AE954" i="47"/>
  <c r="P946" i="47"/>
  <c r="P947" i="47"/>
  <c r="P948" i="47"/>
  <c r="P949" i="47"/>
  <c r="P950" i="47"/>
  <c r="P951" i="47"/>
  <c r="P952" i="47"/>
  <c r="P953" i="47"/>
  <c r="P954" i="47"/>
  <c r="AE921" i="47"/>
  <c r="AE922" i="47"/>
  <c r="AE923" i="47"/>
  <c r="AE924" i="47"/>
  <c r="AE925" i="47"/>
  <c r="AE926" i="47"/>
  <c r="AE927" i="47"/>
  <c r="AE928" i="47"/>
  <c r="AE929" i="47"/>
  <c r="AE930" i="47"/>
  <c r="P922" i="47"/>
  <c r="P923" i="47"/>
  <c r="P924" i="47"/>
  <c r="P925" i="47"/>
  <c r="P926" i="47"/>
  <c r="P927" i="47"/>
  <c r="P928" i="47"/>
  <c r="P929" i="47"/>
  <c r="P930" i="47"/>
  <c r="P898" i="47"/>
  <c r="P899" i="47"/>
  <c r="P900" i="47"/>
  <c r="P901" i="47"/>
  <c r="P902" i="47"/>
  <c r="P903" i="47"/>
  <c r="P904" i="47"/>
  <c r="P905" i="47"/>
  <c r="P906" i="47"/>
  <c r="AE897" i="47"/>
  <c r="AE898" i="47"/>
  <c r="AE899" i="47"/>
  <c r="AE900" i="47"/>
  <c r="AE901" i="47"/>
  <c r="AE902" i="47"/>
  <c r="AE903" i="47"/>
  <c r="AE904" i="47"/>
  <c r="AE905" i="47"/>
  <c r="AE906" i="47"/>
  <c r="AE872" i="47"/>
  <c r="AE873" i="47"/>
  <c r="AE874" i="47"/>
  <c r="AE875" i="47"/>
  <c r="AE876" i="47"/>
  <c r="AE877" i="47"/>
  <c r="AE878" i="47"/>
  <c r="AE879" i="47"/>
  <c r="AE880" i="47"/>
  <c r="AE881" i="47"/>
  <c r="AE882" i="47"/>
  <c r="P873" i="47"/>
  <c r="P874" i="47"/>
  <c r="P875" i="47"/>
  <c r="P876" i="47"/>
  <c r="P877" i="47"/>
  <c r="P878" i="47"/>
  <c r="P879" i="47"/>
  <c r="P880" i="47"/>
  <c r="P881" i="47"/>
  <c r="P882" i="47"/>
  <c r="A844" i="47"/>
  <c r="A843" i="47"/>
  <c r="AE858" i="47"/>
  <c r="AE857" i="47"/>
  <c r="AE856" i="47"/>
  <c r="AE855" i="47"/>
  <c r="AE854" i="47"/>
  <c r="AE853" i="47"/>
  <c r="AE852" i="47"/>
  <c r="AE851" i="47"/>
  <c r="AE850" i="47"/>
  <c r="AE849" i="47"/>
  <c r="AE848" i="47"/>
  <c r="P858" i="47"/>
  <c r="P849" i="47"/>
  <c r="P850" i="47"/>
  <c r="P851" i="47"/>
  <c r="P852" i="47"/>
  <c r="P853" i="47"/>
  <c r="P854" i="47"/>
  <c r="P855" i="47"/>
  <c r="P856" i="47"/>
  <c r="P857" i="47"/>
  <c r="A978" i="47"/>
  <c r="A977" i="47"/>
  <c r="A976" i="47"/>
  <c r="A975" i="47"/>
  <c r="A974" i="47"/>
  <c r="A973" i="47"/>
  <c r="A972" i="47"/>
  <c r="A971" i="47"/>
  <c r="A970" i="47"/>
  <c r="A969" i="47"/>
  <c r="A968" i="47"/>
  <c r="A967" i="47"/>
  <c r="A966" i="47"/>
  <c r="A965" i="47"/>
  <c r="A964" i="47"/>
  <c r="A963" i="47"/>
  <c r="A906" i="47"/>
  <c r="A905" i="47"/>
  <c r="A904" i="47"/>
  <c r="A903" i="47"/>
  <c r="A902" i="47"/>
  <c r="A901" i="47"/>
  <c r="A900" i="47"/>
  <c r="A899" i="47"/>
  <c r="A898" i="47"/>
  <c r="A897" i="47"/>
  <c r="A896" i="47"/>
  <c r="A895" i="47"/>
  <c r="A894" i="47"/>
  <c r="A893" i="47"/>
  <c r="A892" i="47"/>
  <c r="A891" i="47"/>
  <c r="A882" i="47"/>
  <c r="A881" i="47"/>
  <c r="A880" i="47"/>
  <c r="A879" i="47"/>
  <c r="A878" i="47"/>
  <c r="A877" i="47"/>
  <c r="A876" i="47"/>
  <c r="A875" i="47"/>
  <c r="A874" i="47"/>
  <c r="A873" i="47"/>
  <c r="A872" i="47"/>
  <c r="A871" i="47"/>
  <c r="A870" i="47"/>
  <c r="A869" i="47"/>
  <c r="A868" i="47"/>
  <c r="A867" i="47"/>
  <c r="A858" i="47"/>
  <c r="A857" i="47"/>
  <c r="A856" i="47"/>
  <c r="A855" i="47"/>
  <c r="A854" i="47"/>
  <c r="A853" i="47"/>
  <c r="A852" i="47"/>
  <c r="A851" i="47"/>
  <c r="A850" i="47"/>
  <c r="A849" i="47"/>
  <c r="A848" i="47"/>
  <c r="A847" i="47"/>
  <c r="A846" i="47"/>
  <c r="A845" i="47"/>
  <c r="H811" i="47"/>
  <c r="AD780" i="47"/>
  <c r="O780" i="47"/>
  <c r="AD779" i="47"/>
  <c r="O779" i="47"/>
  <c r="AD778" i="47"/>
  <c r="O778" i="47"/>
  <c r="AD777" i="47"/>
  <c r="O777" i="47"/>
  <c r="AD776" i="47"/>
  <c r="O776" i="47"/>
  <c r="AD775" i="47"/>
  <c r="O775" i="47"/>
  <c r="AD774" i="47"/>
  <c r="O774" i="47"/>
  <c r="AD773" i="47"/>
  <c r="O773" i="47"/>
  <c r="AD772" i="47"/>
  <c r="O772" i="47"/>
  <c r="AD757" i="47"/>
  <c r="O757" i="47"/>
  <c r="AD756" i="47"/>
  <c r="O756" i="47"/>
  <c r="AD755" i="47"/>
  <c r="O755" i="47"/>
  <c r="AD754" i="47"/>
  <c r="O754" i="47"/>
  <c r="AD753" i="47"/>
  <c r="O753" i="47"/>
  <c r="AD752" i="47"/>
  <c r="O752" i="47"/>
  <c r="AD751" i="47"/>
  <c r="O751" i="47"/>
  <c r="AD750" i="47"/>
  <c r="O750" i="47"/>
  <c r="AD749" i="47"/>
  <c r="O749" i="47"/>
  <c r="AD734" i="47"/>
  <c r="O734" i="47"/>
  <c r="A734" i="47"/>
  <c r="AD733" i="47"/>
  <c r="O733" i="47"/>
  <c r="A733" i="47"/>
  <c r="AD732" i="47"/>
  <c r="O732" i="47"/>
  <c r="A732" i="47"/>
  <c r="AD731" i="47"/>
  <c r="O731" i="47"/>
  <c r="A731" i="47"/>
  <c r="AD730" i="47"/>
  <c r="O730" i="47"/>
  <c r="A730" i="47"/>
  <c r="AD729" i="47"/>
  <c r="O729" i="47"/>
  <c r="A729" i="47"/>
  <c r="AD728" i="47"/>
  <c r="O728" i="47"/>
  <c r="A728" i="47"/>
  <c r="AD727" i="47"/>
  <c r="O727" i="47"/>
  <c r="A727" i="47"/>
  <c r="AD726" i="47"/>
  <c r="O726" i="47"/>
  <c r="A726" i="47"/>
  <c r="A725" i="47"/>
  <c r="A724" i="47"/>
  <c r="A723" i="47"/>
  <c r="A722" i="47"/>
  <c r="A721" i="47"/>
  <c r="A720" i="47"/>
  <c r="A719" i="47"/>
  <c r="O703" i="47"/>
  <c r="O704" i="47"/>
  <c r="O705" i="47"/>
  <c r="O706" i="47"/>
  <c r="O707" i="47"/>
  <c r="O708" i="47"/>
  <c r="O709" i="47"/>
  <c r="O710" i="47"/>
  <c r="O711" i="47"/>
  <c r="AD703" i="47"/>
  <c r="AD704" i="47"/>
  <c r="AD705" i="47"/>
  <c r="AD706" i="47"/>
  <c r="AD707" i="47"/>
  <c r="AD708" i="47"/>
  <c r="AD709" i="47"/>
  <c r="AD710" i="47"/>
  <c r="AD711" i="47"/>
  <c r="AD680" i="47"/>
  <c r="AD681" i="47"/>
  <c r="AD682" i="47"/>
  <c r="AD683" i="47"/>
  <c r="AD684" i="47"/>
  <c r="AD685" i="47"/>
  <c r="AD686" i="47"/>
  <c r="AD687" i="47"/>
  <c r="AD688" i="47"/>
  <c r="O680" i="47"/>
  <c r="O681" i="47"/>
  <c r="O682" i="47"/>
  <c r="O683" i="47"/>
  <c r="O684" i="47"/>
  <c r="O685" i="47"/>
  <c r="O686" i="47"/>
  <c r="O687" i="47"/>
  <c r="O688" i="47"/>
  <c r="AD657" i="47"/>
  <c r="AD658" i="47"/>
  <c r="AD659" i="47"/>
  <c r="AD660" i="47"/>
  <c r="AD661" i="47"/>
  <c r="AD662" i="47"/>
  <c r="AD663" i="47"/>
  <c r="AD664" i="47"/>
  <c r="AD665" i="47"/>
  <c r="O657" i="47"/>
  <c r="O658" i="47"/>
  <c r="O659" i="47"/>
  <c r="O660" i="47"/>
  <c r="O661" i="47"/>
  <c r="O662" i="47"/>
  <c r="O663" i="47"/>
  <c r="O664" i="47"/>
  <c r="O665" i="47"/>
  <c r="A665" i="47"/>
  <c r="A664" i="47"/>
  <c r="A663" i="47"/>
  <c r="A662" i="47"/>
  <c r="A661" i="47"/>
  <c r="A660" i="47"/>
  <c r="A659" i="47"/>
  <c r="A658" i="47"/>
  <c r="A657" i="47"/>
  <c r="A656" i="47"/>
  <c r="A655" i="47"/>
  <c r="A654" i="47"/>
  <c r="A653" i="47"/>
  <c r="A652" i="47"/>
  <c r="A651" i="47"/>
  <c r="A650" i="47"/>
  <c r="O633" i="47"/>
  <c r="O634" i="47"/>
  <c r="O635" i="47"/>
  <c r="O636" i="47"/>
  <c r="O637" i="47"/>
  <c r="O638" i="47"/>
  <c r="O639" i="47"/>
  <c r="O640" i="47"/>
  <c r="O641" i="47"/>
  <c r="O642" i="47"/>
  <c r="AD633" i="47"/>
  <c r="AD634" i="47"/>
  <c r="AD635" i="47"/>
  <c r="AD636" i="47"/>
  <c r="AD637" i="47"/>
  <c r="AD638" i="47"/>
  <c r="AD639" i="47"/>
  <c r="AD640" i="47"/>
  <c r="AD641" i="47"/>
  <c r="AD642" i="47"/>
  <c r="O610" i="47"/>
  <c r="O611" i="47"/>
  <c r="O612" i="47"/>
  <c r="O613" i="47"/>
  <c r="O614" i="47"/>
  <c r="O615" i="47"/>
  <c r="O616" i="47"/>
  <c r="O617" i="47"/>
  <c r="O618" i="47"/>
  <c r="O619" i="47"/>
  <c r="AD610" i="47"/>
  <c r="AD611" i="47"/>
  <c r="AD612" i="47"/>
  <c r="AD613" i="47"/>
  <c r="AD614" i="47"/>
  <c r="AD615" i="47"/>
  <c r="AD616" i="47"/>
  <c r="AD617" i="47"/>
  <c r="AD618" i="47"/>
  <c r="AD619" i="47"/>
  <c r="A642" i="47"/>
  <c r="A641" i="47"/>
  <c r="A640" i="47"/>
  <c r="A639" i="47"/>
  <c r="A638" i="47"/>
  <c r="A637" i="47"/>
  <c r="A636" i="47"/>
  <c r="A635" i="47"/>
  <c r="A634" i="47"/>
  <c r="A633" i="47"/>
  <c r="A632" i="47"/>
  <c r="A631" i="47"/>
  <c r="A630" i="47"/>
  <c r="A629" i="47"/>
  <c r="A628" i="47"/>
  <c r="A627" i="47"/>
  <c r="A605" i="47"/>
  <c r="A606" i="47"/>
  <c r="A607" i="47"/>
  <c r="A608" i="47"/>
  <c r="A609" i="47"/>
  <c r="A610" i="47"/>
  <c r="A611" i="47"/>
  <c r="A612" i="47"/>
  <c r="A613" i="47"/>
  <c r="A614" i="47"/>
  <c r="A615" i="47"/>
  <c r="A616" i="47"/>
  <c r="A617" i="47"/>
  <c r="A618" i="47"/>
  <c r="A619" i="47"/>
  <c r="A604" i="47"/>
  <c r="T1128" i="47"/>
  <c r="T1129" i="47"/>
  <c r="T1126" i="47"/>
  <c r="T1127" i="47"/>
  <c r="J1596" i="47" l="1"/>
  <c r="Q1596" i="47" s="1"/>
  <c r="J1595" i="47"/>
  <c r="Q1595" i="47" s="1"/>
  <c r="Q1685" i="47"/>
  <c r="N1685" i="47"/>
  <c r="J1642" i="47"/>
  <c r="J1601" i="47"/>
  <c r="N1601" i="47" s="1"/>
  <c r="J1600" i="47"/>
  <c r="Q1600" i="47" s="1"/>
  <c r="J1599" i="47"/>
  <c r="N1599" i="47" s="1"/>
  <c r="Q1690" i="47"/>
  <c r="N1690" i="47"/>
  <c r="J1639" i="47"/>
  <c r="Y1640" i="47"/>
  <c r="Y1645" i="47"/>
  <c r="Y1644" i="47"/>
  <c r="J1593" i="47"/>
  <c r="Q1593" i="47" s="1"/>
  <c r="J1641" i="47"/>
  <c r="Q1691" i="47"/>
  <c r="N1691" i="47"/>
  <c r="J1640" i="47"/>
  <c r="J1598" i="47"/>
  <c r="N1598" i="47" s="1"/>
  <c r="Q1689" i="47"/>
  <c r="N1689" i="47"/>
  <c r="J1638" i="47"/>
  <c r="Y1639" i="47"/>
  <c r="N1687" i="47"/>
  <c r="Q1687" i="47"/>
  <c r="J1644" i="47"/>
  <c r="Y1637" i="47"/>
  <c r="N1686" i="47"/>
  <c r="Q1686" i="47"/>
  <c r="J1643" i="47"/>
  <c r="Y1636" i="47"/>
  <c r="J1594" i="47"/>
  <c r="N1594" i="47" s="1"/>
  <c r="Y1643" i="47"/>
  <c r="Q1684" i="47"/>
  <c r="N1684" i="47"/>
  <c r="Y1642" i="47"/>
  <c r="Q1683" i="47"/>
  <c r="N1683" i="47"/>
  <c r="Y1641" i="47"/>
  <c r="J1597" i="47"/>
  <c r="Q1597" i="47" s="1"/>
  <c r="Q1688" i="47"/>
  <c r="N1688" i="47"/>
  <c r="J1645" i="47"/>
  <c r="J1637" i="47"/>
  <c r="Y1638" i="47"/>
  <c r="Y1595" i="47"/>
  <c r="Y1617" i="47"/>
  <c r="Y1594" i="47"/>
  <c r="Y1616" i="47"/>
  <c r="Y1601" i="47"/>
  <c r="AC1601" i="47" s="1"/>
  <c r="Y1623" i="47"/>
  <c r="Y1593" i="47"/>
  <c r="Y1615" i="47"/>
  <c r="Y1600" i="47"/>
  <c r="AC1600" i="47" s="1"/>
  <c r="Y1622" i="47"/>
  <c r="Y1592" i="47"/>
  <c r="Y1614" i="47"/>
  <c r="Y1598" i="47"/>
  <c r="Y1620" i="47"/>
  <c r="J1623" i="47"/>
  <c r="J1615" i="47"/>
  <c r="J1618" i="47"/>
  <c r="Y1597" i="47"/>
  <c r="Y1619" i="47"/>
  <c r="J1622" i="47"/>
  <c r="J1620" i="47"/>
  <c r="J1619" i="47"/>
  <c r="N1595" i="47"/>
  <c r="J1617" i="47"/>
  <c r="Y1599" i="47"/>
  <c r="AC1599" i="47" s="1"/>
  <c r="Y1621" i="47"/>
  <c r="J1616" i="47"/>
  <c r="Y1596" i="47"/>
  <c r="Y1618" i="47"/>
  <c r="J1621" i="47"/>
  <c r="S1520" i="47"/>
  <c r="S1521" i="47" s="1"/>
  <c r="Q1520" i="47"/>
  <c r="Q1521" i="47" s="1"/>
  <c r="S1479" i="47"/>
  <c r="S1480" i="47" s="1"/>
  <c r="S1413" i="47"/>
  <c r="S1414" i="47" s="1"/>
  <c r="S1407" i="47"/>
  <c r="S1408" i="47" s="1"/>
  <c r="O1514" i="47"/>
  <c r="O1515" i="47" s="1"/>
  <c r="Q1413" i="47"/>
  <c r="Q1414" i="47" s="1"/>
  <c r="Q1407" i="47"/>
  <c r="Q1408" i="47" s="1"/>
  <c r="O1485" i="47"/>
  <c r="O1486" i="47" s="1"/>
  <c r="O1520" i="47"/>
  <c r="O1521" i="47" s="1"/>
  <c r="Q1479" i="47"/>
  <c r="Q1480" i="47" s="1"/>
  <c r="O1479" i="47"/>
  <c r="O1480" i="47" s="1"/>
  <c r="Q1514" i="47"/>
  <c r="Q1515" i="47" s="1"/>
  <c r="S1485" i="47"/>
  <c r="S1486" i="47" s="1"/>
  <c r="Q1485" i="47"/>
  <c r="Q1486" i="47" s="1"/>
  <c r="O1413" i="47"/>
  <c r="O1414" i="47" s="1"/>
  <c r="O1407" i="47"/>
  <c r="O1408" i="47" s="1"/>
  <c r="S1514" i="47"/>
  <c r="S1515" i="47" s="1"/>
  <c r="O1443" i="47"/>
  <c r="O1444" i="47" s="1"/>
  <c r="S1449" i="47"/>
  <c r="S1450" i="47" s="1"/>
  <c r="S1443" i="47"/>
  <c r="S1444" i="47" s="1"/>
  <c r="O1449" i="47"/>
  <c r="O1450" i="47" s="1"/>
  <c r="Q1449" i="47"/>
  <c r="Q1450" i="47" s="1"/>
  <c r="Q1443" i="47"/>
  <c r="Q1444" i="47" s="1"/>
  <c r="K1441" i="47"/>
  <c r="K1405" i="47"/>
  <c r="K1477" i="47"/>
  <c r="K1512" i="47"/>
  <c r="K1334" i="47"/>
  <c r="AF1334" i="47" s="1"/>
  <c r="K1369" i="47"/>
  <c r="S1377" i="47"/>
  <c r="S1378" i="47" s="1"/>
  <c r="O1377" i="47"/>
  <c r="O1378" i="47" s="1"/>
  <c r="S1371" i="47"/>
  <c r="S1372" i="47" s="1"/>
  <c r="Q1371" i="47"/>
  <c r="Q1372" i="47" s="1"/>
  <c r="Q1377" i="47"/>
  <c r="Q1378" i="47" s="1"/>
  <c r="O1371" i="47"/>
  <c r="O1372" i="47" s="1"/>
  <c r="S1336" i="47"/>
  <c r="S1337" i="47" s="1"/>
  <c r="O1336" i="47"/>
  <c r="O1337" i="47" s="1"/>
  <c r="Q1342" i="47"/>
  <c r="Q1343" i="47" s="1"/>
  <c r="Q1336" i="47"/>
  <c r="Q1337" i="47" s="1"/>
  <c r="S1342" i="47"/>
  <c r="S1343" i="47" s="1"/>
  <c r="O1342" i="47"/>
  <c r="O1343" i="47" s="1"/>
  <c r="Q1300" i="47"/>
  <c r="Q1301" i="47" s="1"/>
  <c r="O1300" i="47"/>
  <c r="O1301" i="47" s="1"/>
  <c r="O1306" i="47"/>
  <c r="O1307" i="47" s="1"/>
  <c r="S1300" i="47"/>
  <c r="S1301" i="47" s="1"/>
  <c r="Q1306" i="47"/>
  <c r="Q1307" i="47" s="1"/>
  <c r="S1306" i="47"/>
  <c r="S1307" i="47" s="1"/>
  <c r="K1262" i="47"/>
  <c r="AB1262" i="47" s="1"/>
  <c r="K1298" i="47"/>
  <c r="Q1264" i="47"/>
  <c r="Q1265" i="47" s="1"/>
  <c r="Q1270" i="47"/>
  <c r="Q1271" i="47" s="1"/>
  <c r="O1270" i="47"/>
  <c r="O1271" i="47" s="1"/>
  <c r="O1264" i="47"/>
  <c r="O1265" i="47" s="1"/>
  <c r="S1270" i="47"/>
  <c r="S1271" i="47" s="1"/>
  <c r="S1264" i="47"/>
  <c r="S1265" i="47" s="1"/>
  <c r="Y1223" i="47"/>
  <c r="T1130" i="47"/>
  <c r="T1131" i="47"/>
  <c r="A1104" i="47"/>
  <c r="L1105" i="47"/>
  <c r="H475" i="47"/>
  <c r="H476" i="47"/>
  <c r="H477" i="47"/>
  <c r="H478" i="47"/>
  <c r="H479" i="47"/>
  <c r="H480" i="47"/>
  <c r="H481" i="47"/>
  <c r="H482" i="47"/>
  <c r="H483" i="47"/>
  <c r="H484" i="47"/>
  <c r="H485" i="47"/>
  <c r="H486" i="47"/>
  <c r="H487" i="47"/>
  <c r="H488" i="47"/>
  <c r="H489" i="47"/>
  <c r="H474" i="47"/>
  <c r="Q390" i="47"/>
  <c r="Q391" i="47"/>
  <c r="Q392" i="47"/>
  <c r="Q393" i="47"/>
  <c r="Q394" i="47"/>
  <c r="Q395" i="47"/>
  <c r="Q396" i="47"/>
  <c r="Q397" i="47"/>
  <c r="Q398" i="47"/>
  <c r="Q399" i="47"/>
  <c r="Q400" i="47"/>
  <c r="Q401" i="47"/>
  <c r="Q402" i="47"/>
  <c r="Q403" i="47"/>
  <c r="Q404" i="47"/>
  <c r="Q389" i="47"/>
  <c r="Q368" i="47"/>
  <c r="Q369" i="47"/>
  <c r="Q370" i="47"/>
  <c r="Q371" i="47"/>
  <c r="Q372" i="47"/>
  <c r="Q373" i="47"/>
  <c r="Q374" i="47"/>
  <c r="Q375" i="47"/>
  <c r="Q376" i="47"/>
  <c r="Q377" i="47"/>
  <c r="Q378" i="47"/>
  <c r="Q379" i="47"/>
  <c r="Q380" i="47"/>
  <c r="Q381" i="47"/>
  <c r="Q382" i="47"/>
  <c r="Q367" i="47"/>
  <c r="N1600" i="47" l="1"/>
  <c r="AF1599" i="47"/>
  <c r="N1596" i="47"/>
  <c r="N1597" i="47"/>
  <c r="AF1601" i="47"/>
  <c r="Q1601" i="47"/>
  <c r="N1593" i="47"/>
  <c r="N1709" i="47"/>
  <c r="Q1709" i="47"/>
  <c r="AF1684" i="47"/>
  <c r="AC1684" i="47"/>
  <c r="AC1662" i="47"/>
  <c r="AF1662" i="47"/>
  <c r="AC1706" i="47"/>
  <c r="AF1706" i="47"/>
  <c r="AF1666" i="47"/>
  <c r="AC1666" i="47"/>
  <c r="Q1661" i="47"/>
  <c r="N1661" i="47"/>
  <c r="AF1691" i="47"/>
  <c r="AC1691" i="47"/>
  <c r="AC1664" i="47"/>
  <c r="AF1664" i="47"/>
  <c r="AF1712" i="47"/>
  <c r="AC1712" i="47"/>
  <c r="AC1687" i="47"/>
  <c r="AF1687" i="47"/>
  <c r="AC1685" i="47"/>
  <c r="AF1685" i="47"/>
  <c r="AC1710" i="47"/>
  <c r="AF1710" i="47"/>
  <c r="AF1705" i="47"/>
  <c r="AC1705" i="47"/>
  <c r="Q1708" i="47"/>
  <c r="N1708" i="47"/>
  <c r="AF1667" i="47"/>
  <c r="AC1667" i="47"/>
  <c r="AF1683" i="47"/>
  <c r="AC1683" i="47"/>
  <c r="Q1668" i="47"/>
  <c r="N1668" i="47"/>
  <c r="N1663" i="47"/>
  <c r="Q1663" i="47"/>
  <c r="Q1598" i="47"/>
  <c r="Q1594" i="47"/>
  <c r="Q1705" i="47"/>
  <c r="N1705" i="47"/>
  <c r="AF1663" i="47"/>
  <c r="AC1663" i="47"/>
  <c r="AF1704" i="47"/>
  <c r="AC1704" i="47"/>
  <c r="Q1706" i="47"/>
  <c r="N1706" i="47"/>
  <c r="AF1689" i="47"/>
  <c r="AC1689" i="47"/>
  <c r="AF1661" i="47"/>
  <c r="AC1661" i="47"/>
  <c r="N1707" i="47"/>
  <c r="Q1707" i="47"/>
  <c r="Q1666" i="47"/>
  <c r="N1666" i="47"/>
  <c r="Q1710" i="47"/>
  <c r="N1710" i="47"/>
  <c r="Q1665" i="47"/>
  <c r="N1665" i="47"/>
  <c r="Q1662" i="47"/>
  <c r="N1662" i="47"/>
  <c r="AF1686" i="47"/>
  <c r="AC1686" i="47"/>
  <c r="AF1665" i="47"/>
  <c r="AC1665" i="47"/>
  <c r="AF1688" i="47"/>
  <c r="AC1688" i="47"/>
  <c r="AC1708" i="47"/>
  <c r="AF1708" i="47"/>
  <c r="AF1600" i="47"/>
  <c r="AF1682" i="47"/>
  <c r="AC1682" i="47"/>
  <c r="N1669" i="47"/>
  <c r="Q1669" i="47"/>
  <c r="Q1664" i="47"/>
  <c r="N1664" i="47"/>
  <c r="AF1690" i="47"/>
  <c r="AC1690" i="47"/>
  <c r="N1667" i="47"/>
  <c r="Q1667" i="47"/>
  <c r="AF1711" i="47"/>
  <c r="AC1711" i="47"/>
  <c r="AC1668" i="47"/>
  <c r="AF1668" i="47"/>
  <c r="Q1599" i="47"/>
  <c r="AF1669" i="47"/>
  <c r="AC1669" i="47"/>
  <c r="AF1707" i="47"/>
  <c r="AC1707" i="47"/>
  <c r="N1713" i="47"/>
  <c r="Q1713" i="47"/>
  <c r="AF1709" i="47"/>
  <c r="AC1709" i="47"/>
  <c r="Q1711" i="47"/>
  <c r="N1711" i="47"/>
  <c r="Q1712" i="47"/>
  <c r="N1712" i="47"/>
  <c r="AF1660" i="47"/>
  <c r="AC1660" i="47"/>
  <c r="AF1713" i="47"/>
  <c r="AC1713" i="47"/>
  <c r="Q1617" i="47"/>
  <c r="N1617" i="47"/>
  <c r="N1637" i="47"/>
  <c r="Q1637" i="47"/>
  <c r="AC1640" i="47"/>
  <c r="AF1640" i="47"/>
  <c r="Q1640" i="47"/>
  <c r="N1640" i="47"/>
  <c r="AC1638" i="47"/>
  <c r="AF1638" i="47"/>
  <c r="AF1619" i="47"/>
  <c r="AC1619" i="47"/>
  <c r="AC1616" i="47"/>
  <c r="AF1616" i="47"/>
  <c r="N1643" i="47"/>
  <c r="Q1643" i="47"/>
  <c r="Q1638" i="47"/>
  <c r="N1638" i="47"/>
  <c r="Q1641" i="47"/>
  <c r="N1641" i="47"/>
  <c r="AC1597" i="47"/>
  <c r="AF1597" i="47"/>
  <c r="AC1620" i="47"/>
  <c r="AF1620" i="47"/>
  <c r="AF1637" i="47"/>
  <c r="AC1637" i="47"/>
  <c r="AF1594" i="47"/>
  <c r="AC1594" i="47"/>
  <c r="Q1621" i="47"/>
  <c r="N1621" i="47"/>
  <c r="AF1621" i="47"/>
  <c r="AC1621" i="47"/>
  <c r="Q1619" i="47"/>
  <c r="N1619" i="47"/>
  <c r="AC1598" i="47"/>
  <c r="AF1598" i="47"/>
  <c r="AF1615" i="47"/>
  <c r="AC1615" i="47"/>
  <c r="AF1639" i="47"/>
  <c r="AC1639" i="47"/>
  <c r="AC1618" i="47"/>
  <c r="AF1618" i="47"/>
  <c r="AC1592" i="47"/>
  <c r="AF1592" i="47"/>
  <c r="Q1622" i="47"/>
  <c r="N1622" i="47"/>
  <c r="AC1644" i="47"/>
  <c r="AF1644" i="47"/>
  <c r="AC1596" i="47"/>
  <c r="AF1596" i="47"/>
  <c r="AF1641" i="47"/>
  <c r="AC1641" i="47"/>
  <c r="AF1622" i="47"/>
  <c r="AC1622" i="47"/>
  <c r="AF1642" i="47"/>
  <c r="AC1642" i="47"/>
  <c r="AC1643" i="47"/>
  <c r="AF1643" i="47"/>
  <c r="N1620" i="47"/>
  <c r="Q1620" i="47"/>
  <c r="AF1614" i="47"/>
  <c r="AC1614" i="47"/>
  <c r="AC1593" i="47"/>
  <c r="AF1593" i="47"/>
  <c r="AF1617" i="47"/>
  <c r="AC1617" i="47"/>
  <c r="Q1644" i="47"/>
  <c r="N1644" i="47"/>
  <c r="AF1645" i="47"/>
  <c r="AC1645" i="47"/>
  <c r="N1639" i="47"/>
  <c r="Q1639" i="47"/>
  <c r="Q1618" i="47"/>
  <c r="N1618" i="47"/>
  <c r="N1623" i="47"/>
  <c r="Q1623" i="47"/>
  <c r="N1645" i="47"/>
  <c r="Q1645" i="47"/>
  <c r="N1616" i="47"/>
  <c r="Q1616" i="47"/>
  <c r="Q1642" i="47"/>
  <c r="N1642" i="47"/>
  <c r="N1615" i="47"/>
  <c r="Q1615" i="47"/>
  <c r="AC1636" i="47"/>
  <c r="AF1636" i="47"/>
  <c r="AF1623" i="47"/>
  <c r="AC1623" i="47"/>
  <c r="AF1595" i="47"/>
  <c r="AC1595" i="47"/>
  <c r="X1334" i="47"/>
  <c r="AB1512" i="47"/>
  <c r="AF1512" i="47"/>
  <c r="X1512" i="47"/>
  <c r="AF1477" i="47"/>
  <c r="X1477" i="47"/>
  <c r="AB1477" i="47"/>
  <c r="X1405" i="47"/>
  <c r="AF1405" i="47"/>
  <c r="AB1405" i="47"/>
  <c r="AB1441" i="47"/>
  <c r="X1441" i="47"/>
  <c r="AF1441" i="47"/>
  <c r="AB1334" i="47"/>
  <c r="AF1369" i="47"/>
  <c r="X1369" i="47"/>
  <c r="AB1369" i="47"/>
  <c r="AF1262" i="47"/>
  <c r="X1262" i="47"/>
  <c r="X1298" i="47"/>
  <c r="AB1298" i="47"/>
  <c r="AF1298" i="47"/>
  <c r="Y1224" i="47"/>
  <c r="H512" i="47"/>
  <c r="H513" i="47"/>
  <c r="H509" i="47"/>
  <c r="H501" i="47"/>
  <c r="H504" i="47"/>
  <c r="H505" i="47"/>
  <c r="H502" i="47"/>
  <c r="H506" i="47"/>
  <c r="H514" i="47"/>
  <c r="H499" i="47"/>
  <c r="H503" i="47"/>
  <c r="H507" i="47"/>
  <c r="H511" i="47"/>
  <c r="H510" i="47"/>
  <c r="H500" i="47"/>
  <c r="H508" i="47"/>
  <c r="F250" i="47"/>
  <c r="F251" i="47"/>
  <c r="F252" i="47"/>
  <c r="F253" i="47"/>
  <c r="F254" i="47"/>
  <c r="F255" i="47"/>
  <c r="F256" i="47"/>
  <c r="F257" i="47"/>
  <c r="F258" i="47"/>
  <c r="F259" i="47"/>
  <c r="F260" i="47"/>
  <c r="F261" i="47"/>
  <c r="F262" i="47"/>
  <c r="F263" i="47"/>
  <c r="F264" i="47"/>
  <c r="F249" i="47"/>
  <c r="R242" i="47"/>
  <c r="Q339" i="47" s="1"/>
  <c r="Q340" i="47" s="1"/>
  <c r="Q341" i="47" s="1"/>
  <c r="Q342" i="47" s="1"/>
  <c r="Q343" i="47" s="1"/>
  <c r="Q344" i="47" s="1"/>
  <c r="Q345" i="47" s="1"/>
  <c r="Y1225" i="47" l="1"/>
  <c r="AF1224" i="47"/>
  <c r="H532" i="47"/>
  <c r="H526" i="47"/>
  <c r="H528" i="47"/>
  <c r="H534" i="47"/>
  <c r="H524" i="47"/>
  <c r="H538" i="47"/>
  <c r="H539" i="47"/>
  <c r="H537" i="47"/>
  <c r="H533" i="47"/>
  <c r="H531" i="47"/>
  <c r="H525" i="47"/>
  <c r="H527" i="47"/>
  <c r="H535" i="47"/>
  <c r="H530" i="47"/>
  <c r="H536" i="47"/>
  <c r="H529" i="47"/>
  <c r="Q346" i="47"/>
  <c r="F286" i="47"/>
  <c r="A262" i="47"/>
  <c r="F277" i="47"/>
  <c r="A253" i="47"/>
  <c r="F276" i="47"/>
  <c r="A252" i="47"/>
  <c r="A259" i="47"/>
  <c r="F275" i="47"/>
  <c r="A251" i="47"/>
  <c r="F279" i="47"/>
  <c r="A255" i="47"/>
  <c r="F285" i="47"/>
  <c r="A261" i="47"/>
  <c r="A258" i="47"/>
  <c r="A249" i="47"/>
  <c r="F281" i="47"/>
  <c r="A257" i="47"/>
  <c r="F287" i="47"/>
  <c r="A263" i="47"/>
  <c r="F278" i="47"/>
  <c r="A254" i="47"/>
  <c r="F284" i="47"/>
  <c r="A260" i="47"/>
  <c r="A250" i="47"/>
  <c r="F288" i="47"/>
  <c r="F310" i="47" s="1"/>
  <c r="A264" i="47"/>
  <c r="F280" i="47"/>
  <c r="A256" i="47"/>
  <c r="F273" i="47"/>
  <c r="F283" i="47"/>
  <c r="F282" i="47"/>
  <c r="F274" i="47"/>
  <c r="U220" i="47"/>
  <c r="Q815" i="47"/>
  <c r="X1104" i="47" s="1"/>
  <c r="AD620" i="47"/>
  <c r="O609" i="47" s="1"/>
  <c r="R439" i="47"/>
  <c r="S417" i="47"/>
  <c r="AA202" i="47"/>
  <c r="T148" i="47"/>
  <c r="W92" i="47"/>
  <c r="K1443" i="47" l="1"/>
  <c r="K1514" i="47"/>
  <c r="K1479" i="47"/>
  <c r="K1407" i="47"/>
  <c r="K1336" i="47"/>
  <c r="AF1336" i="47" s="1"/>
  <c r="K1371" i="47"/>
  <c r="K1264" i="47"/>
  <c r="X1264" i="47" s="1"/>
  <c r="K1300" i="47"/>
  <c r="Y1226" i="47"/>
  <c r="AF1225" i="47"/>
  <c r="X1105" i="47"/>
  <c r="M1106" i="47" s="1"/>
  <c r="AD604" i="47"/>
  <c r="AD608" i="47"/>
  <c r="AD607" i="47"/>
  <c r="AD609" i="47"/>
  <c r="AD605" i="47"/>
  <c r="AD606" i="47"/>
  <c r="AD643" i="47"/>
  <c r="O632" i="47" s="1"/>
  <c r="O605" i="47"/>
  <c r="O606" i="47"/>
  <c r="O607" i="47"/>
  <c r="O608" i="47"/>
  <c r="O604" i="47"/>
  <c r="H554" i="47"/>
  <c r="H552" i="47"/>
  <c r="H562" i="47"/>
  <c r="H559" i="47"/>
  <c r="H564" i="47"/>
  <c r="H553" i="47"/>
  <c r="H561" i="47"/>
  <c r="H550" i="47"/>
  <c r="H555" i="47"/>
  <c r="H551" i="47"/>
  <c r="H556" i="47"/>
  <c r="H563" i="47"/>
  <c r="H560" i="47"/>
  <c r="H558" i="47"/>
  <c r="H549" i="47"/>
  <c r="H557" i="47"/>
  <c r="F332" i="47"/>
  <c r="Q347" i="47"/>
  <c r="F304" i="47"/>
  <c r="F305" i="47"/>
  <c r="F306" i="47"/>
  <c r="F295" i="47"/>
  <c r="F298" i="47"/>
  <c r="F300" i="47"/>
  <c r="F307" i="47"/>
  <c r="F296" i="47"/>
  <c r="F297" i="47"/>
  <c r="F302" i="47"/>
  <c r="F299" i="47"/>
  <c r="F309" i="47"/>
  <c r="F301" i="47"/>
  <c r="F303" i="47"/>
  <c r="F308" i="47"/>
  <c r="F340" i="47"/>
  <c r="F390" i="47" s="1"/>
  <c r="A274" i="47"/>
  <c r="F347" i="47"/>
  <c r="A281" i="47"/>
  <c r="F348" i="47"/>
  <c r="A282" i="47"/>
  <c r="A283" i="47"/>
  <c r="F349" i="47"/>
  <c r="A284" i="47"/>
  <c r="F350" i="47"/>
  <c r="A275" i="47"/>
  <c r="F341" i="47"/>
  <c r="F391" i="47" s="1"/>
  <c r="F339" i="47"/>
  <c r="F389" i="47" s="1"/>
  <c r="A273" i="47"/>
  <c r="A276" i="47"/>
  <c r="F342" i="47"/>
  <c r="F392" i="47" s="1"/>
  <c r="A280" i="47"/>
  <c r="F346" i="47"/>
  <c r="A277" i="47"/>
  <c r="F343" i="47"/>
  <c r="F393" i="47" s="1"/>
  <c r="F353" i="47"/>
  <c r="A287" i="47"/>
  <c r="F345" i="47"/>
  <c r="A279" i="47"/>
  <c r="A278" i="47"/>
  <c r="F344" i="47"/>
  <c r="A285" i="47"/>
  <c r="F351" i="47"/>
  <c r="F354" i="47"/>
  <c r="F404" i="47" s="1"/>
  <c r="A288" i="47"/>
  <c r="F352" i="47"/>
  <c r="A286" i="47"/>
  <c r="U219" i="47"/>
  <c r="Q249" i="47"/>
  <c r="A450" i="47"/>
  <c r="A451" i="47"/>
  <c r="A452" i="47"/>
  <c r="A453" i="47"/>
  <c r="A454" i="47"/>
  <c r="A455" i="47"/>
  <c r="A456" i="47"/>
  <c r="A457" i="47"/>
  <c r="A458" i="47"/>
  <c r="A459" i="47"/>
  <c r="A460" i="47"/>
  <c r="A461" i="47"/>
  <c r="A462" i="47"/>
  <c r="A463" i="47"/>
  <c r="A464" i="47"/>
  <c r="A449" i="47"/>
  <c r="J155" i="47"/>
  <c r="V441" i="47"/>
  <c r="X203" i="47"/>
  <c r="U203" i="47"/>
  <c r="R203" i="47"/>
  <c r="O203" i="47"/>
  <c r="X202" i="47"/>
  <c r="U202" i="47"/>
  <c r="R202" i="47"/>
  <c r="O202" i="47"/>
  <c r="G156" i="47"/>
  <c r="G157" i="47"/>
  <c r="G158" i="47"/>
  <c r="G159" i="47"/>
  <c r="G160" i="47"/>
  <c r="G161" i="47"/>
  <c r="G162" i="47"/>
  <c r="G163" i="47"/>
  <c r="G164" i="47"/>
  <c r="G165" i="47"/>
  <c r="E534" i="47" s="1"/>
  <c r="G166" i="47"/>
  <c r="E535" i="47" s="1"/>
  <c r="G167" i="47"/>
  <c r="E536" i="47" s="1"/>
  <c r="G168" i="47"/>
  <c r="E537" i="47" s="1"/>
  <c r="G169" i="47"/>
  <c r="E538" i="47" s="1"/>
  <c r="G170" i="47"/>
  <c r="E539" i="47" s="1"/>
  <c r="G155" i="47"/>
  <c r="E524" i="47" s="1"/>
  <c r="A524" i="47" s="1"/>
  <c r="J156" i="47"/>
  <c r="J157" i="47"/>
  <c r="J158" i="47"/>
  <c r="A158" i="47" s="1"/>
  <c r="J159" i="47"/>
  <c r="J160" i="47"/>
  <c r="J161" i="47"/>
  <c r="X161" i="47" s="1"/>
  <c r="J162" i="47"/>
  <c r="X162" i="47" s="1"/>
  <c r="J163" i="47"/>
  <c r="A163" i="47" s="1"/>
  <c r="J164" i="47"/>
  <c r="A164" i="47" s="1"/>
  <c r="J165" i="47"/>
  <c r="X165" i="47" s="1"/>
  <c r="J166" i="47"/>
  <c r="Q166" i="47" s="1"/>
  <c r="J167" i="47"/>
  <c r="A167" i="47" s="1"/>
  <c r="J168" i="47"/>
  <c r="A168" i="47" s="1"/>
  <c r="J169" i="47"/>
  <c r="X169" i="47" s="1"/>
  <c r="J170" i="47"/>
  <c r="AD170" i="47" s="1"/>
  <c r="A113" i="47"/>
  <c r="A114" i="47"/>
  <c r="A115" i="47"/>
  <c r="A116" i="47"/>
  <c r="A117" i="47"/>
  <c r="A118" i="47"/>
  <c r="A119" i="47"/>
  <c r="A120" i="47"/>
  <c r="A121" i="47"/>
  <c r="A122" i="47"/>
  <c r="A123" i="47"/>
  <c r="A124" i="47"/>
  <c r="A125" i="47"/>
  <c r="A126" i="47"/>
  <c r="A127" i="47"/>
  <c r="A112" i="47"/>
  <c r="AF1407" i="47" l="1"/>
  <c r="X1407" i="47"/>
  <c r="AB1407" i="47"/>
  <c r="K1444" i="47"/>
  <c r="K1480" i="47"/>
  <c r="K1515" i="47"/>
  <c r="K1408" i="47"/>
  <c r="X1479" i="47"/>
  <c r="AF1479" i="47"/>
  <c r="AB1479" i="47"/>
  <c r="X1514" i="47"/>
  <c r="AB1514" i="47"/>
  <c r="AF1514" i="47"/>
  <c r="AB1443" i="47"/>
  <c r="X1443" i="47"/>
  <c r="AF1443" i="47"/>
  <c r="X1336" i="47"/>
  <c r="AB1336" i="47"/>
  <c r="F394" i="47"/>
  <c r="F372" i="47"/>
  <c r="F396" i="47"/>
  <c r="F374" i="47"/>
  <c r="F395" i="47"/>
  <c r="F373" i="47"/>
  <c r="F403" i="47"/>
  <c r="F381" i="47"/>
  <c r="F398" i="47"/>
  <c r="F376" i="47"/>
  <c r="F401" i="47"/>
  <c r="F379" i="47"/>
  <c r="F400" i="47"/>
  <c r="F378" i="47"/>
  <c r="F399" i="47"/>
  <c r="F377" i="47"/>
  <c r="F402" i="47"/>
  <c r="F380" i="47"/>
  <c r="F397" i="47"/>
  <c r="F375" i="47"/>
  <c r="K1337" i="47"/>
  <c r="X1337" i="47" s="1"/>
  <c r="K1372" i="47"/>
  <c r="AF1371" i="47"/>
  <c r="X1371" i="47"/>
  <c r="AB1371" i="47"/>
  <c r="AB1264" i="47"/>
  <c r="AF1264" i="47"/>
  <c r="K1265" i="47"/>
  <c r="X1265" i="47" s="1"/>
  <c r="K1301" i="47"/>
  <c r="AF1300" i="47"/>
  <c r="AB1300" i="47"/>
  <c r="X1300" i="47"/>
  <c r="Y1227" i="47"/>
  <c r="W1114" i="47"/>
  <c r="Z1114" i="47" s="1"/>
  <c r="W1125" i="47"/>
  <c r="Z1125" i="47" s="1"/>
  <c r="AD666" i="47"/>
  <c r="O656" i="47" s="1"/>
  <c r="O631" i="47"/>
  <c r="AD628" i="47"/>
  <c r="O630" i="47"/>
  <c r="O628" i="47"/>
  <c r="AD629" i="47"/>
  <c r="AD631" i="47"/>
  <c r="O627" i="47"/>
  <c r="AD627" i="47"/>
  <c r="O629" i="47"/>
  <c r="AD630" i="47"/>
  <c r="AD632" i="47"/>
  <c r="E563" i="47"/>
  <c r="A538" i="47"/>
  <c r="E559" i="47"/>
  <c r="A534" i="47"/>
  <c r="E564" i="47"/>
  <c r="A539" i="47"/>
  <c r="E562" i="47"/>
  <c r="A537" i="47"/>
  <c r="E561" i="47"/>
  <c r="A536" i="47"/>
  <c r="E560" i="47"/>
  <c r="A535" i="47"/>
  <c r="H582" i="47"/>
  <c r="H588" i="47"/>
  <c r="H575" i="47"/>
  <c r="H584" i="47"/>
  <c r="H581" i="47"/>
  <c r="H586" i="47"/>
  <c r="H574" i="47"/>
  <c r="H587" i="47"/>
  <c r="H576" i="47"/>
  <c r="H578" i="47"/>
  <c r="H577" i="47"/>
  <c r="H583" i="47"/>
  <c r="H580" i="47"/>
  <c r="H579" i="47"/>
  <c r="H585" i="47"/>
  <c r="H589" i="47"/>
  <c r="E453" i="47"/>
  <c r="E478" i="47" s="1"/>
  <c r="E528" i="47"/>
  <c r="E452" i="47"/>
  <c r="E477" i="47" s="1"/>
  <c r="E527" i="47"/>
  <c r="E451" i="47"/>
  <c r="E476" i="47" s="1"/>
  <c r="E526" i="47"/>
  <c r="E449" i="47"/>
  <c r="E474" i="47" s="1"/>
  <c r="E549" i="47"/>
  <c r="E457" i="47"/>
  <c r="E482" i="47" s="1"/>
  <c r="E532" i="47"/>
  <c r="E456" i="47"/>
  <c r="E481" i="47" s="1"/>
  <c r="E531" i="47"/>
  <c r="E458" i="47"/>
  <c r="E483" i="47" s="1"/>
  <c r="E533" i="47"/>
  <c r="E455" i="47"/>
  <c r="E480" i="47" s="1"/>
  <c r="E530" i="47"/>
  <c r="E454" i="47"/>
  <c r="E479" i="47" s="1"/>
  <c r="E529" i="47"/>
  <c r="E450" i="47"/>
  <c r="E475" i="47" s="1"/>
  <c r="E525" i="47"/>
  <c r="F320" i="47"/>
  <c r="F331" i="47"/>
  <c r="F328" i="47"/>
  <c r="F324" i="47"/>
  <c r="F327" i="47"/>
  <c r="F317" i="47"/>
  <c r="F321" i="47"/>
  <c r="F319" i="47"/>
  <c r="F326" i="47"/>
  <c r="F323" i="47"/>
  <c r="F330" i="47"/>
  <c r="F329" i="47"/>
  <c r="F318" i="47"/>
  <c r="F325" i="47"/>
  <c r="F322" i="47"/>
  <c r="Q348" i="47"/>
  <c r="E460" i="47"/>
  <c r="E485" i="47" s="1"/>
  <c r="E459" i="47"/>
  <c r="E484" i="47" s="1"/>
  <c r="E463" i="47"/>
  <c r="E488" i="47" s="1"/>
  <c r="E462" i="47"/>
  <c r="E487" i="47" s="1"/>
  <c r="E461" i="47"/>
  <c r="E486" i="47" s="1"/>
  <c r="E464" i="47"/>
  <c r="E489" i="47" s="1"/>
  <c r="A339" i="47"/>
  <c r="F367" i="47"/>
  <c r="A340" i="47"/>
  <c r="F368" i="47"/>
  <c r="A342" i="47"/>
  <c r="F370" i="47"/>
  <c r="A354" i="47"/>
  <c r="F382" i="47"/>
  <c r="A353" i="47"/>
  <c r="A348" i="47"/>
  <c r="A343" i="47"/>
  <c r="F371" i="47"/>
  <c r="A341" i="47"/>
  <c r="F369" i="47"/>
  <c r="A347" i="47"/>
  <c r="A349" i="47"/>
  <c r="A352" i="47"/>
  <c r="A345" i="47"/>
  <c r="A351" i="47"/>
  <c r="A344" i="47"/>
  <c r="A346" i="47"/>
  <c r="A350" i="47"/>
  <c r="I260" i="47"/>
  <c r="T260" i="47" s="1"/>
  <c r="M260" i="47"/>
  <c r="Y260" i="47" s="1"/>
  <c r="I354" i="47"/>
  <c r="I404" i="47" s="1"/>
  <c r="U404" i="47" s="1"/>
  <c r="M354" i="47"/>
  <c r="M404" i="47" s="1"/>
  <c r="Z404" i="47" s="1"/>
  <c r="I283" i="47"/>
  <c r="T283" i="47" s="1"/>
  <c r="M283" i="47"/>
  <c r="Y283" i="47" s="1"/>
  <c r="M287" i="47"/>
  <c r="Y287" i="47" s="1"/>
  <c r="I287" i="47"/>
  <c r="T287" i="47" s="1"/>
  <c r="M279" i="47"/>
  <c r="Y279" i="47" s="1"/>
  <c r="I279" i="47"/>
  <c r="T279" i="47" s="1"/>
  <c r="M280" i="47"/>
  <c r="Y280" i="47" s="1"/>
  <c r="I280" i="47"/>
  <c r="T280" i="47" s="1"/>
  <c r="A155" i="47"/>
  <c r="A157" i="47"/>
  <c r="A165" i="47"/>
  <c r="AD166" i="47"/>
  <c r="X166" i="47"/>
  <c r="Q165" i="47"/>
  <c r="AD168" i="47"/>
  <c r="X168" i="47"/>
  <c r="AD167" i="47"/>
  <c r="A166" i="47"/>
  <c r="X167" i="47"/>
  <c r="AD164" i="47"/>
  <c r="Q164" i="47"/>
  <c r="Q162" i="47"/>
  <c r="Q169" i="47"/>
  <c r="A160" i="47"/>
  <c r="Q168" i="47"/>
  <c r="X170" i="47"/>
  <c r="A159" i="47"/>
  <c r="Q167" i="47"/>
  <c r="AD169" i="47"/>
  <c r="AD165" i="47"/>
  <c r="AD161" i="47"/>
  <c r="A156" i="47"/>
  <c r="X164" i="47"/>
  <c r="Q163" i="47"/>
  <c r="AD163" i="47"/>
  <c r="A162" i="47"/>
  <c r="Q170" i="47"/>
  <c r="X163" i="47"/>
  <c r="A170" i="47"/>
  <c r="A161" i="47"/>
  <c r="Q161" i="47"/>
  <c r="AD162" i="47"/>
  <c r="A169" i="47"/>
  <c r="X1408" i="47" l="1"/>
  <c r="AF1408" i="47"/>
  <c r="AB1408" i="47"/>
  <c r="AB1515" i="47"/>
  <c r="AF1515" i="47"/>
  <c r="X1515" i="47"/>
  <c r="AB1444" i="47"/>
  <c r="X1444" i="47"/>
  <c r="AF1444" i="47"/>
  <c r="AB1480" i="47"/>
  <c r="X1480" i="47"/>
  <c r="AF1480" i="47"/>
  <c r="AB1337" i="47"/>
  <c r="AF1337" i="47"/>
  <c r="AB1372" i="47"/>
  <c r="X1372" i="47"/>
  <c r="AF1372" i="47"/>
  <c r="AB1265" i="47"/>
  <c r="AF1265" i="47"/>
  <c r="AF1301" i="47"/>
  <c r="AB1301" i="47"/>
  <c r="X1301" i="47"/>
  <c r="Y1228" i="47"/>
  <c r="AD689" i="47"/>
  <c r="O679" i="47" s="1"/>
  <c r="O651" i="47"/>
  <c r="AD654" i="47"/>
  <c r="O655" i="47"/>
  <c r="AD655" i="47"/>
  <c r="AD656" i="47"/>
  <c r="AD651" i="47"/>
  <c r="O652" i="47"/>
  <c r="AD653" i="47"/>
  <c r="AD650" i="47"/>
  <c r="O650" i="47"/>
  <c r="AD652" i="47"/>
  <c r="O653" i="47"/>
  <c r="O654" i="47"/>
  <c r="E550" i="47"/>
  <c r="A525" i="47"/>
  <c r="E587" i="47"/>
  <c r="E553" i="47"/>
  <c r="A528" i="47"/>
  <c r="E504" i="47"/>
  <c r="E503" i="47"/>
  <c r="E589" i="47"/>
  <c r="E511" i="47"/>
  <c r="E555" i="47"/>
  <c r="A530" i="47"/>
  <c r="E574" i="47"/>
  <c r="E552" i="47"/>
  <c r="A527" i="47"/>
  <c r="E506" i="47"/>
  <c r="E507" i="47"/>
  <c r="E512" i="47"/>
  <c r="E505" i="47"/>
  <c r="E499" i="47"/>
  <c r="E585" i="47"/>
  <c r="E584" i="47"/>
  <c r="E510" i="47"/>
  <c r="E556" i="47"/>
  <c r="A531" i="47"/>
  <c r="E502" i="47"/>
  <c r="E557" i="47"/>
  <c r="A532" i="47"/>
  <c r="E513" i="47"/>
  <c r="E558" i="47"/>
  <c r="A533" i="47"/>
  <c r="E551" i="47"/>
  <c r="A526" i="47"/>
  <c r="E500" i="47"/>
  <c r="E554" i="47"/>
  <c r="A529" i="47"/>
  <c r="E514" i="47"/>
  <c r="E509" i="47"/>
  <c r="E508" i="47"/>
  <c r="E501" i="47"/>
  <c r="E586" i="47"/>
  <c r="E588" i="47"/>
  <c r="M327" i="47"/>
  <c r="K534" i="47"/>
  <c r="O534" i="47" s="1"/>
  <c r="T534" i="47" s="1"/>
  <c r="X534" i="47" s="1"/>
  <c r="AB534" i="47" s="1"/>
  <c r="M324" i="47"/>
  <c r="K531" i="47"/>
  <c r="O531" i="47" s="1"/>
  <c r="T531" i="47" s="1"/>
  <c r="X531" i="47" s="1"/>
  <c r="AB531" i="47" s="1"/>
  <c r="M331" i="47"/>
  <c r="K538" i="47"/>
  <c r="O538" i="47" s="1"/>
  <c r="T538" i="47" s="1"/>
  <c r="X538" i="47" s="1"/>
  <c r="AB538" i="47" s="1"/>
  <c r="M323" i="47"/>
  <c r="K530" i="47"/>
  <c r="O530" i="47" s="1"/>
  <c r="T530" i="47" s="1"/>
  <c r="X530" i="47" s="1"/>
  <c r="AB530" i="47" s="1"/>
  <c r="K455" i="47"/>
  <c r="O455" i="47" s="1"/>
  <c r="T455" i="47" s="1"/>
  <c r="X455" i="47" s="1"/>
  <c r="AB455" i="47" s="1"/>
  <c r="I323" i="47"/>
  <c r="K463" i="47"/>
  <c r="O463" i="47" s="1"/>
  <c r="T463" i="47" s="1"/>
  <c r="X463" i="47" s="1"/>
  <c r="AB463" i="47" s="1"/>
  <c r="I331" i="47"/>
  <c r="K459" i="47"/>
  <c r="O459" i="47" s="1"/>
  <c r="T459" i="47" s="1"/>
  <c r="X459" i="47" s="1"/>
  <c r="AB459" i="47" s="1"/>
  <c r="I327" i="47"/>
  <c r="K456" i="47"/>
  <c r="O456" i="47" s="1"/>
  <c r="T456" i="47" s="1"/>
  <c r="X456" i="47" s="1"/>
  <c r="AB456" i="47" s="1"/>
  <c r="I324" i="47"/>
  <c r="Q349" i="47"/>
  <c r="Z354" i="47"/>
  <c r="M382" i="47"/>
  <c r="U354" i="47"/>
  <c r="I382" i="47"/>
  <c r="I301" i="47"/>
  <c r="U323" i="47" s="1"/>
  <c r="I305" i="47"/>
  <c r="U327" i="47" s="1"/>
  <c r="I302" i="47"/>
  <c r="U324" i="47" s="1"/>
  <c r="M302" i="47"/>
  <c r="Z324" i="47" s="1"/>
  <c r="K581" i="47" s="1"/>
  <c r="M301" i="47"/>
  <c r="Z323" i="47" s="1"/>
  <c r="K580" i="47" s="1"/>
  <c r="I309" i="47"/>
  <c r="U331" i="47" s="1"/>
  <c r="M309" i="47"/>
  <c r="Z331" i="47" s="1"/>
  <c r="K588" i="47" s="1"/>
  <c r="M305" i="47"/>
  <c r="Z327" i="47" s="1"/>
  <c r="K584" i="47" s="1"/>
  <c r="I257" i="47"/>
  <c r="T257" i="47" s="1"/>
  <c r="M257" i="47"/>
  <c r="Y257" i="47" s="1"/>
  <c r="M255" i="47"/>
  <c r="Y255" i="47" s="1"/>
  <c r="I255" i="47"/>
  <c r="T255" i="47" s="1"/>
  <c r="M262" i="47"/>
  <c r="Y262" i="47" s="1"/>
  <c r="I262" i="47"/>
  <c r="T262" i="47" s="1"/>
  <c r="I263" i="47"/>
  <c r="T263" i="47" s="1"/>
  <c r="M263" i="47"/>
  <c r="Y263" i="47" s="1"/>
  <c r="I256" i="47"/>
  <c r="T256" i="47" s="1"/>
  <c r="M256" i="47"/>
  <c r="Y256" i="47" s="1"/>
  <c r="I259" i="47"/>
  <c r="T259" i="47" s="1"/>
  <c r="M259" i="47"/>
  <c r="Y259" i="47" s="1"/>
  <c r="I264" i="47"/>
  <c r="T264" i="47" s="1"/>
  <c r="M264" i="47"/>
  <c r="Y264" i="47" s="1"/>
  <c r="M258" i="47"/>
  <c r="Y258" i="47" s="1"/>
  <c r="I258" i="47"/>
  <c r="T258" i="47" s="1"/>
  <c r="I261" i="47"/>
  <c r="T261" i="47" s="1"/>
  <c r="M261" i="47"/>
  <c r="Y261" i="47" s="1"/>
  <c r="I348" i="47"/>
  <c r="I398" i="47" s="1"/>
  <c r="U398" i="47" s="1"/>
  <c r="M348" i="47"/>
  <c r="M398" i="47" s="1"/>
  <c r="Z398" i="47" s="1"/>
  <c r="I347" i="47"/>
  <c r="I397" i="47" s="1"/>
  <c r="U397" i="47" s="1"/>
  <c r="M347" i="47"/>
  <c r="M397" i="47" s="1"/>
  <c r="Z397" i="47" s="1"/>
  <c r="I346" i="47"/>
  <c r="I396" i="47" s="1"/>
  <c r="U396" i="47" s="1"/>
  <c r="M346" i="47"/>
  <c r="M396" i="47" s="1"/>
  <c r="Z396" i="47" s="1"/>
  <c r="I351" i="47"/>
  <c r="I401" i="47" s="1"/>
  <c r="U401" i="47" s="1"/>
  <c r="M351" i="47"/>
  <c r="M401" i="47" s="1"/>
  <c r="Z401" i="47" s="1"/>
  <c r="I345" i="47"/>
  <c r="I395" i="47" s="1"/>
  <c r="U395" i="47" s="1"/>
  <c r="M345" i="47"/>
  <c r="M395" i="47" s="1"/>
  <c r="Z395" i="47" s="1"/>
  <c r="I352" i="47"/>
  <c r="I402" i="47" s="1"/>
  <c r="U402" i="47" s="1"/>
  <c r="M352" i="47"/>
  <c r="M402" i="47" s="1"/>
  <c r="Z402" i="47" s="1"/>
  <c r="M349" i="47"/>
  <c r="M399" i="47" s="1"/>
  <c r="Z399" i="47" s="1"/>
  <c r="I349" i="47"/>
  <c r="I399" i="47" s="1"/>
  <c r="U399" i="47" s="1"/>
  <c r="I353" i="47"/>
  <c r="I403" i="47" s="1"/>
  <c r="U403" i="47" s="1"/>
  <c r="M353" i="47"/>
  <c r="M403" i="47" s="1"/>
  <c r="Z403" i="47" s="1"/>
  <c r="I350" i="47"/>
  <c r="I400" i="47" s="1"/>
  <c r="U400" i="47" s="1"/>
  <c r="M350" i="47"/>
  <c r="M400" i="47" s="1"/>
  <c r="Z400" i="47" s="1"/>
  <c r="M282" i="47"/>
  <c r="Y282" i="47" s="1"/>
  <c r="I282" i="47"/>
  <c r="T282" i="47" s="1"/>
  <c r="M281" i="47"/>
  <c r="Y281" i="47" s="1"/>
  <c r="I281" i="47"/>
  <c r="T281" i="47" s="1"/>
  <c r="M285" i="47"/>
  <c r="Y285" i="47" s="1"/>
  <c r="I285" i="47"/>
  <c r="T285" i="47" s="1"/>
  <c r="M284" i="47"/>
  <c r="Y284" i="47" s="1"/>
  <c r="I284" i="47"/>
  <c r="T284" i="47" s="1"/>
  <c r="M288" i="47"/>
  <c r="Y288" i="47" s="1"/>
  <c r="I288" i="47"/>
  <c r="T288" i="47" s="1"/>
  <c r="M286" i="47"/>
  <c r="Y286" i="47" s="1"/>
  <c r="I286" i="47"/>
  <c r="T286" i="47" s="1"/>
  <c r="H812" i="47"/>
  <c r="H815" i="47" s="1"/>
  <c r="Q273" i="47"/>
  <c r="Q274" i="47" s="1"/>
  <c r="Q275" i="47" s="1"/>
  <c r="Q276" i="47" s="1"/>
  <c r="Q277" i="47" s="1"/>
  <c r="Q278" i="47" s="1"/>
  <c r="Q279" i="47" s="1"/>
  <c r="Q280" i="47" s="1"/>
  <c r="Q281" i="47" s="1"/>
  <c r="Q282" i="47" s="1"/>
  <c r="Q283" i="47" s="1"/>
  <c r="Q284" i="47" s="1"/>
  <c r="Q285" i="47" s="1"/>
  <c r="Q286" i="47" s="1"/>
  <c r="Q287" i="47" s="1"/>
  <c r="Q288" i="47" s="1"/>
  <c r="AD442" i="47"/>
  <c r="Q96" i="47"/>
  <c r="Q250" i="47"/>
  <c r="Q251" i="47" s="1"/>
  <c r="Q252" i="47" s="1"/>
  <c r="Q253" i="47" s="1"/>
  <c r="Q254" i="47" s="1"/>
  <c r="Q255" i="47" s="1"/>
  <c r="Q256" i="47" s="1"/>
  <c r="Q257" i="47" s="1"/>
  <c r="Q258" i="47" s="1"/>
  <c r="Q259" i="47" s="1"/>
  <c r="Q260" i="47" s="1"/>
  <c r="Q261" i="47" s="1"/>
  <c r="Q262" i="47" s="1"/>
  <c r="Q263" i="47" s="1"/>
  <c r="Q264" i="47" s="1"/>
  <c r="AB441" i="47"/>
  <c r="X219" i="47"/>
  <c r="P219" i="47"/>
  <c r="Z112" i="47"/>
  <c r="Q112" i="47"/>
  <c r="T1118" i="47"/>
  <c r="T1117" i="47"/>
  <c r="T1116" i="47"/>
  <c r="T1115" i="47"/>
  <c r="Y1229" i="47" l="1"/>
  <c r="T1119" i="47"/>
  <c r="T1120" i="47"/>
  <c r="H816" i="47"/>
  <c r="N1067" i="47" s="1"/>
  <c r="K1086" i="47" s="1"/>
  <c r="K1090" i="47" s="1"/>
  <c r="AD712" i="47"/>
  <c r="O702" i="47" s="1"/>
  <c r="AD679" i="47"/>
  <c r="AD674" i="47"/>
  <c r="AD675" i="47"/>
  <c r="AD676" i="47"/>
  <c r="AD677" i="47"/>
  <c r="O675" i="47"/>
  <c r="O673" i="47"/>
  <c r="O677" i="47"/>
  <c r="O678" i="47"/>
  <c r="AD678" i="47"/>
  <c r="O674" i="47"/>
  <c r="AD673" i="47"/>
  <c r="O676" i="47"/>
  <c r="E576" i="47"/>
  <c r="E580" i="47"/>
  <c r="E581" i="47"/>
  <c r="E579" i="47"/>
  <c r="E577" i="47"/>
  <c r="E583" i="47"/>
  <c r="E578" i="47"/>
  <c r="E582" i="47"/>
  <c r="E575" i="47"/>
  <c r="O584" i="47"/>
  <c r="T584" i="47" s="1"/>
  <c r="X584" i="47" s="1"/>
  <c r="AB584" i="47" s="1"/>
  <c r="M325" i="47"/>
  <c r="K532" i="47"/>
  <c r="O532" i="47" s="1"/>
  <c r="T532" i="47" s="1"/>
  <c r="X532" i="47" s="1"/>
  <c r="AB532" i="47" s="1"/>
  <c r="X540" i="47"/>
  <c r="X565" i="47" s="1"/>
  <c r="X590" i="47" s="1"/>
  <c r="M326" i="47"/>
  <c r="K533" i="47"/>
  <c r="O533" i="47" s="1"/>
  <c r="T533" i="47" s="1"/>
  <c r="X533" i="47" s="1"/>
  <c r="AB533" i="47" s="1"/>
  <c r="M328" i="47"/>
  <c r="K535" i="47"/>
  <c r="O535" i="47" s="1"/>
  <c r="T535" i="47" s="1"/>
  <c r="X535" i="47" s="1"/>
  <c r="AB535" i="47" s="1"/>
  <c r="M330" i="47"/>
  <c r="K537" i="47"/>
  <c r="O537" i="47" s="1"/>
  <c r="T537" i="47" s="1"/>
  <c r="X537" i="47" s="1"/>
  <c r="AB537" i="47" s="1"/>
  <c r="M332" i="47"/>
  <c r="K539" i="47"/>
  <c r="O539" i="47" s="1"/>
  <c r="T539" i="47" s="1"/>
  <c r="X539" i="47" s="1"/>
  <c r="AB539" i="47" s="1"/>
  <c r="M329" i="47"/>
  <c r="K536" i="47"/>
  <c r="O536" i="47" s="1"/>
  <c r="T536" i="47" s="1"/>
  <c r="X536" i="47" s="1"/>
  <c r="AB536" i="47" s="1"/>
  <c r="O580" i="47"/>
  <c r="T580" i="47" s="1"/>
  <c r="X580" i="47" s="1"/>
  <c r="AB580" i="47" s="1"/>
  <c r="O581" i="47"/>
  <c r="T581" i="47" s="1"/>
  <c r="X581" i="47" s="1"/>
  <c r="AB581" i="47" s="1"/>
  <c r="O588" i="47"/>
  <c r="T588" i="47" s="1"/>
  <c r="X588" i="47" s="1"/>
  <c r="AB588" i="47" s="1"/>
  <c r="K461" i="47"/>
  <c r="O461" i="47" s="1"/>
  <c r="T461" i="47" s="1"/>
  <c r="X461" i="47" s="1"/>
  <c r="AB461" i="47" s="1"/>
  <c r="I329" i="47"/>
  <c r="K462" i="47"/>
  <c r="O462" i="47" s="1"/>
  <c r="T462" i="47" s="1"/>
  <c r="X462" i="47" s="1"/>
  <c r="AB462" i="47" s="1"/>
  <c r="I330" i="47"/>
  <c r="K457" i="47"/>
  <c r="O457" i="47" s="1"/>
  <c r="T457" i="47" s="1"/>
  <c r="X457" i="47" s="1"/>
  <c r="AB457" i="47" s="1"/>
  <c r="I325" i="47"/>
  <c r="K464" i="47"/>
  <c r="O464" i="47" s="1"/>
  <c r="T464" i="47" s="1"/>
  <c r="X464" i="47" s="1"/>
  <c r="AB464" i="47" s="1"/>
  <c r="I332" i="47"/>
  <c r="K458" i="47"/>
  <c r="O458" i="47" s="1"/>
  <c r="T458" i="47" s="1"/>
  <c r="X458" i="47" s="1"/>
  <c r="AB458" i="47" s="1"/>
  <c r="I326" i="47"/>
  <c r="K460" i="47"/>
  <c r="O460" i="47" s="1"/>
  <c r="T460" i="47" s="1"/>
  <c r="X460" i="47" s="1"/>
  <c r="AB460" i="47" s="1"/>
  <c r="I328" i="47"/>
  <c r="Q350" i="47"/>
  <c r="U345" i="47"/>
  <c r="I373" i="47"/>
  <c r="Z353" i="47"/>
  <c r="M381" i="47"/>
  <c r="Z351" i="47"/>
  <c r="M379" i="47"/>
  <c r="U353" i="47"/>
  <c r="I381" i="47"/>
  <c r="U351" i="47"/>
  <c r="I379" i="47"/>
  <c r="Z350" i="47"/>
  <c r="M378" i="47"/>
  <c r="Z348" i="47"/>
  <c r="M376" i="47"/>
  <c r="U350" i="47"/>
  <c r="I378" i="47"/>
  <c r="U348" i="47"/>
  <c r="I376" i="47"/>
  <c r="U349" i="47"/>
  <c r="I377" i="47"/>
  <c r="U377" i="47" s="1"/>
  <c r="Z346" i="47"/>
  <c r="M374" i="47"/>
  <c r="Z374" i="47" s="1"/>
  <c r="Z349" i="47"/>
  <c r="M377" i="47"/>
  <c r="U346" i="47"/>
  <c r="I374" i="47"/>
  <c r="Z352" i="47"/>
  <c r="M380" i="47"/>
  <c r="Z347" i="47"/>
  <c r="M375" i="47"/>
  <c r="Z345" i="47"/>
  <c r="M373" i="47"/>
  <c r="U352" i="47"/>
  <c r="I380" i="47"/>
  <c r="U347" i="47"/>
  <c r="I375" i="47"/>
  <c r="I307" i="47"/>
  <c r="U329" i="47" s="1"/>
  <c r="Z305" i="47"/>
  <c r="K559" i="47" s="1"/>
  <c r="M307" i="47"/>
  <c r="Z329" i="47" s="1"/>
  <c r="K586" i="47" s="1"/>
  <c r="I308" i="47"/>
  <c r="U330" i="47" s="1"/>
  <c r="I303" i="47"/>
  <c r="U325" i="47" s="1"/>
  <c r="Z309" i="47"/>
  <c r="K563" i="47" s="1"/>
  <c r="U302" i="47"/>
  <c r="K506" i="47"/>
  <c r="O506" i="47" s="1"/>
  <c r="M306" i="47"/>
  <c r="Z328" i="47" s="1"/>
  <c r="K585" i="47" s="1"/>
  <c r="Z302" i="47"/>
  <c r="K556" i="47" s="1"/>
  <c r="M308" i="47"/>
  <c r="Z330" i="47" s="1"/>
  <c r="K587" i="47" s="1"/>
  <c r="M303" i="47"/>
  <c r="Z325" i="47" s="1"/>
  <c r="K582" i="47" s="1"/>
  <c r="I310" i="47"/>
  <c r="U332" i="47" s="1"/>
  <c r="U309" i="47"/>
  <c r="K513" i="47"/>
  <c r="O513" i="47" s="1"/>
  <c r="M310" i="47"/>
  <c r="Z332" i="47" s="1"/>
  <c r="K589" i="47" s="1"/>
  <c r="M304" i="47"/>
  <c r="Z326" i="47" s="1"/>
  <c r="K583" i="47" s="1"/>
  <c r="I304" i="47"/>
  <c r="U326" i="47" s="1"/>
  <c r="U305" i="47"/>
  <c r="K509" i="47"/>
  <c r="O509" i="47" s="1"/>
  <c r="I306" i="47"/>
  <c r="U328" i="47" s="1"/>
  <c r="Z301" i="47"/>
  <c r="K555" i="47" s="1"/>
  <c r="U301" i="47"/>
  <c r="K505" i="47"/>
  <c r="O505" i="47" s="1"/>
  <c r="AD203" i="47"/>
  <c r="AG203" i="47" s="1"/>
  <c r="Q113" i="47"/>
  <c r="Q114" i="47" s="1"/>
  <c r="Q115" i="47" s="1"/>
  <c r="Q116" i="47" s="1"/>
  <c r="Q117" i="47" s="1"/>
  <c r="Q118" i="47" s="1"/>
  <c r="Q119" i="47" s="1"/>
  <c r="Q120" i="47" s="1"/>
  <c r="Q121" i="47" s="1"/>
  <c r="Q122" i="47" s="1"/>
  <c r="Q123" i="47" s="1"/>
  <c r="Q124" i="47" s="1"/>
  <c r="Q125" i="47" s="1"/>
  <c r="Q126" i="47" s="1"/>
  <c r="Q127" i="47" s="1"/>
  <c r="T120" i="47"/>
  <c r="T126" i="47"/>
  <c r="T113" i="47"/>
  <c r="T125" i="47"/>
  <c r="T127" i="47"/>
  <c r="T114" i="47"/>
  <c r="T122" i="47"/>
  <c r="T117" i="47"/>
  <c r="T124" i="47"/>
  <c r="T121" i="47"/>
  <c r="T115" i="47"/>
  <c r="T116" i="47"/>
  <c r="T123" i="47"/>
  <c r="T118" i="47"/>
  <c r="T119" i="47"/>
  <c r="U155" i="47"/>
  <c r="AC113" i="47"/>
  <c r="AC121" i="47"/>
  <c r="AC112" i="47"/>
  <c r="AC114" i="47"/>
  <c r="AC122" i="47"/>
  <c r="AC120" i="47"/>
  <c r="AC115" i="47"/>
  <c r="AC123" i="47"/>
  <c r="AC126" i="47"/>
  <c r="AC116" i="47"/>
  <c r="AC124" i="47"/>
  <c r="AC117" i="47"/>
  <c r="AC125" i="47"/>
  <c r="AC118" i="47"/>
  <c r="AC127" i="47"/>
  <c r="AC119" i="47"/>
  <c r="Z113" i="47"/>
  <c r="Z114" i="47" s="1"/>
  <c r="Z115" i="47" s="1"/>
  <c r="Z116" i="47" s="1"/>
  <c r="Z117" i="47" s="1"/>
  <c r="Z118" i="47" s="1"/>
  <c r="Z119" i="47" s="1"/>
  <c r="Z120" i="47" s="1"/>
  <c r="Z121" i="47" s="1"/>
  <c r="Z122" i="47" s="1"/>
  <c r="Z123" i="47" s="1"/>
  <c r="Z124" i="47" s="1"/>
  <c r="Z125" i="47" s="1"/>
  <c r="Z126" i="47" s="1"/>
  <c r="Z127" i="47" s="1"/>
  <c r="K96" i="47"/>
  <c r="W96" i="47" s="1"/>
  <c r="J228" i="47" s="1"/>
  <c r="J224" i="47"/>
  <c r="X465" i="47"/>
  <c r="X490" i="47" s="1"/>
  <c r="T112" i="47"/>
  <c r="V1223" i="47"/>
  <c r="AF1223" i="47" s="1"/>
  <c r="Z219" i="47"/>
  <c r="P228" i="47" s="1"/>
  <c r="AD202" i="47"/>
  <c r="AG202" i="47" s="1"/>
  <c r="N155" i="47"/>
  <c r="K1513" i="47" l="1"/>
  <c r="K1406" i="47"/>
  <c r="K1442" i="47"/>
  <c r="K1478" i="47"/>
  <c r="K1335" i="47"/>
  <c r="AB1335" i="47" s="1"/>
  <c r="K1370" i="47"/>
  <c r="K1263" i="47"/>
  <c r="AF1263" i="47" s="1"/>
  <c r="K1299" i="47"/>
  <c r="Y1230" i="47"/>
  <c r="AD735" i="47"/>
  <c r="O725" i="47" s="1"/>
  <c r="O701" i="47"/>
  <c r="AD701" i="47"/>
  <c r="O698" i="47"/>
  <c r="O699" i="47"/>
  <c r="AD702" i="47"/>
  <c r="O697" i="47"/>
  <c r="AD698" i="47"/>
  <c r="AD699" i="47"/>
  <c r="O700" i="47"/>
  <c r="AD700" i="47"/>
  <c r="O696" i="47"/>
  <c r="AD696" i="47"/>
  <c r="AD697" i="47"/>
  <c r="O582" i="47"/>
  <c r="T582" i="47" s="1"/>
  <c r="X582" i="47" s="1"/>
  <c r="AB582" i="47" s="1"/>
  <c r="O587" i="47"/>
  <c r="T587" i="47" s="1"/>
  <c r="X587" i="47" s="1"/>
  <c r="AB587" i="47" s="1"/>
  <c r="O585" i="47"/>
  <c r="T585" i="47" s="1"/>
  <c r="X585" i="47" s="1"/>
  <c r="AB585" i="47" s="1"/>
  <c r="O583" i="47"/>
  <c r="T583" i="47" s="1"/>
  <c r="X583" i="47" s="1"/>
  <c r="AB583" i="47" s="1"/>
  <c r="O589" i="47"/>
  <c r="T589" i="47" s="1"/>
  <c r="X589" i="47" s="1"/>
  <c r="AB589" i="47" s="1"/>
  <c r="O586" i="47"/>
  <c r="T586" i="47" s="1"/>
  <c r="X586" i="47" s="1"/>
  <c r="AB586" i="47" s="1"/>
  <c r="K480" i="47"/>
  <c r="O480" i="47" s="1"/>
  <c r="O555" i="47"/>
  <c r="T555" i="47" s="1"/>
  <c r="X555" i="47" s="1"/>
  <c r="AB555" i="47" s="1"/>
  <c r="K481" i="47"/>
  <c r="O481" i="47" s="1"/>
  <c r="O556" i="47"/>
  <c r="T556" i="47" s="1"/>
  <c r="X556" i="47" s="1"/>
  <c r="AB556" i="47" s="1"/>
  <c r="K488" i="47"/>
  <c r="O488" i="47" s="1"/>
  <c r="O563" i="47"/>
  <c r="T563" i="47" s="1"/>
  <c r="X563" i="47" s="1"/>
  <c r="AB563" i="47" s="1"/>
  <c r="K484" i="47"/>
  <c r="O484" i="47" s="1"/>
  <c r="O559" i="47"/>
  <c r="T559" i="47" s="1"/>
  <c r="X559" i="47" s="1"/>
  <c r="AB559" i="47" s="1"/>
  <c r="X515" i="47"/>
  <c r="T513" i="47"/>
  <c r="X513" i="47" s="1"/>
  <c r="AB513" i="47" s="1"/>
  <c r="T509" i="47"/>
  <c r="X509" i="47" s="1"/>
  <c r="AB509" i="47" s="1"/>
  <c r="Q351" i="47"/>
  <c r="U374" i="47"/>
  <c r="Z381" i="47"/>
  <c r="U373" i="47"/>
  <c r="Z377" i="47"/>
  <c r="U381" i="47"/>
  <c r="Z373" i="47"/>
  <c r="Z308" i="47"/>
  <c r="K562" i="47" s="1"/>
  <c r="U376" i="47"/>
  <c r="Z379" i="47"/>
  <c r="Z304" i="47"/>
  <c r="K558" i="47" s="1"/>
  <c r="U303" i="47"/>
  <c r="K507" i="47"/>
  <c r="O507" i="47" s="1"/>
  <c r="Z382" i="47"/>
  <c r="Z378" i="47"/>
  <c r="U380" i="47"/>
  <c r="Z310" i="47"/>
  <c r="K564" i="47" s="1"/>
  <c r="Z306" i="47"/>
  <c r="K560" i="47" s="1"/>
  <c r="U308" i="47"/>
  <c r="K512" i="47"/>
  <c r="O512" i="47" s="1"/>
  <c r="T512" i="47" s="1"/>
  <c r="X512" i="47" s="1"/>
  <c r="AB512" i="47" s="1"/>
  <c r="U310" i="47"/>
  <c r="K514" i="47"/>
  <c r="O514" i="47" s="1"/>
  <c r="T514" i="47" s="1"/>
  <c r="X514" i="47" s="1"/>
  <c r="AB514" i="47" s="1"/>
  <c r="Z376" i="47"/>
  <c r="U304" i="47"/>
  <c r="K508" i="47"/>
  <c r="O508" i="47" s="1"/>
  <c r="Z307" i="47"/>
  <c r="K561" i="47" s="1"/>
  <c r="U378" i="47"/>
  <c r="U379" i="47"/>
  <c r="U306" i="47"/>
  <c r="K510" i="47"/>
  <c r="O510" i="47" s="1"/>
  <c r="T510" i="47" s="1"/>
  <c r="X510" i="47" s="1"/>
  <c r="AB510" i="47" s="1"/>
  <c r="Z303" i="47"/>
  <c r="K557" i="47" s="1"/>
  <c r="U307" i="47"/>
  <c r="K511" i="47"/>
  <c r="O511" i="47" s="1"/>
  <c r="T511" i="47" s="1"/>
  <c r="X511" i="47" s="1"/>
  <c r="AB511" i="47" s="1"/>
  <c r="U375" i="47"/>
  <c r="Z375" i="47"/>
  <c r="U382" i="47"/>
  <c r="Z380" i="47"/>
  <c r="AD159" i="47"/>
  <c r="X156" i="47"/>
  <c r="X159" i="47"/>
  <c r="AD157" i="47"/>
  <c r="X157" i="47"/>
  <c r="AD158" i="47"/>
  <c r="X160" i="47"/>
  <c r="AD160" i="47"/>
  <c r="AD155" i="47"/>
  <c r="X155" i="47"/>
  <c r="X158" i="47"/>
  <c r="AD156" i="47"/>
  <c r="Q159" i="47"/>
  <c r="Q158" i="47"/>
  <c r="Q156" i="47"/>
  <c r="Q155" i="47"/>
  <c r="Q160" i="47"/>
  <c r="Q157" i="47"/>
  <c r="V1224" i="47"/>
  <c r="N156" i="47"/>
  <c r="N157" i="47" s="1"/>
  <c r="N158" i="47" s="1"/>
  <c r="N159" i="47" s="1"/>
  <c r="N160" i="47" s="1"/>
  <c r="N161" i="47" s="1"/>
  <c r="N162" i="47" s="1"/>
  <c r="N163" i="47" s="1"/>
  <c r="N164" i="47" s="1"/>
  <c r="N165" i="47" s="1"/>
  <c r="N166" i="47" s="1"/>
  <c r="N167" i="47" s="1"/>
  <c r="N168" i="47" s="1"/>
  <c r="N169" i="47" s="1"/>
  <c r="N170" i="47" s="1"/>
  <c r="U156" i="47"/>
  <c r="U157" i="47" s="1"/>
  <c r="U158" i="47" s="1"/>
  <c r="U159" i="47" s="1"/>
  <c r="U160" i="47" s="1"/>
  <c r="U161" i="47" s="1"/>
  <c r="U162" i="47" s="1"/>
  <c r="U163" i="47" s="1"/>
  <c r="U164" i="47" s="1"/>
  <c r="U165" i="47" s="1"/>
  <c r="U166" i="47" s="1"/>
  <c r="U167" i="47" s="1"/>
  <c r="U168" i="47" s="1"/>
  <c r="U169" i="47" s="1"/>
  <c r="U170" i="47" s="1"/>
  <c r="V228" i="47"/>
  <c r="N1056" i="47"/>
  <c r="K1085" i="47" s="1"/>
  <c r="K1089" i="47" s="1"/>
  <c r="P224" i="47"/>
  <c r="V224" i="47" s="1"/>
  <c r="X1335" i="47" l="1"/>
  <c r="X1442" i="47"/>
  <c r="AF1442" i="47"/>
  <c r="AB1442" i="47"/>
  <c r="X1478" i="47"/>
  <c r="AF1478" i="47"/>
  <c r="AB1478" i="47"/>
  <c r="X1406" i="47"/>
  <c r="AB1406" i="47"/>
  <c r="AF1406" i="47"/>
  <c r="AB1513" i="47"/>
  <c r="AF1513" i="47"/>
  <c r="X1513" i="47"/>
  <c r="AF1335" i="47"/>
  <c r="AF1370" i="47"/>
  <c r="X1370" i="47"/>
  <c r="AB1370" i="47"/>
  <c r="X1263" i="47"/>
  <c r="AB1263" i="47"/>
  <c r="AF1299" i="47"/>
  <c r="AB1299" i="47"/>
  <c r="X1299" i="47"/>
  <c r="Y1231" i="47"/>
  <c r="AF1230" i="47"/>
  <c r="AD758" i="47"/>
  <c r="O748" i="47" s="1"/>
  <c r="AD722" i="47"/>
  <c r="O724" i="47"/>
  <c r="O722" i="47"/>
  <c r="AD719" i="47"/>
  <c r="O719" i="47"/>
  <c r="O723" i="47"/>
  <c r="AD720" i="47"/>
  <c r="AD725" i="47"/>
  <c r="O720" i="47"/>
  <c r="AD724" i="47"/>
  <c r="AD721" i="47"/>
  <c r="O721" i="47"/>
  <c r="AD723" i="47"/>
  <c r="K486" i="47"/>
  <c r="O486" i="47" s="1"/>
  <c r="O561" i="47"/>
  <c r="T561" i="47" s="1"/>
  <c r="X561" i="47" s="1"/>
  <c r="AB561" i="47" s="1"/>
  <c r="K487" i="47"/>
  <c r="O487" i="47" s="1"/>
  <c r="O562" i="47"/>
  <c r="T562" i="47" s="1"/>
  <c r="X562" i="47" s="1"/>
  <c r="AB562" i="47" s="1"/>
  <c r="K485" i="47"/>
  <c r="O485" i="47" s="1"/>
  <c r="O560" i="47"/>
  <c r="T560" i="47" s="1"/>
  <c r="X560" i="47" s="1"/>
  <c r="AB560" i="47" s="1"/>
  <c r="K489" i="47"/>
  <c r="O489" i="47" s="1"/>
  <c r="O564" i="47"/>
  <c r="T564" i="47" s="1"/>
  <c r="X564" i="47" s="1"/>
  <c r="AB564" i="47" s="1"/>
  <c r="K483" i="47"/>
  <c r="O483" i="47" s="1"/>
  <c r="O558" i="47"/>
  <c r="T558" i="47" s="1"/>
  <c r="X558" i="47" s="1"/>
  <c r="AB558" i="47" s="1"/>
  <c r="K482" i="47"/>
  <c r="O482" i="47" s="1"/>
  <c r="O557" i="47"/>
  <c r="T557" i="47" s="1"/>
  <c r="X557" i="47" s="1"/>
  <c r="AB557" i="47" s="1"/>
  <c r="Q352" i="47"/>
  <c r="T505" i="47"/>
  <c r="X505" i="47" s="1"/>
  <c r="AB505" i="47" s="1"/>
  <c r="I253" i="47"/>
  <c r="T253" i="47" s="1"/>
  <c r="M253" i="47"/>
  <c r="Y253" i="47" s="1"/>
  <c r="I254" i="47"/>
  <c r="T254" i="47" s="1"/>
  <c r="M254" i="47"/>
  <c r="Y254" i="47" s="1"/>
  <c r="M252" i="47"/>
  <c r="Y252" i="47" s="1"/>
  <c r="I252" i="47"/>
  <c r="T252" i="47" s="1"/>
  <c r="M251" i="47"/>
  <c r="Y251" i="47" s="1"/>
  <c r="I251" i="47"/>
  <c r="T251" i="47" s="1"/>
  <c r="I339" i="47"/>
  <c r="I389" i="47" s="1"/>
  <c r="M249" i="47"/>
  <c r="Y249" i="47" s="1"/>
  <c r="I249" i="47"/>
  <c r="T249" i="47" s="1"/>
  <c r="M250" i="47"/>
  <c r="Y250" i="47" s="1"/>
  <c r="I250" i="47"/>
  <c r="T250" i="47" s="1"/>
  <c r="I344" i="47"/>
  <c r="I394" i="47" s="1"/>
  <c r="U394" i="47" s="1"/>
  <c r="M344" i="47"/>
  <c r="M394" i="47" s="1"/>
  <c r="Z394" i="47" s="1"/>
  <c r="I342" i="47"/>
  <c r="I392" i="47" s="1"/>
  <c r="M342" i="47"/>
  <c r="M392" i="47" s="1"/>
  <c r="I340" i="47"/>
  <c r="I390" i="47" s="1"/>
  <c r="M340" i="47"/>
  <c r="M390" i="47" s="1"/>
  <c r="M341" i="47"/>
  <c r="M391" i="47" s="1"/>
  <c r="I341" i="47"/>
  <c r="I391" i="47" s="1"/>
  <c r="M339" i="47"/>
  <c r="M389" i="47" s="1"/>
  <c r="I343" i="47"/>
  <c r="I393" i="47" s="1"/>
  <c r="M343" i="47"/>
  <c r="M393" i="47" s="1"/>
  <c r="M278" i="47"/>
  <c r="Y278" i="47" s="1"/>
  <c r="I278" i="47"/>
  <c r="T278" i="47" s="1"/>
  <c r="I275" i="47"/>
  <c r="T275" i="47" s="1"/>
  <c r="M275" i="47"/>
  <c r="Y275" i="47" s="1"/>
  <c r="M276" i="47"/>
  <c r="Y276" i="47" s="1"/>
  <c r="I276" i="47"/>
  <c r="T276" i="47" s="1"/>
  <c r="M277" i="47"/>
  <c r="Y277" i="47" s="1"/>
  <c r="I277" i="47"/>
  <c r="T277" i="47" s="1"/>
  <c r="M273" i="47"/>
  <c r="Y273" i="47" s="1"/>
  <c r="I273" i="47"/>
  <c r="T273" i="47" s="1"/>
  <c r="M274" i="47"/>
  <c r="Y274" i="47" s="1"/>
  <c r="I274" i="47"/>
  <c r="T274" i="47" s="1"/>
  <c r="V1225" i="47"/>
  <c r="K1559" i="47"/>
  <c r="H1560" i="47" s="1"/>
  <c r="K1563" i="47"/>
  <c r="H1564" i="47" s="1"/>
  <c r="K1449" i="47" l="1"/>
  <c r="K1485" i="47"/>
  <c r="K1413" i="47"/>
  <c r="K1520" i="47"/>
  <c r="K1342" i="47"/>
  <c r="X1342" i="47" s="1"/>
  <c r="K1377" i="47"/>
  <c r="K1270" i="47"/>
  <c r="AF1270" i="47" s="1"/>
  <c r="K1306" i="47"/>
  <c r="Y1232" i="47"/>
  <c r="AF1231" i="47"/>
  <c r="AD781" i="47"/>
  <c r="AD860" i="47" s="1"/>
  <c r="O744" i="47"/>
  <c r="AD746" i="47"/>
  <c r="O746" i="47"/>
  <c r="AD743" i="47"/>
  <c r="O743" i="47"/>
  <c r="AD745" i="47"/>
  <c r="AD742" i="47"/>
  <c r="AD747" i="47"/>
  <c r="O742" i="47"/>
  <c r="O747" i="47"/>
  <c r="AD744" i="47"/>
  <c r="AD748" i="47"/>
  <c r="O745" i="47"/>
  <c r="M319" i="47"/>
  <c r="K526" i="47"/>
  <c r="O526" i="47" s="1"/>
  <c r="T526" i="47" s="1"/>
  <c r="X526" i="47" s="1"/>
  <c r="M317" i="47"/>
  <c r="K524" i="47"/>
  <c r="O524" i="47" s="1"/>
  <c r="T524" i="47" s="1"/>
  <c r="X524" i="47" s="1"/>
  <c r="AB524" i="47" s="1"/>
  <c r="M322" i="47"/>
  <c r="K529" i="47"/>
  <c r="O529" i="47" s="1"/>
  <c r="T529" i="47" s="1"/>
  <c r="X529" i="47" s="1"/>
  <c r="AB529" i="47" s="1"/>
  <c r="M318" i="47"/>
  <c r="K525" i="47"/>
  <c r="O525" i="47" s="1"/>
  <c r="T525" i="47" s="1"/>
  <c r="X525" i="47" s="1"/>
  <c r="M321" i="47"/>
  <c r="K528" i="47"/>
  <c r="O528" i="47" s="1"/>
  <c r="T528" i="47" s="1"/>
  <c r="X528" i="47" s="1"/>
  <c r="M320" i="47"/>
  <c r="K527" i="47"/>
  <c r="O527" i="47" s="1"/>
  <c r="T527" i="47" s="1"/>
  <c r="X527" i="47" s="1"/>
  <c r="K453" i="47"/>
  <c r="O453" i="47" s="1"/>
  <c r="T453" i="47" s="1"/>
  <c r="X453" i="47" s="1"/>
  <c r="I321" i="47"/>
  <c r="K452" i="47"/>
  <c r="O452" i="47" s="1"/>
  <c r="T452" i="47" s="1"/>
  <c r="X452" i="47" s="1"/>
  <c r="I320" i="47"/>
  <c r="K450" i="47"/>
  <c r="O450" i="47" s="1"/>
  <c r="T450" i="47" s="1"/>
  <c r="X450" i="47" s="1"/>
  <c r="I318" i="47"/>
  <c r="K451" i="47"/>
  <c r="O451" i="47" s="1"/>
  <c r="T451" i="47" s="1"/>
  <c r="X451" i="47" s="1"/>
  <c r="I319" i="47"/>
  <c r="K449" i="47"/>
  <c r="O449" i="47" s="1"/>
  <c r="T449" i="47" s="1"/>
  <c r="X449" i="47" s="1"/>
  <c r="AB449" i="47" s="1"/>
  <c r="I317" i="47"/>
  <c r="K454" i="47"/>
  <c r="O454" i="47" s="1"/>
  <c r="T454" i="47" s="1"/>
  <c r="X454" i="47" s="1"/>
  <c r="AB454" i="47" s="1"/>
  <c r="I322" i="47"/>
  <c r="Q353" i="47"/>
  <c r="T506" i="47"/>
  <c r="X506" i="47" s="1"/>
  <c r="AB506" i="47" s="1"/>
  <c r="Z341" i="47"/>
  <c r="M369" i="47"/>
  <c r="Z391" i="47" s="1"/>
  <c r="Z340" i="47"/>
  <c r="M368" i="47"/>
  <c r="Z390" i="47" s="1"/>
  <c r="U343" i="47"/>
  <c r="I371" i="47"/>
  <c r="U393" i="47" s="1"/>
  <c r="Z344" i="47"/>
  <c r="M372" i="47"/>
  <c r="Z339" i="47"/>
  <c r="M367" i="47"/>
  <c r="Z389" i="47" s="1"/>
  <c r="U344" i="47"/>
  <c r="I372" i="47"/>
  <c r="U340" i="47"/>
  <c r="I368" i="47"/>
  <c r="U390" i="47" s="1"/>
  <c r="Z342" i="47"/>
  <c r="M370" i="47"/>
  <c r="Z392" i="47" s="1"/>
  <c r="U341" i="47"/>
  <c r="I369" i="47"/>
  <c r="U391" i="47" s="1"/>
  <c r="Z343" i="47"/>
  <c r="M371" i="47"/>
  <c r="Z393" i="47" s="1"/>
  <c r="U342" i="47"/>
  <c r="I370" i="47"/>
  <c r="U392" i="47" s="1"/>
  <c r="U339" i="47"/>
  <c r="I367" i="47"/>
  <c r="U389" i="47" s="1"/>
  <c r="I299" i="47"/>
  <c r="U321" i="47" s="1"/>
  <c r="I300" i="47"/>
  <c r="U322" i="47" s="1"/>
  <c r="I298" i="47"/>
  <c r="U320" i="47" s="1"/>
  <c r="M300" i="47"/>
  <c r="Z322" i="47" s="1"/>
  <c r="K579" i="47" s="1"/>
  <c r="I296" i="47"/>
  <c r="U318" i="47" s="1"/>
  <c r="M298" i="47"/>
  <c r="Z320" i="47" s="1"/>
  <c r="K577" i="47" s="1"/>
  <c r="M299" i="47"/>
  <c r="Z321" i="47" s="1"/>
  <c r="K578" i="47" s="1"/>
  <c r="M296" i="47"/>
  <c r="Z318" i="47" s="1"/>
  <c r="K575" i="47" s="1"/>
  <c r="M297" i="47"/>
  <c r="Z319" i="47" s="1"/>
  <c r="K576" i="47" s="1"/>
  <c r="I297" i="47"/>
  <c r="U319" i="47" s="1"/>
  <c r="M295" i="47"/>
  <c r="Z317" i="47" s="1"/>
  <c r="K574" i="47" s="1"/>
  <c r="I295" i="47"/>
  <c r="U317" i="47" s="1"/>
  <c r="V1226" i="47"/>
  <c r="AF1226" i="47" s="1"/>
  <c r="K1481" i="47" l="1"/>
  <c r="K1409" i="47"/>
  <c r="K1516" i="47"/>
  <c r="K1445" i="47"/>
  <c r="X1520" i="47"/>
  <c r="AB1520" i="47"/>
  <c r="AF1520" i="47"/>
  <c r="X1413" i="47"/>
  <c r="AF1413" i="47"/>
  <c r="AB1413" i="47"/>
  <c r="K1521" i="47"/>
  <c r="K1450" i="47"/>
  <c r="K1414" i="47"/>
  <c r="K1486" i="47"/>
  <c r="AF1485" i="47"/>
  <c r="X1485" i="47"/>
  <c r="AB1485" i="47"/>
  <c r="AB1449" i="47"/>
  <c r="X1449" i="47"/>
  <c r="AF1449" i="47"/>
  <c r="AB1342" i="47"/>
  <c r="AF1342" i="47"/>
  <c r="K1338" i="47"/>
  <c r="X1338" i="47" s="1"/>
  <c r="K1373" i="47"/>
  <c r="K1343" i="47"/>
  <c r="AB1343" i="47" s="1"/>
  <c r="K1378" i="47"/>
  <c r="X1377" i="47"/>
  <c r="AF1377" i="47"/>
  <c r="AB1377" i="47"/>
  <c r="X1270" i="47"/>
  <c r="AB1270" i="47"/>
  <c r="AF1343" i="47"/>
  <c r="K1271" i="47"/>
  <c r="X1271" i="47" s="1"/>
  <c r="K1307" i="47"/>
  <c r="X1306" i="47"/>
  <c r="AF1306" i="47"/>
  <c r="AB1306" i="47"/>
  <c r="K1266" i="47"/>
  <c r="AF1266" i="47" s="1"/>
  <c r="K1302" i="47"/>
  <c r="Y1233" i="47"/>
  <c r="AF1232" i="47"/>
  <c r="P848" i="47"/>
  <c r="P846" i="47"/>
  <c r="AE843" i="47"/>
  <c r="P847" i="47"/>
  <c r="AE847" i="47"/>
  <c r="AE844" i="47"/>
  <c r="AE845" i="47"/>
  <c r="AE846" i="47"/>
  <c r="AD884" i="47"/>
  <c r="P843" i="47"/>
  <c r="P844" i="47"/>
  <c r="P845" i="47"/>
  <c r="O771" i="47"/>
  <c r="AD769" i="47"/>
  <c r="AD770" i="47"/>
  <c r="O765" i="47"/>
  <c r="O769" i="47"/>
  <c r="AD771" i="47"/>
  <c r="O766" i="47"/>
  <c r="O770" i="47"/>
  <c r="AD767" i="47"/>
  <c r="O768" i="47"/>
  <c r="AD765" i="47"/>
  <c r="O767" i="47"/>
  <c r="AD766" i="47"/>
  <c r="AD768" i="47"/>
  <c r="AB525" i="47"/>
  <c r="AB452" i="47"/>
  <c r="AB453" i="47"/>
  <c r="AB527" i="47"/>
  <c r="AB451" i="47"/>
  <c r="AB528" i="47"/>
  <c r="AB526" i="47"/>
  <c r="AB450" i="47"/>
  <c r="O576" i="47"/>
  <c r="T576" i="47" s="1"/>
  <c r="X576" i="47" s="1"/>
  <c r="O574" i="47"/>
  <c r="T574" i="47" s="1"/>
  <c r="X574" i="47" s="1"/>
  <c r="AB574" i="47" s="1"/>
  <c r="O579" i="47"/>
  <c r="T579" i="47" s="1"/>
  <c r="X579" i="47" s="1"/>
  <c r="AB579" i="47" s="1"/>
  <c r="O578" i="47"/>
  <c r="T578" i="47" s="1"/>
  <c r="X578" i="47" s="1"/>
  <c r="O575" i="47"/>
  <c r="T575" i="47" s="1"/>
  <c r="X575" i="47" s="1"/>
  <c r="O577" i="47"/>
  <c r="T577" i="47" s="1"/>
  <c r="X577" i="47" s="1"/>
  <c r="Q354" i="47"/>
  <c r="T508" i="47" s="1"/>
  <c r="X508" i="47" s="1"/>
  <c r="AB508" i="47" s="1"/>
  <c r="T507" i="47"/>
  <c r="X507" i="47" s="1"/>
  <c r="AB507" i="47" s="1"/>
  <c r="U367" i="47"/>
  <c r="Z367" i="47"/>
  <c r="Z371" i="47"/>
  <c r="Z370" i="47"/>
  <c r="U372" i="47"/>
  <c r="Z372" i="47"/>
  <c r="U369" i="47"/>
  <c r="Z298" i="47"/>
  <c r="K552" i="47" s="1"/>
  <c r="U300" i="47"/>
  <c r="K504" i="47"/>
  <c r="O504" i="47" s="1"/>
  <c r="T504" i="47" s="1"/>
  <c r="X504" i="47" s="1"/>
  <c r="AB504" i="47" s="1"/>
  <c r="Z300" i="47"/>
  <c r="K554" i="47" s="1"/>
  <c r="U295" i="47"/>
  <c r="K474" i="47" s="1"/>
  <c r="K499" i="47"/>
  <c r="O499" i="47" s="1"/>
  <c r="T499" i="47" s="1"/>
  <c r="X499" i="47" s="1"/>
  <c r="AB499" i="47" s="1"/>
  <c r="U370" i="47"/>
  <c r="Z299" i="47"/>
  <c r="K553" i="47" s="1"/>
  <c r="U298" i="47"/>
  <c r="K502" i="47"/>
  <c r="O502" i="47" s="1"/>
  <c r="T502" i="47" s="1"/>
  <c r="X502" i="47" s="1"/>
  <c r="Z369" i="47"/>
  <c r="U368" i="47"/>
  <c r="U371" i="47"/>
  <c r="Z368" i="47"/>
  <c r="Z295" i="47"/>
  <c r="K549" i="47" s="1"/>
  <c r="Z296" i="47"/>
  <c r="K550" i="47" s="1"/>
  <c r="U297" i="47"/>
  <c r="K501" i="47"/>
  <c r="O501" i="47" s="1"/>
  <c r="T501" i="47" s="1"/>
  <c r="X501" i="47" s="1"/>
  <c r="Z297" i="47"/>
  <c r="K551" i="47" s="1"/>
  <c r="U296" i="47"/>
  <c r="K500" i="47"/>
  <c r="O500" i="47" s="1"/>
  <c r="T500" i="47" s="1"/>
  <c r="X500" i="47" s="1"/>
  <c r="U299" i="47"/>
  <c r="K503" i="47"/>
  <c r="O503" i="47" s="1"/>
  <c r="T503" i="47" s="1"/>
  <c r="X503" i="47" s="1"/>
  <c r="V1227" i="47"/>
  <c r="AF1227" i="47" s="1"/>
  <c r="AF1486" i="47" l="1"/>
  <c r="AB1486" i="47"/>
  <c r="X1486" i="47"/>
  <c r="K1482" i="47"/>
  <c r="K1517" i="47"/>
  <c r="K1410" i="47"/>
  <c r="K1446" i="47"/>
  <c r="AB1414" i="47"/>
  <c r="AF1414" i="47"/>
  <c r="X1414" i="47"/>
  <c r="AB1450" i="47"/>
  <c r="X1450" i="47"/>
  <c r="AF1450" i="47"/>
  <c r="X1445" i="47"/>
  <c r="AF1445" i="47"/>
  <c r="AB1445" i="47"/>
  <c r="AF1521" i="47"/>
  <c r="AB1521" i="47"/>
  <c r="X1521" i="47"/>
  <c r="X1516" i="47"/>
  <c r="AF1516" i="47"/>
  <c r="AB1516" i="47"/>
  <c r="K1415" i="47"/>
  <c r="K1487" i="47"/>
  <c r="K1451" i="47"/>
  <c r="K1522" i="47"/>
  <c r="AF1409" i="47"/>
  <c r="X1409" i="47"/>
  <c r="AB1409" i="47"/>
  <c r="AF1481" i="47"/>
  <c r="X1481" i="47"/>
  <c r="AB1481" i="47"/>
  <c r="X1343" i="47"/>
  <c r="AB1338" i="47"/>
  <c r="AF1338" i="47"/>
  <c r="AB1378" i="47"/>
  <c r="AF1378" i="47"/>
  <c r="X1378" i="47"/>
  <c r="K1339" i="47"/>
  <c r="AF1339" i="47" s="1"/>
  <c r="K1374" i="47"/>
  <c r="X1373" i="47"/>
  <c r="AF1373" i="47"/>
  <c r="AB1373" i="47"/>
  <c r="K1344" i="47"/>
  <c r="K1379" i="47"/>
  <c r="AB1271" i="47"/>
  <c r="AF1271" i="47"/>
  <c r="AB1266" i="47"/>
  <c r="X1266" i="47"/>
  <c r="X1307" i="47"/>
  <c r="AF1307" i="47"/>
  <c r="AB1307" i="47"/>
  <c r="K1267" i="47"/>
  <c r="AF1267" i="47" s="1"/>
  <c r="K1303" i="47"/>
  <c r="AF1302" i="47"/>
  <c r="AB1302" i="47"/>
  <c r="X1302" i="47"/>
  <c r="K1272" i="47"/>
  <c r="K1308" i="47"/>
  <c r="Y1234" i="47"/>
  <c r="AF1233" i="47"/>
  <c r="V859" i="47"/>
  <c r="Q1125" i="47" s="1"/>
  <c r="G859" i="47"/>
  <c r="AD908" i="47"/>
  <c r="AE867" i="47"/>
  <c r="AE870" i="47"/>
  <c r="P868" i="47"/>
  <c r="P867" i="47"/>
  <c r="P871" i="47"/>
  <c r="AE871" i="47"/>
  <c r="AE868" i="47"/>
  <c r="P869" i="47"/>
  <c r="AE869" i="47"/>
  <c r="P870" i="47"/>
  <c r="P872" i="47"/>
  <c r="AB503" i="47"/>
  <c r="AB577" i="47"/>
  <c r="AB575" i="47"/>
  <c r="AB578" i="47"/>
  <c r="AB501" i="47"/>
  <c r="AB502" i="47"/>
  <c r="AB500" i="47"/>
  <c r="AB576" i="47"/>
  <c r="K479" i="47"/>
  <c r="O479" i="47" s="1"/>
  <c r="T479" i="47" s="1"/>
  <c r="X479" i="47" s="1"/>
  <c r="AB479" i="47" s="1"/>
  <c r="O554" i="47"/>
  <c r="T554" i="47" s="1"/>
  <c r="X554" i="47" s="1"/>
  <c r="AB554" i="47" s="1"/>
  <c r="K476" i="47"/>
  <c r="O476" i="47" s="1"/>
  <c r="O551" i="47"/>
  <c r="T551" i="47" s="1"/>
  <c r="X551" i="47" s="1"/>
  <c r="K477" i="47"/>
  <c r="O477" i="47" s="1"/>
  <c r="O552" i="47"/>
  <c r="T552" i="47" s="1"/>
  <c r="X552" i="47" s="1"/>
  <c r="O474" i="47"/>
  <c r="O549" i="47"/>
  <c r="T549" i="47" s="1"/>
  <c r="X549" i="47" s="1"/>
  <c r="AB549" i="47" s="1"/>
  <c r="K475" i="47"/>
  <c r="O475" i="47" s="1"/>
  <c r="O550" i="47"/>
  <c r="T550" i="47" s="1"/>
  <c r="X550" i="47" s="1"/>
  <c r="K478" i="47"/>
  <c r="O478" i="47" s="1"/>
  <c r="O553" i="47"/>
  <c r="T553" i="47" s="1"/>
  <c r="X553" i="47" s="1"/>
  <c r="V1228" i="47"/>
  <c r="AF1228" i="47" s="1"/>
  <c r="AB1517" i="47" l="1"/>
  <c r="X1517" i="47"/>
  <c r="AF1517" i="47"/>
  <c r="K1523" i="47"/>
  <c r="K1488" i="47"/>
  <c r="K1416" i="47"/>
  <c r="K1452" i="47"/>
  <c r="AB1446" i="47"/>
  <c r="AF1446" i="47"/>
  <c r="X1446" i="47"/>
  <c r="AB1410" i="47"/>
  <c r="X1410" i="47"/>
  <c r="AF1410" i="47"/>
  <c r="X1482" i="47"/>
  <c r="AF1482" i="47"/>
  <c r="AB1482" i="47"/>
  <c r="K1447" i="47"/>
  <c r="K1483" i="47"/>
  <c r="K1411" i="47"/>
  <c r="K1518" i="47"/>
  <c r="X1339" i="47"/>
  <c r="AB1339" i="47"/>
  <c r="K1340" i="47"/>
  <c r="AF1340" i="47" s="1"/>
  <c r="K1375" i="47"/>
  <c r="AB1374" i="47"/>
  <c r="X1374" i="47"/>
  <c r="AF1374" i="47"/>
  <c r="K1345" i="47"/>
  <c r="K1380" i="47"/>
  <c r="X1267" i="47"/>
  <c r="AB1267" i="47"/>
  <c r="AF1303" i="47"/>
  <c r="AB1303" i="47"/>
  <c r="X1303" i="47"/>
  <c r="K1268" i="47"/>
  <c r="AB1268" i="47" s="1"/>
  <c r="K1304" i="47"/>
  <c r="K1273" i="47"/>
  <c r="K1309" i="47"/>
  <c r="Y1235" i="47"/>
  <c r="AF1234" i="47"/>
  <c r="Q1114" i="47"/>
  <c r="Q1056" i="47"/>
  <c r="T1056" i="47" s="1"/>
  <c r="W1056" i="47" s="1"/>
  <c r="Q1067" i="47"/>
  <c r="T1067" i="47" s="1"/>
  <c r="W1067" i="47" s="1"/>
  <c r="V883" i="47"/>
  <c r="G883" i="47"/>
  <c r="AD932" i="47"/>
  <c r="P897" i="47"/>
  <c r="P894" i="47"/>
  <c r="P895" i="47"/>
  <c r="AE896" i="47"/>
  <c r="AE891" i="47"/>
  <c r="AE892" i="47"/>
  <c r="P891" i="47"/>
  <c r="AE894" i="47"/>
  <c r="P892" i="47"/>
  <c r="AE893" i="47"/>
  <c r="P893" i="47"/>
  <c r="AE895" i="47"/>
  <c r="P896" i="47"/>
  <c r="AB552" i="47"/>
  <c r="AB551" i="47"/>
  <c r="AB553" i="47"/>
  <c r="AB550" i="47"/>
  <c r="V1229" i="47"/>
  <c r="AF1229" i="47" s="1"/>
  <c r="Z1067" i="47"/>
  <c r="Z1056" i="47"/>
  <c r="J1591" i="47" l="1"/>
  <c r="N1591" i="47" s="1"/>
  <c r="Y1586" i="47"/>
  <c r="AC1586" i="47" s="1"/>
  <c r="J1588" i="47"/>
  <c r="N1588" i="47" s="1"/>
  <c r="J1587" i="47"/>
  <c r="Q1587" i="47" s="1"/>
  <c r="J1590" i="47"/>
  <c r="Q1590" i="47" s="1"/>
  <c r="J1589" i="47"/>
  <c r="N1589" i="47" s="1"/>
  <c r="J1592" i="47"/>
  <c r="N1592" i="47" s="1"/>
  <c r="J1586" i="47"/>
  <c r="Q1586" i="47" s="1"/>
  <c r="Y1587" i="47"/>
  <c r="Y1609" i="47"/>
  <c r="Y1588" i="47"/>
  <c r="Y1610" i="47"/>
  <c r="Y1589" i="47"/>
  <c r="Y1611" i="47"/>
  <c r="Y1590" i="47"/>
  <c r="Y1612" i="47"/>
  <c r="Y1591" i="47"/>
  <c r="Y1613" i="47"/>
  <c r="K1448" i="47"/>
  <c r="K1412" i="47"/>
  <c r="K1519" i="47"/>
  <c r="K1484" i="47"/>
  <c r="K1524" i="47"/>
  <c r="K1489" i="47"/>
  <c r="K1453" i="47"/>
  <c r="K1417" i="47"/>
  <c r="AB1483" i="47"/>
  <c r="X1483" i="47"/>
  <c r="AF1483" i="47"/>
  <c r="X1518" i="47"/>
  <c r="AF1518" i="47"/>
  <c r="AB1518" i="47"/>
  <c r="AF1411" i="47"/>
  <c r="AB1411" i="47"/>
  <c r="X1411" i="47"/>
  <c r="X1447" i="47"/>
  <c r="AF1447" i="47"/>
  <c r="AB1447" i="47"/>
  <c r="AB1340" i="47"/>
  <c r="K1341" i="47"/>
  <c r="AF1341" i="47" s="1"/>
  <c r="K1376" i="47"/>
  <c r="X1340" i="47"/>
  <c r="K1346" i="47"/>
  <c r="K1381" i="47"/>
  <c r="X1375" i="47"/>
  <c r="AB1375" i="47"/>
  <c r="AF1375" i="47"/>
  <c r="AF1268" i="47"/>
  <c r="X1268" i="47"/>
  <c r="K1274" i="47"/>
  <c r="K1310" i="47"/>
  <c r="AF1304" i="47"/>
  <c r="AB1304" i="47"/>
  <c r="X1304" i="47"/>
  <c r="K1269" i="47"/>
  <c r="X1269" i="47" s="1"/>
  <c r="K1305" i="47"/>
  <c r="Y1236" i="47"/>
  <c r="AF1235" i="47"/>
  <c r="Q1115" i="47"/>
  <c r="Q1126" i="47"/>
  <c r="AC1067" i="47"/>
  <c r="AC1056" i="47"/>
  <c r="Q1057" i="47"/>
  <c r="T1057" i="47" s="1"/>
  <c r="W1057" i="47" s="1"/>
  <c r="Q1068" i="47"/>
  <c r="T1068" i="47" s="1"/>
  <c r="W1068" i="47" s="1"/>
  <c r="V907" i="47"/>
  <c r="AD956" i="47"/>
  <c r="AE918" i="47"/>
  <c r="AE919" i="47"/>
  <c r="P915" i="47"/>
  <c r="P921" i="47"/>
  <c r="P916" i="47"/>
  <c r="AE915" i="47"/>
  <c r="AE917" i="47"/>
  <c r="P919" i="47"/>
  <c r="AE916" i="47"/>
  <c r="P917" i="47"/>
  <c r="P918" i="47"/>
  <c r="P920" i="47"/>
  <c r="AE920" i="47"/>
  <c r="G907" i="47"/>
  <c r="V1230" i="47"/>
  <c r="Z1057" i="47"/>
  <c r="Z1058" i="47"/>
  <c r="Z1069" i="47"/>
  <c r="Z1068" i="47"/>
  <c r="AF1586" i="47" l="1"/>
  <c r="Q1588" i="47"/>
  <c r="Q1591" i="47"/>
  <c r="N1590" i="47"/>
  <c r="Q1589" i="47"/>
  <c r="N1586" i="47"/>
  <c r="Q1592" i="47"/>
  <c r="N1587" i="47"/>
  <c r="Y1608" i="47"/>
  <c r="AC1590" i="47"/>
  <c r="AF1590" i="47"/>
  <c r="J1613" i="47"/>
  <c r="J1614" i="47"/>
  <c r="AF1611" i="47"/>
  <c r="AC1611" i="47"/>
  <c r="AF1610" i="47"/>
  <c r="AC1610" i="47"/>
  <c r="AC1612" i="47"/>
  <c r="AF1612" i="47"/>
  <c r="AF1587" i="47"/>
  <c r="AC1587" i="47"/>
  <c r="J1609" i="47"/>
  <c r="AC1588" i="47"/>
  <c r="AF1588" i="47"/>
  <c r="J1611" i="47"/>
  <c r="J1608" i="47"/>
  <c r="J1612" i="47"/>
  <c r="AF1591" i="47"/>
  <c r="AC1591" i="47"/>
  <c r="AF1609" i="47"/>
  <c r="AC1609" i="47"/>
  <c r="J1610" i="47"/>
  <c r="AC1613" i="47"/>
  <c r="AF1613" i="47"/>
  <c r="AF1589" i="47"/>
  <c r="AC1589" i="47"/>
  <c r="AB1341" i="47"/>
  <c r="AF1484" i="47"/>
  <c r="AB1484" i="47"/>
  <c r="X1484" i="47"/>
  <c r="AF1519" i="47"/>
  <c r="AB1519" i="47"/>
  <c r="X1519" i="47"/>
  <c r="K1454" i="47"/>
  <c r="K1490" i="47"/>
  <c r="K1525" i="47"/>
  <c r="K1418" i="47"/>
  <c r="AF1412" i="47"/>
  <c r="X1412" i="47"/>
  <c r="AB1412" i="47"/>
  <c r="X1341" i="47"/>
  <c r="X1448" i="47"/>
  <c r="AB1448" i="47"/>
  <c r="AF1448" i="47"/>
  <c r="K1347" i="47"/>
  <c r="K1382" i="47"/>
  <c r="AF1376" i="47"/>
  <c r="AB1376" i="47"/>
  <c r="X1376" i="47"/>
  <c r="AF1269" i="47"/>
  <c r="K1275" i="47"/>
  <c r="K1311" i="47"/>
  <c r="AB1305" i="47"/>
  <c r="X1305" i="47"/>
  <c r="AF1305" i="47"/>
  <c r="AB1269" i="47"/>
  <c r="Y1237" i="47"/>
  <c r="AF1236" i="47"/>
  <c r="Z1116" i="47"/>
  <c r="Z1115" i="47"/>
  <c r="Z1127" i="47"/>
  <c r="Z1126" i="47"/>
  <c r="Q1117" i="47"/>
  <c r="AC1068" i="47"/>
  <c r="AC1069" i="47"/>
  <c r="AC1057" i="47"/>
  <c r="AC1058" i="47"/>
  <c r="Q1059" i="47"/>
  <c r="V931" i="47"/>
  <c r="G931" i="47"/>
  <c r="AD980" i="47"/>
  <c r="P940" i="47"/>
  <c r="P939" i="47"/>
  <c r="AE940" i="47"/>
  <c r="P941" i="47"/>
  <c r="AE939" i="47"/>
  <c r="AE941" i="47"/>
  <c r="P942" i="47"/>
  <c r="AE943" i="47"/>
  <c r="AE942" i="47"/>
  <c r="P943" i="47"/>
  <c r="P944" i="47"/>
  <c r="AE944" i="47"/>
  <c r="P945" i="47"/>
  <c r="V1231" i="47"/>
  <c r="J1631" i="47" l="1"/>
  <c r="Q1631" i="47" s="1"/>
  <c r="J1633" i="47"/>
  <c r="Q1633" i="47" s="1"/>
  <c r="J1636" i="47"/>
  <c r="N1636" i="47" s="1"/>
  <c r="Y1630" i="47"/>
  <c r="AC1630" i="47" s="1"/>
  <c r="Y1635" i="47"/>
  <c r="J1632" i="47"/>
  <c r="Q1632" i="47" s="1"/>
  <c r="Y1633" i="47"/>
  <c r="Y1634" i="47"/>
  <c r="Y1632" i="47"/>
  <c r="J1635" i="47"/>
  <c r="N1635" i="47" s="1"/>
  <c r="Y1631" i="47"/>
  <c r="J1634" i="47"/>
  <c r="Q1634" i="47" s="1"/>
  <c r="J1630" i="47"/>
  <c r="Q1630" i="47" s="1"/>
  <c r="N1612" i="47"/>
  <c r="Q1612" i="47"/>
  <c r="AF1608" i="47"/>
  <c r="AC1608" i="47"/>
  <c r="Q1611" i="47"/>
  <c r="N1611" i="47"/>
  <c r="Q1609" i="47"/>
  <c r="N1609" i="47"/>
  <c r="Q1613" i="47"/>
  <c r="N1613" i="47"/>
  <c r="N1608" i="47"/>
  <c r="Q1608" i="47"/>
  <c r="N1610" i="47"/>
  <c r="Q1610" i="47"/>
  <c r="N1614" i="47"/>
  <c r="Q1614" i="47"/>
  <c r="R1085" i="47"/>
  <c r="V1085" i="47" s="1"/>
  <c r="K1491" i="47"/>
  <c r="K1526" i="47"/>
  <c r="K1419" i="47"/>
  <c r="K1455" i="47"/>
  <c r="K1348" i="47"/>
  <c r="K1383" i="47"/>
  <c r="K1276" i="47"/>
  <c r="K1312" i="47"/>
  <c r="Y1238" i="47"/>
  <c r="AF1237" i="47"/>
  <c r="Z1117" i="47"/>
  <c r="Z1118" i="47"/>
  <c r="Q1119" i="47"/>
  <c r="Z1119" i="47" s="1"/>
  <c r="Q1061" i="47"/>
  <c r="T1061" i="47" s="1"/>
  <c r="W1061" i="47" s="1"/>
  <c r="T1059" i="47"/>
  <c r="W1059" i="47" s="1"/>
  <c r="V955" i="47"/>
  <c r="G955" i="47"/>
  <c r="AD1004" i="47"/>
  <c r="P964" i="47"/>
  <c r="J1655" i="47" s="1"/>
  <c r="P963" i="47"/>
  <c r="J1654" i="47" s="1"/>
  <c r="AE968" i="47"/>
  <c r="Y1659" i="47" s="1"/>
  <c r="AE964" i="47"/>
  <c r="Y1655" i="47" s="1"/>
  <c r="P965" i="47"/>
  <c r="J1656" i="47" s="1"/>
  <c r="AE965" i="47"/>
  <c r="Y1656" i="47" s="1"/>
  <c r="P966" i="47"/>
  <c r="J1657" i="47" s="1"/>
  <c r="AE967" i="47"/>
  <c r="Y1658" i="47" s="1"/>
  <c r="P968" i="47"/>
  <c r="J1659" i="47" s="1"/>
  <c r="P969" i="47"/>
  <c r="J1660" i="47" s="1"/>
  <c r="AE966" i="47"/>
  <c r="Y1657" i="47" s="1"/>
  <c r="P967" i="47"/>
  <c r="J1658" i="47" s="1"/>
  <c r="AE963" i="47"/>
  <c r="Y1654" i="47" s="1"/>
  <c r="V1232" i="47"/>
  <c r="Z1059" i="47"/>
  <c r="Z1060" i="47"/>
  <c r="Z1061" i="47"/>
  <c r="N1631" i="47" l="1"/>
  <c r="Q1636" i="47"/>
  <c r="N1633" i="47"/>
  <c r="AF1658" i="47"/>
  <c r="AC1658" i="47"/>
  <c r="Q1657" i="47"/>
  <c r="N1657" i="47"/>
  <c r="N1632" i="47"/>
  <c r="AF1654" i="47"/>
  <c r="AC1654" i="47"/>
  <c r="N1656" i="47"/>
  <c r="Q1656" i="47"/>
  <c r="N1660" i="47"/>
  <c r="Q1660" i="47"/>
  <c r="Q1654" i="47"/>
  <c r="N1654" i="47"/>
  <c r="Q1659" i="47"/>
  <c r="N1659" i="47"/>
  <c r="Q1655" i="47"/>
  <c r="N1655" i="47"/>
  <c r="N1658" i="47"/>
  <c r="Q1658" i="47"/>
  <c r="AF1655" i="47"/>
  <c r="AC1655" i="47"/>
  <c r="N1630" i="47"/>
  <c r="AC1656" i="47"/>
  <c r="AF1656" i="47"/>
  <c r="AF1657" i="47"/>
  <c r="AC1657" i="47"/>
  <c r="AF1659" i="47"/>
  <c r="AC1659" i="47"/>
  <c r="Q1635" i="47"/>
  <c r="AC1634" i="47"/>
  <c r="AF1634" i="47"/>
  <c r="AF1630" i="47"/>
  <c r="AC1631" i="47"/>
  <c r="AF1631" i="47"/>
  <c r="AC1633" i="47"/>
  <c r="AF1633" i="47"/>
  <c r="N1634" i="47"/>
  <c r="AC1632" i="47"/>
  <c r="AF1632" i="47"/>
  <c r="AF1635" i="47"/>
  <c r="AC1635" i="47"/>
  <c r="K1492" i="47"/>
  <c r="K1527" i="47"/>
  <c r="K1456" i="47"/>
  <c r="K1420" i="47"/>
  <c r="K1349" i="47"/>
  <c r="K1384" i="47"/>
  <c r="K1277" i="47"/>
  <c r="K1313" i="47"/>
  <c r="Y1239" i="47"/>
  <c r="AF1238" i="47"/>
  <c r="Q1120" i="47"/>
  <c r="Z1120" i="47" s="1"/>
  <c r="AC1060" i="47"/>
  <c r="AC1059" i="47"/>
  <c r="AC1061" i="47"/>
  <c r="Q1062" i="47"/>
  <c r="V979" i="47"/>
  <c r="Q1128" i="47" s="1"/>
  <c r="G979" i="47"/>
  <c r="Q1070" i="47" s="1"/>
  <c r="AD1028" i="47"/>
  <c r="P988" i="47"/>
  <c r="J1677" i="47" s="1"/>
  <c r="P987" i="47"/>
  <c r="J1676" i="47" s="1"/>
  <c r="P993" i="47"/>
  <c r="J1682" i="47" s="1"/>
  <c r="AE988" i="47"/>
  <c r="Y1677" i="47" s="1"/>
  <c r="P989" i="47"/>
  <c r="J1678" i="47" s="1"/>
  <c r="AE992" i="47"/>
  <c r="Y1681" i="47" s="1"/>
  <c r="AE987" i="47"/>
  <c r="Y1676" i="47" s="1"/>
  <c r="AE989" i="47"/>
  <c r="Y1678" i="47" s="1"/>
  <c r="P990" i="47"/>
  <c r="J1679" i="47" s="1"/>
  <c r="AE991" i="47"/>
  <c r="Y1680" i="47" s="1"/>
  <c r="P992" i="47"/>
  <c r="J1681" i="47" s="1"/>
  <c r="AE990" i="47"/>
  <c r="Y1679" i="47" s="1"/>
  <c r="P991" i="47"/>
  <c r="J1680" i="47" s="1"/>
  <c r="V1233" i="47"/>
  <c r="AF1681" i="47" l="1"/>
  <c r="AC1681" i="47"/>
  <c r="Q1680" i="47"/>
  <c r="N1680" i="47"/>
  <c r="AF1679" i="47"/>
  <c r="AC1679" i="47"/>
  <c r="AF1677" i="47"/>
  <c r="AC1677" i="47"/>
  <c r="Q1679" i="47"/>
  <c r="N1679" i="47"/>
  <c r="AF1676" i="47"/>
  <c r="AC1676" i="47"/>
  <c r="Q1681" i="47"/>
  <c r="N1681" i="47"/>
  <c r="Q1682" i="47"/>
  <c r="N1682" i="47"/>
  <c r="Q1677" i="47"/>
  <c r="N1677" i="47"/>
  <c r="AF1678" i="47"/>
  <c r="AC1678" i="47"/>
  <c r="N1678" i="47"/>
  <c r="Q1678" i="47"/>
  <c r="AF1680" i="47"/>
  <c r="AC1680" i="47"/>
  <c r="N1676" i="47"/>
  <c r="Q1676" i="47"/>
  <c r="K1493" i="47"/>
  <c r="K1421" i="47"/>
  <c r="K1528" i="47"/>
  <c r="K1457" i="47"/>
  <c r="K1350" i="47"/>
  <c r="K1385" i="47"/>
  <c r="K1278" i="47"/>
  <c r="K1314" i="47"/>
  <c r="Y1240" i="47"/>
  <c r="AF1239" i="47"/>
  <c r="Z1128" i="47"/>
  <c r="Z1129" i="47"/>
  <c r="T1062" i="47"/>
  <c r="W1062" i="47" s="1"/>
  <c r="R1089" i="47"/>
  <c r="V1089" i="47" s="1"/>
  <c r="T1070" i="47"/>
  <c r="W1070" i="47" s="1"/>
  <c r="R1086" i="47"/>
  <c r="V1086" i="47" s="1"/>
  <c r="V1003" i="47"/>
  <c r="Q1130" i="47" s="1"/>
  <c r="Z1130" i="47" s="1"/>
  <c r="G1003" i="47"/>
  <c r="Q1072" i="47" s="1"/>
  <c r="T1072" i="47" s="1"/>
  <c r="W1072" i="47" s="1"/>
  <c r="P1012" i="47"/>
  <c r="J1699" i="47" s="1"/>
  <c r="P1011" i="47"/>
  <c r="J1698" i="47" s="1"/>
  <c r="P1016" i="47"/>
  <c r="J1703" i="47" s="1"/>
  <c r="AE1012" i="47"/>
  <c r="Y1699" i="47" s="1"/>
  <c r="P1013" i="47"/>
  <c r="J1700" i="47" s="1"/>
  <c r="AE1016" i="47"/>
  <c r="Y1703" i="47" s="1"/>
  <c r="AE1011" i="47"/>
  <c r="Y1698" i="47" s="1"/>
  <c r="AE1013" i="47"/>
  <c r="Y1700" i="47" s="1"/>
  <c r="P1014" i="47"/>
  <c r="J1701" i="47" s="1"/>
  <c r="AE1015" i="47"/>
  <c r="Y1702" i="47" s="1"/>
  <c r="AE1014" i="47"/>
  <c r="Y1701" i="47" s="1"/>
  <c r="P1015" i="47"/>
  <c r="J1702" i="47" s="1"/>
  <c r="P1017" i="47"/>
  <c r="J1704" i="47" s="1"/>
  <c r="V1234" i="47"/>
  <c r="Z1071" i="47"/>
  <c r="Z1070" i="47"/>
  <c r="Z1072" i="47"/>
  <c r="Z1062" i="47"/>
  <c r="AC1699" i="47" l="1"/>
  <c r="AF1699" i="47"/>
  <c r="AF1701" i="47"/>
  <c r="AC1701" i="47"/>
  <c r="Q1703" i="47"/>
  <c r="N1703" i="47"/>
  <c r="Q1699" i="47"/>
  <c r="N1699" i="47"/>
  <c r="AF1700" i="47"/>
  <c r="AC1700" i="47"/>
  <c r="N1702" i="47"/>
  <c r="Q1702" i="47"/>
  <c r="AC1702" i="47"/>
  <c r="AF1702" i="47"/>
  <c r="N1698" i="47"/>
  <c r="Q1698" i="47"/>
  <c r="AF1698" i="47"/>
  <c r="AC1698" i="47"/>
  <c r="AF1703" i="47"/>
  <c r="AC1703" i="47"/>
  <c r="Q1701" i="47"/>
  <c r="N1701" i="47"/>
  <c r="Q1704" i="47"/>
  <c r="N1704" i="47"/>
  <c r="Q1700" i="47"/>
  <c r="N1700" i="47"/>
  <c r="K1422" i="47"/>
  <c r="K1494" i="47"/>
  <c r="K1458" i="47"/>
  <c r="K1529" i="47"/>
  <c r="K1351" i="47"/>
  <c r="K1386" i="47"/>
  <c r="K1279" i="47"/>
  <c r="K1315" i="47"/>
  <c r="Y1241" i="47"/>
  <c r="AF1240" i="47"/>
  <c r="AC1062" i="47"/>
  <c r="AC1070" i="47"/>
  <c r="AC1071" i="47"/>
  <c r="AC1072" i="47"/>
  <c r="V1027" i="47"/>
  <c r="Q1131" i="47" s="1"/>
  <c r="Z1131" i="47" s="1"/>
  <c r="G1027" i="47"/>
  <c r="Q1073" i="47" s="1"/>
  <c r="V1235" i="47"/>
  <c r="K1459" i="47" l="1"/>
  <c r="K1495" i="47"/>
  <c r="K1530" i="47"/>
  <c r="K1423" i="47"/>
  <c r="K1352" i="47"/>
  <c r="K1387" i="47"/>
  <c r="K1280" i="47"/>
  <c r="K1316" i="47"/>
  <c r="Y1242" i="47"/>
  <c r="AF1241" i="47"/>
  <c r="T1073" i="47"/>
  <c r="W1073" i="47" s="1"/>
  <c r="R1090" i="47"/>
  <c r="V1090" i="47" s="1"/>
  <c r="V1236" i="47"/>
  <c r="Z1073" i="47"/>
  <c r="K1531" i="47" l="1"/>
  <c r="K1496" i="47"/>
  <c r="K1424" i="47"/>
  <c r="K1460" i="47"/>
  <c r="K1353" i="47"/>
  <c r="K1388" i="47"/>
  <c r="K1281" i="47"/>
  <c r="K1317" i="47"/>
  <c r="Y1243" i="47"/>
  <c r="AF1242" i="47"/>
  <c r="AC1073" i="47"/>
  <c r="V1237" i="47"/>
  <c r="K1532" i="47" l="1"/>
  <c r="K1497" i="47"/>
  <c r="K1461" i="47"/>
  <c r="K1425" i="47"/>
  <c r="K1354" i="47"/>
  <c r="K1389" i="47"/>
  <c r="K1282" i="47"/>
  <c r="K1318" i="47"/>
  <c r="Y1244" i="47"/>
  <c r="AF1243" i="47"/>
  <c r="V1238" i="47"/>
  <c r="K1533" i="47" l="1"/>
  <c r="K1426" i="47"/>
  <c r="K1498" i="47"/>
  <c r="K1462" i="47"/>
  <c r="K1355" i="47"/>
  <c r="K1390" i="47"/>
  <c r="K1283" i="47"/>
  <c r="K1319" i="47"/>
  <c r="Y1245" i="47"/>
  <c r="AF1244" i="47"/>
  <c r="V1239" i="47"/>
  <c r="K1463" i="47" l="1"/>
  <c r="K1427" i="47"/>
  <c r="K1499" i="47"/>
  <c r="K1534" i="47"/>
  <c r="K1356" i="47"/>
  <c r="K1391" i="47"/>
  <c r="K1284" i="47"/>
  <c r="K1320" i="47"/>
  <c r="Y1246" i="47"/>
  <c r="AF1245" i="47"/>
  <c r="V1240" i="47"/>
  <c r="K1464" i="47" l="1"/>
  <c r="K1500" i="47"/>
  <c r="K1428" i="47"/>
  <c r="K1535" i="47"/>
  <c r="K1357" i="47"/>
  <c r="K1392" i="47"/>
  <c r="K1285" i="47"/>
  <c r="K1321" i="47"/>
  <c r="Y1247" i="47"/>
  <c r="AF1246" i="47"/>
  <c r="V1241" i="47"/>
  <c r="K1429" i="47" l="1"/>
  <c r="K1465" i="47"/>
  <c r="K1536" i="47"/>
  <c r="K1501" i="47"/>
  <c r="K1358" i="47"/>
  <c r="K1393" i="47"/>
  <c r="K1286" i="47"/>
  <c r="K1322" i="47"/>
  <c r="Y1248" i="47"/>
  <c r="AF1247" i="47"/>
  <c r="V1242" i="47"/>
  <c r="K1466" i="47" l="1"/>
  <c r="K1430" i="47"/>
  <c r="K1502" i="47"/>
  <c r="K1537" i="47"/>
  <c r="K1359" i="47"/>
  <c r="K1394" i="47"/>
  <c r="K1287" i="47"/>
  <c r="K1323" i="47"/>
  <c r="Y1249" i="47"/>
  <c r="AF1248" i="47"/>
  <c r="V1243" i="47"/>
  <c r="K1538" i="47" l="1"/>
  <c r="K1503" i="47"/>
  <c r="K1467" i="47"/>
  <c r="K1431" i="47"/>
  <c r="K1360" i="47"/>
  <c r="K1395" i="47"/>
  <c r="K1288" i="47"/>
  <c r="K1324" i="47"/>
  <c r="Y1250" i="47"/>
  <c r="AF1249" i="47"/>
  <c r="V1244" i="47"/>
  <c r="K1468" i="47" l="1"/>
  <c r="K1432" i="47"/>
  <c r="K1539" i="47"/>
  <c r="K1504" i="47"/>
  <c r="K1361" i="47"/>
  <c r="K1396" i="47"/>
  <c r="K1289" i="47"/>
  <c r="K1325" i="47"/>
  <c r="Y1251" i="47"/>
  <c r="AF1251" i="47" s="1"/>
  <c r="AF1250" i="47"/>
  <c r="V1245" i="47"/>
  <c r="K1469" i="47" l="1"/>
  <c r="K1540" i="47"/>
  <c r="K1505" i="47"/>
  <c r="K1433" i="47"/>
  <c r="K1470" i="47"/>
  <c r="K1541" i="47"/>
  <c r="K1506" i="47"/>
  <c r="K1434" i="47"/>
  <c r="K1363" i="47"/>
  <c r="K1398" i="47"/>
  <c r="K1362" i="47"/>
  <c r="K1397" i="47"/>
  <c r="K1290" i="47"/>
  <c r="K1326" i="47"/>
  <c r="K1291" i="47"/>
  <c r="K1327" i="47"/>
  <c r="V1246" i="47"/>
  <c r="V1247" i="47" l="1"/>
  <c r="V1248" i="47" l="1"/>
  <c r="V1249" i="47" l="1"/>
  <c r="V1250" i="47" l="1"/>
  <c r="V1251" i="47" l="1"/>
  <c r="T483" i="47" l="1"/>
  <c r="X483" i="47" s="1"/>
  <c r="AB483" i="47" s="1"/>
  <c r="T482" i="47"/>
  <c r="X482" i="47" s="1"/>
  <c r="AB482" i="47" s="1"/>
  <c r="T485" i="47"/>
  <c r="X485" i="47" s="1"/>
  <c r="AB485" i="47" s="1"/>
  <c r="T488" i="47"/>
  <c r="X488" i="47" s="1"/>
  <c r="AB488" i="47" s="1"/>
  <c r="T481" i="47"/>
  <c r="X481" i="47" s="1"/>
  <c r="AB481" i="47" s="1"/>
  <c r="T486" i="47"/>
  <c r="X486" i="47" s="1"/>
  <c r="AB486" i="47" s="1"/>
  <c r="T484" i="47"/>
  <c r="X484" i="47" s="1"/>
  <c r="AB484" i="47" s="1"/>
  <c r="T487" i="47"/>
  <c r="X487" i="47" s="1"/>
  <c r="AB487" i="47" s="1"/>
  <c r="T480" i="47"/>
  <c r="X480" i="47" s="1"/>
  <c r="AB480" i="47" s="1"/>
  <c r="T489" i="47"/>
  <c r="X489" i="47" s="1"/>
  <c r="AB489" i="47" s="1"/>
  <c r="T475" i="47" l="1"/>
  <c r="X475" i="47" s="1"/>
  <c r="T477" i="47"/>
  <c r="X477" i="47" s="1"/>
  <c r="T478" i="47"/>
  <c r="X478" i="47" s="1"/>
  <c r="T474" i="47"/>
  <c r="X474" i="47" s="1"/>
  <c r="AB474" i="47" s="1"/>
  <c r="T476" i="47"/>
  <c r="X476" i="47" s="1"/>
  <c r="AB476" i="47" l="1"/>
  <c r="AB478" i="47"/>
  <c r="AB477" i="47"/>
  <c r="AB475" i="47"/>
</calcChain>
</file>

<file path=xl/comments1.xml><?xml version="1.0" encoding="utf-8"?>
<comments xmlns="http://schemas.openxmlformats.org/spreadsheetml/2006/main">
  <authors>
    <author>sasaco</author>
  </authors>
  <commentList>
    <comment ref="A290" authorId="0" shapeId="0">
      <text>
        <r>
          <rPr>
            <b/>
            <sz val="9"/>
            <color indexed="81"/>
            <rFont val="ＭＳ Ｐゴシック"/>
            <family val="3"/>
            <charset val="128"/>
          </rPr>
          <t>液状化L1がない場合はここに ×印</t>
        </r>
      </text>
    </comment>
    <comment ref="A312"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<sst xmlns="http://schemas.openxmlformats.org/spreadsheetml/2006/main" count="2179" uniqueCount="625">
  <si>
    <t>変形係数</t>
    <rPh sb="0" eb="2">
      <t>ヘンケイ</t>
    </rPh>
    <rPh sb="2" eb="4">
      <t>ケイスウ</t>
    </rPh>
    <phoneticPr fontId="1"/>
  </si>
  <si>
    <t>×</t>
    <phoneticPr fontId="1"/>
  </si>
  <si>
    <t>：</t>
    <phoneticPr fontId="1"/>
  </si>
  <si>
    <t>ここに、</t>
    <phoneticPr fontId="1"/>
  </si>
  <si>
    <t>φ</t>
    <phoneticPr fontId="1"/>
  </si>
  <si>
    <t>β</t>
    <phoneticPr fontId="1"/>
  </si>
  <si>
    <t>＋</t>
    <phoneticPr fontId="1"/>
  </si>
  <si>
    <t>／</t>
    <phoneticPr fontId="1"/>
  </si>
  <si>
    <t>層番</t>
    <rPh sb="0" eb="1">
      <t>ソウ</t>
    </rPh>
    <rPh sb="1" eb="2">
      <t>バン</t>
    </rPh>
    <phoneticPr fontId="1"/>
  </si>
  <si>
    <t>層厚
(m)</t>
    <rPh sb="0" eb="1">
      <t>ソウ</t>
    </rPh>
    <rPh sb="1" eb="2">
      <t>アツ</t>
    </rPh>
    <phoneticPr fontId="1"/>
  </si>
  <si>
    <t>土質区分</t>
    <rPh sb="0" eb="2">
      <t>ドシツ</t>
    </rPh>
    <rPh sb="2" eb="4">
      <t>クブン</t>
    </rPh>
    <phoneticPr fontId="1"/>
  </si>
  <si>
    <t>Ｎ値</t>
    <rPh sb="1" eb="2">
      <t>アタイ</t>
    </rPh>
    <phoneticPr fontId="1"/>
  </si>
  <si>
    <t>単位体積重量</t>
    <rPh sb="0" eb="2">
      <t>タンイ</t>
    </rPh>
    <rPh sb="2" eb="4">
      <t>タイセキ</t>
    </rPh>
    <rPh sb="4" eb="6">
      <t>ジュウリョウ</t>
    </rPh>
    <phoneticPr fontId="1"/>
  </si>
  <si>
    <t>内部摩擦角</t>
    <rPh sb="0" eb="2">
      <t>ナイブ</t>
    </rPh>
    <rPh sb="2" eb="4">
      <t>マサツ</t>
    </rPh>
    <rPh sb="4" eb="5">
      <t>カク</t>
    </rPh>
    <phoneticPr fontId="1"/>
  </si>
  <si>
    <t>湿潤</t>
    <rPh sb="0" eb="2">
      <t>シツジュン</t>
    </rPh>
    <phoneticPr fontId="1"/>
  </si>
  <si>
    <t>水中</t>
    <rPh sb="0" eb="2">
      <t>スイチュウ</t>
    </rPh>
    <phoneticPr fontId="1"/>
  </si>
  <si>
    <t>φd(°)</t>
    <phoneticPr fontId="1"/>
  </si>
  <si>
    <r>
      <t>Ed(kN/m</t>
    </r>
    <r>
      <rPr>
        <vertAlign val="superscript"/>
        <sz val="10"/>
        <rFont val="ＭＳ ゴシック"/>
        <family val="3"/>
        <charset val="128"/>
      </rPr>
      <t>2</t>
    </r>
    <r>
      <rPr>
        <sz val="10"/>
        <rFont val="ＭＳ ゴシック"/>
        <family val="3"/>
        <charset val="128"/>
      </rPr>
      <t>)</t>
    </r>
    <phoneticPr fontId="1"/>
  </si>
  <si>
    <t>1.1.2　地盤のモデル化</t>
    <rPh sb="6" eb="8">
      <t>ジバン</t>
    </rPh>
    <rPh sb="12" eb="13">
      <t>カ</t>
    </rPh>
    <phoneticPr fontId="1"/>
  </si>
  <si>
    <t>ここでは、地震時も含めた地盤のモデル化を行う。</t>
    <rPh sb="5" eb="8">
      <t>ジシンジ</t>
    </rPh>
    <rPh sb="9" eb="10">
      <t>フク</t>
    </rPh>
    <rPh sb="12" eb="14">
      <t>ジバン</t>
    </rPh>
    <rPh sb="18" eb="19">
      <t>カ</t>
    </rPh>
    <rPh sb="20" eb="21">
      <t>オコナ</t>
    </rPh>
    <phoneticPr fontId="1"/>
  </si>
  <si>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1"/>
  </si>
  <si>
    <t>(a) 地盤抵抗のモデル化</t>
    <rPh sb="4" eb="6">
      <t>ジバン</t>
    </rPh>
    <rPh sb="6" eb="8">
      <t>テイコウ</t>
    </rPh>
    <rPh sb="12" eb="13">
      <t>カ</t>
    </rPh>
    <phoneticPr fontId="1"/>
  </si>
  <si>
    <t>【基礎標準 第Ⅱ編 15.2.2.5】</t>
    <rPh sb="1" eb="3">
      <t>キソ</t>
    </rPh>
    <rPh sb="3" eb="5">
      <t>ヒョウジュン</t>
    </rPh>
    <rPh sb="6" eb="7">
      <t>ダイ</t>
    </rPh>
    <rPh sb="8" eb="9">
      <t>ヘン</t>
    </rPh>
    <phoneticPr fontId="1"/>
  </si>
  <si>
    <t>モデル化する。</t>
    <phoneticPr fontId="1"/>
  </si>
  <si>
    <t>杭工法</t>
    <rPh sb="0" eb="1">
      <t>クイ</t>
    </rPh>
    <rPh sb="1" eb="3">
      <t>コウホウ</t>
    </rPh>
    <phoneticPr fontId="1"/>
  </si>
  <si>
    <r>
      <t>降伏 ρ</t>
    </r>
    <r>
      <rPr>
        <vertAlign val="subscript"/>
        <sz val="10"/>
        <rFont val="ＭＳ 明朝"/>
        <family val="1"/>
        <charset val="128"/>
      </rPr>
      <t>gty</t>
    </r>
    <rPh sb="0" eb="2">
      <t>コウフク</t>
    </rPh>
    <phoneticPr fontId="1"/>
  </si>
  <si>
    <r>
      <t>終局 ρ</t>
    </r>
    <r>
      <rPr>
        <vertAlign val="subscript"/>
        <sz val="10"/>
        <rFont val="ＭＳ 明朝"/>
        <family val="1"/>
        <charset val="128"/>
      </rPr>
      <t>gtu</t>
    </r>
    <rPh sb="0" eb="2">
      <t>シュウキョク</t>
    </rPh>
    <phoneticPr fontId="1"/>
  </si>
  <si>
    <t>＝</t>
    <phoneticPr fontId="1"/>
  </si>
  <si>
    <t>基準先端支持力（kN）</t>
    <rPh sb="0" eb="2">
      <t>キジュン</t>
    </rPh>
    <rPh sb="2" eb="4">
      <t>センタン</t>
    </rPh>
    <rPh sb="4" eb="7">
      <t>シジリョク</t>
    </rPh>
    <phoneticPr fontId="1"/>
  </si>
  <si>
    <r>
      <t>降伏 ρ</t>
    </r>
    <r>
      <rPr>
        <vertAlign val="subscript"/>
        <sz val="10"/>
        <rFont val="ＭＳ 明朝"/>
        <family val="1"/>
        <charset val="128"/>
      </rPr>
      <t>gfy</t>
    </r>
    <rPh sb="0" eb="2">
      <t>コウフク</t>
    </rPh>
    <phoneticPr fontId="1"/>
  </si>
  <si>
    <r>
      <t>終局 ρ</t>
    </r>
    <r>
      <rPr>
        <vertAlign val="subscript"/>
        <sz val="10"/>
        <rFont val="ＭＳ 明朝"/>
        <family val="1"/>
        <charset val="128"/>
      </rPr>
      <t>gfu</t>
    </r>
    <rPh sb="0" eb="2">
      <t>シュウキョク</t>
    </rPh>
    <phoneticPr fontId="1"/>
  </si>
  <si>
    <t>各層での基準周面支持力（kN）</t>
    <rPh sb="0" eb="1">
      <t>カク</t>
    </rPh>
    <rPh sb="1" eb="2">
      <t>ソウ</t>
    </rPh>
    <rPh sb="4" eb="6">
      <t>キジュン</t>
    </rPh>
    <rPh sb="6" eb="8">
      <t>シュウメン</t>
    </rPh>
    <rPh sb="8" eb="11">
      <t>シジリョク</t>
    </rPh>
    <phoneticPr fontId="1"/>
  </si>
  <si>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1"/>
  </si>
  <si>
    <t>に示す。</t>
    <rPh sb="1" eb="2">
      <t>シメ</t>
    </rPh>
    <phoneticPr fontId="1"/>
  </si>
  <si>
    <t>水平方向</t>
    <rPh sb="0" eb="2">
      <t>スイヘイ</t>
    </rPh>
    <rPh sb="2" eb="4">
      <t>ホウコウ</t>
    </rPh>
    <phoneticPr fontId="1"/>
  </si>
  <si>
    <t>鉛直方向</t>
    <rPh sb="0" eb="2">
      <t>エンチョク</t>
    </rPh>
    <rPh sb="2" eb="4">
      <t>ホウコウ</t>
    </rPh>
    <phoneticPr fontId="1"/>
  </si>
  <si>
    <t>杭周面の水平地盤ばね定数</t>
    <rPh sb="0" eb="1">
      <t>クイ</t>
    </rPh>
    <rPh sb="1" eb="3">
      <t>シュウメン</t>
    </rPh>
    <rPh sb="4" eb="6">
      <t>スイヘイ</t>
    </rPh>
    <rPh sb="6" eb="8">
      <t>ジバン</t>
    </rPh>
    <rPh sb="10" eb="12">
      <t>テイスウ</t>
    </rPh>
    <phoneticPr fontId="1"/>
  </si>
  <si>
    <t>水平地盤抵抗</t>
    <rPh sb="0" eb="2">
      <t>スイヘイ</t>
    </rPh>
    <rPh sb="2" eb="4">
      <t>ジバン</t>
    </rPh>
    <rPh sb="4" eb="6">
      <t>テイコウ</t>
    </rPh>
    <phoneticPr fontId="1"/>
  </si>
  <si>
    <t>設計ばね定数の種類</t>
    <rPh sb="0" eb="2">
      <t>セッケイ</t>
    </rPh>
    <rPh sb="4" eb="6">
      <t>テイスウ</t>
    </rPh>
    <rPh sb="7" eb="9">
      <t>シュルイ</t>
    </rPh>
    <phoneticPr fontId="1"/>
  </si>
  <si>
    <t>地盤抵抗の種別</t>
    <rPh sb="0" eb="2">
      <t>ジバン</t>
    </rPh>
    <rPh sb="2" eb="4">
      <t>テイコウ</t>
    </rPh>
    <rPh sb="5" eb="7">
      <t>シュベツ</t>
    </rPh>
    <phoneticPr fontId="1"/>
  </si>
  <si>
    <t>杭周面の鉛直せん断
地盤ばね定数</t>
    <rPh sb="0" eb="1">
      <t>クイ</t>
    </rPh>
    <rPh sb="1" eb="3">
      <t>シュウメン</t>
    </rPh>
    <rPh sb="4" eb="6">
      <t>エンチョク</t>
    </rPh>
    <rPh sb="8" eb="9">
      <t>ダン</t>
    </rPh>
    <rPh sb="10" eb="12">
      <t>ジバン</t>
    </rPh>
    <rPh sb="14" eb="16">
      <t>テイスウ</t>
    </rPh>
    <phoneticPr fontId="1"/>
  </si>
  <si>
    <t>杭先端の鉛直
地盤ばね定数</t>
    <rPh sb="0" eb="1">
      <t>クイ</t>
    </rPh>
    <rPh sb="1" eb="3">
      <t>センタン</t>
    </rPh>
    <rPh sb="4" eb="6">
      <t>エンチョク</t>
    </rPh>
    <rPh sb="7" eb="9">
      <t>ジバン</t>
    </rPh>
    <rPh sb="11" eb="13">
      <t>テイスウ</t>
    </rPh>
    <phoneticPr fontId="1"/>
  </si>
  <si>
    <t>杭周面の鉛直せん断
地盤抵抗</t>
    <rPh sb="0" eb="1">
      <t>クイ</t>
    </rPh>
    <rPh sb="1" eb="3">
      <t>シュウメン</t>
    </rPh>
    <rPh sb="4" eb="6">
      <t>エンチョク</t>
    </rPh>
    <rPh sb="8" eb="9">
      <t>ダン</t>
    </rPh>
    <rPh sb="10" eb="12">
      <t>ジバン</t>
    </rPh>
    <rPh sb="12" eb="14">
      <t>テイコウ</t>
    </rPh>
    <phoneticPr fontId="1"/>
  </si>
  <si>
    <t>地盤反力の折れ曲がり点
または上限値</t>
    <rPh sb="0" eb="2">
      <t>ジバン</t>
    </rPh>
    <rPh sb="2" eb="4">
      <t>ハンリョク</t>
    </rPh>
    <rPh sb="5" eb="6">
      <t>オ</t>
    </rPh>
    <rPh sb="7" eb="8">
      <t>マ</t>
    </rPh>
    <rPh sb="10" eb="11">
      <t>テン</t>
    </rPh>
    <rPh sb="15" eb="18">
      <t>ジョウゲンチ</t>
    </rPh>
    <phoneticPr fontId="1"/>
  </si>
  <si>
    <t>杭先端の鉛直地盤抵抗</t>
    <rPh sb="0" eb="1">
      <t>クイ</t>
    </rPh>
    <rPh sb="1" eb="3">
      <t>センタン</t>
    </rPh>
    <rPh sb="4" eb="6">
      <t>エンチョク</t>
    </rPh>
    <rPh sb="6" eb="8">
      <t>ジバン</t>
    </rPh>
    <rPh sb="8" eb="10">
      <t>テイコウ</t>
    </rPh>
    <phoneticPr fontId="1"/>
  </si>
  <si>
    <t>降伏周面支持力
終局周面支持力</t>
    <rPh sb="0" eb="2">
      <t>コウフク</t>
    </rPh>
    <rPh sb="2" eb="4">
      <t>シュウメン</t>
    </rPh>
    <rPh sb="4" eb="7">
      <t>シジリョク</t>
    </rPh>
    <rPh sb="8" eb="10">
      <t>シュウキョク</t>
    </rPh>
    <rPh sb="10" eb="12">
      <t>シュウメン</t>
    </rPh>
    <rPh sb="12" eb="15">
      <t>シジリョク</t>
    </rPh>
    <phoneticPr fontId="1"/>
  </si>
  <si>
    <t>降伏先端支持力
終局先端支持力</t>
    <rPh sb="0" eb="2">
      <t>コウフク</t>
    </rPh>
    <rPh sb="2" eb="4">
      <t>センタン</t>
    </rPh>
    <rPh sb="4" eb="7">
      <t>シジリョク</t>
    </rPh>
    <rPh sb="8" eb="10">
      <t>シュウキョク</t>
    </rPh>
    <rPh sb="10" eb="12">
      <t>センタン</t>
    </rPh>
    <rPh sb="12" eb="15">
      <t>シジリョク</t>
    </rPh>
    <phoneticPr fontId="1"/>
  </si>
  <si>
    <t>方　向</t>
    <rPh sb="0" eb="1">
      <t>ホウ</t>
    </rPh>
    <rPh sb="2" eb="3">
      <t>ムケ</t>
    </rPh>
    <phoneticPr fontId="1"/>
  </si>
  <si>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1"/>
  </si>
  <si>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1"/>
  </si>
  <si>
    <t>作用の継続時間</t>
    <rPh sb="0" eb="2">
      <t>サヨウ</t>
    </rPh>
    <rPh sb="3" eb="5">
      <t>ケイゾク</t>
    </rPh>
    <rPh sb="5" eb="7">
      <t>ジカン</t>
    </rPh>
    <phoneticPr fontId="1"/>
  </si>
  <si>
    <t>短　期</t>
    <rPh sb="0" eb="1">
      <t>タン</t>
    </rPh>
    <rPh sb="2" eb="3">
      <t>キ</t>
    </rPh>
    <phoneticPr fontId="1"/>
  </si>
  <si>
    <t>長　期</t>
    <rPh sb="0" eb="1">
      <t>チョウ</t>
    </rPh>
    <rPh sb="2" eb="3">
      <t>キ</t>
    </rPh>
    <phoneticPr fontId="1"/>
  </si>
  <si>
    <t>変動作用、偶発作用</t>
    <rPh sb="0" eb="2">
      <t>ヘンドウ</t>
    </rPh>
    <rPh sb="2" eb="4">
      <t>サヨウ</t>
    </rPh>
    <rPh sb="5" eb="7">
      <t>グウハツ</t>
    </rPh>
    <rPh sb="7" eb="9">
      <t>サヨウ</t>
    </rPh>
    <phoneticPr fontId="1"/>
  </si>
  <si>
    <t>永久作用</t>
    <rPh sb="0" eb="2">
      <t>エイキュウ</t>
    </rPh>
    <rPh sb="2" eb="4">
      <t>サヨウ</t>
    </rPh>
    <phoneticPr fontId="1"/>
  </si>
  <si>
    <t>考慮する作用</t>
    <rPh sb="0" eb="2">
      <t>コウリョ</t>
    </rPh>
    <rPh sb="4" eb="6">
      <t>サヨウ</t>
    </rPh>
    <phoneticPr fontId="1"/>
  </si>
  <si>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1"/>
  </si>
  <si>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1"/>
  </si>
  <si>
    <t>＊群杭の場合には、その影響を考慮する。</t>
    <rPh sb="1" eb="2">
      <t>グン</t>
    </rPh>
    <rPh sb="2" eb="3">
      <t>クイ</t>
    </rPh>
    <rPh sb="4" eb="6">
      <t>バアイ</t>
    </rPh>
    <rPh sb="11" eb="13">
      <t>エイキョウ</t>
    </rPh>
    <rPh sb="14" eb="16">
      <t>コウリョ</t>
    </rPh>
    <phoneticPr fontId="1"/>
  </si>
  <si>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1"/>
  </si>
  <si>
    <t>である。</t>
    <phoneticPr fontId="1"/>
  </si>
  <si>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1"/>
  </si>
  <si>
    <r>
      <t>ｋ</t>
    </r>
    <r>
      <rPr>
        <vertAlign val="subscript"/>
        <sz val="10"/>
        <rFont val="ＭＳ 明朝"/>
        <family val="1"/>
        <charset val="128"/>
      </rPr>
      <t>tv</t>
    </r>
    <phoneticPr fontId="1"/>
  </si>
  <si>
    <r>
      <t>ρ</t>
    </r>
    <r>
      <rPr>
        <vertAlign val="subscript"/>
        <sz val="10"/>
        <rFont val="ＭＳ 明朝"/>
        <family val="1"/>
        <charset val="128"/>
      </rPr>
      <t>gk</t>
    </r>
    <phoneticPr fontId="1"/>
  </si>
  <si>
    <r>
      <t>Ｅ</t>
    </r>
    <r>
      <rPr>
        <vertAlign val="subscript"/>
        <sz val="10"/>
        <rFont val="ＭＳ 明朝"/>
        <family val="1"/>
        <charset val="128"/>
      </rPr>
      <t>d</t>
    </r>
    <phoneticPr fontId="1"/>
  </si>
  <si>
    <t>Ｄ</t>
    <phoneticPr fontId="1"/>
  </si>
  <si>
    <t>ここに、</t>
    <phoneticPr fontId="1"/>
  </si>
  <si>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1"/>
  </si>
  <si>
    <t>杭径（m）</t>
    <rPh sb="0" eb="1">
      <t>クイ</t>
    </rPh>
    <rPh sb="1" eb="2">
      <t>ケイ</t>
    </rPh>
    <phoneticPr fontId="1"/>
  </si>
  <si>
    <r>
      <t>ρ</t>
    </r>
    <r>
      <rPr>
        <vertAlign val="subscript"/>
        <sz val="10"/>
        <rFont val="ＭＳ 明朝"/>
        <family val="1"/>
        <charset val="128"/>
      </rPr>
      <t>k</t>
    </r>
    <phoneticPr fontId="1"/>
  </si>
  <si>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1"/>
  </si>
  <si>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</si>
  <si>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Ｄ（m）</t>
    <phoneticPr fontId="1"/>
  </si>
  <si>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</si>
  <si>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1"/>
  </si>
  <si>
    <t>とおりである。</t>
    <phoneticPr fontId="1"/>
  </si>
  <si>
    <r>
      <t>ｋ</t>
    </r>
    <r>
      <rPr>
        <vertAlign val="subscript"/>
        <sz val="10"/>
        <rFont val="ＭＳ 明朝"/>
        <family val="1"/>
        <charset val="128"/>
      </rPr>
      <t>fv</t>
    </r>
    <phoneticPr fontId="1"/>
  </si>
  <si>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1"/>
  </si>
  <si>
    <t>土層
番号</t>
    <rPh sb="0" eb="2">
      <t>ドソウ</t>
    </rPh>
    <rPh sb="3" eb="5">
      <t>バンゴウ</t>
    </rPh>
    <phoneticPr fontId="1"/>
  </si>
  <si>
    <t>②</t>
    <phoneticPr fontId="1"/>
  </si>
  <si>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1"/>
  </si>
  <si>
    <t>①</t>
    <phoneticPr fontId="1"/>
  </si>
  <si>
    <t>基本計算</t>
    <rPh sb="0" eb="2">
      <t>キホン</t>
    </rPh>
    <rPh sb="2" eb="4">
      <t>ケイサン</t>
    </rPh>
    <phoneticPr fontId="1"/>
  </si>
  <si>
    <t>である。</t>
    <phoneticPr fontId="1"/>
  </si>
  <si>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1"/>
  </si>
  <si>
    <r>
      <t>ｋ</t>
    </r>
    <r>
      <rPr>
        <vertAlign val="subscript"/>
        <sz val="10"/>
        <rFont val="ＭＳ 明朝"/>
        <family val="1"/>
        <charset val="128"/>
      </rPr>
      <t>h</t>
    </r>
    <phoneticPr fontId="1"/>
  </si>
  <si>
    <t>非設計解析（バイリニア型）の場合</t>
    <rPh sb="0" eb="1">
      <t>ヒ</t>
    </rPh>
    <rPh sb="1" eb="3">
      <t>セッケイ</t>
    </rPh>
    <rPh sb="3" eb="5">
      <t>カイセキ</t>
    </rPh>
    <rPh sb="11" eb="12">
      <t>カタ</t>
    </rPh>
    <rPh sb="14" eb="16">
      <t>バアイ</t>
    </rPh>
    <phoneticPr fontId="1"/>
  </si>
  <si>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1"/>
  </si>
  <si>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1"/>
  </si>
  <si>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1"/>
  </si>
  <si>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1"/>
  </si>
  <si>
    <r>
      <t>ｋ</t>
    </r>
    <r>
      <rPr>
        <vertAlign val="subscript"/>
        <sz val="10"/>
        <rFont val="ＭＳ 明朝"/>
        <family val="1"/>
        <charset val="128"/>
      </rPr>
      <t>hg</t>
    </r>
    <phoneticPr fontId="1"/>
  </si>
  <si>
    <r>
      <t>ｅ</t>
    </r>
    <r>
      <rPr>
        <vertAlign val="subscript"/>
        <sz val="10"/>
        <rFont val="ＭＳ 明朝"/>
        <family val="1"/>
        <charset val="128"/>
      </rPr>
      <t>g</t>
    </r>
    <phoneticPr fontId="1"/>
  </si>
  <si>
    <t>・</t>
    <phoneticPr fontId="1"/>
  </si>
  <si>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1"/>
  </si>
  <si>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1"/>
  </si>
  <si>
    <t>群杭の補正係数で、次式もしくは</t>
    <rPh sb="0" eb="1">
      <t>グン</t>
    </rPh>
    <rPh sb="1" eb="2">
      <t>クイ</t>
    </rPh>
    <rPh sb="3" eb="5">
      <t>ホセイ</t>
    </rPh>
    <rPh sb="5" eb="7">
      <t>ケイスウ</t>
    </rPh>
    <rPh sb="9" eb="11">
      <t>ジシキ</t>
    </rPh>
    <phoneticPr fontId="1"/>
  </si>
  <si>
    <t>用いて求める。</t>
    <rPh sb="0" eb="1">
      <t>モチ</t>
    </rPh>
    <rPh sb="3" eb="4">
      <t>モト</t>
    </rPh>
    <phoneticPr fontId="1"/>
  </si>
  <si>
    <t>ｋ</t>
    <phoneticPr fontId="1"/>
  </si>
  <si>
    <t>杭頭固定度（0.6とする）</t>
    <rPh sb="0" eb="2">
      <t>クイトウ</t>
    </rPh>
    <rPh sb="2" eb="4">
      <t>コテイ</t>
    </rPh>
    <rPh sb="4" eb="5">
      <t>ド</t>
    </rPh>
    <phoneticPr fontId="1"/>
  </si>
  <si>
    <t>ｄ</t>
  </si>
  <si>
    <t>ｄ</t>
    <phoneticPr fontId="1"/>
  </si>
  <si>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1"/>
  </si>
  <si>
    <r>
      <t>ｎＬ</t>
    </r>
    <r>
      <rPr>
        <vertAlign val="subscript"/>
        <sz val="10"/>
        <rFont val="ＭＳ 明朝"/>
        <family val="1"/>
        <charset val="128"/>
      </rPr>
      <t>n</t>
    </r>
    <phoneticPr fontId="1"/>
  </si>
  <si>
    <r>
      <t>ｍＬ</t>
    </r>
    <r>
      <rPr>
        <vertAlign val="subscript"/>
        <sz val="10"/>
        <rFont val="ＭＳ 明朝"/>
        <family val="1"/>
        <charset val="128"/>
      </rPr>
      <t>m</t>
    </r>
    <phoneticPr fontId="1"/>
  </si>
  <si>
    <t>（ｍ＋ｎ）</t>
    <phoneticPr fontId="1"/>
  </si>
  <si>
    <r>
      <t>Ｌ</t>
    </r>
    <r>
      <rPr>
        <vertAlign val="subscript"/>
        <sz val="10"/>
        <rFont val="ＭＳ 明朝"/>
        <family val="1"/>
        <charset val="128"/>
      </rPr>
      <t>m</t>
    </r>
    <phoneticPr fontId="1"/>
  </si>
  <si>
    <r>
      <t>Ｌ</t>
    </r>
    <r>
      <rPr>
        <vertAlign val="subscript"/>
        <sz val="10"/>
        <rFont val="ＭＳ 明朝"/>
        <family val="1"/>
        <charset val="128"/>
      </rPr>
      <t>n</t>
    </r>
    <phoneticPr fontId="1"/>
  </si>
  <si>
    <t>水平荷重の作用方向の杭本数</t>
    <rPh sb="0" eb="2">
      <t>スイヘイ</t>
    </rPh>
    <rPh sb="2" eb="4">
      <t>カジュウ</t>
    </rPh>
    <rPh sb="5" eb="7">
      <t>サヨウ</t>
    </rPh>
    <rPh sb="7" eb="9">
      <t>ホウコウ</t>
    </rPh>
    <rPh sb="10" eb="11">
      <t>クイ</t>
    </rPh>
    <rPh sb="11" eb="13">
      <t>ホンスウ</t>
    </rPh>
    <phoneticPr fontId="1"/>
  </si>
  <si>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1"/>
  </si>
  <si>
    <t>ｍ</t>
    <phoneticPr fontId="1"/>
  </si>
  <si>
    <t>ｎ</t>
    <phoneticPr fontId="1"/>
  </si>
  <si>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1"/>
  </si>
  <si>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1"/>
  </si>
  <si>
    <t>橋軸直角</t>
    <rPh sb="0" eb="2">
      <t>キョウジク</t>
    </rPh>
    <rPh sb="2" eb="4">
      <t>チョッカク</t>
    </rPh>
    <phoneticPr fontId="1"/>
  </si>
  <si>
    <t>橋　軸</t>
    <rPh sb="0" eb="1">
      <t>キョウ</t>
    </rPh>
    <rPh sb="2" eb="3">
      <t>ジク</t>
    </rPh>
    <phoneticPr fontId="1"/>
  </si>
  <si>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1"/>
  </si>
  <si>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1"/>
  </si>
  <si>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1"/>
  </si>
  <si>
    <r>
      <t>K</t>
    </r>
    <r>
      <rPr>
        <vertAlign val="subscript"/>
        <sz val="10"/>
        <rFont val="ＭＳ 明朝"/>
        <family val="1"/>
        <charset val="128"/>
      </rPr>
      <t>tv</t>
    </r>
    <phoneticPr fontId="1"/>
  </si>
  <si>
    <r>
      <t>Ａ</t>
    </r>
    <r>
      <rPr>
        <vertAlign val="subscript"/>
        <sz val="10"/>
        <rFont val="ＭＳ 明朝"/>
        <family val="1"/>
        <charset val="128"/>
      </rPr>
      <t>v</t>
    </r>
    <phoneticPr fontId="1"/>
  </si>
  <si>
    <t>杭先端の鉛直地盤ばね定数（kN/m）</t>
    <rPh sb="0" eb="1">
      <t>クイ</t>
    </rPh>
    <rPh sb="1" eb="3">
      <t>センタン</t>
    </rPh>
    <rPh sb="4" eb="6">
      <t>エンチョク</t>
    </rPh>
    <rPh sb="6" eb="8">
      <t>ジバン</t>
    </rPh>
    <rPh sb="10" eb="12">
      <t>テイスウ</t>
    </rPh>
    <phoneticPr fontId="1"/>
  </si>
  <si>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1"/>
  </si>
  <si>
    <t>π</t>
    <phoneticPr fontId="1"/>
  </si>
  <si>
    <t>×</t>
    <phoneticPr fontId="1"/>
  </si>
  <si>
    <r>
      <t>m</t>
    </r>
    <r>
      <rPr>
        <vertAlign val="superscript"/>
        <sz val="10"/>
        <rFont val="ＭＳ 明朝"/>
        <family val="1"/>
        <charset val="128"/>
      </rPr>
      <t>2</t>
    </r>
    <phoneticPr fontId="1"/>
  </si>
  <si>
    <t>杭先端の公称径</t>
    <rPh sb="0" eb="1">
      <t>クイ</t>
    </rPh>
    <rPh sb="1" eb="3">
      <t>センタン</t>
    </rPh>
    <rPh sb="4" eb="6">
      <t>コウショウ</t>
    </rPh>
    <rPh sb="6" eb="7">
      <t>ケイ</t>
    </rPh>
    <phoneticPr fontId="1"/>
  </si>
  <si>
    <t>（</t>
    <phoneticPr fontId="1"/>
  </si>
  <si>
    <t>m）</t>
    <phoneticPr fontId="1"/>
  </si>
  <si>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1"/>
  </si>
  <si>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1"/>
  </si>
  <si>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1"/>
  </si>
  <si>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1"/>
  </si>
  <si>
    <r>
      <t>K</t>
    </r>
    <r>
      <rPr>
        <vertAlign val="subscript"/>
        <sz val="10"/>
        <rFont val="ＭＳ 明朝"/>
        <family val="1"/>
        <charset val="128"/>
      </rPr>
      <t>fv</t>
    </r>
    <phoneticPr fontId="1"/>
  </si>
  <si>
    <t>Ｕ</t>
    <phoneticPr fontId="1"/>
  </si>
  <si>
    <t>杭周面の鉛直せん断地盤ばね定数（kN/m）</t>
    <rPh sb="0" eb="1">
      <t>クイ</t>
    </rPh>
    <rPh sb="1" eb="3">
      <t>シュウメン</t>
    </rPh>
    <rPh sb="4" eb="6">
      <t>エンチョク</t>
    </rPh>
    <rPh sb="8" eb="9">
      <t>ダン</t>
    </rPh>
    <rPh sb="9" eb="11">
      <t>ジバン</t>
    </rPh>
    <rPh sb="13" eb="15">
      <t>テイスウ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</si>
  <si>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1"/>
  </si>
  <si>
    <t>杭の直径</t>
    <rPh sb="0" eb="1">
      <t>クイ</t>
    </rPh>
    <rPh sb="2" eb="4">
      <t>チョッケイ</t>
    </rPh>
    <phoneticPr fontId="1"/>
  </si>
  <si>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1"/>
  </si>
  <si>
    <t>【基礎標準 第Ⅱ編 15.2.2.1】</t>
    <phoneticPr fontId="1"/>
  </si>
  <si>
    <t>1)</t>
    <phoneticPr fontId="1"/>
  </si>
  <si>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</si>
  <si>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</si>
  <si>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1"/>
  </si>
  <si>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1"/>
  </si>
  <si>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1"/>
  </si>
  <si>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1"/>
  </si>
  <si>
    <t>1/βの位置</t>
    <rPh sb="4" eb="6">
      <t>イチ</t>
    </rPh>
    <phoneticPr fontId="1"/>
  </si>
  <si>
    <t>βは、次式により求める。</t>
    <rPh sb="3" eb="5">
      <t>ジシキ</t>
    </rPh>
    <rPh sb="8" eb="9">
      <t>モト</t>
    </rPh>
    <phoneticPr fontId="1"/>
  </si>
  <si>
    <t>ＥＩ</t>
    <phoneticPr fontId="1"/>
  </si>
  <si>
    <t>Ｅ</t>
    <phoneticPr fontId="1"/>
  </si>
  <si>
    <t>Ｉ</t>
    <phoneticPr fontId="1"/>
  </si>
  <si>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1"/>
  </si>
  <si>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1"/>
  </si>
  <si>
    <r>
      <t>ヤング係数（kN/m</t>
    </r>
    <r>
      <rPr>
        <vertAlign val="superscript"/>
        <sz val="10"/>
        <rFont val="ＭＳ 明朝"/>
        <family val="1"/>
        <charset val="128"/>
      </rPr>
      <t>2</t>
    </r>
    <r>
      <rPr>
        <sz val="10"/>
        <rFont val="ＭＳ 明朝"/>
        <family val="1"/>
        <charset val="128"/>
      </rPr>
      <t>）</t>
    </r>
    <rPh sb="3" eb="5">
      <t>ケイスウ</t>
    </rPh>
    <phoneticPr fontId="1"/>
  </si>
  <si>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1"/>
  </si>
  <si>
    <r>
      <t>kN/mm</t>
    </r>
    <r>
      <rPr>
        <vertAlign val="superscript"/>
        <sz val="10"/>
        <rFont val="ＭＳ 明朝"/>
        <family val="1"/>
        <charset val="128"/>
      </rPr>
      <t>2</t>
    </r>
    <phoneticPr fontId="1"/>
  </si>
  <si>
    <r>
      <t>kN/m</t>
    </r>
    <r>
      <rPr>
        <vertAlign val="superscript"/>
        <sz val="10"/>
        <rFont val="ＭＳ 明朝"/>
        <family val="1"/>
        <charset val="128"/>
      </rPr>
      <t>2</t>
    </r>
    <r>
      <rPr>
        <sz val="10"/>
        <rFont val="ＭＳ 明朝"/>
        <family val="1"/>
        <charset val="128"/>
      </rPr>
      <t>）</t>
    </r>
    <phoneticPr fontId="1"/>
  </si>
  <si>
    <t>）</t>
    <phoneticPr fontId="1"/>
  </si>
  <si>
    <t>層厚
ｌ（m）</t>
    <rPh sb="0" eb="2">
      <t>ソウアツ</t>
    </rPh>
    <phoneticPr fontId="1"/>
  </si>
  <si>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</si>
  <si>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β</t>
    </r>
    <r>
      <rPr>
        <vertAlign val="subscript"/>
        <sz val="10"/>
        <rFont val="ＭＳ 明朝"/>
        <family val="1"/>
        <charset val="128"/>
      </rPr>
      <t xml:space="preserve">
</t>
    </r>
    <r>
      <rPr>
        <sz val="10"/>
        <rFont val="ＭＳ 明朝"/>
        <family val="1"/>
        <charset val="128"/>
      </rPr>
      <t>（l/m）</t>
    </r>
    <phoneticPr fontId="1"/>
  </si>
  <si>
    <t>β･ｌ</t>
    <phoneticPr fontId="1"/>
  </si>
  <si>
    <t>Σ(β･ｌ)</t>
    <phoneticPr fontId="1"/>
  </si>
  <si>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1"/>
  </si>
  <si>
    <t>ＥＩ</t>
    <phoneticPr fontId="1"/>
  </si>
  <si>
    <r>
      <t>kN･m</t>
    </r>
    <r>
      <rPr>
        <vertAlign val="superscript"/>
        <sz val="10"/>
        <rFont val="ＭＳ 明朝"/>
        <family val="1"/>
        <charset val="128"/>
      </rPr>
      <t>2</t>
    </r>
    <phoneticPr fontId="1"/>
  </si>
  <si>
    <t>）</t>
    <phoneticPr fontId="1"/>
  </si>
  <si>
    <r>
      <rPr>
        <sz val="10"/>
        <rFont val="ＭＳ ゴシック"/>
        <family val="3"/>
        <charset val="128"/>
      </rPr>
      <t>【基礎標準 第Ⅱ編 15.2.2.2 解説図 15.2.2.2-1】</t>
    </r>
    <r>
      <rPr>
        <sz val="10"/>
        <rFont val="ＭＳ 明朝"/>
        <family val="1"/>
        <charset val="128"/>
      </rPr>
      <t>のノモグラムを</t>
    </r>
    <phoneticPr fontId="1"/>
  </si>
  <si>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1"/>
  </si>
  <si>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1"/>
  </si>
  <si>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1"/>
  </si>
  <si>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1"/>
  </si>
  <si>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1"/>
  </si>
  <si>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1"/>
  </si>
  <si>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1"/>
  </si>
  <si>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1"/>
  </si>
  <si>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1"/>
  </si>
  <si>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1"/>
  </si>
  <si>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1"/>
  </si>
  <si>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1"/>
  </si>
  <si>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1"/>
  </si>
  <si>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</si>
  <si>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1"/>
  </si>
  <si>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1"/>
  </si>
  <si>
    <t>表1.1.123 群杭に対する補正係数</t>
    <rPh sb="0" eb="1">
      <t>ヒョウ</t>
    </rPh>
    <rPh sb="9" eb="10">
      <t>グン</t>
    </rPh>
    <rPh sb="10" eb="11">
      <t>クイ</t>
    </rPh>
    <rPh sb="12" eb="13">
      <t>タイ</t>
    </rPh>
    <rPh sb="15" eb="17">
      <t>ホセイ</t>
    </rPh>
    <rPh sb="17" eb="19">
      <t>ケイスウ</t>
    </rPh>
    <phoneticPr fontId="1"/>
  </si>
  <si>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1"/>
  </si>
  <si>
    <t>-</t>
    <phoneticPr fontId="1"/>
  </si>
  <si>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1"/>
  </si>
  <si>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1"/>
  </si>
  <si>
    <t>層厚
（m）</t>
    <rPh sb="0" eb="2">
      <t>ソウアツ</t>
    </rPh>
    <phoneticPr fontId="1"/>
  </si>
  <si>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</si>
  <si>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1"/>
  </si>
  <si>
    <r>
      <t>K</t>
    </r>
    <r>
      <rPr>
        <vertAlign val="subscript"/>
        <sz val="10"/>
        <rFont val="ＭＳ 明朝"/>
        <family val="1"/>
        <charset val="128"/>
      </rPr>
      <t>h</t>
    </r>
    <phoneticPr fontId="1"/>
  </si>
  <si>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1"/>
  </si>
  <si>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</si>
  <si>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t>Ｄ
（m）</t>
    <phoneticPr fontId="1"/>
  </si>
  <si>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1"/>
  </si>
  <si>
    <t>(a) 基準支持力 【基礎標準 第Ⅱ編 15.2.2.3】</t>
    <rPh sb="4" eb="6">
      <t>キジュン</t>
    </rPh>
    <rPh sb="6" eb="8">
      <t>シジ</t>
    </rPh>
    <rPh sb="8" eb="9">
      <t>リョク</t>
    </rPh>
    <phoneticPr fontId="1"/>
  </si>
  <si>
    <r>
      <t>R</t>
    </r>
    <r>
      <rPr>
        <vertAlign val="subscript"/>
        <sz val="10"/>
        <rFont val="ＭＳ 明朝"/>
        <family val="1"/>
        <charset val="128"/>
      </rPr>
      <t>k</t>
    </r>
    <phoneticPr fontId="1"/>
  </si>
  <si>
    <r>
      <t>R</t>
    </r>
    <r>
      <rPr>
        <vertAlign val="subscript"/>
        <sz val="10"/>
        <rFont val="ＭＳ 明朝"/>
        <family val="1"/>
        <charset val="128"/>
      </rPr>
      <t>tk</t>
    </r>
    <phoneticPr fontId="1"/>
  </si>
  <si>
    <r>
      <t>ΣR</t>
    </r>
    <r>
      <rPr>
        <vertAlign val="subscript"/>
        <sz val="10"/>
        <rFont val="ＭＳ 明朝"/>
        <family val="1"/>
        <charset val="128"/>
      </rPr>
      <t>fk</t>
    </r>
    <phoneticPr fontId="1"/>
  </si>
  <si>
    <r>
      <t>R</t>
    </r>
    <r>
      <rPr>
        <vertAlign val="subscript"/>
        <sz val="10"/>
        <rFont val="ＭＳ 明朝"/>
        <family val="1"/>
        <charset val="128"/>
      </rPr>
      <t>fk</t>
    </r>
    <phoneticPr fontId="1"/>
  </si>
  <si>
    <t>押込み側の基準支持力（kN）</t>
    <rPh sb="0" eb="2">
      <t>オシコ</t>
    </rPh>
    <rPh sb="3" eb="4">
      <t>ガワ</t>
    </rPh>
    <rPh sb="5" eb="7">
      <t>キジュン</t>
    </rPh>
    <rPh sb="7" eb="9">
      <t>シジ</t>
    </rPh>
    <rPh sb="9" eb="10">
      <t>リョク</t>
    </rPh>
    <phoneticPr fontId="1"/>
  </si>
  <si>
    <t>基準先端支持力（kN）（押込み側のみ）</t>
    <rPh sb="0" eb="2">
      <t>キジュン</t>
    </rPh>
    <rPh sb="2" eb="4">
      <t>センタン</t>
    </rPh>
    <rPh sb="4" eb="6">
      <t>シジ</t>
    </rPh>
    <rPh sb="6" eb="7">
      <t>リョク</t>
    </rPh>
    <rPh sb="12" eb="14">
      <t>オシコ</t>
    </rPh>
    <rPh sb="15" eb="16">
      <t>ガワ</t>
    </rPh>
    <phoneticPr fontId="1"/>
  </si>
  <si>
    <t>各層での基準周面支持力（kN）</t>
    <rPh sb="0" eb="2">
      <t>カクソウ</t>
    </rPh>
    <rPh sb="4" eb="6">
      <t>キジュン</t>
    </rPh>
    <rPh sb="6" eb="7">
      <t>シュウ</t>
    </rPh>
    <rPh sb="7" eb="8">
      <t>メン</t>
    </rPh>
    <rPh sb="8" eb="10">
      <t>シジ</t>
    </rPh>
    <rPh sb="10" eb="11">
      <t>リョク</t>
    </rPh>
    <phoneticPr fontId="1"/>
  </si>
  <si>
    <t>①基準先端支持力 【基礎標準 第Ⅱ編 15.2.2.3】</t>
    <rPh sb="1" eb="3">
      <t>キジュン</t>
    </rPh>
    <rPh sb="3" eb="5">
      <t>センタン</t>
    </rPh>
    <rPh sb="5" eb="7">
      <t>シジ</t>
    </rPh>
    <rPh sb="7" eb="8">
      <t>リョク</t>
    </rPh>
    <phoneticPr fontId="1"/>
  </si>
  <si>
    <t>基準先端支持力は、次式により求める。</t>
    <rPh sb="0" eb="2">
      <t>キジュン</t>
    </rPh>
    <rPh sb="2" eb="4">
      <t>センタン</t>
    </rPh>
    <rPh sb="4" eb="6">
      <t>シジ</t>
    </rPh>
    <rPh sb="6" eb="7">
      <t>リョク</t>
    </rPh>
    <rPh sb="9" eb="11">
      <t>ジシキ</t>
    </rPh>
    <rPh sb="14" eb="15">
      <t>モト</t>
    </rPh>
    <phoneticPr fontId="1"/>
  </si>
  <si>
    <r>
      <t>q</t>
    </r>
    <r>
      <rPr>
        <vertAlign val="subscript"/>
        <sz val="10"/>
        <rFont val="ＭＳ 明朝"/>
        <family val="1"/>
        <charset val="128"/>
      </rPr>
      <t>tk</t>
    </r>
    <phoneticPr fontId="1"/>
  </si>
  <si>
    <r>
      <t>A</t>
    </r>
    <r>
      <rPr>
        <vertAlign val="subscript"/>
        <sz val="10"/>
        <rFont val="ＭＳ 明朝"/>
        <family val="1"/>
        <charset val="128"/>
      </rPr>
      <t>t</t>
    </r>
    <phoneticPr fontId="1"/>
  </si>
  <si>
    <t>基準先端支持力（kN）</t>
    <rPh sb="0" eb="2">
      <t>キジュン</t>
    </rPh>
    <rPh sb="2" eb="4">
      <t>センタン</t>
    </rPh>
    <rPh sb="4" eb="6">
      <t>シジ</t>
    </rPh>
    <rPh sb="6" eb="7">
      <t>リョク</t>
    </rPh>
    <phoneticPr fontId="1"/>
  </si>
  <si>
    <t>砂質土の場合</t>
    <rPh sb="0" eb="1">
      <t>サ</t>
    </rPh>
    <rPh sb="1" eb="2">
      <t>シツ</t>
    </rPh>
    <rPh sb="2" eb="3">
      <t>ド</t>
    </rPh>
    <rPh sb="4" eb="6">
      <t>バアイ</t>
    </rPh>
    <phoneticPr fontId="1"/>
  </si>
  <si>
    <t>砂礫の場合</t>
    <rPh sb="0" eb="2">
      <t>サレキ</t>
    </rPh>
    <rPh sb="3" eb="5">
      <t>バアイ</t>
    </rPh>
    <phoneticPr fontId="1"/>
  </si>
  <si>
    <t>N</t>
    <phoneticPr fontId="1"/>
  </si>
  <si>
    <t>60N</t>
    <phoneticPr fontId="1"/>
  </si>
  <si>
    <t>≦</t>
    <phoneticPr fontId="1"/>
  </si>
  <si>
    <r>
      <t>(kN/m</t>
    </r>
    <r>
      <rPr>
        <vertAlign val="superscript"/>
        <sz val="10"/>
        <rFont val="ＭＳ 明朝"/>
        <family val="1"/>
        <charset val="128"/>
      </rPr>
      <t>2</t>
    </r>
    <r>
      <rPr>
        <sz val="10"/>
        <rFont val="ＭＳ 明朝"/>
        <family val="1"/>
        <charset val="128"/>
      </rPr>
      <t>)</t>
    </r>
    <phoneticPr fontId="1"/>
  </si>
  <si>
    <t>杭先端から下方3Dの区間の最小N値</t>
    <rPh sb="0" eb="1">
      <t>クイ</t>
    </rPh>
    <rPh sb="1" eb="3">
      <t>センタン</t>
    </rPh>
    <rPh sb="5" eb="7">
      <t>カホウ</t>
    </rPh>
    <rPh sb="10" eb="12">
      <t>クカン</t>
    </rPh>
    <rPh sb="13" eb="15">
      <t>サイショウ</t>
    </rPh>
    <rPh sb="16" eb="17">
      <t>チ</t>
    </rPh>
    <phoneticPr fontId="1"/>
  </si>
  <si>
    <t>π</t>
    <phoneticPr fontId="1"/>
  </si>
  <si>
    <r>
      <t xml:space="preserve"> </t>
    </r>
    <r>
      <rPr>
        <vertAlign val="superscript"/>
        <sz val="10"/>
        <rFont val="ＭＳ 明朝"/>
        <family val="1"/>
        <charset val="128"/>
      </rPr>
      <t>2</t>
    </r>
    <phoneticPr fontId="1"/>
  </si>
  <si>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1"/>
  </si>
  <si>
    <t>②各層での基準周面支持力 【基礎標準 第Ⅱ編 15.2.2.3】</t>
    <rPh sb="1" eb="3">
      <t>カクソウ</t>
    </rPh>
    <rPh sb="5" eb="7">
      <t>キジュン</t>
    </rPh>
    <rPh sb="7" eb="8">
      <t>シュウ</t>
    </rPh>
    <rPh sb="8" eb="9">
      <t>メン</t>
    </rPh>
    <rPh sb="9" eb="11">
      <t>シジ</t>
    </rPh>
    <rPh sb="11" eb="12">
      <t>リョク</t>
    </rPh>
    <phoneticPr fontId="1"/>
  </si>
  <si>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1"/>
  </si>
  <si>
    <r>
      <t>r</t>
    </r>
    <r>
      <rPr>
        <vertAlign val="subscript"/>
        <sz val="10"/>
        <rFont val="ＭＳ 明朝"/>
        <family val="1"/>
        <charset val="128"/>
      </rPr>
      <t>fk</t>
    </r>
    <phoneticPr fontId="1"/>
  </si>
  <si>
    <t>Ｕ</t>
    <phoneticPr fontId="1"/>
  </si>
  <si>
    <t>⊿l</t>
    <phoneticPr fontId="1"/>
  </si>
  <si>
    <t>杭の周長</t>
    <rPh sb="0" eb="1">
      <t>クイ</t>
    </rPh>
    <rPh sb="2" eb="3">
      <t>シュウ</t>
    </rPh>
    <rPh sb="3" eb="4">
      <t>チョウ</t>
    </rPh>
    <phoneticPr fontId="1"/>
  </si>
  <si>
    <t>砂質土または砂礫の場合</t>
    <rPh sb="0" eb="1">
      <t>サ</t>
    </rPh>
    <rPh sb="1" eb="2">
      <t>シツ</t>
    </rPh>
    <rPh sb="2" eb="3">
      <t>ド</t>
    </rPh>
    <rPh sb="6" eb="8">
      <t>サレキ</t>
    </rPh>
    <rPh sb="9" eb="11">
      <t>バアイ</t>
    </rPh>
    <phoneticPr fontId="1"/>
  </si>
  <si>
    <t>粘性土の場合</t>
    <rPh sb="0" eb="2">
      <t>ネンセイ</t>
    </rPh>
    <rPh sb="2" eb="3">
      <t>ド</t>
    </rPh>
    <rPh sb="4" eb="6">
      <t>バアイ</t>
    </rPh>
    <phoneticPr fontId="1"/>
  </si>
  <si>
    <t>または</t>
    <phoneticPr fontId="1"/>
  </si>
  <si>
    <t>標準貫入試験のN値</t>
    <rPh sb="0" eb="2">
      <t>ヒョウジュン</t>
    </rPh>
    <rPh sb="2" eb="3">
      <t>カン</t>
    </rPh>
    <rPh sb="3" eb="4">
      <t>ニュウ</t>
    </rPh>
    <rPh sb="4" eb="6">
      <t>シケン</t>
    </rPh>
    <rPh sb="8" eb="9">
      <t>チ</t>
    </rPh>
    <phoneticPr fontId="1"/>
  </si>
  <si>
    <t>c</t>
    <phoneticPr fontId="1"/>
  </si>
  <si>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1"/>
  </si>
  <si>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1"/>
  </si>
  <si>
    <t>土質</t>
    <rPh sb="0" eb="2">
      <t>ドシツ</t>
    </rPh>
    <phoneticPr fontId="1"/>
  </si>
  <si>
    <t>粘性土</t>
    <rPh sb="0" eb="2">
      <t>ネンセイ</t>
    </rPh>
    <rPh sb="2" eb="3">
      <t>ド</t>
    </rPh>
    <phoneticPr fontId="1"/>
  </si>
  <si>
    <t>砂質土</t>
    <rPh sb="0" eb="1">
      <t>サ</t>
    </rPh>
    <rPh sb="1" eb="2">
      <t>シツ</t>
    </rPh>
    <rPh sb="2" eb="3">
      <t>ド</t>
    </rPh>
    <phoneticPr fontId="1"/>
  </si>
  <si>
    <r>
      <t>R</t>
    </r>
    <r>
      <rPr>
        <vertAlign val="subscript"/>
        <sz val="10"/>
        <rFont val="ＭＳ 明朝"/>
        <family val="1"/>
        <charset val="128"/>
      </rPr>
      <t>fk</t>
    </r>
    <r>
      <rPr>
        <sz val="10"/>
        <rFont val="ＭＳ 明朝"/>
        <family val="1"/>
        <charset val="128"/>
      </rPr>
      <t xml:space="preserve">
（kN）</t>
    </r>
    <phoneticPr fontId="1"/>
  </si>
  <si>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1"/>
  </si>
  <si>
    <t>①設計鉛直支持力</t>
    <rPh sb="1" eb="3">
      <t>セッケイ</t>
    </rPh>
    <rPh sb="3" eb="5">
      <t>エンチョク</t>
    </rPh>
    <rPh sb="5" eb="7">
      <t>シジ</t>
    </rPh>
    <rPh sb="7" eb="8">
      <t>リョク</t>
    </rPh>
    <phoneticPr fontId="1"/>
  </si>
  <si>
    <r>
      <t>R</t>
    </r>
    <r>
      <rPr>
        <vertAlign val="subscript"/>
        <sz val="10"/>
        <rFont val="ＭＳ 明朝"/>
        <family val="1"/>
        <charset val="128"/>
      </rPr>
      <t>vd</t>
    </r>
    <phoneticPr fontId="1"/>
  </si>
  <si>
    <r>
      <t>f</t>
    </r>
    <r>
      <rPr>
        <vertAlign val="subscript"/>
        <sz val="10"/>
        <rFont val="ＭＳ 明朝"/>
        <family val="1"/>
        <charset val="128"/>
      </rPr>
      <t>r</t>
    </r>
    <phoneticPr fontId="1"/>
  </si>
  <si>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1"/>
  </si>
  <si>
    <t>設計鉛直支持力（kN）</t>
    <rPh sb="0" eb="2">
      <t>セッケイ</t>
    </rPh>
    <rPh sb="2" eb="4">
      <t>エンチョク</t>
    </rPh>
    <rPh sb="4" eb="6">
      <t>シジ</t>
    </rPh>
    <rPh sb="6" eb="7">
      <t>リョク</t>
    </rPh>
    <phoneticPr fontId="1"/>
  </si>
  <si>
    <t>基準支持力（kN）</t>
    <rPh sb="0" eb="2">
      <t>キジュン</t>
    </rPh>
    <rPh sb="2" eb="4">
      <t>シジ</t>
    </rPh>
    <rPh sb="4" eb="5">
      <t>リョク</t>
    </rPh>
    <phoneticPr fontId="1"/>
  </si>
  <si>
    <t>基準周面支持力（kN）</t>
    <rPh sb="0" eb="2">
      <t>キジュン</t>
    </rPh>
    <rPh sb="2" eb="3">
      <t>シュウ</t>
    </rPh>
    <rPh sb="3" eb="4">
      <t>メン</t>
    </rPh>
    <rPh sb="4" eb="6">
      <t>シジ</t>
    </rPh>
    <rPh sb="6" eb="7">
      <t>リョク</t>
    </rPh>
    <phoneticPr fontId="1"/>
  </si>
  <si>
    <t>解説図 15.3.4.2-1(残留鉛直変位)より算定する。</t>
    <phoneticPr fontId="1"/>
  </si>
  <si>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1"/>
  </si>
  <si>
    <t>支持力Rvdは、次式により算出する。</t>
    <rPh sb="8" eb="10">
      <t>ジシキ</t>
    </rPh>
    <rPh sb="13" eb="15">
      <t>サンシュツ</t>
    </rPh>
    <phoneticPr fontId="1"/>
  </si>
  <si>
    <t>(支持【基礎標準 第Ⅱ編15.3.2.2】性能)、【基礎標準 第Ⅱ編 15.3.4.2】</t>
    <rPh sb="21" eb="23">
      <t>セイノウ</t>
    </rPh>
    <rPh sb="26" eb="28">
      <t>キソ</t>
    </rPh>
    <rPh sb="28" eb="30">
      <t>ヒョウジュン</t>
    </rPh>
    <rPh sb="31" eb="32">
      <t>ダイ</t>
    </rPh>
    <rPh sb="33" eb="34">
      <t>ヘン</t>
    </rPh>
    <phoneticPr fontId="1"/>
  </si>
  <si>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1"/>
  </si>
  <si>
    <t>(安定)、【基礎標準 第Ⅱ編15.3.3.2】解説図 15.3.3.2-1</t>
    <rPh sb="6" eb="8">
      <t>キソ</t>
    </rPh>
    <rPh sb="8" eb="10">
      <t>ヒョウジュン</t>
    </rPh>
    <rPh sb="11" eb="12">
      <t>ダイ</t>
    </rPh>
    <rPh sb="13" eb="14">
      <t>ヘン</t>
    </rPh>
    <rPh sb="23" eb="25">
      <t>カイセツ</t>
    </rPh>
    <rPh sb="25" eb="26">
      <t>ズ</t>
    </rPh>
    <phoneticPr fontId="1"/>
  </si>
  <si>
    <t>要求性能</t>
    <rPh sb="0" eb="2">
      <t>ヨウキュウ</t>
    </rPh>
    <rPh sb="2" eb="4">
      <t>セイノウ</t>
    </rPh>
    <phoneticPr fontId="1"/>
  </si>
  <si>
    <t>性能項目</t>
    <rPh sb="0" eb="2">
      <t>セイノウ</t>
    </rPh>
    <rPh sb="2" eb="4">
      <t>コウモク</t>
    </rPh>
    <phoneticPr fontId="1"/>
  </si>
  <si>
    <r>
      <t>R</t>
    </r>
    <r>
      <rPr>
        <vertAlign val="subscript"/>
        <sz val="10"/>
        <rFont val="ＭＳ 明朝"/>
        <family val="1"/>
        <charset val="128"/>
      </rPr>
      <t>tk</t>
    </r>
    <r>
      <rPr>
        <sz val="10"/>
        <rFont val="ＭＳ 明朝"/>
        <family val="1"/>
        <charset val="128"/>
      </rPr>
      <t xml:space="preserve">
(kN)</t>
    </r>
    <phoneticPr fontId="1"/>
  </si>
  <si>
    <t>fr</t>
    <phoneticPr fontId="1"/>
  </si>
  <si>
    <r>
      <t>R</t>
    </r>
    <r>
      <rPr>
        <vertAlign val="subscript"/>
        <sz val="10"/>
        <rFont val="ＭＳ 明朝"/>
        <family val="1"/>
        <charset val="128"/>
      </rPr>
      <t>vd</t>
    </r>
    <r>
      <rPr>
        <sz val="10"/>
        <rFont val="ＭＳ 明朝"/>
        <family val="1"/>
        <charset val="128"/>
      </rPr>
      <t xml:space="preserve">
(kN)</t>
    </r>
    <phoneticPr fontId="1"/>
  </si>
  <si>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1"/>
  </si>
  <si>
    <r>
      <t>ΣR</t>
    </r>
    <r>
      <rPr>
        <vertAlign val="subscript"/>
        <sz val="10"/>
        <rFont val="ＭＳ 明朝"/>
        <family val="1"/>
        <charset val="128"/>
      </rPr>
      <t>fk</t>
    </r>
    <r>
      <rPr>
        <sz val="10"/>
        <rFont val="ＭＳ 明朝"/>
        <family val="1"/>
        <charset val="128"/>
      </rPr>
      <t xml:space="preserve">
(kN)</t>
    </r>
    <phoneticPr fontId="1"/>
  </si>
  <si>
    <r>
      <t>R</t>
    </r>
    <r>
      <rPr>
        <vertAlign val="subscript"/>
        <sz val="10"/>
        <rFont val="ＭＳ 明朝"/>
        <family val="1"/>
        <charset val="128"/>
      </rPr>
      <t>k</t>
    </r>
    <r>
      <rPr>
        <sz val="10"/>
        <rFont val="ＭＳ 明朝"/>
        <family val="1"/>
        <charset val="128"/>
      </rPr>
      <t xml:space="preserve">
(kN)</t>
    </r>
    <phoneticPr fontId="1"/>
  </si>
  <si>
    <t>長期支持性能</t>
    <rPh sb="0" eb="2">
      <t>チョウキ</t>
    </rPh>
    <rPh sb="2" eb="4">
      <t>シジ</t>
    </rPh>
    <rPh sb="4" eb="6">
      <t>セイノウ</t>
    </rPh>
    <phoneticPr fontId="1"/>
  </si>
  <si>
    <t>短期支持性能</t>
    <rPh sb="0" eb="2">
      <t>タンキ</t>
    </rPh>
    <rPh sb="2" eb="4">
      <t>シジ</t>
    </rPh>
    <rPh sb="4" eb="6">
      <t>セイノウ</t>
    </rPh>
    <phoneticPr fontId="1"/>
  </si>
  <si>
    <t>使用性</t>
    <rPh sb="0" eb="2">
      <t>シヨウ</t>
    </rPh>
    <rPh sb="2" eb="3">
      <t>セイ</t>
    </rPh>
    <phoneticPr fontId="1"/>
  </si>
  <si>
    <t>安全性</t>
    <rPh sb="0" eb="3">
      <t>アンゼンセイ</t>
    </rPh>
    <phoneticPr fontId="1"/>
  </si>
  <si>
    <t>復旧性</t>
    <rPh sb="0" eb="2">
      <t>フッキュウ</t>
    </rPh>
    <rPh sb="2" eb="3">
      <t>セイ</t>
    </rPh>
    <phoneticPr fontId="1"/>
  </si>
  <si>
    <t>残留鉛直変位
（性能レベル１）</t>
    <rPh sb="0" eb="2">
      <t>ザンリュウ</t>
    </rPh>
    <rPh sb="2" eb="4">
      <t>エンチョク</t>
    </rPh>
    <rPh sb="4" eb="6">
      <t>ヘンイ</t>
    </rPh>
    <rPh sb="8" eb="10">
      <t>セイノウ</t>
    </rPh>
    <phoneticPr fontId="1"/>
  </si>
  <si>
    <t>残留鉛直変位
（性能レベル２）</t>
    <rPh sb="0" eb="2">
      <t>ザンリュウ</t>
    </rPh>
    <rPh sb="2" eb="4">
      <t>エンチョク</t>
    </rPh>
    <rPh sb="4" eb="6">
      <t>ヘンイ</t>
    </rPh>
    <rPh sb="8" eb="10">
      <t>セイノウ</t>
    </rPh>
    <phoneticPr fontId="1"/>
  </si>
  <si>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1"/>
  </si>
  <si>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1"/>
  </si>
  <si>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1"/>
  </si>
  <si>
    <r>
      <t>f</t>
    </r>
    <r>
      <rPr>
        <vertAlign val="subscript"/>
        <sz val="10"/>
        <rFont val="ＭＳ 明朝"/>
        <family val="1"/>
        <charset val="128"/>
      </rPr>
      <t>rt</t>
    </r>
    <phoneticPr fontId="1"/>
  </si>
  <si>
    <r>
      <t>f</t>
    </r>
    <r>
      <rPr>
        <vertAlign val="subscript"/>
        <sz val="10"/>
        <rFont val="ＭＳ 明朝"/>
        <family val="1"/>
        <charset val="128"/>
      </rPr>
      <t>rf</t>
    </r>
    <phoneticPr fontId="1"/>
  </si>
  <si>
    <t>杭先端の地盤抵抗係数</t>
    <rPh sb="0" eb="1">
      <t>クイ</t>
    </rPh>
    <rPh sb="1" eb="3">
      <t>センタン</t>
    </rPh>
    <rPh sb="4" eb="6">
      <t>ジバン</t>
    </rPh>
    <rPh sb="6" eb="8">
      <t>テイコウ</t>
    </rPh>
    <rPh sb="8" eb="10">
      <t>ケイスウ</t>
    </rPh>
    <phoneticPr fontId="1"/>
  </si>
  <si>
    <t>杭周面の地盤抵抗係数</t>
    <rPh sb="0" eb="1">
      <t>クイ</t>
    </rPh>
    <rPh sb="1" eb="2">
      <t>シュウ</t>
    </rPh>
    <rPh sb="2" eb="3">
      <t>メン</t>
    </rPh>
    <rPh sb="4" eb="6">
      <t>ジバン</t>
    </rPh>
    <rPh sb="6" eb="8">
      <t>テイコウ</t>
    </rPh>
    <rPh sb="8" eb="10">
      <t>ケイスウ</t>
    </rPh>
    <phoneticPr fontId="1"/>
  </si>
  <si>
    <t>kN</t>
    <phoneticPr fontId="1"/>
  </si>
  <si>
    <t>②設計引抜き抵抗力</t>
    <rPh sb="1" eb="3">
      <t>セッケイ</t>
    </rPh>
    <rPh sb="3" eb="5">
      <t>ヒキヌ</t>
    </rPh>
    <rPh sb="6" eb="9">
      <t>テイコウリョク</t>
    </rPh>
    <phoneticPr fontId="1"/>
  </si>
  <si>
    <t>引抜き抵抗力は、次式により算出する。</t>
    <rPh sb="3" eb="6">
      <t>テイコウリョク</t>
    </rPh>
    <rPh sb="8" eb="10">
      <t>ジシキ</t>
    </rPh>
    <rPh sb="13" eb="15">
      <t>サンシュツ</t>
    </rPh>
    <phoneticPr fontId="1"/>
  </si>
  <si>
    <r>
      <t>R</t>
    </r>
    <r>
      <rPr>
        <vertAlign val="subscript"/>
        <sz val="10"/>
        <rFont val="ＭＳ 明朝"/>
        <family val="1"/>
        <charset val="128"/>
      </rPr>
      <t>ud</t>
    </r>
    <phoneticPr fontId="1"/>
  </si>
  <si>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1"/>
  </si>
  <si>
    <r>
      <t>W</t>
    </r>
    <r>
      <rPr>
        <vertAlign val="subscript"/>
        <sz val="10"/>
        <rFont val="ＭＳ 明朝"/>
        <family val="1"/>
        <charset val="128"/>
      </rPr>
      <t>p</t>
    </r>
    <phoneticPr fontId="1"/>
  </si>
  <si>
    <t>設計引抜き抵抗力（kN）</t>
    <rPh sb="0" eb="2">
      <t>セッケイ</t>
    </rPh>
    <rPh sb="2" eb="4">
      <t>ヒキヌ</t>
    </rPh>
    <rPh sb="5" eb="7">
      <t>テイコウ</t>
    </rPh>
    <rPh sb="7" eb="8">
      <t>リョク</t>
    </rPh>
    <phoneticPr fontId="1"/>
  </si>
  <si>
    <t>地盤抵抗係数</t>
    <rPh sb="0" eb="2">
      <t>ジバン</t>
    </rPh>
    <rPh sb="2" eb="4">
      <t>テイコウ</t>
    </rPh>
    <rPh sb="4" eb="6">
      <t>ケイスウ</t>
    </rPh>
    <phoneticPr fontId="1"/>
  </si>
  <si>
    <t>杭の有効自重（kN）</t>
    <rPh sb="0" eb="1">
      <t>クイ</t>
    </rPh>
    <rPh sb="2" eb="4">
      <t>ユウコウ</t>
    </rPh>
    <rPh sb="4" eb="6">
      <t>ジジュウ</t>
    </rPh>
    <phoneticPr fontId="1"/>
  </si>
  <si>
    <r>
      <t>W</t>
    </r>
    <r>
      <rPr>
        <vertAlign val="subscript"/>
        <sz val="10"/>
        <rFont val="ＭＳ 明朝"/>
        <family val="1"/>
        <charset val="128"/>
      </rPr>
      <t>P</t>
    </r>
    <r>
      <rPr>
        <sz val="10"/>
        <rFont val="ＭＳ 明朝"/>
        <family val="1"/>
        <charset val="128"/>
      </rPr>
      <t xml:space="preserve">
(kN)</t>
    </r>
    <phoneticPr fontId="1"/>
  </si>
  <si>
    <t>　地震時以外の基礎の安定と短期支持性能、および残留鉛直変位(性能レベル1)に用いる設計</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rPh sb="41" eb="43">
      <t>セッケイ</t>
    </rPh>
    <phoneticPr fontId="1"/>
  </si>
  <si>
    <t>(c) 有効抵抗土圧力の計算 【基礎標準 第Ⅱ編 15.2.2.4】</t>
    <rPh sb="4" eb="6">
      <t>ユウコウ</t>
    </rPh>
    <rPh sb="6" eb="8">
      <t>テイコウ</t>
    </rPh>
    <rPh sb="8" eb="9">
      <t>ド</t>
    </rPh>
    <rPh sb="9" eb="10">
      <t>アツ</t>
    </rPh>
    <rPh sb="10" eb="11">
      <t>リョク</t>
    </rPh>
    <rPh sb="12" eb="14">
      <t>ケイサン</t>
    </rPh>
    <phoneticPr fontId="1"/>
  </si>
  <si>
    <r>
      <t>η</t>
    </r>
    <r>
      <rPr>
        <vertAlign val="subscript"/>
        <sz val="10"/>
        <rFont val="ＭＳ 明朝"/>
        <family val="1"/>
        <charset val="128"/>
      </rPr>
      <t>m</t>
    </r>
    <phoneticPr fontId="1"/>
  </si>
  <si>
    <t>・</t>
    <phoneticPr fontId="1"/>
  </si>
  <si>
    <r>
      <t>η</t>
    </r>
    <r>
      <rPr>
        <vertAlign val="subscript"/>
        <sz val="10"/>
        <rFont val="ＭＳ 明朝"/>
        <family val="1"/>
        <charset val="128"/>
      </rPr>
      <t>n</t>
    </r>
    <phoneticPr fontId="1"/>
  </si>
  <si>
    <r>
      <t>p</t>
    </r>
    <r>
      <rPr>
        <vertAlign val="subscript"/>
        <sz val="10"/>
        <rFont val="ＭＳ 明朝"/>
        <family val="1"/>
        <charset val="128"/>
      </rPr>
      <t>e</t>
    </r>
    <r>
      <rPr>
        <sz val="10"/>
        <rFont val="ＭＳ 明朝"/>
        <family val="1"/>
        <charset val="128"/>
      </rPr>
      <t>(z)</t>
    </r>
    <phoneticPr fontId="1"/>
  </si>
  <si>
    <r>
      <t>p</t>
    </r>
    <r>
      <rPr>
        <vertAlign val="subscript"/>
        <sz val="10"/>
        <rFont val="ＭＳ 明朝"/>
        <family val="1"/>
        <charset val="128"/>
      </rPr>
      <t>eg</t>
    </r>
    <r>
      <rPr>
        <sz val="10"/>
        <rFont val="ＭＳ 明朝"/>
        <family val="1"/>
        <charset val="128"/>
      </rPr>
      <t>(z)</t>
    </r>
    <phoneticPr fontId="1"/>
  </si>
  <si>
    <t>≦</t>
    <phoneticPr fontId="1"/>
  </si>
  <si>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1"/>
  </si>
  <si>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1"/>
  </si>
  <si>
    <t>【基礎標準 第Ⅱ編 15.2.2.4】解説表 15.2.2.4-1に示す値</t>
    <rPh sb="19" eb="21">
      <t>カイセツ</t>
    </rPh>
    <rPh sb="21" eb="22">
      <t>ヒョウ</t>
    </rPh>
    <rPh sb="34" eb="35">
      <t>シメ</t>
    </rPh>
    <rPh sb="36" eb="37">
      <t>アタイ</t>
    </rPh>
    <phoneticPr fontId="1"/>
  </si>
  <si>
    <r>
      <t>各列ともη</t>
    </r>
    <r>
      <rPr>
        <vertAlign val="subscript"/>
        <sz val="10"/>
        <rFont val="ＭＳ 明朝"/>
        <family val="1"/>
        <charset val="128"/>
      </rPr>
      <t>m</t>
    </r>
    <r>
      <rPr>
        <sz val="10"/>
        <rFont val="ＭＳ 明朝"/>
        <family val="1"/>
        <charset val="128"/>
      </rPr>
      <t>＝1.0</t>
    </r>
    <rPh sb="0" eb="2">
      <t>カクレツ</t>
    </rPh>
    <phoneticPr fontId="1"/>
  </si>
  <si>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1"/>
  </si>
  <si>
    <t>【基礎標準 第Ⅱ編 15.2.2.4】解説表 15.2.2.4-3に示す値</t>
    <rPh sb="19" eb="21">
      <t>カイセツ</t>
    </rPh>
    <rPh sb="21" eb="22">
      <t>ヒョウ</t>
    </rPh>
    <rPh sb="34" eb="35">
      <t>シメ</t>
    </rPh>
    <rPh sb="36" eb="37">
      <t>アタイ</t>
    </rPh>
    <phoneticPr fontId="1"/>
  </si>
  <si>
    <r>
      <t>η</t>
    </r>
    <r>
      <rPr>
        <vertAlign val="subscript"/>
        <sz val="10"/>
        <rFont val="ＭＳ 明朝"/>
        <family val="1"/>
        <charset val="128"/>
      </rPr>
      <t>n</t>
    </r>
    <r>
      <rPr>
        <sz val="10"/>
        <rFont val="ＭＳ 明朝"/>
        <family val="1"/>
        <charset val="128"/>
      </rPr>
      <t>＝1.0</t>
    </r>
    <phoneticPr fontId="1"/>
  </si>
  <si>
    <t>9c</t>
    <phoneticPr fontId="1"/>
  </si>
  <si>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1"/>
  </si>
  <si>
    <r>
      <t>(1＋z/2D)(γ</t>
    </r>
    <r>
      <rPr>
        <vertAlign val="subscript"/>
        <sz val="10"/>
        <rFont val="ＭＳ 明朝"/>
        <family val="1"/>
        <charset val="128"/>
      </rPr>
      <t>e</t>
    </r>
    <r>
      <rPr>
        <sz val="10"/>
        <rFont val="ＭＳ 明朝"/>
        <family val="1"/>
        <charset val="128"/>
      </rPr>
      <t>z＋2c)</t>
    </r>
    <phoneticPr fontId="1"/>
  </si>
  <si>
    <t>z</t>
    <phoneticPr fontId="1"/>
  </si>
  <si>
    <t>有効抵抗土圧力度を求める深さ（m）</t>
    <rPh sb="0" eb="2">
      <t>ユウコウ</t>
    </rPh>
    <rPh sb="2" eb="4">
      <t>テイコウ</t>
    </rPh>
    <rPh sb="4" eb="5">
      <t>ド</t>
    </rPh>
    <rPh sb="5" eb="7">
      <t>アツリョク</t>
    </rPh>
    <rPh sb="7" eb="8">
      <t>ド</t>
    </rPh>
    <rPh sb="9" eb="10">
      <t>モト</t>
    </rPh>
    <rPh sb="12" eb="13">
      <t>フカ</t>
    </rPh>
    <phoneticPr fontId="1"/>
  </si>
  <si>
    <r>
      <t>α</t>
    </r>
    <r>
      <rPr>
        <vertAlign val="subscript"/>
        <sz val="10"/>
        <rFont val="ＭＳ 明朝"/>
        <family val="1"/>
        <charset val="128"/>
      </rPr>
      <t>h</t>
    </r>
    <r>
      <rPr>
        <sz val="10"/>
        <rFont val="ＭＳ 明朝"/>
        <family val="1"/>
        <charset val="128"/>
      </rPr>
      <t/>
    </r>
    <phoneticPr fontId="1"/>
  </si>
  <si>
    <t>杭前面の形状係数(=3.0)</t>
    <rPh sb="0" eb="1">
      <t>クイ</t>
    </rPh>
    <rPh sb="1" eb="3">
      <t>ゼンメン</t>
    </rPh>
    <rPh sb="4" eb="6">
      <t>ケイジョウ</t>
    </rPh>
    <rPh sb="6" eb="8">
      <t>ケイスウ</t>
    </rPh>
    <phoneticPr fontId="1"/>
  </si>
  <si>
    <r>
      <t>γ</t>
    </r>
    <r>
      <rPr>
        <vertAlign val="subscript"/>
        <sz val="10"/>
        <rFont val="ＭＳ 明朝"/>
        <family val="1"/>
        <charset val="128"/>
      </rPr>
      <t>e</t>
    </r>
    <r>
      <rPr>
        <sz val="10"/>
        <rFont val="ＭＳ 明朝"/>
        <family val="1"/>
        <charset val="128"/>
      </rPr>
      <t/>
    </r>
    <phoneticPr fontId="1"/>
  </si>
  <si>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1"/>
  </si>
  <si>
    <r>
      <t>K</t>
    </r>
    <r>
      <rPr>
        <vertAlign val="subscript"/>
        <sz val="10"/>
        <rFont val="ＭＳ 明朝"/>
        <family val="1"/>
        <charset val="128"/>
      </rPr>
      <t>p</t>
    </r>
    <phoneticPr fontId="1"/>
  </si>
  <si>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1"/>
  </si>
  <si>
    <t>深さzの土の内部摩擦角(度）</t>
    <rPh sb="0" eb="1">
      <t>フカ</t>
    </rPh>
    <rPh sb="4" eb="5">
      <t>ツチ</t>
    </rPh>
    <rPh sb="6" eb="8">
      <t>ナイブ</t>
    </rPh>
    <rPh sb="8" eb="10">
      <t>マサツ</t>
    </rPh>
    <rPh sb="10" eb="11">
      <t>カク</t>
    </rPh>
    <rPh sb="12" eb="13">
      <t>ド</t>
    </rPh>
    <phoneticPr fontId="1"/>
  </si>
  <si>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1"/>
  </si>
  <si>
    <t>　杭の有効抵抗土圧力について、有効抵抗土圧力度に抵抗面積を考慮した有効土圧は、次式により</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rPh sb="39" eb="41">
      <t>ジシキ</t>
    </rPh>
    <phoneticPr fontId="1"/>
  </si>
  <si>
    <t>算定する。</t>
  </si>
  <si>
    <r>
      <t>P</t>
    </r>
    <r>
      <rPr>
        <vertAlign val="subscript"/>
        <sz val="10"/>
        <rFont val="ＭＳ 明朝"/>
        <family val="1"/>
        <charset val="128"/>
      </rPr>
      <t>e</t>
    </r>
    <phoneticPr fontId="1"/>
  </si>
  <si>
    <r>
      <t>p</t>
    </r>
    <r>
      <rPr>
        <vertAlign val="subscript"/>
        <sz val="10"/>
        <rFont val="ＭＳ 明朝"/>
        <family val="1"/>
        <charset val="128"/>
      </rPr>
      <t>e</t>
    </r>
    <phoneticPr fontId="1"/>
  </si>
  <si>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1"/>
  </si>
  <si>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1"/>
  </si>
  <si>
    <t>有効抵抗土圧を算定する区間の長さ(m)</t>
    <rPh sb="0" eb="2">
      <t>ユウコウ</t>
    </rPh>
    <rPh sb="2" eb="4">
      <t>テイコウ</t>
    </rPh>
    <rPh sb="4" eb="5">
      <t>ツチ</t>
    </rPh>
    <rPh sb="5" eb="6">
      <t>アツ</t>
    </rPh>
    <rPh sb="7" eb="9">
      <t>サンテイ</t>
    </rPh>
    <rPh sb="11" eb="13">
      <t>クカン</t>
    </rPh>
    <rPh sb="14" eb="15">
      <t>ナガ</t>
    </rPh>
    <phoneticPr fontId="1"/>
  </si>
  <si>
    <t>Ｚ
（m）</t>
    <phoneticPr fontId="1"/>
  </si>
  <si>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1"/>
  </si>
  <si>
    <t>φ
（度）</t>
    <rPh sb="3" eb="4">
      <t>ド</t>
    </rPh>
    <phoneticPr fontId="1"/>
  </si>
  <si>
    <r>
      <t>c
(kN/m</t>
    </r>
    <r>
      <rPr>
        <vertAlign val="superscript"/>
        <sz val="10"/>
        <rFont val="ＭＳ 明朝"/>
        <family val="1"/>
        <charset val="128"/>
      </rPr>
      <t>2</t>
    </r>
    <r>
      <rPr>
        <sz val="10"/>
        <rFont val="ＭＳ 明朝"/>
        <family val="1"/>
        <charset val="128"/>
      </rPr>
      <t>)</t>
    </r>
    <phoneticPr fontId="1"/>
  </si>
  <si>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</si>
  <si>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1"/>
  </si>
  <si>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1"/>
  </si>
  <si>
    <r>
      <t>R</t>
    </r>
    <r>
      <rPr>
        <vertAlign val="subscript"/>
        <sz val="10"/>
        <rFont val="ＭＳ 明朝"/>
        <family val="1"/>
        <charset val="128"/>
      </rPr>
      <t>ty</t>
    </r>
    <phoneticPr fontId="1"/>
  </si>
  <si>
    <r>
      <t>R</t>
    </r>
    <r>
      <rPr>
        <vertAlign val="subscript"/>
        <sz val="10"/>
        <rFont val="ＭＳ 明朝"/>
        <family val="1"/>
        <charset val="128"/>
      </rPr>
      <t>tu</t>
    </r>
    <phoneticPr fontId="1"/>
  </si>
  <si>
    <t>降伏時先端支持力（kN）</t>
    <rPh sb="0" eb="2">
      <t>コウフク</t>
    </rPh>
    <rPh sb="2" eb="3">
      <t>ジ</t>
    </rPh>
    <rPh sb="3" eb="5">
      <t>センタン</t>
    </rPh>
    <rPh sb="5" eb="7">
      <t>シジ</t>
    </rPh>
    <rPh sb="7" eb="8">
      <t>リョク</t>
    </rPh>
    <phoneticPr fontId="1"/>
  </si>
  <si>
    <t>終局時先端支持力（kN）</t>
    <rPh sb="0" eb="2">
      <t>シュウキョク</t>
    </rPh>
    <rPh sb="2" eb="3">
      <t>ジ</t>
    </rPh>
    <rPh sb="3" eb="5">
      <t>センタン</t>
    </rPh>
    <rPh sb="5" eb="7">
      <t>シジ</t>
    </rPh>
    <rPh sb="7" eb="8">
      <t>リョク</t>
    </rPh>
    <phoneticPr fontId="1"/>
  </si>
  <si>
    <t>（kN）</t>
    <phoneticPr fontId="1"/>
  </si>
  <si>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1"/>
  </si>
  <si>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1"/>
  </si>
  <si>
    <r>
      <t>R</t>
    </r>
    <r>
      <rPr>
        <vertAlign val="subscript"/>
        <sz val="10"/>
        <rFont val="ＭＳ 明朝"/>
        <family val="1"/>
        <charset val="128"/>
      </rPr>
      <t>fy</t>
    </r>
    <phoneticPr fontId="1"/>
  </si>
  <si>
    <r>
      <t>R</t>
    </r>
    <r>
      <rPr>
        <vertAlign val="subscript"/>
        <sz val="10"/>
        <rFont val="ＭＳ 明朝"/>
        <family val="1"/>
        <charset val="128"/>
      </rPr>
      <t>fu</t>
    </r>
    <phoneticPr fontId="1"/>
  </si>
  <si>
    <t>降伏周面支持力（kN）</t>
    <rPh sb="0" eb="2">
      <t>コウフク</t>
    </rPh>
    <rPh sb="2" eb="3">
      <t>シュウ</t>
    </rPh>
    <rPh sb="3" eb="4">
      <t>メン</t>
    </rPh>
    <rPh sb="4" eb="6">
      <t>シジ</t>
    </rPh>
    <rPh sb="6" eb="7">
      <t>リョク</t>
    </rPh>
    <phoneticPr fontId="1"/>
  </si>
  <si>
    <t>終局周面支持力（kN）</t>
    <rPh sb="0" eb="2">
      <t>シュウキョク</t>
    </rPh>
    <rPh sb="2" eb="3">
      <t>シュウ</t>
    </rPh>
    <rPh sb="3" eb="4">
      <t>メン</t>
    </rPh>
    <rPh sb="4" eb="6">
      <t>シジ</t>
    </rPh>
    <rPh sb="6" eb="7">
      <t>リョク</t>
    </rPh>
    <phoneticPr fontId="1"/>
  </si>
  <si>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1"/>
  </si>
  <si>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1"/>
  </si>
  <si>
    <r>
      <t>ρ</t>
    </r>
    <r>
      <rPr>
        <vertAlign val="subscript"/>
        <sz val="10"/>
        <rFont val="ＭＳ 明朝"/>
        <family val="1"/>
        <charset val="128"/>
      </rPr>
      <t>gty</t>
    </r>
    <phoneticPr fontId="1"/>
  </si>
  <si>
    <r>
      <t>降伏時先端支持力に関する地盤修正係数で、場所打ち杭工法の場合ρ</t>
    </r>
    <r>
      <rPr>
        <vertAlign val="subscript"/>
        <sz val="10"/>
        <rFont val="ＭＳ 明朝"/>
        <family val="1"/>
        <charset val="128"/>
      </rPr>
      <t>gty</t>
    </r>
    <r>
      <rPr>
        <sz val="10"/>
        <rFont val="ＭＳ 明朝"/>
        <family val="1"/>
        <charset val="128"/>
      </rPr>
      <t>=0.6</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</si>
  <si>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r>
      <t>終局時先端支持力に関する地盤修正係数で、場所打ち杭工法の場合ρ</t>
    </r>
    <r>
      <rPr>
        <vertAlign val="subscript"/>
        <sz val="10"/>
        <rFont val="ＭＳ 明朝"/>
        <family val="1"/>
        <charset val="128"/>
      </rPr>
      <t>gtu</t>
    </r>
    <r>
      <rPr>
        <sz val="10"/>
        <rFont val="ＭＳ 明朝"/>
        <family val="1"/>
        <charset val="128"/>
      </rPr>
      <t>=1.4</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</si>
  <si>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t>杭長</t>
    <rPh sb="0" eb="1">
      <t>クイ</t>
    </rPh>
    <rPh sb="1" eb="2">
      <t>チョウ</t>
    </rPh>
    <phoneticPr fontId="1"/>
  </si>
  <si>
    <t>杭径</t>
    <rPh sb="0" eb="1">
      <t>クイ</t>
    </rPh>
    <rPh sb="1" eb="2">
      <t>ケイ</t>
    </rPh>
    <phoneticPr fontId="1"/>
  </si>
  <si>
    <t>安定(地震時以外)</t>
    <rPh sb="0" eb="2">
      <t>アンテイ</t>
    </rPh>
    <rPh sb="3" eb="5">
      <t>ジシン</t>
    </rPh>
    <rPh sb="5" eb="6">
      <t>ジ</t>
    </rPh>
    <rPh sb="6" eb="8">
      <t>イガイ</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</si>
  <si>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</si>
  <si>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</si>
  <si>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t>【橋軸方向】</t>
    <rPh sb="1" eb="2">
      <t>ハシ</t>
    </rPh>
    <rPh sb="2" eb="5">
      <t>ジクホウコウ</t>
    </rPh>
    <phoneticPr fontId="1"/>
  </si>
  <si>
    <t>【直角方向】</t>
    <rPh sb="1" eb="3">
      <t>チョッカク</t>
    </rPh>
    <rPh sb="3" eb="5">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</si>
  <si>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</si>
  <si>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層種別</t>
    <rPh sb="0" eb="1">
      <t>ソウ</t>
    </rPh>
    <rPh sb="1" eb="3">
      <t>シュベツ</t>
    </rPh>
    <phoneticPr fontId="1"/>
  </si>
  <si>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1"/>
  </si>
  <si>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1"/>
  </si>
  <si>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1"/>
  </si>
  <si>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1"/>
  </si>
  <si>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1"/>
  </si>
  <si>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1"/>
  </si>
  <si>
    <t>のようになる。</t>
    <phoneticPr fontId="1"/>
  </si>
  <si>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1"/>
  </si>
  <si>
    <t>基準先端支持力度（kN/m2）で、場所打ち杭工法の場合、次式により算定さ</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rPh sb="33" eb="35">
      <t>サンテイ</t>
    </rPh>
    <phoneticPr fontId="1"/>
  </si>
  <si>
    <t>れる。</t>
    <phoneticPr fontId="1"/>
  </si>
  <si>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1"/>
  </si>
  <si>
    <t>面積とする。</t>
    <phoneticPr fontId="1"/>
  </si>
  <si>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1"/>
  </si>
  <si>
    <t>応じて継の各式より算定する。</t>
    <rPh sb="3" eb="4">
      <t>ツギ</t>
    </rPh>
    <rPh sb="5" eb="7">
      <t>カクシキ</t>
    </rPh>
    <rPh sb="9" eb="11">
      <t>サンテイ</t>
    </rPh>
    <phoneticPr fontId="1"/>
  </si>
  <si>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1"/>
  </si>
  <si>
    <t>押込み側の周面抵抗は考慮しないものとする。</t>
    <rPh sb="3" eb="4">
      <t>ガワ</t>
    </rPh>
    <rPh sb="10" eb="12">
      <t>コウリョ</t>
    </rPh>
    <phoneticPr fontId="1"/>
  </si>
  <si>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1"/>
  </si>
  <si>
    <t>ない。</t>
    <phoneticPr fontId="1"/>
  </si>
  <si>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1"/>
  </si>
  <si>
    <t>は じ め に</t>
    <phoneticPr fontId="1"/>
  </si>
  <si>
    <t>本ファイルを利用するには マクロを有効にしてください。</t>
    <rPh sb="0" eb="1">
      <t>ホン</t>
    </rPh>
    <rPh sb="6" eb="8">
      <t>リヨウ</t>
    </rPh>
    <rPh sb="17" eb="19">
      <t>ユウコウ</t>
    </rPh>
    <phoneticPr fontId="1"/>
  </si>
  <si>
    <t>Office ドキュメントのマクロを有効または無効にする</t>
    <phoneticPr fontId="1"/>
  </si>
  <si>
    <t>本ファイルを利用するには ユーザー名とパスワードを入力してください</t>
    <rPh sb="0" eb="1">
      <t>ホン</t>
    </rPh>
    <rPh sb="6" eb="8">
      <t>リヨウ</t>
    </rPh>
    <rPh sb="17" eb="18">
      <t>メイ</t>
    </rPh>
    <rPh sb="25" eb="27">
      <t>ニュウリョク</t>
    </rPh>
    <phoneticPr fontId="1"/>
  </si>
  <si>
    <t>ユーザー名またはメールアドレス</t>
    <phoneticPr fontId="1"/>
  </si>
  <si>
    <t>パスワード</t>
    <phoneticPr fontId="1"/>
  </si>
  <si>
    <t>※ユーザー名, パスワード を １行目に記したテキストファイルを それぞれ用意し</t>
    <rPh sb="5" eb="6">
      <t>メイ</t>
    </rPh>
    <rPh sb="17" eb="19">
      <t>ギョウメ</t>
    </rPh>
    <rPh sb="20" eb="21">
      <t>シル</t>
    </rPh>
    <rPh sb="37" eb="39">
      <t>ヨウイ</t>
    </rPh>
    <phoneticPr fontId="1"/>
  </si>
  <si>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1"/>
  </si>
  <si>
    <t>省略できます</t>
    <rPh sb="0" eb="2">
      <t>ショウリャク</t>
    </rPh>
    <phoneticPr fontId="1"/>
  </si>
  <si>
    <t>免責事項</t>
    <phoneticPr fontId="1"/>
  </si>
  <si>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</si>
  <si>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</si>
  <si>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</si>
  <si>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</si>
  <si>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</si>
  <si>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1"/>
  </si>
  <si>
    <t>データの送受信には json 形式の 文字列で通信します。</t>
    <rPh sb="4" eb="7">
      <t>ソウジュシン</t>
    </rPh>
    <rPh sb="15" eb="17">
      <t>ケイシキ</t>
    </rPh>
    <rPh sb="19" eb="22">
      <t>モジレツ</t>
    </rPh>
    <rPh sb="23" eb="25">
      <t>ツウシン</t>
    </rPh>
    <phoneticPr fontId="1"/>
  </si>
  <si>
    <t>ｖ</t>
    <phoneticPr fontId="1"/>
  </si>
  <si>
    <t>お問い合わせ</t>
    <rPh sb="1" eb="2">
      <t>ト</t>
    </rPh>
    <rPh sb="3" eb="4">
      <t>ア</t>
    </rPh>
    <phoneticPr fontId="1"/>
  </si>
  <si>
    <r>
      <rPr>
        <sz val="11"/>
        <rFont val="ＭＳ Ｐゴシック"/>
        <family val="3"/>
        <charset val="128"/>
      </rPr>
      <t>┃株式会社　ささこう</t>
    </r>
    <r>
      <rPr>
        <sz val="11"/>
        <rFont val="Courier New"/>
        <family val="3"/>
      </rPr>
      <t> </t>
    </r>
    <phoneticPr fontId="1"/>
  </si>
  <si>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1"/>
  </si>
  <si>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1"/>
  </si>
  <si>
    <r>
      <rPr>
        <sz val="11"/>
        <rFont val="ＭＳ Ｐゴシック"/>
        <family val="3"/>
        <charset val="128"/>
      </rPr>
      <t>┃　　　　　　　　　　エトワール石神井</t>
    </r>
    <r>
      <rPr>
        <sz val="11"/>
        <rFont val="Courier New"/>
        <family val="3"/>
      </rPr>
      <t>202</t>
    </r>
    <phoneticPr fontId="1"/>
  </si>
  <si>
    <r>
      <rPr>
        <sz val="11"/>
        <rFont val="ＭＳ Ｐゴシック"/>
        <family val="3"/>
        <charset val="128"/>
      </rPr>
      <t>┃　　ＴＥＬ：</t>
    </r>
    <r>
      <rPr>
        <sz val="11"/>
        <rFont val="ＭＳ Ｐゴシック"/>
        <family val="3"/>
        <charset val="128"/>
      </rPr>
      <t>050-5806-0301</t>
    </r>
    <phoneticPr fontId="1"/>
  </si>
  <si>
    <t>┃　　Ｍail ：sasaicco@gmail.com </t>
    <phoneticPr fontId="1"/>
  </si>
  <si>
    <r>
      <t>┃　　ＵＲＬ：http://structuralengine.</t>
    </r>
    <r>
      <rPr>
        <sz val="11"/>
        <rFont val="ＭＳ Ｐゴシック"/>
        <family val="3"/>
        <charset val="128"/>
      </rPr>
      <t>jp</t>
    </r>
    <phoneticPr fontId="1"/>
  </si>
  <si>
    <t>本システムは、「鉄道構造物等設計標準・同解説（基礎構造物）平成24年版」</t>
    <rPh sb="23" eb="25">
      <t>キソ</t>
    </rPh>
    <phoneticPr fontId="1"/>
  </si>
  <si>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1"/>
  </si>
  <si>
    <t>"SoilPile" --- 地盤抵抗係数算定プログラム</t>
    <rPh sb="15" eb="17">
      <t>ジバン</t>
    </rPh>
    <rPh sb="17" eb="19">
      <t>テイコウ</t>
    </rPh>
    <rPh sb="19" eb="21">
      <t>ケイスウ</t>
    </rPh>
    <rPh sb="21" eb="23">
      <t>サンテイ</t>
    </rPh>
    <phoneticPr fontId="1"/>
  </si>
  <si>
    <t>Ver.1.0.6</t>
  </si>
  <si>
    <t>ＲＣラーメン高架橋</t>
  </si>
  <si>
    <t>フーチング有無</t>
  </si>
  <si>
    <t>杭種</t>
  </si>
  <si>
    <t>杭長</t>
  </si>
  <si>
    <t>杭径</t>
  </si>
  <si>
    <t>橋軸杭本数</t>
  </si>
  <si>
    <t>直角杭本数</t>
  </si>
  <si>
    <t>橋軸杭間隔</t>
  </si>
  <si>
    <t>直角杭間隔</t>
  </si>
  <si>
    <t>(1)橋軸方向</t>
  </si>
  <si>
    <t>【杭配置情報】</t>
  </si>
  <si>
    <t>←杭配置情報がある場合、挿入される</t>
    <rPh sb="1" eb="2">
      <t>クイ</t>
    </rPh>
    <rPh sb="2" eb="4">
      <t>ハイチ</t>
    </rPh>
    <rPh sb="4" eb="6">
      <t>ジョウホウ</t>
    </rPh>
    <rPh sb="9" eb="11">
      <t>バアイ</t>
    </rPh>
    <rPh sb="12" eb="14">
      <t>ソウニュウ</t>
    </rPh>
    <phoneticPr fontId="1"/>
  </si>
  <si>
    <t>番号</t>
  </si>
  <si>
    <t>1列目からの距離</t>
  </si>
  <si>
    <t>杭本数</t>
  </si>
  <si>
    <t>地震時以外</t>
  </si>
  <si>
    <t>【設計鉛直支持力の算定】</t>
  </si>
  <si>
    <t>性能項目</t>
  </si>
  <si>
    <t>基準先端支持力Rtk(kN)</t>
  </si>
  <si>
    <t>基準周面支持力ΣRfk(kN)</t>
  </si>
  <si>
    <t>基準支持力Rk(kN)</t>
  </si>
  <si>
    <t>先端支持力比Pt</t>
  </si>
  <si>
    <t>地盤抵抗係数fr</t>
  </si>
  <si>
    <t>設計鉛直支持力Rvd(kN)</t>
  </si>
  <si>
    <t>長期支持性能</t>
  </si>
  <si>
    <t>短期支持性能</t>
  </si>
  <si>
    <t>安定(地震時以外)</t>
  </si>
  <si>
    <t>残留鉛直変位(L1)</t>
  </si>
  <si>
    <t>残留鉛直変位(L2)</t>
  </si>
  <si>
    <t>【設計引き抜き抵抗力の算定】</t>
  </si>
  <si>
    <t>杭の有効自重Wp(kN)</t>
  </si>
  <si>
    <t>設計引き抜き抵抗力vd(kN)</t>
  </si>
  <si>
    <t>【水平変位の照査】</t>
  </si>
  <si>
    <t>設計限界値δL(mm)</t>
  </si>
  <si>
    <t>設計限界値の指標</t>
  </si>
  <si>
    <t>抵抗幅</t>
  </si>
  <si>
    <t>【回転角の照査】</t>
  </si>
  <si>
    <t>設計限界値θL(mm)</t>
  </si>
  <si>
    <t>地震時</t>
  </si>
  <si>
    <t>杭先端支持力</t>
  </si>
  <si>
    <t>杭周面支持力</t>
  </si>
  <si>
    <t>鉛直支持力</t>
  </si>
  <si>
    <t>終局時修正係数ρgtu</t>
  </si>
  <si>
    <t>先端終局支持力Rtu(kN)</t>
  </si>
  <si>
    <t>終局時修正係数ρgfu</t>
  </si>
  <si>
    <t>基準周面支持力Rfk(kN)</t>
  </si>
  <si>
    <t>周面終局支持力Rfu(kN)</t>
  </si>
  <si>
    <t>(2)直角方向</t>
  </si>
  <si>
    <t>基準先端引抜き抵抗力Ruk(kN)</t>
  </si>
  <si>
    <t>設計引き抜き抵抗力Rvd(kN)</t>
  </si>
  <si>
    <t>←回転杭の場合、これに代わる</t>
    <rPh sb="1" eb="3">
      <t>カイテン</t>
    </rPh>
    <rPh sb="3" eb="4">
      <t>クイ</t>
    </rPh>
    <rPh sb="5" eb="7">
      <t>バアイ</t>
    </rPh>
    <rPh sb="11" eb="12">
      <t>カ</t>
    </rPh>
    <phoneticPr fontId="1"/>
  </si>
  <si>
    <t>【押込み側】</t>
    <phoneticPr fontId="1"/>
  </si>
  <si>
    <t>←回転杭の場合、これが入る</t>
    <rPh sb="1" eb="3">
      <t>カイテン</t>
    </rPh>
    <rPh sb="3" eb="4">
      <t>クイ</t>
    </rPh>
    <rPh sb="5" eb="7">
      <t>バアイ</t>
    </rPh>
    <rPh sb="11" eb="12">
      <t>ハイ</t>
    </rPh>
    <phoneticPr fontId="1"/>
  </si>
  <si>
    <t>【引抜き側】</t>
    <phoneticPr fontId="1"/>
  </si>
  <si>
    <t>基準先端引抜き抵抗Ruk(kN)</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</si>
  <si>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1"/>
  </si>
  <si>
    <t>Df</t>
    <phoneticPr fontId="1"/>
  </si>
  <si>
    <t>水位</t>
    <rPh sb="0" eb="2">
      <t>スイイ</t>
    </rPh>
    <phoneticPr fontId="1"/>
  </si>
  <si>
    <t>液状化低減係数DE</t>
    <rPh sb="0" eb="3">
      <t>エキジョウカ</t>
    </rPh>
    <rPh sb="3" eb="5">
      <t>テイゲン</t>
    </rPh>
    <rPh sb="5" eb="7">
      <t>ケイスウ</t>
    </rPh>
    <phoneticPr fontId="1"/>
  </si>
  <si>
    <t>L1地震動</t>
    <rPh sb="2" eb="4">
      <t>ジシン</t>
    </rPh>
    <rPh sb="4" eb="5">
      <t>ドウ</t>
    </rPh>
    <phoneticPr fontId="1"/>
  </si>
  <si>
    <t>L2地震動</t>
    <rPh sb="2" eb="4">
      <t>ジシン</t>
    </rPh>
    <rPh sb="4" eb="5">
      <t>ドウ</t>
    </rPh>
    <phoneticPr fontId="1"/>
  </si>
  <si>
    <t>杭種</t>
    <rPh sb="0" eb="1">
      <t>クイ</t>
    </rPh>
    <rPh sb="1" eb="2">
      <t>シュ</t>
    </rPh>
    <phoneticPr fontId="1"/>
  </si>
  <si>
    <t>群杭に対する補正係数</t>
    <rPh sb="0" eb="1">
      <t>グン</t>
    </rPh>
    <rPh sb="1" eb="2">
      <t>クイ</t>
    </rPh>
    <rPh sb="3" eb="4">
      <t>タイ</t>
    </rPh>
    <rPh sb="6" eb="8">
      <t>ホセイ</t>
    </rPh>
    <rPh sb="8" eb="10">
      <t>ケイスウ</t>
    </rPh>
    <phoneticPr fontId="1"/>
  </si>
  <si>
    <t>弾性係数</t>
    <rPh sb="0" eb="2">
      <t>ダンセイ</t>
    </rPh>
    <rPh sb="2" eb="4">
      <t>ケイスウ</t>
    </rPh>
    <phoneticPr fontId="1"/>
  </si>
  <si>
    <t>Lm ＝</t>
    <phoneticPr fontId="1"/>
  </si>
  <si>
    <t>m ＝</t>
    <phoneticPr fontId="1"/>
  </si>
  <si>
    <t>Ln ＝</t>
    <phoneticPr fontId="1"/>
  </si>
  <si>
    <t>n ＝</t>
    <phoneticPr fontId="1"/>
  </si>
  <si>
    <t>直角方向</t>
    <rPh sb="0" eb="2">
      <t>チョッカク</t>
    </rPh>
    <rPh sb="2" eb="4">
      <t>ホウコウ</t>
    </rPh>
    <phoneticPr fontId="1"/>
  </si>
  <si>
    <t>橋軸方向</t>
    <rPh sb="0" eb="1">
      <t>ハシ</t>
    </rPh>
    <rPh sb="1" eb="2">
      <t>ジク</t>
    </rPh>
    <rPh sb="2" eb="4">
      <t>ホウコウ</t>
    </rPh>
    <phoneticPr fontId="1"/>
  </si>
  <si>
    <t>場所打ち杭</t>
  </si>
  <si>
    <t>場所打ち杭</t>
    <phoneticPr fontId="1"/>
  </si>
  <si>
    <t>長期</t>
    <phoneticPr fontId="1"/>
  </si>
  <si>
    <t>短期</t>
    <rPh sb="0" eb="2">
      <t>タンキ</t>
    </rPh>
    <phoneticPr fontId="1"/>
  </si>
  <si>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1"/>
  </si>
  <si>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1"/>
  </si>
  <si>
    <t>ｍ(本)</t>
    <rPh sb="2" eb="3">
      <t>ホン</t>
    </rPh>
    <phoneticPr fontId="1"/>
  </si>
  <si>
    <t>ｎ(本)</t>
    <rPh sb="2" eb="3">
      <t>ホン</t>
    </rPh>
    <phoneticPr fontId="1"/>
  </si>
  <si>
    <r>
      <t>Ｌ</t>
    </r>
    <r>
      <rPr>
        <vertAlign val="subscript"/>
        <sz val="10"/>
        <rFont val="ＭＳ 明朝"/>
        <family val="1"/>
        <charset val="128"/>
      </rPr>
      <t>m</t>
    </r>
    <r>
      <rPr>
        <sz val="10"/>
        <rFont val="ＭＳ 明朝"/>
        <family val="1"/>
        <charset val="128"/>
      </rPr>
      <t>(本)</t>
    </r>
    <rPh sb="3" eb="4">
      <t>ホン</t>
    </rPh>
    <phoneticPr fontId="1"/>
  </si>
  <si>
    <r>
      <t>Ｌ</t>
    </r>
    <r>
      <rPr>
        <vertAlign val="subscript"/>
        <sz val="10"/>
        <rFont val="ＭＳ 明朝"/>
        <family val="1"/>
        <charset val="128"/>
      </rPr>
      <t>n</t>
    </r>
    <r>
      <rPr>
        <sz val="10"/>
        <rFont val="ＭＳ 明朝"/>
        <family val="1"/>
        <charset val="128"/>
      </rPr>
      <t>(本)</t>
    </r>
    <rPh sb="3" eb="4">
      <t>ホン</t>
    </rPh>
    <phoneticPr fontId="1"/>
  </si>
  <si>
    <t>Ｄ(m)</t>
    <phoneticPr fontId="1"/>
  </si>
  <si>
    <t>杭の載荷幅</t>
    <rPh sb="0" eb="1">
      <t>クイ</t>
    </rPh>
    <rPh sb="2" eb="4">
      <t>サイカ</t>
    </rPh>
    <rPh sb="4" eb="5">
      <t>ハバ</t>
    </rPh>
    <phoneticPr fontId="1"/>
  </si>
  <si>
    <t>砂質土</t>
  </si>
  <si>
    <t>砂礫</t>
  </si>
  <si>
    <t>粘着力</t>
    <rPh sb="0" eb="3">
      <t>ネンチャクリョク</t>
    </rPh>
    <phoneticPr fontId="1"/>
  </si>
  <si>
    <r>
      <t>c(kN/m</t>
    </r>
    <r>
      <rPr>
        <vertAlign val="superscript"/>
        <sz val="10"/>
        <rFont val="ＭＳ ゴシック"/>
        <family val="3"/>
        <charset val="128"/>
      </rPr>
      <t>2</t>
    </r>
    <r>
      <rPr>
        <sz val="10"/>
        <rFont val="ＭＳ ゴシック"/>
        <family val="3"/>
        <charset val="128"/>
      </rPr>
      <t>)</t>
    </r>
    <phoneticPr fontId="1"/>
  </si>
  <si>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</si>
  <si>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</si>
  <si>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(c) 杭周面の鉛直せん断地盤ばね定数</t>
    <rPh sb="4" eb="5">
      <t>クイ</t>
    </rPh>
    <rPh sb="5" eb="7">
      <t>シュウメン</t>
    </rPh>
    <rPh sb="8" eb="10">
      <t>エンチョク</t>
    </rPh>
    <rPh sb="12" eb="13">
      <t>ダン</t>
    </rPh>
    <rPh sb="13" eb="15">
      <t>ジバン</t>
    </rPh>
    <rPh sb="17" eb="19">
      <t>テイスウ</t>
    </rPh>
    <phoneticPr fontId="1"/>
  </si>
  <si>
    <t>(b) 杭周面の水平地盤ばね定数</t>
    <rPh sb="4" eb="5">
      <t>クイ</t>
    </rPh>
    <rPh sb="5" eb="7">
      <t>シュウメン</t>
    </rPh>
    <rPh sb="8" eb="10">
      <t>スイヘイ</t>
    </rPh>
    <rPh sb="10" eb="12">
      <t>ジバン</t>
    </rPh>
    <rPh sb="14" eb="16">
      <t>テイスウ</t>
    </rPh>
    <phoneticPr fontId="1"/>
  </si>
  <si>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</si>
  <si>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1"/>
  </si>
  <si>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1"/>
  </si>
  <si>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1"/>
  </si>
  <si>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1"/>
  </si>
  <si>
    <t>液状化低減係数</t>
    <rPh sb="0" eb="3">
      <t>エキジョウカ</t>
    </rPh>
    <rPh sb="3" eb="5">
      <t>テイゲン</t>
    </rPh>
    <rPh sb="5" eb="7">
      <t>ケイスウ</t>
    </rPh>
    <phoneticPr fontId="1"/>
  </si>
  <si>
    <t>ＤＥ</t>
    <phoneticPr fontId="1"/>
  </si>
  <si>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1"/>
  </si>
  <si>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1"/>
  </si>
  <si>
    <r>
      <t>Kh(kN/m</t>
    </r>
    <r>
      <rPr>
        <vertAlign val="superscript"/>
        <sz val="10"/>
        <rFont val="ＭＳ 明朝"/>
        <family val="1"/>
        <charset val="128"/>
      </rPr>
      <t>2</t>
    </r>
    <r>
      <rPr>
        <sz val="10"/>
        <rFont val="ＭＳ 明朝"/>
        <family val="1"/>
        <charset val="128"/>
      </rPr>
      <t>)
直角方向</t>
    </r>
    <phoneticPr fontId="1"/>
  </si>
  <si>
    <r>
      <t>Kh(kN/m</t>
    </r>
    <r>
      <rPr>
        <vertAlign val="superscript"/>
        <sz val="10"/>
        <rFont val="ＭＳ 明朝"/>
        <family val="1"/>
        <charset val="128"/>
      </rPr>
      <t>2</t>
    </r>
    <r>
      <rPr>
        <sz val="10"/>
        <rFont val="ＭＳ 明朝"/>
        <family val="1"/>
        <charset val="128"/>
      </rPr>
      <t>)
橋軸方向</t>
    </r>
    <phoneticPr fontId="1"/>
  </si>
  <si>
    <t>L1地震動</t>
    <rPh sb="2" eb="4">
      <t>ジシン</t>
    </rPh>
    <rPh sb="4" eb="5">
      <t>ドウ</t>
    </rPh>
    <phoneticPr fontId="1"/>
  </si>
  <si>
    <t>低減係数
DE</t>
    <rPh sb="0" eb="2">
      <t>テイゲン</t>
    </rPh>
    <rPh sb="2" eb="4">
      <t>ケイスウ</t>
    </rPh>
    <phoneticPr fontId="1"/>
  </si>
  <si>
    <t>L2地震動</t>
    <rPh sb="2" eb="4">
      <t>ジシン</t>
    </rPh>
    <rPh sb="4" eb="5">
      <t>ドウ</t>
    </rPh>
    <phoneticPr fontId="1"/>
  </si>
  <si>
    <t>表1.1.17(2-2) 杭周面の水平地盤ばね定数（短期　特性値βの算定 液状化）</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1"/>
  </si>
  <si>
    <t>表1.1.17(3-2) 杭周面の水平地盤ばね定数（短期　非線形解析 液状化）</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1"/>
  </si>
  <si>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1"/>
  </si>
  <si>
    <t xml:space="preserve"> 1/β</t>
    <phoneticPr fontId="1"/>
  </si>
  <si>
    <t>＝</t>
    <phoneticPr fontId="1"/>
  </si>
  <si>
    <t>m</t>
    <phoneticPr fontId="1"/>
  </si>
  <si>
    <r>
      <t>K</t>
    </r>
    <r>
      <rPr>
        <vertAlign val="subscript"/>
        <sz val="10"/>
        <rFont val="ＭＳ 明朝"/>
        <family val="1"/>
        <charset val="128"/>
      </rPr>
      <t>fv</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</si>
  <si>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押込み杭</t>
    <phoneticPr fontId="1"/>
  </si>
  <si>
    <t>引抜き杭</t>
    <phoneticPr fontId="1"/>
  </si>
  <si>
    <t>U</t>
    <phoneticPr fontId="1"/>
  </si>
  <si>
    <t>m</t>
    <phoneticPr fontId="1"/>
  </si>
  <si>
    <t>ＤＥ</t>
  </si>
  <si>
    <t>表1.1.16(2) 杭周面の鉛直せん断地盤ばね定数（短期）</t>
    <phoneticPr fontId="1"/>
  </si>
  <si>
    <t>杭先端</t>
    <rPh sb="0" eb="1">
      <t>クイ</t>
    </rPh>
    <rPh sb="1" eb="3">
      <t>センタン</t>
    </rPh>
    <phoneticPr fontId="1"/>
  </si>
  <si>
    <t>・</t>
  </si>
  <si>
    <t>施工条件</t>
    <rPh sb="0" eb="2">
      <t>セコウ</t>
    </rPh>
    <rPh sb="2" eb="4">
      <t>ジョウケン</t>
    </rPh>
    <phoneticPr fontId="1"/>
  </si>
  <si>
    <t>自然泥水</t>
  </si>
  <si>
    <t>・N≦</t>
    <phoneticPr fontId="1"/>
  </si>
  <si>
    <t>c ≦</t>
    <phoneticPr fontId="1"/>
  </si>
  <si>
    <r>
      <t>r</t>
    </r>
    <r>
      <rPr>
        <vertAlign val="subscript"/>
        <sz val="10"/>
        <rFont val="ＭＳ 明朝"/>
        <family val="1"/>
        <charset val="128"/>
      </rPr>
      <t>fk</t>
    </r>
    <r>
      <rPr>
        <sz val="10"/>
        <rFont val="ＭＳ 明朝"/>
        <family val="1"/>
        <charset val="128"/>
      </rPr>
      <t>＝</t>
    </r>
    <phoneticPr fontId="1"/>
  </si>
  <si>
    <r>
      <t>Ｒ</t>
    </r>
    <r>
      <rPr>
        <vertAlign val="subscript"/>
        <sz val="10"/>
        <rFont val="ＭＳ 明朝"/>
        <family val="1"/>
        <charset val="128"/>
      </rPr>
      <t>ty</t>
    </r>
    <phoneticPr fontId="1"/>
  </si>
  <si>
    <r>
      <t>ρ</t>
    </r>
    <r>
      <rPr>
        <vertAlign val="subscript"/>
        <sz val="10"/>
        <rFont val="ＭＳ 明朝"/>
        <family val="1"/>
        <charset val="128"/>
      </rPr>
      <t>gty</t>
    </r>
    <phoneticPr fontId="1"/>
  </si>
  <si>
    <r>
      <t>Ｒ</t>
    </r>
    <r>
      <rPr>
        <vertAlign val="subscript"/>
        <sz val="10"/>
        <rFont val="ＭＳ 明朝"/>
        <family val="1"/>
        <charset val="128"/>
      </rPr>
      <t>tk</t>
    </r>
    <phoneticPr fontId="1"/>
  </si>
  <si>
    <r>
      <t>Ｒ</t>
    </r>
    <r>
      <rPr>
        <vertAlign val="subscript"/>
        <sz val="10"/>
        <rFont val="ＭＳ 明朝"/>
        <family val="1"/>
        <charset val="128"/>
      </rPr>
      <t>tu</t>
    </r>
    <phoneticPr fontId="1"/>
  </si>
  <si>
    <r>
      <t>ρ</t>
    </r>
    <r>
      <rPr>
        <vertAlign val="subscript"/>
        <sz val="10"/>
        <rFont val="ＭＳ 明朝"/>
        <family val="1"/>
        <charset val="128"/>
      </rPr>
      <t>gtu</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</si>
  <si>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1"/>
  </si>
  <si>
    <r>
      <t>Ｒ</t>
    </r>
    <r>
      <rPr>
        <vertAlign val="subscript"/>
        <sz val="10"/>
        <rFont val="ＭＳ 明朝"/>
        <family val="1"/>
        <charset val="128"/>
      </rPr>
      <t>fy</t>
    </r>
    <phoneticPr fontId="1"/>
  </si>
  <si>
    <r>
      <t>ρ</t>
    </r>
    <r>
      <rPr>
        <vertAlign val="subscript"/>
        <sz val="10"/>
        <rFont val="ＭＳ 明朝"/>
        <family val="1"/>
        <charset val="128"/>
      </rPr>
      <t>gfy</t>
    </r>
    <phoneticPr fontId="1"/>
  </si>
  <si>
    <r>
      <t>Ｒ</t>
    </r>
    <r>
      <rPr>
        <vertAlign val="subscript"/>
        <sz val="10"/>
        <rFont val="ＭＳ 明朝"/>
        <family val="1"/>
        <charset val="128"/>
      </rPr>
      <t>fk</t>
    </r>
    <phoneticPr fontId="1"/>
  </si>
  <si>
    <r>
      <t>Ｒ</t>
    </r>
    <r>
      <rPr>
        <vertAlign val="subscript"/>
        <sz val="10"/>
        <rFont val="ＭＳ 明朝"/>
        <family val="1"/>
        <charset val="128"/>
      </rPr>
      <t>fu</t>
    </r>
    <phoneticPr fontId="1"/>
  </si>
  <si>
    <r>
      <t>ρ</t>
    </r>
    <r>
      <rPr>
        <vertAlign val="subscript"/>
        <sz val="10"/>
        <rFont val="ＭＳ 明朝"/>
        <family val="1"/>
        <charset val="128"/>
      </rPr>
      <t>gfu</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</si>
  <si>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</si>
  <si>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1"/>
  </si>
  <si>
    <r>
      <t>Ｋ</t>
    </r>
    <r>
      <rPr>
        <vertAlign val="subscript"/>
        <sz val="10"/>
        <rFont val="ＭＳ 明朝"/>
        <family val="1"/>
        <charset val="128"/>
      </rPr>
      <t>tv</t>
    </r>
    <r>
      <rPr>
        <sz val="10"/>
        <rFont val="ＭＳ 明朝"/>
        <family val="1"/>
        <charset val="128"/>
      </rPr>
      <t>（kN/m）</t>
    </r>
    <phoneticPr fontId="1"/>
  </si>
  <si>
    <t>杭の周長（m）</t>
    <rPh sb="0" eb="1">
      <t>クイ</t>
    </rPh>
    <rPh sb="2" eb="4">
      <t>シュウチョウ</t>
    </rPh>
    <phoneticPr fontId="1"/>
  </si>
  <si>
    <t>(kN)</t>
    <phoneticPr fontId="1"/>
  </si>
  <si>
    <r>
      <t>ρ</t>
    </r>
    <r>
      <rPr>
        <vertAlign val="subscript"/>
        <sz val="10"/>
        <rFont val="ＭＳ 明朝"/>
        <family val="1"/>
        <charset val="128"/>
      </rPr>
      <t>gtu</t>
    </r>
    <phoneticPr fontId="1"/>
  </si>
  <si>
    <r>
      <t>ρ</t>
    </r>
    <r>
      <rPr>
        <vertAlign val="subscript"/>
        <sz val="10"/>
        <rFont val="ＭＳ 明朝"/>
        <family val="1"/>
        <charset val="128"/>
      </rPr>
      <t>gfy</t>
    </r>
    <phoneticPr fontId="1"/>
  </si>
  <si>
    <r>
      <t>ρ</t>
    </r>
    <r>
      <rPr>
        <vertAlign val="subscript"/>
        <sz val="10"/>
        <rFont val="ＭＳ 明朝"/>
        <family val="1"/>
        <charset val="128"/>
      </rPr>
      <t>gfu</t>
    </r>
    <phoneticPr fontId="1"/>
  </si>
  <si>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1"/>
  </si>
  <si>
    <t>表1.1.18(2) 各層での基準周面支持力（地震時以外）（短期）</t>
    <phoneticPr fontId="1"/>
  </si>
  <si>
    <r>
      <t>r</t>
    </r>
    <r>
      <rPr>
        <vertAlign val="subscript"/>
        <sz val="10"/>
        <rFont val="ＭＳ 明朝"/>
        <family val="1"/>
        <charset val="128"/>
      </rPr>
      <t xml:space="preserve">fk
</t>
    </r>
    <r>
      <rPr>
        <sz val="10"/>
        <rFont val="ＭＳ 明朝"/>
        <family val="1"/>
        <charset val="128"/>
      </rPr>
      <t>(kN)</t>
    </r>
    <phoneticPr fontId="1"/>
  </si>
  <si>
    <t>合計</t>
    <rPh sb="0" eb="2">
      <t>ゴウケイ</t>
    </rPh>
    <phoneticPr fontId="1"/>
  </si>
  <si>
    <t>粘性土</t>
  </si>
  <si>
    <t>地震時
液状化</t>
    <rPh sb="0" eb="2">
      <t>ジシン</t>
    </rPh>
    <rPh sb="2" eb="3">
      <t>ジ</t>
    </rPh>
    <rPh sb="4" eb="7">
      <t>エキジョウカ</t>
    </rPh>
    <phoneticPr fontId="1"/>
  </si>
  <si>
    <t>表1.1.2.10(1) 各層の杭の特性値β（橋軸方向）</t>
    <rPh sb="0" eb="1">
      <t>ヒョウ</t>
    </rPh>
    <rPh sb="13" eb="14">
      <t>カク</t>
    </rPh>
    <rPh sb="16" eb="17">
      <t>クイ</t>
    </rPh>
    <rPh sb="18" eb="21">
      <t>トクセイチ</t>
    </rPh>
    <phoneticPr fontId="1"/>
  </si>
  <si>
    <t>表1.1.2.10(1-2) 各層の杭の特性値β（橋軸方向 液状化 L1地震動）</t>
    <rPh sb="0" eb="1">
      <t>ヒョウ</t>
    </rPh>
    <rPh sb="15" eb="16">
      <t>カク</t>
    </rPh>
    <rPh sb="18" eb="19">
      <t>クイ</t>
    </rPh>
    <rPh sb="20" eb="23">
      <t>トクセイチ</t>
    </rPh>
    <rPh sb="30" eb="33">
      <t>エキジョウカ</t>
    </rPh>
    <rPh sb="36" eb="38">
      <t>ジシン</t>
    </rPh>
    <rPh sb="38" eb="39">
      <t>ドウ</t>
    </rPh>
    <phoneticPr fontId="1"/>
  </si>
  <si>
    <t>表1.1.2.10(1-3) 各層の杭の特性値β（橋軸方向 液状化 L2地震動）</t>
    <rPh sb="0" eb="1">
      <t>ヒョウ</t>
    </rPh>
    <rPh sb="15" eb="16">
      <t>カク</t>
    </rPh>
    <rPh sb="18" eb="19">
      <t>クイ</t>
    </rPh>
    <rPh sb="20" eb="23">
      <t>トクセイチ</t>
    </rPh>
    <rPh sb="30" eb="33">
      <t>エキジョウカ</t>
    </rPh>
    <rPh sb="36" eb="38">
      <t>ジシン</t>
    </rPh>
    <rPh sb="38" eb="39">
      <t>ドウ</t>
    </rPh>
    <phoneticPr fontId="1"/>
  </si>
  <si>
    <t>表1.1.16(3) 杭周面の鉛直せん断地盤ばね定数（地震時 橋軸方向）</t>
    <rPh sb="27" eb="29">
      <t>ジシン</t>
    </rPh>
    <rPh sb="29" eb="30">
      <t>ジ</t>
    </rPh>
    <phoneticPr fontId="1"/>
  </si>
  <si>
    <t>表1.1.16(3-2) 杭周面の鉛直せん断地盤ばね定数（地震時 橋軸方向 液状化 L1地震動）</t>
    <rPh sb="29" eb="31">
      <t>ジシン</t>
    </rPh>
    <rPh sb="31" eb="32">
      <t>ジ</t>
    </rPh>
    <rPh sb="38" eb="41">
      <t>エキジョウカ</t>
    </rPh>
    <rPh sb="44" eb="46">
      <t>ジシン</t>
    </rPh>
    <rPh sb="46" eb="47">
      <t>ドウ</t>
    </rPh>
    <phoneticPr fontId="1"/>
  </si>
  <si>
    <t>表1.1.16(3-3) 杭周面の鉛直せん断地盤ばね定数（地震時 橋軸方向 液状化 L2地震動）</t>
    <rPh sb="29" eb="31">
      <t>ジシン</t>
    </rPh>
    <rPh sb="31" eb="32">
      <t>ジ</t>
    </rPh>
    <rPh sb="38" eb="41">
      <t>エキジョウカ</t>
    </rPh>
    <rPh sb="44" eb="46">
      <t>ジシン</t>
    </rPh>
    <rPh sb="46" eb="47">
      <t>ドウ</t>
    </rPh>
    <phoneticPr fontId="1"/>
  </si>
  <si>
    <t>表1.1.2.10(2) 各層の杭の特性値β（直角方向）</t>
    <rPh sb="0" eb="1">
      <t>ヒョウ</t>
    </rPh>
    <rPh sb="13" eb="14">
      <t>カク</t>
    </rPh>
    <rPh sb="16" eb="17">
      <t>クイ</t>
    </rPh>
    <rPh sb="18" eb="21">
      <t>トクセイチ</t>
    </rPh>
    <phoneticPr fontId="1"/>
  </si>
  <si>
    <t>表1.1.2.10(2-2) 各層の杭の特性値β（直角方向 液状化 L1地震動）</t>
    <rPh sb="0" eb="1">
      <t>ヒョウ</t>
    </rPh>
    <rPh sb="15" eb="16">
      <t>カク</t>
    </rPh>
    <rPh sb="18" eb="19">
      <t>クイ</t>
    </rPh>
    <rPh sb="20" eb="23">
      <t>トクセイチ</t>
    </rPh>
    <rPh sb="30" eb="33">
      <t>エキジョウカ</t>
    </rPh>
    <rPh sb="36" eb="38">
      <t>ジシン</t>
    </rPh>
    <rPh sb="38" eb="39">
      <t>ドウ</t>
    </rPh>
    <phoneticPr fontId="1"/>
  </si>
  <si>
    <t>表1.1.2.10(2-3) 各層の杭の特性値β（直角方向 液状化 L2地震動）</t>
    <rPh sb="0" eb="1">
      <t>ヒョウ</t>
    </rPh>
    <rPh sb="15" eb="16">
      <t>カク</t>
    </rPh>
    <rPh sb="18" eb="19">
      <t>クイ</t>
    </rPh>
    <rPh sb="20" eb="23">
      <t>トクセイチ</t>
    </rPh>
    <rPh sb="30" eb="33">
      <t>エキジョウカ</t>
    </rPh>
    <rPh sb="36" eb="38">
      <t>ジシン</t>
    </rPh>
    <rPh sb="38" eb="39">
      <t>ドウ</t>
    </rPh>
    <phoneticPr fontId="1"/>
  </si>
  <si>
    <t>表1.1.16(4) 杭周面の鉛直せん断地盤ばね定数（地震時 直角方向）</t>
    <rPh sb="27" eb="29">
      <t>ジシン</t>
    </rPh>
    <rPh sb="29" eb="30">
      <t>ジ</t>
    </rPh>
    <phoneticPr fontId="1"/>
  </si>
  <si>
    <t>表1.1.16(4-2) 杭周面の鉛直せん断地盤ばね定数（地震時 直角方向 液状化 L1地震動）</t>
    <rPh sb="29" eb="31">
      <t>ジシン</t>
    </rPh>
    <rPh sb="31" eb="32">
      <t>ジ</t>
    </rPh>
    <rPh sb="38" eb="41">
      <t>エキジョウカ</t>
    </rPh>
    <rPh sb="44" eb="46">
      <t>ジシン</t>
    </rPh>
    <rPh sb="46" eb="47">
      <t>ドウ</t>
    </rPh>
    <phoneticPr fontId="1"/>
  </si>
  <si>
    <t>表1.1.16(4-3) 杭周面の鉛直せん断地盤ばね定数（地震時 直角方向 液状化 L2地震動）</t>
    <rPh sb="29" eb="31">
      <t>ジシン</t>
    </rPh>
    <rPh sb="31" eb="32">
      <t>ジ</t>
    </rPh>
    <rPh sb="38" eb="41">
      <t>エキジョウカ</t>
    </rPh>
    <rPh sb="44" eb="46">
      <t>ジシン</t>
    </rPh>
    <rPh sb="46" eb="47">
      <t>ドウ</t>
    </rPh>
    <phoneticPr fontId="1"/>
  </si>
  <si>
    <t>液状化 L2地震動</t>
    <rPh sb="0" eb="3">
      <t>エキジョウカ</t>
    </rPh>
    <rPh sb="6" eb="8">
      <t>ジシン</t>
    </rPh>
    <rPh sb="8" eb="9">
      <t>ドウ</t>
    </rPh>
    <phoneticPr fontId="1"/>
  </si>
  <si>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1"/>
  </si>
  <si>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1"/>
  </si>
  <si>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1"/>
  </si>
  <si>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1"/>
  </si>
  <si>
    <r>
      <t>(kN/m</t>
    </r>
    <r>
      <rPr>
        <vertAlign val="superscript"/>
        <sz val="10"/>
        <rFont val="ＭＳ 明朝"/>
        <family val="1"/>
        <charset val="128"/>
      </rPr>
      <t>3</t>
    </r>
    <r>
      <rPr>
        <sz val="10"/>
        <rFont val="ＭＳ 明朝"/>
        <family val="1"/>
        <charset val="128"/>
      </rPr>
      <t>)</t>
    </r>
    <phoneticPr fontId="1"/>
  </si>
  <si>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</si>
  <si>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</si>
  <si>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表1.1.24 表層地盤の有効重量</t>
    <rPh sb="0" eb="1">
      <t>ヒョウ</t>
    </rPh>
    <rPh sb="8" eb="10">
      <t>ヒョウソウ</t>
    </rPh>
    <rPh sb="10" eb="12">
      <t>ジバン</t>
    </rPh>
    <rPh sb="13" eb="15">
      <t>ユウコウ</t>
    </rPh>
    <rPh sb="15" eb="17">
      <t>ジュウリョウ</t>
    </rPh>
    <phoneticPr fontId="1"/>
  </si>
  <si>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1"/>
  </si>
  <si>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1"/>
  </si>
  <si>
    <t>解析条件</t>
    <rPh sb="0" eb="2">
      <t>カイセキ</t>
    </rPh>
    <rPh sb="2" eb="4">
      <t>ジョウケン</t>
    </rPh>
    <phoneticPr fontId="1"/>
  </si>
  <si>
    <t>地盤変位の影響を考慮しない場合</t>
    <rPh sb="0" eb="2">
      <t>ジバン</t>
    </rPh>
    <rPh sb="2" eb="4">
      <t>ヘンイ</t>
    </rPh>
    <rPh sb="5" eb="7">
      <t>エイキョウ</t>
    </rPh>
    <rPh sb="8" eb="10">
      <t>コウリョ</t>
    </rPh>
    <rPh sb="13" eb="15">
      <t>バアイ</t>
    </rPh>
    <phoneticPr fontId="1"/>
  </si>
  <si>
    <t>地盤変位の影響を考慮する場合</t>
    <rPh sb="0" eb="2">
      <t>ジバン</t>
    </rPh>
    <rPh sb="2" eb="4">
      <t>ヘンイ</t>
    </rPh>
    <rPh sb="5" eb="7">
      <t>エイキョウ</t>
    </rPh>
    <rPh sb="8" eb="10">
      <t>コウリョ</t>
    </rPh>
    <rPh sb="12" eb="14">
      <t>バアイ</t>
    </rPh>
    <phoneticPr fontId="1"/>
  </si>
  <si>
    <t>載荷方向の杭間隔係数</t>
    <rPh sb="0" eb="1">
      <t>サイ</t>
    </rPh>
    <rPh sb="1" eb="2">
      <t>カ</t>
    </rPh>
    <rPh sb="2" eb="4">
      <t>ホウコウ</t>
    </rPh>
    <rPh sb="5" eb="6">
      <t>クイ</t>
    </rPh>
    <rPh sb="6" eb="8">
      <t>カンカク</t>
    </rPh>
    <rPh sb="8" eb="10">
      <t>ケイスウ</t>
    </rPh>
    <phoneticPr fontId="1"/>
  </si>
  <si>
    <t>≦</t>
    <phoneticPr fontId="1"/>
  </si>
  <si>
    <t>＜</t>
    <phoneticPr fontId="1"/>
  </si>
  <si>
    <r>
      <t>抵抗分担係数η</t>
    </r>
    <r>
      <rPr>
        <vertAlign val="subscript"/>
        <sz val="10"/>
        <rFont val="ＭＳ 明朝"/>
        <family val="1"/>
        <charset val="128"/>
      </rPr>
      <t>m</t>
    </r>
    <rPh sb="0" eb="2">
      <t>テイコウ</t>
    </rPh>
    <rPh sb="2" eb="4">
      <t>ブンタン</t>
    </rPh>
    <rPh sb="4" eb="6">
      <t>ケイスウ</t>
    </rPh>
    <phoneticPr fontId="1"/>
  </si>
  <si>
    <t>1列目</t>
    <rPh sb="1" eb="2">
      <t>レツ</t>
    </rPh>
    <rPh sb="2" eb="3">
      <t>メ</t>
    </rPh>
    <phoneticPr fontId="1"/>
  </si>
  <si>
    <t>2列目</t>
    <rPh sb="1" eb="2">
      <t>レツ</t>
    </rPh>
    <rPh sb="2" eb="3">
      <t>メ</t>
    </rPh>
    <phoneticPr fontId="1"/>
  </si>
  <si>
    <t>3列目</t>
    <rPh sb="1" eb="2">
      <t>レツ</t>
    </rPh>
    <rPh sb="2" eb="3">
      <t>メ</t>
    </rPh>
    <phoneticPr fontId="1"/>
  </si>
  <si>
    <t>3列目以降</t>
    <rPh sb="1" eb="2">
      <t>レツ</t>
    </rPh>
    <rPh sb="2" eb="3">
      <t>メ</t>
    </rPh>
    <rPh sb="3" eb="5">
      <t>イコウ</t>
    </rPh>
    <phoneticPr fontId="1"/>
  </si>
  <si>
    <t>橋軸方向</t>
    <phoneticPr fontId="1"/>
  </si>
  <si>
    <r>
      <t>d</t>
    </r>
    <r>
      <rPr>
        <vertAlign val="subscript"/>
        <sz val="10"/>
        <rFont val="ＭＳ 明朝"/>
        <family val="1"/>
        <charset val="128"/>
      </rPr>
      <t>m</t>
    </r>
    <phoneticPr fontId="1"/>
  </si>
  <si>
    <t>＝</t>
    <phoneticPr fontId="1"/>
  </si>
  <si>
    <r>
      <t>Ｌ</t>
    </r>
    <r>
      <rPr>
        <vertAlign val="subscript"/>
        <sz val="10"/>
        <rFont val="ＭＳ 明朝"/>
        <family val="1"/>
        <charset val="128"/>
      </rPr>
      <t>m</t>
    </r>
    <r>
      <rPr>
        <sz val="10"/>
        <rFont val="ＭＳ 明朝"/>
        <family val="1"/>
        <charset val="128"/>
      </rPr>
      <t>／Ｄ</t>
    </r>
    <phoneticPr fontId="1"/>
  </si>
  <si>
    <t>／</t>
    <phoneticPr fontId="1"/>
  </si>
  <si>
    <t>n</t>
    <phoneticPr fontId="1"/>
  </si>
  <si>
    <t>本</t>
    <rPh sb="0" eb="1">
      <t>ホン</t>
    </rPh>
    <phoneticPr fontId="1"/>
  </si>
  <si>
    <r>
      <t>η</t>
    </r>
    <r>
      <rPr>
        <vertAlign val="subscript"/>
        <sz val="10"/>
        <rFont val="ＭＳ 明朝"/>
        <family val="1"/>
        <charset val="128"/>
      </rPr>
      <t>n</t>
    </r>
    <phoneticPr fontId="1"/>
  </si>
  <si>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1"/>
  </si>
  <si>
    <t>(</t>
    <phoneticPr fontId="1"/>
  </si>
  <si>
    <r>
      <t>)</t>
    </r>
    <r>
      <rPr>
        <vertAlign val="superscript"/>
        <sz val="10"/>
        <rFont val="ＭＳ 明朝"/>
        <family val="1"/>
        <charset val="128"/>
      </rPr>
      <t>0.42</t>
    </r>
    <r>
      <rPr>
        <sz val="10"/>
        <rFont val="ＭＳ 明朝"/>
        <family val="1"/>
        <charset val="128"/>
      </rPr>
      <t/>
    </r>
    <phoneticPr fontId="1"/>
  </si>
  <si>
    <t>×</t>
    <phoneticPr fontId="1"/>
  </si>
  <si>
    <t>D</t>
    <phoneticPr fontId="1"/>
  </si>
  <si>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1"/>
  </si>
  <si>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1"/>
  </si>
  <si>
    <t>表1.1.18(4-3) 各層での基準周面支持力（地震時）【直角方向】（液状化 L2地震動）</t>
    <rPh sb="30" eb="32">
      <t>チョッカク</t>
    </rPh>
    <rPh sb="36" eb="39">
      <t>エキジョウカ</t>
    </rPh>
    <rPh sb="42" eb="44">
      <t>ジシン</t>
    </rPh>
    <rPh sb="44" eb="45">
      <t>ドウ</t>
    </rPh>
    <phoneticPr fontId="1"/>
  </si>
  <si>
    <t>表1.1.18(4-2) 各層での基準周面支持力（地震時）【直角方向】（液状化 L1地震動）</t>
    <rPh sb="36" eb="39">
      <t>エキジョウカ</t>
    </rPh>
    <rPh sb="42" eb="44">
      <t>ジシン</t>
    </rPh>
    <rPh sb="44" eb="45">
      <t>ドウ</t>
    </rPh>
    <phoneticPr fontId="1"/>
  </si>
  <si>
    <t>表1.1.18(4) 各層での基準周面支持力（地震時）【直角方向】</t>
    <phoneticPr fontId="1"/>
  </si>
  <si>
    <t>表1.1.18(3-3) 各層での基準周面支持力（地震時）【橋軸方向】（液状化 L2地震動）</t>
    <rPh sb="30" eb="31">
      <t>ハシ</t>
    </rPh>
    <rPh sb="31" eb="32">
      <t>ジク</t>
    </rPh>
    <rPh sb="36" eb="39">
      <t>エキジョウカ</t>
    </rPh>
    <rPh sb="42" eb="44">
      <t>ジシン</t>
    </rPh>
    <rPh sb="44" eb="45">
      <t>ドウ</t>
    </rPh>
    <phoneticPr fontId="1"/>
  </si>
  <si>
    <t>表1.1.18(3-2) 各層での基準周面支持力（地震時）【橋軸方向】（液状化 L1地震動）</t>
    <rPh sb="36" eb="39">
      <t>エキジョウカ</t>
    </rPh>
    <rPh sb="42" eb="44">
      <t>ジシン</t>
    </rPh>
    <rPh sb="44" eb="45">
      <t>ドウ</t>
    </rPh>
    <phoneticPr fontId="1"/>
  </si>
  <si>
    <t>表1.1.18(3) 各層での基準周面支持力（地震時）【橋軸方向】</t>
    <phoneticPr fontId="1"/>
  </si>
  <si>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1"/>
  </si>
  <si>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1"/>
  </si>
  <si>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1"/>
  </si>
  <si>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1"/>
  </si>
  <si>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1"/>
  </si>
  <si>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1"/>
  </si>
  <si>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1"/>
  </si>
  <si>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1"/>
  </si>
  <si>
    <t>表1.1.24(1) 降伏周面支持力および終局周面支持力（地震時）【橋軸方向】</t>
    <phoneticPr fontId="1"/>
  </si>
  <si>
    <r>
      <t>R</t>
    </r>
    <r>
      <rPr>
        <vertAlign val="subscript"/>
        <sz val="10"/>
        <rFont val="ＭＳ 明朝"/>
        <family val="1"/>
        <charset val="128"/>
      </rPr>
      <t>fy</t>
    </r>
    <r>
      <rPr>
        <sz val="10"/>
        <rFont val="ＭＳ 明朝"/>
        <family val="1"/>
        <charset val="128"/>
      </rPr>
      <t xml:space="preserve">
（kN/m）</t>
    </r>
    <phoneticPr fontId="1"/>
  </si>
  <si>
    <r>
      <t>R</t>
    </r>
    <r>
      <rPr>
        <vertAlign val="subscript"/>
        <sz val="10"/>
        <rFont val="ＭＳ 明朝"/>
        <family val="1"/>
        <charset val="128"/>
      </rPr>
      <t>fu</t>
    </r>
    <r>
      <rPr>
        <sz val="10"/>
        <rFont val="ＭＳ 明朝"/>
        <family val="1"/>
        <charset val="128"/>
      </rPr>
      <t xml:space="preserve">
（kN/m）</t>
    </r>
    <phoneticPr fontId="1"/>
  </si>
  <si>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</si>
  <si>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</si>
  <si>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t>表1.1.24(1-2) 降伏周面支持力および終局周面支持力（地震時）【橋軸方向】（液状化 L1地震動）</t>
    <phoneticPr fontId="1"/>
  </si>
  <si>
    <t>表1.1.24(1-3) 降伏周面支持力および終局周面支持力（地震時）【橋軸方向】（液状化 L2地震動）</t>
    <phoneticPr fontId="1"/>
  </si>
  <si>
    <t>表1.1.24(2) 降伏周面支持力および終局周面支持力（地震時）【直角方向】</t>
    <rPh sb="34" eb="36">
      <t>チョッカク</t>
    </rPh>
    <phoneticPr fontId="1"/>
  </si>
  <si>
    <t>表1.1.24(2-2) 降伏周面支持力および終局周面支持力（地震時）【直角方向】（液状化 L1地震動）</t>
    <rPh sb="36" eb="38">
      <t>チョッカク</t>
    </rPh>
    <phoneticPr fontId="1"/>
  </si>
  <si>
    <t>表1.1.24(2-3) 降伏周面支持力および終局周面支持力（地震時）【直角方向】（液状化 L2地震動）</t>
    <rPh sb="36" eb="38">
      <t>チョッカク</t>
    </rPh>
    <phoneticPr fontId="1"/>
  </si>
  <si>
    <t>×</t>
    <phoneticPr fontId="1"/>
  </si>
  <si>
    <t>N</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</si>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</sst>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28">
    <font>
      <sz val="11"/>
      <name val="ＭＳ Ｐゴシック"/>
      <family val="3"/>
      <charset val="128"/>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1"/>
      <color rgb="FFFF0000"/>
      <name val="ＭＳ Ｐゴシック"/>
      <family val="3"/>
      <charset val="128"/>
      <scheme val="minor"/>
    </font>
    <font>
      <sz val="10"/>
      <color rgb="FFFF0000"/>
      <name val="ＭＳ 明朝"/>
      <family val="1"/>
      <charset val="128"/>
    </font>
    <font>
      <sz val="10"/>
      <color theme="4"/>
      <name val="ＭＳ 明朝"/>
      <family val="1"/>
      <charset val="128"/>
    </font>
    <font>
      <sz val="10"/>
      <color theme="1"/>
      <name val="ＭＳ 明朝"/>
      <family val="1"/>
      <charset val="128"/>
    </font>
    <font>
      <sz val="11"/>
      <color rgb="FF000000"/>
      <name val="ＭＳ Ｐゴシック"/>
      <family val="3"/>
      <charset val="128"/>
    </font>
    <font>
      <b/>
      <sz val="9"/>
      <color indexed="81"/>
      <name val="ＭＳ Ｐゴシック"/>
      <family val="3"/>
      <charset val="128"/>
    </font>
  </fonts>
  <fills count="7">
    <fill>
      <patternFill patternType="none"/>
    </fill>
    <fill>
      <patternFill patternType="gray125"/>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s>
  <borders count="75">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style="thin">
        <color indexed="64"/>
      </right>
      <top style="hair">
        <color indexed="64"/>
      </top>
      <bottom/>
      <diagonal/>
    </border>
    <border>
      <left style="thin">
        <color indexed="64"/>
      </left>
      <right style="hair">
        <color indexed="64"/>
      </right>
      <top style="hair">
        <color indexed="64"/>
      </top>
      <bottom/>
      <diagonal/>
    </border>
  </borders>
  <cellStyleXfs count="4">
    <xf numFmtId="0" fontId="0" fillId="0" borderId="0"/>
    <xf numFmtId="0" fontId="17" fillId="0" borderId="0">
      <alignment vertical="center"/>
    </xf>
    <xf numFmtId="0" fontId="18" fillId="0" borderId="0" applyNumberFormat="0" applyFill="0" applyBorder="0" applyAlignment="0" applyProtection="0">
      <alignment vertical="top"/>
      <protection locked="0"/>
    </xf>
    <xf numFmtId="0" fontId="21" fillId="0" borderId="0">
      <alignment vertical="center"/>
    </xf>
  </cellStyleXfs>
  <cellXfs count="516">
    <xf numFmtId="0" fontId="0" fillId="0" borderId="0" xfId="0"/>
    <xf numFmtId="0" fontId="3" fillId="0" borderId="0" xfId="0" applyNumberFormat="1" applyFont="1" applyBorder="1" applyAlignment="1">
      <alignment vertical="center"/>
    </xf>
    <xf numFmtId="0" fontId="3" fillId="0" borderId="0" xfId="0" applyNumberFormat="1" applyFont="1" applyBorder="1" applyAlignment="1">
      <alignment horizontal="right" vertical="center"/>
    </xf>
    <xf numFmtId="0" fontId="6" fillId="0" borderId="0" xfId="0" applyNumberFormat="1" applyFont="1" applyBorder="1" applyAlignment="1">
      <alignment horizontal="left"/>
    </xf>
    <xf numFmtId="0" fontId="3" fillId="0" borderId="0" xfId="0" applyNumberFormat="1" applyFont="1" applyBorder="1" applyAlignment="1">
      <alignment horizontal="center"/>
    </xf>
    <xf numFmtId="0" fontId="3" fillId="0" borderId="0" xfId="0" applyNumberFormat="1" applyFont="1" applyBorder="1" applyAlignment="1"/>
    <xf numFmtId="0" fontId="3" fillId="0" borderId="0" xfId="0" applyNumberFormat="1" applyFont="1" applyBorder="1" applyAlignment="1">
      <alignment horizontal="left"/>
    </xf>
    <xf numFmtId="0" fontId="3" fillId="0" borderId="0" xfId="0" applyNumberFormat="1" applyFont="1" applyBorder="1" applyAlignment="1">
      <alignment vertical="center" shrinkToFit="1"/>
    </xf>
    <xf numFmtId="0" fontId="6" fillId="0" borderId="0" xfId="0" applyNumberFormat="1" applyFont="1" applyBorder="1" applyAlignment="1">
      <alignment vertical="center" shrinkToFit="1"/>
    </xf>
    <xf numFmtId="2" fontId="3" fillId="0" borderId="0" xfId="0" applyNumberFormat="1" applyFont="1" applyBorder="1" applyAlignment="1">
      <alignment horizontal="center" vertical="center"/>
    </xf>
    <xf numFmtId="0" fontId="6" fillId="0" borderId="0" xfId="0" applyNumberFormat="1" applyFont="1" applyBorder="1" applyAlignment="1">
      <alignment vertic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0" fontId="3" fillId="0" borderId="10" xfId="0" applyNumberFormat="1" applyFont="1" applyBorder="1" applyAlignment="1">
      <alignment horizontal="center"/>
    </xf>
    <xf numFmtId="0" fontId="13" fillId="0" borderId="0" xfId="0" applyFont="1" applyFill="1" applyAlignment="1">
      <alignment horizontal="centerContinuous"/>
    </xf>
    <xf numFmtId="0" fontId="14" fillId="0" borderId="0" xfId="0" applyFont="1" applyFill="1" applyAlignment="1">
      <alignment horizontal="centerContinuous"/>
    </xf>
    <xf numFmtId="0" fontId="14" fillId="0" borderId="0" xfId="0" applyFont="1" applyFill="1"/>
    <xf numFmtId="0" fontId="3" fillId="0" borderId="0" xfId="0" applyFont="1" applyFill="1"/>
    <xf numFmtId="0" fontId="15" fillId="0" borderId="0" xfId="0" applyFont="1" applyFill="1"/>
    <xf numFmtId="0" fontId="16" fillId="0" borderId="0" xfId="0" applyFont="1" applyFill="1"/>
    <xf numFmtId="0" fontId="16" fillId="0" borderId="0" xfId="1" applyFont="1" applyFill="1" applyBorder="1">
      <alignment vertical="center"/>
    </xf>
    <xf numFmtId="0" fontId="16" fillId="0" borderId="0" xfId="1" applyFont="1" applyFill="1">
      <alignment vertical="center"/>
    </xf>
    <xf numFmtId="0" fontId="18" fillId="0" borderId="0" xfId="2" applyFill="1" applyAlignment="1" applyProtection="1">
      <alignment vertical="center"/>
    </xf>
    <xf numFmtId="0" fontId="8" fillId="0" borderId="0" xfId="1" applyFont="1" applyFill="1" applyBorder="1">
      <alignment vertical="center"/>
    </xf>
    <xf numFmtId="0" fontId="19" fillId="0" borderId="0" xfId="0" applyFont="1" applyFill="1"/>
    <xf numFmtId="0" fontId="8" fillId="0" borderId="0" xfId="1" applyFont="1" applyFill="1">
      <alignment vertical="center"/>
    </xf>
    <xf numFmtId="0" fontId="16" fillId="0" borderId="0" xfId="1" applyFont="1" applyFill="1" applyAlignment="1">
      <alignment horizontal="left" vertical="center" indent="1"/>
    </xf>
    <xf numFmtId="0" fontId="16" fillId="0" borderId="0" xfId="1" applyFont="1" applyFill="1" applyBorder="1" applyAlignment="1">
      <alignment horizontal="center" vertical="center"/>
    </xf>
    <xf numFmtId="0" fontId="20" fillId="0" borderId="0" xfId="0" applyFont="1" applyAlignment="1">
      <alignment horizontal="left"/>
    </xf>
    <xf numFmtId="0" fontId="0" fillId="0" borderId="0" xfId="0" applyFont="1" applyAlignment="1">
      <alignment horizontal="left"/>
    </xf>
    <xf numFmtId="0" fontId="2" fillId="0" borderId="0" xfId="0" applyFont="1"/>
    <xf numFmtId="0" fontId="0" fillId="0" borderId="0" xfId="0" applyFont="1"/>
    <xf numFmtId="0" fontId="21" fillId="3" borderId="10" xfId="3" applyFill="1" applyBorder="1">
      <alignment vertical="center"/>
    </xf>
    <xf numFmtId="0" fontId="21" fillId="0" borderId="0" xfId="3">
      <alignment vertical="center"/>
    </xf>
    <xf numFmtId="0" fontId="21" fillId="4" borderId="10" xfId="3" applyFill="1" applyBorder="1">
      <alignment vertical="center"/>
    </xf>
    <xf numFmtId="0" fontId="22" fillId="0" borderId="0" xfId="3" applyFont="1">
      <alignment vertical="center"/>
    </xf>
    <xf numFmtId="0" fontId="21" fillId="0" borderId="10" xfId="3" applyBorder="1">
      <alignment vertical="center"/>
    </xf>
    <xf numFmtId="0" fontId="21" fillId="3" borderId="13" xfId="3" applyFill="1" applyBorder="1">
      <alignment vertical="center"/>
    </xf>
    <xf numFmtId="0" fontId="22" fillId="0" borderId="14" xfId="3" applyFont="1" applyFill="1" applyBorder="1">
      <alignment vertical="center"/>
    </xf>
    <xf numFmtId="0" fontId="21" fillId="0" borderId="15" xfId="3" applyBorder="1">
      <alignment vertical="center"/>
    </xf>
    <xf numFmtId="0" fontId="6" fillId="2" borderId="10" xfId="0" applyFont="1" applyFill="1" applyBorder="1" applyAlignment="1">
      <alignment horizontal="center" vertical="center" shrinkToFit="1"/>
    </xf>
    <xf numFmtId="0" fontId="6" fillId="2" borderId="10" xfId="0" applyFont="1" applyFill="1" applyBorder="1" applyAlignment="1">
      <alignment horizontal="center"/>
    </xf>
    <xf numFmtId="0" fontId="6" fillId="2" borderId="10" xfId="0" applyFont="1" applyFill="1" applyBorder="1" applyAlignment="1">
      <alignment horizontal="center" vertical="center" wrapText="1"/>
    </xf>
    <xf numFmtId="0" fontId="23" fillId="0" borderId="10" xfId="0" applyNumberFormat="1" applyFont="1" applyBorder="1" applyAlignment="1">
      <alignment horizontal="center"/>
    </xf>
    <xf numFmtId="0" fontId="23" fillId="0" borderId="5" xfId="0" applyNumberFormat="1" applyFont="1" applyBorder="1" applyAlignment="1">
      <alignment horizontal="center"/>
    </xf>
    <xf numFmtId="0" fontId="23" fillId="0" borderId="5" xfId="0" applyNumberFormat="1" applyFont="1" applyBorder="1" applyAlignment="1"/>
    <xf numFmtId="0" fontId="23" fillId="0" borderId="7" xfId="0" applyNumberFormat="1" applyFont="1" applyBorder="1" applyAlignment="1"/>
    <xf numFmtId="0" fontId="23" fillId="0" borderId="10" xfId="0" applyNumberFormat="1" applyFont="1" applyBorder="1" applyAlignment="1">
      <alignment horizontal="right"/>
    </xf>
    <xf numFmtId="181" fontId="23" fillId="0" borderId="10" xfId="0" applyNumberFormat="1" applyFont="1" applyBorder="1" applyAlignment="1">
      <alignment horizontal="right"/>
    </xf>
    <xf numFmtId="176" fontId="23" fillId="0" borderId="10" xfId="0" applyNumberFormat="1" applyFont="1" applyBorder="1" applyAlignment="1">
      <alignment horizontal="right"/>
    </xf>
    <xf numFmtId="180" fontId="23" fillId="0" borderId="10" xfId="0" applyNumberFormat="1" applyFont="1" applyBorder="1" applyAlignment="1">
      <alignment horizontal="right"/>
    </xf>
    <xf numFmtId="183" fontId="23" fillId="0" borderId="10" xfId="0" applyNumberFormat="1" applyFont="1" applyBorder="1" applyAlignment="1">
      <alignment horizontal="center"/>
    </xf>
    <xf numFmtId="0" fontId="3" fillId="0" borderId="12" xfId="0" applyNumberFormat="1" applyFont="1" applyBorder="1" applyAlignment="1">
      <alignment horizontal="center"/>
    </xf>
    <xf numFmtId="0" fontId="3" fillId="0" borderId="11" xfId="0" applyNumberFormat="1" applyFont="1" applyBorder="1" applyAlignment="1">
      <alignment horizontal="center"/>
    </xf>
    <xf numFmtId="0" fontId="3" fillId="0" borderId="3" xfId="0" applyNumberFormat="1" applyFont="1" applyBorder="1" applyAlignment="1">
      <alignment horizontal="center"/>
    </xf>
    <xf numFmtId="0" fontId="3" fillId="0" borderId="4" xfId="0" applyNumberFormat="1" applyFont="1" applyBorder="1" applyAlignment="1">
      <alignment horizontal="center"/>
    </xf>
    <xf numFmtId="0" fontId="3" fillId="0" borderId="9" xfId="0" applyNumberFormat="1" applyFont="1" applyBorder="1" applyAlignment="1">
      <alignment horizontal="center"/>
    </xf>
    <xf numFmtId="0" fontId="3" fillId="0" borderId="5" xfId="0" applyNumberFormat="1" applyFont="1" applyBorder="1" applyAlignment="1">
      <alignment horizontal="left"/>
    </xf>
    <xf numFmtId="0" fontId="3" fillId="0" borderId="0" xfId="0" applyNumberFormat="1" applyFont="1" applyBorder="1" applyAlignment="1">
      <alignment horizontal="right"/>
    </xf>
    <xf numFmtId="0" fontId="6" fillId="0" borderId="0" xfId="0" applyNumberFormat="1" applyFont="1" applyBorder="1" applyAlignment="1">
      <alignment horizontal="centerContinuous" vertical="center"/>
    </xf>
    <xf numFmtId="0" fontId="6" fillId="0" borderId="0" xfId="0" applyNumberFormat="1" applyFont="1" applyBorder="1" applyAlignment="1">
      <alignment horizontal="centerContinuous" vertical="center" shrinkToFit="1"/>
    </xf>
    <xf numFmtId="180" fontId="23" fillId="0" borderId="10" xfId="0" applyNumberFormat="1" applyFont="1" applyBorder="1" applyAlignment="1">
      <alignment horizontal="center"/>
    </xf>
    <xf numFmtId="0" fontId="6" fillId="0" borderId="4" xfId="0" applyNumberFormat="1" applyFont="1" applyBorder="1" applyAlignment="1">
      <alignment horizontal="centerContinuous" vertical="center"/>
    </xf>
    <xf numFmtId="0" fontId="23" fillId="0" borderId="7" xfId="0" applyNumberFormat="1" applyFont="1" applyBorder="1" applyAlignment="1">
      <alignment horizontal="center"/>
    </xf>
    <xf numFmtId="183" fontId="23" fillId="0" borderId="0" xfId="0" applyNumberFormat="1" applyFont="1" applyBorder="1" applyAlignment="1">
      <alignment horizontal="left"/>
    </xf>
    <xf numFmtId="0" fontId="23" fillId="0" borderId="11" xfId="0" applyNumberFormat="1" applyFont="1" applyBorder="1" applyAlignment="1">
      <alignment horizontal="left"/>
    </xf>
    <xf numFmtId="0" fontId="3" fillId="0" borderId="11" xfId="0" applyNumberFormat="1" applyFont="1" applyBorder="1" applyAlignment="1">
      <alignment horizontal="left"/>
    </xf>
    <xf numFmtId="0" fontId="3" fillId="0" borderId="12" xfId="0" applyNumberFormat="1" applyFont="1" applyBorder="1" applyAlignment="1">
      <alignment horizontal="right"/>
    </xf>
    <xf numFmtId="0" fontId="25" fillId="0" borderId="0" xfId="0" applyNumberFormat="1" applyFont="1" applyBorder="1" applyAlignment="1">
      <alignment horizontal="center"/>
    </xf>
    <xf numFmtId="0" fontId="24" fillId="0" borderId="0" xfId="0" applyNumberFormat="1" applyFont="1" applyBorder="1" applyAlignment="1">
      <alignment horizontal="center"/>
    </xf>
    <xf numFmtId="0" fontId="3" fillId="0" borderId="10" xfId="0" applyNumberFormat="1" applyFont="1" applyBorder="1" applyAlignment="1">
      <alignment horizontal="center"/>
    </xf>
    <xf numFmtId="0" fontId="3" fillId="0" borderId="10" xfId="0" applyNumberFormat="1" applyFont="1" applyBorder="1" applyAlignment="1">
      <alignment horizontal="center" vertical="center"/>
    </xf>
    <xf numFmtId="0"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0" fontId="3" fillId="0" borderId="0" xfId="0" applyNumberFormat="1" applyFont="1" applyBorder="1" applyAlignment="1">
      <alignment horizontal="center" vertical="center" shrinkToFit="1"/>
    </xf>
    <xf numFmtId="0" fontId="3" fillId="0" borderId="10" xfId="0" applyNumberFormat="1" applyFont="1" applyBorder="1" applyAlignment="1">
      <alignment horizontal="center" vertic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0" fontId="3" fillId="0" borderId="0" xfId="0" applyNumberFormat="1" applyFont="1" applyFill="1" applyBorder="1" applyAlignment="1">
      <alignment horizontal="center" vertical="center"/>
    </xf>
    <xf numFmtId="0" fontId="6" fillId="0" borderId="0" xfId="0" applyNumberFormat="1" applyFont="1" applyBorder="1" applyAlignment="1">
      <alignment horizontal="left" vertical="center"/>
    </xf>
    <xf numFmtId="0" fontId="9" fillId="0" borderId="0" xfId="0" applyNumberFormat="1" applyFont="1" applyBorder="1" applyAlignment="1">
      <alignment vertical="center"/>
    </xf>
    <xf numFmtId="0" fontId="3" fillId="0" borderId="0" xfId="0" applyNumberFormat="1" applyFont="1" applyBorder="1" applyAlignment="1">
      <alignment horizontal="centerContinuous" vertical="center"/>
    </xf>
    <xf numFmtId="0" fontId="3" fillId="0" borderId="1" xfId="0" applyNumberFormat="1" applyFont="1" applyBorder="1" applyAlignment="1">
      <alignment vertical="center"/>
    </xf>
    <xf numFmtId="2" fontId="3" fillId="0" borderId="0" xfId="0" applyNumberFormat="1" applyFont="1" applyBorder="1" applyAlignment="1">
      <alignment horizontal="center" vertical="center"/>
    </xf>
    <xf numFmtId="0" fontId="5" fillId="0" borderId="0" xfId="0" applyNumberFormat="1" applyFont="1" applyBorder="1" applyAlignment="1">
      <alignment horizontal="left" vertical="center"/>
    </xf>
    <xf numFmtId="0" fontId="3" fillId="0" borderId="0" xfId="0" applyNumberFormat="1" applyFont="1" applyBorder="1" applyAlignment="1">
      <alignment horizontal="left" vertical="center"/>
    </xf>
    <xf numFmtId="1" fontId="3" fillId="0" borderId="0" xfId="0" applyNumberFormat="1" applyFont="1" applyBorder="1" applyAlignment="1">
      <alignment horizontal="center" vertical="center"/>
    </xf>
    <xf numFmtId="0" fontId="3" fillId="0" borderId="65" xfId="0" applyNumberFormat="1" applyFont="1" applyBorder="1" applyAlignment="1">
      <alignment horizontal="center" vertical="center"/>
    </xf>
    <xf numFmtId="0" fontId="6" fillId="0" borderId="0" xfId="0" applyNumberFormat="1" applyFont="1" applyBorder="1" applyAlignment="1">
      <alignment horizontal="right" vertical="center"/>
    </xf>
    <xf numFmtId="0" fontId="3" fillId="0" borderId="0" xfId="0" quotePrefix="1" applyNumberFormat="1" applyFont="1" applyBorder="1" applyAlignment="1">
      <alignment vertical="center"/>
    </xf>
    <xf numFmtId="0" fontId="5" fillId="0" borderId="0" xfId="0" applyNumberFormat="1" applyFont="1" applyBorder="1" applyAlignment="1">
      <alignment horizontal="center" vertical="center"/>
    </xf>
    <xf numFmtId="181" fontId="3" fillId="0" borderId="0" xfId="0" applyNumberFormat="1" applyFont="1" applyBorder="1" applyAlignment="1">
      <alignment horizontal="center" vertical="center"/>
    </xf>
    <xf numFmtId="0" fontId="3" fillId="0" borderId="0" xfId="0" applyNumberFormat="1" applyFont="1" applyFill="1" applyBorder="1" applyAlignment="1">
      <alignment vertical="center"/>
    </xf>
    <xf numFmtId="0" fontId="3" fillId="0" borderId="0" xfId="0" applyNumberFormat="1" applyFont="1" applyFill="1" applyBorder="1" applyAlignment="1">
      <alignment horizontal="right" vertical="center"/>
    </xf>
    <xf numFmtId="181" fontId="3" fillId="0" borderId="0" xfId="0" applyNumberFormat="1" applyFont="1" applyFill="1" applyBorder="1" applyAlignment="1">
      <alignment horizontal="center" vertical="center"/>
    </xf>
    <xf numFmtId="0" fontId="3" fillId="0" borderId="0" xfId="0" applyNumberFormat="1" applyFont="1" applyFill="1" applyBorder="1" applyAlignment="1">
      <alignment horizontal="center" vertical="center" shrinkToFit="1"/>
    </xf>
    <xf numFmtId="0" fontId="3" fillId="5" borderId="0" xfId="0" applyNumberFormat="1" applyFont="1" applyFill="1" applyBorder="1" applyAlignment="1">
      <alignment horizontal="center" vertical="center"/>
    </xf>
    <xf numFmtId="0" fontId="3" fillId="0" borderId="0" xfId="0" quotePrefix="1" applyNumberFormat="1" applyFont="1" applyBorder="1" applyAlignment="1">
      <alignment horizontal="left" vertical="center"/>
    </xf>
    <xf numFmtId="12" fontId="3" fillId="0" borderId="0" xfId="0" applyNumberFormat="1" applyFont="1" applyBorder="1" applyAlignment="1">
      <alignment horizontal="center" vertic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left" vertical="center"/>
    </xf>
    <xf numFmtId="0" fontId="3" fillId="5" borderId="0" xfId="0" applyNumberFormat="1" applyFont="1" applyFill="1" applyBorder="1" applyAlignment="1">
      <alignment vertical="center"/>
    </xf>
    <xf numFmtId="0" fontId="0" fillId="0" borderId="0" xfId="0" applyFont="1" applyAlignment="1">
      <alignment vertical="center"/>
    </xf>
    <xf numFmtId="2" fontId="3" fillId="0" borderId="0" xfId="0" applyNumberFormat="1" applyFont="1" applyFill="1" applyBorder="1" applyAlignment="1">
      <alignment horizontal="center" vertical="center"/>
    </xf>
    <xf numFmtId="0" fontId="0" fillId="0" borderId="0" xfId="0" applyFont="1" applyFill="1" applyAlignment="1">
      <alignment vertical="center"/>
    </xf>
    <xf numFmtId="0" fontId="3" fillId="6" borderId="10" xfId="0" applyNumberFormat="1" applyFont="1" applyFill="1" applyBorder="1" applyAlignment="1">
      <alignment horizontal="center"/>
    </xf>
    <xf numFmtId="0" fontId="3" fillId="6" borderId="10" xfId="0" applyFont="1" applyFill="1" applyBorder="1" applyAlignment="1">
      <alignment horizontal="center"/>
    </xf>
    <xf numFmtId="0" fontId="3" fillId="0" borderId="24" xfId="0" applyNumberFormat="1" applyFont="1" applyBorder="1" applyAlignment="1">
      <alignment horizontal="center" vertical="center"/>
    </xf>
    <xf numFmtId="0" fontId="3" fillId="0" borderId="0" xfId="0" applyNumberFormat="1" applyFont="1" applyBorder="1" applyAlignment="1">
      <alignment horizontal="center" vertical="center"/>
    </xf>
    <xf numFmtId="178"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2" fontId="3" fillId="0" borderId="0" xfId="0" applyNumberFormat="1" applyFont="1" applyBorder="1" applyAlignment="1">
      <alignment horizontal="center" vertical="center"/>
    </xf>
    <xf numFmtId="0" fontId="3" fillId="0" borderId="0" xfId="0" applyNumberFormat="1" applyFont="1" applyBorder="1" applyAlignment="1">
      <alignment horizontal="left" vertical="center"/>
    </xf>
    <xf numFmtId="0" fontId="3" fillId="0" borderId="21" xfId="0" applyNumberFormat="1" applyFont="1" applyBorder="1" applyAlignment="1">
      <alignment horizontal="center" vertical="center"/>
    </xf>
    <xf numFmtId="0" fontId="3" fillId="0" borderId="1" xfId="0" applyNumberFormat="1" applyFont="1" applyBorder="1" applyAlignment="1">
      <alignment horizontal="center" vertical="center"/>
    </xf>
    <xf numFmtId="0" fontId="3" fillId="0" borderId="10" xfId="0" applyNumberFormat="1" applyFont="1" applyBorder="1" applyAlignment="1">
      <alignment horizontal="center" vertical="center"/>
    </xf>
    <xf numFmtId="0" fontId="3" fillId="0" borderId="5" xfId="0" applyNumberFormat="1" applyFont="1" applyBorder="1" applyAlignment="1">
      <alignment horizontal="center" vertical="center"/>
    </xf>
    <xf numFmtId="2"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0" fontId="3" fillId="0" borderId="0" xfId="0" applyNumberFormat="1" applyFont="1" applyBorder="1" applyAlignment="1">
      <alignment horizontal="right" vertical="center"/>
    </xf>
    <xf numFmtId="0" fontId="3" fillId="0" borderId="10" xfId="0" applyNumberFormat="1" applyFont="1" applyFill="1" applyBorder="1" applyAlignment="1">
      <alignment horizontal="center" vertical="center"/>
    </xf>
    <xf numFmtId="0" fontId="6" fillId="0" borderId="1" xfId="0" applyNumberFormat="1" applyFont="1" applyBorder="1" applyAlignment="1">
      <alignment horizontal="centerContinuous" vertical="center"/>
    </xf>
    <xf numFmtId="0" fontId="3" fillId="0" borderId="1" xfId="0" applyNumberFormat="1" applyFont="1" applyBorder="1" applyAlignment="1">
      <alignment horizontal="centerContinuous" vertical="center"/>
    </xf>
    <xf numFmtId="0" fontId="6" fillId="0" borderId="5"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8" fillId="0" borderId="5" xfId="1" applyFont="1" applyFill="1" applyBorder="1" applyAlignment="1">
      <alignment horizontal="left" vertical="center"/>
    </xf>
    <xf numFmtId="0" fontId="8" fillId="0" borderId="6" xfId="1" applyFont="1" applyFill="1" applyBorder="1" applyAlignment="1">
      <alignment horizontal="left" vertical="center"/>
    </xf>
    <xf numFmtId="0" fontId="8" fillId="0" borderId="7" xfId="1" applyFont="1" applyFill="1" applyBorder="1" applyAlignment="1">
      <alignment horizontal="left" vertical="center"/>
    </xf>
    <xf numFmtId="0" fontId="3" fillId="0" borderId="10" xfId="0" applyNumberFormat="1" applyFont="1" applyBorder="1" applyAlignment="1">
      <alignment horizontal="center"/>
    </xf>
    <xf numFmtId="176" fontId="23" fillId="0" borderId="10" xfId="0" applyNumberFormat="1" applyFont="1" applyBorder="1" applyAlignment="1">
      <alignment horizontal="center"/>
    </xf>
    <xf numFmtId="0" fontId="6" fillId="2" borderId="5"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183" fontId="23" fillId="0" borderId="10" xfId="0" applyNumberFormat="1" applyFont="1" applyBorder="1" applyAlignment="1">
      <alignment horizontal="center"/>
    </xf>
    <xf numFmtId="0" fontId="23" fillId="0" borderId="5" xfId="0" applyFont="1" applyBorder="1" applyAlignment="1">
      <alignment horizontal="center"/>
    </xf>
    <xf numFmtId="0" fontId="23" fillId="0" borderId="7" xfId="0" applyFont="1" applyBorder="1" applyAlignment="1">
      <alignment horizontal="center"/>
    </xf>
    <xf numFmtId="0" fontId="6" fillId="6" borderId="10" xfId="0" applyFont="1" applyFill="1" applyBorder="1" applyAlignment="1">
      <alignment horizontal="center" vertical="center" wrapText="1"/>
    </xf>
    <xf numFmtId="0" fontId="6" fillId="6" borderId="10" xfId="0" applyFont="1" applyFill="1" applyBorder="1" applyAlignment="1">
      <alignment horizontal="center" vertical="center"/>
    </xf>
    <xf numFmtId="0" fontId="6" fillId="2" borderId="10" xfId="0" applyFont="1" applyFill="1" applyBorder="1" applyAlignment="1">
      <alignment horizontal="center" vertical="center" wrapText="1"/>
    </xf>
    <xf numFmtId="0" fontId="6" fillId="2" borderId="10" xfId="0" applyFont="1" applyFill="1" applyBorder="1" applyAlignment="1">
      <alignment horizontal="center"/>
    </xf>
    <xf numFmtId="0" fontId="6" fillId="2" borderId="10" xfId="0" applyFont="1" applyFill="1" applyBorder="1" applyAlignment="1">
      <alignment horizontal="center" vertical="center" shrinkToFit="1"/>
    </xf>
    <xf numFmtId="2" fontId="3" fillId="0" borderId="20" xfId="0" applyNumberFormat="1" applyFont="1" applyFill="1" applyBorder="1" applyAlignment="1">
      <alignment horizontal="center" vertical="center"/>
    </xf>
    <xf numFmtId="0" fontId="3" fillId="0" borderId="17" xfId="0" applyNumberFormat="1" applyFont="1" applyBorder="1" applyAlignment="1">
      <alignment horizontal="center" vertical="center" wrapText="1"/>
    </xf>
    <xf numFmtId="0" fontId="3" fillId="0" borderId="17" xfId="0" applyNumberFormat="1" applyFont="1" applyBorder="1" applyAlignment="1">
      <alignment horizontal="center" vertical="center"/>
    </xf>
    <xf numFmtId="0" fontId="3" fillId="0" borderId="23" xfId="0" applyNumberFormat="1" applyFont="1" applyBorder="1" applyAlignment="1">
      <alignment horizontal="center" vertical="center"/>
    </xf>
    <xf numFmtId="2" fontId="3" fillId="0" borderId="17" xfId="0" applyNumberFormat="1" applyFont="1" applyFill="1" applyBorder="1" applyAlignment="1">
      <alignment horizontal="center" vertical="center"/>
    </xf>
    <xf numFmtId="2" fontId="3" fillId="0" borderId="23" xfId="0" applyNumberFormat="1" applyFont="1" applyFill="1" applyBorder="1" applyAlignment="1">
      <alignment horizontal="center" vertical="center"/>
    </xf>
    <xf numFmtId="0" fontId="3" fillId="5" borderId="52" xfId="0" applyNumberFormat="1" applyFont="1" applyFill="1" applyBorder="1" applyAlignment="1">
      <alignment horizontal="center" vertical="center"/>
    </xf>
    <xf numFmtId="2" fontId="3" fillId="5" borderId="52" xfId="0" applyNumberFormat="1" applyFont="1" applyFill="1" applyBorder="1" applyAlignment="1">
      <alignment horizontal="center" vertical="center"/>
    </xf>
    <xf numFmtId="2" fontId="3" fillId="0" borderId="52" xfId="0" applyNumberFormat="1" applyFont="1" applyFill="1" applyBorder="1" applyAlignment="1">
      <alignment horizontal="center" vertical="center"/>
    </xf>
    <xf numFmtId="0" fontId="3" fillId="0" borderId="52" xfId="0" applyNumberFormat="1" applyFont="1" applyFill="1" applyBorder="1" applyAlignment="1">
      <alignment horizontal="center" vertical="center"/>
    </xf>
    <xf numFmtId="2" fontId="3" fillId="5" borderId="23" xfId="0" applyNumberFormat="1" applyFont="1" applyFill="1" applyBorder="1" applyAlignment="1">
      <alignment horizontal="center" vertical="center"/>
    </xf>
    <xf numFmtId="0" fontId="3" fillId="5" borderId="40" xfId="0" applyNumberFormat="1" applyFont="1" applyFill="1" applyBorder="1" applyAlignment="1">
      <alignment horizontal="center" vertical="center"/>
    </xf>
    <xf numFmtId="2" fontId="3" fillId="5" borderId="40" xfId="0" applyNumberFormat="1" applyFont="1" applyFill="1" applyBorder="1" applyAlignment="1">
      <alignment horizontal="center" vertical="center"/>
    </xf>
    <xf numFmtId="2" fontId="3" fillId="0" borderId="40" xfId="0" applyNumberFormat="1" applyFont="1" applyFill="1" applyBorder="1" applyAlignment="1">
      <alignment horizontal="center" vertical="center"/>
    </xf>
    <xf numFmtId="0" fontId="3" fillId="0" borderId="40" xfId="0" applyNumberFormat="1" applyFont="1" applyFill="1" applyBorder="1" applyAlignment="1">
      <alignment horizontal="center" vertical="center"/>
    </xf>
    <xf numFmtId="2" fontId="3" fillId="5" borderId="20" xfId="0" applyNumberFormat="1" applyFont="1" applyFill="1" applyBorder="1" applyAlignment="1">
      <alignment horizontal="center" vertical="center"/>
    </xf>
    <xf numFmtId="0" fontId="3" fillId="5" borderId="39" xfId="0" applyNumberFormat="1" applyFont="1" applyFill="1" applyBorder="1" applyAlignment="1">
      <alignment horizontal="center" vertical="center"/>
    </xf>
    <xf numFmtId="0" fontId="3" fillId="5" borderId="51" xfId="0" applyNumberFormat="1" applyFont="1" applyFill="1" applyBorder="1" applyAlignment="1">
      <alignment horizontal="center" vertical="center"/>
    </xf>
    <xf numFmtId="0" fontId="3" fillId="5" borderId="17" xfId="0" applyNumberFormat="1" applyFont="1" applyFill="1" applyBorder="1" applyAlignment="1">
      <alignment horizontal="center" vertical="center"/>
    </xf>
    <xf numFmtId="2" fontId="3" fillId="5" borderId="17" xfId="0" applyNumberFormat="1" applyFont="1" applyFill="1" applyBorder="1" applyAlignment="1">
      <alignment horizontal="center" vertical="center"/>
    </xf>
    <xf numFmtId="0" fontId="3" fillId="0" borderId="17" xfId="0" applyNumberFormat="1" applyFont="1" applyFill="1" applyBorder="1" applyAlignment="1">
      <alignment horizontal="center" vertical="center"/>
    </xf>
    <xf numFmtId="0" fontId="3" fillId="5" borderId="37" xfId="0" applyNumberFormat="1" applyFont="1" applyFill="1" applyBorder="1" applyAlignment="1">
      <alignment horizontal="center" vertical="center"/>
    </xf>
    <xf numFmtId="0" fontId="3" fillId="5" borderId="20" xfId="0" applyNumberFormat="1" applyFont="1" applyFill="1" applyBorder="1" applyAlignment="1">
      <alignment horizontal="center" vertical="center"/>
    </xf>
    <xf numFmtId="2" fontId="3" fillId="0" borderId="20" xfId="0" applyNumberFormat="1" applyFont="1" applyBorder="1" applyAlignment="1">
      <alignment horizontal="center" vertical="center"/>
    </xf>
    <xf numFmtId="0" fontId="3" fillId="0" borderId="20" xfId="0" applyNumberFormat="1" applyFont="1" applyBorder="1" applyAlignment="1">
      <alignment horizontal="center" vertical="center"/>
    </xf>
    <xf numFmtId="177" fontId="3" fillId="5" borderId="20" xfId="0" applyNumberFormat="1" applyFont="1" applyFill="1" applyBorder="1" applyAlignment="1">
      <alignment horizontal="center" vertical="center"/>
    </xf>
    <xf numFmtId="178" fontId="3" fillId="0" borderId="20" xfId="0" applyNumberFormat="1" applyFont="1" applyBorder="1" applyAlignment="1">
      <alignment horizontal="center" vertical="center"/>
    </xf>
    <xf numFmtId="177" fontId="3" fillId="0" borderId="20" xfId="0" applyNumberFormat="1" applyFont="1" applyBorder="1" applyAlignment="1">
      <alignment horizontal="center" vertical="center"/>
    </xf>
    <xf numFmtId="177" fontId="3" fillId="0" borderId="21" xfId="0" applyNumberFormat="1" applyFont="1" applyBorder="1" applyAlignment="1">
      <alignment horizontal="center" vertical="center"/>
    </xf>
    <xf numFmtId="0" fontId="3" fillId="5" borderId="38" xfId="0" applyNumberFormat="1" applyFont="1" applyFill="1" applyBorder="1" applyAlignment="1">
      <alignment horizontal="center" vertical="center"/>
    </xf>
    <xf numFmtId="0" fontId="3" fillId="5" borderId="23" xfId="0" applyNumberFormat="1" applyFont="1" applyFill="1" applyBorder="1" applyAlignment="1">
      <alignment horizontal="center" vertical="center"/>
    </xf>
    <xf numFmtId="177" fontId="3" fillId="5" borderId="23" xfId="0" applyNumberFormat="1" applyFont="1" applyFill="1" applyBorder="1" applyAlignment="1">
      <alignment horizontal="center" vertical="center"/>
    </xf>
    <xf numFmtId="178" fontId="3" fillId="0" borderId="23" xfId="0" applyNumberFormat="1" applyFont="1" applyBorder="1" applyAlignment="1">
      <alignment horizontal="center" vertical="center"/>
    </xf>
    <xf numFmtId="2" fontId="3" fillId="0" borderId="23" xfId="0" applyNumberFormat="1" applyFont="1" applyBorder="1" applyAlignment="1">
      <alignment horizontal="center" vertical="center"/>
    </xf>
    <xf numFmtId="177" fontId="3" fillId="0" borderId="23" xfId="0" applyNumberFormat="1" applyFont="1" applyBorder="1" applyAlignment="1">
      <alignment horizontal="center" vertical="center"/>
    </xf>
    <xf numFmtId="177" fontId="3" fillId="0" borderId="24" xfId="0" applyNumberFormat="1" applyFont="1" applyBorder="1" applyAlignment="1">
      <alignment horizontal="center" vertical="center"/>
    </xf>
    <xf numFmtId="0" fontId="3" fillId="0" borderId="0" xfId="0" applyNumberFormat="1" applyFont="1" applyBorder="1" applyAlignment="1">
      <alignment horizontal="center" vertical="center"/>
    </xf>
    <xf numFmtId="177" fontId="3" fillId="0" borderId="40" xfId="0" applyNumberFormat="1" applyFont="1" applyBorder="1" applyAlignment="1">
      <alignment horizontal="center" vertical="center"/>
    </xf>
    <xf numFmtId="177" fontId="3" fillId="0" borderId="52" xfId="0" applyNumberFormat="1" applyFont="1" applyBorder="1" applyAlignment="1">
      <alignment horizontal="center" vertical="center"/>
    </xf>
    <xf numFmtId="177" fontId="3" fillId="0" borderId="17" xfId="0" applyNumberFormat="1" applyFont="1" applyBorder="1" applyAlignment="1">
      <alignment horizontal="center" vertical="center"/>
    </xf>
    <xf numFmtId="0" fontId="3" fillId="0" borderId="36" xfId="0" applyNumberFormat="1" applyFont="1" applyBorder="1" applyAlignment="1">
      <alignment horizontal="center" vertical="center" wrapText="1"/>
    </xf>
    <xf numFmtId="0" fontId="3" fillId="0" borderId="38" xfId="0" applyNumberFormat="1" applyFont="1" applyBorder="1" applyAlignment="1">
      <alignment horizontal="center" vertical="center" wrapText="1"/>
    </xf>
    <xf numFmtId="0" fontId="3" fillId="0" borderId="23" xfId="0" applyNumberFormat="1" applyFont="1" applyBorder="1" applyAlignment="1">
      <alignment horizontal="center" vertical="center" wrapText="1"/>
    </xf>
    <xf numFmtId="0" fontId="3" fillId="0" borderId="17" xfId="0" applyNumberFormat="1" applyFont="1" applyBorder="1" applyAlignment="1">
      <alignment horizontal="center" vertical="center" wrapText="1" shrinkToFit="1"/>
    </xf>
    <xf numFmtId="0" fontId="3" fillId="0" borderId="23" xfId="0" applyNumberFormat="1" applyFont="1" applyBorder="1" applyAlignment="1">
      <alignment horizontal="center" vertical="center" wrapText="1" shrinkToFit="1"/>
    </xf>
    <xf numFmtId="0" fontId="3" fillId="5" borderId="36" xfId="0" applyNumberFormat="1" applyFont="1" applyFill="1" applyBorder="1" applyAlignment="1">
      <alignment horizontal="center" vertical="center"/>
    </xf>
    <xf numFmtId="1" fontId="3" fillId="0" borderId="20" xfId="0" applyNumberFormat="1" applyFont="1" applyBorder="1" applyAlignment="1">
      <alignment horizontal="center" vertical="center"/>
    </xf>
    <xf numFmtId="1" fontId="3" fillId="0" borderId="21" xfId="0" applyNumberFormat="1" applyFont="1" applyBorder="1" applyAlignment="1">
      <alignment horizontal="center" vertical="center"/>
    </xf>
    <xf numFmtId="1" fontId="3" fillId="0" borderId="23" xfId="0" applyNumberFormat="1" applyFont="1" applyBorder="1" applyAlignment="1">
      <alignment horizontal="center" vertical="center"/>
    </xf>
    <xf numFmtId="1" fontId="3" fillId="0" borderId="24" xfId="0" applyNumberFormat="1" applyFont="1" applyBorder="1" applyAlignment="1">
      <alignment horizontal="center" vertical="center"/>
    </xf>
    <xf numFmtId="1" fontId="3" fillId="0" borderId="44" xfId="0" applyNumberFormat="1" applyFont="1" applyBorder="1" applyAlignment="1">
      <alignment horizontal="center" vertical="center"/>
    </xf>
    <xf numFmtId="2" fontId="3" fillId="0" borderId="19" xfId="0" applyNumberFormat="1" applyFont="1" applyBorder="1" applyAlignment="1">
      <alignment horizontal="center" vertical="center"/>
    </xf>
    <xf numFmtId="2" fontId="3" fillId="0" borderId="43" xfId="0" applyNumberFormat="1" applyFont="1" applyBorder="1" applyAlignment="1">
      <alignment horizontal="center" vertical="center"/>
    </xf>
    <xf numFmtId="2" fontId="3" fillId="0" borderId="22" xfId="0" applyNumberFormat="1" applyFont="1" applyBorder="1" applyAlignment="1">
      <alignment horizontal="center" vertical="center"/>
    </xf>
    <xf numFmtId="2" fontId="3" fillId="0" borderId="44" xfId="0" applyNumberFormat="1" applyFont="1" applyBorder="1" applyAlignment="1">
      <alignment horizontal="center" vertical="center"/>
    </xf>
    <xf numFmtId="1" fontId="3" fillId="0" borderId="19" xfId="0" applyNumberFormat="1" applyFont="1" applyBorder="1" applyAlignment="1">
      <alignment horizontal="center" vertical="center"/>
    </xf>
    <xf numFmtId="1" fontId="3" fillId="0" borderId="37" xfId="0" applyNumberFormat="1" applyFont="1" applyBorder="1" applyAlignment="1">
      <alignment horizontal="center" vertical="center"/>
    </xf>
    <xf numFmtId="1" fontId="3" fillId="0" borderId="22" xfId="0" applyNumberFormat="1" applyFont="1" applyBorder="1" applyAlignment="1">
      <alignment horizontal="center" vertical="center"/>
    </xf>
    <xf numFmtId="1" fontId="3" fillId="0" borderId="38" xfId="0" applyNumberFormat="1" applyFont="1" applyBorder="1" applyAlignment="1">
      <alignment horizontal="center" vertical="center"/>
    </xf>
    <xf numFmtId="0" fontId="3" fillId="0" borderId="37" xfId="0" applyNumberFormat="1" applyFont="1" applyFill="1" applyBorder="1" applyAlignment="1">
      <alignment horizontal="center" vertical="center"/>
    </xf>
    <xf numFmtId="0" fontId="3" fillId="0" borderId="20" xfId="0" applyNumberFormat="1" applyFont="1" applyFill="1" applyBorder="1" applyAlignment="1">
      <alignment horizontal="center" vertical="center"/>
    </xf>
    <xf numFmtId="1" fontId="3" fillId="0" borderId="43" xfId="0" applyNumberFormat="1" applyFont="1" applyBorder="1" applyAlignment="1">
      <alignment horizontal="center" vertical="center"/>
    </xf>
    <xf numFmtId="0" fontId="3" fillId="0" borderId="38"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1" fontId="3" fillId="0" borderId="40" xfId="0" applyNumberFormat="1" applyFont="1" applyBorder="1" applyAlignment="1">
      <alignment horizontal="center" vertical="center"/>
    </xf>
    <xf numFmtId="0" fontId="3" fillId="0" borderId="40" xfId="0" applyNumberFormat="1" applyFont="1" applyBorder="1" applyAlignment="1">
      <alignment horizontal="center" vertical="center"/>
    </xf>
    <xf numFmtId="0" fontId="3" fillId="0" borderId="0" xfId="0" applyNumberFormat="1" applyFont="1" applyBorder="1" applyAlignment="1">
      <alignment horizontal="center" vertical="center" shrinkToFit="1"/>
    </xf>
    <xf numFmtId="2" fontId="3" fillId="0" borderId="0" xfId="0" applyNumberFormat="1" applyFont="1" applyBorder="1" applyAlignment="1">
      <alignment horizontal="center" vertical="center"/>
    </xf>
    <xf numFmtId="0" fontId="3" fillId="0" borderId="36" xfId="0" applyNumberFormat="1" applyFont="1" applyBorder="1" applyAlignment="1">
      <alignment horizontal="center" vertical="center"/>
    </xf>
    <xf numFmtId="0" fontId="3" fillId="0" borderId="18" xfId="0" applyNumberFormat="1" applyFont="1" applyBorder="1" applyAlignment="1">
      <alignment horizontal="center" vertical="center"/>
    </xf>
    <xf numFmtId="0" fontId="3" fillId="0" borderId="38" xfId="0" applyNumberFormat="1" applyFont="1" applyBorder="1" applyAlignment="1">
      <alignment horizontal="center" vertical="center"/>
    </xf>
    <xf numFmtId="0" fontId="3" fillId="0" borderId="24" xfId="0" applyNumberFormat="1" applyFont="1" applyBorder="1" applyAlignment="1">
      <alignment horizontal="center" vertical="center"/>
    </xf>
    <xf numFmtId="0" fontId="3" fillId="0" borderId="17" xfId="0" applyNumberFormat="1" applyFont="1" applyBorder="1" applyAlignment="1">
      <alignment horizontal="center" vertical="center" shrinkToFit="1"/>
    </xf>
    <xf numFmtId="0" fontId="3" fillId="0" borderId="23" xfId="0" applyNumberFormat="1" applyFont="1" applyBorder="1" applyAlignment="1">
      <alignment horizontal="center" vertical="center" shrinkToFit="1"/>
    </xf>
    <xf numFmtId="0" fontId="3" fillId="0" borderId="39" xfId="0" applyNumberFormat="1" applyFont="1" applyFill="1" applyBorder="1" applyAlignment="1">
      <alignment horizontal="center" vertical="center"/>
    </xf>
    <xf numFmtId="181" fontId="3" fillId="0" borderId="0" xfId="0" applyNumberFormat="1" applyFont="1" applyBorder="1" applyAlignment="1">
      <alignment horizontal="center" vertical="center"/>
    </xf>
    <xf numFmtId="0" fontId="3" fillId="0" borderId="18" xfId="0" applyNumberFormat="1" applyFont="1" applyBorder="1" applyAlignment="1">
      <alignment horizontal="center" vertical="center" wrapText="1"/>
    </xf>
    <xf numFmtId="0" fontId="3" fillId="0" borderId="24" xfId="0" applyNumberFormat="1" applyFont="1" applyBorder="1" applyAlignment="1">
      <alignment horizontal="center" vertical="center" wrapText="1"/>
    </xf>
    <xf numFmtId="1" fontId="3" fillId="0" borderId="17" xfId="0" applyNumberFormat="1" applyFont="1" applyBorder="1" applyAlignment="1">
      <alignment horizontal="center" vertical="center"/>
    </xf>
    <xf numFmtId="0" fontId="3" fillId="0" borderId="36" xfId="0" applyNumberFormat="1" applyFont="1" applyFill="1" applyBorder="1" applyAlignment="1">
      <alignment horizontal="center" vertical="center"/>
    </xf>
    <xf numFmtId="0" fontId="3" fillId="0" borderId="51" xfId="0" applyNumberFormat="1" applyFont="1" applyBorder="1" applyAlignment="1">
      <alignment horizontal="center" vertical="center" wrapText="1"/>
    </xf>
    <xf numFmtId="0" fontId="3" fillId="0" borderId="52" xfId="0" applyNumberFormat="1" applyFont="1" applyBorder="1" applyAlignment="1">
      <alignment horizontal="center" vertical="center" wrapText="1"/>
    </xf>
    <xf numFmtId="0" fontId="3" fillId="0" borderId="46" xfId="0" applyNumberFormat="1" applyFont="1" applyBorder="1" applyAlignment="1">
      <alignment horizontal="center" vertical="center" wrapText="1"/>
    </xf>
    <xf numFmtId="0" fontId="3" fillId="0" borderId="47" xfId="0" applyNumberFormat="1" applyFont="1" applyBorder="1" applyAlignment="1">
      <alignment horizontal="center" vertical="center" wrapText="1"/>
    </xf>
    <xf numFmtId="0" fontId="3" fillId="0" borderId="52" xfId="0" applyNumberFormat="1" applyFont="1" applyBorder="1" applyAlignment="1">
      <alignment horizontal="center" vertical="center" wrapText="1" shrinkToFit="1"/>
    </xf>
    <xf numFmtId="0" fontId="3" fillId="0" borderId="52" xfId="0" applyNumberFormat="1" applyFont="1" applyBorder="1" applyAlignment="1">
      <alignment horizontal="center" vertical="center" shrinkToFit="1"/>
    </xf>
    <xf numFmtId="0" fontId="3" fillId="0" borderId="47" xfId="0" applyNumberFormat="1" applyFont="1" applyBorder="1" applyAlignment="1">
      <alignment horizontal="center" vertical="center" shrinkToFit="1"/>
    </xf>
    <xf numFmtId="179" fontId="3" fillId="0" borderId="17" xfId="0" applyNumberFormat="1" applyFont="1" applyBorder="1" applyAlignment="1">
      <alignment horizontal="center" vertical="center"/>
    </xf>
    <xf numFmtId="182" fontId="3" fillId="0" borderId="0" xfId="0" applyNumberFormat="1" applyFont="1" applyBorder="1" applyAlignment="1">
      <alignment horizontal="right" vertical="center"/>
    </xf>
    <xf numFmtId="2" fontId="3" fillId="0" borderId="21" xfId="0" applyNumberFormat="1" applyFont="1" applyBorder="1" applyAlignment="1">
      <alignment horizontal="center" vertical="center"/>
    </xf>
    <xf numFmtId="1" fontId="3" fillId="0" borderId="42" xfId="0" applyNumberFormat="1" applyFont="1" applyBorder="1" applyAlignment="1">
      <alignment horizontal="center" vertical="center"/>
    </xf>
    <xf numFmtId="0" fontId="3" fillId="0" borderId="48" xfId="0" applyNumberFormat="1" applyFont="1" applyBorder="1" applyAlignment="1">
      <alignment horizontal="center" vertical="center" shrinkToFit="1"/>
    </xf>
    <xf numFmtId="178" fontId="3" fillId="0" borderId="40" xfId="0" applyNumberFormat="1" applyFont="1" applyBorder="1" applyAlignment="1">
      <alignment horizontal="center" vertical="center"/>
    </xf>
    <xf numFmtId="178" fontId="3" fillId="0" borderId="41" xfId="0" applyNumberFormat="1" applyFont="1" applyBorder="1" applyAlignment="1">
      <alignment horizontal="center" vertical="center"/>
    </xf>
    <xf numFmtId="2" fontId="3" fillId="0" borderId="40" xfId="0" applyNumberFormat="1" applyFont="1" applyBorder="1" applyAlignment="1">
      <alignment horizontal="center" vertical="center"/>
    </xf>
    <xf numFmtId="0" fontId="3" fillId="0" borderId="39" xfId="0" applyNumberFormat="1" applyFont="1" applyBorder="1" applyAlignment="1">
      <alignment horizontal="center" vertical="center"/>
    </xf>
    <xf numFmtId="0" fontId="3" fillId="0" borderId="41" xfId="0" applyNumberFormat="1" applyFont="1" applyBorder="1" applyAlignment="1">
      <alignment horizontal="center" vertical="center"/>
    </xf>
    <xf numFmtId="0" fontId="3" fillId="0" borderId="46" xfId="0" applyNumberFormat="1" applyFont="1" applyBorder="1" applyAlignment="1">
      <alignment horizontal="center" vertical="center"/>
    </xf>
    <xf numFmtId="0" fontId="3" fillId="0" borderId="47" xfId="0" applyNumberFormat="1" applyFont="1" applyBorder="1" applyAlignment="1">
      <alignment horizontal="center" vertical="center"/>
    </xf>
    <xf numFmtId="0" fontId="3" fillId="0" borderId="48" xfId="0" applyNumberFormat="1" applyFont="1" applyBorder="1" applyAlignment="1">
      <alignment horizontal="center" vertical="center"/>
    </xf>
    <xf numFmtId="178" fontId="3" fillId="0" borderId="24" xfId="0" applyNumberFormat="1" applyFont="1" applyBorder="1" applyAlignment="1">
      <alignment horizontal="center" vertical="center"/>
    </xf>
    <xf numFmtId="182" fontId="5" fillId="0" borderId="0" xfId="0" applyNumberFormat="1" applyFont="1" applyBorder="1" applyAlignment="1">
      <alignment horizontal="left" vertical="center"/>
    </xf>
    <xf numFmtId="0" fontId="3" fillId="0" borderId="18" xfId="0" applyNumberFormat="1" applyFont="1" applyFill="1" applyBorder="1" applyAlignment="1">
      <alignment horizontal="center" vertical="center"/>
    </xf>
    <xf numFmtId="177" fontId="3" fillId="0" borderId="37" xfId="0" applyNumberFormat="1" applyFont="1" applyFill="1" applyBorder="1" applyAlignment="1">
      <alignment horizontal="center" vertical="center"/>
    </xf>
    <xf numFmtId="177" fontId="3" fillId="0" borderId="20" xfId="0" applyNumberFormat="1" applyFont="1" applyFill="1" applyBorder="1" applyAlignment="1">
      <alignment horizontal="center" vertical="center"/>
    </xf>
    <xf numFmtId="177" fontId="3" fillId="0" borderId="38" xfId="0" applyNumberFormat="1" applyFont="1" applyFill="1" applyBorder="1" applyAlignment="1">
      <alignment horizontal="center" vertical="center"/>
    </xf>
    <xf numFmtId="177" fontId="3" fillId="0" borderId="23" xfId="0" applyNumberFormat="1" applyFont="1" applyFill="1" applyBorder="1" applyAlignment="1">
      <alignment horizontal="center" vertical="center"/>
    </xf>
    <xf numFmtId="177" fontId="3" fillId="0" borderId="36" xfId="0" applyNumberFormat="1" applyFont="1" applyFill="1" applyBorder="1" applyAlignment="1">
      <alignment horizontal="center" vertical="center"/>
    </xf>
    <xf numFmtId="177" fontId="3" fillId="0" borderId="17" xfId="0" applyNumberFormat="1" applyFont="1" applyFill="1" applyBorder="1" applyAlignment="1">
      <alignment horizontal="center" vertical="center"/>
    </xf>
    <xf numFmtId="0" fontId="3" fillId="0" borderId="42" xfId="0" applyNumberFormat="1" applyFont="1" applyFill="1" applyBorder="1" applyAlignment="1">
      <alignment horizontal="center" vertical="center"/>
    </xf>
    <xf numFmtId="0" fontId="3" fillId="0" borderId="21" xfId="0" applyNumberFormat="1" applyFont="1" applyFill="1" applyBorder="1" applyAlignment="1">
      <alignment horizontal="center" vertical="center"/>
    </xf>
    <xf numFmtId="0" fontId="3" fillId="0" borderId="43"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3" fillId="0" borderId="44" xfId="0" applyNumberFormat="1" applyFont="1" applyFill="1" applyBorder="1" applyAlignment="1">
      <alignment horizontal="center" vertical="center"/>
    </xf>
    <xf numFmtId="0" fontId="3" fillId="5" borderId="42" xfId="0" applyNumberFormat="1" applyFont="1" applyFill="1" applyBorder="1" applyAlignment="1">
      <alignment horizontal="center" vertical="center"/>
    </xf>
    <xf numFmtId="0" fontId="3" fillId="5" borderId="26" xfId="0" applyNumberFormat="1" applyFont="1" applyFill="1" applyBorder="1" applyAlignment="1">
      <alignment horizontal="center" vertical="center"/>
    </xf>
    <xf numFmtId="0" fontId="3" fillId="6" borderId="17" xfId="0" applyNumberFormat="1" applyFont="1" applyFill="1" applyBorder="1" applyAlignment="1">
      <alignment horizontal="center" vertical="center"/>
    </xf>
    <xf numFmtId="0" fontId="3" fillId="6" borderId="18" xfId="0" applyNumberFormat="1" applyFont="1" applyFill="1" applyBorder="1" applyAlignment="1">
      <alignment horizontal="center" vertical="center"/>
    </xf>
    <xf numFmtId="177" fontId="3" fillId="0" borderId="16" xfId="0" applyNumberFormat="1" applyFont="1" applyBorder="1" applyAlignment="1">
      <alignment horizontal="center" vertical="center"/>
    </xf>
    <xf numFmtId="0" fontId="3" fillId="0" borderId="7" xfId="0" applyNumberFormat="1" applyFont="1" applyBorder="1" applyAlignment="1">
      <alignment horizontal="center" vertical="center" wrapText="1"/>
    </xf>
    <xf numFmtId="0" fontId="3" fillId="0" borderId="10" xfId="0" applyNumberFormat="1" applyFont="1" applyBorder="1" applyAlignment="1">
      <alignment horizontal="center" vertical="center"/>
    </xf>
    <xf numFmtId="0" fontId="3" fillId="0" borderId="5" xfId="0" applyNumberFormat="1" applyFont="1" applyBorder="1" applyAlignment="1">
      <alignment horizontal="center" vertical="center"/>
    </xf>
    <xf numFmtId="0" fontId="3" fillId="0" borderId="8" xfId="0" applyNumberFormat="1" applyFont="1" applyBorder="1" applyAlignment="1">
      <alignment horizontal="center" vertical="center"/>
    </xf>
    <xf numFmtId="0" fontId="3" fillId="0" borderId="13" xfId="0" applyNumberFormat="1" applyFont="1" applyBorder="1" applyAlignment="1">
      <alignment horizontal="center" vertical="center"/>
    </xf>
    <xf numFmtId="0" fontId="3" fillId="0" borderId="2" xfId="0" applyNumberFormat="1" applyFont="1" applyBorder="1" applyAlignment="1">
      <alignment horizontal="center" vertical="center"/>
    </xf>
    <xf numFmtId="0" fontId="3" fillId="0" borderId="64" xfId="0" applyNumberFormat="1" applyFont="1" applyBorder="1" applyAlignment="1">
      <alignment horizontal="center" vertical="center"/>
    </xf>
    <xf numFmtId="0" fontId="3" fillId="0" borderId="60" xfId="0" applyNumberFormat="1" applyFont="1" applyBorder="1" applyAlignment="1">
      <alignment horizontal="center" vertical="center"/>
    </xf>
    <xf numFmtId="0" fontId="3" fillId="5" borderId="25" xfId="0" applyNumberFormat="1" applyFont="1" applyFill="1" applyBorder="1" applyAlignment="1">
      <alignment horizontal="center" vertical="center"/>
    </xf>
    <xf numFmtId="0" fontId="3" fillId="5" borderId="31" xfId="0" applyNumberFormat="1" applyFont="1" applyFill="1" applyBorder="1" applyAlignment="1">
      <alignment horizontal="center" vertical="center"/>
    </xf>
    <xf numFmtId="0" fontId="3" fillId="5" borderId="43" xfId="0" applyNumberFormat="1" applyFont="1" applyFill="1" applyBorder="1" applyAlignment="1">
      <alignment horizontal="center" vertical="center"/>
    </xf>
    <xf numFmtId="0" fontId="3" fillId="5" borderId="28" xfId="0" applyNumberFormat="1" applyFont="1" applyFill="1" applyBorder="1" applyAlignment="1">
      <alignment horizontal="center" vertical="center"/>
    </xf>
    <xf numFmtId="0" fontId="3" fillId="6" borderId="20" xfId="0" applyNumberFormat="1" applyFont="1" applyFill="1" applyBorder="1" applyAlignment="1">
      <alignment horizontal="center" vertical="center"/>
    </xf>
    <xf numFmtId="0" fontId="3" fillId="6" borderId="21" xfId="0" applyNumberFormat="1" applyFont="1" applyFill="1" applyBorder="1" applyAlignment="1">
      <alignment horizontal="center" vertical="center"/>
    </xf>
    <xf numFmtId="0" fontId="3" fillId="5" borderId="27" xfId="0" applyNumberFormat="1" applyFont="1" applyFill="1" applyBorder="1" applyAlignment="1">
      <alignment horizontal="center" vertical="center"/>
    </xf>
    <xf numFmtId="0" fontId="3" fillId="5" borderId="54" xfId="0" applyNumberFormat="1" applyFont="1" applyFill="1" applyBorder="1" applyAlignment="1">
      <alignment horizontal="center" vertical="center"/>
    </xf>
    <xf numFmtId="177" fontId="3" fillId="0" borderId="19" xfId="0" applyNumberFormat="1" applyFont="1" applyBorder="1" applyAlignment="1">
      <alignment horizontal="center" vertical="center"/>
    </xf>
    <xf numFmtId="177" fontId="3" fillId="0" borderId="7" xfId="0" applyNumberFormat="1" applyFont="1" applyBorder="1" applyAlignment="1">
      <alignment horizontal="center" vertical="center"/>
    </xf>
    <xf numFmtId="177" fontId="3" fillId="0" borderId="10" xfId="0" applyNumberFormat="1" applyFont="1" applyBorder="1" applyAlignment="1">
      <alignment horizontal="center" vertical="center"/>
    </xf>
    <xf numFmtId="0" fontId="3" fillId="5" borderId="10" xfId="0" applyNumberFormat="1" applyFont="1" applyFill="1" applyBorder="1" applyAlignment="1">
      <alignment horizontal="center" vertical="center"/>
    </xf>
    <xf numFmtId="2" fontId="3" fillId="5" borderId="10"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10" xfId="0" applyNumberFormat="1" applyFont="1" applyFill="1" applyBorder="1" applyAlignment="1">
      <alignment horizontal="center" vertical="center"/>
    </xf>
    <xf numFmtId="2" fontId="3" fillId="0" borderId="10" xfId="0" applyNumberFormat="1" applyFont="1" applyBorder="1" applyAlignment="1">
      <alignment horizontal="center" vertical="center"/>
    </xf>
    <xf numFmtId="0" fontId="3" fillId="0" borderId="10" xfId="0" applyNumberFormat="1" applyFont="1" applyBorder="1" applyAlignment="1">
      <alignment horizontal="center" vertical="center" wrapText="1"/>
    </xf>
    <xf numFmtId="177" fontId="3" fillId="0" borderId="5" xfId="0" applyNumberFormat="1" applyFont="1" applyBorder="1" applyAlignment="1">
      <alignment horizontal="center" vertical="center"/>
    </xf>
    <xf numFmtId="0" fontId="3" fillId="0" borderId="32" xfId="0" applyNumberFormat="1" applyFont="1" applyBorder="1" applyAlignment="1">
      <alignment horizontal="center" vertical="center"/>
    </xf>
    <xf numFmtId="0" fontId="3" fillId="0" borderId="33" xfId="0" applyNumberFormat="1" applyFont="1" applyBorder="1" applyAlignment="1">
      <alignment horizontal="center" vertical="center"/>
    </xf>
    <xf numFmtId="0" fontId="3" fillId="0" borderId="31" xfId="0" applyNumberFormat="1" applyFont="1" applyBorder="1" applyAlignment="1">
      <alignment horizontal="center" vertical="center"/>
    </xf>
    <xf numFmtId="0" fontId="3" fillId="0" borderId="35" xfId="0" applyNumberFormat="1" applyFont="1" applyBorder="1" applyAlignment="1">
      <alignment horizontal="center" vertical="center"/>
    </xf>
    <xf numFmtId="0" fontId="3" fillId="0" borderId="34" xfId="0" applyNumberFormat="1" applyFont="1" applyBorder="1" applyAlignment="1">
      <alignment horizontal="center" vertical="center"/>
    </xf>
    <xf numFmtId="0" fontId="6" fillId="0" borderId="0" xfId="0" applyNumberFormat="1" applyFont="1" applyBorder="1" applyAlignment="1">
      <alignment horizontal="center" vertical="center" shrinkToFit="1"/>
    </xf>
    <xf numFmtId="0" fontId="3" fillId="0" borderId="10" xfId="0" applyNumberFormat="1" applyFont="1" applyBorder="1" applyAlignment="1">
      <alignment horizontal="center" vertical="center" shrinkToFit="1"/>
    </xf>
    <xf numFmtId="0" fontId="3" fillId="0" borderId="10"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wrapText="1" shrinkToFit="1"/>
    </xf>
    <xf numFmtId="0" fontId="3" fillId="0" borderId="1" xfId="0" applyNumberFormat="1" applyFont="1" applyBorder="1" applyAlignment="1">
      <alignment horizontal="center" vertical="center"/>
    </xf>
    <xf numFmtId="0" fontId="3" fillId="0" borderId="20" xfId="0" applyNumberFormat="1" applyFont="1" applyBorder="1" applyAlignment="1">
      <alignment horizontal="center" vertical="center" wrapText="1"/>
    </xf>
    <xf numFmtId="0" fontId="3" fillId="0" borderId="21" xfId="0" applyNumberFormat="1" applyFont="1" applyBorder="1" applyAlignment="1">
      <alignment horizontal="center" vertical="center"/>
    </xf>
    <xf numFmtId="177" fontId="3" fillId="0" borderId="16" xfId="0" applyNumberFormat="1" applyFont="1" applyFill="1" applyBorder="1" applyAlignment="1">
      <alignment horizontal="center" vertical="center"/>
    </xf>
    <xf numFmtId="0" fontId="3" fillId="6" borderId="23" xfId="0" applyNumberFormat="1" applyFont="1" applyFill="1" applyBorder="1" applyAlignment="1">
      <alignment horizontal="center" vertical="center"/>
    </xf>
    <xf numFmtId="0" fontId="3" fillId="6" borderId="24" xfId="0" applyNumberFormat="1" applyFont="1" applyFill="1" applyBorder="1" applyAlignment="1">
      <alignment horizontal="center" vertical="center"/>
    </xf>
    <xf numFmtId="177" fontId="3" fillId="0" borderId="19" xfId="0" applyNumberFormat="1" applyFont="1" applyFill="1" applyBorder="1" applyAlignment="1">
      <alignment horizontal="center" vertical="center"/>
    </xf>
    <xf numFmtId="0" fontId="3" fillId="0" borderId="49" xfId="0" applyNumberFormat="1" applyFont="1" applyBorder="1" applyAlignment="1">
      <alignment horizontal="center" vertical="center" wrapText="1"/>
    </xf>
    <xf numFmtId="0" fontId="3" fillId="0" borderId="50" xfId="0" applyNumberFormat="1" applyFont="1" applyBorder="1" applyAlignment="1">
      <alignment horizontal="center" vertical="center" wrapText="1"/>
    </xf>
    <xf numFmtId="0" fontId="3" fillId="0" borderId="57" xfId="0" applyNumberFormat="1" applyFont="1" applyBorder="1" applyAlignment="1">
      <alignment horizontal="center" vertical="center" wrapText="1"/>
    </xf>
    <xf numFmtId="0" fontId="3" fillId="0" borderId="33" xfId="0" applyNumberFormat="1" applyFont="1" applyBorder="1" applyAlignment="1">
      <alignment horizontal="center" vertical="center" wrapText="1"/>
    </xf>
    <xf numFmtId="0" fontId="3" fillId="0" borderId="16"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22" xfId="0" applyNumberFormat="1" applyFont="1" applyBorder="1" applyAlignment="1">
      <alignment horizontal="center" vertical="center"/>
    </xf>
    <xf numFmtId="0" fontId="3" fillId="0" borderId="42" xfId="0" applyNumberFormat="1" applyFont="1" applyBorder="1" applyAlignment="1">
      <alignment horizontal="center" vertical="center"/>
    </xf>
    <xf numFmtId="0" fontId="3" fillId="0" borderId="43" xfId="0" applyNumberFormat="1" applyFont="1" applyBorder="1" applyAlignment="1">
      <alignment horizontal="center" vertical="center"/>
    </xf>
    <xf numFmtId="0" fontId="3" fillId="0" borderId="44" xfId="0" applyNumberFormat="1" applyFont="1" applyBorder="1" applyAlignment="1">
      <alignment horizontal="center" vertical="center"/>
    </xf>
    <xf numFmtId="0" fontId="3" fillId="0" borderId="37" xfId="0" applyNumberFormat="1" applyFont="1" applyBorder="1" applyAlignment="1">
      <alignment horizontal="center" vertical="center" wrapText="1"/>
    </xf>
    <xf numFmtId="1" fontId="3" fillId="0" borderId="16" xfId="0" applyNumberFormat="1" applyFont="1" applyBorder="1" applyAlignment="1">
      <alignment horizontal="center" vertical="center"/>
    </xf>
    <xf numFmtId="0" fontId="3" fillId="0" borderId="2" xfId="0" applyNumberFormat="1" applyFont="1" applyBorder="1" applyAlignment="1">
      <alignment horizontal="center" vertical="center" wrapText="1"/>
    </xf>
    <xf numFmtId="0" fontId="3" fillId="0" borderId="1" xfId="0" applyNumberFormat="1" applyFont="1" applyBorder="1" applyAlignment="1">
      <alignment horizontal="center" vertical="center" wrapText="1"/>
    </xf>
    <xf numFmtId="0" fontId="3" fillId="0" borderId="12" xfId="0" applyNumberFormat="1" applyFont="1" applyBorder="1" applyAlignment="1">
      <alignment horizontal="center" vertical="center" wrapText="1"/>
    </xf>
    <xf numFmtId="0" fontId="3" fillId="0" borderId="0" xfId="0" applyNumberFormat="1" applyFont="1" applyBorder="1" applyAlignment="1">
      <alignment horizontal="center" vertical="center" wrapText="1"/>
    </xf>
    <xf numFmtId="0" fontId="3" fillId="0" borderId="3" xfId="0" applyNumberFormat="1" applyFont="1" applyBorder="1" applyAlignment="1">
      <alignment horizontal="center" vertical="center" wrapText="1"/>
    </xf>
    <xf numFmtId="0" fontId="3" fillId="0" borderId="4" xfId="0" applyNumberFormat="1" applyFont="1" applyBorder="1" applyAlignment="1">
      <alignment horizontal="center" vertical="center" wrapText="1"/>
    </xf>
    <xf numFmtId="0" fontId="3" fillId="0" borderId="56" xfId="0" applyNumberFormat="1" applyFont="1" applyBorder="1" applyAlignment="1">
      <alignment horizontal="center" vertical="center" wrapText="1"/>
    </xf>
    <xf numFmtId="0" fontId="3" fillId="0" borderId="34" xfId="0" applyNumberFormat="1" applyFont="1" applyBorder="1" applyAlignment="1">
      <alignment horizontal="center" vertical="center" wrapText="1"/>
    </xf>
    <xf numFmtId="0" fontId="3" fillId="0" borderId="58" xfId="0" applyNumberFormat="1" applyFont="1" applyBorder="1" applyAlignment="1">
      <alignment horizontal="center" vertical="center" wrapText="1"/>
    </xf>
    <xf numFmtId="1" fontId="3" fillId="0" borderId="18" xfId="0" applyNumberFormat="1" applyFont="1" applyBorder="1" applyAlignment="1">
      <alignment horizontal="center" vertical="center"/>
    </xf>
    <xf numFmtId="0" fontId="3" fillId="0" borderId="42" xfId="0" applyNumberFormat="1" applyFont="1" applyBorder="1" applyAlignment="1">
      <alignment horizontal="center" vertical="center" wrapText="1"/>
    </xf>
    <xf numFmtId="0" fontId="3" fillId="0" borderId="43" xfId="0" applyNumberFormat="1" applyFont="1" applyBorder="1" applyAlignment="1">
      <alignment horizontal="center" vertical="center" wrapText="1"/>
    </xf>
    <xf numFmtId="0" fontId="3" fillId="0" borderId="22" xfId="0" applyNumberFormat="1" applyFont="1" applyBorder="1" applyAlignment="1">
      <alignment horizontal="center" vertical="center" wrapText="1"/>
    </xf>
    <xf numFmtId="0" fontId="3" fillId="0" borderId="44" xfId="0" applyNumberFormat="1" applyFont="1" applyBorder="1" applyAlignment="1">
      <alignment horizontal="center" vertical="center" wrapText="1"/>
    </xf>
    <xf numFmtId="2" fontId="3" fillId="0" borderId="16" xfId="0" applyNumberFormat="1" applyFont="1" applyBorder="1" applyAlignment="1">
      <alignment horizontal="center" vertical="center"/>
    </xf>
    <xf numFmtId="2" fontId="3" fillId="0" borderId="17" xfId="0" applyNumberFormat="1" applyFont="1" applyBorder="1" applyAlignment="1">
      <alignment horizontal="center" vertical="center"/>
    </xf>
    <xf numFmtId="2" fontId="3" fillId="0" borderId="42" xfId="0" applyNumberFormat="1" applyFont="1" applyBorder="1" applyAlignment="1">
      <alignment horizontal="center" vertical="center"/>
    </xf>
    <xf numFmtId="0" fontId="3" fillId="0" borderId="59" xfId="0" applyNumberFormat="1" applyFont="1" applyBorder="1" applyAlignment="1">
      <alignment horizontal="center" vertical="center" wrapText="1"/>
    </xf>
    <xf numFmtId="0" fontId="3" fillId="0" borderId="60" xfId="0" applyNumberFormat="1" applyFont="1" applyBorder="1" applyAlignment="1">
      <alignment horizontal="center" vertical="center" wrapText="1"/>
    </xf>
    <xf numFmtId="0" fontId="3" fillId="0" borderId="32" xfId="0" applyNumberFormat="1" applyFont="1" applyBorder="1" applyAlignment="1">
      <alignment horizontal="center" vertical="center" wrapText="1"/>
    </xf>
    <xf numFmtId="0" fontId="3" fillId="0" borderId="61" xfId="0" applyNumberFormat="1" applyFont="1" applyBorder="1" applyAlignment="1">
      <alignment horizontal="center" vertical="center" wrapText="1"/>
    </xf>
    <xf numFmtId="0" fontId="3" fillId="0" borderId="62" xfId="0" applyNumberFormat="1" applyFont="1" applyBorder="1" applyAlignment="1">
      <alignment horizontal="center" vertical="center" wrapText="1"/>
    </xf>
    <xf numFmtId="0" fontId="3" fillId="0" borderId="63" xfId="0" applyNumberFormat="1" applyFont="1" applyBorder="1" applyAlignment="1">
      <alignment horizontal="center" vertical="center" wrapText="1"/>
    </xf>
    <xf numFmtId="1" fontId="3" fillId="0" borderId="36" xfId="0" applyNumberFormat="1" applyFont="1" applyBorder="1" applyAlignment="1">
      <alignment horizontal="center" vertical="center"/>
    </xf>
    <xf numFmtId="0" fontId="3" fillId="0" borderId="0" xfId="0" applyNumberFormat="1" applyFont="1" applyBorder="1" applyAlignment="1">
      <alignment horizontal="right" vertical="center"/>
    </xf>
    <xf numFmtId="0" fontId="3" fillId="5" borderId="0" xfId="0" applyNumberFormat="1" applyFont="1" applyFill="1" applyBorder="1" applyAlignment="1">
      <alignment horizontal="center" vertical="center"/>
    </xf>
    <xf numFmtId="0" fontId="3" fillId="5" borderId="0" xfId="0" applyNumberFormat="1" applyFont="1" applyFill="1" applyBorder="1" applyAlignment="1">
      <alignment horizontal="right" vertical="center"/>
    </xf>
    <xf numFmtId="12" fontId="3" fillId="0" borderId="0" xfId="0" applyNumberFormat="1" applyFont="1" applyBorder="1" applyAlignment="1">
      <alignment horizontal="center" vertical="center"/>
    </xf>
    <xf numFmtId="178" fontId="3" fillId="0" borderId="0" xfId="0" applyNumberFormat="1" applyFont="1" applyBorder="1" applyAlignment="1">
      <alignment horizontal="center" vertical="center"/>
    </xf>
    <xf numFmtId="0" fontId="6" fillId="0" borderId="36" xfId="0" applyNumberFormat="1" applyFont="1" applyBorder="1" applyAlignment="1">
      <alignment horizontal="center" vertical="center" shrinkToFit="1"/>
    </xf>
    <xf numFmtId="0" fontId="6" fillId="0" borderId="17" xfId="0" applyNumberFormat="1" applyFont="1" applyBorder="1" applyAlignment="1">
      <alignment horizontal="center" vertical="center" shrinkToFit="1"/>
    </xf>
    <xf numFmtId="0" fontId="6" fillId="0" borderId="42" xfId="0" applyNumberFormat="1" applyFont="1" applyBorder="1" applyAlignment="1">
      <alignment horizontal="center" vertical="center" shrinkToFit="1"/>
    </xf>
    <xf numFmtId="0" fontId="3" fillId="0" borderId="16" xfId="0" applyNumberFormat="1" applyFont="1" applyBorder="1" applyAlignment="1">
      <alignment horizontal="center" vertical="center"/>
    </xf>
    <xf numFmtId="0" fontId="3" fillId="0" borderId="71" xfId="0" applyNumberFormat="1" applyFont="1" applyBorder="1" applyAlignment="1">
      <alignment horizontal="center" vertical="center" wrapText="1"/>
    </xf>
    <xf numFmtId="177" fontId="3" fillId="0" borderId="0" xfId="0" applyNumberFormat="1" applyFont="1" applyBorder="1" applyAlignment="1">
      <alignment horizontal="center" vertical="center"/>
    </xf>
    <xf numFmtId="178" fontId="3" fillId="5" borderId="20" xfId="0" applyNumberFormat="1" applyFont="1" applyFill="1" applyBorder="1" applyAlignment="1">
      <alignment horizontal="center" vertical="center"/>
    </xf>
    <xf numFmtId="0" fontId="3" fillId="0" borderId="0" xfId="0" applyNumberFormat="1" applyFont="1" applyBorder="1" applyAlignment="1">
      <alignment horizontal="left" vertical="center" shrinkToFit="1"/>
    </xf>
    <xf numFmtId="177" fontId="3" fillId="0" borderId="18" xfId="0" applyNumberFormat="1" applyFont="1" applyBorder="1" applyAlignment="1">
      <alignment horizontal="center" vertical="center"/>
    </xf>
    <xf numFmtId="178" fontId="3" fillId="5" borderId="17" xfId="0" applyNumberFormat="1" applyFont="1" applyFill="1" applyBorder="1" applyAlignment="1">
      <alignment horizontal="center" vertical="center"/>
    </xf>
    <xf numFmtId="0" fontId="3" fillId="0" borderId="37" xfId="0" applyNumberFormat="1" applyFont="1" applyBorder="1" applyAlignment="1">
      <alignment horizontal="center" vertical="center"/>
    </xf>
    <xf numFmtId="177" fontId="3" fillId="0" borderId="41" xfId="0" applyNumberFormat="1" applyFont="1" applyBorder="1" applyAlignment="1">
      <alignment horizontal="center" vertical="center"/>
    </xf>
    <xf numFmtId="177" fontId="3" fillId="0" borderId="72" xfId="0" applyNumberFormat="1" applyFont="1" applyBorder="1" applyAlignment="1">
      <alignment horizontal="center" vertical="center"/>
    </xf>
    <xf numFmtId="177" fontId="3" fillId="0" borderId="67" xfId="0" applyNumberFormat="1" applyFont="1" applyBorder="1" applyAlignment="1">
      <alignment horizontal="center" vertical="center"/>
    </xf>
    <xf numFmtId="177" fontId="3" fillId="5" borderId="17" xfId="0" applyNumberFormat="1" applyFont="1" applyFill="1" applyBorder="1" applyAlignment="1">
      <alignment horizontal="center" vertical="center"/>
    </xf>
    <xf numFmtId="178" fontId="3" fillId="0" borderId="17" xfId="0" applyNumberFormat="1" applyFont="1" applyBorder="1" applyAlignment="1">
      <alignment horizontal="center" vertical="center"/>
    </xf>
    <xf numFmtId="2" fontId="3" fillId="0" borderId="1" xfId="0" applyNumberFormat="1" applyFont="1" applyBorder="1" applyAlignment="1">
      <alignment horizontal="center" vertical="center"/>
    </xf>
    <xf numFmtId="0" fontId="3" fillId="0" borderId="9" xfId="0" applyNumberFormat="1" applyFont="1" applyBorder="1" applyAlignment="1">
      <alignment horizontal="center" vertical="center" wrapText="1"/>
    </xf>
    <xf numFmtId="0" fontId="3" fillId="0" borderId="1" xfId="0" applyNumberFormat="1" applyFont="1" applyBorder="1" applyAlignment="1">
      <alignment horizontal="center" vertical="center" shrinkToFit="1"/>
    </xf>
    <xf numFmtId="177" fontId="3" fillId="0" borderId="22" xfId="0" applyNumberFormat="1" applyFont="1" applyBorder="1" applyAlignment="1">
      <alignment horizontal="center" vertical="center"/>
    </xf>
    <xf numFmtId="0" fontId="3" fillId="5" borderId="29" xfId="0" applyNumberFormat="1" applyFont="1" applyFill="1" applyBorder="1" applyAlignment="1">
      <alignment horizontal="center" vertical="center"/>
    </xf>
    <xf numFmtId="0" fontId="3" fillId="5" borderId="30" xfId="0" applyNumberFormat="1" applyFont="1" applyFill="1" applyBorder="1" applyAlignment="1">
      <alignment horizontal="center" vertical="center"/>
    </xf>
    <xf numFmtId="0" fontId="3" fillId="5" borderId="55" xfId="0" applyNumberFormat="1" applyFont="1" applyFill="1" applyBorder="1" applyAlignment="1">
      <alignment horizontal="center" vertical="center"/>
    </xf>
    <xf numFmtId="0" fontId="3" fillId="5" borderId="44" xfId="0" applyNumberFormat="1" applyFont="1" applyFill="1" applyBorder="1" applyAlignment="1">
      <alignment horizontal="center" vertical="center"/>
    </xf>
    <xf numFmtId="0" fontId="3" fillId="0" borderId="19" xfId="0" applyNumberFormat="1" applyFont="1" applyBorder="1" applyAlignment="1">
      <alignment horizontal="center" vertical="center"/>
    </xf>
    <xf numFmtId="0" fontId="3" fillId="0" borderId="21" xfId="0" applyNumberFormat="1" applyFont="1" applyBorder="1" applyAlignment="1">
      <alignment horizontal="center" vertical="center" wrapText="1"/>
    </xf>
    <xf numFmtId="177" fontId="3" fillId="0" borderId="22" xfId="0" applyNumberFormat="1" applyFont="1" applyFill="1" applyBorder="1" applyAlignment="1">
      <alignment horizontal="center" vertical="center"/>
    </xf>
    <xf numFmtId="2" fontId="3" fillId="0" borderId="45" xfId="0" applyNumberFormat="1" applyFont="1" applyBorder="1" applyAlignment="1">
      <alignment horizontal="center" vertical="center"/>
    </xf>
    <xf numFmtId="2" fontId="3" fillId="0" borderId="41" xfId="0" applyNumberFormat="1" applyFont="1" applyBorder="1" applyAlignment="1">
      <alignment horizontal="center" vertical="center"/>
    </xf>
    <xf numFmtId="2" fontId="3" fillId="0" borderId="53" xfId="0" applyNumberFormat="1" applyFont="1" applyBorder="1" applyAlignment="1">
      <alignment horizontal="center" vertical="center"/>
    </xf>
    <xf numFmtId="179" fontId="3" fillId="0" borderId="20" xfId="0" applyNumberFormat="1" applyFont="1" applyBorder="1" applyAlignment="1">
      <alignment horizontal="center" vertical="center"/>
    </xf>
    <xf numFmtId="179" fontId="3" fillId="6" borderId="20" xfId="0" applyNumberFormat="1" applyFont="1" applyFill="1" applyBorder="1" applyAlignment="1">
      <alignment horizontal="center" vertical="center"/>
    </xf>
    <xf numFmtId="179" fontId="3" fillId="6" borderId="21" xfId="0" applyNumberFormat="1" applyFont="1" applyFill="1" applyBorder="1" applyAlignment="1">
      <alignment horizontal="center" vertical="center"/>
    </xf>
    <xf numFmtId="1" fontId="3" fillId="0" borderId="52" xfId="0" applyNumberFormat="1" applyFont="1" applyBorder="1" applyAlignment="1">
      <alignment horizontal="center" vertical="center"/>
    </xf>
    <xf numFmtId="0" fontId="3" fillId="0" borderId="52" xfId="0" applyNumberFormat="1" applyFont="1" applyBorder="1" applyAlignment="1">
      <alignment horizontal="center" vertical="center"/>
    </xf>
    <xf numFmtId="179" fontId="3" fillId="6" borderId="23" xfId="0" applyNumberFormat="1" applyFont="1" applyFill="1" applyBorder="1" applyAlignment="1">
      <alignment horizontal="center" vertical="center"/>
    </xf>
    <xf numFmtId="179" fontId="3" fillId="6" borderId="24" xfId="0" applyNumberFormat="1" applyFont="1" applyFill="1" applyBorder="1" applyAlignment="1">
      <alignment horizontal="center" vertical="center"/>
    </xf>
    <xf numFmtId="179" fontId="3" fillId="0" borderId="23" xfId="0" applyNumberFormat="1" applyFont="1" applyBorder="1" applyAlignment="1">
      <alignment horizontal="center" vertical="center"/>
    </xf>
    <xf numFmtId="179" fontId="3" fillId="6" borderId="17" xfId="0" applyNumberFormat="1" applyFont="1" applyFill="1" applyBorder="1" applyAlignment="1">
      <alignment horizontal="center" vertical="center"/>
    </xf>
    <xf numFmtId="179" fontId="3" fillId="6" borderId="18"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0" fontId="3" fillId="5" borderId="45" xfId="0" applyNumberFormat="1" applyFont="1" applyFill="1" applyBorder="1" applyAlignment="1">
      <alignment horizontal="center" vertical="center"/>
    </xf>
    <xf numFmtId="0" fontId="3" fillId="5" borderId="19" xfId="0" applyNumberFormat="1" applyFont="1" applyFill="1" applyBorder="1" applyAlignment="1">
      <alignment horizontal="center" vertical="center"/>
    </xf>
    <xf numFmtId="0" fontId="3" fillId="5" borderId="16" xfId="0" applyNumberFormat="1" applyFont="1" applyFill="1" applyBorder="1" applyAlignment="1">
      <alignment horizontal="center" vertical="center"/>
    </xf>
    <xf numFmtId="0" fontId="3" fillId="5" borderId="22" xfId="0" applyNumberFormat="1" applyFont="1" applyFill="1" applyBorder="1" applyAlignment="1">
      <alignment horizontal="center" vertical="center"/>
    </xf>
    <xf numFmtId="0" fontId="3" fillId="0" borderId="51" xfId="0" applyNumberFormat="1" applyFont="1" applyFill="1" applyBorder="1" applyAlignment="1">
      <alignment horizontal="center" vertical="center"/>
    </xf>
    <xf numFmtId="2" fontId="3" fillId="0" borderId="24" xfId="0" applyNumberFormat="1" applyFont="1" applyBorder="1" applyAlignment="1">
      <alignment horizontal="center" vertical="center"/>
    </xf>
    <xf numFmtId="0" fontId="3" fillId="0" borderId="16" xfId="0" applyNumberFormat="1" applyFont="1" applyFill="1" applyBorder="1" applyAlignment="1">
      <alignment horizontal="center" vertical="center"/>
    </xf>
    <xf numFmtId="1" fontId="3" fillId="0" borderId="17" xfId="0" applyNumberFormat="1" applyFont="1" applyFill="1" applyBorder="1" applyAlignment="1">
      <alignment horizontal="center" vertical="center"/>
    </xf>
    <xf numFmtId="1" fontId="3" fillId="0" borderId="18" xfId="0" applyNumberFormat="1" applyFont="1" applyFill="1" applyBorder="1" applyAlignment="1">
      <alignment horizontal="center" vertical="center"/>
    </xf>
    <xf numFmtId="0" fontId="3" fillId="0" borderId="19" xfId="0" applyNumberFormat="1" applyFont="1" applyFill="1" applyBorder="1" applyAlignment="1">
      <alignment horizontal="center" vertical="center"/>
    </xf>
    <xf numFmtId="1" fontId="3" fillId="0" borderId="20" xfId="0" applyNumberFormat="1" applyFont="1" applyFill="1" applyBorder="1" applyAlignment="1">
      <alignment horizontal="center" vertical="center"/>
    </xf>
    <xf numFmtId="1" fontId="3" fillId="0" borderId="21" xfId="0" applyNumberFormat="1" applyFont="1" applyFill="1" applyBorder="1" applyAlignment="1">
      <alignment horizontal="center" vertical="center"/>
    </xf>
    <xf numFmtId="0" fontId="3" fillId="0" borderId="22" xfId="0" applyNumberFormat="1" applyFont="1" applyFill="1" applyBorder="1" applyAlignment="1">
      <alignment horizontal="center" vertical="center"/>
    </xf>
    <xf numFmtId="1" fontId="3" fillId="0" borderId="23" xfId="0" applyNumberFormat="1" applyFont="1" applyFill="1" applyBorder="1" applyAlignment="1">
      <alignment horizontal="center" vertical="center"/>
    </xf>
    <xf numFmtId="1" fontId="3" fillId="0" borderId="24" xfId="0" applyNumberFormat="1" applyFont="1" applyFill="1" applyBorder="1" applyAlignment="1">
      <alignment horizontal="center" vertical="center"/>
    </xf>
    <xf numFmtId="179" fontId="3" fillId="0" borderId="17" xfId="0" applyNumberFormat="1" applyFont="1" applyFill="1" applyBorder="1" applyAlignment="1">
      <alignment horizontal="center" vertical="center"/>
    </xf>
    <xf numFmtId="1" fontId="3" fillId="0" borderId="40" xfId="0" applyNumberFormat="1" applyFont="1" applyFill="1" applyBorder="1" applyAlignment="1">
      <alignment horizontal="center" vertical="center"/>
    </xf>
    <xf numFmtId="179" fontId="3" fillId="0" borderId="2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0" borderId="52" xfId="0" applyNumberFormat="1" applyFont="1" applyFill="1" applyBorder="1" applyAlignment="1">
      <alignment horizontal="center" vertical="center"/>
    </xf>
    <xf numFmtId="179" fontId="3" fillId="0" borderId="23" xfId="0" applyNumberFormat="1" applyFont="1" applyFill="1" applyBorder="1" applyAlignment="1">
      <alignment horizontal="center" vertical="center"/>
    </xf>
    <xf numFmtId="0" fontId="3" fillId="0" borderId="48" xfId="0" applyNumberFormat="1" applyFont="1" applyBorder="1" applyAlignment="1">
      <alignment horizontal="center" vertical="center" wrapText="1"/>
    </xf>
    <xf numFmtId="0" fontId="6" fillId="0" borderId="18" xfId="0" applyNumberFormat="1" applyFont="1" applyBorder="1" applyAlignment="1">
      <alignment horizontal="center" vertical="center" shrinkToFit="1"/>
    </xf>
    <xf numFmtId="1" fontId="3" fillId="5" borderId="17" xfId="0" applyNumberFormat="1" applyFont="1" applyFill="1" applyBorder="1" applyAlignment="1">
      <alignment horizontal="center" vertical="center"/>
    </xf>
    <xf numFmtId="1" fontId="3" fillId="0" borderId="42" xfId="0" applyNumberFormat="1" applyFont="1" applyFill="1" applyBorder="1" applyAlignment="1">
      <alignment horizontal="center" vertical="center"/>
    </xf>
    <xf numFmtId="1" fontId="3" fillId="5" borderId="20" xfId="0" applyNumberFormat="1" applyFont="1" applyFill="1" applyBorder="1" applyAlignment="1">
      <alignment horizontal="center" vertical="center"/>
    </xf>
    <xf numFmtId="1" fontId="3" fillId="5" borderId="23" xfId="0" applyNumberFormat="1" applyFont="1" applyFill="1" applyBorder="1" applyAlignment="1">
      <alignment horizontal="center" vertical="center"/>
    </xf>
    <xf numFmtId="1" fontId="3" fillId="0" borderId="43" xfId="0" applyNumberFormat="1" applyFont="1" applyFill="1" applyBorder="1" applyAlignment="1">
      <alignment horizontal="center" vertical="center"/>
    </xf>
    <xf numFmtId="1" fontId="3" fillId="0" borderId="44" xfId="0" applyNumberFormat="1" applyFont="1" applyFill="1" applyBorder="1" applyAlignment="1">
      <alignment horizontal="center" vertical="center"/>
    </xf>
    <xf numFmtId="0" fontId="3" fillId="0" borderId="0" xfId="0" applyNumberFormat="1" applyFont="1" applyBorder="1" applyAlignment="1">
      <alignment horizontal="left" vertical="center"/>
    </xf>
    <xf numFmtId="180" fontId="3" fillId="0" borderId="21" xfId="0" applyNumberFormat="1" applyFont="1" applyBorder="1" applyAlignment="1">
      <alignment horizontal="center" vertical="center" shrinkToFit="1"/>
    </xf>
    <xf numFmtId="180" fontId="3" fillId="0" borderId="66" xfId="0" applyNumberFormat="1" applyFont="1" applyBorder="1" applyAlignment="1">
      <alignment horizontal="center" vertical="center" shrinkToFit="1"/>
    </xf>
    <xf numFmtId="180" fontId="3" fillId="0" borderId="27" xfId="0" applyNumberFormat="1" applyFont="1" applyBorder="1" applyAlignment="1">
      <alignment horizontal="center" vertical="center" shrinkToFit="1"/>
    </xf>
    <xf numFmtId="0" fontId="3" fillId="0" borderId="67" xfId="0" applyNumberFormat="1" applyFont="1" applyBorder="1" applyAlignment="1">
      <alignment horizontal="center" vertical="center" wrapText="1"/>
    </xf>
    <xf numFmtId="0" fontId="3" fillId="0" borderId="68" xfId="0" applyNumberFormat="1" applyFont="1" applyBorder="1" applyAlignment="1">
      <alignment horizontal="center" vertical="center" wrapText="1"/>
    </xf>
    <xf numFmtId="0" fontId="3" fillId="0" borderId="69" xfId="0" applyNumberFormat="1" applyFont="1" applyBorder="1" applyAlignment="1">
      <alignment horizontal="center" vertical="center" wrapText="1"/>
    </xf>
    <xf numFmtId="0" fontId="3" fillId="5" borderId="18" xfId="0" applyNumberFormat="1" applyFont="1" applyFill="1" applyBorder="1" applyAlignment="1">
      <alignment horizontal="center" vertical="center"/>
    </xf>
    <xf numFmtId="0" fontId="3" fillId="5" borderId="35" xfId="0" applyNumberFormat="1" applyFont="1" applyFill="1" applyBorder="1" applyAlignment="1">
      <alignment horizontal="center" vertical="center"/>
    </xf>
    <xf numFmtId="0" fontId="3" fillId="5" borderId="17" xfId="0" applyNumberFormat="1" applyFont="1" applyFill="1" applyBorder="1" applyAlignment="1">
      <alignment horizontal="center" vertical="center" shrinkToFit="1"/>
    </xf>
    <xf numFmtId="180" fontId="3" fillId="0" borderId="18" xfId="0" applyNumberFormat="1" applyFont="1" applyBorder="1" applyAlignment="1">
      <alignment horizontal="center" vertical="center" shrinkToFit="1"/>
    </xf>
    <xf numFmtId="180" fontId="3" fillId="0" borderId="35" xfId="0" applyNumberFormat="1" applyFont="1" applyBorder="1" applyAlignment="1">
      <alignment horizontal="center" vertical="center" shrinkToFit="1"/>
    </xf>
    <xf numFmtId="0" fontId="3" fillId="5" borderId="21" xfId="0" applyNumberFormat="1" applyFont="1" applyFill="1" applyBorder="1" applyAlignment="1">
      <alignment horizontal="center" vertical="center"/>
    </xf>
    <xf numFmtId="0" fontId="3" fillId="5" borderId="66" xfId="0" applyNumberFormat="1" applyFont="1" applyFill="1" applyBorder="1" applyAlignment="1">
      <alignment horizontal="center" vertical="center"/>
    </xf>
    <xf numFmtId="0" fontId="3" fillId="5" borderId="20" xfId="0" applyNumberFormat="1" applyFont="1" applyFill="1" applyBorder="1" applyAlignment="1">
      <alignment horizontal="center" vertical="center" shrinkToFit="1"/>
    </xf>
    <xf numFmtId="0" fontId="3" fillId="5" borderId="69" xfId="0" applyNumberFormat="1" applyFont="1" applyFill="1" applyBorder="1" applyAlignment="1">
      <alignment horizontal="center" vertical="center"/>
    </xf>
    <xf numFmtId="0" fontId="3" fillId="5" borderId="72" xfId="0" applyNumberFormat="1" applyFont="1" applyFill="1" applyBorder="1" applyAlignment="1">
      <alignment horizontal="center" vertical="center"/>
    </xf>
    <xf numFmtId="2" fontId="3" fillId="5" borderId="72" xfId="0" applyNumberFormat="1" applyFont="1" applyFill="1" applyBorder="1" applyAlignment="1">
      <alignment horizontal="center" vertical="center"/>
    </xf>
    <xf numFmtId="0" fontId="3" fillId="5" borderId="74" xfId="0" applyNumberFormat="1" applyFont="1" applyFill="1" applyBorder="1" applyAlignment="1">
      <alignment horizontal="center" vertical="center"/>
    </xf>
    <xf numFmtId="0" fontId="3" fillId="5" borderId="72" xfId="0" applyNumberFormat="1" applyFont="1" applyFill="1" applyBorder="1" applyAlignment="1">
      <alignment horizontal="center" vertical="center" shrinkToFit="1"/>
    </xf>
    <xf numFmtId="180" fontId="3" fillId="0" borderId="67" xfId="0" applyNumberFormat="1" applyFont="1" applyBorder="1" applyAlignment="1">
      <alignment horizontal="center" vertical="center" shrinkToFit="1"/>
    </xf>
    <xf numFmtId="180" fontId="3" fillId="0" borderId="68" xfId="0" applyNumberFormat="1" applyFont="1" applyBorder="1" applyAlignment="1">
      <alignment horizontal="center" vertical="center" shrinkToFit="1"/>
    </xf>
    <xf numFmtId="180" fontId="3" fillId="0" borderId="73" xfId="0" applyNumberFormat="1" applyFont="1" applyBorder="1" applyAlignment="1">
      <alignment horizontal="center" vertical="center" shrinkToFit="1"/>
    </xf>
    <xf numFmtId="0" fontId="3" fillId="5" borderId="67" xfId="0" applyNumberFormat="1" applyFont="1" applyFill="1" applyBorder="1" applyAlignment="1">
      <alignment horizontal="center" vertical="center"/>
    </xf>
    <xf numFmtId="0" fontId="3" fillId="5" borderId="68" xfId="0" applyNumberFormat="1" applyFont="1" applyFill="1" applyBorder="1" applyAlignment="1">
      <alignment horizontal="center" vertical="center"/>
    </xf>
    <xf numFmtId="180" fontId="3" fillId="0" borderId="24" xfId="0" applyNumberFormat="1" applyFont="1" applyBorder="1" applyAlignment="1">
      <alignment horizontal="right" vertical="center"/>
    </xf>
    <xf numFmtId="180" fontId="3" fillId="0" borderId="70" xfId="0" applyNumberFormat="1" applyFont="1" applyBorder="1" applyAlignment="1">
      <alignment horizontal="right" vertical="center"/>
    </xf>
    <xf numFmtId="180" fontId="3" fillId="0" borderId="29" xfId="0" applyNumberFormat="1" applyFont="1" applyBorder="1" applyAlignment="1">
      <alignment horizontal="right" vertical="center"/>
    </xf>
    <xf numFmtId="180" fontId="3" fillId="0" borderId="25" xfId="0" applyNumberFormat="1" applyFont="1" applyBorder="1" applyAlignment="1">
      <alignment horizontal="center" vertical="center" shrinkToFit="1"/>
    </xf>
    <xf numFmtId="0" fontId="3" fillId="0" borderId="11" xfId="0" applyNumberFormat="1" applyFont="1" applyBorder="1" applyAlignment="1">
      <alignment horizontal="center" vertical="center" wrapText="1"/>
    </xf>
    <xf numFmtId="178" fontId="3" fillId="5" borderId="23" xfId="0" applyNumberFormat="1" applyFont="1" applyFill="1" applyBorder="1" applyAlignment="1">
      <alignment horizontal="center" vertical="center"/>
    </xf>
    <xf numFmtId="178" fontId="3" fillId="0" borderId="52" xfId="0" applyNumberFormat="1" applyFont="1" applyBorder="1" applyAlignment="1">
      <alignment horizontal="center" vertical="center"/>
    </xf>
    <xf numFmtId="0" fontId="3" fillId="0" borderId="1" xfId="0" applyNumberFormat="1" applyFont="1" applyBorder="1" applyAlignment="1">
      <alignment horizontal="left" vertical="center"/>
    </xf>
    <xf numFmtId="178" fontId="3" fillId="0" borderId="1" xfId="0" applyNumberFormat="1" applyFont="1" applyBorder="1" applyAlignment="1">
      <alignment horizontal="center" vertical="center"/>
    </xf>
    <xf numFmtId="177" fontId="3" fillId="0" borderId="43" xfId="0" applyNumberFormat="1" applyFont="1" applyBorder="1" applyAlignment="1">
      <alignment horizontal="center" vertical="center"/>
    </xf>
    <xf numFmtId="177" fontId="3" fillId="0" borderId="44" xfId="0" applyNumberFormat="1" applyFont="1" applyBorder="1" applyAlignment="1">
      <alignment horizontal="center" vertical="center"/>
    </xf>
    <xf numFmtId="0" fontId="3" fillId="0" borderId="21" xfId="0" applyNumberFormat="1" applyFont="1" applyBorder="1" applyAlignment="1">
      <alignment horizontal="left" vertical="center"/>
    </xf>
    <xf numFmtId="2" fontId="3" fillId="0" borderId="66" xfId="0" applyNumberFormat="1" applyFont="1" applyBorder="1" applyAlignment="1">
      <alignment horizontal="center" vertical="center"/>
    </xf>
    <xf numFmtId="177" fontId="3" fillId="0" borderId="66" xfId="0" applyNumberFormat="1" applyFont="1" applyBorder="1" applyAlignment="1">
      <alignment horizontal="center" vertical="center"/>
    </xf>
    <xf numFmtId="177" fontId="3" fillId="0" borderId="66" xfId="0" applyNumberFormat="1" applyFont="1" applyBorder="1" applyAlignment="1">
      <alignment horizontal="center" vertical="center"/>
    </xf>
    <xf numFmtId="177" fontId="3" fillId="0" borderId="37" xfId="0" applyNumberFormat="1" applyFont="1" applyBorder="1" applyAlignment="1">
      <alignment horizontal="center" vertical="center"/>
    </xf>
    <xf numFmtId="0" fontId="3" fillId="0" borderId="66" xfId="0" applyNumberFormat="1" applyFont="1" applyBorder="1" applyAlignment="1">
      <alignment horizontal="center" vertical="center"/>
    </xf>
    <xf numFmtId="2" fontId="3" fillId="0" borderId="66" xfId="0" applyNumberFormat="1" applyFont="1" applyBorder="1" applyAlignment="1">
      <alignment horizontal="center" vertical="center"/>
    </xf>
    <xf numFmtId="177" fontId="3" fillId="0" borderId="37" xfId="0" applyNumberFormat="1" applyFont="1" applyBorder="1" applyAlignment="1">
      <alignment horizontal="center" vertical="center"/>
    </xf>
    <xf numFmtId="0" fontId="3" fillId="0" borderId="37" xfId="0" applyNumberFormat="1" applyFont="1" applyBorder="1" applyAlignment="1">
      <alignment horizontal="left" vertical="center"/>
    </xf>
    <xf numFmtId="177" fontId="3" fillId="0" borderId="70" xfId="0" applyNumberFormat="1" applyFont="1" applyBorder="1" applyAlignment="1">
      <alignment horizontal="center" vertical="center"/>
    </xf>
    <xf numFmtId="0" fontId="3" fillId="0" borderId="70" xfId="0" applyNumberFormat="1" applyFont="1" applyBorder="1" applyAlignment="1">
      <alignment horizontal="center" vertical="center"/>
    </xf>
    <xf numFmtId="2" fontId="3" fillId="0" borderId="70" xfId="0" applyNumberFormat="1" applyFont="1" applyBorder="1" applyAlignment="1">
      <alignment horizontal="center" vertical="center"/>
    </xf>
    <xf numFmtId="177" fontId="3" fillId="0" borderId="38" xfId="0" applyNumberFormat="1" applyFont="1" applyBorder="1" applyAlignment="1">
      <alignment horizontal="center" vertical="center"/>
    </xf>
    <xf numFmtId="2" fontId="3" fillId="0" borderId="0" xfId="0" applyNumberFormat="1" applyFont="1" applyBorder="1" applyAlignment="1">
      <alignment horizontal="centerContinuous" vertical="center"/>
    </xf>
    <xf numFmtId="177" fontId="3" fillId="0" borderId="0" xfId="0" applyNumberFormat="1" applyFont="1" applyBorder="1" applyAlignment="1">
      <alignment horizontal="centerContinuous" vertical="center"/>
    </xf>
    <xf numFmtId="178" fontId="3" fillId="0" borderId="0" xfId="0" applyNumberFormat="1" applyFont="1" applyBorder="1" applyAlignment="1">
      <alignment horizontal="centerContinuous" vertical="center"/>
    </xf>
    <xf numFmtId="0" fontId="5" fillId="0" borderId="0" xfId="0" applyNumberFormat="1" applyFont="1" applyBorder="1" applyAlignment="1">
      <alignment horizontal="left" vertical="center"/>
    </xf>
    <xf numFmtId="0" fontId="3" fillId="0" borderId="36" xfId="0" applyNumberFormat="1" applyFont="1" applyFill="1" applyBorder="1" applyAlignment="1">
      <alignment horizontal="center" vertical="center" wrapText="1"/>
    </xf>
    <xf numFmtId="0" fontId="3" fillId="0" borderId="17" xfId="0" applyNumberFormat="1" applyFont="1" applyFill="1" applyBorder="1" applyAlignment="1">
      <alignment horizontal="center" vertical="center" wrapText="1"/>
    </xf>
    <xf numFmtId="0" fontId="3" fillId="0" borderId="17" xfId="0" applyNumberFormat="1" applyFont="1" applyFill="1" applyBorder="1" applyAlignment="1">
      <alignment horizontal="center" vertical="center" wrapText="1" shrinkToFit="1"/>
    </xf>
    <xf numFmtId="0" fontId="3" fillId="0" borderId="38" xfId="0" applyNumberFormat="1" applyFont="1" applyFill="1" applyBorder="1" applyAlignment="1">
      <alignment horizontal="center" vertical="center" wrapText="1"/>
    </xf>
    <xf numFmtId="0" fontId="3" fillId="0" borderId="23" xfId="0" applyNumberFormat="1" applyFont="1" applyFill="1" applyBorder="1" applyAlignment="1">
      <alignment horizontal="center" vertical="center" wrapText="1"/>
    </xf>
    <xf numFmtId="0" fontId="3" fillId="0" borderId="23" xfId="0" applyNumberFormat="1" applyFont="1" applyFill="1" applyBorder="1" applyAlignment="1">
      <alignment horizontal="center" vertical="center" wrapText="1" shrinkToFit="1"/>
    </xf>
    <xf numFmtId="2" fontId="3" fillId="0" borderId="24" xfId="0" applyNumberFormat="1" applyFont="1" applyFill="1" applyBorder="1" applyAlignment="1">
      <alignment horizontal="center" vertical="center"/>
    </xf>
    <xf numFmtId="2" fontId="3" fillId="0" borderId="38" xfId="0" applyNumberFormat="1" applyFont="1" applyFill="1" applyBorder="1" applyAlignment="1">
      <alignment horizontal="center" vertical="center"/>
    </xf>
    <xf numFmtId="177" fontId="3" fillId="0" borderId="18" xfId="0" applyNumberFormat="1" applyFont="1" applyFill="1" applyBorder="1" applyAlignment="1">
      <alignment horizontal="center" vertical="center"/>
    </xf>
    <xf numFmtId="177" fontId="3" fillId="0" borderId="42" xfId="0" applyNumberFormat="1" applyFont="1" applyFill="1" applyBorder="1" applyAlignment="1">
      <alignment horizontal="center" vertical="center"/>
    </xf>
    <xf numFmtId="177" fontId="3" fillId="0" borderId="43" xfId="0" applyNumberFormat="1" applyFont="1" applyFill="1" applyBorder="1" applyAlignment="1">
      <alignment horizontal="center" vertical="center"/>
    </xf>
    <xf numFmtId="177" fontId="3" fillId="0" borderId="44" xfId="0" applyNumberFormat="1" applyFont="1" applyFill="1" applyBorder="1" applyAlignment="1">
      <alignment horizontal="center" vertical="center"/>
    </xf>
    <xf numFmtId="2" fontId="3" fillId="0" borderId="21" xfId="0" applyNumberFormat="1" applyFont="1" applyFill="1" applyBorder="1" applyAlignment="1">
      <alignment horizontal="center" vertical="center"/>
    </xf>
    <xf numFmtId="177" fontId="3" fillId="0" borderId="21" xfId="0" applyNumberFormat="1" applyFont="1" applyFill="1" applyBorder="1" applyAlignment="1">
      <alignment horizontal="center" vertical="center"/>
    </xf>
    <xf numFmtId="177" fontId="3" fillId="0" borderId="24" xfId="0" applyNumberFormat="1" applyFont="1" applyFill="1" applyBorder="1" applyAlignment="1">
      <alignment horizontal="center" vertical="center"/>
    </xf>
    <xf numFmtId="0" fontId="3" fillId="0" borderId="18" xfId="0" applyNumberFormat="1" applyFont="1" applyFill="1" applyBorder="1" applyAlignment="1">
      <alignment horizontal="center" vertical="center" wrapText="1"/>
    </xf>
    <xf numFmtId="0" fontId="3" fillId="0" borderId="24" xfId="0" applyNumberFormat="1" applyFont="1" applyFill="1" applyBorder="1" applyAlignment="1">
      <alignment horizontal="center" vertical="center" wrapText="1"/>
    </xf>
    <xf numFmtId="2" fontId="3" fillId="0" borderId="22" xfId="0" applyNumberFormat="1" applyFont="1" applyFill="1" applyBorder="1" applyAlignment="1">
      <alignment horizontal="center" vertical="center"/>
    </xf>
    <xf numFmtId="178" fontId="3" fillId="0" borderId="17" xfId="0" applyNumberFormat="1" applyFont="1" applyFill="1" applyBorder="1" applyAlignment="1">
      <alignment horizontal="center" vertical="center"/>
    </xf>
    <xf numFmtId="178" fontId="3" fillId="0" borderId="42" xfId="0" applyNumberFormat="1" applyFont="1" applyFill="1" applyBorder="1" applyAlignment="1">
      <alignment horizontal="center" vertical="center"/>
    </xf>
    <xf numFmtId="178" fontId="3" fillId="0" borderId="20" xfId="0" applyNumberFormat="1" applyFont="1" applyFill="1" applyBorder="1" applyAlignment="1">
      <alignment horizontal="center" vertical="center"/>
    </xf>
    <xf numFmtId="178" fontId="3" fillId="0" borderId="43" xfId="0" applyNumberFormat="1" applyFont="1" applyFill="1" applyBorder="1" applyAlignment="1">
      <alignment horizontal="center" vertical="center"/>
    </xf>
    <xf numFmtId="178" fontId="3" fillId="0" borderId="23" xfId="0" applyNumberFormat="1" applyFont="1" applyFill="1" applyBorder="1" applyAlignment="1">
      <alignment horizontal="center" vertical="center"/>
    </xf>
    <xf numFmtId="178" fontId="3" fillId="0" borderId="44" xfId="0" applyNumberFormat="1" applyFont="1" applyFill="1" applyBorder="1" applyAlignment="1">
      <alignment horizontal="center" vertical="center"/>
    </xf>
    <xf numFmtId="0" fontId="3" fillId="0" borderId="17" xfId="0" applyNumberFormat="1" applyFont="1" applyFill="1" applyBorder="1" applyAlignment="1">
      <alignment horizontal="center" vertical="center" shrinkToFit="1"/>
    </xf>
    <xf numFmtId="0" fontId="3" fillId="0" borderId="1" xfId="0" applyNumberFormat="1" applyFont="1" applyFill="1" applyBorder="1" applyAlignment="1">
      <alignment horizontal="center" vertical="center"/>
    </xf>
    <xf numFmtId="0" fontId="3" fillId="0" borderId="20" xfId="0" applyNumberFormat="1" applyFont="1" applyBorder="1" applyAlignment="1">
      <alignment horizontal="center" vertical="center" wrapText="1" shrinkToFit="1"/>
    </xf>
    <xf numFmtId="0" fontId="3" fillId="0" borderId="20" xfId="0" applyNumberFormat="1" applyFont="1" applyBorder="1" applyAlignment="1">
      <alignment horizontal="center" vertical="center" shrinkToFit="1"/>
    </xf>
    <xf numFmtId="180" fontId="3" fillId="0" borderId="20" xfId="0" applyNumberFormat="1" applyFont="1" applyFill="1" applyBorder="1" applyAlignment="1">
      <alignment horizontal="center" vertical="center" shrinkToFit="1"/>
    </xf>
    <xf numFmtId="0" fontId="3" fillId="0" borderId="20" xfId="0" applyNumberFormat="1" applyFont="1" applyFill="1" applyBorder="1" applyAlignment="1">
      <alignment horizontal="center" vertical="center" shrinkToFit="1"/>
    </xf>
    <xf numFmtId="0" fontId="3" fillId="0" borderId="21" xfId="0" applyNumberFormat="1" applyFont="1" applyFill="1" applyBorder="1" applyAlignment="1">
      <alignment horizontal="center" vertical="center" shrinkToFit="1"/>
    </xf>
    <xf numFmtId="180" fontId="3" fillId="0" borderId="23" xfId="0" applyNumberFormat="1" applyFont="1" applyFill="1" applyBorder="1" applyAlignment="1">
      <alignment horizontal="center" vertical="center" shrinkToFit="1"/>
    </xf>
    <xf numFmtId="0" fontId="3" fillId="0" borderId="23" xfId="0" applyNumberFormat="1" applyFont="1" applyFill="1" applyBorder="1" applyAlignment="1">
      <alignment horizontal="center" vertical="center" shrinkToFit="1"/>
    </xf>
    <xf numFmtId="0" fontId="3" fillId="0" borderId="24" xfId="0" applyNumberFormat="1" applyFont="1" applyFill="1" applyBorder="1" applyAlignment="1">
      <alignment horizontal="center" vertical="center" shrinkToFit="1"/>
    </xf>
    <xf numFmtId="180" fontId="3" fillId="0" borderId="40" xfId="0" applyNumberFormat="1" applyFont="1" applyFill="1" applyBorder="1" applyAlignment="1">
      <alignment horizontal="center" vertical="center" shrinkToFit="1"/>
    </xf>
    <xf numFmtId="0" fontId="3" fillId="0" borderId="40" xfId="0" applyNumberFormat="1" applyFont="1" applyFill="1" applyBorder="1" applyAlignment="1">
      <alignment horizontal="center" vertical="center" shrinkToFit="1"/>
    </xf>
    <xf numFmtId="0" fontId="3" fillId="0" borderId="41" xfId="0" applyNumberFormat="1" applyFont="1" applyFill="1" applyBorder="1" applyAlignment="1">
      <alignment horizontal="center" vertical="center" shrinkToFit="1"/>
    </xf>
    <xf numFmtId="0" fontId="3" fillId="0" borderId="45" xfId="0" applyNumberFormat="1" applyFont="1" applyFill="1" applyBorder="1" applyAlignment="1">
      <alignment horizontal="center" vertical="center"/>
    </xf>
    <xf numFmtId="180" fontId="3" fillId="0" borderId="17" xfId="0" applyNumberFormat="1" applyFont="1" applyFill="1" applyBorder="1" applyAlignment="1">
      <alignment horizontal="center" vertical="center" shrinkToFit="1"/>
    </xf>
    <xf numFmtId="0" fontId="3" fillId="0" borderId="18" xfId="0" applyNumberFormat="1" applyFont="1" applyFill="1" applyBorder="1" applyAlignment="1">
      <alignment horizontal="center" vertical="center" shrinkToFit="1"/>
    </xf>
    <xf numFmtId="2" fontId="3" fillId="0" borderId="18" xfId="0" applyNumberFormat="1" applyFont="1" applyFill="1" applyBorder="1" applyAlignment="1">
      <alignment horizontal="center" vertical="center"/>
    </xf>
    <xf numFmtId="1" fontId="3" fillId="0" borderId="1" xfId="0" applyNumberFormat="1" applyFont="1" applyBorder="1" applyAlignment="1">
      <alignment horizontal="center" vertical="center"/>
    </xf>
    <xf numFmtId="0" fontId="3" fillId="0" borderId="1" xfId="0" applyNumberFormat="1" applyFont="1" applyBorder="1" applyAlignment="1">
      <alignment horizontal="right" vertical="center"/>
    </xf>
    <xf numFmtId="181" fontId="3" fillId="0" borderId="1" xfId="0" applyNumberFormat="1" applyFont="1" applyBorder="1" applyAlignment="1">
      <alignment horizontal="center" vertical="center"/>
    </xf>
    <xf numFmtId="0" fontId="6" fillId="0" borderId="1" xfId="0" applyNumberFormat="1" applyFont="1" applyBorder="1" applyAlignment="1">
      <alignment vertical="center" shrinkToFit="1"/>
    </xf>
    <xf numFmtId="0" fontId="3" fillId="0" borderId="1" xfId="0" applyNumberFormat="1" applyFont="1" applyBorder="1" applyAlignment="1">
      <alignment vertical="center" shrinkToFit="1"/>
    </xf>
  </cellXfs>
  <cellStyles count="4">
    <cellStyle name="ハイパーリンク" xfId="2" builtinId="8"/>
    <cellStyle name="標準" xfId="0" builtinId="0"/>
    <cellStyle name="標準 2" xfId="3"/>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24725"/>
          <a:ext cx="2654329" cy="2006474"/>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323850</xdr:colOff>
          <xdr:row>1</xdr:row>
          <xdr:rowOff>57150</xdr:rowOff>
        </xdr:from>
        <xdr:to>
          <xdr:col>15</xdr:col>
          <xdr:colOff>200025</xdr:colOff>
          <xdr:row>4</xdr:row>
          <xdr:rowOff>95250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200025</xdr:colOff>
      <xdr:row>12</xdr:row>
      <xdr:rowOff>0</xdr:rowOff>
    </xdr:from>
    <xdr:to>
      <xdr:col>17</xdr:col>
      <xdr:colOff>47625</xdr:colOff>
      <xdr:row>19</xdr:row>
      <xdr:rowOff>57150</xdr:rowOff>
    </xdr:to>
    <xdr:grpSp>
      <xdr:nvGrpSpPr>
        <xdr:cNvPr id="73601" name="グループ化 68"/>
        <xdr:cNvGrpSpPr>
          <a:grpSpLocks/>
        </xdr:cNvGrpSpPr>
      </xdr:nvGrpSpPr>
      <xdr:grpSpPr bwMode="auto">
        <a:xfrm>
          <a:off x="1419225" y="2400300"/>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73602" name="グループ化 69"/>
        <xdr:cNvGrpSpPr>
          <a:grpSpLocks/>
        </xdr:cNvGrpSpPr>
      </xdr:nvGrpSpPr>
      <xdr:grpSpPr bwMode="auto">
        <a:xfrm>
          <a:off x="1419225" y="4524375"/>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5</xdr:col>
      <xdr:colOff>200025</xdr:colOff>
      <xdr:row>34</xdr:row>
      <xdr:rowOff>0</xdr:rowOff>
    </xdr:from>
    <xdr:to>
      <xdr:col>17</xdr:col>
      <xdr:colOff>161925</xdr:colOff>
      <xdr:row>41</xdr:row>
      <xdr:rowOff>47625</xdr:rowOff>
    </xdr:to>
    <xdr:grpSp>
      <xdr:nvGrpSpPr>
        <xdr:cNvPr id="73603" name="グループ化 74"/>
        <xdr:cNvGrpSpPr>
          <a:grpSpLocks/>
        </xdr:cNvGrpSpPr>
      </xdr:nvGrpSpPr>
      <xdr:grpSpPr bwMode="auto">
        <a:xfrm>
          <a:off x="1419225" y="6800850"/>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192</xdr:row>
      <xdr:rowOff>0</xdr:rowOff>
    </xdr:from>
    <xdr:to>
      <xdr:col>20</xdr:col>
      <xdr:colOff>0</xdr:colOff>
      <xdr:row>192</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434</xdr:row>
      <xdr:rowOff>9525</xdr:rowOff>
    </xdr:from>
    <xdr:to>
      <xdr:col>9</xdr:col>
      <xdr:colOff>28575</xdr:colOff>
      <xdr:row>434</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434</xdr:row>
      <xdr:rowOff>9525</xdr:rowOff>
    </xdr:from>
    <xdr:to>
      <xdr:col>16</xdr:col>
      <xdr:colOff>9525</xdr:colOff>
      <xdr:row>434</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1177</xdr:row>
      <xdr:rowOff>57150</xdr:rowOff>
    </xdr:from>
    <xdr:to>
      <xdr:col>22</xdr:col>
      <xdr:colOff>114300</xdr:colOff>
      <xdr:row>1177</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1178</xdr:row>
      <xdr:rowOff>47625</xdr:rowOff>
    </xdr:from>
    <xdr:to>
      <xdr:col>24</xdr:col>
      <xdr:colOff>171450</xdr:colOff>
      <xdr:row>1178</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1181</xdr:row>
      <xdr:rowOff>57150</xdr:rowOff>
    </xdr:from>
    <xdr:to>
      <xdr:col>9</xdr:col>
      <xdr:colOff>142875</xdr:colOff>
      <xdr:row>1181</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22" zoomScale="85" zoomScaleNormal="85" workbookViewId="0">
      <selection activeCell="G78" sqref="G78"/>
    </sheetView>
  </sheetViews>
  <sheetFormatPr defaultColWidth="12.375" defaultRowHeight="14.25" customHeight="1"/>
  <cols>
    <col min="1" max="1" width="3.5" style="22" customWidth="1"/>
    <col min="2" max="5" width="12.375" style="23" customWidth="1"/>
    <col min="6" max="6" width="12.375" style="22" customWidth="1"/>
    <col min="7" max="12" width="12.375" style="23" customWidth="1"/>
    <col min="13" max="13" width="12.375" style="22" customWidth="1"/>
    <col min="14" max="18" width="12.375" style="23" customWidth="1"/>
    <col min="19" max="19" width="12.375" style="22" customWidth="1"/>
    <col min="20" max="16384" width="12.375" style="23"/>
  </cols>
  <sheetData>
    <row r="1" spans="1:19" s="18" customFormat="1" ht="15.75" customHeight="1">
      <c r="A1" s="16" t="s">
        <v>398</v>
      </c>
      <c r="B1" s="17"/>
      <c r="C1" s="17"/>
      <c r="D1" s="17"/>
      <c r="E1" s="17"/>
      <c r="F1" s="17"/>
      <c r="G1" s="17"/>
      <c r="H1" s="17"/>
      <c r="I1" s="17"/>
      <c r="J1" s="17"/>
    </row>
    <row r="3" spans="1:19" s="19" customFormat="1" ht="14.25" customHeight="1">
      <c r="B3" s="20" t="s">
        <v>370</v>
      </c>
      <c r="K3" s="21"/>
    </row>
    <row r="4" spans="1:19" s="19" customFormat="1" ht="7.5" customHeight="1"/>
    <row r="5" spans="1:19" s="19" customFormat="1" ht="14.25" customHeight="1">
      <c r="B5" s="19" t="s">
        <v>396</v>
      </c>
    </row>
    <row r="6" spans="1:19" s="19" customFormat="1" ht="14.25" customHeight="1">
      <c r="B6" s="19" t="s">
        <v>397</v>
      </c>
    </row>
    <row r="7" spans="1:19" s="19" customFormat="1" ht="14.25" customHeight="1"/>
    <row r="8" spans="1:19" ht="14.25" customHeight="1">
      <c r="B8" s="23" t="s">
        <v>371</v>
      </c>
    </row>
    <row r="9" spans="1:19" ht="14.25" customHeight="1">
      <c r="B9" s="24" t="s">
        <v>372</v>
      </c>
    </row>
    <row r="11" spans="1:19" ht="14.25" customHeight="1">
      <c r="B11" s="23" t="s">
        <v>373</v>
      </c>
    </row>
    <row r="13" spans="1:19" s="27" customFormat="1" ht="14.25" customHeight="1">
      <c r="A13" s="25"/>
      <c r="B13" s="26" t="s">
        <v>374</v>
      </c>
      <c r="F13" s="25"/>
      <c r="M13" s="25"/>
      <c r="S13" s="25"/>
    </row>
    <row r="14" spans="1:19" s="27" customFormat="1" ht="14.25" customHeight="1">
      <c r="A14" s="25"/>
      <c r="B14" s="127"/>
      <c r="C14" s="128"/>
      <c r="D14" s="128"/>
      <c r="E14" s="128"/>
      <c r="F14" s="128"/>
      <c r="G14" s="128"/>
      <c r="H14" s="129"/>
      <c r="M14" s="25"/>
      <c r="S14" s="25"/>
    </row>
    <row r="15" spans="1:19" s="27" customFormat="1" ht="14.25" customHeight="1">
      <c r="A15" s="25"/>
      <c r="B15" s="26" t="s">
        <v>375</v>
      </c>
      <c r="F15" s="25"/>
      <c r="M15" s="25"/>
      <c r="S15" s="25"/>
    </row>
    <row r="16" spans="1:19" s="27" customFormat="1" ht="14.25" customHeight="1">
      <c r="A16" s="25"/>
      <c r="B16" s="130"/>
      <c r="C16" s="131"/>
      <c r="D16" s="131"/>
      <c r="E16" s="131"/>
      <c r="F16" s="131"/>
      <c r="G16" s="131"/>
      <c r="H16" s="132"/>
      <c r="M16" s="25"/>
      <c r="S16" s="25"/>
    </row>
    <row r="18" spans="2:11" ht="14.25" customHeight="1">
      <c r="B18" s="23" t="s">
        <v>376</v>
      </c>
    </row>
    <row r="19" spans="2:11" ht="14.25" customHeight="1">
      <c r="B19" s="28" t="s">
        <v>377</v>
      </c>
    </row>
    <row r="20" spans="2:11" ht="14.25" customHeight="1">
      <c r="B20" s="28" t="s">
        <v>378</v>
      </c>
    </row>
    <row r="23" spans="2:11" s="19" customFormat="1" ht="14.25" customHeight="1">
      <c r="B23" s="20" t="s">
        <v>379</v>
      </c>
      <c r="K23" s="21"/>
    </row>
    <row r="24" spans="2:11" s="19" customFormat="1" ht="7.5" customHeight="1"/>
    <row r="25" spans="2:11" ht="14.25" customHeight="1">
      <c r="B25" s="23" t="s">
        <v>380</v>
      </c>
    </row>
    <row r="26" spans="2:11" ht="14.25" customHeight="1">
      <c r="B26" s="23" t="s">
        <v>381</v>
      </c>
    </row>
    <row r="27" spans="2:11" ht="14.25" customHeight="1">
      <c r="B27" s="23" t="s">
        <v>382</v>
      </c>
    </row>
    <row r="28" spans="2:11" ht="14.25" customHeight="1">
      <c r="B28" s="23" t="s">
        <v>383</v>
      </c>
    </row>
    <row r="29" spans="2:11" ht="14.25" customHeight="1">
      <c r="B29" s="23" t="s">
        <v>384</v>
      </c>
    </row>
    <row r="32" spans="2:11" s="19" customFormat="1" ht="14.25" customHeight="1">
      <c r="B32" s="20" t="s">
        <v>385</v>
      </c>
      <c r="K32" s="21"/>
    </row>
    <row r="33" spans="2:21" s="19" customFormat="1" ht="7.5" customHeight="1"/>
    <row r="34" spans="2:21" ht="14.25" customHeight="1">
      <c r="B34" s="19" t="s">
        <v>455</v>
      </c>
    </row>
    <row r="35" spans="2:21" ht="14.25" customHeight="1">
      <c r="B35" s="23" t="s">
        <v>386</v>
      </c>
    </row>
    <row r="37" spans="2:21" ht="14.25" customHeight="1">
      <c r="U37"/>
    </row>
    <row r="42" spans="2:21" ht="14.25" customHeight="1">
      <c r="N42"/>
    </row>
    <row r="43" spans="2:21" ht="14.25" customHeight="1">
      <c r="N43" s="23" t="s">
        <v>387</v>
      </c>
    </row>
    <row r="44" spans="2:21" ht="14.25" customHeight="1">
      <c r="K44"/>
    </row>
    <row r="46" spans="2:21" ht="14.25" customHeight="1">
      <c r="L46"/>
      <c r="T46"/>
    </row>
    <row r="48" spans="2:21" ht="14.25" customHeight="1">
      <c r="G48"/>
      <c r="L48"/>
    </row>
    <row r="49" spans="1:41" ht="14.25" customHeight="1">
      <c r="K49"/>
    </row>
    <row r="54" spans="1:41" s="22" customFormat="1" ht="14.2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row>
    <row r="60" spans="1:41" ht="14.25" customHeight="1">
      <c r="N60"/>
    </row>
    <row r="92" spans="2:11" s="19" customFormat="1" ht="14.25" customHeight="1">
      <c r="B92" s="20" t="s">
        <v>388</v>
      </c>
      <c r="K92" s="21"/>
    </row>
    <row r="93" spans="2:11" s="19" customFormat="1" ht="7.5" customHeight="1"/>
    <row r="94" spans="2:11" ht="14.25" customHeight="1">
      <c r="B94" s="30" t="s">
        <v>389</v>
      </c>
    </row>
    <row r="95" spans="2:11" ht="14.25" customHeight="1">
      <c r="B95" s="30" t="s">
        <v>390</v>
      </c>
    </row>
    <row r="96" spans="2:11" ht="14.25" customHeight="1">
      <c r="B96" s="30" t="s">
        <v>391</v>
      </c>
    </row>
    <row r="97" spans="2:2" ht="14.25" customHeight="1">
      <c r="B97" s="30" t="s">
        <v>392</v>
      </c>
    </row>
    <row r="98" spans="2:2" ht="14.25" customHeight="1">
      <c r="B98" s="31" t="s">
        <v>393</v>
      </c>
    </row>
    <row r="99" spans="2:2" ht="14.25" customHeight="1">
      <c r="B99" s="32" t="s">
        <v>394</v>
      </c>
    </row>
    <row r="100" spans="2:2" ht="14.25" customHeight="1">
      <c r="B100" s="33" t="s">
        <v>395</v>
      </c>
    </row>
  </sheetData>
  <mergeCells count="2">
    <mergeCell ref="B14:H14"/>
    <mergeCell ref="B16:H16"/>
  </mergeCells>
  <phoneticPr fontId="1"/>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2:AF1233"/>
  <sheetViews>
    <sheetView zoomScale="85" zoomScaleNormal="85" zoomScaleSheetLayoutView="85" workbookViewId="0">
      <selection activeCell="O5" sqref="O5"/>
    </sheetView>
  </sheetViews>
  <sheetFormatPr defaultColWidth="9.375" defaultRowHeight="15.75" customHeight="1"/>
  <cols>
    <col min="1" max="1" width="9.375" style="12"/>
    <col min="2" max="2" width="5" style="4" bestFit="1" customWidth="1"/>
    <col min="3" max="3" width="7.625" style="5" bestFit="1" customWidth="1"/>
    <col min="4" max="4" width="8.5" style="4" bestFit="1" customWidth="1"/>
    <col min="5" max="5" width="5" style="4" bestFit="1" customWidth="1"/>
    <col min="6" max="9" width="6.125" style="4" customWidth="1"/>
    <col min="10" max="10" width="12.25" style="4" bestFit="1" customWidth="1"/>
    <col min="11" max="11" width="11.5" style="4" customWidth="1"/>
    <col min="12" max="13" width="8.5" style="4" bestFit="1" customWidth="1"/>
    <col min="14" max="14" width="9.375" style="4"/>
    <col min="15" max="15" width="5.25" style="4" bestFit="1" customWidth="1"/>
    <col min="16" max="16" width="5.5" style="4" customWidth="1"/>
    <col min="17" max="16384" width="9.375" style="4"/>
  </cols>
  <sheetData>
    <row r="2" spans="2:13" ht="15.75" customHeight="1">
      <c r="B2" s="140" t="s">
        <v>8</v>
      </c>
      <c r="C2" s="142" t="s">
        <v>9</v>
      </c>
      <c r="D2" s="142" t="s">
        <v>10</v>
      </c>
      <c r="E2" s="142" t="s">
        <v>11</v>
      </c>
      <c r="F2" s="143" t="s">
        <v>12</v>
      </c>
      <c r="G2" s="143"/>
      <c r="H2" s="144" t="s">
        <v>13</v>
      </c>
      <c r="I2" s="144"/>
      <c r="J2" s="42" t="s">
        <v>484</v>
      </c>
      <c r="K2" s="42" t="s">
        <v>0</v>
      </c>
      <c r="L2" s="135" t="s">
        <v>458</v>
      </c>
      <c r="M2" s="136"/>
    </row>
    <row r="3" spans="2:13" ht="15.75" customHeight="1">
      <c r="B3" s="141"/>
      <c r="C3" s="142"/>
      <c r="D3" s="142"/>
      <c r="E3" s="142"/>
      <c r="F3" s="43" t="s">
        <v>14</v>
      </c>
      <c r="G3" s="43" t="s">
        <v>15</v>
      </c>
      <c r="H3" s="142" t="s">
        <v>16</v>
      </c>
      <c r="I3" s="142"/>
      <c r="J3" s="44" t="s">
        <v>485</v>
      </c>
      <c r="K3" s="44" t="s">
        <v>17</v>
      </c>
      <c r="L3" s="44" t="s">
        <v>459</v>
      </c>
      <c r="M3" s="44" t="s">
        <v>460</v>
      </c>
    </row>
    <row r="4" spans="2:13" ht="15.75" customHeight="1">
      <c r="B4" s="109">
        <v>1</v>
      </c>
      <c r="C4" s="51">
        <v>1</v>
      </c>
      <c r="D4" s="45" t="s">
        <v>482</v>
      </c>
      <c r="E4" s="45"/>
      <c r="F4" s="45">
        <v>18</v>
      </c>
      <c r="G4" s="45">
        <v>9</v>
      </c>
      <c r="H4" s="46"/>
      <c r="I4" s="65"/>
      <c r="J4" s="63"/>
      <c r="K4" s="45"/>
      <c r="L4" s="45"/>
      <c r="M4" s="45"/>
    </row>
    <row r="5" spans="2:13" ht="15.75" customHeight="1">
      <c r="B5" s="109">
        <v>2</v>
      </c>
      <c r="C5" s="51">
        <v>0.9</v>
      </c>
      <c r="D5" s="45" t="s">
        <v>482</v>
      </c>
      <c r="E5" s="45"/>
      <c r="F5" s="45">
        <v>18</v>
      </c>
      <c r="G5" s="45">
        <v>9</v>
      </c>
      <c r="H5" s="46"/>
      <c r="I5" s="65"/>
      <c r="J5" s="63"/>
      <c r="K5" s="45">
        <v>13930</v>
      </c>
      <c r="L5" s="45"/>
      <c r="M5" s="45"/>
    </row>
    <row r="6" spans="2:13" ht="15.75" customHeight="1">
      <c r="B6" s="110">
        <v>3</v>
      </c>
      <c r="C6" s="51">
        <v>3</v>
      </c>
      <c r="D6" s="45" t="s">
        <v>235</v>
      </c>
      <c r="E6" s="45">
        <v>5</v>
      </c>
      <c r="F6" s="45">
        <v>16</v>
      </c>
      <c r="G6" s="45">
        <v>6</v>
      </c>
      <c r="H6" s="46"/>
      <c r="I6" s="65"/>
      <c r="J6" s="63">
        <v>20</v>
      </c>
      <c r="K6" s="45">
        <v>13930</v>
      </c>
      <c r="L6" s="45"/>
      <c r="M6" s="45"/>
    </row>
    <row r="7" spans="2:13" ht="15.75" customHeight="1">
      <c r="B7" s="110">
        <v>4</v>
      </c>
      <c r="C7" s="51">
        <v>5</v>
      </c>
      <c r="D7" s="45" t="s">
        <v>482</v>
      </c>
      <c r="E7" s="45">
        <v>15</v>
      </c>
      <c r="F7" s="45">
        <v>18</v>
      </c>
      <c r="G7" s="45">
        <v>9</v>
      </c>
      <c r="H7" s="46">
        <v>34.299999999999997</v>
      </c>
      <c r="I7" s="65"/>
      <c r="J7" s="63"/>
      <c r="K7" s="45">
        <v>28620</v>
      </c>
      <c r="L7" s="45"/>
      <c r="M7" s="45"/>
    </row>
    <row r="8" spans="2:13" ht="15.75" customHeight="1">
      <c r="B8" s="110">
        <v>5</v>
      </c>
      <c r="C8" s="51">
        <v>8</v>
      </c>
      <c r="D8" s="45" t="s">
        <v>235</v>
      </c>
      <c r="E8" s="45">
        <v>10</v>
      </c>
      <c r="F8" s="45">
        <v>16</v>
      </c>
      <c r="G8" s="45">
        <v>7</v>
      </c>
      <c r="H8" s="46"/>
      <c r="I8" s="65"/>
      <c r="J8" s="63">
        <v>62.5</v>
      </c>
      <c r="K8" s="45">
        <v>32570</v>
      </c>
      <c r="L8" s="45"/>
      <c r="M8" s="45"/>
    </row>
    <row r="9" spans="2:13" ht="15.75" customHeight="1">
      <c r="B9" s="110">
        <v>6</v>
      </c>
      <c r="C9" s="51">
        <v>4.5</v>
      </c>
      <c r="D9" s="45" t="s">
        <v>235</v>
      </c>
      <c r="E9" s="45">
        <v>20</v>
      </c>
      <c r="F9" s="45">
        <v>16</v>
      </c>
      <c r="G9" s="45">
        <v>7</v>
      </c>
      <c r="H9" s="46"/>
      <c r="I9" s="65"/>
      <c r="J9" s="63">
        <v>125</v>
      </c>
      <c r="K9" s="45">
        <v>46440</v>
      </c>
      <c r="L9" s="45"/>
      <c r="M9" s="45"/>
    </row>
    <row r="10" spans="2:13" s="12" customFormat="1" ht="15.75" customHeight="1">
      <c r="B10" s="110">
        <v>7</v>
      </c>
      <c r="C10" s="51">
        <v>10</v>
      </c>
      <c r="D10" s="45" t="s">
        <v>483</v>
      </c>
      <c r="E10" s="45">
        <v>70</v>
      </c>
      <c r="F10" s="45">
        <v>19</v>
      </c>
      <c r="G10" s="45">
        <v>10</v>
      </c>
      <c r="H10" s="46">
        <v>37.1</v>
      </c>
      <c r="I10" s="65"/>
      <c r="J10" s="63"/>
      <c r="K10" s="45">
        <v>91760</v>
      </c>
      <c r="L10" s="45"/>
      <c r="M10" s="45"/>
    </row>
    <row r="11" spans="2:13" s="12" customFormat="1" ht="15.75" customHeight="1">
      <c r="B11" s="110"/>
      <c r="C11" s="51"/>
      <c r="D11" s="45"/>
      <c r="E11" s="49"/>
      <c r="F11" s="52"/>
      <c r="G11" s="52"/>
      <c r="H11" s="47"/>
      <c r="I11" s="48"/>
      <c r="J11" s="63"/>
      <c r="K11" s="50"/>
      <c r="L11" s="45"/>
      <c r="M11" s="45"/>
    </row>
    <row r="12" spans="2:13" s="12" customFormat="1" ht="15.75" customHeight="1">
      <c r="B12" s="110"/>
      <c r="C12" s="51"/>
      <c r="D12" s="45"/>
      <c r="E12" s="49"/>
      <c r="F12" s="52"/>
      <c r="G12" s="52"/>
      <c r="H12" s="47"/>
      <c r="I12" s="48"/>
      <c r="J12" s="63"/>
      <c r="K12" s="50"/>
      <c r="L12" s="45"/>
      <c r="M12" s="45"/>
    </row>
    <row r="13" spans="2:13" s="12" customFormat="1" ht="15.75" customHeight="1">
      <c r="B13" s="110"/>
      <c r="C13" s="51"/>
      <c r="D13" s="45"/>
      <c r="E13" s="49"/>
      <c r="F13" s="52"/>
      <c r="G13" s="52"/>
      <c r="H13" s="47"/>
      <c r="I13" s="48"/>
      <c r="J13" s="63"/>
      <c r="K13" s="50"/>
      <c r="L13" s="45"/>
      <c r="M13" s="45"/>
    </row>
    <row r="14" spans="2:13" s="12" customFormat="1" ht="15.75" customHeight="1">
      <c r="B14" s="110"/>
      <c r="C14" s="51"/>
      <c r="D14" s="45"/>
      <c r="E14" s="49"/>
      <c r="F14" s="52"/>
      <c r="G14" s="52"/>
      <c r="H14" s="47"/>
      <c r="I14" s="48"/>
      <c r="J14" s="63"/>
      <c r="K14" s="50"/>
      <c r="L14" s="45"/>
      <c r="M14" s="45"/>
    </row>
    <row r="15" spans="2:13" ht="15.75" customHeight="1">
      <c r="B15" s="110"/>
      <c r="C15" s="51"/>
      <c r="D15" s="45"/>
      <c r="E15" s="49"/>
      <c r="F15" s="52"/>
      <c r="G15" s="52"/>
      <c r="H15" s="47"/>
      <c r="I15" s="48"/>
      <c r="J15" s="63"/>
      <c r="K15" s="50"/>
      <c r="L15" s="45"/>
      <c r="M15" s="45"/>
    </row>
    <row r="16" spans="2:13" ht="15.75" customHeight="1">
      <c r="B16" s="110"/>
      <c r="C16" s="51"/>
      <c r="D16" s="45"/>
      <c r="E16" s="49"/>
      <c r="F16" s="52"/>
      <c r="G16" s="52"/>
      <c r="H16" s="47"/>
      <c r="I16" s="48"/>
      <c r="J16" s="63"/>
      <c r="K16" s="50"/>
      <c r="L16" s="45"/>
      <c r="M16" s="45"/>
    </row>
    <row r="17" spans="2:16" ht="15.75" customHeight="1">
      <c r="B17" s="110"/>
      <c r="C17" s="51"/>
      <c r="D17" s="45"/>
      <c r="E17" s="49"/>
      <c r="F17" s="52"/>
      <c r="G17" s="52"/>
      <c r="H17" s="47"/>
      <c r="I17" s="48"/>
      <c r="J17" s="63"/>
      <c r="K17" s="50"/>
      <c r="L17" s="45"/>
      <c r="M17" s="45"/>
    </row>
    <row r="18" spans="2:16" ht="15.75" customHeight="1">
      <c r="B18" s="110"/>
      <c r="C18" s="51"/>
      <c r="D18" s="45"/>
      <c r="E18" s="49"/>
      <c r="F18" s="52"/>
      <c r="G18" s="52"/>
      <c r="H18" s="47"/>
      <c r="I18" s="48"/>
      <c r="J18" s="63"/>
      <c r="K18" s="50"/>
      <c r="L18" s="45"/>
      <c r="M18" s="45"/>
    </row>
    <row r="19" spans="2:16" ht="15.75" customHeight="1">
      <c r="B19" s="110"/>
      <c r="C19" s="51"/>
      <c r="D19" s="45"/>
      <c r="E19" s="49"/>
      <c r="F19" s="52"/>
      <c r="G19" s="52"/>
      <c r="H19" s="47"/>
      <c r="I19" s="48"/>
      <c r="J19" s="63"/>
      <c r="K19" s="50"/>
      <c r="L19" s="45"/>
      <c r="M19" s="45"/>
    </row>
    <row r="20" spans="2:16" s="12" customFormat="1" ht="15.75" customHeight="1">
      <c r="B20" s="138" t="s">
        <v>517</v>
      </c>
      <c r="C20" s="139"/>
      <c r="D20" s="45" t="s">
        <v>483</v>
      </c>
      <c r="E20" s="45">
        <v>70</v>
      </c>
      <c r="F20" s="45">
        <v>19</v>
      </c>
      <c r="G20" s="45">
        <v>10</v>
      </c>
      <c r="H20" s="46">
        <v>37.1</v>
      </c>
      <c r="I20" s="65"/>
      <c r="J20" s="63"/>
      <c r="K20" s="45">
        <v>91760</v>
      </c>
    </row>
    <row r="21" spans="2:16" ht="15.75" customHeight="1">
      <c r="B21" s="5"/>
      <c r="C21" s="3"/>
      <c r="D21" s="3"/>
      <c r="E21" s="3"/>
      <c r="F21" s="5"/>
      <c r="G21" s="5"/>
      <c r="H21" s="5"/>
      <c r="I21" s="5"/>
      <c r="J21" s="5"/>
      <c r="K21" s="5"/>
    </row>
    <row r="22" spans="2:16" ht="15.75" customHeight="1">
      <c r="G22" s="133" t="s">
        <v>343</v>
      </c>
      <c r="H22" s="133"/>
      <c r="J22" s="15" t="s">
        <v>461</v>
      </c>
      <c r="L22" s="59" t="s">
        <v>462</v>
      </c>
      <c r="M22" s="13"/>
      <c r="N22" s="13"/>
      <c r="O22" s="13"/>
      <c r="P22" s="14"/>
    </row>
    <row r="23" spans="2:16" ht="15.75" customHeight="1">
      <c r="C23" s="4"/>
      <c r="G23" s="137">
        <v>1</v>
      </c>
      <c r="H23" s="137"/>
      <c r="J23" s="53" t="s">
        <v>470</v>
      </c>
      <c r="L23" s="54"/>
      <c r="M23" s="12"/>
      <c r="N23" s="12"/>
      <c r="O23" s="12"/>
      <c r="P23" s="55"/>
    </row>
    <row r="24" spans="2:16" ht="15.75" customHeight="1">
      <c r="C24" s="4"/>
      <c r="G24" s="5"/>
      <c r="H24" s="5"/>
      <c r="L24" s="69" t="s">
        <v>469</v>
      </c>
      <c r="M24" s="60" t="s">
        <v>464</v>
      </c>
      <c r="N24" s="66">
        <v>2</v>
      </c>
      <c r="O24" s="60" t="s">
        <v>465</v>
      </c>
      <c r="P24" s="67">
        <v>3</v>
      </c>
    </row>
    <row r="25" spans="2:16" ht="15.75" customHeight="1">
      <c r="G25" s="133" t="s">
        <v>342</v>
      </c>
      <c r="H25" s="133"/>
      <c r="J25" s="72" t="s">
        <v>519</v>
      </c>
      <c r="L25" s="69"/>
      <c r="M25" s="60" t="s">
        <v>466</v>
      </c>
      <c r="N25" s="66">
        <v>3</v>
      </c>
      <c r="O25" s="60" t="s">
        <v>467</v>
      </c>
      <c r="P25" s="67">
        <v>2</v>
      </c>
    </row>
    <row r="26" spans="2:16" ht="15.75" customHeight="1">
      <c r="G26" s="134">
        <v>21</v>
      </c>
      <c r="H26" s="134"/>
      <c r="J26" s="63" t="s">
        <v>520</v>
      </c>
      <c r="L26" s="69"/>
      <c r="M26" s="60"/>
      <c r="N26" s="6"/>
      <c r="O26" s="60"/>
      <c r="P26" s="68"/>
    </row>
    <row r="27" spans="2:16" ht="15.75" customHeight="1">
      <c r="G27" s="5"/>
      <c r="H27" s="5"/>
      <c r="L27" s="69" t="s">
        <v>468</v>
      </c>
      <c r="M27" s="60" t="s">
        <v>464</v>
      </c>
      <c r="N27" s="66">
        <v>3</v>
      </c>
      <c r="O27" s="60" t="s">
        <v>465</v>
      </c>
      <c r="P27" s="67">
        <v>2</v>
      </c>
    </row>
    <row r="28" spans="2:16" ht="15.75" customHeight="1">
      <c r="G28" s="133" t="s">
        <v>456</v>
      </c>
      <c r="H28" s="133"/>
      <c r="J28" s="15" t="s">
        <v>12</v>
      </c>
      <c r="L28" s="69"/>
      <c r="M28" s="60" t="s">
        <v>466</v>
      </c>
      <c r="N28" s="66">
        <v>2</v>
      </c>
      <c r="O28" s="60" t="s">
        <v>467</v>
      </c>
      <c r="P28" s="67">
        <v>3</v>
      </c>
    </row>
    <row r="29" spans="2:16" ht="15.75" customHeight="1">
      <c r="G29" s="134">
        <v>1.9</v>
      </c>
      <c r="H29" s="134"/>
      <c r="J29" s="63">
        <v>24.5</v>
      </c>
      <c r="L29" s="56"/>
      <c r="M29" s="57"/>
      <c r="N29" s="57"/>
      <c r="O29" s="57"/>
      <c r="P29" s="58"/>
    </row>
    <row r="30" spans="2:16" ht="15.75" customHeight="1">
      <c r="G30" s="5"/>
      <c r="H30" s="5"/>
    </row>
    <row r="31" spans="2:16" ht="15.75" customHeight="1">
      <c r="G31" s="133" t="s">
        <v>457</v>
      </c>
      <c r="H31" s="133"/>
      <c r="J31" s="15" t="s">
        <v>463</v>
      </c>
    </row>
    <row r="32" spans="2:16" ht="15.75" customHeight="1">
      <c r="G32" s="134">
        <v>-1</v>
      </c>
      <c r="H32" s="134"/>
      <c r="J32" s="63">
        <v>22.4</v>
      </c>
    </row>
    <row r="276" spans="5:10" ht="15.75" customHeight="1">
      <c r="E276" s="70"/>
      <c r="F276" s="70"/>
      <c r="G276" s="70"/>
      <c r="H276" s="71"/>
      <c r="I276" s="71"/>
      <c r="J276" s="71"/>
    </row>
    <row r="277" spans="5:10" ht="15.75" customHeight="1">
      <c r="E277" s="70"/>
      <c r="F277" s="70"/>
      <c r="G277" s="70"/>
      <c r="H277" s="71"/>
      <c r="I277" s="71"/>
      <c r="J277" s="71"/>
    </row>
    <row r="278" spans="5:10" ht="15.75" customHeight="1">
      <c r="E278" s="70"/>
      <c r="F278" s="70"/>
      <c r="G278" s="70"/>
      <c r="H278" s="71"/>
      <c r="I278" s="71"/>
      <c r="J278" s="71"/>
    </row>
    <row r="279" spans="5:10" ht="15.75" customHeight="1">
      <c r="E279" s="70"/>
      <c r="F279" s="70"/>
      <c r="G279" s="70"/>
      <c r="H279" s="71"/>
      <c r="I279" s="71"/>
      <c r="J279" s="71"/>
    </row>
    <row r="280" spans="5:10" ht="15.75" customHeight="1">
      <c r="E280" s="70"/>
      <c r="F280" s="70"/>
      <c r="G280" s="70"/>
      <c r="H280" s="71"/>
      <c r="I280" s="71"/>
      <c r="J280" s="71"/>
    </row>
    <row r="281" spans="5:10" ht="15.75" customHeight="1">
      <c r="E281" s="70"/>
      <c r="F281" s="70"/>
      <c r="G281" s="70"/>
      <c r="H281" s="71"/>
      <c r="I281" s="71"/>
      <c r="J281" s="71"/>
    </row>
    <row r="282" spans="5:10" ht="15.75" customHeight="1">
      <c r="E282" s="70"/>
      <c r="F282" s="70"/>
      <c r="G282" s="70"/>
      <c r="H282" s="71"/>
      <c r="I282" s="71"/>
      <c r="J282" s="71"/>
    </row>
    <row r="283" spans="5:10" ht="15.75" customHeight="1">
      <c r="E283" s="70"/>
      <c r="F283" s="70"/>
      <c r="G283" s="70"/>
      <c r="H283" s="71"/>
      <c r="I283" s="71"/>
      <c r="J283" s="71"/>
    </row>
    <row r="284" spans="5:10" ht="15.75" customHeight="1">
      <c r="E284" s="70"/>
      <c r="F284" s="70"/>
      <c r="G284" s="70"/>
      <c r="H284" s="71"/>
      <c r="I284" s="71"/>
      <c r="J284" s="71"/>
    </row>
    <row r="285" spans="5:10" ht="15.75" customHeight="1">
      <c r="E285" s="70"/>
      <c r="F285" s="70"/>
      <c r="G285" s="70"/>
      <c r="H285" s="71"/>
      <c r="I285" s="71"/>
      <c r="J285" s="71"/>
    </row>
    <row r="286" spans="5:10" ht="15.75" customHeight="1">
      <c r="E286" s="70"/>
      <c r="F286" s="70"/>
      <c r="G286" s="70"/>
      <c r="H286" s="71"/>
      <c r="I286" s="71"/>
      <c r="J286" s="71"/>
    </row>
    <row r="287" spans="5:10" ht="15.75" customHeight="1">
      <c r="E287" s="70"/>
      <c r="F287" s="70"/>
      <c r="G287" s="70"/>
      <c r="H287" s="71"/>
      <c r="I287" s="71"/>
      <c r="J287" s="71"/>
    </row>
    <row r="288" spans="5:10" ht="15.75" customHeight="1">
      <c r="E288" s="70"/>
      <c r="F288" s="70"/>
      <c r="G288" s="70"/>
      <c r="H288" s="71"/>
      <c r="I288" s="71"/>
      <c r="J288" s="71"/>
    </row>
    <row r="289" spans="5:10" ht="15.75" customHeight="1">
      <c r="E289" s="70"/>
      <c r="F289" s="70"/>
      <c r="G289" s="70"/>
      <c r="H289" s="71"/>
      <c r="I289" s="71"/>
      <c r="J289" s="71"/>
    </row>
    <row r="290" spans="5:10" ht="15.75" customHeight="1">
      <c r="E290" s="70"/>
      <c r="F290" s="70"/>
      <c r="G290" s="70"/>
      <c r="H290" s="71"/>
      <c r="I290" s="71"/>
      <c r="J290" s="71"/>
    </row>
    <row r="291" spans="5:10" ht="15.75" customHeight="1">
      <c r="E291" s="70"/>
      <c r="F291" s="70"/>
      <c r="G291" s="70"/>
      <c r="H291" s="71"/>
      <c r="I291" s="71"/>
      <c r="J291" s="71"/>
    </row>
    <row r="1231" spans="25:28" ht="15.75" customHeight="1">
      <c r="Y1231" s="4">
        <f>S1225</f>
        <v>0</v>
      </c>
    </row>
    <row r="1232" spans="25:28" ht="15.75" customHeight="1">
      <c r="Y1232" s="4">
        <f>Y1231+J1231*S1232</f>
        <v>0</v>
      </c>
      <c r="AB1232" s="4">
        <f>Y1231+J1231*S1232</f>
        <v>0</v>
      </c>
    </row>
    <row r="1233" spans="32:32" ht="15.75" customHeight="1">
      <c r="AF1233" s="4">
        <f>ROUND(IF(G1233="粘性土",MIN((1+V1233/(2*杭先端径))*(Y1233+2*M1233),9*M1233),3*Y1233*AC1233),1)</f>
        <v>0</v>
      </c>
    </row>
  </sheetData>
  <mergeCells count="17">
    <mergeCell ref="B20:C20"/>
    <mergeCell ref="B2:B3"/>
    <mergeCell ref="C2:C3"/>
    <mergeCell ref="D2:D3"/>
    <mergeCell ref="H3:I3"/>
    <mergeCell ref="E2:E3"/>
    <mergeCell ref="F2:G2"/>
    <mergeCell ref="H2:I2"/>
    <mergeCell ref="G31:H31"/>
    <mergeCell ref="G32:H32"/>
    <mergeCell ref="L2:M2"/>
    <mergeCell ref="G22:H22"/>
    <mergeCell ref="G23:H23"/>
    <mergeCell ref="G25:H25"/>
    <mergeCell ref="G26:H26"/>
    <mergeCell ref="G28:H28"/>
    <mergeCell ref="G29:H29"/>
  </mergeCells>
  <phoneticPr fontId="1"/>
  <dataValidations disablePrompts="1" count="3">
    <dataValidation type="list" allowBlank="1" showInputMessage="1" showErrorMessage="1" sqref="J23">
      <formula1>"場所打ち杭"</formula1>
    </dataValidation>
    <dataValidation type="list" allowBlank="1" showInputMessage="1" showErrorMessage="1" sqref="D4:D20">
      <formula1>"粘性土,砂質土,砂礫"</formula1>
    </dataValidation>
    <dataValidation type="list" allowBlank="1" showInputMessage="1" showErrorMessage="1" sqref="J26">
      <formula1>"自然泥水,安定液"</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323850</xdr:colOff>
                    <xdr:row>1</xdr:row>
                    <xdr:rowOff>57150</xdr:rowOff>
                  </from>
                  <to>
                    <xdr:col>15</xdr:col>
                    <xdr:colOff>200025</xdr:colOff>
                    <xdr:row>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2:CM2238"/>
  <sheetViews>
    <sheetView tabSelected="1" view="pageBreakPreview" topLeftCell="A1450" zoomScaleNormal="90" zoomScaleSheetLayoutView="100" workbookViewId="0">
      <selection activeCell="AA1693" sqref="AA1693:AB1693"/>
    </sheetView>
  </sheetViews>
  <sheetFormatPr defaultColWidth="2.625" defaultRowHeight="15.75" customHeight="1"/>
  <cols>
    <col min="1" max="1" width="5.375" style="76" customWidth="1"/>
    <col min="2" max="2" width="2.75" style="76" customWidth="1"/>
    <col min="3" max="3" width="2.625" style="1" customWidth="1"/>
    <col min="4" max="4" width="2.625" style="76" customWidth="1"/>
    <col min="5" max="5" width="2.625" style="1" customWidth="1"/>
    <col min="6" max="10" width="2.625" style="76"/>
    <col min="11" max="11" width="2.625" style="76" customWidth="1"/>
    <col min="12" max="13" width="2.625" style="76"/>
    <col min="14" max="14" width="2.625" style="76" customWidth="1"/>
    <col min="15" max="15" width="2.625" style="76"/>
    <col min="16" max="16" width="2.625" style="76" customWidth="1"/>
    <col min="17" max="35" width="2.625" style="76"/>
    <col min="36" max="36" width="2.625" style="76" customWidth="1"/>
    <col min="37" max="37" width="3.25" style="76" bestFit="1" customWidth="1"/>
    <col min="38" max="39" width="2.625" style="76"/>
    <col min="40" max="54" width="2.625" style="106"/>
    <col min="55" max="56" width="2.625" style="106" customWidth="1"/>
    <col min="57" max="62" width="2.625" style="106"/>
    <col min="63" max="63" width="2.625" style="76"/>
    <col min="64" max="64" width="2.625" style="80"/>
    <col min="65" max="70" width="2.625" style="76"/>
    <col min="71" max="71" width="2.625" style="80"/>
    <col min="72" max="80" width="2.625" style="76"/>
    <col min="81" max="82" width="2.625" style="76" customWidth="1"/>
    <col min="83" max="16384" width="2.625" style="76"/>
  </cols>
  <sheetData>
    <row r="2" spans="3:35" ht="15.75" customHeight="1">
      <c r="C2" s="83" t="s">
        <v>18</v>
      </c>
    </row>
    <row r="3" spans="3:35" ht="15.75" customHeight="1">
      <c r="E3" s="1" t="s">
        <v>19</v>
      </c>
    </row>
    <row r="5" spans="3:35" ht="15.75" customHeight="1">
      <c r="D5" s="83" t="s">
        <v>20</v>
      </c>
    </row>
    <row r="7" spans="3:35" ht="15.75" customHeight="1">
      <c r="D7" s="1" t="s">
        <v>21</v>
      </c>
      <c r="M7" s="10" t="s">
        <v>22</v>
      </c>
    </row>
    <row r="8" spans="3:35" ht="15.75" customHeight="1">
      <c r="D8" s="1"/>
      <c r="M8" s="10"/>
    </row>
    <row r="9" spans="3:35" s="1" customFormat="1" ht="15.75" customHeight="1">
      <c r="F9" s="1" t="s">
        <v>169</v>
      </c>
    </row>
    <row r="10" spans="3:35" s="1" customFormat="1" ht="15.75" customHeight="1">
      <c r="F10" s="1" t="s">
        <v>23</v>
      </c>
    </row>
    <row r="11" spans="3:35" s="1" customFormat="1" ht="15.75" customHeight="1"/>
    <row r="12" spans="3:35" s="1" customFormat="1" ht="15.75" customHeight="1"/>
    <row r="13" spans="3:35" s="1" customFormat="1" ht="15.75" customHeight="1">
      <c r="U13" s="64" t="s">
        <v>173</v>
      </c>
      <c r="V13" s="64"/>
      <c r="W13" s="64"/>
      <c r="X13" s="64"/>
      <c r="Y13" s="64"/>
      <c r="Z13" s="64"/>
      <c r="AA13" s="64"/>
      <c r="AB13" s="64"/>
      <c r="AC13" s="64"/>
      <c r="AD13" s="64"/>
      <c r="AE13" s="64"/>
      <c r="AF13" s="64"/>
      <c r="AG13" s="64"/>
      <c r="AH13" s="64"/>
      <c r="AI13" s="64"/>
    </row>
    <row r="14" spans="3:35" s="1" customFormat="1" ht="15.75" customHeight="1">
      <c r="U14" s="265" t="s">
        <v>24</v>
      </c>
      <c r="V14" s="265"/>
      <c r="W14" s="265"/>
      <c r="X14" s="265"/>
      <c r="Y14" s="265"/>
      <c r="Z14" s="265"/>
      <c r="AA14" s="265"/>
      <c r="AB14" s="265" t="s">
        <v>25</v>
      </c>
      <c r="AC14" s="265"/>
      <c r="AD14" s="265"/>
      <c r="AE14" s="265"/>
      <c r="AF14" s="265" t="s">
        <v>26</v>
      </c>
      <c r="AG14" s="265"/>
      <c r="AH14" s="265"/>
      <c r="AI14" s="265"/>
    </row>
    <row r="15" spans="3:35" s="1" customFormat="1" ht="15.75" customHeight="1">
      <c r="U15" s="265" t="s">
        <v>471</v>
      </c>
      <c r="V15" s="265"/>
      <c r="W15" s="265"/>
      <c r="X15" s="265"/>
      <c r="Y15" s="265"/>
      <c r="Z15" s="265"/>
      <c r="AA15" s="265"/>
      <c r="AB15" s="265">
        <v>0.6</v>
      </c>
      <c r="AC15" s="265"/>
      <c r="AD15" s="265"/>
      <c r="AE15" s="265"/>
      <c r="AF15" s="265">
        <v>1.4</v>
      </c>
      <c r="AG15" s="265"/>
      <c r="AH15" s="265"/>
      <c r="AI15" s="265"/>
    </row>
    <row r="16" spans="3:35" s="1" customFormat="1" ht="15.75" customHeight="1">
      <c r="Y16" s="299" t="s">
        <v>524</v>
      </c>
      <c r="Z16" s="299"/>
      <c r="AA16" s="76" t="s">
        <v>27</v>
      </c>
      <c r="AB16" s="299" t="s">
        <v>525</v>
      </c>
      <c r="AC16" s="299"/>
      <c r="AD16" s="76" t="s">
        <v>1</v>
      </c>
      <c r="AE16" s="181" t="s">
        <v>526</v>
      </c>
      <c r="AF16" s="181"/>
    </row>
    <row r="17" spans="5:35" s="1" customFormat="1" ht="15.75" customHeight="1">
      <c r="Y17" s="181" t="s">
        <v>527</v>
      </c>
      <c r="Z17" s="181"/>
      <c r="AA17" s="76" t="s">
        <v>27</v>
      </c>
      <c r="AB17" s="181" t="s">
        <v>528</v>
      </c>
      <c r="AC17" s="181"/>
      <c r="AD17" s="76" t="s">
        <v>1</v>
      </c>
      <c r="AE17" s="181" t="s">
        <v>526</v>
      </c>
      <c r="AF17" s="181"/>
    </row>
    <row r="18" spans="5:35" s="1" customFormat="1" ht="15.75" customHeight="1">
      <c r="J18" s="84" t="s">
        <v>529</v>
      </c>
      <c r="W18" s="181" t="s">
        <v>526</v>
      </c>
      <c r="X18" s="181"/>
      <c r="Y18" s="76" t="s">
        <v>2</v>
      </c>
      <c r="Z18" s="1" t="s">
        <v>28</v>
      </c>
    </row>
    <row r="19" spans="5:35" s="1" customFormat="1" ht="15.75" customHeight="1"/>
    <row r="20" spans="5:35" s="1" customFormat="1" ht="15.75" customHeight="1"/>
    <row r="21" spans="5:35" s="1" customFormat="1" ht="15.75" customHeight="1">
      <c r="E21" s="295" t="s">
        <v>170</v>
      </c>
      <c r="F21" s="295"/>
      <c r="G21" s="295"/>
      <c r="H21" s="295"/>
      <c r="I21" s="295"/>
      <c r="J21" s="295"/>
      <c r="K21" s="295"/>
      <c r="L21" s="295"/>
      <c r="M21" s="295"/>
      <c r="N21" s="295"/>
      <c r="O21" s="295"/>
      <c r="P21" s="295"/>
      <c r="Q21" s="295"/>
      <c r="R21" s="295"/>
      <c r="S21" s="295"/>
      <c r="T21" s="295"/>
    </row>
    <row r="22" spans="5:35" s="1" customFormat="1" ht="15.75" customHeight="1"/>
    <row r="23" spans="5:35" s="1" customFormat="1" ht="15.75" customHeight="1"/>
    <row r="24" spans="5:35" s="1" customFormat="1" ht="15.75" customHeight="1">
      <c r="U24" s="64" t="s">
        <v>174</v>
      </c>
      <c r="V24" s="64"/>
      <c r="W24" s="64"/>
      <c r="X24" s="64"/>
      <c r="Y24" s="64"/>
      <c r="Z24" s="64"/>
      <c r="AA24" s="64"/>
      <c r="AB24" s="64"/>
      <c r="AC24" s="64"/>
      <c r="AD24" s="64"/>
      <c r="AE24" s="64"/>
      <c r="AF24" s="64"/>
      <c r="AG24" s="64"/>
      <c r="AH24" s="64"/>
      <c r="AI24" s="64"/>
    </row>
    <row r="25" spans="5:35" s="1" customFormat="1" ht="15.75" customHeight="1">
      <c r="U25" s="265" t="s">
        <v>24</v>
      </c>
      <c r="V25" s="265"/>
      <c r="W25" s="265"/>
      <c r="X25" s="265"/>
      <c r="Y25" s="265"/>
      <c r="Z25" s="265"/>
      <c r="AA25" s="265"/>
      <c r="AB25" s="265" t="s">
        <v>29</v>
      </c>
      <c r="AC25" s="265"/>
      <c r="AD25" s="265"/>
      <c r="AE25" s="265"/>
      <c r="AF25" s="265" t="s">
        <v>30</v>
      </c>
      <c r="AG25" s="265"/>
      <c r="AH25" s="265"/>
      <c r="AI25" s="265"/>
    </row>
    <row r="26" spans="5:35" s="1" customFormat="1" ht="15.75" customHeight="1">
      <c r="U26" s="265" t="s">
        <v>471</v>
      </c>
      <c r="V26" s="265"/>
      <c r="W26" s="265"/>
      <c r="X26" s="265"/>
      <c r="Y26" s="265"/>
      <c r="Z26" s="265"/>
      <c r="AA26" s="265"/>
      <c r="AB26" s="265">
        <v>1.2</v>
      </c>
      <c r="AC26" s="265"/>
      <c r="AD26" s="265"/>
      <c r="AE26" s="265"/>
      <c r="AF26" s="265">
        <v>1.4</v>
      </c>
      <c r="AG26" s="265"/>
      <c r="AH26" s="265"/>
      <c r="AI26" s="265"/>
    </row>
    <row r="27" spans="5:35" s="1" customFormat="1" ht="15.75" customHeight="1">
      <c r="Y27" s="299" t="s">
        <v>530</v>
      </c>
      <c r="Z27" s="299"/>
      <c r="AA27" s="76" t="s">
        <v>27</v>
      </c>
      <c r="AB27" s="299" t="s">
        <v>531</v>
      </c>
      <c r="AC27" s="299"/>
      <c r="AD27" s="76" t="s">
        <v>1</v>
      </c>
      <c r="AE27" s="181" t="s">
        <v>532</v>
      </c>
      <c r="AF27" s="181"/>
    </row>
    <row r="28" spans="5:35" s="1" customFormat="1" ht="15.75" customHeight="1">
      <c r="Y28" s="181" t="s">
        <v>533</v>
      </c>
      <c r="Z28" s="181"/>
      <c r="AA28" s="76" t="s">
        <v>27</v>
      </c>
      <c r="AB28" s="181" t="s">
        <v>534</v>
      </c>
      <c r="AC28" s="181"/>
      <c r="AD28" s="76" t="s">
        <v>1</v>
      </c>
      <c r="AE28" s="181" t="s">
        <v>532</v>
      </c>
      <c r="AF28" s="181"/>
    </row>
    <row r="29" spans="5:35" s="1" customFormat="1" ht="15.75" customHeight="1">
      <c r="J29" s="84" t="s">
        <v>535</v>
      </c>
      <c r="W29" s="181" t="s">
        <v>532</v>
      </c>
      <c r="X29" s="181"/>
      <c r="Y29" s="76" t="s">
        <v>2</v>
      </c>
      <c r="Z29" s="1" t="s">
        <v>31</v>
      </c>
    </row>
    <row r="30" spans="5:35" s="1" customFormat="1" ht="15.75" customHeight="1"/>
    <row r="31" spans="5:35" s="1" customFormat="1" ht="15.75" customHeight="1"/>
    <row r="32" spans="5:35" s="1" customFormat="1" ht="15.75" customHeight="1">
      <c r="E32" s="295" t="s">
        <v>171</v>
      </c>
      <c r="F32" s="295"/>
      <c r="G32" s="295"/>
      <c r="H32" s="295"/>
      <c r="I32" s="295"/>
      <c r="J32" s="295"/>
      <c r="K32" s="295"/>
      <c r="L32" s="295"/>
      <c r="M32" s="295"/>
      <c r="N32" s="295"/>
      <c r="O32" s="295"/>
      <c r="P32" s="295"/>
      <c r="Q32" s="295"/>
      <c r="R32" s="295"/>
      <c r="S32" s="295"/>
      <c r="T32" s="295"/>
    </row>
    <row r="33" spans="4:20" s="1" customFormat="1" ht="15.75" customHeight="1"/>
    <row r="34" spans="4:20" s="1" customFormat="1" ht="15.75" customHeight="1"/>
    <row r="35" spans="4:20" s="1" customFormat="1" ht="15.75" customHeight="1"/>
    <row r="36" spans="4:20" s="1" customFormat="1" ht="15.75" customHeight="1"/>
    <row r="37" spans="4:20" s="1" customFormat="1" ht="15.75" customHeight="1"/>
    <row r="38" spans="4:20" s="1" customFormat="1" ht="15.75" customHeight="1"/>
    <row r="39" spans="4:20" s="1" customFormat="1" ht="15.75" customHeight="1"/>
    <row r="40" spans="4:20" s="1" customFormat="1" ht="15.75" customHeight="1">
      <c r="J40" s="84" t="s">
        <v>536</v>
      </c>
    </row>
    <row r="41" spans="4:20" s="1" customFormat="1" ht="15.75" customHeight="1"/>
    <row r="42" spans="4:20" s="1" customFormat="1" ht="15.75" customHeight="1"/>
    <row r="43" spans="4:20" s="1" customFormat="1" ht="15.75" customHeight="1">
      <c r="E43" s="295" t="s">
        <v>172</v>
      </c>
      <c r="F43" s="295"/>
      <c r="G43" s="295"/>
      <c r="H43" s="295"/>
      <c r="I43" s="295"/>
      <c r="J43" s="295"/>
      <c r="K43" s="295"/>
      <c r="L43" s="295"/>
      <c r="M43" s="295"/>
      <c r="N43" s="295"/>
      <c r="O43" s="295"/>
      <c r="P43" s="295"/>
      <c r="Q43" s="295"/>
      <c r="R43" s="295"/>
      <c r="S43" s="295"/>
      <c r="T43" s="295"/>
    </row>
    <row r="44" spans="4:20" s="1" customFormat="1" ht="15.75" customHeight="1"/>
    <row r="45" spans="4:20" s="1" customFormat="1" ht="15.75" customHeight="1"/>
    <row r="46" spans="4:20" s="1" customFormat="1" ht="15.75" customHeight="1"/>
    <row r="47" spans="4:20" s="1" customFormat="1" ht="15.75" customHeight="1"/>
    <row r="48" spans="4:20" ht="15.75" customHeight="1">
      <c r="D48" s="1" t="s">
        <v>32</v>
      </c>
      <c r="M48" s="10"/>
    </row>
    <row r="49" spans="4:36" s="1" customFormat="1" ht="15.75" customHeight="1"/>
    <row r="50" spans="4:36" s="1" customFormat="1" ht="15.75" customHeight="1">
      <c r="F50" s="1" t="s">
        <v>175</v>
      </c>
    </row>
    <row r="51" spans="4:36" s="1" customFormat="1" ht="15.75" customHeight="1">
      <c r="F51" s="1" t="s">
        <v>33</v>
      </c>
    </row>
    <row r="52" spans="4:36" s="1" customFormat="1" ht="15.75" customHeight="1"/>
    <row r="53" spans="4:36" s="1" customFormat="1" ht="15.75" customHeight="1">
      <c r="D53" s="61" t="s">
        <v>176</v>
      </c>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row>
    <row r="54" spans="4:36" s="1" customFormat="1" ht="15.75" customHeight="1">
      <c r="D54" s="285" t="s">
        <v>47</v>
      </c>
      <c r="E54" s="265"/>
      <c r="F54" s="265"/>
      <c r="G54" s="265"/>
      <c r="H54" s="265" t="s">
        <v>38</v>
      </c>
      <c r="I54" s="265"/>
      <c r="J54" s="265"/>
      <c r="K54" s="265"/>
      <c r="L54" s="265"/>
      <c r="M54" s="265"/>
      <c r="N54" s="265"/>
      <c r="O54" s="265"/>
      <c r="P54" s="265"/>
      <c r="Q54" s="265" t="s">
        <v>39</v>
      </c>
      <c r="R54" s="265"/>
      <c r="S54" s="265"/>
      <c r="T54" s="265"/>
      <c r="U54" s="265"/>
      <c r="V54" s="265"/>
      <c r="W54" s="265"/>
      <c r="X54" s="265"/>
      <c r="Y54" s="265"/>
      <c r="Z54" s="297" t="s">
        <v>43</v>
      </c>
      <c r="AA54" s="297"/>
      <c r="AB54" s="297"/>
      <c r="AC54" s="297"/>
      <c r="AD54" s="297"/>
      <c r="AE54" s="297"/>
      <c r="AF54" s="297"/>
      <c r="AG54" s="297"/>
      <c r="AH54" s="298"/>
      <c r="AI54" s="7"/>
      <c r="AJ54" s="7"/>
    </row>
    <row r="55" spans="4:36" s="1" customFormat="1" ht="15.75" customHeight="1">
      <c r="D55" s="285"/>
      <c r="E55" s="265"/>
      <c r="F55" s="265"/>
      <c r="G55" s="265"/>
      <c r="H55" s="265"/>
      <c r="I55" s="265"/>
      <c r="J55" s="265"/>
      <c r="K55" s="265"/>
      <c r="L55" s="265"/>
      <c r="M55" s="265"/>
      <c r="N55" s="265"/>
      <c r="O55" s="265"/>
      <c r="P55" s="265"/>
      <c r="Q55" s="265"/>
      <c r="R55" s="265"/>
      <c r="S55" s="265"/>
      <c r="T55" s="265"/>
      <c r="U55" s="265"/>
      <c r="V55" s="265"/>
      <c r="W55" s="265"/>
      <c r="X55" s="265"/>
      <c r="Y55" s="265"/>
      <c r="Z55" s="297"/>
      <c r="AA55" s="297"/>
      <c r="AB55" s="297"/>
      <c r="AC55" s="297"/>
      <c r="AD55" s="297"/>
      <c r="AE55" s="297"/>
      <c r="AF55" s="297"/>
      <c r="AG55" s="297"/>
      <c r="AH55" s="298"/>
      <c r="AI55" s="7"/>
      <c r="AJ55" s="7"/>
    </row>
    <row r="56" spans="4:36" s="1" customFormat="1" ht="15.75" customHeight="1">
      <c r="D56" s="285" t="s">
        <v>34</v>
      </c>
      <c r="E56" s="265"/>
      <c r="F56" s="265"/>
      <c r="G56" s="265"/>
      <c r="H56" s="296" t="s">
        <v>36</v>
      </c>
      <c r="I56" s="296"/>
      <c r="J56" s="296"/>
      <c r="K56" s="296"/>
      <c r="L56" s="296"/>
      <c r="M56" s="296"/>
      <c r="N56" s="296"/>
      <c r="O56" s="296"/>
      <c r="P56" s="296"/>
      <c r="Q56" s="265" t="s">
        <v>37</v>
      </c>
      <c r="R56" s="265"/>
      <c r="S56" s="265"/>
      <c r="T56" s="265"/>
      <c r="U56" s="265"/>
      <c r="V56" s="265"/>
      <c r="W56" s="265"/>
      <c r="X56" s="265"/>
      <c r="Y56" s="265"/>
      <c r="Z56" s="265" t="s">
        <v>57</v>
      </c>
      <c r="AA56" s="265"/>
      <c r="AB56" s="265"/>
      <c r="AC56" s="265"/>
      <c r="AD56" s="265"/>
      <c r="AE56" s="265"/>
      <c r="AF56" s="265"/>
      <c r="AG56" s="265"/>
      <c r="AH56" s="266"/>
    </row>
    <row r="57" spans="4:36" s="1" customFormat="1" ht="15.75" customHeight="1">
      <c r="D57" s="285"/>
      <c r="E57" s="265"/>
      <c r="F57" s="265"/>
      <c r="G57" s="265"/>
      <c r="H57" s="296"/>
      <c r="I57" s="296"/>
      <c r="J57" s="296"/>
      <c r="K57" s="296"/>
      <c r="L57" s="296"/>
      <c r="M57" s="296"/>
      <c r="N57" s="296"/>
      <c r="O57" s="296"/>
      <c r="P57" s="296"/>
      <c r="Q57" s="265"/>
      <c r="R57" s="265"/>
      <c r="S57" s="265"/>
      <c r="T57" s="265"/>
      <c r="U57" s="265"/>
      <c r="V57" s="265"/>
      <c r="W57" s="265"/>
      <c r="X57" s="265"/>
      <c r="Y57" s="265"/>
      <c r="Z57" s="265"/>
      <c r="AA57" s="265"/>
      <c r="AB57" s="265"/>
      <c r="AC57" s="265"/>
      <c r="AD57" s="265"/>
      <c r="AE57" s="265"/>
      <c r="AF57" s="265"/>
      <c r="AG57" s="265"/>
      <c r="AH57" s="266"/>
    </row>
    <row r="58" spans="4:36" s="1" customFormat="1" ht="15.75" customHeight="1">
      <c r="D58" s="285" t="s">
        <v>35</v>
      </c>
      <c r="E58" s="265"/>
      <c r="F58" s="265"/>
      <c r="G58" s="265"/>
      <c r="H58" s="288" t="s">
        <v>40</v>
      </c>
      <c r="I58" s="265"/>
      <c r="J58" s="265"/>
      <c r="K58" s="265"/>
      <c r="L58" s="265"/>
      <c r="M58" s="265"/>
      <c r="N58" s="265"/>
      <c r="O58" s="265"/>
      <c r="P58" s="265"/>
      <c r="Q58" s="288" t="s">
        <v>42</v>
      </c>
      <c r="R58" s="265"/>
      <c r="S58" s="265"/>
      <c r="T58" s="265"/>
      <c r="U58" s="265"/>
      <c r="V58" s="265"/>
      <c r="W58" s="265"/>
      <c r="X58" s="265"/>
      <c r="Y58" s="265"/>
      <c r="Z58" s="288" t="s">
        <v>45</v>
      </c>
      <c r="AA58" s="265"/>
      <c r="AB58" s="265"/>
      <c r="AC58" s="265"/>
      <c r="AD58" s="265"/>
      <c r="AE58" s="265"/>
      <c r="AF58" s="265"/>
      <c r="AG58" s="265"/>
      <c r="AH58" s="266"/>
    </row>
    <row r="59" spans="4:36" s="1" customFormat="1" ht="15.75" customHeight="1">
      <c r="D59" s="285"/>
      <c r="E59" s="265"/>
      <c r="F59" s="265"/>
      <c r="G59" s="265"/>
      <c r="H59" s="265"/>
      <c r="I59" s="265"/>
      <c r="J59" s="265"/>
      <c r="K59" s="265"/>
      <c r="L59" s="265"/>
      <c r="M59" s="265"/>
      <c r="N59" s="265"/>
      <c r="O59" s="265"/>
      <c r="P59" s="265"/>
      <c r="Q59" s="265"/>
      <c r="R59" s="265"/>
      <c r="S59" s="265"/>
      <c r="T59" s="265"/>
      <c r="U59" s="265"/>
      <c r="V59" s="265"/>
      <c r="W59" s="265"/>
      <c r="X59" s="265"/>
      <c r="Y59" s="265"/>
      <c r="Z59" s="265"/>
      <c r="AA59" s="265"/>
      <c r="AB59" s="265"/>
      <c r="AC59" s="265"/>
      <c r="AD59" s="265"/>
      <c r="AE59" s="265"/>
      <c r="AF59" s="265"/>
      <c r="AG59" s="265"/>
      <c r="AH59" s="266"/>
    </row>
    <row r="60" spans="4:36" s="1" customFormat="1" ht="15.75" customHeight="1">
      <c r="D60" s="285"/>
      <c r="E60" s="265"/>
      <c r="F60" s="265"/>
      <c r="G60" s="265"/>
      <c r="H60" s="288" t="s">
        <v>41</v>
      </c>
      <c r="I60" s="265"/>
      <c r="J60" s="265"/>
      <c r="K60" s="265"/>
      <c r="L60" s="265"/>
      <c r="M60" s="265"/>
      <c r="N60" s="265"/>
      <c r="O60" s="265"/>
      <c r="P60" s="265"/>
      <c r="Q60" s="288" t="s">
        <v>44</v>
      </c>
      <c r="R60" s="265"/>
      <c r="S60" s="265"/>
      <c r="T60" s="265"/>
      <c r="U60" s="265"/>
      <c r="V60" s="265"/>
      <c r="W60" s="265"/>
      <c r="X60" s="265"/>
      <c r="Y60" s="265"/>
      <c r="Z60" s="288" t="s">
        <v>46</v>
      </c>
      <c r="AA60" s="265"/>
      <c r="AB60" s="265"/>
      <c r="AC60" s="265"/>
      <c r="AD60" s="265"/>
      <c r="AE60" s="265"/>
      <c r="AF60" s="265"/>
      <c r="AG60" s="265"/>
      <c r="AH60" s="266"/>
    </row>
    <row r="61" spans="4:36" s="1" customFormat="1" ht="15.75" customHeight="1">
      <c r="D61" s="285"/>
      <c r="E61" s="265"/>
      <c r="F61" s="265"/>
      <c r="G61" s="265"/>
      <c r="H61" s="265"/>
      <c r="I61" s="265"/>
      <c r="J61" s="265"/>
      <c r="K61" s="265"/>
      <c r="L61" s="265"/>
      <c r="M61" s="265"/>
      <c r="N61" s="265"/>
      <c r="O61" s="265"/>
      <c r="P61" s="265"/>
      <c r="Q61" s="265"/>
      <c r="R61" s="265"/>
      <c r="S61" s="265"/>
      <c r="T61" s="265"/>
      <c r="U61" s="265"/>
      <c r="V61" s="265"/>
      <c r="W61" s="265"/>
      <c r="X61" s="265"/>
      <c r="Y61" s="265"/>
      <c r="Z61" s="265"/>
      <c r="AA61" s="265"/>
      <c r="AB61" s="265"/>
      <c r="AC61" s="265"/>
      <c r="AD61" s="265"/>
      <c r="AE61" s="265"/>
      <c r="AF61" s="265"/>
      <c r="AG61" s="265"/>
      <c r="AH61" s="266"/>
    </row>
    <row r="62" spans="4:36" s="1" customFormat="1" ht="15.75" customHeight="1">
      <c r="H62" s="1" t="s">
        <v>58</v>
      </c>
    </row>
    <row r="63" spans="4:36" s="1" customFormat="1" ht="15.75" customHeight="1"/>
    <row r="64" spans="4:36" s="1" customFormat="1" ht="15.75" customHeight="1"/>
    <row r="65" spans="4:36" ht="15.75" customHeight="1">
      <c r="D65" s="83" t="s">
        <v>48</v>
      </c>
    </row>
    <row r="67" spans="4:36" ht="15.75" customHeight="1">
      <c r="D67" s="1" t="s">
        <v>49</v>
      </c>
      <c r="M67" s="10"/>
    </row>
    <row r="68" spans="4:36" s="1" customFormat="1" ht="15.75" customHeight="1"/>
    <row r="69" spans="4:36" s="1" customFormat="1" ht="15.75" customHeight="1">
      <c r="F69" s="1" t="s">
        <v>177</v>
      </c>
    </row>
    <row r="70" spans="4:36" s="1" customFormat="1" ht="15.75" customHeight="1"/>
    <row r="71" spans="4:36" s="1" customFormat="1" ht="15.75" customHeight="1">
      <c r="F71" s="61" t="s">
        <v>178</v>
      </c>
      <c r="G71" s="61"/>
      <c r="H71" s="61"/>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8"/>
      <c r="AI71" s="8"/>
      <c r="AJ71" s="8"/>
    </row>
    <row r="72" spans="4:36" s="1" customFormat="1" ht="15.75" customHeight="1">
      <c r="F72" s="285" t="s">
        <v>50</v>
      </c>
      <c r="G72" s="265"/>
      <c r="H72" s="265"/>
      <c r="I72" s="265"/>
      <c r="J72" s="265"/>
      <c r="K72" s="265"/>
      <c r="L72" s="265" t="s">
        <v>55</v>
      </c>
      <c r="M72" s="265"/>
      <c r="N72" s="265"/>
      <c r="O72" s="265"/>
      <c r="P72" s="265"/>
      <c r="Q72" s="265"/>
      <c r="R72" s="265"/>
      <c r="S72" s="265"/>
      <c r="T72" s="265" t="s">
        <v>56</v>
      </c>
      <c r="U72" s="265"/>
      <c r="V72" s="265"/>
      <c r="W72" s="265"/>
      <c r="X72" s="265"/>
      <c r="Y72" s="265"/>
      <c r="Z72" s="265"/>
      <c r="AA72" s="265"/>
      <c r="AB72" s="265"/>
      <c r="AC72" s="265"/>
      <c r="AD72" s="265"/>
      <c r="AE72" s="265"/>
      <c r="AF72" s="265"/>
      <c r="AG72" s="266"/>
    </row>
    <row r="73" spans="4:36" s="1" customFormat="1" ht="15.75" customHeight="1">
      <c r="F73" s="285" t="s">
        <v>51</v>
      </c>
      <c r="G73" s="265"/>
      <c r="H73" s="265"/>
      <c r="I73" s="265"/>
      <c r="J73" s="265"/>
      <c r="K73" s="265"/>
      <c r="L73" s="265" t="s">
        <v>53</v>
      </c>
      <c r="M73" s="265"/>
      <c r="N73" s="265"/>
      <c r="O73" s="265"/>
      <c r="P73" s="265"/>
      <c r="Q73" s="265"/>
      <c r="R73" s="265"/>
      <c r="S73" s="265"/>
      <c r="T73" s="282">
        <v>1</v>
      </c>
      <c r="U73" s="282"/>
      <c r="V73" s="282"/>
      <c r="W73" s="282"/>
      <c r="X73" s="282"/>
      <c r="Y73" s="282"/>
      <c r="Z73" s="282"/>
      <c r="AA73" s="282"/>
      <c r="AB73" s="282"/>
      <c r="AC73" s="282"/>
      <c r="AD73" s="282"/>
      <c r="AE73" s="282"/>
      <c r="AF73" s="282"/>
      <c r="AG73" s="289"/>
    </row>
    <row r="74" spans="4:36" s="1" customFormat="1" ht="15.75" customHeight="1">
      <c r="F74" s="285" t="s">
        <v>52</v>
      </c>
      <c r="G74" s="265"/>
      <c r="H74" s="265"/>
      <c r="I74" s="265"/>
      <c r="J74" s="265"/>
      <c r="K74" s="265"/>
      <c r="L74" s="265" t="s">
        <v>54</v>
      </c>
      <c r="M74" s="265"/>
      <c r="N74" s="265"/>
      <c r="O74" s="265"/>
      <c r="P74" s="265"/>
      <c r="Q74" s="265"/>
      <c r="R74" s="265"/>
      <c r="S74" s="265"/>
      <c r="T74" s="265">
        <v>0.5</v>
      </c>
      <c r="U74" s="265"/>
      <c r="V74" s="265"/>
      <c r="W74" s="265"/>
      <c r="X74" s="265"/>
      <c r="Y74" s="265"/>
      <c r="Z74" s="265"/>
      <c r="AA74" s="265"/>
      <c r="AB74" s="265"/>
      <c r="AC74" s="265"/>
      <c r="AD74" s="265"/>
      <c r="AE74" s="265"/>
      <c r="AF74" s="265"/>
      <c r="AG74" s="266"/>
    </row>
    <row r="75" spans="4:36" s="1" customFormat="1" ht="15.75" customHeight="1">
      <c r="J75" s="1" t="s">
        <v>59</v>
      </c>
    </row>
    <row r="76" spans="4:36" s="1" customFormat="1" ht="15.75" customHeight="1"/>
    <row r="77" spans="4:36" s="1" customFormat="1" ht="15.75" customHeight="1"/>
    <row r="78" spans="4:36" ht="15.75" customHeight="1">
      <c r="D78" s="1" t="s">
        <v>61</v>
      </c>
      <c r="M78" s="10"/>
    </row>
    <row r="79" spans="4:36" s="1" customFormat="1" ht="15.75" customHeight="1"/>
    <row r="80" spans="4:36" s="1" customFormat="1" ht="15.75" customHeight="1">
      <c r="F80" s="1" t="s">
        <v>179</v>
      </c>
    </row>
    <row r="81" spans="6:35" s="1" customFormat="1" ht="15.75" customHeight="1">
      <c r="F81" s="1" t="s">
        <v>60</v>
      </c>
    </row>
    <row r="82" spans="6:35" s="1" customFormat="1" ht="15.75" customHeight="1"/>
    <row r="83" spans="6:35" s="1" customFormat="1" ht="15.75" customHeight="1">
      <c r="F83" s="181" t="s">
        <v>62</v>
      </c>
      <c r="G83" s="181"/>
      <c r="H83" s="76" t="s">
        <v>27</v>
      </c>
      <c r="I83" s="181">
        <v>1.4</v>
      </c>
      <c r="J83" s="181"/>
      <c r="K83" s="181" t="s">
        <v>63</v>
      </c>
      <c r="L83" s="181"/>
      <c r="M83" s="181" t="s">
        <v>64</v>
      </c>
      <c r="N83" s="181"/>
      <c r="O83" s="76" t="s">
        <v>65</v>
      </c>
      <c r="P83" s="246">
        <v>-0.75</v>
      </c>
      <c r="Q83" s="246"/>
    </row>
    <row r="84" spans="6:35" s="1" customFormat="1" ht="15.75" customHeight="1"/>
    <row r="85" spans="6:35" s="1" customFormat="1" ht="15.75" customHeight="1">
      <c r="G85" s="1" t="s">
        <v>66</v>
      </c>
      <c r="J85" s="181" t="s">
        <v>62</v>
      </c>
      <c r="K85" s="181"/>
      <c r="L85" s="76" t="s">
        <v>2</v>
      </c>
      <c r="M85" s="1" t="s">
        <v>67</v>
      </c>
    </row>
    <row r="86" spans="6:35" s="1" customFormat="1" ht="15.75" customHeight="1">
      <c r="J86" s="181" t="s">
        <v>63</v>
      </c>
      <c r="K86" s="181"/>
      <c r="L86" s="76" t="s">
        <v>2</v>
      </c>
      <c r="M86" s="1" t="s">
        <v>77</v>
      </c>
    </row>
    <row r="87" spans="6:35" s="1" customFormat="1" ht="15.75" customHeight="1">
      <c r="J87" s="181" t="s">
        <v>64</v>
      </c>
      <c r="K87" s="181"/>
      <c r="L87" s="76" t="s">
        <v>2</v>
      </c>
      <c r="M87" s="1" t="s">
        <v>70</v>
      </c>
    </row>
    <row r="88" spans="6:35" s="1" customFormat="1" ht="15.75" customHeight="1">
      <c r="J88" s="181" t="s">
        <v>65</v>
      </c>
      <c r="K88" s="181"/>
      <c r="L88" s="76" t="s">
        <v>2</v>
      </c>
      <c r="M88" s="1" t="s">
        <v>68</v>
      </c>
    </row>
    <row r="89" spans="6:35" s="1" customFormat="1" ht="15.75" customHeight="1"/>
    <row r="90" spans="6:35" s="1" customFormat="1" ht="15.75" customHeight="1">
      <c r="H90" s="61" t="s">
        <v>180</v>
      </c>
      <c r="I90" s="61"/>
      <c r="J90" s="61"/>
      <c r="K90" s="61"/>
      <c r="L90" s="61"/>
      <c r="M90" s="61"/>
      <c r="N90" s="61"/>
      <c r="O90" s="61"/>
      <c r="P90" s="61"/>
      <c r="Q90" s="61"/>
      <c r="R90" s="61"/>
      <c r="S90" s="61"/>
      <c r="T90" s="61"/>
      <c r="U90" s="61"/>
      <c r="V90" s="61"/>
      <c r="W90" s="61"/>
      <c r="X90" s="61"/>
      <c r="Y90" s="61"/>
      <c r="Z90" s="61"/>
      <c r="AA90" s="61"/>
      <c r="AB90" s="61"/>
      <c r="AC90" s="8"/>
      <c r="AD90" s="8"/>
      <c r="AE90" s="8"/>
      <c r="AF90" s="8"/>
      <c r="AG90" s="8"/>
      <c r="AH90" s="8"/>
      <c r="AI90" s="8"/>
    </row>
    <row r="91" spans="6:35" s="1" customFormat="1" ht="15.75" customHeight="1">
      <c r="H91" s="285" t="s">
        <v>69</v>
      </c>
      <c r="I91" s="265"/>
      <c r="J91" s="265"/>
      <c r="K91" s="265" t="s">
        <v>71</v>
      </c>
      <c r="L91" s="265"/>
      <c r="M91" s="265"/>
      <c r="N91" s="265"/>
      <c r="O91" s="265"/>
      <c r="P91" s="265"/>
      <c r="Q91" s="265" t="s">
        <v>72</v>
      </c>
      <c r="R91" s="265"/>
      <c r="S91" s="265"/>
      <c r="T91" s="265"/>
      <c r="U91" s="265"/>
      <c r="V91" s="265"/>
      <c r="W91" s="265" t="s">
        <v>73</v>
      </c>
      <c r="X91" s="265"/>
      <c r="Y91" s="265"/>
      <c r="Z91" s="265"/>
      <c r="AA91" s="265"/>
      <c r="AB91" s="266"/>
    </row>
    <row r="92" spans="6:35" s="1" customFormat="1" ht="15.75" customHeight="1">
      <c r="H92" s="281">
        <v>0.5</v>
      </c>
      <c r="I92" s="282"/>
      <c r="J92" s="282"/>
      <c r="K92" s="283">
        <v>91760</v>
      </c>
      <c r="L92" s="283"/>
      <c r="M92" s="283"/>
      <c r="N92" s="283"/>
      <c r="O92" s="283"/>
      <c r="P92" s="283"/>
      <c r="Q92" s="284">
        <v>1</v>
      </c>
      <c r="R92" s="284"/>
      <c r="S92" s="284"/>
      <c r="T92" s="284"/>
      <c r="U92" s="284"/>
      <c r="V92" s="284"/>
      <c r="W92" s="265">
        <f>ROUND(I83*H92*K92*Q92^P83,0)</f>
        <v>64232</v>
      </c>
      <c r="X92" s="265"/>
      <c r="Y92" s="265"/>
      <c r="Z92" s="265"/>
      <c r="AA92" s="265"/>
      <c r="AB92" s="266"/>
    </row>
    <row r="93" spans="6:35" s="1" customFormat="1" ht="15.75" customHeight="1"/>
    <row r="94" spans="6:35" s="1" customFormat="1" ht="15.75" customHeight="1">
      <c r="H94" s="61" t="s">
        <v>181</v>
      </c>
      <c r="I94" s="61"/>
      <c r="J94" s="61"/>
      <c r="K94" s="61"/>
      <c r="L94" s="61"/>
      <c r="M94" s="61"/>
      <c r="N94" s="61"/>
      <c r="O94" s="61"/>
      <c r="P94" s="61"/>
      <c r="Q94" s="61"/>
      <c r="R94" s="61"/>
      <c r="S94" s="61"/>
      <c r="T94" s="61"/>
      <c r="U94" s="61"/>
      <c r="V94" s="61"/>
      <c r="W94" s="61"/>
      <c r="X94" s="61"/>
      <c r="Y94" s="61"/>
      <c r="Z94" s="61"/>
      <c r="AA94" s="61"/>
      <c r="AB94" s="61"/>
    </row>
    <row r="95" spans="6:35" s="1" customFormat="1" ht="15.75" customHeight="1">
      <c r="H95" s="285" t="s">
        <v>69</v>
      </c>
      <c r="I95" s="265"/>
      <c r="J95" s="265"/>
      <c r="K95" s="265" t="s">
        <v>71</v>
      </c>
      <c r="L95" s="265"/>
      <c r="M95" s="265"/>
      <c r="N95" s="265"/>
      <c r="O95" s="265"/>
      <c r="P95" s="265"/>
      <c r="Q95" s="265" t="s">
        <v>72</v>
      </c>
      <c r="R95" s="265"/>
      <c r="S95" s="265"/>
      <c r="T95" s="265"/>
      <c r="U95" s="265"/>
      <c r="V95" s="265"/>
      <c r="W95" s="265" t="s">
        <v>73</v>
      </c>
      <c r="X95" s="265"/>
      <c r="Y95" s="265"/>
      <c r="Z95" s="265"/>
      <c r="AA95" s="265"/>
      <c r="AB95" s="266"/>
    </row>
    <row r="96" spans="6:35" s="1" customFormat="1" ht="15.75" customHeight="1">
      <c r="H96" s="281">
        <v>1</v>
      </c>
      <c r="I96" s="282"/>
      <c r="J96" s="282"/>
      <c r="K96" s="286">
        <f>K92</f>
        <v>91760</v>
      </c>
      <c r="L96" s="286"/>
      <c r="M96" s="286"/>
      <c r="N96" s="286"/>
      <c r="O96" s="286"/>
      <c r="P96" s="286"/>
      <c r="Q96" s="287">
        <f>Q92</f>
        <v>1</v>
      </c>
      <c r="R96" s="287"/>
      <c r="S96" s="287"/>
      <c r="T96" s="287"/>
      <c r="U96" s="287"/>
      <c r="V96" s="287"/>
      <c r="W96" s="265">
        <f>ROUND(I83*H96*K96*Q96^P83,0)</f>
        <v>128464</v>
      </c>
      <c r="X96" s="265"/>
      <c r="Y96" s="265"/>
      <c r="Z96" s="265"/>
      <c r="AA96" s="265"/>
      <c r="AB96" s="266"/>
    </row>
    <row r="97" spans="1:35" s="1" customFormat="1" ht="15.75" customHeight="1">
      <c r="H97" s="77"/>
      <c r="I97" s="77"/>
      <c r="J97" s="77"/>
      <c r="K97" s="76"/>
      <c r="L97" s="76"/>
      <c r="M97" s="76"/>
      <c r="N97" s="76"/>
      <c r="O97" s="76"/>
      <c r="P97" s="76"/>
      <c r="Q97" s="9"/>
      <c r="R97" s="9"/>
      <c r="S97" s="9"/>
      <c r="T97" s="9"/>
      <c r="U97" s="9"/>
      <c r="V97" s="9"/>
      <c r="W97" s="76"/>
      <c r="X97" s="76"/>
      <c r="Y97" s="76"/>
      <c r="Z97" s="76"/>
      <c r="AA97" s="76"/>
      <c r="AB97" s="76"/>
    </row>
    <row r="98" spans="1:35" ht="15.75" customHeight="1">
      <c r="D98" s="1" t="s">
        <v>74</v>
      </c>
      <c r="M98" s="10"/>
    </row>
    <row r="99" spans="1:35" s="1" customFormat="1" ht="15.75" customHeight="1"/>
    <row r="100" spans="1:35" s="1" customFormat="1" ht="15.75" customHeight="1">
      <c r="F100" s="1" t="s">
        <v>182</v>
      </c>
    </row>
    <row r="101" spans="1:35" s="1" customFormat="1" ht="15.75" customHeight="1">
      <c r="F101" s="1" t="s">
        <v>75</v>
      </c>
    </row>
    <row r="102" spans="1:35" s="1" customFormat="1" ht="15.75" customHeight="1"/>
    <row r="103" spans="1:35" s="1" customFormat="1" ht="15.75" customHeight="1">
      <c r="F103" s="181" t="s">
        <v>76</v>
      </c>
      <c r="G103" s="181"/>
      <c r="H103" s="76" t="s">
        <v>27</v>
      </c>
      <c r="I103" s="181">
        <v>0.2</v>
      </c>
      <c r="J103" s="181"/>
      <c r="K103" s="181" t="s">
        <v>63</v>
      </c>
      <c r="L103" s="181"/>
      <c r="M103" s="181" t="s">
        <v>64</v>
      </c>
      <c r="N103" s="181"/>
    </row>
    <row r="104" spans="1:35" s="1" customFormat="1" ht="15.75" customHeight="1"/>
    <row r="105" spans="1:35" s="1" customFormat="1" ht="15.75" customHeight="1">
      <c r="G105" s="1" t="s">
        <v>66</v>
      </c>
      <c r="J105" s="181" t="s">
        <v>76</v>
      </c>
      <c r="K105" s="181"/>
      <c r="L105" s="76" t="s">
        <v>2</v>
      </c>
      <c r="M105" s="1" t="s">
        <v>183</v>
      </c>
    </row>
    <row r="106" spans="1:35" s="1" customFormat="1" ht="15.75" customHeight="1">
      <c r="J106" s="181" t="s">
        <v>63</v>
      </c>
      <c r="K106" s="181"/>
      <c r="L106" s="76" t="s">
        <v>2</v>
      </c>
      <c r="M106" s="1" t="s">
        <v>77</v>
      </c>
    </row>
    <row r="107" spans="1:35" s="1" customFormat="1" ht="15.75" customHeight="1">
      <c r="J107" s="181" t="s">
        <v>64</v>
      </c>
      <c r="K107" s="181"/>
      <c r="L107" s="76" t="s">
        <v>2</v>
      </c>
      <c r="M107" s="1" t="s">
        <v>70</v>
      </c>
    </row>
    <row r="108" spans="1:35" s="1" customFormat="1" ht="15.75" customHeight="1"/>
    <row r="109" spans="1:35" s="1" customFormat="1" ht="15.75" customHeight="1">
      <c r="H109" s="61" t="s">
        <v>474</v>
      </c>
      <c r="I109" s="62"/>
      <c r="J109" s="62"/>
      <c r="K109" s="62"/>
      <c r="L109" s="62"/>
      <c r="M109" s="62"/>
      <c r="N109" s="62"/>
      <c r="O109" s="62"/>
      <c r="P109" s="62"/>
      <c r="Q109" s="62"/>
      <c r="R109" s="62"/>
      <c r="S109" s="62"/>
      <c r="T109" s="62"/>
      <c r="U109" s="85"/>
      <c r="V109" s="62"/>
      <c r="W109" s="62"/>
      <c r="X109" s="62"/>
      <c r="Y109" s="62"/>
      <c r="Z109" s="85"/>
      <c r="AA109" s="85"/>
      <c r="AB109" s="85"/>
      <c r="AC109" s="62"/>
      <c r="AD109" s="62"/>
      <c r="AE109" s="62"/>
      <c r="AF109" s="62"/>
      <c r="AG109" s="62"/>
      <c r="AH109" s="62"/>
      <c r="AI109" s="8"/>
    </row>
    <row r="110" spans="1:35" s="1" customFormat="1" ht="15.75" customHeight="1">
      <c r="H110" s="264" t="s">
        <v>78</v>
      </c>
      <c r="I110" s="265"/>
      <c r="J110" s="266"/>
      <c r="K110" s="270" t="s">
        <v>71</v>
      </c>
      <c r="L110" s="265"/>
      <c r="M110" s="265"/>
      <c r="N110" s="265"/>
      <c r="O110" s="265"/>
      <c r="P110" s="265"/>
      <c r="Q110" s="292" t="s">
        <v>472</v>
      </c>
      <c r="R110" s="293"/>
      <c r="S110" s="293"/>
      <c r="T110" s="293"/>
      <c r="U110" s="293"/>
      <c r="V110" s="293"/>
      <c r="W110" s="293"/>
      <c r="X110" s="293"/>
      <c r="Y110" s="293"/>
      <c r="Z110" s="292" t="s">
        <v>473</v>
      </c>
      <c r="AA110" s="293"/>
      <c r="AB110" s="293"/>
      <c r="AC110" s="293"/>
      <c r="AD110" s="293"/>
      <c r="AE110" s="293"/>
      <c r="AF110" s="293"/>
      <c r="AG110" s="293"/>
      <c r="AH110" s="293"/>
    </row>
    <row r="111" spans="1:35" s="1" customFormat="1" ht="15.75" customHeight="1">
      <c r="H111" s="267"/>
      <c r="I111" s="268"/>
      <c r="J111" s="269"/>
      <c r="K111" s="271"/>
      <c r="L111" s="268"/>
      <c r="M111" s="268"/>
      <c r="N111" s="268"/>
      <c r="O111" s="268"/>
      <c r="P111" s="268"/>
      <c r="Q111" s="290" t="s">
        <v>69</v>
      </c>
      <c r="R111" s="291"/>
      <c r="S111" s="291"/>
      <c r="T111" s="291" t="s">
        <v>191</v>
      </c>
      <c r="U111" s="291"/>
      <c r="V111" s="291"/>
      <c r="W111" s="291"/>
      <c r="X111" s="291"/>
      <c r="Y111" s="294"/>
      <c r="Z111" s="290" t="s">
        <v>69</v>
      </c>
      <c r="AA111" s="291"/>
      <c r="AB111" s="291"/>
      <c r="AC111" s="291" t="s">
        <v>191</v>
      </c>
      <c r="AD111" s="291"/>
      <c r="AE111" s="291"/>
      <c r="AF111" s="291"/>
      <c r="AG111" s="291"/>
      <c r="AH111" s="294"/>
    </row>
    <row r="112" spans="1:35" s="1" customFormat="1" ht="15.75" customHeight="1">
      <c r="A112" s="73" t="str">
        <f>IF(K112="","×","")</f>
        <v/>
      </c>
      <c r="H112" s="272">
        <v>3</v>
      </c>
      <c r="I112" s="260"/>
      <c r="J112" s="273"/>
      <c r="K112" s="259">
        <v>13930</v>
      </c>
      <c r="L112" s="260"/>
      <c r="M112" s="260"/>
      <c r="N112" s="260"/>
      <c r="O112" s="260"/>
      <c r="P112" s="260"/>
      <c r="Q112" s="263">
        <f>H92</f>
        <v>0.5</v>
      </c>
      <c r="R112" s="184"/>
      <c r="S112" s="184"/>
      <c r="T112" s="261">
        <f t="shared" ref="T112:T127" si="0">ROUND($I$103*$Q$112*K112,0)</f>
        <v>1393</v>
      </c>
      <c r="U112" s="261"/>
      <c r="V112" s="261"/>
      <c r="W112" s="261"/>
      <c r="X112" s="261"/>
      <c r="Y112" s="262"/>
      <c r="Z112" s="263">
        <f>H96</f>
        <v>1</v>
      </c>
      <c r="AA112" s="184"/>
      <c r="AB112" s="184"/>
      <c r="AC112" s="261">
        <f>ROUND($I$103*$Z$112*K112,0)</f>
        <v>2786</v>
      </c>
      <c r="AD112" s="261"/>
      <c r="AE112" s="261"/>
      <c r="AF112" s="261"/>
      <c r="AG112" s="261"/>
      <c r="AH112" s="262"/>
    </row>
    <row r="113" spans="1:34" s="1" customFormat="1" ht="15.75" customHeight="1">
      <c r="A113" s="73" t="str">
        <f t="shared" ref="A113:A127" si="1">IF(K113="","×","")</f>
        <v/>
      </c>
      <c r="H113" s="278">
        <v>4</v>
      </c>
      <c r="I113" s="275"/>
      <c r="J113" s="279"/>
      <c r="K113" s="274">
        <v>28620</v>
      </c>
      <c r="L113" s="275"/>
      <c r="M113" s="275"/>
      <c r="N113" s="275"/>
      <c r="O113" s="275"/>
      <c r="P113" s="275"/>
      <c r="Q113" s="280">
        <f>Q112</f>
        <v>0.5</v>
      </c>
      <c r="R113" s="172"/>
      <c r="S113" s="172"/>
      <c r="T113" s="276">
        <f t="shared" si="0"/>
        <v>2862</v>
      </c>
      <c r="U113" s="276"/>
      <c r="V113" s="276"/>
      <c r="W113" s="276"/>
      <c r="X113" s="276"/>
      <c r="Y113" s="277"/>
      <c r="Z113" s="280">
        <f>Z112</f>
        <v>1</v>
      </c>
      <c r="AA113" s="172"/>
      <c r="AB113" s="172"/>
      <c r="AC113" s="276">
        <f t="shared" ref="AC113:AC127" si="2">ROUND($I$103*$Z$112*K113,0)</f>
        <v>5724</v>
      </c>
      <c r="AD113" s="276"/>
      <c r="AE113" s="276"/>
      <c r="AF113" s="276"/>
      <c r="AG113" s="276"/>
      <c r="AH113" s="277"/>
    </row>
    <row r="114" spans="1:34" s="1" customFormat="1" ht="15.75" customHeight="1">
      <c r="A114" s="73" t="str">
        <f t="shared" si="1"/>
        <v/>
      </c>
      <c r="H114" s="278">
        <v>5</v>
      </c>
      <c r="I114" s="275"/>
      <c r="J114" s="279"/>
      <c r="K114" s="274">
        <v>32570</v>
      </c>
      <c r="L114" s="275"/>
      <c r="M114" s="275"/>
      <c r="N114" s="275"/>
      <c r="O114" s="275"/>
      <c r="P114" s="275"/>
      <c r="Q114" s="280">
        <f t="shared" ref="Q114:Q120" si="3">Q113</f>
        <v>0.5</v>
      </c>
      <c r="R114" s="172"/>
      <c r="S114" s="172"/>
      <c r="T114" s="276">
        <f t="shared" si="0"/>
        <v>3257</v>
      </c>
      <c r="U114" s="276"/>
      <c r="V114" s="276"/>
      <c r="W114" s="276"/>
      <c r="X114" s="276"/>
      <c r="Y114" s="277"/>
      <c r="Z114" s="280">
        <f t="shared" ref="Z114:Z127" si="4">Z113</f>
        <v>1</v>
      </c>
      <c r="AA114" s="172"/>
      <c r="AB114" s="172"/>
      <c r="AC114" s="276">
        <f t="shared" si="2"/>
        <v>6514</v>
      </c>
      <c r="AD114" s="276"/>
      <c r="AE114" s="276"/>
      <c r="AF114" s="276"/>
      <c r="AG114" s="276"/>
      <c r="AH114" s="277"/>
    </row>
    <row r="115" spans="1:34" s="1" customFormat="1" ht="15.75" customHeight="1">
      <c r="A115" s="73" t="str">
        <f t="shared" si="1"/>
        <v/>
      </c>
      <c r="H115" s="278">
        <v>6</v>
      </c>
      <c r="I115" s="275"/>
      <c r="J115" s="279"/>
      <c r="K115" s="274">
        <v>46440</v>
      </c>
      <c r="L115" s="275"/>
      <c r="M115" s="275"/>
      <c r="N115" s="275"/>
      <c r="O115" s="275"/>
      <c r="P115" s="275"/>
      <c r="Q115" s="280">
        <f t="shared" si="3"/>
        <v>0.5</v>
      </c>
      <c r="R115" s="172"/>
      <c r="S115" s="172"/>
      <c r="T115" s="276">
        <f t="shared" si="0"/>
        <v>4644</v>
      </c>
      <c r="U115" s="276"/>
      <c r="V115" s="276"/>
      <c r="W115" s="276"/>
      <c r="X115" s="276"/>
      <c r="Y115" s="277"/>
      <c r="Z115" s="280">
        <f t="shared" si="4"/>
        <v>1</v>
      </c>
      <c r="AA115" s="172"/>
      <c r="AB115" s="172"/>
      <c r="AC115" s="276">
        <f t="shared" si="2"/>
        <v>9288</v>
      </c>
      <c r="AD115" s="276"/>
      <c r="AE115" s="276"/>
      <c r="AF115" s="276"/>
      <c r="AG115" s="276"/>
      <c r="AH115" s="277"/>
    </row>
    <row r="116" spans="1:34" s="1" customFormat="1" ht="15.75" customHeight="1">
      <c r="A116" s="73" t="str">
        <f t="shared" si="1"/>
        <v/>
      </c>
      <c r="H116" s="278">
        <v>7</v>
      </c>
      <c r="I116" s="275"/>
      <c r="J116" s="279"/>
      <c r="K116" s="274">
        <v>91760</v>
      </c>
      <c r="L116" s="275"/>
      <c r="M116" s="275"/>
      <c r="N116" s="275"/>
      <c r="O116" s="275"/>
      <c r="P116" s="275"/>
      <c r="Q116" s="280">
        <f t="shared" si="3"/>
        <v>0.5</v>
      </c>
      <c r="R116" s="172"/>
      <c r="S116" s="172"/>
      <c r="T116" s="276">
        <f t="shared" si="0"/>
        <v>9176</v>
      </c>
      <c r="U116" s="276"/>
      <c r="V116" s="276"/>
      <c r="W116" s="276"/>
      <c r="X116" s="276"/>
      <c r="Y116" s="277"/>
      <c r="Z116" s="280">
        <f t="shared" si="4"/>
        <v>1</v>
      </c>
      <c r="AA116" s="172"/>
      <c r="AB116" s="172"/>
      <c r="AC116" s="276">
        <f t="shared" si="2"/>
        <v>18352</v>
      </c>
      <c r="AD116" s="276"/>
      <c r="AE116" s="276"/>
      <c r="AF116" s="276"/>
      <c r="AG116" s="276"/>
      <c r="AH116" s="277"/>
    </row>
    <row r="117" spans="1:34" s="1" customFormat="1" ht="15.75" hidden="1" customHeight="1">
      <c r="A117" s="73" t="str">
        <f t="shared" si="1"/>
        <v>×</v>
      </c>
      <c r="H117" s="278"/>
      <c r="I117" s="275"/>
      <c r="J117" s="279"/>
      <c r="K117" s="274"/>
      <c r="L117" s="275"/>
      <c r="M117" s="275"/>
      <c r="N117" s="275"/>
      <c r="O117" s="275"/>
      <c r="P117" s="275"/>
      <c r="Q117" s="280">
        <f t="shared" si="3"/>
        <v>0.5</v>
      </c>
      <c r="R117" s="172"/>
      <c r="S117" s="172"/>
      <c r="T117" s="276">
        <f t="shared" si="0"/>
        <v>0</v>
      </c>
      <c r="U117" s="276"/>
      <c r="V117" s="276"/>
      <c r="W117" s="276"/>
      <c r="X117" s="276"/>
      <c r="Y117" s="277"/>
      <c r="Z117" s="280">
        <f t="shared" si="4"/>
        <v>1</v>
      </c>
      <c r="AA117" s="172"/>
      <c r="AB117" s="172"/>
      <c r="AC117" s="276">
        <f t="shared" si="2"/>
        <v>0</v>
      </c>
      <c r="AD117" s="276"/>
      <c r="AE117" s="276"/>
      <c r="AF117" s="276"/>
      <c r="AG117" s="276"/>
      <c r="AH117" s="277"/>
    </row>
    <row r="118" spans="1:34" s="1" customFormat="1" ht="15.75" hidden="1" customHeight="1">
      <c r="A118" s="73" t="str">
        <f t="shared" si="1"/>
        <v>×</v>
      </c>
      <c r="H118" s="278"/>
      <c r="I118" s="275"/>
      <c r="J118" s="279"/>
      <c r="K118" s="274"/>
      <c r="L118" s="275"/>
      <c r="M118" s="275"/>
      <c r="N118" s="275"/>
      <c r="O118" s="275"/>
      <c r="P118" s="275"/>
      <c r="Q118" s="280">
        <f t="shared" si="3"/>
        <v>0.5</v>
      </c>
      <c r="R118" s="172"/>
      <c r="S118" s="172"/>
      <c r="T118" s="276">
        <f t="shared" si="0"/>
        <v>0</v>
      </c>
      <c r="U118" s="276"/>
      <c r="V118" s="276"/>
      <c r="W118" s="276"/>
      <c r="X118" s="276"/>
      <c r="Y118" s="277"/>
      <c r="Z118" s="280">
        <f t="shared" si="4"/>
        <v>1</v>
      </c>
      <c r="AA118" s="172"/>
      <c r="AB118" s="172"/>
      <c r="AC118" s="276">
        <f t="shared" si="2"/>
        <v>0</v>
      </c>
      <c r="AD118" s="276"/>
      <c r="AE118" s="276"/>
      <c r="AF118" s="276"/>
      <c r="AG118" s="276"/>
      <c r="AH118" s="277"/>
    </row>
    <row r="119" spans="1:34" s="1" customFormat="1" ht="15.75" hidden="1" customHeight="1">
      <c r="A119" s="73" t="str">
        <f t="shared" si="1"/>
        <v>×</v>
      </c>
      <c r="H119" s="278"/>
      <c r="I119" s="275"/>
      <c r="J119" s="279"/>
      <c r="K119" s="274"/>
      <c r="L119" s="275"/>
      <c r="M119" s="275"/>
      <c r="N119" s="275"/>
      <c r="O119" s="275"/>
      <c r="P119" s="275"/>
      <c r="Q119" s="280">
        <f t="shared" si="3"/>
        <v>0.5</v>
      </c>
      <c r="R119" s="172"/>
      <c r="S119" s="172"/>
      <c r="T119" s="276">
        <f t="shared" si="0"/>
        <v>0</v>
      </c>
      <c r="U119" s="276"/>
      <c r="V119" s="276"/>
      <c r="W119" s="276"/>
      <c r="X119" s="276"/>
      <c r="Y119" s="277"/>
      <c r="Z119" s="280">
        <f t="shared" si="4"/>
        <v>1</v>
      </c>
      <c r="AA119" s="172"/>
      <c r="AB119" s="172"/>
      <c r="AC119" s="276">
        <f t="shared" si="2"/>
        <v>0</v>
      </c>
      <c r="AD119" s="276"/>
      <c r="AE119" s="276"/>
      <c r="AF119" s="276"/>
      <c r="AG119" s="276"/>
      <c r="AH119" s="277"/>
    </row>
    <row r="120" spans="1:34" s="1" customFormat="1" ht="15.75" hidden="1" customHeight="1">
      <c r="A120" s="73" t="str">
        <f t="shared" si="1"/>
        <v>×</v>
      </c>
      <c r="H120" s="278"/>
      <c r="I120" s="275"/>
      <c r="J120" s="279"/>
      <c r="K120" s="274"/>
      <c r="L120" s="275"/>
      <c r="M120" s="275"/>
      <c r="N120" s="275"/>
      <c r="O120" s="275"/>
      <c r="P120" s="275"/>
      <c r="Q120" s="280">
        <f t="shared" si="3"/>
        <v>0.5</v>
      </c>
      <c r="R120" s="172"/>
      <c r="S120" s="172"/>
      <c r="T120" s="276">
        <f t="shared" si="0"/>
        <v>0</v>
      </c>
      <c r="U120" s="276"/>
      <c r="V120" s="276"/>
      <c r="W120" s="276"/>
      <c r="X120" s="276"/>
      <c r="Y120" s="277"/>
      <c r="Z120" s="280">
        <f t="shared" si="4"/>
        <v>1</v>
      </c>
      <c r="AA120" s="172"/>
      <c r="AB120" s="172"/>
      <c r="AC120" s="276">
        <f t="shared" si="2"/>
        <v>0</v>
      </c>
      <c r="AD120" s="276"/>
      <c r="AE120" s="276"/>
      <c r="AF120" s="276"/>
      <c r="AG120" s="276"/>
      <c r="AH120" s="277"/>
    </row>
    <row r="121" spans="1:34" s="1" customFormat="1" ht="15.75" hidden="1" customHeight="1">
      <c r="A121" s="73" t="str">
        <f t="shared" si="1"/>
        <v>×</v>
      </c>
      <c r="H121" s="278"/>
      <c r="I121" s="275"/>
      <c r="J121" s="279"/>
      <c r="K121" s="274"/>
      <c r="L121" s="275"/>
      <c r="M121" s="275"/>
      <c r="N121" s="275"/>
      <c r="O121" s="275"/>
      <c r="P121" s="275"/>
      <c r="Q121" s="280">
        <f t="shared" ref="Q121:Q125" si="5">Q120</f>
        <v>0.5</v>
      </c>
      <c r="R121" s="172"/>
      <c r="S121" s="172"/>
      <c r="T121" s="276">
        <f t="shared" si="0"/>
        <v>0</v>
      </c>
      <c r="U121" s="276"/>
      <c r="V121" s="276"/>
      <c r="W121" s="276"/>
      <c r="X121" s="276"/>
      <c r="Y121" s="277"/>
      <c r="Z121" s="280">
        <f t="shared" si="4"/>
        <v>1</v>
      </c>
      <c r="AA121" s="172"/>
      <c r="AB121" s="172"/>
      <c r="AC121" s="276">
        <f t="shared" si="2"/>
        <v>0</v>
      </c>
      <c r="AD121" s="276"/>
      <c r="AE121" s="276"/>
      <c r="AF121" s="276"/>
      <c r="AG121" s="276"/>
      <c r="AH121" s="277"/>
    </row>
    <row r="122" spans="1:34" s="1" customFormat="1" ht="15.75" hidden="1" customHeight="1">
      <c r="A122" s="73" t="str">
        <f t="shared" si="1"/>
        <v>×</v>
      </c>
      <c r="H122" s="278"/>
      <c r="I122" s="275"/>
      <c r="J122" s="279"/>
      <c r="K122" s="274"/>
      <c r="L122" s="275"/>
      <c r="M122" s="275"/>
      <c r="N122" s="275"/>
      <c r="O122" s="275"/>
      <c r="P122" s="275"/>
      <c r="Q122" s="280">
        <f t="shared" si="5"/>
        <v>0.5</v>
      </c>
      <c r="R122" s="172"/>
      <c r="S122" s="172"/>
      <c r="T122" s="276">
        <f t="shared" si="0"/>
        <v>0</v>
      </c>
      <c r="U122" s="276"/>
      <c r="V122" s="276"/>
      <c r="W122" s="276"/>
      <c r="X122" s="276"/>
      <c r="Y122" s="277"/>
      <c r="Z122" s="280">
        <f t="shared" si="4"/>
        <v>1</v>
      </c>
      <c r="AA122" s="172"/>
      <c r="AB122" s="172"/>
      <c r="AC122" s="276">
        <f t="shared" si="2"/>
        <v>0</v>
      </c>
      <c r="AD122" s="276"/>
      <c r="AE122" s="276"/>
      <c r="AF122" s="276"/>
      <c r="AG122" s="276"/>
      <c r="AH122" s="277"/>
    </row>
    <row r="123" spans="1:34" s="1" customFormat="1" ht="15.75" hidden="1" customHeight="1">
      <c r="A123" s="73" t="str">
        <f t="shared" si="1"/>
        <v>×</v>
      </c>
      <c r="H123" s="278"/>
      <c r="I123" s="275"/>
      <c r="J123" s="279"/>
      <c r="K123" s="274"/>
      <c r="L123" s="275"/>
      <c r="M123" s="275"/>
      <c r="N123" s="275"/>
      <c r="O123" s="275"/>
      <c r="P123" s="275"/>
      <c r="Q123" s="280">
        <f t="shared" si="5"/>
        <v>0.5</v>
      </c>
      <c r="R123" s="172"/>
      <c r="S123" s="172"/>
      <c r="T123" s="276">
        <f t="shared" si="0"/>
        <v>0</v>
      </c>
      <c r="U123" s="276"/>
      <c r="V123" s="276"/>
      <c r="W123" s="276"/>
      <c r="X123" s="276"/>
      <c r="Y123" s="277"/>
      <c r="Z123" s="280">
        <f t="shared" si="4"/>
        <v>1</v>
      </c>
      <c r="AA123" s="172"/>
      <c r="AB123" s="172"/>
      <c r="AC123" s="276">
        <f t="shared" si="2"/>
        <v>0</v>
      </c>
      <c r="AD123" s="276"/>
      <c r="AE123" s="276"/>
      <c r="AF123" s="276"/>
      <c r="AG123" s="276"/>
      <c r="AH123" s="277"/>
    </row>
    <row r="124" spans="1:34" s="1" customFormat="1" ht="15.75" hidden="1" customHeight="1">
      <c r="A124" s="73" t="str">
        <f t="shared" si="1"/>
        <v>×</v>
      </c>
      <c r="H124" s="278"/>
      <c r="I124" s="275"/>
      <c r="J124" s="279"/>
      <c r="K124" s="274"/>
      <c r="L124" s="275"/>
      <c r="M124" s="275"/>
      <c r="N124" s="275"/>
      <c r="O124" s="275"/>
      <c r="P124" s="275"/>
      <c r="Q124" s="280">
        <f t="shared" si="5"/>
        <v>0.5</v>
      </c>
      <c r="R124" s="172"/>
      <c r="S124" s="172"/>
      <c r="T124" s="276">
        <f t="shared" si="0"/>
        <v>0</v>
      </c>
      <c r="U124" s="276"/>
      <c r="V124" s="276"/>
      <c r="W124" s="276"/>
      <c r="X124" s="276"/>
      <c r="Y124" s="277"/>
      <c r="Z124" s="280">
        <f t="shared" si="4"/>
        <v>1</v>
      </c>
      <c r="AA124" s="172"/>
      <c r="AB124" s="172"/>
      <c r="AC124" s="276">
        <f t="shared" si="2"/>
        <v>0</v>
      </c>
      <c r="AD124" s="276"/>
      <c r="AE124" s="276"/>
      <c r="AF124" s="276"/>
      <c r="AG124" s="276"/>
      <c r="AH124" s="277"/>
    </row>
    <row r="125" spans="1:34" s="1" customFormat="1" ht="15.75" hidden="1" customHeight="1">
      <c r="A125" s="73" t="str">
        <f t="shared" si="1"/>
        <v>×</v>
      </c>
      <c r="H125" s="278"/>
      <c r="I125" s="275"/>
      <c r="J125" s="279"/>
      <c r="K125" s="274"/>
      <c r="L125" s="275"/>
      <c r="M125" s="275"/>
      <c r="N125" s="275"/>
      <c r="O125" s="275"/>
      <c r="P125" s="275"/>
      <c r="Q125" s="280">
        <f t="shared" si="5"/>
        <v>0.5</v>
      </c>
      <c r="R125" s="172"/>
      <c r="S125" s="172"/>
      <c r="T125" s="276">
        <f t="shared" si="0"/>
        <v>0</v>
      </c>
      <c r="U125" s="276"/>
      <c r="V125" s="276"/>
      <c r="W125" s="276"/>
      <c r="X125" s="276"/>
      <c r="Y125" s="277"/>
      <c r="Z125" s="280">
        <f t="shared" si="4"/>
        <v>1</v>
      </c>
      <c r="AA125" s="172"/>
      <c r="AB125" s="172"/>
      <c r="AC125" s="276">
        <f t="shared" si="2"/>
        <v>0</v>
      </c>
      <c r="AD125" s="276"/>
      <c r="AE125" s="276"/>
      <c r="AF125" s="276"/>
      <c r="AG125" s="276"/>
      <c r="AH125" s="277"/>
    </row>
    <row r="126" spans="1:34" s="1" customFormat="1" ht="15.75" hidden="1" customHeight="1">
      <c r="A126" s="73" t="str">
        <f t="shared" si="1"/>
        <v>×</v>
      </c>
      <c r="H126" s="278"/>
      <c r="I126" s="275"/>
      <c r="J126" s="279"/>
      <c r="K126" s="274"/>
      <c r="L126" s="275"/>
      <c r="M126" s="275"/>
      <c r="N126" s="275"/>
      <c r="O126" s="275"/>
      <c r="P126" s="275"/>
      <c r="Q126" s="280">
        <f t="shared" ref="Q126:Q127" si="6">Q125</f>
        <v>0.5</v>
      </c>
      <c r="R126" s="172"/>
      <c r="S126" s="172"/>
      <c r="T126" s="276">
        <f t="shared" si="0"/>
        <v>0</v>
      </c>
      <c r="U126" s="276"/>
      <c r="V126" s="276"/>
      <c r="W126" s="276"/>
      <c r="X126" s="276"/>
      <c r="Y126" s="277"/>
      <c r="Z126" s="280">
        <f t="shared" si="4"/>
        <v>1</v>
      </c>
      <c r="AA126" s="172"/>
      <c r="AB126" s="172"/>
      <c r="AC126" s="276">
        <f t="shared" si="2"/>
        <v>0</v>
      </c>
      <c r="AD126" s="276"/>
      <c r="AE126" s="276"/>
      <c r="AF126" s="276"/>
      <c r="AG126" s="276"/>
      <c r="AH126" s="277"/>
    </row>
    <row r="127" spans="1:34" s="1" customFormat="1" ht="15.75" hidden="1" customHeight="1">
      <c r="A127" s="73" t="str">
        <f t="shared" si="1"/>
        <v>×</v>
      </c>
      <c r="H127" s="367"/>
      <c r="I127" s="368"/>
      <c r="J127" s="369"/>
      <c r="K127" s="370"/>
      <c r="L127" s="368"/>
      <c r="M127" s="368"/>
      <c r="N127" s="368"/>
      <c r="O127" s="368"/>
      <c r="P127" s="368"/>
      <c r="Q127" s="366">
        <f t="shared" si="6"/>
        <v>0.5</v>
      </c>
      <c r="R127" s="179"/>
      <c r="S127" s="179"/>
      <c r="T127" s="303">
        <f t="shared" si="0"/>
        <v>0</v>
      </c>
      <c r="U127" s="303"/>
      <c r="V127" s="303"/>
      <c r="W127" s="303"/>
      <c r="X127" s="303"/>
      <c r="Y127" s="304"/>
      <c r="Z127" s="366">
        <f t="shared" si="4"/>
        <v>1</v>
      </c>
      <c r="AA127" s="179"/>
      <c r="AB127" s="179"/>
      <c r="AC127" s="303">
        <f t="shared" si="2"/>
        <v>0</v>
      </c>
      <c r="AD127" s="303"/>
      <c r="AE127" s="303"/>
      <c r="AF127" s="303"/>
      <c r="AG127" s="303"/>
      <c r="AH127" s="304"/>
    </row>
    <row r="128" spans="1:34" s="1" customFormat="1" ht="15.75" customHeight="1">
      <c r="H128" s="74"/>
      <c r="I128" s="74"/>
      <c r="J128" s="74"/>
      <c r="K128" s="75"/>
      <c r="L128" s="75"/>
      <c r="M128" s="75"/>
      <c r="N128" s="74"/>
      <c r="O128" s="74"/>
      <c r="P128" s="74"/>
      <c r="Q128" s="74"/>
      <c r="R128" s="74"/>
      <c r="S128" s="74"/>
      <c r="T128" s="74"/>
      <c r="U128" s="74"/>
      <c r="V128" s="74"/>
      <c r="W128" s="74"/>
      <c r="X128" s="74"/>
      <c r="Y128" s="74"/>
      <c r="Z128" s="86"/>
      <c r="AA128" s="86"/>
      <c r="AB128" s="86"/>
      <c r="AC128" s="86"/>
      <c r="AD128" s="86"/>
      <c r="AE128" s="86"/>
      <c r="AF128" s="86"/>
      <c r="AG128" s="86"/>
      <c r="AH128" s="86"/>
    </row>
    <row r="129" spans="4:17" s="1" customFormat="1" ht="15.75" customHeight="1"/>
    <row r="130" spans="4:17" s="1" customFormat="1" ht="15.75" customHeight="1"/>
    <row r="131" spans="4:17" s="1" customFormat="1" ht="15.75" customHeight="1"/>
    <row r="132" spans="4:17" ht="15.75" customHeight="1">
      <c r="D132" s="1" t="s">
        <v>80</v>
      </c>
      <c r="M132" s="10"/>
    </row>
    <row r="133" spans="4:17" s="1" customFormat="1" ht="15.75" customHeight="1"/>
    <row r="134" spans="4:17" s="1" customFormat="1" ht="15.75" customHeight="1">
      <c r="E134" s="1" t="s">
        <v>81</v>
      </c>
      <c r="F134" s="1" t="s">
        <v>82</v>
      </c>
    </row>
    <row r="135" spans="4:17" s="1" customFormat="1" ht="15.75" customHeight="1"/>
    <row r="136" spans="4:17" s="1" customFormat="1" ht="15.75" customHeight="1">
      <c r="F136" s="1" t="s">
        <v>184</v>
      </c>
    </row>
    <row r="137" spans="4:17" s="1" customFormat="1" ht="15.75" customHeight="1">
      <c r="F137" s="1" t="s">
        <v>83</v>
      </c>
    </row>
    <row r="138" spans="4:17" s="1" customFormat="1" ht="15.75" customHeight="1"/>
    <row r="139" spans="4:17" s="1" customFormat="1" ht="15.75" customHeight="1">
      <c r="F139" s="1" t="s">
        <v>84</v>
      </c>
    </row>
    <row r="140" spans="4:17" s="1" customFormat="1" ht="15.75" customHeight="1">
      <c r="F140" s="181" t="s">
        <v>85</v>
      </c>
      <c r="G140" s="181"/>
      <c r="H140" s="76" t="s">
        <v>27</v>
      </c>
      <c r="I140" s="181">
        <v>1.8</v>
      </c>
      <c r="J140" s="181"/>
      <c r="K140" s="181" t="s">
        <v>63</v>
      </c>
      <c r="L140" s="181"/>
      <c r="M140" s="181" t="s">
        <v>64</v>
      </c>
      <c r="N140" s="181"/>
      <c r="O140" s="76" t="s">
        <v>65</v>
      </c>
      <c r="P140" s="246">
        <v>-0.75</v>
      </c>
      <c r="Q140" s="246"/>
    </row>
    <row r="141" spans="4:17" s="1" customFormat="1" ht="15.75" customHeight="1"/>
    <row r="142" spans="4:17" s="1" customFormat="1" ht="15.75" customHeight="1">
      <c r="F142" s="1" t="s">
        <v>86</v>
      </c>
    </row>
    <row r="143" spans="4:17" s="1" customFormat="1" ht="15.75" customHeight="1">
      <c r="F143" s="181" t="s">
        <v>85</v>
      </c>
      <c r="G143" s="181"/>
      <c r="H143" s="76" t="s">
        <v>27</v>
      </c>
      <c r="I143" s="181">
        <v>3.6</v>
      </c>
      <c r="J143" s="181"/>
      <c r="K143" s="181" t="s">
        <v>63</v>
      </c>
      <c r="L143" s="181"/>
      <c r="M143" s="181" t="s">
        <v>64</v>
      </c>
      <c r="N143" s="181"/>
      <c r="O143" s="76" t="s">
        <v>65</v>
      </c>
      <c r="P143" s="246">
        <v>-0.75</v>
      </c>
      <c r="Q143" s="246"/>
    </row>
    <row r="144" spans="4:17" s="1" customFormat="1" ht="15.75" customHeight="1"/>
    <row r="145" spans="1:35" s="1" customFormat="1" ht="15.75" customHeight="1">
      <c r="G145" s="1" t="s">
        <v>66</v>
      </c>
      <c r="J145" s="181" t="s">
        <v>85</v>
      </c>
      <c r="K145" s="181"/>
      <c r="L145" s="76" t="s">
        <v>2</v>
      </c>
      <c r="M145" s="1" t="s">
        <v>87</v>
      </c>
    </row>
    <row r="146" spans="1:35" s="1" customFormat="1" ht="15.75" customHeight="1">
      <c r="J146" s="181" t="s">
        <v>63</v>
      </c>
      <c r="K146" s="181"/>
      <c r="L146" s="76" t="s">
        <v>2</v>
      </c>
      <c r="M146" s="1" t="s">
        <v>77</v>
      </c>
    </row>
    <row r="147" spans="1:35" s="1" customFormat="1" ht="15.75" customHeight="1">
      <c r="J147" s="181" t="s">
        <v>64</v>
      </c>
      <c r="K147" s="181"/>
      <c r="L147" s="76" t="s">
        <v>2</v>
      </c>
      <c r="M147" s="1" t="s">
        <v>70</v>
      </c>
    </row>
    <row r="148" spans="1:35" s="1" customFormat="1" ht="15.75" customHeight="1">
      <c r="J148" s="181" t="s">
        <v>65</v>
      </c>
      <c r="K148" s="181"/>
      <c r="L148" s="76" t="s">
        <v>2</v>
      </c>
      <c r="M148" s="1" t="s">
        <v>481</v>
      </c>
      <c r="R148" s="2" t="s">
        <v>127</v>
      </c>
      <c r="S148" s="76" t="s">
        <v>27</v>
      </c>
      <c r="T148" s="212">
        <f>Q92</f>
        <v>1</v>
      </c>
      <c r="U148" s="212"/>
      <c r="V148" s="212"/>
      <c r="W148" s="1" t="s">
        <v>128</v>
      </c>
    </row>
    <row r="149" spans="1:35" s="1" customFormat="1" ht="15.75" customHeight="1">
      <c r="J149" s="76"/>
      <c r="K149" s="76"/>
      <c r="L149" s="76"/>
    </row>
    <row r="150" spans="1:35" s="1" customFormat="1" ht="15.75" customHeight="1">
      <c r="G150" s="61" t="s">
        <v>475</v>
      </c>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c r="AE150" s="85"/>
      <c r="AF150" s="85"/>
      <c r="AG150" s="85"/>
      <c r="AH150" s="85"/>
      <c r="AI150" s="85"/>
    </row>
    <row r="151" spans="1:35" s="1" customFormat="1" ht="15.75" customHeight="1">
      <c r="G151" s="185" t="s">
        <v>78</v>
      </c>
      <c r="H151" s="146"/>
      <c r="I151" s="221"/>
      <c r="J151" s="146" t="s">
        <v>486</v>
      </c>
      <c r="K151" s="147"/>
      <c r="L151" s="147"/>
      <c r="M151" s="313"/>
      <c r="N151" s="213" t="s">
        <v>472</v>
      </c>
      <c r="O151" s="147"/>
      <c r="P151" s="147"/>
      <c r="Q151" s="147"/>
      <c r="R151" s="147"/>
      <c r="S151" s="147"/>
      <c r="T151" s="214"/>
      <c r="U151" s="350" t="s">
        <v>473</v>
      </c>
      <c r="V151" s="147"/>
      <c r="W151" s="147"/>
      <c r="X151" s="147"/>
      <c r="Y151" s="147"/>
      <c r="Z151" s="147"/>
      <c r="AA151" s="147"/>
      <c r="AB151" s="147"/>
      <c r="AC151" s="147"/>
      <c r="AD151" s="147"/>
      <c r="AE151" s="147"/>
      <c r="AF151" s="147"/>
      <c r="AG151" s="147"/>
      <c r="AH151" s="147"/>
      <c r="AI151" s="214"/>
    </row>
    <row r="152" spans="1:35" s="1" customFormat="1" ht="15.75" customHeight="1">
      <c r="G152" s="316"/>
      <c r="H152" s="300"/>
      <c r="I152" s="372"/>
      <c r="J152" s="169"/>
      <c r="K152" s="169"/>
      <c r="L152" s="169"/>
      <c r="M152" s="314"/>
      <c r="N152" s="357" t="s">
        <v>69</v>
      </c>
      <c r="O152" s="169"/>
      <c r="P152" s="169"/>
      <c r="Q152" s="300" t="s">
        <v>487</v>
      </c>
      <c r="R152" s="169"/>
      <c r="S152" s="169"/>
      <c r="T152" s="301"/>
      <c r="U152" s="371" t="s">
        <v>69</v>
      </c>
      <c r="V152" s="169"/>
      <c r="W152" s="169"/>
      <c r="X152" s="300" t="s">
        <v>88</v>
      </c>
      <c r="Y152" s="169"/>
      <c r="Z152" s="169"/>
      <c r="AA152" s="169"/>
      <c r="AB152" s="169"/>
      <c r="AC152" s="169"/>
      <c r="AD152" s="300" t="s">
        <v>89</v>
      </c>
      <c r="AE152" s="169"/>
      <c r="AF152" s="169"/>
      <c r="AG152" s="169"/>
      <c r="AH152" s="169"/>
      <c r="AI152" s="301"/>
    </row>
    <row r="153" spans="1:35" s="1" customFormat="1" ht="15.75" customHeight="1">
      <c r="G153" s="316"/>
      <c r="H153" s="300"/>
      <c r="I153" s="372"/>
      <c r="J153" s="169"/>
      <c r="K153" s="169"/>
      <c r="L153" s="169"/>
      <c r="M153" s="314"/>
      <c r="N153" s="357"/>
      <c r="O153" s="169"/>
      <c r="P153" s="169"/>
      <c r="Q153" s="169"/>
      <c r="R153" s="169"/>
      <c r="S153" s="169"/>
      <c r="T153" s="301"/>
      <c r="U153" s="371"/>
      <c r="V153" s="169"/>
      <c r="W153" s="169"/>
      <c r="X153" s="300"/>
      <c r="Y153" s="169"/>
      <c r="Z153" s="169"/>
      <c r="AA153" s="169"/>
      <c r="AB153" s="169"/>
      <c r="AC153" s="169"/>
      <c r="AD153" s="300"/>
      <c r="AE153" s="169"/>
      <c r="AF153" s="169"/>
      <c r="AG153" s="169"/>
      <c r="AH153" s="169"/>
      <c r="AI153" s="301"/>
    </row>
    <row r="154" spans="1:35" s="1" customFormat="1" ht="15.75" customHeight="1">
      <c r="G154" s="186"/>
      <c r="H154" s="187"/>
      <c r="I154" s="222"/>
      <c r="J154" s="148"/>
      <c r="K154" s="148"/>
      <c r="L154" s="148"/>
      <c r="M154" s="315"/>
      <c r="N154" s="215"/>
      <c r="O154" s="148"/>
      <c r="P154" s="148"/>
      <c r="Q154" s="148"/>
      <c r="R154" s="148"/>
      <c r="S154" s="148"/>
      <c r="T154" s="216"/>
      <c r="U154" s="312"/>
      <c r="V154" s="148"/>
      <c r="W154" s="148"/>
      <c r="X154" s="148"/>
      <c r="Y154" s="148"/>
      <c r="Z154" s="148"/>
      <c r="AA154" s="148"/>
      <c r="AB154" s="148"/>
      <c r="AC154" s="148"/>
      <c r="AD154" s="148"/>
      <c r="AE154" s="148"/>
      <c r="AF154" s="148"/>
      <c r="AG154" s="148"/>
      <c r="AH154" s="148"/>
      <c r="AI154" s="216"/>
    </row>
    <row r="155" spans="1:35" s="1" customFormat="1" ht="15.75" customHeight="1">
      <c r="A155" s="73" t="str">
        <f t="shared" ref="A155:A170" si="7">IF(J155="","×","")</f>
        <v/>
      </c>
      <c r="G155" s="224">
        <f t="shared" ref="G155:G170" si="8">IF(H112="","",H112)</f>
        <v>3</v>
      </c>
      <c r="H155" s="165"/>
      <c r="I155" s="247"/>
      <c r="J155" s="165">
        <f t="shared" ref="J155:J170" si="9">IF(K112="","",K112)</f>
        <v>13930</v>
      </c>
      <c r="K155" s="165"/>
      <c r="L155" s="165"/>
      <c r="M155" s="254"/>
      <c r="N155" s="252">
        <f>Q112</f>
        <v>0.5</v>
      </c>
      <c r="O155" s="253"/>
      <c r="P155" s="253"/>
      <c r="Q155" s="165">
        <f t="shared" ref="Q155:Q170" si="10">IF(J155="","",ROUND($I$140*$N$155*J155*$T$148^$P$140,0))</f>
        <v>12537</v>
      </c>
      <c r="R155" s="165"/>
      <c r="S155" s="165"/>
      <c r="T155" s="247"/>
      <c r="U155" s="302">
        <f>Z112</f>
        <v>1</v>
      </c>
      <c r="V155" s="253"/>
      <c r="W155" s="253"/>
      <c r="X155" s="165">
        <f t="shared" ref="X155:X170" si="11">IF(J155="","",ROUND($I$140*$U$155*J155*$T$148^$P$143,0))</f>
        <v>25074</v>
      </c>
      <c r="Y155" s="165"/>
      <c r="Z155" s="165"/>
      <c r="AA155" s="165"/>
      <c r="AB155" s="165"/>
      <c r="AC155" s="165"/>
      <c r="AD155" s="165">
        <f t="shared" ref="AD155:AD170" si="12">IF(J155="","",ROUND($I$143*$U$155*J155*$T$148^$P$143,0))</f>
        <v>50148</v>
      </c>
      <c r="AE155" s="165"/>
      <c r="AF155" s="165"/>
      <c r="AG155" s="165"/>
      <c r="AH155" s="165"/>
      <c r="AI155" s="247"/>
    </row>
    <row r="156" spans="1:35" s="1" customFormat="1" ht="15.75" customHeight="1">
      <c r="A156" s="73" t="str">
        <f t="shared" si="7"/>
        <v/>
      </c>
      <c r="G156" s="204">
        <f t="shared" si="8"/>
        <v>4</v>
      </c>
      <c r="H156" s="205"/>
      <c r="I156" s="255"/>
      <c r="J156" s="205">
        <f t="shared" si="9"/>
        <v>28620</v>
      </c>
      <c r="K156" s="205"/>
      <c r="L156" s="205"/>
      <c r="M156" s="256"/>
      <c r="N156" s="248">
        <f>N155</f>
        <v>0.5</v>
      </c>
      <c r="O156" s="249"/>
      <c r="P156" s="249"/>
      <c r="Q156" s="205">
        <f t="shared" si="10"/>
        <v>25758</v>
      </c>
      <c r="R156" s="205"/>
      <c r="S156" s="205"/>
      <c r="T156" s="255"/>
      <c r="U156" s="305">
        <f>U155</f>
        <v>1</v>
      </c>
      <c r="V156" s="249"/>
      <c r="W156" s="249"/>
      <c r="X156" s="205">
        <f t="shared" si="11"/>
        <v>51516</v>
      </c>
      <c r="Y156" s="205"/>
      <c r="Z156" s="205"/>
      <c r="AA156" s="205"/>
      <c r="AB156" s="205"/>
      <c r="AC156" s="205"/>
      <c r="AD156" s="205">
        <f t="shared" si="12"/>
        <v>103032</v>
      </c>
      <c r="AE156" s="205"/>
      <c r="AF156" s="205"/>
      <c r="AG156" s="205"/>
      <c r="AH156" s="205"/>
      <c r="AI156" s="255"/>
    </row>
    <row r="157" spans="1:35" s="1" customFormat="1" ht="15.75" customHeight="1">
      <c r="A157" s="73" t="str">
        <f t="shared" si="7"/>
        <v/>
      </c>
      <c r="G157" s="204">
        <f t="shared" si="8"/>
        <v>5</v>
      </c>
      <c r="H157" s="205"/>
      <c r="I157" s="255"/>
      <c r="J157" s="205">
        <f t="shared" si="9"/>
        <v>32570</v>
      </c>
      <c r="K157" s="205"/>
      <c r="L157" s="205"/>
      <c r="M157" s="256"/>
      <c r="N157" s="248">
        <f t="shared" ref="N157:N170" si="13">N156</f>
        <v>0.5</v>
      </c>
      <c r="O157" s="249"/>
      <c r="P157" s="249"/>
      <c r="Q157" s="205">
        <f t="shared" si="10"/>
        <v>29313</v>
      </c>
      <c r="R157" s="205"/>
      <c r="S157" s="205"/>
      <c r="T157" s="255"/>
      <c r="U157" s="305">
        <f t="shared" ref="U157:U170" si="14">U156</f>
        <v>1</v>
      </c>
      <c r="V157" s="249"/>
      <c r="W157" s="249"/>
      <c r="X157" s="205">
        <f t="shared" si="11"/>
        <v>58626</v>
      </c>
      <c r="Y157" s="205"/>
      <c r="Z157" s="205"/>
      <c r="AA157" s="205"/>
      <c r="AB157" s="205"/>
      <c r="AC157" s="205"/>
      <c r="AD157" s="205">
        <f t="shared" si="12"/>
        <v>117252</v>
      </c>
      <c r="AE157" s="205"/>
      <c r="AF157" s="205"/>
      <c r="AG157" s="205"/>
      <c r="AH157" s="205"/>
      <c r="AI157" s="255"/>
    </row>
    <row r="158" spans="1:35" s="1" customFormat="1" ht="15.75" customHeight="1">
      <c r="A158" s="73" t="str">
        <f t="shared" si="7"/>
        <v/>
      </c>
      <c r="G158" s="204">
        <f t="shared" si="8"/>
        <v>6</v>
      </c>
      <c r="H158" s="205"/>
      <c r="I158" s="255"/>
      <c r="J158" s="205">
        <f t="shared" si="9"/>
        <v>46440</v>
      </c>
      <c r="K158" s="205"/>
      <c r="L158" s="205"/>
      <c r="M158" s="256"/>
      <c r="N158" s="248">
        <f t="shared" si="13"/>
        <v>0.5</v>
      </c>
      <c r="O158" s="249"/>
      <c r="P158" s="249"/>
      <c r="Q158" s="205">
        <f t="shared" si="10"/>
        <v>41796</v>
      </c>
      <c r="R158" s="205"/>
      <c r="S158" s="205"/>
      <c r="T158" s="255"/>
      <c r="U158" s="305">
        <f t="shared" si="14"/>
        <v>1</v>
      </c>
      <c r="V158" s="249"/>
      <c r="W158" s="249"/>
      <c r="X158" s="205">
        <f t="shared" si="11"/>
        <v>83592</v>
      </c>
      <c r="Y158" s="205"/>
      <c r="Z158" s="205"/>
      <c r="AA158" s="205"/>
      <c r="AB158" s="205"/>
      <c r="AC158" s="205"/>
      <c r="AD158" s="205">
        <f t="shared" si="12"/>
        <v>167184</v>
      </c>
      <c r="AE158" s="205"/>
      <c r="AF158" s="205"/>
      <c r="AG158" s="205"/>
      <c r="AH158" s="205"/>
      <c r="AI158" s="255"/>
    </row>
    <row r="159" spans="1:35" s="1" customFormat="1" ht="15.75" customHeight="1">
      <c r="A159" s="73" t="str">
        <f t="shared" si="7"/>
        <v/>
      </c>
      <c r="G159" s="204">
        <f t="shared" si="8"/>
        <v>7</v>
      </c>
      <c r="H159" s="205"/>
      <c r="I159" s="255"/>
      <c r="J159" s="205">
        <f t="shared" si="9"/>
        <v>91760</v>
      </c>
      <c r="K159" s="205"/>
      <c r="L159" s="205"/>
      <c r="M159" s="256"/>
      <c r="N159" s="248">
        <f t="shared" si="13"/>
        <v>0.5</v>
      </c>
      <c r="O159" s="249"/>
      <c r="P159" s="249"/>
      <c r="Q159" s="205">
        <f t="shared" si="10"/>
        <v>82584</v>
      </c>
      <c r="R159" s="205"/>
      <c r="S159" s="205"/>
      <c r="T159" s="255"/>
      <c r="U159" s="305">
        <f t="shared" si="14"/>
        <v>1</v>
      </c>
      <c r="V159" s="249"/>
      <c r="W159" s="249"/>
      <c r="X159" s="205">
        <f t="shared" si="11"/>
        <v>165168</v>
      </c>
      <c r="Y159" s="205"/>
      <c r="Z159" s="205"/>
      <c r="AA159" s="205"/>
      <c r="AB159" s="205"/>
      <c r="AC159" s="205"/>
      <c r="AD159" s="205">
        <f t="shared" si="12"/>
        <v>330336</v>
      </c>
      <c r="AE159" s="205"/>
      <c r="AF159" s="205"/>
      <c r="AG159" s="205"/>
      <c r="AH159" s="205"/>
      <c r="AI159" s="255"/>
    </row>
    <row r="160" spans="1:35" s="1" customFormat="1" ht="15.75" hidden="1" customHeight="1">
      <c r="A160" s="73" t="str">
        <f t="shared" si="7"/>
        <v>×</v>
      </c>
      <c r="G160" s="204" t="str">
        <f t="shared" si="8"/>
        <v/>
      </c>
      <c r="H160" s="205"/>
      <c r="I160" s="255"/>
      <c r="J160" s="205" t="str">
        <f t="shared" si="9"/>
        <v/>
      </c>
      <c r="K160" s="205"/>
      <c r="L160" s="205"/>
      <c r="M160" s="256"/>
      <c r="N160" s="248">
        <f t="shared" si="13"/>
        <v>0.5</v>
      </c>
      <c r="O160" s="249"/>
      <c r="P160" s="249"/>
      <c r="Q160" s="205" t="str">
        <f t="shared" si="10"/>
        <v/>
      </c>
      <c r="R160" s="205"/>
      <c r="S160" s="205"/>
      <c r="T160" s="255"/>
      <c r="U160" s="305">
        <f t="shared" si="14"/>
        <v>1</v>
      </c>
      <c r="V160" s="249"/>
      <c r="W160" s="249"/>
      <c r="X160" s="205" t="str">
        <f t="shared" si="11"/>
        <v/>
      </c>
      <c r="Y160" s="205"/>
      <c r="Z160" s="205"/>
      <c r="AA160" s="205"/>
      <c r="AB160" s="205"/>
      <c r="AC160" s="205"/>
      <c r="AD160" s="205" t="str">
        <f t="shared" si="12"/>
        <v/>
      </c>
      <c r="AE160" s="205"/>
      <c r="AF160" s="205"/>
      <c r="AG160" s="205"/>
      <c r="AH160" s="205"/>
      <c r="AI160" s="255"/>
    </row>
    <row r="161" spans="1:83" s="1" customFormat="1" ht="15.75" hidden="1" customHeight="1">
      <c r="A161" s="73" t="str">
        <f t="shared" si="7"/>
        <v>×</v>
      </c>
      <c r="G161" s="204" t="str">
        <f t="shared" si="8"/>
        <v/>
      </c>
      <c r="H161" s="205"/>
      <c r="I161" s="255"/>
      <c r="J161" s="205" t="str">
        <f t="shared" si="9"/>
        <v/>
      </c>
      <c r="K161" s="205"/>
      <c r="L161" s="205"/>
      <c r="M161" s="256"/>
      <c r="N161" s="248">
        <f t="shared" si="13"/>
        <v>0.5</v>
      </c>
      <c r="O161" s="249"/>
      <c r="P161" s="249"/>
      <c r="Q161" s="205" t="str">
        <f t="shared" si="10"/>
        <v/>
      </c>
      <c r="R161" s="205"/>
      <c r="S161" s="205"/>
      <c r="T161" s="255"/>
      <c r="U161" s="305">
        <f t="shared" si="14"/>
        <v>1</v>
      </c>
      <c r="V161" s="249"/>
      <c r="W161" s="249"/>
      <c r="X161" s="205" t="str">
        <f t="shared" si="11"/>
        <v/>
      </c>
      <c r="Y161" s="205"/>
      <c r="Z161" s="205"/>
      <c r="AA161" s="205"/>
      <c r="AB161" s="205"/>
      <c r="AC161" s="205"/>
      <c r="AD161" s="205" t="str">
        <f t="shared" si="12"/>
        <v/>
      </c>
      <c r="AE161" s="205"/>
      <c r="AF161" s="205"/>
      <c r="AG161" s="205"/>
      <c r="AH161" s="205"/>
      <c r="AI161" s="255"/>
    </row>
    <row r="162" spans="1:83" s="1" customFormat="1" ht="15.75" hidden="1" customHeight="1">
      <c r="A162" s="73" t="str">
        <f t="shared" si="7"/>
        <v>×</v>
      </c>
      <c r="G162" s="204" t="str">
        <f t="shared" si="8"/>
        <v/>
      </c>
      <c r="H162" s="205"/>
      <c r="I162" s="255"/>
      <c r="J162" s="205" t="str">
        <f t="shared" si="9"/>
        <v/>
      </c>
      <c r="K162" s="205"/>
      <c r="L162" s="205"/>
      <c r="M162" s="256"/>
      <c r="N162" s="248">
        <f t="shared" si="13"/>
        <v>0.5</v>
      </c>
      <c r="O162" s="249"/>
      <c r="P162" s="249"/>
      <c r="Q162" s="205" t="str">
        <f t="shared" si="10"/>
        <v/>
      </c>
      <c r="R162" s="205"/>
      <c r="S162" s="205"/>
      <c r="T162" s="255"/>
      <c r="U162" s="305">
        <f t="shared" si="14"/>
        <v>1</v>
      </c>
      <c r="V162" s="249"/>
      <c r="W162" s="249"/>
      <c r="X162" s="205" t="str">
        <f t="shared" si="11"/>
        <v/>
      </c>
      <c r="Y162" s="205"/>
      <c r="Z162" s="205"/>
      <c r="AA162" s="205"/>
      <c r="AB162" s="205"/>
      <c r="AC162" s="205"/>
      <c r="AD162" s="205" t="str">
        <f t="shared" si="12"/>
        <v/>
      </c>
      <c r="AE162" s="205"/>
      <c r="AF162" s="205"/>
      <c r="AG162" s="205"/>
      <c r="AH162" s="205"/>
      <c r="AI162" s="255"/>
    </row>
    <row r="163" spans="1:83" s="1" customFormat="1" ht="15.75" hidden="1" customHeight="1">
      <c r="A163" s="73" t="str">
        <f t="shared" si="7"/>
        <v>×</v>
      </c>
      <c r="G163" s="204" t="str">
        <f t="shared" si="8"/>
        <v/>
      </c>
      <c r="H163" s="205"/>
      <c r="I163" s="255"/>
      <c r="J163" s="205" t="str">
        <f t="shared" si="9"/>
        <v/>
      </c>
      <c r="K163" s="205"/>
      <c r="L163" s="205"/>
      <c r="M163" s="256"/>
      <c r="N163" s="248">
        <f t="shared" si="13"/>
        <v>0.5</v>
      </c>
      <c r="O163" s="249"/>
      <c r="P163" s="249"/>
      <c r="Q163" s="205" t="str">
        <f t="shared" si="10"/>
        <v/>
      </c>
      <c r="R163" s="205"/>
      <c r="S163" s="205"/>
      <c r="T163" s="255"/>
      <c r="U163" s="305">
        <f t="shared" si="14"/>
        <v>1</v>
      </c>
      <c r="V163" s="249"/>
      <c r="W163" s="249"/>
      <c r="X163" s="205" t="str">
        <f t="shared" si="11"/>
        <v/>
      </c>
      <c r="Y163" s="205"/>
      <c r="Z163" s="205"/>
      <c r="AA163" s="205"/>
      <c r="AB163" s="205"/>
      <c r="AC163" s="205"/>
      <c r="AD163" s="205" t="str">
        <f t="shared" si="12"/>
        <v/>
      </c>
      <c r="AE163" s="205"/>
      <c r="AF163" s="205"/>
      <c r="AG163" s="205"/>
      <c r="AH163" s="205"/>
      <c r="AI163" s="255"/>
    </row>
    <row r="164" spans="1:83" s="1" customFormat="1" ht="15.75" hidden="1" customHeight="1">
      <c r="A164" s="73" t="str">
        <f t="shared" si="7"/>
        <v>×</v>
      </c>
      <c r="G164" s="204" t="str">
        <f t="shared" si="8"/>
        <v/>
      </c>
      <c r="H164" s="205"/>
      <c r="I164" s="255"/>
      <c r="J164" s="205" t="str">
        <f t="shared" si="9"/>
        <v/>
      </c>
      <c r="K164" s="205"/>
      <c r="L164" s="205"/>
      <c r="M164" s="256"/>
      <c r="N164" s="248">
        <f t="shared" si="13"/>
        <v>0.5</v>
      </c>
      <c r="O164" s="249"/>
      <c r="P164" s="249"/>
      <c r="Q164" s="205" t="str">
        <f t="shared" si="10"/>
        <v/>
      </c>
      <c r="R164" s="205"/>
      <c r="S164" s="205"/>
      <c r="T164" s="255"/>
      <c r="U164" s="305">
        <f t="shared" si="14"/>
        <v>1</v>
      </c>
      <c r="V164" s="249"/>
      <c r="W164" s="249"/>
      <c r="X164" s="205" t="str">
        <f t="shared" si="11"/>
        <v/>
      </c>
      <c r="Y164" s="205"/>
      <c r="Z164" s="205"/>
      <c r="AA164" s="205"/>
      <c r="AB164" s="205"/>
      <c r="AC164" s="205"/>
      <c r="AD164" s="205" t="str">
        <f t="shared" si="12"/>
        <v/>
      </c>
      <c r="AE164" s="205"/>
      <c r="AF164" s="205"/>
      <c r="AG164" s="205"/>
      <c r="AH164" s="205"/>
      <c r="AI164" s="255"/>
    </row>
    <row r="165" spans="1:83" s="1" customFormat="1" ht="15.75" hidden="1" customHeight="1">
      <c r="A165" s="73" t="str">
        <f t="shared" si="7"/>
        <v>×</v>
      </c>
      <c r="G165" s="204" t="str">
        <f t="shared" si="8"/>
        <v/>
      </c>
      <c r="H165" s="205"/>
      <c r="I165" s="255"/>
      <c r="J165" s="205" t="str">
        <f t="shared" si="9"/>
        <v/>
      </c>
      <c r="K165" s="205"/>
      <c r="L165" s="205"/>
      <c r="M165" s="256"/>
      <c r="N165" s="248">
        <f t="shared" si="13"/>
        <v>0.5</v>
      </c>
      <c r="O165" s="249"/>
      <c r="P165" s="249"/>
      <c r="Q165" s="205" t="str">
        <f t="shared" si="10"/>
        <v/>
      </c>
      <c r="R165" s="205"/>
      <c r="S165" s="205"/>
      <c r="T165" s="255"/>
      <c r="U165" s="305">
        <f t="shared" si="14"/>
        <v>1</v>
      </c>
      <c r="V165" s="249"/>
      <c r="W165" s="249"/>
      <c r="X165" s="205" t="str">
        <f t="shared" si="11"/>
        <v/>
      </c>
      <c r="Y165" s="205"/>
      <c r="Z165" s="205"/>
      <c r="AA165" s="205"/>
      <c r="AB165" s="205"/>
      <c r="AC165" s="205"/>
      <c r="AD165" s="205" t="str">
        <f t="shared" si="12"/>
        <v/>
      </c>
      <c r="AE165" s="205"/>
      <c r="AF165" s="205"/>
      <c r="AG165" s="205"/>
      <c r="AH165" s="205"/>
      <c r="AI165" s="255"/>
    </row>
    <row r="166" spans="1:83" s="1" customFormat="1" ht="15.75" hidden="1" customHeight="1">
      <c r="A166" s="73" t="str">
        <f t="shared" si="7"/>
        <v>×</v>
      </c>
      <c r="G166" s="204" t="str">
        <f t="shared" si="8"/>
        <v/>
      </c>
      <c r="H166" s="205"/>
      <c r="I166" s="255"/>
      <c r="J166" s="205" t="str">
        <f t="shared" si="9"/>
        <v/>
      </c>
      <c r="K166" s="205"/>
      <c r="L166" s="205"/>
      <c r="M166" s="256"/>
      <c r="N166" s="248">
        <f t="shared" si="13"/>
        <v>0.5</v>
      </c>
      <c r="O166" s="249"/>
      <c r="P166" s="249"/>
      <c r="Q166" s="205" t="str">
        <f t="shared" si="10"/>
        <v/>
      </c>
      <c r="R166" s="205"/>
      <c r="S166" s="205"/>
      <c r="T166" s="255"/>
      <c r="U166" s="305">
        <f t="shared" si="14"/>
        <v>1</v>
      </c>
      <c r="V166" s="249"/>
      <c r="W166" s="249"/>
      <c r="X166" s="205" t="str">
        <f t="shared" si="11"/>
        <v/>
      </c>
      <c r="Y166" s="205"/>
      <c r="Z166" s="205"/>
      <c r="AA166" s="205"/>
      <c r="AB166" s="205"/>
      <c r="AC166" s="205"/>
      <c r="AD166" s="205" t="str">
        <f t="shared" si="12"/>
        <v/>
      </c>
      <c r="AE166" s="205"/>
      <c r="AF166" s="205"/>
      <c r="AG166" s="205"/>
      <c r="AH166" s="205"/>
      <c r="AI166" s="255"/>
    </row>
    <row r="167" spans="1:83" s="1" customFormat="1" ht="15.75" hidden="1" customHeight="1">
      <c r="A167" s="73" t="str">
        <f t="shared" si="7"/>
        <v>×</v>
      </c>
      <c r="G167" s="204" t="str">
        <f t="shared" si="8"/>
        <v/>
      </c>
      <c r="H167" s="205"/>
      <c r="I167" s="255"/>
      <c r="J167" s="205" t="str">
        <f t="shared" si="9"/>
        <v/>
      </c>
      <c r="K167" s="205"/>
      <c r="L167" s="205"/>
      <c r="M167" s="256"/>
      <c r="N167" s="248">
        <f t="shared" si="13"/>
        <v>0.5</v>
      </c>
      <c r="O167" s="249"/>
      <c r="P167" s="249"/>
      <c r="Q167" s="205" t="str">
        <f t="shared" si="10"/>
        <v/>
      </c>
      <c r="R167" s="205"/>
      <c r="S167" s="205"/>
      <c r="T167" s="255"/>
      <c r="U167" s="305">
        <f t="shared" si="14"/>
        <v>1</v>
      </c>
      <c r="V167" s="249"/>
      <c r="W167" s="249"/>
      <c r="X167" s="205" t="str">
        <f t="shared" si="11"/>
        <v/>
      </c>
      <c r="Y167" s="205"/>
      <c r="Z167" s="205"/>
      <c r="AA167" s="205"/>
      <c r="AB167" s="205"/>
      <c r="AC167" s="205"/>
      <c r="AD167" s="205" t="str">
        <f t="shared" si="12"/>
        <v/>
      </c>
      <c r="AE167" s="205"/>
      <c r="AF167" s="205"/>
      <c r="AG167" s="205"/>
      <c r="AH167" s="205"/>
      <c r="AI167" s="255"/>
    </row>
    <row r="168" spans="1:83" s="1" customFormat="1" ht="15.75" hidden="1" customHeight="1">
      <c r="A168" s="73" t="str">
        <f t="shared" si="7"/>
        <v>×</v>
      </c>
      <c r="G168" s="204" t="str">
        <f t="shared" si="8"/>
        <v/>
      </c>
      <c r="H168" s="205"/>
      <c r="I168" s="255"/>
      <c r="J168" s="205" t="str">
        <f t="shared" si="9"/>
        <v/>
      </c>
      <c r="K168" s="205"/>
      <c r="L168" s="205"/>
      <c r="M168" s="256"/>
      <c r="N168" s="248">
        <f t="shared" si="13"/>
        <v>0.5</v>
      </c>
      <c r="O168" s="249"/>
      <c r="P168" s="249"/>
      <c r="Q168" s="205" t="str">
        <f t="shared" si="10"/>
        <v/>
      </c>
      <c r="R168" s="205"/>
      <c r="S168" s="205"/>
      <c r="T168" s="255"/>
      <c r="U168" s="305">
        <f t="shared" si="14"/>
        <v>1</v>
      </c>
      <c r="V168" s="249"/>
      <c r="W168" s="249"/>
      <c r="X168" s="205" t="str">
        <f t="shared" si="11"/>
        <v/>
      </c>
      <c r="Y168" s="205"/>
      <c r="Z168" s="205"/>
      <c r="AA168" s="205"/>
      <c r="AB168" s="205"/>
      <c r="AC168" s="205"/>
      <c r="AD168" s="205" t="str">
        <f t="shared" si="12"/>
        <v/>
      </c>
      <c r="AE168" s="205"/>
      <c r="AF168" s="205"/>
      <c r="AG168" s="205"/>
      <c r="AH168" s="205"/>
      <c r="AI168" s="255"/>
    </row>
    <row r="169" spans="1:83" s="1" customFormat="1" ht="15.75" hidden="1" customHeight="1">
      <c r="A169" s="73" t="str">
        <f t="shared" si="7"/>
        <v>×</v>
      </c>
      <c r="G169" s="204" t="str">
        <f t="shared" si="8"/>
        <v/>
      </c>
      <c r="H169" s="205"/>
      <c r="I169" s="255"/>
      <c r="J169" s="205" t="str">
        <f t="shared" si="9"/>
        <v/>
      </c>
      <c r="K169" s="205"/>
      <c r="L169" s="205"/>
      <c r="M169" s="256"/>
      <c r="N169" s="248">
        <f t="shared" si="13"/>
        <v>0.5</v>
      </c>
      <c r="O169" s="249"/>
      <c r="P169" s="249"/>
      <c r="Q169" s="205" t="str">
        <f t="shared" si="10"/>
        <v/>
      </c>
      <c r="R169" s="205"/>
      <c r="S169" s="205"/>
      <c r="T169" s="255"/>
      <c r="U169" s="305">
        <f t="shared" si="14"/>
        <v>1</v>
      </c>
      <c r="V169" s="249"/>
      <c r="W169" s="249"/>
      <c r="X169" s="205" t="str">
        <f t="shared" si="11"/>
        <v/>
      </c>
      <c r="Y169" s="205"/>
      <c r="Z169" s="205"/>
      <c r="AA169" s="205"/>
      <c r="AB169" s="205"/>
      <c r="AC169" s="205"/>
      <c r="AD169" s="205" t="str">
        <f t="shared" si="12"/>
        <v/>
      </c>
      <c r="AE169" s="205"/>
      <c r="AF169" s="205"/>
      <c r="AG169" s="205"/>
      <c r="AH169" s="205"/>
      <c r="AI169" s="255"/>
    </row>
    <row r="170" spans="1:83" s="1" customFormat="1" ht="15.75" hidden="1" customHeight="1">
      <c r="A170" s="73" t="str">
        <f t="shared" si="7"/>
        <v>×</v>
      </c>
      <c r="G170" s="207" t="str">
        <f t="shared" si="8"/>
        <v/>
      </c>
      <c r="H170" s="208"/>
      <c r="I170" s="257"/>
      <c r="J170" s="208" t="str">
        <f t="shared" si="9"/>
        <v/>
      </c>
      <c r="K170" s="208"/>
      <c r="L170" s="208"/>
      <c r="M170" s="258"/>
      <c r="N170" s="250">
        <f t="shared" si="13"/>
        <v>0.5</v>
      </c>
      <c r="O170" s="251"/>
      <c r="P170" s="251"/>
      <c r="Q170" s="208" t="str">
        <f t="shared" si="10"/>
        <v/>
      </c>
      <c r="R170" s="208"/>
      <c r="S170" s="208"/>
      <c r="T170" s="257"/>
      <c r="U170" s="373">
        <f t="shared" si="14"/>
        <v>1</v>
      </c>
      <c r="V170" s="251"/>
      <c r="W170" s="251"/>
      <c r="X170" s="208" t="str">
        <f t="shared" si="11"/>
        <v/>
      </c>
      <c r="Y170" s="208"/>
      <c r="Z170" s="208"/>
      <c r="AA170" s="208"/>
      <c r="AB170" s="208"/>
      <c r="AC170" s="208"/>
      <c r="AD170" s="208" t="str">
        <f t="shared" si="12"/>
        <v/>
      </c>
      <c r="AE170" s="208"/>
      <c r="AF170" s="208"/>
      <c r="AG170" s="208"/>
      <c r="AH170" s="208"/>
      <c r="AI170" s="257"/>
    </row>
    <row r="171" spans="1:83" s="1" customFormat="1" ht="15.75" customHeight="1">
      <c r="G171" s="86"/>
      <c r="H171" s="86"/>
      <c r="I171" s="86"/>
      <c r="J171" s="86"/>
      <c r="K171" s="86"/>
      <c r="L171" s="86"/>
      <c r="M171" s="86"/>
      <c r="N171" s="86"/>
      <c r="O171" s="86"/>
      <c r="P171" s="86"/>
      <c r="Q171" s="86"/>
      <c r="R171" s="86"/>
      <c r="S171" s="86"/>
      <c r="T171" s="86"/>
      <c r="U171" s="86"/>
      <c r="V171" s="86"/>
      <c r="W171" s="86"/>
      <c r="X171" s="86"/>
      <c r="Y171" s="86"/>
      <c r="Z171" s="86"/>
      <c r="AA171" s="86"/>
      <c r="AB171" s="86"/>
      <c r="AC171" s="86"/>
      <c r="AD171" s="86"/>
      <c r="AE171" s="86"/>
      <c r="AF171" s="86"/>
      <c r="AG171" s="86"/>
      <c r="AH171" s="86"/>
      <c r="AI171" s="86"/>
      <c r="BZ171" s="76"/>
      <c r="CA171" s="76"/>
      <c r="CB171" s="76"/>
      <c r="CC171" s="77"/>
      <c r="CD171" s="77"/>
      <c r="CE171" s="76"/>
    </row>
    <row r="172" spans="1:83" s="1" customFormat="1" ht="15.75" customHeight="1">
      <c r="C172" s="76"/>
      <c r="D172" s="76"/>
      <c r="E172" s="76"/>
      <c r="F172" s="77"/>
      <c r="G172" s="114"/>
      <c r="H172" s="114"/>
      <c r="I172" s="112"/>
      <c r="J172" s="112"/>
      <c r="K172" s="112"/>
      <c r="L172" s="112"/>
      <c r="M172" s="112"/>
      <c r="N172" s="112"/>
      <c r="O172" s="115"/>
      <c r="P172" s="115"/>
      <c r="Q172" s="115"/>
      <c r="R172" s="115"/>
      <c r="S172" s="112"/>
      <c r="T172" s="112"/>
      <c r="U172" s="112"/>
      <c r="V172" s="112"/>
      <c r="W172" s="112"/>
      <c r="X172" s="112"/>
    </row>
    <row r="173" spans="1:83" s="1" customFormat="1" ht="15.75" customHeight="1">
      <c r="H173" s="76"/>
      <c r="I173" s="76"/>
      <c r="J173" s="76"/>
      <c r="K173" s="77"/>
      <c r="L173" s="77"/>
      <c r="M173" s="77"/>
      <c r="N173" s="76"/>
      <c r="O173" s="76"/>
      <c r="P173" s="76"/>
      <c r="Q173" s="76"/>
      <c r="R173" s="76"/>
      <c r="S173" s="76"/>
      <c r="T173" s="9"/>
      <c r="U173" s="9"/>
      <c r="V173" s="9"/>
      <c r="W173" s="9"/>
      <c r="X173" s="76"/>
      <c r="Y173" s="76"/>
      <c r="Z173" s="76"/>
      <c r="AA173" s="76"/>
      <c r="AB173" s="76"/>
      <c r="AC173" s="76"/>
    </row>
    <row r="174" spans="1:83" s="1" customFormat="1" ht="15.75" customHeight="1"/>
    <row r="175" spans="1:83" s="1" customFormat="1" ht="15.75" customHeight="1"/>
    <row r="176" spans="1:83" s="1" customFormat="1" ht="15.75" customHeight="1"/>
    <row r="177" spans="5:20" s="1" customFormat="1" ht="15.75" customHeight="1">
      <c r="E177" s="1" t="s">
        <v>79</v>
      </c>
      <c r="F177" s="1" t="s">
        <v>90</v>
      </c>
    </row>
    <row r="178" spans="5:20" s="1" customFormat="1" ht="15.75" customHeight="1"/>
    <row r="179" spans="5:20" s="1" customFormat="1" ht="15.75" customHeight="1">
      <c r="F179" s="1" t="s">
        <v>351</v>
      </c>
    </row>
    <row r="180" spans="5:20" s="1" customFormat="1" ht="15.75" customHeight="1">
      <c r="F180" s="1" t="s">
        <v>352</v>
      </c>
    </row>
    <row r="181" spans="5:20" s="1" customFormat="1" ht="15.75" customHeight="1"/>
    <row r="182" spans="5:20" s="1" customFormat="1" ht="15.75" customHeight="1">
      <c r="F182" s="181" t="s">
        <v>91</v>
      </c>
      <c r="G182" s="181"/>
      <c r="H182" s="76" t="s">
        <v>27</v>
      </c>
      <c r="I182" s="181" t="s">
        <v>92</v>
      </c>
      <c r="J182" s="181"/>
      <c r="K182" s="76" t="s">
        <v>93</v>
      </c>
      <c r="L182" s="181" t="s">
        <v>85</v>
      </c>
      <c r="M182" s="181"/>
    </row>
    <row r="183" spans="5:20" s="1" customFormat="1" ht="15.75" customHeight="1"/>
    <row r="184" spans="5:20" s="1" customFormat="1" ht="15.75" customHeight="1">
      <c r="G184" s="1" t="s">
        <v>3</v>
      </c>
      <c r="J184" s="181" t="s">
        <v>91</v>
      </c>
      <c r="K184" s="181"/>
      <c r="L184" s="76" t="s">
        <v>2</v>
      </c>
      <c r="M184" s="1" t="s">
        <v>94</v>
      </c>
    </row>
    <row r="185" spans="5:20" s="1" customFormat="1" ht="15.75" customHeight="1">
      <c r="J185" s="181" t="s">
        <v>85</v>
      </c>
      <c r="K185" s="181"/>
      <c r="L185" s="76" t="s">
        <v>2</v>
      </c>
      <c r="M185" s="1" t="s">
        <v>95</v>
      </c>
    </row>
    <row r="186" spans="5:20" s="1" customFormat="1" ht="15.75" customHeight="1">
      <c r="J186" s="181" t="s">
        <v>92</v>
      </c>
      <c r="K186" s="181"/>
      <c r="L186" s="76" t="s">
        <v>2</v>
      </c>
      <c r="M186" s="1" t="s">
        <v>96</v>
      </c>
    </row>
    <row r="187" spans="5:20" s="1" customFormat="1" ht="15.75" customHeight="1">
      <c r="J187" s="76"/>
      <c r="K187" s="76"/>
      <c r="L187" s="76"/>
      <c r="M187" s="1" t="s">
        <v>168</v>
      </c>
    </row>
    <row r="188" spans="5:20" s="1" customFormat="1" ht="15.75" customHeight="1">
      <c r="J188" s="76"/>
      <c r="K188" s="76"/>
      <c r="L188" s="76"/>
      <c r="M188" s="1" t="s">
        <v>97</v>
      </c>
    </row>
    <row r="189" spans="5:20" s="1" customFormat="1" ht="15.75" customHeight="1">
      <c r="J189" s="76"/>
      <c r="K189" s="76"/>
      <c r="L189" s="76"/>
      <c r="M189" s="181" t="s">
        <v>92</v>
      </c>
      <c r="N189" s="181"/>
      <c r="O189" s="76" t="s">
        <v>27</v>
      </c>
      <c r="P189" s="1" t="s">
        <v>116</v>
      </c>
    </row>
    <row r="190" spans="5:20" s="1" customFormat="1" ht="15.75" customHeight="1">
      <c r="J190" s="181" t="s">
        <v>98</v>
      </c>
      <c r="K190" s="181"/>
      <c r="L190" s="76" t="s">
        <v>2</v>
      </c>
      <c r="M190" s="1" t="s">
        <v>99</v>
      </c>
    </row>
    <row r="191" spans="5:20" s="1" customFormat="1" ht="15.75" customHeight="1">
      <c r="J191" s="181" t="s">
        <v>101</v>
      </c>
      <c r="K191" s="181"/>
      <c r="L191" s="76" t="s">
        <v>2</v>
      </c>
      <c r="M191" s="1" t="s">
        <v>102</v>
      </c>
    </row>
    <row r="192" spans="5:20" s="1" customFormat="1" ht="15.75" customHeight="1">
      <c r="J192" s="76"/>
      <c r="K192" s="76"/>
      <c r="L192" s="76"/>
      <c r="M192" s="181" t="s">
        <v>101</v>
      </c>
      <c r="N192" s="181"/>
      <c r="O192" s="181" t="s">
        <v>27</v>
      </c>
      <c r="P192" s="181" t="s">
        <v>104</v>
      </c>
      <c r="Q192" s="181"/>
      <c r="R192" s="76" t="s">
        <v>6</v>
      </c>
      <c r="S192" s="181" t="s">
        <v>103</v>
      </c>
      <c r="T192" s="181"/>
    </row>
    <row r="193" spans="4:35" s="1" customFormat="1" ht="15.75" customHeight="1">
      <c r="J193" s="76"/>
      <c r="K193" s="76"/>
      <c r="L193" s="76"/>
      <c r="M193" s="181"/>
      <c r="N193" s="181"/>
      <c r="O193" s="181"/>
      <c r="P193" s="2" t="s">
        <v>65</v>
      </c>
      <c r="Q193" s="181" t="s">
        <v>105</v>
      </c>
      <c r="R193" s="181"/>
      <c r="S193" s="181"/>
      <c r="T193" s="181"/>
    </row>
    <row r="194" spans="4:35" s="1" customFormat="1" ht="15.75" customHeight="1">
      <c r="J194" s="181" t="s">
        <v>106</v>
      </c>
      <c r="K194" s="181"/>
      <c r="L194" s="76" t="s">
        <v>2</v>
      </c>
      <c r="M194" s="1" t="s">
        <v>112</v>
      </c>
    </row>
    <row r="195" spans="4:35" s="1" customFormat="1" ht="15.75" customHeight="1">
      <c r="J195" s="181" t="s">
        <v>107</v>
      </c>
      <c r="K195" s="181"/>
      <c r="L195" s="76" t="s">
        <v>2</v>
      </c>
      <c r="M195" s="1" t="s">
        <v>113</v>
      </c>
    </row>
    <row r="196" spans="4:35" s="1" customFormat="1" ht="15.75" customHeight="1">
      <c r="J196" s="181" t="s">
        <v>65</v>
      </c>
      <c r="K196" s="181"/>
      <c r="L196" s="76" t="s">
        <v>2</v>
      </c>
      <c r="M196" s="1" t="s">
        <v>68</v>
      </c>
    </row>
    <row r="197" spans="4:35" s="1" customFormat="1" ht="15.75" customHeight="1">
      <c r="J197" s="181" t="s">
        <v>110</v>
      </c>
      <c r="K197" s="181"/>
      <c r="L197" s="76" t="s">
        <v>2</v>
      </c>
      <c r="M197" s="1" t="s">
        <v>108</v>
      </c>
    </row>
    <row r="198" spans="4:35" s="1" customFormat="1" ht="15.75" customHeight="1">
      <c r="J198" s="181" t="s">
        <v>111</v>
      </c>
      <c r="K198" s="181"/>
      <c r="L198" s="76" t="s">
        <v>2</v>
      </c>
      <c r="M198" s="1" t="s">
        <v>109</v>
      </c>
    </row>
    <row r="199" spans="4:35" s="1" customFormat="1" ht="15.75" customHeight="1"/>
    <row r="200" spans="4:35" s="1" customFormat="1" ht="15.75" customHeight="1">
      <c r="G200" s="62" t="s">
        <v>185</v>
      </c>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row>
    <row r="201" spans="4:35" s="1" customFormat="1" ht="15.75" customHeight="1">
      <c r="G201" s="242" t="s">
        <v>47</v>
      </c>
      <c r="H201" s="243"/>
      <c r="I201" s="243"/>
      <c r="J201" s="243"/>
      <c r="K201" s="244"/>
      <c r="L201" s="243" t="s">
        <v>98</v>
      </c>
      <c r="M201" s="243"/>
      <c r="N201" s="243"/>
      <c r="O201" s="231" t="s">
        <v>476</v>
      </c>
      <c r="P201" s="231"/>
      <c r="Q201" s="231"/>
      <c r="R201" s="231" t="s">
        <v>477</v>
      </c>
      <c r="S201" s="231"/>
      <c r="T201" s="231"/>
      <c r="U201" s="231" t="s">
        <v>478</v>
      </c>
      <c r="V201" s="231"/>
      <c r="W201" s="231"/>
      <c r="X201" s="231" t="s">
        <v>479</v>
      </c>
      <c r="Y201" s="231"/>
      <c r="Z201" s="231"/>
      <c r="AA201" s="231" t="s">
        <v>480</v>
      </c>
      <c r="AB201" s="231"/>
      <c r="AC201" s="231"/>
      <c r="AD201" s="231" t="s">
        <v>100</v>
      </c>
      <c r="AE201" s="231"/>
      <c r="AF201" s="231"/>
      <c r="AG201" s="231" t="s">
        <v>92</v>
      </c>
      <c r="AH201" s="231"/>
      <c r="AI201" s="236"/>
    </row>
    <row r="202" spans="4:35" s="1" customFormat="1" ht="15.75" customHeight="1">
      <c r="G202" s="240" t="s">
        <v>115</v>
      </c>
      <c r="H202" s="210"/>
      <c r="I202" s="210"/>
      <c r="J202" s="210"/>
      <c r="K202" s="241"/>
      <c r="L202" s="210">
        <v>0.6</v>
      </c>
      <c r="M202" s="210"/>
      <c r="N202" s="210"/>
      <c r="O202" s="210">
        <f>入力!P24</f>
        <v>3</v>
      </c>
      <c r="P202" s="210"/>
      <c r="Q202" s="210"/>
      <c r="R202" s="210">
        <f>入力!P25</f>
        <v>2</v>
      </c>
      <c r="S202" s="210"/>
      <c r="T202" s="210"/>
      <c r="U202" s="239">
        <f>入力!N24</f>
        <v>2</v>
      </c>
      <c r="V202" s="239"/>
      <c r="W202" s="239"/>
      <c r="X202" s="239">
        <f>入力!N25</f>
        <v>3</v>
      </c>
      <c r="Y202" s="239"/>
      <c r="Z202" s="239"/>
      <c r="AA202" s="239">
        <f>Q92</f>
        <v>1</v>
      </c>
      <c r="AB202" s="239"/>
      <c r="AC202" s="239"/>
      <c r="AD202" s="237">
        <f>(O202*U202+R202*X202)/((O202+R202)*$AA$202)</f>
        <v>2.4</v>
      </c>
      <c r="AE202" s="237"/>
      <c r="AF202" s="237"/>
      <c r="AG202" s="237">
        <f>(1-5*(1-(0.6-0.25*$L$202)*AD202^(0.3+0.2*$L$202))*(1-O202^(-0.22)*R202^(-0.09)))^(4/3)</f>
        <v>0.44096526249810597</v>
      </c>
      <c r="AH202" s="237"/>
      <c r="AI202" s="238"/>
    </row>
    <row r="203" spans="4:35" s="1" customFormat="1" ht="15.75" customHeight="1">
      <c r="G203" s="215" t="s">
        <v>114</v>
      </c>
      <c r="H203" s="148"/>
      <c r="I203" s="148"/>
      <c r="J203" s="148"/>
      <c r="K203" s="216"/>
      <c r="L203" s="148"/>
      <c r="M203" s="148"/>
      <c r="N203" s="148"/>
      <c r="O203" s="148">
        <f>入力!P27</f>
        <v>2</v>
      </c>
      <c r="P203" s="148"/>
      <c r="Q203" s="148"/>
      <c r="R203" s="148">
        <f>入力!P28</f>
        <v>3</v>
      </c>
      <c r="S203" s="148"/>
      <c r="T203" s="148"/>
      <c r="U203" s="178">
        <f>入力!N27</f>
        <v>3</v>
      </c>
      <c r="V203" s="178"/>
      <c r="W203" s="178"/>
      <c r="X203" s="178">
        <f>入力!N28</f>
        <v>2</v>
      </c>
      <c r="Y203" s="178"/>
      <c r="Z203" s="178"/>
      <c r="AA203" s="178"/>
      <c r="AB203" s="178"/>
      <c r="AC203" s="178"/>
      <c r="AD203" s="177">
        <f>(O203*U203+R203*X203)/((O203+R203)*$AA$202)</f>
        <v>2.4</v>
      </c>
      <c r="AE203" s="177"/>
      <c r="AF203" s="177"/>
      <c r="AG203" s="177">
        <f>(1-5*(1-(0.6-0.25*$L$202)*AD203^(0.3+0.2*$L$202))*(1-O203^(-0.22)*R203^(-0.09)))^(4/3)</f>
        <v>0.51848878739927462</v>
      </c>
      <c r="AH203" s="177"/>
      <c r="AI203" s="245"/>
    </row>
    <row r="204" spans="4:35" s="1" customFormat="1" ht="15.75" customHeight="1"/>
    <row r="205" spans="4:35" s="1" customFormat="1" ht="15.75" customHeight="1"/>
    <row r="206" spans="4:35" s="1" customFormat="1" ht="15.75" customHeight="1">
      <c r="D206" s="10" t="s">
        <v>117</v>
      </c>
    </row>
    <row r="207" spans="4:35" s="1" customFormat="1" ht="15.75" customHeight="1"/>
    <row r="208" spans="4:35" s="1" customFormat="1" ht="15.75" customHeight="1">
      <c r="D208" s="1" t="s">
        <v>118</v>
      </c>
      <c r="M208" s="10"/>
    </row>
    <row r="209" spans="6:37" s="1" customFormat="1" ht="15.75" customHeight="1"/>
    <row r="210" spans="6:37" s="1" customFormat="1" ht="15.75" customHeight="1">
      <c r="F210" s="1" t="s">
        <v>186</v>
      </c>
    </row>
    <row r="211" spans="6:37" s="1" customFormat="1" ht="15.75" customHeight="1">
      <c r="F211" s="1" t="s">
        <v>75</v>
      </c>
    </row>
    <row r="212" spans="6:37" s="1" customFormat="1" ht="15.75" customHeight="1"/>
    <row r="213" spans="6:37" s="1" customFormat="1" ht="15.75" customHeight="1">
      <c r="F213" s="181" t="s">
        <v>119</v>
      </c>
      <c r="G213" s="181"/>
      <c r="H213" s="76" t="s">
        <v>27</v>
      </c>
      <c r="I213" s="181" t="s">
        <v>62</v>
      </c>
      <c r="J213" s="181"/>
      <c r="K213" s="76" t="s">
        <v>93</v>
      </c>
      <c r="L213" s="181" t="s">
        <v>120</v>
      </c>
      <c r="M213" s="181"/>
    </row>
    <row r="214" spans="6:37" s="1" customFormat="1" ht="15.75" customHeight="1"/>
    <row r="215" spans="6:37" s="1" customFormat="1" ht="15.75" customHeight="1">
      <c r="G215" s="1" t="s">
        <v>3</v>
      </c>
      <c r="J215" s="181" t="s">
        <v>119</v>
      </c>
      <c r="K215" s="181"/>
      <c r="L215" s="76" t="s">
        <v>2</v>
      </c>
      <c r="M215" s="1" t="s">
        <v>121</v>
      </c>
    </row>
    <row r="216" spans="6:37" s="1" customFormat="1" ht="15.75" customHeight="1">
      <c r="J216" s="181" t="s">
        <v>85</v>
      </c>
      <c r="K216" s="181"/>
      <c r="L216" s="76" t="s">
        <v>2</v>
      </c>
      <c r="M216" s="1" t="s">
        <v>67</v>
      </c>
    </row>
    <row r="217" spans="6:37" s="1" customFormat="1" ht="15.75" customHeight="1">
      <c r="J217" s="181" t="s">
        <v>120</v>
      </c>
      <c r="K217" s="181"/>
      <c r="L217" s="76" t="s">
        <v>2</v>
      </c>
      <c r="M217" s="1" t="s">
        <v>122</v>
      </c>
    </row>
    <row r="218" spans="6:37" s="1" customFormat="1" ht="15.75" customHeight="1">
      <c r="J218" s="76"/>
      <c r="K218" s="76"/>
      <c r="L218" s="76"/>
      <c r="M218" s="181" t="s">
        <v>120</v>
      </c>
      <c r="N218" s="181"/>
      <c r="O218" s="76" t="s">
        <v>27</v>
      </c>
      <c r="P218" s="233">
        <v>0.25</v>
      </c>
      <c r="Q218" s="233"/>
      <c r="R218" s="76" t="s">
        <v>93</v>
      </c>
      <c r="S218" s="76" t="s">
        <v>123</v>
      </c>
      <c r="T218" s="76" t="s">
        <v>93</v>
      </c>
      <c r="U218" s="2" t="s">
        <v>65</v>
      </c>
      <c r="V218" s="88">
        <v>2</v>
      </c>
    </row>
    <row r="219" spans="6:37" s="1" customFormat="1" ht="15.75" customHeight="1">
      <c r="J219" s="76"/>
      <c r="K219" s="76"/>
      <c r="L219" s="76"/>
      <c r="M219" s="76"/>
      <c r="N219" s="76"/>
      <c r="O219" s="76" t="s">
        <v>27</v>
      </c>
      <c r="P219" s="233">
        <f>P218</f>
        <v>0.25</v>
      </c>
      <c r="Q219" s="233"/>
      <c r="R219" s="76" t="s">
        <v>124</v>
      </c>
      <c r="S219" s="76" t="s">
        <v>123</v>
      </c>
      <c r="T219" s="76" t="s">
        <v>124</v>
      </c>
      <c r="U219" s="212">
        <f>U220</f>
        <v>1</v>
      </c>
      <c r="V219" s="212"/>
      <c r="W219" s="212"/>
      <c r="X219" s="88">
        <f>V218</f>
        <v>2</v>
      </c>
      <c r="Y219" s="76" t="s">
        <v>27</v>
      </c>
      <c r="Z219" s="181">
        <f>ROUND(P219*PI()*U219^X219,3)</f>
        <v>0.78500000000000003</v>
      </c>
      <c r="AA219" s="181"/>
      <c r="AB219" s="181"/>
      <c r="AC219" s="1" t="s">
        <v>125</v>
      </c>
    </row>
    <row r="220" spans="6:37" s="1" customFormat="1" ht="15.75" customHeight="1">
      <c r="J220" s="181" t="s">
        <v>65</v>
      </c>
      <c r="K220" s="181"/>
      <c r="L220" s="76" t="s">
        <v>2</v>
      </c>
      <c r="M220" s="1" t="s">
        <v>126</v>
      </c>
      <c r="S220" s="2" t="s">
        <v>127</v>
      </c>
      <c r="T220" s="76" t="s">
        <v>27</v>
      </c>
      <c r="U220" s="212">
        <f>Q92</f>
        <v>1</v>
      </c>
      <c r="V220" s="212"/>
      <c r="W220" s="212"/>
      <c r="X220" s="1" t="s">
        <v>128</v>
      </c>
    </row>
    <row r="221" spans="6:37" s="1" customFormat="1" ht="15.75" customHeight="1">
      <c r="J221" s="76"/>
      <c r="K221" s="76"/>
      <c r="L221" s="76"/>
      <c r="R221" s="2"/>
      <c r="S221" s="76"/>
      <c r="T221" s="9"/>
      <c r="U221" s="9"/>
    </row>
    <row r="222" spans="6:37" s="1" customFormat="1" ht="15.75" customHeight="1">
      <c r="J222" s="64" t="s">
        <v>129</v>
      </c>
      <c r="K222" s="64"/>
      <c r="L222" s="64"/>
      <c r="M222" s="64"/>
      <c r="N222" s="64"/>
      <c r="O222" s="64"/>
      <c r="P222" s="64"/>
      <c r="Q222" s="64"/>
      <c r="R222" s="64"/>
      <c r="S222" s="64"/>
      <c r="T222" s="64"/>
      <c r="U222" s="64"/>
      <c r="V222" s="64"/>
      <c r="W222" s="64"/>
      <c r="X222" s="64"/>
      <c r="Y222" s="64"/>
      <c r="Z222" s="64"/>
      <c r="AA222" s="64"/>
      <c r="AB222" s="8"/>
      <c r="AC222" s="8"/>
      <c r="AD222" s="8"/>
      <c r="AE222" s="8"/>
      <c r="AF222" s="8"/>
      <c r="AG222" s="8"/>
      <c r="AH222" s="8"/>
      <c r="AI222" s="8"/>
      <c r="AJ222" s="8"/>
      <c r="AK222" s="8"/>
    </row>
    <row r="223" spans="6:37" s="1" customFormat="1" ht="15.75" customHeight="1">
      <c r="J223" s="213" t="s">
        <v>73</v>
      </c>
      <c r="K223" s="147"/>
      <c r="L223" s="147"/>
      <c r="M223" s="147"/>
      <c r="N223" s="147"/>
      <c r="O223" s="147"/>
      <c r="P223" s="147" t="s">
        <v>130</v>
      </c>
      <c r="Q223" s="147"/>
      <c r="R223" s="147"/>
      <c r="S223" s="147"/>
      <c r="T223" s="147"/>
      <c r="U223" s="147"/>
      <c r="V223" s="147" t="s">
        <v>537</v>
      </c>
      <c r="W223" s="147"/>
      <c r="X223" s="147"/>
      <c r="Y223" s="147"/>
      <c r="Z223" s="147"/>
      <c r="AA223" s="214"/>
    </row>
    <row r="224" spans="6:37" s="1" customFormat="1" ht="15.75" customHeight="1">
      <c r="J224" s="215">
        <f>W92</f>
        <v>64232</v>
      </c>
      <c r="K224" s="148"/>
      <c r="L224" s="148"/>
      <c r="M224" s="148"/>
      <c r="N224" s="148"/>
      <c r="O224" s="148"/>
      <c r="P224" s="177">
        <f>ROUND(Z219,3)</f>
        <v>0.78500000000000003</v>
      </c>
      <c r="Q224" s="177"/>
      <c r="R224" s="177"/>
      <c r="S224" s="177"/>
      <c r="T224" s="177"/>
      <c r="U224" s="177"/>
      <c r="V224" s="148">
        <f>ROUND(J224*P224,0)</f>
        <v>50422</v>
      </c>
      <c r="W224" s="148"/>
      <c r="X224" s="148"/>
      <c r="Y224" s="148"/>
      <c r="Z224" s="148"/>
      <c r="AA224" s="216"/>
    </row>
    <row r="225" spans="4:37" s="1" customFormat="1" ht="15.75" customHeight="1"/>
    <row r="226" spans="4:37" s="1" customFormat="1" ht="15.75" customHeight="1">
      <c r="J226" s="64" t="s">
        <v>131</v>
      </c>
      <c r="K226" s="64"/>
      <c r="L226" s="64"/>
      <c r="M226" s="64"/>
      <c r="N226" s="64"/>
      <c r="O226" s="64"/>
      <c r="P226" s="64"/>
      <c r="Q226" s="64"/>
      <c r="R226" s="64"/>
      <c r="S226" s="64"/>
      <c r="T226" s="64"/>
      <c r="U226" s="64"/>
      <c r="V226" s="64"/>
      <c r="W226" s="64"/>
      <c r="X226" s="64"/>
      <c r="Y226" s="64"/>
      <c r="Z226" s="64"/>
      <c r="AA226" s="64"/>
      <c r="AB226" s="8"/>
      <c r="AC226" s="8"/>
      <c r="AD226" s="8"/>
      <c r="AE226" s="8"/>
      <c r="AF226" s="8"/>
      <c r="AG226" s="8"/>
      <c r="AH226" s="8"/>
      <c r="AI226" s="8"/>
      <c r="AJ226" s="8"/>
      <c r="AK226" s="8"/>
    </row>
    <row r="227" spans="4:37" s="1" customFormat="1" ht="15.75" customHeight="1">
      <c r="J227" s="213" t="s">
        <v>73</v>
      </c>
      <c r="K227" s="147"/>
      <c r="L227" s="147"/>
      <c r="M227" s="147"/>
      <c r="N227" s="147"/>
      <c r="O227" s="147"/>
      <c r="P227" s="147" t="s">
        <v>130</v>
      </c>
      <c r="Q227" s="147"/>
      <c r="R227" s="147"/>
      <c r="S227" s="147"/>
      <c r="T227" s="147"/>
      <c r="U227" s="147"/>
      <c r="V227" s="147" t="s">
        <v>537</v>
      </c>
      <c r="W227" s="147"/>
      <c r="X227" s="147"/>
      <c r="Y227" s="147"/>
      <c r="Z227" s="147"/>
      <c r="AA227" s="214"/>
    </row>
    <row r="228" spans="4:37" s="1" customFormat="1" ht="15.75" customHeight="1">
      <c r="J228" s="215">
        <f>W96</f>
        <v>128464</v>
      </c>
      <c r="K228" s="148"/>
      <c r="L228" s="148"/>
      <c r="M228" s="148"/>
      <c r="N228" s="148"/>
      <c r="O228" s="148"/>
      <c r="P228" s="177">
        <f>ROUND(Z219,3)</f>
        <v>0.78500000000000003</v>
      </c>
      <c r="Q228" s="177"/>
      <c r="R228" s="177"/>
      <c r="S228" s="177"/>
      <c r="T228" s="177"/>
      <c r="U228" s="177"/>
      <c r="V228" s="148">
        <f>ROUND(J228*P228,0)</f>
        <v>100844</v>
      </c>
      <c r="W228" s="148"/>
      <c r="X228" s="148"/>
      <c r="Y228" s="148"/>
      <c r="Z228" s="148"/>
      <c r="AA228" s="216"/>
    </row>
    <row r="233" spans="4:37" s="1" customFormat="1" ht="15.75" customHeight="1">
      <c r="D233" s="1" t="s">
        <v>489</v>
      </c>
    </row>
    <row r="234" spans="4:37" s="1" customFormat="1" ht="15.75" customHeight="1"/>
    <row r="235" spans="4:37" s="1" customFormat="1" ht="15.75" customHeight="1">
      <c r="F235" s="1" t="s">
        <v>358</v>
      </c>
    </row>
    <row r="236" spans="4:37" s="1" customFormat="1" ht="15.75" customHeight="1">
      <c r="F236" s="1" t="s">
        <v>357</v>
      </c>
    </row>
    <row r="237" spans="4:37" s="1" customFormat="1" ht="15.75" customHeight="1"/>
    <row r="238" spans="4:37" s="1" customFormat="1" ht="15.75" customHeight="1">
      <c r="F238" s="181" t="s">
        <v>193</v>
      </c>
      <c r="G238" s="181"/>
      <c r="H238" s="76" t="s">
        <v>27</v>
      </c>
      <c r="I238" s="181" t="s">
        <v>91</v>
      </c>
      <c r="J238" s="181"/>
      <c r="K238" s="76" t="s">
        <v>93</v>
      </c>
      <c r="L238" s="76" t="s">
        <v>65</v>
      </c>
      <c r="M238" s="76" t="s">
        <v>93</v>
      </c>
      <c r="N238" s="89" t="s">
        <v>496</v>
      </c>
    </row>
    <row r="239" spans="4:37" s="1" customFormat="1" ht="15.75" customHeight="1"/>
    <row r="240" spans="4:37" s="1" customFormat="1" ht="15.75" customHeight="1">
      <c r="G240" s="1" t="s">
        <v>3</v>
      </c>
      <c r="J240" s="181" t="s">
        <v>193</v>
      </c>
      <c r="K240" s="181"/>
      <c r="L240" s="76" t="s">
        <v>2</v>
      </c>
      <c r="M240" s="1" t="s">
        <v>494</v>
      </c>
    </row>
    <row r="241" spans="1:36" s="1" customFormat="1" ht="15.75" customHeight="1">
      <c r="J241" s="181" t="s">
        <v>91</v>
      </c>
      <c r="K241" s="181"/>
      <c r="L241" s="76" t="s">
        <v>2</v>
      </c>
      <c r="M241" s="1" t="s">
        <v>194</v>
      </c>
    </row>
    <row r="242" spans="1:36" s="1" customFormat="1" ht="15.75" customHeight="1">
      <c r="J242" s="181" t="s">
        <v>65</v>
      </c>
      <c r="K242" s="181"/>
      <c r="L242" s="76" t="s">
        <v>2</v>
      </c>
      <c r="M242" s="1" t="s">
        <v>137</v>
      </c>
      <c r="P242" s="2" t="s">
        <v>127</v>
      </c>
      <c r="Q242" s="76" t="s">
        <v>27</v>
      </c>
      <c r="R242" s="212">
        <f>Q92</f>
        <v>1</v>
      </c>
      <c r="S242" s="212"/>
      <c r="T242" s="212"/>
      <c r="U242" s="1" t="s">
        <v>128</v>
      </c>
    </row>
    <row r="243" spans="1:36" s="1" customFormat="1" ht="15.75" customHeight="1">
      <c r="J243" s="181" t="s">
        <v>496</v>
      </c>
      <c r="K243" s="181"/>
      <c r="L243" s="76" t="s">
        <v>2</v>
      </c>
      <c r="M243" s="1" t="s">
        <v>495</v>
      </c>
    </row>
    <row r="244" spans="1:36" s="1" customFormat="1" ht="15.75" customHeight="1"/>
    <row r="245" spans="1:36" s="1" customFormat="1" ht="15.75" customHeight="1">
      <c r="F245" s="61" t="s">
        <v>195</v>
      </c>
      <c r="G245" s="85"/>
      <c r="H245" s="85"/>
      <c r="I245" s="61"/>
      <c r="J245" s="61"/>
      <c r="K245" s="61"/>
      <c r="L245" s="61"/>
      <c r="M245" s="61"/>
      <c r="N245" s="61"/>
      <c r="O245" s="61"/>
      <c r="P245" s="61"/>
      <c r="Q245" s="61"/>
      <c r="R245" s="61"/>
      <c r="S245" s="61"/>
      <c r="T245" s="61"/>
      <c r="U245" s="61"/>
      <c r="V245" s="61"/>
      <c r="W245" s="61"/>
      <c r="X245" s="61"/>
      <c r="Y245" s="61"/>
      <c r="Z245" s="61"/>
      <c r="AA245" s="61"/>
      <c r="AB245" s="85"/>
      <c r="AC245" s="85"/>
      <c r="AF245" s="8"/>
      <c r="AG245" s="8"/>
      <c r="AH245" s="8"/>
      <c r="AI245" s="8"/>
      <c r="AJ245" s="8"/>
    </row>
    <row r="246" spans="1:36" s="1" customFormat="1" ht="15.75" customHeight="1">
      <c r="F246" s="306" t="s">
        <v>78</v>
      </c>
      <c r="G246" s="307"/>
      <c r="H246" s="307"/>
      <c r="I246" s="310" t="s">
        <v>491</v>
      </c>
      <c r="J246" s="147"/>
      <c r="K246" s="147"/>
      <c r="L246" s="147"/>
      <c r="M246" s="146" t="s">
        <v>492</v>
      </c>
      <c r="N246" s="147"/>
      <c r="O246" s="147"/>
      <c r="P246" s="313"/>
      <c r="Q246" s="335" t="s">
        <v>196</v>
      </c>
      <c r="R246" s="307"/>
      <c r="S246" s="336"/>
      <c r="T246" s="318" t="s">
        <v>497</v>
      </c>
      <c r="U246" s="319"/>
      <c r="V246" s="319"/>
      <c r="W246" s="319"/>
      <c r="X246" s="306"/>
      <c r="Y246" s="324" t="s">
        <v>498</v>
      </c>
      <c r="Z246" s="319"/>
      <c r="AA246" s="319"/>
      <c r="AB246" s="319"/>
      <c r="AC246" s="319"/>
      <c r="AF246" s="8"/>
      <c r="AG246" s="8"/>
      <c r="AH246" s="8"/>
      <c r="AI246" s="8"/>
      <c r="AJ246" s="8"/>
    </row>
    <row r="247" spans="1:36" s="1" customFormat="1" ht="15.75" customHeight="1">
      <c r="F247" s="308"/>
      <c r="G247" s="309"/>
      <c r="H247" s="309"/>
      <c r="I247" s="311"/>
      <c r="J247" s="169"/>
      <c r="K247" s="169"/>
      <c r="L247" s="169"/>
      <c r="M247" s="300"/>
      <c r="N247" s="169"/>
      <c r="O247" s="169"/>
      <c r="P247" s="314"/>
      <c r="Q247" s="337"/>
      <c r="R247" s="309"/>
      <c r="S247" s="338"/>
      <c r="T247" s="320"/>
      <c r="U247" s="321"/>
      <c r="V247" s="321"/>
      <c r="W247" s="321"/>
      <c r="X247" s="308"/>
      <c r="Y247" s="325"/>
      <c r="Z247" s="321"/>
      <c r="AA247" s="321"/>
      <c r="AB247" s="321"/>
      <c r="AC247" s="321"/>
      <c r="AF247" s="8"/>
      <c r="AG247" s="8"/>
      <c r="AH247" s="8"/>
      <c r="AI247" s="8"/>
      <c r="AJ247" s="8"/>
    </row>
    <row r="248" spans="1:36" s="1" customFormat="1" ht="15.75" customHeight="1">
      <c r="F248" s="225"/>
      <c r="G248" s="226"/>
      <c r="H248" s="226"/>
      <c r="I248" s="312"/>
      <c r="J248" s="148"/>
      <c r="K248" s="148"/>
      <c r="L248" s="148"/>
      <c r="M248" s="148"/>
      <c r="N248" s="148"/>
      <c r="O248" s="148"/>
      <c r="P248" s="315"/>
      <c r="Q248" s="339"/>
      <c r="R248" s="226"/>
      <c r="S248" s="340"/>
      <c r="T248" s="322"/>
      <c r="U248" s="323"/>
      <c r="V248" s="323"/>
      <c r="W248" s="323"/>
      <c r="X248" s="225"/>
      <c r="Y248" s="326"/>
      <c r="Z248" s="323"/>
      <c r="AA248" s="323"/>
      <c r="AB248" s="323"/>
      <c r="AC248" s="323"/>
      <c r="AF248" s="8"/>
      <c r="AG248" s="8"/>
      <c r="AH248" s="8"/>
      <c r="AI248" s="8"/>
      <c r="AJ248" s="8"/>
    </row>
    <row r="249" spans="1:36" s="1" customFormat="1" ht="15.75" customHeight="1">
      <c r="A249" s="73" t="str">
        <f t="shared" ref="A249:A264" si="15">IF(F249="","×","")</f>
        <v/>
      </c>
      <c r="F249" s="224">
        <f>IF(H112="","",H112)</f>
        <v>3</v>
      </c>
      <c r="G249" s="165"/>
      <c r="H249" s="165"/>
      <c r="I249" s="317">
        <f>IF(Q155="","",Q155*AG$202)</f>
        <v>5528.3814959387546</v>
      </c>
      <c r="J249" s="223"/>
      <c r="K249" s="223"/>
      <c r="L249" s="223"/>
      <c r="M249" s="223">
        <f>IF(Q155="","",Q155*AG$203)</f>
        <v>6500.2939276247062</v>
      </c>
      <c r="N249" s="223"/>
      <c r="O249" s="223"/>
      <c r="P249" s="235"/>
      <c r="Q249" s="332">
        <f>R242</f>
        <v>1</v>
      </c>
      <c r="R249" s="333"/>
      <c r="S249" s="334"/>
      <c r="T249" s="317">
        <f>IF(I249="","",ROUND(I249*Q249,-1))</f>
        <v>5530</v>
      </c>
      <c r="U249" s="341"/>
      <c r="V249" s="223"/>
      <c r="W249" s="223"/>
      <c r="X249" s="223"/>
      <c r="Y249" s="223">
        <f>IF(M249="","",ROUND(M249*Q249,-1))</f>
        <v>6500</v>
      </c>
      <c r="Z249" s="223"/>
      <c r="AA249" s="223"/>
      <c r="AB249" s="223"/>
      <c r="AC249" s="327"/>
      <c r="AD249" s="8"/>
      <c r="AE249" s="8"/>
      <c r="AF249" s="8"/>
      <c r="AG249" s="8"/>
      <c r="AH249" s="8"/>
      <c r="AI249" s="8"/>
      <c r="AJ249" s="8"/>
    </row>
    <row r="250" spans="1:36" s="1" customFormat="1" ht="15.75" customHeight="1">
      <c r="A250" s="73" t="str">
        <f t="shared" si="15"/>
        <v/>
      </c>
      <c r="F250" s="204">
        <f>IF(H113="","",H113)</f>
        <v>4</v>
      </c>
      <c r="G250" s="205"/>
      <c r="H250" s="205"/>
      <c r="I250" s="200">
        <f>IF(Q156="","",Q156*AG$202)</f>
        <v>11358.383231426214</v>
      </c>
      <c r="J250" s="191"/>
      <c r="K250" s="191"/>
      <c r="L250" s="191"/>
      <c r="M250" s="191">
        <f>IF(Q156="","",Q156*AG$203)</f>
        <v>13355.234185830515</v>
      </c>
      <c r="N250" s="191"/>
      <c r="O250" s="191"/>
      <c r="P250" s="206"/>
      <c r="Q250" s="196">
        <f>Q249</f>
        <v>1</v>
      </c>
      <c r="R250" s="168"/>
      <c r="S250" s="197"/>
      <c r="T250" s="200">
        <f t="shared" ref="T250:T264" si="16">IF(I250="","",ROUND(I250*Q250,-1))</f>
        <v>11360</v>
      </c>
      <c r="U250" s="201"/>
      <c r="V250" s="191"/>
      <c r="W250" s="191"/>
      <c r="X250" s="191"/>
      <c r="Y250" s="191">
        <f t="shared" ref="Y250:Y264" si="17">IF(M250="","",ROUND(M250*Q250,-1))</f>
        <v>13360</v>
      </c>
      <c r="Z250" s="191"/>
      <c r="AA250" s="191"/>
      <c r="AB250" s="191"/>
      <c r="AC250" s="192"/>
      <c r="AD250" s="8"/>
      <c r="AE250" s="8"/>
      <c r="AF250" s="8"/>
      <c r="AG250" s="8"/>
      <c r="AH250" s="8"/>
      <c r="AI250" s="8"/>
      <c r="AJ250" s="8"/>
    </row>
    <row r="251" spans="1:36" s="1" customFormat="1" ht="15.75" customHeight="1">
      <c r="A251" s="73" t="str">
        <f t="shared" si="15"/>
        <v/>
      </c>
      <c r="F251" s="204">
        <f>IF(H114="","",H114)</f>
        <v>5</v>
      </c>
      <c r="G251" s="205"/>
      <c r="H251" s="205"/>
      <c r="I251" s="200">
        <f>IF(Q157="","",Q157*AG$202)</f>
        <v>12926.014739606981</v>
      </c>
      <c r="J251" s="191"/>
      <c r="K251" s="191"/>
      <c r="L251" s="191"/>
      <c r="M251" s="191">
        <f>IF(Q157="","",Q157*AG$203)</f>
        <v>15198.461825034938</v>
      </c>
      <c r="N251" s="191"/>
      <c r="O251" s="191"/>
      <c r="P251" s="206"/>
      <c r="Q251" s="196">
        <f t="shared" ref="Q251:Q264" si="18">Q250</f>
        <v>1</v>
      </c>
      <c r="R251" s="168"/>
      <c r="S251" s="197"/>
      <c r="T251" s="200">
        <f t="shared" si="16"/>
        <v>12930</v>
      </c>
      <c r="U251" s="201"/>
      <c r="V251" s="191"/>
      <c r="W251" s="191"/>
      <c r="X251" s="191"/>
      <c r="Y251" s="191">
        <f t="shared" si="17"/>
        <v>15200</v>
      </c>
      <c r="Z251" s="191"/>
      <c r="AA251" s="191"/>
      <c r="AB251" s="191"/>
      <c r="AC251" s="192"/>
      <c r="AD251" s="8"/>
      <c r="AE251" s="8"/>
      <c r="AF251" s="8"/>
      <c r="AG251" s="8"/>
      <c r="AH251" s="8"/>
      <c r="AI251" s="8"/>
      <c r="AJ251" s="8"/>
    </row>
    <row r="252" spans="1:36" s="1" customFormat="1" ht="15.75" customHeight="1">
      <c r="A252" s="73" t="str">
        <f t="shared" si="15"/>
        <v/>
      </c>
      <c r="F252" s="204">
        <f>IF(H115="","",H115)</f>
        <v>6</v>
      </c>
      <c r="G252" s="205"/>
      <c r="H252" s="205"/>
      <c r="I252" s="200">
        <f>IF(Q158="","",Q158*AG$202)</f>
        <v>18430.584111370837</v>
      </c>
      <c r="J252" s="191"/>
      <c r="K252" s="191"/>
      <c r="L252" s="191"/>
      <c r="M252" s="191">
        <f>IF(Q158="","",Q158*AG$203)</f>
        <v>21670.757358140083</v>
      </c>
      <c r="N252" s="191"/>
      <c r="O252" s="191"/>
      <c r="P252" s="206"/>
      <c r="Q252" s="196">
        <f t="shared" si="18"/>
        <v>1</v>
      </c>
      <c r="R252" s="168"/>
      <c r="S252" s="197"/>
      <c r="T252" s="200">
        <f t="shared" si="16"/>
        <v>18430</v>
      </c>
      <c r="U252" s="201"/>
      <c r="V252" s="191"/>
      <c r="W252" s="191"/>
      <c r="X252" s="191"/>
      <c r="Y252" s="191">
        <f t="shared" si="17"/>
        <v>21670</v>
      </c>
      <c r="Z252" s="191"/>
      <c r="AA252" s="191"/>
      <c r="AB252" s="191"/>
      <c r="AC252" s="192"/>
      <c r="AD252" s="8"/>
      <c r="AE252" s="8"/>
      <c r="AF252" s="8"/>
      <c r="AG252" s="8"/>
      <c r="AH252" s="8"/>
      <c r="AI252" s="8"/>
      <c r="AJ252" s="8"/>
    </row>
    <row r="253" spans="1:36" s="1" customFormat="1" ht="15.75" customHeight="1">
      <c r="A253" s="73" t="str">
        <f t="shared" si="15"/>
        <v/>
      </c>
      <c r="F253" s="204">
        <f>IF(H116="","",H116)</f>
        <v>7</v>
      </c>
      <c r="G253" s="205"/>
      <c r="H253" s="205"/>
      <c r="I253" s="200">
        <f>IF(Q159="","",Q159*AG$202)</f>
        <v>36416.67523814358</v>
      </c>
      <c r="J253" s="191"/>
      <c r="K253" s="191"/>
      <c r="L253" s="191"/>
      <c r="M253" s="191">
        <f>IF(Q159="","",Q159*AG$203)</f>
        <v>42818.878018581694</v>
      </c>
      <c r="N253" s="191"/>
      <c r="O253" s="191"/>
      <c r="P253" s="206"/>
      <c r="Q253" s="196">
        <f t="shared" si="18"/>
        <v>1</v>
      </c>
      <c r="R253" s="168"/>
      <c r="S253" s="197"/>
      <c r="T253" s="200">
        <f t="shared" si="16"/>
        <v>36420</v>
      </c>
      <c r="U253" s="201"/>
      <c r="V253" s="191"/>
      <c r="W253" s="191"/>
      <c r="X253" s="191"/>
      <c r="Y253" s="191">
        <f t="shared" si="17"/>
        <v>42820</v>
      </c>
      <c r="Z253" s="191"/>
      <c r="AA253" s="191"/>
      <c r="AB253" s="191"/>
      <c r="AC253" s="192"/>
      <c r="AD253" s="8"/>
      <c r="AE253" s="8"/>
      <c r="AF253" s="8"/>
      <c r="AG253" s="8"/>
      <c r="AH253" s="8"/>
      <c r="AI253" s="8"/>
      <c r="AJ253" s="8"/>
    </row>
    <row r="254" spans="1:36" s="1" customFormat="1" ht="15.75" hidden="1" customHeight="1">
      <c r="A254" s="73" t="str">
        <f t="shared" si="15"/>
        <v>×</v>
      </c>
      <c r="F254" s="204" t="str">
        <f>IF(H117="","",H117)</f>
        <v/>
      </c>
      <c r="G254" s="205"/>
      <c r="H254" s="205"/>
      <c r="I254" s="200" t="str">
        <f>IF(Q160="","",Q160*AG$202)</f>
        <v/>
      </c>
      <c r="J254" s="191"/>
      <c r="K254" s="191"/>
      <c r="L254" s="191"/>
      <c r="M254" s="191" t="str">
        <f>IF(Q160="","",Q160*AG$203)</f>
        <v/>
      </c>
      <c r="N254" s="191"/>
      <c r="O254" s="191"/>
      <c r="P254" s="206"/>
      <c r="Q254" s="196">
        <f t="shared" si="18"/>
        <v>1</v>
      </c>
      <c r="R254" s="168"/>
      <c r="S254" s="197"/>
      <c r="T254" s="200" t="str">
        <f t="shared" si="16"/>
        <v/>
      </c>
      <c r="U254" s="201"/>
      <c r="V254" s="191"/>
      <c r="W254" s="191"/>
      <c r="X254" s="191"/>
      <c r="Y254" s="191" t="str">
        <f t="shared" si="17"/>
        <v/>
      </c>
      <c r="Z254" s="191"/>
      <c r="AA254" s="191"/>
      <c r="AB254" s="191"/>
      <c r="AC254" s="192"/>
      <c r="AD254" s="8"/>
      <c r="AE254" s="8"/>
      <c r="AF254" s="8"/>
      <c r="AG254" s="8"/>
      <c r="AH254" s="8"/>
      <c r="AI254" s="8"/>
      <c r="AJ254" s="8"/>
    </row>
    <row r="255" spans="1:36" s="1" customFormat="1" ht="15.75" hidden="1" customHeight="1">
      <c r="A255" s="73" t="str">
        <f t="shared" si="15"/>
        <v>×</v>
      </c>
      <c r="F255" s="204" t="str">
        <f>IF(H118="","",H118)</f>
        <v/>
      </c>
      <c r="G255" s="205"/>
      <c r="H255" s="205"/>
      <c r="I255" s="200" t="str">
        <f>IF(Q161="","",Q161*AG$202)</f>
        <v/>
      </c>
      <c r="J255" s="191"/>
      <c r="K255" s="191"/>
      <c r="L255" s="191"/>
      <c r="M255" s="191" t="str">
        <f>IF(Q161="","",Q161*AG$203)</f>
        <v/>
      </c>
      <c r="N255" s="191"/>
      <c r="O255" s="191"/>
      <c r="P255" s="206"/>
      <c r="Q255" s="196">
        <f t="shared" si="18"/>
        <v>1</v>
      </c>
      <c r="R255" s="168"/>
      <c r="S255" s="197"/>
      <c r="T255" s="200" t="str">
        <f t="shared" si="16"/>
        <v/>
      </c>
      <c r="U255" s="201"/>
      <c r="V255" s="191"/>
      <c r="W255" s="191"/>
      <c r="X255" s="191"/>
      <c r="Y255" s="191" t="str">
        <f t="shared" si="17"/>
        <v/>
      </c>
      <c r="Z255" s="191"/>
      <c r="AA255" s="191"/>
      <c r="AB255" s="191"/>
      <c r="AC255" s="192"/>
      <c r="AD255" s="8"/>
      <c r="AE255" s="8"/>
      <c r="AF255" s="8"/>
      <c r="AG255" s="8"/>
      <c r="AH255" s="8"/>
      <c r="AI255" s="8"/>
      <c r="AJ255" s="8"/>
    </row>
    <row r="256" spans="1:36" s="1" customFormat="1" ht="15.75" hidden="1" customHeight="1">
      <c r="A256" s="73" t="str">
        <f t="shared" si="15"/>
        <v>×</v>
      </c>
      <c r="F256" s="204" t="str">
        <f>IF(H119="","",H119)</f>
        <v/>
      </c>
      <c r="G256" s="205"/>
      <c r="H256" s="205"/>
      <c r="I256" s="200" t="str">
        <f>IF(Q162="","",Q162*AG$202)</f>
        <v/>
      </c>
      <c r="J256" s="191"/>
      <c r="K256" s="191"/>
      <c r="L256" s="191"/>
      <c r="M256" s="191" t="str">
        <f>IF(Q162="","",Q162*AG$203)</f>
        <v/>
      </c>
      <c r="N256" s="191"/>
      <c r="O256" s="191"/>
      <c r="P256" s="206"/>
      <c r="Q256" s="196">
        <f t="shared" si="18"/>
        <v>1</v>
      </c>
      <c r="R256" s="168"/>
      <c r="S256" s="197"/>
      <c r="T256" s="200" t="str">
        <f t="shared" si="16"/>
        <v/>
      </c>
      <c r="U256" s="201"/>
      <c r="V256" s="191"/>
      <c r="W256" s="191"/>
      <c r="X256" s="191"/>
      <c r="Y256" s="191" t="str">
        <f t="shared" si="17"/>
        <v/>
      </c>
      <c r="Z256" s="191"/>
      <c r="AA256" s="191"/>
      <c r="AB256" s="191"/>
      <c r="AC256" s="192"/>
      <c r="AD256" s="8"/>
      <c r="AE256" s="8"/>
      <c r="AF256" s="8"/>
      <c r="AG256" s="8"/>
      <c r="AH256" s="8"/>
      <c r="AI256" s="8"/>
      <c r="AJ256" s="8"/>
    </row>
    <row r="257" spans="1:91" s="1" customFormat="1" ht="15.75" hidden="1" customHeight="1">
      <c r="A257" s="73" t="str">
        <f t="shared" si="15"/>
        <v>×</v>
      </c>
      <c r="F257" s="204" t="str">
        <f>IF(H120="","",H120)</f>
        <v/>
      </c>
      <c r="G257" s="205"/>
      <c r="H257" s="205"/>
      <c r="I257" s="200" t="str">
        <f>IF(Q163="","",Q163*AG$202)</f>
        <v/>
      </c>
      <c r="J257" s="191"/>
      <c r="K257" s="191"/>
      <c r="L257" s="191"/>
      <c r="M257" s="191" t="str">
        <f>IF(Q163="","",Q163*AG$203)</f>
        <v/>
      </c>
      <c r="N257" s="191"/>
      <c r="O257" s="191"/>
      <c r="P257" s="206"/>
      <c r="Q257" s="196">
        <f t="shared" si="18"/>
        <v>1</v>
      </c>
      <c r="R257" s="168"/>
      <c r="S257" s="197"/>
      <c r="T257" s="200" t="str">
        <f t="shared" si="16"/>
        <v/>
      </c>
      <c r="U257" s="201"/>
      <c r="V257" s="191"/>
      <c r="W257" s="191"/>
      <c r="X257" s="191"/>
      <c r="Y257" s="191" t="str">
        <f t="shared" si="17"/>
        <v/>
      </c>
      <c r="Z257" s="191"/>
      <c r="AA257" s="191"/>
      <c r="AB257" s="191"/>
      <c r="AC257" s="192"/>
      <c r="AD257" s="8"/>
      <c r="AE257" s="8"/>
      <c r="AF257" s="8"/>
      <c r="AG257" s="8"/>
      <c r="AH257" s="8"/>
      <c r="AI257" s="8"/>
      <c r="AJ257" s="8"/>
    </row>
    <row r="258" spans="1:91" s="1" customFormat="1" ht="15.75" hidden="1" customHeight="1">
      <c r="A258" s="73" t="str">
        <f t="shared" si="15"/>
        <v>×</v>
      </c>
      <c r="F258" s="204" t="str">
        <f>IF(H121="","",H121)</f>
        <v/>
      </c>
      <c r="G258" s="205"/>
      <c r="H258" s="205"/>
      <c r="I258" s="200" t="str">
        <f>IF(Q164="","",Q164*AG$202)</f>
        <v/>
      </c>
      <c r="J258" s="191"/>
      <c r="K258" s="191"/>
      <c r="L258" s="191"/>
      <c r="M258" s="191" t="str">
        <f>IF(Q164="","",Q164*AG$203)</f>
        <v/>
      </c>
      <c r="N258" s="191"/>
      <c r="O258" s="191"/>
      <c r="P258" s="206"/>
      <c r="Q258" s="196">
        <f t="shared" si="18"/>
        <v>1</v>
      </c>
      <c r="R258" s="168"/>
      <c r="S258" s="197"/>
      <c r="T258" s="200" t="str">
        <f t="shared" si="16"/>
        <v/>
      </c>
      <c r="U258" s="201"/>
      <c r="V258" s="191"/>
      <c r="W258" s="191"/>
      <c r="X258" s="191"/>
      <c r="Y258" s="191" t="str">
        <f t="shared" si="17"/>
        <v/>
      </c>
      <c r="Z258" s="191"/>
      <c r="AA258" s="191"/>
      <c r="AB258" s="191"/>
      <c r="AC258" s="192"/>
      <c r="AD258" s="8"/>
      <c r="AE258" s="8"/>
      <c r="AF258" s="8"/>
      <c r="AG258" s="8"/>
      <c r="AH258" s="8"/>
      <c r="AI258" s="8"/>
      <c r="AJ258" s="8"/>
    </row>
    <row r="259" spans="1:91" s="1" customFormat="1" ht="15.75" hidden="1" customHeight="1">
      <c r="A259" s="73" t="str">
        <f t="shared" si="15"/>
        <v>×</v>
      </c>
      <c r="F259" s="204" t="str">
        <f>IF(H122="","",H122)</f>
        <v/>
      </c>
      <c r="G259" s="205"/>
      <c r="H259" s="205"/>
      <c r="I259" s="200" t="str">
        <f>IF(Q165="","",Q165*AG$202)</f>
        <v/>
      </c>
      <c r="J259" s="191"/>
      <c r="K259" s="191"/>
      <c r="L259" s="191"/>
      <c r="M259" s="191" t="str">
        <f>IF(Q165="","",Q165*AG$203)</f>
        <v/>
      </c>
      <c r="N259" s="191"/>
      <c r="O259" s="191"/>
      <c r="P259" s="206"/>
      <c r="Q259" s="196">
        <f t="shared" si="18"/>
        <v>1</v>
      </c>
      <c r="R259" s="168"/>
      <c r="S259" s="197"/>
      <c r="T259" s="200" t="str">
        <f t="shared" si="16"/>
        <v/>
      </c>
      <c r="U259" s="201"/>
      <c r="V259" s="191"/>
      <c r="W259" s="191"/>
      <c r="X259" s="191"/>
      <c r="Y259" s="191" t="str">
        <f t="shared" si="17"/>
        <v/>
      </c>
      <c r="Z259" s="191"/>
      <c r="AA259" s="191"/>
      <c r="AB259" s="191"/>
      <c r="AC259" s="192"/>
      <c r="AD259" s="8"/>
      <c r="AE259" s="8"/>
      <c r="AF259" s="8"/>
      <c r="AG259" s="8"/>
      <c r="AH259" s="8"/>
      <c r="AI259" s="8"/>
      <c r="AJ259" s="8"/>
    </row>
    <row r="260" spans="1:91" s="1" customFormat="1" ht="15.75" hidden="1" customHeight="1">
      <c r="A260" s="73" t="str">
        <f t="shared" si="15"/>
        <v>×</v>
      </c>
      <c r="F260" s="204" t="str">
        <f>IF(H123="","",H123)</f>
        <v/>
      </c>
      <c r="G260" s="205"/>
      <c r="H260" s="205"/>
      <c r="I260" s="200" t="str">
        <f>IF(Q166="","",Q166*AG$202)</f>
        <v/>
      </c>
      <c r="J260" s="191"/>
      <c r="K260" s="191"/>
      <c r="L260" s="191"/>
      <c r="M260" s="191" t="str">
        <f>IF(Q166="","",Q166*AG$203)</f>
        <v/>
      </c>
      <c r="N260" s="191"/>
      <c r="O260" s="191"/>
      <c r="P260" s="206"/>
      <c r="Q260" s="196">
        <f t="shared" si="18"/>
        <v>1</v>
      </c>
      <c r="R260" s="168"/>
      <c r="S260" s="197"/>
      <c r="T260" s="200" t="str">
        <f t="shared" si="16"/>
        <v/>
      </c>
      <c r="U260" s="201"/>
      <c r="V260" s="191"/>
      <c r="W260" s="191"/>
      <c r="X260" s="191"/>
      <c r="Y260" s="191" t="str">
        <f t="shared" si="17"/>
        <v/>
      </c>
      <c r="Z260" s="191"/>
      <c r="AA260" s="191"/>
      <c r="AB260" s="191"/>
      <c r="AC260" s="192"/>
      <c r="AD260" s="8"/>
      <c r="AE260" s="8"/>
      <c r="AF260" s="8"/>
      <c r="AG260" s="8"/>
      <c r="AH260" s="8"/>
      <c r="AI260" s="8"/>
      <c r="AJ260" s="8"/>
    </row>
    <row r="261" spans="1:91" s="1" customFormat="1" ht="15.75" hidden="1" customHeight="1">
      <c r="A261" s="73" t="str">
        <f t="shared" si="15"/>
        <v>×</v>
      </c>
      <c r="F261" s="204" t="str">
        <f>IF(H124="","",H124)</f>
        <v/>
      </c>
      <c r="G261" s="205"/>
      <c r="H261" s="205"/>
      <c r="I261" s="200" t="str">
        <f>IF(Q167="","",Q167*AG$202)</f>
        <v/>
      </c>
      <c r="J261" s="191"/>
      <c r="K261" s="191"/>
      <c r="L261" s="191"/>
      <c r="M261" s="191" t="str">
        <f>IF(Q167="","",Q167*AG$203)</f>
        <v/>
      </c>
      <c r="N261" s="191"/>
      <c r="O261" s="191"/>
      <c r="P261" s="206"/>
      <c r="Q261" s="196">
        <f t="shared" si="18"/>
        <v>1</v>
      </c>
      <c r="R261" s="168"/>
      <c r="S261" s="197"/>
      <c r="T261" s="200" t="str">
        <f t="shared" si="16"/>
        <v/>
      </c>
      <c r="U261" s="201"/>
      <c r="V261" s="191"/>
      <c r="W261" s="191"/>
      <c r="X261" s="191"/>
      <c r="Y261" s="191" t="str">
        <f t="shared" si="17"/>
        <v/>
      </c>
      <c r="Z261" s="191"/>
      <c r="AA261" s="191"/>
      <c r="AB261" s="191"/>
      <c r="AC261" s="192"/>
      <c r="AD261" s="8"/>
      <c r="AE261" s="8"/>
      <c r="AF261" s="8"/>
      <c r="AG261" s="8"/>
      <c r="AH261" s="8"/>
      <c r="AI261" s="8"/>
      <c r="AJ261" s="8"/>
    </row>
    <row r="262" spans="1:91" s="1" customFormat="1" ht="15.75" hidden="1" customHeight="1">
      <c r="A262" s="73" t="str">
        <f t="shared" si="15"/>
        <v>×</v>
      </c>
      <c r="F262" s="204" t="str">
        <f>IF(H125="","",H125)</f>
        <v/>
      </c>
      <c r="G262" s="205"/>
      <c r="H262" s="205"/>
      <c r="I262" s="200" t="str">
        <f>IF(Q168="","",Q168*AG$202)</f>
        <v/>
      </c>
      <c r="J262" s="191"/>
      <c r="K262" s="191"/>
      <c r="L262" s="191"/>
      <c r="M262" s="191" t="str">
        <f>IF(Q168="","",Q168*AG$203)</f>
        <v/>
      </c>
      <c r="N262" s="191"/>
      <c r="O262" s="191"/>
      <c r="P262" s="206"/>
      <c r="Q262" s="196">
        <f t="shared" si="18"/>
        <v>1</v>
      </c>
      <c r="R262" s="168"/>
      <c r="S262" s="197"/>
      <c r="T262" s="200" t="str">
        <f t="shared" si="16"/>
        <v/>
      </c>
      <c r="U262" s="201"/>
      <c r="V262" s="191"/>
      <c r="W262" s="191"/>
      <c r="X262" s="191"/>
      <c r="Y262" s="191" t="str">
        <f t="shared" si="17"/>
        <v/>
      </c>
      <c r="Z262" s="191"/>
      <c r="AA262" s="191"/>
      <c r="AB262" s="191"/>
      <c r="AC262" s="192"/>
      <c r="AD262" s="8"/>
      <c r="AE262" s="8"/>
      <c r="AF262" s="8"/>
      <c r="AG262" s="8"/>
      <c r="AH262" s="8"/>
      <c r="AI262" s="8"/>
      <c r="AJ262" s="8"/>
    </row>
    <row r="263" spans="1:91" s="1" customFormat="1" ht="15.75" hidden="1" customHeight="1">
      <c r="A263" s="73" t="str">
        <f t="shared" si="15"/>
        <v>×</v>
      </c>
      <c r="F263" s="204" t="str">
        <f>IF(H126="","",H126)</f>
        <v/>
      </c>
      <c r="G263" s="205"/>
      <c r="H263" s="205"/>
      <c r="I263" s="200" t="str">
        <f>IF(Q169="","",Q169*AG$202)</f>
        <v/>
      </c>
      <c r="J263" s="191"/>
      <c r="K263" s="191"/>
      <c r="L263" s="191"/>
      <c r="M263" s="191" t="str">
        <f>IF(Q169="","",Q169*AG$203)</f>
        <v/>
      </c>
      <c r="N263" s="191"/>
      <c r="O263" s="191"/>
      <c r="P263" s="206"/>
      <c r="Q263" s="196">
        <f t="shared" si="18"/>
        <v>1</v>
      </c>
      <c r="R263" s="168"/>
      <c r="S263" s="197"/>
      <c r="T263" s="200" t="str">
        <f t="shared" si="16"/>
        <v/>
      </c>
      <c r="U263" s="201"/>
      <c r="V263" s="191"/>
      <c r="W263" s="191"/>
      <c r="X263" s="191"/>
      <c r="Y263" s="191" t="str">
        <f t="shared" si="17"/>
        <v/>
      </c>
      <c r="Z263" s="191"/>
      <c r="AA263" s="191"/>
      <c r="AB263" s="191"/>
      <c r="AC263" s="192"/>
      <c r="AD263" s="8"/>
      <c r="AE263" s="8"/>
      <c r="AF263" s="8"/>
      <c r="AG263" s="8"/>
      <c r="AH263" s="8"/>
      <c r="AI263" s="8"/>
      <c r="AJ263" s="8"/>
    </row>
    <row r="264" spans="1:91" s="1" customFormat="1" ht="15.75" hidden="1" customHeight="1">
      <c r="A264" s="73" t="str">
        <f t="shared" si="15"/>
        <v>×</v>
      </c>
      <c r="F264" s="207" t="str">
        <f>IF(H127="","",H127)</f>
        <v/>
      </c>
      <c r="G264" s="208"/>
      <c r="H264" s="208"/>
      <c r="I264" s="202" t="str">
        <f>IF(Q170="","",Q170*AG$202)</f>
        <v/>
      </c>
      <c r="J264" s="193"/>
      <c r="K264" s="193"/>
      <c r="L264" s="193"/>
      <c r="M264" s="193" t="str">
        <f>IF(Q170="","",Q170*AG$203)</f>
        <v/>
      </c>
      <c r="N264" s="193"/>
      <c r="O264" s="193"/>
      <c r="P264" s="195"/>
      <c r="Q264" s="198">
        <f t="shared" si="18"/>
        <v>1</v>
      </c>
      <c r="R264" s="178"/>
      <c r="S264" s="199"/>
      <c r="T264" s="202" t="str">
        <f t="shared" si="16"/>
        <v/>
      </c>
      <c r="U264" s="203"/>
      <c r="V264" s="193"/>
      <c r="W264" s="193"/>
      <c r="X264" s="193"/>
      <c r="Y264" s="193" t="str">
        <f t="shared" si="17"/>
        <v/>
      </c>
      <c r="Z264" s="193"/>
      <c r="AA264" s="193"/>
      <c r="AB264" s="193"/>
      <c r="AC264" s="194"/>
      <c r="AD264" s="8"/>
      <c r="AE264" s="8"/>
      <c r="AF264" s="8"/>
      <c r="AG264" s="8"/>
      <c r="AH264" s="8"/>
      <c r="AI264" s="8"/>
      <c r="AJ264" s="8"/>
    </row>
    <row r="265" spans="1:91" s="1" customFormat="1" ht="15.75" customHeight="1">
      <c r="F265" s="86"/>
      <c r="G265" s="86"/>
      <c r="H265" s="86"/>
      <c r="I265" s="86"/>
      <c r="J265" s="86"/>
      <c r="K265" s="86"/>
      <c r="L265" s="86"/>
      <c r="M265" s="86"/>
      <c r="N265" s="86"/>
      <c r="O265" s="86"/>
      <c r="P265" s="86"/>
      <c r="Q265" s="86"/>
      <c r="R265" s="86"/>
      <c r="S265" s="86"/>
      <c r="T265" s="86"/>
      <c r="U265" s="86"/>
      <c r="V265" s="86"/>
      <c r="W265" s="86"/>
      <c r="X265" s="86"/>
      <c r="Y265" s="86"/>
      <c r="Z265" s="86"/>
      <c r="AA265" s="86"/>
      <c r="AB265" s="86"/>
      <c r="AC265" s="86"/>
      <c r="AM265" s="8"/>
      <c r="BK265" s="8"/>
      <c r="BL265" s="8"/>
      <c r="BM265" s="8"/>
      <c r="BN265" s="8"/>
    </row>
    <row r="266" spans="1:91" s="1" customFormat="1" ht="15.75" customHeight="1">
      <c r="AM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row>
    <row r="267" spans="1:91" s="1" customFormat="1" ht="15.75" customHeight="1">
      <c r="AM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row>
    <row r="268" spans="1:91" s="1" customFormat="1" ht="15.75" customHeight="1">
      <c r="AM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row>
    <row r="269" spans="1:91" s="1" customFormat="1" ht="15.75" customHeight="1">
      <c r="F269" s="61" t="s">
        <v>490</v>
      </c>
      <c r="G269" s="85"/>
      <c r="H269" s="85"/>
      <c r="I269" s="61"/>
      <c r="J269" s="61"/>
      <c r="K269" s="61"/>
      <c r="L269" s="61"/>
      <c r="M269" s="61"/>
      <c r="N269" s="61"/>
      <c r="O269" s="61"/>
      <c r="P269" s="61"/>
      <c r="Q269" s="61"/>
      <c r="R269" s="61"/>
      <c r="S269" s="61"/>
      <c r="T269" s="61"/>
      <c r="U269" s="61"/>
      <c r="V269" s="61"/>
      <c r="W269" s="61"/>
      <c r="X269" s="61"/>
      <c r="Y269" s="61"/>
      <c r="Z269" s="61"/>
      <c r="AA269" s="61"/>
      <c r="AB269" s="61"/>
      <c r="AC269" s="61"/>
      <c r="AD269" s="8"/>
      <c r="AE269" s="8"/>
      <c r="AF269" s="8"/>
      <c r="AG269" s="8"/>
      <c r="AH269" s="8"/>
      <c r="AI269" s="8"/>
      <c r="AJ269" s="8"/>
      <c r="AK269" s="8"/>
      <c r="BJ269" s="8"/>
      <c r="BK269" s="8"/>
      <c r="BL269" s="8"/>
      <c r="BM269" s="8"/>
      <c r="BN269" s="8"/>
      <c r="BO269" s="8"/>
      <c r="BP269" s="8"/>
      <c r="BQ269" s="8"/>
      <c r="BR269" s="8"/>
      <c r="BS269" s="8"/>
      <c r="BT269" s="8"/>
      <c r="BU269" s="8"/>
      <c r="BV269" s="8"/>
      <c r="BW269" s="8"/>
      <c r="BX269" s="8"/>
      <c r="BY269" s="8"/>
      <c r="BZ269" s="8"/>
      <c r="CA269" s="8"/>
      <c r="CB269" s="8"/>
      <c r="CC269" s="8"/>
      <c r="CD269" s="8"/>
      <c r="CE269" s="8"/>
      <c r="CF269" s="8"/>
      <c r="CG269" s="8"/>
      <c r="CH269" s="8"/>
    </row>
    <row r="270" spans="1:91" s="1" customFormat="1" ht="15.75" customHeight="1">
      <c r="F270" s="185" t="s">
        <v>78</v>
      </c>
      <c r="G270" s="146"/>
      <c r="H270" s="146"/>
      <c r="I270" s="310" t="s">
        <v>491</v>
      </c>
      <c r="J270" s="147"/>
      <c r="K270" s="147"/>
      <c r="L270" s="147"/>
      <c r="M270" s="146" t="s">
        <v>492</v>
      </c>
      <c r="N270" s="147"/>
      <c r="O270" s="147"/>
      <c r="P270" s="313"/>
      <c r="Q270" s="310" t="s">
        <v>196</v>
      </c>
      <c r="R270" s="146"/>
      <c r="S270" s="328"/>
      <c r="T270" s="318" t="s">
        <v>497</v>
      </c>
      <c r="U270" s="319"/>
      <c r="V270" s="319"/>
      <c r="W270" s="319"/>
      <c r="X270" s="306"/>
      <c r="Y270" s="324" t="s">
        <v>498</v>
      </c>
      <c r="Z270" s="319"/>
      <c r="AA270" s="319"/>
      <c r="AB270" s="319"/>
      <c r="AC270" s="319"/>
      <c r="AH270" s="8"/>
      <c r="AI270" s="8"/>
      <c r="AJ270" s="8"/>
      <c r="AK270" s="8"/>
      <c r="BJ270" s="8"/>
      <c r="BK270" s="8"/>
      <c r="BL270" s="8"/>
      <c r="BM270" s="8"/>
      <c r="BN270" s="8"/>
      <c r="BO270" s="8"/>
      <c r="BP270" s="8"/>
      <c r="BQ270" s="8"/>
      <c r="BR270" s="8"/>
      <c r="BS270" s="8"/>
      <c r="BT270" s="8"/>
      <c r="BU270" s="8"/>
      <c r="BV270" s="8"/>
      <c r="BW270" s="8"/>
      <c r="BX270" s="8"/>
      <c r="BY270" s="8"/>
      <c r="BZ270" s="8"/>
      <c r="CA270" s="8"/>
      <c r="CB270" s="8"/>
      <c r="CC270" s="8"/>
      <c r="CD270" s="8"/>
      <c r="CE270" s="8"/>
      <c r="CF270" s="8"/>
      <c r="CG270" s="8"/>
      <c r="CH270" s="8"/>
      <c r="CI270" s="8"/>
      <c r="CJ270" s="8"/>
      <c r="CK270" s="8"/>
      <c r="CL270" s="8"/>
      <c r="CM270" s="8"/>
    </row>
    <row r="271" spans="1:91" s="1" customFormat="1" ht="15.75" customHeight="1">
      <c r="F271" s="316"/>
      <c r="G271" s="300"/>
      <c r="H271" s="300"/>
      <c r="I271" s="311"/>
      <c r="J271" s="169"/>
      <c r="K271" s="169"/>
      <c r="L271" s="169"/>
      <c r="M271" s="300"/>
      <c r="N271" s="169"/>
      <c r="O271" s="169"/>
      <c r="P271" s="314"/>
      <c r="Q271" s="311"/>
      <c r="R271" s="300"/>
      <c r="S271" s="329"/>
      <c r="T271" s="320"/>
      <c r="U271" s="321"/>
      <c r="V271" s="321"/>
      <c r="W271" s="321"/>
      <c r="X271" s="308"/>
      <c r="Y271" s="325"/>
      <c r="Z271" s="321"/>
      <c r="AA271" s="321"/>
      <c r="AB271" s="321"/>
      <c r="AC271" s="321"/>
      <c r="AH271" s="8"/>
      <c r="AI271" s="8"/>
      <c r="AJ271" s="8"/>
      <c r="AK271" s="8"/>
      <c r="BJ271" s="8"/>
      <c r="BK271" s="8"/>
      <c r="BL271" s="8"/>
      <c r="BM271" s="8"/>
      <c r="BN271" s="8"/>
      <c r="BO271" s="8"/>
      <c r="BP271" s="8"/>
      <c r="BQ271" s="8"/>
      <c r="BR271" s="8"/>
      <c r="BS271" s="8"/>
      <c r="BT271" s="8"/>
      <c r="BU271" s="8"/>
      <c r="BV271" s="8"/>
      <c r="BW271" s="8"/>
      <c r="BX271" s="8"/>
      <c r="BY271" s="8"/>
      <c r="BZ271" s="8"/>
      <c r="CA271" s="8"/>
      <c r="CB271" s="8"/>
      <c r="CC271" s="8"/>
      <c r="CD271" s="8"/>
      <c r="CE271" s="8"/>
      <c r="CF271" s="8"/>
      <c r="CG271" s="8"/>
      <c r="CH271" s="8"/>
      <c r="CI271" s="8"/>
      <c r="CJ271" s="8"/>
      <c r="CK271" s="8"/>
      <c r="CL271" s="8"/>
      <c r="CM271" s="8"/>
    </row>
    <row r="272" spans="1:91" s="1" customFormat="1" ht="15.75" customHeight="1">
      <c r="F272" s="186"/>
      <c r="G272" s="187"/>
      <c r="H272" s="187"/>
      <c r="I272" s="312"/>
      <c r="J272" s="148"/>
      <c r="K272" s="148"/>
      <c r="L272" s="148"/>
      <c r="M272" s="148"/>
      <c r="N272" s="148"/>
      <c r="O272" s="148"/>
      <c r="P272" s="315"/>
      <c r="Q272" s="330"/>
      <c r="R272" s="187"/>
      <c r="S272" s="331"/>
      <c r="T272" s="322"/>
      <c r="U272" s="323"/>
      <c r="V272" s="323"/>
      <c r="W272" s="323"/>
      <c r="X272" s="225"/>
      <c r="Y272" s="326"/>
      <c r="Z272" s="323"/>
      <c r="AA272" s="323"/>
      <c r="AB272" s="323"/>
      <c r="AC272" s="323"/>
      <c r="AH272" s="8"/>
      <c r="AI272" s="8"/>
      <c r="AJ272" s="8"/>
      <c r="AK272" s="8"/>
      <c r="BJ272" s="8"/>
      <c r="BK272" s="8"/>
      <c r="BL272" s="8"/>
      <c r="BM272" s="8"/>
      <c r="BN272" s="8"/>
      <c r="BO272" s="8"/>
      <c r="BP272" s="8"/>
      <c r="BQ272" s="8"/>
      <c r="BR272" s="8"/>
      <c r="BS272" s="8"/>
      <c r="BT272" s="8"/>
      <c r="BU272" s="8"/>
      <c r="BV272" s="8"/>
      <c r="BW272" s="8"/>
      <c r="BX272" s="8"/>
      <c r="BY272" s="8"/>
      <c r="BZ272" s="8"/>
      <c r="CA272" s="8"/>
      <c r="CB272" s="8"/>
      <c r="CC272" s="8"/>
      <c r="CD272" s="8"/>
      <c r="CE272" s="8"/>
      <c r="CF272" s="8"/>
      <c r="CG272" s="8"/>
      <c r="CH272" s="8"/>
      <c r="CI272" s="8"/>
      <c r="CJ272" s="8"/>
      <c r="CK272" s="8"/>
      <c r="CL272" s="8"/>
      <c r="CM272" s="8"/>
    </row>
    <row r="273" spans="1:91" s="1" customFormat="1" ht="15.75" customHeight="1">
      <c r="A273" s="73" t="str">
        <f t="shared" ref="A273:A288" si="19">IF(F273="","×","")</f>
        <v/>
      </c>
      <c r="F273" s="224">
        <f>F249</f>
        <v>3</v>
      </c>
      <c r="G273" s="165"/>
      <c r="H273" s="165"/>
      <c r="I273" s="317">
        <f>IF(X155="","",X155*AG$202)</f>
        <v>11056.762991877509</v>
      </c>
      <c r="J273" s="223"/>
      <c r="K273" s="223"/>
      <c r="L273" s="223"/>
      <c r="M273" s="223">
        <f>IF(X155="","",X155*AG$203)</f>
        <v>13000.587855249412</v>
      </c>
      <c r="N273" s="223"/>
      <c r="O273" s="223"/>
      <c r="P273" s="235"/>
      <c r="Q273" s="332">
        <f>R242</f>
        <v>1</v>
      </c>
      <c r="R273" s="333"/>
      <c r="S273" s="334"/>
      <c r="T273" s="317">
        <f>IF(I273="","",ROUND(I273*Q273,-1))</f>
        <v>11060</v>
      </c>
      <c r="U273" s="341"/>
      <c r="V273" s="223"/>
      <c r="W273" s="223"/>
      <c r="X273" s="223"/>
      <c r="Y273" s="223">
        <f>IF(M273="","",ROUND(M273*Q273,-1))</f>
        <v>13000</v>
      </c>
      <c r="Z273" s="223"/>
      <c r="AA273" s="223"/>
      <c r="AB273" s="223"/>
      <c r="AC273" s="327"/>
      <c r="AH273" s="8"/>
      <c r="AI273" s="8"/>
      <c r="AJ273" s="8"/>
      <c r="AK273" s="8"/>
      <c r="CJ273" s="8"/>
      <c r="CK273" s="8"/>
      <c r="CL273" s="8"/>
      <c r="CM273" s="8"/>
    </row>
    <row r="274" spans="1:91" s="1" customFormat="1" ht="15.75" customHeight="1">
      <c r="A274" s="73" t="str">
        <f t="shared" si="19"/>
        <v/>
      </c>
      <c r="F274" s="204">
        <f>F250</f>
        <v>4</v>
      </c>
      <c r="G274" s="205"/>
      <c r="H274" s="205"/>
      <c r="I274" s="200">
        <f>IF(X156="","",X156*AG$202)</f>
        <v>22716.766462852429</v>
      </c>
      <c r="J274" s="191"/>
      <c r="K274" s="191"/>
      <c r="L274" s="191"/>
      <c r="M274" s="191">
        <f>IF(X156="","",X156*AG$203)</f>
        <v>26710.468371661031</v>
      </c>
      <c r="N274" s="191"/>
      <c r="O274" s="191"/>
      <c r="P274" s="206"/>
      <c r="Q274" s="196">
        <f>Q273</f>
        <v>1</v>
      </c>
      <c r="R274" s="168"/>
      <c r="S274" s="197"/>
      <c r="T274" s="200">
        <f t="shared" ref="T274" si="20">IF(I274="","",ROUND(I274*Q274,-1))</f>
        <v>22720</v>
      </c>
      <c r="U274" s="201"/>
      <c r="V274" s="191"/>
      <c r="W274" s="191"/>
      <c r="X274" s="191"/>
      <c r="Y274" s="191">
        <f t="shared" ref="Y274" si="21">IF(M274="","",ROUND(M274*Q274,-1))</f>
        <v>26710</v>
      </c>
      <c r="Z274" s="191"/>
      <c r="AA274" s="191"/>
      <c r="AB274" s="191"/>
      <c r="AC274" s="192"/>
      <c r="AH274" s="8"/>
      <c r="AI274" s="8"/>
      <c r="AJ274" s="8"/>
      <c r="AK274" s="8"/>
      <c r="CJ274" s="8"/>
      <c r="CK274" s="8"/>
      <c r="CL274" s="8"/>
      <c r="CM274" s="8"/>
    </row>
    <row r="275" spans="1:91" s="1" customFormat="1" ht="15.75" customHeight="1">
      <c r="A275" s="73" t="str">
        <f t="shared" si="19"/>
        <v/>
      </c>
      <c r="F275" s="204">
        <f>F251</f>
        <v>5</v>
      </c>
      <c r="G275" s="205"/>
      <c r="H275" s="205"/>
      <c r="I275" s="200">
        <f>IF(X157="","",X157*AG$202)</f>
        <v>25852.029479213961</v>
      </c>
      <c r="J275" s="191"/>
      <c r="K275" s="191"/>
      <c r="L275" s="191"/>
      <c r="M275" s="191">
        <f>IF(X157="","",X157*AG$203)</f>
        <v>30396.923650069875</v>
      </c>
      <c r="N275" s="191"/>
      <c r="O275" s="191"/>
      <c r="P275" s="206"/>
      <c r="Q275" s="196">
        <f t="shared" ref="Q275:Q288" si="22">Q274</f>
        <v>1</v>
      </c>
      <c r="R275" s="168"/>
      <c r="S275" s="197"/>
      <c r="T275" s="200">
        <f t="shared" ref="T275:T288" si="23">IF(I275="","",ROUND(I275*Q275,-1))</f>
        <v>25850</v>
      </c>
      <c r="U275" s="201"/>
      <c r="V275" s="191"/>
      <c r="W275" s="191"/>
      <c r="X275" s="191"/>
      <c r="Y275" s="191">
        <f t="shared" ref="Y275:Y288" si="24">IF(M275="","",ROUND(M275*Q275,-1))</f>
        <v>30400</v>
      </c>
      <c r="Z275" s="191"/>
      <c r="AA275" s="191"/>
      <c r="AB275" s="191"/>
      <c r="AC275" s="192"/>
      <c r="AG275" s="8"/>
      <c r="AH275" s="8"/>
      <c r="AI275" s="8"/>
      <c r="AJ275" s="8"/>
      <c r="CI275" s="8"/>
      <c r="CJ275" s="8"/>
      <c r="CK275" s="8"/>
      <c r="CL275" s="8"/>
    </row>
    <row r="276" spans="1:91" s="1" customFormat="1" ht="15.75" customHeight="1">
      <c r="A276" s="73" t="str">
        <f t="shared" si="19"/>
        <v/>
      </c>
      <c r="F276" s="204">
        <f>F252</f>
        <v>6</v>
      </c>
      <c r="G276" s="205"/>
      <c r="H276" s="205"/>
      <c r="I276" s="200">
        <f>IF(X158="","",X158*AG$202)</f>
        <v>36861.168222741675</v>
      </c>
      <c r="J276" s="191"/>
      <c r="K276" s="191"/>
      <c r="L276" s="191"/>
      <c r="M276" s="191">
        <f>IF(X158="","",X158*AG$203)</f>
        <v>43341.514716280166</v>
      </c>
      <c r="N276" s="191"/>
      <c r="O276" s="191"/>
      <c r="P276" s="206"/>
      <c r="Q276" s="196">
        <f t="shared" si="22"/>
        <v>1</v>
      </c>
      <c r="R276" s="168"/>
      <c r="S276" s="197"/>
      <c r="T276" s="200">
        <f t="shared" si="23"/>
        <v>36860</v>
      </c>
      <c r="U276" s="201"/>
      <c r="V276" s="191"/>
      <c r="W276" s="191"/>
      <c r="X276" s="191"/>
      <c r="Y276" s="191">
        <f t="shared" si="24"/>
        <v>43340</v>
      </c>
      <c r="Z276" s="191"/>
      <c r="AA276" s="191"/>
      <c r="AB276" s="191"/>
      <c r="AC276" s="192"/>
      <c r="AG276" s="8"/>
      <c r="AH276" s="8"/>
      <c r="AI276" s="8"/>
      <c r="AJ276" s="8"/>
      <c r="CI276" s="8"/>
      <c r="CJ276" s="8"/>
      <c r="CK276" s="8"/>
      <c r="CL276" s="8"/>
    </row>
    <row r="277" spans="1:91" s="1" customFormat="1" ht="15.75" customHeight="1">
      <c r="A277" s="73" t="str">
        <f t="shared" si="19"/>
        <v/>
      </c>
      <c r="F277" s="204">
        <f>F253</f>
        <v>7</v>
      </c>
      <c r="G277" s="205"/>
      <c r="H277" s="205"/>
      <c r="I277" s="200">
        <f>IF(X159="","",X159*AG$202)</f>
        <v>72833.35047628716</v>
      </c>
      <c r="J277" s="191"/>
      <c r="K277" s="191"/>
      <c r="L277" s="191"/>
      <c r="M277" s="191">
        <f>IF(X159="","",X159*AG$203)</f>
        <v>85637.756037163388</v>
      </c>
      <c r="N277" s="191"/>
      <c r="O277" s="191"/>
      <c r="P277" s="206"/>
      <c r="Q277" s="196">
        <f t="shared" si="22"/>
        <v>1</v>
      </c>
      <c r="R277" s="168"/>
      <c r="S277" s="197"/>
      <c r="T277" s="200">
        <f t="shared" si="23"/>
        <v>72830</v>
      </c>
      <c r="U277" s="201"/>
      <c r="V277" s="191"/>
      <c r="W277" s="191"/>
      <c r="X277" s="191"/>
      <c r="Y277" s="191">
        <f t="shared" si="24"/>
        <v>85640</v>
      </c>
      <c r="Z277" s="191"/>
      <c r="AA277" s="191"/>
      <c r="AB277" s="191"/>
      <c r="AC277" s="192"/>
      <c r="AG277" s="8"/>
      <c r="AH277" s="8"/>
      <c r="AI277" s="8"/>
      <c r="AJ277" s="8"/>
      <c r="CI277" s="8"/>
      <c r="CJ277" s="8"/>
      <c r="CK277" s="8"/>
      <c r="CL277" s="8"/>
    </row>
    <row r="278" spans="1:91" s="1" customFormat="1" ht="15.75" hidden="1" customHeight="1">
      <c r="A278" s="73" t="str">
        <f t="shared" si="19"/>
        <v>×</v>
      </c>
      <c r="F278" s="204" t="str">
        <f>F254</f>
        <v/>
      </c>
      <c r="G278" s="205"/>
      <c r="H278" s="205"/>
      <c r="I278" s="200" t="str">
        <f>IF(X160="","",X160*AG$202)</f>
        <v/>
      </c>
      <c r="J278" s="191"/>
      <c r="K278" s="191"/>
      <c r="L278" s="191"/>
      <c r="M278" s="191" t="str">
        <f>IF(X160="","",X160*AG$203)</f>
        <v/>
      </c>
      <c r="N278" s="191"/>
      <c r="O278" s="191"/>
      <c r="P278" s="206"/>
      <c r="Q278" s="196">
        <f t="shared" si="22"/>
        <v>1</v>
      </c>
      <c r="R278" s="168"/>
      <c r="S278" s="197"/>
      <c r="T278" s="200" t="str">
        <f t="shared" si="23"/>
        <v/>
      </c>
      <c r="U278" s="201"/>
      <c r="V278" s="191"/>
      <c r="W278" s="191"/>
      <c r="X278" s="191"/>
      <c r="Y278" s="191" t="str">
        <f t="shared" si="24"/>
        <v/>
      </c>
      <c r="Z278" s="191"/>
      <c r="AA278" s="191"/>
      <c r="AB278" s="191"/>
      <c r="AC278" s="192"/>
      <c r="AG278" s="8"/>
      <c r="AH278" s="8"/>
      <c r="AI278" s="8"/>
      <c r="AJ278" s="8"/>
      <c r="CI278" s="8"/>
      <c r="CJ278" s="8"/>
      <c r="CK278" s="8"/>
      <c r="CL278" s="8"/>
    </row>
    <row r="279" spans="1:91" s="1" customFormat="1" ht="15.75" hidden="1" customHeight="1">
      <c r="A279" s="73" t="str">
        <f t="shared" si="19"/>
        <v>×</v>
      </c>
      <c r="F279" s="204" t="str">
        <f>F255</f>
        <v/>
      </c>
      <c r="G279" s="205"/>
      <c r="H279" s="205"/>
      <c r="I279" s="200" t="str">
        <f>IF(X161="","",X161*AG$202)</f>
        <v/>
      </c>
      <c r="J279" s="191"/>
      <c r="K279" s="191"/>
      <c r="L279" s="191"/>
      <c r="M279" s="191" t="str">
        <f>IF(X161="","",X161*AG$203)</f>
        <v/>
      </c>
      <c r="N279" s="191"/>
      <c r="O279" s="191"/>
      <c r="P279" s="206"/>
      <c r="Q279" s="196">
        <f t="shared" si="22"/>
        <v>1</v>
      </c>
      <c r="R279" s="168"/>
      <c r="S279" s="197"/>
      <c r="T279" s="200" t="str">
        <f t="shared" si="23"/>
        <v/>
      </c>
      <c r="U279" s="201"/>
      <c r="V279" s="191"/>
      <c r="W279" s="191"/>
      <c r="X279" s="191"/>
      <c r="Y279" s="191" t="str">
        <f t="shared" si="24"/>
        <v/>
      </c>
      <c r="Z279" s="191"/>
      <c r="AA279" s="191"/>
      <c r="AB279" s="191"/>
      <c r="AC279" s="192"/>
      <c r="AG279" s="8"/>
      <c r="AH279" s="8"/>
      <c r="AI279" s="8"/>
      <c r="AJ279" s="8"/>
      <c r="CI279" s="8"/>
      <c r="CJ279" s="8"/>
      <c r="CK279" s="8"/>
      <c r="CL279" s="8"/>
    </row>
    <row r="280" spans="1:91" s="1" customFormat="1" ht="15.75" hidden="1" customHeight="1">
      <c r="A280" s="73" t="str">
        <f t="shared" si="19"/>
        <v>×</v>
      </c>
      <c r="F280" s="204" t="str">
        <f>F256</f>
        <v/>
      </c>
      <c r="G280" s="205"/>
      <c r="H280" s="205"/>
      <c r="I280" s="200" t="str">
        <f>IF(X162="","",X162*AG$202)</f>
        <v/>
      </c>
      <c r="J280" s="191"/>
      <c r="K280" s="191"/>
      <c r="L280" s="191"/>
      <c r="M280" s="191" t="str">
        <f>IF(X162="","",X162*AG$203)</f>
        <v/>
      </c>
      <c r="N280" s="191"/>
      <c r="O280" s="191"/>
      <c r="P280" s="206"/>
      <c r="Q280" s="196">
        <f t="shared" si="22"/>
        <v>1</v>
      </c>
      <c r="R280" s="168"/>
      <c r="S280" s="197"/>
      <c r="T280" s="200" t="str">
        <f t="shared" si="23"/>
        <v/>
      </c>
      <c r="U280" s="201"/>
      <c r="V280" s="191"/>
      <c r="W280" s="191"/>
      <c r="X280" s="191"/>
      <c r="Y280" s="191" t="str">
        <f t="shared" si="24"/>
        <v/>
      </c>
      <c r="Z280" s="191"/>
      <c r="AA280" s="191"/>
      <c r="AB280" s="191"/>
      <c r="AC280" s="192"/>
      <c r="AG280" s="8"/>
      <c r="AH280" s="8"/>
      <c r="AI280" s="8"/>
      <c r="AJ280" s="8"/>
      <c r="CI280" s="8"/>
      <c r="CJ280" s="8"/>
      <c r="CK280" s="8"/>
      <c r="CL280" s="8"/>
    </row>
    <row r="281" spans="1:91" s="1" customFormat="1" ht="15.75" hidden="1" customHeight="1">
      <c r="A281" s="73" t="str">
        <f t="shared" si="19"/>
        <v>×</v>
      </c>
      <c r="F281" s="204" t="str">
        <f>F257</f>
        <v/>
      </c>
      <c r="G281" s="205"/>
      <c r="H281" s="205"/>
      <c r="I281" s="200" t="str">
        <f>IF(X163="","",X163*AG$202)</f>
        <v/>
      </c>
      <c r="J281" s="191"/>
      <c r="K281" s="191"/>
      <c r="L281" s="191"/>
      <c r="M281" s="191" t="str">
        <f>IF(X163="","",X163*AG$203)</f>
        <v/>
      </c>
      <c r="N281" s="191"/>
      <c r="O281" s="191"/>
      <c r="P281" s="206"/>
      <c r="Q281" s="196">
        <f t="shared" si="22"/>
        <v>1</v>
      </c>
      <c r="R281" s="168"/>
      <c r="S281" s="197"/>
      <c r="T281" s="200" t="str">
        <f t="shared" si="23"/>
        <v/>
      </c>
      <c r="U281" s="201"/>
      <c r="V281" s="191"/>
      <c r="W281" s="191"/>
      <c r="X281" s="191"/>
      <c r="Y281" s="191" t="str">
        <f t="shared" si="24"/>
        <v/>
      </c>
      <c r="Z281" s="191"/>
      <c r="AA281" s="191"/>
      <c r="AB281" s="191"/>
      <c r="AC281" s="192"/>
      <c r="AG281" s="8"/>
      <c r="AH281" s="8"/>
      <c r="AI281" s="8"/>
      <c r="AJ281" s="8"/>
      <c r="CI281" s="8"/>
      <c r="CJ281" s="8"/>
      <c r="CK281" s="8"/>
      <c r="CL281" s="8"/>
    </row>
    <row r="282" spans="1:91" s="1" customFormat="1" ht="15.75" hidden="1" customHeight="1">
      <c r="A282" s="73" t="str">
        <f t="shared" si="19"/>
        <v>×</v>
      </c>
      <c r="F282" s="204" t="str">
        <f>F258</f>
        <v/>
      </c>
      <c r="G282" s="205"/>
      <c r="H282" s="205"/>
      <c r="I282" s="200" t="str">
        <f>IF(X164="","",X164*AG$202)</f>
        <v/>
      </c>
      <c r="J282" s="191"/>
      <c r="K282" s="191"/>
      <c r="L282" s="191"/>
      <c r="M282" s="191" t="str">
        <f>IF(X164="","",X164*AG$203)</f>
        <v/>
      </c>
      <c r="N282" s="191"/>
      <c r="O282" s="191"/>
      <c r="P282" s="206"/>
      <c r="Q282" s="196">
        <f t="shared" si="22"/>
        <v>1</v>
      </c>
      <c r="R282" s="168"/>
      <c r="S282" s="197"/>
      <c r="T282" s="200" t="str">
        <f t="shared" si="23"/>
        <v/>
      </c>
      <c r="U282" s="201"/>
      <c r="V282" s="191"/>
      <c r="W282" s="191"/>
      <c r="X282" s="191"/>
      <c r="Y282" s="191" t="str">
        <f t="shared" si="24"/>
        <v/>
      </c>
      <c r="Z282" s="191"/>
      <c r="AA282" s="191"/>
      <c r="AB282" s="191"/>
      <c r="AC282" s="192"/>
      <c r="AG282" s="8"/>
      <c r="AH282" s="8"/>
      <c r="AI282" s="8"/>
      <c r="AJ282" s="8"/>
      <c r="CI282" s="8"/>
      <c r="CJ282" s="8"/>
      <c r="CK282" s="8"/>
      <c r="CL282" s="8"/>
    </row>
    <row r="283" spans="1:91" s="1" customFormat="1" ht="15.75" hidden="1" customHeight="1">
      <c r="A283" s="73" t="str">
        <f t="shared" si="19"/>
        <v>×</v>
      </c>
      <c r="F283" s="204" t="str">
        <f>F259</f>
        <v/>
      </c>
      <c r="G283" s="205"/>
      <c r="H283" s="205"/>
      <c r="I283" s="200" t="str">
        <f>IF(X165="","",X165*AG$202)</f>
        <v/>
      </c>
      <c r="J283" s="191"/>
      <c r="K283" s="191"/>
      <c r="L283" s="191"/>
      <c r="M283" s="191" t="str">
        <f>IF(X165="","",X165*AG$203)</f>
        <v/>
      </c>
      <c r="N283" s="191"/>
      <c r="O283" s="191"/>
      <c r="P283" s="206"/>
      <c r="Q283" s="196">
        <f t="shared" si="22"/>
        <v>1</v>
      </c>
      <c r="R283" s="168"/>
      <c r="S283" s="197"/>
      <c r="T283" s="200" t="str">
        <f t="shared" si="23"/>
        <v/>
      </c>
      <c r="U283" s="201"/>
      <c r="V283" s="191"/>
      <c r="W283" s="191"/>
      <c r="X283" s="191"/>
      <c r="Y283" s="191" t="str">
        <f t="shared" si="24"/>
        <v/>
      </c>
      <c r="Z283" s="191"/>
      <c r="AA283" s="191"/>
      <c r="AB283" s="191"/>
      <c r="AC283" s="192"/>
      <c r="AG283" s="8"/>
      <c r="AH283" s="8"/>
      <c r="AI283" s="8"/>
      <c r="AJ283" s="8"/>
      <c r="CI283" s="8"/>
      <c r="CJ283" s="8"/>
      <c r="CK283" s="8"/>
      <c r="CL283" s="8"/>
    </row>
    <row r="284" spans="1:91" s="1" customFormat="1" ht="15.75" hidden="1" customHeight="1">
      <c r="A284" s="73" t="str">
        <f t="shared" si="19"/>
        <v>×</v>
      </c>
      <c r="F284" s="204" t="str">
        <f>F260</f>
        <v/>
      </c>
      <c r="G284" s="205"/>
      <c r="H284" s="205"/>
      <c r="I284" s="200" t="str">
        <f>IF(X166="","",X166*AG$202)</f>
        <v/>
      </c>
      <c r="J284" s="191"/>
      <c r="K284" s="191"/>
      <c r="L284" s="191"/>
      <c r="M284" s="191" t="str">
        <f>IF(X166="","",X166*AG$203)</f>
        <v/>
      </c>
      <c r="N284" s="191"/>
      <c r="O284" s="191"/>
      <c r="P284" s="206"/>
      <c r="Q284" s="196">
        <f t="shared" si="22"/>
        <v>1</v>
      </c>
      <c r="R284" s="168"/>
      <c r="S284" s="197"/>
      <c r="T284" s="200" t="str">
        <f t="shared" si="23"/>
        <v/>
      </c>
      <c r="U284" s="201"/>
      <c r="V284" s="191"/>
      <c r="W284" s="191"/>
      <c r="X284" s="191"/>
      <c r="Y284" s="191" t="str">
        <f t="shared" si="24"/>
        <v/>
      </c>
      <c r="Z284" s="191"/>
      <c r="AA284" s="191"/>
      <c r="AB284" s="191"/>
      <c r="AC284" s="192"/>
      <c r="AG284" s="8"/>
      <c r="AH284" s="8"/>
      <c r="AI284" s="8"/>
      <c r="AJ284" s="8"/>
      <c r="CI284" s="8"/>
      <c r="CJ284" s="8"/>
      <c r="CK284" s="8"/>
      <c r="CL284" s="8"/>
    </row>
    <row r="285" spans="1:91" s="1" customFormat="1" ht="15.75" hidden="1" customHeight="1">
      <c r="A285" s="73" t="str">
        <f t="shared" si="19"/>
        <v>×</v>
      </c>
      <c r="F285" s="204" t="str">
        <f>F261</f>
        <v/>
      </c>
      <c r="G285" s="205"/>
      <c r="H285" s="205"/>
      <c r="I285" s="200" t="str">
        <f>IF(X167="","",X167*AG$202)</f>
        <v/>
      </c>
      <c r="J285" s="191"/>
      <c r="K285" s="191"/>
      <c r="L285" s="191"/>
      <c r="M285" s="191" t="str">
        <f>IF(X167="","",X167*AG$203)</f>
        <v/>
      </c>
      <c r="N285" s="191"/>
      <c r="O285" s="191"/>
      <c r="P285" s="206"/>
      <c r="Q285" s="196">
        <f t="shared" si="22"/>
        <v>1</v>
      </c>
      <c r="R285" s="168"/>
      <c r="S285" s="197"/>
      <c r="T285" s="200" t="str">
        <f t="shared" si="23"/>
        <v/>
      </c>
      <c r="U285" s="201"/>
      <c r="V285" s="191"/>
      <c r="W285" s="191"/>
      <c r="X285" s="191"/>
      <c r="Y285" s="191" t="str">
        <f t="shared" si="24"/>
        <v/>
      </c>
      <c r="Z285" s="191"/>
      <c r="AA285" s="191"/>
      <c r="AB285" s="191"/>
      <c r="AC285" s="192"/>
      <c r="AG285" s="8"/>
      <c r="AH285" s="8"/>
      <c r="AI285" s="8"/>
      <c r="AJ285" s="8"/>
      <c r="CI285" s="8"/>
      <c r="CJ285" s="8"/>
      <c r="CK285" s="8"/>
      <c r="CL285" s="8"/>
    </row>
    <row r="286" spans="1:91" s="1" customFormat="1" ht="15.75" hidden="1" customHeight="1">
      <c r="A286" s="73" t="str">
        <f t="shared" si="19"/>
        <v>×</v>
      </c>
      <c r="F286" s="204" t="str">
        <f>F262</f>
        <v/>
      </c>
      <c r="G286" s="205"/>
      <c r="H286" s="205"/>
      <c r="I286" s="200" t="str">
        <f>IF(X168="","",X168*AG$202)</f>
        <v/>
      </c>
      <c r="J286" s="191"/>
      <c r="K286" s="191"/>
      <c r="L286" s="191"/>
      <c r="M286" s="191" t="str">
        <f>IF(X168="","",X168*AG$203)</f>
        <v/>
      </c>
      <c r="N286" s="191"/>
      <c r="O286" s="191"/>
      <c r="P286" s="206"/>
      <c r="Q286" s="196">
        <f t="shared" si="22"/>
        <v>1</v>
      </c>
      <c r="R286" s="168"/>
      <c r="S286" s="197"/>
      <c r="T286" s="200" t="str">
        <f t="shared" si="23"/>
        <v/>
      </c>
      <c r="U286" s="201"/>
      <c r="V286" s="191"/>
      <c r="W286" s="191"/>
      <c r="X286" s="191"/>
      <c r="Y286" s="191" t="str">
        <f t="shared" si="24"/>
        <v/>
      </c>
      <c r="Z286" s="191"/>
      <c r="AA286" s="191"/>
      <c r="AB286" s="191"/>
      <c r="AC286" s="192"/>
      <c r="AG286" s="8"/>
      <c r="AH286" s="8"/>
      <c r="AI286" s="8"/>
      <c r="AJ286" s="8"/>
      <c r="CI286" s="8"/>
      <c r="CJ286" s="8"/>
      <c r="CK286" s="8"/>
      <c r="CL286" s="8"/>
    </row>
    <row r="287" spans="1:91" s="1" customFormat="1" ht="15.75" hidden="1" customHeight="1">
      <c r="A287" s="73" t="str">
        <f t="shared" si="19"/>
        <v>×</v>
      </c>
      <c r="F287" s="204" t="str">
        <f>F263</f>
        <v/>
      </c>
      <c r="G287" s="205"/>
      <c r="H287" s="205"/>
      <c r="I287" s="200" t="str">
        <f>IF(X169="","",X169*AG$202)</f>
        <v/>
      </c>
      <c r="J287" s="191"/>
      <c r="K287" s="191"/>
      <c r="L287" s="191"/>
      <c r="M287" s="191" t="str">
        <f>IF(X169="","",X169*AG$203)</f>
        <v/>
      </c>
      <c r="N287" s="191"/>
      <c r="O287" s="191"/>
      <c r="P287" s="206"/>
      <c r="Q287" s="196">
        <f t="shared" si="22"/>
        <v>1</v>
      </c>
      <c r="R287" s="168"/>
      <c r="S287" s="197"/>
      <c r="T287" s="200" t="str">
        <f t="shared" si="23"/>
        <v/>
      </c>
      <c r="U287" s="201"/>
      <c r="V287" s="191"/>
      <c r="W287" s="191"/>
      <c r="X287" s="191"/>
      <c r="Y287" s="191" t="str">
        <f t="shared" si="24"/>
        <v/>
      </c>
      <c r="Z287" s="191"/>
      <c r="AA287" s="191"/>
      <c r="AB287" s="191"/>
      <c r="AC287" s="192"/>
      <c r="AG287" s="8"/>
      <c r="AH287" s="8"/>
      <c r="AI287" s="8"/>
      <c r="AJ287" s="8"/>
      <c r="CI287" s="8"/>
      <c r="CJ287" s="8"/>
      <c r="CK287" s="8"/>
      <c r="CL287" s="8"/>
    </row>
    <row r="288" spans="1:91" s="1" customFormat="1" ht="15.75" hidden="1" customHeight="1">
      <c r="A288" s="73" t="str">
        <f t="shared" si="19"/>
        <v>×</v>
      </c>
      <c r="F288" s="207" t="str">
        <f>F264</f>
        <v/>
      </c>
      <c r="G288" s="208"/>
      <c r="H288" s="208"/>
      <c r="I288" s="202" t="str">
        <f>IF(X170="","",X170*AG$202)</f>
        <v/>
      </c>
      <c r="J288" s="193"/>
      <c r="K288" s="193"/>
      <c r="L288" s="193"/>
      <c r="M288" s="193" t="str">
        <f>IF(X170="","",X170*AG$203)</f>
        <v/>
      </c>
      <c r="N288" s="193"/>
      <c r="O288" s="193"/>
      <c r="P288" s="195"/>
      <c r="Q288" s="198">
        <f t="shared" si="22"/>
        <v>1</v>
      </c>
      <c r="R288" s="178"/>
      <c r="S288" s="199"/>
      <c r="T288" s="202" t="str">
        <f t="shared" si="23"/>
        <v/>
      </c>
      <c r="U288" s="203"/>
      <c r="V288" s="193"/>
      <c r="W288" s="193"/>
      <c r="X288" s="193"/>
      <c r="Y288" s="193" t="str">
        <f t="shared" si="24"/>
        <v/>
      </c>
      <c r="Z288" s="193"/>
      <c r="AA288" s="193"/>
      <c r="AB288" s="193"/>
      <c r="AC288" s="194"/>
      <c r="AG288" s="8"/>
      <c r="AH288" s="8"/>
      <c r="AI288" s="8"/>
      <c r="AJ288" s="8"/>
      <c r="CI288" s="8"/>
      <c r="CJ288" s="8"/>
      <c r="CK288" s="8"/>
      <c r="CL288" s="8"/>
    </row>
    <row r="289" spans="1:90" s="1" customFormat="1" ht="15.75" customHeight="1">
      <c r="A289" s="112"/>
      <c r="F289" s="495"/>
      <c r="G289" s="495"/>
      <c r="H289" s="495"/>
      <c r="I289" s="511"/>
      <c r="J289" s="511"/>
      <c r="K289" s="511"/>
      <c r="L289" s="511"/>
      <c r="M289" s="511"/>
      <c r="N289" s="511"/>
      <c r="O289" s="511"/>
      <c r="P289" s="511"/>
      <c r="Q289" s="121"/>
      <c r="R289" s="121"/>
      <c r="S289" s="121"/>
      <c r="T289" s="511"/>
      <c r="U289" s="511"/>
      <c r="V289" s="511"/>
      <c r="W289" s="511"/>
      <c r="X289" s="511"/>
      <c r="Y289" s="511"/>
      <c r="Z289" s="511"/>
      <c r="AA289" s="511"/>
      <c r="AB289" s="511"/>
      <c r="AC289" s="511"/>
      <c r="AG289" s="8"/>
      <c r="AH289" s="8"/>
      <c r="AI289" s="8"/>
      <c r="AJ289" s="8"/>
      <c r="CI289" s="8"/>
      <c r="CJ289" s="8"/>
      <c r="CK289" s="8"/>
      <c r="CL289" s="8"/>
    </row>
    <row r="290" spans="1:90" s="1" customFormat="1" ht="15.75" hidden="1" customHeight="1" thickTop="1" thickBot="1">
      <c r="A290" s="91" t="s">
        <v>624</v>
      </c>
      <c r="F290" s="76"/>
      <c r="G290" s="76"/>
      <c r="H290" s="76"/>
      <c r="I290" s="9"/>
      <c r="J290" s="90"/>
      <c r="K290" s="90"/>
      <c r="L290" s="90"/>
      <c r="M290" s="90"/>
      <c r="N290" s="90"/>
      <c r="O290" s="90"/>
      <c r="P290" s="90"/>
      <c r="Q290" s="9"/>
      <c r="R290" s="9"/>
      <c r="S290" s="9"/>
      <c r="T290" s="9"/>
      <c r="U290" s="90"/>
      <c r="V290" s="90"/>
      <c r="W290" s="90"/>
      <c r="X290" s="90"/>
      <c r="Y290" s="90"/>
      <c r="Z290" s="90"/>
      <c r="AA290" s="90"/>
      <c r="AB290" s="90"/>
      <c r="AC290" s="90"/>
      <c r="AD290" s="90"/>
    </row>
    <row r="291" spans="1:90" s="1" customFormat="1" ht="15.75" hidden="1" customHeight="1" thickTop="1">
      <c r="A291" s="73" t="str">
        <f>IF(液状化L1の有無="","","×")</f>
        <v>×</v>
      </c>
      <c r="B291" s="76"/>
      <c r="F291" s="61" t="s">
        <v>504</v>
      </c>
      <c r="G291" s="61"/>
      <c r="H291" s="85"/>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spans="1:90" s="1" customFormat="1" ht="15.75" hidden="1" customHeight="1">
      <c r="A292" s="73" t="str">
        <f>IF(液状化L1の有無="","","×")</f>
        <v>×</v>
      </c>
      <c r="F292" s="185" t="s">
        <v>78</v>
      </c>
      <c r="G292" s="185"/>
      <c r="H292" s="146"/>
      <c r="I292" s="146" t="s">
        <v>500</v>
      </c>
      <c r="J292" s="146"/>
      <c r="K292" s="146"/>
      <c r="L292" s="146"/>
      <c r="M292" s="146" t="s">
        <v>499</v>
      </c>
      <c r="N292" s="146"/>
      <c r="O292" s="146"/>
      <c r="P292" s="221"/>
      <c r="Q292" s="350" t="s">
        <v>501</v>
      </c>
      <c r="R292" s="147"/>
      <c r="S292" s="147"/>
      <c r="T292" s="147"/>
      <c r="U292" s="147"/>
      <c r="V292" s="147"/>
      <c r="W292" s="147"/>
      <c r="X292" s="147"/>
      <c r="Y292" s="147"/>
      <c r="Z292" s="147"/>
      <c r="AA292" s="147"/>
      <c r="AB292" s="147"/>
      <c r="AC292" s="147"/>
      <c r="AD292" s="214"/>
    </row>
    <row r="293" spans="1:90" s="1" customFormat="1" ht="15.75" hidden="1" customHeight="1">
      <c r="A293" s="73" t="str">
        <f>IF(液状化L1の有無="","","×")</f>
        <v>×</v>
      </c>
      <c r="F293" s="316"/>
      <c r="G293" s="316"/>
      <c r="H293" s="300"/>
      <c r="I293" s="300"/>
      <c r="J293" s="300"/>
      <c r="K293" s="300"/>
      <c r="L293" s="300"/>
      <c r="M293" s="300"/>
      <c r="N293" s="300"/>
      <c r="O293" s="300"/>
      <c r="P293" s="372"/>
      <c r="Q293" s="311" t="s">
        <v>502</v>
      </c>
      <c r="R293" s="300"/>
      <c r="S293" s="300"/>
      <c r="T293" s="300"/>
      <c r="U293" s="300" t="s">
        <v>497</v>
      </c>
      <c r="V293" s="300"/>
      <c r="W293" s="300"/>
      <c r="X293" s="300"/>
      <c r="Y293" s="300"/>
      <c r="Z293" s="300" t="s">
        <v>498</v>
      </c>
      <c r="AA293" s="300"/>
      <c r="AB293" s="300"/>
      <c r="AC293" s="300"/>
      <c r="AD293" s="372"/>
    </row>
    <row r="294" spans="1:90" s="1" customFormat="1" ht="15.75" hidden="1" customHeight="1">
      <c r="A294" s="73" t="str">
        <f>IF(液状化L1の有無="","","×")</f>
        <v>×</v>
      </c>
      <c r="F294" s="186"/>
      <c r="G294" s="186"/>
      <c r="H294" s="187"/>
      <c r="I294" s="187"/>
      <c r="J294" s="187"/>
      <c r="K294" s="187"/>
      <c r="L294" s="187"/>
      <c r="M294" s="187"/>
      <c r="N294" s="187"/>
      <c r="O294" s="187"/>
      <c r="P294" s="222"/>
      <c r="Q294" s="330"/>
      <c r="R294" s="187"/>
      <c r="S294" s="187"/>
      <c r="T294" s="187"/>
      <c r="U294" s="187"/>
      <c r="V294" s="187"/>
      <c r="W294" s="187"/>
      <c r="X294" s="187"/>
      <c r="Y294" s="187"/>
      <c r="Z294" s="187"/>
      <c r="AA294" s="187"/>
      <c r="AB294" s="187"/>
      <c r="AC294" s="187"/>
      <c r="AD294" s="222"/>
    </row>
    <row r="295" spans="1:90" s="1" customFormat="1" ht="15.75" hidden="1" customHeight="1">
      <c r="A295" s="73" t="str">
        <f>IF(液状化L1の有無="",IF(F295="","×",""),"×")</f>
        <v>×</v>
      </c>
      <c r="B295" s="76"/>
      <c r="F295" s="219">
        <f>F273</f>
        <v>3</v>
      </c>
      <c r="G295" s="219"/>
      <c r="H295" s="159"/>
      <c r="I295" s="209">
        <f>T273</f>
        <v>11060</v>
      </c>
      <c r="J295" s="209"/>
      <c r="K295" s="209"/>
      <c r="L295" s="209"/>
      <c r="M295" s="209">
        <f>Y273</f>
        <v>13000</v>
      </c>
      <c r="N295" s="209"/>
      <c r="O295" s="209"/>
      <c r="P295" s="387"/>
      <c r="Q295" s="388">
        <v>1</v>
      </c>
      <c r="R295" s="156"/>
      <c r="S295" s="156"/>
      <c r="T295" s="156"/>
      <c r="U295" s="209">
        <f t="shared" ref="U295:U310" si="25">IF(I295="","",ROUND(I295*Q295,-1))</f>
        <v>11060</v>
      </c>
      <c r="V295" s="209"/>
      <c r="W295" s="209"/>
      <c r="X295" s="209"/>
      <c r="Y295" s="209"/>
      <c r="Z295" s="209">
        <f t="shared" ref="Z295:Z310" si="26">IF(M295="","",ROUND(M295*Q295,-1))</f>
        <v>13000</v>
      </c>
      <c r="AA295" s="209"/>
      <c r="AB295" s="209"/>
      <c r="AC295" s="209"/>
      <c r="AD295" s="387"/>
    </row>
    <row r="296" spans="1:90" s="1" customFormat="1" ht="15.75" hidden="1" customHeight="1">
      <c r="A296" s="73" t="str">
        <f>IF(液状化L1の有無="",IF(F296="","×",""),"×")</f>
        <v>×</v>
      </c>
      <c r="B296" s="76"/>
      <c r="F296" s="204">
        <f>F274</f>
        <v>4</v>
      </c>
      <c r="G296" s="204"/>
      <c r="H296" s="205"/>
      <c r="I296" s="191">
        <f>T274</f>
        <v>22720</v>
      </c>
      <c r="J296" s="191"/>
      <c r="K296" s="191"/>
      <c r="L296" s="191"/>
      <c r="M296" s="191">
        <f>Y274</f>
        <v>26710</v>
      </c>
      <c r="N296" s="191"/>
      <c r="O296" s="191"/>
      <c r="P296" s="192"/>
      <c r="Q296" s="389">
        <v>1</v>
      </c>
      <c r="R296" s="167"/>
      <c r="S296" s="167"/>
      <c r="T296" s="167"/>
      <c r="U296" s="191">
        <f t="shared" si="25"/>
        <v>22720</v>
      </c>
      <c r="V296" s="191"/>
      <c r="W296" s="191"/>
      <c r="X296" s="191"/>
      <c r="Y296" s="191"/>
      <c r="Z296" s="191">
        <f t="shared" si="26"/>
        <v>26710</v>
      </c>
      <c r="AA296" s="191"/>
      <c r="AB296" s="191"/>
      <c r="AC296" s="191"/>
      <c r="AD296" s="192"/>
    </row>
    <row r="297" spans="1:90" s="1" customFormat="1" ht="15.75" hidden="1" customHeight="1">
      <c r="A297" s="73" t="str">
        <f>IF(液状化L1の有無="",IF(F297="","×",""),"×")</f>
        <v>×</v>
      </c>
      <c r="B297" s="76"/>
      <c r="F297" s="204">
        <f>F275</f>
        <v>5</v>
      </c>
      <c r="G297" s="204"/>
      <c r="H297" s="205"/>
      <c r="I297" s="191">
        <f>T275</f>
        <v>25850</v>
      </c>
      <c r="J297" s="191"/>
      <c r="K297" s="191"/>
      <c r="L297" s="191"/>
      <c r="M297" s="191">
        <f>Y275</f>
        <v>30400</v>
      </c>
      <c r="N297" s="191"/>
      <c r="O297" s="191"/>
      <c r="P297" s="192"/>
      <c r="Q297" s="389">
        <v>1</v>
      </c>
      <c r="R297" s="167"/>
      <c r="S297" s="167"/>
      <c r="T297" s="167"/>
      <c r="U297" s="191">
        <f t="shared" si="25"/>
        <v>25850</v>
      </c>
      <c r="V297" s="191"/>
      <c r="W297" s="191"/>
      <c r="X297" s="191"/>
      <c r="Y297" s="191"/>
      <c r="Z297" s="191">
        <f t="shared" si="26"/>
        <v>30400</v>
      </c>
      <c r="AA297" s="191"/>
      <c r="AB297" s="191"/>
      <c r="AC297" s="191"/>
      <c r="AD297" s="192"/>
    </row>
    <row r="298" spans="1:90" s="1" customFormat="1" ht="15.75" hidden="1" customHeight="1">
      <c r="A298" s="73" t="str">
        <f>IF(液状化L1の有無="",IF(F298="","×",""),"×")</f>
        <v>×</v>
      </c>
      <c r="B298" s="76"/>
      <c r="F298" s="204">
        <f>F276</f>
        <v>6</v>
      </c>
      <c r="G298" s="204"/>
      <c r="H298" s="205"/>
      <c r="I298" s="191">
        <f>T276</f>
        <v>36860</v>
      </c>
      <c r="J298" s="191"/>
      <c r="K298" s="191"/>
      <c r="L298" s="191"/>
      <c r="M298" s="191">
        <f>Y276</f>
        <v>43340</v>
      </c>
      <c r="N298" s="191"/>
      <c r="O298" s="191"/>
      <c r="P298" s="192"/>
      <c r="Q298" s="389">
        <v>1</v>
      </c>
      <c r="R298" s="167"/>
      <c r="S298" s="167"/>
      <c r="T298" s="167"/>
      <c r="U298" s="191">
        <f t="shared" si="25"/>
        <v>36860</v>
      </c>
      <c r="V298" s="191"/>
      <c r="W298" s="191"/>
      <c r="X298" s="191"/>
      <c r="Y298" s="191"/>
      <c r="Z298" s="191">
        <f t="shared" si="26"/>
        <v>43340</v>
      </c>
      <c r="AA298" s="191"/>
      <c r="AB298" s="191"/>
      <c r="AC298" s="191"/>
      <c r="AD298" s="192"/>
    </row>
    <row r="299" spans="1:90" s="1" customFormat="1" ht="15.75" hidden="1" customHeight="1">
      <c r="A299" s="73" t="str">
        <f>IF(液状化L1の有無="",IF(F299="","×",""),"×")</f>
        <v>×</v>
      </c>
      <c r="B299" s="76"/>
      <c r="F299" s="204">
        <f>F277</f>
        <v>7</v>
      </c>
      <c r="G299" s="204"/>
      <c r="H299" s="205"/>
      <c r="I299" s="191">
        <f>T277</f>
        <v>72830</v>
      </c>
      <c r="J299" s="191"/>
      <c r="K299" s="191"/>
      <c r="L299" s="191"/>
      <c r="M299" s="191">
        <f>Y277</f>
        <v>85640</v>
      </c>
      <c r="N299" s="191"/>
      <c r="O299" s="191"/>
      <c r="P299" s="192"/>
      <c r="Q299" s="389">
        <v>1</v>
      </c>
      <c r="R299" s="167"/>
      <c r="S299" s="167"/>
      <c r="T299" s="167"/>
      <c r="U299" s="191">
        <f t="shared" si="25"/>
        <v>72830</v>
      </c>
      <c r="V299" s="191"/>
      <c r="W299" s="191"/>
      <c r="X299" s="191"/>
      <c r="Y299" s="191"/>
      <c r="Z299" s="191">
        <f t="shared" si="26"/>
        <v>85640</v>
      </c>
      <c r="AA299" s="191"/>
      <c r="AB299" s="191"/>
      <c r="AC299" s="191"/>
      <c r="AD299" s="192"/>
    </row>
    <row r="300" spans="1:90" s="1" customFormat="1" ht="15.75" hidden="1" customHeight="1">
      <c r="A300" s="73" t="str">
        <f>IF(液状化L1の有無="",IF(F300="","×",""),"×")</f>
        <v>×</v>
      </c>
      <c r="B300" s="76"/>
      <c r="F300" s="204" t="str">
        <f>F278</f>
        <v/>
      </c>
      <c r="G300" s="204"/>
      <c r="H300" s="205"/>
      <c r="I300" s="191" t="str">
        <f>T278</f>
        <v/>
      </c>
      <c r="J300" s="191"/>
      <c r="K300" s="191"/>
      <c r="L300" s="191"/>
      <c r="M300" s="191" t="str">
        <f>Y278</f>
        <v/>
      </c>
      <c r="N300" s="191"/>
      <c r="O300" s="191"/>
      <c r="P300" s="192"/>
      <c r="Q300" s="389"/>
      <c r="R300" s="167"/>
      <c r="S300" s="167"/>
      <c r="T300" s="167"/>
      <c r="U300" s="191" t="str">
        <f t="shared" si="25"/>
        <v/>
      </c>
      <c r="V300" s="191"/>
      <c r="W300" s="191"/>
      <c r="X300" s="191"/>
      <c r="Y300" s="191"/>
      <c r="Z300" s="191" t="str">
        <f t="shared" si="26"/>
        <v/>
      </c>
      <c r="AA300" s="191"/>
      <c r="AB300" s="191"/>
      <c r="AC300" s="191"/>
      <c r="AD300" s="192"/>
    </row>
    <row r="301" spans="1:90" s="1" customFormat="1" ht="15.75" hidden="1" customHeight="1">
      <c r="A301" s="73" t="str">
        <f>IF(液状化L1の有無="",IF(F301="","×",""),"×")</f>
        <v>×</v>
      </c>
      <c r="B301" s="76"/>
      <c r="F301" s="204" t="str">
        <f>F279</f>
        <v/>
      </c>
      <c r="G301" s="204"/>
      <c r="H301" s="205"/>
      <c r="I301" s="191" t="str">
        <f>T279</f>
        <v/>
      </c>
      <c r="J301" s="191"/>
      <c r="K301" s="191"/>
      <c r="L301" s="191"/>
      <c r="M301" s="191" t="str">
        <f>Y279</f>
        <v/>
      </c>
      <c r="N301" s="191"/>
      <c r="O301" s="191"/>
      <c r="P301" s="192"/>
      <c r="Q301" s="389"/>
      <c r="R301" s="167"/>
      <c r="S301" s="167"/>
      <c r="T301" s="167"/>
      <c r="U301" s="191" t="str">
        <f t="shared" si="25"/>
        <v/>
      </c>
      <c r="V301" s="191"/>
      <c r="W301" s="191"/>
      <c r="X301" s="191"/>
      <c r="Y301" s="191"/>
      <c r="Z301" s="191" t="str">
        <f t="shared" si="26"/>
        <v/>
      </c>
      <c r="AA301" s="191"/>
      <c r="AB301" s="191"/>
      <c r="AC301" s="191"/>
      <c r="AD301" s="192"/>
    </row>
    <row r="302" spans="1:90" s="1" customFormat="1" ht="15.75" hidden="1" customHeight="1">
      <c r="A302" s="73" t="str">
        <f>IF(液状化L1の有無="",IF(F302="","×",""),"×")</f>
        <v>×</v>
      </c>
      <c r="B302" s="76"/>
      <c r="F302" s="204" t="str">
        <f>F280</f>
        <v/>
      </c>
      <c r="G302" s="204"/>
      <c r="H302" s="205"/>
      <c r="I302" s="191" t="str">
        <f>T280</f>
        <v/>
      </c>
      <c r="J302" s="191"/>
      <c r="K302" s="191"/>
      <c r="L302" s="191"/>
      <c r="M302" s="191" t="str">
        <f>Y280</f>
        <v/>
      </c>
      <c r="N302" s="191"/>
      <c r="O302" s="191"/>
      <c r="P302" s="192"/>
      <c r="Q302" s="389"/>
      <c r="R302" s="167"/>
      <c r="S302" s="167"/>
      <c r="T302" s="167"/>
      <c r="U302" s="191" t="str">
        <f t="shared" si="25"/>
        <v/>
      </c>
      <c r="V302" s="191"/>
      <c r="W302" s="191"/>
      <c r="X302" s="191"/>
      <c r="Y302" s="191"/>
      <c r="Z302" s="191" t="str">
        <f t="shared" si="26"/>
        <v/>
      </c>
      <c r="AA302" s="191"/>
      <c r="AB302" s="191"/>
      <c r="AC302" s="191"/>
      <c r="AD302" s="192"/>
    </row>
    <row r="303" spans="1:90" s="1" customFormat="1" ht="15.75" hidden="1" customHeight="1">
      <c r="A303" s="73" t="str">
        <f>IF(液状化L1の有無="",IF(F303="","×",""),"×")</f>
        <v>×</v>
      </c>
      <c r="B303" s="76"/>
      <c r="F303" s="204" t="str">
        <f>F281</f>
        <v/>
      </c>
      <c r="G303" s="204"/>
      <c r="H303" s="205"/>
      <c r="I303" s="191" t="str">
        <f>T281</f>
        <v/>
      </c>
      <c r="J303" s="191"/>
      <c r="K303" s="191"/>
      <c r="L303" s="191"/>
      <c r="M303" s="191" t="str">
        <f>Y281</f>
        <v/>
      </c>
      <c r="N303" s="191"/>
      <c r="O303" s="191"/>
      <c r="P303" s="192"/>
      <c r="Q303" s="389"/>
      <c r="R303" s="167"/>
      <c r="S303" s="167"/>
      <c r="T303" s="167"/>
      <c r="U303" s="191" t="str">
        <f t="shared" si="25"/>
        <v/>
      </c>
      <c r="V303" s="191"/>
      <c r="W303" s="191"/>
      <c r="X303" s="191"/>
      <c r="Y303" s="191"/>
      <c r="Z303" s="191" t="str">
        <f t="shared" si="26"/>
        <v/>
      </c>
      <c r="AA303" s="191"/>
      <c r="AB303" s="191"/>
      <c r="AC303" s="191"/>
      <c r="AD303" s="192"/>
    </row>
    <row r="304" spans="1:90" s="1" customFormat="1" ht="15.75" hidden="1" customHeight="1">
      <c r="A304" s="73" t="str">
        <f>IF(液状化L1の有無="",IF(F304="","×",""),"×")</f>
        <v>×</v>
      </c>
      <c r="B304" s="76"/>
      <c r="F304" s="204" t="str">
        <f>F282</f>
        <v/>
      </c>
      <c r="G304" s="204"/>
      <c r="H304" s="205"/>
      <c r="I304" s="191" t="str">
        <f>T282</f>
        <v/>
      </c>
      <c r="J304" s="191"/>
      <c r="K304" s="191"/>
      <c r="L304" s="191"/>
      <c r="M304" s="191" t="str">
        <f>Y282</f>
        <v/>
      </c>
      <c r="N304" s="191"/>
      <c r="O304" s="191"/>
      <c r="P304" s="192"/>
      <c r="Q304" s="389"/>
      <c r="R304" s="167"/>
      <c r="S304" s="167"/>
      <c r="T304" s="167"/>
      <c r="U304" s="191" t="str">
        <f t="shared" si="25"/>
        <v/>
      </c>
      <c r="V304" s="191"/>
      <c r="W304" s="191"/>
      <c r="X304" s="191"/>
      <c r="Y304" s="191"/>
      <c r="Z304" s="191" t="str">
        <f t="shared" si="26"/>
        <v/>
      </c>
      <c r="AA304" s="191"/>
      <c r="AB304" s="191"/>
      <c r="AC304" s="191"/>
      <c r="AD304" s="192"/>
    </row>
    <row r="305" spans="1:31" s="1" customFormat="1" ht="15.75" hidden="1" customHeight="1">
      <c r="A305" s="73" t="str">
        <f>IF(液状化L1の有無="",IF(F305="","×",""),"×")</f>
        <v>×</v>
      </c>
      <c r="B305" s="76"/>
      <c r="F305" s="204" t="str">
        <f>F283</f>
        <v/>
      </c>
      <c r="G305" s="204"/>
      <c r="H305" s="205"/>
      <c r="I305" s="191" t="str">
        <f>T283</f>
        <v/>
      </c>
      <c r="J305" s="191"/>
      <c r="K305" s="191"/>
      <c r="L305" s="191"/>
      <c r="M305" s="191" t="str">
        <f>Y283</f>
        <v/>
      </c>
      <c r="N305" s="191"/>
      <c r="O305" s="191"/>
      <c r="P305" s="192"/>
      <c r="Q305" s="389"/>
      <c r="R305" s="167"/>
      <c r="S305" s="167"/>
      <c r="T305" s="167"/>
      <c r="U305" s="191" t="str">
        <f t="shared" si="25"/>
        <v/>
      </c>
      <c r="V305" s="191"/>
      <c r="W305" s="191"/>
      <c r="X305" s="191"/>
      <c r="Y305" s="191"/>
      <c r="Z305" s="191" t="str">
        <f t="shared" si="26"/>
        <v/>
      </c>
      <c r="AA305" s="191"/>
      <c r="AB305" s="191"/>
      <c r="AC305" s="191"/>
      <c r="AD305" s="192"/>
    </row>
    <row r="306" spans="1:31" s="1" customFormat="1" ht="15.75" hidden="1" customHeight="1">
      <c r="A306" s="73" t="str">
        <f>IF(液状化L1の有無="",IF(F306="","×",""),"×")</f>
        <v>×</v>
      </c>
      <c r="B306" s="76"/>
      <c r="F306" s="204" t="str">
        <f>F284</f>
        <v/>
      </c>
      <c r="G306" s="204"/>
      <c r="H306" s="205"/>
      <c r="I306" s="191" t="str">
        <f>T284</f>
        <v/>
      </c>
      <c r="J306" s="191"/>
      <c r="K306" s="191"/>
      <c r="L306" s="191"/>
      <c r="M306" s="191" t="str">
        <f>Y284</f>
        <v/>
      </c>
      <c r="N306" s="191"/>
      <c r="O306" s="191"/>
      <c r="P306" s="192"/>
      <c r="Q306" s="389"/>
      <c r="R306" s="167"/>
      <c r="S306" s="167"/>
      <c r="T306" s="167"/>
      <c r="U306" s="191" t="str">
        <f t="shared" si="25"/>
        <v/>
      </c>
      <c r="V306" s="191"/>
      <c r="W306" s="191"/>
      <c r="X306" s="191"/>
      <c r="Y306" s="191"/>
      <c r="Z306" s="191" t="str">
        <f t="shared" si="26"/>
        <v/>
      </c>
      <c r="AA306" s="191"/>
      <c r="AB306" s="191"/>
      <c r="AC306" s="191"/>
      <c r="AD306" s="192"/>
    </row>
    <row r="307" spans="1:31" s="1" customFormat="1" ht="15.75" hidden="1" customHeight="1">
      <c r="A307" s="73" t="str">
        <f>IF(液状化L1の有無="",IF(F307="","×",""),"×")</f>
        <v>×</v>
      </c>
      <c r="B307" s="76"/>
      <c r="F307" s="204" t="str">
        <f>F285</f>
        <v/>
      </c>
      <c r="G307" s="204"/>
      <c r="H307" s="205"/>
      <c r="I307" s="191" t="str">
        <f>T285</f>
        <v/>
      </c>
      <c r="J307" s="191"/>
      <c r="K307" s="191"/>
      <c r="L307" s="191"/>
      <c r="M307" s="191" t="str">
        <f>Y285</f>
        <v/>
      </c>
      <c r="N307" s="191"/>
      <c r="O307" s="191"/>
      <c r="P307" s="192"/>
      <c r="Q307" s="389"/>
      <c r="R307" s="167"/>
      <c r="S307" s="167"/>
      <c r="T307" s="167"/>
      <c r="U307" s="191" t="str">
        <f t="shared" si="25"/>
        <v/>
      </c>
      <c r="V307" s="191"/>
      <c r="W307" s="191"/>
      <c r="X307" s="191"/>
      <c r="Y307" s="191"/>
      <c r="Z307" s="191" t="str">
        <f t="shared" si="26"/>
        <v/>
      </c>
      <c r="AA307" s="191"/>
      <c r="AB307" s="191"/>
      <c r="AC307" s="191"/>
      <c r="AD307" s="192"/>
    </row>
    <row r="308" spans="1:31" s="1" customFormat="1" ht="15.75" hidden="1" customHeight="1">
      <c r="A308" s="73" t="str">
        <f>IF(液状化L1の有無="",IF(F308="","×",""),"×")</f>
        <v>×</v>
      </c>
      <c r="B308" s="76"/>
      <c r="F308" s="204" t="str">
        <f>F286</f>
        <v/>
      </c>
      <c r="G308" s="204"/>
      <c r="H308" s="205"/>
      <c r="I308" s="191" t="str">
        <f>T286</f>
        <v/>
      </c>
      <c r="J308" s="191"/>
      <c r="K308" s="191"/>
      <c r="L308" s="191"/>
      <c r="M308" s="191" t="str">
        <f>Y286</f>
        <v/>
      </c>
      <c r="N308" s="191"/>
      <c r="O308" s="191"/>
      <c r="P308" s="192"/>
      <c r="Q308" s="389"/>
      <c r="R308" s="167"/>
      <c r="S308" s="167"/>
      <c r="T308" s="167"/>
      <c r="U308" s="191" t="str">
        <f t="shared" si="25"/>
        <v/>
      </c>
      <c r="V308" s="191"/>
      <c r="W308" s="191"/>
      <c r="X308" s="191"/>
      <c r="Y308" s="191"/>
      <c r="Z308" s="191" t="str">
        <f t="shared" si="26"/>
        <v/>
      </c>
      <c r="AA308" s="191"/>
      <c r="AB308" s="191"/>
      <c r="AC308" s="191"/>
      <c r="AD308" s="192"/>
    </row>
    <row r="309" spans="1:31" s="1" customFormat="1" ht="15.75" hidden="1" customHeight="1">
      <c r="A309" s="73" t="str">
        <f>IF(液状化L1の有無="",IF(F309="","×",""),"×")</f>
        <v>×</v>
      </c>
      <c r="B309" s="76"/>
      <c r="F309" s="204" t="str">
        <f>F287</f>
        <v/>
      </c>
      <c r="G309" s="204"/>
      <c r="H309" s="205"/>
      <c r="I309" s="191" t="str">
        <f>T287</f>
        <v/>
      </c>
      <c r="J309" s="191"/>
      <c r="K309" s="191"/>
      <c r="L309" s="191"/>
      <c r="M309" s="191" t="str">
        <f>Y287</f>
        <v/>
      </c>
      <c r="N309" s="191"/>
      <c r="O309" s="191"/>
      <c r="P309" s="192"/>
      <c r="Q309" s="389"/>
      <c r="R309" s="167"/>
      <c r="S309" s="167"/>
      <c r="T309" s="167"/>
      <c r="U309" s="191" t="str">
        <f t="shared" si="25"/>
        <v/>
      </c>
      <c r="V309" s="191"/>
      <c r="W309" s="191"/>
      <c r="X309" s="191"/>
      <c r="Y309" s="191"/>
      <c r="Z309" s="191" t="str">
        <f t="shared" si="26"/>
        <v/>
      </c>
      <c r="AA309" s="191"/>
      <c r="AB309" s="191"/>
      <c r="AC309" s="191"/>
      <c r="AD309" s="192"/>
    </row>
    <row r="310" spans="1:31" s="1" customFormat="1" ht="15.75" hidden="1" customHeight="1">
      <c r="A310" s="73" t="str">
        <f>IF(液状化L1の有無="",IF(F310="","×",""),"×")</f>
        <v>×</v>
      </c>
      <c r="B310" s="76"/>
      <c r="F310" s="207" t="str">
        <f>F288</f>
        <v/>
      </c>
      <c r="G310" s="207"/>
      <c r="H310" s="208"/>
      <c r="I310" s="193" t="str">
        <f>T288</f>
        <v/>
      </c>
      <c r="J310" s="193"/>
      <c r="K310" s="193"/>
      <c r="L310" s="193"/>
      <c r="M310" s="193" t="str">
        <f>Y288</f>
        <v/>
      </c>
      <c r="N310" s="193"/>
      <c r="O310" s="193"/>
      <c r="P310" s="194"/>
      <c r="Q310" s="391"/>
      <c r="R310" s="175"/>
      <c r="S310" s="175"/>
      <c r="T310" s="175"/>
      <c r="U310" s="193" t="str">
        <f t="shared" si="25"/>
        <v/>
      </c>
      <c r="V310" s="193"/>
      <c r="W310" s="193"/>
      <c r="X310" s="193"/>
      <c r="Y310" s="193"/>
      <c r="Z310" s="193" t="str">
        <f t="shared" si="26"/>
        <v/>
      </c>
      <c r="AA310" s="193"/>
      <c r="AB310" s="193"/>
      <c r="AC310" s="193"/>
      <c r="AD310" s="194"/>
    </row>
    <row r="311" spans="1:31" s="1" customFormat="1" ht="15.75" hidden="1" customHeight="1" thickBot="1">
      <c r="A311" s="73" t="str">
        <f>IF(液状化L1の有無="","","×")</f>
        <v>×</v>
      </c>
      <c r="F311" s="76"/>
      <c r="G311" s="76"/>
      <c r="H311" s="9"/>
      <c r="I311" s="90"/>
      <c r="J311" s="90"/>
      <c r="K311" s="90"/>
      <c r="L311" s="90"/>
      <c r="M311" s="90"/>
      <c r="N311" s="90"/>
      <c r="O311" s="90"/>
      <c r="P311" s="9"/>
      <c r="Q311" s="9"/>
      <c r="R311" s="9"/>
      <c r="S311" s="9"/>
      <c r="T311" s="90"/>
      <c r="U311" s="90"/>
      <c r="V311" s="90"/>
      <c r="W311" s="90"/>
      <c r="X311" s="90"/>
      <c r="Y311" s="90"/>
      <c r="Z311" s="90"/>
      <c r="AA311" s="90"/>
      <c r="AB311" s="90"/>
      <c r="AC311" s="90"/>
      <c r="AD311" s="90"/>
      <c r="AE311" s="90"/>
    </row>
    <row r="312" spans="1:31" s="1" customFormat="1" ht="15.75" hidden="1" customHeight="1" thickTop="1" thickBot="1">
      <c r="A312" s="91" t="s">
        <v>622</v>
      </c>
      <c r="H312" s="76"/>
      <c r="I312" s="76"/>
      <c r="J312" s="76"/>
      <c r="K312" s="9"/>
      <c r="L312" s="90"/>
      <c r="M312" s="90"/>
      <c r="N312" s="90"/>
      <c r="O312" s="90"/>
      <c r="P312" s="90"/>
      <c r="Q312" s="90"/>
      <c r="R312" s="90"/>
      <c r="S312" s="90"/>
      <c r="T312" s="9"/>
      <c r="U312" s="9"/>
      <c r="V312" s="9"/>
      <c r="W312" s="9"/>
      <c r="X312" s="90"/>
      <c r="Y312" s="90"/>
      <c r="Z312" s="90"/>
      <c r="AA312" s="90"/>
      <c r="AB312" s="90"/>
      <c r="AC312" s="90"/>
      <c r="AD312" s="90"/>
    </row>
    <row r="313" spans="1:31" s="1" customFormat="1" ht="15.75" hidden="1" customHeight="1" thickTop="1">
      <c r="A313" s="73" t="str">
        <f>IF(液状化L2の有無="","","×")</f>
        <v>×</v>
      </c>
      <c r="F313" s="61" t="s">
        <v>504</v>
      </c>
      <c r="G313" s="61"/>
      <c r="H313" s="85"/>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spans="1:31" s="1" customFormat="1" ht="15.75" hidden="1" customHeight="1">
      <c r="A314" s="73" t="str">
        <f>IF(液状化L2の有無="","","×")</f>
        <v>×</v>
      </c>
      <c r="F314" s="185" t="s">
        <v>78</v>
      </c>
      <c r="G314" s="185"/>
      <c r="H314" s="146"/>
      <c r="I314" s="146" t="s">
        <v>500</v>
      </c>
      <c r="J314" s="146"/>
      <c r="K314" s="146"/>
      <c r="L314" s="146"/>
      <c r="M314" s="146" t="s">
        <v>499</v>
      </c>
      <c r="N314" s="146"/>
      <c r="O314" s="146"/>
      <c r="P314" s="221"/>
      <c r="Q314" s="350" t="s">
        <v>503</v>
      </c>
      <c r="R314" s="147"/>
      <c r="S314" s="147"/>
      <c r="T314" s="147"/>
      <c r="U314" s="147"/>
      <c r="V314" s="147"/>
      <c r="W314" s="147"/>
      <c r="X314" s="147"/>
      <c r="Y314" s="147"/>
      <c r="Z314" s="147"/>
      <c r="AA314" s="147"/>
      <c r="AB314" s="147"/>
      <c r="AC314" s="147"/>
      <c r="AD314" s="214"/>
    </row>
    <row r="315" spans="1:31" s="1" customFormat="1" ht="15.75" hidden="1" customHeight="1">
      <c r="A315" s="73" t="str">
        <f>IF(液状化L2の有無="","","×")</f>
        <v>×</v>
      </c>
      <c r="F315" s="316"/>
      <c r="G315" s="316"/>
      <c r="H315" s="300"/>
      <c r="I315" s="300"/>
      <c r="J315" s="300"/>
      <c r="K315" s="300"/>
      <c r="L315" s="300"/>
      <c r="M315" s="300"/>
      <c r="N315" s="300"/>
      <c r="O315" s="300"/>
      <c r="P315" s="372"/>
      <c r="Q315" s="311" t="s">
        <v>502</v>
      </c>
      <c r="R315" s="300"/>
      <c r="S315" s="300"/>
      <c r="T315" s="300"/>
      <c r="U315" s="300" t="s">
        <v>497</v>
      </c>
      <c r="V315" s="300"/>
      <c r="W315" s="300"/>
      <c r="X315" s="300"/>
      <c r="Y315" s="300"/>
      <c r="Z315" s="300" t="s">
        <v>498</v>
      </c>
      <c r="AA315" s="300"/>
      <c r="AB315" s="300"/>
      <c r="AC315" s="300"/>
      <c r="AD315" s="372"/>
    </row>
    <row r="316" spans="1:31" s="1" customFormat="1" ht="15.75" hidden="1" customHeight="1">
      <c r="A316" s="73" t="str">
        <f>IF(液状化L2の有無="","","×")</f>
        <v>×</v>
      </c>
      <c r="F316" s="186"/>
      <c r="G316" s="186"/>
      <c r="H316" s="187"/>
      <c r="I316" s="187"/>
      <c r="J316" s="187"/>
      <c r="K316" s="187"/>
      <c r="L316" s="187"/>
      <c r="M316" s="187"/>
      <c r="N316" s="187"/>
      <c r="O316" s="187"/>
      <c r="P316" s="222"/>
      <c r="Q316" s="330"/>
      <c r="R316" s="187"/>
      <c r="S316" s="187"/>
      <c r="T316" s="187"/>
      <c r="U316" s="187"/>
      <c r="V316" s="187"/>
      <c r="W316" s="187"/>
      <c r="X316" s="187"/>
      <c r="Y316" s="187"/>
      <c r="Z316" s="187"/>
      <c r="AA316" s="187"/>
      <c r="AB316" s="187"/>
      <c r="AC316" s="187"/>
      <c r="AD316" s="222"/>
    </row>
    <row r="317" spans="1:31" s="1" customFormat="1" ht="15.75" hidden="1" customHeight="1">
      <c r="A317" s="73" t="str">
        <f>IF(液状化L2の有無="",IF(F317="","×",""),"×")</f>
        <v>×</v>
      </c>
      <c r="F317" s="224">
        <f>F295</f>
        <v>3</v>
      </c>
      <c r="G317" s="224"/>
      <c r="H317" s="165"/>
      <c r="I317" s="223">
        <f>T273</f>
        <v>11060</v>
      </c>
      <c r="J317" s="223"/>
      <c r="K317" s="223"/>
      <c r="L317" s="223"/>
      <c r="M317" s="223">
        <f>Y273</f>
        <v>13000</v>
      </c>
      <c r="N317" s="223"/>
      <c r="O317" s="223"/>
      <c r="P317" s="327"/>
      <c r="Q317" s="390">
        <v>1</v>
      </c>
      <c r="R317" s="163"/>
      <c r="S317" s="163"/>
      <c r="T317" s="163"/>
      <c r="U317" s="223">
        <f t="shared" ref="U317:U332" si="27">IF(I295="","",ROUND(I295*Q317,-1))</f>
        <v>11060</v>
      </c>
      <c r="V317" s="223"/>
      <c r="W317" s="223"/>
      <c r="X317" s="223"/>
      <c r="Y317" s="223"/>
      <c r="Z317" s="223">
        <f t="shared" ref="Z317:Z332" si="28">IF(M295="","",ROUND(M295*Q317,-1))</f>
        <v>13000</v>
      </c>
      <c r="AA317" s="223"/>
      <c r="AB317" s="223"/>
      <c r="AC317" s="223"/>
      <c r="AD317" s="327"/>
    </row>
    <row r="318" spans="1:31" s="1" customFormat="1" ht="15.75" hidden="1" customHeight="1">
      <c r="A318" s="73" t="str">
        <f>IF(液状化L2の有無="",IF(F318="","×",""),"×")</f>
        <v>×</v>
      </c>
      <c r="F318" s="204">
        <f t="shared" ref="F318:F332" si="29">F296</f>
        <v>4</v>
      </c>
      <c r="G318" s="204"/>
      <c r="H318" s="205"/>
      <c r="I318" s="191">
        <f>T274</f>
        <v>22720</v>
      </c>
      <c r="J318" s="191"/>
      <c r="K318" s="191"/>
      <c r="L318" s="191"/>
      <c r="M318" s="191">
        <f>Y274</f>
        <v>26710</v>
      </c>
      <c r="N318" s="191"/>
      <c r="O318" s="191"/>
      <c r="P318" s="192"/>
      <c r="Q318" s="389">
        <v>1</v>
      </c>
      <c r="R318" s="167"/>
      <c r="S318" s="167"/>
      <c r="T318" s="167"/>
      <c r="U318" s="191">
        <f t="shared" si="27"/>
        <v>22720</v>
      </c>
      <c r="V318" s="191"/>
      <c r="W318" s="191"/>
      <c r="X318" s="191"/>
      <c r="Y318" s="191"/>
      <c r="Z318" s="191">
        <f t="shared" si="28"/>
        <v>26710</v>
      </c>
      <c r="AA318" s="191"/>
      <c r="AB318" s="191"/>
      <c r="AC318" s="191"/>
      <c r="AD318" s="192"/>
    </row>
    <row r="319" spans="1:31" s="1" customFormat="1" ht="15.75" hidden="1" customHeight="1">
      <c r="A319" s="73" t="str">
        <f>IF(液状化L2の有無="",IF(F319="","×",""),"×")</f>
        <v>×</v>
      </c>
      <c r="F319" s="204">
        <f t="shared" si="29"/>
        <v>5</v>
      </c>
      <c r="G319" s="204"/>
      <c r="H319" s="205"/>
      <c r="I319" s="191">
        <f>T275</f>
        <v>25850</v>
      </c>
      <c r="J319" s="191"/>
      <c r="K319" s="191"/>
      <c r="L319" s="191"/>
      <c r="M319" s="191">
        <f>Y275</f>
        <v>30400</v>
      </c>
      <c r="N319" s="191"/>
      <c r="O319" s="191"/>
      <c r="P319" s="192"/>
      <c r="Q319" s="389">
        <v>1</v>
      </c>
      <c r="R319" s="167"/>
      <c r="S319" s="167"/>
      <c r="T319" s="167"/>
      <c r="U319" s="191">
        <f t="shared" si="27"/>
        <v>25850</v>
      </c>
      <c r="V319" s="191"/>
      <c r="W319" s="191"/>
      <c r="X319" s="191"/>
      <c r="Y319" s="191"/>
      <c r="Z319" s="191">
        <f t="shared" si="28"/>
        <v>30400</v>
      </c>
      <c r="AA319" s="191"/>
      <c r="AB319" s="191"/>
      <c r="AC319" s="191"/>
      <c r="AD319" s="192"/>
    </row>
    <row r="320" spans="1:31" s="1" customFormat="1" ht="15.75" hidden="1" customHeight="1">
      <c r="A320" s="73" t="str">
        <f>IF(液状化L2の有無="",IF(F320="","×",""),"×")</f>
        <v>×</v>
      </c>
      <c r="F320" s="204">
        <f t="shared" si="29"/>
        <v>6</v>
      </c>
      <c r="G320" s="204"/>
      <c r="H320" s="205"/>
      <c r="I320" s="191">
        <f>T276</f>
        <v>36860</v>
      </c>
      <c r="J320" s="191"/>
      <c r="K320" s="191"/>
      <c r="L320" s="191"/>
      <c r="M320" s="191">
        <f>Y276</f>
        <v>43340</v>
      </c>
      <c r="N320" s="191"/>
      <c r="O320" s="191"/>
      <c r="P320" s="192"/>
      <c r="Q320" s="389">
        <v>1</v>
      </c>
      <c r="R320" s="167"/>
      <c r="S320" s="167"/>
      <c r="T320" s="167"/>
      <c r="U320" s="191">
        <f t="shared" si="27"/>
        <v>36860</v>
      </c>
      <c r="V320" s="191"/>
      <c r="W320" s="191"/>
      <c r="X320" s="191"/>
      <c r="Y320" s="191"/>
      <c r="Z320" s="191">
        <f t="shared" si="28"/>
        <v>43340</v>
      </c>
      <c r="AA320" s="191"/>
      <c r="AB320" s="191"/>
      <c r="AC320" s="191"/>
      <c r="AD320" s="192"/>
    </row>
    <row r="321" spans="1:90" s="1" customFormat="1" ht="15.75" hidden="1" customHeight="1">
      <c r="A321" s="73" t="str">
        <f>IF(液状化L2の有無="",IF(F321="","×",""),"×")</f>
        <v>×</v>
      </c>
      <c r="F321" s="204">
        <f t="shared" si="29"/>
        <v>7</v>
      </c>
      <c r="G321" s="204"/>
      <c r="H321" s="205"/>
      <c r="I321" s="191">
        <f>T277</f>
        <v>72830</v>
      </c>
      <c r="J321" s="191"/>
      <c r="K321" s="191"/>
      <c r="L321" s="191"/>
      <c r="M321" s="191">
        <f>Y277</f>
        <v>85640</v>
      </c>
      <c r="N321" s="191"/>
      <c r="O321" s="191"/>
      <c r="P321" s="192"/>
      <c r="Q321" s="389">
        <v>1</v>
      </c>
      <c r="R321" s="167"/>
      <c r="S321" s="167"/>
      <c r="T321" s="167"/>
      <c r="U321" s="191">
        <f t="shared" si="27"/>
        <v>72830</v>
      </c>
      <c r="V321" s="191"/>
      <c r="W321" s="191"/>
      <c r="X321" s="191"/>
      <c r="Y321" s="191"/>
      <c r="Z321" s="191">
        <f t="shared" si="28"/>
        <v>85640</v>
      </c>
      <c r="AA321" s="191"/>
      <c r="AB321" s="191"/>
      <c r="AC321" s="191"/>
      <c r="AD321" s="192"/>
    </row>
    <row r="322" spans="1:90" s="1" customFormat="1" ht="15.75" hidden="1" customHeight="1">
      <c r="A322" s="73" t="str">
        <f>IF(液状化L2の有無="",IF(F322="","×",""),"×")</f>
        <v>×</v>
      </c>
      <c r="F322" s="204" t="str">
        <f t="shared" si="29"/>
        <v/>
      </c>
      <c r="G322" s="204"/>
      <c r="H322" s="205"/>
      <c r="I322" s="191" t="str">
        <f>T278</f>
        <v/>
      </c>
      <c r="J322" s="191"/>
      <c r="K322" s="191"/>
      <c r="L322" s="191"/>
      <c r="M322" s="191" t="str">
        <f>Y278</f>
        <v/>
      </c>
      <c r="N322" s="191"/>
      <c r="O322" s="191"/>
      <c r="P322" s="192"/>
      <c r="Q322" s="389"/>
      <c r="R322" s="167"/>
      <c r="S322" s="167"/>
      <c r="T322" s="167"/>
      <c r="U322" s="191" t="str">
        <f t="shared" si="27"/>
        <v/>
      </c>
      <c r="V322" s="191"/>
      <c r="W322" s="191"/>
      <c r="X322" s="191"/>
      <c r="Y322" s="191"/>
      <c r="Z322" s="191" t="str">
        <f t="shared" si="28"/>
        <v/>
      </c>
      <c r="AA322" s="191"/>
      <c r="AB322" s="191"/>
      <c r="AC322" s="191"/>
      <c r="AD322" s="192"/>
    </row>
    <row r="323" spans="1:90" s="1" customFormat="1" ht="15.75" hidden="1" customHeight="1">
      <c r="A323" s="73" t="str">
        <f>IF(液状化L2の有無="",IF(F323="","×",""),"×")</f>
        <v>×</v>
      </c>
      <c r="F323" s="204" t="str">
        <f t="shared" si="29"/>
        <v/>
      </c>
      <c r="G323" s="204"/>
      <c r="H323" s="205"/>
      <c r="I323" s="191" t="str">
        <f>T279</f>
        <v/>
      </c>
      <c r="J323" s="191"/>
      <c r="K323" s="191"/>
      <c r="L323" s="191"/>
      <c r="M323" s="191" t="str">
        <f>Y279</f>
        <v/>
      </c>
      <c r="N323" s="191"/>
      <c r="O323" s="191"/>
      <c r="P323" s="192"/>
      <c r="Q323" s="389"/>
      <c r="R323" s="167"/>
      <c r="S323" s="167"/>
      <c r="T323" s="167"/>
      <c r="U323" s="191" t="str">
        <f t="shared" si="27"/>
        <v/>
      </c>
      <c r="V323" s="191"/>
      <c r="W323" s="191"/>
      <c r="X323" s="191"/>
      <c r="Y323" s="191"/>
      <c r="Z323" s="191" t="str">
        <f t="shared" si="28"/>
        <v/>
      </c>
      <c r="AA323" s="191"/>
      <c r="AB323" s="191"/>
      <c r="AC323" s="191"/>
      <c r="AD323" s="192"/>
    </row>
    <row r="324" spans="1:90" s="1" customFormat="1" ht="15.75" hidden="1" customHeight="1">
      <c r="A324" s="73" t="str">
        <f>IF(液状化L2の有無="",IF(F324="","×",""),"×")</f>
        <v>×</v>
      </c>
      <c r="F324" s="204" t="str">
        <f t="shared" si="29"/>
        <v/>
      </c>
      <c r="G324" s="204"/>
      <c r="H324" s="205"/>
      <c r="I324" s="191" t="str">
        <f>T280</f>
        <v/>
      </c>
      <c r="J324" s="191"/>
      <c r="K324" s="191"/>
      <c r="L324" s="191"/>
      <c r="M324" s="191" t="str">
        <f>Y280</f>
        <v/>
      </c>
      <c r="N324" s="191"/>
      <c r="O324" s="191"/>
      <c r="P324" s="192"/>
      <c r="Q324" s="389"/>
      <c r="R324" s="167"/>
      <c r="S324" s="167"/>
      <c r="T324" s="167"/>
      <c r="U324" s="191" t="str">
        <f t="shared" si="27"/>
        <v/>
      </c>
      <c r="V324" s="191"/>
      <c r="W324" s="191"/>
      <c r="X324" s="191"/>
      <c r="Y324" s="191"/>
      <c r="Z324" s="191" t="str">
        <f t="shared" si="28"/>
        <v/>
      </c>
      <c r="AA324" s="191"/>
      <c r="AB324" s="191"/>
      <c r="AC324" s="191"/>
      <c r="AD324" s="192"/>
    </row>
    <row r="325" spans="1:90" s="1" customFormat="1" ht="15.75" hidden="1" customHeight="1">
      <c r="A325" s="73" t="str">
        <f>IF(液状化L2の有無="",IF(F325="","×",""),"×")</f>
        <v>×</v>
      </c>
      <c r="F325" s="204" t="str">
        <f t="shared" si="29"/>
        <v/>
      </c>
      <c r="G325" s="204"/>
      <c r="H325" s="205"/>
      <c r="I325" s="191" t="str">
        <f>T281</f>
        <v/>
      </c>
      <c r="J325" s="191"/>
      <c r="K325" s="191"/>
      <c r="L325" s="191"/>
      <c r="M325" s="191" t="str">
        <f>Y281</f>
        <v/>
      </c>
      <c r="N325" s="191"/>
      <c r="O325" s="191"/>
      <c r="P325" s="192"/>
      <c r="Q325" s="389"/>
      <c r="R325" s="167"/>
      <c r="S325" s="167"/>
      <c r="T325" s="167"/>
      <c r="U325" s="191" t="str">
        <f t="shared" si="27"/>
        <v/>
      </c>
      <c r="V325" s="191"/>
      <c r="W325" s="191"/>
      <c r="X325" s="191"/>
      <c r="Y325" s="191"/>
      <c r="Z325" s="191" t="str">
        <f t="shared" si="28"/>
        <v/>
      </c>
      <c r="AA325" s="191"/>
      <c r="AB325" s="191"/>
      <c r="AC325" s="191"/>
      <c r="AD325" s="192"/>
    </row>
    <row r="326" spans="1:90" s="1" customFormat="1" ht="15.75" hidden="1" customHeight="1">
      <c r="A326" s="73" t="str">
        <f>IF(液状化L2の有無="",IF(F326="","×",""),"×")</f>
        <v>×</v>
      </c>
      <c r="F326" s="204" t="str">
        <f t="shared" si="29"/>
        <v/>
      </c>
      <c r="G326" s="204"/>
      <c r="H326" s="205"/>
      <c r="I326" s="191" t="str">
        <f>T282</f>
        <v/>
      </c>
      <c r="J326" s="191"/>
      <c r="K326" s="191"/>
      <c r="L326" s="191"/>
      <c r="M326" s="191" t="str">
        <f>Y282</f>
        <v/>
      </c>
      <c r="N326" s="191"/>
      <c r="O326" s="191"/>
      <c r="P326" s="192"/>
      <c r="Q326" s="389"/>
      <c r="R326" s="167"/>
      <c r="S326" s="167"/>
      <c r="T326" s="167"/>
      <c r="U326" s="191" t="str">
        <f t="shared" si="27"/>
        <v/>
      </c>
      <c r="V326" s="191"/>
      <c r="W326" s="191"/>
      <c r="X326" s="191"/>
      <c r="Y326" s="191"/>
      <c r="Z326" s="191" t="str">
        <f t="shared" si="28"/>
        <v/>
      </c>
      <c r="AA326" s="191"/>
      <c r="AB326" s="191"/>
      <c r="AC326" s="191"/>
      <c r="AD326" s="192"/>
    </row>
    <row r="327" spans="1:90" s="1" customFormat="1" ht="15.75" hidden="1" customHeight="1">
      <c r="A327" s="73" t="str">
        <f>IF(液状化L2の有無="",IF(F327="","×",""),"×")</f>
        <v>×</v>
      </c>
      <c r="F327" s="204" t="str">
        <f t="shared" si="29"/>
        <v/>
      </c>
      <c r="G327" s="204"/>
      <c r="H327" s="205"/>
      <c r="I327" s="191" t="str">
        <f>T283</f>
        <v/>
      </c>
      <c r="J327" s="191"/>
      <c r="K327" s="191"/>
      <c r="L327" s="191"/>
      <c r="M327" s="191" t="str">
        <f>Y283</f>
        <v/>
      </c>
      <c r="N327" s="191"/>
      <c r="O327" s="191"/>
      <c r="P327" s="192"/>
      <c r="Q327" s="389"/>
      <c r="R327" s="167"/>
      <c r="S327" s="167"/>
      <c r="T327" s="167"/>
      <c r="U327" s="191" t="str">
        <f t="shared" si="27"/>
        <v/>
      </c>
      <c r="V327" s="191"/>
      <c r="W327" s="191"/>
      <c r="X327" s="191"/>
      <c r="Y327" s="191"/>
      <c r="Z327" s="191" t="str">
        <f t="shared" si="28"/>
        <v/>
      </c>
      <c r="AA327" s="191"/>
      <c r="AB327" s="191"/>
      <c r="AC327" s="191"/>
      <c r="AD327" s="192"/>
    </row>
    <row r="328" spans="1:90" s="1" customFormat="1" ht="15.75" hidden="1" customHeight="1">
      <c r="A328" s="73" t="str">
        <f>IF(液状化L2の有無="",IF(F328="","×",""),"×")</f>
        <v>×</v>
      </c>
      <c r="F328" s="204" t="str">
        <f t="shared" si="29"/>
        <v/>
      </c>
      <c r="G328" s="204"/>
      <c r="H328" s="205"/>
      <c r="I328" s="191" t="str">
        <f>T284</f>
        <v/>
      </c>
      <c r="J328" s="191"/>
      <c r="K328" s="191"/>
      <c r="L328" s="191"/>
      <c r="M328" s="191" t="str">
        <f>Y284</f>
        <v/>
      </c>
      <c r="N328" s="191"/>
      <c r="O328" s="191"/>
      <c r="P328" s="192"/>
      <c r="Q328" s="389"/>
      <c r="R328" s="167"/>
      <c r="S328" s="167"/>
      <c r="T328" s="167"/>
      <c r="U328" s="191" t="str">
        <f t="shared" si="27"/>
        <v/>
      </c>
      <c r="V328" s="191"/>
      <c r="W328" s="191"/>
      <c r="X328" s="191"/>
      <c r="Y328" s="191"/>
      <c r="Z328" s="191" t="str">
        <f t="shared" si="28"/>
        <v/>
      </c>
      <c r="AA328" s="191"/>
      <c r="AB328" s="191"/>
      <c r="AC328" s="191"/>
      <c r="AD328" s="192"/>
    </row>
    <row r="329" spans="1:90" s="1" customFormat="1" ht="15.75" hidden="1" customHeight="1">
      <c r="A329" s="73" t="str">
        <f>IF(液状化L2の有無="",IF(F329="","×",""),"×")</f>
        <v>×</v>
      </c>
      <c r="F329" s="204" t="str">
        <f t="shared" si="29"/>
        <v/>
      </c>
      <c r="G329" s="204"/>
      <c r="H329" s="205"/>
      <c r="I329" s="191" t="str">
        <f>T285</f>
        <v/>
      </c>
      <c r="J329" s="191"/>
      <c r="K329" s="191"/>
      <c r="L329" s="191"/>
      <c r="M329" s="191" t="str">
        <f>Y285</f>
        <v/>
      </c>
      <c r="N329" s="191"/>
      <c r="O329" s="191"/>
      <c r="P329" s="192"/>
      <c r="Q329" s="389"/>
      <c r="R329" s="167"/>
      <c r="S329" s="167"/>
      <c r="T329" s="167"/>
      <c r="U329" s="191" t="str">
        <f t="shared" si="27"/>
        <v/>
      </c>
      <c r="V329" s="191"/>
      <c r="W329" s="191"/>
      <c r="X329" s="191"/>
      <c r="Y329" s="191"/>
      <c r="Z329" s="191" t="str">
        <f t="shared" si="28"/>
        <v/>
      </c>
      <c r="AA329" s="191"/>
      <c r="AB329" s="191"/>
      <c r="AC329" s="191"/>
      <c r="AD329" s="192"/>
    </row>
    <row r="330" spans="1:90" s="1" customFormat="1" ht="15.75" hidden="1" customHeight="1">
      <c r="A330" s="73" t="str">
        <f>IF(液状化L2の有無="",IF(F330="","×",""),"×")</f>
        <v>×</v>
      </c>
      <c r="F330" s="204" t="str">
        <f t="shared" si="29"/>
        <v/>
      </c>
      <c r="G330" s="204"/>
      <c r="H330" s="205"/>
      <c r="I330" s="191" t="str">
        <f>T286</f>
        <v/>
      </c>
      <c r="J330" s="191"/>
      <c r="K330" s="191"/>
      <c r="L330" s="191"/>
      <c r="M330" s="191" t="str">
        <f>Y286</f>
        <v/>
      </c>
      <c r="N330" s="191"/>
      <c r="O330" s="191"/>
      <c r="P330" s="192"/>
      <c r="Q330" s="389"/>
      <c r="R330" s="167"/>
      <c r="S330" s="167"/>
      <c r="T330" s="167"/>
      <c r="U330" s="191" t="str">
        <f t="shared" si="27"/>
        <v/>
      </c>
      <c r="V330" s="191"/>
      <c r="W330" s="191"/>
      <c r="X330" s="191"/>
      <c r="Y330" s="191"/>
      <c r="Z330" s="191" t="str">
        <f t="shared" si="28"/>
        <v/>
      </c>
      <c r="AA330" s="191"/>
      <c r="AB330" s="191"/>
      <c r="AC330" s="191"/>
      <c r="AD330" s="192"/>
    </row>
    <row r="331" spans="1:90" s="1" customFormat="1" ht="15.75" hidden="1" customHeight="1">
      <c r="A331" s="73" t="str">
        <f>IF(液状化L2の有無="",IF(F331="","×",""),"×")</f>
        <v>×</v>
      </c>
      <c r="F331" s="204" t="str">
        <f t="shared" si="29"/>
        <v/>
      </c>
      <c r="G331" s="204"/>
      <c r="H331" s="205"/>
      <c r="I331" s="191" t="str">
        <f>T287</f>
        <v/>
      </c>
      <c r="J331" s="191"/>
      <c r="K331" s="191"/>
      <c r="L331" s="191"/>
      <c r="M331" s="191" t="str">
        <f>Y287</f>
        <v/>
      </c>
      <c r="N331" s="191"/>
      <c r="O331" s="191"/>
      <c r="P331" s="192"/>
      <c r="Q331" s="389"/>
      <c r="R331" s="167"/>
      <c r="S331" s="167"/>
      <c r="T331" s="167"/>
      <c r="U331" s="191" t="str">
        <f t="shared" si="27"/>
        <v/>
      </c>
      <c r="V331" s="191"/>
      <c r="W331" s="191"/>
      <c r="X331" s="191"/>
      <c r="Y331" s="191"/>
      <c r="Z331" s="191" t="str">
        <f t="shared" si="28"/>
        <v/>
      </c>
      <c r="AA331" s="191"/>
      <c r="AB331" s="191"/>
      <c r="AC331" s="191"/>
      <c r="AD331" s="192"/>
    </row>
    <row r="332" spans="1:90" s="1" customFormat="1" ht="15.75" hidden="1" customHeight="1">
      <c r="A332" s="73" t="str">
        <f>IF(液状化L2の有無="",IF(F332="","×",""),"×")</f>
        <v>×</v>
      </c>
      <c r="F332" s="207" t="str">
        <f t="shared" si="29"/>
        <v/>
      </c>
      <c r="G332" s="207"/>
      <c r="H332" s="208"/>
      <c r="I332" s="193" t="str">
        <f>T288</f>
        <v/>
      </c>
      <c r="J332" s="193"/>
      <c r="K332" s="193"/>
      <c r="L332" s="193"/>
      <c r="M332" s="193" t="str">
        <f>Y288</f>
        <v/>
      </c>
      <c r="N332" s="193"/>
      <c r="O332" s="193"/>
      <c r="P332" s="194"/>
      <c r="Q332" s="391"/>
      <c r="R332" s="175"/>
      <c r="S332" s="175"/>
      <c r="T332" s="175"/>
      <c r="U332" s="193" t="str">
        <f t="shared" si="27"/>
        <v/>
      </c>
      <c r="V332" s="193"/>
      <c r="W332" s="193"/>
      <c r="X332" s="193"/>
      <c r="Y332" s="193"/>
      <c r="Z332" s="193" t="str">
        <f t="shared" si="28"/>
        <v/>
      </c>
      <c r="AA332" s="193"/>
      <c r="AB332" s="193"/>
      <c r="AC332" s="193"/>
      <c r="AD332" s="194"/>
    </row>
    <row r="333" spans="1:90" s="1" customFormat="1" ht="15.75" hidden="1" customHeight="1">
      <c r="A333" s="73" t="str">
        <f>IF(液状化L2の有無="","","×")</f>
        <v>×</v>
      </c>
      <c r="F333" s="76"/>
      <c r="G333" s="76"/>
      <c r="H333" s="9"/>
      <c r="I333" s="90"/>
      <c r="J333" s="90"/>
      <c r="K333" s="90"/>
      <c r="L333" s="90"/>
      <c r="M333" s="90"/>
      <c r="N333" s="90"/>
      <c r="O333" s="90"/>
      <c r="P333" s="9"/>
      <c r="Q333" s="9"/>
      <c r="R333" s="9"/>
      <c r="S333" s="9"/>
      <c r="T333" s="90"/>
      <c r="U333" s="90"/>
      <c r="V333" s="90"/>
      <c r="W333" s="90"/>
      <c r="X333" s="90"/>
      <c r="Y333" s="90"/>
      <c r="Z333" s="90"/>
      <c r="AA333" s="90"/>
      <c r="AB333" s="90"/>
      <c r="AC333" s="90"/>
      <c r="AD333" s="90"/>
    </row>
    <row r="334" spans="1:90" s="1" customFormat="1" ht="15.75" hidden="1" customHeight="1">
      <c r="A334" s="73" t="str">
        <f>IF(液状化L2の有無="","","×")</f>
        <v>×</v>
      </c>
      <c r="F334" s="76"/>
      <c r="G334" s="76"/>
      <c r="H334" s="9"/>
      <c r="I334" s="90"/>
      <c r="J334" s="90"/>
      <c r="K334" s="90"/>
      <c r="L334" s="90"/>
      <c r="M334" s="90"/>
      <c r="N334" s="90"/>
      <c r="O334" s="90"/>
      <c r="P334" s="9"/>
      <c r="Q334" s="9"/>
      <c r="R334" s="9"/>
      <c r="S334" s="9"/>
      <c r="T334" s="90"/>
      <c r="U334" s="90"/>
      <c r="V334" s="90"/>
      <c r="W334" s="90"/>
      <c r="X334" s="90"/>
      <c r="Y334" s="90"/>
      <c r="Z334" s="90"/>
      <c r="AA334" s="90"/>
      <c r="AB334" s="90"/>
      <c r="AC334" s="90"/>
      <c r="AD334" s="90"/>
    </row>
    <row r="335" spans="1:90" s="1" customFormat="1" ht="15.75" customHeight="1">
      <c r="F335" s="61" t="s">
        <v>493</v>
      </c>
      <c r="G335" s="85"/>
      <c r="H335" s="85"/>
      <c r="I335" s="61"/>
      <c r="J335" s="61"/>
      <c r="K335" s="61"/>
      <c r="L335" s="61"/>
      <c r="M335" s="61"/>
      <c r="N335" s="61"/>
      <c r="O335" s="61"/>
      <c r="P335" s="61"/>
      <c r="Q335" s="61"/>
      <c r="R335" s="61"/>
      <c r="S335" s="61"/>
      <c r="T335" s="61"/>
      <c r="U335" s="61"/>
      <c r="V335" s="61"/>
      <c r="W335" s="61"/>
      <c r="X335" s="61"/>
      <c r="Y335" s="61"/>
      <c r="Z335" s="61"/>
      <c r="AA335" s="61"/>
      <c r="AB335" s="61"/>
      <c r="AC335" s="61"/>
      <c r="AD335" s="61"/>
      <c r="AE335" s="8"/>
      <c r="AF335" s="8"/>
      <c r="AG335" s="8"/>
      <c r="AH335" s="8"/>
      <c r="AI335" s="8"/>
      <c r="AJ335" s="8"/>
      <c r="BX335" s="8"/>
      <c r="BY335" s="8"/>
      <c r="BZ335" s="8"/>
      <c r="CA335" s="8"/>
      <c r="CB335" s="8"/>
      <c r="CC335" s="8"/>
      <c r="CD335" s="8"/>
      <c r="CE335" s="8"/>
      <c r="CF335" s="8"/>
      <c r="CG335" s="8"/>
    </row>
    <row r="336" spans="1:90" s="1" customFormat="1" ht="15.75" customHeight="1">
      <c r="F336" s="185" t="s">
        <v>78</v>
      </c>
      <c r="G336" s="146"/>
      <c r="H336" s="146"/>
      <c r="I336" s="310" t="s">
        <v>491</v>
      </c>
      <c r="J336" s="147"/>
      <c r="K336" s="147"/>
      <c r="L336" s="147"/>
      <c r="M336" s="146" t="s">
        <v>492</v>
      </c>
      <c r="N336" s="147"/>
      <c r="O336" s="147"/>
      <c r="P336" s="313"/>
      <c r="Q336" s="310" t="s">
        <v>196</v>
      </c>
      <c r="R336" s="146"/>
      <c r="S336" s="221"/>
      <c r="T336" s="328"/>
      <c r="U336" s="318" t="s">
        <v>497</v>
      </c>
      <c r="V336" s="319"/>
      <c r="W336" s="319"/>
      <c r="X336" s="319"/>
      <c r="Y336" s="306"/>
      <c r="Z336" s="324" t="s">
        <v>498</v>
      </c>
      <c r="AA336" s="319"/>
      <c r="AB336" s="319"/>
      <c r="AC336" s="319"/>
      <c r="AD336" s="319"/>
      <c r="AG336" s="8"/>
      <c r="AH336" s="8"/>
      <c r="AI336" s="8"/>
      <c r="AJ336" s="8"/>
      <c r="BX336" s="8"/>
      <c r="BY336" s="8"/>
      <c r="BZ336" s="8"/>
      <c r="CA336" s="8"/>
      <c r="CB336" s="8"/>
      <c r="CC336" s="8"/>
      <c r="CD336" s="8"/>
      <c r="CE336" s="8"/>
      <c r="CF336" s="8"/>
      <c r="CG336" s="8"/>
      <c r="CH336" s="8"/>
      <c r="CI336" s="8"/>
      <c r="CJ336" s="8"/>
      <c r="CK336" s="8"/>
      <c r="CL336" s="8"/>
    </row>
    <row r="337" spans="1:90" s="1" customFormat="1" ht="15.75" customHeight="1">
      <c r="F337" s="316"/>
      <c r="G337" s="300"/>
      <c r="H337" s="300"/>
      <c r="I337" s="311"/>
      <c r="J337" s="169"/>
      <c r="K337" s="169"/>
      <c r="L337" s="169"/>
      <c r="M337" s="300"/>
      <c r="N337" s="169"/>
      <c r="O337" s="169"/>
      <c r="P337" s="314"/>
      <c r="Q337" s="311"/>
      <c r="R337" s="300"/>
      <c r="S337" s="372"/>
      <c r="T337" s="329"/>
      <c r="U337" s="320"/>
      <c r="V337" s="321"/>
      <c r="W337" s="321"/>
      <c r="X337" s="321"/>
      <c r="Y337" s="308"/>
      <c r="Z337" s="325"/>
      <c r="AA337" s="321"/>
      <c r="AB337" s="321"/>
      <c r="AC337" s="321"/>
      <c r="AD337" s="321"/>
      <c r="AG337" s="8"/>
      <c r="AH337" s="8"/>
      <c r="AI337" s="8"/>
      <c r="AJ337" s="8"/>
      <c r="BX337" s="8"/>
      <c r="BY337" s="8"/>
      <c r="BZ337" s="8"/>
      <c r="CA337" s="8"/>
      <c r="CB337" s="8"/>
      <c r="CC337" s="8"/>
      <c r="CD337" s="8"/>
      <c r="CE337" s="8"/>
      <c r="CF337" s="8"/>
      <c r="CG337" s="8"/>
      <c r="CH337" s="8"/>
      <c r="CI337" s="8"/>
      <c r="CJ337" s="8"/>
      <c r="CK337" s="8"/>
      <c r="CL337" s="8"/>
    </row>
    <row r="338" spans="1:90" s="1" customFormat="1" ht="15.75" customHeight="1">
      <c r="F338" s="186"/>
      <c r="G338" s="187"/>
      <c r="H338" s="187"/>
      <c r="I338" s="312"/>
      <c r="J338" s="148"/>
      <c r="K338" s="148"/>
      <c r="L338" s="148"/>
      <c r="M338" s="148"/>
      <c r="N338" s="148"/>
      <c r="O338" s="148"/>
      <c r="P338" s="315"/>
      <c r="Q338" s="330"/>
      <c r="R338" s="187"/>
      <c r="S338" s="222"/>
      <c r="T338" s="331"/>
      <c r="U338" s="322"/>
      <c r="V338" s="323"/>
      <c r="W338" s="323"/>
      <c r="X338" s="323"/>
      <c r="Y338" s="225"/>
      <c r="Z338" s="326"/>
      <c r="AA338" s="323"/>
      <c r="AB338" s="323"/>
      <c r="AC338" s="323"/>
      <c r="AD338" s="323"/>
      <c r="AG338" s="8"/>
      <c r="AH338" s="8"/>
      <c r="AI338" s="8"/>
      <c r="AJ338" s="8"/>
      <c r="BX338" s="8"/>
      <c r="BY338" s="8"/>
      <c r="BZ338" s="8"/>
      <c r="CA338" s="8"/>
      <c r="CB338" s="8"/>
      <c r="CC338" s="8"/>
      <c r="CD338" s="8"/>
      <c r="CE338" s="8"/>
      <c r="CF338" s="8"/>
      <c r="CG338" s="8"/>
      <c r="CH338" s="8"/>
      <c r="CI338" s="8"/>
      <c r="CJ338" s="8"/>
      <c r="CK338" s="8"/>
      <c r="CL338" s="8"/>
    </row>
    <row r="339" spans="1:90" s="1" customFormat="1" ht="15.75" customHeight="1">
      <c r="A339" s="73" t="str">
        <f t="shared" ref="A339:A354" si="30">IF(F339="","×","")</f>
        <v/>
      </c>
      <c r="F339" s="224">
        <f>F273</f>
        <v>3</v>
      </c>
      <c r="G339" s="165"/>
      <c r="H339" s="165"/>
      <c r="I339" s="317">
        <f>IF(AD155="","",AD155*AG$202)</f>
        <v>22113.525983755018</v>
      </c>
      <c r="J339" s="223"/>
      <c r="K339" s="223"/>
      <c r="L339" s="223"/>
      <c r="M339" s="223">
        <f>IF(AD155="","",AD155*AG$203)</f>
        <v>26001.175710498825</v>
      </c>
      <c r="N339" s="223"/>
      <c r="O339" s="223"/>
      <c r="P339" s="235"/>
      <c r="Q339" s="374">
        <f>R242</f>
        <v>1</v>
      </c>
      <c r="R339" s="239"/>
      <c r="S339" s="375"/>
      <c r="T339" s="376"/>
      <c r="U339" s="317">
        <f>IF(I339="","",ROUND(I339*Q339,-1))</f>
        <v>22110</v>
      </c>
      <c r="V339" s="341"/>
      <c r="W339" s="223"/>
      <c r="X339" s="223"/>
      <c r="Y339" s="223"/>
      <c r="Z339" s="223">
        <f>IF(M339="","",ROUND(M339*Q339,-1))</f>
        <v>26000</v>
      </c>
      <c r="AA339" s="223"/>
      <c r="AB339" s="223"/>
      <c r="AC339" s="223"/>
      <c r="AD339" s="327"/>
      <c r="AG339" s="8"/>
      <c r="AH339" s="8"/>
      <c r="AI339" s="8"/>
      <c r="AJ339" s="8"/>
      <c r="CI339" s="8"/>
      <c r="CJ339" s="8"/>
      <c r="CK339" s="8"/>
      <c r="CL339" s="8"/>
    </row>
    <row r="340" spans="1:90" s="1" customFormat="1" ht="15.75" customHeight="1">
      <c r="A340" s="73" t="str">
        <f t="shared" si="30"/>
        <v/>
      </c>
      <c r="F340" s="219">
        <f>F274</f>
        <v>4</v>
      </c>
      <c r="G340" s="159"/>
      <c r="H340" s="159"/>
      <c r="I340" s="200">
        <f>IF(AD156="","",AD156*AG$202)</f>
        <v>45433.532925704858</v>
      </c>
      <c r="J340" s="191"/>
      <c r="K340" s="191"/>
      <c r="L340" s="191"/>
      <c r="M340" s="191">
        <f>IF(AD156="","",AD156*AG$203)</f>
        <v>53420.936743322061</v>
      </c>
      <c r="N340" s="191"/>
      <c r="O340" s="191"/>
      <c r="P340" s="206"/>
      <c r="Q340" s="196">
        <f>Q339</f>
        <v>1</v>
      </c>
      <c r="R340" s="168"/>
      <c r="S340" s="234"/>
      <c r="T340" s="197"/>
      <c r="U340" s="200">
        <f t="shared" ref="U340:U354" si="31">IF(I340="","",ROUND(I340*Q340,-1))</f>
        <v>45430</v>
      </c>
      <c r="V340" s="201"/>
      <c r="W340" s="191"/>
      <c r="X340" s="191"/>
      <c r="Y340" s="191"/>
      <c r="Z340" s="191">
        <f t="shared" ref="Z340:Z354" si="32">IF(M340="","",ROUND(M340*Q340,-1))</f>
        <v>53420</v>
      </c>
      <c r="AA340" s="191"/>
      <c r="AB340" s="191"/>
      <c r="AC340" s="191"/>
      <c r="AD340" s="192"/>
      <c r="AG340" s="8"/>
      <c r="AH340" s="8"/>
      <c r="AI340" s="8"/>
      <c r="AJ340" s="8"/>
      <c r="CI340" s="8"/>
      <c r="CJ340" s="8"/>
      <c r="CK340" s="8"/>
      <c r="CL340" s="8"/>
    </row>
    <row r="341" spans="1:90" s="1" customFormat="1" ht="15.75" customHeight="1">
      <c r="A341" s="73" t="str">
        <f t="shared" si="30"/>
        <v/>
      </c>
      <c r="F341" s="219">
        <f>F275</f>
        <v>5</v>
      </c>
      <c r="G341" s="159"/>
      <c r="H341" s="159"/>
      <c r="I341" s="200">
        <f>IF(AD157="","",AD157*AG$202)</f>
        <v>51704.058958427922</v>
      </c>
      <c r="J341" s="191"/>
      <c r="K341" s="191"/>
      <c r="L341" s="191"/>
      <c r="M341" s="191">
        <f>IF(AD157="","",AD157*AG$203)</f>
        <v>60793.847300139751</v>
      </c>
      <c r="N341" s="191"/>
      <c r="O341" s="191"/>
      <c r="P341" s="206"/>
      <c r="Q341" s="196">
        <f t="shared" ref="Q341:Q354" si="33">Q340</f>
        <v>1</v>
      </c>
      <c r="R341" s="168"/>
      <c r="S341" s="234"/>
      <c r="T341" s="197"/>
      <c r="U341" s="200">
        <f t="shared" si="31"/>
        <v>51700</v>
      </c>
      <c r="V341" s="201"/>
      <c r="W341" s="191"/>
      <c r="X341" s="191"/>
      <c r="Y341" s="191"/>
      <c r="Z341" s="191">
        <f t="shared" si="32"/>
        <v>60790</v>
      </c>
      <c r="AA341" s="191"/>
      <c r="AB341" s="191"/>
      <c r="AC341" s="191"/>
      <c r="AD341" s="192"/>
      <c r="AG341" s="8"/>
      <c r="AH341" s="8"/>
      <c r="AI341" s="8"/>
      <c r="CH341" s="8"/>
      <c r="CI341" s="8"/>
      <c r="CJ341" s="8"/>
      <c r="CK341" s="8"/>
    </row>
    <row r="342" spans="1:90" s="1" customFormat="1" ht="15.75" customHeight="1">
      <c r="A342" s="73" t="str">
        <f t="shared" si="30"/>
        <v/>
      </c>
      <c r="F342" s="219">
        <f>F276</f>
        <v>6</v>
      </c>
      <c r="G342" s="159"/>
      <c r="H342" s="159"/>
      <c r="I342" s="200">
        <f>IF(AD158="","",AD158*AG$202)</f>
        <v>73722.33644548335</v>
      </c>
      <c r="J342" s="191"/>
      <c r="K342" s="191"/>
      <c r="L342" s="191"/>
      <c r="M342" s="191">
        <f>IF(AD158="","",AD158*AG$203)</f>
        <v>86683.029432560332</v>
      </c>
      <c r="N342" s="191"/>
      <c r="O342" s="191"/>
      <c r="P342" s="206"/>
      <c r="Q342" s="196">
        <f t="shared" si="33"/>
        <v>1</v>
      </c>
      <c r="R342" s="168"/>
      <c r="S342" s="234"/>
      <c r="T342" s="197"/>
      <c r="U342" s="200">
        <f t="shared" si="31"/>
        <v>73720</v>
      </c>
      <c r="V342" s="201"/>
      <c r="W342" s="191"/>
      <c r="X342" s="191"/>
      <c r="Y342" s="191"/>
      <c r="Z342" s="191">
        <f t="shared" si="32"/>
        <v>86680</v>
      </c>
      <c r="AA342" s="191"/>
      <c r="AB342" s="191"/>
      <c r="AC342" s="191"/>
      <c r="AD342" s="192"/>
      <c r="AG342" s="8"/>
      <c r="AH342" s="8"/>
      <c r="AI342" s="8"/>
      <c r="CH342" s="8"/>
      <c r="CI342" s="8"/>
      <c r="CJ342" s="8"/>
      <c r="CK342" s="8"/>
    </row>
    <row r="343" spans="1:90" s="1" customFormat="1" ht="15.75" customHeight="1">
      <c r="A343" s="73" t="str">
        <f t="shared" si="30"/>
        <v/>
      </c>
      <c r="F343" s="219">
        <f>F277</f>
        <v>7</v>
      </c>
      <c r="G343" s="159"/>
      <c r="H343" s="159"/>
      <c r="I343" s="200">
        <f>IF(AD159="","",AD159*AG$202)</f>
        <v>145666.70095257432</v>
      </c>
      <c r="J343" s="191"/>
      <c r="K343" s="191"/>
      <c r="L343" s="191"/>
      <c r="M343" s="191">
        <f>IF(AD159="","",AD159*AG$203)</f>
        <v>171275.51207432678</v>
      </c>
      <c r="N343" s="191"/>
      <c r="O343" s="191"/>
      <c r="P343" s="206"/>
      <c r="Q343" s="196">
        <f t="shared" si="33"/>
        <v>1</v>
      </c>
      <c r="R343" s="168"/>
      <c r="S343" s="234"/>
      <c r="T343" s="197"/>
      <c r="U343" s="200">
        <f t="shared" si="31"/>
        <v>145670</v>
      </c>
      <c r="V343" s="201"/>
      <c r="W343" s="191"/>
      <c r="X343" s="191"/>
      <c r="Y343" s="191"/>
      <c r="Z343" s="191">
        <f t="shared" si="32"/>
        <v>171280</v>
      </c>
      <c r="AA343" s="191"/>
      <c r="AB343" s="191"/>
      <c r="AC343" s="191"/>
      <c r="AD343" s="192"/>
      <c r="AG343" s="8"/>
      <c r="AH343" s="8"/>
      <c r="AI343" s="8"/>
      <c r="CH343" s="8"/>
      <c r="CI343" s="8"/>
      <c r="CJ343" s="8"/>
      <c r="CK343" s="8"/>
    </row>
    <row r="344" spans="1:90" s="1" customFormat="1" ht="15.75" hidden="1" customHeight="1">
      <c r="A344" s="73" t="str">
        <f t="shared" si="30"/>
        <v>×</v>
      </c>
      <c r="F344" s="219" t="str">
        <f>F278</f>
        <v/>
      </c>
      <c r="G344" s="159"/>
      <c r="H344" s="159"/>
      <c r="I344" s="200" t="str">
        <f>IF(AD160="","",AD160*AG$202)</f>
        <v/>
      </c>
      <c r="J344" s="191"/>
      <c r="K344" s="191"/>
      <c r="L344" s="191"/>
      <c r="M344" s="191" t="str">
        <f>IF(AD160="","",AD160*AG$203)</f>
        <v/>
      </c>
      <c r="N344" s="191"/>
      <c r="O344" s="191"/>
      <c r="P344" s="206"/>
      <c r="Q344" s="196">
        <f t="shared" si="33"/>
        <v>1</v>
      </c>
      <c r="R344" s="168"/>
      <c r="S344" s="234"/>
      <c r="T344" s="197"/>
      <c r="U344" s="200" t="str">
        <f t="shared" si="31"/>
        <v/>
      </c>
      <c r="V344" s="201"/>
      <c r="W344" s="191"/>
      <c r="X344" s="191"/>
      <c r="Y344" s="191"/>
      <c r="Z344" s="191" t="str">
        <f t="shared" si="32"/>
        <v/>
      </c>
      <c r="AA344" s="191"/>
      <c r="AB344" s="191"/>
      <c r="AC344" s="191"/>
      <c r="AD344" s="192"/>
      <c r="AG344" s="8"/>
      <c r="AH344" s="8"/>
      <c r="AI344" s="8"/>
      <c r="CH344" s="8"/>
      <c r="CI344" s="8"/>
      <c r="CJ344" s="8"/>
      <c r="CK344" s="8"/>
    </row>
    <row r="345" spans="1:90" s="1" customFormat="1" ht="15.75" hidden="1" customHeight="1">
      <c r="A345" s="73" t="str">
        <f t="shared" si="30"/>
        <v>×</v>
      </c>
      <c r="F345" s="219" t="str">
        <f>F279</f>
        <v/>
      </c>
      <c r="G345" s="159"/>
      <c r="H345" s="159"/>
      <c r="I345" s="200" t="str">
        <f>IF(AD161="","",AD161*AG$202)</f>
        <v/>
      </c>
      <c r="J345" s="191"/>
      <c r="K345" s="191"/>
      <c r="L345" s="191"/>
      <c r="M345" s="191" t="str">
        <f>IF(AD161="","",AD161*AG$203)</f>
        <v/>
      </c>
      <c r="N345" s="191"/>
      <c r="O345" s="191"/>
      <c r="P345" s="206"/>
      <c r="Q345" s="196">
        <f t="shared" si="33"/>
        <v>1</v>
      </c>
      <c r="R345" s="168"/>
      <c r="S345" s="234"/>
      <c r="T345" s="197"/>
      <c r="U345" s="200" t="str">
        <f t="shared" si="31"/>
        <v/>
      </c>
      <c r="V345" s="201"/>
      <c r="W345" s="191"/>
      <c r="X345" s="191"/>
      <c r="Y345" s="191"/>
      <c r="Z345" s="191" t="str">
        <f t="shared" si="32"/>
        <v/>
      </c>
      <c r="AA345" s="191"/>
      <c r="AB345" s="191"/>
      <c r="AC345" s="191"/>
      <c r="AD345" s="192"/>
      <c r="AG345" s="8"/>
      <c r="AH345" s="8"/>
      <c r="AI345" s="8"/>
      <c r="CH345" s="8"/>
      <c r="CI345" s="8"/>
      <c r="CJ345" s="8"/>
      <c r="CK345" s="8"/>
    </row>
    <row r="346" spans="1:90" s="1" customFormat="1" ht="15.75" hidden="1" customHeight="1">
      <c r="A346" s="73" t="str">
        <f t="shared" si="30"/>
        <v>×</v>
      </c>
      <c r="F346" s="219" t="str">
        <f>F280</f>
        <v/>
      </c>
      <c r="G346" s="159"/>
      <c r="H346" s="159"/>
      <c r="I346" s="200" t="str">
        <f>IF(AD162="","",AD162*AG$202)</f>
        <v/>
      </c>
      <c r="J346" s="191"/>
      <c r="K346" s="191"/>
      <c r="L346" s="191"/>
      <c r="M346" s="191" t="str">
        <f>IF(AD162="","",AD162*AG$203)</f>
        <v/>
      </c>
      <c r="N346" s="191"/>
      <c r="O346" s="191"/>
      <c r="P346" s="206"/>
      <c r="Q346" s="196">
        <f t="shared" si="33"/>
        <v>1</v>
      </c>
      <c r="R346" s="168"/>
      <c r="S346" s="234"/>
      <c r="T346" s="197"/>
      <c r="U346" s="200" t="str">
        <f t="shared" si="31"/>
        <v/>
      </c>
      <c r="V346" s="201"/>
      <c r="W346" s="191"/>
      <c r="X346" s="191"/>
      <c r="Y346" s="191"/>
      <c r="Z346" s="191" t="str">
        <f t="shared" si="32"/>
        <v/>
      </c>
      <c r="AA346" s="191"/>
      <c r="AB346" s="191"/>
      <c r="AC346" s="191"/>
      <c r="AD346" s="192"/>
      <c r="AG346" s="8"/>
      <c r="AH346" s="8"/>
      <c r="AI346" s="8"/>
      <c r="CH346" s="8"/>
      <c r="CI346" s="8"/>
      <c r="CJ346" s="8"/>
      <c r="CK346" s="8"/>
    </row>
    <row r="347" spans="1:90" s="1" customFormat="1" ht="15.75" hidden="1" customHeight="1">
      <c r="A347" s="73" t="str">
        <f t="shared" si="30"/>
        <v>×</v>
      </c>
      <c r="F347" s="219" t="str">
        <f>F281</f>
        <v/>
      </c>
      <c r="G347" s="159"/>
      <c r="H347" s="159"/>
      <c r="I347" s="200" t="str">
        <f>IF(AD163="","",AD163*AG$202)</f>
        <v/>
      </c>
      <c r="J347" s="191"/>
      <c r="K347" s="191"/>
      <c r="L347" s="191"/>
      <c r="M347" s="191" t="str">
        <f>IF(AD163="","",AD163*AG$203)</f>
        <v/>
      </c>
      <c r="N347" s="191"/>
      <c r="O347" s="191"/>
      <c r="P347" s="206"/>
      <c r="Q347" s="196">
        <f t="shared" si="33"/>
        <v>1</v>
      </c>
      <c r="R347" s="168"/>
      <c r="S347" s="234"/>
      <c r="T347" s="197"/>
      <c r="U347" s="200" t="str">
        <f t="shared" si="31"/>
        <v/>
      </c>
      <c r="V347" s="201"/>
      <c r="W347" s="191"/>
      <c r="X347" s="191"/>
      <c r="Y347" s="191"/>
      <c r="Z347" s="191" t="str">
        <f t="shared" si="32"/>
        <v/>
      </c>
      <c r="AA347" s="191"/>
      <c r="AB347" s="191"/>
      <c r="AC347" s="191"/>
      <c r="AD347" s="192"/>
      <c r="AG347" s="8"/>
      <c r="AH347" s="8"/>
      <c r="AI347" s="8"/>
      <c r="CH347" s="8"/>
      <c r="CI347" s="8"/>
      <c r="CJ347" s="8"/>
      <c r="CK347" s="8"/>
    </row>
    <row r="348" spans="1:90" s="1" customFormat="1" ht="15.75" hidden="1" customHeight="1">
      <c r="A348" s="73" t="str">
        <f t="shared" si="30"/>
        <v>×</v>
      </c>
      <c r="F348" s="219" t="str">
        <f>F282</f>
        <v/>
      </c>
      <c r="G348" s="159"/>
      <c r="H348" s="159"/>
      <c r="I348" s="200" t="str">
        <f>IF(AD164="","",AD164*AG$202)</f>
        <v/>
      </c>
      <c r="J348" s="191"/>
      <c r="K348" s="191"/>
      <c r="L348" s="191"/>
      <c r="M348" s="191" t="str">
        <f>IF(AD164="","",AD164*AG$203)</f>
        <v/>
      </c>
      <c r="N348" s="191"/>
      <c r="O348" s="191"/>
      <c r="P348" s="206"/>
      <c r="Q348" s="196">
        <f t="shared" si="33"/>
        <v>1</v>
      </c>
      <c r="R348" s="168"/>
      <c r="S348" s="234"/>
      <c r="T348" s="197"/>
      <c r="U348" s="200" t="str">
        <f t="shared" si="31"/>
        <v/>
      </c>
      <c r="V348" s="201"/>
      <c r="W348" s="191"/>
      <c r="X348" s="191"/>
      <c r="Y348" s="191"/>
      <c r="Z348" s="191" t="str">
        <f t="shared" si="32"/>
        <v/>
      </c>
      <c r="AA348" s="191"/>
      <c r="AB348" s="191"/>
      <c r="AC348" s="191"/>
      <c r="AD348" s="192"/>
      <c r="AG348" s="8"/>
      <c r="AH348" s="8"/>
      <c r="AI348" s="8"/>
      <c r="CH348" s="8"/>
      <c r="CI348" s="8"/>
      <c r="CJ348" s="8"/>
      <c r="CK348" s="8"/>
    </row>
    <row r="349" spans="1:90" s="1" customFormat="1" ht="15.75" hidden="1" customHeight="1">
      <c r="A349" s="73" t="str">
        <f t="shared" si="30"/>
        <v>×</v>
      </c>
      <c r="F349" s="219" t="str">
        <f>F283</f>
        <v/>
      </c>
      <c r="G349" s="159"/>
      <c r="H349" s="159"/>
      <c r="I349" s="200" t="str">
        <f>IF(AD165="","",AD165*AG$202)</f>
        <v/>
      </c>
      <c r="J349" s="191"/>
      <c r="K349" s="191"/>
      <c r="L349" s="191"/>
      <c r="M349" s="191" t="str">
        <f>IF(AD165="","",AD165*AG$203)</f>
        <v/>
      </c>
      <c r="N349" s="191"/>
      <c r="O349" s="191"/>
      <c r="P349" s="206"/>
      <c r="Q349" s="196">
        <f t="shared" si="33"/>
        <v>1</v>
      </c>
      <c r="R349" s="168"/>
      <c r="S349" s="234"/>
      <c r="T349" s="197"/>
      <c r="U349" s="200" t="str">
        <f t="shared" si="31"/>
        <v/>
      </c>
      <c r="V349" s="201"/>
      <c r="W349" s="191"/>
      <c r="X349" s="191"/>
      <c r="Y349" s="191"/>
      <c r="Z349" s="191" t="str">
        <f t="shared" si="32"/>
        <v/>
      </c>
      <c r="AA349" s="191"/>
      <c r="AB349" s="191"/>
      <c r="AC349" s="191"/>
      <c r="AD349" s="192"/>
      <c r="AG349" s="8"/>
      <c r="AH349" s="8"/>
      <c r="AI349" s="8"/>
      <c r="CH349" s="8"/>
      <c r="CI349" s="8"/>
      <c r="CJ349" s="8"/>
      <c r="CK349" s="8"/>
    </row>
    <row r="350" spans="1:90" s="1" customFormat="1" ht="15.75" hidden="1" customHeight="1">
      <c r="A350" s="73" t="str">
        <f t="shared" si="30"/>
        <v>×</v>
      </c>
      <c r="F350" s="219" t="str">
        <f>F284</f>
        <v/>
      </c>
      <c r="G350" s="159"/>
      <c r="H350" s="159"/>
      <c r="I350" s="200" t="str">
        <f>IF(AD166="","",AD166*AG$202)</f>
        <v/>
      </c>
      <c r="J350" s="191"/>
      <c r="K350" s="191"/>
      <c r="L350" s="191"/>
      <c r="M350" s="191" t="str">
        <f>IF(AD166="","",AD166*AG$203)</f>
        <v/>
      </c>
      <c r="N350" s="191"/>
      <c r="O350" s="191"/>
      <c r="P350" s="206"/>
      <c r="Q350" s="196">
        <f t="shared" si="33"/>
        <v>1</v>
      </c>
      <c r="R350" s="168"/>
      <c r="S350" s="234"/>
      <c r="T350" s="197"/>
      <c r="U350" s="200" t="str">
        <f t="shared" si="31"/>
        <v/>
      </c>
      <c r="V350" s="201"/>
      <c r="W350" s="191"/>
      <c r="X350" s="191"/>
      <c r="Y350" s="191"/>
      <c r="Z350" s="191" t="str">
        <f t="shared" si="32"/>
        <v/>
      </c>
      <c r="AA350" s="191"/>
      <c r="AB350" s="191"/>
      <c r="AC350" s="191"/>
      <c r="AD350" s="192"/>
      <c r="AG350" s="8"/>
      <c r="AH350" s="8"/>
      <c r="AI350" s="8"/>
      <c r="CH350" s="8"/>
      <c r="CI350" s="8"/>
      <c r="CJ350" s="8"/>
      <c r="CK350" s="8"/>
    </row>
    <row r="351" spans="1:90" s="1" customFormat="1" ht="15.75" hidden="1" customHeight="1">
      <c r="A351" s="73" t="str">
        <f t="shared" si="30"/>
        <v>×</v>
      </c>
      <c r="F351" s="219" t="str">
        <f>F285</f>
        <v/>
      </c>
      <c r="G351" s="159"/>
      <c r="H351" s="159"/>
      <c r="I351" s="200" t="str">
        <f>IF(AD167="","",AD167*AG$202)</f>
        <v/>
      </c>
      <c r="J351" s="191"/>
      <c r="K351" s="191"/>
      <c r="L351" s="191"/>
      <c r="M351" s="191" t="str">
        <f>IF(AD167="","",AD167*AG$203)</f>
        <v/>
      </c>
      <c r="N351" s="191"/>
      <c r="O351" s="191"/>
      <c r="P351" s="206"/>
      <c r="Q351" s="196">
        <f t="shared" si="33"/>
        <v>1</v>
      </c>
      <c r="R351" s="168"/>
      <c r="S351" s="234"/>
      <c r="T351" s="197"/>
      <c r="U351" s="200" t="str">
        <f t="shared" si="31"/>
        <v/>
      </c>
      <c r="V351" s="201"/>
      <c r="W351" s="191"/>
      <c r="X351" s="191"/>
      <c r="Y351" s="191"/>
      <c r="Z351" s="191" t="str">
        <f t="shared" si="32"/>
        <v/>
      </c>
      <c r="AA351" s="191"/>
      <c r="AB351" s="191"/>
      <c r="AC351" s="191"/>
      <c r="AD351" s="192"/>
      <c r="AG351" s="8"/>
      <c r="AH351" s="8"/>
      <c r="AI351" s="8"/>
      <c r="CH351" s="8"/>
      <c r="CI351" s="8"/>
      <c r="CJ351" s="8"/>
      <c r="CK351" s="8"/>
    </row>
    <row r="352" spans="1:90" s="1" customFormat="1" ht="15.75" hidden="1" customHeight="1">
      <c r="A352" s="73" t="str">
        <f t="shared" si="30"/>
        <v>×</v>
      </c>
      <c r="F352" s="219" t="str">
        <f>F286</f>
        <v/>
      </c>
      <c r="G352" s="159"/>
      <c r="H352" s="159"/>
      <c r="I352" s="200" t="str">
        <f>IF(AD168="","",AD168*AG$202)</f>
        <v/>
      </c>
      <c r="J352" s="191"/>
      <c r="K352" s="191"/>
      <c r="L352" s="191"/>
      <c r="M352" s="191" t="str">
        <f>IF(AD168="","",AD168*AG$203)</f>
        <v/>
      </c>
      <c r="N352" s="191"/>
      <c r="O352" s="191"/>
      <c r="P352" s="206"/>
      <c r="Q352" s="196">
        <f t="shared" si="33"/>
        <v>1</v>
      </c>
      <c r="R352" s="168"/>
      <c r="S352" s="234"/>
      <c r="T352" s="197"/>
      <c r="U352" s="200" t="str">
        <f t="shared" si="31"/>
        <v/>
      </c>
      <c r="V352" s="201"/>
      <c r="W352" s="191"/>
      <c r="X352" s="191"/>
      <c r="Y352" s="191"/>
      <c r="Z352" s="191" t="str">
        <f t="shared" si="32"/>
        <v/>
      </c>
      <c r="AA352" s="191"/>
      <c r="AB352" s="191"/>
      <c r="AC352" s="191"/>
      <c r="AD352" s="192"/>
      <c r="AG352" s="8"/>
      <c r="AH352" s="8"/>
      <c r="AI352" s="8"/>
      <c r="CH352" s="8"/>
      <c r="CI352" s="8"/>
      <c r="CJ352" s="8"/>
      <c r="CK352" s="8"/>
    </row>
    <row r="353" spans="1:89" s="1" customFormat="1" ht="15.75" hidden="1" customHeight="1">
      <c r="A353" s="73" t="str">
        <f t="shared" si="30"/>
        <v>×</v>
      </c>
      <c r="F353" s="219" t="str">
        <f>F287</f>
        <v/>
      </c>
      <c r="G353" s="159"/>
      <c r="H353" s="159"/>
      <c r="I353" s="200" t="str">
        <f>IF(AD169="","",AD169*AG$202)</f>
        <v/>
      </c>
      <c r="J353" s="191"/>
      <c r="K353" s="191"/>
      <c r="L353" s="191"/>
      <c r="M353" s="191" t="str">
        <f>IF(AD169="","",AD169*AG$203)</f>
        <v/>
      </c>
      <c r="N353" s="191"/>
      <c r="O353" s="191"/>
      <c r="P353" s="206"/>
      <c r="Q353" s="196">
        <f t="shared" si="33"/>
        <v>1</v>
      </c>
      <c r="R353" s="168"/>
      <c r="S353" s="234"/>
      <c r="T353" s="197"/>
      <c r="U353" s="200" t="str">
        <f t="shared" si="31"/>
        <v/>
      </c>
      <c r="V353" s="201"/>
      <c r="W353" s="191"/>
      <c r="X353" s="191"/>
      <c r="Y353" s="191"/>
      <c r="Z353" s="191" t="str">
        <f t="shared" si="32"/>
        <v/>
      </c>
      <c r="AA353" s="191"/>
      <c r="AB353" s="191"/>
      <c r="AC353" s="191"/>
      <c r="AD353" s="192"/>
      <c r="AG353" s="8"/>
      <c r="AH353" s="8"/>
      <c r="AI353" s="8"/>
      <c r="CH353" s="8"/>
      <c r="CI353" s="8"/>
      <c r="CJ353" s="8"/>
      <c r="CK353" s="8"/>
    </row>
    <row r="354" spans="1:89" s="1" customFormat="1" ht="15.75" hidden="1" customHeight="1">
      <c r="A354" s="73" t="str">
        <f t="shared" si="30"/>
        <v>×</v>
      </c>
      <c r="F354" s="392" t="str">
        <f>F288</f>
        <v/>
      </c>
      <c r="G354" s="154"/>
      <c r="H354" s="154"/>
      <c r="I354" s="202" t="str">
        <f>IF(AD170="","",AD170*AG$202)</f>
        <v/>
      </c>
      <c r="J354" s="193"/>
      <c r="K354" s="193"/>
      <c r="L354" s="193"/>
      <c r="M354" s="193" t="str">
        <f>IF(AD170="","",AD170*AG$203)</f>
        <v/>
      </c>
      <c r="N354" s="193"/>
      <c r="O354" s="193"/>
      <c r="P354" s="195"/>
      <c r="Q354" s="198">
        <f t="shared" si="33"/>
        <v>1</v>
      </c>
      <c r="R354" s="178"/>
      <c r="S354" s="393"/>
      <c r="T354" s="199"/>
      <c r="U354" s="202" t="str">
        <f t="shared" si="31"/>
        <v/>
      </c>
      <c r="V354" s="203"/>
      <c r="W354" s="193"/>
      <c r="X354" s="193"/>
      <c r="Y354" s="193"/>
      <c r="Z354" s="193" t="str">
        <f t="shared" si="32"/>
        <v/>
      </c>
      <c r="AA354" s="193"/>
      <c r="AB354" s="193"/>
      <c r="AC354" s="193"/>
      <c r="AD354" s="194"/>
      <c r="AG354" s="8"/>
      <c r="AH354" s="8"/>
      <c r="AI354" s="8"/>
      <c r="CH354" s="8"/>
      <c r="CI354" s="8"/>
      <c r="CJ354" s="8"/>
      <c r="CK354" s="8"/>
    </row>
    <row r="355" spans="1:89" s="1" customFormat="1" ht="15.75" customHeight="1">
      <c r="F355" s="118"/>
      <c r="G355" s="118"/>
      <c r="H355" s="121"/>
      <c r="I355" s="511"/>
      <c r="J355" s="511"/>
      <c r="K355" s="511"/>
      <c r="L355" s="511"/>
      <c r="M355" s="511"/>
      <c r="N355" s="511"/>
      <c r="O355" s="511"/>
      <c r="P355" s="121"/>
      <c r="Q355" s="121"/>
      <c r="R355" s="121"/>
      <c r="S355" s="121"/>
      <c r="T355" s="511"/>
      <c r="U355" s="511"/>
      <c r="V355" s="511"/>
      <c r="W355" s="511"/>
      <c r="X355" s="511"/>
      <c r="Y355" s="511"/>
      <c r="Z355" s="511"/>
      <c r="AA355" s="511"/>
      <c r="AB355" s="511"/>
      <c r="AC355" s="511"/>
      <c r="AD355" s="86"/>
      <c r="AG355" s="8"/>
      <c r="AH355" s="8"/>
      <c r="AI355" s="8"/>
      <c r="CH355" s="8"/>
      <c r="CI355" s="8"/>
      <c r="CJ355" s="8"/>
      <c r="CK355" s="8"/>
    </row>
    <row r="356" spans="1:89" s="1" customFormat="1" ht="15.75" customHeight="1">
      <c r="F356" s="76"/>
      <c r="G356" s="76"/>
      <c r="H356" s="9"/>
      <c r="I356" s="90"/>
      <c r="J356" s="90"/>
      <c r="K356" s="90"/>
      <c r="L356" s="90"/>
      <c r="M356" s="90"/>
      <c r="N356" s="90"/>
      <c r="O356" s="90"/>
      <c r="P356" s="9"/>
      <c r="Q356" s="9"/>
      <c r="R356" s="9"/>
      <c r="S356" s="9"/>
      <c r="T356" s="90"/>
      <c r="U356" s="90"/>
      <c r="V356" s="90"/>
      <c r="W356" s="90"/>
      <c r="X356" s="90"/>
      <c r="Y356" s="90"/>
      <c r="Z356" s="90"/>
      <c r="AA356" s="90"/>
      <c r="AB356" s="90"/>
      <c r="AC356" s="90"/>
      <c r="AG356" s="8"/>
      <c r="AH356" s="8"/>
      <c r="AI356" s="8"/>
      <c r="CH356" s="8"/>
      <c r="CI356" s="8"/>
      <c r="CJ356" s="8"/>
      <c r="CK356" s="8"/>
    </row>
    <row r="357" spans="1:89" s="1" customFormat="1" ht="15.75" customHeight="1">
      <c r="F357" s="76"/>
      <c r="G357" s="76"/>
      <c r="H357" s="9"/>
      <c r="I357" s="90"/>
      <c r="J357" s="90"/>
      <c r="K357" s="90"/>
      <c r="L357" s="90"/>
      <c r="M357" s="90"/>
      <c r="N357" s="90"/>
      <c r="O357" s="90"/>
      <c r="P357" s="9"/>
      <c r="Q357" s="9"/>
      <c r="R357" s="9"/>
      <c r="S357" s="9"/>
      <c r="T357" s="90"/>
      <c r="U357" s="90"/>
      <c r="V357" s="90"/>
      <c r="W357" s="90"/>
      <c r="X357" s="90"/>
      <c r="Y357" s="90"/>
      <c r="Z357" s="90"/>
      <c r="AA357" s="90"/>
      <c r="AB357" s="90"/>
      <c r="AC357" s="90"/>
      <c r="AG357" s="8"/>
      <c r="AH357" s="8"/>
      <c r="AI357" s="8"/>
      <c r="CH357" s="8"/>
      <c r="CI357" s="8"/>
      <c r="CJ357" s="8"/>
      <c r="CK357" s="8"/>
    </row>
    <row r="358" spans="1:89" s="1" customFormat="1" ht="15.75" customHeight="1">
      <c r="F358" s="76"/>
      <c r="G358" s="76"/>
      <c r="H358" s="9"/>
      <c r="I358" s="90"/>
      <c r="J358" s="90"/>
      <c r="K358" s="90"/>
      <c r="L358" s="90"/>
      <c r="M358" s="90"/>
      <c r="N358" s="90"/>
      <c r="O358" s="90"/>
      <c r="P358" s="9"/>
      <c r="Q358" s="9"/>
      <c r="R358" s="9"/>
      <c r="S358" s="9"/>
      <c r="T358" s="90"/>
      <c r="U358" s="90"/>
      <c r="V358" s="90"/>
      <c r="W358" s="90"/>
      <c r="X358" s="90"/>
      <c r="Y358" s="90"/>
      <c r="Z358" s="90"/>
      <c r="AA358" s="90"/>
      <c r="AB358" s="90"/>
      <c r="AC358" s="90"/>
      <c r="AG358" s="8"/>
      <c r="AH358" s="8"/>
      <c r="AI358" s="8"/>
      <c r="CH358" s="8"/>
      <c r="CI358" s="8"/>
      <c r="CJ358" s="8"/>
      <c r="CK358" s="8"/>
    </row>
    <row r="359" spans="1:89" s="1" customFormat="1" ht="15.75" customHeight="1">
      <c r="F359" s="76"/>
      <c r="G359" s="76"/>
      <c r="H359" s="9"/>
      <c r="I359" s="90"/>
      <c r="J359" s="90"/>
      <c r="K359" s="90"/>
      <c r="L359" s="90"/>
      <c r="M359" s="90"/>
      <c r="N359" s="90"/>
      <c r="O359" s="90"/>
      <c r="P359" s="9"/>
      <c r="Q359" s="9"/>
      <c r="R359" s="9"/>
      <c r="S359" s="9"/>
      <c r="T359" s="90"/>
      <c r="U359" s="90"/>
      <c r="V359" s="90"/>
      <c r="W359" s="90"/>
      <c r="X359" s="90"/>
      <c r="Y359" s="90"/>
      <c r="Z359" s="90"/>
      <c r="AA359" s="90"/>
      <c r="AB359" s="90"/>
      <c r="AC359" s="90"/>
      <c r="AG359" s="8"/>
      <c r="AH359" s="8"/>
      <c r="AI359" s="8"/>
      <c r="CH359" s="8"/>
      <c r="CI359" s="8"/>
      <c r="CJ359" s="8"/>
      <c r="CK359" s="8"/>
    </row>
    <row r="360" spans="1:89" s="1" customFormat="1" ht="15.75" customHeight="1">
      <c r="F360" s="76"/>
      <c r="G360" s="76"/>
      <c r="H360" s="9"/>
      <c r="I360" s="90"/>
      <c r="J360" s="90"/>
      <c r="K360" s="90"/>
      <c r="L360" s="90"/>
      <c r="M360" s="90"/>
      <c r="N360" s="90"/>
      <c r="O360" s="90"/>
      <c r="P360" s="9"/>
      <c r="Q360" s="9"/>
      <c r="R360" s="9"/>
      <c r="S360" s="9"/>
      <c r="T360" s="90"/>
      <c r="U360" s="90"/>
      <c r="V360" s="90"/>
      <c r="W360" s="90"/>
      <c r="X360" s="90"/>
      <c r="Y360" s="90"/>
      <c r="Z360" s="90"/>
      <c r="AA360" s="90"/>
      <c r="AB360" s="90"/>
      <c r="AC360" s="90"/>
      <c r="AG360" s="8"/>
      <c r="AH360" s="8"/>
      <c r="AI360" s="8"/>
      <c r="CH360" s="8"/>
      <c r="CI360" s="8"/>
      <c r="CJ360" s="8"/>
      <c r="CK360" s="8"/>
    </row>
    <row r="361" spans="1:89" s="1" customFormat="1" ht="15.75" customHeight="1">
      <c r="F361" s="76"/>
      <c r="G361" s="76"/>
      <c r="H361" s="9"/>
      <c r="I361" s="90"/>
      <c r="J361" s="90"/>
      <c r="K361" s="90"/>
      <c r="L361" s="90"/>
      <c r="M361" s="90"/>
      <c r="N361" s="90"/>
      <c r="O361" s="90"/>
      <c r="P361" s="9"/>
      <c r="Q361" s="9"/>
      <c r="R361" s="9"/>
      <c r="S361" s="9"/>
      <c r="T361" s="90"/>
      <c r="U361" s="90"/>
      <c r="V361" s="90"/>
      <c r="W361" s="90"/>
      <c r="X361" s="90"/>
      <c r="Y361" s="90"/>
      <c r="Z361" s="90"/>
      <c r="AA361" s="90"/>
      <c r="AB361" s="90"/>
      <c r="AC361" s="90"/>
      <c r="AG361" s="8"/>
      <c r="AH361" s="8"/>
      <c r="AI361" s="8"/>
      <c r="CH361" s="8"/>
      <c r="CI361" s="8"/>
      <c r="CJ361" s="8"/>
      <c r="CK361" s="8"/>
    </row>
    <row r="362" spans="1:89" s="1" customFormat="1" ht="15.75" hidden="1" customHeight="1">
      <c r="A362" s="73" t="str">
        <f>IF(液状化L1の有無="","","×")</f>
        <v>×</v>
      </c>
      <c r="F362" s="76"/>
      <c r="G362" s="76"/>
      <c r="H362" s="9"/>
      <c r="I362" s="90"/>
      <c r="J362" s="90"/>
      <c r="K362" s="90"/>
      <c r="L362" s="90"/>
      <c r="M362" s="90"/>
      <c r="N362" s="90"/>
      <c r="O362" s="90"/>
      <c r="P362" s="9"/>
      <c r="Q362" s="9"/>
      <c r="R362" s="9"/>
      <c r="S362" s="9"/>
      <c r="T362" s="90"/>
      <c r="U362" s="90"/>
      <c r="V362" s="90"/>
      <c r="W362" s="90"/>
      <c r="X362" s="90"/>
      <c r="Y362" s="90"/>
      <c r="Z362" s="90"/>
      <c r="AA362" s="90"/>
      <c r="AB362" s="90"/>
      <c r="AC362" s="90"/>
      <c r="AG362" s="8"/>
      <c r="AH362" s="8"/>
      <c r="AI362" s="8"/>
      <c r="CH362" s="8"/>
      <c r="CI362" s="8"/>
      <c r="CJ362" s="8"/>
      <c r="CK362" s="8"/>
    </row>
    <row r="363" spans="1:89" s="1" customFormat="1" ht="15.75" hidden="1" customHeight="1">
      <c r="A363" s="73" t="str">
        <f>IF(液状化L1の有無="","","×")</f>
        <v>×</v>
      </c>
      <c r="B363" s="76"/>
      <c r="E363" s="8"/>
      <c r="F363" s="61" t="s">
        <v>505</v>
      </c>
      <c r="G363" s="61"/>
      <c r="H363" s="61"/>
      <c r="I363" s="61"/>
      <c r="J363" s="61"/>
      <c r="K363" s="61"/>
      <c r="L363" s="61"/>
      <c r="M363" s="61"/>
      <c r="N363" s="61"/>
      <c r="O363" s="61"/>
      <c r="P363" s="61"/>
      <c r="Q363" s="61"/>
      <c r="R363" s="61"/>
      <c r="S363" s="61"/>
      <c r="T363" s="61"/>
      <c r="U363" s="61"/>
      <c r="V363" s="61"/>
      <c r="W363" s="61"/>
      <c r="X363" s="61"/>
      <c r="Y363" s="61"/>
      <c r="Z363" s="61"/>
      <c r="AA363" s="61"/>
      <c r="AB363" s="62"/>
      <c r="AC363" s="62"/>
      <c r="AD363" s="62"/>
    </row>
    <row r="364" spans="1:89" s="1" customFormat="1" ht="15.75" hidden="1" customHeight="1">
      <c r="A364" s="73" t="str">
        <f>IF(液状化L1の有無="","","×")</f>
        <v>×</v>
      </c>
      <c r="F364" s="185" t="s">
        <v>78</v>
      </c>
      <c r="G364" s="185"/>
      <c r="H364" s="146"/>
      <c r="I364" s="146" t="s">
        <v>500</v>
      </c>
      <c r="J364" s="146"/>
      <c r="K364" s="146"/>
      <c r="L364" s="146"/>
      <c r="M364" s="146" t="s">
        <v>499</v>
      </c>
      <c r="N364" s="146"/>
      <c r="O364" s="146"/>
      <c r="P364" s="221"/>
      <c r="Q364" s="350" t="s">
        <v>501</v>
      </c>
      <c r="R364" s="147"/>
      <c r="S364" s="147"/>
      <c r="T364" s="147"/>
      <c r="U364" s="147"/>
      <c r="V364" s="147"/>
      <c r="W364" s="147"/>
      <c r="X364" s="147"/>
      <c r="Y364" s="147"/>
      <c r="Z364" s="147"/>
      <c r="AA364" s="147"/>
      <c r="AB364" s="147"/>
      <c r="AC364" s="147"/>
      <c r="AD364" s="214"/>
    </row>
    <row r="365" spans="1:89" s="1" customFormat="1" ht="15.75" hidden="1" customHeight="1">
      <c r="A365" s="73" t="str">
        <f>IF(液状化L1の有無="","","×")</f>
        <v>×</v>
      </c>
      <c r="F365" s="316"/>
      <c r="G365" s="316"/>
      <c r="H365" s="300"/>
      <c r="I365" s="300"/>
      <c r="J365" s="300"/>
      <c r="K365" s="300"/>
      <c r="L365" s="300"/>
      <c r="M365" s="300"/>
      <c r="N365" s="300"/>
      <c r="O365" s="300"/>
      <c r="P365" s="372"/>
      <c r="Q365" s="311" t="s">
        <v>502</v>
      </c>
      <c r="R365" s="300"/>
      <c r="S365" s="300"/>
      <c r="T365" s="300"/>
      <c r="U365" s="300" t="s">
        <v>497</v>
      </c>
      <c r="V365" s="300"/>
      <c r="W365" s="300"/>
      <c r="X365" s="300"/>
      <c r="Y365" s="300"/>
      <c r="Z365" s="300" t="s">
        <v>498</v>
      </c>
      <c r="AA365" s="300"/>
      <c r="AB365" s="300"/>
      <c r="AC365" s="300"/>
      <c r="AD365" s="372"/>
    </row>
    <row r="366" spans="1:89" s="1" customFormat="1" ht="15.75" hidden="1" customHeight="1">
      <c r="A366" s="73" t="str">
        <f>IF(液状化L1の有無="","","×")</f>
        <v>×</v>
      </c>
      <c r="F366" s="186"/>
      <c r="G366" s="186"/>
      <c r="H366" s="187"/>
      <c r="I366" s="187"/>
      <c r="J366" s="187"/>
      <c r="K366" s="187"/>
      <c r="L366" s="187"/>
      <c r="M366" s="187"/>
      <c r="N366" s="187"/>
      <c r="O366" s="187"/>
      <c r="P366" s="222"/>
      <c r="Q366" s="330"/>
      <c r="R366" s="187"/>
      <c r="S366" s="187"/>
      <c r="T366" s="187"/>
      <c r="U366" s="187"/>
      <c r="V366" s="187"/>
      <c r="W366" s="187"/>
      <c r="X366" s="187"/>
      <c r="Y366" s="187"/>
      <c r="Z366" s="187"/>
      <c r="AA366" s="187"/>
      <c r="AB366" s="187"/>
      <c r="AC366" s="187"/>
      <c r="AD366" s="222"/>
    </row>
    <row r="367" spans="1:89" s="1" customFormat="1" ht="15.75" hidden="1" customHeight="1">
      <c r="A367" s="73" t="str">
        <f>IF(液状化L1の有無="",IF(F367="","×",""),"×")</f>
        <v>×</v>
      </c>
      <c r="B367" s="76"/>
      <c r="F367" s="224">
        <f t="shared" ref="F367:F382" si="34">F339</f>
        <v>3</v>
      </c>
      <c r="G367" s="224"/>
      <c r="H367" s="165"/>
      <c r="I367" s="223">
        <f t="shared" ref="I367:I382" si="35">I339</f>
        <v>22113.525983755018</v>
      </c>
      <c r="J367" s="223"/>
      <c r="K367" s="223"/>
      <c r="L367" s="223"/>
      <c r="M367" s="223">
        <f t="shared" ref="M367:M382" si="36">M339</f>
        <v>26001.175710498825</v>
      </c>
      <c r="N367" s="223"/>
      <c r="O367" s="223"/>
      <c r="P367" s="327"/>
      <c r="Q367" s="394">
        <f t="shared" ref="Q367:Q382" si="37">Q295</f>
        <v>1</v>
      </c>
      <c r="R367" s="165"/>
      <c r="S367" s="165"/>
      <c r="T367" s="165"/>
      <c r="U367" s="395">
        <f t="shared" ref="U367:U382" si="38">IF(I367="","",ROUND(I367*Q367,-1))</f>
        <v>22110</v>
      </c>
      <c r="V367" s="395"/>
      <c r="W367" s="395"/>
      <c r="X367" s="395"/>
      <c r="Y367" s="395"/>
      <c r="Z367" s="395">
        <f t="shared" ref="Z367:Z382" si="39">IF(M367="","",ROUND(M367*Q367,-1))</f>
        <v>26000</v>
      </c>
      <c r="AA367" s="395"/>
      <c r="AB367" s="395"/>
      <c r="AC367" s="395"/>
      <c r="AD367" s="396"/>
    </row>
    <row r="368" spans="1:89" s="1" customFormat="1" ht="15.75" hidden="1" customHeight="1">
      <c r="A368" s="73" t="str">
        <f>IF(液状化L1の有無="",IF(F368="","×",""),"×")</f>
        <v>×</v>
      </c>
      <c r="B368" s="76"/>
      <c r="F368" s="204">
        <f t="shared" si="34"/>
        <v>4</v>
      </c>
      <c r="G368" s="204"/>
      <c r="H368" s="205"/>
      <c r="I368" s="191">
        <f t="shared" si="35"/>
        <v>45433.532925704858</v>
      </c>
      <c r="J368" s="191"/>
      <c r="K368" s="191"/>
      <c r="L368" s="191"/>
      <c r="M368" s="191">
        <f t="shared" si="36"/>
        <v>53420.936743322061</v>
      </c>
      <c r="N368" s="191"/>
      <c r="O368" s="191"/>
      <c r="P368" s="192"/>
      <c r="Q368" s="397">
        <f t="shared" si="37"/>
        <v>1</v>
      </c>
      <c r="R368" s="205"/>
      <c r="S368" s="205"/>
      <c r="T368" s="205"/>
      <c r="U368" s="398">
        <f t="shared" si="38"/>
        <v>45430</v>
      </c>
      <c r="V368" s="398"/>
      <c r="W368" s="398"/>
      <c r="X368" s="398"/>
      <c r="Y368" s="398"/>
      <c r="Z368" s="398">
        <f t="shared" si="39"/>
        <v>53420</v>
      </c>
      <c r="AA368" s="398"/>
      <c r="AB368" s="398"/>
      <c r="AC368" s="398"/>
      <c r="AD368" s="399"/>
    </row>
    <row r="369" spans="1:86" s="1" customFormat="1" ht="15.75" hidden="1" customHeight="1">
      <c r="A369" s="73" t="str">
        <f>IF(液状化L1の有無="",IF(F369="","×",""),"×")</f>
        <v>×</v>
      </c>
      <c r="B369" s="76"/>
      <c r="F369" s="204">
        <f t="shared" si="34"/>
        <v>5</v>
      </c>
      <c r="G369" s="204"/>
      <c r="H369" s="205"/>
      <c r="I369" s="191">
        <f t="shared" si="35"/>
        <v>51704.058958427922</v>
      </c>
      <c r="J369" s="191"/>
      <c r="K369" s="191"/>
      <c r="L369" s="191"/>
      <c r="M369" s="191">
        <f t="shared" si="36"/>
        <v>60793.847300139751</v>
      </c>
      <c r="N369" s="191"/>
      <c r="O369" s="191"/>
      <c r="P369" s="192"/>
      <c r="Q369" s="397">
        <f t="shared" si="37"/>
        <v>1</v>
      </c>
      <c r="R369" s="205"/>
      <c r="S369" s="205"/>
      <c r="T369" s="205"/>
      <c r="U369" s="398">
        <f t="shared" si="38"/>
        <v>51700</v>
      </c>
      <c r="V369" s="398"/>
      <c r="W369" s="398"/>
      <c r="X369" s="398"/>
      <c r="Y369" s="398"/>
      <c r="Z369" s="398">
        <f t="shared" si="39"/>
        <v>60790</v>
      </c>
      <c r="AA369" s="398"/>
      <c r="AB369" s="398"/>
      <c r="AC369" s="398"/>
      <c r="AD369" s="399"/>
    </row>
    <row r="370" spans="1:86" s="1" customFormat="1" ht="15.75" hidden="1" customHeight="1">
      <c r="A370" s="73" t="str">
        <f>IF(液状化L1の有無="",IF(F370="","×",""),"×")</f>
        <v>×</v>
      </c>
      <c r="B370" s="76"/>
      <c r="F370" s="204">
        <f t="shared" si="34"/>
        <v>6</v>
      </c>
      <c r="G370" s="204"/>
      <c r="H370" s="205"/>
      <c r="I370" s="191">
        <f t="shared" si="35"/>
        <v>73722.33644548335</v>
      </c>
      <c r="J370" s="191"/>
      <c r="K370" s="191"/>
      <c r="L370" s="191"/>
      <c r="M370" s="191">
        <f t="shared" si="36"/>
        <v>86683.029432560332</v>
      </c>
      <c r="N370" s="191"/>
      <c r="O370" s="191"/>
      <c r="P370" s="192"/>
      <c r="Q370" s="397">
        <f t="shared" si="37"/>
        <v>1</v>
      </c>
      <c r="R370" s="205"/>
      <c r="S370" s="205"/>
      <c r="T370" s="205"/>
      <c r="U370" s="398">
        <f t="shared" si="38"/>
        <v>73720</v>
      </c>
      <c r="V370" s="398"/>
      <c r="W370" s="398"/>
      <c r="X370" s="398"/>
      <c r="Y370" s="398"/>
      <c r="Z370" s="398">
        <f t="shared" si="39"/>
        <v>86680</v>
      </c>
      <c r="AA370" s="398"/>
      <c r="AB370" s="398"/>
      <c r="AC370" s="398"/>
      <c r="AD370" s="399"/>
    </row>
    <row r="371" spans="1:86" s="1" customFormat="1" ht="15.75" hidden="1" customHeight="1">
      <c r="A371" s="73" t="str">
        <f>IF(液状化L1の有無="",IF(F371="","×",""),"×")</f>
        <v>×</v>
      </c>
      <c r="B371" s="76"/>
      <c r="F371" s="204">
        <f t="shared" si="34"/>
        <v>7</v>
      </c>
      <c r="G371" s="204"/>
      <c r="H371" s="205"/>
      <c r="I371" s="191">
        <f t="shared" si="35"/>
        <v>145666.70095257432</v>
      </c>
      <c r="J371" s="191"/>
      <c r="K371" s="191"/>
      <c r="L371" s="191"/>
      <c r="M371" s="191">
        <f t="shared" si="36"/>
        <v>171275.51207432678</v>
      </c>
      <c r="N371" s="191"/>
      <c r="O371" s="191"/>
      <c r="P371" s="192"/>
      <c r="Q371" s="397">
        <f t="shared" si="37"/>
        <v>1</v>
      </c>
      <c r="R371" s="205"/>
      <c r="S371" s="205"/>
      <c r="T371" s="205"/>
      <c r="U371" s="398">
        <f t="shared" si="38"/>
        <v>145670</v>
      </c>
      <c r="V371" s="398"/>
      <c r="W371" s="398"/>
      <c r="X371" s="398"/>
      <c r="Y371" s="398"/>
      <c r="Z371" s="398">
        <f t="shared" si="39"/>
        <v>171280</v>
      </c>
      <c r="AA371" s="398"/>
      <c r="AB371" s="398"/>
      <c r="AC371" s="398"/>
      <c r="AD371" s="399"/>
      <c r="CE371" s="8"/>
      <c r="CF371" s="8"/>
      <c r="CG371" s="8"/>
      <c r="CH371" s="8"/>
    </row>
    <row r="372" spans="1:86" s="1" customFormat="1" ht="15.75" hidden="1" customHeight="1">
      <c r="A372" s="73" t="str">
        <f>IF(液状化L1の有無="",IF(F372="","×",""),"×")</f>
        <v>×</v>
      </c>
      <c r="B372" s="76"/>
      <c r="F372" s="204" t="str">
        <f>F344</f>
        <v/>
      </c>
      <c r="G372" s="204"/>
      <c r="H372" s="205"/>
      <c r="I372" s="191" t="str">
        <f t="shared" si="35"/>
        <v/>
      </c>
      <c r="J372" s="191"/>
      <c r="K372" s="191"/>
      <c r="L372" s="191"/>
      <c r="M372" s="191" t="str">
        <f t="shared" si="36"/>
        <v/>
      </c>
      <c r="N372" s="191"/>
      <c r="O372" s="191"/>
      <c r="P372" s="192"/>
      <c r="Q372" s="397">
        <f t="shared" si="37"/>
        <v>0</v>
      </c>
      <c r="R372" s="205"/>
      <c r="S372" s="205"/>
      <c r="T372" s="205"/>
      <c r="U372" s="398" t="str">
        <f t="shared" si="38"/>
        <v/>
      </c>
      <c r="V372" s="398"/>
      <c r="W372" s="398"/>
      <c r="X372" s="398"/>
      <c r="Y372" s="398"/>
      <c r="Z372" s="398" t="str">
        <f t="shared" si="39"/>
        <v/>
      </c>
      <c r="AA372" s="398"/>
      <c r="AB372" s="398"/>
      <c r="AC372" s="398"/>
      <c r="AD372" s="399"/>
      <c r="CE372" s="8"/>
      <c r="CF372" s="8"/>
      <c r="CG372" s="8"/>
      <c r="CH372" s="8"/>
    </row>
    <row r="373" spans="1:86" s="1" customFormat="1" ht="15.75" hidden="1" customHeight="1">
      <c r="A373" s="73" t="str">
        <f>IF(液状化L1の有無="",IF(F373="","×",""),"×")</f>
        <v>×</v>
      </c>
      <c r="B373" s="76"/>
      <c r="F373" s="204" t="str">
        <f>F345</f>
        <v/>
      </c>
      <c r="G373" s="204"/>
      <c r="H373" s="205"/>
      <c r="I373" s="191" t="str">
        <f t="shared" si="35"/>
        <v/>
      </c>
      <c r="J373" s="191"/>
      <c r="K373" s="191"/>
      <c r="L373" s="191"/>
      <c r="M373" s="191" t="str">
        <f t="shared" si="36"/>
        <v/>
      </c>
      <c r="N373" s="191"/>
      <c r="O373" s="191"/>
      <c r="P373" s="192"/>
      <c r="Q373" s="397">
        <f t="shared" si="37"/>
        <v>0</v>
      </c>
      <c r="R373" s="205"/>
      <c r="S373" s="205"/>
      <c r="T373" s="205"/>
      <c r="U373" s="398" t="str">
        <f t="shared" si="38"/>
        <v/>
      </c>
      <c r="V373" s="398"/>
      <c r="W373" s="398"/>
      <c r="X373" s="398"/>
      <c r="Y373" s="398"/>
      <c r="Z373" s="398" t="str">
        <f t="shared" si="39"/>
        <v/>
      </c>
      <c r="AA373" s="398"/>
      <c r="AB373" s="398"/>
      <c r="AC373" s="398"/>
      <c r="AD373" s="399"/>
      <c r="CE373" s="8"/>
      <c r="CF373" s="8"/>
      <c r="CG373" s="8"/>
      <c r="CH373" s="8"/>
    </row>
    <row r="374" spans="1:86" s="1" customFormat="1" ht="15.75" hidden="1" customHeight="1">
      <c r="A374" s="73" t="str">
        <f>IF(液状化L1の有無="",IF(F374="","×",""),"×")</f>
        <v>×</v>
      </c>
      <c r="B374" s="76"/>
      <c r="F374" s="204" t="str">
        <f t="shared" si="34"/>
        <v/>
      </c>
      <c r="G374" s="204"/>
      <c r="H374" s="205"/>
      <c r="I374" s="191" t="str">
        <f t="shared" si="35"/>
        <v/>
      </c>
      <c r="J374" s="191"/>
      <c r="K374" s="191"/>
      <c r="L374" s="191"/>
      <c r="M374" s="191" t="str">
        <f t="shared" si="36"/>
        <v/>
      </c>
      <c r="N374" s="191"/>
      <c r="O374" s="191"/>
      <c r="P374" s="192"/>
      <c r="Q374" s="397">
        <f t="shared" si="37"/>
        <v>0</v>
      </c>
      <c r="R374" s="205"/>
      <c r="S374" s="205"/>
      <c r="T374" s="205"/>
      <c r="U374" s="398" t="str">
        <f t="shared" si="38"/>
        <v/>
      </c>
      <c r="V374" s="398"/>
      <c r="W374" s="398"/>
      <c r="X374" s="398"/>
      <c r="Y374" s="398"/>
      <c r="Z374" s="398" t="str">
        <f t="shared" si="39"/>
        <v/>
      </c>
      <c r="AA374" s="398"/>
      <c r="AB374" s="398"/>
      <c r="AC374" s="398"/>
      <c r="AD374" s="399"/>
      <c r="CE374" s="8"/>
      <c r="CF374" s="8"/>
      <c r="CG374" s="8"/>
      <c r="CH374" s="8"/>
    </row>
    <row r="375" spans="1:86" s="1" customFormat="1" ht="15.75" hidden="1" customHeight="1">
      <c r="A375" s="73" t="str">
        <f>IF(液状化L1の有無="",IF(F375="","×",""),"×")</f>
        <v>×</v>
      </c>
      <c r="B375" s="76"/>
      <c r="F375" s="204" t="str">
        <f t="shared" si="34"/>
        <v/>
      </c>
      <c r="G375" s="204"/>
      <c r="H375" s="205"/>
      <c r="I375" s="191" t="str">
        <f t="shared" si="35"/>
        <v/>
      </c>
      <c r="J375" s="191"/>
      <c r="K375" s="191"/>
      <c r="L375" s="191"/>
      <c r="M375" s="191" t="str">
        <f t="shared" si="36"/>
        <v/>
      </c>
      <c r="N375" s="191"/>
      <c r="O375" s="191"/>
      <c r="P375" s="192"/>
      <c r="Q375" s="397">
        <f t="shared" si="37"/>
        <v>0</v>
      </c>
      <c r="R375" s="205"/>
      <c r="S375" s="205"/>
      <c r="T375" s="205"/>
      <c r="U375" s="398" t="str">
        <f t="shared" si="38"/>
        <v/>
      </c>
      <c r="V375" s="398"/>
      <c r="W375" s="398"/>
      <c r="X375" s="398"/>
      <c r="Y375" s="398"/>
      <c r="Z375" s="398" t="str">
        <f t="shared" si="39"/>
        <v/>
      </c>
      <c r="AA375" s="398"/>
      <c r="AB375" s="398"/>
      <c r="AC375" s="398"/>
      <c r="AD375" s="399"/>
      <c r="CE375" s="8"/>
      <c r="CF375" s="8"/>
      <c r="CG375" s="8"/>
      <c r="CH375" s="8"/>
    </row>
    <row r="376" spans="1:86" s="1" customFormat="1" ht="15.75" hidden="1" customHeight="1">
      <c r="A376" s="73" t="str">
        <f>IF(液状化L1の有無="",IF(F376="","×",""),"×")</f>
        <v>×</v>
      </c>
      <c r="B376" s="76"/>
      <c r="F376" s="204" t="str">
        <f t="shared" si="34"/>
        <v/>
      </c>
      <c r="G376" s="204"/>
      <c r="H376" s="205"/>
      <c r="I376" s="191" t="str">
        <f t="shared" si="35"/>
        <v/>
      </c>
      <c r="J376" s="191"/>
      <c r="K376" s="191"/>
      <c r="L376" s="191"/>
      <c r="M376" s="191" t="str">
        <f t="shared" si="36"/>
        <v/>
      </c>
      <c r="N376" s="191"/>
      <c r="O376" s="191"/>
      <c r="P376" s="192"/>
      <c r="Q376" s="397">
        <f t="shared" si="37"/>
        <v>0</v>
      </c>
      <c r="R376" s="205"/>
      <c r="S376" s="205"/>
      <c r="T376" s="205"/>
      <c r="U376" s="398" t="str">
        <f t="shared" si="38"/>
        <v/>
      </c>
      <c r="V376" s="398"/>
      <c r="W376" s="398"/>
      <c r="X376" s="398"/>
      <c r="Y376" s="398"/>
      <c r="Z376" s="398" t="str">
        <f t="shared" si="39"/>
        <v/>
      </c>
      <c r="AA376" s="398"/>
      <c r="AB376" s="398"/>
      <c r="AC376" s="398"/>
      <c r="AD376" s="399"/>
      <c r="CE376" s="8"/>
      <c r="CF376" s="8"/>
      <c r="CG376" s="8"/>
      <c r="CH376" s="8"/>
    </row>
    <row r="377" spans="1:86" s="1" customFormat="1" ht="15.75" hidden="1" customHeight="1">
      <c r="A377" s="73" t="str">
        <f>IF(液状化L1の有無="",IF(F377="","×",""),"×")</f>
        <v>×</v>
      </c>
      <c r="B377" s="76"/>
      <c r="F377" s="204" t="str">
        <f t="shared" si="34"/>
        <v/>
      </c>
      <c r="G377" s="204"/>
      <c r="H377" s="205"/>
      <c r="I377" s="191" t="str">
        <f t="shared" si="35"/>
        <v/>
      </c>
      <c r="J377" s="191"/>
      <c r="K377" s="191"/>
      <c r="L377" s="191"/>
      <c r="M377" s="191" t="str">
        <f t="shared" si="36"/>
        <v/>
      </c>
      <c r="N377" s="191"/>
      <c r="O377" s="191"/>
      <c r="P377" s="192"/>
      <c r="Q377" s="397">
        <f t="shared" si="37"/>
        <v>0</v>
      </c>
      <c r="R377" s="205"/>
      <c r="S377" s="205"/>
      <c r="T377" s="205"/>
      <c r="U377" s="398" t="str">
        <f t="shared" si="38"/>
        <v/>
      </c>
      <c r="V377" s="398"/>
      <c r="W377" s="398"/>
      <c r="X377" s="398"/>
      <c r="Y377" s="398"/>
      <c r="Z377" s="398" t="str">
        <f t="shared" si="39"/>
        <v/>
      </c>
      <c r="AA377" s="398"/>
      <c r="AB377" s="398"/>
      <c r="AC377" s="398"/>
      <c r="AD377" s="399"/>
      <c r="CE377" s="8"/>
      <c r="CF377" s="8"/>
      <c r="CG377" s="8"/>
      <c r="CH377" s="8"/>
    </row>
    <row r="378" spans="1:86" s="1" customFormat="1" ht="15.75" hidden="1" customHeight="1">
      <c r="A378" s="73" t="str">
        <f>IF(液状化L1の有無="",IF(F378="","×",""),"×")</f>
        <v>×</v>
      </c>
      <c r="B378" s="76"/>
      <c r="F378" s="204" t="str">
        <f t="shared" si="34"/>
        <v/>
      </c>
      <c r="G378" s="204"/>
      <c r="H378" s="205"/>
      <c r="I378" s="191" t="str">
        <f t="shared" si="35"/>
        <v/>
      </c>
      <c r="J378" s="191"/>
      <c r="K378" s="191"/>
      <c r="L378" s="191"/>
      <c r="M378" s="191" t="str">
        <f t="shared" si="36"/>
        <v/>
      </c>
      <c r="N378" s="191"/>
      <c r="O378" s="191"/>
      <c r="P378" s="192"/>
      <c r="Q378" s="397">
        <f t="shared" si="37"/>
        <v>0</v>
      </c>
      <c r="R378" s="205"/>
      <c r="S378" s="205"/>
      <c r="T378" s="205"/>
      <c r="U378" s="398" t="str">
        <f t="shared" si="38"/>
        <v/>
      </c>
      <c r="V378" s="398"/>
      <c r="W378" s="398"/>
      <c r="X378" s="398"/>
      <c r="Y378" s="398"/>
      <c r="Z378" s="398" t="str">
        <f t="shared" si="39"/>
        <v/>
      </c>
      <c r="AA378" s="398"/>
      <c r="AB378" s="398"/>
      <c r="AC378" s="398"/>
      <c r="AD378" s="399"/>
      <c r="CE378" s="8"/>
      <c r="CF378" s="8"/>
      <c r="CG378" s="8"/>
      <c r="CH378" s="8"/>
    </row>
    <row r="379" spans="1:86" s="1" customFormat="1" ht="15.75" hidden="1" customHeight="1">
      <c r="A379" s="73" t="str">
        <f>IF(液状化L1の有無="",IF(F379="","×",""),"×")</f>
        <v>×</v>
      </c>
      <c r="B379" s="76"/>
      <c r="F379" s="204" t="str">
        <f t="shared" si="34"/>
        <v/>
      </c>
      <c r="G379" s="204"/>
      <c r="H379" s="205"/>
      <c r="I379" s="191" t="str">
        <f t="shared" si="35"/>
        <v/>
      </c>
      <c r="J379" s="191"/>
      <c r="K379" s="191"/>
      <c r="L379" s="191"/>
      <c r="M379" s="191" t="str">
        <f t="shared" si="36"/>
        <v/>
      </c>
      <c r="N379" s="191"/>
      <c r="O379" s="191"/>
      <c r="P379" s="192"/>
      <c r="Q379" s="397">
        <f t="shared" si="37"/>
        <v>0</v>
      </c>
      <c r="R379" s="205"/>
      <c r="S379" s="205"/>
      <c r="T379" s="205"/>
      <c r="U379" s="398" t="str">
        <f t="shared" si="38"/>
        <v/>
      </c>
      <c r="V379" s="398"/>
      <c r="W379" s="398"/>
      <c r="X379" s="398"/>
      <c r="Y379" s="398"/>
      <c r="Z379" s="398" t="str">
        <f t="shared" si="39"/>
        <v/>
      </c>
      <c r="AA379" s="398"/>
      <c r="AB379" s="398"/>
      <c r="AC379" s="398"/>
      <c r="AD379" s="399"/>
      <c r="CE379" s="8"/>
      <c r="CF379" s="8"/>
      <c r="CG379" s="8"/>
      <c r="CH379" s="8"/>
    </row>
    <row r="380" spans="1:86" s="1" customFormat="1" ht="15.75" hidden="1" customHeight="1">
      <c r="A380" s="73" t="str">
        <f>IF(液状化L1の有無="",IF(F380="","×",""),"×")</f>
        <v>×</v>
      </c>
      <c r="B380" s="76"/>
      <c r="F380" s="204" t="str">
        <f t="shared" si="34"/>
        <v/>
      </c>
      <c r="G380" s="204"/>
      <c r="H380" s="205"/>
      <c r="I380" s="191" t="str">
        <f t="shared" si="35"/>
        <v/>
      </c>
      <c r="J380" s="191"/>
      <c r="K380" s="191"/>
      <c r="L380" s="191"/>
      <c r="M380" s="191" t="str">
        <f t="shared" si="36"/>
        <v/>
      </c>
      <c r="N380" s="191"/>
      <c r="O380" s="191"/>
      <c r="P380" s="192"/>
      <c r="Q380" s="397">
        <f t="shared" si="37"/>
        <v>0</v>
      </c>
      <c r="R380" s="205"/>
      <c r="S380" s="205"/>
      <c r="T380" s="205"/>
      <c r="U380" s="398" t="str">
        <f t="shared" si="38"/>
        <v/>
      </c>
      <c r="V380" s="398"/>
      <c r="W380" s="398"/>
      <c r="X380" s="398"/>
      <c r="Y380" s="398"/>
      <c r="Z380" s="398" t="str">
        <f t="shared" si="39"/>
        <v/>
      </c>
      <c r="AA380" s="398"/>
      <c r="AB380" s="398"/>
      <c r="AC380" s="398"/>
      <c r="AD380" s="399"/>
      <c r="CE380" s="8"/>
      <c r="CF380" s="8"/>
      <c r="CG380" s="8"/>
      <c r="CH380" s="8"/>
    </row>
    <row r="381" spans="1:86" s="1" customFormat="1" ht="15.75" hidden="1" customHeight="1">
      <c r="A381" s="73" t="str">
        <f>IF(液状化L1の有無="",IF(F381="","×",""),"×")</f>
        <v>×</v>
      </c>
      <c r="B381" s="76"/>
      <c r="F381" s="204" t="str">
        <f t="shared" si="34"/>
        <v/>
      </c>
      <c r="G381" s="204"/>
      <c r="H381" s="205"/>
      <c r="I381" s="191" t="str">
        <f t="shared" si="35"/>
        <v/>
      </c>
      <c r="J381" s="191"/>
      <c r="K381" s="191"/>
      <c r="L381" s="191"/>
      <c r="M381" s="191" t="str">
        <f t="shared" si="36"/>
        <v/>
      </c>
      <c r="N381" s="191"/>
      <c r="O381" s="191"/>
      <c r="P381" s="192"/>
      <c r="Q381" s="397">
        <f t="shared" si="37"/>
        <v>0</v>
      </c>
      <c r="R381" s="205"/>
      <c r="S381" s="205"/>
      <c r="T381" s="205"/>
      <c r="U381" s="398" t="str">
        <f t="shared" si="38"/>
        <v/>
      </c>
      <c r="V381" s="398"/>
      <c r="W381" s="398"/>
      <c r="X381" s="398"/>
      <c r="Y381" s="398"/>
      <c r="Z381" s="398" t="str">
        <f t="shared" si="39"/>
        <v/>
      </c>
      <c r="AA381" s="398"/>
      <c r="AB381" s="398"/>
      <c r="AC381" s="398"/>
      <c r="AD381" s="399"/>
      <c r="CE381" s="8"/>
      <c r="CF381" s="8"/>
      <c r="CG381" s="8"/>
      <c r="CH381" s="8"/>
    </row>
    <row r="382" spans="1:86" s="1" customFormat="1" ht="15.75" hidden="1" customHeight="1">
      <c r="A382" s="73" t="str">
        <f>IF(液状化L1の有無="",IF(F382="","×",""),"×")</f>
        <v>×</v>
      </c>
      <c r="B382" s="76"/>
      <c r="F382" s="207" t="str">
        <f t="shared" si="34"/>
        <v/>
      </c>
      <c r="G382" s="207"/>
      <c r="H382" s="208"/>
      <c r="I382" s="193" t="str">
        <f t="shared" si="35"/>
        <v/>
      </c>
      <c r="J382" s="193"/>
      <c r="K382" s="193"/>
      <c r="L382" s="193"/>
      <c r="M382" s="193" t="str">
        <f t="shared" si="36"/>
        <v/>
      </c>
      <c r="N382" s="193"/>
      <c r="O382" s="193"/>
      <c r="P382" s="194"/>
      <c r="Q382" s="400">
        <f t="shared" si="37"/>
        <v>0</v>
      </c>
      <c r="R382" s="208"/>
      <c r="S382" s="208"/>
      <c r="T382" s="208"/>
      <c r="U382" s="401" t="str">
        <f t="shared" si="38"/>
        <v/>
      </c>
      <c r="V382" s="401"/>
      <c r="W382" s="401"/>
      <c r="X382" s="401"/>
      <c r="Y382" s="401"/>
      <c r="Z382" s="401" t="str">
        <f t="shared" si="39"/>
        <v/>
      </c>
      <c r="AA382" s="401"/>
      <c r="AB382" s="401"/>
      <c r="AC382" s="401"/>
      <c r="AD382" s="402"/>
      <c r="CE382" s="8"/>
      <c r="CF382" s="8"/>
      <c r="CG382" s="8"/>
      <c r="CH382" s="8"/>
    </row>
    <row r="383" spans="1:86" s="1" customFormat="1" ht="15.75" hidden="1" customHeight="1">
      <c r="A383" s="73" t="str">
        <f>IF(液状化L1の有無="","","×")</f>
        <v>×</v>
      </c>
      <c r="F383" s="76"/>
      <c r="G383" s="76"/>
      <c r="H383" s="9"/>
      <c r="I383" s="90"/>
      <c r="J383" s="90"/>
      <c r="K383" s="90"/>
      <c r="L383" s="90"/>
      <c r="M383" s="90"/>
      <c r="N383" s="90"/>
      <c r="O383" s="90"/>
      <c r="P383" s="9"/>
      <c r="Q383" s="9"/>
      <c r="R383" s="9"/>
      <c r="S383" s="9"/>
      <c r="T383" s="90"/>
      <c r="U383" s="90"/>
      <c r="V383" s="90"/>
      <c r="W383" s="90"/>
      <c r="X383" s="90"/>
      <c r="Y383" s="90"/>
      <c r="Z383" s="90"/>
      <c r="AA383" s="90"/>
      <c r="AB383" s="90"/>
      <c r="AC383" s="90"/>
      <c r="AD383" s="90"/>
      <c r="AE383" s="8"/>
      <c r="AF383" s="8"/>
      <c r="CE383" s="8"/>
      <c r="CF383" s="8"/>
      <c r="CG383" s="8"/>
      <c r="CH383" s="8"/>
    </row>
    <row r="384" spans="1:86" s="1" customFormat="1" ht="15.75" hidden="1" customHeight="1">
      <c r="A384" s="73" t="str">
        <f>IF(液状化L2の有無="","","×")</f>
        <v>×</v>
      </c>
      <c r="H384" s="76"/>
      <c r="I384" s="76"/>
      <c r="J384" s="76"/>
      <c r="K384" s="9"/>
      <c r="L384" s="90"/>
      <c r="M384" s="90"/>
      <c r="N384" s="90"/>
      <c r="O384" s="90"/>
      <c r="P384" s="90"/>
      <c r="Q384" s="90"/>
      <c r="R384" s="90"/>
      <c r="S384" s="90"/>
      <c r="T384" s="9"/>
      <c r="U384" s="9"/>
      <c r="V384" s="9"/>
      <c r="W384" s="9"/>
      <c r="X384" s="90"/>
      <c r="Y384" s="90"/>
      <c r="Z384" s="90"/>
      <c r="AA384" s="90"/>
      <c r="AB384" s="90"/>
      <c r="AC384" s="90"/>
      <c r="AD384" s="90"/>
    </row>
    <row r="385" spans="1:30" s="1" customFormat="1" ht="15.75" hidden="1" customHeight="1">
      <c r="A385" s="73" t="str">
        <f>IF(液状化L2の有無="","","×")</f>
        <v>×</v>
      </c>
      <c r="B385" s="76"/>
      <c r="F385" s="61" t="s">
        <v>505</v>
      </c>
      <c r="G385" s="61"/>
      <c r="H385" s="85"/>
      <c r="I385" s="61"/>
      <c r="J385" s="61"/>
      <c r="K385" s="61"/>
      <c r="L385" s="61"/>
      <c r="M385" s="61"/>
      <c r="N385" s="61"/>
      <c r="O385" s="61"/>
      <c r="P385" s="61"/>
      <c r="Q385" s="61"/>
      <c r="R385" s="61"/>
      <c r="S385" s="61"/>
      <c r="T385" s="61"/>
      <c r="U385" s="61"/>
      <c r="V385" s="61"/>
      <c r="W385" s="61"/>
      <c r="X385" s="61"/>
      <c r="Y385" s="61"/>
      <c r="Z385" s="61"/>
      <c r="AA385" s="61"/>
      <c r="AB385" s="61"/>
      <c r="AC385" s="61"/>
      <c r="AD385" s="61"/>
    </row>
    <row r="386" spans="1:30" s="1" customFormat="1" ht="15.75" hidden="1" customHeight="1">
      <c r="A386" s="73" t="str">
        <f>IF(液状化L2の有無="","","×")</f>
        <v>×</v>
      </c>
      <c r="F386" s="185" t="s">
        <v>78</v>
      </c>
      <c r="G386" s="185"/>
      <c r="H386" s="146"/>
      <c r="I386" s="146" t="s">
        <v>500</v>
      </c>
      <c r="J386" s="146"/>
      <c r="K386" s="146"/>
      <c r="L386" s="146"/>
      <c r="M386" s="146" t="s">
        <v>499</v>
      </c>
      <c r="N386" s="146"/>
      <c r="O386" s="146"/>
      <c r="P386" s="221"/>
      <c r="Q386" s="350" t="s">
        <v>503</v>
      </c>
      <c r="R386" s="147"/>
      <c r="S386" s="147"/>
      <c r="T386" s="147"/>
      <c r="U386" s="147"/>
      <c r="V386" s="147"/>
      <c r="W386" s="147"/>
      <c r="X386" s="147"/>
      <c r="Y386" s="147"/>
      <c r="Z386" s="147"/>
      <c r="AA386" s="147"/>
      <c r="AB386" s="147"/>
      <c r="AC386" s="147"/>
      <c r="AD386" s="214"/>
    </row>
    <row r="387" spans="1:30" s="1" customFormat="1" ht="15.75" hidden="1" customHeight="1">
      <c r="A387" s="73" t="str">
        <f>IF(液状化L2の有無="","","×")</f>
        <v>×</v>
      </c>
      <c r="F387" s="316"/>
      <c r="G387" s="316"/>
      <c r="H387" s="300"/>
      <c r="I387" s="300"/>
      <c r="J387" s="300"/>
      <c r="K387" s="300"/>
      <c r="L387" s="300"/>
      <c r="M387" s="300"/>
      <c r="N387" s="300"/>
      <c r="O387" s="300"/>
      <c r="P387" s="372"/>
      <c r="Q387" s="311" t="s">
        <v>502</v>
      </c>
      <c r="R387" s="300"/>
      <c r="S387" s="300"/>
      <c r="T387" s="300"/>
      <c r="U387" s="300" t="s">
        <v>497</v>
      </c>
      <c r="V387" s="300"/>
      <c r="W387" s="300"/>
      <c r="X387" s="300"/>
      <c r="Y387" s="300"/>
      <c r="Z387" s="300" t="s">
        <v>498</v>
      </c>
      <c r="AA387" s="300"/>
      <c r="AB387" s="300"/>
      <c r="AC387" s="300"/>
      <c r="AD387" s="372"/>
    </row>
    <row r="388" spans="1:30" s="1" customFormat="1" ht="15.75" hidden="1" customHeight="1">
      <c r="A388" s="73" t="str">
        <f>IF(液状化L2の有無="","","×")</f>
        <v>×</v>
      </c>
      <c r="F388" s="186"/>
      <c r="G388" s="186"/>
      <c r="H388" s="187"/>
      <c r="I388" s="187"/>
      <c r="J388" s="187"/>
      <c r="K388" s="187"/>
      <c r="L388" s="187"/>
      <c r="M388" s="187"/>
      <c r="N388" s="187"/>
      <c r="O388" s="187"/>
      <c r="P388" s="222"/>
      <c r="Q388" s="330"/>
      <c r="R388" s="187"/>
      <c r="S388" s="187"/>
      <c r="T388" s="187"/>
      <c r="U388" s="187"/>
      <c r="V388" s="187"/>
      <c r="W388" s="187"/>
      <c r="X388" s="187"/>
      <c r="Y388" s="187"/>
      <c r="Z388" s="187"/>
      <c r="AA388" s="187"/>
      <c r="AB388" s="187"/>
      <c r="AC388" s="187"/>
      <c r="AD388" s="222"/>
    </row>
    <row r="389" spans="1:30" s="1" customFormat="1" ht="15.75" hidden="1" customHeight="1">
      <c r="A389" s="73" t="str">
        <f>IF(液状化L2の有無="",IF(F389="","×",""),"×")</f>
        <v>×</v>
      </c>
      <c r="B389" s="76"/>
      <c r="F389" s="224">
        <f t="shared" ref="F389:F404" si="40">F339</f>
        <v>3</v>
      </c>
      <c r="G389" s="224"/>
      <c r="H389" s="165"/>
      <c r="I389" s="223">
        <f t="shared" ref="I389:I404" si="41">I339</f>
        <v>22113.525983755018</v>
      </c>
      <c r="J389" s="223"/>
      <c r="K389" s="223"/>
      <c r="L389" s="223"/>
      <c r="M389" s="223">
        <f t="shared" ref="M389:M404" si="42">M339</f>
        <v>26001.175710498825</v>
      </c>
      <c r="N389" s="223"/>
      <c r="O389" s="223"/>
      <c r="P389" s="327"/>
      <c r="Q389" s="394">
        <f t="shared" ref="Q389:Q404" si="43">Q317</f>
        <v>1</v>
      </c>
      <c r="R389" s="165"/>
      <c r="S389" s="165"/>
      <c r="T389" s="165"/>
      <c r="U389" s="223">
        <f>IF(I389="","",ROUND(I367*Q389,-1))</f>
        <v>22110</v>
      </c>
      <c r="V389" s="223"/>
      <c r="W389" s="223"/>
      <c r="X389" s="223"/>
      <c r="Y389" s="223"/>
      <c r="Z389" s="223">
        <f>IF(M389="","",ROUND(M367*Q389,-1))</f>
        <v>26000</v>
      </c>
      <c r="AA389" s="223"/>
      <c r="AB389" s="223"/>
      <c r="AC389" s="223"/>
      <c r="AD389" s="327"/>
    </row>
    <row r="390" spans="1:30" s="1" customFormat="1" ht="15.75" hidden="1" customHeight="1">
      <c r="A390" s="73" t="str">
        <f>IF(液状化L2の有無="",IF(F390="","×",""),"×")</f>
        <v>×</v>
      </c>
      <c r="B390" s="76"/>
      <c r="F390" s="204">
        <f t="shared" si="40"/>
        <v>4</v>
      </c>
      <c r="G390" s="204"/>
      <c r="H390" s="205"/>
      <c r="I390" s="191">
        <f t="shared" si="41"/>
        <v>45433.532925704858</v>
      </c>
      <c r="J390" s="191"/>
      <c r="K390" s="191"/>
      <c r="L390" s="191"/>
      <c r="M390" s="191">
        <f t="shared" si="42"/>
        <v>53420.936743322061</v>
      </c>
      <c r="N390" s="191"/>
      <c r="O390" s="191"/>
      <c r="P390" s="192"/>
      <c r="Q390" s="397">
        <f t="shared" si="43"/>
        <v>1</v>
      </c>
      <c r="R390" s="205"/>
      <c r="S390" s="205"/>
      <c r="T390" s="205"/>
      <c r="U390" s="191">
        <f t="shared" ref="U390:U404" si="44">IF(I390="","",ROUND(I368*Q390,-1))</f>
        <v>45430</v>
      </c>
      <c r="V390" s="191"/>
      <c r="W390" s="191"/>
      <c r="X390" s="191"/>
      <c r="Y390" s="191"/>
      <c r="Z390" s="191">
        <f t="shared" ref="Z390:Z404" si="45">IF(M390="","",ROUND(M368*Q390,-1))</f>
        <v>53420</v>
      </c>
      <c r="AA390" s="191"/>
      <c r="AB390" s="191"/>
      <c r="AC390" s="191"/>
      <c r="AD390" s="192"/>
    </row>
    <row r="391" spans="1:30" s="1" customFormat="1" ht="15.75" hidden="1" customHeight="1">
      <c r="A391" s="73" t="str">
        <f>IF(液状化L2の有無="",IF(F391="","×",""),"×")</f>
        <v>×</v>
      </c>
      <c r="B391" s="76"/>
      <c r="F391" s="204">
        <f t="shared" si="40"/>
        <v>5</v>
      </c>
      <c r="G391" s="204"/>
      <c r="H391" s="205"/>
      <c r="I391" s="191">
        <f t="shared" si="41"/>
        <v>51704.058958427922</v>
      </c>
      <c r="J391" s="191"/>
      <c r="K391" s="191"/>
      <c r="L391" s="191"/>
      <c r="M391" s="191">
        <f t="shared" si="42"/>
        <v>60793.847300139751</v>
      </c>
      <c r="N391" s="191"/>
      <c r="O391" s="191"/>
      <c r="P391" s="192"/>
      <c r="Q391" s="397">
        <f t="shared" si="43"/>
        <v>1</v>
      </c>
      <c r="R391" s="205"/>
      <c r="S391" s="205"/>
      <c r="T391" s="205"/>
      <c r="U391" s="191">
        <f t="shared" si="44"/>
        <v>51700</v>
      </c>
      <c r="V391" s="191"/>
      <c r="W391" s="191"/>
      <c r="X391" s="191"/>
      <c r="Y391" s="191"/>
      <c r="Z391" s="191">
        <f t="shared" si="45"/>
        <v>60790</v>
      </c>
      <c r="AA391" s="191"/>
      <c r="AB391" s="191"/>
      <c r="AC391" s="191"/>
      <c r="AD391" s="192"/>
    </row>
    <row r="392" spans="1:30" s="1" customFormat="1" ht="15.75" hidden="1" customHeight="1">
      <c r="A392" s="73" t="str">
        <f>IF(液状化L2の有無="",IF(F392="","×",""),"×")</f>
        <v>×</v>
      </c>
      <c r="B392" s="76"/>
      <c r="F392" s="204">
        <f t="shared" si="40"/>
        <v>6</v>
      </c>
      <c r="G392" s="204"/>
      <c r="H392" s="205"/>
      <c r="I392" s="191">
        <f t="shared" si="41"/>
        <v>73722.33644548335</v>
      </c>
      <c r="J392" s="191"/>
      <c r="K392" s="191"/>
      <c r="L392" s="191"/>
      <c r="M392" s="191">
        <f t="shared" si="42"/>
        <v>86683.029432560332</v>
      </c>
      <c r="N392" s="191"/>
      <c r="O392" s="191"/>
      <c r="P392" s="192"/>
      <c r="Q392" s="397">
        <f t="shared" si="43"/>
        <v>1</v>
      </c>
      <c r="R392" s="205"/>
      <c r="S392" s="205"/>
      <c r="T392" s="205"/>
      <c r="U392" s="191">
        <f t="shared" si="44"/>
        <v>73720</v>
      </c>
      <c r="V392" s="191"/>
      <c r="W392" s="191"/>
      <c r="X392" s="191"/>
      <c r="Y392" s="191"/>
      <c r="Z392" s="191">
        <f t="shared" si="45"/>
        <v>86680</v>
      </c>
      <c r="AA392" s="191"/>
      <c r="AB392" s="191"/>
      <c r="AC392" s="191"/>
      <c r="AD392" s="192"/>
    </row>
    <row r="393" spans="1:30" s="1" customFormat="1" ht="15.75" hidden="1" customHeight="1">
      <c r="A393" s="73" t="str">
        <f>IF(液状化L2の有無="",IF(F393="","×",""),"×")</f>
        <v>×</v>
      </c>
      <c r="B393" s="76"/>
      <c r="F393" s="204">
        <f t="shared" si="40"/>
        <v>7</v>
      </c>
      <c r="G393" s="204"/>
      <c r="H393" s="205"/>
      <c r="I393" s="191">
        <f t="shared" si="41"/>
        <v>145666.70095257432</v>
      </c>
      <c r="J393" s="191"/>
      <c r="K393" s="191"/>
      <c r="L393" s="191"/>
      <c r="M393" s="191">
        <f t="shared" si="42"/>
        <v>171275.51207432678</v>
      </c>
      <c r="N393" s="191"/>
      <c r="O393" s="191"/>
      <c r="P393" s="192"/>
      <c r="Q393" s="397">
        <f t="shared" si="43"/>
        <v>1</v>
      </c>
      <c r="R393" s="205"/>
      <c r="S393" s="205"/>
      <c r="T393" s="205"/>
      <c r="U393" s="191">
        <f t="shared" si="44"/>
        <v>145670</v>
      </c>
      <c r="V393" s="191"/>
      <c r="W393" s="191"/>
      <c r="X393" s="191"/>
      <c r="Y393" s="191"/>
      <c r="Z393" s="191">
        <f t="shared" si="45"/>
        <v>171280</v>
      </c>
      <c r="AA393" s="191"/>
      <c r="AB393" s="191"/>
      <c r="AC393" s="191"/>
      <c r="AD393" s="192"/>
    </row>
    <row r="394" spans="1:30" s="1" customFormat="1" ht="15.75" hidden="1" customHeight="1">
      <c r="A394" s="73" t="str">
        <f>IF(液状化L2の有無="",IF(F394="","×",""),"×")</f>
        <v>×</v>
      </c>
      <c r="B394" s="76"/>
      <c r="F394" s="204" t="str">
        <f t="shared" si="40"/>
        <v/>
      </c>
      <c r="G394" s="204"/>
      <c r="H394" s="205"/>
      <c r="I394" s="191" t="str">
        <f t="shared" si="41"/>
        <v/>
      </c>
      <c r="J394" s="191"/>
      <c r="K394" s="191"/>
      <c r="L394" s="191"/>
      <c r="M394" s="191" t="str">
        <f t="shared" si="42"/>
        <v/>
      </c>
      <c r="N394" s="191"/>
      <c r="O394" s="191"/>
      <c r="P394" s="192"/>
      <c r="Q394" s="397">
        <f t="shared" si="43"/>
        <v>0</v>
      </c>
      <c r="R394" s="205"/>
      <c r="S394" s="205"/>
      <c r="T394" s="205"/>
      <c r="U394" s="191" t="str">
        <f t="shared" si="44"/>
        <v/>
      </c>
      <c r="V394" s="191"/>
      <c r="W394" s="191"/>
      <c r="X394" s="191"/>
      <c r="Y394" s="191"/>
      <c r="Z394" s="191" t="str">
        <f t="shared" si="45"/>
        <v/>
      </c>
      <c r="AA394" s="191"/>
      <c r="AB394" s="191"/>
      <c r="AC394" s="191"/>
      <c r="AD394" s="192"/>
    </row>
    <row r="395" spans="1:30" s="1" customFormat="1" ht="15.75" hidden="1" customHeight="1">
      <c r="A395" s="73" t="str">
        <f>IF(液状化L2の有無="",IF(F395="","×",""),"×")</f>
        <v>×</v>
      </c>
      <c r="B395" s="76"/>
      <c r="F395" s="204" t="str">
        <f t="shared" si="40"/>
        <v/>
      </c>
      <c r="G395" s="204"/>
      <c r="H395" s="205"/>
      <c r="I395" s="191" t="str">
        <f t="shared" si="41"/>
        <v/>
      </c>
      <c r="J395" s="191"/>
      <c r="K395" s="191"/>
      <c r="L395" s="191"/>
      <c r="M395" s="191" t="str">
        <f t="shared" si="42"/>
        <v/>
      </c>
      <c r="N395" s="191"/>
      <c r="O395" s="191"/>
      <c r="P395" s="192"/>
      <c r="Q395" s="397">
        <f t="shared" si="43"/>
        <v>0</v>
      </c>
      <c r="R395" s="205"/>
      <c r="S395" s="205"/>
      <c r="T395" s="205"/>
      <c r="U395" s="191" t="str">
        <f t="shared" si="44"/>
        <v/>
      </c>
      <c r="V395" s="191"/>
      <c r="W395" s="191"/>
      <c r="X395" s="191"/>
      <c r="Y395" s="191"/>
      <c r="Z395" s="191" t="str">
        <f t="shared" si="45"/>
        <v/>
      </c>
      <c r="AA395" s="191"/>
      <c r="AB395" s="191"/>
      <c r="AC395" s="191"/>
      <c r="AD395" s="192"/>
    </row>
    <row r="396" spans="1:30" s="1" customFormat="1" ht="15.75" hidden="1" customHeight="1">
      <c r="A396" s="73" t="str">
        <f>IF(液状化L2の有無="",IF(F396="","×",""),"×")</f>
        <v>×</v>
      </c>
      <c r="B396" s="76"/>
      <c r="F396" s="204" t="str">
        <f t="shared" si="40"/>
        <v/>
      </c>
      <c r="G396" s="204"/>
      <c r="H396" s="205"/>
      <c r="I396" s="191" t="str">
        <f t="shared" si="41"/>
        <v/>
      </c>
      <c r="J396" s="191"/>
      <c r="K396" s="191"/>
      <c r="L396" s="191"/>
      <c r="M396" s="191" t="str">
        <f t="shared" si="42"/>
        <v/>
      </c>
      <c r="N396" s="191"/>
      <c r="O396" s="191"/>
      <c r="P396" s="192"/>
      <c r="Q396" s="397">
        <f t="shared" si="43"/>
        <v>0</v>
      </c>
      <c r="R396" s="205"/>
      <c r="S396" s="205"/>
      <c r="T396" s="205"/>
      <c r="U396" s="191" t="str">
        <f t="shared" si="44"/>
        <v/>
      </c>
      <c r="V396" s="191"/>
      <c r="W396" s="191"/>
      <c r="X396" s="191"/>
      <c r="Y396" s="191"/>
      <c r="Z396" s="191" t="str">
        <f t="shared" si="45"/>
        <v/>
      </c>
      <c r="AA396" s="191"/>
      <c r="AB396" s="191"/>
      <c r="AC396" s="191"/>
      <c r="AD396" s="192"/>
    </row>
    <row r="397" spans="1:30" s="1" customFormat="1" ht="15.75" hidden="1" customHeight="1">
      <c r="A397" s="73" t="str">
        <f>IF(液状化L2の有無="",IF(F397="","×",""),"×")</f>
        <v>×</v>
      </c>
      <c r="B397" s="76"/>
      <c r="F397" s="204" t="str">
        <f t="shared" si="40"/>
        <v/>
      </c>
      <c r="G397" s="204"/>
      <c r="H397" s="205"/>
      <c r="I397" s="191" t="str">
        <f t="shared" si="41"/>
        <v/>
      </c>
      <c r="J397" s="191"/>
      <c r="K397" s="191"/>
      <c r="L397" s="191"/>
      <c r="M397" s="191" t="str">
        <f t="shared" si="42"/>
        <v/>
      </c>
      <c r="N397" s="191"/>
      <c r="O397" s="191"/>
      <c r="P397" s="192"/>
      <c r="Q397" s="397">
        <f t="shared" si="43"/>
        <v>0</v>
      </c>
      <c r="R397" s="205"/>
      <c r="S397" s="205"/>
      <c r="T397" s="205"/>
      <c r="U397" s="191" t="str">
        <f t="shared" si="44"/>
        <v/>
      </c>
      <c r="V397" s="191"/>
      <c r="W397" s="191"/>
      <c r="X397" s="191"/>
      <c r="Y397" s="191"/>
      <c r="Z397" s="191" t="str">
        <f t="shared" si="45"/>
        <v/>
      </c>
      <c r="AA397" s="191"/>
      <c r="AB397" s="191"/>
      <c r="AC397" s="191"/>
      <c r="AD397" s="192"/>
    </row>
    <row r="398" spans="1:30" s="1" customFormat="1" ht="15.75" hidden="1" customHeight="1">
      <c r="A398" s="73" t="str">
        <f>IF(液状化L2の有無="",IF(F398="","×",""),"×")</f>
        <v>×</v>
      </c>
      <c r="B398" s="76"/>
      <c r="F398" s="204" t="str">
        <f t="shared" si="40"/>
        <v/>
      </c>
      <c r="G398" s="204"/>
      <c r="H398" s="205"/>
      <c r="I398" s="191" t="str">
        <f t="shared" si="41"/>
        <v/>
      </c>
      <c r="J398" s="191"/>
      <c r="K398" s="191"/>
      <c r="L398" s="191"/>
      <c r="M398" s="191" t="str">
        <f t="shared" si="42"/>
        <v/>
      </c>
      <c r="N398" s="191"/>
      <c r="O398" s="191"/>
      <c r="P398" s="192"/>
      <c r="Q398" s="397">
        <f t="shared" si="43"/>
        <v>0</v>
      </c>
      <c r="R398" s="205"/>
      <c r="S398" s="205"/>
      <c r="T398" s="205"/>
      <c r="U398" s="191" t="str">
        <f t="shared" si="44"/>
        <v/>
      </c>
      <c r="V398" s="191"/>
      <c r="W398" s="191"/>
      <c r="X398" s="191"/>
      <c r="Y398" s="191"/>
      <c r="Z398" s="191" t="str">
        <f t="shared" si="45"/>
        <v/>
      </c>
      <c r="AA398" s="191"/>
      <c r="AB398" s="191"/>
      <c r="AC398" s="191"/>
      <c r="AD398" s="192"/>
    </row>
    <row r="399" spans="1:30" s="1" customFormat="1" ht="15.75" hidden="1" customHeight="1">
      <c r="A399" s="73" t="str">
        <f>IF(液状化L2の有無="",IF(F399="","×",""),"×")</f>
        <v>×</v>
      </c>
      <c r="B399" s="76"/>
      <c r="F399" s="204" t="str">
        <f t="shared" si="40"/>
        <v/>
      </c>
      <c r="G399" s="204"/>
      <c r="H399" s="205"/>
      <c r="I399" s="191" t="str">
        <f t="shared" si="41"/>
        <v/>
      </c>
      <c r="J399" s="191"/>
      <c r="K399" s="191"/>
      <c r="L399" s="191"/>
      <c r="M399" s="191" t="str">
        <f t="shared" si="42"/>
        <v/>
      </c>
      <c r="N399" s="191"/>
      <c r="O399" s="191"/>
      <c r="P399" s="192"/>
      <c r="Q399" s="397">
        <f t="shared" si="43"/>
        <v>0</v>
      </c>
      <c r="R399" s="205"/>
      <c r="S399" s="205"/>
      <c r="T399" s="205"/>
      <c r="U399" s="191" t="str">
        <f t="shared" si="44"/>
        <v/>
      </c>
      <c r="V399" s="191"/>
      <c r="W399" s="191"/>
      <c r="X399" s="191"/>
      <c r="Y399" s="191"/>
      <c r="Z399" s="191" t="str">
        <f t="shared" si="45"/>
        <v/>
      </c>
      <c r="AA399" s="191"/>
      <c r="AB399" s="191"/>
      <c r="AC399" s="191"/>
      <c r="AD399" s="192"/>
    </row>
    <row r="400" spans="1:30" s="1" customFormat="1" ht="15.75" hidden="1" customHeight="1">
      <c r="A400" s="73" t="str">
        <f>IF(液状化L2の有無="",IF(F400="","×",""),"×")</f>
        <v>×</v>
      </c>
      <c r="B400" s="76"/>
      <c r="F400" s="204" t="str">
        <f t="shared" si="40"/>
        <v/>
      </c>
      <c r="G400" s="204"/>
      <c r="H400" s="205"/>
      <c r="I400" s="191" t="str">
        <f t="shared" si="41"/>
        <v/>
      </c>
      <c r="J400" s="191"/>
      <c r="K400" s="191"/>
      <c r="L400" s="191"/>
      <c r="M400" s="191" t="str">
        <f t="shared" si="42"/>
        <v/>
      </c>
      <c r="N400" s="191"/>
      <c r="O400" s="191"/>
      <c r="P400" s="192"/>
      <c r="Q400" s="397">
        <f t="shared" si="43"/>
        <v>0</v>
      </c>
      <c r="R400" s="205"/>
      <c r="S400" s="205"/>
      <c r="T400" s="205"/>
      <c r="U400" s="191" t="str">
        <f t="shared" si="44"/>
        <v/>
      </c>
      <c r="V400" s="191"/>
      <c r="W400" s="191"/>
      <c r="X400" s="191"/>
      <c r="Y400" s="191"/>
      <c r="Z400" s="191" t="str">
        <f t="shared" si="45"/>
        <v/>
      </c>
      <c r="AA400" s="191"/>
      <c r="AB400" s="191"/>
      <c r="AC400" s="191"/>
      <c r="AD400" s="192"/>
    </row>
    <row r="401" spans="1:87" s="1" customFormat="1" ht="15.75" hidden="1" customHeight="1">
      <c r="A401" s="73" t="str">
        <f>IF(液状化L2の有無="",IF(F401="","×",""),"×")</f>
        <v>×</v>
      </c>
      <c r="B401" s="76"/>
      <c r="F401" s="204" t="str">
        <f t="shared" si="40"/>
        <v/>
      </c>
      <c r="G401" s="204"/>
      <c r="H401" s="205"/>
      <c r="I401" s="191" t="str">
        <f t="shared" si="41"/>
        <v/>
      </c>
      <c r="J401" s="191"/>
      <c r="K401" s="191"/>
      <c r="L401" s="191"/>
      <c r="M401" s="191" t="str">
        <f t="shared" si="42"/>
        <v/>
      </c>
      <c r="N401" s="191"/>
      <c r="O401" s="191"/>
      <c r="P401" s="192"/>
      <c r="Q401" s="397">
        <f t="shared" si="43"/>
        <v>0</v>
      </c>
      <c r="R401" s="205"/>
      <c r="S401" s="205"/>
      <c r="T401" s="205"/>
      <c r="U401" s="191" t="str">
        <f t="shared" si="44"/>
        <v/>
      </c>
      <c r="V401" s="191"/>
      <c r="W401" s="191"/>
      <c r="X401" s="191"/>
      <c r="Y401" s="191"/>
      <c r="Z401" s="191" t="str">
        <f t="shared" si="45"/>
        <v/>
      </c>
      <c r="AA401" s="191"/>
      <c r="AB401" s="191"/>
      <c r="AC401" s="191"/>
      <c r="AD401" s="192"/>
    </row>
    <row r="402" spans="1:87" s="1" customFormat="1" ht="15.75" hidden="1" customHeight="1">
      <c r="A402" s="73" t="str">
        <f>IF(液状化L2の有無="",IF(F402="","×",""),"×")</f>
        <v>×</v>
      </c>
      <c r="B402" s="76"/>
      <c r="F402" s="204" t="str">
        <f t="shared" si="40"/>
        <v/>
      </c>
      <c r="G402" s="204"/>
      <c r="H402" s="205"/>
      <c r="I402" s="191" t="str">
        <f t="shared" si="41"/>
        <v/>
      </c>
      <c r="J402" s="191"/>
      <c r="K402" s="191"/>
      <c r="L402" s="191"/>
      <c r="M402" s="191" t="str">
        <f t="shared" si="42"/>
        <v/>
      </c>
      <c r="N402" s="191"/>
      <c r="O402" s="191"/>
      <c r="P402" s="192"/>
      <c r="Q402" s="397">
        <f t="shared" si="43"/>
        <v>0</v>
      </c>
      <c r="R402" s="205"/>
      <c r="S402" s="205"/>
      <c r="T402" s="205"/>
      <c r="U402" s="191" t="str">
        <f t="shared" si="44"/>
        <v/>
      </c>
      <c r="V402" s="191"/>
      <c r="W402" s="191"/>
      <c r="X402" s="191"/>
      <c r="Y402" s="191"/>
      <c r="Z402" s="191" t="str">
        <f t="shared" si="45"/>
        <v/>
      </c>
      <c r="AA402" s="191"/>
      <c r="AB402" s="191"/>
      <c r="AC402" s="191"/>
      <c r="AD402" s="192"/>
    </row>
    <row r="403" spans="1:87" s="1" customFormat="1" ht="15.75" hidden="1" customHeight="1">
      <c r="A403" s="73" t="str">
        <f>IF(液状化L2の有無="",IF(F403="","×",""),"×")</f>
        <v>×</v>
      </c>
      <c r="B403" s="76"/>
      <c r="F403" s="204" t="str">
        <f t="shared" si="40"/>
        <v/>
      </c>
      <c r="G403" s="204"/>
      <c r="H403" s="205"/>
      <c r="I403" s="191" t="str">
        <f t="shared" si="41"/>
        <v/>
      </c>
      <c r="J403" s="191"/>
      <c r="K403" s="191"/>
      <c r="L403" s="191"/>
      <c r="M403" s="191" t="str">
        <f t="shared" si="42"/>
        <v/>
      </c>
      <c r="N403" s="191"/>
      <c r="O403" s="191"/>
      <c r="P403" s="192"/>
      <c r="Q403" s="397">
        <f t="shared" si="43"/>
        <v>0</v>
      </c>
      <c r="R403" s="205"/>
      <c r="S403" s="205"/>
      <c r="T403" s="205"/>
      <c r="U403" s="191" t="str">
        <f t="shared" si="44"/>
        <v/>
      </c>
      <c r="V403" s="191"/>
      <c r="W403" s="191"/>
      <c r="X403" s="191"/>
      <c r="Y403" s="191"/>
      <c r="Z403" s="191" t="str">
        <f t="shared" si="45"/>
        <v/>
      </c>
      <c r="AA403" s="191"/>
      <c r="AB403" s="191"/>
      <c r="AC403" s="191"/>
      <c r="AD403" s="192"/>
    </row>
    <row r="404" spans="1:87" s="1" customFormat="1" ht="15.75" hidden="1" customHeight="1">
      <c r="A404" s="73" t="str">
        <f>IF(液状化L2の有無="",IF(F404="","×",""),"×")</f>
        <v>×</v>
      </c>
      <c r="B404" s="76"/>
      <c r="F404" s="207" t="str">
        <f t="shared" si="40"/>
        <v/>
      </c>
      <c r="G404" s="207"/>
      <c r="H404" s="208"/>
      <c r="I404" s="193" t="str">
        <f t="shared" si="41"/>
        <v/>
      </c>
      <c r="J404" s="193"/>
      <c r="K404" s="193"/>
      <c r="L404" s="193"/>
      <c r="M404" s="193" t="str">
        <f t="shared" si="42"/>
        <v/>
      </c>
      <c r="N404" s="193"/>
      <c r="O404" s="193"/>
      <c r="P404" s="194"/>
      <c r="Q404" s="400">
        <f t="shared" si="43"/>
        <v>0</v>
      </c>
      <c r="R404" s="208"/>
      <c r="S404" s="208"/>
      <c r="T404" s="208"/>
      <c r="U404" s="193" t="str">
        <f t="shared" si="44"/>
        <v/>
      </c>
      <c r="V404" s="193"/>
      <c r="W404" s="193"/>
      <c r="X404" s="193"/>
      <c r="Y404" s="193"/>
      <c r="Z404" s="193" t="str">
        <f t="shared" si="45"/>
        <v/>
      </c>
      <c r="AA404" s="193"/>
      <c r="AB404" s="193"/>
      <c r="AC404" s="193"/>
      <c r="AD404" s="194"/>
    </row>
    <row r="405" spans="1:87" s="1" customFormat="1" ht="15.75" hidden="1" customHeight="1">
      <c r="A405" s="73" t="str">
        <f>IF(液状化L2の有無="","","×")</f>
        <v>×</v>
      </c>
      <c r="D405" s="76"/>
      <c r="F405" s="90"/>
      <c r="G405" s="90"/>
      <c r="H405" s="90"/>
      <c r="I405" s="90"/>
      <c r="J405" s="90"/>
      <c r="K405" s="90"/>
      <c r="L405" s="90"/>
      <c r="M405" s="9"/>
      <c r="N405" s="9"/>
      <c r="O405" s="9"/>
      <c r="P405" s="90"/>
      <c r="Q405" s="90"/>
      <c r="R405" s="90"/>
      <c r="S405" s="90"/>
      <c r="T405" s="90"/>
      <c r="U405" s="90"/>
      <c r="V405" s="90"/>
      <c r="W405" s="90"/>
      <c r="X405" s="90"/>
      <c r="Y405" s="90"/>
    </row>
    <row r="406" spans="1:87" s="1" customFormat="1" ht="15.75" hidden="1" customHeight="1">
      <c r="A406" s="73" t="str">
        <f>IF(液状化L2の有無="","","×")</f>
        <v>×</v>
      </c>
      <c r="D406" s="76"/>
      <c r="E406" s="9"/>
      <c r="F406" s="90"/>
      <c r="G406" s="90"/>
      <c r="H406" s="90"/>
      <c r="I406" s="90"/>
      <c r="J406" s="90"/>
      <c r="K406" s="90"/>
      <c r="L406" s="90"/>
      <c r="M406" s="9"/>
      <c r="N406" s="9"/>
      <c r="O406" s="9"/>
      <c r="P406" s="90"/>
      <c r="Q406" s="90"/>
      <c r="R406" s="90"/>
      <c r="S406" s="90"/>
      <c r="T406" s="90"/>
      <c r="U406" s="90"/>
      <c r="V406" s="90"/>
      <c r="W406" s="90"/>
      <c r="X406" s="90"/>
      <c r="Y406" s="90"/>
      <c r="AD406" s="8"/>
      <c r="AE406" s="8"/>
      <c r="AF406" s="8"/>
      <c r="AG406" s="8"/>
      <c r="CF406" s="8"/>
      <c r="CG406" s="8"/>
      <c r="CH406" s="8"/>
      <c r="CI406" s="8"/>
    </row>
    <row r="408" spans="1:87" ht="15.75" customHeight="1">
      <c r="D408" s="1" t="s">
        <v>488</v>
      </c>
      <c r="M408" s="10"/>
    </row>
    <row r="410" spans="1:87" ht="15.75" customHeight="1">
      <c r="F410" s="1" t="s">
        <v>132</v>
      </c>
    </row>
    <row r="412" spans="1:87" s="1" customFormat="1" ht="15.75" customHeight="1">
      <c r="F412" s="181" t="s">
        <v>133</v>
      </c>
      <c r="G412" s="181"/>
      <c r="H412" s="76" t="s">
        <v>27</v>
      </c>
      <c r="I412" s="181" t="s">
        <v>76</v>
      </c>
      <c r="J412" s="181"/>
      <c r="K412" s="76" t="s">
        <v>93</v>
      </c>
      <c r="L412" s="76" t="s">
        <v>134</v>
      </c>
      <c r="M412" s="76" t="s">
        <v>93</v>
      </c>
      <c r="N412" s="181" t="s">
        <v>515</v>
      </c>
      <c r="O412" s="181"/>
    </row>
    <row r="413" spans="1:87" s="1" customFormat="1" ht="15.75" customHeight="1"/>
    <row r="414" spans="1:87" s="1" customFormat="1" ht="15.75" customHeight="1">
      <c r="G414" s="1" t="s">
        <v>3</v>
      </c>
      <c r="J414" s="181" t="s">
        <v>133</v>
      </c>
      <c r="K414" s="181"/>
      <c r="L414" s="76" t="s">
        <v>2</v>
      </c>
      <c r="M414" s="1" t="s">
        <v>135</v>
      </c>
    </row>
    <row r="415" spans="1:87" s="1" customFormat="1" ht="15.75" customHeight="1">
      <c r="J415" s="181" t="s">
        <v>76</v>
      </c>
      <c r="K415" s="181"/>
      <c r="L415" s="76" t="s">
        <v>2</v>
      </c>
      <c r="M415" s="1" t="s">
        <v>136</v>
      </c>
    </row>
    <row r="416" spans="1:87" s="1" customFormat="1" ht="15.75" customHeight="1">
      <c r="J416" s="181" t="s">
        <v>134</v>
      </c>
      <c r="K416" s="181"/>
      <c r="L416" s="76" t="s">
        <v>2</v>
      </c>
      <c r="M416" s="1" t="s">
        <v>538</v>
      </c>
      <c r="R416" s="76" t="s">
        <v>27</v>
      </c>
      <c r="S416" s="76" t="s">
        <v>123</v>
      </c>
      <c r="T416" s="76" t="s">
        <v>93</v>
      </c>
      <c r="U416" s="2" t="s">
        <v>65</v>
      </c>
    </row>
    <row r="417" spans="5:35" s="1" customFormat="1" ht="15.75" customHeight="1">
      <c r="J417" s="181" t="s">
        <v>65</v>
      </c>
      <c r="K417" s="181"/>
      <c r="L417" s="76" t="s">
        <v>2</v>
      </c>
      <c r="M417" s="1" t="s">
        <v>137</v>
      </c>
      <c r="Q417" s="2" t="s">
        <v>127</v>
      </c>
      <c r="R417" s="76" t="s">
        <v>27</v>
      </c>
      <c r="S417" s="212">
        <f>Q92</f>
        <v>1</v>
      </c>
      <c r="T417" s="212"/>
      <c r="U417" s="212"/>
      <c r="V417" s="1" t="s">
        <v>128</v>
      </c>
    </row>
    <row r="418" spans="5:35" ht="15.75" customHeight="1">
      <c r="J418" s="181" t="s">
        <v>496</v>
      </c>
      <c r="K418" s="181"/>
      <c r="L418" s="76" t="s">
        <v>2</v>
      </c>
      <c r="M418" s="1" t="s">
        <v>495</v>
      </c>
    </row>
    <row r="420" spans="5:35" s="1" customFormat="1" ht="15.75" customHeight="1">
      <c r="F420" s="1" t="s">
        <v>138</v>
      </c>
    </row>
    <row r="421" spans="5:35" s="1" customFormat="1" ht="15.75" customHeight="1">
      <c r="AI421" s="92" t="s">
        <v>139</v>
      </c>
    </row>
    <row r="422" spans="5:35" s="1" customFormat="1" ht="15.75" customHeight="1">
      <c r="G422" s="93" t="s">
        <v>140</v>
      </c>
      <c r="H422" s="1" t="s">
        <v>146</v>
      </c>
    </row>
    <row r="423" spans="5:35" s="1" customFormat="1" ht="15.75" customHeight="1">
      <c r="G423" s="93"/>
      <c r="H423" s="1" t="s">
        <v>143</v>
      </c>
    </row>
    <row r="424" spans="5:35" s="1" customFormat="1" ht="15.75" customHeight="1">
      <c r="G424" s="93" t="s">
        <v>141</v>
      </c>
      <c r="H424" s="1" t="s">
        <v>144</v>
      </c>
    </row>
    <row r="425" spans="5:35" s="1" customFormat="1" ht="15.75" customHeight="1">
      <c r="G425" s="93"/>
      <c r="H425" s="1" t="s">
        <v>145</v>
      </c>
    </row>
    <row r="426" spans="5:35" s="1" customFormat="1" ht="15.75" customHeight="1">
      <c r="G426" s="93" t="s">
        <v>142</v>
      </c>
      <c r="H426" s="1" t="s">
        <v>353</v>
      </c>
    </row>
    <row r="427" spans="5:35" s="1" customFormat="1" ht="15.75" customHeight="1">
      <c r="H427" s="1" t="s">
        <v>354</v>
      </c>
    </row>
    <row r="428" spans="5:35" s="1" customFormat="1" ht="15.75" customHeight="1">
      <c r="H428" s="1" t="s">
        <v>355</v>
      </c>
    </row>
    <row r="429" spans="5:35" s="1" customFormat="1" ht="15.75" customHeight="1">
      <c r="H429" s="1" t="s">
        <v>356</v>
      </c>
    </row>
    <row r="430" spans="5:35" s="1" customFormat="1" ht="15.75" customHeight="1"/>
    <row r="431" spans="5:35" s="1" customFormat="1" ht="15.75" customHeight="1">
      <c r="E431" s="1" t="s">
        <v>81</v>
      </c>
      <c r="F431" s="1" t="s">
        <v>147</v>
      </c>
    </row>
    <row r="432" spans="5:35" s="1" customFormat="1" ht="15.75" customHeight="1"/>
    <row r="433" spans="5:34" s="1" customFormat="1" ht="15.75" customHeight="1">
      <c r="F433" s="1" t="s">
        <v>148</v>
      </c>
    </row>
    <row r="434" spans="5:34" s="1" customFormat="1" ht="15.75" customHeight="1"/>
    <row r="435" spans="5:34" s="1" customFormat="1" ht="15.75" customHeight="1">
      <c r="F435" s="181" t="s">
        <v>5</v>
      </c>
      <c r="G435" s="181"/>
      <c r="H435" s="76" t="s">
        <v>27</v>
      </c>
      <c r="I435" s="94">
        <v>4</v>
      </c>
      <c r="J435" s="181" t="s">
        <v>91</v>
      </c>
      <c r="K435" s="181"/>
      <c r="L435" s="76" t="s">
        <v>65</v>
      </c>
      <c r="M435" s="1" t="s">
        <v>7</v>
      </c>
      <c r="N435" s="76">
        <v>4</v>
      </c>
      <c r="O435" s="181" t="s">
        <v>149</v>
      </c>
      <c r="P435" s="181"/>
    </row>
    <row r="436" spans="5:34" s="1" customFormat="1" ht="15.75" customHeight="1"/>
    <row r="437" spans="5:34" s="1" customFormat="1" ht="15.75" customHeight="1">
      <c r="G437" s="1" t="s">
        <v>3</v>
      </c>
      <c r="J437" s="181" t="s">
        <v>5</v>
      </c>
      <c r="K437" s="181"/>
      <c r="L437" s="76" t="s">
        <v>2</v>
      </c>
      <c r="M437" s="1" t="s">
        <v>152</v>
      </c>
    </row>
    <row r="438" spans="5:34" s="1" customFormat="1" ht="15.75" customHeight="1">
      <c r="J438" s="181" t="s">
        <v>91</v>
      </c>
      <c r="K438" s="181"/>
      <c r="L438" s="76" t="s">
        <v>2</v>
      </c>
      <c r="M438" s="1" t="s">
        <v>94</v>
      </c>
    </row>
    <row r="439" spans="5:34" s="1" customFormat="1" ht="15.75" customHeight="1">
      <c r="J439" s="181" t="s">
        <v>65</v>
      </c>
      <c r="K439" s="181"/>
      <c r="L439" s="76" t="s">
        <v>2</v>
      </c>
      <c r="M439" s="1" t="s">
        <v>137</v>
      </c>
      <c r="P439" s="2" t="s">
        <v>127</v>
      </c>
      <c r="Q439" s="76" t="s">
        <v>27</v>
      </c>
      <c r="R439" s="212">
        <f>Q92</f>
        <v>1</v>
      </c>
      <c r="S439" s="212"/>
      <c r="T439" s="212"/>
      <c r="U439" s="1" t="s">
        <v>128</v>
      </c>
    </row>
    <row r="440" spans="5:34" ht="15.75" customHeight="1">
      <c r="J440" s="181" t="s">
        <v>149</v>
      </c>
      <c r="K440" s="181"/>
      <c r="L440" s="76" t="s">
        <v>2</v>
      </c>
      <c r="M440" s="1" t="s">
        <v>153</v>
      </c>
    </row>
    <row r="441" spans="5:34" ht="15.75" customHeight="1">
      <c r="J441" s="181" t="s">
        <v>150</v>
      </c>
      <c r="K441" s="181"/>
      <c r="L441" s="76" t="s">
        <v>2</v>
      </c>
      <c r="M441" s="1" t="s">
        <v>154</v>
      </c>
      <c r="T441" s="2" t="s">
        <v>127</v>
      </c>
      <c r="U441" s="76" t="s">
        <v>27</v>
      </c>
      <c r="V441" s="181">
        <f>入力!J32</f>
        <v>22.4</v>
      </c>
      <c r="W441" s="181"/>
      <c r="X441" s="1" t="s">
        <v>156</v>
      </c>
      <c r="AA441" s="76" t="s">
        <v>27</v>
      </c>
      <c r="AB441" s="181">
        <f>V441</f>
        <v>22.4</v>
      </c>
      <c r="AC441" s="181"/>
      <c r="AD441" s="76" t="s">
        <v>1</v>
      </c>
      <c r="AE441" s="78">
        <v>10</v>
      </c>
      <c r="AF441" s="88">
        <v>6</v>
      </c>
      <c r="AG441" s="1" t="s">
        <v>157</v>
      </c>
    </row>
    <row r="442" spans="5:34" ht="15.75" customHeight="1">
      <c r="J442" s="181" t="s">
        <v>151</v>
      </c>
      <c r="K442" s="181"/>
      <c r="L442" s="76" t="s">
        <v>2</v>
      </c>
      <c r="M442" s="1" t="s">
        <v>155</v>
      </c>
      <c r="V442" s="2" t="s">
        <v>127</v>
      </c>
      <c r="W442" s="76" t="s">
        <v>27</v>
      </c>
      <c r="X442" s="76" t="s">
        <v>123</v>
      </c>
      <c r="Y442" s="2" t="s">
        <v>65</v>
      </c>
      <c r="Z442" s="88">
        <v>4</v>
      </c>
      <c r="AA442" s="1" t="s">
        <v>7</v>
      </c>
      <c r="AB442" s="78">
        <v>64</v>
      </c>
      <c r="AC442" s="76" t="s">
        <v>27</v>
      </c>
      <c r="AD442" s="181">
        <f>ROUND(PI()*R439^Z442/AB442,5)</f>
        <v>4.9090000000000002E-2</v>
      </c>
      <c r="AE442" s="181"/>
      <c r="AF442" s="181"/>
      <c r="AG442" s="181"/>
      <c r="AH442" s="76" t="s">
        <v>158</v>
      </c>
    </row>
    <row r="446" spans="5:34" s="1" customFormat="1" ht="15.75" customHeight="1">
      <c r="E446" s="64" t="s">
        <v>549</v>
      </c>
      <c r="F446" s="64"/>
      <c r="G446" s="64"/>
      <c r="H446" s="64"/>
      <c r="I446" s="64"/>
      <c r="J446" s="64"/>
      <c r="K446" s="64"/>
      <c r="L446" s="64"/>
      <c r="M446" s="64"/>
      <c r="N446" s="64"/>
      <c r="O446" s="64"/>
      <c r="P446" s="64"/>
      <c r="Q446" s="64"/>
      <c r="R446" s="64"/>
      <c r="S446" s="64"/>
      <c r="T446" s="64"/>
      <c r="U446" s="64"/>
      <c r="V446" s="64"/>
      <c r="W446" s="64"/>
      <c r="X446" s="64"/>
      <c r="Y446" s="64"/>
      <c r="Z446" s="64"/>
      <c r="AA446" s="64"/>
      <c r="AB446" s="64"/>
      <c r="AC446" s="64"/>
      <c r="AD446" s="64"/>
      <c r="AE446" s="64"/>
    </row>
    <row r="447" spans="5:34" s="1" customFormat="1" ht="15.75" customHeight="1">
      <c r="E447" s="185" t="s">
        <v>78</v>
      </c>
      <c r="F447" s="146"/>
      <c r="G447" s="146"/>
      <c r="H447" s="188" t="s">
        <v>159</v>
      </c>
      <c r="I447" s="217"/>
      <c r="J447" s="217"/>
      <c r="K447" s="146" t="s">
        <v>160</v>
      </c>
      <c r="L447" s="146"/>
      <c r="M447" s="146"/>
      <c r="N447" s="146"/>
      <c r="O447" s="146" t="s">
        <v>164</v>
      </c>
      <c r="P447" s="146"/>
      <c r="Q447" s="146"/>
      <c r="R447" s="146"/>
      <c r="S447" s="146"/>
      <c r="T447" s="146" t="s">
        <v>161</v>
      </c>
      <c r="U447" s="146"/>
      <c r="V447" s="146"/>
      <c r="W447" s="146"/>
      <c r="X447" s="146" t="s">
        <v>162</v>
      </c>
      <c r="Y447" s="146"/>
      <c r="Z447" s="146"/>
      <c r="AA447" s="146"/>
      <c r="AB447" s="146" t="s">
        <v>163</v>
      </c>
      <c r="AC447" s="146"/>
      <c r="AD447" s="146"/>
      <c r="AE447" s="221"/>
    </row>
    <row r="448" spans="5:34" s="1" customFormat="1" ht="15.75" customHeight="1">
      <c r="E448" s="186"/>
      <c r="F448" s="187"/>
      <c r="G448" s="187"/>
      <c r="H448" s="218"/>
      <c r="I448" s="218"/>
      <c r="J448" s="218"/>
      <c r="K448" s="187"/>
      <c r="L448" s="187"/>
      <c r="M448" s="187"/>
      <c r="N448" s="187"/>
      <c r="O448" s="187"/>
      <c r="P448" s="187"/>
      <c r="Q448" s="187"/>
      <c r="R448" s="187"/>
      <c r="S448" s="187"/>
      <c r="T448" s="187"/>
      <c r="U448" s="187"/>
      <c r="V448" s="187"/>
      <c r="W448" s="187"/>
      <c r="X448" s="187"/>
      <c r="Y448" s="187"/>
      <c r="Z448" s="187"/>
      <c r="AA448" s="187"/>
      <c r="AB448" s="187"/>
      <c r="AC448" s="187"/>
      <c r="AD448" s="187"/>
      <c r="AE448" s="222"/>
    </row>
    <row r="449" spans="1:31" s="1" customFormat="1" ht="15.75" customHeight="1">
      <c r="A449" s="73" t="str">
        <f>IF(H449="","×","")</f>
        <v/>
      </c>
      <c r="E449" s="224">
        <f>IF(G155="","",G155)</f>
        <v>3</v>
      </c>
      <c r="F449" s="165"/>
      <c r="G449" s="165"/>
      <c r="H449" s="164">
        <v>3</v>
      </c>
      <c r="I449" s="164"/>
      <c r="J449" s="164"/>
      <c r="K449" s="223">
        <f>T273</f>
        <v>11060</v>
      </c>
      <c r="L449" s="147"/>
      <c r="M449" s="147"/>
      <c r="N449" s="147"/>
      <c r="O449" s="147">
        <f t="shared" ref="O449:O464" si="46">IF(K449="","",ROUND(K449/$X$465,6))</f>
        <v>2.5149999999999999E-3</v>
      </c>
      <c r="P449" s="147"/>
      <c r="Q449" s="147"/>
      <c r="R449" s="147"/>
      <c r="S449" s="147"/>
      <c r="T449" s="147">
        <f>IF(O449="","",ROUND(O449^0.25,4))</f>
        <v>0.22389999999999999</v>
      </c>
      <c r="U449" s="147"/>
      <c r="V449" s="147"/>
      <c r="W449" s="147"/>
      <c r="X449" s="232">
        <f t="shared" ref="X449:X464" si="47">IF(T449="","",ROUND(T449*H449,4))</f>
        <v>0.67169999999999996</v>
      </c>
      <c r="Y449" s="232"/>
      <c r="Z449" s="232"/>
      <c r="AA449" s="232"/>
      <c r="AB449" s="385">
        <f>IF(X449="","",SUM(X$449:X449))</f>
        <v>0.67169999999999996</v>
      </c>
      <c r="AC449" s="385"/>
      <c r="AD449" s="385"/>
      <c r="AE449" s="386"/>
    </row>
    <row r="450" spans="1:31" s="1" customFormat="1" ht="15.75" customHeight="1">
      <c r="A450" s="73" t="str">
        <f t="shared" ref="A450:A464" si="48">IF(H450="","×","")</f>
        <v/>
      </c>
      <c r="E450" s="204">
        <f>IF(G156="","",G156)</f>
        <v>4</v>
      </c>
      <c r="F450" s="205"/>
      <c r="G450" s="205"/>
      <c r="H450" s="160">
        <v>5</v>
      </c>
      <c r="I450" s="160"/>
      <c r="J450" s="160"/>
      <c r="K450" s="209">
        <f>T274</f>
        <v>22720</v>
      </c>
      <c r="L450" s="210"/>
      <c r="M450" s="210"/>
      <c r="N450" s="210"/>
      <c r="O450" s="169">
        <f t="shared" si="46"/>
        <v>5.1650000000000003E-3</v>
      </c>
      <c r="P450" s="169"/>
      <c r="Q450" s="169"/>
      <c r="R450" s="169"/>
      <c r="S450" s="169"/>
      <c r="T450" s="169">
        <f t="shared" ref="T450:T464" si="49">IF(O450="","",ROUND(O450^0.25,4))</f>
        <v>0.2681</v>
      </c>
      <c r="U450" s="169"/>
      <c r="V450" s="169"/>
      <c r="W450" s="169"/>
      <c r="X450" s="377">
        <f t="shared" si="47"/>
        <v>1.3405</v>
      </c>
      <c r="Y450" s="377"/>
      <c r="Z450" s="377"/>
      <c r="AA450" s="377"/>
      <c r="AB450" s="378">
        <f>IF(X450="","",SUM(X$449:X450))</f>
        <v>2.0122</v>
      </c>
      <c r="AC450" s="378"/>
      <c r="AD450" s="378"/>
      <c r="AE450" s="379"/>
    </row>
    <row r="451" spans="1:31" s="1" customFormat="1" ht="15.75" customHeight="1">
      <c r="A451" s="73" t="str">
        <f t="shared" si="48"/>
        <v/>
      </c>
      <c r="E451" s="204">
        <f>IF(G157="","",G157)</f>
        <v>5</v>
      </c>
      <c r="F451" s="205"/>
      <c r="G451" s="205"/>
      <c r="H451" s="160">
        <v>8</v>
      </c>
      <c r="I451" s="160"/>
      <c r="J451" s="160"/>
      <c r="K451" s="209">
        <f>T275</f>
        <v>25850</v>
      </c>
      <c r="L451" s="210"/>
      <c r="M451" s="210"/>
      <c r="N451" s="210"/>
      <c r="O451" s="169">
        <f t="shared" si="46"/>
        <v>5.8770000000000003E-3</v>
      </c>
      <c r="P451" s="169"/>
      <c r="Q451" s="169"/>
      <c r="R451" s="169"/>
      <c r="S451" s="169"/>
      <c r="T451" s="169">
        <f t="shared" si="49"/>
        <v>0.27689999999999998</v>
      </c>
      <c r="U451" s="169"/>
      <c r="V451" s="169"/>
      <c r="W451" s="169"/>
      <c r="X451" s="377">
        <f t="shared" si="47"/>
        <v>2.2151999999999998</v>
      </c>
      <c r="Y451" s="377"/>
      <c r="Z451" s="377"/>
      <c r="AA451" s="377"/>
      <c r="AB451" s="378">
        <f>IF(X451="","",SUM(X$449:X451))</f>
        <v>4.2273999999999994</v>
      </c>
      <c r="AC451" s="378"/>
      <c r="AD451" s="378"/>
      <c r="AE451" s="379"/>
    </row>
    <row r="452" spans="1:31" s="1" customFormat="1" ht="15.75" customHeight="1">
      <c r="A452" s="73" t="str">
        <f t="shared" si="48"/>
        <v/>
      </c>
      <c r="E452" s="204">
        <f>IF(G158="","",G158)</f>
        <v>6</v>
      </c>
      <c r="F452" s="205"/>
      <c r="G452" s="205"/>
      <c r="H452" s="160">
        <v>4.5</v>
      </c>
      <c r="I452" s="160"/>
      <c r="J452" s="160"/>
      <c r="K452" s="209">
        <f>T276</f>
        <v>36860</v>
      </c>
      <c r="L452" s="210"/>
      <c r="M452" s="210"/>
      <c r="N452" s="210"/>
      <c r="O452" s="169">
        <f t="shared" si="46"/>
        <v>8.3800000000000003E-3</v>
      </c>
      <c r="P452" s="169"/>
      <c r="Q452" s="169"/>
      <c r="R452" s="169"/>
      <c r="S452" s="169"/>
      <c r="T452" s="169">
        <f t="shared" si="49"/>
        <v>0.30259999999999998</v>
      </c>
      <c r="U452" s="169"/>
      <c r="V452" s="169"/>
      <c r="W452" s="169"/>
      <c r="X452" s="377">
        <f t="shared" si="47"/>
        <v>1.3616999999999999</v>
      </c>
      <c r="Y452" s="377"/>
      <c r="Z452" s="377"/>
      <c r="AA452" s="377"/>
      <c r="AB452" s="378">
        <f>IF(X452="","",SUM(X$449:X452))</f>
        <v>5.5890999999999993</v>
      </c>
      <c r="AC452" s="378"/>
      <c r="AD452" s="378"/>
      <c r="AE452" s="379"/>
    </row>
    <row r="453" spans="1:31" s="1" customFormat="1" ht="15.75" customHeight="1">
      <c r="A453" s="73" t="str">
        <f t="shared" si="48"/>
        <v/>
      </c>
      <c r="E453" s="204">
        <f>IF(G159="","",G159)</f>
        <v>7</v>
      </c>
      <c r="F453" s="205"/>
      <c r="G453" s="205"/>
      <c r="H453" s="160">
        <v>0.5</v>
      </c>
      <c r="I453" s="160"/>
      <c r="J453" s="160"/>
      <c r="K453" s="209">
        <f>T277</f>
        <v>72830</v>
      </c>
      <c r="L453" s="210"/>
      <c r="M453" s="210"/>
      <c r="N453" s="210"/>
      <c r="O453" s="169">
        <f t="shared" si="46"/>
        <v>1.6558E-2</v>
      </c>
      <c r="P453" s="169"/>
      <c r="Q453" s="169"/>
      <c r="R453" s="169"/>
      <c r="S453" s="169"/>
      <c r="T453" s="169">
        <f t="shared" si="49"/>
        <v>0.35870000000000002</v>
      </c>
      <c r="U453" s="169"/>
      <c r="V453" s="169"/>
      <c r="W453" s="169"/>
      <c r="X453" s="377">
        <f t="shared" si="47"/>
        <v>0.1794</v>
      </c>
      <c r="Y453" s="377"/>
      <c r="Z453" s="377"/>
      <c r="AA453" s="377"/>
      <c r="AB453" s="378">
        <f>IF(X453="","",SUM(X$449:X453))</f>
        <v>5.7684999999999995</v>
      </c>
      <c r="AC453" s="378"/>
      <c r="AD453" s="378"/>
      <c r="AE453" s="379"/>
    </row>
    <row r="454" spans="1:31" s="1" customFormat="1" ht="15.75" hidden="1" customHeight="1">
      <c r="A454" s="73" t="str">
        <f t="shared" si="48"/>
        <v>×</v>
      </c>
      <c r="E454" s="204" t="str">
        <f>IF(G160="","",G160)</f>
        <v/>
      </c>
      <c r="F454" s="205"/>
      <c r="G454" s="205"/>
      <c r="H454" s="160"/>
      <c r="I454" s="160"/>
      <c r="J454" s="160"/>
      <c r="K454" s="209" t="str">
        <f>T278</f>
        <v/>
      </c>
      <c r="L454" s="210"/>
      <c r="M454" s="210"/>
      <c r="N454" s="210"/>
      <c r="O454" s="169" t="str">
        <f t="shared" si="46"/>
        <v/>
      </c>
      <c r="P454" s="169"/>
      <c r="Q454" s="169"/>
      <c r="R454" s="169"/>
      <c r="S454" s="169"/>
      <c r="T454" s="169" t="str">
        <f t="shared" si="49"/>
        <v/>
      </c>
      <c r="U454" s="169"/>
      <c r="V454" s="169"/>
      <c r="W454" s="169"/>
      <c r="X454" s="377" t="str">
        <f t="shared" si="47"/>
        <v/>
      </c>
      <c r="Y454" s="377"/>
      <c r="Z454" s="377"/>
      <c r="AA454" s="377"/>
      <c r="AB454" s="378" t="str">
        <f>IF(X454="","",SUM(X$449:X454))</f>
        <v/>
      </c>
      <c r="AC454" s="378"/>
      <c r="AD454" s="378"/>
      <c r="AE454" s="379"/>
    </row>
    <row r="455" spans="1:31" s="1" customFormat="1" ht="15.75" hidden="1" customHeight="1">
      <c r="A455" s="73" t="str">
        <f t="shared" si="48"/>
        <v>×</v>
      </c>
      <c r="E455" s="204" t="str">
        <f>IF(G161="","",G161)</f>
        <v/>
      </c>
      <c r="F455" s="205"/>
      <c r="G455" s="205"/>
      <c r="H455" s="160"/>
      <c r="I455" s="160"/>
      <c r="J455" s="160"/>
      <c r="K455" s="209" t="str">
        <f>T279</f>
        <v/>
      </c>
      <c r="L455" s="210"/>
      <c r="M455" s="210"/>
      <c r="N455" s="210"/>
      <c r="O455" s="169" t="str">
        <f t="shared" si="46"/>
        <v/>
      </c>
      <c r="P455" s="169"/>
      <c r="Q455" s="169"/>
      <c r="R455" s="169"/>
      <c r="S455" s="169"/>
      <c r="T455" s="169" t="str">
        <f t="shared" si="49"/>
        <v/>
      </c>
      <c r="U455" s="169"/>
      <c r="V455" s="169"/>
      <c r="W455" s="169"/>
      <c r="X455" s="377" t="str">
        <f t="shared" si="47"/>
        <v/>
      </c>
      <c r="Y455" s="377"/>
      <c r="Z455" s="377"/>
      <c r="AA455" s="377"/>
      <c r="AB455" s="378" t="str">
        <f>IF(X455="","",SUM(X$449:X455))</f>
        <v/>
      </c>
      <c r="AC455" s="378"/>
      <c r="AD455" s="378"/>
      <c r="AE455" s="379"/>
    </row>
    <row r="456" spans="1:31" s="1" customFormat="1" ht="15.75" hidden="1" customHeight="1">
      <c r="A456" s="73" t="str">
        <f t="shared" si="48"/>
        <v>×</v>
      </c>
      <c r="E456" s="204" t="str">
        <f>IF(G162="","",G162)</f>
        <v/>
      </c>
      <c r="F456" s="205"/>
      <c r="G456" s="205"/>
      <c r="H456" s="160"/>
      <c r="I456" s="160"/>
      <c r="J456" s="160"/>
      <c r="K456" s="209" t="str">
        <f>T280</f>
        <v/>
      </c>
      <c r="L456" s="210"/>
      <c r="M456" s="210"/>
      <c r="N456" s="210"/>
      <c r="O456" s="169" t="str">
        <f t="shared" si="46"/>
        <v/>
      </c>
      <c r="P456" s="169"/>
      <c r="Q456" s="169"/>
      <c r="R456" s="169"/>
      <c r="S456" s="169"/>
      <c r="T456" s="169" t="str">
        <f t="shared" si="49"/>
        <v/>
      </c>
      <c r="U456" s="169"/>
      <c r="V456" s="169"/>
      <c r="W456" s="169"/>
      <c r="X456" s="377" t="str">
        <f t="shared" si="47"/>
        <v/>
      </c>
      <c r="Y456" s="377"/>
      <c r="Z456" s="377"/>
      <c r="AA456" s="377"/>
      <c r="AB456" s="378" t="str">
        <f>IF(X456="","",SUM(X$449:X456))</f>
        <v/>
      </c>
      <c r="AC456" s="378"/>
      <c r="AD456" s="378"/>
      <c r="AE456" s="379"/>
    </row>
    <row r="457" spans="1:31" s="1" customFormat="1" ht="15.75" hidden="1" customHeight="1">
      <c r="A457" s="73" t="str">
        <f t="shared" si="48"/>
        <v>×</v>
      </c>
      <c r="E457" s="204" t="str">
        <f>IF(G163="","",G163)</f>
        <v/>
      </c>
      <c r="F457" s="205"/>
      <c r="G457" s="205"/>
      <c r="H457" s="160"/>
      <c r="I457" s="160"/>
      <c r="J457" s="160"/>
      <c r="K457" s="209" t="str">
        <f>T281</f>
        <v/>
      </c>
      <c r="L457" s="210"/>
      <c r="M457" s="210"/>
      <c r="N457" s="210"/>
      <c r="O457" s="169" t="str">
        <f t="shared" si="46"/>
        <v/>
      </c>
      <c r="P457" s="169"/>
      <c r="Q457" s="169"/>
      <c r="R457" s="169"/>
      <c r="S457" s="169"/>
      <c r="T457" s="169" t="str">
        <f t="shared" si="49"/>
        <v/>
      </c>
      <c r="U457" s="169"/>
      <c r="V457" s="169"/>
      <c r="W457" s="169"/>
      <c r="X457" s="377" t="str">
        <f t="shared" si="47"/>
        <v/>
      </c>
      <c r="Y457" s="377"/>
      <c r="Z457" s="377"/>
      <c r="AA457" s="377"/>
      <c r="AB457" s="378" t="str">
        <f>IF(X457="","",SUM(X$449:X457))</f>
        <v/>
      </c>
      <c r="AC457" s="378"/>
      <c r="AD457" s="378"/>
      <c r="AE457" s="379"/>
    </row>
    <row r="458" spans="1:31" s="1" customFormat="1" ht="15.75" hidden="1" customHeight="1">
      <c r="A458" s="73" t="str">
        <f t="shared" si="48"/>
        <v>×</v>
      </c>
      <c r="E458" s="204" t="str">
        <f>IF(G164="","",G164)</f>
        <v/>
      </c>
      <c r="F458" s="205"/>
      <c r="G458" s="205"/>
      <c r="H458" s="160"/>
      <c r="I458" s="160"/>
      <c r="J458" s="160"/>
      <c r="K458" s="209" t="str">
        <f>T282</f>
        <v/>
      </c>
      <c r="L458" s="210"/>
      <c r="M458" s="210"/>
      <c r="N458" s="210"/>
      <c r="O458" s="169" t="str">
        <f t="shared" si="46"/>
        <v/>
      </c>
      <c r="P458" s="169"/>
      <c r="Q458" s="169"/>
      <c r="R458" s="169"/>
      <c r="S458" s="169"/>
      <c r="T458" s="169" t="str">
        <f t="shared" si="49"/>
        <v/>
      </c>
      <c r="U458" s="169"/>
      <c r="V458" s="169"/>
      <c r="W458" s="169"/>
      <c r="X458" s="377" t="str">
        <f t="shared" si="47"/>
        <v/>
      </c>
      <c r="Y458" s="377"/>
      <c r="Z458" s="377"/>
      <c r="AA458" s="377"/>
      <c r="AB458" s="378" t="str">
        <f>IF(X458="","",SUM(X$449:X458))</f>
        <v/>
      </c>
      <c r="AC458" s="378"/>
      <c r="AD458" s="378"/>
      <c r="AE458" s="379"/>
    </row>
    <row r="459" spans="1:31" s="1" customFormat="1" ht="15.75" hidden="1" customHeight="1">
      <c r="A459" s="73" t="str">
        <f t="shared" si="48"/>
        <v>×</v>
      </c>
      <c r="E459" s="204" t="str">
        <f>IF(G165="","",G165)</f>
        <v/>
      </c>
      <c r="F459" s="205"/>
      <c r="G459" s="205"/>
      <c r="H459" s="160"/>
      <c r="I459" s="160"/>
      <c r="J459" s="160"/>
      <c r="K459" s="209" t="str">
        <f>T283</f>
        <v/>
      </c>
      <c r="L459" s="210"/>
      <c r="M459" s="210"/>
      <c r="N459" s="210"/>
      <c r="O459" s="169" t="str">
        <f t="shared" si="46"/>
        <v/>
      </c>
      <c r="P459" s="169"/>
      <c r="Q459" s="169"/>
      <c r="R459" s="169"/>
      <c r="S459" s="169"/>
      <c r="T459" s="169" t="str">
        <f t="shared" si="49"/>
        <v/>
      </c>
      <c r="U459" s="169"/>
      <c r="V459" s="169"/>
      <c r="W459" s="169"/>
      <c r="X459" s="377" t="str">
        <f t="shared" si="47"/>
        <v/>
      </c>
      <c r="Y459" s="377"/>
      <c r="Z459" s="377"/>
      <c r="AA459" s="377"/>
      <c r="AB459" s="378" t="str">
        <f>IF(X459="","",SUM(X$449:X459))</f>
        <v/>
      </c>
      <c r="AC459" s="378"/>
      <c r="AD459" s="378"/>
      <c r="AE459" s="379"/>
    </row>
    <row r="460" spans="1:31" s="1" customFormat="1" ht="15.75" hidden="1" customHeight="1">
      <c r="A460" s="73" t="str">
        <f t="shared" si="48"/>
        <v>×</v>
      </c>
      <c r="E460" s="204" t="str">
        <f>IF(G166="","",G166)</f>
        <v/>
      </c>
      <c r="F460" s="205"/>
      <c r="G460" s="205"/>
      <c r="H460" s="160"/>
      <c r="I460" s="160"/>
      <c r="J460" s="160"/>
      <c r="K460" s="209" t="str">
        <f>T284</f>
        <v/>
      </c>
      <c r="L460" s="210"/>
      <c r="M460" s="210"/>
      <c r="N460" s="210"/>
      <c r="O460" s="169" t="str">
        <f t="shared" si="46"/>
        <v/>
      </c>
      <c r="P460" s="169"/>
      <c r="Q460" s="169"/>
      <c r="R460" s="169"/>
      <c r="S460" s="169"/>
      <c r="T460" s="169" t="str">
        <f t="shared" si="49"/>
        <v/>
      </c>
      <c r="U460" s="169"/>
      <c r="V460" s="169"/>
      <c r="W460" s="169"/>
      <c r="X460" s="377" t="str">
        <f t="shared" si="47"/>
        <v/>
      </c>
      <c r="Y460" s="377"/>
      <c r="Z460" s="377"/>
      <c r="AA460" s="377"/>
      <c r="AB460" s="378" t="str">
        <f>IF(X460="","",SUM(X$449:X460))</f>
        <v/>
      </c>
      <c r="AC460" s="378"/>
      <c r="AD460" s="378"/>
      <c r="AE460" s="379"/>
    </row>
    <row r="461" spans="1:31" s="1" customFormat="1" ht="15.75" hidden="1" customHeight="1">
      <c r="A461" s="73" t="str">
        <f t="shared" si="48"/>
        <v>×</v>
      </c>
      <c r="E461" s="204" t="str">
        <f>IF(G167="","",G167)</f>
        <v/>
      </c>
      <c r="F461" s="205"/>
      <c r="G461" s="205"/>
      <c r="H461" s="160"/>
      <c r="I461" s="160"/>
      <c r="J461" s="160"/>
      <c r="K461" s="209" t="str">
        <f>T285</f>
        <v/>
      </c>
      <c r="L461" s="210"/>
      <c r="M461" s="210"/>
      <c r="N461" s="210"/>
      <c r="O461" s="169" t="str">
        <f t="shared" si="46"/>
        <v/>
      </c>
      <c r="P461" s="169"/>
      <c r="Q461" s="169"/>
      <c r="R461" s="169"/>
      <c r="S461" s="169"/>
      <c r="T461" s="169" t="str">
        <f t="shared" si="49"/>
        <v/>
      </c>
      <c r="U461" s="169"/>
      <c r="V461" s="169"/>
      <c r="W461" s="169"/>
      <c r="X461" s="377" t="str">
        <f t="shared" si="47"/>
        <v/>
      </c>
      <c r="Y461" s="377"/>
      <c r="Z461" s="377"/>
      <c r="AA461" s="377"/>
      <c r="AB461" s="378" t="str">
        <f>IF(X461="","",SUM(X$449:X461))</f>
        <v/>
      </c>
      <c r="AC461" s="378"/>
      <c r="AD461" s="378"/>
      <c r="AE461" s="379"/>
    </row>
    <row r="462" spans="1:31" s="1" customFormat="1" ht="15.75" hidden="1" customHeight="1">
      <c r="A462" s="73" t="str">
        <f t="shared" si="48"/>
        <v>×</v>
      </c>
      <c r="E462" s="204" t="str">
        <f>IF(G168="","",G168)</f>
        <v/>
      </c>
      <c r="F462" s="205"/>
      <c r="G462" s="205"/>
      <c r="H462" s="160"/>
      <c r="I462" s="160"/>
      <c r="J462" s="160"/>
      <c r="K462" s="209" t="str">
        <f>T286</f>
        <v/>
      </c>
      <c r="L462" s="210"/>
      <c r="M462" s="210"/>
      <c r="N462" s="210"/>
      <c r="O462" s="169" t="str">
        <f t="shared" si="46"/>
        <v/>
      </c>
      <c r="P462" s="169"/>
      <c r="Q462" s="169"/>
      <c r="R462" s="169"/>
      <c r="S462" s="169"/>
      <c r="T462" s="169" t="str">
        <f t="shared" si="49"/>
        <v/>
      </c>
      <c r="U462" s="169"/>
      <c r="V462" s="169"/>
      <c r="W462" s="169"/>
      <c r="X462" s="377" t="str">
        <f t="shared" si="47"/>
        <v/>
      </c>
      <c r="Y462" s="377"/>
      <c r="Z462" s="377"/>
      <c r="AA462" s="377"/>
      <c r="AB462" s="378" t="str">
        <f>IF(X462="","",SUM(X$449:X462))</f>
        <v/>
      </c>
      <c r="AC462" s="378"/>
      <c r="AD462" s="378"/>
      <c r="AE462" s="379"/>
    </row>
    <row r="463" spans="1:31" s="1" customFormat="1" ht="15.75" hidden="1" customHeight="1">
      <c r="A463" s="73" t="str">
        <f t="shared" si="48"/>
        <v>×</v>
      </c>
      <c r="E463" s="204" t="str">
        <f>IF(G169="","",G169)</f>
        <v/>
      </c>
      <c r="F463" s="205"/>
      <c r="G463" s="205"/>
      <c r="H463" s="160"/>
      <c r="I463" s="160"/>
      <c r="J463" s="160"/>
      <c r="K463" s="209" t="str">
        <f>T287</f>
        <v/>
      </c>
      <c r="L463" s="210"/>
      <c r="M463" s="210"/>
      <c r="N463" s="210"/>
      <c r="O463" s="169" t="str">
        <f t="shared" si="46"/>
        <v/>
      </c>
      <c r="P463" s="169"/>
      <c r="Q463" s="169"/>
      <c r="R463" s="169"/>
      <c r="S463" s="169"/>
      <c r="T463" s="169" t="str">
        <f t="shared" si="49"/>
        <v/>
      </c>
      <c r="U463" s="169"/>
      <c r="V463" s="169"/>
      <c r="W463" s="169"/>
      <c r="X463" s="377" t="str">
        <f t="shared" si="47"/>
        <v/>
      </c>
      <c r="Y463" s="377"/>
      <c r="Z463" s="377"/>
      <c r="AA463" s="377"/>
      <c r="AB463" s="378" t="str">
        <f>IF(X463="","",SUM(X$449:X463))</f>
        <v/>
      </c>
      <c r="AC463" s="378"/>
      <c r="AD463" s="378"/>
      <c r="AE463" s="379"/>
    </row>
    <row r="464" spans="1:31" s="1" customFormat="1" ht="15.75" hidden="1" customHeight="1">
      <c r="A464" s="73" t="str">
        <f t="shared" si="48"/>
        <v>×</v>
      </c>
      <c r="E464" s="207" t="str">
        <f>IF(G170="","",G170)</f>
        <v/>
      </c>
      <c r="F464" s="208"/>
      <c r="G464" s="208"/>
      <c r="H464" s="155"/>
      <c r="I464" s="155"/>
      <c r="J464" s="155"/>
      <c r="K464" s="380" t="str">
        <f>T288</f>
        <v/>
      </c>
      <c r="L464" s="381"/>
      <c r="M464" s="381"/>
      <c r="N464" s="381"/>
      <c r="O464" s="148" t="str">
        <f t="shared" si="46"/>
        <v/>
      </c>
      <c r="P464" s="148"/>
      <c r="Q464" s="148"/>
      <c r="R464" s="148"/>
      <c r="S464" s="148"/>
      <c r="T464" s="148" t="str">
        <f t="shared" si="49"/>
        <v/>
      </c>
      <c r="U464" s="148"/>
      <c r="V464" s="148"/>
      <c r="W464" s="148"/>
      <c r="X464" s="384" t="str">
        <f t="shared" si="47"/>
        <v/>
      </c>
      <c r="Y464" s="384"/>
      <c r="Z464" s="384"/>
      <c r="AA464" s="384"/>
      <c r="AB464" s="382" t="str">
        <f>IF(X464="","",SUM(X$449:X464))</f>
        <v/>
      </c>
      <c r="AC464" s="382"/>
      <c r="AD464" s="382"/>
      <c r="AE464" s="383"/>
    </row>
    <row r="465" spans="1:62" ht="15.75" customHeight="1">
      <c r="E465" s="118"/>
      <c r="F465" s="118"/>
      <c r="G465" s="118"/>
      <c r="H465" s="118"/>
      <c r="I465" s="118"/>
      <c r="J465" s="118"/>
      <c r="K465" s="118"/>
      <c r="L465" s="118"/>
      <c r="M465" s="118"/>
      <c r="N465" s="118"/>
      <c r="O465" s="118"/>
      <c r="P465" s="118"/>
      <c r="Q465" s="118"/>
      <c r="R465" s="118"/>
      <c r="S465" s="512" t="s">
        <v>127</v>
      </c>
      <c r="T465" s="118">
        <v>4</v>
      </c>
      <c r="U465" s="299" t="s">
        <v>165</v>
      </c>
      <c r="V465" s="299"/>
      <c r="W465" s="118" t="s">
        <v>27</v>
      </c>
      <c r="X465" s="513">
        <f>ROUND(4*AB441*AE441^AF441*AD442,0)</f>
        <v>4398464</v>
      </c>
      <c r="Y465" s="513"/>
      <c r="Z465" s="513"/>
      <c r="AA465" s="513"/>
      <c r="AB465" s="513"/>
      <c r="AC465" s="365" t="s">
        <v>166</v>
      </c>
      <c r="AD465" s="365"/>
      <c r="AE465" s="118" t="s">
        <v>167</v>
      </c>
      <c r="AJ465" s="106"/>
      <c r="AK465" s="106"/>
      <c r="AL465" s="106"/>
      <c r="AM465" s="106"/>
      <c r="BG465" s="76"/>
      <c r="BH465" s="76"/>
      <c r="BI465" s="76"/>
      <c r="BJ465" s="76"/>
    </row>
    <row r="466" spans="1:62" ht="15.75" customHeight="1">
      <c r="E466" s="76"/>
      <c r="S466" s="2"/>
      <c r="X466" s="95"/>
      <c r="Y466" s="95"/>
      <c r="Z466" s="95"/>
      <c r="AA466" s="95"/>
      <c r="AB466" s="95"/>
      <c r="AC466" s="78"/>
      <c r="AD466" s="78"/>
      <c r="AJ466" s="106"/>
      <c r="AK466" s="106"/>
      <c r="AL466" s="106"/>
      <c r="AM466" s="106"/>
      <c r="BG466" s="76"/>
      <c r="BH466" s="76"/>
      <c r="BI466" s="76"/>
      <c r="BJ466" s="76"/>
    </row>
    <row r="467" spans="1:62" ht="15.75" customHeight="1">
      <c r="E467" s="89" t="s">
        <v>506</v>
      </c>
      <c r="S467" s="2"/>
      <c r="X467" s="95"/>
      <c r="Y467" s="95"/>
      <c r="Z467" s="95"/>
      <c r="AA467" s="95"/>
      <c r="AB467" s="95"/>
      <c r="AC467" s="78"/>
      <c r="AD467" s="78"/>
      <c r="AJ467" s="106"/>
      <c r="AK467" s="106"/>
      <c r="AL467" s="106"/>
      <c r="AM467" s="106"/>
      <c r="BG467" s="76"/>
      <c r="BH467" s="76"/>
      <c r="BI467" s="76"/>
      <c r="BJ467" s="76"/>
    </row>
    <row r="468" spans="1:62" ht="15.75" customHeight="1">
      <c r="E468" s="181" t="s">
        <v>507</v>
      </c>
      <c r="F468" s="181"/>
      <c r="G468" s="76" t="s">
        <v>508</v>
      </c>
      <c r="H468" s="406">
        <v>4.2199997901916504</v>
      </c>
      <c r="I468" s="406"/>
      <c r="J468" s="406"/>
      <c r="K468" s="76" t="s">
        <v>509</v>
      </c>
      <c r="S468" s="2"/>
      <c r="X468" s="95"/>
      <c r="Y468" s="95"/>
      <c r="Z468" s="95"/>
      <c r="AA468" s="95"/>
      <c r="AB468" s="95"/>
      <c r="AC468" s="78"/>
      <c r="AD468" s="78"/>
      <c r="AJ468" s="106"/>
      <c r="AK468" s="106"/>
      <c r="AL468" s="106"/>
      <c r="AM468" s="106"/>
      <c r="BG468" s="76"/>
      <c r="BH468" s="76"/>
      <c r="BI468" s="76"/>
      <c r="BJ468" s="76"/>
    </row>
    <row r="469" spans="1:62" s="82" customFormat="1" ht="15.75" customHeight="1">
      <c r="C469" s="96"/>
      <c r="H469" s="107"/>
      <c r="I469" s="107"/>
      <c r="J469" s="107"/>
      <c r="S469" s="97"/>
      <c r="X469" s="98"/>
      <c r="Y469" s="98"/>
      <c r="Z469" s="98"/>
      <c r="AA469" s="98"/>
      <c r="AB469" s="98"/>
      <c r="AC469" s="99"/>
      <c r="AD469" s="99"/>
      <c r="AJ469" s="108"/>
      <c r="AK469" s="108"/>
      <c r="AL469" s="108"/>
      <c r="AM469" s="108"/>
      <c r="AN469" s="108"/>
      <c r="AO469" s="108"/>
      <c r="AP469" s="108"/>
      <c r="AQ469" s="108"/>
      <c r="AR469" s="108"/>
      <c r="AS469" s="108"/>
      <c r="AT469" s="108"/>
      <c r="AU469" s="108"/>
      <c r="AV469" s="108"/>
      <c r="AW469" s="108"/>
      <c r="AX469" s="108"/>
      <c r="AY469" s="108"/>
      <c r="AZ469" s="108"/>
      <c r="BA469" s="108"/>
      <c r="BB469" s="108"/>
      <c r="BC469" s="108"/>
      <c r="BD469" s="108"/>
      <c r="BE469" s="108"/>
      <c r="BF469" s="108"/>
    </row>
    <row r="470" spans="1:62" ht="15.75" customHeight="1">
      <c r="AJ470" s="106"/>
      <c r="AK470" s="106"/>
      <c r="AL470" s="106"/>
      <c r="AM470" s="106"/>
      <c r="BG470" s="76"/>
      <c r="BH470" s="76"/>
      <c r="BI470" s="76"/>
      <c r="BJ470" s="76"/>
    </row>
    <row r="471" spans="1:62" s="1" customFormat="1" ht="15.75" hidden="1" customHeight="1">
      <c r="A471" s="73" t="str">
        <f>IF(液状化L1の有無="","","×")</f>
        <v>×</v>
      </c>
      <c r="E471" s="64" t="s">
        <v>550</v>
      </c>
      <c r="F471" s="64"/>
      <c r="G471" s="64"/>
      <c r="H471" s="64"/>
      <c r="I471" s="64"/>
      <c r="J471" s="64"/>
      <c r="K471" s="64"/>
      <c r="L471" s="64"/>
      <c r="M471" s="64"/>
      <c r="N471" s="64"/>
      <c r="O471" s="64"/>
      <c r="P471" s="64"/>
      <c r="Q471" s="64"/>
      <c r="R471" s="64"/>
      <c r="S471" s="64"/>
      <c r="T471" s="64"/>
      <c r="U471" s="64"/>
      <c r="V471" s="64"/>
      <c r="W471" s="64"/>
      <c r="X471" s="64"/>
      <c r="Y471" s="64"/>
      <c r="Z471" s="64"/>
      <c r="AA471" s="64"/>
      <c r="AB471" s="64"/>
      <c r="AC471" s="64"/>
      <c r="AD471" s="64"/>
      <c r="AE471" s="64"/>
    </row>
    <row r="472" spans="1:62" s="1" customFormat="1" ht="15.75" hidden="1" customHeight="1">
      <c r="A472" s="73" t="str">
        <f>IF(液状化L1の有無="","","×")</f>
        <v>×</v>
      </c>
      <c r="E472" s="185" t="s">
        <v>78</v>
      </c>
      <c r="F472" s="146"/>
      <c r="G472" s="146"/>
      <c r="H472" s="188" t="s">
        <v>159</v>
      </c>
      <c r="I472" s="217"/>
      <c r="J472" s="217"/>
      <c r="K472" s="146" t="s">
        <v>160</v>
      </c>
      <c r="L472" s="146"/>
      <c r="M472" s="146"/>
      <c r="N472" s="146"/>
      <c r="O472" s="146" t="s">
        <v>164</v>
      </c>
      <c r="P472" s="146"/>
      <c r="Q472" s="146"/>
      <c r="R472" s="146"/>
      <c r="S472" s="146"/>
      <c r="T472" s="146" t="s">
        <v>161</v>
      </c>
      <c r="U472" s="146"/>
      <c r="V472" s="146"/>
      <c r="W472" s="146"/>
      <c r="X472" s="146" t="s">
        <v>162</v>
      </c>
      <c r="Y472" s="146"/>
      <c r="Z472" s="146"/>
      <c r="AA472" s="146"/>
      <c r="AB472" s="146" t="s">
        <v>163</v>
      </c>
      <c r="AC472" s="146"/>
      <c r="AD472" s="146"/>
      <c r="AE472" s="221"/>
    </row>
    <row r="473" spans="1:62" s="1" customFormat="1" ht="15.75" hidden="1" customHeight="1">
      <c r="A473" s="73" t="str">
        <f>IF(液状化L1の有無="","","×")</f>
        <v>×</v>
      </c>
      <c r="E473" s="186"/>
      <c r="F473" s="187"/>
      <c r="G473" s="187"/>
      <c r="H473" s="218"/>
      <c r="I473" s="218"/>
      <c r="J473" s="218"/>
      <c r="K473" s="187"/>
      <c r="L473" s="187"/>
      <c r="M473" s="187"/>
      <c r="N473" s="187"/>
      <c r="O473" s="187"/>
      <c r="P473" s="187"/>
      <c r="Q473" s="187"/>
      <c r="R473" s="187"/>
      <c r="S473" s="187"/>
      <c r="T473" s="187"/>
      <c r="U473" s="187"/>
      <c r="V473" s="187"/>
      <c r="W473" s="187"/>
      <c r="X473" s="187"/>
      <c r="Y473" s="187"/>
      <c r="Z473" s="187"/>
      <c r="AA473" s="187"/>
      <c r="AB473" s="187"/>
      <c r="AC473" s="187"/>
      <c r="AD473" s="187"/>
      <c r="AE473" s="222"/>
    </row>
    <row r="474" spans="1:62" s="1" customFormat="1" ht="15.75" hidden="1" customHeight="1">
      <c r="A474" s="73" t="str">
        <f>IF(液状化L1の有無="×","×",IF(E474="","×",""))</f>
        <v>×</v>
      </c>
      <c r="E474" s="224">
        <f>E449</f>
        <v>3</v>
      </c>
      <c r="F474" s="165"/>
      <c r="G474" s="165"/>
      <c r="H474" s="149">
        <f>H449</f>
        <v>3</v>
      </c>
      <c r="I474" s="149"/>
      <c r="J474" s="149"/>
      <c r="K474" s="395">
        <f>U295</f>
        <v>11060</v>
      </c>
      <c r="L474" s="165"/>
      <c r="M474" s="165"/>
      <c r="N474" s="165"/>
      <c r="O474" s="165">
        <f t="shared" ref="O474:O489" si="50">IF(K474="","",ROUND(K474/$X$490,6))</f>
        <v>2.5149999999999999E-3</v>
      </c>
      <c r="P474" s="165"/>
      <c r="Q474" s="165"/>
      <c r="R474" s="165"/>
      <c r="S474" s="165"/>
      <c r="T474" s="165">
        <f>IF(O474="","",ROUND(O474^0.25,4))</f>
        <v>0.22389999999999999</v>
      </c>
      <c r="U474" s="165"/>
      <c r="V474" s="165"/>
      <c r="W474" s="165"/>
      <c r="X474" s="403">
        <f t="shared" ref="X474:X489" si="51">IF(T474="","",ROUND(T474*H474,4))</f>
        <v>0.67169999999999996</v>
      </c>
      <c r="Y474" s="403"/>
      <c r="Z474" s="403"/>
      <c r="AA474" s="403"/>
      <c r="AB474" s="385">
        <f>IF(X474="","",SUM(X$474:X474))</f>
        <v>0.67169999999999996</v>
      </c>
      <c r="AC474" s="385"/>
      <c r="AD474" s="385"/>
      <c r="AE474" s="386"/>
    </row>
    <row r="475" spans="1:62" s="1" customFormat="1" ht="15.75" hidden="1" customHeight="1">
      <c r="A475" s="73" t="str">
        <f>IF(液状化L1の有無="×","×",IF(E475="","×",""))</f>
        <v>×</v>
      </c>
      <c r="E475" s="219">
        <f>E450</f>
        <v>4</v>
      </c>
      <c r="F475" s="159"/>
      <c r="G475" s="159"/>
      <c r="H475" s="158">
        <f>H450</f>
        <v>5</v>
      </c>
      <c r="I475" s="158"/>
      <c r="J475" s="158"/>
      <c r="K475" s="404">
        <f>U296</f>
        <v>22720</v>
      </c>
      <c r="L475" s="159"/>
      <c r="M475" s="159"/>
      <c r="N475" s="159"/>
      <c r="O475" s="205">
        <f t="shared" si="50"/>
        <v>5.1650000000000003E-3</v>
      </c>
      <c r="P475" s="205"/>
      <c r="Q475" s="205"/>
      <c r="R475" s="205"/>
      <c r="S475" s="205"/>
      <c r="T475" s="205">
        <f t="shared" ref="T475:T489" si="52">IF(O475="","",ROUND(O475^0.25,4))</f>
        <v>0.2681</v>
      </c>
      <c r="U475" s="205"/>
      <c r="V475" s="205"/>
      <c r="W475" s="205"/>
      <c r="X475" s="405">
        <f t="shared" si="51"/>
        <v>1.3405</v>
      </c>
      <c r="Y475" s="405"/>
      <c r="Z475" s="405"/>
      <c r="AA475" s="405"/>
      <c r="AB475" s="378">
        <f>IF(X475="","",SUM(X$474:X475))</f>
        <v>2.0122</v>
      </c>
      <c r="AC475" s="378"/>
      <c r="AD475" s="378"/>
      <c r="AE475" s="379"/>
    </row>
    <row r="476" spans="1:62" s="1" customFormat="1" ht="15.75" hidden="1" customHeight="1">
      <c r="A476" s="73" t="str">
        <f>IF(液状化L1の有無="×","×",IF(E476="","×",""))</f>
        <v>×</v>
      </c>
      <c r="E476" s="219">
        <f>E451</f>
        <v>5</v>
      </c>
      <c r="F476" s="159"/>
      <c r="G476" s="159"/>
      <c r="H476" s="158">
        <f>H451</f>
        <v>8</v>
      </c>
      <c r="I476" s="158"/>
      <c r="J476" s="158"/>
      <c r="K476" s="404">
        <f>U297</f>
        <v>25850</v>
      </c>
      <c r="L476" s="159"/>
      <c r="M476" s="159"/>
      <c r="N476" s="159"/>
      <c r="O476" s="205">
        <f t="shared" si="50"/>
        <v>5.8770000000000003E-3</v>
      </c>
      <c r="P476" s="205"/>
      <c r="Q476" s="205"/>
      <c r="R476" s="205"/>
      <c r="S476" s="205"/>
      <c r="T476" s="205">
        <f t="shared" si="52"/>
        <v>0.27689999999999998</v>
      </c>
      <c r="U476" s="205"/>
      <c r="V476" s="205"/>
      <c r="W476" s="205"/>
      <c r="X476" s="405">
        <f t="shared" si="51"/>
        <v>2.2151999999999998</v>
      </c>
      <c r="Y476" s="405"/>
      <c r="Z476" s="405"/>
      <c r="AA476" s="405"/>
      <c r="AB476" s="378">
        <f>IF(X476="","",SUM(X$474:X476))</f>
        <v>4.2273999999999994</v>
      </c>
      <c r="AC476" s="378"/>
      <c r="AD476" s="378"/>
      <c r="AE476" s="379"/>
    </row>
    <row r="477" spans="1:62" s="1" customFormat="1" ht="15.75" hidden="1" customHeight="1">
      <c r="A477" s="73" t="str">
        <f>IF(液状化L1の有無="×","×",IF(E477="","×",""))</f>
        <v>×</v>
      </c>
      <c r="E477" s="219">
        <f>E452</f>
        <v>6</v>
      </c>
      <c r="F477" s="159"/>
      <c r="G477" s="159"/>
      <c r="H477" s="158">
        <f>H452</f>
        <v>4.5</v>
      </c>
      <c r="I477" s="158"/>
      <c r="J477" s="158"/>
      <c r="K477" s="404">
        <f>U298</f>
        <v>36860</v>
      </c>
      <c r="L477" s="159"/>
      <c r="M477" s="159"/>
      <c r="N477" s="159"/>
      <c r="O477" s="205">
        <f t="shared" si="50"/>
        <v>8.3800000000000003E-3</v>
      </c>
      <c r="P477" s="205"/>
      <c r="Q477" s="205"/>
      <c r="R477" s="205"/>
      <c r="S477" s="205"/>
      <c r="T477" s="205">
        <f t="shared" si="52"/>
        <v>0.30259999999999998</v>
      </c>
      <c r="U477" s="205"/>
      <c r="V477" s="205"/>
      <c r="W477" s="205"/>
      <c r="X477" s="405">
        <f t="shared" si="51"/>
        <v>1.3616999999999999</v>
      </c>
      <c r="Y477" s="405"/>
      <c r="Z477" s="405"/>
      <c r="AA477" s="405"/>
      <c r="AB477" s="378">
        <f>IF(X477="","",SUM(X$474:X477))</f>
        <v>5.5890999999999993</v>
      </c>
      <c r="AC477" s="378"/>
      <c r="AD477" s="378"/>
      <c r="AE477" s="379"/>
    </row>
    <row r="478" spans="1:62" s="1" customFormat="1" ht="15.75" hidden="1" customHeight="1">
      <c r="A478" s="73" t="str">
        <f>IF(液状化L1の有無="×","×",IF(E478="","×",""))</f>
        <v>×</v>
      </c>
      <c r="E478" s="219">
        <f>E453</f>
        <v>7</v>
      </c>
      <c r="F478" s="159"/>
      <c r="G478" s="159"/>
      <c r="H478" s="158">
        <f>H453</f>
        <v>0.5</v>
      </c>
      <c r="I478" s="158"/>
      <c r="J478" s="158"/>
      <c r="K478" s="404">
        <f>U299</f>
        <v>72830</v>
      </c>
      <c r="L478" s="159"/>
      <c r="M478" s="159"/>
      <c r="N478" s="159"/>
      <c r="O478" s="205">
        <f t="shared" si="50"/>
        <v>1.6558E-2</v>
      </c>
      <c r="P478" s="205"/>
      <c r="Q478" s="205"/>
      <c r="R478" s="205"/>
      <c r="S478" s="205"/>
      <c r="T478" s="205">
        <f t="shared" si="52"/>
        <v>0.35870000000000002</v>
      </c>
      <c r="U478" s="205"/>
      <c r="V478" s="205"/>
      <c r="W478" s="205"/>
      <c r="X478" s="405">
        <f t="shared" si="51"/>
        <v>0.1794</v>
      </c>
      <c r="Y478" s="405"/>
      <c r="Z478" s="405"/>
      <c r="AA478" s="405"/>
      <c r="AB478" s="378">
        <f>IF(X478="","",SUM(X$474:X478))</f>
        <v>5.7684999999999995</v>
      </c>
      <c r="AC478" s="378"/>
      <c r="AD478" s="378"/>
      <c r="AE478" s="379"/>
    </row>
    <row r="479" spans="1:62" s="1" customFormat="1" ht="15.75" hidden="1" customHeight="1">
      <c r="A479" s="73" t="str">
        <f>IF(液状化L1の有無="×","×",IF(E479="","×",""))</f>
        <v>×</v>
      </c>
      <c r="E479" s="219" t="str">
        <f>E454</f>
        <v/>
      </c>
      <c r="F479" s="159"/>
      <c r="G479" s="159"/>
      <c r="H479" s="158">
        <f>H454</f>
        <v>0</v>
      </c>
      <c r="I479" s="158"/>
      <c r="J479" s="158"/>
      <c r="K479" s="404" t="str">
        <f>U300</f>
        <v/>
      </c>
      <c r="L479" s="159"/>
      <c r="M479" s="159"/>
      <c r="N479" s="159"/>
      <c r="O479" s="205" t="str">
        <f t="shared" si="50"/>
        <v/>
      </c>
      <c r="P479" s="205"/>
      <c r="Q479" s="205"/>
      <c r="R479" s="205"/>
      <c r="S479" s="205"/>
      <c r="T479" s="205" t="str">
        <f t="shared" si="52"/>
        <v/>
      </c>
      <c r="U479" s="205"/>
      <c r="V479" s="205"/>
      <c r="W479" s="205"/>
      <c r="X479" s="405" t="str">
        <f t="shared" si="51"/>
        <v/>
      </c>
      <c r="Y479" s="405"/>
      <c r="Z479" s="405"/>
      <c r="AA479" s="405"/>
      <c r="AB479" s="378" t="str">
        <f>IF(X479="","",SUM(X$474:X479))</f>
        <v/>
      </c>
      <c r="AC479" s="378"/>
      <c r="AD479" s="378"/>
      <c r="AE479" s="379"/>
    </row>
    <row r="480" spans="1:62" s="1" customFormat="1" ht="15.75" hidden="1" customHeight="1">
      <c r="A480" s="73" t="str">
        <f>IF(液状化L1の有無="×","×",IF(E480="","×",""))</f>
        <v>×</v>
      </c>
      <c r="E480" s="219" t="str">
        <f>E455</f>
        <v/>
      </c>
      <c r="F480" s="159"/>
      <c r="G480" s="159"/>
      <c r="H480" s="158">
        <f>H455</f>
        <v>0</v>
      </c>
      <c r="I480" s="158"/>
      <c r="J480" s="158"/>
      <c r="K480" s="404" t="str">
        <f>U301</f>
        <v/>
      </c>
      <c r="L480" s="159"/>
      <c r="M480" s="159"/>
      <c r="N480" s="159"/>
      <c r="O480" s="205" t="str">
        <f t="shared" si="50"/>
        <v/>
      </c>
      <c r="P480" s="205"/>
      <c r="Q480" s="205"/>
      <c r="R480" s="205"/>
      <c r="S480" s="205"/>
      <c r="T480" s="205" t="str">
        <f t="shared" si="52"/>
        <v/>
      </c>
      <c r="U480" s="205"/>
      <c r="V480" s="205"/>
      <c r="W480" s="205"/>
      <c r="X480" s="405" t="str">
        <f t="shared" si="51"/>
        <v/>
      </c>
      <c r="Y480" s="405"/>
      <c r="Z480" s="405"/>
      <c r="AA480" s="405"/>
      <c r="AB480" s="378" t="str">
        <f>IF(X480="","",SUM(X$474:X480))</f>
        <v/>
      </c>
      <c r="AC480" s="378"/>
      <c r="AD480" s="378"/>
      <c r="AE480" s="379"/>
    </row>
    <row r="481" spans="1:62" s="1" customFormat="1" ht="15.75" hidden="1" customHeight="1">
      <c r="A481" s="73" t="str">
        <f>IF(液状化L1の有無="×","×",IF(E481="","×",""))</f>
        <v>×</v>
      </c>
      <c r="E481" s="219" t="str">
        <f>E456</f>
        <v/>
      </c>
      <c r="F481" s="159"/>
      <c r="G481" s="159"/>
      <c r="H481" s="158">
        <f>H456</f>
        <v>0</v>
      </c>
      <c r="I481" s="158"/>
      <c r="J481" s="158"/>
      <c r="K481" s="404" t="str">
        <f>U302</f>
        <v/>
      </c>
      <c r="L481" s="159"/>
      <c r="M481" s="159"/>
      <c r="N481" s="159"/>
      <c r="O481" s="205" t="str">
        <f t="shared" si="50"/>
        <v/>
      </c>
      <c r="P481" s="205"/>
      <c r="Q481" s="205"/>
      <c r="R481" s="205"/>
      <c r="S481" s="205"/>
      <c r="T481" s="205" t="str">
        <f t="shared" si="52"/>
        <v/>
      </c>
      <c r="U481" s="205"/>
      <c r="V481" s="205"/>
      <c r="W481" s="205"/>
      <c r="X481" s="405" t="str">
        <f t="shared" si="51"/>
        <v/>
      </c>
      <c r="Y481" s="405"/>
      <c r="Z481" s="405"/>
      <c r="AA481" s="405"/>
      <c r="AB481" s="378" t="str">
        <f>IF(X481="","",SUM(X$474:X481))</f>
        <v/>
      </c>
      <c r="AC481" s="378"/>
      <c r="AD481" s="378"/>
      <c r="AE481" s="379"/>
    </row>
    <row r="482" spans="1:62" s="1" customFormat="1" ht="15.75" hidden="1" customHeight="1">
      <c r="A482" s="73" t="str">
        <f>IF(液状化L1の有無="×","×",IF(E482="","×",""))</f>
        <v>×</v>
      </c>
      <c r="E482" s="219" t="str">
        <f>E457</f>
        <v/>
      </c>
      <c r="F482" s="159"/>
      <c r="G482" s="159"/>
      <c r="H482" s="158">
        <f>H457</f>
        <v>0</v>
      </c>
      <c r="I482" s="158"/>
      <c r="J482" s="158"/>
      <c r="K482" s="404" t="str">
        <f>U303</f>
        <v/>
      </c>
      <c r="L482" s="159"/>
      <c r="M482" s="159"/>
      <c r="N482" s="159"/>
      <c r="O482" s="205" t="str">
        <f t="shared" si="50"/>
        <v/>
      </c>
      <c r="P482" s="205"/>
      <c r="Q482" s="205"/>
      <c r="R482" s="205"/>
      <c r="S482" s="205"/>
      <c r="T482" s="205" t="str">
        <f t="shared" si="52"/>
        <v/>
      </c>
      <c r="U482" s="205"/>
      <c r="V482" s="205"/>
      <c r="W482" s="205"/>
      <c r="X482" s="405" t="str">
        <f t="shared" si="51"/>
        <v/>
      </c>
      <c r="Y482" s="405"/>
      <c r="Z482" s="405"/>
      <c r="AA482" s="405"/>
      <c r="AB482" s="378" t="str">
        <f>IF(X482="","",SUM(X$474:X482))</f>
        <v/>
      </c>
      <c r="AC482" s="378"/>
      <c r="AD482" s="378"/>
      <c r="AE482" s="379"/>
    </row>
    <row r="483" spans="1:62" s="1" customFormat="1" ht="15.75" hidden="1" customHeight="1">
      <c r="A483" s="73" t="str">
        <f>IF(液状化L1の有無="×","×",IF(E483="","×",""))</f>
        <v>×</v>
      </c>
      <c r="E483" s="219" t="str">
        <f>E458</f>
        <v/>
      </c>
      <c r="F483" s="159"/>
      <c r="G483" s="159"/>
      <c r="H483" s="158">
        <f>H458</f>
        <v>0</v>
      </c>
      <c r="I483" s="158"/>
      <c r="J483" s="158"/>
      <c r="K483" s="404" t="str">
        <f>U304</f>
        <v/>
      </c>
      <c r="L483" s="159"/>
      <c r="M483" s="159"/>
      <c r="N483" s="159"/>
      <c r="O483" s="205" t="str">
        <f t="shared" si="50"/>
        <v/>
      </c>
      <c r="P483" s="205"/>
      <c r="Q483" s="205"/>
      <c r="R483" s="205"/>
      <c r="S483" s="205"/>
      <c r="T483" s="205" t="str">
        <f t="shared" si="52"/>
        <v/>
      </c>
      <c r="U483" s="205"/>
      <c r="V483" s="205"/>
      <c r="W483" s="205"/>
      <c r="X483" s="405" t="str">
        <f t="shared" si="51"/>
        <v/>
      </c>
      <c r="Y483" s="405"/>
      <c r="Z483" s="405"/>
      <c r="AA483" s="405"/>
      <c r="AB483" s="378" t="str">
        <f>IF(X483="","",SUM(X$474:X483))</f>
        <v/>
      </c>
      <c r="AC483" s="378"/>
      <c r="AD483" s="378"/>
      <c r="AE483" s="379"/>
    </row>
    <row r="484" spans="1:62" s="1" customFormat="1" ht="15.75" hidden="1" customHeight="1">
      <c r="A484" s="73" t="str">
        <f>IF(液状化L1の有無="×","×",IF(E484="","×",""))</f>
        <v>×</v>
      </c>
      <c r="E484" s="219" t="str">
        <f>E459</f>
        <v/>
      </c>
      <c r="F484" s="159"/>
      <c r="G484" s="159"/>
      <c r="H484" s="158">
        <f>H459</f>
        <v>0</v>
      </c>
      <c r="I484" s="158"/>
      <c r="J484" s="158"/>
      <c r="K484" s="404" t="str">
        <f>U305</f>
        <v/>
      </c>
      <c r="L484" s="159"/>
      <c r="M484" s="159"/>
      <c r="N484" s="159"/>
      <c r="O484" s="205" t="str">
        <f t="shared" si="50"/>
        <v/>
      </c>
      <c r="P484" s="205"/>
      <c r="Q484" s="205"/>
      <c r="R484" s="205"/>
      <c r="S484" s="205"/>
      <c r="T484" s="205" t="str">
        <f t="shared" si="52"/>
        <v/>
      </c>
      <c r="U484" s="205"/>
      <c r="V484" s="205"/>
      <c r="W484" s="205"/>
      <c r="X484" s="405" t="str">
        <f t="shared" si="51"/>
        <v/>
      </c>
      <c r="Y484" s="405"/>
      <c r="Z484" s="405"/>
      <c r="AA484" s="405"/>
      <c r="AB484" s="378" t="str">
        <f>IF(X484="","",SUM(X$474:X484))</f>
        <v/>
      </c>
      <c r="AC484" s="378"/>
      <c r="AD484" s="378"/>
      <c r="AE484" s="379"/>
    </row>
    <row r="485" spans="1:62" s="1" customFormat="1" ht="15.75" hidden="1" customHeight="1">
      <c r="A485" s="73" t="str">
        <f>IF(液状化L1の有無="×","×",IF(E485="","×",""))</f>
        <v>×</v>
      </c>
      <c r="E485" s="219" t="str">
        <f>E460</f>
        <v/>
      </c>
      <c r="F485" s="159"/>
      <c r="G485" s="159"/>
      <c r="H485" s="158">
        <f>H460</f>
        <v>0</v>
      </c>
      <c r="I485" s="158"/>
      <c r="J485" s="158"/>
      <c r="K485" s="404" t="str">
        <f>U306</f>
        <v/>
      </c>
      <c r="L485" s="159"/>
      <c r="M485" s="159"/>
      <c r="N485" s="159"/>
      <c r="O485" s="205" t="str">
        <f t="shared" si="50"/>
        <v/>
      </c>
      <c r="P485" s="205"/>
      <c r="Q485" s="205"/>
      <c r="R485" s="205"/>
      <c r="S485" s="205"/>
      <c r="T485" s="205" t="str">
        <f t="shared" si="52"/>
        <v/>
      </c>
      <c r="U485" s="205"/>
      <c r="V485" s="205"/>
      <c r="W485" s="205"/>
      <c r="X485" s="405" t="str">
        <f t="shared" si="51"/>
        <v/>
      </c>
      <c r="Y485" s="405"/>
      <c r="Z485" s="405"/>
      <c r="AA485" s="405"/>
      <c r="AB485" s="378" t="str">
        <f>IF(X485="","",SUM(X$474:X485))</f>
        <v/>
      </c>
      <c r="AC485" s="378"/>
      <c r="AD485" s="378"/>
      <c r="AE485" s="379"/>
    </row>
    <row r="486" spans="1:62" s="1" customFormat="1" ht="15.75" hidden="1" customHeight="1">
      <c r="A486" s="73" t="str">
        <f>IF(液状化L1の有無="×","×",IF(E486="","×",""))</f>
        <v>×</v>
      </c>
      <c r="E486" s="219" t="str">
        <f>E461</f>
        <v/>
      </c>
      <c r="F486" s="159"/>
      <c r="G486" s="159"/>
      <c r="H486" s="158">
        <f>H461</f>
        <v>0</v>
      </c>
      <c r="I486" s="158"/>
      <c r="J486" s="158"/>
      <c r="K486" s="404" t="str">
        <f>U307</f>
        <v/>
      </c>
      <c r="L486" s="159"/>
      <c r="M486" s="159"/>
      <c r="N486" s="159"/>
      <c r="O486" s="205" t="str">
        <f t="shared" si="50"/>
        <v/>
      </c>
      <c r="P486" s="205"/>
      <c r="Q486" s="205"/>
      <c r="R486" s="205"/>
      <c r="S486" s="205"/>
      <c r="T486" s="205" t="str">
        <f t="shared" si="52"/>
        <v/>
      </c>
      <c r="U486" s="205"/>
      <c r="V486" s="205"/>
      <c r="W486" s="205"/>
      <c r="X486" s="405" t="str">
        <f t="shared" si="51"/>
        <v/>
      </c>
      <c r="Y486" s="405"/>
      <c r="Z486" s="405"/>
      <c r="AA486" s="405"/>
      <c r="AB486" s="378" t="str">
        <f>IF(X486="","",SUM(X$474:X486))</f>
        <v/>
      </c>
      <c r="AC486" s="378"/>
      <c r="AD486" s="378"/>
      <c r="AE486" s="379"/>
    </row>
    <row r="487" spans="1:62" s="1" customFormat="1" ht="15.75" hidden="1" customHeight="1">
      <c r="A487" s="73" t="str">
        <f>IF(液状化L1の有無="×","×",IF(E487="","×",""))</f>
        <v>×</v>
      </c>
      <c r="E487" s="219" t="str">
        <f>E462</f>
        <v/>
      </c>
      <c r="F487" s="159"/>
      <c r="G487" s="159"/>
      <c r="H487" s="158">
        <f>H462</f>
        <v>0</v>
      </c>
      <c r="I487" s="158"/>
      <c r="J487" s="158"/>
      <c r="K487" s="404" t="str">
        <f>U308</f>
        <v/>
      </c>
      <c r="L487" s="159"/>
      <c r="M487" s="159"/>
      <c r="N487" s="159"/>
      <c r="O487" s="205" t="str">
        <f t="shared" si="50"/>
        <v/>
      </c>
      <c r="P487" s="205"/>
      <c r="Q487" s="205"/>
      <c r="R487" s="205"/>
      <c r="S487" s="205"/>
      <c r="T487" s="205" t="str">
        <f t="shared" si="52"/>
        <v/>
      </c>
      <c r="U487" s="205"/>
      <c r="V487" s="205"/>
      <c r="W487" s="205"/>
      <c r="X487" s="405" t="str">
        <f t="shared" si="51"/>
        <v/>
      </c>
      <c r="Y487" s="405"/>
      <c r="Z487" s="405"/>
      <c r="AA487" s="405"/>
      <c r="AB487" s="378" t="str">
        <f>IF(X487="","",SUM(X$474:X487))</f>
        <v/>
      </c>
      <c r="AC487" s="378"/>
      <c r="AD487" s="378"/>
      <c r="AE487" s="379"/>
    </row>
    <row r="488" spans="1:62" s="1" customFormat="1" ht="15.75" hidden="1" customHeight="1">
      <c r="A488" s="73" t="str">
        <f>IF(液状化L1の有無="×","×",IF(E488="","×",""))</f>
        <v>×</v>
      </c>
      <c r="E488" s="219" t="str">
        <f>E463</f>
        <v/>
      </c>
      <c r="F488" s="159"/>
      <c r="G488" s="159"/>
      <c r="H488" s="158">
        <f>H463</f>
        <v>0</v>
      </c>
      <c r="I488" s="158"/>
      <c r="J488" s="158"/>
      <c r="K488" s="404" t="str">
        <f>U309</f>
        <v/>
      </c>
      <c r="L488" s="159"/>
      <c r="M488" s="159"/>
      <c r="N488" s="159"/>
      <c r="O488" s="205" t="str">
        <f t="shared" si="50"/>
        <v/>
      </c>
      <c r="P488" s="205"/>
      <c r="Q488" s="205"/>
      <c r="R488" s="205"/>
      <c r="S488" s="205"/>
      <c r="T488" s="205" t="str">
        <f t="shared" si="52"/>
        <v/>
      </c>
      <c r="U488" s="205"/>
      <c r="V488" s="205"/>
      <c r="W488" s="205"/>
      <c r="X488" s="405" t="str">
        <f t="shared" si="51"/>
        <v/>
      </c>
      <c r="Y488" s="405"/>
      <c r="Z488" s="405"/>
      <c r="AA488" s="405"/>
      <c r="AB488" s="378" t="str">
        <f>IF(X488="","",SUM(X$474:X488))</f>
        <v/>
      </c>
      <c r="AC488" s="378"/>
      <c r="AD488" s="378"/>
      <c r="AE488" s="379"/>
    </row>
    <row r="489" spans="1:62" s="1" customFormat="1" ht="15.75" hidden="1" customHeight="1">
      <c r="A489" s="73" t="str">
        <f>IF(液状化L1の有無="×","×",IF(E489="","×",""))</f>
        <v>×</v>
      </c>
      <c r="E489" s="392" t="str">
        <f>E464</f>
        <v/>
      </c>
      <c r="F489" s="154"/>
      <c r="G489" s="154"/>
      <c r="H489" s="153">
        <f>H464</f>
        <v>0</v>
      </c>
      <c r="I489" s="153"/>
      <c r="J489" s="153"/>
      <c r="K489" s="407" t="str">
        <f>U310</f>
        <v/>
      </c>
      <c r="L489" s="154"/>
      <c r="M489" s="154"/>
      <c r="N489" s="154"/>
      <c r="O489" s="208" t="str">
        <f t="shared" si="50"/>
        <v/>
      </c>
      <c r="P489" s="208"/>
      <c r="Q489" s="208"/>
      <c r="R489" s="208"/>
      <c r="S489" s="208"/>
      <c r="T489" s="208" t="str">
        <f t="shared" si="52"/>
        <v/>
      </c>
      <c r="U489" s="208"/>
      <c r="V489" s="208"/>
      <c r="W489" s="208"/>
      <c r="X489" s="408" t="str">
        <f t="shared" si="51"/>
        <v/>
      </c>
      <c r="Y489" s="408"/>
      <c r="Z489" s="408"/>
      <c r="AA489" s="408"/>
      <c r="AB489" s="382" t="str">
        <f>IF(X489="","",SUM(X$474:X489))</f>
        <v/>
      </c>
      <c r="AC489" s="382"/>
      <c r="AD489" s="382"/>
      <c r="AE489" s="383"/>
    </row>
    <row r="490" spans="1:62" ht="15.75" hidden="1" customHeight="1">
      <c r="A490" s="73" t="str">
        <f>IF(液状化L1の有無="","","×")</f>
        <v>×</v>
      </c>
      <c r="E490" s="76"/>
      <c r="S490" s="2" t="s">
        <v>127</v>
      </c>
      <c r="T490" s="76">
        <v>4</v>
      </c>
      <c r="U490" s="181" t="s">
        <v>149</v>
      </c>
      <c r="V490" s="181"/>
      <c r="W490" s="76" t="s">
        <v>27</v>
      </c>
      <c r="X490" s="220">
        <f>X465</f>
        <v>4398464</v>
      </c>
      <c r="Y490" s="220"/>
      <c r="Z490" s="220"/>
      <c r="AA490" s="220"/>
      <c r="AB490" s="220"/>
      <c r="AC490" s="211" t="s">
        <v>166</v>
      </c>
      <c r="AD490" s="211"/>
      <c r="AE490" s="76" t="s">
        <v>158</v>
      </c>
      <c r="AJ490" s="106"/>
      <c r="AK490" s="106"/>
      <c r="AL490" s="106"/>
      <c r="AM490" s="106"/>
      <c r="BG490" s="76"/>
      <c r="BH490" s="76"/>
      <c r="BI490" s="76"/>
      <c r="BJ490" s="76"/>
    </row>
    <row r="491" spans="1:62" ht="15.75" hidden="1" customHeight="1">
      <c r="A491" s="73" t="str">
        <f>IF(液状化L1の有無="","","×")</f>
        <v>×</v>
      </c>
      <c r="E491" s="76"/>
      <c r="S491" s="2"/>
      <c r="X491" s="95"/>
      <c r="Y491" s="95"/>
      <c r="Z491" s="95"/>
      <c r="AA491" s="95"/>
      <c r="AB491" s="95"/>
      <c r="AC491" s="78"/>
      <c r="AD491" s="78"/>
      <c r="AJ491" s="106"/>
      <c r="AK491" s="106"/>
      <c r="AL491" s="106"/>
      <c r="AM491" s="106"/>
      <c r="BG491" s="76"/>
      <c r="BH491" s="76"/>
      <c r="BI491" s="76"/>
      <c r="BJ491" s="76"/>
    </row>
    <row r="492" spans="1:62" ht="15.75" hidden="1" customHeight="1">
      <c r="A492" s="73" t="str">
        <f>IF(液状化L1の有無="","","×")</f>
        <v>×</v>
      </c>
      <c r="E492" s="89" t="s">
        <v>506</v>
      </c>
      <c r="S492" s="2"/>
      <c r="X492" s="95"/>
      <c r="Y492" s="95"/>
      <c r="Z492" s="95"/>
      <c r="AA492" s="95"/>
      <c r="AB492" s="95"/>
      <c r="AC492" s="78"/>
      <c r="AD492" s="78"/>
      <c r="AJ492" s="106"/>
      <c r="AK492" s="106"/>
      <c r="AL492" s="106"/>
      <c r="AM492" s="106"/>
      <c r="BG492" s="76"/>
      <c r="BH492" s="76"/>
      <c r="BI492" s="76"/>
      <c r="BJ492" s="76"/>
    </row>
    <row r="493" spans="1:62" ht="15.75" hidden="1" customHeight="1">
      <c r="A493" s="73" t="str">
        <f>IF(液状化L1の有無="","","×")</f>
        <v>×</v>
      </c>
      <c r="E493" s="181" t="s">
        <v>507</v>
      </c>
      <c r="F493" s="181"/>
      <c r="G493" s="76" t="s">
        <v>508</v>
      </c>
      <c r="H493" s="406">
        <v>4.2199997901916504</v>
      </c>
      <c r="I493" s="406"/>
      <c r="J493" s="406"/>
      <c r="K493" s="76" t="s">
        <v>509</v>
      </c>
      <c r="S493" s="2"/>
      <c r="X493" s="95"/>
      <c r="Y493" s="95"/>
      <c r="Z493" s="95"/>
      <c r="AA493" s="95"/>
      <c r="AB493" s="95"/>
      <c r="AC493" s="78"/>
      <c r="AD493" s="78"/>
      <c r="AJ493" s="106"/>
      <c r="AK493" s="106"/>
      <c r="AL493" s="106"/>
      <c r="AM493" s="106"/>
      <c r="BG493" s="76"/>
      <c r="BH493" s="76"/>
      <c r="BI493" s="76"/>
      <c r="BJ493" s="76"/>
    </row>
    <row r="494" spans="1:62" s="82" customFormat="1" ht="15.75" customHeight="1">
      <c r="C494" s="96"/>
      <c r="H494" s="107"/>
      <c r="I494" s="107"/>
      <c r="J494" s="107"/>
      <c r="S494" s="97"/>
      <c r="X494" s="98"/>
      <c r="Y494" s="98"/>
      <c r="Z494" s="98"/>
      <c r="AA494" s="98"/>
      <c r="AB494" s="98"/>
      <c r="AC494" s="99"/>
      <c r="AD494" s="99"/>
      <c r="AJ494" s="108"/>
      <c r="AK494" s="108"/>
      <c r="AL494" s="108"/>
      <c r="AM494" s="108"/>
      <c r="AN494" s="108"/>
      <c r="AO494" s="108"/>
      <c r="AP494" s="108"/>
      <c r="AQ494" s="108"/>
      <c r="AR494" s="108"/>
      <c r="AS494" s="108"/>
      <c r="AT494" s="108"/>
      <c r="AU494" s="108"/>
      <c r="AV494" s="108"/>
      <c r="AW494" s="108"/>
      <c r="AX494" s="108"/>
      <c r="AY494" s="108"/>
      <c r="AZ494" s="108"/>
      <c r="BA494" s="108"/>
      <c r="BB494" s="108"/>
      <c r="BC494" s="108"/>
      <c r="BD494" s="108"/>
      <c r="BE494" s="108"/>
      <c r="BF494" s="108"/>
    </row>
    <row r="495" spans="1:62" ht="15.75" customHeight="1">
      <c r="E495" s="76"/>
      <c r="AJ495" s="106"/>
      <c r="AK495" s="106"/>
      <c r="AL495" s="106"/>
      <c r="AM495" s="106"/>
      <c r="BG495" s="76"/>
      <c r="BH495" s="76"/>
      <c r="BI495" s="76"/>
      <c r="BJ495" s="76"/>
    </row>
    <row r="496" spans="1:62" s="1" customFormat="1" ht="15.75" hidden="1" customHeight="1">
      <c r="A496" s="73" t="str">
        <f>IF(液状化L2の有無="","","×")</f>
        <v>×</v>
      </c>
      <c r="E496" s="64" t="s">
        <v>551</v>
      </c>
      <c r="F496" s="64"/>
      <c r="G496" s="64"/>
      <c r="H496" s="64"/>
      <c r="I496" s="64"/>
      <c r="J496" s="64"/>
      <c r="K496" s="64"/>
      <c r="L496" s="64"/>
      <c r="M496" s="64"/>
      <c r="N496" s="64"/>
      <c r="O496" s="64"/>
      <c r="P496" s="64"/>
      <c r="Q496" s="64"/>
      <c r="R496" s="64"/>
      <c r="S496" s="64"/>
      <c r="T496" s="64"/>
      <c r="U496" s="64"/>
      <c r="V496" s="64"/>
      <c r="W496" s="64"/>
      <c r="X496" s="64"/>
      <c r="Y496" s="64"/>
      <c r="Z496" s="64"/>
      <c r="AA496" s="64"/>
      <c r="AB496" s="64"/>
      <c r="AC496" s="64"/>
      <c r="AD496" s="64"/>
      <c r="AE496" s="64"/>
    </row>
    <row r="497" spans="1:31" s="1" customFormat="1" ht="15.75" hidden="1" customHeight="1">
      <c r="A497" s="73" t="str">
        <f>IF(液状化L2の有無="","","×")</f>
        <v>×</v>
      </c>
      <c r="E497" s="185" t="s">
        <v>78</v>
      </c>
      <c r="F497" s="146"/>
      <c r="G497" s="146"/>
      <c r="H497" s="188" t="s">
        <v>159</v>
      </c>
      <c r="I497" s="217"/>
      <c r="J497" s="217"/>
      <c r="K497" s="146" t="s">
        <v>160</v>
      </c>
      <c r="L497" s="146"/>
      <c r="M497" s="146"/>
      <c r="N497" s="146"/>
      <c r="O497" s="146" t="s">
        <v>164</v>
      </c>
      <c r="P497" s="146"/>
      <c r="Q497" s="146"/>
      <c r="R497" s="146"/>
      <c r="S497" s="146"/>
      <c r="T497" s="146" t="s">
        <v>161</v>
      </c>
      <c r="U497" s="146"/>
      <c r="V497" s="146"/>
      <c r="W497" s="146"/>
      <c r="X497" s="146" t="s">
        <v>162</v>
      </c>
      <c r="Y497" s="146"/>
      <c r="Z497" s="146"/>
      <c r="AA497" s="146"/>
      <c r="AB497" s="146" t="s">
        <v>163</v>
      </c>
      <c r="AC497" s="146"/>
      <c r="AD497" s="146"/>
      <c r="AE497" s="221"/>
    </row>
    <row r="498" spans="1:31" s="1" customFormat="1" ht="15.75" hidden="1" customHeight="1">
      <c r="A498" s="73" t="str">
        <f>IF(液状化L2の有無="","","×")</f>
        <v>×</v>
      </c>
      <c r="E498" s="186"/>
      <c r="F498" s="187"/>
      <c r="G498" s="187"/>
      <c r="H498" s="218"/>
      <c r="I498" s="218"/>
      <c r="J498" s="218"/>
      <c r="K498" s="187"/>
      <c r="L498" s="187"/>
      <c r="M498" s="187"/>
      <c r="N498" s="187"/>
      <c r="O498" s="187"/>
      <c r="P498" s="187"/>
      <c r="Q498" s="187"/>
      <c r="R498" s="187"/>
      <c r="S498" s="187"/>
      <c r="T498" s="187"/>
      <c r="U498" s="187"/>
      <c r="V498" s="187"/>
      <c r="W498" s="187"/>
      <c r="X498" s="187"/>
      <c r="Y498" s="187"/>
      <c r="Z498" s="187"/>
      <c r="AA498" s="187"/>
      <c r="AB498" s="187"/>
      <c r="AC498" s="187"/>
      <c r="AD498" s="187"/>
      <c r="AE498" s="222"/>
    </row>
    <row r="499" spans="1:31" s="1" customFormat="1" ht="15.75" hidden="1" customHeight="1">
      <c r="A499" s="73" t="str">
        <f>IF(液状化L2の有無="×","×",IF(E499="","×",""))</f>
        <v>×</v>
      </c>
      <c r="E499" s="224">
        <f>E474</f>
        <v>3</v>
      </c>
      <c r="F499" s="165"/>
      <c r="G499" s="165"/>
      <c r="H499" s="149">
        <f>H474</f>
        <v>3</v>
      </c>
      <c r="I499" s="149"/>
      <c r="J499" s="149"/>
      <c r="K499" s="395">
        <f>U317</f>
        <v>11060</v>
      </c>
      <c r="L499" s="165"/>
      <c r="M499" s="165"/>
      <c r="N499" s="165"/>
      <c r="O499" s="165">
        <f>IF(K499="","",ROUND(K499/$X$515,6))</f>
        <v>2.5149999999999999E-3</v>
      </c>
      <c r="P499" s="165"/>
      <c r="Q499" s="165"/>
      <c r="R499" s="165"/>
      <c r="S499" s="165"/>
      <c r="T499" s="165">
        <f>IF(O499="","",ROUND(O499^0.25,4))</f>
        <v>0.22389999999999999</v>
      </c>
      <c r="U499" s="165"/>
      <c r="V499" s="165"/>
      <c r="W499" s="165"/>
      <c r="X499" s="403">
        <f t="shared" ref="X499:X514" si="53">IF(T499="","",ROUND(T499*H499,4))</f>
        <v>0.67169999999999996</v>
      </c>
      <c r="Y499" s="403"/>
      <c r="Z499" s="403"/>
      <c r="AA499" s="403"/>
      <c r="AB499" s="385">
        <f>IF(X499="","",SUM(X$499:X499))</f>
        <v>0.67169999999999996</v>
      </c>
      <c r="AC499" s="385"/>
      <c r="AD499" s="385"/>
      <c r="AE499" s="386"/>
    </row>
    <row r="500" spans="1:31" s="1" customFormat="1" ht="15.75" hidden="1" customHeight="1">
      <c r="A500" s="73" t="str">
        <f>IF(液状化L2の有無="×","×",IF(E500="","×",""))</f>
        <v>×</v>
      </c>
      <c r="E500" s="204">
        <f>E475</f>
        <v>4</v>
      </c>
      <c r="F500" s="205"/>
      <c r="G500" s="205"/>
      <c r="H500" s="145">
        <f>H475</f>
        <v>5</v>
      </c>
      <c r="I500" s="145"/>
      <c r="J500" s="145"/>
      <c r="K500" s="398">
        <f>U318</f>
        <v>22720</v>
      </c>
      <c r="L500" s="205"/>
      <c r="M500" s="205"/>
      <c r="N500" s="205"/>
      <c r="O500" s="205">
        <f t="shared" ref="O500:O514" si="54">IF(K500="","",ROUND(K500/$X$515,6))</f>
        <v>5.1650000000000003E-3</v>
      </c>
      <c r="P500" s="205"/>
      <c r="Q500" s="205"/>
      <c r="R500" s="205"/>
      <c r="S500" s="205"/>
      <c r="T500" s="205">
        <f t="shared" ref="T500:T514" si="55">IF(O500="","",ROUND(O500^0.25,4))</f>
        <v>0.2681</v>
      </c>
      <c r="U500" s="205"/>
      <c r="V500" s="205"/>
      <c r="W500" s="205"/>
      <c r="X500" s="405">
        <f t="shared" si="53"/>
        <v>1.3405</v>
      </c>
      <c r="Y500" s="405"/>
      <c r="Z500" s="405"/>
      <c r="AA500" s="405"/>
      <c r="AB500" s="378">
        <f>IF(X500="","",SUM(X$499:X500))</f>
        <v>2.0122</v>
      </c>
      <c r="AC500" s="378"/>
      <c r="AD500" s="378"/>
      <c r="AE500" s="379"/>
    </row>
    <row r="501" spans="1:31" s="1" customFormat="1" ht="15.75" hidden="1" customHeight="1">
      <c r="A501" s="73" t="str">
        <f>IF(液状化L2の有無="×","×",IF(E501="","×",""))</f>
        <v>×</v>
      </c>
      <c r="E501" s="204">
        <f>E476</f>
        <v>5</v>
      </c>
      <c r="F501" s="205"/>
      <c r="G501" s="205"/>
      <c r="H501" s="145">
        <f>H476</f>
        <v>8</v>
      </c>
      <c r="I501" s="145"/>
      <c r="J501" s="145"/>
      <c r="K501" s="398">
        <f>U319</f>
        <v>25850</v>
      </c>
      <c r="L501" s="205"/>
      <c r="M501" s="205"/>
      <c r="N501" s="205"/>
      <c r="O501" s="205">
        <f t="shared" si="54"/>
        <v>5.8770000000000003E-3</v>
      </c>
      <c r="P501" s="205"/>
      <c r="Q501" s="205"/>
      <c r="R501" s="205"/>
      <c r="S501" s="205"/>
      <c r="T501" s="205">
        <f t="shared" si="55"/>
        <v>0.27689999999999998</v>
      </c>
      <c r="U501" s="205"/>
      <c r="V501" s="205"/>
      <c r="W501" s="205"/>
      <c r="X501" s="405">
        <f t="shared" si="53"/>
        <v>2.2151999999999998</v>
      </c>
      <c r="Y501" s="405"/>
      <c r="Z501" s="405"/>
      <c r="AA501" s="405"/>
      <c r="AB501" s="378">
        <f>IF(X501="","",SUM(X$499:X501))</f>
        <v>4.2273999999999994</v>
      </c>
      <c r="AC501" s="378"/>
      <c r="AD501" s="378"/>
      <c r="AE501" s="379"/>
    </row>
    <row r="502" spans="1:31" s="1" customFormat="1" ht="15.75" hidden="1" customHeight="1">
      <c r="A502" s="73" t="str">
        <f>IF(液状化L2の有無="×","×",IF(E502="","×",""))</f>
        <v>×</v>
      </c>
      <c r="E502" s="204">
        <f>E477</f>
        <v>6</v>
      </c>
      <c r="F502" s="205"/>
      <c r="G502" s="205"/>
      <c r="H502" s="145">
        <f>H477</f>
        <v>4.5</v>
      </c>
      <c r="I502" s="145"/>
      <c r="J502" s="145"/>
      <c r="K502" s="398">
        <f>U320</f>
        <v>36860</v>
      </c>
      <c r="L502" s="205"/>
      <c r="M502" s="205"/>
      <c r="N502" s="205"/>
      <c r="O502" s="205">
        <f t="shared" si="54"/>
        <v>8.3800000000000003E-3</v>
      </c>
      <c r="P502" s="205"/>
      <c r="Q502" s="205"/>
      <c r="R502" s="205"/>
      <c r="S502" s="205"/>
      <c r="T502" s="205">
        <f t="shared" si="55"/>
        <v>0.30259999999999998</v>
      </c>
      <c r="U502" s="205"/>
      <c r="V502" s="205"/>
      <c r="W502" s="205"/>
      <c r="X502" s="405">
        <f t="shared" si="53"/>
        <v>1.3616999999999999</v>
      </c>
      <c r="Y502" s="405"/>
      <c r="Z502" s="405"/>
      <c r="AA502" s="405"/>
      <c r="AB502" s="378">
        <f>IF(X502="","",SUM(X$499:X502))</f>
        <v>5.5890999999999993</v>
      </c>
      <c r="AC502" s="378"/>
      <c r="AD502" s="378"/>
      <c r="AE502" s="379"/>
    </row>
    <row r="503" spans="1:31" s="1" customFormat="1" ht="15.75" hidden="1" customHeight="1">
      <c r="A503" s="73" t="str">
        <f>IF(液状化L2の有無="×","×",IF(E503="","×",""))</f>
        <v>×</v>
      </c>
      <c r="E503" s="204">
        <f>E478</f>
        <v>7</v>
      </c>
      <c r="F503" s="205"/>
      <c r="G503" s="205"/>
      <c r="H503" s="145">
        <f>H478</f>
        <v>0.5</v>
      </c>
      <c r="I503" s="145"/>
      <c r="J503" s="145"/>
      <c r="K503" s="398">
        <f>U321</f>
        <v>72830</v>
      </c>
      <c r="L503" s="205"/>
      <c r="M503" s="205"/>
      <c r="N503" s="205"/>
      <c r="O503" s="205">
        <f t="shared" si="54"/>
        <v>1.6558E-2</v>
      </c>
      <c r="P503" s="205"/>
      <c r="Q503" s="205"/>
      <c r="R503" s="205"/>
      <c r="S503" s="205"/>
      <c r="T503" s="205">
        <f t="shared" si="55"/>
        <v>0.35870000000000002</v>
      </c>
      <c r="U503" s="205"/>
      <c r="V503" s="205"/>
      <c r="W503" s="205"/>
      <c r="X503" s="405">
        <f t="shared" si="53"/>
        <v>0.1794</v>
      </c>
      <c r="Y503" s="405"/>
      <c r="Z503" s="405"/>
      <c r="AA503" s="405"/>
      <c r="AB503" s="378">
        <f>IF(X503="","",SUM(X$499:X503))</f>
        <v>5.7684999999999995</v>
      </c>
      <c r="AC503" s="378"/>
      <c r="AD503" s="378"/>
      <c r="AE503" s="379"/>
    </row>
    <row r="504" spans="1:31" s="1" customFormat="1" ht="15.75" hidden="1" customHeight="1">
      <c r="A504" s="73" t="str">
        <f>IF(液状化L2の有無="×","×",IF(E504="","×",""))</f>
        <v>×</v>
      </c>
      <c r="E504" s="204" t="str">
        <f>E479</f>
        <v/>
      </c>
      <c r="F504" s="205"/>
      <c r="G504" s="205"/>
      <c r="H504" s="145">
        <f>H479</f>
        <v>0</v>
      </c>
      <c r="I504" s="145"/>
      <c r="J504" s="145"/>
      <c r="K504" s="398" t="str">
        <f>U322</f>
        <v/>
      </c>
      <c r="L504" s="205"/>
      <c r="M504" s="205"/>
      <c r="N504" s="205"/>
      <c r="O504" s="205" t="str">
        <f t="shared" si="54"/>
        <v/>
      </c>
      <c r="P504" s="205"/>
      <c r="Q504" s="205"/>
      <c r="R504" s="205"/>
      <c r="S504" s="205"/>
      <c r="T504" s="205" t="str">
        <f t="shared" si="55"/>
        <v/>
      </c>
      <c r="U504" s="205"/>
      <c r="V504" s="205"/>
      <c r="W504" s="205"/>
      <c r="X504" s="405" t="str">
        <f t="shared" si="53"/>
        <v/>
      </c>
      <c r="Y504" s="405"/>
      <c r="Z504" s="405"/>
      <c r="AA504" s="405"/>
      <c r="AB504" s="378" t="str">
        <f>IF(X504="","",SUM(X$499:X504))</f>
        <v/>
      </c>
      <c r="AC504" s="378"/>
      <c r="AD504" s="378"/>
      <c r="AE504" s="379"/>
    </row>
    <row r="505" spans="1:31" s="1" customFormat="1" ht="15.75" hidden="1" customHeight="1">
      <c r="A505" s="73" t="str">
        <f>IF(液状化L2の有無="×","×",IF(E505="","×",""))</f>
        <v>×</v>
      </c>
      <c r="E505" s="204" t="str">
        <f>E480</f>
        <v/>
      </c>
      <c r="F505" s="205"/>
      <c r="G505" s="205"/>
      <c r="H505" s="145">
        <f>H480</f>
        <v>0</v>
      </c>
      <c r="I505" s="145"/>
      <c r="J505" s="145"/>
      <c r="K505" s="398" t="str">
        <f>U323</f>
        <v/>
      </c>
      <c r="L505" s="205"/>
      <c r="M505" s="205"/>
      <c r="N505" s="205"/>
      <c r="O505" s="205" t="str">
        <f t="shared" si="54"/>
        <v/>
      </c>
      <c r="P505" s="205"/>
      <c r="Q505" s="205"/>
      <c r="R505" s="205"/>
      <c r="S505" s="205"/>
      <c r="T505" s="205" t="str">
        <f t="shared" si="55"/>
        <v/>
      </c>
      <c r="U505" s="205"/>
      <c r="V505" s="205"/>
      <c r="W505" s="205"/>
      <c r="X505" s="405" t="str">
        <f t="shared" si="53"/>
        <v/>
      </c>
      <c r="Y505" s="405"/>
      <c r="Z505" s="405"/>
      <c r="AA505" s="405"/>
      <c r="AB505" s="378" t="str">
        <f>IF(X505="","",SUM(X$499:X505))</f>
        <v/>
      </c>
      <c r="AC505" s="378"/>
      <c r="AD505" s="378"/>
      <c r="AE505" s="379"/>
    </row>
    <row r="506" spans="1:31" s="1" customFormat="1" ht="15.75" hidden="1" customHeight="1">
      <c r="A506" s="73" t="str">
        <f>IF(液状化L2の有無="×","×",IF(E506="","×",""))</f>
        <v>×</v>
      </c>
      <c r="E506" s="204" t="str">
        <f>E481</f>
        <v/>
      </c>
      <c r="F506" s="205"/>
      <c r="G506" s="205"/>
      <c r="H506" s="145">
        <f>H481</f>
        <v>0</v>
      </c>
      <c r="I506" s="145"/>
      <c r="J506" s="145"/>
      <c r="K506" s="398" t="str">
        <f>U324</f>
        <v/>
      </c>
      <c r="L506" s="205"/>
      <c r="M506" s="205"/>
      <c r="N506" s="205"/>
      <c r="O506" s="205" t="str">
        <f t="shared" si="54"/>
        <v/>
      </c>
      <c r="P506" s="205"/>
      <c r="Q506" s="205"/>
      <c r="R506" s="205"/>
      <c r="S506" s="205"/>
      <c r="T506" s="205" t="str">
        <f t="shared" si="55"/>
        <v/>
      </c>
      <c r="U506" s="205"/>
      <c r="V506" s="205"/>
      <c r="W506" s="205"/>
      <c r="X506" s="405" t="str">
        <f t="shared" si="53"/>
        <v/>
      </c>
      <c r="Y506" s="405"/>
      <c r="Z506" s="405"/>
      <c r="AA506" s="405"/>
      <c r="AB506" s="378" t="str">
        <f>IF(X506="","",SUM(X$499:X506))</f>
        <v/>
      </c>
      <c r="AC506" s="378"/>
      <c r="AD506" s="378"/>
      <c r="AE506" s="379"/>
    </row>
    <row r="507" spans="1:31" s="1" customFormat="1" ht="15.75" hidden="1" customHeight="1">
      <c r="A507" s="73" t="str">
        <f>IF(液状化L2の有無="×","×",IF(E507="","×",""))</f>
        <v>×</v>
      </c>
      <c r="E507" s="204" t="str">
        <f>E482</f>
        <v/>
      </c>
      <c r="F507" s="205"/>
      <c r="G507" s="205"/>
      <c r="H507" s="145">
        <f>H482</f>
        <v>0</v>
      </c>
      <c r="I507" s="145"/>
      <c r="J507" s="145"/>
      <c r="K507" s="398" t="str">
        <f>U325</f>
        <v/>
      </c>
      <c r="L507" s="205"/>
      <c r="M507" s="205"/>
      <c r="N507" s="205"/>
      <c r="O507" s="205" t="str">
        <f t="shared" si="54"/>
        <v/>
      </c>
      <c r="P507" s="205"/>
      <c r="Q507" s="205"/>
      <c r="R507" s="205"/>
      <c r="S507" s="205"/>
      <c r="T507" s="205" t="str">
        <f t="shared" si="55"/>
        <v/>
      </c>
      <c r="U507" s="205"/>
      <c r="V507" s="205"/>
      <c r="W507" s="205"/>
      <c r="X507" s="405" t="str">
        <f t="shared" si="53"/>
        <v/>
      </c>
      <c r="Y507" s="405"/>
      <c r="Z507" s="405"/>
      <c r="AA507" s="405"/>
      <c r="AB507" s="378" t="str">
        <f>IF(X507="","",SUM(X$499:X507))</f>
        <v/>
      </c>
      <c r="AC507" s="378"/>
      <c r="AD507" s="378"/>
      <c r="AE507" s="379"/>
    </row>
    <row r="508" spans="1:31" s="1" customFormat="1" ht="15.75" hidden="1" customHeight="1">
      <c r="A508" s="73" t="str">
        <f>IF(液状化L2の有無="×","×",IF(E508="","×",""))</f>
        <v>×</v>
      </c>
      <c r="E508" s="204" t="str">
        <f>E483</f>
        <v/>
      </c>
      <c r="F508" s="205"/>
      <c r="G508" s="205"/>
      <c r="H508" s="145">
        <f>H483</f>
        <v>0</v>
      </c>
      <c r="I508" s="145"/>
      <c r="J508" s="145"/>
      <c r="K508" s="398" t="str">
        <f>U326</f>
        <v/>
      </c>
      <c r="L508" s="205"/>
      <c r="M508" s="205"/>
      <c r="N508" s="205"/>
      <c r="O508" s="205" t="str">
        <f t="shared" si="54"/>
        <v/>
      </c>
      <c r="P508" s="205"/>
      <c r="Q508" s="205"/>
      <c r="R508" s="205"/>
      <c r="S508" s="205"/>
      <c r="T508" s="205" t="str">
        <f t="shared" si="55"/>
        <v/>
      </c>
      <c r="U508" s="205"/>
      <c r="V508" s="205"/>
      <c r="W508" s="205"/>
      <c r="X508" s="405" t="str">
        <f t="shared" si="53"/>
        <v/>
      </c>
      <c r="Y508" s="405"/>
      <c r="Z508" s="405"/>
      <c r="AA508" s="405"/>
      <c r="AB508" s="378" t="str">
        <f>IF(X508="","",SUM(X$499:X508))</f>
        <v/>
      </c>
      <c r="AC508" s="378"/>
      <c r="AD508" s="378"/>
      <c r="AE508" s="379"/>
    </row>
    <row r="509" spans="1:31" s="1" customFormat="1" ht="15.75" hidden="1" customHeight="1">
      <c r="A509" s="73" t="str">
        <f>IF(液状化L2の有無="×","×",IF(E509="","×",""))</f>
        <v>×</v>
      </c>
      <c r="E509" s="204" t="str">
        <f>E484</f>
        <v/>
      </c>
      <c r="F509" s="205"/>
      <c r="G509" s="205"/>
      <c r="H509" s="145">
        <f>H484</f>
        <v>0</v>
      </c>
      <c r="I509" s="145"/>
      <c r="J509" s="145"/>
      <c r="K509" s="398" t="str">
        <f>U327</f>
        <v/>
      </c>
      <c r="L509" s="205"/>
      <c r="M509" s="205"/>
      <c r="N509" s="205"/>
      <c r="O509" s="205" t="str">
        <f t="shared" si="54"/>
        <v/>
      </c>
      <c r="P509" s="205"/>
      <c r="Q509" s="205"/>
      <c r="R509" s="205"/>
      <c r="S509" s="205"/>
      <c r="T509" s="205" t="str">
        <f t="shared" si="55"/>
        <v/>
      </c>
      <c r="U509" s="205"/>
      <c r="V509" s="205"/>
      <c r="W509" s="205"/>
      <c r="X509" s="405" t="str">
        <f t="shared" si="53"/>
        <v/>
      </c>
      <c r="Y509" s="405"/>
      <c r="Z509" s="405"/>
      <c r="AA509" s="405"/>
      <c r="AB509" s="378" t="str">
        <f>IF(X509="","",SUM(X$499:X509))</f>
        <v/>
      </c>
      <c r="AC509" s="378"/>
      <c r="AD509" s="378"/>
      <c r="AE509" s="379"/>
    </row>
    <row r="510" spans="1:31" s="1" customFormat="1" ht="15.75" hidden="1" customHeight="1">
      <c r="A510" s="73" t="str">
        <f>IF(液状化L2の有無="×","×",IF(E510="","×",""))</f>
        <v>×</v>
      </c>
      <c r="E510" s="204" t="str">
        <f>E485</f>
        <v/>
      </c>
      <c r="F510" s="205"/>
      <c r="G510" s="205"/>
      <c r="H510" s="145">
        <f>H485</f>
        <v>0</v>
      </c>
      <c r="I510" s="145"/>
      <c r="J510" s="145"/>
      <c r="K510" s="398" t="str">
        <f>U328</f>
        <v/>
      </c>
      <c r="L510" s="205"/>
      <c r="M510" s="205"/>
      <c r="N510" s="205"/>
      <c r="O510" s="205" t="str">
        <f t="shared" si="54"/>
        <v/>
      </c>
      <c r="P510" s="205"/>
      <c r="Q510" s="205"/>
      <c r="R510" s="205"/>
      <c r="S510" s="205"/>
      <c r="T510" s="205" t="str">
        <f t="shared" si="55"/>
        <v/>
      </c>
      <c r="U510" s="205"/>
      <c r="V510" s="205"/>
      <c r="W510" s="205"/>
      <c r="X510" s="405" t="str">
        <f t="shared" si="53"/>
        <v/>
      </c>
      <c r="Y510" s="405"/>
      <c r="Z510" s="405"/>
      <c r="AA510" s="405"/>
      <c r="AB510" s="378" t="str">
        <f>IF(X510="","",SUM(X$499:X510))</f>
        <v/>
      </c>
      <c r="AC510" s="378"/>
      <c r="AD510" s="378"/>
      <c r="AE510" s="379"/>
    </row>
    <row r="511" spans="1:31" s="1" customFormat="1" ht="15.75" hidden="1" customHeight="1">
      <c r="A511" s="73" t="str">
        <f>IF(液状化L2の有無="×","×",IF(E511="","×",""))</f>
        <v>×</v>
      </c>
      <c r="E511" s="204" t="str">
        <f>E486</f>
        <v/>
      </c>
      <c r="F511" s="205"/>
      <c r="G511" s="205"/>
      <c r="H511" s="145">
        <f>H486</f>
        <v>0</v>
      </c>
      <c r="I511" s="145"/>
      <c r="J511" s="145"/>
      <c r="K511" s="398" t="str">
        <f>U329</f>
        <v/>
      </c>
      <c r="L511" s="205"/>
      <c r="M511" s="205"/>
      <c r="N511" s="205"/>
      <c r="O511" s="205" t="str">
        <f t="shared" si="54"/>
        <v/>
      </c>
      <c r="P511" s="205"/>
      <c r="Q511" s="205"/>
      <c r="R511" s="205"/>
      <c r="S511" s="205"/>
      <c r="T511" s="205" t="str">
        <f t="shared" si="55"/>
        <v/>
      </c>
      <c r="U511" s="205"/>
      <c r="V511" s="205"/>
      <c r="W511" s="205"/>
      <c r="X511" s="405" t="str">
        <f t="shared" si="53"/>
        <v/>
      </c>
      <c r="Y511" s="405"/>
      <c r="Z511" s="405"/>
      <c r="AA511" s="405"/>
      <c r="AB511" s="378" t="str">
        <f>IF(X511="","",SUM(X$499:X511))</f>
        <v/>
      </c>
      <c r="AC511" s="378"/>
      <c r="AD511" s="378"/>
      <c r="AE511" s="379"/>
    </row>
    <row r="512" spans="1:31" s="1" customFormat="1" ht="15.75" hidden="1" customHeight="1">
      <c r="A512" s="73" t="str">
        <f>IF(液状化L2の有無="×","×",IF(E512="","×",""))</f>
        <v>×</v>
      </c>
      <c r="E512" s="204" t="str">
        <f>E487</f>
        <v/>
      </c>
      <c r="F512" s="205"/>
      <c r="G512" s="205"/>
      <c r="H512" s="145">
        <f>H487</f>
        <v>0</v>
      </c>
      <c r="I512" s="145"/>
      <c r="J512" s="145"/>
      <c r="K512" s="398" t="str">
        <f>U330</f>
        <v/>
      </c>
      <c r="L512" s="205"/>
      <c r="M512" s="205"/>
      <c r="N512" s="205"/>
      <c r="O512" s="205" t="str">
        <f t="shared" si="54"/>
        <v/>
      </c>
      <c r="P512" s="205"/>
      <c r="Q512" s="205"/>
      <c r="R512" s="205"/>
      <c r="S512" s="205"/>
      <c r="T512" s="205" t="str">
        <f t="shared" si="55"/>
        <v/>
      </c>
      <c r="U512" s="205"/>
      <c r="V512" s="205"/>
      <c r="W512" s="205"/>
      <c r="X512" s="405" t="str">
        <f t="shared" si="53"/>
        <v/>
      </c>
      <c r="Y512" s="405"/>
      <c r="Z512" s="405"/>
      <c r="AA512" s="405"/>
      <c r="AB512" s="378" t="str">
        <f>IF(X512="","",SUM(X$499:X512))</f>
        <v/>
      </c>
      <c r="AC512" s="378"/>
      <c r="AD512" s="378"/>
      <c r="AE512" s="379"/>
    </row>
    <row r="513" spans="1:62" s="1" customFormat="1" ht="15.75" hidden="1" customHeight="1">
      <c r="A513" s="73" t="str">
        <f>IF(液状化L2の有無="×","×",IF(E513="","×",""))</f>
        <v>×</v>
      </c>
      <c r="E513" s="204" t="str">
        <f>E488</f>
        <v/>
      </c>
      <c r="F513" s="205"/>
      <c r="G513" s="205"/>
      <c r="H513" s="145">
        <f>H488</f>
        <v>0</v>
      </c>
      <c r="I513" s="145"/>
      <c r="J513" s="145"/>
      <c r="K513" s="398" t="str">
        <f>U331</f>
        <v/>
      </c>
      <c r="L513" s="205"/>
      <c r="M513" s="205"/>
      <c r="N513" s="205"/>
      <c r="O513" s="205" t="str">
        <f t="shared" si="54"/>
        <v/>
      </c>
      <c r="P513" s="205"/>
      <c r="Q513" s="205"/>
      <c r="R513" s="205"/>
      <c r="S513" s="205"/>
      <c r="T513" s="205" t="str">
        <f t="shared" si="55"/>
        <v/>
      </c>
      <c r="U513" s="205"/>
      <c r="V513" s="205"/>
      <c r="W513" s="205"/>
      <c r="X513" s="405" t="str">
        <f t="shared" si="53"/>
        <v/>
      </c>
      <c r="Y513" s="405"/>
      <c r="Z513" s="405"/>
      <c r="AA513" s="405"/>
      <c r="AB513" s="378" t="str">
        <f>IF(X513="","",SUM(X$499:X513))</f>
        <v/>
      </c>
      <c r="AC513" s="378"/>
      <c r="AD513" s="378"/>
      <c r="AE513" s="379"/>
    </row>
    <row r="514" spans="1:62" s="1" customFormat="1" ht="15.75" hidden="1" customHeight="1">
      <c r="A514" s="73" t="str">
        <f>IF(液状化L2の有無="×","×",IF(E514="","×",""))</f>
        <v>×</v>
      </c>
      <c r="E514" s="207" t="str">
        <f>E489</f>
        <v/>
      </c>
      <c r="F514" s="208"/>
      <c r="G514" s="208"/>
      <c r="H514" s="150">
        <f>H489</f>
        <v>0</v>
      </c>
      <c r="I514" s="150"/>
      <c r="J514" s="150"/>
      <c r="K514" s="401" t="str">
        <f>U332</f>
        <v/>
      </c>
      <c r="L514" s="208"/>
      <c r="M514" s="208"/>
      <c r="N514" s="208"/>
      <c r="O514" s="208" t="str">
        <f t="shared" si="54"/>
        <v/>
      </c>
      <c r="P514" s="208"/>
      <c r="Q514" s="208"/>
      <c r="R514" s="208"/>
      <c r="S514" s="208"/>
      <c r="T514" s="208" t="str">
        <f t="shared" si="55"/>
        <v/>
      </c>
      <c r="U514" s="208"/>
      <c r="V514" s="208"/>
      <c r="W514" s="208"/>
      <c r="X514" s="408" t="str">
        <f t="shared" si="53"/>
        <v/>
      </c>
      <c r="Y514" s="408"/>
      <c r="Z514" s="408"/>
      <c r="AA514" s="408"/>
      <c r="AB514" s="382" t="str">
        <f>IF(X514="","",SUM(X$499:X514))</f>
        <v/>
      </c>
      <c r="AC514" s="382"/>
      <c r="AD514" s="382"/>
      <c r="AE514" s="383"/>
    </row>
    <row r="515" spans="1:62" ht="15.75" hidden="1" customHeight="1">
      <c r="A515" s="73" t="str">
        <f>IF(液状化L2の有無="","","×")</f>
        <v>×</v>
      </c>
      <c r="E515" s="76"/>
      <c r="S515" s="2" t="s">
        <v>127</v>
      </c>
      <c r="T515" s="76">
        <v>4</v>
      </c>
      <c r="U515" s="181" t="s">
        <v>149</v>
      </c>
      <c r="V515" s="181"/>
      <c r="W515" s="76" t="s">
        <v>27</v>
      </c>
      <c r="X515" s="220">
        <f>X490</f>
        <v>4398464</v>
      </c>
      <c r="Y515" s="220"/>
      <c r="Z515" s="220"/>
      <c r="AA515" s="220"/>
      <c r="AB515" s="220"/>
      <c r="AC515" s="211" t="s">
        <v>166</v>
      </c>
      <c r="AD515" s="211"/>
      <c r="AE515" s="76" t="s">
        <v>158</v>
      </c>
      <c r="AJ515" s="106"/>
      <c r="AK515" s="106"/>
      <c r="AL515" s="106"/>
      <c r="AM515" s="106"/>
      <c r="BG515" s="76"/>
      <c r="BH515" s="76"/>
      <c r="BI515" s="76"/>
      <c r="BJ515" s="76"/>
    </row>
    <row r="516" spans="1:62" ht="15.75" hidden="1" customHeight="1">
      <c r="A516" s="73" t="str">
        <f>IF(液状化L2の有無="","","×")</f>
        <v>×</v>
      </c>
      <c r="E516" s="76"/>
      <c r="S516" s="2"/>
      <c r="X516" s="95"/>
      <c r="Y516" s="95"/>
      <c r="Z516" s="95"/>
      <c r="AA516" s="95"/>
      <c r="AB516" s="95"/>
      <c r="AC516" s="78"/>
      <c r="AD516" s="78"/>
      <c r="AJ516" s="106"/>
      <c r="AK516" s="106"/>
      <c r="AL516" s="106"/>
      <c r="AM516" s="106"/>
      <c r="BG516" s="76"/>
      <c r="BH516" s="76"/>
      <c r="BI516" s="76"/>
      <c r="BJ516" s="76"/>
    </row>
    <row r="517" spans="1:62" ht="15.75" hidden="1" customHeight="1">
      <c r="A517" s="73" t="str">
        <f>IF(液状化L2の有無="","","×")</f>
        <v>×</v>
      </c>
      <c r="E517" s="89" t="s">
        <v>506</v>
      </c>
      <c r="S517" s="2"/>
      <c r="X517" s="95"/>
      <c r="Y517" s="95"/>
      <c r="Z517" s="95"/>
      <c r="AA517" s="95"/>
      <c r="AB517" s="95"/>
      <c r="AC517" s="78"/>
      <c r="AD517" s="78"/>
      <c r="AJ517" s="106"/>
      <c r="AK517" s="106"/>
      <c r="AL517" s="106"/>
      <c r="AM517" s="106"/>
      <c r="BG517" s="76"/>
      <c r="BH517" s="76"/>
      <c r="BI517" s="76"/>
      <c r="BJ517" s="76"/>
    </row>
    <row r="518" spans="1:62" ht="15.75" hidden="1" customHeight="1">
      <c r="A518" s="73" t="str">
        <f>IF(液状化L2の有無="","","×")</f>
        <v>×</v>
      </c>
      <c r="E518" s="181" t="s">
        <v>507</v>
      </c>
      <c r="F518" s="181"/>
      <c r="G518" s="76" t="s">
        <v>508</v>
      </c>
      <c r="H518" s="406">
        <v>4.2199997901916504</v>
      </c>
      <c r="I518" s="406"/>
      <c r="J518" s="406"/>
      <c r="K518" s="76" t="s">
        <v>509</v>
      </c>
      <c r="S518" s="2"/>
      <c r="X518" s="95"/>
      <c r="Y518" s="95"/>
      <c r="Z518" s="95"/>
      <c r="AA518" s="95"/>
      <c r="AB518" s="95"/>
      <c r="AC518" s="78"/>
      <c r="AD518" s="78"/>
      <c r="AJ518" s="106"/>
      <c r="AK518" s="106"/>
      <c r="AL518" s="106"/>
      <c r="AM518" s="106"/>
      <c r="BG518" s="76"/>
      <c r="BH518" s="76"/>
      <c r="BI518" s="76"/>
      <c r="BJ518" s="76"/>
    </row>
    <row r="519" spans="1:62" ht="15.75" customHeight="1">
      <c r="E519" s="76"/>
      <c r="S519" s="2"/>
      <c r="X519" s="95"/>
      <c r="Y519" s="95"/>
      <c r="Z519" s="95"/>
      <c r="AA519" s="95"/>
      <c r="AB519" s="95"/>
      <c r="AC519" s="78"/>
      <c r="AD519" s="78"/>
      <c r="AJ519" s="106"/>
      <c r="AK519" s="106"/>
      <c r="AL519" s="106"/>
      <c r="AM519" s="106"/>
      <c r="BG519" s="76"/>
      <c r="BH519" s="76"/>
      <c r="BI519" s="76"/>
      <c r="BJ519" s="76"/>
    </row>
    <row r="521" spans="1:62" s="1" customFormat="1" ht="15.75" customHeight="1">
      <c r="E521" s="64" t="s">
        <v>555</v>
      </c>
      <c r="F521" s="64"/>
      <c r="G521" s="64"/>
      <c r="H521" s="64"/>
      <c r="I521" s="64"/>
      <c r="J521" s="64"/>
      <c r="K521" s="64"/>
      <c r="L521" s="64"/>
      <c r="M521" s="64"/>
      <c r="N521" s="64"/>
      <c r="O521" s="64"/>
      <c r="P521" s="64"/>
      <c r="Q521" s="64"/>
      <c r="R521" s="64"/>
      <c r="S521" s="64"/>
      <c r="T521" s="64"/>
      <c r="U521" s="64"/>
      <c r="V521" s="64"/>
      <c r="W521" s="64"/>
      <c r="X521" s="64"/>
      <c r="Y521" s="64"/>
      <c r="Z521" s="64"/>
      <c r="AA521" s="64"/>
      <c r="AB521" s="64"/>
      <c r="AC521" s="64"/>
      <c r="AD521" s="64"/>
      <c r="AE521" s="64"/>
    </row>
    <row r="522" spans="1:62" s="1" customFormat="1" ht="15.75" customHeight="1">
      <c r="E522" s="185" t="s">
        <v>78</v>
      </c>
      <c r="F522" s="146"/>
      <c r="G522" s="146"/>
      <c r="H522" s="188" t="s">
        <v>159</v>
      </c>
      <c r="I522" s="217"/>
      <c r="J522" s="217"/>
      <c r="K522" s="146" t="s">
        <v>160</v>
      </c>
      <c r="L522" s="146"/>
      <c r="M522" s="146"/>
      <c r="N522" s="146"/>
      <c r="O522" s="146" t="s">
        <v>164</v>
      </c>
      <c r="P522" s="146"/>
      <c r="Q522" s="146"/>
      <c r="R522" s="146"/>
      <c r="S522" s="146"/>
      <c r="T522" s="146" t="s">
        <v>161</v>
      </c>
      <c r="U522" s="146"/>
      <c r="V522" s="146"/>
      <c r="W522" s="146"/>
      <c r="X522" s="146" t="s">
        <v>162</v>
      </c>
      <c r="Y522" s="146"/>
      <c r="Z522" s="146"/>
      <c r="AA522" s="146"/>
      <c r="AB522" s="146" t="s">
        <v>163</v>
      </c>
      <c r="AC522" s="146"/>
      <c r="AD522" s="146"/>
      <c r="AE522" s="221"/>
    </row>
    <row r="523" spans="1:62" s="1" customFormat="1" ht="15.75" customHeight="1">
      <c r="E523" s="186"/>
      <c r="F523" s="187"/>
      <c r="G523" s="187"/>
      <c r="H523" s="218"/>
      <c r="I523" s="218"/>
      <c r="J523" s="218"/>
      <c r="K523" s="187"/>
      <c r="L523" s="187"/>
      <c r="M523" s="187"/>
      <c r="N523" s="187"/>
      <c r="O523" s="187"/>
      <c r="P523" s="187"/>
      <c r="Q523" s="187"/>
      <c r="R523" s="187"/>
      <c r="S523" s="187"/>
      <c r="T523" s="187"/>
      <c r="U523" s="187"/>
      <c r="V523" s="187"/>
      <c r="W523" s="187"/>
      <c r="X523" s="187"/>
      <c r="Y523" s="187"/>
      <c r="Z523" s="187"/>
      <c r="AA523" s="187"/>
      <c r="AB523" s="187"/>
      <c r="AC523" s="187"/>
      <c r="AD523" s="187"/>
      <c r="AE523" s="222"/>
    </row>
    <row r="524" spans="1:62" s="1" customFormat="1" ht="15.75" customHeight="1">
      <c r="A524" s="73" t="str">
        <f>IF(E524="","×","")</f>
        <v/>
      </c>
      <c r="E524" s="224">
        <f>IF(G155="","",G155)</f>
        <v>3</v>
      </c>
      <c r="F524" s="165"/>
      <c r="G524" s="165"/>
      <c r="H524" s="149">
        <f>H499</f>
        <v>3</v>
      </c>
      <c r="I524" s="149"/>
      <c r="J524" s="149"/>
      <c r="K524" s="223">
        <f>Y273</f>
        <v>13000</v>
      </c>
      <c r="L524" s="147"/>
      <c r="M524" s="147"/>
      <c r="N524" s="147"/>
      <c r="O524" s="147">
        <f t="shared" ref="O524:O539" si="56">IF(K524="","",ROUND(K524/$X$540,6))</f>
        <v>2.9559999999999999E-3</v>
      </c>
      <c r="P524" s="147"/>
      <c r="Q524" s="147"/>
      <c r="R524" s="147"/>
      <c r="S524" s="147"/>
      <c r="T524" s="147">
        <f>IF(O524="","",ROUND(O524^0.25,4))</f>
        <v>0.23319999999999999</v>
      </c>
      <c r="U524" s="147"/>
      <c r="V524" s="147"/>
      <c r="W524" s="147"/>
      <c r="X524" s="232">
        <f t="shared" ref="X524:X539" si="57">IF(T524="","",ROUND(T524*H524,4))</f>
        <v>0.6996</v>
      </c>
      <c r="Y524" s="232"/>
      <c r="Z524" s="232"/>
      <c r="AA524" s="232"/>
      <c r="AB524" s="385">
        <f>IF(X524="","",SUM(X$524:X524))</f>
        <v>0.6996</v>
      </c>
      <c r="AC524" s="385"/>
      <c r="AD524" s="385"/>
      <c r="AE524" s="386"/>
    </row>
    <row r="525" spans="1:62" s="1" customFormat="1" ht="15.75" customHeight="1">
      <c r="A525" s="73" t="str">
        <f t="shared" ref="A525:A539" si="58">IF(E525="","×","")</f>
        <v/>
      </c>
      <c r="E525" s="204">
        <f>IF(G156="","",G156)</f>
        <v>4</v>
      </c>
      <c r="F525" s="205"/>
      <c r="G525" s="205"/>
      <c r="H525" s="145">
        <f t="shared" ref="H525:H539" si="59">H500</f>
        <v>5</v>
      </c>
      <c r="I525" s="145"/>
      <c r="J525" s="145"/>
      <c r="K525" s="191">
        <f>Y274</f>
        <v>26710</v>
      </c>
      <c r="L525" s="169"/>
      <c r="M525" s="169"/>
      <c r="N525" s="169"/>
      <c r="O525" s="169">
        <f t="shared" si="56"/>
        <v>6.0730000000000003E-3</v>
      </c>
      <c r="P525" s="169"/>
      <c r="Q525" s="169"/>
      <c r="R525" s="169"/>
      <c r="S525" s="169"/>
      <c r="T525" s="169">
        <f t="shared" ref="T525:T539" si="60">IF(O525="","",ROUND(O525^0.25,4))</f>
        <v>0.2792</v>
      </c>
      <c r="U525" s="169"/>
      <c r="V525" s="169"/>
      <c r="W525" s="169"/>
      <c r="X525" s="377">
        <f t="shared" si="57"/>
        <v>1.3959999999999999</v>
      </c>
      <c r="Y525" s="377"/>
      <c r="Z525" s="377"/>
      <c r="AA525" s="377"/>
      <c r="AB525" s="378">
        <f>IF(X525="","",SUM(X$524:X525))</f>
        <v>2.0956000000000001</v>
      </c>
      <c r="AC525" s="378"/>
      <c r="AD525" s="378"/>
      <c r="AE525" s="379"/>
    </row>
    <row r="526" spans="1:62" s="1" customFormat="1" ht="15.75" customHeight="1">
      <c r="A526" s="73" t="str">
        <f t="shared" si="58"/>
        <v/>
      </c>
      <c r="E526" s="204">
        <f>IF(G157="","",G157)</f>
        <v>5</v>
      </c>
      <c r="F526" s="205"/>
      <c r="G526" s="205"/>
      <c r="H526" s="145">
        <f t="shared" si="59"/>
        <v>8</v>
      </c>
      <c r="I526" s="145"/>
      <c r="J526" s="145"/>
      <c r="K526" s="191">
        <f>Y275</f>
        <v>30400</v>
      </c>
      <c r="L526" s="169"/>
      <c r="M526" s="169"/>
      <c r="N526" s="169"/>
      <c r="O526" s="169">
        <f t="shared" si="56"/>
        <v>6.9119999999999997E-3</v>
      </c>
      <c r="P526" s="169"/>
      <c r="Q526" s="169"/>
      <c r="R526" s="169"/>
      <c r="S526" s="169"/>
      <c r="T526" s="169">
        <f t="shared" si="60"/>
        <v>0.2883</v>
      </c>
      <c r="U526" s="169"/>
      <c r="V526" s="169"/>
      <c r="W526" s="169"/>
      <c r="X526" s="377">
        <f t="shared" si="57"/>
        <v>2.3064</v>
      </c>
      <c r="Y526" s="377"/>
      <c r="Z526" s="377"/>
      <c r="AA526" s="377"/>
      <c r="AB526" s="378">
        <f>IF(X526="","",SUM(X$524:X526))</f>
        <v>4.4020000000000001</v>
      </c>
      <c r="AC526" s="378"/>
      <c r="AD526" s="378"/>
      <c r="AE526" s="379"/>
    </row>
    <row r="527" spans="1:62" s="1" customFormat="1" ht="15.75" customHeight="1">
      <c r="A527" s="73" t="str">
        <f t="shared" si="58"/>
        <v/>
      </c>
      <c r="E527" s="204">
        <f>IF(G158="","",G158)</f>
        <v>6</v>
      </c>
      <c r="F527" s="205"/>
      <c r="G527" s="205"/>
      <c r="H527" s="145">
        <f t="shared" si="59"/>
        <v>4.5</v>
      </c>
      <c r="I527" s="145"/>
      <c r="J527" s="145"/>
      <c r="K527" s="191">
        <f>Y276</f>
        <v>43340</v>
      </c>
      <c r="L527" s="169"/>
      <c r="M527" s="169"/>
      <c r="N527" s="169"/>
      <c r="O527" s="169">
        <f t="shared" si="56"/>
        <v>9.8530000000000006E-3</v>
      </c>
      <c r="P527" s="169"/>
      <c r="Q527" s="169"/>
      <c r="R527" s="169"/>
      <c r="S527" s="169"/>
      <c r="T527" s="169">
        <f t="shared" si="60"/>
        <v>0.31509999999999999</v>
      </c>
      <c r="U527" s="169"/>
      <c r="V527" s="169"/>
      <c r="W527" s="169"/>
      <c r="X527" s="377">
        <f t="shared" si="57"/>
        <v>1.4179999999999999</v>
      </c>
      <c r="Y527" s="377"/>
      <c r="Z527" s="377"/>
      <c r="AA527" s="377"/>
      <c r="AB527" s="378">
        <f>IF(X527="","",SUM(X$524:X527))</f>
        <v>5.82</v>
      </c>
      <c r="AC527" s="378"/>
      <c r="AD527" s="378"/>
      <c r="AE527" s="379"/>
    </row>
    <row r="528" spans="1:62" s="1" customFormat="1" ht="15.75" customHeight="1">
      <c r="A528" s="73" t="str">
        <f t="shared" si="58"/>
        <v/>
      </c>
      <c r="E528" s="204">
        <f>IF(G159="","",G159)</f>
        <v>7</v>
      </c>
      <c r="F528" s="205"/>
      <c r="G528" s="205"/>
      <c r="H528" s="145">
        <f t="shared" si="59"/>
        <v>0.5</v>
      </c>
      <c r="I528" s="145"/>
      <c r="J528" s="145"/>
      <c r="K528" s="191">
        <f>Y277</f>
        <v>85640</v>
      </c>
      <c r="L528" s="169"/>
      <c r="M528" s="169"/>
      <c r="N528" s="169"/>
      <c r="O528" s="169">
        <f t="shared" si="56"/>
        <v>1.9470000000000001E-2</v>
      </c>
      <c r="P528" s="169"/>
      <c r="Q528" s="169"/>
      <c r="R528" s="169"/>
      <c r="S528" s="169"/>
      <c r="T528" s="169">
        <f t="shared" si="60"/>
        <v>0.3735</v>
      </c>
      <c r="U528" s="169"/>
      <c r="V528" s="169"/>
      <c r="W528" s="169"/>
      <c r="X528" s="377">
        <f t="shared" si="57"/>
        <v>0.18679999999999999</v>
      </c>
      <c r="Y528" s="377"/>
      <c r="Z528" s="377"/>
      <c r="AA528" s="377"/>
      <c r="AB528" s="378">
        <f>IF(X528="","",SUM(X$524:X528))</f>
        <v>6.0068000000000001</v>
      </c>
      <c r="AC528" s="378"/>
      <c r="AD528" s="378"/>
      <c r="AE528" s="379"/>
    </row>
    <row r="529" spans="1:62" s="1" customFormat="1" ht="15.75" hidden="1" customHeight="1">
      <c r="A529" s="73" t="str">
        <f t="shared" si="58"/>
        <v>×</v>
      </c>
      <c r="E529" s="204" t="str">
        <f>IF(G160="","",G160)</f>
        <v/>
      </c>
      <c r="F529" s="205"/>
      <c r="G529" s="205"/>
      <c r="H529" s="145">
        <f t="shared" si="59"/>
        <v>0</v>
      </c>
      <c r="I529" s="145"/>
      <c r="J529" s="145"/>
      <c r="K529" s="191" t="str">
        <f>Y278</f>
        <v/>
      </c>
      <c r="L529" s="169"/>
      <c r="M529" s="169"/>
      <c r="N529" s="169"/>
      <c r="O529" s="169" t="str">
        <f t="shared" si="56"/>
        <v/>
      </c>
      <c r="P529" s="169"/>
      <c r="Q529" s="169"/>
      <c r="R529" s="169"/>
      <c r="S529" s="169"/>
      <c r="T529" s="169" t="str">
        <f t="shared" si="60"/>
        <v/>
      </c>
      <c r="U529" s="169"/>
      <c r="V529" s="169"/>
      <c r="W529" s="169"/>
      <c r="X529" s="377" t="str">
        <f t="shared" si="57"/>
        <v/>
      </c>
      <c r="Y529" s="377"/>
      <c r="Z529" s="377"/>
      <c r="AA529" s="377"/>
      <c r="AB529" s="378" t="str">
        <f>IF(X529="","",SUM(X$524:X529))</f>
        <v/>
      </c>
      <c r="AC529" s="378"/>
      <c r="AD529" s="378"/>
      <c r="AE529" s="379"/>
    </row>
    <row r="530" spans="1:62" s="1" customFormat="1" ht="15.75" hidden="1" customHeight="1">
      <c r="A530" s="73" t="str">
        <f t="shared" si="58"/>
        <v>×</v>
      </c>
      <c r="E530" s="204" t="str">
        <f>IF(G161="","",G161)</f>
        <v/>
      </c>
      <c r="F530" s="205"/>
      <c r="G530" s="205"/>
      <c r="H530" s="145">
        <f t="shared" si="59"/>
        <v>0</v>
      </c>
      <c r="I530" s="145"/>
      <c r="J530" s="145"/>
      <c r="K530" s="191" t="str">
        <f>Y279</f>
        <v/>
      </c>
      <c r="L530" s="169"/>
      <c r="M530" s="169"/>
      <c r="N530" s="169"/>
      <c r="O530" s="169" t="str">
        <f t="shared" si="56"/>
        <v/>
      </c>
      <c r="P530" s="169"/>
      <c r="Q530" s="169"/>
      <c r="R530" s="169"/>
      <c r="S530" s="169"/>
      <c r="T530" s="169" t="str">
        <f t="shared" si="60"/>
        <v/>
      </c>
      <c r="U530" s="169"/>
      <c r="V530" s="169"/>
      <c r="W530" s="169"/>
      <c r="X530" s="377" t="str">
        <f t="shared" si="57"/>
        <v/>
      </c>
      <c r="Y530" s="377"/>
      <c r="Z530" s="377"/>
      <c r="AA530" s="377"/>
      <c r="AB530" s="378" t="str">
        <f>IF(X530="","",SUM(X$524:X530))</f>
        <v/>
      </c>
      <c r="AC530" s="378"/>
      <c r="AD530" s="378"/>
      <c r="AE530" s="379"/>
    </row>
    <row r="531" spans="1:62" s="1" customFormat="1" ht="15.75" hidden="1" customHeight="1">
      <c r="A531" s="73" t="str">
        <f t="shared" si="58"/>
        <v>×</v>
      </c>
      <c r="E531" s="204" t="str">
        <f>IF(G162="","",G162)</f>
        <v/>
      </c>
      <c r="F531" s="205"/>
      <c r="G531" s="205"/>
      <c r="H531" s="145">
        <f t="shared" si="59"/>
        <v>0</v>
      </c>
      <c r="I531" s="145"/>
      <c r="J531" s="145"/>
      <c r="K531" s="191" t="str">
        <f>Y280</f>
        <v/>
      </c>
      <c r="L531" s="169"/>
      <c r="M531" s="169"/>
      <c r="N531" s="169"/>
      <c r="O531" s="169" t="str">
        <f t="shared" si="56"/>
        <v/>
      </c>
      <c r="P531" s="169"/>
      <c r="Q531" s="169"/>
      <c r="R531" s="169"/>
      <c r="S531" s="169"/>
      <c r="T531" s="169" t="str">
        <f t="shared" si="60"/>
        <v/>
      </c>
      <c r="U531" s="169"/>
      <c r="V531" s="169"/>
      <c r="W531" s="169"/>
      <c r="X531" s="377" t="str">
        <f t="shared" si="57"/>
        <v/>
      </c>
      <c r="Y531" s="377"/>
      <c r="Z531" s="377"/>
      <c r="AA531" s="377"/>
      <c r="AB531" s="378" t="str">
        <f>IF(X531="","",SUM(X$524:X531))</f>
        <v/>
      </c>
      <c r="AC531" s="378"/>
      <c r="AD531" s="378"/>
      <c r="AE531" s="379"/>
    </row>
    <row r="532" spans="1:62" s="1" customFormat="1" ht="15.75" hidden="1" customHeight="1">
      <c r="A532" s="73" t="str">
        <f t="shared" si="58"/>
        <v>×</v>
      </c>
      <c r="E532" s="204" t="str">
        <f>IF(G163="","",G163)</f>
        <v/>
      </c>
      <c r="F532" s="205"/>
      <c r="G532" s="205"/>
      <c r="H532" s="145">
        <f t="shared" si="59"/>
        <v>0</v>
      </c>
      <c r="I532" s="145"/>
      <c r="J532" s="145"/>
      <c r="K532" s="191" t="str">
        <f>Y281</f>
        <v/>
      </c>
      <c r="L532" s="169"/>
      <c r="M532" s="169"/>
      <c r="N532" s="169"/>
      <c r="O532" s="169" t="str">
        <f t="shared" si="56"/>
        <v/>
      </c>
      <c r="P532" s="169"/>
      <c r="Q532" s="169"/>
      <c r="R532" s="169"/>
      <c r="S532" s="169"/>
      <c r="T532" s="169" t="str">
        <f t="shared" si="60"/>
        <v/>
      </c>
      <c r="U532" s="169"/>
      <c r="V532" s="169"/>
      <c r="W532" s="169"/>
      <c r="X532" s="377" t="str">
        <f t="shared" si="57"/>
        <v/>
      </c>
      <c r="Y532" s="377"/>
      <c r="Z532" s="377"/>
      <c r="AA532" s="377"/>
      <c r="AB532" s="378" t="str">
        <f>IF(X532="","",SUM(X$524:X532))</f>
        <v/>
      </c>
      <c r="AC532" s="378"/>
      <c r="AD532" s="378"/>
      <c r="AE532" s="379"/>
    </row>
    <row r="533" spans="1:62" s="1" customFormat="1" ht="15.75" hidden="1" customHeight="1">
      <c r="A533" s="73" t="str">
        <f t="shared" si="58"/>
        <v>×</v>
      </c>
      <c r="E533" s="204" t="str">
        <f>IF(G164="","",G164)</f>
        <v/>
      </c>
      <c r="F533" s="205"/>
      <c r="G533" s="205"/>
      <c r="H533" s="145">
        <f t="shared" si="59"/>
        <v>0</v>
      </c>
      <c r="I533" s="145"/>
      <c r="J533" s="145"/>
      <c r="K533" s="191" t="str">
        <f>Y282</f>
        <v/>
      </c>
      <c r="L533" s="169"/>
      <c r="M533" s="169"/>
      <c r="N533" s="169"/>
      <c r="O533" s="169" t="str">
        <f t="shared" si="56"/>
        <v/>
      </c>
      <c r="P533" s="169"/>
      <c r="Q533" s="169"/>
      <c r="R533" s="169"/>
      <c r="S533" s="169"/>
      <c r="T533" s="169" t="str">
        <f t="shared" si="60"/>
        <v/>
      </c>
      <c r="U533" s="169"/>
      <c r="V533" s="169"/>
      <c r="W533" s="169"/>
      <c r="X533" s="377" t="str">
        <f t="shared" si="57"/>
        <v/>
      </c>
      <c r="Y533" s="377"/>
      <c r="Z533" s="377"/>
      <c r="AA533" s="377"/>
      <c r="AB533" s="378" t="str">
        <f>IF(X533="","",SUM(X$524:X533))</f>
        <v/>
      </c>
      <c r="AC533" s="378"/>
      <c r="AD533" s="378"/>
      <c r="AE533" s="379"/>
    </row>
    <row r="534" spans="1:62" s="1" customFormat="1" ht="15.75" hidden="1" customHeight="1">
      <c r="A534" s="73" t="str">
        <f t="shared" si="58"/>
        <v>×</v>
      </c>
      <c r="E534" s="204" t="str">
        <f>IF(G165="","",G165)</f>
        <v/>
      </c>
      <c r="F534" s="205"/>
      <c r="G534" s="205"/>
      <c r="H534" s="145">
        <f t="shared" si="59"/>
        <v>0</v>
      </c>
      <c r="I534" s="145"/>
      <c r="J534" s="145"/>
      <c r="K534" s="191" t="str">
        <f>Y283</f>
        <v/>
      </c>
      <c r="L534" s="169"/>
      <c r="M534" s="169"/>
      <c r="N534" s="169"/>
      <c r="O534" s="169" t="str">
        <f t="shared" si="56"/>
        <v/>
      </c>
      <c r="P534" s="169"/>
      <c r="Q534" s="169"/>
      <c r="R534" s="169"/>
      <c r="S534" s="169"/>
      <c r="T534" s="169" t="str">
        <f t="shared" si="60"/>
        <v/>
      </c>
      <c r="U534" s="169"/>
      <c r="V534" s="169"/>
      <c r="W534" s="169"/>
      <c r="X534" s="377" t="str">
        <f t="shared" si="57"/>
        <v/>
      </c>
      <c r="Y534" s="377"/>
      <c r="Z534" s="377"/>
      <c r="AA534" s="377"/>
      <c r="AB534" s="378" t="str">
        <f>IF(X534="","",SUM(X$524:X534))</f>
        <v/>
      </c>
      <c r="AC534" s="378"/>
      <c r="AD534" s="378"/>
      <c r="AE534" s="379"/>
    </row>
    <row r="535" spans="1:62" s="1" customFormat="1" ht="15.75" hidden="1" customHeight="1">
      <c r="A535" s="73" t="str">
        <f t="shared" si="58"/>
        <v>×</v>
      </c>
      <c r="E535" s="204" t="str">
        <f>IF(G166="","",G166)</f>
        <v/>
      </c>
      <c r="F535" s="205"/>
      <c r="G535" s="205"/>
      <c r="H535" s="145">
        <f t="shared" si="59"/>
        <v>0</v>
      </c>
      <c r="I535" s="145"/>
      <c r="J535" s="145"/>
      <c r="K535" s="191" t="str">
        <f>Y284</f>
        <v/>
      </c>
      <c r="L535" s="169"/>
      <c r="M535" s="169"/>
      <c r="N535" s="169"/>
      <c r="O535" s="169" t="str">
        <f t="shared" si="56"/>
        <v/>
      </c>
      <c r="P535" s="169"/>
      <c r="Q535" s="169"/>
      <c r="R535" s="169"/>
      <c r="S535" s="169"/>
      <c r="T535" s="169" t="str">
        <f t="shared" si="60"/>
        <v/>
      </c>
      <c r="U535" s="169"/>
      <c r="V535" s="169"/>
      <c r="W535" s="169"/>
      <c r="X535" s="377" t="str">
        <f t="shared" si="57"/>
        <v/>
      </c>
      <c r="Y535" s="377"/>
      <c r="Z535" s="377"/>
      <c r="AA535" s="377"/>
      <c r="AB535" s="378" t="str">
        <f>IF(X535="","",SUM(X$524:X535))</f>
        <v/>
      </c>
      <c r="AC535" s="378"/>
      <c r="AD535" s="378"/>
      <c r="AE535" s="379"/>
    </row>
    <row r="536" spans="1:62" s="1" customFormat="1" ht="15.75" hidden="1" customHeight="1">
      <c r="A536" s="73" t="str">
        <f t="shared" si="58"/>
        <v>×</v>
      </c>
      <c r="E536" s="204" t="str">
        <f>IF(G167="","",G167)</f>
        <v/>
      </c>
      <c r="F536" s="205"/>
      <c r="G536" s="205"/>
      <c r="H536" s="145">
        <f t="shared" si="59"/>
        <v>0</v>
      </c>
      <c r="I536" s="145"/>
      <c r="J536" s="145"/>
      <c r="K536" s="191" t="str">
        <f>Y285</f>
        <v/>
      </c>
      <c r="L536" s="169"/>
      <c r="M536" s="169"/>
      <c r="N536" s="169"/>
      <c r="O536" s="169" t="str">
        <f t="shared" si="56"/>
        <v/>
      </c>
      <c r="P536" s="169"/>
      <c r="Q536" s="169"/>
      <c r="R536" s="169"/>
      <c r="S536" s="169"/>
      <c r="T536" s="169" t="str">
        <f t="shared" si="60"/>
        <v/>
      </c>
      <c r="U536" s="169"/>
      <c r="V536" s="169"/>
      <c r="W536" s="169"/>
      <c r="X536" s="377" t="str">
        <f t="shared" si="57"/>
        <v/>
      </c>
      <c r="Y536" s="377"/>
      <c r="Z536" s="377"/>
      <c r="AA536" s="377"/>
      <c r="AB536" s="378" t="str">
        <f>IF(X536="","",SUM(X$524:X536))</f>
        <v/>
      </c>
      <c r="AC536" s="378"/>
      <c r="AD536" s="378"/>
      <c r="AE536" s="379"/>
    </row>
    <row r="537" spans="1:62" s="1" customFormat="1" ht="15.75" hidden="1" customHeight="1">
      <c r="A537" s="73" t="str">
        <f t="shared" si="58"/>
        <v>×</v>
      </c>
      <c r="E537" s="204" t="str">
        <f>IF(G168="","",G168)</f>
        <v/>
      </c>
      <c r="F537" s="205"/>
      <c r="G537" s="205"/>
      <c r="H537" s="145">
        <f t="shared" si="59"/>
        <v>0</v>
      </c>
      <c r="I537" s="145"/>
      <c r="J537" s="145"/>
      <c r="K537" s="191" t="str">
        <f>Y286</f>
        <v/>
      </c>
      <c r="L537" s="169"/>
      <c r="M537" s="169"/>
      <c r="N537" s="169"/>
      <c r="O537" s="169" t="str">
        <f t="shared" si="56"/>
        <v/>
      </c>
      <c r="P537" s="169"/>
      <c r="Q537" s="169"/>
      <c r="R537" s="169"/>
      <c r="S537" s="169"/>
      <c r="T537" s="169" t="str">
        <f t="shared" si="60"/>
        <v/>
      </c>
      <c r="U537" s="169"/>
      <c r="V537" s="169"/>
      <c r="W537" s="169"/>
      <c r="X537" s="377" t="str">
        <f t="shared" si="57"/>
        <v/>
      </c>
      <c r="Y537" s="377"/>
      <c r="Z537" s="377"/>
      <c r="AA537" s="377"/>
      <c r="AB537" s="378" t="str">
        <f>IF(X537="","",SUM(X$524:X537))</f>
        <v/>
      </c>
      <c r="AC537" s="378"/>
      <c r="AD537" s="378"/>
      <c r="AE537" s="379"/>
    </row>
    <row r="538" spans="1:62" s="1" customFormat="1" ht="15.75" hidden="1" customHeight="1">
      <c r="A538" s="73" t="str">
        <f t="shared" si="58"/>
        <v>×</v>
      </c>
      <c r="E538" s="204" t="str">
        <f>IF(G169="","",G169)</f>
        <v/>
      </c>
      <c r="F538" s="205"/>
      <c r="G538" s="205"/>
      <c r="H538" s="145">
        <f t="shared" si="59"/>
        <v>0</v>
      </c>
      <c r="I538" s="145"/>
      <c r="J538" s="145"/>
      <c r="K538" s="191" t="str">
        <f>Y287</f>
        <v/>
      </c>
      <c r="L538" s="169"/>
      <c r="M538" s="169"/>
      <c r="N538" s="169"/>
      <c r="O538" s="169" t="str">
        <f t="shared" si="56"/>
        <v/>
      </c>
      <c r="P538" s="169"/>
      <c r="Q538" s="169"/>
      <c r="R538" s="169"/>
      <c r="S538" s="169"/>
      <c r="T538" s="169" t="str">
        <f t="shared" si="60"/>
        <v/>
      </c>
      <c r="U538" s="169"/>
      <c r="V538" s="169"/>
      <c r="W538" s="169"/>
      <c r="X538" s="377" t="str">
        <f t="shared" si="57"/>
        <v/>
      </c>
      <c r="Y538" s="377"/>
      <c r="Z538" s="377"/>
      <c r="AA538" s="377"/>
      <c r="AB538" s="378" t="str">
        <f>IF(X538="","",SUM(X$524:X538))</f>
        <v/>
      </c>
      <c r="AC538" s="378"/>
      <c r="AD538" s="378"/>
      <c r="AE538" s="379"/>
    </row>
    <row r="539" spans="1:62" s="1" customFormat="1" ht="15.75" hidden="1" customHeight="1">
      <c r="A539" s="73" t="str">
        <f t="shared" si="58"/>
        <v>×</v>
      </c>
      <c r="E539" s="207" t="str">
        <f>IF(G170="","",G170)</f>
        <v/>
      </c>
      <c r="F539" s="208"/>
      <c r="G539" s="208"/>
      <c r="H539" s="150">
        <f t="shared" si="59"/>
        <v>0</v>
      </c>
      <c r="I539" s="150"/>
      <c r="J539" s="150"/>
      <c r="K539" s="193" t="str">
        <f>Y288</f>
        <v/>
      </c>
      <c r="L539" s="148"/>
      <c r="M539" s="148"/>
      <c r="N539" s="148"/>
      <c r="O539" s="148" t="str">
        <f t="shared" si="56"/>
        <v/>
      </c>
      <c r="P539" s="148"/>
      <c r="Q539" s="148"/>
      <c r="R539" s="148"/>
      <c r="S539" s="148"/>
      <c r="T539" s="148" t="str">
        <f t="shared" si="60"/>
        <v/>
      </c>
      <c r="U539" s="148"/>
      <c r="V539" s="148"/>
      <c r="W539" s="148"/>
      <c r="X539" s="384" t="str">
        <f t="shared" si="57"/>
        <v/>
      </c>
      <c r="Y539" s="384"/>
      <c r="Z539" s="384"/>
      <c r="AA539" s="384"/>
      <c r="AB539" s="382" t="str">
        <f>IF(X539="","",SUM(X$524:X539))</f>
        <v/>
      </c>
      <c r="AC539" s="382"/>
      <c r="AD539" s="382"/>
      <c r="AE539" s="383"/>
    </row>
    <row r="540" spans="1:62" ht="15.75" customHeight="1">
      <c r="E540" s="118"/>
      <c r="F540" s="118"/>
      <c r="G540" s="118"/>
      <c r="H540" s="118"/>
      <c r="I540" s="118"/>
      <c r="J540" s="118"/>
      <c r="K540" s="118"/>
      <c r="L540" s="118"/>
      <c r="M540" s="118"/>
      <c r="N540" s="118"/>
      <c r="O540" s="118"/>
      <c r="P540" s="118"/>
      <c r="Q540" s="118"/>
      <c r="R540" s="118"/>
      <c r="S540" s="512" t="s">
        <v>127</v>
      </c>
      <c r="T540" s="118">
        <v>4</v>
      </c>
      <c r="U540" s="299" t="s">
        <v>149</v>
      </c>
      <c r="V540" s="299"/>
      <c r="W540" s="118" t="s">
        <v>27</v>
      </c>
      <c r="X540" s="513">
        <f>ROUND(4*AB441*AE441^AF441*AD442,0)</f>
        <v>4398464</v>
      </c>
      <c r="Y540" s="513"/>
      <c r="Z540" s="513"/>
      <c r="AA540" s="513"/>
      <c r="AB540" s="513"/>
      <c r="AC540" s="365" t="s">
        <v>166</v>
      </c>
      <c r="AD540" s="365"/>
      <c r="AE540" s="118" t="s">
        <v>158</v>
      </c>
      <c r="AJ540" s="106"/>
      <c r="AK540" s="106"/>
      <c r="AL540" s="106"/>
      <c r="AM540" s="106"/>
      <c r="BG540" s="76"/>
      <c r="BH540" s="76"/>
      <c r="BI540" s="76"/>
      <c r="BJ540" s="76"/>
    </row>
    <row r="541" spans="1:62" ht="15.75" customHeight="1">
      <c r="E541" s="76"/>
      <c r="S541" s="2"/>
      <c r="X541" s="95"/>
      <c r="Y541" s="95"/>
      <c r="Z541" s="95"/>
      <c r="AA541" s="95"/>
      <c r="AB541" s="95"/>
      <c r="AC541" s="78"/>
      <c r="AD541" s="78"/>
      <c r="AJ541" s="106"/>
      <c r="AK541" s="106"/>
      <c r="AL541" s="106"/>
      <c r="AM541" s="106"/>
      <c r="BG541" s="76"/>
      <c r="BH541" s="76"/>
      <c r="BI541" s="76"/>
      <c r="BJ541" s="76"/>
    </row>
    <row r="542" spans="1:62" ht="15.75" customHeight="1">
      <c r="E542" s="89" t="s">
        <v>506</v>
      </c>
      <c r="S542" s="2"/>
      <c r="X542" s="95"/>
      <c r="Y542" s="95"/>
      <c r="Z542" s="95"/>
      <c r="AA542" s="95"/>
      <c r="AB542" s="95"/>
      <c r="AC542" s="78"/>
      <c r="AD542" s="78"/>
      <c r="AJ542" s="106"/>
      <c r="AK542" s="106"/>
      <c r="AL542" s="106"/>
      <c r="AM542" s="106"/>
      <c r="BG542" s="76"/>
      <c r="BH542" s="76"/>
      <c r="BI542" s="76"/>
      <c r="BJ542" s="76"/>
    </row>
    <row r="543" spans="1:62" ht="15.75" customHeight="1">
      <c r="E543" s="181" t="s">
        <v>507</v>
      </c>
      <c r="F543" s="181"/>
      <c r="G543" s="76" t="s">
        <v>508</v>
      </c>
      <c r="H543" s="406">
        <v>4.0799999237060547</v>
      </c>
      <c r="I543" s="406"/>
      <c r="J543" s="406"/>
      <c r="K543" s="76" t="s">
        <v>509</v>
      </c>
      <c r="S543" s="2"/>
      <c r="X543" s="95"/>
      <c r="Y543" s="95"/>
      <c r="Z543" s="95"/>
      <c r="AA543" s="95"/>
      <c r="AB543" s="95"/>
      <c r="AC543" s="78"/>
      <c r="AD543" s="78"/>
      <c r="AJ543" s="106"/>
      <c r="AK543" s="106"/>
      <c r="AL543" s="106"/>
      <c r="AM543" s="106"/>
      <c r="BG543" s="76"/>
      <c r="BH543" s="76"/>
      <c r="BI543" s="76"/>
      <c r="BJ543" s="76"/>
    </row>
    <row r="544" spans="1:62" s="82" customFormat="1" ht="15.75" customHeight="1">
      <c r="C544" s="96"/>
      <c r="H544" s="107"/>
      <c r="I544" s="107"/>
      <c r="J544" s="107"/>
      <c r="S544" s="97"/>
      <c r="X544" s="98"/>
      <c r="Y544" s="98"/>
      <c r="Z544" s="98"/>
      <c r="AA544" s="98"/>
      <c r="AB544" s="98"/>
      <c r="AC544" s="99"/>
      <c r="AD544" s="99"/>
      <c r="AJ544" s="108"/>
      <c r="AK544" s="108"/>
      <c r="AL544" s="108"/>
      <c r="AM544" s="108"/>
      <c r="AN544" s="108"/>
      <c r="AO544" s="108"/>
      <c r="AP544" s="108"/>
      <c r="AQ544" s="108"/>
      <c r="AR544" s="108"/>
      <c r="AS544" s="108"/>
      <c r="AT544" s="108"/>
      <c r="AU544" s="108"/>
      <c r="AV544" s="108"/>
      <c r="AW544" s="108"/>
      <c r="AX544" s="108"/>
      <c r="AY544" s="108"/>
      <c r="AZ544" s="108"/>
      <c r="BA544" s="108"/>
      <c r="BB544" s="108"/>
      <c r="BC544" s="108"/>
      <c r="BD544" s="108"/>
      <c r="BE544" s="108"/>
      <c r="BF544" s="108"/>
    </row>
    <row r="545" spans="1:62" ht="15.75" customHeight="1">
      <c r="E545" s="76"/>
      <c r="AJ545" s="106"/>
      <c r="AK545" s="106"/>
      <c r="AL545" s="106"/>
      <c r="AM545" s="106"/>
      <c r="BG545" s="76"/>
      <c r="BH545" s="76"/>
      <c r="BI545" s="76"/>
      <c r="BJ545" s="76"/>
    </row>
    <row r="546" spans="1:62" s="1" customFormat="1" ht="15.75" hidden="1" customHeight="1">
      <c r="A546" s="73" t="str">
        <f>IF(液状化L1の有無="","","×")</f>
        <v>×</v>
      </c>
      <c r="E546" s="64" t="s">
        <v>556</v>
      </c>
      <c r="F546" s="64"/>
      <c r="G546" s="64"/>
      <c r="H546" s="64"/>
      <c r="I546" s="64"/>
      <c r="J546" s="64"/>
      <c r="K546" s="64"/>
      <c r="L546" s="64"/>
      <c r="M546" s="64"/>
      <c r="N546" s="64"/>
      <c r="O546" s="64"/>
      <c r="P546" s="64"/>
      <c r="Q546" s="64"/>
      <c r="R546" s="64"/>
      <c r="S546" s="64"/>
      <c r="T546" s="64"/>
      <c r="U546" s="64"/>
      <c r="V546" s="64"/>
      <c r="W546" s="64"/>
      <c r="X546" s="64"/>
      <c r="Y546" s="64"/>
      <c r="Z546" s="64"/>
      <c r="AA546" s="64"/>
      <c r="AB546" s="64"/>
      <c r="AC546" s="64"/>
      <c r="AD546" s="64"/>
      <c r="AE546" s="64"/>
    </row>
    <row r="547" spans="1:62" s="1" customFormat="1" ht="15.75" hidden="1" customHeight="1">
      <c r="A547" s="73" t="str">
        <f>IF(液状化L1の有無="","","×")</f>
        <v>×</v>
      </c>
      <c r="E547" s="185" t="s">
        <v>78</v>
      </c>
      <c r="F547" s="146"/>
      <c r="G547" s="146"/>
      <c r="H547" s="188" t="s">
        <v>159</v>
      </c>
      <c r="I547" s="217"/>
      <c r="J547" s="217"/>
      <c r="K547" s="146" t="s">
        <v>160</v>
      </c>
      <c r="L547" s="146"/>
      <c r="M547" s="146"/>
      <c r="N547" s="146"/>
      <c r="O547" s="146" t="s">
        <v>164</v>
      </c>
      <c r="P547" s="146"/>
      <c r="Q547" s="146"/>
      <c r="R547" s="146"/>
      <c r="S547" s="146"/>
      <c r="T547" s="146" t="s">
        <v>161</v>
      </c>
      <c r="U547" s="146"/>
      <c r="V547" s="146"/>
      <c r="W547" s="146"/>
      <c r="X547" s="146" t="s">
        <v>162</v>
      </c>
      <c r="Y547" s="146"/>
      <c r="Z547" s="146"/>
      <c r="AA547" s="146"/>
      <c r="AB547" s="146" t="s">
        <v>163</v>
      </c>
      <c r="AC547" s="146"/>
      <c r="AD547" s="146"/>
      <c r="AE547" s="221"/>
    </row>
    <row r="548" spans="1:62" s="1" customFormat="1" ht="15.75" hidden="1" customHeight="1">
      <c r="A548" s="73" t="str">
        <f>IF(液状化L1の有無="","","×")</f>
        <v>×</v>
      </c>
      <c r="E548" s="186"/>
      <c r="F548" s="187"/>
      <c r="G548" s="187"/>
      <c r="H548" s="218"/>
      <c r="I548" s="218"/>
      <c r="J548" s="218"/>
      <c r="K548" s="187"/>
      <c r="L548" s="187"/>
      <c r="M548" s="187"/>
      <c r="N548" s="187"/>
      <c r="O548" s="187"/>
      <c r="P548" s="187"/>
      <c r="Q548" s="187"/>
      <c r="R548" s="187"/>
      <c r="S548" s="187"/>
      <c r="T548" s="187"/>
      <c r="U548" s="187"/>
      <c r="V548" s="187"/>
      <c r="W548" s="187"/>
      <c r="X548" s="187"/>
      <c r="Y548" s="187"/>
      <c r="Z548" s="187"/>
      <c r="AA548" s="187"/>
      <c r="AB548" s="187"/>
      <c r="AC548" s="187"/>
      <c r="AD548" s="187"/>
      <c r="AE548" s="222"/>
    </row>
    <row r="549" spans="1:62" s="1" customFormat="1" ht="15.75" hidden="1" customHeight="1">
      <c r="A549" s="73" t="str">
        <f>IF(液状化L1の有無="×","×",IF(E549="","×",""))</f>
        <v>×</v>
      </c>
      <c r="E549" s="224">
        <f>E524</f>
        <v>3</v>
      </c>
      <c r="F549" s="165"/>
      <c r="G549" s="165"/>
      <c r="H549" s="149">
        <f>H524</f>
        <v>3</v>
      </c>
      <c r="I549" s="149"/>
      <c r="J549" s="149"/>
      <c r="K549" s="395">
        <f>Z295</f>
        <v>13000</v>
      </c>
      <c r="L549" s="165"/>
      <c r="M549" s="165"/>
      <c r="N549" s="165"/>
      <c r="O549" s="165">
        <f t="shared" ref="O549:O564" si="61">IF(K549="","",ROUND(K549/$X$565,6))</f>
        <v>2.9559999999999999E-3</v>
      </c>
      <c r="P549" s="165"/>
      <c r="Q549" s="165"/>
      <c r="R549" s="165"/>
      <c r="S549" s="165"/>
      <c r="T549" s="165">
        <f>IF(O549="","",ROUND(O549^0.25,4))</f>
        <v>0.23319999999999999</v>
      </c>
      <c r="U549" s="165"/>
      <c r="V549" s="165"/>
      <c r="W549" s="165"/>
      <c r="X549" s="403">
        <f t="shared" ref="X549:X564" si="62">IF(T549="","",ROUND(T549*H549,4))</f>
        <v>0.6996</v>
      </c>
      <c r="Y549" s="403"/>
      <c r="Z549" s="403"/>
      <c r="AA549" s="403"/>
      <c r="AB549" s="385">
        <f>IF(X549="","",SUM(X$549:X549))</f>
        <v>0.6996</v>
      </c>
      <c r="AC549" s="385"/>
      <c r="AD549" s="385"/>
      <c r="AE549" s="386"/>
    </row>
    <row r="550" spans="1:62" s="1" customFormat="1" ht="15.75" hidden="1" customHeight="1">
      <c r="A550" s="73" t="str">
        <f>IF(液状化L1の有無="×","×",IF(E550="","×",""))</f>
        <v>×</v>
      </c>
      <c r="E550" s="219">
        <f>E525</f>
        <v>4</v>
      </c>
      <c r="F550" s="159"/>
      <c r="G550" s="159"/>
      <c r="H550" s="158">
        <f>H525</f>
        <v>5</v>
      </c>
      <c r="I550" s="158"/>
      <c r="J550" s="158"/>
      <c r="K550" s="398">
        <f>Z296</f>
        <v>26710</v>
      </c>
      <c r="L550" s="205"/>
      <c r="M550" s="205"/>
      <c r="N550" s="205"/>
      <c r="O550" s="205">
        <f t="shared" si="61"/>
        <v>6.0730000000000003E-3</v>
      </c>
      <c r="P550" s="205"/>
      <c r="Q550" s="205"/>
      <c r="R550" s="205"/>
      <c r="S550" s="205"/>
      <c r="T550" s="205">
        <f t="shared" ref="T550:T564" si="63">IF(O550="","",ROUND(O550^0.25,4))</f>
        <v>0.2792</v>
      </c>
      <c r="U550" s="205"/>
      <c r="V550" s="205"/>
      <c r="W550" s="205"/>
      <c r="X550" s="405">
        <f t="shared" si="62"/>
        <v>1.3959999999999999</v>
      </c>
      <c r="Y550" s="405"/>
      <c r="Z550" s="405"/>
      <c r="AA550" s="405"/>
      <c r="AB550" s="378">
        <f>IF(X550="","",SUM(X$549:X550))</f>
        <v>2.0956000000000001</v>
      </c>
      <c r="AC550" s="378"/>
      <c r="AD550" s="378"/>
      <c r="AE550" s="379"/>
    </row>
    <row r="551" spans="1:62" s="1" customFormat="1" ht="15.75" hidden="1" customHeight="1">
      <c r="A551" s="73" t="str">
        <f>IF(液状化L1の有無="×","×",IF(E551="","×",""))</f>
        <v>×</v>
      </c>
      <c r="E551" s="219">
        <f>E526</f>
        <v>5</v>
      </c>
      <c r="F551" s="159"/>
      <c r="G551" s="159"/>
      <c r="H551" s="158">
        <f>H526</f>
        <v>8</v>
      </c>
      <c r="I551" s="158"/>
      <c r="J551" s="158"/>
      <c r="K551" s="398">
        <f>Z297</f>
        <v>30400</v>
      </c>
      <c r="L551" s="205"/>
      <c r="M551" s="205"/>
      <c r="N551" s="205"/>
      <c r="O551" s="205">
        <f t="shared" si="61"/>
        <v>6.9119999999999997E-3</v>
      </c>
      <c r="P551" s="205"/>
      <c r="Q551" s="205"/>
      <c r="R551" s="205"/>
      <c r="S551" s="205"/>
      <c r="T551" s="205">
        <f t="shared" si="63"/>
        <v>0.2883</v>
      </c>
      <c r="U551" s="205"/>
      <c r="V551" s="205"/>
      <c r="W551" s="205"/>
      <c r="X551" s="405">
        <f t="shared" si="62"/>
        <v>2.3064</v>
      </c>
      <c r="Y551" s="405"/>
      <c r="Z551" s="405"/>
      <c r="AA551" s="405"/>
      <c r="AB551" s="378">
        <f>IF(X551="","",SUM(X$549:X551))</f>
        <v>4.4020000000000001</v>
      </c>
      <c r="AC551" s="378"/>
      <c r="AD551" s="378"/>
      <c r="AE551" s="379"/>
    </row>
    <row r="552" spans="1:62" s="1" customFormat="1" ht="15.75" hidden="1" customHeight="1">
      <c r="A552" s="73" t="str">
        <f>IF(液状化L1の有無="×","×",IF(E552="","×",""))</f>
        <v>×</v>
      </c>
      <c r="E552" s="219">
        <f>E527</f>
        <v>6</v>
      </c>
      <c r="F552" s="159"/>
      <c r="G552" s="159"/>
      <c r="H552" s="158">
        <f>H527</f>
        <v>4.5</v>
      </c>
      <c r="I552" s="158"/>
      <c r="J552" s="158"/>
      <c r="K552" s="398">
        <f>Z298</f>
        <v>43340</v>
      </c>
      <c r="L552" s="205"/>
      <c r="M552" s="205"/>
      <c r="N552" s="205"/>
      <c r="O552" s="205">
        <f t="shared" si="61"/>
        <v>9.8530000000000006E-3</v>
      </c>
      <c r="P552" s="205"/>
      <c r="Q552" s="205"/>
      <c r="R552" s="205"/>
      <c r="S552" s="205"/>
      <c r="T552" s="205">
        <f t="shared" si="63"/>
        <v>0.31509999999999999</v>
      </c>
      <c r="U552" s="205"/>
      <c r="V552" s="205"/>
      <c r="W552" s="205"/>
      <c r="X552" s="405">
        <f t="shared" si="62"/>
        <v>1.4179999999999999</v>
      </c>
      <c r="Y552" s="405"/>
      <c r="Z552" s="405"/>
      <c r="AA552" s="405"/>
      <c r="AB552" s="378">
        <f>IF(X552="","",SUM(X$549:X552))</f>
        <v>5.82</v>
      </c>
      <c r="AC552" s="378"/>
      <c r="AD552" s="378"/>
      <c r="AE552" s="379"/>
    </row>
    <row r="553" spans="1:62" s="1" customFormat="1" ht="15.75" hidden="1" customHeight="1">
      <c r="A553" s="73" t="str">
        <f>IF(液状化L1の有無="×","×",IF(E553="","×",""))</f>
        <v>×</v>
      </c>
      <c r="E553" s="219">
        <f>E528</f>
        <v>7</v>
      </c>
      <c r="F553" s="159"/>
      <c r="G553" s="159"/>
      <c r="H553" s="158">
        <f>H528</f>
        <v>0.5</v>
      </c>
      <c r="I553" s="158"/>
      <c r="J553" s="158"/>
      <c r="K553" s="398">
        <f>Z299</f>
        <v>85640</v>
      </c>
      <c r="L553" s="205"/>
      <c r="M553" s="205"/>
      <c r="N553" s="205"/>
      <c r="O553" s="205">
        <f t="shared" si="61"/>
        <v>1.9470000000000001E-2</v>
      </c>
      <c r="P553" s="205"/>
      <c r="Q553" s="205"/>
      <c r="R553" s="205"/>
      <c r="S553" s="205"/>
      <c r="T553" s="205">
        <f t="shared" si="63"/>
        <v>0.3735</v>
      </c>
      <c r="U553" s="205"/>
      <c r="V553" s="205"/>
      <c r="W553" s="205"/>
      <c r="X553" s="405">
        <f t="shared" si="62"/>
        <v>0.18679999999999999</v>
      </c>
      <c r="Y553" s="405"/>
      <c r="Z553" s="405"/>
      <c r="AA553" s="405"/>
      <c r="AB553" s="378">
        <f>IF(X553="","",SUM(X$549:X553))</f>
        <v>6.0068000000000001</v>
      </c>
      <c r="AC553" s="378"/>
      <c r="AD553" s="378"/>
      <c r="AE553" s="379"/>
    </row>
    <row r="554" spans="1:62" s="1" customFormat="1" ht="15.75" hidden="1" customHeight="1">
      <c r="A554" s="73" t="str">
        <f>IF(液状化L1の有無="×","×",IF(E554="","×",""))</f>
        <v>×</v>
      </c>
      <c r="E554" s="219" t="str">
        <f>E529</f>
        <v/>
      </c>
      <c r="F554" s="159"/>
      <c r="G554" s="159"/>
      <c r="H554" s="158">
        <f>H529</f>
        <v>0</v>
      </c>
      <c r="I554" s="158"/>
      <c r="J554" s="158"/>
      <c r="K554" s="398" t="str">
        <f>Z300</f>
        <v/>
      </c>
      <c r="L554" s="205"/>
      <c r="M554" s="205"/>
      <c r="N554" s="205"/>
      <c r="O554" s="205" t="str">
        <f t="shared" si="61"/>
        <v/>
      </c>
      <c r="P554" s="205"/>
      <c r="Q554" s="205"/>
      <c r="R554" s="205"/>
      <c r="S554" s="205"/>
      <c r="T554" s="205" t="str">
        <f t="shared" si="63"/>
        <v/>
      </c>
      <c r="U554" s="205"/>
      <c r="V554" s="205"/>
      <c r="W554" s="205"/>
      <c r="X554" s="405" t="str">
        <f t="shared" si="62"/>
        <v/>
      </c>
      <c r="Y554" s="405"/>
      <c r="Z554" s="405"/>
      <c r="AA554" s="405"/>
      <c r="AB554" s="378" t="str">
        <f>IF(X554="","",SUM(X$549:X554))</f>
        <v/>
      </c>
      <c r="AC554" s="378"/>
      <c r="AD554" s="378"/>
      <c r="AE554" s="379"/>
    </row>
    <row r="555" spans="1:62" s="1" customFormat="1" ht="15.75" hidden="1" customHeight="1">
      <c r="A555" s="73" t="str">
        <f>IF(液状化L1の有無="×","×",IF(E555="","×",""))</f>
        <v>×</v>
      </c>
      <c r="E555" s="219" t="str">
        <f>E530</f>
        <v/>
      </c>
      <c r="F555" s="159"/>
      <c r="G555" s="159"/>
      <c r="H555" s="158">
        <f>H530</f>
        <v>0</v>
      </c>
      <c r="I555" s="158"/>
      <c r="J555" s="158"/>
      <c r="K555" s="398" t="str">
        <f>Z301</f>
        <v/>
      </c>
      <c r="L555" s="205"/>
      <c r="M555" s="205"/>
      <c r="N555" s="205"/>
      <c r="O555" s="205" t="str">
        <f t="shared" si="61"/>
        <v/>
      </c>
      <c r="P555" s="205"/>
      <c r="Q555" s="205"/>
      <c r="R555" s="205"/>
      <c r="S555" s="205"/>
      <c r="T555" s="205" t="str">
        <f t="shared" si="63"/>
        <v/>
      </c>
      <c r="U555" s="205"/>
      <c r="V555" s="205"/>
      <c r="W555" s="205"/>
      <c r="X555" s="405" t="str">
        <f t="shared" si="62"/>
        <v/>
      </c>
      <c r="Y555" s="405"/>
      <c r="Z555" s="405"/>
      <c r="AA555" s="405"/>
      <c r="AB555" s="378" t="str">
        <f>IF(X555="","",SUM(X$549:X555))</f>
        <v/>
      </c>
      <c r="AC555" s="378"/>
      <c r="AD555" s="378"/>
      <c r="AE555" s="379"/>
    </row>
    <row r="556" spans="1:62" s="1" customFormat="1" ht="15.75" hidden="1" customHeight="1">
      <c r="A556" s="73" t="str">
        <f>IF(液状化L1の有無="×","×",IF(E556="","×",""))</f>
        <v>×</v>
      </c>
      <c r="E556" s="219" t="str">
        <f>E531</f>
        <v/>
      </c>
      <c r="F556" s="159"/>
      <c r="G556" s="159"/>
      <c r="H556" s="158">
        <f>H531</f>
        <v>0</v>
      </c>
      <c r="I556" s="158"/>
      <c r="J556" s="158"/>
      <c r="K556" s="398" t="str">
        <f>Z302</f>
        <v/>
      </c>
      <c r="L556" s="205"/>
      <c r="M556" s="205"/>
      <c r="N556" s="205"/>
      <c r="O556" s="205" t="str">
        <f t="shared" si="61"/>
        <v/>
      </c>
      <c r="P556" s="205"/>
      <c r="Q556" s="205"/>
      <c r="R556" s="205"/>
      <c r="S556" s="205"/>
      <c r="T556" s="205" t="str">
        <f t="shared" si="63"/>
        <v/>
      </c>
      <c r="U556" s="205"/>
      <c r="V556" s="205"/>
      <c r="W556" s="205"/>
      <c r="X556" s="405" t="str">
        <f t="shared" si="62"/>
        <v/>
      </c>
      <c r="Y556" s="405"/>
      <c r="Z556" s="405"/>
      <c r="AA556" s="405"/>
      <c r="AB556" s="378" t="str">
        <f>IF(X556="","",SUM(X$549:X556))</f>
        <v/>
      </c>
      <c r="AC556" s="378"/>
      <c r="AD556" s="378"/>
      <c r="AE556" s="379"/>
    </row>
    <row r="557" spans="1:62" s="1" customFormat="1" ht="15.75" hidden="1" customHeight="1">
      <c r="A557" s="73" t="str">
        <f>IF(液状化L1の有無="×","×",IF(E557="","×",""))</f>
        <v>×</v>
      </c>
      <c r="E557" s="219" t="str">
        <f>E532</f>
        <v/>
      </c>
      <c r="F557" s="159"/>
      <c r="G557" s="159"/>
      <c r="H557" s="158">
        <f>H532</f>
        <v>0</v>
      </c>
      <c r="I557" s="158"/>
      <c r="J557" s="158"/>
      <c r="K557" s="398" t="str">
        <f>Z303</f>
        <v/>
      </c>
      <c r="L557" s="205"/>
      <c r="M557" s="205"/>
      <c r="N557" s="205"/>
      <c r="O557" s="205" t="str">
        <f t="shared" si="61"/>
        <v/>
      </c>
      <c r="P557" s="205"/>
      <c r="Q557" s="205"/>
      <c r="R557" s="205"/>
      <c r="S557" s="205"/>
      <c r="T557" s="205" t="str">
        <f t="shared" si="63"/>
        <v/>
      </c>
      <c r="U557" s="205"/>
      <c r="V557" s="205"/>
      <c r="W557" s="205"/>
      <c r="X557" s="405" t="str">
        <f t="shared" si="62"/>
        <v/>
      </c>
      <c r="Y557" s="405"/>
      <c r="Z557" s="405"/>
      <c r="AA557" s="405"/>
      <c r="AB557" s="378" t="str">
        <f>IF(X557="","",SUM(X$549:X557))</f>
        <v/>
      </c>
      <c r="AC557" s="378"/>
      <c r="AD557" s="378"/>
      <c r="AE557" s="379"/>
    </row>
    <row r="558" spans="1:62" s="1" customFormat="1" ht="15.75" hidden="1" customHeight="1">
      <c r="A558" s="73" t="str">
        <f>IF(液状化L1の有無="×","×",IF(E558="","×",""))</f>
        <v>×</v>
      </c>
      <c r="E558" s="219" t="str">
        <f>E533</f>
        <v/>
      </c>
      <c r="F558" s="159"/>
      <c r="G558" s="159"/>
      <c r="H558" s="158">
        <f>H533</f>
        <v>0</v>
      </c>
      <c r="I558" s="158"/>
      <c r="J558" s="158"/>
      <c r="K558" s="398" t="str">
        <f>Z304</f>
        <v/>
      </c>
      <c r="L558" s="205"/>
      <c r="M558" s="205"/>
      <c r="N558" s="205"/>
      <c r="O558" s="205" t="str">
        <f t="shared" si="61"/>
        <v/>
      </c>
      <c r="P558" s="205"/>
      <c r="Q558" s="205"/>
      <c r="R558" s="205"/>
      <c r="S558" s="205"/>
      <c r="T558" s="205" t="str">
        <f t="shared" si="63"/>
        <v/>
      </c>
      <c r="U558" s="205"/>
      <c r="V558" s="205"/>
      <c r="W558" s="205"/>
      <c r="X558" s="405" t="str">
        <f t="shared" si="62"/>
        <v/>
      </c>
      <c r="Y558" s="405"/>
      <c r="Z558" s="405"/>
      <c r="AA558" s="405"/>
      <c r="AB558" s="378" t="str">
        <f>IF(X558="","",SUM(X$549:X558))</f>
        <v/>
      </c>
      <c r="AC558" s="378"/>
      <c r="AD558" s="378"/>
      <c r="AE558" s="379"/>
    </row>
    <row r="559" spans="1:62" s="1" customFormat="1" ht="15.75" hidden="1" customHeight="1">
      <c r="A559" s="73" t="str">
        <f>IF(液状化L1の有無="×","×",IF(E559="","×",""))</f>
        <v>×</v>
      </c>
      <c r="E559" s="219" t="str">
        <f>E534</f>
        <v/>
      </c>
      <c r="F559" s="159"/>
      <c r="G559" s="159"/>
      <c r="H559" s="158">
        <f>H534</f>
        <v>0</v>
      </c>
      <c r="I559" s="158"/>
      <c r="J559" s="158"/>
      <c r="K559" s="398" t="str">
        <f>Z305</f>
        <v/>
      </c>
      <c r="L559" s="205"/>
      <c r="M559" s="205"/>
      <c r="N559" s="205"/>
      <c r="O559" s="205" t="str">
        <f t="shared" si="61"/>
        <v/>
      </c>
      <c r="P559" s="205"/>
      <c r="Q559" s="205"/>
      <c r="R559" s="205"/>
      <c r="S559" s="205"/>
      <c r="T559" s="205" t="str">
        <f t="shared" si="63"/>
        <v/>
      </c>
      <c r="U559" s="205"/>
      <c r="V559" s="205"/>
      <c r="W559" s="205"/>
      <c r="X559" s="405" t="str">
        <f t="shared" si="62"/>
        <v/>
      </c>
      <c r="Y559" s="405"/>
      <c r="Z559" s="405"/>
      <c r="AA559" s="405"/>
      <c r="AB559" s="378" t="str">
        <f>IF(X559="","",SUM(X$549:X559))</f>
        <v/>
      </c>
      <c r="AC559" s="378"/>
      <c r="AD559" s="378"/>
      <c r="AE559" s="379"/>
    </row>
    <row r="560" spans="1:62" s="1" customFormat="1" ht="15.75" hidden="1" customHeight="1">
      <c r="A560" s="73" t="str">
        <f>IF(液状化L1の有無="×","×",IF(E560="","×",""))</f>
        <v>×</v>
      </c>
      <c r="E560" s="219" t="str">
        <f>E535</f>
        <v/>
      </c>
      <c r="F560" s="159"/>
      <c r="G560" s="159"/>
      <c r="H560" s="158">
        <f>H535</f>
        <v>0</v>
      </c>
      <c r="I560" s="158"/>
      <c r="J560" s="158"/>
      <c r="K560" s="398" t="str">
        <f>Z306</f>
        <v/>
      </c>
      <c r="L560" s="205"/>
      <c r="M560" s="205"/>
      <c r="N560" s="205"/>
      <c r="O560" s="205" t="str">
        <f t="shared" si="61"/>
        <v/>
      </c>
      <c r="P560" s="205"/>
      <c r="Q560" s="205"/>
      <c r="R560" s="205"/>
      <c r="S560" s="205"/>
      <c r="T560" s="205" t="str">
        <f t="shared" si="63"/>
        <v/>
      </c>
      <c r="U560" s="205"/>
      <c r="V560" s="205"/>
      <c r="W560" s="205"/>
      <c r="X560" s="405" t="str">
        <f t="shared" si="62"/>
        <v/>
      </c>
      <c r="Y560" s="405"/>
      <c r="Z560" s="405"/>
      <c r="AA560" s="405"/>
      <c r="AB560" s="378" t="str">
        <f>IF(X560="","",SUM(X$549:X560))</f>
        <v/>
      </c>
      <c r="AC560" s="378"/>
      <c r="AD560" s="378"/>
      <c r="AE560" s="379"/>
    </row>
    <row r="561" spans="1:62" s="1" customFormat="1" ht="15.75" hidden="1" customHeight="1">
      <c r="A561" s="73" t="str">
        <f>IF(液状化L1の有無="×","×",IF(E561="","×",""))</f>
        <v>×</v>
      </c>
      <c r="E561" s="219" t="str">
        <f>E536</f>
        <v/>
      </c>
      <c r="F561" s="159"/>
      <c r="G561" s="159"/>
      <c r="H561" s="158">
        <f>H536</f>
        <v>0</v>
      </c>
      <c r="I561" s="158"/>
      <c r="J561" s="158"/>
      <c r="K561" s="398" t="str">
        <f>Z307</f>
        <v/>
      </c>
      <c r="L561" s="205"/>
      <c r="M561" s="205"/>
      <c r="N561" s="205"/>
      <c r="O561" s="205" t="str">
        <f t="shared" si="61"/>
        <v/>
      </c>
      <c r="P561" s="205"/>
      <c r="Q561" s="205"/>
      <c r="R561" s="205"/>
      <c r="S561" s="205"/>
      <c r="T561" s="205" t="str">
        <f t="shared" si="63"/>
        <v/>
      </c>
      <c r="U561" s="205"/>
      <c r="V561" s="205"/>
      <c r="W561" s="205"/>
      <c r="X561" s="405" t="str">
        <f t="shared" si="62"/>
        <v/>
      </c>
      <c r="Y561" s="405"/>
      <c r="Z561" s="405"/>
      <c r="AA561" s="405"/>
      <c r="AB561" s="378" t="str">
        <f>IF(X561="","",SUM(X$549:X561))</f>
        <v/>
      </c>
      <c r="AC561" s="378"/>
      <c r="AD561" s="378"/>
      <c r="AE561" s="379"/>
    </row>
    <row r="562" spans="1:62" s="1" customFormat="1" ht="15.75" hidden="1" customHeight="1">
      <c r="A562" s="73" t="str">
        <f>IF(液状化L1の有無="×","×",IF(E562="","×",""))</f>
        <v>×</v>
      </c>
      <c r="E562" s="219" t="str">
        <f>E537</f>
        <v/>
      </c>
      <c r="F562" s="159"/>
      <c r="G562" s="159"/>
      <c r="H562" s="158">
        <f>H537</f>
        <v>0</v>
      </c>
      <c r="I562" s="158"/>
      <c r="J562" s="158"/>
      <c r="K562" s="398" t="str">
        <f>Z308</f>
        <v/>
      </c>
      <c r="L562" s="205"/>
      <c r="M562" s="205"/>
      <c r="N562" s="205"/>
      <c r="O562" s="205" t="str">
        <f t="shared" si="61"/>
        <v/>
      </c>
      <c r="P562" s="205"/>
      <c r="Q562" s="205"/>
      <c r="R562" s="205"/>
      <c r="S562" s="205"/>
      <c r="T562" s="205" t="str">
        <f t="shared" si="63"/>
        <v/>
      </c>
      <c r="U562" s="205"/>
      <c r="V562" s="205"/>
      <c r="W562" s="205"/>
      <c r="X562" s="405" t="str">
        <f t="shared" si="62"/>
        <v/>
      </c>
      <c r="Y562" s="405"/>
      <c r="Z562" s="405"/>
      <c r="AA562" s="405"/>
      <c r="AB562" s="378" t="str">
        <f>IF(X562="","",SUM(X$549:X562))</f>
        <v/>
      </c>
      <c r="AC562" s="378"/>
      <c r="AD562" s="378"/>
      <c r="AE562" s="379"/>
    </row>
    <row r="563" spans="1:62" s="1" customFormat="1" ht="15.75" hidden="1" customHeight="1">
      <c r="A563" s="73" t="str">
        <f>IF(液状化L1の有無="×","×",IF(E563="","×",""))</f>
        <v>×</v>
      </c>
      <c r="E563" s="219" t="str">
        <f>E538</f>
        <v/>
      </c>
      <c r="F563" s="159"/>
      <c r="G563" s="159"/>
      <c r="H563" s="158">
        <f>H538</f>
        <v>0</v>
      </c>
      <c r="I563" s="158"/>
      <c r="J563" s="158"/>
      <c r="K563" s="398" t="str">
        <f>Z309</f>
        <v/>
      </c>
      <c r="L563" s="205"/>
      <c r="M563" s="205"/>
      <c r="N563" s="205"/>
      <c r="O563" s="205" t="str">
        <f t="shared" si="61"/>
        <v/>
      </c>
      <c r="P563" s="205"/>
      <c r="Q563" s="205"/>
      <c r="R563" s="205"/>
      <c r="S563" s="205"/>
      <c r="T563" s="205" t="str">
        <f t="shared" si="63"/>
        <v/>
      </c>
      <c r="U563" s="205"/>
      <c r="V563" s="205"/>
      <c r="W563" s="205"/>
      <c r="X563" s="405" t="str">
        <f t="shared" si="62"/>
        <v/>
      </c>
      <c r="Y563" s="405"/>
      <c r="Z563" s="405"/>
      <c r="AA563" s="405"/>
      <c r="AB563" s="378" t="str">
        <f>IF(X563="","",SUM(X$549:X563))</f>
        <v/>
      </c>
      <c r="AC563" s="378"/>
      <c r="AD563" s="378"/>
      <c r="AE563" s="379"/>
    </row>
    <row r="564" spans="1:62" s="1" customFormat="1" ht="15.75" hidden="1" customHeight="1">
      <c r="A564" s="73" t="str">
        <f>IF(液状化L1の有無="×","×",IF(E564="","×",""))</f>
        <v>×</v>
      </c>
      <c r="E564" s="392" t="str">
        <f>E539</f>
        <v/>
      </c>
      <c r="F564" s="154"/>
      <c r="G564" s="154"/>
      <c r="H564" s="153">
        <f>H539</f>
        <v>0</v>
      </c>
      <c r="I564" s="153"/>
      <c r="J564" s="153"/>
      <c r="K564" s="401" t="str">
        <f>Z310</f>
        <v/>
      </c>
      <c r="L564" s="208"/>
      <c r="M564" s="208"/>
      <c r="N564" s="208"/>
      <c r="O564" s="208" t="str">
        <f t="shared" si="61"/>
        <v/>
      </c>
      <c r="P564" s="208"/>
      <c r="Q564" s="208"/>
      <c r="R564" s="208"/>
      <c r="S564" s="208"/>
      <c r="T564" s="208" t="str">
        <f t="shared" si="63"/>
        <v/>
      </c>
      <c r="U564" s="208"/>
      <c r="V564" s="208"/>
      <c r="W564" s="208"/>
      <c r="X564" s="408" t="str">
        <f t="shared" si="62"/>
        <v/>
      </c>
      <c r="Y564" s="408"/>
      <c r="Z564" s="408"/>
      <c r="AA564" s="408"/>
      <c r="AB564" s="382" t="str">
        <f>IF(X564="","",SUM(X$549:X564))</f>
        <v/>
      </c>
      <c r="AC564" s="382"/>
      <c r="AD564" s="382"/>
      <c r="AE564" s="383"/>
    </row>
    <row r="565" spans="1:62" ht="15.75" hidden="1" customHeight="1">
      <c r="A565" s="73" t="str">
        <f>IF(液状化L1の有無="","","×")</f>
        <v>×</v>
      </c>
      <c r="E565" s="76"/>
      <c r="S565" s="2" t="s">
        <v>127</v>
      </c>
      <c r="T565" s="76">
        <v>4</v>
      </c>
      <c r="U565" s="181" t="s">
        <v>149</v>
      </c>
      <c r="V565" s="181"/>
      <c r="W565" s="76" t="s">
        <v>27</v>
      </c>
      <c r="X565" s="220">
        <f>X540</f>
        <v>4398464</v>
      </c>
      <c r="Y565" s="220"/>
      <c r="Z565" s="220"/>
      <c r="AA565" s="220"/>
      <c r="AB565" s="220"/>
      <c r="AC565" s="211" t="s">
        <v>166</v>
      </c>
      <c r="AD565" s="211"/>
      <c r="AE565" s="76" t="s">
        <v>158</v>
      </c>
      <c r="AJ565" s="106"/>
      <c r="AK565" s="106"/>
      <c r="AL565" s="106"/>
      <c r="AM565" s="106"/>
      <c r="BG565" s="76"/>
      <c r="BH565" s="76"/>
      <c r="BI565" s="76"/>
      <c r="BJ565" s="76"/>
    </row>
    <row r="566" spans="1:62" ht="15.75" hidden="1" customHeight="1">
      <c r="A566" s="73" t="str">
        <f>IF(液状化L1の有無="","","×")</f>
        <v>×</v>
      </c>
      <c r="E566" s="76"/>
      <c r="S566" s="2"/>
      <c r="X566" s="95"/>
      <c r="Y566" s="95"/>
      <c r="Z566" s="95"/>
      <c r="AA566" s="95"/>
      <c r="AB566" s="95"/>
      <c r="AC566" s="78"/>
      <c r="AD566" s="78"/>
      <c r="AJ566" s="106"/>
      <c r="AK566" s="106"/>
      <c r="AL566" s="106"/>
      <c r="AM566" s="106"/>
      <c r="BG566" s="76"/>
      <c r="BH566" s="76"/>
      <c r="BI566" s="76"/>
      <c r="BJ566" s="76"/>
    </row>
    <row r="567" spans="1:62" ht="15.75" hidden="1" customHeight="1">
      <c r="A567" s="73" t="str">
        <f>IF(液状化L1の有無="","","×")</f>
        <v>×</v>
      </c>
      <c r="E567" s="89" t="s">
        <v>506</v>
      </c>
      <c r="S567" s="2"/>
      <c r="X567" s="95"/>
      <c r="Y567" s="95"/>
      <c r="Z567" s="95"/>
      <c r="AA567" s="95"/>
      <c r="AB567" s="95"/>
      <c r="AC567" s="78"/>
      <c r="AD567" s="78"/>
      <c r="AJ567" s="106"/>
      <c r="AK567" s="106"/>
      <c r="AL567" s="106"/>
      <c r="AM567" s="106"/>
      <c r="BG567" s="76"/>
      <c r="BH567" s="76"/>
      <c r="BI567" s="76"/>
      <c r="BJ567" s="76"/>
    </row>
    <row r="568" spans="1:62" ht="15.75" hidden="1" customHeight="1">
      <c r="A568" s="73" t="str">
        <f>IF(液状化L1の有無="","","×")</f>
        <v>×</v>
      </c>
      <c r="E568" s="181" t="s">
        <v>507</v>
      </c>
      <c r="F568" s="181"/>
      <c r="G568" s="76" t="s">
        <v>508</v>
      </c>
      <c r="H568" s="406">
        <v>4.0799999237060547</v>
      </c>
      <c r="I568" s="406"/>
      <c r="J568" s="406"/>
      <c r="K568" s="76" t="s">
        <v>509</v>
      </c>
      <c r="S568" s="2"/>
      <c r="X568" s="95"/>
      <c r="Y568" s="95"/>
      <c r="Z568" s="95"/>
      <c r="AA568" s="95"/>
      <c r="AB568" s="95"/>
      <c r="AC568" s="78"/>
      <c r="AD568" s="78"/>
      <c r="AJ568" s="106"/>
      <c r="AK568" s="106"/>
      <c r="AL568" s="106"/>
      <c r="AM568" s="106"/>
      <c r="BG568" s="76"/>
      <c r="BH568" s="76"/>
      <c r="BI568" s="76"/>
      <c r="BJ568" s="76"/>
    </row>
    <row r="569" spans="1:62" s="82" customFormat="1" ht="15.75" customHeight="1">
      <c r="C569" s="96"/>
      <c r="H569" s="107"/>
      <c r="I569" s="107"/>
      <c r="J569" s="107"/>
      <c r="S569" s="97"/>
      <c r="X569" s="98"/>
      <c r="Y569" s="98"/>
      <c r="Z569" s="98"/>
      <c r="AA569" s="98"/>
      <c r="AB569" s="98"/>
      <c r="AC569" s="99"/>
      <c r="AD569" s="99"/>
      <c r="AJ569" s="108"/>
      <c r="AK569" s="108"/>
      <c r="AL569" s="108"/>
      <c r="AM569" s="108"/>
      <c r="AN569" s="108"/>
      <c r="AO569" s="108"/>
      <c r="AP569" s="108"/>
      <c r="AQ569" s="108"/>
      <c r="AR569" s="108"/>
      <c r="AS569" s="108"/>
      <c r="AT569" s="108"/>
      <c r="AU569" s="108"/>
      <c r="AV569" s="108"/>
      <c r="AW569" s="108"/>
      <c r="AX569" s="108"/>
      <c r="AY569" s="108"/>
      <c r="AZ569" s="108"/>
      <c r="BA569" s="108"/>
      <c r="BB569" s="108"/>
      <c r="BC569" s="108"/>
      <c r="BD569" s="108"/>
      <c r="BE569" s="108"/>
      <c r="BF569" s="108"/>
    </row>
    <row r="570" spans="1:62" ht="15.75" customHeight="1">
      <c r="E570" s="76"/>
      <c r="AJ570" s="106"/>
      <c r="AK570" s="106"/>
      <c r="AL570" s="106"/>
      <c r="AM570" s="106"/>
      <c r="BG570" s="76"/>
      <c r="BH570" s="76"/>
      <c r="BI570" s="76"/>
      <c r="BJ570" s="76"/>
    </row>
    <row r="571" spans="1:62" s="1" customFormat="1" ht="15.75" hidden="1" customHeight="1">
      <c r="A571" s="73" t="str">
        <f>IF(液状化L2の有無="","","×")</f>
        <v>×</v>
      </c>
      <c r="E571" s="64" t="s">
        <v>557</v>
      </c>
      <c r="F571" s="64"/>
      <c r="G571" s="64"/>
      <c r="H571" s="64"/>
      <c r="I571" s="64"/>
      <c r="J571" s="64"/>
      <c r="K571" s="64"/>
      <c r="L571" s="64"/>
      <c r="M571" s="64"/>
      <c r="N571" s="64"/>
      <c r="O571" s="64"/>
      <c r="P571" s="64"/>
      <c r="Q571" s="64"/>
      <c r="R571" s="64"/>
      <c r="S571" s="64"/>
      <c r="T571" s="64"/>
      <c r="U571" s="64"/>
      <c r="V571" s="64"/>
      <c r="W571" s="64"/>
      <c r="X571" s="64"/>
      <c r="Y571" s="64"/>
      <c r="Z571" s="64"/>
      <c r="AA571" s="64"/>
      <c r="AB571" s="64"/>
      <c r="AC571" s="64"/>
      <c r="AD571" s="64"/>
      <c r="AE571" s="64"/>
    </row>
    <row r="572" spans="1:62" s="1" customFormat="1" ht="15.75" hidden="1" customHeight="1">
      <c r="A572" s="73" t="str">
        <f>IF(液状化L2の有無="","","×")</f>
        <v>×</v>
      </c>
      <c r="E572" s="185" t="s">
        <v>78</v>
      </c>
      <c r="F572" s="146"/>
      <c r="G572" s="146"/>
      <c r="H572" s="188" t="s">
        <v>159</v>
      </c>
      <c r="I572" s="217"/>
      <c r="J572" s="217"/>
      <c r="K572" s="146" t="s">
        <v>160</v>
      </c>
      <c r="L572" s="146"/>
      <c r="M572" s="146"/>
      <c r="N572" s="146"/>
      <c r="O572" s="146" t="s">
        <v>164</v>
      </c>
      <c r="P572" s="146"/>
      <c r="Q572" s="146"/>
      <c r="R572" s="146"/>
      <c r="S572" s="146"/>
      <c r="T572" s="146" t="s">
        <v>161</v>
      </c>
      <c r="U572" s="146"/>
      <c r="V572" s="146"/>
      <c r="W572" s="146"/>
      <c r="X572" s="146" t="s">
        <v>162</v>
      </c>
      <c r="Y572" s="146"/>
      <c r="Z572" s="146"/>
      <c r="AA572" s="146"/>
      <c r="AB572" s="146" t="s">
        <v>163</v>
      </c>
      <c r="AC572" s="146"/>
      <c r="AD572" s="146"/>
      <c r="AE572" s="221"/>
    </row>
    <row r="573" spans="1:62" s="1" customFormat="1" ht="15.75" hidden="1" customHeight="1">
      <c r="A573" s="73" t="str">
        <f>IF(液状化L2の有無="","","×")</f>
        <v>×</v>
      </c>
      <c r="E573" s="186"/>
      <c r="F573" s="187"/>
      <c r="G573" s="187"/>
      <c r="H573" s="218"/>
      <c r="I573" s="218"/>
      <c r="J573" s="218"/>
      <c r="K573" s="187"/>
      <c r="L573" s="187"/>
      <c r="M573" s="187"/>
      <c r="N573" s="187"/>
      <c r="O573" s="187"/>
      <c r="P573" s="187"/>
      <c r="Q573" s="187"/>
      <c r="R573" s="187"/>
      <c r="S573" s="187"/>
      <c r="T573" s="187"/>
      <c r="U573" s="187"/>
      <c r="V573" s="187"/>
      <c r="W573" s="187"/>
      <c r="X573" s="187"/>
      <c r="Y573" s="187"/>
      <c r="Z573" s="187"/>
      <c r="AA573" s="187"/>
      <c r="AB573" s="187"/>
      <c r="AC573" s="187"/>
      <c r="AD573" s="187"/>
      <c r="AE573" s="222"/>
    </row>
    <row r="574" spans="1:62" s="1" customFormat="1" ht="15.75" hidden="1" customHeight="1">
      <c r="A574" s="73" t="str">
        <f>IF(液状化L2の有無="×","×",IF(E574="","×",""))</f>
        <v>×</v>
      </c>
      <c r="E574" s="224">
        <f>E549</f>
        <v>3</v>
      </c>
      <c r="F574" s="165"/>
      <c r="G574" s="165"/>
      <c r="H574" s="149">
        <f>H549</f>
        <v>3</v>
      </c>
      <c r="I574" s="149"/>
      <c r="J574" s="149"/>
      <c r="K574" s="395">
        <f>Z317</f>
        <v>13000</v>
      </c>
      <c r="L574" s="165"/>
      <c r="M574" s="165"/>
      <c r="N574" s="165"/>
      <c r="O574" s="165">
        <f>IF(K574="","",ROUND(K574/$X$590,6))</f>
        <v>2.9559999999999999E-3</v>
      </c>
      <c r="P574" s="165"/>
      <c r="Q574" s="165"/>
      <c r="R574" s="165"/>
      <c r="S574" s="165"/>
      <c r="T574" s="165">
        <f>IF(O574="","",ROUND(O574^0.25,4))</f>
        <v>0.23319999999999999</v>
      </c>
      <c r="U574" s="165"/>
      <c r="V574" s="165"/>
      <c r="W574" s="165"/>
      <c r="X574" s="403">
        <f t="shared" ref="X574:X589" si="64">IF(T574="","",ROUND(T574*H574,4))</f>
        <v>0.6996</v>
      </c>
      <c r="Y574" s="403"/>
      <c r="Z574" s="403"/>
      <c r="AA574" s="403"/>
      <c r="AB574" s="385">
        <f>IF(X574="","",SUM(X$574:X574))</f>
        <v>0.6996</v>
      </c>
      <c r="AC574" s="385"/>
      <c r="AD574" s="385"/>
      <c r="AE574" s="386"/>
    </row>
    <row r="575" spans="1:62" s="1" customFormat="1" ht="15.75" hidden="1" customHeight="1">
      <c r="A575" s="73" t="str">
        <f>IF(液状化L2の有無="×","×",IF(E575="","×",""))</f>
        <v>×</v>
      </c>
      <c r="E575" s="204">
        <f>E550</f>
        <v>4</v>
      </c>
      <c r="F575" s="205"/>
      <c r="G575" s="205"/>
      <c r="H575" s="145">
        <f>H550</f>
        <v>5</v>
      </c>
      <c r="I575" s="145"/>
      <c r="J575" s="145"/>
      <c r="K575" s="398">
        <f>Z318</f>
        <v>26710</v>
      </c>
      <c r="L575" s="205"/>
      <c r="M575" s="205"/>
      <c r="N575" s="205"/>
      <c r="O575" s="205">
        <f t="shared" ref="O575:O589" si="65">IF(K575="","",ROUND(K575/$X$590,6))</f>
        <v>6.0730000000000003E-3</v>
      </c>
      <c r="P575" s="205"/>
      <c r="Q575" s="205"/>
      <c r="R575" s="205"/>
      <c r="S575" s="205"/>
      <c r="T575" s="205">
        <f t="shared" ref="T575:T589" si="66">IF(O575="","",ROUND(O575^0.25,4))</f>
        <v>0.2792</v>
      </c>
      <c r="U575" s="205"/>
      <c r="V575" s="205"/>
      <c r="W575" s="205"/>
      <c r="X575" s="405">
        <f t="shared" si="64"/>
        <v>1.3959999999999999</v>
      </c>
      <c r="Y575" s="405"/>
      <c r="Z575" s="405"/>
      <c r="AA575" s="405"/>
      <c r="AB575" s="378">
        <f>IF(X575="","",SUM(X$574:X575))</f>
        <v>2.0956000000000001</v>
      </c>
      <c r="AC575" s="378"/>
      <c r="AD575" s="378"/>
      <c r="AE575" s="379"/>
    </row>
    <row r="576" spans="1:62" s="1" customFormat="1" ht="15.75" hidden="1" customHeight="1">
      <c r="A576" s="73" t="str">
        <f>IF(液状化L2の有無="×","×",IF(E576="","×",""))</f>
        <v>×</v>
      </c>
      <c r="E576" s="204">
        <f>E551</f>
        <v>5</v>
      </c>
      <c r="F576" s="205"/>
      <c r="G576" s="205"/>
      <c r="H576" s="145">
        <f>H551</f>
        <v>8</v>
      </c>
      <c r="I576" s="145"/>
      <c r="J576" s="145"/>
      <c r="K576" s="398">
        <f>Z319</f>
        <v>30400</v>
      </c>
      <c r="L576" s="205"/>
      <c r="M576" s="205"/>
      <c r="N576" s="205"/>
      <c r="O576" s="205">
        <f t="shared" si="65"/>
        <v>6.9119999999999997E-3</v>
      </c>
      <c r="P576" s="205"/>
      <c r="Q576" s="205"/>
      <c r="R576" s="205"/>
      <c r="S576" s="205"/>
      <c r="T576" s="205">
        <f t="shared" si="66"/>
        <v>0.2883</v>
      </c>
      <c r="U576" s="205"/>
      <c r="V576" s="205"/>
      <c r="W576" s="205"/>
      <c r="X576" s="405">
        <f t="shared" si="64"/>
        <v>2.3064</v>
      </c>
      <c r="Y576" s="405"/>
      <c r="Z576" s="405"/>
      <c r="AA576" s="405"/>
      <c r="AB576" s="378">
        <f>IF(X576="","",SUM(X$574:X576))</f>
        <v>4.4020000000000001</v>
      </c>
      <c r="AC576" s="378"/>
      <c r="AD576" s="378"/>
      <c r="AE576" s="379"/>
    </row>
    <row r="577" spans="1:62" s="1" customFormat="1" ht="15.75" hidden="1" customHeight="1">
      <c r="A577" s="73" t="str">
        <f>IF(液状化L2の有無="×","×",IF(E577="","×",""))</f>
        <v>×</v>
      </c>
      <c r="E577" s="204">
        <f>E552</f>
        <v>6</v>
      </c>
      <c r="F577" s="205"/>
      <c r="G577" s="205"/>
      <c r="H577" s="145">
        <f>H552</f>
        <v>4.5</v>
      </c>
      <c r="I577" s="145"/>
      <c r="J577" s="145"/>
      <c r="K577" s="398">
        <f>Z320</f>
        <v>43340</v>
      </c>
      <c r="L577" s="205"/>
      <c r="M577" s="205"/>
      <c r="N577" s="205"/>
      <c r="O577" s="205">
        <f t="shared" si="65"/>
        <v>9.8530000000000006E-3</v>
      </c>
      <c r="P577" s="205"/>
      <c r="Q577" s="205"/>
      <c r="R577" s="205"/>
      <c r="S577" s="205"/>
      <c r="T577" s="205">
        <f t="shared" si="66"/>
        <v>0.31509999999999999</v>
      </c>
      <c r="U577" s="205"/>
      <c r="V577" s="205"/>
      <c r="W577" s="205"/>
      <c r="X577" s="405">
        <f t="shared" si="64"/>
        <v>1.4179999999999999</v>
      </c>
      <c r="Y577" s="405"/>
      <c r="Z577" s="405"/>
      <c r="AA577" s="405"/>
      <c r="AB577" s="378">
        <f>IF(X577="","",SUM(X$574:X577))</f>
        <v>5.82</v>
      </c>
      <c r="AC577" s="378"/>
      <c r="AD577" s="378"/>
      <c r="AE577" s="379"/>
    </row>
    <row r="578" spans="1:62" s="1" customFormat="1" ht="15.75" hidden="1" customHeight="1">
      <c r="A578" s="73" t="str">
        <f>IF(液状化L2の有無="×","×",IF(E578="","×",""))</f>
        <v>×</v>
      </c>
      <c r="E578" s="204">
        <f>E553</f>
        <v>7</v>
      </c>
      <c r="F578" s="205"/>
      <c r="G578" s="205"/>
      <c r="H578" s="145">
        <f>H553</f>
        <v>0.5</v>
      </c>
      <c r="I578" s="145"/>
      <c r="J578" s="145"/>
      <c r="K578" s="398">
        <f>Z321</f>
        <v>85640</v>
      </c>
      <c r="L578" s="205"/>
      <c r="M578" s="205"/>
      <c r="N578" s="205"/>
      <c r="O578" s="205">
        <f t="shared" si="65"/>
        <v>1.9470000000000001E-2</v>
      </c>
      <c r="P578" s="205"/>
      <c r="Q578" s="205"/>
      <c r="R578" s="205"/>
      <c r="S578" s="205"/>
      <c r="T578" s="205">
        <f t="shared" si="66"/>
        <v>0.3735</v>
      </c>
      <c r="U578" s="205"/>
      <c r="V578" s="205"/>
      <c r="W578" s="205"/>
      <c r="X578" s="405">
        <f t="shared" si="64"/>
        <v>0.18679999999999999</v>
      </c>
      <c r="Y578" s="405"/>
      <c r="Z578" s="405"/>
      <c r="AA578" s="405"/>
      <c r="AB578" s="378">
        <f>IF(X578="","",SUM(X$574:X578))</f>
        <v>6.0068000000000001</v>
      </c>
      <c r="AC578" s="378"/>
      <c r="AD578" s="378"/>
      <c r="AE578" s="379"/>
    </row>
    <row r="579" spans="1:62" s="1" customFormat="1" ht="15.75" hidden="1" customHeight="1">
      <c r="A579" s="73" t="str">
        <f>IF(液状化L2の有無="×","×",IF(E579="","×",""))</f>
        <v>×</v>
      </c>
      <c r="E579" s="204" t="str">
        <f>E554</f>
        <v/>
      </c>
      <c r="F579" s="205"/>
      <c r="G579" s="205"/>
      <c r="H579" s="145">
        <f>H554</f>
        <v>0</v>
      </c>
      <c r="I579" s="145"/>
      <c r="J579" s="145"/>
      <c r="K579" s="398" t="str">
        <f>Z322</f>
        <v/>
      </c>
      <c r="L579" s="205"/>
      <c r="M579" s="205"/>
      <c r="N579" s="205"/>
      <c r="O579" s="205" t="str">
        <f t="shared" si="65"/>
        <v/>
      </c>
      <c r="P579" s="205"/>
      <c r="Q579" s="205"/>
      <c r="R579" s="205"/>
      <c r="S579" s="205"/>
      <c r="T579" s="205" t="str">
        <f t="shared" si="66"/>
        <v/>
      </c>
      <c r="U579" s="205"/>
      <c r="V579" s="205"/>
      <c r="W579" s="205"/>
      <c r="X579" s="405" t="str">
        <f t="shared" si="64"/>
        <v/>
      </c>
      <c r="Y579" s="405"/>
      <c r="Z579" s="405"/>
      <c r="AA579" s="405"/>
      <c r="AB579" s="378" t="str">
        <f>IF(X579="","",SUM(X$574:X579))</f>
        <v/>
      </c>
      <c r="AC579" s="378"/>
      <c r="AD579" s="378"/>
      <c r="AE579" s="379"/>
    </row>
    <row r="580" spans="1:62" s="1" customFormat="1" ht="15.75" hidden="1" customHeight="1">
      <c r="A580" s="73" t="str">
        <f>IF(液状化L2の有無="×","×",IF(E580="","×",""))</f>
        <v>×</v>
      </c>
      <c r="E580" s="204" t="str">
        <f>E555</f>
        <v/>
      </c>
      <c r="F580" s="205"/>
      <c r="G580" s="205"/>
      <c r="H580" s="145">
        <f>H555</f>
        <v>0</v>
      </c>
      <c r="I580" s="145"/>
      <c r="J580" s="145"/>
      <c r="K580" s="398" t="str">
        <f>Z323</f>
        <v/>
      </c>
      <c r="L580" s="205"/>
      <c r="M580" s="205"/>
      <c r="N580" s="205"/>
      <c r="O580" s="205" t="str">
        <f t="shared" si="65"/>
        <v/>
      </c>
      <c r="P580" s="205"/>
      <c r="Q580" s="205"/>
      <c r="R580" s="205"/>
      <c r="S580" s="205"/>
      <c r="T580" s="205" t="str">
        <f t="shared" si="66"/>
        <v/>
      </c>
      <c r="U580" s="205"/>
      <c r="V580" s="205"/>
      <c r="W580" s="205"/>
      <c r="X580" s="405" t="str">
        <f t="shared" si="64"/>
        <v/>
      </c>
      <c r="Y580" s="405"/>
      <c r="Z580" s="405"/>
      <c r="AA580" s="405"/>
      <c r="AB580" s="378" t="str">
        <f>IF(X580="","",SUM(X$574:X580))</f>
        <v/>
      </c>
      <c r="AC580" s="378"/>
      <c r="AD580" s="378"/>
      <c r="AE580" s="379"/>
    </row>
    <row r="581" spans="1:62" s="1" customFormat="1" ht="15.75" hidden="1" customHeight="1">
      <c r="A581" s="73" t="str">
        <f>IF(液状化L2の有無="×","×",IF(E581="","×",""))</f>
        <v>×</v>
      </c>
      <c r="E581" s="204" t="str">
        <f>E556</f>
        <v/>
      </c>
      <c r="F581" s="205"/>
      <c r="G581" s="205"/>
      <c r="H581" s="145">
        <f>H556</f>
        <v>0</v>
      </c>
      <c r="I581" s="145"/>
      <c r="J581" s="145"/>
      <c r="K581" s="398" t="str">
        <f>Z324</f>
        <v/>
      </c>
      <c r="L581" s="205"/>
      <c r="M581" s="205"/>
      <c r="N581" s="205"/>
      <c r="O581" s="205" t="str">
        <f t="shared" si="65"/>
        <v/>
      </c>
      <c r="P581" s="205"/>
      <c r="Q581" s="205"/>
      <c r="R581" s="205"/>
      <c r="S581" s="205"/>
      <c r="T581" s="205" t="str">
        <f t="shared" si="66"/>
        <v/>
      </c>
      <c r="U581" s="205"/>
      <c r="V581" s="205"/>
      <c r="W581" s="205"/>
      <c r="X581" s="405" t="str">
        <f t="shared" si="64"/>
        <v/>
      </c>
      <c r="Y581" s="405"/>
      <c r="Z581" s="405"/>
      <c r="AA581" s="405"/>
      <c r="AB581" s="378" t="str">
        <f>IF(X581="","",SUM(X$574:X581))</f>
        <v/>
      </c>
      <c r="AC581" s="378"/>
      <c r="AD581" s="378"/>
      <c r="AE581" s="379"/>
    </row>
    <row r="582" spans="1:62" s="1" customFormat="1" ht="15.75" hidden="1" customHeight="1">
      <c r="A582" s="73" t="str">
        <f>IF(液状化L2の有無="×","×",IF(E582="","×",""))</f>
        <v>×</v>
      </c>
      <c r="E582" s="204" t="str">
        <f>E557</f>
        <v/>
      </c>
      <c r="F582" s="205"/>
      <c r="G582" s="205"/>
      <c r="H582" s="145">
        <f>H557</f>
        <v>0</v>
      </c>
      <c r="I582" s="145"/>
      <c r="J582" s="145"/>
      <c r="K582" s="398" t="str">
        <f>Z325</f>
        <v/>
      </c>
      <c r="L582" s="205"/>
      <c r="M582" s="205"/>
      <c r="N582" s="205"/>
      <c r="O582" s="205" t="str">
        <f t="shared" si="65"/>
        <v/>
      </c>
      <c r="P582" s="205"/>
      <c r="Q582" s="205"/>
      <c r="R582" s="205"/>
      <c r="S582" s="205"/>
      <c r="T582" s="205" t="str">
        <f t="shared" si="66"/>
        <v/>
      </c>
      <c r="U582" s="205"/>
      <c r="V582" s="205"/>
      <c r="W582" s="205"/>
      <c r="X582" s="405" t="str">
        <f t="shared" si="64"/>
        <v/>
      </c>
      <c r="Y582" s="405"/>
      <c r="Z582" s="405"/>
      <c r="AA582" s="405"/>
      <c r="AB582" s="378" t="str">
        <f>IF(X582="","",SUM(X$574:X582))</f>
        <v/>
      </c>
      <c r="AC582" s="378"/>
      <c r="AD582" s="378"/>
      <c r="AE582" s="379"/>
    </row>
    <row r="583" spans="1:62" s="1" customFormat="1" ht="15.75" hidden="1" customHeight="1">
      <c r="A583" s="73" t="str">
        <f>IF(液状化L2の有無="×","×",IF(E583="","×",""))</f>
        <v>×</v>
      </c>
      <c r="E583" s="204" t="str">
        <f>E558</f>
        <v/>
      </c>
      <c r="F583" s="205"/>
      <c r="G583" s="205"/>
      <c r="H583" s="145">
        <f>H558</f>
        <v>0</v>
      </c>
      <c r="I583" s="145"/>
      <c r="J583" s="145"/>
      <c r="K583" s="398" t="str">
        <f>Z326</f>
        <v/>
      </c>
      <c r="L583" s="205"/>
      <c r="M583" s="205"/>
      <c r="N583" s="205"/>
      <c r="O583" s="205" t="str">
        <f t="shared" si="65"/>
        <v/>
      </c>
      <c r="P583" s="205"/>
      <c r="Q583" s="205"/>
      <c r="R583" s="205"/>
      <c r="S583" s="205"/>
      <c r="T583" s="205" t="str">
        <f t="shared" si="66"/>
        <v/>
      </c>
      <c r="U583" s="205"/>
      <c r="V583" s="205"/>
      <c r="W583" s="205"/>
      <c r="X583" s="405" t="str">
        <f t="shared" si="64"/>
        <v/>
      </c>
      <c r="Y583" s="405"/>
      <c r="Z583" s="405"/>
      <c r="AA583" s="405"/>
      <c r="AB583" s="378" t="str">
        <f>IF(X583="","",SUM(X$574:X583))</f>
        <v/>
      </c>
      <c r="AC583" s="378"/>
      <c r="AD583" s="378"/>
      <c r="AE583" s="379"/>
    </row>
    <row r="584" spans="1:62" s="1" customFormat="1" ht="15.75" hidden="1" customHeight="1">
      <c r="A584" s="73" t="str">
        <f>IF(液状化L2の有無="×","×",IF(E584="","×",""))</f>
        <v>×</v>
      </c>
      <c r="E584" s="204" t="str">
        <f>E559</f>
        <v/>
      </c>
      <c r="F584" s="205"/>
      <c r="G584" s="205"/>
      <c r="H584" s="145">
        <f>H559</f>
        <v>0</v>
      </c>
      <c r="I584" s="145"/>
      <c r="J584" s="145"/>
      <c r="K584" s="398" t="str">
        <f>Z327</f>
        <v/>
      </c>
      <c r="L584" s="205"/>
      <c r="M584" s="205"/>
      <c r="N584" s="205"/>
      <c r="O584" s="205" t="str">
        <f t="shared" si="65"/>
        <v/>
      </c>
      <c r="P584" s="205"/>
      <c r="Q584" s="205"/>
      <c r="R584" s="205"/>
      <c r="S584" s="205"/>
      <c r="T584" s="205" t="str">
        <f t="shared" si="66"/>
        <v/>
      </c>
      <c r="U584" s="205"/>
      <c r="V584" s="205"/>
      <c r="W584" s="205"/>
      <c r="X584" s="405" t="str">
        <f t="shared" si="64"/>
        <v/>
      </c>
      <c r="Y584" s="405"/>
      <c r="Z584" s="405"/>
      <c r="AA584" s="405"/>
      <c r="AB584" s="378" t="str">
        <f>IF(X584="","",SUM(X$574:X584))</f>
        <v/>
      </c>
      <c r="AC584" s="378"/>
      <c r="AD584" s="378"/>
      <c r="AE584" s="379"/>
    </row>
    <row r="585" spans="1:62" s="1" customFormat="1" ht="15.75" hidden="1" customHeight="1">
      <c r="A585" s="73" t="str">
        <f>IF(液状化L2の有無="×","×",IF(E585="","×",""))</f>
        <v>×</v>
      </c>
      <c r="E585" s="204" t="str">
        <f>E560</f>
        <v/>
      </c>
      <c r="F585" s="205"/>
      <c r="G585" s="205"/>
      <c r="H585" s="145">
        <f>H560</f>
        <v>0</v>
      </c>
      <c r="I585" s="145"/>
      <c r="J585" s="145"/>
      <c r="K585" s="398" t="str">
        <f>Z328</f>
        <v/>
      </c>
      <c r="L585" s="205"/>
      <c r="M585" s="205"/>
      <c r="N585" s="205"/>
      <c r="O585" s="205" t="str">
        <f t="shared" si="65"/>
        <v/>
      </c>
      <c r="P585" s="205"/>
      <c r="Q585" s="205"/>
      <c r="R585" s="205"/>
      <c r="S585" s="205"/>
      <c r="T585" s="205" t="str">
        <f t="shared" si="66"/>
        <v/>
      </c>
      <c r="U585" s="205"/>
      <c r="V585" s="205"/>
      <c r="W585" s="205"/>
      <c r="X585" s="405" t="str">
        <f t="shared" si="64"/>
        <v/>
      </c>
      <c r="Y585" s="405"/>
      <c r="Z585" s="405"/>
      <c r="AA585" s="405"/>
      <c r="AB585" s="378" t="str">
        <f>IF(X585="","",SUM(X$574:X585))</f>
        <v/>
      </c>
      <c r="AC585" s="378"/>
      <c r="AD585" s="378"/>
      <c r="AE585" s="379"/>
    </row>
    <row r="586" spans="1:62" s="1" customFormat="1" ht="15.75" hidden="1" customHeight="1">
      <c r="A586" s="73" t="str">
        <f>IF(液状化L2の有無="×","×",IF(E586="","×",""))</f>
        <v>×</v>
      </c>
      <c r="E586" s="204" t="str">
        <f>E561</f>
        <v/>
      </c>
      <c r="F586" s="205"/>
      <c r="G586" s="205"/>
      <c r="H586" s="145">
        <f>H561</f>
        <v>0</v>
      </c>
      <c r="I586" s="145"/>
      <c r="J586" s="145"/>
      <c r="K586" s="398" t="str">
        <f>Z329</f>
        <v/>
      </c>
      <c r="L586" s="205"/>
      <c r="M586" s="205"/>
      <c r="N586" s="205"/>
      <c r="O586" s="205" t="str">
        <f t="shared" si="65"/>
        <v/>
      </c>
      <c r="P586" s="205"/>
      <c r="Q586" s="205"/>
      <c r="R586" s="205"/>
      <c r="S586" s="205"/>
      <c r="T586" s="205" t="str">
        <f t="shared" si="66"/>
        <v/>
      </c>
      <c r="U586" s="205"/>
      <c r="V586" s="205"/>
      <c r="W586" s="205"/>
      <c r="X586" s="405" t="str">
        <f t="shared" si="64"/>
        <v/>
      </c>
      <c r="Y586" s="405"/>
      <c r="Z586" s="405"/>
      <c r="AA586" s="405"/>
      <c r="AB586" s="378" t="str">
        <f>IF(X586="","",SUM(X$574:X586))</f>
        <v/>
      </c>
      <c r="AC586" s="378"/>
      <c r="AD586" s="378"/>
      <c r="AE586" s="379"/>
    </row>
    <row r="587" spans="1:62" s="1" customFormat="1" ht="15.75" hidden="1" customHeight="1">
      <c r="A587" s="73" t="str">
        <f>IF(液状化L2の有無="×","×",IF(E587="","×",""))</f>
        <v>×</v>
      </c>
      <c r="E587" s="204" t="str">
        <f>E562</f>
        <v/>
      </c>
      <c r="F587" s="205"/>
      <c r="G587" s="205"/>
      <c r="H587" s="145">
        <f>H562</f>
        <v>0</v>
      </c>
      <c r="I587" s="145"/>
      <c r="J587" s="145"/>
      <c r="K587" s="398" t="str">
        <f>Z330</f>
        <v/>
      </c>
      <c r="L587" s="205"/>
      <c r="M587" s="205"/>
      <c r="N587" s="205"/>
      <c r="O587" s="205" t="str">
        <f t="shared" si="65"/>
        <v/>
      </c>
      <c r="P587" s="205"/>
      <c r="Q587" s="205"/>
      <c r="R587" s="205"/>
      <c r="S587" s="205"/>
      <c r="T587" s="205" t="str">
        <f t="shared" si="66"/>
        <v/>
      </c>
      <c r="U587" s="205"/>
      <c r="V587" s="205"/>
      <c r="W587" s="205"/>
      <c r="X587" s="405" t="str">
        <f t="shared" si="64"/>
        <v/>
      </c>
      <c r="Y587" s="405"/>
      <c r="Z587" s="405"/>
      <c r="AA587" s="405"/>
      <c r="AB587" s="378" t="str">
        <f>IF(X587="","",SUM(X$574:X587))</f>
        <v/>
      </c>
      <c r="AC587" s="378"/>
      <c r="AD587" s="378"/>
      <c r="AE587" s="379"/>
    </row>
    <row r="588" spans="1:62" s="1" customFormat="1" ht="15.75" hidden="1" customHeight="1">
      <c r="A588" s="73" t="str">
        <f>IF(液状化L2の有無="×","×",IF(E588="","×",""))</f>
        <v>×</v>
      </c>
      <c r="E588" s="204" t="str">
        <f>E563</f>
        <v/>
      </c>
      <c r="F588" s="205"/>
      <c r="G588" s="205"/>
      <c r="H588" s="145">
        <f>H563</f>
        <v>0</v>
      </c>
      <c r="I588" s="145"/>
      <c r="J588" s="145"/>
      <c r="K588" s="398" t="str">
        <f>Z331</f>
        <v/>
      </c>
      <c r="L588" s="205"/>
      <c r="M588" s="205"/>
      <c r="N588" s="205"/>
      <c r="O588" s="205" t="str">
        <f t="shared" si="65"/>
        <v/>
      </c>
      <c r="P588" s="205"/>
      <c r="Q588" s="205"/>
      <c r="R588" s="205"/>
      <c r="S588" s="205"/>
      <c r="T588" s="205" t="str">
        <f t="shared" si="66"/>
        <v/>
      </c>
      <c r="U588" s="205"/>
      <c r="V588" s="205"/>
      <c r="W588" s="205"/>
      <c r="X588" s="405" t="str">
        <f t="shared" si="64"/>
        <v/>
      </c>
      <c r="Y588" s="405"/>
      <c r="Z588" s="405"/>
      <c r="AA588" s="405"/>
      <c r="AB588" s="378" t="str">
        <f>IF(X588="","",SUM(X$574:X588))</f>
        <v/>
      </c>
      <c r="AC588" s="378"/>
      <c r="AD588" s="378"/>
      <c r="AE588" s="379"/>
    </row>
    <row r="589" spans="1:62" s="1" customFormat="1" ht="15.75" hidden="1" customHeight="1">
      <c r="A589" s="73" t="str">
        <f>IF(液状化L2の有無="×","×",IF(E589="","×",""))</f>
        <v>×</v>
      </c>
      <c r="E589" s="207" t="str">
        <f>E564</f>
        <v/>
      </c>
      <c r="F589" s="208"/>
      <c r="G589" s="208"/>
      <c r="H589" s="150">
        <f>H564</f>
        <v>0</v>
      </c>
      <c r="I589" s="150"/>
      <c r="J589" s="150"/>
      <c r="K589" s="401" t="str">
        <f>Z332</f>
        <v/>
      </c>
      <c r="L589" s="208"/>
      <c r="M589" s="208"/>
      <c r="N589" s="208"/>
      <c r="O589" s="208" t="str">
        <f t="shared" si="65"/>
        <v/>
      </c>
      <c r="P589" s="208"/>
      <c r="Q589" s="208"/>
      <c r="R589" s="208"/>
      <c r="S589" s="208"/>
      <c r="T589" s="208" t="str">
        <f t="shared" si="66"/>
        <v/>
      </c>
      <c r="U589" s="208"/>
      <c r="V589" s="208"/>
      <c r="W589" s="208"/>
      <c r="X589" s="408" t="str">
        <f t="shared" si="64"/>
        <v/>
      </c>
      <c r="Y589" s="408"/>
      <c r="Z589" s="408"/>
      <c r="AA589" s="408"/>
      <c r="AB589" s="382" t="str">
        <f>IF(X589="","",SUM(X$574:X589))</f>
        <v/>
      </c>
      <c r="AC589" s="382"/>
      <c r="AD589" s="382"/>
      <c r="AE589" s="383"/>
    </row>
    <row r="590" spans="1:62" ht="15.75" hidden="1" customHeight="1">
      <c r="A590" s="73" t="str">
        <f>IF(液状化L2の有無="","","×")</f>
        <v>×</v>
      </c>
      <c r="E590" s="76"/>
      <c r="S590" s="2" t="s">
        <v>127</v>
      </c>
      <c r="T590" s="76">
        <v>4</v>
      </c>
      <c r="U590" s="181" t="s">
        <v>149</v>
      </c>
      <c r="V590" s="181"/>
      <c r="W590" s="76" t="s">
        <v>27</v>
      </c>
      <c r="X590" s="220">
        <f>X565</f>
        <v>4398464</v>
      </c>
      <c r="Y590" s="220"/>
      <c r="Z590" s="220"/>
      <c r="AA590" s="220"/>
      <c r="AB590" s="220"/>
      <c r="AC590" s="211" t="s">
        <v>166</v>
      </c>
      <c r="AD590" s="211"/>
      <c r="AE590" s="76" t="s">
        <v>158</v>
      </c>
      <c r="AJ590" s="106"/>
      <c r="AK590" s="106"/>
      <c r="AL590" s="106"/>
      <c r="AM590" s="106"/>
      <c r="BG590" s="76"/>
      <c r="BH590" s="76"/>
      <c r="BI590" s="76"/>
      <c r="BJ590" s="76"/>
    </row>
    <row r="591" spans="1:62" ht="15.75" hidden="1" customHeight="1">
      <c r="A591" s="73" t="str">
        <f>IF(液状化L2の有無="","","×")</f>
        <v>×</v>
      </c>
      <c r="E591" s="76"/>
      <c r="S591" s="2"/>
      <c r="X591" s="95"/>
      <c r="Y591" s="95"/>
      <c r="Z591" s="95"/>
      <c r="AA591" s="95"/>
      <c r="AB591" s="95"/>
      <c r="AC591" s="78"/>
      <c r="AD591" s="78"/>
      <c r="AJ591" s="106"/>
      <c r="AK591" s="106"/>
      <c r="AL591" s="106"/>
      <c r="AM591" s="106"/>
      <c r="BG591" s="76"/>
      <c r="BH591" s="76"/>
      <c r="BI591" s="76"/>
      <c r="BJ591" s="76"/>
    </row>
    <row r="592" spans="1:62" ht="15.75" hidden="1" customHeight="1">
      <c r="A592" s="73" t="str">
        <f>IF(液状化L2の有無="","","×")</f>
        <v>×</v>
      </c>
      <c r="E592" s="89" t="s">
        <v>506</v>
      </c>
      <c r="S592" s="2"/>
      <c r="X592" s="95"/>
      <c r="Y592" s="95"/>
      <c r="Z592" s="95"/>
      <c r="AA592" s="95"/>
      <c r="AB592" s="95"/>
      <c r="AC592" s="78"/>
      <c r="AD592" s="78"/>
      <c r="AJ592" s="106"/>
      <c r="AK592" s="106"/>
      <c r="AL592" s="106"/>
      <c r="AM592" s="106"/>
      <c r="BG592" s="76"/>
      <c r="BH592" s="76"/>
      <c r="BI592" s="76"/>
      <c r="BJ592" s="76"/>
    </row>
    <row r="593" spans="1:62" ht="15.75" hidden="1" customHeight="1">
      <c r="A593" s="73" t="str">
        <f>IF(液状化L2の有無="","","×")</f>
        <v>×</v>
      </c>
      <c r="E593" s="181" t="s">
        <v>507</v>
      </c>
      <c r="F593" s="181"/>
      <c r="G593" s="76" t="s">
        <v>508</v>
      </c>
      <c r="H593" s="406">
        <v>4.0799999237060547</v>
      </c>
      <c r="I593" s="406"/>
      <c r="J593" s="406"/>
      <c r="K593" s="76" t="s">
        <v>509</v>
      </c>
      <c r="S593" s="2"/>
      <c r="X593" s="95"/>
      <c r="Y593" s="95"/>
      <c r="Z593" s="95"/>
      <c r="AA593" s="95"/>
      <c r="AB593" s="95"/>
      <c r="AC593" s="78"/>
      <c r="AD593" s="78"/>
      <c r="AJ593" s="106"/>
      <c r="AK593" s="106"/>
      <c r="AL593" s="106"/>
      <c r="AM593" s="106"/>
      <c r="BG593" s="76"/>
      <c r="BH593" s="76"/>
      <c r="BI593" s="76"/>
      <c r="BJ593" s="76"/>
    </row>
    <row r="594" spans="1:62" ht="15.75" customHeight="1">
      <c r="E594" s="76"/>
      <c r="S594" s="2"/>
      <c r="X594" s="95"/>
      <c r="Y594" s="95"/>
      <c r="Z594" s="95"/>
      <c r="AA594" s="95"/>
      <c r="AB594" s="95"/>
      <c r="AC594" s="78"/>
      <c r="AD594" s="78"/>
      <c r="AJ594" s="106"/>
      <c r="AK594" s="106"/>
      <c r="AL594" s="106"/>
      <c r="AM594" s="106"/>
      <c r="BG594" s="76"/>
      <c r="BH594" s="76"/>
      <c r="BI594" s="76"/>
      <c r="BJ594" s="76"/>
    </row>
    <row r="595" spans="1:62" ht="15.75" customHeight="1">
      <c r="E595" s="76"/>
    </row>
    <row r="596" spans="1:62" s="1" customFormat="1" ht="15.75" customHeight="1">
      <c r="E596" s="1" t="s">
        <v>79</v>
      </c>
      <c r="F596" s="1" t="s">
        <v>188</v>
      </c>
    </row>
    <row r="597" spans="1:62" s="1" customFormat="1" ht="15.75" customHeight="1"/>
    <row r="598" spans="1:62" s="1" customFormat="1" ht="15.75" customHeight="1">
      <c r="F598" s="1" t="s">
        <v>189</v>
      </c>
    </row>
    <row r="599" spans="1:62" s="1" customFormat="1" ht="15.75" customHeight="1"/>
    <row r="600" spans="1:62" s="1" customFormat="1" ht="15.75" customHeight="1">
      <c r="E600" s="61" t="s">
        <v>192</v>
      </c>
      <c r="F600" s="85"/>
      <c r="G600" s="85"/>
      <c r="H600" s="85"/>
      <c r="I600" s="61"/>
      <c r="J600" s="61"/>
      <c r="K600" s="61"/>
      <c r="L600" s="61"/>
      <c r="M600" s="61"/>
      <c r="N600" s="61"/>
      <c r="O600" s="61"/>
      <c r="P600" s="61"/>
      <c r="Q600" s="61"/>
      <c r="R600" s="61"/>
      <c r="S600" s="61"/>
      <c r="T600" s="61"/>
      <c r="U600" s="61"/>
      <c r="V600" s="61"/>
      <c r="W600" s="61"/>
      <c r="X600" s="61"/>
      <c r="Y600" s="61"/>
      <c r="Z600" s="61"/>
      <c r="AA600" s="61"/>
      <c r="AB600" s="61"/>
      <c r="AC600" s="61"/>
      <c r="AD600" s="61"/>
      <c r="AE600" s="61"/>
      <c r="AF600" s="61"/>
      <c r="AG600" s="61"/>
      <c r="AH600" s="61"/>
      <c r="AI600" s="8"/>
    </row>
    <row r="601" spans="1:62" s="1" customFormat="1" ht="15.75" customHeight="1">
      <c r="E601" s="347" t="s">
        <v>511</v>
      </c>
      <c r="F601" s="348"/>
      <c r="G601" s="348"/>
      <c r="H601" s="348"/>
      <c r="I601" s="348"/>
      <c r="J601" s="348"/>
      <c r="K601" s="348"/>
      <c r="L601" s="348"/>
      <c r="M601" s="348"/>
      <c r="N601" s="348"/>
      <c r="O601" s="348"/>
      <c r="P601" s="348"/>
      <c r="Q601" s="348"/>
      <c r="R601" s="348"/>
      <c r="S601" s="410"/>
      <c r="T601" s="350" t="s">
        <v>512</v>
      </c>
      <c r="U601" s="147"/>
      <c r="V601" s="147"/>
      <c r="W601" s="147"/>
      <c r="X601" s="147"/>
      <c r="Y601" s="147"/>
      <c r="Z601" s="147"/>
      <c r="AA601" s="147"/>
      <c r="AB601" s="147"/>
      <c r="AC601" s="147"/>
      <c r="AD601" s="147"/>
      <c r="AE601" s="147"/>
      <c r="AF601" s="147"/>
      <c r="AG601" s="147"/>
      <c r="AH601" s="214"/>
    </row>
    <row r="602" spans="1:62" s="1" customFormat="1" ht="15.75" customHeight="1">
      <c r="E602" s="225" t="s">
        <v>78</v>
      </c>
      <c r="F602" s="226"/>
      <c r="G602" s="226"/>
      <c r="H602" s="226" t="s">
        <v>191</v>
      </c>
      <c r="I602" s="226"/>
      <c r="J602" s="226"/>
      <c r="K602" s="226"/>
      <c r="L602" s="229" t="s">
        <v>190</v>
      </c>
      <c r="M602" s="230"/>
      <c r="N602" s="230"/>
      <c r="O602" s="226" t="s">
        <v>510</v>
      </c>
      <c r="P602" s="226"/>
      <c r="Q602" s="226"/>
      <c r="R602" s="226"/>
      <c r="S602" s="326"/>
      <c r="T602" s="339" t="s">
        <v>78</v>
      </c>
      <c r="U602" s="226"/>
      <c r="V602" s="226"/>
      <c r="W602" s="226" t="s">
        <v>191</v>
      </c>
      <c r="X602" s="226"/>
      <c r="Y602" s="226"/>
      <c r="Z602" s="226"/>
      <c r="AA602" s="229" t="s">
        <v>190</v>
      </c>
      <c r="AB602" s="230"/>
      <c r="AC602" s="230"/>
      <c r="AD602" s="226" t="s">
        <v>510</v>
      </c>
      <c r="AE602" s="226"/>
      <c r="AF602" s="226"/>
      <c r="AG602" s="226"/>
      <c r="AH602" s="326"/>
    </row>
    <row r="603" spans="1:62" s="1" customFormat="1" ht="15.75" customHeight="1">
      <c r="E603" s="227"/>
      <c r="F603" s="228"/>
      <c r="G603" s="228"/>
      <c r="H603" s="228"/>
      <c r="I603" s="228"/>
      <c r="J603" s="228"/>
      <c r="K603" s="228"/>
      <c r="L603" s="231"/>
      <c r="M603" s="231"/>
      <c r="N603" s="231"/>
      <c r="O603" s="228"/>
      <c r="P603" s="228"/>
      <c r="Q603" s="228"/>
      <c r="R603" s="228"/>
      <c r="S603" s="409"/>
      <c r="T603" s="351"/>
      <c r="U603" s="228"/>
      <c r="V603" s="228"/>
      <c r="W603" s="228"/>
      <c r="X603" s="228"/>
      <c r="Y603" s="228"/>
      <c r="Z603" s="228"/>
      <c r="AA603" s="231"/>
      <c r="AB603" s="231"/>
      <c r="AC603" s="231"/>
      <c r="AD603" s="228"/>
      <c r="AE603" s="228"/>
      <c r="AF603" s="228"/>
      <c r="AG603" s="228"/>
      <c r="AH603" s="409"/>
    </row>
    <row r="604" spans="1:62" s="1" customFormat="1" ht="15.75" customHeight="1">
      <c r="A604" s="73" t="str">
        <f>IF(LEN(E604)+LEN(T604)=0,"×","")</f>
        <v/>
      </c>
      <c r="E604" s="190">
        <v>3</v>
      </c>
      <c r="F604" s="163"/>
      <c r="G604" s="163"/>
      <c r="H604" s="411">
        <v>0</v>
      </c>
      <c r="I604" s="411"/>
      <c r="J604" s="411"/>
      <c r="K604" s="411"/>
      <c r="L604" s="164">
        <v>3</v>
      </c>
      <c r="M604" s="164"/>
      <c r="N604" s="164"/>
      <c r="O604" s="395">
        <f>IF(H604="","",H604*AD$620)</f>
        <v>0</v>
      </c>
      <c r="P604" s="395"/>
      <c r="Q604" s="395"/>
      <c r="R604" s="395"/>
      <c r="S604" s="412"/>
      <c r="T604" s="390">
        <v>3</v>
      </c>
      <c r="U604" s="163"/>
      <c r="V604" s="163"/>
      <c r="W604" s="411">
        <v>0</v>
      </c>
      <c r="X604" s="411"/>
      <c r="Y604" s="411"/>
      <c r="Z604" s="411"/>
      <c r="AA604" s="164">
        <v>3</v>
      </c>
      <c r="AB604" s="164"/>
      <c r="AC604" s="164"/>
      <c r="AD604" s="395">
        <f>IF(W604="","",W604*AD$620)</f>
        <v>0</v>
      </c>
      <c r="AE604" s="395"/>
      <c r="AF604" s="395"/>
      <c r="AG604" s="395"/>
      <c r="AH604" s="396"/>
    </row>
    <row r="605" spans="1:62" s="1" customFormat="1" ht="15.75" customHeight="1">
      <c r="A605" s="73" t="str">
        <f t="shared" ref="A605:A619" si="67">IF(LEN(E605)+LEN(T605)=0,"×","")</f>
        <v/>
      </c>
      <c r="E605" s="166">
        <v>4</v>
      </c>
      <c r="F605" s="167"/>
      <c r="G605" s="167"/>
      <c r="H605" s="413">
        <v>2862</v>
      </c>
      <c r="I605" s="413"/>
      <c r="J605" s="413"/>
      <c r="K605" s="413"/>
      <c r="L605" s="160">
        <v>5</v>
      </c>
      <c r="M605" s="160"/>
      <c r="N605" s="160"/>
      <c r="O605" s="398">
        <f t="shared" ref="O605:O619" si="68">IF(H605="","",H605*AD$620)</f>
        <v>8991.2381745739876</v>
      </c>
      <c r="P605" s="398"/>
      <c r="Q605" s="398"/>
      <c r="R605" s="398"/>
      <c r="S605" s="415"/>
      <c r="T605" s="389">
        <v>4</v>
      </c>
      <c r="U605" s="167"/>
      <c r="V605" s="167"/>
      <c r="W605" s="413">
        <v>2862</v>
      </c>
      <c r="X605" s="413"/>
      <c r="Y605" s="413"/>
      <c r="Z605" s="413"/>
      <c r="AA605" s="160">
        <v>5</v>
      </c>
      <c r="AB605" s="160"/>
      <c r="AC605" s="160"/>
      <c r="AD605" s="398">
        <f t="shared" ref="AD605:AD619" si="69">IF(W605="","",W605*AD$620)</f>
        <v>8991.2381745739876</v>
      </c>
      <c r="AE605" s="398"/>
      <c r="AF605" s="398"/>
      <c r="AG605" s="398"/>
      <c r="AH605" s="399"/>
    </row>
    <row r="606" spans="1:62" s="1" customFormat="1" ht="15.75" customHeight="1">
      <c r="A606" s="73" t="str">
        <f t="shared" si="67"/>
        <v/>
      </c>
      <c r="E606" s="166">
        <v>5</v>
      </c>
      <c r="F606" s="167"/>
      <c r="G606" s="167"/>
      <c r="H606" s="413">
        <v>3257</v>
      </c>
      <c r="I606" s="413"/>
      <c r="J606" s="413"/>
      <c r="K606" s="413"/>
      <c r="L606" s="160">
        <v>8</v>
      </c>
      <c r="M606" s="160"/>
      <c r="N606" s="160"/>
      <c r="O606" s="398">
        <f t="shared" si="68"/>
        <v>10232.167272741955</v>
      </c>
      <c r="P606" s="398"/>
      <c r="Q606" s="398"/>
      <c r="R606" s="398"/>
      <c r="S606" s="415"/>
      <c r="T606" s="389">
        <v>5</v>
      </c>
      <c r="U606" s="167"/>
      <c r="V606" s="167"/>
      <c r="W606" s="413">
        <v>3257</v>
      </c>
      <c r="X606" s="413"/>
      <c r="Y606" s="413"/>
      <c r="Z606" s="413"/>
      <c r="AA606" s="160">
        <v>8</v>
      </c>
      <c r="AB606" s="160"/>
      <c r="AC606" s="160"/>
      <c r="AD606" s="398">
        <f t="shared" si="69"/>
        <v>10232.167272741955</v>
      </c>
      <c r="AE606" s="398"/>
      <c r="AF606" s="398"/>
      <c r="AG606" s="398"/>
      <c r="AH606" s="399"/>
    </row>
    <row r="607" spans="1:62" s="1" customFormat="1" ht="15.75" customHeight="1">
      <c r="A607" s="73" t="str">
        <f t="shared" si="67"/>
        <v/>
      </c>
      <c r="E607" s="166">
        <v>6</v>
      </c>
      <c r="F607" s="167"/>
      <c r="G607" s="167"/>
      <c r="H607" s="413">
        <v>4644</v>
      </c>
      <c r="I607" s="413"/>
      <c r="J607" s="413"/>
      <c r="K607" s="413"/>
      <c r="L607" s="160">
        <v>4</v>
      </c>
      <c r="M607" s="160"/>
      <c r="N607" s="160"/>
      <c r="O607" s="398">
        <f t="shared" si="68"/>
        <v>14589.556283270998</v>
      </c>
      <c r="P607" s="398"/>
      <c r="Q607" s="398"/>
      <c r="R607" s="398"/>
      <c r="S607" s="415"/>
      <c r="T607" s="389">
        <v>6</v>
      </c>
      <c r="U607" s="167"/>
      <c r="V607" s="167"/>
      <c r="W607" s="413">
        <v>4644</v>
      </c>
      <c r="X607" s="413"/>
      <c r="Y607" s="413"/>
      <c r="Z607" s="413"/>
      <c r="AA607" s="160">
        <v>4.5</v>
      </c>
      <c r="AB607" s="160"/>
      <c r="AC607" s="160"/>
      <c r="AD607" s="398">
        <f t="shared" si="69"/>
        <v>14589.556283270998</v>
      </c>
      <c r="AE607" s="398"/>
      <c r="AF607" s="398"/>
      <c r="AG607" s="398"/>
      <c r="AH607" s="399"/>
    </row>
    <row r="608" spans="1:62" s="1" customFormat="1" ht="15.75" customHeight="1">
      <c r="A608" s="73" t="str">
        <f t="shared" si="67"/>
        <v/>
      </c>
      <c r="E608" s="166">
        <v>6</v>
      </c>
      <c r="F608" s="167"/>
      <c r="G608" s="167"/>
      <c r="H608" s="413">
        <v>0</v>
      </c>
      <c r="I608" s="413"/>
      <c r="J608" s="413"/>
      <c r="K608" s="413"/>
      <c r="L608" s="160">
        <v>0.5</v>
      </c>
      <c r="M608" s="160"/>
      <c r="N608" s="160"/>
      <c r="O608" s="398">
        <f t="shared" si="68"/>
        <v>0</v>
      </c>
      <c r="P608" s="398"/>
      <c r="Q608" s="398"/>
      <c r="R608" s="398"/>
      <c r="S608" s="415"/>
      <c r="T608" s="389">
        <v>7</v>
      </c>
      <c r="U608" s="167"/>
      <c r="V608" s="167"/>
      <c r="W608" s="413">
        <v>9176</v>
      </c>
      <c r="X608" s="413"/>
      <c r="Y608" s="413"/>
      <c r="Z608" s="413"/>
      <c r="AA608" s="160">
        <v>0.5</v>
      </c>
      <c r="AB608" s="160"/>
      <c r="AC608" s="160"/>
      <c r="AD608" s="398">
        <f t="shared" si="69"/>
        <v>28827.254189339943</v>
      </c>
      <c r="AE608" s="398"/>
      <c r="AF608" s="398"/>
      <c r="AG608" s="398"/>
      <c r="AH608" s="399"/>
    </row>
    <row r="609" spans="1:39" s="1" customFormat="1" ht="15.75" customHeight="1">
      <c r="A609" s="73" t="str">
        <f t="shared" si="67"/>
        <v/>
      </c>
      <c r="E609" s="166">
        <v>7</v>
      </c>
      <c r="F609" s="167"/>
      <c r="G609" s="167"/>
      <c r="H609" s="413">
        <v>0</v>
      </c>
      <c r="I609" s="413"/>
      <c r="J609" s="413"/>
      <c r="K609" s="413"/>
      <c r="L609" s="160">
        <v>0.5</v>
      </c>
      <c r="M609" s="160"/>
      <c r="N609" s="160"/>
      <c r="O609" s="398">
        <f t="shared" si="68"/>
        <v>0</v>
      </c>
      <c r="P609" s="398"/>
      <c r="Q609" s="398"/>
      <c r="R609" s="398"/>
      <c r="S609" s="415"/>
      <c r="T609" s="389"/>
      <c r="U609" s="167"/>
      <c r="V609" s="167"/>
      <c r="W609" s="413"/>
      <c r="X609" s="413"/>
      <c r="Y609" s="413"/>
      <c r="Z609" s="413"/>
      <c r="AA609" s="160"/>
      <c r="AB609" s="160"/>
      <c r="AC609" s="160"/>
      <c r="AD609" s="398" t="str">
        <f t="shared" si="69"/>
        <v/>
      </c>
      <c r="AE609" s="398"/>
      <c r="AF609" s="398"/>
      <c r="AG609" s="398"/>
      <c r="AH609" s="399"/>
    </row>
    <row r="610" spans="1:39" s="1" customFormat="1" ht="15.75" hidden="1" customHeight="1">
      <c r="A610" s="73" t="str">
        <f t="shared" si="67"/>
        <v>×</v>
      </c>
      <c r="E610" s="166"/>
      <c r="F610" s="167"/>
      <c r="G610" s="167"/>
      <c r="H610" s="413"/>
      <c r="I610" s="413"/>
      <c r="J610" s="413"/>
      <c r="K610" s="413"/>
      <c r="L610" s="160"/>
      <c r="M610" s="160"/>
      <c r="N610" s="160"/>
      <c r="O610" s="398" t="str">
        <f t="shared" si="68"/>
        <v/>
      </c>
      <c r="P610" s="398"/>
      <c r="Q610" s="398"/>
      <c r="R610" s="398"/>
      <c r="S610" s="415"/>
      <c r="T610" s="389"/>
      <c r="U610" s="167"/>
      <c r="V610" s="167"/>
      <c r="W610" s="413"/>
      <c r="X610" s="413"/>
      <c r="Y610" s="413"/>
      <c r="Z610" s="413"/>
      <c r="AA610" s="160"/>
      <c r="AB610" s="160"/>
      <c r="AC610" s="160"/>
      <c r="AD610" s="398" t="str">
        <f t="shared" si="69"/>
        <v/>
      </c>
      <c r="AE610" s="398"/>
      <c r="AF610" s="398"/>
      <c r="AG610" s="398"/>
      <c r="AH610" s="399"/>
    </row>
    <row r="611" spans="1:39" s="1" customFormat="1" ht="15.75" hidden="1" customHeight="1">
      <c r="A611" s="73" t="str">
        <f t="shared" si="67"/>
        <v>×</v>
      </c>
      <c r="E611" s="166"/>
      <c r="F611" s="167"/>
      <c r="G611" s="167"/>
      <c r="H611" s="413"/>
      <c r="I611" s="413"/>
      <c r="J611" s="413"/>
      <c r="K611" s="413"/>
      <c r="L611" s="160"/>
      <c r="M611" s="160"/>
      <c r="N611" s="160"/>
      <c r="O611" s="398" t="str">
        <f t="shared" si="68"/>
        <v/>
      </c>
      <c r="P611" s="398"/>
      <c r="Q611" s="398"/>
      <c r="R611" s="398"/>
      <c r="S611" s="415"/>
      <c r="T611" s="389"/>
      <c r="U611" s="167"/>
      <c r="V611" s="167"/>
      <c r="W611" s="413"/>
      <c r="X611" s="413"/>
      <c r="Y611" s="413"/>
      <c r="Z611" s="413"/>
      <c r="AA611" s="160"/>
      <c r="AB611" s="160"/>
      <c r="AC611" s="160"/>
      <c r="AD611" s="398" t="str">
        <f t="shared" si="69"/>
        <v/>
      </c>
      <c r="AE611" s="398"/>
      <c r="AF611" s="398"/>
      <c r="AG611" s="398"/>
      <c r="AH611" s="399"/>
    </row>
    <row r="612" spans="1:39" s="1" customFormat="1" ht="15.75" hidden="1" customHeight="1">
      <c r="A612" s="73" t="str">
        <f t="shared" si="67"/>
        <v>×</v>
      </c>
      <c r="E612" s="166"/>
      <c r="F612" s="167"/>
      <c r="G612" s="167"/>
      <c r="H612" s="413"/>
      <c r="I612" s="413"/>
      <c r="J612" s="413"/>
      <c r="K612" s="413"/>
      <c r="L612" s="160"/>
      <c r="M612" s="160"/>
      <c r="N612" s="160"/>
      <c r="O612" s="398" t="str">
        <f t="shared" si="68"/>
        <v/>
      </c>
      <c r="P612" s="398"/>
      <c r="Q612" s="398"/>
      <c r="R612" s="398"/>
      <c r="S612" s="415"/>
      <c r="T612" s="389"/>
      <c r="U612" s="167"/>
      <c r="V612" s="167"/>
      <c r="W612" s="413"/>
      <c r="X612" s="413"/>
      <c r="Y612" s="413"/>
      <c r="Z612" s="413"/>
      <c r="AA612" s="160"/>
      <c r="AB612" s="160"/>
      <c r="AC612" s="160"/>
      <c r="AD612" s="398" t="str">
        <f t="shared" si="69"/>
        <v/>
      </c>
      <c r="AE612" s="398"/>
      <c r="AF612" s="398"/>
      <c r="AG612" s="398"/>
      <c r="AH612" s="399"/>
    </row>
    <row r="613" spans="1:39" s="1" customFormat="1" ht="15.75" hidden="1" customHeight="1">
      <c r="A613" s="73" t="str">
        <f t="shared" si="67"/>
        <v>×</v>
      </c>
      <c r="E613" s="166"/>
      <c r="F613" s="167"/>
      <c r="G613" s="167"/>
      <c r="H613" s="413"/>
      <c r="I613" s="413"/>
      <c r="J613" s="413"/>
      <c r="K613" s="413"/>
      <c r="L613" s="160"/>
      <c r="M613" s="160"/>
      <c r="N613" s="160"/>
      <c r="O613" s="398" t="str">
        <f t="shared" si="68"/>
        <v/>
      </c>
      <c r="P613" s="398"/>
      <c r="Q613" s="398"/>
      <c r="R613" s="398"/>
      <c r="S613" s="415"/>
      <c r="T613" s="389"/>
      <c r="U613" s="167"/>
      <c r="V613" s="167"/>
      <c r="W613" s="413"/>
      <c r="X613" s="413"/>
      <c r="Y613" s="413"/>
      <c r="Z613" s="413"/>
      <c r="AA613" s="160"/>
      <c r="AB613" s="160"/>
      <c r="AC613" s="160"/>
      <c r="AD613" s="398" t="str">
        <f t="shared" si="69"/>
        <v/>
      </c>
      <c r="AE613" s="398"/>
      <c r="AF613" s="398"/>
      <c r="AG613" s="398"/>
      <c r="AH613" s="399"/>
    </row>
    <row r="614" spans="1:39" s="1" customFormat="1" ht="15.75" hidden="1" customHeight="1">
      <c r="A614" s="73" t="str">
        <f t="shared" si="67"/>
        <v>×</v>
      </c>
      <c r="E614" s="166"/>
      <c r="F614" s="167"/>
      <c r="G614" s="167"/>
      <c r="H614" s="413"/>
      <c r="I614" s="413"/>
      <c r="J614" s="413"/>
      <c r="K614" s="413"/>
      <c r="L614" s="160"/>
      <c r="M614" s="160"/>
      <c r="N614" s="160"/>
      <c r="O614" s="398" t="str">
        <f t="shared" si="68"/>
        <v/>
      </c>
      <c r="P614" s="398"/>
      <c r="Q614" s="398"/>
      <c r="R614" s="398"/>
      <c r="S614" s="415"/>
      <c r="T614" s="389"/>
      <c r="U614" s="167"/>
      <c r="V614" s="167"/>
      <c r="W614" s="413"/>
      <c r="X614" s="413"/>
      <c r="Y614" s="413"/>
      <c r="Z614" s="413"/>
      <c r="AA614" s="160"/>
      <c r="AB614" s="160"/>
      <c r="AC614" s="160"/>
      <c r="AD614" s="398" t="str">
        <f t="shared" si="69"/>
        <v/>
      </c>
      <c r="AE614" s="398"/>
      <c r="AF614" s="398"/>
      <c r="AG614" s="398"/>
      <c r="AH614" s="399"/>
    </row>
    <row r="615" spans="1:39" s="1" customFormat="1" ht="15.75" hidden="1" customHeight="1">
      <c r="A615" s="73" t="str">
        <f t="shared" si="67"/>
        <v>×</v>
      </c>
      <c r="E615" s="166"/>
      <c r="F615" s="167"/>
      <c r="G615" s="167"/>
      <c r="H615" s="413"/>
      <c r="I615" s="413"/>
      <c r="J615" s="413"/>
      <c r="K615" s="413"/>
      <c r="L615" s="160"/>
      <c r="M615" s="160"/>
      <c r="N615" s="160"/>
      <c r="O615" s="398" t="str">
        <f t="shared" si="68"/>
        <v/>
      </c>
      <c r="P615" s="398"/>
      <c r="Q615" s="398"/>
      <c r="R615" s="398"/>
      <c r="S615" s="415"/>
      <c r="T615" s="389"/>
      <c r="U615" s="167"/>
      <c r="V615" s="167"/>
      <c r="W615" s="413"/>
      <c r="X615" s="413"/>
      <c r="Y615" s="413"/>
      <c r="Z615" s="413"/>
      <c r="AA615" s="160"/>
      <c r="AB615" s="160"/>
      <c r="AC615" s="160"/>
      <c r="AD615" s="398" t="str">
        <f t="shared" si="69"/>
        <v/>
      </c>
      <c r="AE615" s="398"/>
      <c r="AF615" s="398"/>
      <c r="AG615" s="398"/>
      <c r="AH615" s="399"/>
    </row>
    <row r="616" spans="1:39" s="1" customFormat="1" ht="15.75" hidden="1" customHeight="1">
      <c r="A616" s="73" t="str">
        <f t="shared" si="67"/>
        <v>×</v>
      </c>
      <c r="E616" s="166"/>
      <c r="F616" s="167"/>
      <c r="G616" s="167"/>
      <c r="H616" s="413"/>
      <c r="I616" s="413"/>
      <c r="J616" s="413"/>
      <c r="K616" s="413"/>
      <c r="L616" s="160"/>
      <c r="M616" s="160"/>
      <c r="N616" s="160"/>
      <c r="O616" s="398" t="str">
        <f t="shared" si="68"/>
        <v/>
      </c>
      <c r="P616" s="398"/>
      <c r="Q616" s="398"/>
      <c r="R616" s="398"/>
      <c r="S616" s="415"/>
      <c r="T616" s="389"/>
      <c r="U616" s="167"/>
      <c r="V616" s="167"/>
      <c r="W616" s="413"/>
      <c r="X616" s="413"/>
      <c r="Y616" s="413"/>
      <c r="Z616" s="413"/>
      <c r="AA616" s="160"/>
      <c r="AB616" s="160"/>
      <c r="AC616" s="160"/>
      <c r="AD616" s="398" t="str">
        <f t="shared" si="69"/>
        <v/>
      </c>
      <c r="AE616" s="398"/>
      <c r="AF616" s="398"/>
      <c r="AG616" s="398"/>
      <c r="AH616" s="399"/>
    </row>
    <row r="617" spans="1:39" s="1" customFormat="1" ht="15.75" hidden="1" customHeight="1">
      <c r="A617" s="73" t="str">
        <f t="shared" si="67"/>
        <v>×</v>
      </c>
      <c r="E617" s="166"/>
      <c r="F617" s="167"/>
      <c r="G617" s="167"/>
      <c r="H617" s="413"/>
      <c r="I617" s="413"/>
      <c r="J617" s="413"/>
      <c r="K617" s="413"/>
      <c r="L617" s="160"/>
      <c r="M617" s="160"/>
      <c r="N617" s="160"/>
      <c r="O617" s="398" t="str">
        <f t="shared" si="68"/>
        <v/>
      </c>
      <c r="P617" s="398"/>
      <c r="Q617" s="398"/>
      <c r="R617" s="398"/>
      <c r="S617" s="415"/>
      <c r="T617" s="389"/>
      <c r="U617" s="167"/>
      <c r="V617" s="167"/>
      <c r="W617" s="413"/>
      <c r="X617" s="413"/>
      <c r="Y617" s="413"/>
      <c r="Z617" s="413"/>
      <c r="AA617" s="160"/>
      <c r="AB617" s="160"/>
      <c r="AC617" s="160"/>
      <c r="AD617" s="398" t="str">
        <f t="shared" si="69"/>
        <v/>
      </c>
      <c r="AE617" s="398"/>
      <c r="AF617" s="398"/>
      <c r="AG617" s="398"/>
      <c r="AH617" s="399"/>
    </row>
    <row r="618" spans="1:39" s="1" customFormat="1" ht="15.75" hidden="1" customHeight="1">
      <c r="A618" s="73" t="str">
        <f t="shared" si="67"/>
        <v>×</v>
      </c>
      <c r="E618" s="166"/>
      <c r="F618" s="167"/>
      <c r="G618" s="167"/>
      <c r="H618" s="413"/>
      <c r="I618" s="413"/>
      <c r="J618" s="413"/>
      <c r="K618" s="413"/>
      <c r="L618" s="160"/>
      <c r="M618" s="160"/>
      <c r="N618" s="160"/>
      <c r="O618" s="398" t="str">
        <f t="shared" si="68"/>
        <v/>
      </c>
      <c r="P618" s="398"/>
      <c r="Q618" s="398"/>
      <c r="R618" s="398"/>
      <c r="S618" s="415"/>
      <c r="T618" s="389"/>
      <c r="U618" s="167"/>
      <c r="V618" s="167"/>
      <c r="W618" s="413"/>
      <c r="X618" s="413"/>
      <c r="Y618" s="413"/>
      <c r="Z618" s="413"/>
      <c r="AA618" s="160"/>
      <c r="AB618" s="160"/>
      <c r="AC618" s="160"/>
      <c r="AD618" s="398" t="str">
        <f t="shared" si="69"/>
        <v/>
      </c>
      <c r="AE618" s="398"/>
      <c r="AF618" s="398"/>
      <c r="AG618" s="398"/>
      <c r="AH618" s="399"/>
    </row>
    <row r="619" spans="1:39" s="1" customFormat="1" ht="15.75" hidden="1" customHeight="1">
      <c r="A619" s="73" t="str">
        <f t="shared" si="67"/>
        <v>×</v>
      </c>
      <c r="E619" s="174"/>
      <c r="F619" s="175"/>
      <c r="G619" s="175"/>
      <c r="H619" s="414"/>
      <c r="I619" s="414"/>
      <c r="J619" s="414"/>
      <c r="K619" s="414"/>
      <c r="L619" s="155"/>
      <c r="M619" s="155"/>
      <c r="N619" s="155"/>
      <c r="O619" s="401" t="str">
        <f t="shared" si="68"/>
        <v/>
      </c>
      <c r="P619" s="401"/>
      <c r="Q619" s="401"/>
      <c r="R619" s="401"/>
      <c r="S619" s="416"/>
      <c r="T619" s="391"/>
      <c r="U619" s="175"/>
      <c r="V619" s="175"/>
      <c r="W619" s="414"/>
      <c r="X619" s="414"/>
      <c r="Y619" s="414"/>
      <c r="Z619" s="414"/>
      <c r="AA619" s="155"/>
      <c r="AB619" s="155"/>
      <c r="AC619" s="155"/>
      <c r="AD619" s="401" t="str">
        <f t="shared" si="69"/>
        <v/>
      </c>
      <c r="AE619" s="401"/>
      <c r="AF619" s="401"/>
      <c r="AG619" s="401"/>
      <c r="AH619" s="402"/>
    </row>
    <row r="620" spans="1:39" s="1" customFormat="1" ht="15.75" customHeight="1">
      <c r="E620" s="514"/>
      <c r="F620" s="514"/>
      <c r="G620" s="514"/>
      <c r="H620" s="514"/>
      <c r="I620" s="514"/>
      <c r="J620" s="514"/>
      <c r="K620" s="514"/>
      <c r="L620" s="514"/>
      <c r="M620" s="514"/>
      <c r="N620" s="514"/>
      <c r="O620" s="514"/>
      <c r="P620" s="514"/>
      <c r="Q620" s="86"/>
      <c r="R620" s="86"/>
      <c r="S620" s="86"/>
      <c r="T620" s="86"/>
      <c r="U620" s="86"/>
      <c r="V620" s="86"/>
      <c r="W620" s="86"/>
      <c r="X620" s="86"/>
      <c r="Y620" s="86"/>
      <c r="Z620" s="86"/>
      <c r="AA620" s="512" t="s">
        <v>127</v>
      </c>
      <c r="AB620" s="86" t="s">
        <v>513</v>
      </c>
      <c r="AC620" s="118" t="s">
        <v>27</v>
      </c>
      <c r="AD620" s="363">
        <f>PI()*Q92</f>
        <v>3.1415926535897931</v>
      </c>
      <c r="AE620" s="363"/>
      <c r="AF620" s="363"/>
      <c r="AG620" s="515" t="s">
        <v>514</v>
      </c>
      <c r="AH620" s="118" t="s">
        <v>158</v>
      </c>
    </row>
    <row r="621" spans="1:39" s="1" customFormat="1" ht="15.75" customHeight="1">
      <c r="J621" s="76"/>
      <c r="K621" s="76"/>
      <c r="L621" s="76"/>
      <c r="M621" s="9"/>
      <c r="N621" s="9"/>
      <c r="O621" s="9"/>
      <c r="P621" s="76"/>
      <c r="Q621" s="76"/>
      <c r="R621" s="76"/>
      <c r="S621" s="76"/>
      <c r="T621" s="9"/>
      <c r="U621" s="9"/>
      <c r="AG621" s="8"/>
      <c r="AH621" s="8"/>
      <c r="AI621" s="8"/>
      <c r="AJ621" s="8"/>
      <c r="AK621" s="8"/>
    </row>
    <row r="622" spans="1:39" s="1" customFormat="1" ht="15.75" customHeight="1">
      <c r="T622" s="8"/>
      <c r="U622" s="8"/>
      <c r="V622" s="8"/>
      <c r="W622" s="8"/>
      <c r="X622" s="8"/>
      <c r="Y622" s="8"/>
      <c r="Z622" s="8"/>
      <c r="AA622" s="8"/>
      <c r="AB622" s="8"/>
      <c r="AC622" s="8"/>
      <c r="AD622" s="8"/>
      <c r="AE622" s="8"/>
      <c r="AF622" s="8"/>
      <c r="AG622" s="8"/>
      <c r="AH622" s="8"/>
      <c r="AI622" s="8"/>
      <c r="AJ622" s="8"/>
      <c r="AK622" s="8"/>
      <c r="AL622" s="8"/>
      <c r="AM622" s="8"/>
    </row>
    <row r="623" spans="1:39" s="1" customFormat="1" ht="15.75" customHeight="1">
      <c r="E623" s="61" t="s">
        <v>516</v>
      </c>
      <c r="F623" s="85"/>
      <c r="G623" s="85"/>
      <c r="H623" s="85"/>
      <c r="I623" s="61"/>
      <c r="J623" s="61"/>
      <c r="K623" s="61"/>
      <c r="L623" s="61"/>
      <c r="M623" s="61"/>
      <c r="N623" s="61"/>
      <c r="O623" s="61"/>
      <c r="P623" s="61"/>
      <c r="Q623" s="61"/>
      <c r="R623" s="61"/>
      <c r="S623" s="61"/>
      <c r="T623" s="61"/>
      <c r="U623" s="61"/>
      <c r="V623" s="61"/>
      <c r="W623" s="61"/>
      <c r="X623" s="61"/>
      <c r="Y623" s="61"/>
      <c r="Z623" s="61"/>
      <c r="AA623" s="61"/>
      <c r="AB623" s="61"/>
      <c r="AC623" s="61"/>
      <c r="AD623" s="61"/>
      <c r="AE623" s="61"/>
      <c r="AF623" s="61"/>
      <c r="AG623" s="61"/>
      <c r="AH623" s="61"/>
      <c r="AI623" s="8"/>
    </row>
    <row r="624" spans="1:39" s="1" customFormat="1" ht="15.75" customHeight="1">
      <c r="E624" s="347" t="s">
        <v>511</v>
      </c>
      <c r="F624" s="348"/>
      <c r="G624" s="348"/>
      <c r="H624" s="348"/>
      <c r="I624" s="348"/>
      <c r="J624" s="348"/>
      <c r="K624" s="348"/>
      <c r="L624" s="348"/>
      <c r="M624" s="348"/>
      <c r="N624" s="348"/>
      <c r="O624" s="348"/>
      <c r="P624" s="348"/>
      <c r="Q624" s="348"/>
      <c r="R624" s="348"/>
      <c r="S624" s="410"/>
      <c r="T624" s="350" t="s">
        <v>512</v>
      </c>
      <c r="U624" s="147"/>
      <c r="V624" s="147"/>
      <c r="W624" s="147"/>
      <c r="X624" s="147"/>
      <c r="Y624" s="147"/>
      <c r="Z624" s="147"/>
      <c r="AA624" s="147"/>
      <c r="AB624" s="147"/>
      <c r="AC624" s="147"/>
      <c r="AD624" s="147"/>
      <c r="AE624" s="147"/>
      <c r="AF624" s="147"/>
      <c r="AG624" s="147"/>
      <c r="AH624" s="214"/>
    </row>
    <row r="625" spans="1:34" s="1" customFormat="1" ht="15.75" customHeight="1">
      <c r="E625" s="225" t="s">
        <v>78</v>
      </c>
      <c r="F625" s="226"/>
      <c r="G625" s="226"/>
      <c r="H625" s="226" t="s">
        <v>191</v>
      </c>
      <c r="I625" s="226"/>
      <c r="J625" s="226"/>
      <c r="K625" s="226"/>
      <c r="L625" s="229" t="s">
        <v>190</v>
      </c>
      <c r="M625" s="230"/>
      <c r="N625" s="230"/>
      <c r="O625" s="226" t="s">
        <v>510</v>
      </c>
      <c r="P625" s="226"/>
      <c r="Q625" s="226"/>
      <c r="R625" s="226"/>
      <c r="S625" s="326"/>
      <c r="T625" s="339" t="s">
        <v>78</v>
      </c>
      <c r="U625" s="226"/>
      <c r="V625" s="226"/>
      <c r="W625" s="226" t="s">
        <v>191</v>
      </c>
      <c r="X625" s="226"/>
      <c r="Y625" s="226"/>
      <c r="Z625" s="226"/>
      <c r="AA625" s="229" t="s">
        <v>190</v>
      </c>
      <c r="AB625" s="230"/>
      <c r="AC625" s="230"/>
      <c r="AD625" s="226" t="s">
        <v>510</v>
      </c>
      <c r="AE625" s="226"/>
      <c r="AF625" s="226"/>
      <c r="AG625" s="226"/>
      <c r="AH625" s="326"/>
    </row>
    <row r="626" spans="1:34" s="1" customFormat="1" ht="15.75" customHeight="1">
      <c r="E626" s="227"/>
      <c r="F626" s="228"/>
      <c r="G626" s="228"/>
      <c r="H626" s="228"/>
      <c r="I626" s="228"/>
      <c r="J626" s="228"/>
      <c r="K626" s="228"/>
      <c r="L626" s="231"/>
      <c r="M626" s="231"/>
      <c r="N626" s="231"/>
      <c r="O626" s="228"/>
      <c r="P626" s="228"/>
      <c r="Q626" s="228"/>
      <c r="R626" s="228"/>
      <c r="S626" s="409"/>
      <c r="T626" s="351"/>
      <c r="U626" s="228"/>
      <c r="V626" s="228"/>
      <c r="W626" s="228"/>
      <c r="X626" s="228"/>
      <c r="Y626" s="228"/>
      <c r="Z626" s="228"/>
      <c r="AA626" s="231"/>
      <c r="AB626" s="231"/>
      <c r="AC626" s="231"/>
      <c r="AD626" s="228"/>
      <c r="AE626" s="228"/>
      <c r="AF626" s="228"/>
      <c r="AG626" s="228"/>
      <c r="AH626" s="409"/>
    </row>
    <row r="627" spans="1:34" s="1" customFormat="1" ht="15.75" customHeight="1">
      <c r="A627" s="73" t="str">
        <f>IF(LEN(E627)+LEN(T627)=0,"×","")</f>
        <v/>
      </c>
      <c r="E627" s="190">
        <v>3</v>
      </c>
      <c r="F627" s="163"/>
      <c r="G627" s="163"/>
      <c r="H627" s="411">
        <v>2786</v>
      </c>
      <c r="I627" s="411"/>
      <c r="J627" s="411"/>
      <c r="K627" s="411"/>
      <c r="L627" s="164">
        <v>3</v>
      </c>
      <c r="M627" s="164"/>
      <c r="N627" s="164"/>
      <c r="O627" s="395">
        <f>IF(H627="","",H627*AD$643)</f>
        <v>8752.4771329011637</v>
      </c>
      <c r="P627" s="395"/>
      <c r="Q627" s="395"/>
      <c r="R627" s="395"/>
      <c r="S627" s="412"/>
      <c r="T627" s="390">
        <v>3</v>
      </c>
      <c r="U627" s="163"/>
      <c r="V627" s="163"/>
      <c r="W627" s="411">
        <v>2786</v>
      </c>
      <c r="X627" s="411"/>
      <c r="Y627" s="411"/>
      <c r="Z627" s="411"/>
      <c r="AA627" s="164">
        <v>3</v>
      </c>
      <c r="AB627" s="164"/>
      <c r="AC627" s="164"/>
      <c r="AD627" s="395">
        <f>IF(W627="","",W627*AD$643)</f>
        <v>8752.4771329011637</v>
      </c>
      <c r="AE627" s="395"/>
      <c r="AF627" s="395"/>
      <c r="AG627" s="395"/>
      <c r="AH627" s="396"/>
    </row>
    <row r="628" spans="1:34" s="1" customFormat="1" ht="15.75" customHeight="1">
      <c r="A628" s="73" t="str">
        <f t="shared" ref="A628:A642" si="70">IF(LEN(E628)+LEN(T628)=0,"×","")</f>
        <v/>
      </c>
      <c r="E628" s="166">
        <v>4</v>
      </c>
      <c r="F628" s="167"/>
      <c r="G628" s="167"/>
      <c r="H628" s="413">
        <v>5724</v>
      </c>
      <c r="I628" s="413"/>
      <c r="J628" s="413"/>
      <c r="K628" s="413"/>
      <c r="L628" s="160">
        <v>5</v>
      </c>
      <c r="M628" s="160"/>
      <c r="N628" s="160"/>
      <c r="O628" s="398">
        <f t="shared" ref="O628:O642" si="71">IF(H628="","",H628*AD$643)</f>
        <v>17982.476349147975</v>
      </c>
      <c r="P628" s="398"/>
      <c r="Q628" s="398"/>
      <c r="R628" s="398"/>
      <c r="S628" s="415"/>
      <c r="T628" s="389">
        <v>4</v>
      </c>
      <c r="U628" s="167"/>
      <c r="V628" s="167"/>
      <c r="W628" s="413">
        <v>5724</v>
      </c>
      <c r="X628" s="413"/>
      <c r="Y628" s="413"/>
      <c r="Z628" s="413"/>
      <c r="AA628" s="160">
        <v>5</v>
      </c>
      <c r="AB628" s="160"/>
      <c r="AC628" s="160"/>
      <c r="AD628" s="398">
        <f t="shared" ref="AD628:AD642" si="72">IF(W628="","",W628*AD$643)</f>
        <v>17982.476349147975</v>
      </c>
      <c r="AE628" s="398"/>
      <c r="AF628" s="398"/>
      <c r="AG628" s="398"/>
      <c r="AH628" s="399"/>
    </row>
    <row r="629" spans="1:34" s="1" customFormat="1" ht="15.75" customHeight="1">
      <c r="A629" s="73" t="str">
        <f t="shared" si="70"/>
        <v/>
      </c>
      <c r="E629" s="166">
        <v>5</v>
      </c>
      <c r="F629" s="167"/>
      <c r="G629" s="167"/>
      <c r="H629" s="413">
        <v>6514</v>
      </c>
      <c r="I629" s="413"/>
      <c r="J629" s="413"/>
      <c r="K629" s="413"/>
      <c r="L629" s="160">
        <v>8</v>
      </c>
      <c r="M629" s="160"/>
      <c r="N629" s="160"/>
      <c r="O629" s="398">
        <f t="shared" si="71"/>
        <v>20464.334545483911</v>
      </c>
      <c r="P629" s="398"/>
      <c r="Q629" s="398"/>
      <c r="R629" s="398"/>
      <c r="S629" s="415"/>
      <c r="T629" s="389">
        <v>5</v>
      </c>
      <c r="U629" s="167"/>
      <c r="V629" s="167"/>
      <c r="W629" s="413">
        <v>6514</v>
      </c>
      <c r="X629" s="413"/>
      <c r="Y629" s="413"/>
      <c r="Z629" s="413"/>
      <c r="AA629" s="160">
        <v>8</v>
      </c>
      <c r="AB629" s="160"/>
      <c r="AC629" s="160"/>
      <c r="AD629" s="398">
        <f t="shared" si="72"/>
        <v>20464.334545483911</v>
      </c>
      <c r="AE629" s="398"/>
      <c r="AF629" s="398"/>
      <c r="AG629" s="398"/>
      <c r="AH629" s="399"/>
    </row>
    <row r="630" spans="1:34" s="1" customFormat="1" ht="15.75" customHeight="1">
      <c r="A630" s="73" t="str">
        <f t="shared" si="70"/>
        <v/>
      </c>
      <c r="E630" s="166">
        <v>6</v>
      </c>
      <c r="F630" s="167"/>
      <c r="G630" s="167"/>
      <c r="H630" s="413">
        <v>9288</v>
      </c>
      <c r="I630" s="413"/>
      <c r="J630" s="413"/>
      <c r="K630" s="413"/>
      <c r="L630" s="160">
        <v>4</v>
      </c>
      <c r="M630" s="160"/>
      <c r="N630" s="160"/>
      <c r="O630" s="398">
        <f t="shared" si="71"/>
        <v>29179.112566541997</v>
      </c>
      <c r="P630" s="398"/>
      <c r="Q630" s="398"/>
      <c r="R630" s="398"/>
      <c r="S630" s="415"/>
      <c r="T630" s="389">
        <v>6</v>
      </c>
      <c r="U630" s="167"/>
      <c r="V630" s="167"/>
      <c r="W630" s="413">
        <v>9288</v>
      </c>
      <c r="X630" s="413"/>
      <c r="Y630" s="413"/>
      <c r="Z630" s="413"/>
      <c r="AA630" s="160">
        <v>4.5</v>
      </c>
      <c r="AB630" s="160"/>
      <c r="AC630" s="160"/>
      <c r="AD630" s="398">
        <f t="shared" si="72"/>
        <v>29179.112566541997</v>
      </c>
      <c r="AE630" s="398"/>
      <c r="AF630" s="398"/>
      <c r="AG630" s="398"/>
      <c r="AH630" s="399"/>
    </row>
    <row r="631" spans="1:34" s="1" customFormat="1" ht="15.75" customHeight="1">
      <c r="A631" s="73" t="str">
        <f t="shared" si="70"/>
        <v/>
      </c>
      <c r="E631" s="166">
        <v>6</v>
      </c>
      <c r="F631" s="167"/>
      <c r="G631" s="167"/>
      <c r="H631" s="413">
        <v>0</v>
      </c>
      <c r="I631" s="413"/>
      <c r="J631" s="413"/>
      <c r="K631" s="413"/>
      <c r="L631" s="160">
        <v>0.5</v>
      </c>
      <c r="M631" s="160"/>
      <c r="N631" s="160"/>
      <c r="O631" s="398">
        <f>IF(H631="","",H631*AD$643)</f>
        <v>0</v>
      </c>
      <c r="P631" s="398"/>
      <c r="Q631" s="398"/>
      <c r="R631" s="398"/>
      <c r="S631" s="415"/>
      <c r="T631" s="389">
        <v>7</v>
      </c>
      <c r="U631" s="167"/>
      <c r="V631" s="167"/>
      <c r="W631" s="413">
        <v>18352</v>
      </c>
      <c r="X631" s="413"/>
      <c r="Y631" s="413"/>
      <c r="Z631" s="413"/>
      <c r="AA631" s="160">
        <v>0.5</v>
      </c>
      <c r="AB631" s="160"/>
      <c r="AC631" s="160"/>
      <c r="AD631" s="398">
        <f t="shared" si="72"/>
        <v>57654.508378679886</v>
      </c>
      <c r="AE631" s="398"/>
      <c r="AF631" s="398"/>
      <c r="AG631" s="398"/>
      <c r="AH631" s="399"/>
    </row>
    <row r="632" spans="1:34" s="1" customFormat="1" ht="15.75" customHeight="1">
      <c r="A632" s="73" t="str">
        <f t="shared" si="70"/>
        <v/>
      </c>
      <c r="E632" s="166">
        <v>7</v>
      </c>
      <c r="F632" s="167"/>
      <c r="G632" s="167"/>
      <c r="H632" s="413">
        <v>0</v>
      </c>
      <c r="I632" s="413"/>
      <c r="J632" s="413"/>
      <c r="K632" s="413"/>
      <c r="L632" s="160">
        <v>0.5</v>
      </c>
      <c r="M632" s="160"/>
      <c r="N632" s="160"/>
      <c r="O632" s="398">
        <f t="shared" si="71"/>
        <v>0</v>
      </c>
      <c r="P632" s="398"/>
      <c r="Q632" s="398"/>
      <c r="R632" s="398"/>
      <c r="S632" s="415"/>
      <c r="T632" s="389"/>
      <c r="U632" s="167"/>
      <c r="V632" s="167"/>
      <c r="W632" s="413"/>
      <c r="X632" s="413"/>
      <c r="Y632" s="413"/>
      <c r="Z632" s="413"/>
      <c r="AA632" s="160"/>
      <c r="AB632" s="160"/>
      <c r="AC632" s="160"/>
      <c r="AD632" s="398" t="str">
        <f t="shared" si="72"/>
        <v/>
      </c>
      <c r="AE632" s="398"/>
      <c r="AF632" s="398"/>
      <c r="AG632" s="398"/>
      <c r="AH632" s="399"/>
    </row>
    <row r="633" spans="1:34" s="1" customFormat="1" ht="15.75" hidden="1" customHeight="1">
      <c r="A633" s="73" t="str">
        <f t="shared" si="70"/>
        <v>×</v>
      </c>
      <c r="E633" s="166"/>
      <c r="F633" s="167"/>
      <c r="G633" s="167"/>
      <c r="H633" s="413"/>
      <c r="I633" s="413"/>
      <c r="J633" s="413"/>
      <c r="K633" s="413"/>
      <c r="L633" s="160"/>
      <c r="M633" s="160"/>
      <c r="N633" s="160"/>
      <c r="O633" s="398" t="str">
        <f t="shared" si="71"/>
        <v/>
      </c>
      <c r="P633" s="398"/>
      <c r="Q633" s="398"/>
      <c r="R633" s="398"/>
      <c r="S633" s="415"/>
      <c r="T633" s="389"/>
      <c r="U633" s="167"/>
      <c r="V633" s="167"/>
      <c r="W633" s="413"/>
      <c r="X633" s="413"/>
      <c r="Y633" s="413"/>
      <c r="Z633" s="413"/>
      <c r="AA633" s="160"/>
      <c r="AB633" s="160"/>
      <c r="AC633" s="160"/>
      <c r="AD633" s="398" t="str">
        <f t="shared" si="72"/>
        <v/>
      </c>
      <c r="AE633" s="398"/>
      <c r="AF633" s="398"/>
      <c r="AG633" s="398"/>
      <c r="AH633" s="399"/>
    </row>
    <row r="634" spans="1:34" s="1" customFormat="1" ht="15.75" hidden="1" customHeight="1">
      <c r="A634" s="73" t="str">
        <f t="shared" si="70"/>
        <v>×</v>
      </c>
      <c r="E634" s="166"/>
      <c r="F634" s="167"/>
      <c r="G634" s="167"/>
      <c r="H634" s="413"/>
      <c r="I634" s="413"/>
      <c r="J634" s="413"/>
      <c r="K634" s="413"/>
      <c r="L634" s="160"/>
      <c r="M634" s="160"/>
      <c r="N634" s="160"/>
      <c r="O634" s="398" t="str">
        <f t="shared" si="71"/>
        <v/>
      </c>
      <c r="P634" s="398"/>
      <c r="Q634" s="398"/>
      <c r="R634" s="398"/>
      <c r="S634" s="415"/>
      <c r="T634" s="389"/>
      <c r="U634" s="167"/>
      <c r="V634" s="167"/>
      <c r="W634" s="413"/>
      <c r="X634" s="413"/>
      <c r="Y634" s="413"/>
      <c r="Z634" s="413"/>
      <c r="AA634" s="160"/>
      <c r="AB634" s="160"/>
      <c r="AC634" s="160"/>
      <c r="AD634" s="398" t="str">
        <f t="shared" si="72"/>
        <v/>
      </c>
      <c r="AE634" s="398"/>
      <c r="AF634" s="398"/>
      <c r="AG634" s="398"/>
      <c r="AH634" s="399"/>
    </row>
    <row r="635" spans="1:34" s="1" customFormat="1" ht="15.75" hidden="1" customHeight="1">
      <c r="A635" s="73" t="str">
        <f t="shared" si="70"/>
        <v>×</v>
      </c>
      <c r="E635" s="166"/>
      <c r="F635" s="167"/>
      <c r="G635" s="167"/>
      <c r="H635" s="413"/>
      <c r="I635" s="413"/>
      <c r="J635" s="413"/>
      <c r="K635" s="413"/>
      <c r="L635" s="160"/>
      <c r="M635" s="160"/>
      <c r="N635" s="160"/>
      <c r="O635" s="398" t="str">
        <f t="shared" si="71"/>
        <v/>
      </c>
      <c r="P635" s="398"/>
      <c r="Q635" s="398"/>
      <c r="R635" s="398"/>
      <c r="S635" s="415"/>
      <c r="T635" s="389"/>
      <c r="U635" s="167"/>
      <c r="V635" s="167"/>
      <c r="W635" s="413"/>
      <c r="X635" s="413"/>
      <c r="Y635" s="413"/>
      <c r="Z635" s="413"/>
      <c r="AA635" s="160"/>
      <c r="AB635" s="160"/>
      <c r="AC635" s="160"/>
      <c r="AD635" s="398" t="str">
        <f t="shared" si="72"/>
        <v/>
      </c>
      <c r="AE635" s="398"/>
      <c r="AF635" s="398"/>
      <c r="AG635" s="398"/>
      <c r="AH635" s="399"/>
    </row>
    <row r="636" spans="1:34" s="1" customFormat="1" ht="15.75" hidden="1" customHeight="1">
      <c r="A636" s="73" t="str">
        <f t="shared" si="70"/>
        <v>×</v>
      </c>
      <c r="E636" s="166"/>
      <c r="F636" s="167"/>
      <c r="G636" s="167"/>
      <c r="H636" s="413"/>
      <c r="I636" s="413"/>
      <c r="J636" s="413"/>
      <c r="K636" s="413"/>
      <c r="L636" s="160"/>
      <c r="M636" s="160"/>
      <c r="N636" s="160"/>
      <c r="O636" s="398" t="str">
        <f t="shared" si="71"/>
        <v/>
      </c>
      <c r="P636" s="398"/>
      <c r="Q636" s="398"/>
      <c r="R636" s="398"/>
      <c r="S636" s="415"/>
      <c r="T636" s="389"/>
      <c r="U636" s="167"/>
      <c r="V636" s="167"/>
      <c r="W636" s="413"/>
      <c r="X636" s="413"/>
      <c r="Y636" s="413"/>
      <c r="Z636" s="413"/>
      <c r="AA636" s="160"/>
      <c r="AB636" s="160"/>
      <c r="AC636" s="160"/>
      <c r="AD636" s="398" t="str">
        <f t="shared" si="72"/>
        <v/>
      </c>
      <c r="AE636" s="398"/>
      <c r="AF636" s="398"/>
      <c r="AG636" s="398"/>
      <c r="AH636" s="399"/>
    </row>
    <row r="637" spans="1:34" s="1" customFormat="1" ht="15.75" hidden="1" customHeight="1">
      <c r="A637" s="73" t="str">
        <f t="shared" si="70"/>
        <v>×</v>
      </c>
      <c r="E637" s="166"/>
      <c r="F637" s="167"/>
      <c r="G637" s="167"/>
      <c r="H637" s="413"/>
      <c r="I637" s="413"/>
      <c r="J637" s="413"/>
      <c r="K637" s="413"/>
      <c r="L637" s="160"/>
      <c r="M637" s="160"/>
      <c r="N637" s="160"/>
      <c r="O637" s="398" t="str">
        <f t="shared" si="71"/>
        <v/>
      </c>
      <c r="P637" s="398"/>
      <c r="Q637" s="398"/>
      <c r="R637" s="398"/>
      <c r="S637" s="415"/>
      <c r="T637" s="389"/>
      <c r="U637" s="167"/>
      <c r="V637" s="167"/>
      <c r="W637" s="413"/>
      <c r="X637" s="413"/>
      <c r="Y637" s="413"/>
      <c r="Z637" s="413"/>
      <c r="AA637" s="160"/>
      <c r="AB637" s="160"/>
      <c r="AC637" s="160"/>
      <c r="AD637" s="398" t="str">
        <f t="shared" si="72"/>
        <v/>
      </c>
      <c r="AE637" s="398"/>
      <c r="AF637" s="398"/>
      <c r="AG637" s="398"/>
      <c r="AH637" s="399"/>
    </row>
    <row r="638" spans="1:34" s="1" customFormat="1" ht="15.75" hidden="1" customHeight="1">
      <c r="A638" s="73" t="str">
        <f t="shared" si="70"/>
        <v>×</v>
      </c>
      <c r="E638" s="166"/>
      <c r="F638" s="167"/>
      <c r="G638" s="167"/>
      <c r="H638" s="413"/>
      <c r="I638" s="413"/>
      <c r="J638" s="413"/>
      <c r="K638" s="413"/>
      <c r="L638" s="160"/>
      <c r="M638" s="160"/>
      <c r="N638" s="160"/>
      <c r="O638" s="398" t="str">
        <f t="shared" si="71"/>
        <v/>
      </c>
      <c r="P638" s="398"/>
      <c r="Q638" s="398"/>
      <c r="R638" s="398"/>
      <c r="S638" s="415"/>
      <c r="T638" s="389"/>
      <c r="U638" s="167"/>
      <c r="V638" s="167"/>
      <c r="W638" s="413"/>
      <c r="X638" s="413"/>
      <c r="Y638" s="413"/>
      <c r="Z638" s="413"/>
      <c r="AA638" s="160"/>
      <c r="AB638" s="160"/>
      <c r="AC638" s="160"/>
      <c r="AD638" s="398" t="str">
        <f t="shared" si="72"/>
        <v/>
      </c>
      <c r="AE638" s="398"/>
      <c r="AF638" s="398"/>
      <c r="AG638" s="398"/>
      <c r="AH638" s="399"/>
    </row>
    <row r="639" spans="1:34" s="1" customFormat="1" ht="15.75" hidden="1" customHeight="1">
      <c r="A639" s="73" t="str">
        <f t="shared" si="70"/>
        <v>×</v>
      </c>
      <c r="E639" s="166"/>
      <c r="F639" s="167"/>
      <c r="G639" s="167"/>
      <c r="H639" s="413"/>
      <c r="I639" s="413"/>
      <c r="J639" s="413"/>
      <c r="K639" s="413"/>
      <c r="L639" s="160"/>
      <c r="M639" s="160"/>
      <c r="N639" s="160"/>
      <c r="O639" s="398" t="str">
        <f t="shared" si="71"/>
        <v/>
      </c>
      <c r="P639" s="398"/>
      <c r="Q639" s="398"/>
      <c r="R639" s="398"/>
      <c r="S639" s="415"/>
      <c r="T639" s="389"/>
      <c r="U639" s="167"/>
      <c r="V639" s="167"/>
      <c r="W639" s="413"/>
      <c r="X639" s="413"/>
      <c r="Y639" s="413"/>
      <c r="Z639" s="413"/>
      <c r="AA639" s="160"/>
      <c r="AB639" s="160"/>
      <c r="AC639" s="160"/>
      <c r="AD639" s="398" t="str">
        <f t="shared" si="72"/>
        <v/>
      </c>
      <c r="AE639" s="398"/>
      <c r="AF639" s="398"/>
      <c r="AG639" s="398"/>
      <c r="AH639" s="399"/>
    </row>
    <row r="640" spans="1:34" s="1" customFormat="1" ht="15.75" hidden="1" customHeight="1">
      <c r="A640" s="73" t="str">
        <f t="shared" si="70"/>
        <v>×</v>
      </c>
      <c r="E640" s="166"/>
      <c r="F640" s="167"/>
      <c r="G640" s="167"/>
      <c r="H640" s="413"/>
      <c r="I640" s="413"/>
      <c r="J640" s="413"/>
      <c r="K640" s="413"/>
      <c r="L640" s="160"/>
      <c r="M640" s="160"/>
      <c r="N640" s="160"/>
      <c r="O640" s="398" t="str">
        <f t="shared" si="71"/>
        <v/>
      </c>
      <c r="P640" s="398"/>
      <c r="Q640" s="398"/>
      <c r="R640" s="398"/>
      <c r="S640" s="415"/>
      <c r="T640" s="389"/>
      <c r="U640" s="167"/>
      <c r="V640" s="167"/>
      <c r="W640" s="413"/>
      <c r="X640" s="413"/>
      <c r="Y640" s="413"/>
      <c r="Z640" s="413"/>
      <c r="AA640" s="160"/>
      <c r="AB640" s="160"/>
      <c r="AC640" s="160"/>
      <c r="AD640" s="398" t="str">
        <f t="shared" si="72"/>
        <v/>
      </c>
      <c r="AE640" s="398"/>
      <c r="AF640" s="398"/>
      <c r="AG640" s="398"/>
      <c r="AH640" s="399"/>
    </row>
    <row r="641" spans="1:39" s="1" customFormat="1" ht="15.75" hidden="1" customHeight="1">
      <c r="A641" s="73" t="str">
        <f t="shared" si="70"/>
        <v>×</v>
      </c>
      <c r="E641" s="166"/>
      <c r="F641" s="167"/>
      <c r="G641" s="167"/>
      <c r="H641" s="413"/>
      <c r="I641" s="413"/>
      <c r="J641" s="413"/>
      <c r="K641" s="413"/>
      <c r="L641" s="160"/>
      <c r="M641" s="160"/>
      <c r="N641" s="160"/>
      <c r="O641" s="398" t="str">
        <f t="shared" si="71"/>
        <v/>
      </c>
      <c r="P641" s="398"/>
      <c r="Q641" s="398"/>
      <c r="R641" s="398"/>
      <c r="S641" s="415"/>
      <c r="T641" s="389"/>
      <c r="U641" s="167"/>
      <c r="V641" s="167"/>
      <c r="W641" s="413"/>
      <c r="X641" s="413"/>
      <c r="Y641" s="413"/>
      <c r="Z641" s="413"/>
      <c r="AA641" s="160"/>
      <c r="AB641" s="160"/>
      <c r="AC641" s="160"/>
      <c r="AD641" s="398" t="str">
        <f t="shared" si="72"/>
        <v/>
      </c>
      <c r="AE641" s="398"/>
      <c r="AF641" s="398"/>
      <c r="AG641" s="398"/>
      <c r="AH641" s="399"/>
    </row>
    <row r="642" spans="1:39" s="1" customFormat="1" ht="15.75" hidden="1" customHeight="1">
      <c r="A642" s="73" t="str">
        <f t="shared" si="70"/>
        <v>×</v>
      </c>
      <c r="E642" s="174"/>
      <c r="F642" s="175"/>
      <c r="G642" s="175"/>
      <c r="H642" s="414"/>
      <c r="I642" s="414"/>
      <c r="J642" s="414"/>
      <c r="K642" s="414"/>
      <c r="L642" s="155"/>
      <c r="M642" s="155"/>
      <c r="N642" s="155"/>
      <c r="O642" s="401" t="str">
        <f t="shared" si="71"/>
        <v/>
      </c>
      <c r="P642" s="401"/>
      <c r="Q642" s="401"/>
      <c r="R642" s="401"/>
      <c r="S642" s="416"/>
      <c r="T642" s="391"/>
      <c r="U642" s="175"/>
      <c r="V642" s="175"/>
      <c r="W642" s="414"/>
      <c r="X642" s="414"/>
      <c r="Y642" s="414"/>
      <c r="Z642" s="414"/>
      <c r="AA642" s="155"/>
      <c r="AB642" s="155"/>
      <c r="AC642" s="155"/>
      <c r="AD642" s="401" t="str">
        <f t="shared" si="72"/>
        <v/>
      </c>
      <c r="AE642" s="401"/>
      <c r="AF642" s="401"/>
      <c r="AG642" s="401"/>
      <c r="AH642" s="402"/>
    </row>
    <row r="643" spans="1:39" s="1" customFormat="1" ht="15.75" customHeight="1">
      <c r="E643" s="514"/>
      <c r="F643" s="514"/>
      <c r="G643" s="514"/>
      <c r="H643" s="514"/>
      <c r="I643" s="514"/>
      <c r="J643" s="514"/>
      <c r="K643" s="514"/>
      <c r="L643" s="514"/>
      <c r="M643" s="514"/>
      <c r="N643" s="514"/>
      <c r="O643" s="514"/>
      <c r="P643" s="514"/>
      <c r="Q643" s="86"/>
      <c r="R643" s="86"/>
      <c r="S643" s="86"/>
      <c r="T643" s="86"/>
      <c r="U643" s="86"/>
      <c r="V643" s="86"/>
      <c r="W643" s="86"/>
      <c r="X643" s="86"/>
      <c r="Y643" s="86"/>
      <c r="Z643" s="86"/>
      <c r="AA643" s="512" t="s">
        <v>127</v>
      </c>
      <c r="AB643" s="86" t="s">
        <v>513</v>
      </c>
      <c r="AC643" s="118" t="s">
        <v>27</v>
      </c>
      <c r="AD643" s="363">
        <f>AD620</f>
        <v>3.1415926535897931</v>
      </c>
      <c r="AE643" s="363"/>
      <c r="AF643" s="363"/>
      <c r="AG643" s="515" t="s">
        <v>514</v>
      </c>
      <c r="AH643" s="118" t="s">
        <v>158</v>
      </c>
    </row>
    <row r="644" spans="1:39" s="1" customFormat="1" ht="15.75" customHeight="1">
      <c r="J644" s="76"/>
      <c r="K644" s="76"/>
      <c r="L644" s="76"/>
      <c r="M644" s="9"/>
      <c r="N644" s="9"/>
      <c r="O644" s="9"/>
      <c r="P644" s="76"/>
      <c r="Q644" s="76"/>
      <c r="R644" s="76"/>
      <c r="S644" s="76"/>
      <c r="T644" s="9"/>
      <c r="U644" s="76"/>
      <c r="V644" s="76"/>
      <c r="W644" s="90"/>
      <c r="X644" s="90"/>
      <c r="Y644" s="90"/>
      <c r="Z644" s="90"/>
      <c r="AA644" s="8"/>
      <c r="AB644" s="8"/>
      <c r="AC644" s="8"/>
      <c r="AD644" s="8"/>
      <c r="AE644" s="8"/>
      <c r="AF644" s="8"/>
      <c r="AG644" s="8"/>
      <c r="AH644" s="8"/>
      <c r="AI644" s="8"/>
      <c r="AJ644" s="8"/>
      <c r="AK644" s="8"/>
      <c r="AL644" s="8"/>
      <c r="AM644" s="8"/>
    </row>
    <row r="645" spans="1:39" s="1" customFormat="1" ht="15.75" customHeight="1">
      <c r="J645" s="112"/>
      <c r="K645" s="112"/>
      <c r="L645" s="112"/>
      <c r="M645" s="115"/>
      <c r="N645" s="115"/>
      <c r="O645" s="115"/>
      <c r="P645" s="112"/>
      <c r="Q645" s="112"/>
      <c r="R645" s="112"/>
      <c r="S645" s="112"/>
      <c r="T645" s="115"/>
      <c r="U645" s="112"/>
      <c r="V645" s="112"/>
      <c r="W645" s="90"/>
      <c r="X645" s="90"/>
      <c r="Y645" s="90"/>
      <c r="Z645" s="90"/>
      <c r="AA645" s="8"/>
      <c r="AB645" s="8"/>
      <c r="AC645" s="8"/>
      <c r="AD645" s="8"/>
      <c r="AE645" s="8"/>
      <c r="AF645" s="8"/>
      <c r="AG645" s="8"/>
      <c r="AH645" s="8"/>
      <c r="AI645" s="8"/>
      <c r="AJ645" s="8"/>
      <c r="AK645" s="8"/>
      <c r="AL645" s="8"/>
      <c r="AM645" s="8"/>
    </row>
    <row r="646" spans="1:39" s="1" customFormat="1" ht="15.75" customHeight="1">
      <c r="E646" s="61" t="s">
        <v>552</v>
      </c>
      <c r="F646" s="85"/>
      <c r="G646" s="85"/>
      <c r="H646" s="85"/>
      <c r="I646" s="61"/>
      <c r="J646" s="61"/>
      <c r="K646" s="61"/>
      <c r="L646" s="61"/>
      <c r="M646" s="61"/>
      <c r="N646" s="61"/>
      <c r="O646" s="61"/>
      <c r="P646" s="61"/>
      <c r="Q646" s="61"/>
      <c r="R646" s="61"/>
      <c r="S646" s="61"/>
      <c r="T646" s="61"/>
      <c r="U646" s="61"/>
      <c r="V646" s="61"/>
      <c r="W646" s="61"/>
      <c r="X646" s="61"/>
      <c r="Y646" s="61"/>
      <c r="Z646" s="61"/>
      <c r="AA646" s="61"/>
      <c r="AB646" s="61"/>
      <c r="AC646" s="61"/>
      <c r="AD646" s="61"/>
      <c r="AE646" s="61"/>
      <c r="AF646" s="61"/>
      <c r="AG646" s="61"/>
      <c r="AH646" s="61"/>
      <c r="AI646" s="8"/>
    </row>
    <row r="647" spans="1:39" s="1" customFormat="1" ht="15.75" customHeight="1">
      <c r="E647" s="347" t="s">
        <v>511</v>
      </c>
      <c r="F647" s="348"/>
      <c r="G647" s="348"/>
      <c r="H647" s="348"/>
      <c r="I647" s="348"/>
      <c r="J647" s="348"/>
      <c r="K647" s="348"/>
      <c r="L647" s="348"/>
      <c r="M647" s="348"/>
      <c r="N647" s="348"/>
      <c r="O647" s="348"/>
      <c r="P647" s="348"/>
      <c r="Q647" s="348"/>
      <c r="R647" s="348"/>
      <c r="S647" s="410"/>
      <c r="T647" s="350" t="s">
        <v>512</v>
      </c>
      <c r="U647" s="147"/>
      <c r="V647" s="147"/>
      <c r="W647" s="147"/>
      <c r="X647" s="147"/>
      <c r="Y647" s="147"/>
      <c r="Z647" s="147"/>
      <c r="AA647" s="147"/>
      <c r="AB647" s="147"/>
      <c r="AC647" s="147"/>
      <c r="AD647" s="147"/>
      <c r="AE647" s="147"/>
      <c r="AF647" s="147"/>
      <c r="AG647" s="147"/>
      <c r="AH647" s="214"/>
    </row>
    <row r="648" spans="1:39" s="1" customFormat="1" ht="15.75" customHeight="1">
      <c r="E648" s="225" t="s">
        <v>78</v>
      </c>
      <c r="F648" s="226"/>
      <c r="G648" s="226"/>
      <c r="H648" s="226" t="s">
        <v>191</v>
      </c>
      <c r="I648" s="226"/>
      <c r="J648" s="226"/>
      <c r="K648" s="226"/>
      <c r="L648" s="229" t="s">
        <v>190</v>
      </c>
      <c r="M648" s="230"/>
      <c r="N648" s="230"/>
      <c r="O648" s="226" t="s">
        <v>510</v>
      </c>
      <c r="P648" s="226"/>
      <c r="Q648" s="226"/>
      <c r="R648" s="226"/>
      <c r="S648" s="326"/>
      <c r="T648" s="339" t="s">
        <v>78</v>
      </c>
      <c r="U648" s="226"/>
      <c r="V648" s="226"/>
      <c r="W648" s="226" t="s">
        <v>191</v>
      </c>
      <c r="X648" s="226"/>
      <c r="Y648" s="226"/>
      <c r="Z648" s="226"/>
      <c r="AA648" s="229" t="s">
        <v>190</v>
      </c>
      <c r="AB648" s="230"/>
      <c r="AC648" s="230"/>
      <c r="AD648" s="226" t="s">
        <v>510</v>
      </c>
      <c r="AE648" s="226"/>
      <c r="AF648" s="226"/>
      <c r="AG648" s="226"/>
      <c r="AH648" s="326"/>
    </row>
    <row r="649" spans="1:39" s="1" customFormat="1" ht="15.75" customHeight="1">
      <c r="E649" s="227"/>
      <c r="F649" s="228"/>
      <c r="G649" s="228"/>
      <c r="H649" s="228"/>
      <c r="I649" s="228"/>
      <c r="J649" s="228"/>
      <c r="K649" s="228"/>
      <c r="L649" s="231"/>
      <c r="M649" s="231"/>
      <c r="N649" s="231"/>
      <c r="O649" s="228"/>
      <c r="P649" s="228"/>
      <c r="Q649" s="228"/>
      <c r="R649" s="228"/>
      <c r="S649" s="409"/>
      <c r="T649" s="351"/>
      <c r="U649" s="228"/>
      <c r="V649" s="228"/>
      <c r="W649" s="228"/>
      <c r="X649" s="228"/>
      <c r="Y649" s="228"/>
      <c r="Z649" s="228"/>
      <c r="AA649" s="231"/>
      <c r="AB649" s="231"/>
      <c r="AC649" s="231"/>
      <c r="AD649" s="228"/>
      <c r="AE649" s="228"/>
      <c r="AF649" s="228"/>
      <c r="AG649" s="228"/>
      <c r="AH649" s="409"/>
    </row>
    <row r="650" spans="1:39" s="1" customFormat="1" ht="15.75" customHeight="1">
      <c r="A650" s="73" t="str">
        <f>IF(LEN(E650)+LEN(T650)=0,"×","")</f>
        <v/>
      </c>
      <c r="E650" s="190">
        <v>3</v>
      </c>
      <c r="F650" s="163"/>
      <c r="G650" s="163"/>
      <c r="H650" s="411">
        <v>0</v>
      </c>
      <c r="I650" s="411"/>
      <c r="J650" s="411"/>
      <c r="K650" s="411"/>
      <c r="L650" s="164">
        <v>3</v>
      </c>
      <c r="M650" s="164"/>
      <c r="N650" s="164"/>
      <c r="O650" s="395">
        <f>IF(H650="","",H650*AD$666)</f>
        <v>0</v>
      </c>
      <c r="P650" s="395"/>
      <c r="Q650" s="395"/>
      <c r="R650" s="395"/>
      <c r="S650" s="412"/>
      <c r="T650" s="390">
        <v>3</v>
      </c>
      <c r="U650" s="163"/>
      <c r="V650" s="163"/>
      <c r="W650" s="411">
        <v>0</v>
      </c>
      <c r="X650" s="411"/>
      <c r="Y650" s="411"/>
      <c r="Z650" s="411"/>
      <c r="AA650" s="164">
        <v>3</v>
      </c>
      <c r="AB650" s="164"/>
      <c r="AC650" s="164"/>
      <c r="AD650" s="395">
        <f>IF(W650="","",W650*AD$666)</f>
        <v>0</v>
      </c>
      <c r="AE650" s="395"/>
      <c r="AF650" s="395"/>
      <c r="AG650" s="395"/>
      <c r="AH650" s="396"/>
    </row>
    <row r="651" spans="1:39" s="1" customFormat="1" ht="15.75" customHeight="1">
      <c r="A651" s="73" t="str">
        <f t="shared" ref="A651:A665" si="73">IF(LEN(E651)+LEN(T651)=0,"×","")</f>
        <v/>
      </c>
      <c r="E651" s="166">
        <v>4</v>
      </c>
      <c r="F651" s="167"/>
      <c r="G651" s="167"/>
      <c r="H651" s="413">
        <v>0</v>
      </c>
      <c r="I651" s="413"/>
      <c r="J651" s="413"/>
      <c r="K651" s="413"/>
      <c r="L651" s="160">
        <v>1.2199997901916504</v>
      </c>
      <c r="M651" s="160"/>
      <c r="N651" s="160"/>
      <c r="O651" s="398">
        <f t="shared" ref="O651:O665" si="74">IF(H651="","",H651*AD$666)</f>
        <v>0</v>
      </c>
      <c r="P651" s="398"/>
      <c r="Q651" s="398"/>
      <c r="R651" s="398"/>
      <c r="S651" s="415"/>
      <c r="T651" s="389">
        <v>4</v>
      </c>
      <c r="U651" s="167"/>
      <c r="V651" s="167"/>
      <c r="W651" s="413">
        <v>0</v>
      </c>
      <c r="X651" s="413"/>
      <c r="Y651" s="413"/>
      <c r="Z651" s="413"/>
      <c r="AA651" s="160">
        <v>1.2199997901916504</v>
      </c>
      <c r="AB651" s="160"/>
      <c r="AC651" s="160"/>
      <c r="AD651" s="398">
        <f t="shared" ref="AD651:AD665" si="75">IF(W651="","",W651*AD$666)</f>
        <v>0</v>
      </c>
      <c r="AE651" s="398"/>
      <c r="AF651" s="398"/>
      <c r="AG651" s="398"/>
      <c r="AH651" s="399"/>
    </row>
    <row r="652" spans="1:39" s="1" customFormat="1" ht="15.75" customHeight="1">
      <c r="A652" s="73" t="str">
        <f t="shared" si="73"/>
        <v/>
      </c>
      <c r="E652" s="166">
        <v>4</v>
      </c>
      <c r="F652" s="167"/>
      <c r="G652" s="167"/>
      <c r="H652" s="413">
        <v>5724</v>
      </c>
      <c r="I652" s="413"/>
      <c r="J652" s="413"/>
      <c r="K652" s="413"/>
      <c r="L652" s="160">
        <v>3.7800002098083496</v>
      </c>
      <c r="M652" s="160"/>
      <c r="N652" s="160"/>
      <c r="O652" s="398">
        <f t="shared" si="74"/>
        <v>17982.476349147975</v>
      </c>
      <c r="P652" s="398"/>
      <c r="Q652" s="398"/>
      <c r="R652" s="398"/>
      <c r="S652" s="415"/>
      <c r="T652" s="389">
        <v>4</v>
      </c>
      <c r="U652" s="167"/>
      <c r="V652" s="167"/>
      <c r="W652" s="413">
        <v>5724</v>
      </c>
      <c r="X652" s="413"/>
      <c r="Y652" s="413"/>
      <c r="Z652" s="413"/>
      <c r="AA652" s="160">
        <v>3.7800002098083496</v>
      </c>
      <c r="AB652" s="160"/>
      <c r="AC652" s="160"/>
      <c r="AD652" s="398">
        <f t="shared" si="75"/>
        <v>17982.476349147975</v>
      </c>
      <c r="AE652" s="398"/>
      <c r="AF652" s="398"/>
      <c r="AG652" s="398"/>
      <c r="AH652" s="399"/>
    </row>
    <row r="653" spans="1:39" s="1" customFormat="1" ht="15.75" customHeight="1">
      <c r="A653" s="73" t="str">
        <f t="shared" si="73"/>
        <v/>
      </c>
      <c r="E653" s="166">
        <v>5</v>
      </c>
      <c r="F653" s="167"/>
      <c r="G653" s="167"/>
      <c r="H653" s="413">
        <v>6514</v>
      </c>
      <c r="I653" s="413"/>
      <c r="J653" s="413"/>
      <c r="K653" s="413"/>
      <c r="L653" s="160">
        <v>8</v>
      </c>
      <c r="M653" s="160"/>
      <c r="N653" s="160"/>
      <c r="O653" s="398">
        <f t="shared" si="74"/>
        <v>20464.334545483911</v>
      </c>
      <c r="P653" s="398"/>
      <c r="Q653" s="398"/>
      <c r="R653" s="398"/>
      <c r="S653" s="415"/>
      <c r="T653" s="389">
        <v>5</v>
      </c>
      <c r="U653" s="167"/>
      <c r="V653" s="167"/>
      <c r="W653" s="413">
        <v>6514</v>
      </c>
      <c r="X653" s="413"/>
      <c r="Y653" s="413"/>
      <c r="Z653" s="413"/>
      <c r="AA653" s="160">
        <v>8</v>
      </c>
      <c r="AB653" s="160"/>
      <c r="AC653" s="160"/>
      <c r="AD653" s="398">
        <f t="shared" si="75"/>
        <v>20464.334545483911</v>
      </c>
      <c r="AE653" s="398"/>
      <c r="AF653" s="398"/>
      <c r="AG653" s="398"/>
      <c r="AH653" s="399"/>
    </row>
    <row r="654" spans="1:39" s="1" customFormat="1" ht="15.75" customHeight="1">
      <c r="A654" s="73" t="str">
        <f t="shared" si="73"/>
        <v/>
      </c>
      <c r="E654" s="166">
        <v>6</v>
      </c>
      <c r="F654" s="167"/>
      <c r="G654" s="167"/>
      <c r="H654" s="413">
        <v>9288</v>
      </c>
      <c r="I654" s="413"/>
      <c r="J654" s="413"/>
      <c r="K654" s="413"/>
      <c r="L654" s="160">
        <v>4</v>
      </c>
      <c r="M654" s="160"/>
      <c r="N654" s="160"/>
      <c r="O654" s="398">
        <f t="shared" si="74"/>
        <v>29179.112566541997</v>
      </c>
      <c r="P654" s="398"/>
      <c r="Q654" s="398"/>
      <c r="R654" s="398"/>
      <c r="S654" s="415"/>
      <c r="T654" s="389">
        <v>6</v>
      </c>
      <c r="U654" s="167"/>
      <c r="V654" s="167"/>
      <c r="W654" s="413">
        <v>9288</v>
      </c>
      <c r="X654" s="413"/>
      <c r="Y654" s="413"/>
      <c r="Z654" s="413"/>
      <c r="AA654" s="160">
        <v>4.5</v>
      </c>
      <c r="AB654" s="160"/>
      <c r="AC654" s="160"/>
      <c r="AD654" s="398">
        <f t="shared" si="75"/>
        <v>29179.112566541997</v>
      </c>
      <c r="AE654" s="398"/>
      <c r="AF654" s="398"/>
      <c r="AG654" s="398"/>
      <c r="AH654" s="399"/>
    </row>
    <row r="655" spans="1:39" s="1" customFormat="1" ht="15.75" customHeight="1">
      <c r="A655" s="73" t="str">
        <f t="shared" si="73"/>
        <v/>
      </c>
      <c r="E655" s="166">
        <v>6</v>
      </c>
      <c r="F655" s="167"/>
      <c r="G655" s="167"/>
      <c r="H655" s="413">
        <v>0</v>
      </c>
      <c r="I655" s="413"/>
      <c r="J655" s="413"/>
      <c r="K655" s="413"/>
      <c r="L655" s="160">
        <v>0.5</v>
      </c>
      <c r="M655" s="160"/>
      <c r="N655" s="160"/>
      <c r="O655" s="398">
        <f t="shared" si="74"/>
        <v>0</v>
      </c>
      <c r="P655" s="398"/>
      <c r="Q655" s="398"/>
      <c r="R655" s="398"/>
      <c r="S655" s="415"/>
      <c r="T655" s="389">
        <v>7</v>
      </c>
      <c r="U655" s="167"/>
      <c r="V655" s="167"/>
      <c r="W655" s="413">
        <v>18352</v>
      </c>
      <c r="X655" s="413"/>
      <c r="Y655" s="413"/>
      <c r="Z655" s="413"/>
      <c r="AA655" s="160">
        <v>0.5</v>
      </c>
      <c r="AB655" s="160"/>
      <c r="AC655" s="160"/>
      <c r="AD655" s="398">
        <f t="shared" si="75"/>
        <v>57654.508378679886</v>
      </c>
      <c r="AE655" s="398"/>
      <c r="AF655" s="398"/>
      <c r="AG655" s="398"/>
      <c r="AH655" s="399"/>
    </row>
    <row r="656" spans="1:39" s="1" customFormat="1" ht="15.75" customHeight="1">
      <c r="A656" s="73" t="str">
        <f t="shared" si="73"/>
        <v/>
      </c>
      <c r="E656" s="166">
        <v>7</v>
      </c>
      <c r="F656" s="167"/>
      <c r="G656" s="167"/>
      <c r="H656" s="413">
        <v>0</v>
      </c>
      <c r="I656" s="413"/>
      <c r="J656" s="413"/>
      <c r="K656" s="413"/>
      <c r="L656" s="160">
        <v>0.5</v>
      </c>
      <c r="M656" s="160"/>
      <c r="N656" s="160"/>
      <c r="O656" s="398">
        <f t="shared" si="74"/>
        <v>0</v>
      </c>
      <c r="P656" s="398"/>
      <c r="Q656" s="398"/>
      <c r="R656" s="398"/>
      <c r="S656" s="415"/>
      <c r="T656" s="389"/>
      <c r="U656" s="167"/>
      <c r="V656" s="167"/>
      <c r="W656" s="413"/>
      <c r="X656" s="413"/>
      <c r="Y656" s="413"/>
      <c r="Z656" s="413"/>
      <c r="AA656" s="160"/>
      <c r="AB656" s="160"/>
      <c r="AC656" s="160"/>
      <c r="AD656" s="398" t="str">
        <f t="shared" si="75"/>
        <v/>
      </c>
      <c r="AE656" s="398"/>
      <c r="AF656" s="398"/>
      <c r="AG656" s="398"/>
      <c r="AH656" s="399"/>
    </row>
    <row r="657" spans="1:35" s="1" customFormat="1" ht="15.75" hidden="1" customHeight="1">
      <c r="A657" s="73" t="str">
        <f t="shared" si="73"/>
        <v>×</v>
      </c>
      <c r="E657" s="166"/>
      <c r="F657" s="167"/>
      <c r="G657" s="167"/>
      <c r="H657" s="413"/>
      <c r="I657" s="413"/>
      <c r="J657" s="413"/>
      <c r="K657" s="413"/>
      <c r="L657" s="160"/>
      <c r="M657" s="160"/>
      <c r="N657" s="160"/>
      <c r="O657" s="398" t="str">
        <f t="shared" si="74"/>
        <v/>
      </c>
      <c r="P657" s="398"/>
      <c r="Q657" s="398"/>
      <c r="R657" s="398"/>
      <c r="S657" s="415"/>
      <c r="T657" s="389"/>
      <c r="U657" s="167"/>
      <c r="V657" s="167"/>
      <c r="W657" s="413"/>
      <c r="X657" s="413"/>
      <c r="Y657" s="413"/>
      <c r="Z657" s="413"/>
      <c r="AA657" s="160"/>
      <c r="AB657" s="160"/>
      <c r="AC657" s="160"/>
      <c r="AD657" s="398" t="str">
        <f t="shared" si="75"/>
        <v/>
      </c>
      <c r="AE657" s="398"/>
      <c r="AF657" s="398"/>
      <c r="AG657" s="398"/>
      <c r="AH657" s="399"/>
    </row>
    <row r="658" spans="1:35" s="1" customFormat="1" ht="15.75" hidden="1" customHeight="1">
      <c r="A658" s="73" t="str">
        <f t="shared" si="73"/>
        <v>×</v>
      </c>
      <c r="E658" s="166"/>
      <c r="F658" s="167"/>
      <c r="G658" s="167"/>
      <c r="H658" s="413"/>
      <c r="I658" s="413"/>
      <c r="J658" s="413"/>
      <c r="K658" s="413"/>
      <c r="L658" s="160"/>
      <c r="M658" s="160"/>
      <c r="N658" s="160"/>
      <c r="O658" s="398" t="str">
        <f t="shared" si="74"/>
        <v/>
      </c>
      <c r="P658" s="398"/>
      <c r="Q658" s="398"/>
      <c r="R658" s="398"/>
      <c r="S658" s="415"/>
      <c r="T658" s="389"/>
      <c r="U658" s="167"/>
      <c r="V658" s="167"/>
      <c r="W658" s="413"/>
      <c r="X658" s="413"/>
      <c r="Y658" s="413"/>
      <c r="Z658" s="413"/>
      <c r="AA658" s="160"/>
      <c r="AB658" s="160"/>
      <c r="AC658" s="160"/>
      <c r="AD658" s="398" t="str">
        <f t="shared" si="75"/>
        <v/>
      </c>
      <c r="AE658" s="398"/>
      <c r="AF658" s="398"/>
      <c r="AG658" s="398"/>
      <c r="AH658" s="399"/>
    </row>
    <row r="659" spans="1:35" s="1" customFormat="1" ht="15.75" hidden="1" customHeight="1">
      <c r="A659" s="73" t="str">
        <f t="shared" si="73"/>
        <v>×</v>
      </c>
      <c r="E659" s="166"/>
      <c r="F659" s="167"/>
      <c r="G659" s="167"/>
      <c r="H659" s="413"/>
      <c r="I659" s="413"/>
      <c r="J659" s="413"/>
      <c r="K659" s="413"/>
      <c r="L659" s="160"/>
      <c r="M659" s="160"/>
      <c r="N659" s="160"/>
      <c r="O659" s="398" t="str">
        <f t="shared" si="74"/>
        <v/>
      </c>
      <c r="P659" s="398"/>
      <c r="Q659" s="398"/>
      <c r="R659" s="398"/>
      <c r="S659" s="415"/>
      <c r="T659" s="389"/>
      <c r="U659" s="167"/>
      <c r="V659" s="167"/>
      <c r="W659" s="413"/>
      <c r="X659" s="413"/>
      <c r="Y659" s="413"/>
      <c r="Z659" s="413"/>
      <c r="AA659" s="160"/>
      <c r="AB659" s="160"/>
      <c r="AC659" s="160"/>
      <c r="AD659" s="398" t="str">
        <f t="shared" si="75"/>
        <v/>
      </c>
      <c r="AE659" s="398"/>
      <c r="AF659" s="398"/>
      <c r="AG659" s="398"/>
      <c r="AH659" s="399"/>
    </row>
    <row r="660" spans="1:35" s="1" customFormat="1" ht="15.75" hidden="1" customHeight="1">
      <c r="A660" s="73" t="str">
        <f t="shared" si="73"/>
        <v>×</v>
      </c>
      <c r="E660" s="166"/>
      <c r="F660" s="167"/>
      <c r="G660" s="167"/>
      <c r="H660" s="413"/>
      <c r="I660" s="413"/>
      <c r="J660" s="413"/>
      <c r="K660" s="413"/>
      <c r="L660" s="160"/>
      <c r="M660" s="160"/>
      <c r="N660" s="160"/>
      <c r="O660" s="398" t="str">
        <f t="shared" si="74"/>
        <v/>
      </c>
      <c r="P660" s="398"/>
      <c r="Q660" s="398"/>
      <c r="R660" s="398"/>
      <c r="S660" s="415"/>
      <c r="T660" s="389"/>
      <c r="U660" s="167"/>
      <c r="V660" s="167"/>
      <c r="W660" s="413"/>
      <c r="X660" s="413"/>
      <c r="Y660" s="413"/>
      <c r="Z660" s="413"/>
      <c r="AA660" s="160"/>
      <c r="AB660" s="160"/>
      <c r="AC660" s="160"/>
      <c r="AD660" s="398" t="str">
        <f t="shared" si="75"/>
        <v/>
      </c>
      <c r="AE660" s="398"/>
      <c r="AF660" s="398"/>
      <c r="AG660" s="398"/>
      <c r="AH660" s="399"/>
    </row>
    <row r="661" spans="1:35" s="1" customFormat="1" ht="15.75" hidden="1" customHeight="1">
      <c r="A661" s="73" t="str">
        <f t="shared" si="73"/>
        <v>×</v>
      </c>
      <c r="E661" s="166"/>
      <c r="F661" s="167"/>
      <c r="G661" s="167"/>
      <c r="H661" s="413"/>
      <c r="I661" s="413"/>
      <c r="J661" s="413"/>
      <c r="K661" s="413"/>
      <c r="L661" s="160"/>
      <c r="M661" s="160"/>
      <c r="N661" s="160"/>
      <c r="O661" s="398" t="str">
        <f t="shared" si="74"/>
        <v/>
      </c>
      <c r="P661" s="398"/>
      <c r="Q661" s="398"/>
      <c r="R661" s="398"/>
      <c r="S661" s="415"/>
      <c r="T661" s="389"/>
      <c r="U661" s="167"/>
      <c r="V661" s="167"/>
      <c r="W661" s="413"/>
      <c r="X661" s="413"/>
      <c r="Y661" s="413"/>
      <c r="Z661" s="413"/>
      <c r="AA661" s="160"/>
      <c r="AB661" s="160"/>
      <c r="AC661" s="160"/>
      <c r="AD661" s="398" t="str">
        <f t="shared" si="75"/>
        <v/>
      </c>
      <c r="AE661" s="398"/>
      <c r="AF661" s="398"/>
      <c r="AG661" s="398"/>
      <c r="AH661" s="399"/>
    </row>
    <row r="662" spans="1:35" s="1" customFormat="1" ht="15.75" hidden="1" customHeight="1">
      <c r="A662" s="73" t="str">
        <f t="shared" si="73"/>
        <v>×</v>
      </c>
      <c r="E662" s="166"/>
      <c r="F662" s="167"/>
      <c r="G662" s="167"/>
      <c r="H662" s="413"/>
      <c r="I662" s="413"/>
      <c r="J662" s="413"/>
      <c r="K662" s="413"/>
      <c r="L662" s="160"/>
      <c r="M662" s="160"/>
      <c r="N662" s="160"/>
      <c r="O662" s="398" t="str">
        <f t="shared" si="74"/>
        <v/>
      </c>
      <c r="P662" s="398"/>
      <c r="Q662" s="398"/>
      <c r="R662" s="398"/>
      <c r="S662" s="415"/>
      <c r="T662" s="389"/>
      <c r="U662" s="167"/>
      <c r="V662" s="167"/>
      <c r="W662" s="413"/>
      <c r="X662" s="413"/>
      <c r="Y662" s="413"/>
      <c r="Z662" s="413"/>
      <c r="AA662" s="160"/>
      <c r="AB662" s="160"/>
      <c r="AC662" s="160"/>
      <c r="AD662" s="398" t="str">
        <f t="shared" si="75"/>
        <v/>
      </c>
      <c r="AE662" s="398"/>
      <c r="AF662" s="398"/>
      <c r="AG662" s="398"/>
      <c r="AH662" s="399"/>
    </row>
    <row r="663" spans="1:35" s="1" customFormat="1" ht="15.75" hidden="1" customHeight="1">
      <c r="A663" s="73" t="str">
        <f t="shared" si="73"/>
        <v>×</v>
      </c>
      <c r="E663" s="166"/>
      <c r="F663" s="167"/>
      <c r="G663" s="167"/>
      <c r="H663" s="413"/>
      <c r="I663" s="413"/>
      <c r="J663" s="413"/>
      <c r="K663" s="413"/>
      <c r="L663" s="160"/>
      <c r="M663" s="160"/>
      <c r="N663" s="160"/>
      <c r="O663" s="398" t="str">
        <f t="shared" si="74"/>
        <v/>
      </c>
      <c r="P663" s="398"/>
      <c r="Q663" s="398"/>
      <c r="R663" s="398"/>
      <c r="S663" s="415"/>
      <c r="T663" s="389"/>
      <c r="U663" s="167"/>
      <c r="V663" s="167"/>
      <c r="W663" s="413"/>
      <c r="X663" s="413"/>
      <c r="Y663" s="413"/>
      <c r="Z663" s="413"/>
      <c r="AA663" s="160"/>
      <c r="AB663" s="160"/>
      <c r="AC663" s="160"/>
      <c r="AD663" s="398" t="str">
        <f t="shared" si="75"/>
        <v/>
      </c>
      <c r="AE663" s="398"/>
      <c r="AF663" s="398"/>
      <c r="AG663" s="398"/>
      <c r="AH663" s="399"/>
    </row>
    <row r="664" spans="1:35" s="1" customFormat="1" ht="15.75" hidden="1" customHeight="1">
      <c r="A664" s="73" t="str">
        <f t="shared" si="73"/>
        <v>×</v>
      </c>
      <c r="E664" s="166"/>
      <c r="F664" s="167"/>
      <c r="G664" s="167"/>
      <c r="H664" s="413"/>
      <c r="I664" s="413"/>
      <c r="J664" s="413"/>
      <c r="K664" s="413"/>
      <c r="L664" s="160"/>
      <c r="M664" s="160"/>
      <c r="N664" s="160"/>
      <c r="O664" s="398" t="str">
        <f t="shared" si="74"/>
        <v/>
      </c>
      <c r="P664" s="398"/>
      <c r="Q664" s="398"/>
      <c r="R664" s="398"/>
      <c r="S664" s="415"/>
      <c r="T664" s="389"/>
      <c r="U664" s="167"/>
      <c r="V664" s="167"/>
      <c r="W664" s="413"/>
      <c r="X664" s="413"/>
      <c r="Y664" s="413"/>
      <c r="Z664" s="413"/>
      <c r="AA664" s="160"/>
      <c r="AB664" s="160"/>
      <c r="AC664" s="160"/>
      <c r="AD664" s="398" t="str">
        <f t="shared" si="75"/>
        <v/>
      </c>
      <c r="AE664" s="398"/>
      <c r="AF664" s="398"/>
      <c r="AG664" s="398"/>
      <c r="AH664" s="399"/>
    </row>
    <row r="665" spans="1:35" s="1" customFormat="1" ht="15.75" hidden="1" customHeight="1">
      <c r="A665" s="73" t="str">
        <f t="shared" si="73"/>
        <v>×</v>
      </c>
      <c r="E665" s="174"/>
      <c r="F665" s="175"/>
      <c r="G665" s="175"/>
      <c r="H665" s="414"/>
      <c r="I665" s="414"/>
      <c r="J665" s="414"/>
      <c r="K665" s="414"/>
      <c r="L665" s="155"/>
      <c r="M665" s="155"/>
      <c r="N665" s="155"/>
      <c r="O665" s="401" t="str">
        <f t="shared" si="74"/>
        <v/>
      </c>
      <c r="P665" s="401"/>
      <c r="Q665" s="401"/>
      <c r="R665" s="401"/>
      <c r="S665" s="416"/>
      <c r="T665" s="391"/>
      <c r="U665" s="175"/>
      <c r="V665" s="175"/>
      <c r="W665" s="414"/>
      <c r="X665" s="414"/>
      <c r="Y665" s="414"/>
      <c r="Z665" s="414"/>
      <c r="AA665" s="155"/>
      <c r="AB665" s="155"/>
      <c r="AC665" s="155"/>
      <c r="AD665" s="401" t="str">
        <f t="shared" si="75"/>
        <v/>
      </c>
      <c r="AE665" s="401"/>
      <c r="AF665" s="401"/>
      <c r="AG665" s="401"/>
      <c r="AH665" s="402"/>
    </row>
    <row r="666" spans="1:35" s="1" customFormat="1" ht="15.75" customHeight="1">
      <c r="E666" s="514"/>
      <c r="F666" s="514"/>
      <c r="G666" s="514"/>
      <c r="H666" s="514"/>
      <c r="I666" s="514"/>
      <c r="J666" s="514"/>
      <c r="K666" s="514"/>
      <c r="L666" s="514"/>
      <c r="M666" s="514"/>
      <c r="N666" s="514"/>
      <c r="O666" s="514"/>
      <c r="P666" s="514"/>
      <c r="Q666" s="86"/>
      <c r="R666" s="86"/>
      <c r="S666" s="86"/>
      <c r="T666" s="86"/>
      <c r="U666" s="86"/>
      <c r="V666" s="86"/>
      <c r="W666" s="86"/>
      <c r="X666" s="86"/>
      <c r="Y666" s="86"/>
      <c r="Z666" s="86"/>
      <c r="AA666" s="512" t="s">
        <v>127</v>
      </c>
      <c r="AB666" s="86" t="s">
        <v>513</v>
      </c>
      <c r="AC666" s="118" t="s">
        <v>27</v>
      </c>
      <c r="AD666" s="363">
        <f>AD643</f>
        <v>3.1415926535897931</v>
      </c>
      <c r="AE666" s="363"/>
      <c r="AF666" s="363"/>
      <c r="AG666" s="515" t="s">
        <v>514</v>
      </c>
      <c r="AH666" s="118" t="s">
        <v>158</v>
      </c>
    </row>
    <row r="669" spans="1:35" s="1" customFormat="1" ht="15.75" hidden="1" customHeight="1">
      <c r="A669" s="73" t="str">
        <f>IF(液状化L1の有無="","","×")</f>
        <v>×</v>
      </c>
      <c r="E669" s="61" t="s">
        <v>553</v>
      </c>
      <c r="F669" s="85"/>
      <c r="G669" s="85"/>
      <c r="H669" s="85"/>
      <c r="I669" s="61"/>
      <c r="J669" s="61"/>
      <c r="K669" s="61"/>
      <c r="L669" s="61"/>
      <c r="M669" s="61"/>
      <c r="N669" s="61"/>
      <c r="O669" s="61"/>
      <c r="P669" s="61"/>
      <c r="Q669" s="61"/>
      <c r="R669" s="61"/>
      <c r="S669" s="61"/>
      <c r="T669" s="61"/>
      <c r="U669" s="61"/>
      <c r="V669" s="61"/>
      <c r="W669" s="61"/>
      <c r="X669" s="61"/>
      <c r="Y669" s="61"/>
      <c r="Z669" s="61"/>
      <c r="AA669" s="61"/>
      <c r="AB669" s="61"/>
      <c r="AC669" s="61"/>
      <c r="AD669" s="61"/>
      <c r="AE669" s="61"/>
      <c r="AF669" s="61"/>
      <c r="AG669" s="61"/>
      <c r="AH669" s="61"/>
      <c r="AI669" s="8"/>
    </row>
    <row r="670" spans="1:35" s="1" customFormat="1" ht="15.75" hidden="1" customHeight="1">
      <c r="A670" s="73" t="str">
        <f>IF(液状化L1の有無="","","×")</f>
        <v>×</v>
      </c>
      <c r="E670" s="347" t="s">
        <v>511</v>
      </c>
      <c r="F670" s="348"/>
      <c r="G670" s="348"/>
      <c r="H670" s="348"/>
      <c r="I670" s="348"/>
      <c r="J670" s="348"/>
      <c r="K670" s="348"/>
      <c r="L670" s="348"/>
      <c r="M670" s="348"/>
      <c r="N670" s="348"/>
      <c r="O670" s="348"/>
      <c r="P670" s="348"/>
      <c r="Q670" s="348"/>
      <c r="R670" s="348"/>
      <c r="S670" s="410"/>
      <c r="T670" s="350" t="s">
        <v>512</v>
      </c>
      <c r="U670" s="147"/>
      <c r="V670" s="147"/>
      <c r="W670" s="147"/>
      <c r="X670" s="147"/>
      <c r="Y670" s="147"/>
      <c r="Z670" s="147"/>
      <c r="AA670" s="147"/>
      <c r="AB670" s="147"/>
      <c r="AC670" s="147"/>
      <c r="AD670" s="147"/>
      <c r="AE670" s="147"/>
      <c r="AF670" s="147"/>
      <c r="AG670" s="147"/>
      <c r="AH670" s="214"/>
    </row>
    <row r="671" spans="1:35" s="1" customFormat="1" ht="15.75" hidden="1" customHeight="1">
      <c r="A671" s="73" t="str">
        <f>IF(液状化L1の有無="","","×")</f>
        <v>×</v>
      </c>
      <c r="E671" s="225" t="s">
        <v>78</v>
      </c>
      <c r="F671" s="226"/>
      <c r="G671" s="226"/>
      <c r="H671" s="226" t="s">
        <v>191</v>
      </c>
      <c r="I671" s="226"/>
      <c r="J671" s="226"/>
      <c r="K671" s="226"/>
      <c r="L671" s="229" t="s">
        <v>190</v>
      </c>
      <c r="M671" s="230"/>
      <c r="N671" s="230"/>
      <c r="O671" s="226" t="s">
        <v>510</v>
      </c>
      <c r="P671" s="226"/>
      <c r="Q671" s="226"/>
      <c r="R671" s="226"/>
      <c r="S671" s="326"/>
      <c r="T671" s="339" t="s">
        <v>78</v>
      </c>
      <c r="U671" s="226"/>
      <c r="V671" s="226"/>
      <c r="W671" s="226" t="s">
        <v>191</v>
      </c>
      <c r="X671" s="226"/>
      <c r="Y671" s="226"/>
      <c r="Z671" s="226"/>
      <c r="AA671" s="229" t="s">
        <v>190</v>
      </c>
      <c r="AB671" s="230"/>
      <c r="AC671" s="230"/>
      <c r="AD671" s="226" t="s">
        <v>510</v>
      </c>
      <c r="AE671" s="226"/>
      <c r="AF671" s="226"/>
      <c r="AG671" s="226"/>
      <c r="AH671" s="326"/>
    </row>
    <row r="672" spans="1:35" s="1" customFormat="1" ht="15.75" hidden="1" customHeight="1">
      <c r="A672" s="73" t="str">
        <f>IF(液状化L1の有無="","","×")</f>
        <v>×</v>
      </c>
      <c r="E672" s="227"/>
      <c r="F672" s="228"/>
      <c r="G672" s="228"/>
      <c r="H672" s="228"/>
      <c r="I672" s="228"/>
      <c r="J672" s="228"/>
      <c r="K672" s="228"/>
      <c r="L672" s="231"/>
      <c r="M672" s="231"/>
      <c r="N672" s="231"/>
      <c r="O672" s="228"/>
      <c r="P672" s="228"/>
      <c r="Q672" s="228"/>
      <c r="R672" s="228"/>
      <c r="S672" s="409"/>
      <c r="T672" s="351"/>
      <c r="U672" s="228"/>
      <c r="V672" s="228"/>
      <c r="W672" s="228"/>
      <c r="X672" s="228"/>
      <c r="Y672" s="228"/>
      <c r="Z672" s="228"/>
      <c r="AA672" s="231"/>
      <c r="AB672" s="231"/>
      <c r="AC672" s="231"/>
      <c r="AD672" s="228"/>
      <c r="AE672" s="228"/>
      <c r="AF672" s="228"/>
      <c r="AG672" s="228"/>
      <c r="AH672" s="409"/>
    </row>
    <row r="673" spans="1:34" s="1" customFormat="1" ht="15.75" hidden="1" customHeight="1">
      <c r="A673" s="73" t="str">
        <f>IF(液状化L1の有無="",IF(LEN(E673)+LEN(T673)=0,"×",""),"×")</f>
        <v>×</v>
      </c>
      <c r="E673" s="190">
        <v>3</v>
      </c>
      <c r="F673" s="163"/>
      <c r="G673" s="163"/>
      <c r="H673" s="411">
        <v>0</v>
      </c>
      <c r="I673" s="411"/>
      <c r="J673" s="411"/>
      <c r="K673" s="411"/>
      <c r="L673" s="164">
        <v>3</v>
      </c>
      <c r="M673" s="164"/>
      <c r="N673" s="164"/>
      <c r="O673" s="395">
        <f>IF(H673="","",H673*AD$689)</f>
        <v>0</v>
      </c>
      <c r="P673" s="395"/>
      <c r="Q673" s="395"/>
      <c r="R673" s="395"/>
      <c r="S673" s="412"/>
      <c r="T673" s="390">
        <v>3</v>
      </c>
      <c r="U673" s="163"/>
      <c r="V673" s="163"/>
      <c r="W673" s="411">
        <v>0</v>
      </c>
      <c r="X673" s="411"/>
      <c r="Y673" s="411"/>
      <c r="Z673" s="411"/>
      <c r="AA673" s="164">
        <v>3</v>
      </c>
      <c r="AB673" s="164"/>
      <c r="AC673" s="164"/>
      <c r="AD673" s="395">
        <f>IF(W673="","",W673*AD$689)</f>
        <v>0</v>
      </c>
      <c r="AE673" s="395"/>
      <c r="AF673" s="395"/>
      <c r="AG673" s="395"/>
      <c r="AH673" s="396"/>
    </row>
    <row r="674" spans="1:34" s="1" customFormat="1" ht="15.75" hidden="1" customHeight="1">
      <c r="A674" s="73" t="str">
        <f>IF(液状化L1の有無="",IF(LEN(E674)+LEN(T674)=0,"×",""),"×")</f>
        <v>×</v>
      </c>
      <c r="E674" s="166">
        <v>4</v>
      </c>
      <c r="F674" s="167"/>
      <c r="G674" s="167"/>
      <c r="H674" s="413">
        <v>0</v>
      </c>
      <c r="I674" s="413"/>
      <c r="J674" s="413"/>
      <c r="K674" s="413"/>
      <c r="L674" s="160">
        <v>1.2199997901916504</v>
      </c>
      <c r="M674" s="160"/>
      <c r="N674" s="160"/>
      <c r="O674" s="398">
        <f t="shared" ref="O674:O688" si="76">IF(H674="","",H674*AD$689)</f>
        <v>0</v>
      </c>
      <c r="P674" s="398"/>
      <c r="Q674" s="398"/>
      <c r="R674" s="398"/>
      <c r="S674" s="415"/>
      <c r="T674" s="389">
        <v>4</v>
      </c>
      <c r="U674" s="167"/>
      <c r="V674" s="167"/>
      <c r="W674" s="413">
        <v>0</v>
      </c>
      <c r="X674" s="413"/>
      <c r="Y674" s="413"/>
      <c r="Z674" s="413"/>
      <c r="AA674" s="160">
        <v>1.2199997901916504</v>
      </c>
      <c r="AB674" s="160"/>
      <c r="AC674" s="160"/>
      <c r="AD674" s="398">
        <f t="shared" ref="AD674:AD688" si="77">IF(W674="","",W674*AD$689)</f>
        <v>0</v>
      </c>
      <c r="AE674" s="398"/>
      <c r="AF674" s="398"/>
      <c r="AG674" s="398"/>
      <c r="AH674" s="399"/>
    </row>
    <row r="675" spans="1:34" s="1" customFormat="1" ht="15.75" hidden="1" customHeight="1">
      <c r="A675" s="73" t="str">
        <f>IF(液状化L1の有無="",IF(LEN(E675)+LEN(T675)=0,"×",""),"×")</f>
        <v>×</v>
      </c>
      <c r="E675" s="166">
        <v>4</v>
      </c>
      <c r="F675" s="167"/>
      <c r="G675" s="167"/>
      <c r="H675" s="413">
        <v>5724</v>
      </c>
      <c r="I675" s="413"/>
      <c r="J675" s="413"/>
      <c r="K675" s="413"/>
      <c r="L675" s="160">
        <v>3.7800002098083496</v>
      </c>
      <c r="M675" s="160"/>
      <c r="N675" s="160"/>
      <c r="O675" s="398">
        <f t="shared" si="76"/>
        <v>17982.476349147975</v>
      </c>
      <c r="P675" s="398"/>
      <c r="Q675" s="398"/>
      <c r="R675" s="398"/>
      <c r="S675" s="415"/>
      <c r="T675" s="389">
        <v>4</v>
      </c>
      <c r="U675" s="167"/>
      <c r="V675" s="167"/>
      <c r="W675" s="413">
        <v>5724</v>
      </c>
      <c r="X675" s="413"/>
      <c r="Y675" s="413"/>
      <c r="Z675" s="413"/>
      <c r="AA675" s="160">
        <v>3.7800002098083496</v>
      </c>
      <c r="AB675" s="160"/>
      <c r="AC675" s="160"/>
      <c r="AD675" s="398">
        <f t="shared" si="77"/>
        <v>17982.476349147975</v>
      </c>
      <c r="AE675" s="398"/>
      <c r="AF675" s="398"/>
      <c r="AG675" s="398"/>
      <c r="AH675" s="399"/>
    </row>
    <row r="676" spans="1:34" s="1" customFormat="1" ht="15.75" hidden="1" customHeight="1">
      <c r="A676" s="73" t="str">
        <f>IF(液状化L1の有無="",IF(LEN(E676)+LEN(T676)=0,"×",""),"×")</f>
        <v>×</v>
      </c>
      <c r="E676" s="166">
        <v>5</v>
      </c>
      <c r="F676" s="167"/>
      <c r="G676" s="167"/>
      <c r="H676" s="413">
        <v>6514</v>
      </c>
      <c r="I676" s="413"/>
      <c r="J676" s="413"/>
      <c r="K676" s="413"/>
      <c r="L676" s="160">
        <v>8</v>
      </c>
      <c r="M676" s="160"/>
      <c r="N676" s="160"/>
      <c r="O676" s="398">
        <f t="shared" si="76"/>
        <v>20464.334545483911</v>
      </c>
      <c r="P676" s="398"/>
      <c r="Q676" s="398"/>
      <c r="R676" s="398"/>
      <c r="S676" s="415"/>
      <c r="T676" s="389">
        <v>5</v>
      </c>
      <c r="U676" s="167"/>
      <c r="V676" s="167"/>
      <c r="W676" s="413">
        <v>6514</v>
      </c>
      <c r="X676" s="413"/>
      <c r="Y676" s="413"/>
      <c r="Z676" s="413"/>
      <c r="AA676" s="160">
        <v>8</v>
      </c>
      <c r="AB676" s="160"/>
      <c r="AC676" s="160"/>
      <c r="AD676" s="398">
        <f t="shared" si="77"/>
        <v>20464.334545483911</v>
      </c>
      <c r="AE676" s="398"/>
      <c r="AF676" s="398"/>
      <c r="AG676" s="398"/>
      <c r="AH676" s="399"/>
    </row>
    <row r="677" spans="1:34" s="1" customFormat="1" ht="15.75" hidden="1" customHeight="1">
      <c r="A677" s="73" t="str">
        <f>IF(液状化L1の有無="",IF(LEN(E677)+LEN(T677)=0,"×",""),"×")</f>
        <v>×</v>
      </c>
      <c r="E677" s="166">
        <v>6</v>
      </c>
      <c r="F677" s="167"/>
      <c r="G677" s="167"/>
      <c r="H677" s="413">
        <v>9288</v>
      </c>
      <c r="I677" s="413"/>
      <c r="J677" s="413"/>
      <c r="K677" s="413"/>
      <c r="L677" s="160">
        <v>4</v>
      </c>
      <c r="M677" s="160"/>
      <c r="N677" s="160"/>
      <c r="O677" s="398">
        <f t="shared" si="76"/>
        <v>29179.112566541997</v>
      </c>
      <c r="P677" s="398"/>
      <c r="Q677" s="398"/>
      <c r="R677" s="398"/>
      <c r="S677" s="415"/>
      <c r="T677" s="389">
        <v>6</v>
      </c>
      <c r="U677" s="167"/>
      <c r="V677" s="167"/>
      <c r="W677" s="413">
        <v>9288</v>
      </c>
      <c r="X677" s="413"/>
      <c r="Y677" s="413"/>
      <c r="Z677" s="413"/>
      <c r="AA677" s="160">
        <v>4.5</v>
      </c>
      <c r="AB677" s="160"/>
      <c r="AC677" s="160"/>
      <c r="AD677" s="398">
        <f t="shared" si="77"/>
        <v>29179.112566541997</v>
      </c>
      <c r="AE677" s="398"/>
      <c r="AF677" s="398"/>
      <c r="AG677" s="398"/>
      <c r="AH677" s="399"/>
    </row>
    <row r="678" spans="1:34" s="1" customFormat="1" ht="15.75" hidden="1" customHeight="1">
      <c r="A678" s="73" t="str">
        <f>IF(液状化L1の有無="",IF(LEN(E678)+LEN(T678)=0,"×",""),"×")</f>
        <v>×</v>
      </c>
      <c r="E678" s="166">
        <v>6</v>
      </c>
      <c r="F678" s="167"/>
      <c r="G678" s="167"/>
      <c r="H678" s="413">
        <v>0</v>
      </c>
      <c r="I678" s="413"/>
      <c r="J678" s="413"/>
      <c r="K678" s="413"/>
      <c r="L678" s="160">
        <v>0.5</v>
      </c>
      <c r="M678" s="160"/>
      <c r="N678" s="160"/>
      <c r="O678" s="398">
        <f t="shared" si="76"/>
        <v>0</v>
      </c>
      <c r="P678" s="398"/>
      <c r="Q678" s="398"/>
      <c r="R678" s="398"/>
      <c r="S678" s="415"/>
      <c r="T678" s="389">
        <v>7</v>
      </c>
      <c r="U678" s="167"/>
      <c r="V678" s="167"/>
      <c r="W678" s="413">
        <v>18352</v>
      </c>
      <c r="X678" s="413"/>
      <c r="Y678" s="413"/>
      <c r="Z678" s="413"/>
      <c r="AA678" s="160">
        <v>0.5</v>
      </c>
      <c r="AB678" s="160"/>
      <c r="AC678" s="160"/>
      <c r="AD678" s="398">
        <f t="shared" si="77"/>
        <v>57654.508378679886</v>
      </c>
      <c r="AE678" s="398"/>
      <c r="AF678" s="398"/>
      <c r="AG678" s="398"/>
      <c r="AH678" s="399"/>
    </row>
    <row r="679" spans="1:34" s="1" customFormat="1" ht="15.75" hidden="1" customHeight="1">
      <c r="A679" s="73" t="str">
        <f>IF(液状化L1の有無="",IF(LEN(E679)+LEN(T679)=0,"×",""),"×")</f>
        <v>×</v>
      </c>
      <c r="E679" s="166">
        <v>7</v>
      </c>
      <c r="F679" s="167"/>
      <c r="G679" s="167"/>
      <c r="H679" s="413">
        <v>0</v>
      </c>
      <c r="I679" s="413"/>
      <c r="J679" s="413"/>
      <c r="K679" s="413"/>
      <c r="L679" s="160">
        <v>0.5</v>
      </c>
      <c r="M679" s="160"/>
      <c r="N679" s="160"/>
      <c r="O679" s="398">
        <f t="shared" si="76"/>
        <v>0</v>
      </c>
      <c r="P679" s="398"/>
      <c r="Q679" s="398"/>
      <c r="R679" s="398"/>
      <c r="S679" s="415"/>
      <c r="T679" s="389"/>
      <c r="U679" s="167"/>
      <c r="V679" s="167"/>
      <c r="W679" s="413"/>
      <c r="X679" s="413"/>
      <c r="Y679" s="413"/>
      <c r="Z679" s="413"/>
      <c r="AA679" s="160"/>
      <c r="AB679" s="160"/>
      <c r="AC679" s="160"/>
      <c r="AD679" s="398" t="str">
        <f t="shared" si="77"/>
        <v/>
      </c>
      <c r="AE679" s="398"/>
      <c r="AF679" s="398"/>
      <c r="AG679" s="398"/>
      <c r="AH679" s="399"/>
    </row>
    <row r="680" spans="1:34" s="1" customFormat="1" ht="15.75" hidden="1" customHeight="1">
      <c r="A680" s="73" t="str">
        <f>IF(液状化L1の有無="",IF(LEN(E680)+LEN(T680)=0,"×",""),"×")</f>
        <v>×</v>
      </c>
      <c r="E680" s="166"/>
      <c r="F680" s="167"/>
      <c r="G680" s="167"/>
      <c r="H680" s="413"/>
      <c r="I680" s="413"/>
      <c r="J680" s="413"/>
      <c r="K680" s="413"/>
      <c r="L680" s="160"/>
      <c r="M680" s="160"/>
      <c r="N680" s="160"/>
      <c r="O680" s="398" t="str">
        <f t="shared" si="76"/>
        <v/>
      </c>
      <c r="P680" s="398"/>
      <c r="Q680" s="398"/>
      <c r="R680" s="398"/>
      <c r="S680" s="415"/>
      <c r="T680" s="389"/>
      <c r="U680" s="167"/>
      <c r="V680" s="167"/>
      <c r="W680" s="413"/>
      <c r="X680" s="413"/>
      <c r="Y680" s="413"/>
      <c r="Z680" s="413"/>
      <c r="AA680" s="160"/>
      <c r="AB680" s="160"/>
      <c r="AC680" s="160"/>
      <c r="AD680" s="398" t="str">
        <f t="shared" si="77"/>
        <v/>
      </c>
      <c r="AE680" s="398"/>
      <c r="AF680" s="398"/>
      <c r="AG680" s="398"/>
      <c r="AH680" s="399"/>
    </row>
    <row r="681" spans="1:34" s="1" customFormat="1" ht="15.75" hidden="1" customHeight="1">
      <c r="A681" s="73" t="str">
        <f>IF(液状化L1の有無="",IF(LEN(E681)+LEN(T681)=0,"×",""),"×")</f>
        <v>×</v>
      </c>
      <c r="E681" s="166"/>
      <c r="F681" s="167"/>
      <c r="G681" s="167"/>
      <c r="H681" s="413"/>
      <c r="I681" s="413"/>
      <c r="J681" s="413"/>
      <c r="K681" s="413"/>
      <c r="L681" s="160"/>
      <c r="M681" s="160"/>
      <c r="N681" s="160"/>
      <c r="O681" s="398" t="str">
        <f t="shared" si="76"/>
        <v/>
      </c>
      <c r="P681" s="398"/>
      <c r="Q681" s="398"/>
      <c r="R681" s="398"/>
      <c r="S681" s="415"/>
      <c r="T681" s="389"/>
      <c r="U681" s="167"/>
      <c r="V681" s="167"/>
      <c r="W681" s="413"/>
      <c r="X681" s="413"/>
      <c r="Y681" s="413"/>
      <c r="Z681" s="413"/>
      <c r="AA681" s="160"/>
      <c r="AB681" s="160"/>
      <c r="AC681" s="160"/>
      <c r="AD681" s="398" t="str">
        <f t="shared" si="77"/>
        <v/>
      </c>
      <c r="AE681" s="398"/>
      <c r="AF681" s="398"/>
      <c r="AG681" s="398"/>
      <c r="AH681" s="399"/>
    </row>
    <row r="682" spans="1:34" s="1" customFormat="1" ht="15.75" hidden="1" customHeight="1">
      <c r="A682" s="73" t="str">
        <f>IF(液状化L1の有無="",IF(LEN(E682)+LEN(T682)=0,"×",""),"×")</f>
        <v>×</v>
      </c>
      <c r="E682" s="166"/>
      <c r="F682" s="167"/>
      <c r="G682" s="167"/>
      <c r="H682" s="413"/>
      <c r="I682" s="413"/>
      <c r="J682" s="413"/>
      <c r="K682" s="413"/>
      <c r="L682" s="160"/>
      <c r="M682" s="160"/>
      <c r="N682" s="160"/>
      <c r="O682" s="398" t="str">
        <f t="shared" si="76"/>
        <v/>
      </c>
      <c r="P682" s="398"/>
      <c r="Q682" s="398"/>
      <c r="R682" s="398"/>
      <c r="S682" s="415"/>
      <c r="T682" s="389"/>
      <c r="U682" s="167"/>
      <c r="V682" s="167"/>
      <c r="W682" s="413"/>
      <c r="X682" s="413"/>
      <c r="Y682" s="413"/>
      <c r="Z682" s="413"/>
      <c r="AA682" s="160"/>
      <c r="AB682" s="160"/>
      <c r="AC682" s="160"/>
      <c r="AD682" s="398" t="str">
        <f t="shared" si="77"/>
        <v/>
      </c>
      <c r="AE682" s="398"/>
      <c r="AF682" s="398"/>
      <c r="AG682" s="398"/>
      <c r="AH682" s="399"/>
    </row>
    <row r="683" spans="1:34" s="1" customFormat="1" ht="15.75" hidden="1" customHeight="1">
      <c r="A683" s="73" t="str">
        <f>IF(液状化L1の有無="",IF(LEN(E683)+LEN(T683)=0,"×",""),"×")</f>
        <v>×</v>
      </c>
      <c r="E683" s="166"/>
      <c r="F683" s="167"/>
      <c r="G683" s="167"/>
      <c r="H683" s="413"/>
      <c r="I683" s="413"/>
      <c r="J683" s="413"/>
      <c r="K683" s="413"/>
      <c r="L683" s="160"/>
      <c r="M683" s="160"/>
      <c r="N683" s="160"/>
      <c r="O683" s="398" t="str">
        <f t="shared" si="76"/>
        <v/>
      </c>
      <c r="P683" s="398"/>
      <c r="Q683" s="398"/>
      <c r="R683" s="398"/>
      <c r="S683" s="415"/>
      <c r="T683" s="389"/>
      <c r="U683" s="167"/>
      <c r="V683" s="167"/>
      <c r="W683" s="413"/>
      <c r="X683" s="413"/>
      <c r="Y683" s="413"/>
      <c r="Z683" s="413"/>
      <c r="AA683" s="160"/>
      <c r="AB683" s="160"/>
      <c r="AC683" s="160"/>
      <c r="AD683" s="398" t="str">
        <f t="shared" si="77"/>
        <v/>
      </c>
      <c r="AE683" s="398"/>
      <c r="AF683" s="398"/>
      <c r="AG683" s="398"/>
      <c r="AH683" s="399"/>
    </row>
    <row r="684" spans="1:34" s="1" customFormat="1" ht="15.75" hidden="1" customHeight="1">
      <c r="A684" s="73" t="str">
        <f>IF(液状化L1の有無="",IF(LEN(E684)+LEN(T684)=0,"×",""),"×")</f>
        <v>×</v>
      </c>
      <c r="E684" s="166"/>
      <c r="F684" s="167"/>
      <c r="G684" s="167"/>
      <c r="H684" s="413"/>
      <c r="I684" s="413"/>
      <c r="J684" s="413"/>
      <c r="K684" s="413"/>
      <c r="L684" s="160"/>
      <c r="M684" s="160"/>
      <c r="N684" s="160"/>
      <c r="O684" s="398" t="str">
        <f t="shared" si="76"/>
        <v/>
      </c>
      <c r="P684" s="398"/>
      <c r="Q684" s="398"/>
      <c r="R684" s="398"/>
      <c r="S684" s="415"/>
      <c r="T684" s="389"/>
      <c r="U684" s="167"/>
      <c r="V684" s="167"/>
      <c r="W684" s="413"/>
      <c r="X684" s="413"/>
      <c r="Y684" s="413"/>
      <c r="Z684" s="413"/>
      <c r="AA684" s="160"/>
      <c r="AB684" s="160"/>
      <c r="AC684" s="160"/>
      <c r="AD684" s="398" t="str">
        <f t="shared" si="77"/>
        <v/>
      </c>
      <c r="AE684" s="398"/>
      <c r="AF684" s="398"/>
      <c r="AG684" s="398"/>
      <c r="AH684" s="399"/>
    </row>
    <row r="685" spans="1:34" s="1" customFormat="1" ht="15.75" hidden="1" customHeight="1">
      <c r="A685" s="73" t="str">
        <f>IF(液状化L1の有無="",IF(LEN(E685)+LEN(T685)=0,"×",""),"×")</f>
        <v>×</v>
      </c>
      <c r="E685" s="166"/>
      <c r="F685" s="167"/>
      <c r="G685" s="167"/>
      <c r="H685" s="413"/>
      <c r="I685" s="413"/>
      <c r="J685" s="413"/>
      <c r="K685" s="413"/>
      <c r="L685" s="160"/>
      <c r="M685" s="160"/>
      <c r="N685" s="160"/>
      <c r="O685" s="398" t="str">
        <f t="shared" si="76"/>
        <v/>
      </c>
      <c r="P685" s="398"/>
      <c r="Q685" s="398"/>
      <c r="R685" s="398"/>
      <c r="S685" s="415"/>
      <c r="T685" s="389"/>
      <c r="U685" s="167"/>
      <c r="V685" s="167"/>
      <c r="W685" s="413"/>
      <c r="X685" s="413"/>
      <c r="Y685" s="413"/>
      <c r="Z685" s="413"/>
      <c r="AA685" s="160"/>
      <c r="AB685" s="160"/>
      <c r="AC685" s="160"/>
      <c r="AD685" s="398" t="str">
        <f t="shared" si="77"/>
        <v/>
      </c>
      <c r="AE685" s="398"/>
      <c r="AF685" s="398"/>
      <c r="AG685" s="398"/>
      <c r="AH685" s="399"/>
    </row>
    <row r="686" spans="1:34" s="1" customFormat="1" ht="15.75" hidden="1" customHeight="1">
      <c r="A686" s="73" t="str">
        <f>IF(液状化L1の有無="",IF(LEN(E686)+LEN(T686)=0,"×",""),"×")</f>
        <v>×</v>
      </c>
      <c r="E686" s="166"/>
      <c r="F686" s="167"/>
      <c r="G686" s="167"/>
      <c r="H686" s="413"/>
      <c r="I686" s="413"/>
      <c r="J686" s="413"/>
      <c r="K686" s="413"/>
      <c r="L686" s="160"/>
      <c r="M686" s="160"/>
      <c r="N686" s="160"/>
      <c r="O686" s="398" t="str">
        <f t="shared" si="76"/>
        <v/>
      </c>
      <c r="P686" s="398"/>
      <c r="Q686" s="398"/>
      <c r="R686" s="398"/>
      <c r="S686" s="415"/>
      <c r="T686" s="389"/>
      <c r="U686" s="167"/>
      <c r="V686" s="167"/>
      <c r="W686" s="413"/>
      <c r="X686" s="413"/>
      <c r="Y686" s="413"/>
      <c r="Z686" s="413"/>
      <c r="AA686" s="160"/>
      <c r="AB686" s="160"/>
      <c r="AC686" s="160"/>
      <c r="AD686" s="398" t="str">
        <f t="shared" si="77"/>
        <v/>
      </c>
      <c r="AE686" s="398"/>
      <c r="AF686" s="398"/>
      <c r="AG686" s="398"/>
      <c r="AH686" s="399"/>
    </row>
    <row r="687" spans="1:34" s="1" customFormat="1" ht="15.75" hidden="1" customHeight="1">
      <c r="A687" s="73" t="str">
        <f>IF(液状化L1の有無="",IF(LEN(E687)+LEN(T687)=0,"×",""),"×")</f>
        <v>×</v>
      </c>
      <c r="E687" s="166"/>
      <c r="F687" s="167"/>
      <c r="G687" s="167"/>
      <c r="H687" s="413"/>
      <c r="I687" s="413"/>
      <c r="J687" s="413"/>
      <c r="K687" s="413"/>
      <c r="L687" s="160"/>
      <c r="M687" s="160"/>
      <c r="N687" s="160"/>
      <c r="O687" s="398" t="str">
        <f t="shared" si="76"/>
        <v/>
      </c>
      <c r="P687" s="398"/>
      <c r="Q687" s="398"/>
      <c r="R687" s="398"/>
      <c r="S687" s="415"/>
      <c r="T687" s="389"/>
      <c r="U687" s="167"/>
      <c r="V687" s="167"/>
      <c r="W687" s="413"/>
      <c r="X687" s="413"/>
      <c r="Y687" s="413"/>
      <c r="Z687" s="413"/>
      <c r="AA687" s="160"/>
      <c r="AB687" s="160"/>
      <c r="AC687" s="160"/>
      <c r="AD687" s="398" t="str">
        <f t="shared" si="77"/>
        <v/>
      </c>
      <c r="AE687" s="398"/>
      <c r="AF687" s="398"/>
      <c r="AG687" s="398"/>
      <c r="AH687" s="399"/>
    </row>
    <row r="688" spans="1:34" s="1" customFormat="1" ht="15.75" hidden="1" customHeight="1">
      <c r="A688" s="73" t="str">
        <f>IF(液状化L1の有無="",IF(LEN(E688)+LEN(T688)=0,"×",""),"×")</f>
        <v>×</v>
      </c>
      <c r="E688" s="174"/>
      <c r="F688" s="175"/>
      <c r="G688" s="175"/>
      <c r="H688" s="414"/>
      <c r="I688" s="414"/>
      <c r="J688" s="414"/>
      <c r="K688" s="414"/>
      <c r="L688" s="155"/>
      <c r="M688" s="155"/>
      <c r="N688" s="155"/>
      <c r="O688" s="401" t="str">
        <f t="shared" si="76"/>
        <v/>
      </c>
      <c r="P688" s="401"/>
      <c r="Q688" s="401"/>
      <c r="R688" s="401"/>
      <c r="S688" s="416"/>
      <c r="T688" s="391"/>
      <c r="U688" s="175"/>
      <c r="V688" s="175"/>
      <c r="W688" s="414"/>
      <c r="X688" s="414"/>
      <c r="Y688" s="414"/>
      <c r="Z688" s="414"/>
      <c r="AA688" s="155"/>
      <c r="AB688" s="155"/>
      <c r="AC688" s="155"/>
      <c r="AD688" s="401" t="str">
        <f t="shared" si="77"/>
        <v/>
      </c>
      <c r="AE688" s="401"/>
      <c r="AF688" s="401"/>
      <c r="AG688" s="401"/>
      <c r="AH688" s="402"/>
    </row>
    <row r="689" spans="1:35" s="1" customFormat="1" ht="15.75" hidden="1" customHeight="1">
      <c r="A689" s="73" t="str">
        <f>IF(液状化L1の有無="","","×")</f>
        <v>×</v>
      </c>
      <c r="E689" s="8"/>
      <c r="F689" s="8"/>
      <c r="G689" s="8"/>
      <c r="H689" s="8"/>
      <c r="I689" s="8"/>
      <c r="J689" s="8"/>
      <c r="K689" s="8"/>
      <c r="L689" s="8"/>
      <c r="M689" s="8"/>
      <c r="N689" s="8"/>
      <c r="O689" s="8"/>
      <c r="P689" s="8"/>
      <c r="AA689" s="2" t="s">
        <v>127</v>
      </c>
      <c r="AB689" s="1" t="s">
        <v>513</v>
      </c>
      <c r="AC689" s="76" t="s">
        <v>27</v>
      </c>
      <c r="AD689" s="212">
        <f>AD666</f>
        <v>3.1415926535897931</v>
      </c>
      <c r="AE689" s="212"/>
      <c r="AF689" s="212"/>
      <c r="AG689" s="7" t="s">
        <v>514</v>
      </c>
      <c r="AH689" s="76" t="s">
        <v>158</v>
      </c>
    </row>
    <row r="690" spans="1:35" ht="15.75" hidden="1" customHeight="1">
      <c r="A690" s="73" t="str">
        <f>IF(液状化L1の有無="","","×")</f>
        <v>×</v>
      </c>
    </row>
    <row r="692" spans="1:35" s="1" customFormat="1" ht="15.75" hidden="1" customHeight="1">
      <c r="A692" s="73" t="str">
        <f>IF(液状化L2の有無="","","×")</f>
        <v>×</v>
      </c>
      <c r="E692" s="61" t="s">
        <v>554</v>
      </c>
      <c r="F692" s="85"/>
      <c r="G692" s="85"/>
      <c r="H692" s="85"/>
      <c r="I692" s="61"/>
      <c r="J692" s="61"/>
      <c r="K692" s="61"/>
      <c r="L692" s="61"/>
      <c r="M692" s="61"/>
      <c r="N692" s="61"/>
      <c r="O692" s="61"/>
      <c r="P692" s="61"/>
      <c r="Q692" s="61"/>
      <c r="R692" s="61"/>
      <c r="S692" s="61"/>
      <c r="T692" s="61"/>
      <c r="U692" s="61"/>
      <c r="V692" s="61"/>
      <c r="W692" s="61"/>
      <c r="X692" s="61"/>
      <c r="Y692" s="61"/>
      <c r="Z692" s="61"/>
      <c r="AA692" s="61"/>
      <c r="AB692" s="61"/>
      <c r="AC692" s="61"/>
      <c r="AD692" s="61"/>
      <c r="AE692" s="61"/>
      <c r="AF692" s="61"/>
      <c r="AG692" s="61"/>
      <c r="AH692" s="61"/>
      <c r="AI692" s="8"/>
    </row>
    <row r="693" spans="1:35" s="1" customFormat="1" ht="15.75" hidden="1" customHeight="1">
      <c r="A693" s="73" t="str">
        <f>IF(液状化L2の有無="","","×")</f>
        <v>×</v>
      </c>
      <c r="E693" s="347" t="s">
        <v>511</v>
      </c>
      <c r="F693" s="348"/>
      <c r="G693" s="348"/>
      <c r="H693" s="348"/>
      <c r="I693" s="348"/>
      <c r="J693" s="348"/>
      <c r="K693" s="348"/>
      <c r="L693" s="348"/>
      <c r="M693" s="348"/>
      <c r="N693" s="348"/>
      <c r="O693" s="348"/>
      <c r="P693" s="348"/>
      <c r="Q693" s="348"/>
      <c r="R693" s="348"/>
      <c r="S693" s="410"/>
      <c r="T693" s="350" t="s">
        <v>512</v>
      </c>
      <c r="U693" s="147"/>
      <c r="V693" s="147"/>
      <c r="W693" s="147"/>
      <c r="X693" s="147"/>
      <c r="Y693" s="147"/>
      <c r="Z693" s="147"/>
      <c r="AA693" s="147"/>
      <c r="AB693" s="147"/>
      <c r="AC693" s="147"/>
      <c r="AD693" s="147"/>
      <c r="AE693" s="147"/>
      <c r="AF693" s="147"/>
      <c r="AG693" s="147"/>
      <c r="AH693" s="214"/>
    </row>
    <row r="694" spans="1:35" s="1" customFormat="1" ht="15.75" hidden="1" customHeight="1">
      <c r="A694" s="73" t="str">
        <f>IF(液状化L2の有無="","","×")</f>
        <v>×</v>
      </c>
      <c r="E694" s="225" t="s">
        <v>78</v>
      </c>
      <c r="F694" s="226"/>
      <c r="G694" s="226"/>
      <c r="H694" s="226" t="s">
        <v>191</v>
      </c>
      <c r="I694" s="226"/>
      <c r="J694" s="226"/>
      <c r="K694" s="226"/>
      <c r="L694" s="229" t="s">
        <v>190</v>
      </c>
      <c r="M694" s="230"/>
      <c r="N694" s="230"/>
      <c r="O694" s="226" t="s">
        <v>510</v>
      </c>
      <c r="P694" s="226"/>
      <c r="Q694" s="226"/>
      <c r="R694" s="226"/>
      <c r="S694" s="326"/>
      <c r="T694" s="339" t="s">
        <v>78</v>
      </c>
      <c r="U694" s="226"/>
      <c r="V694" s="226"/>
      <c r="W694" s="226" t="s">
        <v>191</v>
      </c>
      <c r="X694" s="226"/>
      <c r="Y694" s="226"/>
      <c r="Z694" s="226"/>
      <c r="AA694" s="229" t="s">
        <v>190</v>
      </c>
      <c r="AB694" s="230"/>
      <c r="AC694" s="230"/>
      <c r="AD694" s="226" t="s">
        <v>510</v>
      </c>
      <c r="AE694" s="226"/>
      <c r="AF694" s="226"/>
      <c r="AG694" s="226"/>
      <c r="AH694" s="326"/>
    </row>
    <row r="695" spans="1:35" s="1" customFormat="1" ht="15.75" hidden="1" customHeight="1">
      <c r="A695" s="73" t="str">
        <f>IF(液状化L2の有無="","","×")</f>
        <v>×</v>
      </c>
      <c r="E695" s="227"/>
      <c r="F695" s="228"/>
      <c r="G695" s="228"/>
      <c r="H695" s="228"/>
      <c r="I695" s="228"/>
      <c r="J695" s="228"/>
      <c r="K695" s="228"/>
      <c r="L695" s="231"/>
      <c r="M695" s="231"/>
      <c r="N695" s="231"/>
      <c r="O695" s="228"/>
      <c r="P695" s="228"/>
      <c r="Q695" s="228"/>
      <c r="R695" s="228"/>
      <c r="S695" s="409"/>
      <c r="T695" s="351"/>
      <c r="U695" s="228"/>
      <c r="V695" s="228"/>
      <c r="W695" s="228"/>
      <c r="X695" s="228"/>
      <c r="Y695" s="228"/>
      <c r="Z695" s="228"/>
      <c r="AA695" s="231"/>
      <c r="AB695" s="231"/>
      <c r="AC695" s="231"/>
      <c r="AD695" s="228"/>
      <c r="AE695" s="228"/>
      <c r="AF695" s="228"/>
      <c r="AG695" s="228"/>
      <c r="AH695" s="409"/>
    </row>
    <row r="696" spans="1:35" s="1" customFormat="1" ht="15.75" hidden="1" customHeight="1">
      <c r="A696" s="73" t="str">
        <f>IF(液状化L2の有無="",IF(LEN(E696)+LEN(T696)=0,"×",""),"×")</f>
        <v>×</v>
      </c>
      <c r="E696" s="190">
        <v>3</v>
      </c>
      <c r="F696" s="163"/>
      <c r="G696" s="163"/>
      <c r="H696" s="411">
        <v>0</v>
      </c>
      <c r="I696" s="411"/>
      <c r="J696" s="411"/>
      <c r="K696" s="411"/>
      <c r="L696" s="164">
        <v>3</v>
      </c>
      <c r="M696" s="164"/>
      <c r="N696" s="164"/>
      <c r="O696" s="395">
        <f>IF(H696="","",H696*AD$712)</f>
        <v>0</v>
      </c>
      <c r="P696" s="395"/>
      <c r="Q696" s="395"/>
      <c r="R696" s="395"/>
      <c r="S696" s="412"/>
      <c r="T696" s="390">
        <v>3</v>
      </c>
      <c r="U696" s="163"/>
      <c r="V696" s="163"/>
      <c r="W696" s="411">
        <v>0</v>
      </c>
      <c r="X696" s="411"/>
      <c r="Y696" s="411"/>
      <c r="Z696" s="411"/>
      <c r="AA696" s="164">
        <v>3</v>
      </c>
      <c r="AB696" s="164"/>
      <c r="AC696" s="164"/>
      <c r="AD696" s="395">
        <f>IF(W696="","",W696*AD$712)</f>
        <v>0</v>
      </c>
      <c r="AE696" s="395"/>
      <c r="AF696" s="395"/>
      <c r="AG696" s="395"/>
      <c r="AH696" s="396"/>
    </row>
    <row r="697" spans="1:35" s="1" customFormat="1" ht="15.75" hidden="1" customHeight="1">
      <c r="A697" s="73" t="str">
        <f>IF(液状化L2の有無="",IF(LEN(E697)+LEN(T697)=0,"×",""),"×")</f>
        <v>×</v>
      </c>
      <c r="E697" s="166">
        <v>4</v>
      </c>
      <c r="F697" s="167"/>
      <c r="G697" s="167"/>
      <c r="H697" s="413">
        <v>0</v>
      </c>
      <c r="I697" s="413"/>
      <c r="J697" s="413"/>
      <c r="K697" s="413"/>
      <c r="L697" s="160">
        <v>1.2199997901916504</v>
      </c>
      <c r="M697" s="160"/>
      <c r="N697" s="160"/>
      <c r="O697" s="398">
        <f t="shared" ref="O697:O711" si="78">IF(H697="","",H697*AD$712)</f>
        <v>0</v>
      </c>
      <c r="P697" s="398"/>
      <c r="Q697" s="398"/>
      <c r="R697" s="398"/>
      <c r="S697" s="415"/>
      <c r="T697" s="389">
        <v>4</v>
      </c>
      <c r="U697" s="167"/>
      <c r="V697" s="167"/>
      <c r="W697" s="413">
        <v>0</v>
      </c>
      <c r="X697" s="413"/>
      <c r="Y697" s="413"/>
      <c r="Z697" s="413"/>
      <c r="AA697" s="160">
        <v>1.2199997901916504</v>
      </c>
      <c r="AB697" s="160"/>
      <c r="AC697" s="160"/>
      <c r="AD697" s="398">
        <f t="shared" ref="AD697:AD711" si="79">IF(W697="","",W697*AD$712)</f>
        <v>0</v>
      </c>
      <c r="AE697" s="398"/>
      <c r="AF697" s="398"/>
      <c r="AG697" s="398"/>
      <c r="AH697" s="399"/>
    </row>
    <row r="698" spans="1:35" s="1" customFormat="1" ht="15.75" hidden="1" customHeight="1">
      <c r="A698" s="73" t="str">
        <f>IF(液状化L2の有無="",IF(LEN(E698)+LEN(T698)=0,"×",""),"×")</f>
        <v>×</v>
      </c>
      <c r="E698" s="166">
        <v>4</v>
      </c>
      <c r="F698" s="167"/>
      <c r="G698" s="167"/>
      <c r="H698" s="413">
        <v>5724</v>
      </c>
      <c r="I698" s="413"/>
      <c r="J698" s="413"/>
      <c r="K698" s="413"/>
      <c r="L698" s="160">
        <v>3.7800002098083496</v>
      </c>
      <c r="M698" s="160"/>
      <c r="N698" s="160"/>
      <c r="O698" s="398">
        <f t="shared" si="78"/>
        <v>17982.476349147975</v>
      </c>
      <c r="P698" s="398"/>
      <c r="Q698" s="398"/>
      <c r="R698" s="398"/>
      <c r="S698" s="415"/>
      <c r="T698" s="389">
        <v>4</v>
      </c>
      <c r="U698" s="167"/>
      <c r="V698" s="167"/>
      <c r="W698" s="413">
        <v>5724</v>
      </c>
      <c r="X698" s="413"/>
      <c r="Y698" s="413"/>
      <c r="Z698" s="413"/>
      <c r="AA698" s="160">
        <v>3.7800002098083496</v>
      </c>
      <c r="AB698" s="160"/>
      <c r="AC698" s="160"/>
      <c r="AD698" s="398">
        <f t="shared" si="79"/>
        <v>17982.476349147975</v>
      </c>
      <c r="AE698" s="398"/>
      <c r="AF698" s="398"/>
      <c r="AG698" s="398"/>
      <c r="AH698" s="399"/>
    </row>
    <row r="699" spans="1:35" s="1" customFormat="1" ht="15.75" hidden="1" customHeight="1">
      <c r="A699" s="73" t="str">
        <f>IF(液状化L2の有無="",IF(LEN(E699)+LEN(T699)=0,"×",""),"×")</f>
        <v>×</v>
      </c>
      <c r="E699" s="166">
        <v>5</v>
      </c>
      <c r="F699" s="167"/>
      <c r="G699" s="167"/>
      <c r="H699" s="413">
        <v>6514</v>
      </c>
      <c r="I699" s="413"/>
      <c r="J699" s="413"/>
      <c r="K699" s="413"/>
      <c r="L699" s="160">
        <v>8</v>
      </c>
      <c r="M699" s="160"/>
      <c r="N699" s="160"/>
      <c r="O699" s="398">
        <f t="shared" si="78"/>
        <v>20464.334545483911</v>
      </c>
      <c r="P699" s="398"/>
      <c r="Q699" s="398"/>
      <c r="R699" s="398"/>
      <c r="S699" s="415"/>
      <c r="T699" s="389">
        <v>5</v>
      </c>
      <c r="U699" s="167"/>
      <c r="V699" s="167"/>
      <c r="W699" s="413">
        <v>6514</v>
      </c>
      <c r="X699" s="413"/>
      <c r="Y699" s="413"/>
      <c r="Z699" s="413"/>
      <c r="AA699" s="160">
        <v>8</v>
      </c>
      <c r="AB699" s="160"/>
      <c r="AC699" s="160"/>
      <c r="AD699" s="398">
        <f t="shared" si="79"/>
        <v>20464.334545483911</v>
      </c>
      <c r="AE699" s="398"/>
      <c r="AF699" s="398"/>
      <c r="AG699" s="398"/>
      <c r="AH699" s="399"/>
    </row>
    <row r="700" spans="1:35" s="1" customFormat="1" ht="15.75" hidden="1" customHeight="1">
      <c r="A700" s="73" t="str">
        <f>IF(液状化L2の有無="",IF(LEN(E700)+LEN(T700)=0,"×",""),"×")</f>
        <v>×</v>
      </c>
      <c r="E700" s="166">
        <v>6</v>
      </c>
      <c r="F700" s="167"/>
      <c r="G700" s="167"/>
      <c r="H700" s="413">
        <v>9288</v>
      </c>
      <c r="I700" s="413"/>
      <c r="J700" s="413"/>
      <c r="K700" s="413"/>
      <c r="L700" s="160">
        <v>4</v>
      </c>
      <c r="M700" s="160"/>
      <c r="N700" s="160"/>
      <c r="O700" s="398">
        <f t="shared" si="78"/>
        <v>29179.112566541997</v>
      </c>
      <c r="P700" s="398"/>
      <c r="Q700" s="398"/>
      <c r="R700" s="398"/>
      <c r="S700" s="415"/>
      <c r="T700" s="389">
        <v>6</v>
      </c>
      <c r="U700" s="167"/>
      <c r="V700" s="167"/>
      <c r="W700" s="413">
        <v>9288</v>
      </c>
      <c r="X700" s="413"/>
      <c r="Y700" s="413"/>
      <c r="Z700" s="413"/>
      <c r="AA700" s="160">
        <v>4.5</v>
      </c>
      <c r="AB700" s="160"/>
      <c r="AC700" s="160"/>
      <c r="AD700" s="398">
        <f t="shared" si="79"/>
        <v>29179.112566541997</v>
      </c>
      <c r="AE700" s="398"/>
      <c r="AF700" s="398"/>
      <c r="AG700" s="398"/>
      <c r="AH700" s="399"/>
    </row>
    <row r="701" spans="1:35" s="1" customFormat="1" ht="15.75" hidden="1" customHeight="1">
      <c r="A701" s="73" t="str">
        <f>IF(液状化L2の有無="",IF(LEN(E701)+LEN(T701)=0,"×",""),"×")</f>
        <v>×</v>
      </c>
      <c r="E701" s="166">
        <v>6</v>
      </c>
      <c r="F701" s="167"/>
      <c r="G701" s="167"/>
      <c r="H701" s="413">
        <v>0</v>
      </c>
      <c r="I701" s="413"/>
      <c r="J701" s="413"/>
      <c r="K701" s="413"/>
      <c r="L701" s="160">
        <v>0.5</v>
      </c>
      <c r="M701" s="160"/>
      <c r="N701" s="160"/>
      <c r="O701" s="398">
        <f t="shared" si="78"/>
        <v>0</v>
      </c>
      <c r="P701" s="398"/>
      <c r="Q701" s="398"/>
      <c r="R701" s="398"/>
      <c r="S701" s="415"/>
      <c r="T701" s="389">
        <v>7</v>
      </c>
      <c r="U701" s="167"/>
      <c r="V701" s="167"/>
      <c r="W701" s="413">
        <v>18352</v>
      </c>
      <c r="X701" s="413"/>
      <c r="Y701" s="413"/>
      <c r="Z701" s="413"/>
      <c r="AA701" s="160">
        <v>0.5</v>
      </c>
      <c r="AB701" s="160"/>
      <c r="AC701" s="160"/>
      <c r="AD701" s="398">
        <f t="shared" si="79"/>
        <v>57654.508378679886</v>
      </c>
      <c r="AE701" s="398"/>
      <c r="AF701" s="398"/>
      <c r="AG701" s="398"/>
      <c r="AH701" s="399"/>
    </row>
    <row r="702" spans="1:35" s="1" customFormat="1" ht="15.75" hidden="1" customHeight="1">
      <c r="A702" s="73" t="str">
        <f>IF(液状化L2の有無="",IF(LEN(E702)+LEN(T702)=0,"×",""),"×")</f>
        <v>×</v>
      </c>
      <c r="E702" s="166">
        <v>7</v>
      </c>
      <c r="F702" s="167"/>
      <c r="G702" s="167"/>
      <c r="H702" s="413">
        <v>0</v>
      </c>
      <c r="I702" s="413"/>
      <c r="J702" s="413"/>
      <c r="K702" s="413"/>
      <c r="L702" s="160">
        <v>0.5</v>
      </c>
      <c r="M702" s="160"/>
      <c r="N702" s="160"/>
      <c r="O702" s="398">
        <f t="shared" si="78"/>
        <v>0</v>
      </c>
      <c r="P702" s="398"/>
      <c r="Q702" s="398"/>
      <c r="R702" s="398"/>
      <c r="S702" s="415"/>
      <c r="T702" s="389"/>
      <c r="U702" s="167"/>
      <c r="V702" s="167"/>
      <c r="W702" s="413"/>
      <c r="X702" s="413"/>
      <c r="Y702" s="413"/>
      <c r="Z702" s="413"/>
      <c r="AA702" s="160"/>
      <c r="AB702" s="160"/>
      <c r="AC702" s="160"/>
      <c r="AD702" s="398" t="str">
        <f t="shared" si="79"/>
        <v/>
      </c>
      <c r="AE702" s="398"/>
      <c r="AF702" s="398"/>
      <c r="AG702" s="398"/>
      <c r="AH702" s="399"/>
    </row>
    <row r="703" spans="1:35" s="1" customFormat="1" ht="15.75" hidden="1" customHeight="1">
      <c r="A703" s="73" t="str">
        <f>IF(液状化L2の有無="",IF(LEN(E703)+LEN(T703)=0,"×",""),"×")</f>
        <v>×</v>
      </c>
      <c r="E703" s="166"/>
      <c r="F703" s="167"/>
      <c r="G703" s="167"/>
      <c r="H703" s="413"/>
      <c r="I703" s="413"/>
      <c r="J703" s="413"/>
      <c r="K703" s="413"/>
      <c r="L703" s="160"/>
      <c r="M703" s="160"/>
      <c r="N703" s="160"/>
      <c r="O703" s="398" t="str">
        <f t="shared" si="78"/>
        <v/>
      </c>
      <c r="P703" s="398"/>
      <c r="Q703" s="398"/>
      <c r="R703" s="398"/>
      <c r="S703" s="415"/>
      <c r="T703" s="389"/>
      <c r="U703" s="167"/>
      <c r="V703" s="167"/>
      <c r="W703" s="413"/>
      <c r="X703" s="413"/>
      <c r="Y703" s="413"/>
      <c r="Z703" s="413"/>
      <c r="AA703" s="160"/>
      <c r="AB703" s="160"/>
      <c r="AC703" s="160"/>
      <c r="AD703" s="398" t="str">
        <f t="shared" si="79"/>
        <v/>
      </c>
      <c r="AE703" s="398"/>
      <c r="AF703" s="398"/>
      <c r="AG703" s="398"/>
      <c r="AH703" s="399"/>
    </row>
    <row r="704" spans="1:35" s="1" customFormat="1" ht="15.75" hidden="1" customHeight="1">
      <c r="A704" s="73" t="str">
        <f>IF(液状化L2の有無="",IF(LEN(E704)+LEN(T704)=0,"×",""),"×")</f>
        <v>×</v>
      </c>
      <c r="E704" s="166"/>
      <c r="F704" s="167"/>
      <c r="G704" s="167"/>
      <c r="H704" s="413"/>
      <c r="I704" s="413"/>
      <c r="J704" s="413"/>
      <c r="K704" s="413"/>
      <c r="L704" s="160"/>
      <c r="M704" s="160"/>
      <c r="N704" s="160"/>
      <c r="O704" s="398" t="str">
        <f t="shared" si="78"/>
        <v/>
      </c>
      <c r="P704" s="398"/>
      <c r="Q704" s="398"/>
      <c r="R704" s="398"/>
      <c r="S704" s="415"/>
      <c r="T704" s="389"/>
      <c r="U704" s="167"/>
      <c r="V704" s="167"/>
      <c r="W704" s="413"/>
      <c r="X704" s="413"/>
      <c r="Y704" s="413"/>
      <c r="Z704" s="413"/>
      <c r="AA704" s="160"/>
      <c r="AB704" s="160"/>
      <c r="AC704" s="160"/>
      <c r="AD704" s="398" t="str">
        <f t="shared" si="79"/>
        <v/>
      </c>
      <c r="AE704" s="398"/>
      <c r="AF704" s="398"/>
      <c r="AG704" s="398"/>
      <c r="AH704" s="399"/>
    </row>
    <row r="705" spans="1:35" s="1" customFormat="1" ht="15.75" hidden="1" customHeight="1">
      <c r="A705" s="73" t="str">
        <f>IF(液状化L2の有無="",IF(LEN(E705)+LEN(T705)=0,"×",""),"×")</f>
        <v>×</v>
      </c>
      <c r="E705" s="166"/>
      <c r="F705" s="167"/>
      <c r="G705" s="167"/>
      <c r="H705" s="413"/>
      <c r="I705" s="413"/>
      <c r="J705" s="413"/>
      <c r="K705" s="413"/>
      <c r="L705" s="160"/>
      <c r="M705" s="160"/>
      <c r="N705" s="160"/>
      <c r="O705" s="398" t="str">
        <f t="shared" si="78"/>
        <v/>
      </c>
      <c r="P705" s="398"/>
      <c r="Q705" s="398"/>
      <c r="R705" s="398"/>
      <c r="S705" s="415"/>
      <c r="T705" s="389"/>
      <c r="U705" s="167"/>
      <c r="V705" s="167"/>
      <c r="W705" s="413"/>
      <c r="X705" s="413"/>
      <c r="Y705" s="413"/>
      <c r="Z705" s="413"/>
      <c r="AA705" s="160"/>
      <c r="AB705" s="160"/>
      <c r="AC705" s="160"/>
      <c r="AD705" s="398" t="str">
        <f t="shared" si="79"/>
        <v/>
      </c>
      <c r="AE705" s="398"/>
      <c r="AF705" s="398"/>
      <c r="AG705" s="398"/>
      <c r="AH705" s="399"/>
    </row>
    <row r="706" spans="1:35" s="1" customFormat="1" ht="15.75" hidden="1" customHeight="1">
      <c r="A706" s="73" t="str">
        <f>IF(液状化L2の有無="",IF(LEN(E706)+LEN(T706)=0,"×",""),"×")</f>
        <v>×</v>
      </c>
      <c r="E706" s="166"/>
      <c r="F706" s="167"/>
      <c r="G706" s="167"/>
      <c r="H706" s="413"/>
      <c r="I706" s="413"/>
      <c r="J706" s="413"/>
      <c r="K706" s="413"/>
      <c r="L706" s="160"/>
      <c r="M706" s="160"/>
      <c r="N706" s="160"/>
      <c r="O706" s="398" t="str">
        <f t="shared" si="78"/>
        <v/>
      </c>
      <c r="P706" s="398"/>
      <c r="Q706" s="398"/>
      <c r="R706" s="398"/>
      <c r="S706" s="415"/>
      <c r="T706" s="389"/>
      <c r="U706" s="167"/>
      <c r="V706" s="167"/>
      <c r="W706" s="413"/>
      <c r="X706" s="413"/>
      <c r="Y706" s="413"/>
      <c r="Z706" s="413"/>
      <c r="AA706" s="160"/>
      <c r="AB706" s="160"/>
      <c r="AC706" s="160"/>
      <c r="AD706" s="398" t="str">
        <f t="shared" si="79"/>
        <v/>
      </c>
      <c r="AE706" s="398"/>
      <c r="AF706" s="398"/>
      <c r="AG706" s="398"/>
      <c r="AH706" s="399"/>
    </row>
    <row r="707" spans="1:35" s="1" customFormat="1" ht="15.75" hidden="1" customHeight="1">
      <c r="A707" s="73" t="str">
        <f>IF(液状化L2の有無="",IF(LEN(E707)+LEN(T707)=0,"×",""),"×")</f>
        <v>×</v>
      </c>
      <c r="E707" s="166"/>
      <c r="F707" s="167"/>
      <c r="G707" s="167"/>
      <c r="H707" s="413"/>
      <c r="I707" s="413"/>
      <c r="J707" s="413"/>
      <c r="K707" s="413"/>
      <c r="L707" s="160"/>
      <c r="M707" s="160"/>
      <c r="N707" s="160"/>
      <c r="O707" s="398" t="str">
        <f t="shared" si="78"/>
        <v/>
      </c>
      <c r="P707" s="398"/>
      <c r="Q707" s="398"/>
      <c r="R707" s="398"/>
      <c r="S707" s="415"/>
      <c r="T707" s="389"/>
      <c r="U707" s="167"/>
      <c r="V707" s="167"/>
      <c r="W707" s="413"/>
      <c r="X707" s="413"/>
      <c r="Y707" s="413"/>
      <c r="Z707" s="413"/>
      <c r="AA707" s="160"/>
      <c r="AB707" s="160"/>
      <c r="AC707" s="160"/>
      <c r="AD707" s="398" t="str">
        <f t="shared" si="79"/>
        <v/>
      </c>
      <c r="AE707" s="398"/>
      <c r="AF707" s="398"/>
      <c r="AG707" s="398"/>
      <c r="AH707" s="399"/>
    </row>
    <row r="708" spans="1:35" s="1" customFormat="1" ht="15.75" hidden="1" customHeight="1">
      <c r="A708" s="73" t="str">
        <f>IF(液状化L2の有無="",IF(LEN(E708)+LEN(T708)=0,"×",""),"×")</f>
        <v>×</v>
      </c>
      <c r="E708" s="166"/>
      <c r="F708" s="167"/>
      <c r="G708" s="167"/>
      <c r="H708" s="413"/>
      <c r="I708" s="413"/>
      <c r="J708" s="413"/>
      <c r="K708" s="413"/>
      <c r="L708" s="160"/>
      <c r="M708" s="160"/>
      <c r="N708" s="160"/>
      <c r="O708" s="398" t="str">
        <f t="shared" si="78"/>
        <v/>
      </c>
      <c r="P708" s="398"/>
      <c r="Q708" s="398"/>
      <c r="R708" s="398"/>
      <c r="S708" s="415"/>
      <c r="T708" s="389"/>
      <c r="U708" s="167"/>
      <c r="V708" s="167"/>
      <c r="W708" s="413"/>
      <c r="X708" s="413"/>
      <c r="Y708" s="413"/>
      <c r="Z708" s="413"/>
      <c r="AA708" s="160"/>
      <c r="AB708" s="160"/>
      <c r="AC708" s="160"/>
      <c r="AD708" s="398" t="str">
        <f t="shared" si="79"/>
        <v/>
      </c>
      <c r="AE708" s="398"/>
      <c r="AF708" s="398"/>
      <c r="AG708" s="398"/>
      <c r="AH708" s="399"/>
    </row>
    <row r="709" spans="1:35" s="1" customFormat="1" ht="15.75" hidden="1" customHeight="1">
      <c r="A709" s="73" t="str">
        <f>IF(液状化L2の有無="",IF(LEN(E709)+LEN(T709)=0,"×",""),"×")</f>
        <v>×</v>
      </c>
      <c r="E709" s="166"/>
      <c r="F709" s="167"/>
      <c r="G709" s="167"/>
      <c r="H709" s="413"/>
      <c r="I709" s="413"/>
      <c r="J709" s="413"/>
      <c r="K709" s="413"/>
      <c r="L709" s="160"/>
      <c r="M709" s="160"/>
      <c r="N709" s="160"/>
      <c r="O709" s="398" t="str">
        <f t="shared" si="78"/>
        <v/>
      </c>
      <c r="P709" s="398"/>
      <c r="Q709" s="398"/>
      <c r="R709" s="398"/>
      <c r="S709" s="415"/>
      <c r="T709" s="389"/>
      <c r="U709" s="167"/>
      <c r="V709" s="167"/>
      <c r="W709" s="413"/>
      <c r="X709" s="413"/>
      <c r="Y709" s="413"/>
      <c r="Z709" s="413"/>
      <c r="AA709" s="160"/>
      <c r="AB709" s="160"/>
      <c r="AC709" s="160"/>
      <c r="AD709" s="398" t="str">
        <f t="shared" si="79"/>
        <v/>
      </c>
      <c r="AE709" s="398"/>
      <c r="AF709" s="398"/>
      <c r="AG709" s="398"/>
      <c r="AH709" s="399"/>
    </row>
    <row r="710" spans="1:35" s="1" customFormat="1" ht="15.75" hidden="1" customHeight="1">
      <c r="A710" s="73" t="str">
        <f>IF(液状化L2の有無="",IF(LEN(E710)+LEN(T710)=0,"×",""),"×")</f>
        <v>×</v>
      </c>
      <c r="E710" s="166"/>
      <c r="F710" s="167"/>
      <c r="G710" s="167"/>
      <c r="H710" s="413"/>
      <c r="I710" s="413"/>
      <c r="J710" s="413"/>
      <c r="K710" s="413"/>
      <c r="L710" s="160"/>
      <c r="M710" s="160"/>
      <c r="N710" s="160"/>
      <c r="O710" s="398" t="str">
        <f t="shared" si="78"/>
        <v/>
      </c>
      <c r="P710" s="398"/>
      <c r="Q710" s="398"/>
      <c r="R710" s="398"/>
      <c r="S710" s="415"/>
      <c r="T710" s="389"/>
      <c r="U710" s="167"/>
      <c r="V710" s="167"/>
      <c r="W710" s="413"/>
      <c r="X710" s="413"/>
      <c r="Y710" s="413"/>
      <c r="Z710" s="413"/>
      <c r="AA710" s="160"/>
      <c r="AB710" s="160"/>
      <c r="AC710" s="160"/>
      <c r="AD710" s="398" t="str">
        <f t="shared" si="79"/>
        <v/>
      </c>
      <c r="AE710" s="398"/>
      <c r="AF710" s="398"/>
      <c r="AG710" s="398"/>
      <c r="AH710" s="399"/>
    </row>
    <row r="711" spans="1:35" s="1" customFormat="1" ht="15.75" hidden="1" customHeight="1">
      <c r="A711" s="73" t="str">
        <f>IF(液状化L2の有無="",IF(LEN(E711)+LEN(T711)=0,"×",""),"×")</f>
        <v>×</v>
      </c>
      <c r="E711" s="174"/>
      <c r="F711" s="175"/>
      <c r="G711" s="175"/>
      <c r="H711" s="414"/>
      <c r="I711" s="414"/>
      <c r="J711" s="414"/>
      <c r="K711" s="414"/>
      <c r="L711" s="155"/>
      <c r="M711" s="155"/>
      <c r="N711" s="155"/>
      <c r="O711" s="401" t="str">
        <f t="shared" si="78"/>
        <v/>
      </c>
      <c r="P711" s="401"/>
      <c r="Q711" s="401"/>
      <c r="R711" s="401"/>
      <c r="S711" s="416"/>
      <c r="T711" s="391"/>
      <c r="U711" s="175"/>
      <c r="V711" s="175"/>
      <c r="W711" s="414"/>
      <c r="X711" s="414"/>
      <c r="Y711" s="414"/>
      <c r="Z711" s="414"/>
      <c r="AA711" s="155"/>
      <c r="AB711" s="155"/>
      <c r="AC711" s="155"/>
      <c r="AD711" s="401" t="str">
        <f t="shared" si="79"/>
        <v/>
      </c>
      <c r="AE711" s="401"/>
      <c r="AF711" s="401"/>
      <c r="AG711" s="401"/>
      <c r="AH711" s="402"/>
    </row>
    <row r="712" spans="1:35" s="1" customFormat="1" ht="15.75" hidden="1" customHeight="1">
      <c r="A712" s="73" t="str">
        <f>IF(液状化L2の有無="","","×")</f>
        <v>×</v>
      </c>
      <c r="E712" s="8"/>
      <c r="F712" s="8"/>
      <c r="G712" s="8"/>
      <c r="H712" s="8"/>
      <c r="I712" s="8"/>
      <c r="J712" s="8"/>
      <c r="K712" s="8"/>
      <c r="L712" s="8"/>
      <c r="M712" s="8"/>
      <c r="N712" s="8"/>
      <c r="O712" s="8"/>
      <c r="P712" s="8"/>
      <c r="AA712" s="2" t="s">
        <v>127</v>
      </c>
      <c r="AB712" s="1" t="s">
        <v>513</v>
      </c>
      <c r="AC712" s="76" t="s">
        <v>27</v>
      </c>
      <c r="AD712" s="212">
        <f>AD689</f>
        <v>3.1415926535897931</v>
      </c>
      <c r="AE712" s="212"/>
      <c r="AF712" s="212"/>
      <c r="AG712" s="7" t="s">
        <v>514</v>
      </c>
      <c r="AH712" s="76" t="s">
        <v>158</v>
      </c>
    </row>
    <row r="713" spans="1:35" ht="15.75" hidden="1" customHeight="1">
      <c r="A713" s="73" t="str">
        <f>IF(液状化L2の有無="","","×")</f>
        <v>×</v>
      </c>
    </row>
    <row r="715" spans="1:35" s="1" customFormat="1" ht="15.75" customHeight="1">
      <c r="E715" s="61" t="s">
        <v>558</v>
      </c>
      <c r="F715" s="85"/>
      <c r="G715" s="85"/>
      <c r="H715" s="85"/>
      <c r="I715" s="61"/>
      <c r="J715" s="61"/>
      <c r="K715" s="61"/>
      <c r="L715" s="61"/>
      <c r="M715" s="61"/>
      <c r="N715" s="61"/>
      <c r="O715" s="61"/>
      <c r="P715" s="61"/>
      <c r="Q715" s="61"/>
      <c r="R715" s="61"/>
      <c r="S715" s="61"/>
      <c r="T715" s="61"/>
      <c r="U715" s="61"/>
      <c r="V715" s="61"/>
      <c r="W715" s="61"/>
      <c r="X715" s="61"/>
      <c r="Y715" s="61"/>
      <c r="Z715" s="61"/>
      <c r="AA715" s="61"/>
      <c r="AB715" s="61"/>
      <c r="AC715" s="61"/>
      <c r="AD715" s="61"/>
      <c r="AE715" s="61"/>
      <c r="AF715" s="61"/>
      <c r="AG715" s="61"/>
      <c r="AH715" s="61"/>
      <c r="AI715" s="8"/>
    </row>
    <row r="716" spans="1:35" s="1" customFormat="1" ht="15.75" customHeight="1">
      <c r="E716" s="347" t="s">
        <v>511</v>
      </c>
      <c r="F716" s="348"/>
      <c r="G716" s="348"/>
      <c r="H716" s="348"/>
      <c r="I716" s="348"/>
      <c r="J716" s="348"/>
      <c r="K716" s="348"/>
      <c r="L716" s="348"/>
      <c r="M716" s="348"/>
      <c r="N716" s="348"/>
      <c r="O716" s="348"/>
      <c r="P716" s="348"/>
      <c r="Q716" s="348"/>
      <c r="R716" s="348"/>
      <c r="S716" s="410"/>
      <c r="T716" s="350" t="s">
        <v>512</v>
      </c>
      <c r="U716" s="147"/>
      <c r="V716" s="147"/>
      <c r="W716" s="147"/>
      <c r="X716" s="147"/>
      <c r="Y716" s="147"/>
      <c r="Z716" s="147"/>
      <c r="AA716" s="147"/>
      <c r="AB716" s="147"/>
      <c r="AC716" s="147"/>
      <c r="AD716" s="147"/>
      <c r="AE716" s="147"/>
      <c r="AF716" s="147"/>
      <c r="AG716" s="147"/>
      <c r="AH716" s="214"/>
    </row>
    <row r="717" spans="1:35" s="1" customFormat="1" ht="15.75" customHeight="1">
      <c r="E717" s="225" t="s">
        <v>78</v>
      </c>
      <c r="F717" s="226"/>
      <c r="G717" s="226"/>
      <c r="H717" s="226" t="s">
        <v>191</v>
      </c>
      <c r="I717" s="226"/>
      <c r="J717" s="226"/>
      <c r="K717" s="226"/>
      <c r="L717" s="229" t="s">
        <v>190</v>
      </c>
      <c r="M717" s="230"/>
      <c r="N717" s="230"/>
      <c r="O717" s="226" t="s">
        <v>510</v>
      </c>
      <c r="P717" s="226"/>
      <c r="Q717" s="226"/>
      <c r="R717" s="226"/>
      <c r="S717" s="326"/>
      <c r="T717" s="339" t="s">
        <v>78</v>
      </c>
      <c r="U717" s="226"/>
      <c r="V717" s="226"/>
      <c r="W717" s="226" t="s">
        <v>191</v>
      </c>
      <c r="X717" s="226"/>
      <c r="Y717" s="226"/>
      <c r="Z717" s="226"/>
      <c r="AA717" s="229" t="s">
        <v>190</v>
      </c>
      <c r="AB717" s="230"/>
      <c r="AC717" s="230"/>
      <c r="AD717" s="226" t="s">
        <v>510</v>
      </c>
      <c r="AE717" s="226"/>
      <c r="AF717" s="226"/>
      <c r="AG717" s="226"/>
      <c r="AH717" s="326"/>
    </row>
    <row r="718" spans="1:35" s="1" customFormat="1" ht="15.75" customHeight="1">
      <c r="E718" s="227"/>
      <c r="F718" s="228"/>
      <c r="G718" s="228"/>
      <c r="H718" s="228"/>
      <c r="I718" s="228"/>
      <c r="J718" s="228"/>
      <c r="K718" s="228"/>
      <c r="L718" s="231"/>
      <c r="M718" s="231"/>
      <c r="N718" s="231"/>
      <c r="O718" s="228"/>
      <c r="P718" s="228"/>
      <c r="Q718" s="228"/>
      <c r="R718" s="228"/>
      <c r="S718" s="409"/>
      <c r="T718" s="351"/>
      <c r="U718" s="228"/>
      <c r="V718" s="228"/>
      <c r="W718" s="228"/>
      <c r="X718" s="228"/>
      <c r="Y718" s="228"/>
      <c r="Z718" s="228"/>
      <c r="AA718" s="231"/>
      <c r="AB718" s="231"/>
      <c r="AC718" s="231"/>
      <c r="AD718" s="228"/>
      <c r="AE718" s="228"/>
      <c r="AF718" s="228"/>
      <c r="AG718" s="228"/>
      <c r="AH718" s="409"/>
    </row>
    <row r="719" spans="1:35" s="1" customFormat="1" ht="15.75" customHeight="1">
      <c r="A719" s="73" t="str">
        <f>IF(LEN(E719)+LEN(T719)=0,"×","")</f>
        <v/>
      </c>
      <c r="E719" s="190">
        <v>3</v>
      </c>
      <c r="F719" s="163"/>
      <c r="G719" s="163"/>
      <c r="H719" s="411">
        <v>0</v>
      </c>
      <c r="I719" s="411"/>
      <c r="J719" s="411"/>
      <c r="K719" s="411"/>
      <c r="L719" s="164">
        <v>3</v>
      </c>
      <c r="M719" s="164"/>
      <c r="N719" s="164"/>
      <c r="O719" s="395">
        <f>IF(H719="","",H719*AD$735)</f>
        <v>0</v>
      </c>
      <c r="P719" s="395"/>
      <c r="Q719" s="395"/>
      <c r="R719" s="395"/>
      <c r="S719" s="412"/>
      <c r="T719" s="390">
        <v>3</v>
      </c>
      <c r="U719" s="163"/>
      <c r="V719" s="163"/>
      <c r="W719" s="411">
        <v>0</v>
      </c>
      <c r="X719" s="411"/>
      <c r="Y719" s="411"/>
      <c r="Z719" s="411"/>
      <c r="AA719" s="164">
        <v>3</v>
      </c>
      <c r="AB719" s="164"/>
      <c r="AC719" s="164"/>
      <c r="AD719" s="395">
        <f>IF(W719="","",W719*AD$735)</f>
        <v>0</v>
      </c>
      <c r="AE719" s="395"/>
      <c r="AF719" s="395"/>
      <c r="AG719" s="395"/>
      <c r="AH719" s="396"/>
    </row>
    <row r="720" spans="1:35" s="1" customFormat="1" ht="15.75" customHeight="1">
      <c r="A720" s="73" t="str">
        <f t="shared" ref="A720:A734" si="80">IF(LEN(E720)+LEN(T720)=0,"×","")</f>
        <v/>
      </c>
      <c r="E720" s="166">
        <v>4</v>
      </c>
      <c r="F720" s="167"/>
      <c r="G720" s="167"/>
      <c r="H720" s="413">
        <v>0</v>
      </c>
      <c r="I720" s="413"/>
      <c r="J720" s="413"/>
      <c r="K720" s="413"/>
      <c r="L720" s="160">
        <v>1.0799999237060547</v>
      </c>
      <c r="M720" s="160"/>
      <c r="N720" s="160"/>
      <c r="O720" s="398">
        <f t="shared" ref="O720:O734" si="81">IF(H720="","",H720*AD$735)</f>
        <v>0</v>
      </c>
      <c r="P720" s="398"/>
      <c r="Q720" s="398"/>
      <c r="R720" s="398"/>
      <c r="S720" s="415"/>
      <c r="T720" s="389">
        <v>4</v>
      </c>
      <c r="U720" s="167"/>
      <c r="V720" s="167"/>
      <c r="W720" s="413">
        <v>0</v>
      </c>
      <c r="X720" s="413"/>
      <c r="Y720" s="413"/>
      <c r="Z720" s="413"/>
      <c r="AA720" s="160">
        <v>1.0799999237060547</v>
      </c>
      <c r="AB720" s="160"/>
      <c r="AC720" s="160"/>
      <c r="AD720" s="398">
        <f t="shared" ref="AD720:AD734" si="82">IF(W720="","",W720*AD$735)</f>
        <v>0</v>
      </c>
      <c r="AE720" s="398"/>
      <c r="AF720" s="398"/>
      <c r="AG720" s="398"/>
      <c r="AH720" s="399"/>
    </row>
    <row r="721" spans="1:34" s="1" customFormat="1" ht="15.75" customHeight="1">
      <c r="A721" s="73" t="str">
        <f t="shared" si="80"/>
        <v/>
      </c>
      <c r="E721" s="166">
        <v>4</v>
      </c>
      <c r="F721" s="167"/>
      <c r="G721" s="167"/>
      <c r="H721" s="413">
        <v>5724</v>
      </c>
      <c r="I721" s="413"/>
      <c r="J721" s="413"/>
      <c r="K721" s="413"/>
      <c r="L721" s="160">
        <v>3.9200000762939453</v>
      </c>
      <c r="M721" s="160"/>
      <c r="N721" s="160"/>
      <c r="O721" s="398">
        <f t="shared" si="81"/>
        <v>17982.476349147975</v>
      </c>
      <c r="P721" s="398"/>
      <c r="Q721" s="398"/>
      <c r="R721" s="398"/>
      <c r="S721" s="415"/>
      <c r="T721" s="389">
        <v>4</v>
      </c>
      <c r="U721" s="167"/>
      <c r="V721" s="167"/>
      <c r="W721" s="413">
        <v>5724</v>
      </c>
      <c r="X721" s="413"/>
      <c r="Y721" s="413"/>
      <c r="Z721" s="413"/>
      <c r="AA721" s="160">
        <v>3.9200000762939453</v>
      </c>
      <c r="AB721" s="160"/>
      <c r="AC721" s="160"/>
      <c r="AD721" s="398">
        <f t="shared" si="82"/>
        <v>17982.476349147975</v>
      </c>
      <c r="AE721" s="398"/>
      <c r="AF721" s="398"/>
      <c r="AG721" s="398"/>
      <c r="AH721" s="399"/>
    </row>
    <row r="722" spans="1:34" s="1" customFormat="1" ht="15.75" customHeight="1">
      <c r="A722" s="73" t="str">
        <f t="shared" si="80"/>
        <v/>
      </c>
      <c r="E722" s="166">
        <v>5</v>
      </c>
      <c r="F722" s="167"/>
      <c r="G722" s="167"/>
      <c r="H722" s="413">
        <v>6514</v>
      </c>
      <c r="I722" s="413"/>
      <c r="J722" s="413"/>
      <c r="K722" s="413"/>
      <c r="L722" s="160">
        <v>8</v>
      </c>
      <c r="M722" s="160"/>
      <c r="N722" s="160"/>
      <c r="O722" s="398">
        <f t="shared" si="81"/>
        <v>20464.334545483911</v>
      </c>
      <c r="P722" s="398"/>
      <c r="Q722" s="398"/>
      <c r="R722" s="398"/>
      <c r="S722" s="415"/>
      <c r="T722" s="389">
        <v>5</v>
      </c>
      <c r="U722" s="167"/>
      <c r="V722" s="167"/>
      <c r="W722" s="413">
        <v>6514</v>
      </c>
      <c r="X722" s="413"/>
      <c r="Y722" s="413"/>
      <c r="Z722" s="413"/>
      <c r="AA722" s="160">
        <v>8</v>
      </c>
      <c r="AB722" s="160"/>
      <c r="AC722" s="160"/>
      <c r="AD722" s="398">
        <f t="shared" si="82"/>
        <v>20464.334545483911</v>
      </c>
      <c r="AE722" s="398"/>
      <c r="AF722" s="398"/>
      <c r="AG722" s="398"/>
      <c r="AH722" s="399"/>
    </row>
    <row r="723" spans="1:34" s="1" customFormat="1" ht="15.75" customHeight="1">
      <c r="A723" s="73" t="str">
        <f t="shared" si="80"/>
        <v/>
      </c>
      <c r="E723" s="166">
        <v>6</v>
      </c>
      <c r="F723" s="167"/>
      <c r="G723" s="167"/>
      <c r="H723" s="413">
        <v>9288</v>
      </c>
      <c r="I723" s="413"/>
      <c r="J723" s="413"/>
      <c r="K723" s="413"/>
      <c r="L723" s="160">
        <v>4</v>
      </c>
      <c r="M723" s="160"/>
      <c r="N723" s="160"/>
      <c r="O723" s="398">
        <f t="shared" si="81"/>
        <v>29179.112566541997</v>
      </c>
      <c r="P723" s="398"/>
      <c r="Q723" s="398"/>
      <c r="R723" s="398"/>
      <c r="S723" s="415"/>
      <c r="T723" s="389">
        <v>6</v>
      </c>
      <c r="U723" s="167"/>
      <c r="V723" s="167"/>
      <c r="W723" s="413">
        <v>9288</v>
      </c>
      <c r="X723" s="413"/>
      <c r="Y723" s="413"/>
      <c r="Z723" s="413"/>
      <c r="AA723" s="160">
        <v>4.5</v>
      </c>
      <c r="AB723" s="160"/>
      <c r="AC723" s="160"/>
      <c r="AD723" s="398">
        <f t="shared" si="82"/>
        <v>29179.112566541997</v>
      </c>
      <c r="AE723" s="398"/>
      <c r="AF723" s="398"/>
      <c r="AG723" s="398"/>
      <c r="AH723" s="399"/>
    </row>
    <row r="724" spans="1:34" s="1" customFormat="1" ht="15.75" customHeight="1">
      <c r="A724" s="73" t="str">
        <f t="shared" si="80"/>
        <v/>
      </c>
      <c r="E724" s="166">
        <v>6</v>
      </c>
      <c r="F724" s="167"/>
      <c r="G724" s="167"/>
      <c r="H724" s="413">
        <v>0</v>
      </c>
      <c r="I724" s="413"/>
      <c r="J724" s="413"/>
      <c r="K724" s="413"/>
      <c r="L724" s="160">
        <v>0.5</v>
      </c>
      <c r="M724" s="160"/>
      <c r="N724" s="160"/>
      <c r="O724" s="398">
        <f t="shared" si="81"/>
        <v>0</v>
      </c>
      <c r="P724" s="398"/>
      <c r="Q724" s="398"/>
      <c r="R724" s="398"/>
      <c r="S724" s="415"/>
      <c r="T724" s="389">
        <v>7</v>
      </c>
      <c r="U724" s="167"/>
      <c r="V724" s="167"/>
      <c r="W724" s="413">
        <v>18352</v>
      </c>
      <c r="X724" s="413"/>
      <c r="Y724" s="413"/>
      <c r="Z724" s="413"/>
      <c r="AA724" s="160">
        <v>0.5</v>
      </c>
      <c r="AB724" s="160"/>
      <c r="AC724" s="160"/>
      <c r="AD724" s="398">
        <f t="shared" si="82"/>
        <v>57654.508378679886</v>
      </c>
      <c r="AE724" s="398"/>
      <c r="AF724" s="398"/>
      <c r="AG724" s="398"/>
      <c r="AH724" s="399"/>
    </row>
    <row r="725" spans="1:34" s="1" customFormat="1" ht="15.75" customHeight="1">
      <c r="A725" s="73" t="str">
        <f t="shared" si="80"/>
        <v/>
      </c>
      <c r="E725" s="166">
        <v>7</v>
      </c>
      <c r="F725" s="167"/>
      <c r="G725" s="167"/>
      <c r="H725" s="413">
        <v>0</v>
      </c>
      <c r="I725" s="413"/>
      <c r="J725" s="413"/>
      <c r="K725" s="413"/>
      <c r="L725" s="160">
        <v>0.5</v>
      </c>
      <c r="M725" s="160"/>
      <c r="N725" s="160"/>
      <c r="O725" s="398">
        <f t="shared" si="81"/>
        <v>0</v>
      </c>
      <c r="P725" s="398"/>
      <c r="Q725" s="398"/>
      <c r="R725" s="398"/>
      <c r="S725" s="415"/>
      <c r="T725" s="389"/>
      <c r="U725" s="167"/>
      <c r="V725" s="167"/>
      <c r="W725" s="413"/>
      <c r="X725" s="413"/>
      <c r="Y725" s="413"/>
      <c r="Z725" s="413"/>
      <c r="AA725" s="160"/>
      <c r="AB725" s="160"/>
      <c r="AC725" s="160"/>
      <c r="AD725" s="398" t="str">
        <f t="shared" si="82"/>
        <v/>
      </c>
      <c r="AE725" s="398"/>
      <c r="AF725" s="398"/>
      <c r="AG725" s="398"/>
      <c r="AH725" s="399"/>
    </row>
    <row r="726" spans="1:34" s="1" customFormat="1" ht="15.75" hidden="1" customHeight="1">
      <c r="A726" s="73" t="str">
        <f t="shared" si="80"/>
        <v>×</v>
      </c>
      <c r="E726" s="166"/>
      <c r="F726" s="167"/>
      <c r="G726" s="167"/>
      <c r="H726" s="413"/>
      <c r="I726" s="413"/>
      <c r="J726" s="413"/>
      <c r="K726" s="413"/>
      <c r="L726" s="160"/>
      <c r="M726" s="160"/>
      <c r="N726" s="160"/>
      <c r="O726" s="398" t="str">
        <f t="shared" si="81"/>
        <v/>
      </c>
      <c r="P726" s="398"/>
      <c r="Q726" s="398"/>
      <c r="R726" s="398"/>
      <c r="S726" s="415"/>
      <c r="T726" s="389"/>
      <c r="U726" s="167"/>
      <c r="V726" s="167"/>
      <c r="W726" s="413"/>
      <c r="X726" s="413"/>
      <c r="Y726" s="413"/>
      <c r="Z726" s="413"/>
      <c r="AA726" s="160"/>
      <c r="AB726" s="160"/>
      <c r="AC726" s="160"/>
      <c r="AD726" s="398" t="str">
        <f t="shared" si="82"/>
        <v/>
      </c>
      <c r="AE726" s="398"/>
      <c r="AF726" s="398"/>
      <c r="AG726" s="398"/>
      <c r="AH726" s="399"/>
    </row>
    <row r="727" spans="1:34" s="1" customFormat="1" ht="15.75" hidden="1" customHeight="1">
      <c r="A727" s="73" t="str">
        <f t="shared" si="80"/>
        <v>×</v>
      </c>
      <c r="E727" s="166"/>
      <c r="F727" s="167"/>
      <c r="G727" s="167"/>
      <c r="H727" s="413"/>
      <c r="I727" s="413"/>
      <c r="J727" s="413"/>
      <c r="K727" s="413"/>
      <c r="L727" s="160"/>
      <c r="M727" s="160"/>
      <c r="N727" s="160"/>
      <c r="O727" s="398" t="str">
        <f t="shared" si="81"/>
        <v/>
      </c>
      <c r="P727" s="398"/>
      <c r="Q727" s="398"/>
      <c r="R727" s="398"/>
      <c r="S727" s="415"/>
      <c r="T727" s="389"/>
      <c r="U727" s="167"/>
      <c r="V727" s="167"/>
      <c r="W727" s="413"/>
      <c r="X727" s="413"/>
      <c r="Y727" s="413"/>
      <c r="Z727" s="413"/>
      <c r="AA727" s="160"/>
      <c r="AB727" s="160"/>
      <c r="AC727" s="160"/>
      <c r="AD727" s="398" t="str">
        <f t="shared" si="82"/>
        <v/>
      </c>
      <c r="AE727" s="398"/>
      <c r="AF727" s="398"/>
      <c r="AG727" s="398"/>
      <c r="AH727" s="399"/>
    </row>
    <row r="728" spans="1:34" s="1" customFormat="1" ht="15.75" hidden="1" customHeight="1">
      <c r="A728" s="73" t="str">
        <f t="shared" si="80"/>
        <v>×</v>
      </c>
      <c r="E728" s="166"/>
      <c r="F728" s="167"/>
      <c r="G728" s="167"/>
      <c r="H728" s="413"/>
      <c r="I728" s="413"/>
      <c r="J728" s="413"/>
      <c r="K728" s="413"/>
      <c r="L728" s="160"/>
      <c r="M728" s="160"/>
      <c r="N728" s="160"/>
      <c r="O728" s="398" t="str">
        <f t="shared" si="81"/>
        <v/>
      </c>
      <c r="P728" s="398"/>
      <c r="Q728" s="398"/>
      <c r="R728" s="398"/>
      <c r="S728" s="415"/>
      <c r="T728" s="389"/>
      <c r="U728" s="167"/>
      <c r="V728" s="167"/>
      <c r="W728" s="413"/>
      <c r="X728" s="413"/>
      <c r="Y728" s="413"/>
      <c r="Z728" s="413"/>
      <c r="AA728" s="160"/>
      <c r="AB728" s="160"/>
      <c r="AC728" s="160"/>
      <c r="AD728" s="398" t="str">
        <f t="shared" si="82"/>
        <v/>
      </c>
      <c r="AE728" s="398"/>
      <c r="AF728" s="398"/>
      <c r="AG728" s="398"/>
      <c r="AH728" s="399"/>
    </row>
    <row r="729" spans="1:34" s="1" customFormat="1" ht="15.75" hidden="1" customHeight="1">
      <c r="A729" s="73" t="str">
        <f t="shared" si="80"/>
        <v>×</v>
      </c>
      <c r="E729" s="166"/>
      <c r="F729" s="167"/>
      <c r="G729" s="167"/>
      <c r="H729" s="413"/>
      <c r="I729" s="413"/>
      <c r="J729" s="413"/>
      <c r="K729" s="413"/>
      <c r="L729" s="160"/>
      <c r="M729" s="160"/>
      <c r="N729" s="160"/>
      <c r="O729" s="398" t="str">
        <f t="shared" si="81"/>
        <v/>
      </c>
      <c r="P729" s="398"/>
      <c r="Q729" s="398"/>
      <c r="R729" s="398"/>
      <c r="S729" s="415"/>
      <c r="T729" s="389"/>
      <c r="U729" s="167"/>
      <c r="V729" s="167"/>
      <c r="W729" s="413"/>
      <c r="X729" s="413"/>
      <c r="Y729" s="413"/>
      <c r="Z729" s="413"/>
      <c r="AA729" s="160"/>
      <c r="AB729" s="160"/>
      <c r="AC729" s="160"/>
      <c r="AD729" s="398" t="str">
        <f t="shared" si="82"/>
        <v/>
      </c>
      <c r="AE729" s="398"/>
      <c r="AF729" s="398"/>
      <c r="AG729" s="398"/>
      <c r="AH729" s="399"/>
    </row>
    <row r="730" spans="1:34" s="1" customFormat="1" ht="15.75" hidden="1" customHeight="1">
      <c r="A730" s="73" t="str">
        <f t="shared" si="80"/>
        <v>×</v>
      </c>
      <c r="E730" s="166"/>
      <c r="F730" s="167"/>
      <c r="G730" s="167"/>
      <c r="H730" s="413"/>
      <c r="I730" s="413"/>
      <c r="J730" s="413"/>
      <c r="K730" s="413"/>
      <c r="L730" s="160"/>
      <c r="M730" s="160"/>
      <c r="N730" s="160"/>
      <c r="O730" s="398" t="str">
        <f t="shared" si="81"/>
        <v/>
      </c>
      <c r="P730" s="398"/>
      <c r="Q730" s="398"/>
      <c r="R730" s="398"/>
      <c r="S730" s="415"/>
      <c r="T730" s="389"/>
      <c r="U730" s="167"/>
      <c r="V730" s="167"/>
      <c r="W730" s="413"/>
      <c r="X730" s="413"/>
      <c r="Y730" s="413"/>
      <c r="Z730" s="413"/>
      <c r="AA730" s="160"/>
      <c r="AB730" s="160"/>
      <c r="AC730" s="160"/>
      <c r="AD730" s="398" t="str">
        <f t="shared" si="82"/>
        <v/>
      </c>
      <c r="AE730" s="398"/>
      <c r="AF730" s="398"/>
      <c r="AG730" s="398"/>
      <c r="AH730" s="399"/>
    </row>
    <row r="731" spans="1:34" s="1" customFormat="1" ht="15.75" hidden="1" customHeight="1">
      <c r="A731" s="73" t="str">
        <f t="shared" si="80"/>
        <v>×</v>
      </c>
      <c r="E731" s="166"/>
      <c r="F731" s="167"/>
      <c r="G731" s="167"/>
      <c r="H731" s="413"/>
      <c r="I731" s="413"/>
      <c r="J731" s="413"/>
      <c r="K731" s="413"/>
      <c r="L731" s="160"/>
      <c r="M731" s="160"/>
      <c r="N731" s="160"/>
      <c r="O731" s="398" t="str">
        <f t="shared" si="81"/>
        <v/>
      </c>
      <c r="P731" s="398"/>
      <c r="Q731" s="398"/>
      <c r="R731" s="398"/>
      <c r="S731" s="415"/>
      <c r="T731" s="389"/>
      <c r="U731" s="167"/>
      <c r="V731" s="167"/>
      <c r="W731" s="413"/>
      <c r="X731" s="413"/>
      <c r="Y731" s="413"/>
      <c r="Z731" s="413"/>
      <c r="AA731" s="160"/>
      <c r="AB731" s="160"/>
      <c r="AC731" s="160"/>
      <c r="AD731" s="398" t="str">
        <f t="shared" si="82"/>
        <v/>
      </c>
      <c r="AE731" s="398"/>
      <c r="AF731" s="398"/>
      <c r="AG731" s="398"/>
      <c r="AH731" s="399"/>
    </row>
    <row r="732" spans="1:34" s="1" customFormat="1" ht="15.75" hidden="1" customHeight="1">
      <c r="A732" s="73" t="str">
        <f t="shared" si="80"/>
        <v>×</v>
      </c>
      <c r="E732" s="166"/>
      <c r="F732" s="167"/>
      <c r="G732" s="167"/>
      <c r="H732" s="413"/>
      <c r="I732" s="413"/>
      <c r="J732" s="413"/>
      <c r="K732" s="413"/>
      <c r="L732" s="160"/>
      <c r="M732" s="160"/>
      <c r="N732" s="160"/>
      <c r="O732" s="398" t="str">
        <f t="shared" si="81"/>
        <v/>
      </c>
      <c r="P732" s="398"/>
      <c r="Q732" s="398"/>
      <c r="R732" s="398"/>
      <c r="S732" s="415"/>
      <c r="T732" s="389"/>
      <c r="U732" s="167"/>
      <c r="V732" s="167"/>
      <c r="W732" s="413"/>
      <c r="X732" s="413"/>
      <c r="Y732" s="413"/>
      <c r="Z732" s="413"/>
      <c r="AA732" s="160"/>
      <c r="AB732" s="160"/>
      <c r="AC732" s="160"/>
      <c r="AD732" s="398" t="str">
        <f t="shared" si="82"/>
        <v/>
      </c>
      <c r="AE732" s="398"/>
      <c r="AF732" s="398"/>
      <c r="AG732" s="398"/>
      <c r="AH732" s="399"/>
    </row>
    <row r="733" spans="1:34" s="1" customFormat="1" ht="15.75" hidden="1" customHeight="1">
      <c r="A733" s="73" t="str">
        <f t="shared" si="80"/>
        <v>×</v>
      </c>
      <c r="E733" s="166"/>
      <c r="F733" s="167"/>
      <c r="G733" s="167"/>
      <c r="H733" s="413"/>
      <c r="I733" s="413"/>
      <c r="J733" s="413"/>
      <c r="K733" s="413"/>
      <c r="L733" s="160"/>
      <c r="M733" s="160"/>
      <c r="N733" s="160"/>
      <c r="O733" s="398" t="str">
        <f t="shared" si="81"/>
        <v/>
      </c>
      <c r="P733" s="398"/>
      <c r="Q733" s="398"/>
      <c r="R733" s="398"/>
      <c r="S733" s="415"/>
      <c r="T733" s="389"/>
      <c r="U733" s="167"/>
      <c r="V733" s="167"/>
      <c r="W733" s="413"/>
      <c r="X733" s="413"/>
      <c r="Y733" s="413"/>
      <c r="Z733" s="413"/>
      <c r="AA733" s="160"/>
      <c r="AB733" s="160"/>
      <c r="AC733" s="160"/>
      <c r="AD733" s="398" t="str">
        <f t="shared" si="82"/>
        <v/>
      </c>
      <c r="AE733" s="398"/>
      <c r="AF733" s="398"/>
      <c r="AG733" s="398"/>
      <c r="AH733" s="399"/>
    </row>
    <row r="734" spans="1:34" s="1" customFormat="1" ht="15.75" hidden="1" customHeight="1">
      <c r="A734" s="73" t="str">
        <f t="shared" si="80"/>
        <v>×</v>
      </c>
      <c r="E734" s="174"/>
      <c r="F734" s="175"/>
      <c r="G734" s="175"/>
      <c r="H734" s="414"/>
      <c r="I734" s="414"/>
      <c r="J734" s="414"/>
      <c r="K734" s="414"/>
      <c r="L734" s="155"/>
      <c r="M734" s="155"/>
      <c r="N734" s="155"/>
      <c r="O734" s="401" t="str">
        <f t="shared" si="81"/>
        <v/>
      </c>
      <c r="P734" s="401"/>
      <c r="Q734" s="401"/>
      <c r="R734" s="401"/>
      <c r="S734" s="416"/>
      <c r="T734" s="391"/>
      <c r="U734" s="175"/>
      <c r="V734" s="175"/>
      <c r="W734" s="414"/>
      <c r="X734" s="414"/>
      <c r="Y734" s="414"/>
      <c r="Z734" s="414"/>
      <c r="AA734" s="155"/>
      <c r="AB734" s="155"/>
      <c r="AC734" s="155"/>
      <c r="AD734" s="401" t="str">
        <f t="shared" si="82"/>
        <v/>
      </c>
      <c r="AE734" s="401"/>
      <c r="AF734" s="401"/>
      <c r="AG734" s="401"/>
      <c r="AH734" s="402"/>
    </row>
    <row r="735" spans="1:34" s="1" customFormat="1" ht="15.75" customHeight="1">
      <c r="E735" s="514"/>
      <c r="F735" s="514"/>
      <c r="G735" s="514"/>
      <c r="H735" s="514"/>
      <c r="I735" s="514"/>
      <c r="J735" s="514"/>
      <c r="K735" s="514"/>
      <c r="L735" s="514"/>
      <c r="M735" s="514"/>
      <c r="N735" s="514"/>
      <c r="O735" s="514"/>
      <c r="P735" s="514"/>
      <c r="Q735" s="86"/>
      <c r="R735" s="86"/>
      <c r="S735" s="86"/>
      <c r="T735" s="86"/>
      <c r="U735" s="86"/>
      <c r="V735" s="86"/>
      <c r="W735" s="86"/>
      <c r="X735" s="86"/>
      <c r="Y735" s="86"/>
      <c r="Z735" s="86"/>
      <c r="AA735" s="512" t="s">
        <v>127</v>
      </c>
      <c r="AB735" s="86" t="s">
        <v>513</v>
      </c>
      <c r="AC735" s="118" t="s">
        <v>27</v>
      </c>
      <c r="AD735" s="363">
        <f>AD712</f>
        <v>3.1415926535897931</v>
      </c>
      <c r="AE735" s="363"/>
      <c r="AF735" s="363"/>
      <c r="AG735" s="515" t="s">
        <v>514</v>
      </c>
      <c r="AH735" s="118" t="s">
        <v>158</v>
      </c>
    </row>
    <row r="738" spans="1:35" s="1" customFormat="1" ht="15.75" hidden="1" customHeight="1">
      <c r="A738" s="73" t="str">
        <f>IF(液状化L1の有無="","","×")</f>
        <v>×</v>
      </c>
      <c r="E738" s="61" t="s">
        <v>559</v>
      </c>
      <c r="F738" s="85"/>
      <c r="G738" s="85"/>
      <c r="H738" s="85"/>
      <c r="I738" s="61"/>
      <c r="J738" s="61"/>
      <c r="K738" s="61"/>
      <c r="L738" s="61"/>
      <c r="M738" s="61"/>
      <c r="N738" s="61"/>
      <c r="O738" s="61"/>
      <c r="P738" s="61"/>
      <c r="Q738" s="61"/>
      <c r="R738" s="61"/>
      <c r="S738" s="61"/>
      <c r="T738" s="61"/>
      <c r="U738" s="61"/>
      <c r="V738" s="61"/>
      <c r="W738" s="61"/>
      <c r="X738" s="61"/>
      <c r="Y738" s="61"/>
      <c r="Z738" s="61"/>
      <c r="AA738" s="61"/>
      <c r="AB738" s="61"/>
      <c r="AC738" s="61"/>
      <c r="AD738" s="61"/>
      <c r="AE738" s="61"/>
      <c r="AF738" s="61"/>
      <c r="AG738" s="61"/>
      <c r="AH738" s="61"/>
      <c r="AI738" s="8"/>
    </row>
    <row r="739" spans="1:35" s="1" customFormat="1" ht="15.75" hidden="1" customHeight="1">
      <c r="A739" s="73" t="str">
        <f>IF(液状化L1の有無="","","×")</f>
        <v>×</v>
      </c>
      <c r="E739" s="347" t="s">
        <v>511</v>
      </c>
      <c r="F739" s="348"/>
      <c r="G739" s="348"/>
      <c r="H739" s="348"/>
      <c r="I739" s="348"/>
      <c r="J739" s="348"/>
      <c r="K739" s="348"/>
      <c r="L739" s="348"/>
      <c r="M739" s="348"/>
      <c r="N739" s="348"/>
      <c r="O739" s="348"/>
      <c r="P739" s="348"/>
      <c r="Q739" s="348"/>
      <c r="R739" s="348"/>
      <c r="S739" s="410"/>
      <c r="T739" s="350" t="s">
        <v>512</v>
      </c>
      <c r="U739" s="147"/>
      <c r="V739" s="147"/>
      <c r="W739" s="147"/>
      <c r="X739" s="147"/>
      <c r="Y739" s="147"/>
      <c r="Z739" s="147"/>
      <c r="AA739" s="147"/>
      <c r="AB739" s="147"/>
      <c r="AC739" s="147"/>
      <c r="AD739" s="147"/>
      <c r="AE739" s="147"/>
      <c r="AF739" s="147"/>
      <c r="AG739" s="147"/>
      <c r="AH739" s="214"/>
    </row>
    <row r="740" spans="1:35" s="1" customFormat="1" ht="15.75" hidden="1" customHeight="1">
      <c r="A740" s="73" t="str">
        <f>IF(液状化L1の有無="","","×")</f>
        <v>×</v>
      </c>
      <c r="E740" s="225" t="s">
        <v>78</v>
      </c>
      <c r="F740" s="226"/>
      <c r="G740" s="226"/>
      <c r="H740" s="226" t="s">
        <v>191</v>
      </c>
      <c r="I740" s="226"/>
      <c r="J740" s="226"/>
      <c r="K740" s="226"/>
      <c r="L740" s="229" t="s">
        <v>190</v>
      </c>
      <c r="M740" s="230"/>
      <c r="N740" s="230"/>
      <c r="O740" s="226" t="s">
        <v>510</v>
      </c>
      <c r="P740" s="226"/>
      <c r="Q740" s="226"/>
      <c r="R740" s="226"/>
      <c r="S740" s="326"/>
      <c r="T740" s="339" t="s">
        <v>78</v>
      </c>
      <c r="U740" s="226"/>
      <c r="V740" s="226"/>
      <c r="W740" s="226" t="s">
        <v>191</v>
      </c>
      <c r="X740" s="226"/>
      <c r="Y740" s="226"/>
      <c r="Z740" s="226"/>
      <c r="AA740" s="229" t="s">
        <v>190</v>
      </c>
      <c r="AB740" s="230"/>
      <c r="AC740" s="230"/>
      <c r="AD740" s="226" t="s">
        <v>510</v>
      </c>
      <c r="AE740" s="226"/>
      <c r="AF740" s="226"/>
      <c r="AG740" s="226"/>
      <c r="AH740" s="326"/>
    </row>
    <row r="741" spans="1:35" s="1" customFormat="1" ht="15.75" hidden="1" customHeight="1">
      <c r="A741" s="73" t="str">
        <f>IF(液状化L1の有無="","","×")</f>
        <v>×</v>
      </c>
      <c r="E741" s="227"/>
      <c r="F741" s="228"/>
      <c r="G741" s="228"/>
      <c r="H741" s="228"/>
      <c r="I741" s="228"/>
      <c r="J741" s="228"/>
      <c r="K741" s="228"/>
      <c r="L741" s="231"/>
      <c r="M741" s="231"/>
      <c r="N741" s="231"/>
      <c r="O741" s="228"/>
      <c r="P741" s="228"/>
      <c r="Q741" s="228"/>
      <c r="R741" s="228"/>
      <c r="S741" s="409"/>
      <c r="T741" s="351"/>
      <c r="U741" s="228"/>
      <c r="V741" s="228"/>
      <c r="W741" s="228"/>
      <c r="X741" s="228"/>
      <c r="Y741" s="228"/>
      <c r="Z741" s="228"/>
      <c r="AA741" s="231"/>
      <c r="AB741" s="231"/>
      <c r="AC741" s="231"/>
      <c r="AD741" s="228"/>
      <c r="AE741" s="228"/>
      <c r="AF741" s="228"/>
      <c r="AG741" s="228"/>
      <c r="AH741" s="409"/>
    </row>
    <row r="742" spans="1:35" s="1" customFormat="1" ht="15.75" hidden="1" customHeight="1">
      <c r="A742" s="73" t="str">
        <f>IF(液状化L1の有無="",IF(LEN(E742)+LEN(T742)=0,"×",""),"×")</f>
        <v>×</v>
      </c>
      <c r="E742" s="190">
        <v>3</v>
      </c>
      <c r="F742" s="163"/>
      <c r="G742" s="163"/>
      <c r="H742" s="411">
        <v>0</v>
      </c>
      <c r="I742" s="411"/>
      <c r="J742" s="411"/>
      <c r="K742" s="411"/>
      <c r="L742" s="164">
        <v>3</v>
      </c>
      <c r="M742" s="164"/>
      <c r="N742" s="164"/>
      <c r="O742" s="395">
        <f>IF(H742="","",H742*AD$758)</f>
        <v>0</v>
      </c>
      <c r="P742" s="395"/>
      <c r="Q742" s="395"/>
      <c r="R742" s="395"/>
      <c r="S742" s="412"/>
      <c r="T742" s="390">
        <v>3</v>
      </c>
      <c r="U742" s="163"/>
      <c r="V742" s="163"/>
      <c r="W742" s="411">
        <v>0</v>
      </c>
      <c r="X742" s="411"/>
      <c r="Y742" s="411"/>
      <c r="Z742" s="411"/>
      <c r="AA742" s="164">
        <v>3</v>
      </c>
      <c r="AB742" s="164"/>
      <c r="AC742" s="164"/>
      <c r="AD742" s="395">
        <f>IF(W742="","",W742*AD$758)</f>
        <v>0</v>
      </c>
      <c r="AE742" s="395"/>
      <c r="AF742" s="395"/>
      <c r="AG742" s="395"/>
      <c r="AH742" s="396"/>
    </row>
    <row r="743" spans="1:35" s="1" customFormat="1" ht="15.75" hidden="1" customHeight="1">
      <c r="A743" s="73" t="str">
        <f>IF(液状化L1の有無="",IF(LEN(E743)+LEN(T743)=0,"×",""),"×")</f>
        <v>×</v>
      </c>
      <c r="E743" s="166">
        <v>4</v>
      </c>
      <c r="F743" s="167"/>
      <c r="G743" s="167"/>
      <c r="H743" s="413">
        <v>0</v>
      </c>
      <c r="I743" s="413"/>
      <c r="J743" s="413"/>
      <c r="K743" s="413"/>
      <c r="L743" s="160">
        <v>1.0799999237060547</v>
      </c>
      <c r="M743" s="160"/>
      <c r="N743" s="160"/>
      <c r="O743" s="398">
        <f t="shared" ref="O743:O757" si="83">IF(H743="","",H743*AD$758)</f>
        <v>0</v>
      </c>
      <c r="P743" s="398"/>
      <c r="Q743" s="398"/>
      <c r="R743" s="398"/>
      <c r="S743" s="415"/>
      <c r="T743" s="389">
        <v>4</v>
      </c>
      <c r="U743" s="167"/>
      <c r="V743" s="167"/>
      <c r="W743" s="413">
        <v>0</v>
      </c>
      <c r="X743" s="413"/>
      <c r="Y743" s="413"/>
      <c r="Z743" s="413"/>
      <c r="AA743" s="160">
        <v>1.0799999237060547</v>
      </c>
      <c r="AB743" s="160"/>
      <c r="AC743" s="160"/>
      <c r="AD743" s="398">
        <f t="shared" ref="AD743:AD757" si="84">IF(W743="","",W743*AD$758)</f>
        <v>0</v>
      </c>
      <c r="AE743" s="398"/>
      <c r="AF743" s="398"/>
      <c r="AG743" s="398"/>
      <c r="AH743" s="399"/>
    </row>
    <row r="744" spans="1:35" s="1" customFormat="1" ht="15.75" hidden="1" customHeight="1">
      <c r="A744" s="73" t="str">
        <f>IF(液状化L1の有無="",IF(LEN(E744)+LEN(T744)=0,"×",""),"×")</f>
        <v>×</v>
      </c>
      <c r="E744" s="166">
        <v>4</v>
      </c>
      <c r="F744" s="167"/>
      <c r="G744" s="167"/>
      <c r="H744" s="413">
        <v>5724</v>
      </c>
      <c r="I744" s="413"/>
      <c r="J744" s="413"/>
      <c r="K744" s="413"/>
      <c r="L744" s="160">
        <v>3.9200000762939453</v>
      </c>
      <c r="M744" s="160"/>
      <c r="N744" s="160"/>
      <c r="O744" s="398">
        <f t="shared" si="83"/>
        <v>17982.476349147975</v>
      </c>
      <c r="P744" s="398"/>
      <c r="Q744" s="398"/>
      <c r="R744" s="398"/>
      <c r="S744" s="415"/>
      <c r="T744" s="389">
        <v>4</v>
      </c>
      <c r="U744" s="167"/>
      <c r="V744" s="167"/>
      <c r="W744" s="413">
        <v>5724</v>
      </c>
      <c r="X744" s="413"/>
      <c r="Y744" s="413"/>
      <c r="Z744" s="413"/>
      <c r="AA744" s="160">
        <v>3.9200000762939453</v>
      </c>
      <c r="AB744" s="160"/>
      <c r="AC744" s="160"/>
      <c r="AD744" s="398">
        <f t="shared" si="84"/>
        <v>17982.476349147975</v>
      </c>
      <c r="AE744" s="398"/>
      <c r="AF744" s="398"/>
      <c r="AG744" s="398"/>
      <c r="AH744" s="399"/>
    </row>
    <row r="745" spans="1:35" s="1" customFormat="1" ht="15.75" hidden="1" customHeight="1">
      <c r="A745" s="73" t="str">
        <f>IF(液状化L1の有無="",IF(LEN(E745)+LEN(T745)=0,"×",""),"×")</f>
        <v>×</v>
      </c>
      <c r="E745" s="166">
        <v>5</v>
      </c>
      <c r="F745" s="167"/>
      <c r="G745" s="167"/>
      <c r="H745" s="413">
        <v>6514</v>
      </c>
      <c r="I745" s="413"/>
      <c r="J745" s="413"/>
      <c r="K745" s="413"/>
      <c r="L745" s="160">
        <v>8</v>
      </c>
      <c r="M745" s="160"/>
      <c r="N745" s="160"/>
      <c r="O745" s="398">
        <f t="shared" si="83"/>
        <v>20464.334545483911</v>
      </c>
      <c r="P745" s="398"/>
      <c r="Q745" s="398"/>
      <c r="R745" s="398"/>
      <c r="S745" s="415"/>
      <c r="T745" s="389">
        <v>5</v>
      </c>
      <c r="U745" s="167"/>
      <c r="V745" s="167"/>
      <c r="W745" s="413">
        <v>6514</v>
      </c>
      <c r="X745" s="413"/>
      <c r="Y745" s="413"/>
      <c r="Z745" s="413"/>
      <c r="AA745" s="160">
        <v>8</v>
      </c>
      <c r="AB745" s="160"/>
      <c r="AC745" s="160"/>
      <c r="AD745" s="398">
        <f t="shared" si="84"/>
        <v>20464.334545483911</v>
      </c>
      <c r="AE745" s="398"/>
      <c r="AF745" s="398"/>
      <c r="AG745" s="398"/>
      <c r="AH745" s="399"/>
    </row>
    <row r="746" spans="1:35" s="1" customFormat="1" ht="15.75" hidden="1" customHeight="1">
      <c r="A746" s="73" t="str">
        <f>IF(液状化L1の有無="",IF(LEN(E746)+LEN(T746)=0,"×",""),"×")</f>
        <v>×</v>
      </c>
      <c r="E746" s="166">
        <v>6</v>
      </c>
      <c r="F746" s="167"/>
      <c r="G746" s="167"/>
      <c r="H746" s="413">
        <v>9288</v>
      </c>
      <c r="I746" s="413"/>
      <c r="J746" s="413"/>
      <c r="K746" s="413"/>
      <c r="L746" s="160">
        <v>4</v>
      </c>
      <c r="M746" s="160"/>
      <c r="N746" s="160"/>
      <c r="O746" s="398">
        <f t="shared" si="83"/>
        <v>29179.112566541997</v>
      </c>
      <c r="P746" s="398"/>
      <c r="Q746" s="398"/>
      <c r="R746" s="398"/>
      <c r="S746" s="415"/>
      <c r="T746" s="389">
        <v>6</v>
      </c>
      <c r="U746" s="167"/>
      <c r="V746" s="167"/>
      <c r="W746" s="413">
        <v>9288</v>
      </c>
      <c r="X746" s="413"/>
      <c r="Y746" s="413"/>
      <c r="Z746" s="413"/>
      <c r="AA746" s="160">
        <v>4.5</v>
      </c>
      <c r="AB746" s="160"/>
      <c r="AC746" s="160"/>
      <c r="AD746" s="398">
        <f t="shared" si="84"/>
        <v>29179.112566541997</v>
      </c>
      <c r="AE746" s="398"/>
      <c r="AF746" s="398"/>
      <c r="AG746" s="398"/>
      <c r="AH746" s="399"/>
    </row>
    <row r="747" spans="1:35" s="1" customFormat="1" ht="15.75" hidden="1" customHeight="1">
      <c r="A747" s="73" t="str">
        <f>IF(液状化L1の有無="",IF(LEN(E747)+LEN(T747)=0,"×",""),"×")</f>
        <v>×</v>
      </c>
      <c r="E747" s="166">
        <v>6</v>
      </c>
      <c r="F747" s="167"/>
      <c r="G747" s="167"/>
      <c r="H747" s="413">
        <v>0</v>
      </c>
      <c r="I747" s="413"/>
      <c r="J747" s="413"/>
      <c r="K747" s="413"/>
      <c r="L747" s="160">
        <v>0.5</v>
      </c>
      <c r="M747" s="160"/>
      <c r="N747" s="160"/>
      <c r="O747" s="398">
        <f t="shared" si="83"/>
        <v>0</v>
      </c>
      <c r="P747" s="398"/>
      <c r="Q747" s="398"/>
      <c r="R747" s="398"/>
      <c r="S747" s="415"/>
      <c r="T747" s="389">
        <v>7</v>
      </c>
      <c r="U747" s="167"/>
      <c r="V747" s="167"/>
      <c r="W747" s="413">
        <v>18352</v>
      </c>
      <c r="X747" s="413"/>
      <c r="Y747" s="413"/>
      <c r="Z747" s="413"/>
      <c r="AA747" s="160">
        <v>0.5</v>
      </c>
      <c r="AB747" s="160"/>
      <c r="AC747" s="160"/>
      <c r="AD747" s="398">
        <f t="shared" si="84"/>
        <v>57654.508378679886</v>
      </c>
      <c r="AE747" s="398"/>
      <c r="AF747" s="398"/>
      <c r="AG747" s="398"/>
      <c r="AH747" s="399"/>
    </row>
    <row r="748" spans="1:35" s="1" customFormat="1" ht="15.75" hidden="1" customHeight="1">
      <c r="A748" s="73" t="str">
        <f>IF(液状化L1の有無="",IF(LEN(E748)+LEN(T748)=0,"×",""),"×")</f>
        <v>×</v>
      </c>
      <c r="E748" s="166">
        <v>7</v>
      </c>
      <c r="F748" s="167"/>
      <c r="G748" s="167"/>
      <c r="H748" s="413">
        <v>0</v>
      </c>
      <c r="I748" s="413"/>
      <c r="J748" s="413"/>
      <c r="K748" s="413"/>
      <c r="L748" s="160">
        <v>0.5</v>
      </c>
      <c r="M748" s="160"/>
      <c r="N748" s="160"/>
      <c r="O748" s="398">
        <f t="shared" si="83"/>
        <v>0</v>
      </c>
      <c r="P748" s="398"/>
      <c r="Q748" s="398"/>
      <c r="R748" s="398"/>
      <c r="S748" s="415"/>
      <c r="T748" s="389"/>
      <c r="U748" s="167"/>
      <c r="V748" s="167"/>
      <c r="W748" s="413"/>
      <c r="X748" s="413"/>
      <c r="Y748" s="413"/>
      <c r="Z748" s="413"/>
      <c r="AA748" s="160"/>
      <c r="AB748" s="160"/>
      <c r="AC748" s="160"/>
      <c r="AD748" s="398" t="str">
        <f t="shared" si="84"/>
        <v/>
      </c>
      <c r="AE748" s="398"/>
      <c r="AF748" s="398"/>
      <c r="AG748" s="398"/>
      <c r="AH748" s="399"/>
    </row>
    <row r="749" spans="1:35" s="1" customFormat="1" ht="15.75" hidden="1" customHeight="1">
      <c r="A749" s="73" t="str">
        <f>IF(液状化L1の有無="",IF(LEN(E749)+LEN(T749)=0,"×",""),"×")</f>
        <v>×</v>
      </c>
      <c r="E749" s="166"/>
      <c r="F749" s="167"/>
      <c r="G749" s="167"/>
      <c r="H749" s="413"/>
      <c r="I749" s="413"/>
      <c r="J749" s="413"/>
      <c r="K749" s="413"/>
      <c r="L749" s="160"/>
      <c r="M749" s="160"/>
      <c r="N749" s="160"/>
      <c r="O749" s="398" t="str">
        <f t="shared" si="83"/>
        <v/>
      </c>
      <c r="P749" s="398"/>
      <c r="Q749" s="398"/>
      <c r="R749" s="398"/>
      <c r="S749" s="415"/>
      <c r="T749" s="389"/>
      <c r="U749" s="167"/>
      <c r="V749" s="167"/>
      <c r="W749" s="413"/>
      <c r="X749" s="413"/>
      <c r="Y749" s="413"/>
      <c r="Z749" s="413"/>
      <c r="AA749" s="160"/>
      <c r="AB749" s="160"/>
      <c r="AC749" s="160"/>
      <c r="AD749" s="398" t="str">
        <f t="shared" si="84"/>
        <v/>
      </c>
      <c r="AE749" s="398"/>
      <c r="AF749" s="398"/>
      <c r="AG749" s="398"/>
      <c r="AH749" s="399"/>
    </row>
    <row r="750" spans="1:35" s="1" customFormat="1" ht="15.75" hidden="1" customHeight="1">
      <c r="A750" s="73" t="str">
        <f>IF(液状化L1の有無="",IF(LEN(E750)+LEN(T750)=0,"×",""),"×")</f>
        <v>×</v>
      </c>
      <c r="E750" s="166"/>
      <c r="F750" s="167"/>
      <c r="G750" s="167"/>
      <c r="H750" s="413"/>
      <c r="I750" s="413"/>
      <c r="J750" s="413"/>
      <c r="K750" s="413"/>
      <c r="L750" s="160"/>
      <c r="M750" s="160"/>
      <c r="N750" s="160"/>
      <c r="O750" s="398" t="str">
        <f t="shared" si="83"/>
        <v/>
      </c>
      <c r="P750" s="398"/>
      <c r="Q750" s="398"/>
      <c r="R750" s="398"/>
      <c r="S750" s="415"/>
      <c r="T750" s="389"/>
      <c r="U750" s="167"/>
      <c r="V750" s="167"/>
      <c r="W750" s="413"/>
      <c r="X750" s="413"/>
      <c r="Y750" s="413"/>
      <c r="Z750" s="413"/>
      <c r="AA750" s="160"/>
      <c r="AB750" s="160"/>
      <c r="AC750" s="160"/>
      <c r="AD750" s="398" t="str">
        <f t="shared" si="84"/>
        <v/>
      </c>
      <c r="AE750" s="398"/>
      <c r="AF750" s="398"/>
      <c r="AG750" s="398"/>
      <c r="AH750" s="399"/>
    </row>
    <row r="751" spans="1:35" s="1" customFormat="1" ht="15.75" hidden="1" customHeight="1">
      <c r="A751" s="73" t="str">
        <f>IF(液状化L1の有無="",IF(LEN(E751)+LEN(T751)=0,"×",""),"×")</f>
        <v>×</v>
      </c>
      <c r="E751" s="166"/>
      <c r="F751" s="167"/>
      <c r="G751" s="167"/>
      <c r="H751" s="413"/>
      <c r="I751" s="413"/>
      <c r="J751" s="413"/>
      <c r="K751" s="413"/>
      <c r="L751" s="160"/>
      <c r="M751" s="160"/>
      <c r="N751" s="160"/>
      <c r="O751" s="398" t="str">
        <f t="shared" si="83"/>
        <v/>
      </c>
      <c r="P751" s="398"/>
      <c r="Q751" s="398"/>
      <c r="R751" s="398"/>
      <c r="S751" s="415"/>
      <c r="T751" s="389"/>
      <c r="U751" s="167"/>
      <c r="V751" s="167"/>
      <c r="W751" s="413"/>
      <c r="X751" s="413"/>
      <c r="Y751" s="413"/>
      <c r="Z751" s="413"/>
      <c r="AA751" s="160"/>
      <c r="AB751" s="160"/>
      <c r="AC751" s="160"/>
      <c r="AD751" s="398" t="str">
        <f t="shared" si="84"/>
        <v/>
      </c>
      <c r="AE751" s="398"/>
      <c r="AF751" s="398"/>
      <c r="AG751" s="398"/>
      <c r="AH751" s="399"/>
    </row>
    <row r="752" spans="1:35" s="1" customFormat="1" ht="15.75" hidden="1" customHeight="1">
      <c r="A752" s="73" t="str">
        <f>IF(液状化L1の有無="",IF(LEN(E752)+LEN(T752)=0,"×",""),"×")</f>
        <v>×</v>
      </c>
      <c r="E752" s="166"/>
      <c r="F752" s="167"/>
      <c r="G752" s="167"/>
      <c r="H752" s="413"/>
      <c r="I752" s="413"/>
      <c r="J752" s="413"/>
      <c r="K752" s="413"/>
      <c r="L752" s="160"/>
      <c r="M752" s="160"/>
      <c r="N752" s="160"/>
      <c r="O752" s="398" t="str">
        <f t="shared" si="83"/>
        <v/>
      </c>
      <c r="P752" s="398"/>
      <c r="Q752" s="398"/>
      <c r="R752" s="398"/>
      <c r="S752" s="415"/>
      <c r="T752" s="389"/>
      <c r="U752" s="167"/>
      <c r="V752" s="167"/>
      <c r="W752" s="413"/>
      <c r="X752" s="413"/>
      <c r="Y752" s="413"/>
      <c r="Z752" s="413"/>
      <c r="AA752" s="160"/>
      <c r="AB752" s="160"/>
      <c r="AC752" s="160"/>
      <c r="AD752" s="398" t="str">
        <f t="shared" si="84"/>
        <v/>
      </c>
      <c r="AE752" s="398"/>
      <c r="AF752" s="398"/>
      <c r="AG752" s="398"/>
      <c r="AH752" s="399"/>
    </row>
    <row r="753" spans="1:35" s="1" customFormat="1" ht="15.75" hidden="1" customHeight="1">
      <c r="A753" s="73" t="str">
        <f>IF(液状化L1の有無="",IF(LEN(E753)+LEN(T753)=0,"×",""),"×")</f>
        <v>×</v>
      </c>
      <c r="E753" s="166"/>
      <c r="F753" s="167"/>
      <c r="G753" s="167"/>
      <c r="H753" s="413"/>
      <c r="I753" s="413"/>
      <c r="J753" s="413"/>
      <c r="K753" s="413"/>
      <c r="L753" s="160"/>
      <c r="M753" s="160"/>
      <c r="N753" s="160"/>
      <c r="O753" s="398" t="str">
        <f t="shared" si="83"/>
        <v/>
      </c>
      <c r="P753" s="398"/>
      <c r="Q753" s="398"/>
      <c r="R753" s="398"/>
      <c r="S753" s="415"/>
      <c r="T753" s="389"/>
      <c r="U753" s="167"/>
      <c r="V753" s="167"/>
      <c r="W753" s="413"/>
      <c r="X753" s="413"/>
      <c r="Y753" s="413"/>
      <c r="Z753" s="413"/>
      <c r="AA753" s="160"/>
      <c r="AB753" s="160"/>
      <c r="AC753" s="160"/>
      <c r="AD753" s="398" t="str">
        <f t="shared" si="84"/>
        <v/>
      </c>
      <c r="AE753" s="398"/>
      <c r="AF753" s="398"/>
      <c r="AG753" s="398"/>
      <c r="AH753" s="399"/>
    </row>
    <row r="754" spans="1:35" s="1" customFormat="1" ht="15.75" hidden="1" customHeight="1">
      <c r="A754" s="73" t="str">
        <f>IF(液状化L1の有無="",IF(LEN(E754)+LEN(T754)=0,"×",""),"×")</f>
        <v>×</v>
      </c>
      <c r="E754" s="166"/>
      <c r="F754" s="167"/>
      <c r="G754" s="167"/>
      <c r="H754" s="413"/>
      <c r="I754" s="413"/>
      <c r="J754" s="413"/>
      <c r="K754" s="413"/>
      <c r="L754" s="160"/>
      <c r="M754" s="160"/>
      <c r="N754" s="160"/>
      <c r="O754" s="398" t="str">
        <f t="shared" si="83"/>
        <v/>
      </c>
      <c r="P754" s="398"/>
      <c r="Q754" s="398"/>
      <c r="R754" s="398"/>
      <c r="S754" s="415"/>
      <c r="T754" s="389"/>
      <c r="U754" s="167"/>
      <c r="V754" s="167"/>
      <c r="W754" s="413"/>
      <c r="X754" s="413"/>
      <c r="Y754" s="413"/>
      <c r="Z754" s="413"/>
      <c r="AA754" s="160"/>
      <c r="AB754" s="160"/>
      <c r="AC754" s="160"/>
      <c r="AD754" s="398" t="str">
        <f t="shared" si="84"/>
        <v/>
      </c>
      <c r="AE754" s="398"/>
      <c r="AF754" s="398"/>
      <c r="AG754" s="398"/>
      <c r="AH754" s="399"/>
    </row>
    <row r="755" spans="1:35" s="1" customFormat="1" ht="15.75" hidden="1" customHeight="1">
      <c r="A755" s="73" t="str">
        <f>IF(液状化L1の有無="",IF(LEN(E755)+LEN(T755)=0,"×",""),"×")</f>
        <v>×</v>
      </c>
      <c r="E755" s="166"/>
      <c r="F755" s="167"/>
      <c r="G755" s="167"/>
      <c r="H755" s="413"/>
      <c r="I755" s="413"/>
      <c r="J755" s="413"/>
      <c r="K755" s="413"/>
      <c r="L755" s="160"/>
      <c r="M755" s="160"/>
      <c r="N755" s="160"/>
      <c r="O755" s="398" t="str">
        <f t="shared" si="83"/>
        <v/>
      </c>
      <c r="P755" s="398"/>
      <c r="Q755" s="398"/>
      <c r="R755" s="398"/>
      <c r="S755" s="415"/>
      <c r="T755" s="389"/>
      <c r="U755" s="167"/>
      <c r="V755" s="167"/>
      <c r="W755" s="413"/>
      <c r="X755" s="413"/>
      <c r="Y755" s="413"/>
      <c r="Z755" s="413"/>
      <c r="AA755" s="160"/>
      <c r="AB755" s="160"/>
      <c r="AC755" s="160"/>
      <c r="AD755" s="398" t="str">
        <f t="shared" si="84"/>
        <v/>
      </c>
      <c r="AE755" s="398"/>
      <c r="AF755" s="398"/>
      <c r="AG755" s="398"/>
      <c r="AH755" s="399"/>
    </row>
    <row r="756" spans="1:35" s="1" customFormat="1" ht="15.75" hidden="1" customHeight="1">
      <c r="A756" s="73" t="str">
        <f>IF(液状化L1の有無="",IF(LEN(E756)+LEN(T756)=0,"×",""),"×")</f>
        <v>×</v>
      </c>
      <c r="E756" s="166"/>
      <c r="F756" s="167"/>
      <c r="G756" s="167"/>
      <c r="H756" s="413"/>
      <c r="I756" s="413"/>
      <c r="J756" s="413"/>
      <c r="K756" s="413"/>
      <c r="L756" s="160"/>
      <c r="M756" s="160"/>
      <c r="N756" s="160"/>
      <c r="O756" s="398" t="str">
        <f t="shared" si="83"/>
        <v/>
      </c>
      <c r="P756" s="398"/>
      <c r="Q756" s="398"/>
      <c r="R756" s="398"/>
      <c r="S756" s="415"/>
      <c r="T756" s="389"/>
      <c r="U756" s="167"/>
      <c r="V756" s="167"/>
      <c r="W756" s="413"/>
      <c r="X756" s="413"/>
      <c r="Y756" s="413"/>
      <c r="Z756" s="413"/>
      <c r="AA756" s="160"/>
      <c r="AB756" s="160"/>
      <c r="AC756" s="160"/>
      <c r="AD756" s="398" t="str">
        <f t="shared" si="84"/>
        <v/>
      </c>
      <c r="AE756" s="398"/>
      <c r="AF756" s="398"/>
      <c r="AG756" s="398"/>
      <c r="AH756" s="399"/>
    </row>
    <row r="757" spans="1:35" s="1" customFormat="1" ht="15.75" hidden="1" customHeight="1">
      <c r="A757" s="73" t="str">
        <f>IF(液状化L1の有無="",IF(LEN(E757)+LEN(T757)=0,"×",""),"×")</f>
        <v>×</v>
      </c>
      <c r="E757" s="174"/>
      <c r="F757" s="175"/>
      <c r="G757" s="175"/>
      <c r="H757" s="414"/>
      <c r="I757" s="414"/>
      <c r="J757" s="414"/>
      <c r="K757" s="414"/>
      <c r="L757" s="155"/>
      <c r="M757" s="155"/>
      <c r="N757" s="155"/>
      <c r="O757" s="401" t="str">
        <f t="shared" si="83"/>
        <v/>
      </c>
      <c r="P757" s="401"/>
      <c r="Q757" s="401"/>
      <c r="R757" s="401"/>
      <c r="S757" s="416"/>
      <c r="T757" s="391"/>
      <c r="U757" s="175"/>
      <c r="V757" s="175"/>
      <c r="W757" s="414"/>
      <c r="X757" s="414"/>
      <c r="Y757" s="414"/>
      <c r="Z757" s="414"/>
      <c r="AA757" s="155"/>
      <c r="AB757" s="155"/>
      <c r="AC757" s="155"/>
      <c r="AD757" s="401" t="str">
        <f t="shared" si="84"/>
        <v/>
      </c>
      <c r="AE757" s="401"/>
      <c r="AF757" s="401"/>
      <c r="AG757" s="401"/>
      <c r="AH757" s="402"/>
    </row>
    <row r="758" spans="1:35" s="1" customFormat="1" ht="15.75" hidden="1" customHeight="1">
      <c r="A758" s="73" t="str">
        <f>IF(液状化L1の有無="","","×")</f>
        <v>×</v>
      </c>
      <c r="E758" s="8"/>
      <c r="F758" s="8"/>
      <c r="G758" s="8"/>
      <c r="H758" s="8"/>
      <c r="I758" s="8"/>
      <c r="J758" s="8"/>
      <c r="K758" s="8"/>
      <c r="L758" s="8"/>
      <c r="M758" s="8"/>
      <c r="N758" s="8"/>
      <c r="O758" s="8"/>
      <c r="P758" s="8"/>
      <c r="AA758" s="2" t="s">
        <v>127</v>
      </c>
      <c r="AB758" s="1" t="s">
        <v>513</v>
      </c>
      <c r="AC758" s="76" t="s">
        <v>27</v>
      </c>
      <c r="AD758" s="212">
        <f>AD735</f>
        <v>3.1415926535897931</v>
      </c>
      <c r="AE758" s="212"/>
      <c r="AF758" s="212"/>
      <c r="AG758" s="7" t="s">
        <v>514</v>
      </c>
      <c r="AH758" s="76" t="s">
        <v>158</v>
      </c>
    </row>
    <row r="759" spans="1:35" ht="15.75" hidden="1" customHeight="1">
      <c r="A759" s="73" t="str">
        <f>IF(液状化L1の有無="","","×")</f>
        <v>×</v>
      </c>
    </row>
    <row r="761" spans="1:35" s="1" customFormat="1" ht="15.75" hidden="1" customHeight="1">
      <c r="A761" s="73" t="str">
        <f>IF(液状化L2の有無="","","×")</f>
        <v>×</v>
      </c>
      <c r="E761" s="61" t="s">
        <v>560</v>
      </c>
      <c r="F761" s="85"/>
      <c r="G761" s="85"/>
      <c r="H761" s="85"/>
      <c r="I761" s="61"/>
      <c r="J761" s="61"/>
      <c r="K761" s="61"/>
      <c r="L761" s="61"/>
      <c r="M761" s="61"/>
      <c r="N761" s="61"/>
      <c r="O761" s="61"/>
      <c r="P761" s="61"/>
      <c r="Q761" s="61"/>
      <c r="R761" s="61"/>
      <c r="S761" s="61"/>
      <c r="T761" s="61"/>
      <c r="U761" s="61"/>
      <c r="V761" s="61"/>
      <c r="W761" s="61"/>
      <c r="X761" s="61"/>
      <c r="Y761" s="61"/>
      <c r="Z761" s="61"/>
      <c r="AA761" s="61"/>
      <c r="AB761" s="61"/>
      <c r="AC761" s="61"/>
      <c r="AD761" s="61"/>
      <c r="AE761" s="61"/>
      <c r="AF761" s="61"/>
      <c r="AG761" s="61"/>
      <c r="AH761" s="61"/>
      <c r="AI761" s="8"/>
    </row>
    <row r="762" spans="1:35" s="1" customFormat="1" ht="15.75" hidden="1" customHeight="1">
      <c r="A762" s="73" t="str">
        <f>IF(液状化L2の有無="","","×")</f>
        <v>×</v>
      </c>
      <c r="E762" s="347" t="s">
        <v>511</v>
      </c>
      <c r="F762" s="348"/>
      <c r="G762" s="348"/>
      <c r="H762" s="348"/>
      <c r="I762" s="348"/>
      <c r="J762" s="348"/>
      <c r="K762" s="348"/>
      <c r="L762" s="348"/>
      <c r="M762" s="348"/>
      <c r="N762" s="348"/>
      <c r="O762" s="348"/>
      <c r="P762" s="348"/>
      <c r="Q762" s="348"/>
      <c r="R762" s="348"/>
      <c r="S762" s="410"/>
      <c r="T762" s="350" t="s">
        <v>512</v>
      </c>
      <c r="U762" s="147"/>
      <c r="V762" s="147"/>
      <c r="W762" s="147"/>
      <c r="X762" s="147"/>
      <c r="Y762" s="147"/>
      <c r="Z762" s="147"/>
      <c r="AA762" s="147"/>
      <c r="AB762" s="147"/>
      <c r="AC762" s="147"/>
      <c r="AD762" s="147"/>
      <c r="AE762" s="147"/>
      <c r="AF762" s="147"/>
      <c r="AG762" s="147"/>
      <c r="AH762" s="214"/>
    </row>
    <row r="763" spans="1:35" s="1" customFormat="1" ht="15.75" hidden="1" customHeight="1">
      <c r="A763" s="73" t="str">
        <f>IF(液状化L2の有無="","","×")</f>
        <v>×</v>
      </c>
      <c r="E763" s="225" t="s">
        <v>78</v>
      </c>
      <c r="F763" s="226"/>
      <c r="G763" s="226"/>
      <c r="H763" s="226" t="s">
        <v>191</v>
      </c>
      <c r="I763" s="226"/>
      <c r="J763" s="226"/>
      <c r="K763" s="226"/>
      <c r="L763" s="229" t="s">
        <v>190</v>
      </c>
      <c r="M763" s="230"/>
      <c r="N763" s="230"/>
      <c r="O763" s="226" t="s">
        <v>510</v>
      </c>
      <c r="P763" s="226"/>
      <c r="Q763" s="226"/>
      <c r="R763" s="226"/>
      <c r="S763" s="326"/>
      <c r="T763" s="339" t="s">
        <v>78</v>
      </c>
      <c r="U763" s="226"/>
      <c r="V763" s="226"/>
      <c r="W763" s="226" t="s">
        <v>191</v>
      </c>
      <c r="X763" s="226"/>
      <c r="Y763" s="226"/>
      <c r="Z763" s="226"/>
      <c r="AA763" s="229" t="s">
        <v>190</v>
      </c>
      <c r="AB763" s="230"/>
      <c r="AC763" s="230"/>
      <c r="AD763" s="226" t="s">
        <v>510</v>
      </c>
      <c r="AE763" s="226"/>
      <c r="AF763" s="226"/>
      <c r="AG763" s="226"/>
      <c r="AH763" s="326"/>
    </row>
    <row r="764" spans="1:35" s="1" customFormat="1" ht="15.75" hidden="1" customHeight="1">
      <c r="A764" s="73" t="str">
        <f>IF(液状化L2の有無="","","×")</f>
        <v>×</v>
      </c>
      <c r="E764" s="227"/>
      <c r="F764" s="228"/>
      <c r="G764" s="228"/>
      <c r="H764" s="228"/>
      <c r="I764" s="228"/>
      <c r="J764" s="228"/>
      <c r="K764" s="228"/>
      <c r="L764" s="231"/>
      <c r="M764" s="231"/>
      <c r="N764" s="231"/>
      <c r="O764" s="228"/>
      <c r="P764" s="228"/>
      <c r="Q764" s="228"/>
      <c r="R764" s="228"/>
      <c r="S764" s="409"/>
      <c r="T764" s="351"/>
      <c r="U764" s="228"/>
      <c r="V764" s="228"/>
      <c r="W764" s="228"/>
      <c r="X764" s="228"/>
      <c r="Y764" s="228"/>
      <c r="Z764" s="228"/>
      <c r="AA764" s="231"/>
      <c r="AB764" s="231"/>
      <c r="AC764" s="231"/>
      <c r="AD764" s="228"/>
      <c r="AE764" s="228"/>
      <c r="AF764" s="228"/>
      <c r="AG764" s="228"/>
      <c r="AH764" s="409"/>
    </row>
    <row r="765" spans="1:35" s="1" customFormat="1" ht="15.75" hidden="1" customHeight="1">
      <c r="A765" s="73" t="str">
        <f>IF(液状化L2の有無="",IF(LEN(E765)+LEN(T765)=0,"×",""),"×")</f>
        <v>×</v>
      </c>
      <c r="E765" s="190">
        <v>3</v>
      </c>
      <c r="F765" s="163"/>
      <c r="G765" s="163"/>
      <c r="H765" s="411">
        <v>0</v>
      </c>
      <c r="I765" s="411"/>
      <c r="J765" s="411"/>
      <c r="K765" s="411"/>
      <c r="L765" s="164">
        <v>3</v>
      </c>
      <c r="M765" s="164"/>
      <c r="N765" s="164"/>
      <c r="O765" s="395">
        <f>IF(H765="","",H765*AD$781)</f>
        <v>0</v>
      </c>
      <c r="P765" s="395"/>
      <c r="Q765" s="395"/>
      <c r="R765" s="395"/>
      <c r="S765" s="412"/>
      <c r="T765" s="390">
        <v>3</v>
      </c>
      <c r="U765" s="163"/>
      <c r="V765" s="163"/>
      <c r="W765" s="411">
        <v>0</v>
      </c>
      <c r="X765" s="411"/>
      <c r="Y765" s="411"/>
      <c r="Z765" s="411"/>
      <c r="AA765" s="164">
        <v>3</v>
      </c>
      <c r="AB765" s="164"/>
      <c r="AC765" s="164"/>
      <c r="AD765" s="395">
        <f>IF(W765="","",W765*AD$781)</f>
        <v>0</v>
      </c>
      <c r="AE765" s="395"/>
      <c r="AF765" s="395"/>
      <c r="AG765" s="395"/>
      <c r="AH765" s="396"/>
    </row>
    <row r="766" spans="1:35" s="1" customFormat="1" ht="15.75" hidden="1" customHeight="1">
      <c r="A766" s="73" t="str">
        <f>IF(液状化L2の有無="",IF(LEN(E766)+LEN(T766)=0,"×",""),"×")</f>
        <v>×</v>
      </c>
      <c r="E766" s="166">
        <v>4</v>
      </c>
      <c r="F766" s="167"/>
      <c r="G766" s="167"/>
      <c r="H766" s="413">
        <v>0</v>
      </c>
      <c r="I766" s="413"/>
      <c r="J766" s="413"/>
      <c r="K766" s="413"/>
      <c r="L766" s="160">
        <v>1.0799999237060547</v>
      </c>
      <c r="M766" s="160"/>
      <c r="N766" s="160"/>
      <c r="O766" s="398">
        <f t="shared" ref="O766:O780" si="85">IF(H766="","",H766*AD$781)</f>
        <v>0</v>
      </c>
      <c r="P766" s="398"/>
      <c r="Q766" s="398"/>
      <c r="R766" s="398"/>
      <c r="S766" s="415"/>
      <c r="T766" s="389">
        <v>4</v>
      </c>
      <c r="U766" s="167"/>
      <c r="V766" s="167"/>
      <c r="W766" s="413">
        <v>0</v>
      </c>
      <c r="X766" s="413"/>
      <c r="Y766" s="413"/>
      <c r="Z766" s="413"/>
      <c r="AA766" s="160">
        <v>1.0799999237060547</v>
      </c>
      <c r="AB766" s="160"/>
      <c r="AC766" s="160"/>
      <c r="AD766" s="398">
        <f t="shared" ref="AD766:AD780" si="86">IF(W766="","",W766*AD$781)</f>
        <v>0</v>
      </c>
      <c r="AE766" s="398"/>
      <c r="AF766" s="398"/>
      <c r="AG766" s="398"/>
      <c r="AH766" s="399"/>
    </row>
    <row r="767" spans="1:35" s="1" customFormat="1" ht="15.75" hidden="1" customHeight="1">
      <c r="A767" s="73" t="str">
        <f>IF(液状化L2の有無="",IF(LEN(E767)+LEN(T767)=0,"×",""),"×")</f>
        <v>×</v>
      </c>
      <c r="E767" s="166">
        <v>4</v>
      </c>
      <c r="F767" s="167"/>
      <c r="G767" s="167"/>
      <c r="H767" s="413">
        <v>5724</v>
      </c>
      <c r="I767" s="413"/>
      <c r="J767" s="413"/>
      <c r="K767" s="413"/>
      <c r="L767" s="160">
        <v>3.9200000762939453</v>
      </c>
      <c r="M767" s="160"/>
      <c r="N767" s="160"/>
      <c r="O767" s="398">
        <f t="shared" si="85"/>
        <v>17982.476349147975</v>
      </c>
      <c r="P767" s="398"/>
      <c r="Q767" s="398"/>
      <c r="R767" s="398"/>
      <c r="S767" s="415"/>
      <c r="T767" s="389">
        <v>4</v>
      </c>
      <c r="U767" s="167"/>
      <c r="V767" s="167"/>
      <c r="W767" s="413">
        <v>5724</v>
      </c>
      <c r="X767" s="413"/>
      <c r="Y767" s="413"/>
      <c r="Z767" s="413"/>
      <c r="AA767" s="160">
        <v>3.9200000762939453</v>
      </c>
      <c r="AB767" s="160"/>
      <c r="AC767" s="160"/>
      <c r="AD767" s="398">
        <f t="shared" si="86"/>
        <v>17982.476349147975</v>
      </c>
      <c r="AE767" s="398"/>
      <c r="AF767" s="398"/>
      <c r="AG767" s="398"/>
      <c r="AH767" s="399"/>
    </row>
    <row r="768" spans="1:35" s="1" customFormat="1" ht="15.75" hidden="1" customHeight="1">
      <c r="A768" s="73" t="str">
        <f>IF(液状化L2の有無="",IF(LEN(E768)+LEN(T768)=0,"×",""),"×")</f>
        <v>×</v>
      </c>
      <c r="E768" s="166">
        <v>5</v>
      </c>
      <c r="F768" s="167"/>
      <c r="G768" s="167"/>
      <c r="H768" s="413">
        <v>6514</v>
      </c>
      <c r="I768" s="413"/>
      <c r="J768" s="413"/>
      <c r="K768" s="413"/>
      <c r="L768" s="160">
        <v>8</v>
      </c>
      <c r="M768" s="160"/>
      <c r="N768" s="160"/>
      <c r="O768" s="398">
        <f t="shared" si="85"/>
        <v>20464.334545483911</v>
      </c>
      <c r="P768" s="398"/>
      <c r="Q768" s="398"/>
      <c r="R768" s="398"/>
      <c r="S768" s="415"/>
      <c r="T768" s="389">
        <v>5</v>
      </c>
      <c r="U768" s="167"/>
      <c r="V768" s="167"/>
      <c r="W768" s="413">
        <v>6514</v>
      </c>
      <c r="X768" s="413"/>
      <c r="Y768" s="413"/>
      <c r="Z768" s="413"/>
      <c r="AA768" s="160">
        <v>8</v>
      </c>
      <c r="AB768" s="160"/>
      <c r="AC768" s="160"/>
      <c r="AD768" s="398">
        <f t="shared" si="86"/>
        <v>20464.334545483911</v>
      </c>
      <c r="AE768" s="398"/>
      <c r="AF768" s="398"/>
      <c r="AG768" s="398"/>
      <c r="AH768" s="399"/>
    </row>
    <row r="769" spans="1:34" s="1" customFormat="1" ht="15.75" hidden="1" customHeight="1">
      <c r="A769" s="73" t="str">
        <f>IF(液状化L2の有無="",IF(LEN(E769)+LEN(T769)=0,"×",""),"×")</f>
        <v>×</v>
      </c>
      <c r="E769" s="166">
        <v>6</v>
      </c>
      <c r="F769" s="167"/>
      <c r="G769" s="167"/>
      <c r="H769" s="413">
        <v>9288</v>
      </c>
      <c r="I769" s="413"/>
      <c r="J769" s="413"/>
      <c r="K769" s="413"/>
      <c r="L769" s="160">
        <v>4</v>
      </c>
      <c r="M769" s="160"/>
      <c r="N769" s="160"/>
      <c r="O769" s="398">
        <f t="shared" si="85"/>
        <v>29179.112566541997</v>
      </c>
      <c r="P769" s="398"/>
      <c r="Q769" s="398"/>
      <c r="R769" s="398"/>
      <c r="S769" s="415"/>
      <c r="T769" s="389">
        <v>6</v>
      </c>
      <c r="U769" s="167"/>
      <c r="V769" s="167"/>
      <c r="W769" s="413">
        <v>9288</v>
      </c>
      <c r="X769" s="413"/>
      <c r="Y769" s="413"/>
      <c r="Z769" s="413"/>
      <c r="AA769" s="160">
        <v>4.5</v>
      </c>
      <c r="AB769" s="160"/>
      <c r="AC769" s="160"/>
      <c r="AD769" s="398">
        <f>IF(W769="","",W769*AD$781)</f>
        <v>29179.112566541997</v>
      </c>
      <c r="AE769" s="398"/>
      <c r="AF769" s="398"/>
      <c r="AG769" s="398"/>
      <c r="AH769" s="399"/>
    </row>
    <row r="770" spans="1:34" s="1" customFormat="1" ht="15.75" hidden="1" customHeight="1">
      <c r="A770" s="73" t="str">
        <f>IF(液状化L2の有無="",IF(LEN(E770)+LEN(T770)=0,"×",""),"×")</f>
        <v>×</v>
      </c>
      <c r="E770" s="166">
        <v>6</v>
      </c>
      <c r="F770" s="167"/>
      <c r="G770" s="167"/>
      <c r="H770" s="413">
        <v>0</v>
      </c>
      <c r="I770" s="413"/>
      <c r="J770" s="413"/>
      <c r="K770" s="413"/>
      <c r="L770" s="160">
        <v>0.5</v>
      </c>
      <c r="M770" s="160"/>
      <c r="N770" s="160"/>
      <c r="O770" s="398">
        <f t="shared" si="85"/>
        <v>0</v>
      </c>
      <c r="P770" s="398"/>
      <c r="Q770" s="398"/>
      <c r="R770" s="398"/>
      <c r="S770" s="415"/>
      <c r="T770" s="389">
        <v>7</v>
      </c>
      <c r="U770" s="167"/>
      <c r="V770" s="167"/>
      <c r="W770" s="413">
        <v>18352</v>
      </c>
      <c r="X770" s="413"/>
      <c r="Y770" s="413"/>
      <c r="Z770" s="413"/>
      <c r="AA770" s="160">
        <v>0.5</v>
      </c>
      <c r="AB770" s="160"/>
      <c r="AC770" s="160"/>
      <c r="AD770" s="398">
        <f t="shared" si="86"/>
        <v>57654.508378679886</v>
      </c>
      <c r="AE770" s="398"/>
      <c r="AF770" s="398"/>
      <c r="AG770" s="398"/>
      <c r="AH770" s="399"/>
    </row>
    <row r="771" spans="1:34" s="1" customFormat="1" ht="15.75" hidden="1" customHeight="1">
      <c r="A771" s="73" t="str">
        <f>IF(液状化L2の有無="",IF(LEN(E771)+LEN(T771)=0,"×",""),"×")</f>
        <v>×</v>
      </c>
      <c r="E771" s="166">
        <v>7</v>
      </c>
      <c r="F771" s="167"/>
      <c r="G771" s="167"/>
      <c r="H771" s="413">
        <v>0</v>
      </c>
      <c r="I771" s="413"/>
      <c r="J771" s="413"/>
      <c r="K771" s="413"/>
      <c r="L771" s="160">
        <v>0.5</v>
      </c>
      <c r="M771" s="160"/>
      <c r="N771" s="160"/>
      <c r="O771" s="398">
        <f t="shared" si="85"/>
        <v>0</v>
      </c>
      <c r="P771" s="398"/>
      <c r="Q771" s="398"/>
      <c r="R771" s="398"/>
      <c r="S771" s="415"/>
      <c r="T771" s="389"/>
      <c r="U771" s="167"/>
      <c r="V771" s="167"/>
      <c r="W771" s="413"/>
      <c r="X771" s="413"/>
      <c r="Y771" s="413"/>
      <c r="Z771" s="413"/>
      <c r="AA771" s="160"/>
      <c r="AB771" s="160"/>
      <c r="AC771" s="160"/>
      <c r="AD771" s="398" t="str">
        <f t="shared" si="86"/>
        <v/>
      </c>
      <c r="AE771" s="398"/>
      <c r="AF771" s="398"/>
      <c r="AG771" s="398"/>
      <c r="AH771" s="399"/>
    </row>
    <row r="772" spans="1:34" s="1" customFormat="1" ht="15.75" hidden="1" customHeight="1">
      <c r="A772" s="73" t="str">
        <f>IF(液状化L2の有無="",IF(LEN(E772)+LEN(T772)=0,"×",""),"×")</f>
        <v>×</v>
      </c>
      <c r="E772" s="166"/>
      <c r="F772" s="167"/>
      <c r="G772" s="167"/>
      <c r="H772" s="413"/>
      <c r="I772" s="413"/>
      <c r="J772" s="413"/>
      <c r="K772" s="413"/>
      <c r="L772" s="160"/>
      <c r="M772" s="160"/>
      <c r="N772" s="160"/>
      <c r="O772" s="398" t="str">
        <f t="shared" si="85"/>
        <v/>
      </c>
      <c r="P772" s="398"/>
      <c r="Q772" s="398"/>
      <c r="R772" s="398"/>
      <c r="S772" s="415"/>
      <c r="T772" s="389"/>
      <c r="U772" s="167"/>
      <c r="V772" s="167"/>
      <c r="W772" s="413"/>
      <c r="X772" s="413"/>
      <c r="Y772" s="413"/>
      <c r="Z772" s="413"/>
      <c r="AA772" s="160"/>
      <c r="AB772" s="160"/>
      <c r="AC772" s="160"/>
      <c r="AD772" s="398" t="str">
        <f t="shared" si="86"/>
        <v/>
      </c>
      <c r="AE772" s="398"/>
      <c r="AF772" s="398"/>
      <c r="AG772" s="398"/>
      <c r="AH772" s="399"/>
    </row>
    <row r="773" spans="1:34" s="1" customFormat="1" ht="15.75" hidden="1" customHeight="1">
      <c r="A773" s="73" t="str">
        <f>IF(液状化L2の有無="",IF(LEN(E773)+LEN(T773)=0,"×",""),"×")</f>
        <v>×</v>
      </c>
      <c r="E773" s="166"/>
      <c r="F773" s="167"/>
      <c r="G773" s="167"/>
      <c r="H773" s="413"/>
      <c r="I773" s="413"/>
      <c r="J773" s="413"/>
      <c r="K773" s="413"/>
      <c r="L773" s="160"/>
      <c r="M773" s="160"/>
      <c r="N773" s="160"/>
      <c r="O773" s="398" t="str">
        <f t="shared" si="85"/>
        <v/>
      </c>
      <c r="P773" s="398"/>
      <c r="Q773" s="398"/>
      <c r="R773" s="398"/>
      <c r="S773" s="415"/>
      <c r="T773" s="389"/>
      <c r="U773" s="167"/>
      <c r="V773" s="167"/>
      <c r="W773" s="413"/>
      <c r="X773" s="413"/>
      <c r="Y773" s="413"/>
      <c r="Z773" s="413"/>
      <c r="AA773" s="160"/>
      <c r="AB773" s="160"/>
      <c r="AC773" s="160"/>
      <c r="AD773" s="398" t="str">
        <f t="shared" si="86"/>
        <v/>
      </c>
      <c r="AE773" s="398"/>
      <c r="AF773" s="398"/>
      <c r="AG773" s="398"/>
      <c r="AH773" s="399"/>
    </row>
    <row r="774" spans="1:34" s="1" customFormat="1" ht="15.75" hidden="1" customHeight="1">
      <c r="A774" s="73" t="str">
        <f>IF(液状化L2の有無="",IF(LEN(E774)+LEN(T774)=0,"×",""),"×")</f>
        <v>×</v>
      </c>
      <c r="E774" s="166"/>
      <c r="F774" s="167"/>
      <c r="G774" s="167"/>
      <c r="H774" s="413"/>
      <c r="I774" s="413"/>
      <c r="J774" s="413"/>
      <c r="K774" s="413"/>
      <c r="L774" s="160"/>
      <c r="M774" s="160"/>
      <c r="N774" s="160"/>
      <c r="O774" s="398" t="str">
        <f t="shared" si="85"/>
        <v/>
      </c>
      <c r="P774" s="398"/>
      <c r="Q774" s="398"/>
      <c r="R774" s="398"/>
      <c r="S774" s="415"/>
      <c r="T774" s="389"/>
      <c r="U774" s="167"/>
      <c r="V774" s="167"/>
      <c r="W774" s="413"/>
      <c r="X774" s="413"/>
      <c r="Y774" s="413"/>
      <c r="Z774" s="413"/>
      <c r="AA774" s="160"/>
      <c r="AB774" s="160"/>
      <c r="AC774" s="160"/>
      <c r="AD774" s="398" t="str">
        <f t="shared" si="86"/>
        <v/>
      </c>
      <c r="AE774" s="398"/>
      <c r="AF774" s="398"/>
      <c r="AG774" s="398"/>
      <c r="AH774" s="399"/>
    </row>
    <row r="775" spans="1:34" s="1" customFormat="1" ht="15.75" hidden="1" customHeight="1">
      <c r="A775" s="73" t="str">
        <f>IF(液状化L2の有無="",IF(LEN(E775)+LEN(T775)=0,"×",""),"×")</f>
        <v>×</v>
      </c>
      <c r="E775" s="166"/>
      <c r="F775" s="167"/>
      <c r="G775" s="167"/>
      <c r="H775" s="413"/>
      <c r="I775" s="413"/>
      <c r="J775" s="413"/>
      <c r="K775" s="413"/>
      <c r="L775" s="160"/>
      <c r="M775" s="160"/>
      <c r="N775" s="160"/>
      <c r="O775" s="398" t="str">
        <f t="shared" si="85"/>
        <v/>
      </c>
      <c r="P775" s="398"/>
      <c r="Q775" s="398"/>
      <c r="R775" s="398"/>
      <c r="S775" s="415"/>
      <c r="T775" s="389"/>
      <c r="U775" s="167"/>
      <c r="V775" s="167"/>
      <c r="W775" s="413"/>
      <c r="X775" s="413"/>
      <c r="Y775" s="413"/>
      <c r="Z775" s="413"/>
      <c r="AA775" s="160"/>
      <c r="AB775" s="160"/>
      <c r="AC775" s="160"/>
      <c r="AD775" s="398" t="str">
        <f t="shared" si="86"/>
        <v/>
      </c>
      <c r="AE775" s="398"/>
      <c r="AF775" s="398"/>
      <c r="AG775" s="398"/>
      <c r="AH775" s="399"/>
    </row>
    <row r="776" spans="1:34" s="1" customFormat="1" ht="15.75" hidden="1" customHeight="1">
      <c r="A776" s="73" t="str">
        <f>IF(液状化L2の有無="",IF(LEN(E776)+LEN(T776)=0,"×",""),"×")</f>
        <v>×</v>
      </c>
      <c r="E776" s="166"/>
      <c r="F776" s="167"/>
      <c r="G776" s="167"/>
      <c r="H776" s="413"/>
      <c r="I776" s="413"/>
      <c r="J776" s="413"/>
      <c r="K776" s="413"/>
      <c r="L776" s="160"/>
      <c r="M776" s="160"/>
      <c r="N776" s="160"/>
      <c r="O776" s="398" t="str">
        <f t="shared" si="85"/>
        <v/>
      </c>
      <c r="P776" s="398"/>
      <c r="Q776" s="398"/>
      <c r="R776" s="398"/>
      <c r="S776" s="415"/>
      <c r="T776" s="389"/>
      <c r="U776" s="167"/>
      <c r="V776" s="167"/>
      <c r="W776" s="413"/>
      <c r="X776" s="413"/>
      <c r="Y776" s="413"/>
      <c r="Z776" s="413"/>
      <c r="AA776" s="160"/>
      <c r="AB776" s="160"/>
      <c r="AC776" s="160"/>
      <c r="AD776" s="398" t="str">
        <f t="shared" si="86"/>
        <v/>
      </c>
      <c r="AE776" s="398"/>
      <c r="AF776" s="398"/>
      <c r="AG776" s="398"/>
      <c r="AH776" s="399"/>
    </row>
    <row r="777" spans="1:34" s="1" customFormat="1" ht="15.75" hidden="1" customHeight="1">
      <c r="A777" s="73" t="str">
        <f>IF(液状化L2の有無="",IF(LEN(E777)+LEN(T777)=0,"×",""),"×")</f>
        <v>×</v>
      </c>
      <c r="E777" s="166"/>
      <c r="F777" s="167"/>
      <c r="G777" s="167"/>
      <c r="H777" s="413"/>
      <c r="I777" s="413"/>
      <c r="J777" s="413"/>
      <c r="K777" s="413"/>
      <c r="L777" s="160"/>
      <c r="M777" s="160"/>
      <c r="N777" s="160"/>
      <c r="O777" s="398" t="str">
        <f t="shared" si="85"/>
        <v/>
      </c>
      <c r="P777" s="398"/>
      <c r="Q777" s="398"/>
      <c r="R777" s="398"/>
      <c r="S777" s="415"/>
      <c r="T777" s="389"/>
      <c r="U777" s="167"/>
      <c r="V777" s="167"/>
      <c r="W777" s="413"/>
      <c r="X777" s="413"/>
      <c r="Y777" s="413"/>
      <c r="Z777" s="413"/>
      <c r="AA777" s="160"/>
      <c r="AB777" s="160"/>
      <c r="AC777" s="160"/>
      <c r="AD777" s="398" t="str">
        <f t="shared" si="86"/>
        <v/>
      </c>
      <c r="AE777" s="398"/>
      <c r="AF777" s="398"/>
      <c r="AG777" s="398"/>
      <c r="AH777" s="399"/>
    </row>
    <row r="778" spans="1:34" s="1" customFormat="1" ht="15.75" hidden="1" customHeight="1">
      <c r="A778" s="73" t="str">
        <f>IF(液状化L2の有無="",IF(LEN(E778)+LEN(T778)=0,"×",""),"×")</f>
        <v>×</v>
      </c>
      <c r="E778" s="166"/>
      <c r="F778" s="167"/>
      <c r="G778" s="167"/>
      <c r="H778" s="413"/>
      <c r="I778" s="413"/>
      <c r="J778" s="413"/>
      <c r="K778" s="413"/>
      <c r="L778" s="160"/>
      <c r="M778" s="160"/>
      <c r="N778" s="160"/>
      <c r="O778" s="398" t="str">
        <f t="shared" si="85"/>
        <v/>
      </c>
      <c r="P778" s="398"/>
      <c r="Q778" s="398"/>
      <c r="R778" s="398"/>
      <c r="S778" s="415"/>
      <c r="T778" s="389"/>
      <c r="U778" s="167"/>
      <c r="V778" s="167"/>
      <c r="W778" s="413"/>
      <c r="X778" s="413"/>
      <c r="Y778" s="413"/>
      <c r="Z778" s="413"/>
      <c r="AA778" s="160"/>
      <c r="AB778" s="160"/>
      <c r="AC778" s="160"/>
      <c r="AD778" s="398" t="str">
        <f t="shared" si="86"/>
        <v/>
      </c>
      <c r="AE778" s="398"/>
      <c r="AF778" s="398"/>
      <c r="AG778" s="398"/>
      <c r="AH778" s="399"/>
    </row>
    <row r="779" spans="1:34" s="1" customFormat="1" ht="15.75" hidden="1" customHeight="1">
      <c r="A779" s="73" t="str">
        <f>IF(液状化L2の有無="",IF(LEN(E779)+LEN(T779)=0,"×",""),"×")</f>
        <v>×</v>
      </c>
      <c r="E779" s="166"/>
      <c r="F779" s="167"/>
      <c r="G779" s="167"/>
      <c r="H779" s="413"/>
      <c r="I779" s="413"/>
      <c r="J779" s="413"/>
      <c r="K779" s="413"/>
      <c r="L779" s="160"/>
      <c r="M779" s="160"/>
      <c r="N779" s="160"/>
      <c r="O779" s="398" t="str">
        <f t="shared" si="85"/>
        <v/>
      </c>
      <c r="P779" s="398"/>
      <c r="Q779" s="398"/>
      <c r="R779" s="398"/>
      <c r="S779" s="415"/>
      <c r="T779" s="389"/>
      <c r="U779" s="167"/>
      <c r="V779" s="167"/>
      <c r="W779" s="413"/>
      <c r="X779" s="413"/>
      <c r="Y779" s="413"/>
      <c r="Z779" s="413"/>
      <c r="AA779" s="160"/>
      <c r="AB779" s="160"/>
      <c r="AC779" s="160"/>
      <c r="AD779" s="398" t="str">
        <f t="shared" si="86"/>
        <v/>
      </c>
      <c r="AE779" s="398"/>
      <c r="AF779" s="398"/>
      <c r="AG779" s="398"/>
      <c r="AH779" s="399"/>
    </row>
    <row r="780" spans="1:34" s="1" customFormat="1" ht="15.75" hidden="1" customHeight="1">
      <c r="A780" s="73" t="str">
        <f>IF(液状化L2の有無="",IF(LEN(E780)+LEN(T780)=0,"×",""),"×")</f>
        <v>×</v>
      </c>
      <c r="E780" s="174"/>
      <c r="F780" s="175"/>
      <c r="G780" s="175"/>
      <c r="H780" s="414"/>
      <c r="I780" s="414"/>
      <c r="J780" s="414"/>
      <c r="K780" s="414"/>
      <c r="L780" s="155"/>
      <c r="M780" s="155"/>
      <c r="N780" s="155"/>
      <c r="O780" s="401" t="str">
        <f t="shared" si="85"/>
        <v/>
      </c>
      <c r="P780" s="401"/>
      <c r="Q780" s="401"/>
      <c r="R780" s="401"/>
      <c r="S780" s="416"/>
      <c r="T780" s="391"/>
      <c r="U780" s="175"/>
      <c r="V780" s="175"/>
      <c r="W780" s="414"/>
      <c r="X780" s="414"/>
      <c r="Y780" s="414"/>
      <c r="Z780" s="414"/>
      <c r="AA780" s="155"/>
      <c r="AB780" s="155"/>
      <c r="AC780" s="155"/>
      <c r="AD780" s="401" t="str">
        <f t="shared" si="86"/>
        <v/>
      </c>
      <c r="AE780" s="401"/>
      <c r="AF780" s="401"/>
      <c r="AG780" s="401"/>
      <c r="AH780" s="402"/>
    </row>
    <row r="781" spans="1:34" s="1" customFormat="1" ht="15.75" hidden="1" customHeight="1">
      <c r="A781" s="73" t="str">
        <f>IF(液状化L2の有無="","","×")</f>
        <v>×</v>
      </c>
      <c r="E781" s="8"/>
      <c r="F781" s="8"/>
      <c r="G781" s="8"/>
      <c r="H781" s="8"/>
      <c r="I781" s="8"/>
      <c r="J781" s="8"/>
      <c r="K781" s="8"/>
      <c r="L781" s="8"/>
      <c r="M781" s="8"/>
      <c r="N781" s="8"/>
      <c r="O781" s="8"/>
      <c r="P781" s="8"/>
      <c r="AA781" s="2" t="s">
        <v>127</v>
      </c>
      <c r="AB781" s="1" t="s">
        <v>513</v>
      </c>
      <c r="AC781" s="76" t="s">
        <v>27</v>
      </c>
      <c r="AD781" s="212">
        <f>AD758</f>
        <v>3.1415926535897931</v>
      </c>
      <c r="AE781" s="212"/>
      <c r="AF781" s="212"/>
      <c r="AG781" s="7" t="s">
        <v>514</v>
      </c>
      <c r="AH781" s="76" t="s">
        <v>158</v>
      </c>
    </row>
    <row r="782" spans="1:34" ht="15.75" hidden="1" customHeight="1">
      <c r="A782" s="73" t="str">
        <f>IF(液状化L2の有無="","","×")</f>
        <v>×</v>
      </c>
    </row>
    <row r="783" spans="1:34" s="1" customFormat="1" ht="15.75" customHeight="1"/>
    <row r="784" spans="1:34" s="1" customFormat="1" ht="15.75" customHeight="1"/>
    <row r="785" spans="4:12" s="1" customFormat="1" ht="15.75" customHeight="1">
      <c r="D785" s="10" t="s">
        <v>197</v>
      </c>
    </row>
    <row r="786" spans="4:12" s="1" customFormat="1" ht="15.75" customHeight="1"/>
    <row r="787" spans="4:12" s="1" customFormat="1" ht="15.75" customHeight="1">
      <c r="D787" s="10" t="s">
        <v>198</v>
      </c>
    </row>
    <row r="788" spans="4:12" s="1" customFormat="1" ht="15.75" customHeight="1"/>
    <row r="789" spans="4:12" s="1" customFormat="1" ht="15.75" customHeight="1">
      <c r="E789" s="181" t="s">
        <v>199</v>
      </c>
      <c r="F789" s="181"/>
      <c r="G789" s="76" t="s">
        <v>27</v>
      </c>
      <c r="H789" s="181" t="s">
        <v>200</v>
      </c>
      <c r="I789" s="181"/>
      <c r="J789" s="76" t="s">
        <v>6</v>
      </c>
      <c r="K789" s="181" t="s">
        <v>201</v>
      </c>
      <c r="L789" s="181"/>
    </row>
    <row r="790" spans="4:12" s="1" customFormat="1" ht="15.75" customHeight="1"/>
    <row r="791" spans="4:12" s="1" customFormat="1" ht="15.75" customHeight="1">
      <c r="F791" s="1" t="s">
        <v>3</v>
      </c>
      <c r="I791" s="342" t="s">
        <v>199</v>
      </c>
      <c r="J791" s="342"/>
      <c r="K791" s="76" t="s">
        <v>2</v>
      </c>
      <c r="L791" s="1" t="s">
        <v>203</v>
      </c>
    </row>
    <row r="792" spans="4:12" s="1" customFormat="1" ht="15.75" customHeight="1">
      <c r="I792" s="342" t="s">
        <v>200</v>
      </c>
      <c r="J792" s="342"/>
      <c r="K792" s="76" t="s">
        <v>2</v>
      </c>
      <c r="L792" s="1" t="s">
        <v>204</v>
      </c>
    </row>
    <row r="793" spans="4:12" s="1" customFormat="1" ht="15.75" customHeight="1">
      <c r="I793" s="342" t="s">
        <v>202</v>
      </c>
      <c r="J793" s="342"/>
      <c r="K793" s="76" t="s">
        <v>2</v>
      </c>
      <c r="L793" s="1" t="s">
        <v>205</v>
      </c>
    </row>
    <row r="794" spans="4:12" s="1" customFormat="1" ht="15.75" customHeight="1"/>
    <row r="795" spans="4:12" s="1" customFormat="1" ht="15.75" customHeight="1">
      <c r="E795" s="1" t="s">
        <v>206</v>
      </c>
    </row>
    <row r="796" spans="4:12" s="1" customFormat="1" ht="15.75" customHeight="1">
      <c r="F796" s="1" t="s">
        <v>207</v>
      </c>
    </row>
    <row r="797" spans="4:12" ht="15.75" customHeight="1">
      <c r="E797" s="76"/>
    </row>
    <row r="798" spans="4:12" s="1" customFormat="1" ht="15.75" customHeight="1">
      <c r="E798" s="181" t="s">
        <v>200</v>
      </c>
      <c r="F798" s="181"/>
      <c r="G798" s="76" t="s">
        <v>27</v>
      </c>
      <c r="H798" s="181" t="s">
        <v>208</v>
      </c>
      <c r="I798" s="181"/>
      <c r="J798" s="76" t="s">
        <v>1</v>
      </c>
      <c r="K798" s="181" t="s">
        <v>209</v>
      </c>
      <c r="L798" s="181"/>
    </row>
    <row r="799" spans="4:12" s="1" customFormat="1" ht="15.75" customHeight="1"/>
    <row r="800" spans="4:12" s="1" customFormat="1" ht="15.75" customHeight="1">
      <c r="F800" s="1" t="s">
        <v>3</v>
      </c>
      <c r="I800" s="342" t="s">
        <v>200</v>
      </c>
      <c r="J800" s="342"/>
      <c r="K800" s="76" t="s">
        <v>2</v>
      </c>
      <c r="L800" s="1" t="s">
        <v>210</v>
      </c>
    </row>
    <row r="801" spans="5:64" s="1" customFormat="1" ht="15.75" customHeight="1">
      <c r="I801" s="342" t="s">
        <v>208</v>
      </c>
      <c r="J801" s="342"/>
      <c r="K801" s="76" t="s">
        <v>2</v>
      </c>
      <c r="L801" s="1" t="s">
        <v>359</v>
      </c>
    </row>
    <row r="802" spans="5:64" s="1" customFormat="1" ht="15.75" customHeight="1">
      <c r="I802" s="2"/>
      <c r="J802" s="2"/>
      <c r="K802" s="76"/>
      <c r="L802" s="1" t="s">
        <v>360</v>
      </c>
    </row>
    <row r="803" spans="5:64" s="1" customFormat="1" ht="15.75" customHeight="1">
      <c r="I803" s="2"/>
      <c r="J803" s="2"/>
      <c r="K803" s="76"/>
      <c r="M803" s="1" t="s">
        <v>211</v>
      </c>
      <c r="R803" s="76" t="s">
        <v>2</v>
      </c>
      <c r="S803" s="181" t="s">
        <v>208</v>
      </c>
      <c r="T803" s="181"/>
      <c r="U803" s="76" t="s">
        <v>27</v>
      </c>
      <c r="V803" s="181" t="s">
        <v>214</v>
      </c>
      <c r="W803" s="181"/>
      <c r="X803" s="1" t="s">
        <v>215</v>
      </c>
      <c r="Y803" s="181">
        <v>3500</v>
      </c>
      <c r="Z803" s="181"/>
      <c r="AA803" s="1" t="s">
        <v>216</v>
      </c>
    </row>
    <row r="804" spans="5:64" s="1" customFormat="1" ht="15.75" customHeight="1">
      <c r="I804" s="2"/>
      <c r="J804" s="2"/>
      <c r="K804" s="76"/>
      <c r="M804" s="1" t="s">
        <v>212</v>
      </c>
      <c r="R804" s="76" t="s">
        <v>2</v>
      </c>
      <c r="S804" s="181" t="s">
        <v>208</v>
      </c>
      <c r="T804" s="181"/>
      <c r="U804" s="76" t="s">
        <v>27</v>
      </c>
      <c r="V804" s="181" t="s">
        <v>214</v>
      </c>
      <c r="W804" s="181"/>
      <c r="X804" s="1" t="s">
        <v>215</v>
      </c>
      <c r="Y804" s="181">
        <v>7500</v>
      </c>
      <c r="Z804" s="181"/>
      <c r="AA804" s="1" t="s">
        <v>216</v>
      </c>
    </row>
    <row r="805" spans="5:64" s="1" customFormat="1" ht="15.75" customHeight="1">
      <c r="I805" s="2"/>
      <c r="J805" s="2"/>
      <c r="K805" s="76"/>
      <c r="M805" s="1" t="s">
        <v>213</v>
      </c>
      <c r="N805" s="76" t="s">
        <v>2</v>
      </c>
      <c r="O805" s="1" t="s">
        <v>217</v>
      </c>
    </row>
    <row r="806" spans="5:64" s="1" customFormat="1" ht="15.75" customHeight="1">
      <c r="I806" s="342" t="s">
        <v>209</v>
      </c>
      <c r="J806" s="342"/>
      <c r="K806" s="76" t="s">
        <v>2</v>
      </c>
      <c r="L806" s="1" t="s">
        <v>361</v>
      </c>
    </row>
    <row r="807" spans="5:64" ht="15.75" customHeight="1">
      <c r="E807" s="76"/>
      <c r="L807" s="89" t="s">
        <v>362</v>
      </c>
    </row>
    <row r="808" spans="5:64" ht="15.75" customHeight="1">
      <c r="E808" s="76"/>
    </row>
    <row r="810" spans="5:64" ht="15.75" customHeight="1">
      <c r="E810" s="181" t="s">
        <v>208</v>
      </c>
      <c r="F810" s="181"/>
      <c r="G810" s="76" t="s">
        <v>27</v>
      </c>
      <c r="H810" s="343">
        <v>60</v>
      </c>
      <c r="I810" s="343"/>
      <c r="J810" s="76" t="s">
        <v>518</v>
      </c>
      <c r="K810" s="100" t="s">
        <v>623</v>
      </c>
      <c r="AC810" s="106"/>
      <c r="AD810" s="106"/>
      <c r="AE810" s="106"/>
      <c r="AF810" s="106"/>
      <c r="AG810" s="106"/>
      <c r="AH810" s="106"/>
      <c r="AI810" s="106"/>
      <c r="AJ810" s="106"/>
      <c r="AK810" s="106"/>
      <c r="AL810" s="106"/>
      <c r="AM810" s="106"/>
      <c r="AX810" s="76"/>
      <c r="AY810" s="80"/>
      <c r="AZ810" s="76"/>
      <c r="BA810" s="76"/>
      <c r="BB810" s="112"/>
      <c r="BC810" s="76"/>
      <c r="BD810" s="76"/>
      <c r="BE810" s="76"/>
      <c r="BF810" s="76"/>
      <c r="BG810" s="76"/>
      <c r="BH810" s="76"/>
      <c r="BI810" s="76"/>
      <c r="BJ810" s="76"/>
    </row>
    <row r="811" spans="5:64" ht="15.75" customHeight="1">
      <c r="G811" s="76" t="s">
        <v>27</v>
      </c>
      <c r="H811" s="181">
        <f>H810</f>
        <v>60</v>
      </c>
      <c r="I811" s="181"/>
      <c r="J811" s="76" t="s">
        <v>1</v>
      </c>
      <c r="K811" s="343">
        <v>70</v>
      </c>
      <c r="L811" s="343"/>
    </row>
    <row r="812" spans="5:64" ht="15.75" customHeight="1">
      <c r="G812" s="76" t="s">
        <v>27</v>
      </c>
      <c r="H812" s="181">
        <f>H811*K811*Q815^2</f>
        <v>4200</v>
      </c>
      <c r="I812" s="181"/>
      <c r="J812" s="181"/>
      <c r="K812" s="1" t="s">
        <v>216</v>
      </c>
      <c r="N812" s="1" t="s">
        <v>215</v>
      </c>
      <c r="O812" s="343">
        <v>7500</v>
      </c>
      <c r="P812" s="343"/>
      <c r="Q812" s="1" t="s">
        <v>216</v>
      </c>
      <c r="S812" s="11"/>
      <c r="T812" s="11"/>
      <c r="U812" s="11"/>
      <c r="V812" s="101"/>
    </row>
    <row r="813" spans="5:64" ht="15.75" customHeight="1">
      <c r="K813" s="82"/>
      <c r="L813" s="82"/>
      <c r="N813" s="102"/>
      <c r="O813" s="102"/>
      <c r="S813" s="11"/>
      <c r="T813" s="11"/>
      <c r="U813" s="11"/>
      <c r="V813" s="101"/>
    </row>
    <row r="814" spans="5:64" ht="15.75" customHeight="1">
      <c r="E814" s="181" t="s">
        <v>200</v>
      </c>
      <c r="F814" s="181"/>
      <c r="G814" s="76" t="s">
        <v>27</v>
      </c>
      <c r="H814" s="181" t="s">
        <v>208</v>
      </c>
      <c r="I814" s="181"/>
      <c r="J814" s="76" t="s">
        <v>1</v>
      </c>
      <c r="K814" s="181" t="s">
        <v>209</v>
      </c>
      <c r="L814" s="181"/>
      <c r="N814" s="102"/>
      <c r="O814" s="102"/>
      <c r="S814" s="11"/>
      <c r="T814" s="11"/>
      <c r="U814" s="11"/>
      <c r="V814" s="101"/>
    </row>
    <row r="815" spans="5:64" ht="15.75" customHeight="1">
      <c r="G815" s="76" t="s">
        <v>27</v>
      </c>
      <c r="H815" s="181">
        <f>MIN(H812,先端qtk上限)</f>
        <v>4200</v>
      </c>
      <c r="I815" s="181"/>
      <c r="J815" s="181"/>
      <c r="K815" s="76" t="s">
        <v>1</v>
      </c>
      <c r="L815" s="345">
        <v>0.25</v>
      </c>
      <c r="M815" s="345"/>
      <c r="N815" s="76" t="s">
        <v>1</v>
      </c>
      <c r="O815" s="76" t="s">
        <v>218</v>
      </c>
      <c r="P815" s="76" t="s">
        <v>1</v>
      </c>
      <c r="Q815" s="346">
        <f>Q92</f>
        <v>1</v>
      </c>
      <c r="R815" s="346"/>
      <c r="S815" s="346"/>
      <c r="T815" s="101" t="s">
        <v>219</v>
      </c>
      <c r="AN815" s="76"/>
      <c r="BK815" s="106"/>
      <c r="BL815" s="106"/>
    </row>
    <row r="816" spans="5:64" ht="15.75" customHeight="1">
      <c r="G816" s="76" t="s">
        <v>27</v>
      </c>
      <c r="H816" s="352">
        <f>H812*L815*PI()*Q815^2</f>
        <v>3298.6722862692827</v>
      </c>
      <c r="I816" s="352"/>
      <c r="J816" s="352"/>
      <c r="K816" s="1" t="s">
        <v>539</v>
      </c>
      <c r="AI816" s="106"/>
      <c r="AJ816" s="106"/>
      <c r="AK816" s="106"/>
      <c r="AL816" s="106"/>
      <c r="AM816" s="106"/>
      <c r="BG816" s="76"/>
      <c r="BH816" s="76"/>
      <c r="BI816" s="76"/>
      <c r="BJ816" s="76"/>
    </row>
    <row r="817" spans="5:62" ht="15.75" customHeight="1">
      <c r="AK817" s="106"/>
      <c r="AL817" s="106"/>
      <c r="AM817" s="106"/>
      <c r="BI817" s="76"/>
      <c r="BJ817" s="76"/>
    </row>
    <row r="819" spans="5:62" ht="15.75" customHeight="1">
      <c r="F819" s="89" t="s">
        <v>220</v>
      </c>
    </row>
    <row r="822" spans="5:62" ht="15.75" customHeight="1">
      <c r="E822" s="1" t="s">
        <v>221</v>
      </c>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spans="5:62" ht="15.75" customHeight="1">
      <c r="F823" s="1" t="s">
        <v>222</v>
      </c>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spans="5:62" ht="15.75" customHeight="1">
      <c r="E824" s="76"/>
    </row>
    <row r="825" spans="5:62" ht="15.75" customHeight="1">
      <c r="E825" s="181" t="s">
        <v>202</v>
      </c>
      <c r="F825" s="181"/>
      <c r="G825" s="76" t="s">
        <v>27</v>
      </c>
      <c r="H825" s="181" t="s">
        <v>223</v>
      </c>
      <c r="I825" s="181"/>
      <c r="J825" s="76" t="s">
        <v>1</v>
      </c>
      <c r="K825" s="181" t="s">
        <v>224</v>
      </c>
      <c r="L825" s="181"/>
      <c r="M825" s="1" t="s">
        <v>1</v>
      </c>
      <c r="N825" s="89" t="s">
        <v>225</v>
      </c>
      <c r="O825" s="1"/>
      <c r="P825" s="1"/>
      <c r="Q825" s="1"/>
      <c r="R825" s="1"/>
      <c r="S825" s="1"/>
      <c r="T825" s="1"/>
      <c r="U825" s="1"/>
      <c r="V825" s="1"/>
      <c r="W825" s="1"/>
      <c r="X825" s="1"/>
      <c r="Y825" s="1"/>
      <c r="Z825" s="1"/>
      <c r="AA825" s="1"/>
      <c r="AB825" s="1"/>
      <c r="AC825" s="1"/>
      <c r="AD825" s="1"/>
      <c r="AE825" s="1"/>
      <c r="AF825" s="1"/>
      <c r="AG825" s="1"/>
      <c r="AH825" s="1"/>
    </row>
    <row r="826" spans="5:62" ht="15.75" customHeight="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spans="5:62" ht="15.75" customHeight="1">
      <c r="F827" s="1" t="s">
        <v>3</v>
      </c>
      <c r="G827" s="1"/>
      <c r="H827" s="1"/>
      <c r="I827" s="181" t="s">
        <v>224</v>
      </c>
      <c r="J827" s="181"/>
      <c r="K827" s="76" t="s">
        <v>2</v>
      </c>
      <c r="L827" s="1" t="s">
        <v>226</v>
      </c>
      <c r="M827" s="1"/>
      <c r="N827" s="1"/>
      <c r="O827" s="1"/>
      <c r="P827" s="1"/>
      <c r="Q827" s="1"/>
      <c r="R827" s="1"/>
      <c r="S827" s="1"/>
      <c r="T827" s="1"/>
      <c r="U827" s="1"/>
      <c r="V827" s="1"/>
      <c r="W827" s="1"/>
      <c r="X827" s="1"/>
      <c r="Y827" s="1"/>
      <c r="Z827" s="1"/>
      <c r="AA827" s="1"/>
      <c r="AB827" s="1"/>
      <c r="AC827" s="1"/>
      <c r="AD827" s="1"/>
      <c r="AE827" s="1"/>
      <c r="AF827" s="1"/>
      <c r="AG827" s="1"/>
      <c r="AH827" s="1"/>
    </row>
    <row r="828" spans="5:62" ht="15.75" customHeight="1">
      <c r="F828" s="1"/>
      <c r="G828" s="1"/>
      <c r="H828" s="1"/>
      <c r="I828" s="181" t="s">
        <v>223</v>
      </c>
      <c r="J828" s="181"/>
      <c r="K828" s="76" t="s">
        <v>2</v>
      </c>
      <c r="L828" s="1" t="s">
        <v>363</v>
      </c>
      <c r="M828" s="1"/>
      <c r="N828" s="1"/>
      <c r="O828" s="1"/>
      <c r="P828" s="1"/>
      <c r="Q828" s="1"/>
      <c r="R828" s="1"/>
      <c r="S828" s="1"/>
      <c r="T828" s="1"/>
      <c r="U828" s="1"/>
      <c r="V828" s="1"/>
      <c r="W828" s="1"/>
      <c r="X828" s="1"/>
      <c r="Y828" s="1"/>
      <c r="Z828" s="1"/>
      <c r="AA828" s="1"/>
      <c r="AB828" s="1"/>
      <c r="AC828" s="1"/>
      <c r="AD828" s="1"/>
      <c r="AE828" s="1"/>
      <c r="AF828" s="1"/>
      <c r="AG828" s="1"/>
      <c r="AH828" s="1"/>
    </row>
    <row r="829" spans="5:62" ht="15.75" customHeight="1">
      <c r="F829" s="1"/>
      <c r="G829" s="1"/>
      <c r="H829" s="1"/>
      <c r="L829" s="1" t="s">
        <v>364</v>
      </c>
      <c r="M829" s="1"/>
      <c r="N829" s="1"/>
      <c r="O829" s="1"/>
      <c r="P829" s="1"/>
      <c r="Q829" s="1"/>
      <c r="R829" s="1"/>
      <c r="S829" s="1"/>
      <c r="T829" s="1"/>
      <c r="U829" s="1"/>
      <c r="V829" s="1"/>
      <c r="W829" s="1"/>
      <c r="X829" s="1"/>
      <c r="Y829" s="1"/>
      <c r="Z829" s="1"/>
      <c r="AF829" s="1"/>
      <c r="AG829" s="1"/>
      <c r="AH829" s="1"/>
    </row>
    <row r="830" spans="5:62" ht="15.75" customHeight="1">
      <c r="F830" s="1"/>
      <c r="G830" s="1"/>
      <c r="H830" s="1"/>
      <c r="L830" s="417" t="s">
        <v>227</v>
      </c>
      <c r="M830" s="417"/>
      <c r="N830" s="417"/>
      <c r="O830" s="417"/>
      <c r="P830" s="417"/>
      <c r="Q830" s="417"/>
      <c r="R830" s="417"/>
      <c r="S830" s="417"/>
      <c r="T830" s="417"/>
      <c r="U830" s="76" t="s">
        <v>2</v>
      </c>
      <c r="V830" s="181" t="s">
        <v>523</v>
      </c>
      <c r="W830" s="181"/>
      <c r="X830" s="344">
        <v>3</v>
      </c>
      <c r="Y830" s="344"/>
      <c r="Z830" s="417" t="s">
        <v>521</v>
      </c>
      <c r="AA830" s="417"/>
      <c r="AB830" s="343">
        <v>150</v>
      </c>
      <c r="AC830" s="343"/>
      <c r="AD830" s="1" t="s">
        <v>216</v>
      </c>
      <c r="AE830" s="1"/>
      <c r="AF830" s="1"/>
      <c r="AG830" s="1"/>
      <c r="AH830" s="1"/>
      <c r="AI830" s="1"/>
      <c r="AJ830" s="1"/>
      <c r="AK830" s="1"/>
      <c r="AM830" s="106"/>
      <c r="BJ830" s="76"/>
    </row>
    <row r="831" spans="5:62" ht="15.75" customHeight="1">
      <c r="F831" s="1"/>
      <c r="G831" s="1"/>
      <c r="H831" s="1"/>
      <c r="L831" s="354" t="s">
        <v>228</v>
      </c>
      <c r="M831" s="354"/>
      <c r="N831" s="354"/>
      <c r="O831" s="354"/>
      <c r="P831" s="354"/>
      <c r="Q831" s="76" t="s">
        <v>2</v>
      </c>
      <c r="R831" s="181" t="s">
        <v>523</v>
      </c>
      <c r="S831" s="181"/>
      <c r="T831" s="343">
        <v>0.4</v>
      </c>
      <c r="U831" s="343"/>
      <c r="V831" s="417" t="s">
        <v>522</v>
      </c>
      <c r="W831" s="417"/>
      <c r="X831" s="343">
        <v>150</v>
      </c>
      <c r="Y831" s="343"/>
      <c r="Z831" s="211" t="s">
        <v>229</v>
      </c>
      <c r="AA831" s="211"/>
      <c r="AB831" s="105">
        <v>6</v>
      </c>
      <c r="AC831" s="417" t="s">
        <v>521</v>
      </c>
      <c r="AD831" s="417"/>
      <c r="AE831" s="343">
        <v>150</v>
      </c>
      <c r="AF831" s="343"/>
      <c r="AG831" s="1" t="s">
        <v>216</v>
      </c>
      <c r="AH831" s="1"/>
      <c r="AM831" s="106"/>
      <c r="BJ831" s="76"/>
    </row>
    <row r="832" spans="5:62" ht="15.75" customHeight="1">
      <c r="F832" s="1"/>
      <c r="G832" s="1"/>
      <c r="H832" s="1"/>
      <c r="L832" s="1"/>
      <c r="M832" s="2" t="s">
        <v>213</v>
      </c>
      <c r="N832" s="76" t="s">
        <v>2</v>
      </c>
      <c r="O832" s="1" t="s">
        <v>230</v>
      </c>
      <c r="P832" s="1"/>
      <c r="Q832" s="1"/>
      <c r="R832" s="1"/>
      <c r="S832" s="1"/>
      <c r="T832" s="1"/>
      <c r="U832" s="1"/>
      <c r="V832" s="1"/>
      <c r="W832" s="1"/>
      <c r="AD832" s="1"/>
      <c r="AE832" s="1"/>
      <c r="AF832" s="1"/>
      <c r="AG832" s="1"/>
      <c r="AH832" s="1"/>
    </row>
    <row r="833" spans="1:71" ht="15.75" customHeight="1">
      <c r="E833" s="76"/>
      <c r="M833" s="2" t="s">
        <v>231</v>
      </c>
      <c r="N833" s="76" t="s">
        <v>2</v>
      </c>
      <c r="O833" s="89" t="s">
        <v>232</v>
      </c>
    </row>
    <row r="834" spans="1:71" ht="15.75" customHeight="1">
      <c r="M834" s="2" t="s">
        <v>225</v>
      </c>
      <c r="N834" s="76" t="s">
        <v>2</v>
      </c>
      <c r="O834" s="89" t="s">
        <v>233</v>
      </c>
    </row>
    <row r="836" spans="1:71" ht="15.75" customHeight="1">
      <c r="F836" s="89" t="s">
        <v>365</v>
      </c>
    </row>
    <row r="837" spans="1:71" s="89" customFormat="1" ht="15.75" customHeight="1">
      <c r="F837" s="89" t="s">
        <v>366</v>
      </c>
      <c r="AP837" s="104"/>
      <c r="AV837" s="104"/>
      <c r="AY837" s="104"/>
      <c r="BB837" s="116"/>
      <c r="BL837" s="104"/>
      <c r="BS837" s="104"/>
    </row>
    <row r="838" spans="1:71" s="89" customFormat="1" ht="15.75" customHeight="1">
      <c r="AP838" s="104"/>
      <c r="AV838" s="104"/>
      <c r="AY838" s="104"/>
      <c r="BB838" s="116"/>
      <c r="BL838" s="104"/>
      <c r="BS838" s="104"/>
    </row>
    <row r="839" spans="1:71" s="1" customFormat="1" ht="15.75" customHeight="1">
      <c r="E839" s="61" t="s">
        <v>543</v>
      </c>
      <c r="F839" s="85"/>
      <c r="G839" s="85"/>
      <c r="H839" s="61"/>
      <c r="I839" s="61"/>
      <c r="J839" s="61"/>
      <c r="K839" s="61"/>
      <c r="L839" s="61"/>
      <c r="M839" s="61"/>
      <c r="N839" s="61"/>
      <c r="O839" s="61"/>
      <c r="P839" s="61"/>
      <c r="Q839" s="61"/>
      <c r="R839" s="61"/>
      <c r="S839" s="61"/>
      <c r="T839" s="61"/>
      <c r="U839" s="61"/>
      <c r="V839" s="61"/>
      <c r="W839" s="61"/>
      <c r="X839" s="61"/>
      <c r="Y839" s="61"/>
      <c r="Z839" s="61"/>
      <c r="AA839" s="61"/>
      <c r="AB839" s="61"/>
      <c r="AC839" s="61"/>
      <c r="AD839" s="61"/>
      <c r="AE839" s="61"/>
      <c r="AF839" s="61"/>
      <c r="AG839" s="61"/>
      <c r="AH839" s="61"/>
      <c r="AI839" s="8"/>
    </row>
    <row r="840" spans="1:71" s="1" customFormat="1" ht="15.75" customHeight="1">
      <c r="E840" s="347" t="s">
        <v>511</v>
      </c>
      <c r="F840" s="348"/>
      <c r="G840" s="348"/>
      <c r="H840" s="348"/>
      <c r="I840" s="348"/>
      <c r="J840" s="348"/>
      <c r="K840" s="348"/>
      <c r="L840" s="348"/>
      <c r="M840" s="348"/>
      <c r="N840" s="348"/>
      <c r="O840" s="348"/>
      <c r="P840" s="348"/>
      <c r="Q840" s="348"/>
      <c r="R840" s="348"/>
      <c r="S840" s="349"/>
      <c r="T840" s="350" t="s">
        <v>512</v>
      </c>
      <c r="U840" s="147"/>
      <c r="V840" s="147"/>
      <c r="W840" s="147"/>
      <c r="X840" s="147"/>
      <c r="Y840" s="147"/>
      <c r="Z840" s="147"/>
      <c r="AA840" s="147"/>
      <c r="AB840" s="147"/>
      <c r="AC840" s="147"/>
      <c r="AD840" s="147"/>
      <c r="AE840" s="147"/>
      <c r="AF840" s="147"/>
      <c r="AG840" s="147"/>
      <c r="AH840" s="214"/>
    </row>
    <row r="841" spans="1:71" s="1" customFormat="1" ht="15.75" customHeight="1">
      <c r="E841" s="225" t="s">
        <v>78</v>
      </c>
      <c r="F841" s="226"/>
      <c r="G841" s="229" t="s">
        <v>190</v>
      </c>
      <c r="H841" s="230"/>
      <c r="I841" s="230"/>
      <c r="J841" s="325" t="s">
        <v>234</v>
      </c>
      <c r="K841" s="321"/>
      <c r="L841" s="308"/>
      <c r="M841" s="325" t="s">
        <v>545</v>
      </c>
      <c r="N841" s="321"/>
      <c r="O841" s="308"/>
      <c r="P841" s="325" t="s">
        <v>237</v>
      </c>
      <c r="Q841" s="321"/>
      <c r="R841" s="321"/>
      <c r="S841" s="446"/>
      <c r="T841" s="330" t="s">
        <v>78</v>
      </c>
      <c r="U841" s="187"/>
      <c r="V841" s="189" t="s">
        <v>190</v>
      </c>
      <c r="W841" s="218"/>
      <c r="X841" s="218"/>
      <c r="Y841" s="421" t="s">
        <v>234</v>
      </c>
      <c r="Z841" s="422"/>
      <c r="AA841" s="423"/>
      <c r="AB841" s="421" t="s">
        <v>545</v>
      </c>
      <c r="AC841" s="422"/>
      <c r="AD841" s="423"/>
      <c r="AE841" s="421" t="s">
        <v>237</v>
      </c>
      <c r="AF841" s="422"/>
      <c r="AG841" s="422"/>
      <c r="AH841" s="422"/>
    </row>
    <row r="842" spans="1:71" s="1" customFormat="1" ht="15.75" customHeight="1">
      <c r="E842" s="227"/>
      <c r="F842" s="228"/>
      <c r="G842" s="231"/>
      <c r="H842" s="231"/>
      <c r="I842" s="231"/>
      <c r="J842" s="326"/>
      <c r="K842" s="323"/>
      <c r="L842" s="225"/>
      <c r="M842" s="326"/>
      <c r="N842" s="323"/>
      <c r="O842" s="225"/>
      <c r="P842" s="326"/>
      <c r="Q842" s="323"/>
      <c r="R842" s="323"/>
      <c r="S842" s="364"/>
      <c r="T842" s="351"/>
      <c r="U842" s="228"/>
      <c r="V842" s="231"/>
      <c r="W842" s="231"/>
      <c r="X842" s="231"/>
      <c r="Y842" s="326"/>
      <c r="Z842" s="323"/>
      <c r="AA842" s="225"/>
      <c r="AB842" s="326"/>
      <c r="AC842" s="323"/>
      <c r="AD842" s="225"/>
      <c r="AE842" s="326"/>
      <c r="AF842" s="323"/>
      <c r="AG842" s="323"/>
      <c r="AH842" s="323"/>
    </row>
    <row r="843" spans="1:71" s="1" customFormat="1" ht="15.75" customHeight="1">
      <c r="A843" s="73" t="str">
        <f t="shared" ref="A843:A858" si="87">IF(LEN(E843)+LEN(T843)=0,"×","")</f>
        <v/>
      </c>
      <c r="E843" s="190">
        <v>3</v>
      </c>
      <c r="F843" s="163"/>
      <c r="G843" s="164">
        <v>3</v>
      </c>
      <c r="H843" s="164"/>
      <c r="I843" s="164"/>
      <c r="J843" s="424" t="s">
        <v>547</v>
      </c>
      <c r="K843" s="425"/>
      <c r="L843" s="190"/>
      <c r="M843" s="426">
        <v>0</v>
      </c>
      <c r="N843" s="426"/>
      <c r="O843" s="426"/>
      <c r="P843" s="427">
        <f t="shared" ref="P843:P858" si="88">IF(M843="","",M843*G843*$AD$860)</f>
        <v>0</v>
      </c>
      <c r="Q843" s="428"/>
      <c r="R843" s="428"/>
      <c r="S843" s="445"/>
      <c r="T843" s="390">
        <v>3</v>
      </c>
      <c r="U843" s="163"/>
      <c r="V843" s="164">
        <v>3</v>
      </c>
      <c r="W843" s="164"/>
      <c r="X843" s="164"/>
      <c r="Y843" s="424" t="s">
        <v>547</v>
      </c>
      <c r="Z843" s="425"/>
      <c r="AA843" s="190"/>
      <c r="AB843" s="426">
        <v>0</v>
      </c>
      <c r="AC843" s="426"/>
      <c r="AD843" s="426"/>
      <c r="AE843" s="427">
        <f t="shared" ref="AE843:AE858" si="89">IF(AB843="","",AB843*V843*$AD$860)</f>
        <v>0</v>
      </c>
      <c r="AF843" s="428"/>
      <c r="AG843" s="428"/>
      <c r="AH843" s="428"/>
    </row>
    <row r="844" spans="1:71" s="1" customFormat="1" ht="15.75" customHeight="1">
      <c r="A844" s="73" t="str">
        <f t="shared" si="87"/>
        <v/>
      </c>
      <c r="E844" s="166">
        <v>4</v>
      </c>
      <c r="F844" s="167"/>
      <c r="G844" s="160">
        <v>5</v>
      </c>
      <c r="H844" s="160"/>
      <c r="I844" s="160"/>
      <c r="J844" s="429" t="s">
        <v>482</v>
      </c>
      <c r="K844" s="430"/>
      <c r="L844" s="166"/>
      <c r="M844" s="431">
        <v>45</v>
      </c>
      <c r="N844" s="431"/>
      <c r="O844" s="431"/>
      <c r="P844" s="418">
        <f t="shared" si="88"/>
        <v>706.85834705770344</v>
      </c>
      <c r="Q844" s="419"/>
      <c r="R844" s="419"/>
      <c r="S844" s="420"/>
      <c r="T844" s="389">
        <v>4</v>
      </c>
      <c r="U844" s="167"/>
      <c r="V844" s="160">
        <v>5</v>
      </c>
      <c r="W844" s="160"/>
      <c r="X844" s="160"/>
      <c r="Y844" s="429" t="s">
        <v>482</v>
      </c>
      <c r="Z844" s="430"/>
      <c r="AA844" s="166"/>
      <c r="AB844" s="431">
        <v>45</v>
      </c>
      <c r="AC844" s="431"/>
      <c r="AD844" s="431"/>
      <c r="AE844" s="418">
        <f t="shared" si="89"/>
        <v>706.85834705770344</v>
      </c>
      <c r="AF844" s="419"/>
      <c r="AG844" s="419"/>
      <c r="AH844" s="419"/>
    </row>
    <row r="845" spans="1:71" s="1" customFormat="1" ht="15.75" customHeight="1">
      <c r="A845" s="73" t="str">
        <f t="shared" si="87"/>
        <v/>
      </c>
      <c r="E845" s="166">
        <v>5</v>
      </c>
      <c r="F845" s="167"/>
      <c r="G845" s="160">
        <v>8</v>
      </c>
      <c r="H845" s="160"/>
      <c r="I845" s="160"/>
      <c r="J845" s="429" t="s">
        <v>547</v>
      </c>
      <c r="K845" s="430"/>
      <c r="L845" s="166"/>
      <c r="M845" s="431">
        <v>25</v>
      </c>
      <c r="N845" s="431"/>
      <c r="O845" s="431"/>
      <c r="P845" s="418">
        <f t="shared" si="88"/>
        <v>628.31853071795865</v>
      </c>
      <c r="Q845" s="419"/>
      <c r="R845" s="419"/>
      <c r="S845" s="420"/>
      <c r="T845" s="389">
        <v>5</v>
      </c>
      <c r="U845" s="167"/>
      <c r="V845" s="160">
        <v>8</v>
      </c>
      <c r="W845" s="160"/>
      <c r="X845" s="160"/>
      <c r="Y845" s="429" t="s">
        <v>547</v>
      </c>
      <c r="Z845" s="430"/>
      <c r="AA845" s="166"/>
      <c r="AB845" s="431">
        <v>25</v>
      </c>
      <c r="AC845" s="431"/>
      <c r="AD845" s="431"/>
      <c r="AE845" s="418">
        <f t="shared" si="89"/>
        <v>628.31853071795865</v>
      </c>
      <c r="AF845" s="419"/>
      <c r="AG845" s="419"/>
      <c r="AH845" s="419"/>
    </row>
    <row r="846" spans="1:71" s="1" customFormat="1" ht="15.75" customHeight="1">
      <c r="A846" s="73" t="str">
        <f t="shared" si="87"/>
        <v/>
      </c>
      <c r="E846" s="166">
        <v>6</v>
      </c>
      <c r="F846" s="167"/>
      <c r="G846" s="160">
        <v>4</v>
      </c>
      <c r="H846" s="160"/>
      <c r="I846" s="160"/>
      <c r="J846" s="429" t="s">
        <v>547</v>
      </c>
      <c r="K846" s="430"/>
      <c r="L846" s="166"/>
      <c r="M846" s="431">
        <v>50</v>
      </c>
      <c r="N846" s="431"/>
      <c r="O846" s="431"/>
      <c r="P846" s="418">
        <f t="shared" si="88"/>
        <v>628.31853071795865</v>
      </c>
      <c r="Q846" s="419"/>
      <c r="R846" s="419"/>
      <c r="S846" s="420"/>
      <c r="T846" s="389">
        <v>6</v>
      </c>
      <c r="U846" s="167"/>
      <c r="V846" s="160">
        <v>4.5</v>
      </c>
      <c r="W846" s="160"/>
      <c r="X846" s="160"/>
      <c r="Y846" s="429" t="s">
        <v>547</v>
      </c>
      <c r="Z846" s="430"/>
      <c r="AA846" s="166"/>
      <c r="AB846" s="431">
        <v>50</v>
      </c>
      <c r="AC846" s="431"/>
      <c r="AD846" s="431"/>
      <c r="AE846" s="418">
        <f t="shared" si="89"/>
        <v>706.85834705770344</v>
      </c>
      <c r="AF846" s="419"/>
      <c r="AG846" s="419"/>
      <c r="AH846" s="419"/>
    </row>
    <row r="847" spans="1:71" s="1" customFormat="1" ht="15.75" customHeight="1">
      <c r="A847" s="73" t="str">
        <f t="shared" si="87"/>
        <v/>
      </c>
      <c r="E847" s="166">
        <v>6</v>
      </c>
      <c r="F847" s="167"/>
      <c r="G847" s="160">
        <v>0.5</v>
      </c>
      <c r="H847" s="160"/>
      <c r="I847" s="160"/>
      <c r="J847" s="429" t="s">
        <v>547</v>
      </c>
      <c r="K847" s="430"/>
      <c r="L847" s="166"/>
      <c r="M847" s="431">
        <v>0</v>
      </c>
      <c r="N847" s="431"/>
      <c r="O847" s="431"/>
      <c r="P847" s="418">
        <f t="shared" si="88"/>
        <v>0</v>
      </c>
      <c r="Q847" s="419"/>
      <c r="R847" s="419"/>
      <c r="S847" s="420"/>
      <c r="T847" s="389">
        <v>7</v>
      </c>
      <c r="U847" s="167"/>
      <c r="V847" s="160">
        <v>0.5</v>
      </c>
      <c r="W847" s="160"/>
      <c r="X847" s="160"/>
      <c r="Y847" s="429" t="s">
        <v>483</v>
      </c>
      <c r="Z847" s="430"/>
      <c r="AA847" s="166"/>
      <c r="AB847" s="431">
        <v>150</v>
      </c>
      <c r="AC847" s="431"/>
      <c r="AD847" s="431"/>
      <c r="AE847" s="418">
        <f t="shared" si="89"/>
        <v>235.61944901923448</v>
      </c>
      <c r="AF847" s="419"/>
      <c r="AG847" s="419"/>
      <c r="AH847" s="419"/>
    </row>
    <row r="848" spans="1:71" s="1" customFormat="1" ht="15.75" customHeight="1">
      <c r="A848" s="73" t="str">
        <f t="shared" si="87"/>
        <v/>
      </c>
      <c r="E848" s="166">
        <v>7</v>
      </c>
      <c r="F848" s="167"/>
      <c r="G848" s="160">
        <v>0.5</v>
      </c>
      <c r="H848" s="160"/>
      <c r="I848" s="160"/>
      <c r="J848" s="429" t="s">
        <v>483</v>
      </c>
      <c r="K848" s="430"/>
      <c r="L848" s="166"/>
      <c r="M848" s="431">
        <v>0</v>
      </c>
      <c r="N848" s="431"/>
      <c r="O848" s="431"/>
      <c r="P848" s="418">
        <f t="shared" si="88"/>
        <v>0</v>
      </c>
      <c r="Q848" s="419"/>
      <c r="R848" s="419"/>
      <c r="S848" s="420"/>
      <c r="T848" s="389"/>
      <c r="U848" s="167"/>
      <c r="V848" s="160"/>
      <c r="W848" s="160"/>
      <c r="X848" s="160"/>
      <c r="Y848" s="429"/>
      <c r="Z848" s="430"/>
      <c r="AA848" s="166"/>
      <c r="AB848" s="431"/>
      <c r="AC848" s="431"/>
      <c r="AD848" s="431"/>
      <c r="AE848" s="418" t="str">
        <f t="shared" si="89"/>
        <v/>
      </c>
      <c r="AF848" s="419"/>
      <c r="AG848" s="419"/>
      <c r="AH848" s="419"/>
    </row>
    <row r="849" spans="1:39" s="1" customFormat="1" ht="15.75" hidden="1" customHeight="1">
      <c r="A849" s="73" t="str">
        <f t="shared" si="87"/>
        <v>×</v>
      </c>
      <c r="E849" s="166"/>
      <c r="F849" s="167"/>
      <c r="G849" s="160"/>
      <c r="H849" s="160"/>
      <c r="I849" s="160"/>
      <c r="J849" s="429"/>
      <c r="K849" s="430"/>
      <c r="L849" s="166"/>
      <c r="M849" s="431"/>
      <c r="N849" s="431"/>
      <c r="O849" s="431"/>
      <c r="P849" s="418" t="str">
        <f t="shared" si="88"/>
        <v/>
      </c>
      <c r="Q849" s="419"/>
      <c r="R849" s="419"/>
      <c r="S849" s="420"/>
      <c r="T849" s="389"/>
      <c r="U849" s="167"/>
      <c r="V849" s="160"/>
      <c r="W849" s="160"/>
      <c r="X849" s="160"/>
      <c r="Y849" s="429"/>
      <c r="Z849" s="430"/>
      <c r="AA849" s="166"/>
      <c r="AB849" s="431"/>
      <c r="AC849" s="431"/>
      <c r="AD849" s="431"/>
      <c r="AE849" s="418" t="str">
        <f t="shared" si="89"/>
        <v/>
      </c>
      <c r="AF849" s="419"/>
      <c r="AG849" s="419"/>
      <c r="AH849" s="419"/>
    </row>
    <row r="850" spans="1:39" s="1" customFormat="1" ht="15.75" hidden="1" customHeight="1">
      <c r="A850" s="73" t="str">
        <f t="shared" si="87"/>
        <v>×</v>
      </c>
      <c r="E850" s="166"/>
      <c r="F850" s="167"/>
      <c r="G850" s="160"/>
      <c r="H850" s="160"/>
      <c r="I850" s="160"/>
      <c r="J850" s="429"/>
      <c r="K850" s="430"/>
      <c r="L850" s="166"/>
      <c r="M850" s="431"/>
      <c r="N850" s="431"/>
      <c r="O850" s="431"/>
      <c r="P850" s="418" t="str">
        <f t="shared" si="88"/>
        <v/>
      </c>
      <c r="Q850" s="419"/>
      <c r="R850" s="419"/>
      <c r="S850" s="420"/>
      <c r="T850" s="389"/>
      <c r="U850" s="167"/>
      <c r="V850" s="160"/>
      <c r="W850" s="160"/>
      <c r="X850" s="160"/>
      <c r="Y850" s="429"/>
      <c r="Z850" s="430"/>
      <c r="AA850" s="166"/>
      <c r="AB850" s="431"/>
      <c r="AC850" s="431"/>
      <c r="AD850" s="431"/>
      <c r="AE850" s="418" t="str">
        <f t="shared" si="89"/>
        <v/>
      </c>
      <c r="AF850" s="419"/>
      <c r="AG850" s="419"/>
      <c r="AH850" s="419"/>
    </row>
    <row r="851" spans="1:39" s="1" customFormat="1" ht="15.75" hidden="1" customHeight="1">
      <c r="A851" s="73" t="str">
        <f t="shared" si="87"/>
        <v>×</v>
      </c>
      <c r="E851" s="166"/>
      <c r="F851" s="167"/>
      <c r="G851" s="160"/>
      <c r="H851" s="160"/>
      <c r="I851" s="160"/>
      <c r="J851" s="429"/>
      <c r="K851" s="430"/>
      <c r="L851" s="166"/>
      <c r="M851" s="431"/>
      <c r="N851" s="431"/>
      <c r="O851" s="431"/>
      <c r="P851" s="418" t="str">
        <f t="shared" si="88"/>
        <v/>
      </c>
      <c r="Q851" s="419"/>
      <c r="R851" s="419"/>
      <c r="S851" s="420"/>
      <c r="T851" s="389"/>
      <c r="U851" s="167"/>
      <c r="V851" s="160"/>
      <c r="W851" s="160"/>
      <c r="X851" s="160"/>
      <c r="Y851" s="429"/>
      <c r="Z851" s="430"/>
      <c r="AA851" s="166"/>
      <c r="AB851" s="431"/>
      <c r="AC851" s="431"/>
      <c r="AD851" s="431"/>
      <c r="AE851" s="418" t="str">
        <f t="shared" si="89"/>
        <v/>
      </c>
      <c r="AF851" s="419"/>
      <c r="AG851" s="419"/>
      <c r="AH851" s="419"/>
    </row>
    <row r="852" spans="1:39" s="1" customFormat="1" ht="15.75" hidden="1" customHeight="1">
      <c r="A852" s="73" t="str">
        <f t="shared" si="87"/>
        <v>×</v>
      </c>
      <c r="E852" s="166"/>
      <c r="F852" s="167"/>
      <c r="G852" s="160"/>
      <c r="H852" s="160"/>
      <c r="I852" s="160"/>
      <c r="J852" s="429"/>
      <c r="K852" s="430"/>
      <c r="L852" s="166"/>
      <c r="M852" s="431"/>
      <c r="N852" s="431"/>
      <c r="O852" s="431"/>
      <c r="P852" s="418" t="str">
        <f t="shared" si="88"/>
        <v/>
      </c>
      <c r="Q852" s="419"/>
      <c r="R852" s="419"/>
      <c r="S852" s="420"/>
      <c r="T852" s="389"/>
      <c r="U852" s="167"/>
      <c r="V852" s="160"/>
      <c r="W852" s="160"/>
      <c r="X852" s="160"/>
      <c r="Y852" s="429"/>
      <c r="Z852" s="430"/>
      <c r="AA852" s="166"/>
      <c r="AB852" s="431"/>
      <c r="AC852" s="431"/>
      <c r="AD852" s="431"/>
      <c r="AE852" s="418" t="str">
        <f t="shared" si="89"/>
        <v/>
      </c>
      <c r="AF852" s="419"/>
      <c r="AG852" s="419"/>
      <c r="AH852" s="419"/>
    </row>
    <row r="853" spans="1:39" s="1" customFormat="1" ht="15.75" hidden="1" customHeight="1">
      <c r="A853" s="73" t="str">
        <f t="shared" si="87"/>
        <v>×</v>
      </c>
      <c r="E853" s="166"/>
      <c r="F853" s="167"/>
      <c r="G853" s="160"/>
      <c r="H853" s="160"/>
      <c r="I853" s="160"/>
      <c r="J853" s="429"/>
      <c r="K853" s="430"/>
      <c r="L853" s="166"/>
      <c r="M853" s="431"/>
      <c r="N853" s="431"/>
      <c r="O853" s="431"/>
      <c r="P853" s="418" t="str">
        <f t="shared" si="88"/>
        <v/>
      </c>
      <c r="Q853" s="419"/>
      <c r="R853" s="419"/>
      <c r="S853" s="420"/>
      <c r="T853" s="389"/>
      <c r="U853" s="167"/>
      <c r="V853" s="160"/>
      <c r="W853" s="160"/>
      <c r="X853" s="160"/>
      <c r="Y853" s="429"/>
      <c r="Z853" s="430"/>
      <c r="AA853" s="166"/>
      <c r="AB853" s="431"/>
      <c r="AC853" s="431"/>
      <c r="AD853" s="431"/>
      <c r="AE853" s="418" t="str">
        <f t="shared" si="89"/>
        <v/>
      </c>
      <c r="AF853" s="419"/>
      <c r="AG853" s="419"/>
      <c r="AH853" s="419"/>
    </row>
    <row r="854" spans="1:39" s="1" customFormat="1" ht="15.75" hidden="1" customHeight="1">
      <c r="A854" s="73" t="str">
        <f t="shared" si="87"/>
        <v>×</v>
      </c>
      <c r="E854" s="166"/>
      <c r="F854" s="167"/>
      <c r="G854" s="160"/>
      <c r="H854" s="160"/>
      <c r="I854" s="160"/>
      <c r="J854" s="429"/>
      <c r="K854" s="430"/>
      <c r="L854" s="166"/>
      <c r="M854" s="431"/>
      <c r="N854" s="431"/>
      <c r="O854" s="431"/>
      <c r="P854" s="418" t="str">
        <f t="shared" si="88"/>
        <v/>
      </c>
      <c r="Q854" s="419"/>
      <c r="R854" s="419"/>
      <c r="S854" s="420"/>
      <c r="T854" s="389"/>
      <c r="U854" s="167"/>
      <c r="V854" s="160"/>
      <c r="W854" s="160"/>
      <c r="X854" s="160"/>
      <c r="Y854" s="429"/>
      <c r="Z854" s="430"/>
      <c r="AA854" s="166"/>
      <c r="AB854" s="431"/>
      <c r="AC854" s="431"/>
      <c r="AD854" s="431"/>
      <c r="AE854" s="418" t="str">
        <f t="shared" si="89"/>
        <v/>
      </c>
      <c r="AF854" s="419"/>
      <c r="AG854" s="419"/>
      <c r="AH854" s="419"/>
    </row>
    <row r="855" spans="1:39" s="1" customFormat="1" ht="15.75" hidden="1" customHeight="1">
      <c r="A855" s="73" t="str">
        <f t="shared" si="87"/>
        <v>×</v>
      </c>
      <c r="E855" s="166"/>
      <c r="F855" s="167"/>
      <c r="G855" s="160"/>
      <c r="H855" s="160"/>
      <c r="I855" s="160"/>
      <c r="J855" s="429"/>
      <c r="K855" s="430"/>
      <c r="L855" s="166"/>
      <c r="M855" s="431"/>
      <c r="N855" s="431"/>
      <c r="O855" s="431"/>
      <c r="P855" s="418" t="str">
        <f t="shared" si="88"/>
        <v/>
      </c>
      <c r="Q855" s="419"/>
      <c r="R855" s="419"/>
      <c r="S855" s="420"/>
      <c r="T855" s="389"/>
      <c r="U855" s="167"/>
      <c r="V855" s="160"/>
      <c r="W855" s="160"/>
      <c r="X855" s="160"/>
      <c r="Y855" s="429"/>
      <c r="Z855" s="430"/>
      <c r="AA855" s="166"/>
      <c r="AB855" s="431"/>
      <c r="AC855" s="431"/>
      <c r="AD855" s="431"/>
      <c r="AE855" s="418" t="str">
        <f t="shared" si="89"/>
        <v/>
      </c>
      <c r="AF855" s="419"/>
      <c r="AG855" s="419"/>
      <c r="AH855" s="419"/>
    </row>
    <row r="856" spans="1:39" s="1" customFormat="1" ht="15.75" hidden="1" customHeight="1">
      <c r="A856" s="73" t="str">
        <f t="shared" si="87"/>
        <v>×</v>
      </c>
      <c r="E856" s="166"/>
      <c r="F856" s="167"/>
      <c r="G856" s="160"/>
      <c r="H856" s="160"/>
      <c r="I856" s="160"/>
      <c r="J856" s="429"/>
      <c r="K856" s="430"/>
      <c r="L856" s="166"/>
      <c r="M856" s="431"/>
      <c r="N856" s="431"/>
      <c r="O856" s="431"/>
      <c r="P856" s="418" t="str">
        <f t="shared" si="88"/>
        <v/>
      </c>
      <c r="Q856" s="419"/>
      <c r="R856" s="419"/>
      <c r="S856" s="420"/>
      <c r="T856" s="389"/>
      <c r="U856" s="167"/>
      <c r="V856" s="160"/>
      <c r="W856" s="160"/>
      <c r="X856" s="160"/>
      <c r="Y856" s="429"/>
      <c r="Z856" s="430"/>
      <c r="AA856" s="166"/>
      <c r="AB856" s="431"/>
      <c r="AC856" s="431"/>
      <c r="AD856" s="431"/>
      <c r="AE856" s="418" t="str">
        <f t="shared" si="89"/>
        <v/>
      </c>
      <c r="AF856" s="419"/>
      <c r="AG856" s="419"/>
      <c r="AH856" s="419"/>
    </row>
    <row r="857" spans="1:39" s="1" customFormat="1" ht="15.75" hidden="1" customHeight="1">
      <c r="A857" s="73" t="str">
        <f t="shared" si="87"/>
        <v>×</v>
      </c>
      <c r="E857" s="166"/>
      <c r="F857" s="167"/>
      <c r="G857" s="160"/>
      <c r="H857" s="160"/>
      <c r="I857" s="160"/>
      <c r="J857" s="429"/>
      <c r="K857" s="430"/>
      <c r="L857" s="166"/>
      <c r="M857" s="431"/>
      <c r="N857" s="431"/>
      <c r="O857" s="431"/>
      <c r="P857" s="418" t="str">
        <f t="shared" si="88"/>
        <v/>
      </c>
      <c r="Q857" s="419"/>
      <c r="R857" s="419"/>
      <c r="S857" s="420"/>
      <c r="T857" s="389"/>
      <c r="U857" s="167"/>
      <c r="V857" s="160"/>
      <c r="W857" s="160"/>
      <c r="X857" s="160"/>
      <c r="Y857" s="429"/>
      <c r="Z857" s="430"/>
      <c r="AA857" s="166"/>
      <c r="AB857" s="431"/>
      <c r="AC857" s="431"/>
      <c r="AD857" s="431"/>
      <c r="AE857" s="418" t="str">
        <f t="shared" si="89"/>
        <v/>
      </c>
      <c r="AF857" s="419"/>
      <c r="AG857" s="419"/>
      <c r="AH857" s="419"/>
    </row>
    <row r="858" spans="1:39" s="1" customFormat="1" ht="15.75" hidden="1" customHeight="1">
      <c r="A858" s="73" t="str">
        <f t="shared" si="87"/>
        <v>×</v>
      </c>
      <c r="E858" s="432"/>
      <c r="F858" s="433"/>
      <c r="G858" s="434"/>
      <c r="H858" s="434"/>
      <c r="I858" s="434"/>
      <c r="J858" s="440"/>
      <c r="K858" s="441"/>
      <c r="L858" s="432"/>
      <c r="M858" s="436"/>
      <c r="N858" s="436"/>
      <c r="O858" s="436"/>
      <c r="P858" s="437" t="str">
        <f t="shared" si="88"/>
        <v/>
      </c>
      <c r="Q858" s="438"/>
      <c r="R858" s="438"/>
      <c r="S858" s="439"/>
      <c r="T858" s="435"/>
      <c r="U858" s="433"/>
      <c r="V858" s="434"/>
      <c r="W858" s="434"/>
      <c r="X858" s="434"/>
      <c r="Y858" s="440"/>
      <c r="Z858" s="441"/>
      <c r="AA858" s="432"/>
      <c r="AB858" s="436"/>
      <c r="AC858" s="436"/>
      <c r="AD858" s="436"/>
      <c r="AE858" s="437" t="str">
        <f t="shared" si="89"/>
        <v/>
      </c>
      <c r="AF858" s="438"/>
      <c r="AG858" s="438"/>
      <c r="AH858" s="438"/>
    </row>
    <row r="859" spans="1:39" s="1" customFormat="1" ht="15.75" customHeight="1">
      <c r="A859" s="76"/>
      <c r="E859" s="207" t="s">
        <v>546</v>
      </c>
      <c r="F859" s="208"/>
      <c r="G859" s="442">
        <f>ROUND(SUM(P843:S858),1)</f>
        <v>1963.5</v>
      </c>
      <c r="H859" s="443"/>
      <c r="I859" s="443"/>
      <c r="J859" s="443"/>
      <c r="K859" s="443"/>
      <c r="L859" s="443"/>
      <c r="M859" s="443"/>
      <c r="N859" s="443"/>
      <c r="O859" s="443"/>
      <c r="P859" s="443"/>
      <c r="Q859" s="443"/>
      <c r="R859" s="443"/>
      <c r="S859" s="444"/>
      <c r="T859" s="400" t="s">
        <v>546</v>
      </c>
      <c r="U859" s="208"/>
      <c r="V859" s="442">
        <f>ROUND(SUM(AE843:AH858),1)</f>
        <v>2277.6999999999998</v>
      </c>
      <c r="W859" s="443"/>
      <c r="X859" s="443"/>
      <c r="Y859" s="443"/>
      <c r="Z859" s="443"/>
      <c r="AA859" s="443"/>
      <c r="AB859" s="443"/>
      <c r="AC859" s="443"/>
      <c r="AD859" s="443"/>
      <c r="AE859" s="443"/>
      <c r="AF859" s="443"/>
      <c r="AG859" s="443"/>
      <c r="AH859" s="443"/>
    </row>
    <row r="860" spans="1:39" s="1" customFormat="1" ht="15.75" customHeight="1">
      <c r="E860" s="8"/>
      <c r="F860" s="8"/>
      <c r="G860" s="8"/>
      <c r="H860" s="8"/>
      <c r="I860" s="8"/>
      <c r="J860" s="8"/>
      <c r="K860" s="8"/>
      <c r="L860" s="8"/>
      <c r="M860" s="8"/>
      <c r="N860" s="8"/>
      <c r="O860" s="8"/>
      <c r="AA860" s="2" t="s">
        <v>127</v>
      </c>
      <c r="AB860" s="1" t="s">
        <v>513</v>
      </c>
      <c r="AC860" s="76" t="s">
        <v>27</v>
      </c>
      <c r="AD860" s="212">
        <f>AD781</f>
        <v>3.1415926535897931</v>
      </c>
      <c r="AE860" s="212"/>
      <c r="AF860" s="212"/>
      <c r="AG860" s="7" t="s">
        <v>514</v>
      </c>
      <c r="AH860" s="76" t="s">
        <v>158</v>
      </c>
    </row>
    <row r="861" spans="1:39" s="1" customFormat="1" ht="15.75" customHeight="1">
      <c r="I861" s="76"/>
      <c r="J861" s="76"/>
      <c r="K861" s="76"/>
      <c r="L861" s="9"/>
      <c r="M861" s="9"/>
      <c r="N861" s="9"/>
      <c r="O861" s="76"/>
      <c r="P861" s="76"/>
      <c r="Q861" s="76"/>
      <c r="R861" s="76"/>
      <c r="S861" s="76"/>
      <c r="T861" s="9"/>
      <c r="AG861" s="8"/>
      <c r="AH861" s="8"/>
      <c r="AI861" s="8"/>
      <c r="AJ861" s="8"/>
      <c r="AK861" s="8"/>
    </row>
    <row r="862" spans="1:39" s="1" customFormat="1" ht="15.75" customHeight="1">
      <c r="T862" s="8"/>
      <c r="U862" s="8"/>
      <c r="V862" s="8"/>
      <c r="W862" s="8"/>
      <c r="X862" s="8"/>
      <c r="Y862" s="8"/>
      <c r="Z862" s="8"/>
      <c r="AA862" s="8"/>
      <c r="AB862" s="8"/>
      <c r="AC862" s="8"/>
      <c r="AD862" s="8"/>
      <c r="AE862" s="8"/>
      <c r="AF862" s="8"/>
      <c r="AG862" s="8"/>
      <c r="AH862" s="8"/>
      <c r="AI862" s="8"/>
      <c r="AJ862" s="8"/>
      <c r="AK862" s="8"/>
      <c r="AL862" s="8"/>
      <c r="AM862" s="8"/>
    </row>
    <row r="863" spans="1:39" s="1" customFormat="1" ht="15.75" customHeight="1">
      <c r="E863" s="61" t="s">
        <v>544</v>
      </c>
      <c r="F863" s="85"/>
      <c r="G863" s="85"/>
      <c r="H863" s="61"/>
      <c r="I863" s="61"/>
      <c r="J863" s="61"/>
      <c r="K863" s="61"/>
      <c r="L863" s="61"/>
      <c r="M863" s="61"/>
      <c r="N863" s="61"/>
      <c r="O863" s="61"/>
      <c r="P863" s="61"/>
      <c r="Q863" s="61"/>
      <c r="R863" s="61"/>
      <c r="S863" s="61"/>
      <c r="T863" s="61"/>
      <c r="U863" s="61"/>
      <c r="V863" s="61"/>
      <c r="W863" s="61"/>
      <c r="X863" s="61"/>
      <c r="Y863" s="61"/>
      <c r="Z863" s="61"/>
      <c r="AA863" s="61"/>
      <c r="AB863" s="61"/>
      <c r="AC863" s="61"/>
      <c r="AD863" s="61"/>
      <c r="AE863" s="61"/>
      <c r="AF863" s="61"/>
      <c r="AG863" s="61"/>
      <c r="AH863" s="61"/>
      <c r="AI863" s="8"/>
    </row>
    <row r="864" spans="1:39" s="1" customFormat="1" ht="15.75" customHeight="1">
      <c r="E864" s="347" t="s">
        <v>511</v>
      </c>
      <c r="F864" s="348"/>
      <c r="G864" s="348"/>
      <c r="H864" s="348"/>
      <c r="I864" s="348"/>
      <c r="J864" s="348"/>
      <c r="K864" s="348"/>
      <c r="L864" s="348"/>
      <c r="M864" s="348"/>
      <c r="N864" s="348"/>
      <c r="O864" s="348"/>
      <c r="P864" s="348"/>
      <c r="Q864" s="348"/>
      <c r="R864" s="348"/>
      <c r="S864" s="349"/>
      <c r="T864" s="350" t="s">
        <v>512</v>
      </c>
      <c r="U864" s="147"/>
      <c r="V864" s="147"/>
      <c r="W864" s="147"/>
      <c r="X864" s="147"/>
      <c r="Y864" s="147"/>
      <c r="Z864" s="147"/>
      <c r="AA864" s="147"/>
      <c r="AB864" s="147"/>
      <c r="AC864" s="147"/>
      <c r="AD864" s="147"/>
      <c r="AE864" s="147"/>
      <c r="AF864" s="147"/>
      <c r="AG864" s="147"/>
      <c r="AH864" s="214"/>
    </row>
    <row r="865" spans="1:34" s="1" customFormat="1" ht="15.75" customHeight="1">
      <c r="E865" s="225" t="s">
        <v>78</v>
      </c>
      <c r="F865" s="226"/>
      <c r="G865" s="229" t="s">
        <v>190</v>
      </c>
      <c r="H865" s="230"/>
      <c r="I865" s="230"/>
      <c r="J865" s="325" t="s">
        <v>234</v>
      </c>
      <c r="K865" s="321"/>
      <c r="L865" s="308"/>
      <c r="M865" s="325" t="s">
        <v>545</v>
      </c>
      <c r="N865" s="321"/>
      <c r="O865" s="308"/>
      <c r="P865" s="325" t="s">
        <v>237</v>
      </c>
      <c r="Q865" s="321"/>
      <c r="R865" s="321"/>
      <c r="S865" s="446"/>
      <c r="T865" s="330" t="s">
        <v>78</v>
      </c>
      <c r="U865" s="187"/>
      <c r="V865" s="189" t="s">
        <v>190</v>
      </c>
      <c r="W865" s="218"/>
      <c r="X865" s="218"/>
      <c r="Y865" s="421" t="s">
        <v>234</v>
      </c>
      <c r="Z865" s="422"/>
      <c r="AA865" s="423"/>
      <c r="AB865" s="421" t="s">
        <v>545</v>
      </c>
      <c r="AC865" s="422"/>
      <c r="AD865" s="423"/>
      <c r="AE865" s="421" t="s">
        <v>237</v>
      </c>
      <c r="AF865" s="422"/>
      <c r="AG865" s="422"/>
      <c r="AH865" s="422"/>
    </row>
    <row r="866" spans="1:34" s="1" customFormat="1" ht="15.75" customHeight="1">
      <c r="E866" s="227"/>
      <c r="F866" s="228"/>
      <c r="G866" s="231"/>
      <c r="H866" s="231"/>
      <c r="I866" s="231"/>
      <c r="J866" s="326"/>
      <c r="K866" s="323"/>
      <c r="L866" s="225"/>
      <c r="M866" s="326"/>
      <c r="N866" s="323"/>
      <c r="O866" s="225"/>
      <c r="P866" s="326"/>
      <c r="Q866" s="323"/>
      <c r="R866" s="323"/>
      <c r="S866" s="364"/>
      <c r="T866" s="351"/>
      <c r="U866" s="228"/>
      <c r="V866" s="231"/>
      <c r="W866" s="231"/>
      <c r="X866" s="231"/>
      <c r="Y866" s="326"/>
      <c r="Z866" s="323"/>
      <c r="AA866" s="225"/>
      <c r="AB866" s="326"/>
      <c r="AC866" s="323"/>
      <c r="AD866" s="225"/>
      <c r="AE866" s="326"/>
      <c r="AF866" s="323"/>
      <c r="AG866" s="323"/>
      <c r="AH866" s="323"/>
    </row>
    <row r="867" spans="1:34" s="1" customFormat="1" ht="15.75" customHeight="1">
      <c r="A867" s="73" t="str">
        <f t="shared" ref="A867:A882" si="90">IF(LEN(E867)+LEN(T867)=0,"×","")</f>
        <v/>
      </c>
      <c r="E867" s="190">
        <v>3</v>
      </c>
      <c r="F867" s="163"/>
      <c r="G867" s="164">
        <v>3</v>
      </c>
      <c r="H867" s="164"/>
      <c r="I867" s="164"/>
      <c r="J867" s="424" t="s">
        <v>547</v>
      </c>
      <c r="K867" s="425"/>
      <c r="L867" s="190"/>
      <c r="M867" s="426">
        <v>8</v>
      </c>
      <c r="N867" s="426"/>
      <c r="O867" s="426"/>
      <c r="P867" s="427">
        <f t="shared" ref="P867:P882" si="91">IF(M867="","",M867*G867*$AD$884)</f>
        <v>75.398223686155035</v>
      </c>
      <c r="Q867" s="428"/>
      <c r="R867" s="428"/>
      <c r="S867" s="445"/>
      <c r="T867" s="390">
        <v>3</v>
      </c>
      <c r="U867" s="163"/>
      <c r="V867" s="164">
        <v>3</v>
      </c>
      <c r="W867" s="164"/>
      <c r="X867" s="164"/>
      <c r="Y867" s="424" t="s">
        <v>547</v>
      </c>
      <c r="Z867" s="425"/>
      <c r="AA867" s="190"/>
      <c r="AB867" s="426">
        <v>8</v>
      </c>
      <c r="AC867" s="426"/>
      <c r="AD867" s="426"/>
      <c r="AE867" s="427">
        <f t="shared" ref="AE867:AE882" si="92">IF(AB867="","",AB867*V867*$AD$884)</f>
        <v>75.398223686155035</v>
      </c>
      <c r="AF867" s="428"/>
      <c r="AG867" s="428"/>
      <c r="AH867" s="428"/>
    </row>
    <row r="868" spans="1:34" s="1" customFormat="1" ht="15.75" customHeight="1">
      <c r="A868" s="73" t="str">
        <f t="shared" si="90"/>
        <v/>
      </c>
      <c r="E868" s="166">
        <v>4</v>
      </c>
      <c r="F868" s="167"/>
      <c r="G868" s="160">
        <v>5</v>
      </c>
      <c r="H868" s="160"/>
      <c r="I868" s="160"/>
      <c r="J868" s="429" t="s">
        <v>482</v>
      </c>
      <c r="K868" s="430"/>
      <c r="L868" s="166"/>
      <c r="M868" s="431">
        <v>45</v>
      </c>
      <c r="N868" s="431"/>
      <c r="O868" s="431"/>
      <c r="P868" s="418">
        <f t="shared" si="91"/>
        <v>706.85834705770344</v>
      </c>
      <c r="Q868" s="419"/>
      <c r="R868" s="419"/>
      <c r="S868" s="420"/>
      <c r="T868" s="389">
        <v>4</v>
      </c>
      <c r="U868" s="167"/>
      <c r="V868" s="160">
        <v>5</v>
      </c>
      <c r="W868" s="160"/>
      <c r="X868" s="160"/>
      <c r="Y868" s="429" t="s">
        <v>482</v>
      </c>
      <c r="Z868" s="430"/>
      <c r="AA868" s="166"/>
      <c r="AB868" s="431">
        <v>45</v>
      </c>
      <c r="AC868" s="431"/>
      <c r="AD868" s="431"/>
      <c r="AE868" s="418">
        <f t="shared" si="92"/>
        <v>706.85834705770344</v>
      </c>
      <c r="AF868" s="419"/>
      <c r="AG868" s="419"/>
      <c r="AH868" s="419"/>
    </row>
    <row r="869" spans="1:34" s="1" customFormat="1" ht="15.75" customHeight="1">
      <c r="A869" s="73" t="str">
        <f t="shared" si="90"/>
        <v/>
      </c>
      <c r="E869" s="166">
        <v>5</v>
      </c>
      <c r="F869" s="167"/>
      <c r="G869" s="160">
        <v>8</v>
      </c>
      <c r="H869" s="160"/>
      <c r="I869" s="160"/>
      <c r="J869" s="429" t="s">
        <v>547</v>
      </c>
      <c r="K869" s="430"/>
      <c r="L869" s="166"/>
      <c r="M869" s="431">
        <v>25</v>
      </c>
      <c r="N869" s="431"/>
      <c r="O869" s="431"/>
      <c r="P869" s="418">
        <f t="shared" si="91"/>
        <v>628.31853071795865</v>
      </c>
      <c r="Q869" s="419"/>
      <c r="R869" s="419"/>
      <c r="S869" s="420"/>
      <c r="T869" s="389">
        <v>5</v>
      </c>
      <c r="U869" s="167"/>
      <c r="V869" s="160">
        <v>8</v>
      </c>
      <c r="W869" s="160"/>
      <c r="X869" s="160"/>
      <c r="Y869" s="429" t="s">
        <v>547</v>
      </c>
      <c r="Z869" s="430"/>
      <c r="AA869" s="166"/>
      <c r="AB869" s="431">
        <v>25</v>
      </c>
      <c r="AC869" s="431"/>
      <c r="AD869" s="431"/>
      <c r="AE869" s="418">
        <f t="shared" si="92"/>
        <v>628.31853071795865</v>
      </c>
      <c r="AF869" s="419"/>
      <c r="AG869" s="419"/>
      <c r="AH869" s="419"/>
    </row>
    <row r="870" spans="1:34" s="1" customFormat="1" ht="15.75" customHeight="1">
      <c r="A870" s="73" t="str">
        <f t="shared" si="90"/>
        <v/>
      </c>
      <c r="E870" s="166">
        <v>6</v>
      </c>
      <c r="F870" s="167"/>
      <c r="G870" s="160">
        <v>4</v>
      </c>
      <c r="H870" s="160"/>
      <c r="I870" s="160"/>
      <c r="J870" s="429" t="s">
        <v>547</v>
      </c>
      <c r="K870" s="430"/>
      <c r="L870" s="166"/>
      <c r="M870" s="431">
        <v>50</v>
      </c>
      <c r="N870" s="431"/>
      <c r="O870" s="431"/>
      <c r="P870" s="418">
        <f t="shared" si="91"/>
        <v>628.31853071795865</v>
      </c>
      <c r="Q870" s="419"/>
      <c r="R870" s="419"/>
      <c r="S870" s="420"/>
      <c r="T870" s="389">
        <v>6</v>
      </c>
      <c r="U870" s="167"/>
      <c r="V870" s="160">
        <v>4.5</v>
      </c>
      <c r="W870" s="160"/>
      <c r="X870" s="160"/>
      <c r="Y870" s="429" t="s">
        <v>547</v>
      </c>
      <c r="Z870" s="430"/>
      <c r="AA870" s="166"/>
      <c r="AB870" s="431">
        <v>50</v>
      </c>
      <c r="AC870" s="431"/>
      <c r="AD870" s="431"/>
      <c r="AE870" s="418">
        <f t="shared" si="92"/>
        <v>706.85834705770344</v>
      </c>
      <c r="AF870" s="419"/>
      <c r="AG870" s="419"/>
      <c r="AH870" s="419"/>
    </row>
    <row r="871" spans="1:34" s="1" customFormat="1" ht="15.75" customHeight="1">
      <c r="A871" s="73" t="str">
        <f t="shared" si="90"/>
        <v/>
      </c>
      <c r="E871" s="166">
        <v>6</v>
      </c>
      <c r="F871" s="167"/>
      <c r="G871" s="160">
        <v>0.5</v>
      </c>
      <c r="H871" s="160"/>
      <c r="I871" s="160"/>
      <c r="J871" s="429" t="s">
        <v>547</v>
      </c>
      <c r="K871" s="430"/>
      <c r="L871" s="166"/>
      <c r="M871" s="431">
        <v>0</v>
      </c>
      <c r="N871" s="431"/>
      <c r="O871" s="431"/>
      <c r="P871" s="418">
        <f t="shared" si="91"/>
        <v>0</v>
      </c>
      <c r="Q871" s="419"/>
      <c r="R871" s="419"/>
      <c r="S871" s="420"/>
      <c r="T871" s="389">
        <v>7</v>
      </c>
      <c r="U871" s="167"/>
      <c r="V871" s="160">
        <v>0.5</v>
      </c>
      <c r="W871" s="160"/>
      <c r="X871" s="160"/>
      <c r="Y871" s="429" t="s">
        <v>483</v>
      </c>
      <c r="Z871" s="430"/>
      <c r="AA871" s="166"/>
      <c r="AB871" s="431">
        <v>150</v>
      </c>
      <c r="AC871" s="431"/>
      <c r="AD871" s="431"/>
      <c r="AE871" s="418">
        <f t="shared" si="92"/>
        <v>235.61944901923448</v>
      </c>
      <c r="AF871" s="419"/>
      <c r="AG871" s="419"/>
      <c r="AH871" s="419"/>
    </row>
    <row r="872" spans="1:34" s="1" customFormat="1" ht="15.75" customHeight="1">
      <c r="A872" s="73" t="str">
        <f t="shared" si="90"/>
        <v/>
      </c>
      <c r="E872" s="166">
        <v>7</v>
      </c>
      <c r="F872" s="167"/>
      <c r="G872" s="160">
        <v>0.5</v>
      </c>
      <c r="H872" s="160"/>
      <c r="I872" s="160"/>
      <c r="J872" s="429" t="s">
        <v>483</v>
      </c>
      <c r="K872" s="430"/>
      <c r="L872" s="166"/>
      <c r="M872" s="431">
        <v>0</v>
      </c>
      <c r="N872" s="431"/>
      <c r="O872" s="431"/>
      <c r="P872" s="418">
        <f t="shared" si="91"/>
        <v>0</v>
      </c>
      <c r="Q872" s="419"/>
      <c r="R872" s="419"/>
      <c r="S872" s="420"/>
      <c r="T872" s="389"/>
      <c r="U872" s="167"/>
      <c r="V872" s="160"/>
      <c r="W872" s="160"/>
      <c r="X872" s="160"/>
      <c r="Y872" s="429"/>
      <c r="Z872" s="430"/>
      <c r="AA872" s="166"/>
      <c r="AB872" s="431"/>
      <c r="AC872" s="431"/>
      <c r="AD872" s="431"/>
      <c r="AE872" s="418" t="str">
        <f t="shared" si="92"/>
        <v/>
      </c>
      <c r="AF872" s="419"/>
      <c r="AG872" s="419"/>
      <c r="AH872" s="419"/>
    </row>
    <row r="873" spans="1:34" s="1" customFormat="1" ht="15.75" hidden="1" customHeight="1">
      <c r="A873" s="73" t="str">
        <f t="shared" si="90"/>
        <v>×</v>
      </c>
      <c r="E873" s="166"/>
      <c r="F873" s="167"/>
      <c r="G873" s="160"/>
      <c r="H873" s="160"/>
      <c r="I873" s="160"/>
      <c r="J873" s="429"/>
      <c r="K873" s="430"/>
      <c r="L873" s="166"/>
      <c r="M873" s="431"/>
      <c r="N873" s="431"/>
      <c r="O873" s="431"/>
      <c r="P873" s="418" t="str">
        <f t="shared" si="91"/>
        <v/>
      </c>
      <c r="Q873" s="419"/>
      <c r="R873" s="419"/>
      <c r="S873" s="420"/>
      <c r="T873" s="389"/>
      <c r="U873" s="167"/>
      <c r="V873" s="160"/>
      <c r="W873" s="160"/>
      <c r="X873" s="160"/>
      <c r="Y873" s="429"/>
      <c r="Z873" s="430"/>
      <c r="AA873" s="166"/>
      <c r="AB873" s="431"/>
      <c r="AC873" s="431"/>
      <c r="AD873" s="431"/>
      <c r="AE873" s="418" t="str">
        <f t="shared" si="92"/>
        <v/>
      </c>
      <c r="AF873" s="419"/>
      <c r="AG873" s="419"/>
      <c r="AH873" s="419"/>
    </row>
    <row r="874" spans="1:34" s="1" customFormat="1" ht="15.75" hidden="1" customHeight="1">
      <c r="A874" s="73" t="str">
        <f t="shared" si="90"/>
        <v>×</v>
      </c>
      <c r="E874" s="166"/>
      <c r="F874" s="167"/>
      <c r="G874" s="160"/>
      <c r="H874" s="160"/>
      <c r="I874" s="160"/>
      <c r="J874" s="429"/>
      <c r="K874" s="430"/>
      <c r="L874" s="166"/>
      <c r="M874" s="431"/>
      <c r="N874" s="431"/>
      <c r="O874" s="431"/>
      <c r="P874" s="418" t="str">
        <f t="shared" si="91"/>
        <v/>
      </c>
      <c r="Q874" s="419"/>
      <c r="R874" s="419"/>
      <c r="S874" s="420"/>
      <c r="T874" s="389"/>
      <c r="U874" s="167"/>
      <c r="V874" s="160"/>
      <c r="W874" s="160"/>
      <c r="X874" s="160"/>
      <c r="Y874" s="429"/>
      <c r="Z874" s="430"/>
      <c r="AA874" s="166"/>
      <c r="AB874" s="431"/>
      <c r="AC874" s="431"/>
      <c r="AD874" s="431"/>
      <c r="AE874" s="418" t="str">
        <f t="shared" si="92"/>
        <v/>
      </c>
      <c r="AF874" s="419"/>
      <c r="AG874" s="419"/>
      <c r="AH874" s="419"/>
    </row>
    <row r="875" spans="1:34" s="1" customFormat="1" ht="15.75" hidden="1" customHeight="1">
      <c r="A875" s="73" t="str">
        <f t="shared" si="90"/>
        <v>×</v>
      </c>
      <c r="E875" s="166"/>
      <c r="F875" s="167"/>
      <c r="G875" s="160"/>
      <c r="H875" s="160"/>
      <c r="I875" s="160"/>
      <c r="J875" s="429"/>
      <c r="K875" s="430"/>
      <c r="L875" s="166"/>
      <c r="M875" s="431"/>
      <c r="N875" s="431"/>
      <c r="O875" s="431"/>
      <c r="P875" s="418" t="str">
        <f t="shared" si="91"/>
        <v/>
      </c>
      <c r="Q875" s="419"/>
      <c r="R875" s="419"/>
      <c r="S875" s="420"/>
      <c r="T875" s="389"/>
      <c r="U875" s="167"/>
      <c r="V875" s="160"/>
      <c r="W875" s="160"/>
      <c r="X875" s="160"/>
      <c r="Y875" s="429"/>
      <c r="Z875" s="430"/>
      <c r="AA875" s="166"/>
      <c r="AB875" s="431"/>
      <c r="AC875" s="431"/>
      <c r="AD875" s="431"/>
      <c r="AE875" s="418" t="str">
        <f t="shared" si="92"/>
        <v/>
      </c>
      <c r="AF875" s="419"/>
      <c r="AG875" s="419"/>
      <c r="AH875" s="419"/>
    </row>
    <row r="876" spans="1:34" s="1" customFormat="1" ht="15.75" hidden="1" customHeight="1">
      <c r="A876" s="73" t="str">
        <f t="shared" si="90"/>
        <v>×</v>
      </c>
      <c r="E876" s="166"/>
      <c r="F876" s="167"/>
      <c r="G876" s="160"/>
      <c r="H876" s="160"/>
      <c r="I876" s="160"/>
      <c r="J876" s="429"/>
      <c r="K876" s="430"/>
      <c r="L876" s="166"/>
      <c r="M876" s="431"/>
      <c r="N876" s="431"/>
      <c r="O876" s="431"/>
      <c r="P876" s="418" t="str">
        <f t="shared" si="91"/>
        <v/>
      </c>
      <c r="Q876" s="419"/>
      <c r="R876" s="419"/>
      <c r="S876" s="420"/>
      <c r="T876" s="389"/>
      <c r="U876" s="167"/>
      <c r="V876" s="160"/>
      <c r="W876" s="160"/>
      <c r="X876" s="160"/>
      <c r="Y876" s="429"/>
      <c r="Z876" s="430"/>
      <c r="AA876" s="166"/>
      <c r="AB876" s="431"/>
      <c r="AC876" s="431"/>
      <c r="AD876" s="431"/>
      <c r="AE876" s="418" t="str">
        <f t="shared" si="92"/>
        <v/>
      </c>
      <c r="AF876" s="419"/>
      <c r="AG876" s="419"/>
      <c r="AH876" s="419"/>
    </row>
    <row r="877" spans="1:34" s="1" customFormat="1" ht="15.75" hidden="1" customHeight="1">
      <c r="A877" s="73" t="str">
        <f t="shared" si="90"/>
        <v>×</v>
      </c>
      <c r="E877" s="166"/>
      <c r="F877" s="167"/>
      <c r="G877" s="160"/>
      <c r="H877" s="160"/>
      <c r="I877" s="160"/>
      <c r="J877" s="429"/>
      <c r="K877" s="430"/>
      <c r="L877" s="166"/>
      <c r="M877" s="431"/>
      <c r="N877" s="431"/>
      <c r="O877" s="431"/>
      <c r="P877" s="418" t="str">
        <f t="shared" si="91"/>
        <v/>
      </c>
      <c r="Q877" s="419"/>
      <c r="R877" s="419"/>
      <c r="S877" s="420"/>
      <c r="T877" s="389"/>
      <c r="U877" s="167"/>
      <c r="V877" s="160"/>
      <c r="W877" s="160"/>
      <c r="X877" s="160"/>
      <c r="Y877" s="429"/>
      <c r="Z877" s="430"/>
      <c r="AA877" s="166"/>
      <c r="AB877" s="431"/>
      <c r="AC877" s="431"/>
      <c r="AD877" s="431"/>
      <c r="AE877" s="418" t="str">
        <f t="shared" si="92"/>
        <v/>
      </c>
      <c r="AF877" s="419"/>
      <c r="AG877" s="419"/>
      <c r="AH877" s="419"/>
    </row>
    <row r="878" spans="1:34" s="1" customFormat="1" ht="15.75" hidden="1" customHeight="1">
      <c r="A878" s="73" t="str">
        <f t="shared" si="90"/>
        <v>×</v>
      </c>
      <c r="E878" s="166"/>
      <c r="F878" s="167"/>
      <c r="G878" s="160"/>
      <c r="H878" s="160"/>
      <c r="I878" s="160"/>
      <c r="J878" s="429"/>
      <c r="K878" s="430"/>
      <c r="L878" s="166"/>
      <c r="M878" s="431"/>
      <c r="N878" s="431"/>
      <c r="O878" s="431"/>
      <c r="P878" s="418" t="str">
        <f t="shared" si="91"/>
        <v/>
      </c>
      <c r="Q878" s="419"/>
      <c r="R878" s="419"/>
      <c r="S878" s="420"/>
      <c r="T878" s="389"/>
      <c r="U878" s="167"/>
      <c r="V878" s="160"/>
      <c r="W878" s="160"/>
      <c r="X878" s="160"/>
      <c r="Y878" s="429"/>
      <c r="Z878" s="430"/>
      <c r="AA878" s="166"/>
      <c r="AB878" s="431"/>
      <c r="AC878" s="431"/>
      <c r="AD878" s="431"/>
      <c r="AE878" s="418" t="str">
        <f t="shared" si="92"/>
        <v/>
      </c>
      <c r="AF878" s="419"/>
      <c r="AG878" s="419"/>
      <c r="AH878" s="419"/>
    </row>
    <row r="879" spans="1:34" s="1" customFormat="1" ht="15.75" hidden="1" customHeight="1">
      <c r="A879" s="73" t="str">
        <f t="shared" si="90"/>
        <v>×</v>
      </c>
      <c r="E879" s="166"/>
      <c r="F879" s="167"/>
      <c r="G879" s="160"/>
      <c r="H879" s="160"/>
      <c r="I879" s="160"/>
      <c r="J879" s="429"/>
      <c r="K879" s="430"/>
      <c r="L879" s="166"/>
      <c r="M879" s="431"/>
      <c r="N879" s="431"/>
      <c r="O879" s="431"/>
      <c r="P879" s="418" t="str">
        <f t="shared" si="91"/>
        <v/>
      </c>
      <c r="Q879" s="419"/>
      <c r="R879" s="419"/>
      <c r="S879" s="420"/>
      <c r="T879" s="389"/>
      <c r="U879" s="167"/>
      <c r="V879" s="160"/>
      <c r="W879" s="160"/>
      <c r="X879" s="160"/>
      <c r="Y879" s="429"/>
      <c r="Z879" s="430"/>
      <c r="AA879" s="166"/>
      <c r="AB879" s="431"/>
      <c r="AC879" s="431"/>
      <c r="AD879" s="431"/>
      <c r="AE879" s="418" t="str">
        <f t="shared" si="92"/>
        <v/>
      </c>
      <c r="AF879" s="419"/>
      <c r="AG879" s="419"/>
      <c r="AH879" s="419"/>
    </row>
    <row r="880" spans="1:34" s="1" customFormat="1" ht="15.75" hidden="1" customHeight="1">
      <c r="A880" s="73" t="str">
        <f t="shared" si="90"/>
        <v>×</v>
      </c>
      <c r="E880" s="166"/>
      <c r="F880" s="167"/>
      <c r="G880" s="160"/>
      <c r="H880" s="160"/>
      <c r="I880" s="160"/>
      <c r="J880" s="429"/>
      <c r="K880" s="430"/>
      <c r="L880" s="166"/>
      <c r="M880" s="431"/>
      <c r="N880" s="431"/>
      <c r="O880" s="431"/>
      <c r="P880" s="418" t="str">
        <f t="shared" si="91"/>
        <v/>
      </c>
      <c r="Q880" s="419"/>
      <c r="R880" s="419"/>
      <c r="S880" s="420"/>
      <c r="T880" s="389"/>
      <c r="U880" s="167"/>
      <c r="V880" s="160"/>
      <c r="W880" s="160"/>
      <c r="X880" s="160"/>
      <c r="Y880" s="429"/>
      <c r="Z880" s="430"/>
      <c r="AA880" s="166"/>
      <c r="AB880" s="431"/>
      <c r="AC880" s="431"/>
      <c r="AD880" s="431"/>
      <c r="AE880" s="418" t="str">
        <f t="shared" si="92"/>
        <v/>
      </c>
      <c r="AF880" s="419"/>
      <c r="AG880" s="419"/>
      <c r="AH880" s="419"/>
    </row>
    <row r="881" spans="1:39" s="1" customFormat="1" ht="15.75" hidden="1" customHeight="1">
      <c r="A881" s="73" t="str">
        <f t="shared" si="90"/>
        <v>×</v>
      </c>
      <c r="E881" s="166"/>
      <c r="F881" s="167"/>
      <c r="G881" s="160"/>
      <c r="H881" s="160"/>
      <c r="I881" s="160"/>
      <c r="J881" s="429"/>
      <c r="K881" s="430"/>
      <c r="L881" s="166"/>
      <c r="M881" s="431"/>
      <c r="N881" s="431"/>
      <c r="O881" s="431"/>
      <c r="P881" s="418" t="str">
        <f t="shared" si="91"/>
        <v/>
      </c>
      <c r="Q881" s="419"/>
      <c r="R881" s="419"/>
      <c r="S881" s="420"/>
      <c r="T881" s="389"/>
      <c r="U881" s="167"/>
      <c r="V881" s="160"/>
      <c r="W881" s="160"/>
      <c r="X881" s="160"/>
      <c r="Y881" s="429"/>
      <c r="Z881" s="430"/>
      <c r="AA881" s="166"/>
      <c r="AB881" s="431"/>
      <c r="AC881" s="431"/>
      <c r="AD881" s="431"/>
      <c r="AE881" s="418" t="str">
        <f t="shared" si="92"/>
        <v/>
      </c>
      <c r="AF881" s="419"/>
      <c r="AG881" s="419"/>
      <c r="AH881" s="419"/>
    </row>
    <row r="882" spans="1:39" s="1" customFormat="1" ht="15.75" hidden="1" customHeight="1">
      <c r="A882" s="73" t="str">
        <f t="shared" si="90"/>
        <v>×</v>
      </c>
      <c r="E882" s="166"/>
      <c r="F882" s="167"/>
      <c r="G882" s="160"/>
      <c r="H882" s="160"/>
      <c r="I882" s="160"/>
      <c r="J882" s="429"/>
      <c r="K882" s="430"/>
      <c r="L882" s="166"/>
      <c r="M882" s="431"/>
      <c r="N882" s="431"/>
      <c r="O882" s="431"/>
      <c r="P882" s="418" t="str">
        <f t="shared" si="91"/>
        <v/>
      </c>
      <c r="Q882" s="419"/>
      <c r="R882" s="419"/>
      <c r="S882" s="420"/>
      <c r="T882" s="389"/>
      <c r="U882" s="167"/>
      <c r="V882" s="160"/>
      <c r="W882" s="160"/>
      <c r="X882" s="160"/>
      <c r="Y882" s="429"/>
      <c r="Z882" s="430"/>
      <c r="AA882" s="166"/>
      <c r="AB882" s="431"/>
      <c r="AC882" s="431"/>
      <c r="AD882" s="431"/>
      <c r="AE882" s="418" t="str">
        <f t="shared" si="92"/>
        <v/>
      </c>
      <c r="AF882" s="419"/>
      <c r="AG882" s="419"/>
      <c r="AH882" s="419"/>
    </row>
    <row r="883" spans="1:39" s="1" customFormat="1" ht="15.75" customHeight="1">
      <c r="A883" s="76"/>
      <c r="E883" s="207" t="s">
        <v>546</v>
      </c>
      <c r="F883" s="208"/>
      <c r="G883" s="442">
        <f>ROUND(SUM(P867:S882),1)</f>
        <v>2038.9</v>
      </c>
      <c r="H883" s="443"/>
      <c r="I883" s="443"/>
      <c r="J883" s="443"/>
      <c r="K883" s="443"/>
      <c r="L883" s="443"/>
      <c r="M883" s="443"/>
      <c r="N883" s="443"/>
      <c r="O883" s="443"/>
      <c r="P883" s="443"/>
      <c r="Q883" s="443"/>
      <c r="R883" s="443"/>
      <c r="S883" s="444"/>
      <c r="T883" s="400" t="s">
        <v>546</v>
      </c>
      <c r="U883" s="208"/>
      <c r="V883" s="442">
        <f>ROUND(SUM(AE867:AH882),1)</f>
        <v>2353.1</v>
      </c>
      <c r="W883" s="443"/>
      <c r="X883" s="443"/>
      <c r="Y883" s="443"/>
      <c r="Z883" s="443"/>
      <c r="AA883" s="443"/>
      <c r="AB883" s="443"/>
      <c r="AC883" s="443"/>
      <c r="AD883" s="443"/>
      <c r="AE883" s="443"/>
      <c r="AF883" s="443"/>
      <c r="AG883" s="443"/>
      <c r="AH883" s="443"/>
    </row>
    <row r="884" spans="1:39" s="1" customFormat="1" ht="15.75" customHeight="1">
      <c r="E884" s="8"/>
      <c r="F884" s="8"/>
      <c r="G884" s="8"/>
      <c r="H884" s="8"/>
      <c r="I884" s="8"/>
      <c r="J884" s="8"/>
      <c r="K884" s="8"/>
      <c r="L884" s="8"/>
      <c r="M884" s="8"/>
      <c r="N884" s="8"/>
      <c r="O884" s="8"/>
      <c r="AA884" s="2" t="s">
        <v>127</v>
      </c>
      <c r="AB884" s="1" t="s">
        <v>513</v>
      </c>
      <c r="AC884" s="76" t="s">
        <v>27</v>
      </c>
      <c r="AD884" s="212">
        <f>AD860</f>
        <v>3.1415926535897931</v>
      </c>
      <c r="AE884" s="212"/>
      <c r="AF884" s="212"/>
      <c r="AG884" s="7" t="s">
        <v>514</v>
      </c>
      <c r="AH884" s="76" t="s">
        <v>158</v>
      </c>
    </row>
    <row r="885" spans="1:39" s="1" customFormat="1" ht="15.75" customHeight="1">
      <c r="I885" s="76"/>
      <c r="J885" s="76"/>
      <c r="K885" s="76"/>
      <c r="L885" s="9"/>
      <c r="M885" s="9"/>
      <c r="N885" s="9"/>
      <c r="O885" s="76"/>
      <c r="P885" s="76"/>
      <c r="Q885" s="76"/>
      <c r="R885" s="76"/>
      <c r="S885" s="76"/>
      <c r="T885" s="9"/>
      <c r="U885" s="76"/>
      <c r="V885" s="90"/>
      <c r="W885" s="90"/>
      <c r="X885" s="90"/>
      <c r="Y885" s="90"/>
      <c r="Z885" s="8"/>
      <c r="AG885" s="8"/>
      <c r="AH885" s="8"/>
      <c r="AI885" s="8"/>
      <c r="AJ885" s="8"/>
      <c r="AK885" s="8"/>
      <c r="AL885" s="8"/>
      <c r="AM885" s="8"/>
    </row>
    <row r="886" spans="1:39" s="1" customFormat="1" ht="15.75" customHeight="1"/>
    <row r="887" spans="1:39" s="1" customFormat="1" ht="15.75" customHeight="1">
      <c r="E887" s="61" t="s">
        <v>603</v>
      </c>
      <c r="F887" s="85"/>
      <c r="G887" s="85"/>
      <c r="H887" s="61"/>
      <c r="I887" s="61"/>
      <c r="J887" s="61"/>
      <c r="K887" s="61"/>
      <c r="L887" s="61"/>
      <c r="M887" s="61"/>
      <c r="N887" s="61"/>
      <c r="O887" s="61"/>
      <c r="P887" s="61"/>
      <c r="Q887" s="61"/>
      <c r="R887" s="61"/>
      <c r="S887" s="61"/>
      <c r="T887" s="61"/>
      <c r="U887" s="61"/>
      <c r="V887" s="61"/>
      <c r="W887" s="61"/>
      <c r="X887" s="61"/>
      <c r="Y887" s="61"/>
      <c r="Z887" s="61"/>
      <c r="AA887" s="61"/>
      <c r="AB887" s="61"/>
      <c r="AC887" s="61"/>
      <c r="AD887" s="61"/>
      <c r="AE887" s="61"/>
      <c r="AF887" s="61"/>
      <c r="AG887" s="61"/>
      <c r="AH887" s="61"/>
      <c r="AI887" s="8"/>
    </row>
    <row r="888" spans="1:39" s="1" customFormat="1" ht="15.75" customHeight="1">
      <c r="E888" s="347" t="s">
        <v>511</v>
      </c>
      <c r="F888" s="348"/>
      <c r="G888" s="348"/>
      <c r="H888" s="348"/>
      <c r="I888" s="348"/>
      <c r="J888" s="348"/>
      <c r="K888" s="348"/>
      <c r="L888" s="348"/>
      <c r="M888" s="348"/>
      <c r="N888" s="348"/>
      <c r="O888" s="348"/>
      <c r="P888" s="348"/>
      <c r="Q888" s="348"/>
      <c r="R888" s="348"/>
      <c r="S888" s="349"/>
      <c r="T888" s="350" t="s">
        <v>512</v>
      </c>
      <c r="U888" s="147"/>
      <c r="V888" s="147"/>
      <c r="W888" s="147"/>
      <c r="X888" s="147"/>
      <c r="Y888" s="147"/>
      <c r="Z888" s="147"/>
      <c r="AA888" s="147"/>
      <c r="AB888" s="147"/>
      <c r="AC888" s="147"/>
      <c r="AD888" s="147"/>
      <c r="AE888" s="147"/>
      <c r="AF888" s="147"/>
      <c r="AG888" s="147"/>
      <c r="AH888" s="214"/>
    </row>
    <row r="889" spans="1:39" s="1" customFormat="1" ht="15.75" customHeight="1">
      <c r="E889" s="225" t="s">
        <v>78</v>
      </c>
      <c r="F889" s="226"/>
      <c r="G889" s="229" t="s">
        <v>190</v>
      </c>
      <c r="H889" s="230"/>
      <c r="I889" s="230"/>
      <c r="J889" s="325" t="s">
        <v>234</v>
      </c>
      <c r="K889" s="321"/>
      <c r="L889" s="308"/>
      <c r="M889" s="325" t="s">
        <v>545</v>
      </c>
      <c r="N889" s="321"/>
      <c r="O889" s="308"/>
      <c r="P889" s="325" t="s">
        <v>237</v>
      </c>
      <c r="Q889" s="321"/>
      <c r="R889" s="321"/>
      <c r="S889" s="446"/>
      <c r="T889" s="330" t="s">
        <v>78</v>
      </c>
      <c r="U889" s="187"/>
      <c r="V889" s="189" t="s">
        <v>190</v>
      </c>
      <c r="W889" s="218"/>
      <c r="X889" s="218"/>
      <c r="Y889" s="421" t="s">
        <v>234</v>
      </c>
      <c r="Z889" s="422"/>
      <c r="AA889" s="423"/>
      <c r="AB889" s="421" t="s">
        <v>545</v>
      </c>
      <c r="AC889" s="422"/>
      <c r="AD889" s="423"/>
      <c r="AE889" s="421" t="s">
        <v>237</v>
      </c>
      <c r="AF889" s="422"/>
      <c r="AG889" s="422"/>
      <c r="AH889" s="422"/>
    </row>
    <row r="890" spans="1:39" s="1" customFormat="1" ht="15.75" customHeight="1">
      <c r="E890" s="227"/>
      <c r="F890" s="228"/>
      <c r="G890" s="231"/>
      <c r="H890" s="231"/>
      <c r="I890" s="231"/>
      <c r="J890" s="326"/>
      <c r="K890" s="323"/>
      <c r="L890" s="225"/>
      <c r="M890" s="326"/>
      <c r="N890" s="323"/>
      <c r="O890" s="225"/>
      <c r="P890" s="326"/>
      <c r="Q890" s="323"/>
      <c r="R890" s="323"/>
      <c r="S890" s="364"/>
      <c r="T890" s="351"/>
      <c r="U890" s="228"/>
      <c r="V890" s="231"/>
      <c r="W890" s="231"/>
      <c r="X890" s="231"/>
      <c r="Y890" s="326"/>
      <c r="Z890" s="323"/>
      <c r="AA890" s="225"/>
      <c r="AB890" s="326"/>
      <c r="AC890" s="323"/>
      <c r="AD890" s="225"/>
      <c r="AE890" s="326"/>
      <c r="AF890" s="323"/>
      <c r="AG890" s="323"/>
      <c r="AH890" s="323"/>
    </row>
    <row r="891" spans="1:39" s="1" customFormat="1" ht="15.75" customHeight="1">
      <c r="A891" s="73" t="str">
        <f t="shared" ref="A891:A906" si="93">IF(LEN(E891)+LEN(T891)=0,"×","")</f>
        <v/>
      </c>
      <c r="E891" s="190">
        <v>3</v>
      </c>
      <c r="F891" s="163"/>
      <c r="G891" s="164">
        <v>3</v>
      </c>
      <c r="H891" s="164"/>
      <c r="I891" s="164"/>
      <c r="J891" s="424" t="s">
        <v>547</v>
      </c>
      <c r="K891" s="425"/>
      <c r="L891" s="190"/>
      <c r="M891" s="426">
        <v>0</v>
      </c>
      <c r="N891" s="426"/>
      <c r="O891" s="426"/>
      <c r="P891" s="427">
        <f t="shared" ref="P891:P906" si="94">IF(M891="","",M891*G891*$AD$908)</f>
        <v>0</v>
      </c>
      <c r="Q891" s="428"/>
      <c r="R891" s="428"/>
      <c r="S891" s="445"/>
      <c r="T891" s="390">
        <v>3</v>
      </c>
      <c r="U891" s="163"/>
      <c r="V891" s="164">
        <v>3</v>
      </c>
      <c r="W891" s="164"/>
      <c r="X891" s="164"/>
      <c r="Y891" s="424" t="s">
        <v>547</v>
      </c>
      <c r="Z891" s="425"/>
      <c r="AA891" s="190"/>
      <c r="AB891" s="426">
        <v>0</v>
      </c>
      <c r="AC891" s="426"/>
      <c r="AD891" s="426"/>
      <c r="AE891" s="427">
        <f t="shared" ref="AE891:AE906" si="95">IF(AB891="","",AB891*V891*$AD$908)</f>
        <v>0</v>
      </c>
      <c r="AF891" s="428"/>
      <c r="AG891" s="428"/>
      <c r="AH891" s="428"/>
    </row>
    <row r="892" spans="1:39" s="1" customFormat="1" ht="15.75" customHeight="1">
      <c r="A892" s="73" t="str">
        <f t="shared" si="93"/>
        <v/>
      </c>
      <c r="E892" s="166">
        <v>4</v>
      </c>
      <c r="F892" s="167"/>
      <c r="G892" s="160">
        <v>1.2199997901916504</v>
      </c>
      <c r="H892" s="160"/>
      <c r="I892" s="160"/>
      <c r="J892" s="429" t="s">
        <v>482</v>
      </c>
      <c r="K892" s="430"/>
      <c r="L892" s="166"/>
      <c r="M892" s="431">
        <v>0</v>
      </c>
      <c r="N892" s="431"/>
      <c r="O892" s="431"/>
      <c r="P892" s="418">
        <f t="shared" si="94"/>
        <v>0</v>
      </c>
      <c r="Q892" s="419"/>
      <c r="R892" s="419"/>
      <c r="S892" s="420"/>
      <c r="T892" s="389">
        <v>4</v>
      </c>
      <c r="U892" s="167"/>
      <c r="V892" s="160">
        <v>1.2199997901916504</v>
      </c>
      <c r="W892" s="160"/>
      <c r="X892" s="160"/>
      <c r="Y892" s="429" t="s">
        <v>482</v>
      </c>
      <c r="Z892" s="430"/>
      <c r="AA892" s="166"/>
      <c r="AB892" s="431">
        <v>0</v>
      </c>
      <c r="AC892" s="431"/>
      <c r="AD892" s="431"/>
      <c r="AE892" s="418">
        <f t="shared" si="95"/>
        <v>0</v>
      </c>
      <c r="AF892" s="419"/>
      <c r="AG892" s="419"/>
      <c r="AH892" s="419"/>
    </row>
    <row r="893" spans="1:39" s="1" customFormat="1" ht="15.75" customHeight="1">
      <c r="A893" s="73" t="str">
        <f t="shared" si="93"/>
        <v/>
      </c>
      <c r="E893" s="166">
        <v>4</v>
      </c>
      <c r="F893" s="167"/>
      <c r="G893" s="160">
        <v>3.7800002098083496</v>
      </c>
      <c r="H893" s="160"/>
      <c r="I893" s="160"/>
      <c r="J893" s="429" t="s">
        <v>482</v>
      </c>
      <c r="K893" s="430"/>
      <c r="L893" s="166"/>
      <c r="M893" s="431">
        <v>45</v>
      </c>
      <c r="N893" s="431"/>
      <c r="O893" s="431"/>
      <c r="P893" s="418">
        <f t="shared" si="94"/>
        <v>534.38494003658047</v>
      </c>
      <c r="Q893" s="419"/>
      <c r="R893" s="419"/>
      <c r="S893" s="420"/>
      <c r="T893" s="389">
        <v>4</v>
      </c>
      <c r="U893" s="167"/>
      <c r="V893" s="160">
        <v>3.7800002098083496</v>
      </c>
      <c r="W893" s="160"/>
      <c r="X893" s="160"/>
      <c r="Y893" s="429" t="s">
        <v>482</v>
      </c>
      <c r="Z893" s="430"/>
      <c r="AA893" s="166"/>
      <c r="AB893" s="431">
        <v>45</v>
      </c>
      <c r="AC893" s="431"/>
      <c r="AD893" s="431"/>
      <c r="AE893" s="418">
        <f t="shared" si="95"/>
        <v>534.38494003658047</v>
      </c>
      <c r="AF893" s="419"/>
      <c r="AG893" s="419"/>
      <c r="AH893" s="419"/>
    </row>
    <row r="894" spans="1:39" s="1" customFormat="1" ht="15.75" customHeight="1">
      <c r="A894" s="73" t="str">
        <f t="shared" si="93"/>
        <v/>
      </c>
      <c r="E894" s="166">
        <v>5</v>
      </c>
      <c r="F894" s="167"/>
      <c r="G894" s="160">
        <v>8</v>
      </c>
      <c r="H894" s="160"/>
      <c r="I894" s="160"/>
      <c r="J894" s="429" t="s">
        <v>547</v>
      </c>
      <c r="K894" s="430"/>
      <c r="L894" s="166"/>
      <c r="M894" s="431">
        <v>25</v>
      </c>
      <c r="N894" s="431"/>
      <c r="O894" s="431"/>
      <c r="P894" s="418">
        <f t="shared" si="94"/>
        <v>628.31853071795865</v>
      </c>
      <c r="Q894" s="419"/>
      <c r="R894" s="419"/>
      <c r="S894" s="420"/>
      <c r="T894" s="389">
        <v>5</v>
      </c>
      <c r="U894" s="167"/>
      <c r="V894" s="160">
        <v>8</v>
      </c>
      <c r="W894" s="160"/>
      <c r="X894" s="160"/>
      <c r="Y894" s="429" t="s">
        <v>547</v>
      </c>
      <c r="Z894" s="430"/>
      <c r="AA894" s="166"/>
      <c r="AB894" s="431">
        <v>25</v>
      </c>
      <c r="AC894" s="431"/>
      <c r="AD894" s="431"/>
      <c r="AE894" s="418">
        <f t="shared" si="95"/>
        <v>628.31853071795865</v>
      </c>
      <c r="AF894" s="419"/>
      <c r="AG894" s="419"/>
      <c r="AH894" s="419"/>
    </row>
    <row r="895" spans="1:39" s="1" customFormat="1" ht="15.75" customHeight="1">
      <c r="A895" s="73" t="str">
        <f t="shared" si="93"/>
        <v/>
      </c>
      <c r="E895" s="166">
        <v>6</v>
      </c>
      <c r="F895" s="167"/>
      <c r="G895" s="160">
        <v>4</v>
      </c>
      <c r="H895" s="160"/>
      <c r="I895" s="160"/>
      <c r="J895" s="429" t="s">
        <v>547</v>
      </c>
      <c r="K895" s="430"/>
      <c r="L895" s="166"/>
      <c r="M895" s="431">
        <v>50</v>
      </c>
      <c r="N895" s="431"/>
      <c r="O895" s="431"/>
      <c r="P895" s="418">
        <f t="shared" si="94"/>
        <v>628.31853071795865</v>
      </c>
      <c r="Q895" s="419"/>
      <c r="R895" s="419"/>
      <c r="S895" s="420"/>
      <c r="T895" s="389">
        <v>6</v>
      </c>
      <c r="U895" s="167"/>
      <c r="V895" s="160">
        <v>4.5</v>
      </c>
      <c r="W895" s="160"/>
      <c r="X895" s="160"/>
      <c r="Y895" s="429" t="s">
        <v>547</v>
      </c>
      <c r="Z895" s="430"/>
      <c r="AA895" s="166"/>
      <c r="AB895" s="431">
        <v>50</v>
      </c>
      <c r="AC895" s="431"/>
      <c r="AD895" s="431"/>
      <c r="AE895" s="418">
        <f t="shared" si="95"/>
        <v>706.85834705770344</v>
      </c>
      <c r="AF895" s="419"/>
      <c r="AG895" s="419"/>
      <c r="AH895" s="419"/>
    </row>
    <row r="896" spans="1:39" s="1" customFormat="1" ht="15.75" customHeight="1">
      <c r="A896" s="73" t="str">
        <f t="shared" si="93"/>
        <v/>
      </c>
      <c r="E896" s="166">
        <v>6</v>
      </c>
      <c r="F896" s="167"/>
      <c r="G896" s="160">
        <v>0.5</v>
      </c>
      <c r="H896" s="160"/>
      <c r="I896" s="160"/>
      <c r="J896" s="429" t="s">
        <v>547</v>
      </c>
      <c r="K896" s="430"/>
      <c r="L896" s="166"/>
      <c r="M896" s="431">
        <v>0</v>
      </c>
      <c r="N896" s="431"/>
      <c r="O896" s="431"/>
      <c r="P896" s="418">
        <f t="shared" si="94"/>
        <v>0</v>
      </c>
      <c r="Q896" s="419"/>
      <c r="R896" s="419"/>
      <c r="S896" s="420"/>
      <c r="T896" s="389">
        <v>7</v>
      </c>
      <c r="U896" s="167"/>
      <c r="V896" s="160">
        <v>0.5</v>
      </c>
      <c r="W896" s="160"/>
      <c r="X896" s="160"/>
      <c r="Y896" s="429" t="s">
        <v>483</v>
      </c>
      <c r="Z896" s="430"/>
      <c r="AA896" s="166"/>
      <c r="AB896" s="431">
        <v>150</v>
      </c>
      <c r="AC896" s="431"/>
      <c r="AD896" s="431"/>
      <c r="AE896" s="418">
        <f t="shared" si="95"/>
        <v>235.61944901923448</v>
      </c>
      <c r="AF896" s="419"/>
      <c r="AG896" s="419"/>
      <c r="AH896" s="419"/>
    </row>
    <row r="897" spans="1:35" s="1" customFormat="1" ht="15.75" customHeight="1">
      <c r="A897" s="73" t="str">
        <f t="shared" si="93"/>
        <v/>
      </c>
      <c r="E897" s="166">
        <v>7</v>
      </c>
      <c r="F897" s="167"/>
      <c r="G897" s="160">
        <v>0.5</v>
      </c>
      <c r="H897" s="160"/>
      <c r="I897" s="160"/>
      <c r="J897" s="429" t="s">
        <v>483</v>
      </c>
      <c r="K897" s="430"/>
      <c r="L897" s="166"/>
      <c r="M897" s="431">
        <v>0</v>
      </c>
      <c r="N897" s="431"/>
      <c r="O897" s="431"/>
      <c r="P897" s="418">
        <f t="shared" si="94"/>
        <v>0</v>
      </c>
      <c r="Q897" s="419"/>
      <c r="R897" s="419"/>
      <c r="S897" s="420"/>
      <c r="T897" s="389"/>
      <c r="U897" s="167"/>
      <c r="V897" s="160"/>
      <c r="W897" s="160"/>
      <c r="X897" s="160"/>
      <c r="Y897" s="429"/>
      <c r="Z897" s="430"/>
      <c r="AA897" s="166"/>
      <c r="AB897" s="431"/>
      <c r="AC897" s="431"/>
      <c r="AD897" s="431"/>
      <c r="AE897" s="418" t="str">
        <f t="shared" si="95"/>
        <v/>
      </c>
      <c r="AF897" s="419"/>
      <c r="AG897" s="419"/>
      <c r="AH897" s="419"/>
    </row>
    <row r="898" spans="1:35" s="1" customFormat="1" ht="15.75" hidden="1" customHeight="1">
      <c r="A898" s="73" t="str">
        <f t="shared" si="93"/>
        <v>×</v>
      </c>
      <c r="E898" s="166"/>
      <c r="F898" s="167"/>
      <c r="G898" s="160"/>
      <c r="H898" s="160"/>
      <c r="I898" s="160"/>
      <c r="J898" s="429"/>
      <c r="K898" s="430"/>
      <c r="L898" s="166"/>
      <c r="M898" s="431"/>
      <c r="N898" s="431"/>
      <c r="O898" s="431"/>
      <c r="P898" s="418" t="str">
        <f t="shared" si="94"/>
        <v/>
      </c>
      <c r="Q898" s="419"/>
      <c r="R898" s="419"/>
      <c r="S898" s="420"/>
      <c r="T898" s="389"/>
      <c r="U898" s="167"/>
      <c r="V898" s="160"/>
      <c r="W898" s="160"/>
      <c r="X898" s="160"/>
      <c r="Y898" s="429"/>
      <c r="Z898" s="430"/>
      <c r="AA898" s="166"/>
      <c r="AB898" s="431"/>
      <c r="AC898" s="431"/>
      <c r="AD898" s="431"/>
      <c r="AE898" s="418" t="str">
        <f t="shared" si="95"/>
        <v/>
      </c>
      <c r="AF898" s="419"/>
      <c r="AG898" s="419"/>
      <c r="AH898" s="419"/>
    </row>
    <row r="899" spans="1:35" s="1" customFormat="1" ht="15.75" hidden="1" customHeight="1">
      <c r="A899" s="73" t="str">
        <f t="shared" si="93"/>
        <v>×</v>
      </c>
      <c r="E899" s="166"/>
      <c r="F899" s="167"/>
      <c r="G899" s="160"/>
      <c r="H899" s="160"/>
      <c r="I899" s="160"/>
      <c r="J899" s="429"/>
      <c r="K899" s="430"/>
      <c r="L899" s="166"/>
      <c r="M899" s="431"/>
      <c r="N899" s="431"/>
      <c r="O899" s="431"/>
      <c r="P899" s="418" t="str">
        <f t="shared" si="94"/>
        <v/>
      </c>
      <c r="Q899" s="419"/>
      <c r="R899" s="419"/>
      <c r="S899" s="420"/>
      <c r="T899" s="389"/>
      <c r="U899" s="167"/>
      <c r="V899" s="160"/>
      <c r="W899" s="160"/>
      <c r="X899" s="160"/>
      <c r="Y899" s="429"/>
      <c r="Z899" s="430"/>
      <c r="AA899" s="166"/>
      <c r="AB899" s="431"/>
      <c r="AC899" s="431"/>
      <c r="AD899" s="431"/>
      <c r="AE899" s="418" t="str">
        <f t="shared" si="95"/>
        <v/>
      </c>
      <c r="AF899" s="419"/>
      <c r="AG899" s="419"/>
      <c r="AH899" s="419"/>
    </row>
    <row r="900" spans="1:35" s="1" customFormat="1" ht="15.75" hidden="1" customHeight="1">
      <c r="A900" s="73" t="str">
        <f t="shared" si="93"/>
        <v>×</v>
      </c>
      <c r="E900" s="166"/>
      <c r="F900" s="167"/>
      <c r="G900" s="160"/>
      <c r="H900" s="160"/>
      <c r="I900" s="160"/>
      <c r="J900" s="429"/>
      <c r="K900" s="430"/>
      <c r="L900" s="166"/>
      <c r="M900" s="431"/>
      <c r="N900" s="431"/>
      <c r="O900" s="431"/>
      <c r="P900" s="418" t="str">
        <f t="shared" si="94"/>
        <v/>
      </c>
      <c r="Q900" s="419"/>
      <c r="R900" s="419"/>
      <c r="S900" s="420"/>
      <c r="T900" s="389"/>
      <c r="U900" s="167"/>
      <c r="V900" s="160"/>
      <c r="W900" s="160"/>
      <c r="X900" s="160"/>
      <c r="Y900" s="429"/>
      <c r="Z900" s="430"/>
      <c r="AA900" s="166"/>
      <c r="AB900" s="431"/>
      <c r="AC900" s="431"/>
      <c r="AD900" s="431"/>
      <c r="AE900" s="418" t="str">
        <f t="shared" si="95"/>
        <v/>
      </c>
      <c r="AF900" s="419"/>
      <c r="AG900" s="419"/>
      <c r="AH900" s="419"/>
    </row>
    <row r="901" spans="1:35" s="1" customFormat="1" ht="15.75" hidden="1" customHeight="1">
      <c r="A901" s="73" t="str">
        <f t="shared" si="93"/>
        <v>×</v>
      </c>
      <c r="E901" s="166"/>
      <c r="F901" s="167"/>
      <c r="G901" s="160"/>
      <c r="H901" s="160"/>
      <c r="I901" s="160"/>
      <c r="J901" s="429"/>
      <c r="K901" s="430"/>
      <c r="L901" s="166"/>
      <c r="M901" s="431"/>
      <c r="N901" s="431"/>
      <c r="O901" s="431"/>
      <c r="P901" s="418" t="str">
        <f t="shared" si="94"/>
        <v/>
      </c>
      <c r="Q901" s="419"/>
      <c r="R901" s="419"/>
      <c r="S901" s="420"/>
      <c r="T901" s="389"/>
      <c r="U901" s="167"/>
      <c r="V901" s="160"/>
      <c r="W901" s="160"/>
      <c r="X901" s="160"/>
      <c r="Y901" s="429"/>
      <c r="Z901" s="430"/>
      <c r="AA901" s="166"/>
      <c r="AB901" s="431"/>
      <c r="AC901" s="431"/>
      <c r="AD901" s="431"/>
      <c r="AE901" s="418" t="str">
        <f t="shared" si="95"/>
        <v/>
      </c>
      <c r="AF901" s="419"/>
      <c r="AG901" s="419"/>
      <c r="AH901" s="419"/>
    </row>
    <row r="902" spans="1:35" s="1" customFormat="1" ht="15.75" hidden="1" customHeight="1">
      <c r="A902" s="73" t="str">
        <f t="shared" si="93"/>
        <v>×</v>
      </c>
      <c r="E902" s="166"/>
      <c r="F902" s="167"/>
      <c r="G902" s="160"/>
      <c r="H902" s="160"/>
      <c r="I902" s="160"/>
      <c r="J902" s="429"/>
      <c r="K902" s="430"/>
      <c r="L902" s="166"/>
      <c r="M902" s="431"/>
      <c r="N902" s="431"/>
      <c r="O902" s="431"/>
      <c r="P902" s="418" t="str">
        <f t="shared" si="94"/>
        <v/>
      </c>
      <c r="Q902" s="419"/>
      <c r="R902" s="419"/>
      <c r="S902" s="420"/>
      <c r="T902" s="389"/>
      <c r="U902" s="167"/>
      <c r="V902" s="160"/>
      <c r="W902" s="160"/>
      <c r="X902" s="160"/>
      <c r="Y902" s="429"/>
      <c r="Z902" s="430"/>
      <c r="AA902" s="166"/>
      <c r="AB902" s="431"/>
      <c r="AC902" s="431"/>
      <c r="AD902" s="431"/>
      <c r="AE902" s="418" t="str">
        <f t="shared" si="95"/>
        <v/>
      </c>
      <c r="AF902" s="419"/>
      <c r="AG902" s="419"/>
      <c r="AH902" s="419"/>
    </row>
    <row r="903" spans="1:35" s="1" customFormat="1" ht="15.75" hidden="1" customHeight="1">
      <c r="A903" s="73" t="str">
        <f t="shared" si="93"/>
        <v>×</v>
      </c>
      <c r="E903" s="166"/>
      <c r="F903" s="167"/>
      <c r="G903" s="160"/>
      <c r="H903" s="160"/>
      <c r="I903" s="160"/>
      <c r="J903" s="429"/>
      <c r="K903" s="430"/>
      <c r="L903" s="166"/>
      <c r="M903" s="431"/>
      <c r="N903" s="431"/>
      <c r="O903" s="431"/>
      <c r="P903" s="418" t="str">
        <f t="shared" si="94"/>
        <v/>
      </c>
      <c r="Q903" s="419"/>
      <c r="R903" s="419"/>
      <c r="S903" s="420"/>
      <c r="T903" s="389"/>
      <c r="U903" s="167"/>
      <c r="V903" s="160"/>
      <c r="W903" s="160"/>
      <c r="X903" s="160"/>
      <c r="Y903" s="429"/>
      <c r="Z903" s="430"/>
      <c r="AA903" s="166"/>
      <c r="AB903" s="431"/>
      <c r="AC903" s="431"/>
      <c r="AD903" s="431"/>
      <c r="AE903" s="418" t="str">
        <f t="shared" si="95"/>
        <v/>
      </c>
      <c r="AF903" s="419"/>
      <c r="AG903" s="419"/>
      <c r="AH903" s="419"/>
    </row>
    <row r="904" spans="1:35" s="1" customFormat="1" ht="15.75" hidden="1" customHeight="1">
      <c r="A904" s="73" t="str">
        <f t="shared" si="93"/>
        <v>×</v>
      </c>
      <c r="E904" s="166"/>
      <c r="F904" s="167"/>
      <c r="G904" s="160"/>
      <c r="H904" s="160"/>
      <c r="I904" s="160"/>
      <c r="J904" s="429"/>
      <c r="K904" s="430"/>
      <c r="L904" s="166"/>
      <c r="M904" s="431"/>
      <c r="N904" s="431"/>
      <c r="O904" s="431"/>
      <c r="P904" s="418" t="str">
        <f t="shared" si="94"/>
        <v/>
      </c>
      <c r="Q904" s="419"/>
      <c r="R904" s="419"/>
      <c r="S904" s="420"/>
      <c r="T904" s="389"/>
      <c r="U904" s="167"/>
      <c r="V904" s="160"/>
      <c r="W904" s="160"/>
      <c r="X904" s="160"/>
      <c r="Y904" s="429"/>
      <c r="Z904" s="430"/>
      <c r="AA904" s="166"/>
      <c r="AB904" s="431"/>
      <c r="AC904" s="431"/>
      <c r="AD904" s="431"/>
      <c r="AE904" s="418" t="str">
        <f t="shared" si="95"/>
        <v/>
      </c>
      <c r="AF904" s="419"/>
      <c r="AG904" s="419"/>
      <c r="AH904" s="419"/>
    </row>
    <row r="905" spans="1:35" s="1" customFormat="1" ht="15.75" hidden="1" customHeight="1">
      <c r="A905" s="73" t="str">
        <f t="shared" si="93"/>
        <v>×</v>
      </c>
      <c r="E905" s="166"/>
      <c r="F905" s="167"/>
      <c r="G905" s="160"/>
      <c r="H905" s="160"/>
      <c r="I905" s="160"/>
      <c r="J905" s="429"/>
      <c r="K905" s="430"/>
      <c r="L905" s="166"/>
      <c r="M905" s="431"/>
      <c r="N905" s="431"/>
      <c r="O905" s="431"/>
      <c r="P905" s="418" t="str">
        <f t="shared" si="94"/>
        <v/>
      </c>
      <c r="Q905" s="419"/>
      <c r="R905" s="419"/>
      <c r="S905" s="420"/>
      <c r="T905" s="389"/>
      <c r="U905" s="167"/>
      <c r="V905" s="160"/>
      <c r="W905" s="160"/>
      <c r="X905" s="160"/>
      <c r="Y905" s="429"/>
      <c r="Z905" s="430"/>
      <c r="AA905" s="166"/>
      <c r="AB905" s="431"/>
      <c r="AC905" s="431"/>
      <c r="AD905" s="431"/>
      <c r="AE905" s="418" t="str">
        <f t="shared" si="95"/>
        <v/>
      </c>
      <c r="AF905" s="419"/>
      <c r="AG905" s="419"/>
      <c r="AH905" s="419"/>
    </row>
    <row r="906" spans="1:35" s="1" customFormat="1" ht="15.75" hidden="1" customHeight="1">
      <c r="A906" s="73" t="str">
        <f t="shared" si="93"/>
        <v>×</v>
      </c>
      <c r="E906" s="166"/>
      <c r="F906" s="167"/>
      <c r="G906" s="160"/>
      <c r="H906" s="160"/>
      <c r="I906" s="160"/>
      <c r="J906" s="429"/>
      <c r="K906" s="430"/>
      <c r="L906" s="166"/>
      <c r="M906" s="431"/>
      <c r="N906" s="431"/>
      <c r="O906" s="431"/>
      <c r="P906" s="418" t="str">
        <f t="shared" si="94"/>
        <v/>
      </c>
      <c r="Q906" s="419"/>
      <c r="R906" s="419"/>
      <c r="S906" s="420"/>
      <c r="T906" s="389"/>
      <c r="U906" s="167"/>
      <c r="V906" s="160"/>
      <c r="W906" s="160"/>
      <c r="X906" s="160"/>
      <c r="Y906" s="429"/>
      <c r="Z906" s="430"/>
      <c r="AA906" s="166"/>
      <c r="AB906" s="431"/>
      <c r="AC906" s="431"/>
      <c r="AD906" s="431"/>
      <c r="AE906" s="418" t="str">
        <f t="shared" si="95"/>
        <v/>
      </c>
      <c r="AF906" s="419"/>
      <c r="AG906" s="419"/>
      <c r="AH906" s="419"/>
    </row>
    <row r="907" spans="1:35" s="1" customFormat="1" ht="15.75" customHeight="1">
      <c r="A907" s="76"/>
      <c r="E907" s="207" t="s">
        <v>546</v>
      </c>
      <c r="F907" s="208"/>
      <c r="G907" s="442">
        <f>ROUND(SUM(P891:S906),1)</f>
        <v>1791</v>
      </c>
      <c r="H907" s="443"/>
      <c r="I907" s="443"/>
      <c r="J907" s="443"/>
      <c r="K907" s="443"/>
      <c r="L907" s="443"/>
      <c r="M907" s="443"/>
      <c r="N907" s="443"/>
      <c r="O907" s="443"/>
      <c r="P907" s="443"/>
      <c r="Q907" s="443"/>
      <c r="R907" s="443"/>
      <c r="S907" s="444"/>
      <c r="T907" s="400" t="s">
        <v>546</v>
      </c>
      <c r="U907" s="208"/>
      <c r="V907" s="442">
        <f>ROUND(SUM(AE891:AH906),1)</f>
        <v>2105.1999999999998</v>
      </c>
      <c r="W907" s="443"/>
      <c r="X907" s="443"/>
      <c r="Y907" s="443"/>
      <c r="Z907" s="443"/>
      <c r="AA907" s="443"/>
      <c r="AB907" s="443"/>
      <c r="AC907" s="443"/>
      <c r="AD907" s="443"/>
      <c r="AE907" s="443"/>
      <c r="AF907" s="443"/>
      <c r="AG907" s="443"/>
      <c r="AH907" s="443"/>
    </row>
    <row r="908" spans="1:35" s="1" customFormat="1" ht="15.75" customHeight="1">
      <c r="E908" s="8"/>
      <c r="F908" s="8"/>
      <c r="G908" s="8"/>
      <c r="H908" s="8"/>
      <c r="I908" s="8"/>
      <c r="J908" s="8"/>
      <c r="K908" s="8"/>
      <c r="L908" s="8"/>
      <c r="M908" s="8"/>
      <c r="N908" s="8"/>
      <c r="O908" s="8"/>
      <c r="AA908" s="2" t="s">
        <v>127</v>
      </c>
      <c r="AB908" s="1" t="s">
        <v>513</v>
      </c>
      <c r="AC908" s="76" t="s">
        <v>27</v>
      </c>
      <c r="AD908" s="212">
        <f>AD884</f>
        <v>3.1415926535897931</v>
      </c>
      <c r="AE908" s="212"/>
      <c r="AF908" s="212"/>
      <c r="AG908" s="7" t="s">
        <v>514</v>
      </c>
      <c r="AH908" s="76" t="s">
        <v>158</v>
      </c>
    </row>
    <row r="911" spans="1:35" s="1" customFormat="1" ht="15.75" hidden="1" customHeight="1">
      <c r="A911" s="73" t="str">
        <f>IF(液状化L1の有無="","","×")</f>
        <v>×</v>
      </c>
      <c r="E911" s="61" t="s">
        <v>602</v>
      </c>
      <c r="F911" s="85"/>
      <c r="G911" s="85"/>
      <c r="H911" s="61"/>
      <c r="I911" s="61"/>
      <c r="J911" s="61"/>
      <c r="K911" s="61"/>
      <c r="L911" s="61"/>
      <c r="M911" s="61"/>
      <c r="N911" s="61"/>
      <c r="O911" s="61"/>
      <c r="P911" s="61"/>
      <c r="Q911" s="61"/>
      <c r="R911" s="61"/>
      <c r="S911" s="61"/>
      <c r="T911" s="61"/>
      <c r="U911" s="61"/>
      <c r="V911" s="61"/>
      <c r="W911" s="61"/>
      <c r="X911" s="61"/>
      <c r="Y911" s="61"/>
      <c r="Z911" s="61"/>
      <c r="AA911" s="61"/>
      <c r="AB911" s="61"/>
      <c r="AC911" s="61"/>
      <c r="AD911" s="61"/>
      <c r="AE911" s="61"/>
      <c r="AF911" s="61"/>
      <c r="AG911" s="61"/>
      <c r="AH911" s="61"/>
      <c r="AI911" s="8"/>
    </row>
    <row r="912" spans="1:35" s="1" customFormat="1" ht="15.75" hidden="1" customHeight="1">
      <c r="A912" s="73" t="str">
        <f>IF(液状化L1の有無="","","×")</f>
        <v>×</v>
      </c>
      <c r="E912" s="347" t="s">
        <v>511</v>
      </c>
      <c r="F912" s="348"/>
      <c r="G912" s="348"/>
      <c r="H912" s="348"/>
      <c r="I912" s="348"/>
      <c r="J912" s="348"/>
      <c r="K912" s="348"/>
      <c r="L912" s="348"/>
      <c r="M912" s="348"/>
      <c r="N912" s="348"/>
      <c r="O912" s="348"/>
      <c r="P912" s="348"/>
      <c r="Q912" s="348"/>
      <c r="R912" s="348"/>
      <c r="S912" s="349"/>
      <c r="T912" s="350" t="s">
        <v>512</v>
      </c>
      <c r="U912" s="147"/>
      <c r="V912" s="147"/>
      <c r="W912" s="147"/>
      <c r="X912" s="147"/>
      <c r="Y912" s="147"/>
      <c r="Z912" s="147"/>
      <c r="AA912" s="147"/>
      <c r="AB912" s="147"/>
      <c r="AC912" s="147"/>
      <c r="AD912" s="147"/>
      <c r="AE912" s="147"/>
      <c r="AF912" s="147"/>
      <c r="AG912" s="147"/>
      <c r="AH912" s="214"/>
    </row>
    <row r="913" spans="1:34" s="1" customFormat="1" ht="15.75" hidden="1" customHeight="1">
      <c r="A913" s="73" t="str">
        <f>IF(液状化L1の有無="","","×")</f>
        <v>×</v>
      </c>
      <c r="E913" s="225" t="s">
        <v>78</v>
      </c>
      <c r="F913" s="226"/>
      <c r="G913" s="229" t="s">
        <v>190</v>
      </c>
      <c r="H913" s="230"/>
      <c r="I913" s="230"/>
      <c r="J913" s="325" t="s">
        <v>234</v>
      </c>
      <c r="K913" s="321"/>
      <c r="L913" s="308"/>
      <c r="M913" s="325" t="s">
        <v>545</v>
      </c>
      <c r="N913" s="321"/>
      <c r="O913" s="308"/>
      <c r="P913" s="325" t="s">
        <v>237</v>
      </c>
      <c r="Q913" s="321"/>
      <c r="R913" s="321"/>
      <c r="S913" s="446"/>
      <c r="T913" s="330" t="s">
        <v>78</v>
      </c>
      <c r="U913" s="187"/>
      <c r="V913" s="189" t="s">
        <v>190</v>
      </c>
      <c r="W913" s="218"/>
      <c r="X913" s="218"/>
      <c r="Y913" s="421" t="s">
        <v>234</v>
      </c>
      <c r="Z913" s="422"/>
      <c r="AA913" s="423"/>
      <c r="AB913" s="421" t="s">
        <v>545</v>
      </c>
      <c r="AC913" s="422"/>
      <c r="AD913" s="423"/>
      <c r="AE913" s="421" t="s">
        <v>237</v>
      </c>
      <c r="AF913" s="422"/>
      <c r="AG913" s="422"/>
      <c r="AH913" s="422"/>
    </row>
    <row r="914" spans="1:34" s="1" customFormat="1" ht="15.75" hidden="1" customHeight="1">
      <c r="A914" s="73" t="str">
        <f>IF(液状化L1の有無="","","×")</f>
        <v>×</v>
      </c>
      <c r="E914" s="227"/>
      <c r="F914" s="228"/>
      <c r="G914" s="231"/>
      <c r="H914" s="231"/>
      <c r="I914" s="231"/>
      <c r="J914" s="326"/>
      <c r="K914" s="323"/>
      <c r="L914" s="225"/>
      <c r="M914" s="326"/>
      <c r="N914" s="323"/>
      <c r="O914" s="225"/>
      <c r="P914" s="326"/>
      <c r="Q914" s="323"/>
      <c r="R914" s="323"/>
      <c r="S914" s="364"/>
      <c r="T914" s="351"/>
      <c r="U914" s="228"/>
      <c r="V914" s="231"/>
      <c r="W914" s="231"/>
      <c r="X914" s="231"/>
      <c r="Y914" s="326"/>
      <c r="Z914" s="323"/>
      <c r="AA914" s="225"/>
      <c r="AB914" s="326"/>
      <c r="AC914" s="323"/>
      <c r="AD914" s="225"/>
      <c r="AE914" s="326"/>
      <c r="AF914" s="323"/>
      <c r="AG914" s="323"/>
      <c r="AH914" s="323"/>
    </row>
    <row r="915" spans="1:34" s="1" customFormat="1" ht="15.75" hidden="1" customHeight="1">
      <c r="A915" s="73" t="str">
        <f>IF(液状化L1の有無="",IF(LEN(E915)+LEN(T915)=0,"×",""),"×")</f>
        <v>×</v>
      </c>
      <c r="E915" s="190">
        <v>3</v>
      </c>
      <c r="F915" s="163"/>
      <c r="G915" s="164">
        <v>3</v>
      </c>
      <c r="H915" s="164"/>
      <c r="I915" s="164"/>
      <c r="J915" s="424" t="s">
        <v>547</v>
      </c>
      <c r="K915" s="425"/>
      <c r="L915" s="190"/>
      <c r="M915" s="426">
        <v>0</v>
      </c>
      <c r="N915" s="426"/>
      <c r="O915" s="426"/>
      <c r="P915" s="427">
        <f t="shared" ref="P915:P930" si="96">IF(M915="","",M915*G915*$AD$932)</f>
        <v>0</v>
      </c>
      <c r="Q915" s="428"/>
      <c r="R915" s="428"/>
      <c r="S915" s="445"/>
      <c r="T915" s="390">
        <v>3</v>
      </c>
      <c r="U915" s="163"/>
      <c r="V915" s="164">
        <v>3</v>
      </c>
      <c r="W915" s="164"/>
      <c r="X915" s="164"/>
      <c r="Y915" s="424" t="s">
        <v>547</v>
      </c>
      <c r="Z915" s="425"/>
      <c r="AA915" s="190"/>
      <c r="AB915" s="426">
        <v>0</v>
      </c>
      <c r="AC915" s="426"/>
      <c r="AD915" s="426"/>
      <c r="AE915" s="427">
        <f t="shared" ref="AE915:AE930" si="97">IF(AB915="","",AB915*V915*$AD$932)</f>
        <v>0</v>
      </c>
      <c r="AF915" s="428"/>
      <c r="AG915" s="428"/>
      <c r="AH915" s="428"/>
    </row>
    <row r="916" spans="1:34" s="1" customFormat="1" ht="15.75" hidden="1" customHeight="1">
      <c r="A916" s="73" t="str">
        <f>IF(液状化L1の有無="",IF(LEN(E916)+LEN(T916)=0,"×",""),"×")</f>
        <v>×</v>
      </c>
      <c r="E916" s="166">
        <v>4</v>
      </c>
      <c r="F916" s="167"/>
      <c r="G916" s="160">
        <v>1.2199997901916504</v>
      </c>
      <c r="H916" s="160"/>
      <c r="I916" s="160"/>
      <c r="J916" s="429" t="s">
        <v>482</v>
      </c>
      <c r="K916" s="430"/>
      <c r="L916" s="166"/>
      <c r="M916" s="431">
        <v>0</v>
      </c>
      <c r="N916" s="431"/>
      <c r="O916" s="431"/>
      <c r="P916" s="418">
        <f t="shared" si="96"/>
        <v>0</v>
      </c>
      <c r="Q916" s="419"/>
      <c r="R916" s="419"/>
      <c r="S916" s="420"/>
      <c r="T916" s="389">
        <v>4</v>
      </c>
      <c r="U916" s="167"/>
      <c r="V916" s="160">
        <v>1.2199997901916504</v>
      </c>
      <c r="W916" s="160"/>
      <c r="X916" s="160"/>
      <c r="Y916" s="429" t="s">
        <v>482</v>
      </c>
      <c r="Z916" s="430"/>
      <c r="AA916" s="166"/>
      <c r="AB916" s="431">
        <v>0</v>
      </c>
      <c r="AC916" s="431"/>
      <c r="AD916" s="431"/>
      <c r="AE916" s="418">
        <f t="shared" si="97"/>
        <v>0</v>
      </c>
      <c r="AF916" s="419"/>
      <c r="AG916" s="419"/>
      <c r="AH916" s="419"/>
    </row>
    <row r="917" spans="1:34" s="1" customFormat="1" ht="15.75" hidden="1" customHeight="1">
      <c r="A917" s="73" t="str">
        <f>IF(液状化L1の有無="",IF(LEN(E917)+LEN(T917)=0,"×",""),"×")</f>
        <v>×</v>
      </c>
      <c r="E917" s="166">
        <v>4</v>
      </c>
      <c r="F917" s="167"/>
      <c r="G917" s="160">
        <v>3.7800002098083496</v>
      </c>
      <c r="H917" s="160"/>
      <c r="I917" s="160"/>
      <c r="J917" s="429" t="s">
        <v>482</v>
      </c>
      <c r="K917" s="430"/>
      <c r="L917" s="166"/>
      <c r="M917" s="431">
        <v>45</v>
      </c>
      <c r="N917" s="431"/>
      <c r="O917" s="431"/>
      <c r="P917" s="418">
        <f t="shared" si="96"/>
        <v>534.38494003658047</v>
      </c>
      <c r="Q917" s="419"/>
      <c r="R917" s="419"/>
      <c r="S917" s="420"/>
      <c r="T917" s="389">
        <v>4</v>
      </c>
      <c r="U917" s="167"/>
      <c r="V917" s="160">
        <v>3.7800002098083496</v>
      </c>
      <c r="W917" s="160"/>
      <c r="X917" s="160"/>
      <c r="Y917" s="429" t="s">
        <v>482</v>
      </c>
      <c r="Z917" s="430"/>
      <c r="AA917" s="166"/>
      <c r="AB917" s="431">
        <v>45</v>
      </c>
      <c r="AC917" s="431"/>
      <c r="AD917" s="431"/>
      <c r="AE917" s="418">
        <f t="shared" si="97"/>
        <v>534.38494003658047</v>
      </c>
      <c r="AF917" s="419"/>
      <c r="AG917" s="419"/>
      <c r="AH917" s="419"/>
    </row>
    <row r="918" spans="1:34" s="1" customFormat="1" ht="15.75" hidden="1" customHeight="1">
      <c r="A918" s="73" t="str">
        <f>IF(液状化L1の有無="",IF(LEN(E918)+LEN(T918)=0,"×",""),"×")</f>
        <v>×</v>
      </c>
      <c r="E918" s="166">
        <v>5</v>
      </c>
      <c r="F918" s="167"/>
      <c r="G918" s="160">
        <v>8</v>
      </c>
      <c r="H918" s="160"/>
      <c r="I918" s="160"/>
      <c r="J918" s="429" t="s">
        <v>547</v>
      </c>
      <c r="K918" s="430"/>
      <c r="L918" s="166"/>
      <c r="M918" s="431">
        <v>25</v>
      </c>
      <c r="N918" s="431"/>
      <c r="O918" s="431"/>
      <c r="P918" s="418">
        <f t="shared" si="96"/>
        <v>628.31853071795865</v>
      </c>
      <c r="Q918" s="419"/>
      <c r="R918" s="419"/>
      <c r="S918" s="420"/>
      <c r="T918" s="389">
        <v>5</v>
      </c>
      <c r="U918" s="167"/>
      <c r="V918" s="160">
        <v>8</v>
      </c>
      <c r="W918" s="160"/>
      <c r="X918" s="160"/>
      <c r="Y918" s="429" t="s">
        <v>547</v>
      </c>
      <c r="Z918" s="430"/>
      <c r="AA918" s="166"/>
      <c r="AB918" s="431">
        <v>25</v>
      </c>
      <c r="AC918" s="431"/>
      <c r="AD918" s="431"/>
      <c r="AE918" s="418">
        <f t="shared" si="97"/>
        <v>628.31853071795865</v>
      </c>
      <c r="AF918" s="419"/>
      <c r="AG918" s="419"/>
      <c r="AH918" s="419"/>
    </row>
    <row r="919" spans="1:34" s="1" customFormat="1" ht="15.75" hidden="1" customHeight="1">
      <c r="A919" s="73" t="str">
        <f>IF(液状化L1の有無="",IF(LEN(E919)+LEN(T919)=0,"×",""),"×")</f>
        <v>×</v>
      </c>
      <c r="E919" s="166">
        <v>6</v>
      </c>
      <c r="F919" s="167"/>
      <c r="G919" s="160">
        <v>4</v>
      </c>
      <c r="H919" s="160"/>
      <c r="I919" s="160"/>
      <c r="J919" s="429" t="s">
        <v>547</v>
      </c>
      <c r="K919" s="430"/>
      <c r="L919" s="166"/>
      <c r="M919" s="431">
        <v>50</v>
      </c>
      <c r="N919" s="431"/>
      <c r="O919" s="431"/>
      <c r="P919" s="418">
        <f t="shared" si="96"/>
        <v>628.31853071795865</v>
      </c>
      <c r="Q919" s="419"/>
      <c r="R919" s="419"/>
      <c r="S919" s="420"/>
      <c r="T919" s="389">
        <v>6</v>
      </c>
      <c r="U919" s="167"/>
      <c r="V919" s="160">
        <v>4.5</v>
      </c>
      <c r="W919" s="160"/>
      <c r="X919" s="160"/>
      <c r="Y919" s="429" t="s">
        <v>547</v>
      </c>
      <c r="Z919" s="430"/>
      <c r="AA919" s="166"/>
      <c r="AB919" s="431">
        <v>50</v>
      </c>
      <c r="AC919" s="431"/>
      <c r="AD919" s="431"/>
      <c r="AE919" s="418">
        <f t="shared" si="97"/>
        <v>706.85834705770344</v>
      </c>
      <c r="AF919" s="419"/>
      <c r="AG919" s="419"/>
      <c r="AH919" s="419"/>
    </row>
    <row r="920" spans="1:34" s="1" customFormat="1" ht="15.75" hidden="1" customHeight="1">
      <c r="A920" s="73" t="str">
        <f>IF(液状化L1の有無="",IF(LEN(E920)+LEN(T920)=0,"×",""),"×")</f>
        <v>×</v>
      </c>
      <c r="E920" s="166">
        <v>6</v>
      </c>
      <c r="F920" s="167"/>
      <c r="G920" s="160">
        <v>0.5</v>
      </c>
      <c r="H920" s="160"/>
      <c r="I920" s="160"/>
      <c r="J920" s="429" t="s">
        <v>547</v>
      </c>
      <c r="K920" s="430"/>
      <c r="L920" s="166"/>
      <c r="M920" s="431">
        <v>0</v>
      </c>
      <c r="N920" s="431"/>
      <c r="O920" s="431"/>
      <c r="P920" s="418">
        <f t="shared" si="96"/>
        <v>0</v>
      </c>
      <c r="Q920" s="419"/>
      <c r="R920" s="419"/>
      <c r="S920" s="420"/>
      <c r="T920" s="389">
        <v>7</v>
      </c>
      <c r="U920" s="167"/>
      <c r="V920" s="160">
        <v>0.5</v>
      </c>
      <c r="W920" s="160"/>
      <c r="X920" s="160"/>
      <c r="Y920" s="429" t="s">
        <v>483</v>
      </c>
      <c r="Z920" s="430"/>
      <c r="AA920" s="166"/>
      <c r="AB920" s="431">
        <v>150</v>
      </c>
      <c r="AC920" s="431"/>
      <c r="AD920" s="431"/>
      <c r="AE920" s="418">
        <f t="shared" si="97"/>
        <v>235.61944901923448</v>
      </c>
      <c r="AF920" s="419"/>
      <c r="AG920" s="419"/>
      <c r="AH920" s="419"/>
    </row>
    <row r="921" spans="1:34" s="1" customFormat="1" ht="15.75" hidden="1" customHeight="1">
      <c r="A921" s="73" t="str">
        <f>IF(液状化L1の有無="",IF(LEN(E921)+LEN(T921)=0,"×",""),"×")</f>
        <v>×</v>
      </c>
      <c r="E921" s="166">
        <v>7</v>
      </c>
      <c r="F921" s="167"/>
      <c r="G921" s="160">
        <v>0.5</v>
      </c>
      <c r="H921" s="160"/>
      <c r="I921" s="160"/>
      <c r="J921" s="429" t="s">
        <v>483</v>
      </c>
      <c r="K921" s="430"/>
      <c r="L921" s="166"/>
      <c r="M921" s="431">
        <v>0</v>
      </c>
      <c r="N921" s="431"/>
      <c r="O921" s="431"/>
      <c r="P921" s="418">
        <f t="shared" si="96"/>
        <v>0</v>
      </c>
      <c r="Q921" s="419"/>
      <c r="R921" s="419"/>
      <c r="S921" s="420"/>
      <c r="T921" s="389"/>
      <c r="U921" s="167"/>
      <c r="V921" s="160"/>
      <c r="W921" s="160"/>
      <c r="X921" s="160"/>
      <c r="Y921" s="429"/>
      <c r="Z921" s="430"/>
      <c r="AA921" s="166"/>
      <c r="AB921" s="431"/>
      <c r="AC921" s="431"/>
      <c r="AD921" s="431"/>
      <c r="AE921" s="418" t="str">
        <f t="shared" si="97"/>
        <v/>
      </c>
      <c r="AF921" s="419"/>
      <c r="AG921" s="419"/>
      <c r="AH921" s="419"/>
    </row>
    <row r="922" spans="1:34" s="1" customFormat="1" ht="15.75" hidden="1" customHeight="1">
      <c r="A922" s="73" t="str">
        <f>IF(液状化L1の有無="",IF(LEN(E922)+LEN(T922)=0,"×",""),"×")</f>
        <v>×</v>
      </c>
      <c r="E922" s="166"/>
      <c r="F922" s="167"/>
      <c r="G922" s="160"/>
      <c r="H922" s="160"/>
      <c r="I922" s="160"/>
      <c r="J922" s="429"/>
      <c r="K922" s="430"/>
      <c r="L922" s="166"/>
      <c r="M922" s="431"/>
      <c r="N922" s="431"/>
      <c r="O922" s="431"/>
      <c r="P922" s="418" t="str">
        <f t="shared" si="96"/>
        <v/>
      </c>
      <c r="Q922" s="419"/>
      <c r="R922" s="419"/>
      <c r="S922" s="420"/>
      <c r="T922" s="389"/>
      <c r="U922" s="167"/>
      <c r="V922" s="160"/>
      <c r="W922" s="160"/>
      <c r="X922" s="160"/>
      <c r="Y922" s="429"/>
      <c r="Z922" s="430"/>
      <c r="AA922" s="166"/>
      <c r="AB922" s="431"/>
      <c r="AC922" s="431"/>
      <c r="AD922" s="431"/>
      <c r="AE922" s="418" t="str">
        <f t="shared" si="97"/>
        <v/>
      </c>
      <c r="AF922" s="419"/>
      <c r="AG922" s="419"/>
      <c r="AH922" s="419"/>
    </row>
    <row r="923" spans="1:34" s="1" customFormat="1" ht="15.75" hidden="1" customHeight="1">
      <c r="A923" s="73" t="str">
        <f>IF(液状化L1の有無="",IF(LEN(E923)+LEN(T923)=0,"×",""),"×")</f>
        <v>×</v>
      </c>
      <c r="E923" s="166"/>
      <c r="F923" s="167"/>
      <c r="G923" s="160"/>
      <c r="H923" s="160"/>
      <c r="I923" s="160"/>
      <c r="J923" s="429"/>
      <c r="K923" s="430"/>
      <c r="L923" s="166"/>
      <c r="M923" s="431"/>
      <c r="N923" s="431"/>
      <c r="O923" s="431"/>
      <c r="P923" s="418" t="str">
        <f t="shared" si="96"/>
        <v/>
      </c>
      <c r="Q923" s="419"/>
      <c r="R923" s="419"/>
      <c r="S923" s="420"/>
      <c r="T923" s="389"/>
      <c r="U923" s="167"/>
      <c r="V923" s="160"/>
      <c r="W923" s="160"/>
      <c r="X923" s="160"/>
      <c r="Y923" s="429"/>
      <c r="Z923" s="430"/>
      <c r="AA923" s="166"/>
      <c r="AB923" s="431"/>
      <c r="AC923" s="431"/>
      <c r="AD923" s="431"/>
      <c r="AE923" s="418" t="str">
        <f t="shared" si="97"/>
        <v/>
      </c>
      <c r="AF923" s="419"/>
      <c r="AG923" s="419"/>
      <c r="AH923" s="419"/>
    </row>
    <row r="924" spans="1:34" s="1" customFormat="1" ht="15.75" hidden="1" customHeight="1">
      <c r="A924" s="73" t="str">
        <f>IF(液状化L1の有無="",IF(LEN(E924)+LEN(T924)=0,"×",""),"×")</f>
        <v>×</v>
      </c>
      <c r="E924" s="166"/>
      <c r="F924" s="167"/>
      <c r="G924" s="160"/>
      <c r="H924" s="160"/>
      <c r="I924" s="160"/>
      <c r="J924" s="429"/>
      <c r="K924" s="430"/>
      <c r="L924" s="166"/>
      <c r="M924" s="431"/>
      <c r="N924" s="431"/>
      <c r="O924" s="431"/>
      <c r="P924" s="418" t="str">
        <f t="shared" si="96"/>
        <v/>
      </c>
      <c r="Q924" s="419"/>
      <c r="R924" s="419"/>
      <c r="S924" s="420"/>
      <c r="T924" s="389"/>
      <c r="U924" s="167"/>
      <c r="V924" s="160"/>
      <c r="W924" s="160"/>
      <c r="X924" s="160"/>
      <c r="Y924" s="429"/>
      <c r="Z924" s="430"/>
      <c r="AA924" s="166"/>
      <c r="AB924" s="431"/>
      <c r="AC924" s="431"/>
      <c r="AD924" s="431"/>
      <c r="AE924" s="418" t="str">
        <f t="shared" si="97"/>
        <v/>
      </c>
      <c r="AF924" s="419"/>
      <c r="AG924" s="419"/>
      <c r="AH924" s="419"/>
    </row>
    <row r="925" spans="1:34" s="1" customFormat="1" ht="15.75" hidden="1" customHeight="1">
      <c r="A925" s="73" t="str">
        <f>IF(液状化L1の有無="",IF(LEN(E925)+LEN(T925)=0,"×",""),"×")</f>
        <v>×</v>
      </c>
      <c r="E925" s="166"/>
      <c r="F925" s="167"/>
      <c r="G925" s="160"/>
      <c r="H925" s="160"/>
      <c r="I925" s="160"/>
      <c r="J925" s="429"/>
      <c r="K925" s="430"/>
      <c r="L925" s="166"/>
      <c r="M925" s="431"/>
      <c r="N925" s="431"/>
      <c r="O925" s="431"/>
      <c r="P925" s="418" t="str">
        <f t="shared" si="96"/>
        <v/>
      </c>
      <c r="Q925" s="419"/>
      <c r="R925" s="419"/>
      <c r="S925" s="420"/>
      <c r="T925" s="389"/>
      <c r="U925" s="167"/>
      <c r="V925" s="160"/>
      <c r="W925" s="160"/>
      <c r="X925" s="160"/>
      <c r="Y925" s="429"/>
      <c r="Z925" s="430"/>
      <c r="AA925" s="166"/>
      <c r="AB925" s="431"/>
      <c r="AC925" s="431"/>
      <c r="AD925" s="431"/>
      <c r="AE925" s="418" t="str">
        <f t="shared" si="97"/>
        <v/>
      </c>
      <c r="AF925" s="419"/>
      <c r="AG925" s="419"/>
      <c r="AH925" s="419"/>
    </row>
    <row r="926" spans="1:34" s="1" customFormat="1" ht="15.75" hidden="1" customHeight="1">
      <c r="A926" s="73" t="str">
        <f>IF(液状化L1の有無="",IF(LEN(E926)+LEN(T926)=0,"×",""),"×")</f>
        <v>×</v>
      </c>
      <c r="E926" s="166"/>
      <c r="F926" s="167"/>
      <c r="G926" s="160"/>
      <c r="H926" s="160"/>
      <c r="I926" s="160"/>
      <c r="J926" s="429"/>
      <c r="K926" s="430"/>
      <c r="L926" s="166"/>
      <c r="M926" s="431"/>
      <c r="N926" s="431"/>
      <c r="O926" s="431"/>
      <c r="P926" s="418" t="str">
        <f t="shared" si="96"/>
        <v/>
      </c>
      <c r="Q926" s="419"/>
      <c r="R926" s="419"/>
      <c r="S926" s="420"/>
      <c r="T926" s="389"/>
      <c r="U926" s="167"/>
      <c r="V926" s="160"/>
      <c r="W926" s="160"/>
      <c r="X926" s="160"/>
      <c r="Y926" s="429"/>
      <c r="Z926" s="430"/>
      <c r="AA926" s="166"/>
      <c r="AB926" s="431"/>
      <c r="AC926" s="431"/>
      <c r="AD926" s="431"/>
      <c r="AE926" s="418" t="str">
        <f t="shared" si="97"/>
        <v/>
      </c>
      <c r="AF926" s="419"/>
      <c r="AG926" s="419"/>
      <c r="AH926" s="419"/>
    </row>
    <row r="927" spans="1:34" s="1" customFormat="1" ht="15.75" hidden="1" customHeight="1">
      <c r="A927" s="73" t="str">
        <f>IF(液状化L1の有無="",IF(LEN(E927)+LEN(T927)=0,"×",""),"×")</f>
        <v>×</v>
      </c>
      <c r="E927" s="166"/>
      <c r="F927" s="167"/>
      <c r="G927" s="160"/>
      <c r="H927" s="160"/>
      <c r="I927" s="160"/>
      <c r="J927" s="429"/>
      <c r="K927" s="430"/>
      <c r="L927" s="166"/>
      <c r="M927" s="431"/>
      <c r="N927" s="431"/>
      <c r="O927" s="431"/>
      <c r="P927" s="418" t="str">
        <f t="shared" si="96"/>
        <v/>
      </c>
      <c r="Q927" s="419"/>
      <c r="R927" s="419"/>
      <c r="S927" s="420"/>
      <c r="T927" s="389"/>
      <c r="U927" s="167"/>
      <c r="V927" s="160"/>
      <c r="W927" s="160"/>
      <c r="X927" s="160"/>
      <c r="Y927" s="429"/>
      <c r="Z927" s="430"/>
      <c r="AA927" s="166"/>
      <c r="AB927" s="431"/>
      <c r="AC927" s="431"/>
      <c r="AD927" s="431"/>
      <c r="AE927" s="418" t="str">
        <f t="shared" si="97"/>
        <v/>
      </c>
      <c r="AF927" s="419"/>
      <c r="AG927" s="419"/>
      <c r="AH927" s="419"/>
    </row>
    <row r="928" spans="1:34" s="1" customFormat="1" ht="15.75" hidden="1" customHeight="1">
      <c r="A928" s="73" t="str">
        <f>IF(液状化L1の有無="",IF(LEN(E928)+LEN(T928)=0,"×",""),"×")</f>
        <v>×</v>
      </c>
      <c r="E928" s="166"/>
      <c r="F928" s="167"/>
      <c r="G928" s="160"/>
      <c r="H928" s="160"/>
      <c r="I928" s="160"/>
      <c r="J928" s="429"/>
      <c r="K928" s="430"/>
      <c r="L928" s="166"/>
      <c r="M928" s="431"/>
      <c r="N928" s="431"/>
      <c r="O928" s="431"/>
      <c r="P928" s="418" t="str">
        <f t="shared" si="96"/>
        <v/>
      </c>
      <c r="Q928" s="419"/>
      <c r="R928" s="419"/>
      <c r="S928" s="420"/>
      <c r="T928" s="389"/>
      <c r="U928" s="167"/>
      <c r="V928" s="160"/>
      <c r="W928" s="160"/>
      <c r="X928" s="160"/>
      <c r="Y928" s="429"/>
      <c r="Z928" s="430"/>
      <c r="AA928" s="166"/>
      <c r="AB928" s="431"/>
      <c r="AC928" s="431"/>
      <c r="AD928" s="431"/>
      <c r="AE928" s="418" t="str">
        <f t="shared" si="97"/>
        <v/>
      </c>
      <c r="AF928" s="419"/>
      <c r="AG928" s="419"/>
      <c r="AH928" s="419"/>
    </row>
    <row r="929" spans="1:35" s="1" customFormat="1" ht="15.75" hidden="1" customHeight="1">
      <c r="A929" s="73" t="str">
        <f>IF(液状化L1の有無="",IF(LEN(E929)+LEN(T929)=0,"×",""),"×")</f>
        <v>×</v>
      </c>
      <c r="E929" s="166"/>
      <c r="F929" s="167"/>
      <c r="G929" s="160"/>
      <c r="H929" s="160"/>
      <c r="I929" s="160"/>
      <c r="J929" s="429"/>
      <c r="K929" s="430"/>
      <c r="L929" s="166"/>
      <c r="M929" s="431"/>
      <c r="N929" s="431"/>
      <c r="O929" s="431"/>
      <c r="P929" s="418" t="str">
        <f t="shared" si="96"/>
        <v/>
      </c>
      <c r="Q929" s="419"/>
      <c r="R929" s="419"/>
      <c r="S929" s="420"/>
      <c r="T929" s="389"/>
      <c r="U929" s="167"/>
      <c r="V929" s="160"/>
      <c r="W929" s="160"/>
      <c r="X929" s="160"/>
      <c r="Y929" s="429"/>
      <c r="Z929" s="430"/>
      <c r="AA929" s="166"/>
      <c r="AB929" s="431"/>
      <c r="AC929" s="431"/>
      <c r="AD929" s="431"/>
      <c r="AE929" s="418" t="str">
        <f t="shared" si="97"/>
        <v/>
      </c>
      <c r="AF929" s="419"/>
      <c r="AG929" s="419"/>
      <c r="AH929" s="419"/>
    </row>
    <row r="930" spans="1:35" s="1" customFormat="1" ht="15.75" hidden="1" customHeight="1">
      <c r="A930" s="73" t="str">
        <f>IF(液状化L1の有無="",IF(LEN(E930)+LEN(T930)=0,"×",""),"×")</f>
        <v>×</v>
      </c>
      <c r="E930" s="166"/>
      <c r="F930" s="167"/>
      <c r="G930" s="160"/>
      <c r="H930" s="160"/>
      <c r="I930" s="160"/>
      <c r="J930" s="429"/>
      <c r="K930" s="430"/>
      <c r="L930" s="166"/>
      <c r="M930" s="431"/>
      <c r="N930" s="431"/>
      <c r="O930" s="431"/>
      <c r="P930" s="418" t="str">
        <f t="shared" si="96"/>
        <v/>
      </c>
      <c r="Q930" s="419"/>
      <c r="R930" s="419"/>
      <c r="S930" s="420"/>
      <c r="T930" s="389"/>
      <c r="U930" s="167"/>
      <c r="V930" s="160"/>
      <c r="W930" s="160"/>
      <c r="X930" s="160"/>
      <c r="Y930" s="429"/>
      <c r="Z930" s="430"/>
      <c r="AA930" s="166"/>
      <c r="AB930" s="431"/>
      <c r="AC930" s="431"/>
      <c r="AD930" s="431"/>
      <c r="AE930" s="418" t="str">
        <f t="shared" si="97"/>
        <v/>
      </c>
      <c r="AF930" s="419"/>
      <c r="AG930" s="419"/>
      <c r="AH930" s="419"/>
    </row>
    <row r="931" spans="1:35" s="1" customFormat="1" ht="15.75" hidden="1" customHeight="1">
      <c r="A931" s="73" t="str">
        <f>IF(液状化L1の有無="","","×")</f>
        <v>×</v>
      </c>
      <c r="E931" s="207" t="s">
        <v>546</v>
      </c>
      <c r="F931" s="208"/>
      <c r="G931" s="442">
        <f>ROUND(SUM(P915:S930),1)</f>
        <v>1791</v>
      </c>
      <c r="H931" s="443"/>
      <c r="I931" s="443"/>
      <c r="J931" s="443"/>
      <c r="K931" s="443"/>
      <c r="L931" s="443"/>
      <c r="M931" s="443"/>
      <c r="N931" s="443"/>
      <c r="O931" s="443"/>
      <c r="P931" s="443"/>
      <c r="Q931" s="443"/>
      <c r="R931" s="443"/>
      <c r="S931" s="444"/>
      <c r="T931" s="400" t="s">
        <v>546</v>
      </c>
      <c r="U931" s="208"/>
      <c r="V931" s="442">
        <f>ROUND(SUM(AE915:AH930),1)</f>
        <v>2105.1999999999998</v>
      </c>
      <c r="W931" s="443"/>
      <c r="X931" s="443"/>
      <c r="Y931" s="443"/>
      <c r="Z931" s="443"/>
      <c r="AA931" s="443"/>
      <c r="AB931" s="443"/>
      <c r="AC931" s="443"/>
      <c r="AD931" s="443"/>
      <c r="AE931" s="443"/>
      <c r="AF931" s="443"/>
      <c r="AG931" s="443"/>
      <c r="AH931" s="443"/>
    </row>
    <row r="932" spans="1:35" s="1" customFormat="1" ht="15.75" hidden="1" customHeight="1">
      <c r="A932" s="73" t="str">
        <f>IF(液状化L1の有無="","","×")</f>
        <v>×</v>
      </c>
      <c r="E932" s="8"/>
      <c r="F932" s="8"/>
      <c r="G932" s="8"/>
      <c r="H932" s="8"/>
      <c r="I932" s="8"/>
      <c r="J932" s="8"/>
      <c r="K932" s="8"/>
      <c r="L932" s="8"/>
      <c r="M932" s="8"/>
      <c r="N932" s="8"/>
      <c r="O932" s="8"/>
      <c r="AA932" s="2" t="s">
        <v>127</v>
      </c>
      <c r="AB932" s="1" t="s">
        <v>513</v>
      </c>
      <c r="AC932" s="76" t="s">
        <v>27</v>
      </c>
      <c r="AD932" s="212">
        <f>AD908</f>
        <v>3.1415926535897931</v>
      </c>
      <c r="AE932" s="212"/>
      <c r="AF932" s="212"/>
      <c r="AG932" s="7" t="s">
        <v>514</v>
      </c>
      <c r="AH932" s="76" t="s">
        <v>158</v>
      </c>
    </row>
    <row r="933" spans="1:35" ht="15.75" hidden="1" customHeight="1">
      <c r="A933" s="73" t="str">
        <f>IF(液状化L1の有無="","","×")</f>
        <v>×</v>
      </c>
    </row>
    <row r="935" spans="1:35" s="1" customFormat="1" ht="15.75" hidden="1" customHeight="1">
      <c r="A935" s="73" t="str">
        <f>IF(液状化L2の有無="","","×")</f>
        <v>×</v>
      </c>
      <c r="E935" s="61" t="s">
        <v>601</v>
      </c>
      <c r="F935" s="85"/>
      <c r="G935" s="85"/>
      <c r="H935" s="61"/>
      <c r="I935" s="61"/>
      <c r="J935" s="61"/>
      <c r="K935" s="61"/>
      <c r="L935" s="61"/>
      <c r="M935" s="61"/>
      <c r="N935" s="61"/>
      <c r="O935" s="61"/>
      <c r="P935" s="61"/>
      <c r="Q935" s="61"/>
      <c r="R935" s="61"/>
      <c r="S935" s="61"/>
      <c r="T935" s="61"/>
      <c r="U935" s="61"/>
      <c r="V935" s="61"/>
      <c r="W935" s="61"/>
      <c r="X935" s="61"/>
      <c r="Y935" s="61"/>
      <c r="Z935" s="61"/>
      <c r="AA935" s="61"/>
      <c r="AB935" s="61"/>
      <c r="AC935" s="61"/>
      <c r="AD935" s="61"/>
      <c r="AE935" s="61"/>
      <c r="AF935" s="61"/>
      <c r="AG935" s="61"/>
      <c r="AH935" s="61"/>
      <c r="AI935" s="8"/>
    </row>
    <row r="936" spans="1:35" s="1" customFormat="1" ht="15.75" hidden="1" customHeight="1">
      <c r="A936" s="73" t="str">
        <f>IF(液状化L2の有無="","","×")</f>
        <v>×</v>
      </c>
      <c r="E936" s="347" t="s">
        <v>511</v>
      </c>
      <c r="F936" s="348"/>
      <c r="G936" s="348"/>
      <c r="H936" s="348"/>
      <c r="I936" s="348"/>
      <c r="J936" s="348"/>
      <c r="K936" s="348"/>
      <c r="L936" s="348"/>
      <c r="M936" s="348"/>
      <c r="N936" s="348"/>
      <c r="O936" s="348"/>
      <c r="P936" s="348"/>
      <c r="Q936" s="348"/>
      <c r="R936" s="348"/>
      <c r="S936" s="349"/>
      <c r="T936" s="350" t="s">
        <v>512</v>
      </c>
      <c r="U936" s="147"/>
      <c r="V936" s="147"/>
      <c r="W936" s="147"/>
      <c r="X936" s="147"/>
      <c r="Y936" s="147"/>
      <c r="Z936" s="147"/>
      <c r="AA936" s="147"/>
      <c r="AB936" s="147"/>
      <c r="AC936" s="147"/>
      <c r="AD936" s="147"/>
      <c r="AE936" s="147"/>
      <c r="AF936" s="147"/>
      <c r="AG936" s="147"/>
      <c r="AH936" s="214"/>
    </row>
    <row r="937" spans="1:35" s="1" customFormat="1" ht="15.75" hidden="1" customHeight="1">
      <c r="A937" s="73" t="str">
        <f>IF(液状化L2の有無="","","×")</f>
        <v>×</v>
      </c>
      <c r="E937" s="225" t="s">
        <v>78</v>
      </c>
      <c r="F937" s="226"/>
      <c r="G937" s="229" t="s">
        <v>190</v>
      </c>
      <c r="H937" s="230"/>
      <c r="I937" s="230"/>
      <c r="J937" s="325" t="s">
        <v>234</v>
      </c>
      <c r="K937" s="321"/>
      <c r="L937" s="308"/>
      <c r="M937" s="325" t="s">
        <v>545</v>
      </c>
      <c r="N937" s="321"/>
      <c r="O937" s="308"/>
      <c r="P937" s="325" t="s">
        <v>237</v>
      </c>
      <c r="Q937" s="321"/>
      <c r="R937" s="321"/>
      <c r="S937" s="446"/>
      <c r="T937" s="330" t="s">
        <v>78</v>
      </c>
      <c r="U937" s="187"/>
      <c r="V937" s="189" t="s">
        <v>190</v>
      </c>
      <c r="W937" s="218"/>
      <c r="X937" s="218"/>
      <c r="Y937" s="421" t="s">
        <v>234</v>
      </c>
      <c r="Z937" s="422"/>
      <c r="AA937" s="423"/>
      <c r="AB937" s="421" t="s">
        <v>545</v>
      </c>
      <c r="AC937" s="422"/>
      <c r="AD937" s="423"/>
      <c r="AE937" s="421" t="s">
        <v>237</v>
      </c>
      <c r="AF937" s="422"/>
      <c r="AG937" s="422"/>
      <c r="AH937" s="422"/>
    </row>
    <row r="938" spans="1:35" s="1" customFormat="1" ht="15.75" hidden="1" customHeight="1">
      <c r="A938" s="73" t="str">
        <f>IF(液状化L2の有無="","","×")</f>
        <v>×</v>
      </c>
      <c r="E938" s="227"/>
      <c r="F938" s="228"/>
      <c r="G938" s="231"/>
      <c r="H938" s="231"/>
      <c r="I938" s="231"/>
      <c r="J938" s="326"/>
      <c r="K938" s="323"/>
      <c r="L938" s="225"/>
      <c r="M938" s="326"/>
      <c r="N938" s="323"/>
      <c r="O938" s="225"/>
      <c r="P938" s="326"/>
      <c r="Q938" s="323"/>
      <c r="R938" s="323"/>
      <c r="S938" s="364"/>
      <c r="T938" s="351"/>
      <c r="U938" s="228"/>
      <c r="V938" s="231"/>
      <c r="W938" s="231"/>
      <c r="X938" s="231"/>
      <c r="Y938" s="326"/>
      <c r="Z938" s="323"/>
      <c r="AA938" s="225"/>
      <c r="AB938" s="326"/>
      <c r="AC938" s="323"/>
      <c r="AD938" s="225"/>
      <c r="AE938" s="326"/>
      <c r="AF938" s="323"/>
      <c r="AG938" s="323"/>
      <c r="AH938" s="323"/>
    </row>
    <row r="939" spans="1:35" s="1" customFormat="1" ht="15.75" hidden="1" customHeight="1">
      <c r="A939" s="73" t="str">
        <f>IF(液状化L2の有無="",IF(LEN(E939)+LEN(T939)=0,"×",""),"×")</f>
        <v>×</v>
      </c>
      <c r="E939" s="190">
        <v>3</v>
      </c>
      <c r="F939" s="163"/>
      <c r="G939" s="164">
        <v>3</v>
      </c>
      <c r="H939" s="164"/>
      <c r="I939" s="164"/>
      <c r="J939" s="424" t="s">
        <v>547</v>
      </c>
      <c r="K939" s="425"/>
      <c r="L939" s="190"/>
      <c r="M939" s="426">
        <v>0</v>
      </c>
      <c r="N939" s="426"/>
      <c r="O939" s="426"/>
      <c r="P939" s="427">
        <f t="shared" ref="P939:P954" si="98">IF(M939="","",M939*G939*$AD$956)</f>
        <v>0</v>
      </c>
      <c r="Q939" s="428"/>
      <c r="R939" s="428"/>
      <c r="S939" s="445"/>
      <c r="T939" s="390">
        <v>3</v>
      </c>
      <c r="U939" s="163"/>
      <c r="V939" s="164">
        <v>3</v>
      </c>
      <c r="W939" s="164"/>
      <c r="X939" s="164"/>
      <c r="Y939" s="424" t="s">
        <v>547</v>
      </c>
      <c r="Z939" s="425"/>
      <c r="AA939" s="190"/>
      <c r="AB939" s="426">
        <v>0</v>
      </c>
      <c r="AC939" s="426"/>
      <c r="AD939" s="426"/>
      <c r="AE939" s="427">
        <f t="shared" ref="AE939:AE954" si="99">IF(AB939="","",AB939*V939*$AD$956)</f>
        <v>0</v>
      </c>
      <c r="AF939" s="428"/>
      <c r="AG939" s="428"/>
      <c r="AH939" s="428"/>
    </row>
    <row r="940" spans="1:35" s="1" customFormat="1" ht="15.75" hidden="1" customHeight="1">
      <c r="A940" s="73" t="str">
        <f>IF(液状化L2の有無="",IF(LEN(E940)+LEN(T940)=0,"×",""),"×")</f>
        <v>×</v>
      </c>
      <c r="E940" s="166">
        <v>4</v>
      </c>
      <c r="F940" s="167"/>
      <c r="G940" s="160">
        <v>1.2199997901916504</v>
      </c>
      <c r="H940" s="160"/>
      <c r="I940" s="160"/>
      <c r="J940" s="429" t="s">
        <v>482</v>
      </c>
      <c r="K940" s="430"/>
      <c r="L940" s="166"/>
      <c r="M940" s="431">
        <v>0</v>
      </c>
      <c r="N940" s="431"/>
      <c r="O940" s="431"/>
      <c r="P940" s="418">
        <f t="shared" si="98"/>
        <v>0</v>
      </c>
      <c r="Q940" s="419"/>
      <c r="R940" s="419"/>
      <c r="S940" s="420"/>
      <c r="T940" s="389">
        <v>4</v>
      </c>
      <c r="U940" s="167"/>
      <c r="V940" s="160">
        <v>1.2199997901916504</v>
      </c>
      <c r="W940" s="160"/>
      <c r="X940" s="160"/>
      <c r="Y940" s="429" t="s">
        <v>482</v>
      </c>
      <c r="Z940" s="430"/>
      <c r="AA940" s="166"/>
      <c r="AB940" s="431">
        <v>0</v>
      </c>
      <c r="AC940" s="431"/>
      <c r="AD940" s="431"/>
      <c r="AE940" s="418">
        <f t="shared" si="99"/>
        <v>0</v>
      </c>
      <c r="AF940" s="419"/>
      <c r="AG940" s="419"/>
      <c r="AH940" s="419"/>
    </row>
    <row r="941" spans="1:35" s="1" customFormat="1" ht="15.75" hidden="1" customHeight="1">
      <c r="A941" s="73" t="str">
        <f>IF(液状化L2の有無="",IF(LEN(E941)+LEN(T941)=0,"×",""),"×")</f>
        <v>×</v>
      </c>
      <c r="E941" s="166">
        <v>4</v>
      </c>
      <c r="F941" s="167"/>
      <c r="G941" s="160">
        <v>3.7800002098083496</v>
      </c>
      <c r="H941" s="160"/>
      <c r="I941" s="160"/>
      <c r="J941" s="429" t="s">
        <v>482</v>
      </c>
      <c r="K941" s="430"/>
      <c r="L941" s="166"/>
      <c r="M941" s="431">
        <v>45</v>
      </c>
      <c r="N941" s="431"/>
      <c r="O941" s="431"/>
      <c r="P941" s="418">
        <f t="shared" si="98"/>
        <v>534.38494003658047</v>
      </c>
      <c r="Q941" s="419"/>
      <c r="R941" s="419"/>
      <c r="S941" s="420"/>
      <c r="T941" s="389">
        <v>4</v>
      </c>
      <c r="U941" s="167"/>
      <c r="V941" s="160">
        <v>3.7800002098083496</v>
      </c>
      <c r="W941" s="160"/>
      <c r="X941" s="160"/>
      <c r="Y941" s="429" t="s">
        <v>482</v>
      </c>
      <c r="Z941" s="430"/>
      <c r="AA941" s="166"/>
      <c r="AB941" s="431">
        <v>45</v>
      </c>
      <c r="AC941" s="431"/>
      <c r="AD941" s="431"/>
      <c r="AE941" s="418">
        <f t="shared" si="99"/>
        <v>534.38494003658047</v>
      </c>
      <c r="AF941" s="419"/>
      <c r="AG941" s="419"/>
      <c r="AH941" s="419"/>
    </row>
    <row r="942" spans="1:35" s="1" customFormat="1" ht="15.75" hidden="1" customHeight="1">
      <c r="A942" s="73" t="str">
        <f>IF(液状化L2の有無="",IF(LEN(E942)+LEN(T942)=0,"×",""),"×")</f>
        <v>×</v>
      </c>
      <c r="E942" s="166">
        <v>5</v>
      </c>
      <c r="F942" s="167"/>
      <c r="G942" s="160">
        <v>8</v>
      </c>
      <c r="H942" s="160"/>
      <c r="I942" s="160"/>
      <c r="J942" s="429" t="s">
        <v>547</v>
      </c>
      <c r="K942" s="430"/>
      <c r="L942" s="166"/>
      <c r="M942" s="431">
        <v>25</v>
      </c>
      <c r="N942" s="431"/>
      <c r="O942" s="431"/>
      <c r="P942" s="418">
        <f t="shared" si="98"/>
        <v>628.31853071795865</v>
      </c>
      <c r="Q942" s="419"/>
      <c r="R942" s="419"/>
      <c r="S942" s="420"/>
      <c r="T942" s="389">
        <v>5</v>
      </c>
      <c r="U942" s="167"/>
      <c r="V942" s="160">
        <v>8</v>
      </c>
      <c r="W942" s="160"/>
      <c r="X942" s="160"/>
      <c r="Y942" s="429" t="s">
        <v>547</v>
      </c>
      <c r="Z942" s="430"/>
      <c r="AA942" s="166"/>
      <c r="AB942" s="431">
        <v>25</v>
      </c>
      <c r="AC942" s="431"/>
      <c r="AD942" s="431"/>
      <c r="AE942" s="418">
        <f t="shared" si="99"/>
        <v>628.31853071795865</v>
      </c>
      <c r="AF942" s="419"/>
      <c r="AG942" s="419"/>
      <c r="AH942" s="419"/>
    </row>
    <row r="943" spans="1:35" s="1" customFormat="1" ht="15.75" hidden="1" customHeight="1">
      <c r="A943" s="73" t="str">
        <f>IF(液状化L2の有無="",IF(LEN(E943)+LEN(T943)=0,"×",""),"×")</f>
        <v>×</v>
      </c>
      <c r="E943" s="166">
        <v>6</v>
      </c>
      <c r="F943" s="167"/>
      <c r="G943" s="160">
        <v>4</v>
      </c>
      <c r="H943" s="160"/>
      <c r="I943" s="160"/>
      <c r="J943" s="429" t="s">
        <v>547</v>
      </c>
      <c r="K943" s="430"/>
      <c r="L943" s="166"/>
      <c r="M943" s="431">
        <v>50</v>
      </c>
      <c r="N943" s="431"/>
      <c r="O943" s="431"/>
      <c r="P943" s="418">
        <f t="shared" si="98"/>
        <v>628.31853071795865</v>
      </c>
      <c r="Q943" s="419"/>
      <c r="R943" s="419"/>
      <c r="S943" s="420"/>
      <c r="T943" s="389">
        <v>6</v>
      </c>
      <c r="U943" s="167"/>
      <c r="V943" s="160">
        <v>4.5</v>
      </c>
      <c r="W943" s="160"/>
      <c r="X943" s="160"/>
      <c r="Y943" s="429" t="s">
        <v>547</v>
      </c>
      <c r="Z943" s="430"/>
      <c r="AA943" s="166"/>
      <c r="AB943" s="431">
        <v>50</v>
      </c>
      <c r="AC943" s="431"/>
      <c r="AD943" s="431"/>
      <c r="AE943" s="418">
        <f t="shared" si="99"/>
        <v>706.85834705770344</v>
      </c>
      <c r="AF943" s="419"/>
      <c r="AG943" s="419"/>
      <c r="AH943" s="419"/>
    </row>
    <row r="944" spans="1:35" s="1" customFormat="1" ht="15.75" hidden="1" customHeight="1">
      <c r="A944" s="73" t="str">
        <f>IF(液状化L2の有無="",IF(LEN(E944)+LEN(T944)=0,"×",""),"×")</f>
        <v>×</v>
      </c>
      <c r="E944" s="166">
        <v>6</v>
      </c>
      <c r="F944" s="167"/>
      <c r="G944" s="160">
        <v>0.5</v>
      </c>
      <c r="H944" s="160"/>
      <c r="I944" s="160"/>
      <c r="J944" s="429" t="s">
        <v>547</v>
      </c>
      <c r="K944" s="430"/>
      <c r="L944" s="166"/>
      <c r="M944" s="431">
        <v>0</v>
      </c>
      <c r="N944" s="431"/>
      <c r="O944" s="431"/>
      <c r="P944" s="418">
        <f t="shared" si="98"/>
        <v>0</v>
      </c>
      <c r="Q944" s="419"/>
      <c r="R944" s="419"/>
      <c r="S944" s="420"/>
      <c r="T944" s="389">
        <v>7</v>
      </c>
      <c r="U944" s="167"/>
      <c r="V944" s="160">
        <v>0.5</v>
      </c>
      <c r="W944" s="160"/>
      <c r="X944" s="160"/>
      <c r="Y944" s="429" t="s">
        <v>483</v>
      </c>
      <c r="Z944" s="430"/>
      <c r="AA944" s="166"/>
      <c r="AB944" s="431">
        <v>150</v>
      </c>
      <c r="AC944" s="431"/>
      <c r="AD944" s="431"/>
      <c r="AE944" s="418">
        <f t="shared" si="99"/>
        <v>235.61944901923448</v>
      </c>
      <c r="AF944" s="419"/>
      <c r="AG944" s="419"/>
      <c r="AH944" s="419"/>
    </row>
    <row r="945" spans="1:35" s="1" customFormat="1" ht="15.75" hidden="1" customHeight="1">
      <c r="A945" s="73" t="str">
        <f>IF(液状化L2の有無="",IF(LEN(E945)+LEN(T945)=0,"×",""),"×")</f>
        <v>×</v>
      </c>
      <c r="E945" s="166">
        <v>7</v>
      </c>
      <c r="F945" s="167"/>
      <c r="G945" s="160">
        <v>0.5</v>
      </c>
      <c r="H945" s="160"/>
      <c r="I945" s="160"/>
      <c r="J945" s="429" t="s">
        <v>483</v>
      </c>
      <c r="K945" s="430"/>
      <c r="L945" s="166"/>
      <c r="M945" s="431">
        <v>0</v>
      </c>
      <c r="N945" s="431"/>
      <c r="O945" s="431"/>
      <c r="P945" s="418">
        <f t="shared" si="98"/>
        <v>0</v>
      </c>
      <c r="Q945" s="419"/>
      <c r="R945" s="419"/>
      <c r="S945" s="420"/>
      <c r="T945" s="389"/>
      <c r="U945" s="167"/>
      <c r="V945" s="160"/>
      <c r="W945" s="160"/>
      <c r="X945" s="160"/>
      <c r="Y945" s="429"/>
      <c r="Z945" s="430"/>
      <c r="AA945" s="166"/>
      <c r="AB945" s="431"/>
      <c r="AC945" s="431"/>
      <c r="AD945" s="431"/>
      <c r="AE945" s="418" t="str">
        <f t="shared" si="99"/>
        <v/>
      </c>
      <c r="AF945" s="419"/>
      <c r="AG945" s="419"/>
      <c r="AH945" s="419"/>
    </row>
    <row r="946" spans="1:35" s="1" customFormat="1" ht="15.75" hidden="1" customHeight="1">
      <c r="A946" s="73" t="str">
        <f>IF(液状化L2の有無="",IF(LEN(E946)+LEN(T946)=0,"×",""),"×")</f>
        <v>×</v>
      </c>
      <c r="E946" s="166"/>
      <c r="F946" s="167"/>
      <c r="G946" s="160"/>
      <c r="H946" s="160"/>
      <c r="I946" s="160"/>
      <c r="J946" s="429"/>
      <c r="K946" s="430"/>
      <c r="L946" s="166"/>
      <c r="M946" s="431"/>
      <c r="N946" s="431"/>
      <c r="O946" s="431"/>
      <c r="P946" s="418" t="str">
        <f t="shared" si="98"/>
        <v/>
      </c>
      <c r="Q946" s="419"/>
      <c r="R946" s="419"/>
      <c r="S946" s="420"/>
      <c r="T946" s="389"/>
      <c r="U946" s="167"/>
      <c r="V946" s="160"/>
      <c r="W946" s="160"/>
      <c r="X946" s="160"/>
      <c r="Y946" s="429"/>
      <c r="Z946" s="430"/>
      <c r="AA946" s="166"/>
      <c r="AB946" s="431"/>
      <c r="AC946" s="431"/>
      <c r="AD946" s="431"/>
      <c r="AE946" s="418" t="str">
        <f t="shared" si="99"/>
        <v/>
      </c>
      <c r="AF946" s="419"/>
      <c r="AG946" s="419"/>
      <c r="AH946" s="419"/>
    </row>
    <row r="947" spans="1:35" s="1" customFormat="1" ht="15.75" hidden="1" customHeight="1">
      <c r="A947" s="73" t="str">
        <f>IF(液状化L2の有無="",IF(LEN(E947)+LEN(T947)=0,"×",""),"×")</f>
        <v>×</v>
      </c>
      <c r="E947" s="166"/>
      <c r="F947" s="167"/>
      <c r="G947" s="160"/>
      <c r="H947" s="160"/>
      <c r="I947" s="160"/>
      <c r="J947" s="429"/>
      <c r="K947" s="430"/>
      <c r="L947" s="166"/>
      <c r="M947" s="431"/>
      <c r="N947" s="431"/>
      <c r="O947" s="431"/>
      <c r="P947" s="418" t="str">
        <f t="shared" si="98"/>
        <v/>
      </c>
      <c r="Q947" s="419"/>
      <c r="R947" s="419"/>
      <c r="S947" s="420"/>
      <c r="T947" s="389"/>
      <c r="U947" s="167"/>
      <c r="V947" s="160"/>
      <c r="W947" s="160"/>
      <c r="X947" s="160"/>
      <c r="Y947" s="429"/>
      <c r="Z947" s="430"/>
      <c r="AA947" s="166"/>
      <c r="AB947" s="431"/>
      <c r="AC947" s="431"/>
      <c r="AD947" s="431"/>
      <c r="AE947" s="418" t="str">
        <f t="shared" si="99"/>
        <v/>
      </c>
      <c r="AF947" s="419"/>
      <c r="AG947" s="419"/>
      <c r="AH947" s="419"/>
    </row>
    <row r="948" spans="1:35" s="1" customFormat="1" ht="15.75" hidden="1" customHeight="1">
      <c r="A948" s="73" t="str">
        <f>IF(液状化L2の有無="",IF(LEN(E948)+LEN(T948)=0,"×",""),"×")</f>
        <v>×</v>
      </c>
      <c r="E948" s="166"/>
      <c r="F948" s="167"/>
      <c r="G948" s="160"/>
      <c r="H948" s="160"/>
      <c r="I948" s="160"/>
      <c r="J948" s="429"/>
      <c r="K948" s="430"/>
      <c r="L948" s="166"/>
      <c r="M948" s="431"/>
      <c r="N948" s="431"/>
      <c r="O948" s="431"/>
      <c r="P948" s="418" t="str">
        <f t="shared" si="98"/>
        <v/>
      </c>
      <c r="Q948" s="419"/>
      <c r="R948" s="419"/>
      <c r="S948" s="420"/>
      <c r="T948" s="389"/>
      <c r="U948" s="167"/>
      <c r="V948" s="160"/>
      <c r="W948" s="160"/>
      <c r="X948" s="160"/>
      <c r="Y948" s="429"/>
      <c r="Z948" s="430"/>
      <c r="AA948" s="166"/>
      <c r="AB948" s="431"/>
      <c r="AC948" s="431"/>
      <c r="AD948" s="431"/>
      <c r="AE948" s="418" t="str">
        <f t="shared" si="99"/>
        <v/>
      </c>
      <c r="AF948" s="419"/>
      <c r="AG948" s="419"/>
      <c r="AH948" s="419"/>
    </row>
    <row r="949" spans="1:35" s="1" customFormat="1" ht="15.75" hidden="1" customHeight="1">
      <c r="A949" s="73" t="str">
        <f>IF(液状化L2の有無="",IF(LEN(E949)+LEN(T949)=0,"×",""),"×")</f>
        <v>×</v>
      </c>
      <c r="E949" s="166"/>
      <c r="F949" s="167"/>
      <c r="G949" s="160"/>
      <c r="H949" s="160"/>
      <c r="I949" s="160"/>
      <c r="J949" s="429"/>
      <c r="K949" s="430"/>
      <c r="L949" s="166"/>
      <c r="M949" s="431"/>
      <c r="N949" s="431"/>
      <c r="O949" s="431"/>
      <c r="P949" s="418" t="str">
        <f t="shared" si="98"/>
        <v/>
      </c>
      <c r="Q949" s="419"/>
      <c r="R949" s="419"/>
      <c r="S949" s="420"/>
      <c r="T949" s="389"/>
      <c r="U949" s="167"/>
      <c r="V949" s="160"/>
      <c r="W949" s="160"/>
      <c r="X949" s="160"/>
      <c r="Y949" s="429"/>
      <c r="Z949" s="430"/>
      <c r="AA949" s="166"/>
      <c r="AB949" s="431"/>
      <c r="AC949" s="431"/>
      <c r="AD949" s="431"/>
      <c r="AE949" s="418" t="str">
        <f t="shared" si="99"/>
        <v/>
      </c>
      <c r="AF949" s="419"/>
      <c r="AG949" s="419"/>
      <c r="AH949" s="419"/>
    </row>
    <row r="950" spans="1:35" s="1" customFormat="1" ht="15.75" hidden="1" customHeight="1">
      <c r="A950" s="73" t="str">
        <f>IF(液状化L2の有無="",IF(LEN(E950)+LEN(T950)=0,"×",""),"×")</f>
        <v>×</v>
      </c>
      <c r="E950" s="166"/>
      <c r="F950" s="167"/>
      <c r="G950" s="160"/>
      <c r="H950" s="160"/>
      <c r="I950" s="160"/>
      <c r="J950" s="429"/>
      <c r="K950" s="430"/>
      <c r="L950" s="166"/>
      <c r="M950" s="431"/>
      <c r="N950" s="431"/>
      <c r="O950" s="431"/>
      <c r="P950" s="418" t="str">
        <f t="shared" si="98"/>
        <v/>
      </c>
      <c r="Q950" s="419"/>
      <c r="R950" s="419"/>
      <c r="S950" s="420"/>
      <c r="T950" s="389"/>
      <c r="U950" s="167"/>
      <c r="V950" s="160"/>
      <c r="W950" s="160"/>
      <c r="X950" s="160"/>
      <c r="Y950" s="429"/>
      <c r="Z950" s="430"/>
      <c r="AA950" s="166"/>
      <c r="AB950" s="431"/>
      <c r="AC950" s="431"/>
      <c r="AD950" s="431"/>
      <c r="AE950" s="418" t="str">
        <f t="shared" si="99"/>
        <v/>
      </c>
      <c r="AF950" s="419"/>
      <c r="AG950" s="419"/>
      <c r="AH950" s="419"/>
    </row>
    <row r="951" spans="1:35" s="1" customFormat="1" ht="15.75" hidden="1" customHeight="1">
      <c r="A951" s="73" t="str">
        <f>IF(液状化L2の有無="",IF(LEN(E951)+LEN(T951)=0,"×",""),"×")</f>
        <v>×</v>
      </c>
      <c r="E951" s="166"/>
      <c r="F951" s="167"/>
      <c r="G951" s="160"/>
      <c r="H951" s="160"/>
      <c r="I951" s="160"/>
      <c r="J951" s="429"/>
      <c r="K951" s="430"/>
      <c r="L951" s="166"/>
      <c r="M951" s="431"/>
      <c r="N951" s="431"/>
      <c r="O951" s="431"/>
      <c r="P951" s="418" t="str">
        <f t="shared" si="98"/>
        <v/>
      </c>
      <c r="Q951" s="419"/>
      <c r="R951" s="419"/>
      <c r="S951" s="420"/>
      <c r="T951" s="389"/>
      <c r="U951" s="167"/>
      <c r="V951" s="160"/>
      <c r="W951" s="160"/>
      <c r="X951" s="160"/>
      <c r="Y951" s="429"/>
      <c r="Z951" s="430"/>
      <c r="AA951" s="166"/>
      <c r="AB951" s="431"/>
      <c r="AC951" s="431"/>
      <c r="AD951" s="431"/>
      <c r="AE951" s="418" t="str">
        <f t="shared" si="99"/>
        <v/>
      </c>
      <c r="AF951" s="419"/>
      <c r="AG951" s="419"/>
      <c r="AH951" s="419"/>
    </row>
    <row r="952" spans="1:35" s="1" customFormat="1" ht="15.75" hidden="1" customHeight="1">
      <c r="A952" s="73" t="str">
        <f>IF(液状化L2の有無="",IF(LEN(E952)+LEN(T952)=0,"×",""),"×")</f>
        <v>×</v>
      </c>
      <c r="E952" s="166"/>
      <c r="F952" s="167"/>
      <c r="G952" s="160"/>
      <c r="H952" s="160"/>
      <c r="I952" s="160"/>
      <c r="J952" s="429"/>
      <c r="K952" s="430"/>
      <c r="L952" s="166"/>
      <c r="M952" s="431"/>
      <c r="N952" s="431"/>
      <c r="O952" s="431"/>
      <c r="P952" s="418" t="str">
        <f t="shared" si="98"/>
        <v/>
      </c>
      <c r="Q952" s="419"/>
      <c r="R952" s="419"/>
      <c r="S952" s="420"/>
      <c r="T952" s="389"/>
      <c r="U952" s="167"/>
      <c r="V952" s="160"/>
      <c r="W952" s="160"/>
      <c r="X952" s="160"/>
      <c r="Y952" s="429"/>
      <c r="Z952" s="430"/>
      <c r="AA952" s="166"/>
      <c r="AB952" s="431"/>
      <c r="AC952" s="431"/>
      <c r="AD952" s="431"/>
      <c r="AE952" s="418" t="str">
        <f t="shared" si="99"/>
        <v/>
      </c>
      <c r="AF952" s="419"/>
      <c r="AG952" s="419"/>
      <c r="AH952" s="419"/>
    </row>
    <row r="953" spans="1:35" s="1" customFormat="1" ht="15.75" hidden="1" customHeight="1">
      <c r="A953" s="73" t="str">
        <f>IF(液状化L2の有無="",IF(LEN(E953)+LEN(T953)=0,"×",""),"×")</f>
        <v>×</v>
      </c>
      <c r="E953" s="166"/>
      <c r="F953" s="167"/>
      <c r="G953" s="160"/>
      <c r="H953" s="160"/>
      <c r="I953" s="160"/>
      <c r="J953" s="429"/>
      <c r="K953" s="430"/>
      <c r="L953" s="166"/>
      <c r="M953" s="431"/>
      <c r="N953" s="431"/>
      <c r="O953" s="431"/>
      <c r="P953" s="418" t="str">
        <f t="shared" si="98"/>
        <v/>
      </c>
      <c r="Q953" s="419"/>
      <c r="R953" s="419"/>
      <c r="S953" s="420"/>
      <c r="T953" s="389"/>
      <c r="U953" s="167"/>
      <c r="V953" s="160"/>
      <c r="W953" s="160"/>
      <c r="X953" s="160"/>
      <c r="Y953" s="429"/>
      <c r="Z953" s="430"/>
      <c r="AA953" s="166"/>
      <c r="AB953" s="431"/>
      <c r="AC953" s="431"/>
      <c r="AD953" s="431"/>
      <c r="AE953" s="418" t="str">
        <f t="shared" si="99"/>
        <v/>
      </c>
      <c r="AF953" s="419"/>
      <c r="AG953" s="419"/>
      <c r="AH953" s="419"/>
    </row>
    <row r="954" spans="1:35" s="1" customFormat="1" ht="15.75" hidden="1" customHeight="1">
      <c r="A954" s="73" t="str">
        <f>IF(液状化L2の有無="",IF(LEN(E954)+LEN(T954)=0,"×",""),"×")</f>
        <v>×</v>
      </c>
      <c r="E954" s="166"/>
      <c r="F954" s="167"/>
      <c r="G954" s="160"/>
      <c r="H954" s="160"/>
      <c r="I954" s="160"/>
      <c r="J954" s="429"/>
      <c r="K954" s="430"/>
      <c r="L954" s="166"/>
      <c r="M954" s="431"/>
      <c r="N954" s="431"/>
      <c r="O954" s="431"/>
      <c r="P954" s="418" t="str">
        <f t="shared" si="98"/>
        <v/>
      </c>
      <c r="Q954" s="419"/>
      <c r="R954" s="419"/>
      <c r="S954" s="420"/>
      <c r="T954" s="389"/>
      <c r="U954" s="167"/>
      <c r="V954" s="160"/>
      <c r="W954" s="160"/>
      <c r="X954" s="160"/>
      <c r="Y954" s="429"/>
      <c r="Z954" s="430"/>
      <c r="AA954" s="166"/>
      <c r="AB954" s="431"/>
      <c r="AC954" s="431"/>
      <c r="AD954" s="431"/>
      <c r="AE954" s="418" t="str">
        <f t="shared" si="99"/>
        <v/>
      </c>
      <c r="AF954" s="419"/>
      <c r="AG954" s="419"/>
      <c r="AH954" s="419"/>
    </row>
    <row r="955" spans="1:35" s="1" customFormat="1" ht="15.75" hidden="1" customHeight="1">
      <c r="A955" s="73" t="str">
        <f>IF(液状化L2の有無="","","×")</f>
        <v>×</v>
      </c>
      <c r="E955" s="207" t="s">
        <v>546</v>
      </c>
      <c r="F955" s="208"/>
      <c r="G955" s="442">
        <f>ROUND(SUM(P939:S954),1)</f>
        <v>1791</v>
      </c>
      <c r="H955" s="443"/>
      <c r="I955" s="443"/>
      <c r="J955" s="443"/>
      <c r="K955" s="443"/>
      <c r="L955" s="443"/>
      <c r="M955" s="443"/>
      <c r="N955" s="443"/>
      <c r="O955" s="443"/>
      <c r="P955" s="443"/>
      <c r="Q955" s="443"/>
      <c r="R955" s="443"/>
      <c r="S955" s="444"/>
      <c r="T955" s="400" t="s">
        <v>546</v>
      </c>
      <c r="U955" s="208"/>
      <c r="V955" s="442">
        <f>ROUND(SUM(AE939:AH954),1)</f>
        <v>2105.1999999999998</v>
      </c>
      <c r="W955" s="443"/>
      <c r="X955" s="443"/>
      <c r="Y955" s="443"/>
      <c r="Z955" s="443"/>
      <c r="AA955" s="443"/>
      <c r="AB955" s="443"/>
      <c r="AC955" s="443"/>
      <c r="AD955" s="443"/>
      <c r="AE955" s="443"/>
      <c r="AF955" s="443"/>
      <c r="AG955" s="443"/>
      <c r="AH955" s="443"/>
    </row>
    <row r="956" spans="1:35" s="1" customFormat="1" ht="15.75" hidden="1" customHeight="1">
      <c r="A956" s="73" t="str">
        <f>IF(液状化L2の有無="","","×")</f>
        <v>×</v>
      </c>
      <c r="E956" s="8"/>
      <c r="F956" s="8"/>
      <c r="G956" s="8"/>
      <c r="H956" s="8"/>
      <c r="I956" s="8"/>
      <c r="J956" s="8"/>
      <c r="K956" s="8"/>
      <c r="L956" s="8"/>
      <c r="M956" s="8"/>
      <c r="N956" s="8"/>
      <c r="O956" s="8"/>
      <c r="AA956" s="2" t="s">
        <v>127</v>
      </c>
      <c r="AB956" s="1" t="s">
        <v>513</v>
      </c>
      <c r="AC956" s="76" t="s">
        <v>27</v>
      </c>
      <c r="AD956" s="212">
        <f>AD932</f>
        <v>3.1415926535897931</v>
      </c>
      <c r="AE956" s="212"/>
      <c r="AF956" s="212"/>
      <c r="AG956" s="7" t="s">
        <v>514</v>
      </c>
      <c r="AH956" s="76" t="s">
        <v>158</v>
      </c>
    </row>
    <row r="957" spans="1:35" ht="15.75" hidden="1" customHeight="1">
      <c r="A957" s="73" t="str">
        <f>IF(液状化L2の有無="","","×")</f>
        <v>×</v>
      </c>
    </row>
    <row r="959" spans="1:35" s="1" customFormat="1" ht="15.75" customHeight="1">
      <c r="E959" s="61" t="s">
        <v>600</v>
      </c>
      <c r="F959" s="85"/>
      <c r="G959" s="85"/>
      <c r="H959" s="61"/>
      <c r="I959" s="61"/>
      <c r="J959" s="61"/>
      <c r="K959" s="61"/>
      <c r="L959" s="61"/>
      <c r="M959" s="61"/>
      <c r="N959" s="61"/>
      <c r="O959" s="61"/>
      <c r="P959" s="61"/>
      <c r="Q959" s="61"/>
      <c r="R959" s="61"/>
      <c r="S959" s="61"/>
      <c r="T959" s="61"/>
      <c r="U959" s="61"/>
      <c r="V959" s="61"/>
      <c r="W959" s="61"/>
      <c r="X959" s="61"/>
      <c r="Y959" s="61"/>
      <c r="Z959" s="61"/>
      <c r="AA959" s="61"/>
      <c r="AB959" s="61"/>
      <c r="AC959" s="61"/>
      <c r="AD959" s="61"/>
      <c r="AE959" s="61"/>
      <c r="AF959" s="61"/>
      <c r="AG959" s="61"/>
      <c r="AH959" s="61"/>
      <c r="AI959" s="8"/>
    </row>
    <row r="960" spans="1:35" s="1" customFormat="1" ht="15.75" customHeight="1">
      <c r="E960" s="347" t="s">
        <v>511</v>
      </c>
      <c r="F960" s="348"/>
      <c r="G960" s="348"/>
      <c r="H960" s="348"/>
      <c r="I960" s="348"/>
      <c r="J960" s="348"/>
      <c r="K960" s="348"/>
      <c r="L960" s="348"/>
      <c r="M960" s="348"/>
      <c r="N960" s="348"/>
      <c r="O960" s="348"/>
      <c r="P960" s="348"/>
      <c r="Q960" s="348"/>
      <c r="R960" s="348"/>
      <c r="S960" s="349"/>
      <c r="T960" s="350" t="s">
        <v>512</v>
      </c>
      <c r="U960" s="147"/>
      <c r="V960" s="147"/>
      <c r="W960" s="147"/>
      <c r="X960" s="147"/>
      <c r="Y960" s="147"/>
      <c r="Z960" s="147"/>
      <c r="AA960" s="147"/>
      <c r="AB960" s="147"/>
      <c r="AC960" s="147"/>
      <c r="AD960" s="147"/>
      <c r="AE960" s="147"/>
      <c r="AF960" s="147"/>
      <c r="AG960" s="147"/>
      <c r="AH960" s="214"/>
    </row>
    <row r="961" spans="1:34" s="1" customFormat="1" ht="15.75" customHeight="1">
      <c r="E961" s="225" t="s">
        <v>78</v>
      </c>
      <c r="F961" s="226"/>
      <c r="G961" s="229" t="s">
        <v>190</v>
      </c>
      <c r="H961" s="230"/>
      <c r="I961" s="230"/>
      <c r="J961" s="325" t="s">
        <v>234</v>
      </c>
      <c r="K961" s="321"/>
      <c r="L961" s="308"/>
      <c r="M961" s="325" t="s">
        <v>545</v>
      </c>
      <c r="N961" s="321"/>
      <c r="O961" s="308"/>
      <c r="P961" s="325" t="s">
        <v>237</v>
      </c>
      <c r="Q961" s="321"/>
      <c r="R961" s="321"/>
      <c r="S961" s="446"/>
      <c r="T961" s="330" t="s">
        <v>78</v>
      </c>
      <c r="U961" s="187"/>
      <c r="V961" s="189" t="s">
        <v>190</v>
      </c>
      <c r="W961" s="218"/>
      <c r="X961" s="218"/>
      <c r="Y961" s="421" t="s">
        <v>234</v>
      </c>
      <c r="Z961" s="422"/>
      <c r="AA961" s="423"/>
      <c r="AB961" s="421" t="s">
        <v>545</v>
      </c>
      <c r="AC961" s="422"/>
      <c r="AD961" s="423"/>
      <c r="AE961" s="421" t="s">
        <v>237</v>
      </c>
      <c r="AF961" s="422"/>
      <c r="AG961" s="422"/>
      <c r="AH961" s="422"/>
    </row>
    <row r="962" spans="1:34" s="1" customFormat="1" ht="15.75" customHeight="1">
      <c r="E962" s="227"/>
      <c r="F962" s="228"/>
      <c r="G962" s="231"/>
      <c r="H962" s="231"/>
      <c r="I962" s="231"/>
      <c r="J962" s="326"/>
      <c r="K962" s="323"/>
      <c r="L962" s="225"/>
      <c r="M962" s="326"/>
      <c r="N962" s="323"/>
      <c r="O962" s="225"/>
      <c r="P962" s="326"/>
      <c r="Q962" s="323"/>
      <c r="R962" s="323"/>
      <c r="S962" s="364"/>
      <c r="T962" s="351"/>
      <c r="U962" s="228"/>
      <c r="V962" s="231"/>
      <c r="W962" s="231"/>
      <c r="X962" s="231"/>
      <c r="Y962" s="326"/>
      <c r="Z962" s="323"/>
      <c r="AA962" s="225"/>
      <c r="AB962" s="326"/>
      <c r="AC962" s="323"/>
      <c r="AD962" s="225"/>
      <c r="AE962" s="326"/>
      <c r="AF962" s="323"/>
      <c r="AG962" s="323"/>
      <c r="AH962" s="323"/>
    </row>
    <row r="963" spans="1:34" s="1" customFormat="1" ht="15.75" customHeight="1">
      <c r="A963" s="73" t="str">
        <f t="shared" ref="A963:A978" si="100">IF(LEN(E963)+LEN(T963)=0,"×","")</f>
        <v/>
      </c>
      <c r="E963" s="190">
        <v>3</v>
      </c>
      <c r="F963" s="163"/>
      <c r="G963" s="164">
        <v>3</v>
      </c>
      <c r="H963" s="164"/>
      <c r="I963" s="164"/>
      <c r="J963" s="424" t="s">
        <v>547</v>
      </c>
      <c r="K963" s="425"/>
      <c r="L963" s="190"/>
      <c r="M963" s="426">
        <v>0</v>
      </c>
      <c r="N963" s="426"/>
      <c r="O963" s="426"/>
      <c r="P963" s="427">
        <f t="shared" ref="P963:P978" si="101">IF(M963="","",M963*G963*$AD$980)</f>
        <v>0</v>
      </c>
      <c r="Q963" s="428"/>
      <c r="R963" s="428"/>
      <c r="S963" s="445"/>
      <c r="T963" s="390">
        <v>3</v>
      </c>
      <c r="U963" s="163"/>
      <c r="V963" s="164">
        <v>3</v>
      </c>
      <c r="W963" s="164"/>
      <c r="X963" s="164"/>
      <c r="Y963" s="424" t="s">
        <v>547</v>
      </c>
      <c r="Z963" s="425"/>
      <c r="AA963" s="190"/>
      <c r="AB963" s="426">
        <v>0</v>
      </c>
      <c r="AC963" s="426"/>
      <c r="AD963" s="426"/>
      <c r="AE963" s="427">
        <f t="shared" ref="AE963:AE978" si="102">IF(AB963="","",AB963*V963*$AD$980)</f>
        <v>0</v>
      </c>
      <c r="AF963" s="428"/>
      <c r="AG963" s="428"/>
      <c r="AH963" s="428"/>
    </row>
    <row r="964" spans="1:34" s="1" customFormat="1" ht="15.75" customHeight="1">
      <c r="A964" s="73" t="str">
        <f t="shared" si="100"/>
        <v/>
      </c>
      <c r="E964" s="166">
        <v>4</v>
      </c>
      <c r="F964" s="167"/>
      <c r="G964" s="160">
        <v>1.0799999237060547</v>
      </c>
      <c r="H964" s="160"/>
      <c r="I964" s="160"/>
      <c r="J964" s="429" t="s">
        <v>482</v>
      </c>
      <c r="K964" s="430"/>
      <c r="L964" s="166"/>
      <c r="M964" s="431">
        <v>0</v>
      </c>
      <c r="N964" s="431"/>
      <c r="O964" s="431"/>
      <c r="P964" s="418">
        <f t="shared" si="101"/>
        <v>0</v>
      </c>
      <c r="Q964" s="419"/>
      <c r="R964" s="419"/>
      <c r="S964" s="420"/>
      <c r="T964" s="389">
        <v>4</v>
      </c>
      <c r="U964" s="167"/>
      <c r="V964" s="160">
        <v>1.0799999237060547</v>
      </c>
      <c r="W964" s="160"/>
      <c r="X964" s="160"/>
      <c r="Y964" s="429" t="s">
        <v>482</v>
      </c>
      <c r="Z964" s="430"/>
      <c r="AA964" s="166"/>
      <c r="AB964" s="431">
        <v>0</v>
      </c>
      <c r="AC964" s="431"/>
      <c r="AD964" s="431"/>
      <c r="AE964" s="418">
        <f t="shared" si="102"/>
        <v>0</v>
      </c>
      <c r="AF964" s="419"/>
      <c r="AG964" s="419"/>
      <c r="AH964" s="419"/>
    </row>
    <row r="965" spans="1:34" s="1" customFormat="1" ht="15.75" customHeight="1">
      <c r="A965" s="73" t="str">
        <f t="shared" si="100"/>
        <v/>
      </c>
      <c r="E965" s="166">
        <v>4</v>
      </c>
      <c r="F965" s="167"/>
      <c r="G965" s="160">
        <v>3.9200000762939453</v>
      </c>
      <c r="H965" s="160"/>
      <c r="I965" s="160"/>
      <c r="J965" s="429" t="s">
        <v>482</v>
      </c>
      <c r="K965" s="430"/>
      <c r="L965" s="166"/>
      <c r="M965" s="431">
        <v>45</v>
      </c>
      <c r="N965" s="431"/>
      <c r="O965" s="431"/>
      <c r="P965" s="418">
        <f t="shared" si="101"/>
        <v>554.17695487904189</v>
      </c>
      <c r="Q965" s="419"/>
      <c r="R965" s="419"/>
      <c r="S965" s="420"/>
      <c r="T965" s="389">
        <v>4</v>
      </c>
      <c r="U965" s="167"/>
      <c r="V965" s="160">
        <v>3.9200000762939453</v>
      </c>
      <c r="W965" s="160"/>
      <c r="X965" s="160"/>
      <c r="Y965" s="429" t="s">
        <v>482</v>
      </c>
      <c r="Z965" s="430"/>
      <c r="AA965" s="166"/>
      <c r="AB965" s="431">
        <v>45</v>
      </c>
      <c r="AC965" s="431"/>
      <c r="AD965" s="431"/>
      <c r="AE965" s="418">
        <f t="shared" si="102"/>
        <v>554.17695487904189</v>
      </c>
      <c r="AF965" s="419"/>
      <c r="AG965" s="419"/>
      <c r="AH965" s="419"/>
    </row>
    <row r="966" spans="1:34" s="1" customFormat="1" ht="15.75" customHeight="1">
      <c r="A966" s="73" t="str">
        <f t="shared" si="100"/>
        <v/>
      </c>
      <c r="E966" s="166">
        <v>5</v>
      </c>
      <c r="F966" s="167"/>
      <c r="G966" s="160">
        <v>8</v>
      </c>
      <c r="H966" s="160"/>
      <c r="I966" s="160"/>
      <c r="J966" s="429" t="s">
        <v>547</v>
      </c>
      <c r="K966" s="430"/>
      <c r="L966" s="166"/>
      <c r="M966" s="431">
        <v>25</v>
      </c>
      <c r="N966" s="431"/>
      <c r="O966" s="431"/>
      <c r="P966" s="418">
        <f t="shared" si="101"/>
        <v>628.31853071795865</v>
      </c>
      <c r="Q966" s="419"/>
      <c r="R966" s="419"/>
      <c r="S966" s="420"/>
      <c r="T966" s="389">
        <v>5</v>
      </c>
      <c r="U966" s="167"/>
      <c r="V966" s="160">
        <v>8</v>
      </c>
      <c r="W966" s="160"/>
      <c r="X966" s="160"/>
      <c r="Y966" s="429" t="s">
        <v>547</v>
      </c>
      <c r="Z966" s="430"/>
      <c r="AA966" s="166"/>
      <c r="AB966" s="431">
        <v>25</v>
      </c>
      <c r="AC966" s="431"/>
      <c r="AD966" s="431"/>
      <c r="AE966" s="418">
        <f t="shared" si="102"/>
        <v>628.31853071795865</v>
      </c>
      <c r="AF966" s="419"/>
      <c r="AG966" s="419"/>
      <c r="AH966" s="419"/>
    </row>
    <row r="967" spans="1:34" s="1" customFormat="1" ht="15.75" customHeight="1">
      <c r="A967" s="73" t="str">
        <f t="shared" si="100"/>
        <v/>
      </c>
      <c r="E967" s="166">
        <v>6</v>
      </c>
      <c r="F967" s="167"/>
      <c r="G967" s="160">
        <v>4</v>
      </c>
      <c r="H967" s="160"/>
      <c r="I967" s="160"/>
      <c r="J967" s="429" t="s">
        <v>547</v>
      </c>
      <c r="K967" s="430"/>
      <c r="L967" s="166"/>
      <c r="M967" s="431">
        <v>50</v>
      </c>
      <c r="N967" s="431"/>
      <c r="O967" s="431"/>
      <c r="P967" s="418">
        <f t="shared" si="101"/>
        <v>628.31853071795865</v>
      </c>
      <c r="Q967" s="419"/>
      <c r="R967" s="419"/>
      <c r="S967" s="420"/>
      <c r="T967" s="389">
        <v>6</v>
      </c>
      <c r="U967" s="167"/>
      <c r="V967" s="160">
        <v>4.5</v>
      </c>
      <c r="W967" s="160"/>
      <c r="X967" s="160"/>
      <c r="Y967" s="429" t="s">
        <v>547</v>
      </c>
      <c r="Z967" s="430"/>
      <c r="AA967" s="166"/>
      <c r="AB967" s="431">
        <v>50</v>
      </c>
      <c r="AC967" s="431"/>
      <c r="AD967" s="431"/>
      <c r="AE967" s="418">
        <f t="shared" si="102"/>
        <v>706.85834705770344</v>
      </c>
      <c r="AF967" s="419"/>
      <c r="AG967" s="419"/>
      <c r="AH967" s="419"/>
    </row>
    <row r="968" spans="1:34" s="1" customFormat="1" ht="15.75" customHeight="1">
      <c r="A968" s="73" t="str">
        <f t="shared" si="100"/>
        <v/>
      </c>
      <c r="E968" s="166">
        <v>6</v>
      </c>
      <c r="F968" s="167"/>
      <c r="G968" s="160">
        <v>0.5</v>
      </c>
      <c r="H968" s="160"/>
      <c r="I968" s="160"/>
      <c r="J968" s="429" t="s">
        <v>547</v>
      </c>
      <c r="K968" s="430"/>
      <c r="L968" s="166"/>
      <c r="M968" s="431">
        <v>0</v>
      </c>
      <c r="N968" s="431"/>
      <c r="O968" s="431"/>
      <c r="P968" s="418">
        <f t="shared" si="101"/>
        <v>0</v>
      </c>
      <c r="Q968" s="419"/>
      <c r="R968" s="419"/>
      <c r="S968" s="420"/>
      <c r="T968" s="389">
        <v>7</v>
      </c>
      <c r="U968" s="167"/>
      <c r="V968" s="160">
        <v>0.5</v>
      </c>
      <c r="W968" s="160"/>
      <c r="X968" s="160"/>
      <c r="Y968" s="429" t="s">
        <v>483</v>
      </c>
      <c r="Z968" s="430"/>
      <c r="AA968" s="166"/>
      <c r="AB968" s="431">
        <v>150</v>
      </c>
      <c r="AC968" s="431"/>
      <c r="AD968" s="431"/>
      <c r="AE968" s="418">
        <f t="shared" si="102"/>
        <v>235.61944901923448</v>
      </c>
      <c r="AF968" s="419"/>
      <c r="AG968" s="419"/>
      <c r="AH968" s="419"/>
    </row>
    <row r="969" spans="1:34" s="1" customFormat="1" ht="15.75" customHeight="1">
      <c r="A969" s="73" t="str">
        <f t="shared" si="100"/>
        <v/>
      </c>
      <c r="E969" s="166">
        <v>7</v>
      </c>
      <c r="F969" s="167"/>
      <c r="G969" s="160">
        <v>0.5</v>
      </c>
      <c r="H969" s="160"/>
      <c r="I969" s="160"/>
      <c r="J969" s="429" t="s">
        <v>483</v>
      </c>
      <c r="K969" s="430"/>
      <c r="L969" s="166"/>
      <c r="M969" s="431">
        <v>0</v>
      </c>
      <c r="N969" s="431"/>
      <c r="O969" s="431"/>
      <c r="P969" s="418">
        <f t="shared" si="101"/>
        <v>0</v>
      </c>
      <c r="Q969" s="419"/>
      <c r="R969" s="419"/>
      <c r="S969" s="420"/>
      <c r="T969" s="389"/>
      <c r="U969" s="167"/>
      <c r="V969" s="160"/>
      <c r="W969" s="160"/>
      <c r="X969" s="160"/>
      <c r="Y969" s="429"/>
      <c r="Z969" s="430"/>
      <c r="AA969" s="166"/>
      <c r="AB969" s="431"/>
      <c r="AC969" s="431"/>
      <c r="AD969" s="431"/>
      <c r="AE969" s="418" t="str">
        <f t="shared" si="102"/>
        <v/>
      </c>
      <c r="AF969" s="419"/>
      <c r="AG969" s="419"/>
      <c r="AH969" s="419"/>
    </row>
    <row r="970" spans="1:34" s="1" customFormat="1" ht="15.75" hidden="1" customHeight="1">
      <c r="A970" s="73" t="str">
        <f t="shared" si="100"/>
        <v>×</v>
      </c>
      <c r="E970" s="166"/>
      <c r="F970" s="167"/>
      <c r="G970" s="160"/>
      <c r="H970" s="160"/>
      <c r="I970" s="160"/>
      <c r="J970" s="429"/>
      <c r="K970" s="430"/>
      <c r="L970" s="166"/>
      <c r="M970" s="431"/>
      <c r="N970" s="431"/>
      <c r="O970" s="431"/>
      <c r="P970" s="418" t="str">
        <f t="shared" si="101"/>
        <v/>
      </c>
      <c r="Q970" s="419"/>
      <c r="R970" s="419"/>
      <c r="S970" s="420"/>
      <c r="T970" s="389"/>
      <c r="U970" s="167"/>
      <c r="V970" s="160"/>
      <c r="W970" s="160"/>
      <c r="X970" s="160"/>
      <c r="Y970" s="429"/>
      <c r="Z970" s="430"/>
      <c r="AA970" s="166"/>
      <c r="AB970" s="431"/>
      <c r="AC970" s="431"/>
      <c r="AD970" s="431"/>
      <c r="AE970" s="418" t="str">
        <f t="shared" si="102"/>
        <v/>
      </c>
      <c r="AF970" s="419"/>
      <c r="AG970" s="419"/>
      <c r="AH970" s="419"/>
    </row>
    <row r="971" spans="1:34" s="1" customFormat="1" ht="15.75" hidden="1" customHeight="1">
      <c r="A971" s="73" t="str">
        <f t="shared" si="100"/>
        <v>×</v>
      </c>
      <c r="E971" s="166"/>
      <c r="F971" s="167"/>
      <c r="G971" s="160"/>
      <c r="H971" s="160"/>
      <c r="I971" s="160"/>
      <c r="J971" s="429"/>
      <c r="K971" s="430"/>
      <c r="L971" s="166"/>
      <c r="M971" s="431"/>
      <c r="N971" s="431"/>
      <c r="O971" s="431"/>
      <c r="P971" s="418" t="str">
        <f t="shared" si="101"/>
        <v/>
      </c>
      <c r="Q971" s="419"/>
      <c r="R971" s="419"/>
      <c r="S971" s="420"/>
      <c r="T971" s="389"/>
      <c r="U971" s="167"/>
      <c r="V971" s="160"/>
      <c r="W971" s="160"/>
      <c r="X971" s="160"/>
      <c r="Y971" s="429"/>
      <c r="Z971" s="430"/>
      <c r="AA971" s="166"/>
      <c r="AB971" s="431"/>
      <c r="AC971" s="431"/>
      <c r="AD971" s="431"/>
      <c r="AE971" s="418" t="str">
        <f t="shared" si="102"/>
        <v/>
      </c>
      <c r="AF971" s="419"/>
      <c r="AG971" s="419"/>
      <c r="AH971" s="419"/>
    </row>
    <row r="972" spans="1:34" s="1" customFormat="1" ht="15.75" hidden="1" customHeight="1">
      <c r="A972" s="73" t="str">
        <f t="shared" si="100"/>
        <v>×</v>
      </c>
      <c r="E972" s="166"/>
      <c r="F972" s="167"/>
      <c r="G972" s="160"/>
      <c r="H972" s="160"/>
      <c r="I972" s="160"/>
      <c r="J972" s="429"/>
      <c r="K972" s="430"/>
      <c r="L972" s="166"/>
      <c r="M972" s="431"/>
      <c r="N972" s="431"/>
      <c r="O972" s="431"/>
      <c r="P972" s="418" t="str">
        <f t="shared" si="101"/>
        <v/>
      </c>
      <c r="Q972" s="419"/>
      <c r="R972" s="419"/>
      <c r="S972" s="420"/>
      <c r="T972" s="389"/>
      <c r="U972" s="167"/>
      <c r="V972" s="160"/>
      <c r="W972" s="160"/>
      <c r="X972" s="160"/>
      <c r="Y972" s="429"/>
      <c r="Z972" s="430"/>
      <c r="AA972" s="166"/>
      <c r="AB972" s="431"/>
      <c r="AC972" s="431"/>
      <c r="AD972" s="431"/>
      <c r="AE972" s="418" t="str">
        <f t="shared" si="102"/>
        <v/>
      </c>
      <c r="AF972" s="419"/>
      <c r="AG972" s="419"/>
      <c r="AH972" s="419"/>
    </row>
    <row r="973" spans="1:34" s="1" customFormat="1" ht="15.75" hidden="1" customHeight="1">
      <c r="A973" s="73" t="str">
        <f t="shared" si="100"/>
        <v>×</v>
      </c>
      <c r="E973" s="166"/>
      <c r="F973" s="167"/>
      <c r="G973" s="160"/>
      <c r="H973" s="160"/>
      <c r="I973" s="160"/>
      <c r="J973" s="429"/>
      <c r="K973" s="430"/>
      <c r="L973" s="166"/>
      <c r="M973" s="431"/>
      <c r="N973" s="431"/>
      <c r="O973" s="431"/>
      <c r="P973" s="418" t="str">
        <f t="shared" si="101"/>
        <v/>
      </c>
      <c r="Q973" s="419"/>
      <c r="R973" s="419"/>
      <c r="S973" s="420"/>
      <c r="T973" s="389"/>
      <c r="U973" s="167"/>
      <c r="V973" s="160"/>
      <c r="W973" s="160"/>
      <c r="X973" s="160"/>
      <c r="Y973" s="429"/>
      <c r="Z973" s="430"/>
      <c r="AA973" s="166"/>
      <c r="AB973" s="431"/>
      <c r="AC973" s="431"/>
      <c r="AD973" s="431"/>
      <c r="AE973" s="418" t="str">
        <f t="shared" si="102"/>
        <v/>
      </c>
      <c r="AF973" s="419"/>
      <c r="AG973" s="419"/>
      <c r="AH973" s="419"/>
    </row>
    <row r="974" spans="1:34" s="1" customFormat="1" ht="15.75" hidden="1" customHeight="1">
      <c r="A974" s="73" t="str">
        <f t="shared" si="100"/>
        <v>×</v>
      </c>
      <c r="E974" s="166"/>
      <c r="F974" s="167"/>
      <c r="G974" s="160"/>
      <c r="H974" s="160"/>
      <c r="I974" s="160"/>
      <c r="J974" s="429"/>
      <c r="K974" s="430"/>
      <c r="L974" s="166"/>
      <c r="M974" s="431"/>
      <c r="N974" s="431"/>
      <c r="O974" s="431"/>
      <c r="P974" s="418" t="str">
        <f t="shared" si="101"/>
        <v/>
      </c>
      <c r="Q974" s="419"/>
      <c r="R974" s="419"/>
      <c r="S974" s="420"/>
      <c r="T974" s="389"/>
      <c r="U974" s="167"/>
      <c r="V974" s="160"/>
      <c r="W974" s="160"/>
      <c r="X974" s="160"/>
      <c r="Y974" s="429"/>
      <c r="Z974" s="430"/>
      <c r="AA974" s="166"/>
      <c r="AB974" s="431"/>
      <c r="AC974" s="431"/>
      <c r="AD974" s="431"/>
      <c r="AE974" s="418" t="str">
        <f t="shared" si="102"/>
        <v/>
      </c>
      <c r="AF974" s="419"/>
      <c r="AG974" s="419"/>
      <c r="AH974" s="419"/>
    </row>
    <row r="975" spans="1:34" s="1" customFormat="1" ht="15.75" hidden="1" customHeight="1">
      <c r="A975" s="73" t="str">
        <f t="shared" si="100"/>
        <v>×</v>
      </c>
      <c r="E975" s="166"/>
      <c r="F975" s="167"/>
      <c r="G975" s="160"/>
      <c r="H975" s="160"/>
      <c r="I975" s="160"/>
      <c r="J975" s="429"/>
      <c r="K975" s="430"/>
      <c r="L975" s="166"/>
      <c r="M975" s="431"/>
      <c r="N975" s="431"/>
      <c r="O975" s="431"/>
      <c r="P975" s="418" t="str">
        <f t="shared" si="101"/>
        <v/>
      </c>
      <c r="Q975" s="419"/>
      <c r="R975" s="419"/>
      <c r="S975" s="420"/>
      <c r="T975" s="389"/>
      <c r="U975" s="167"/>
      <c r="V975" s="160"/>
      <c r="W975" s="160"/>
      <c r="X975" s="160"/>
      <c r="Y975" s="429"/>
      <c r="Z975" s="430"/>
      <c r="AA975" s="166"/>
      <c r="AB975" s="431"/>
      <c r="AC975" s="431"/>
      <c r="AD975" s="431"/>
      <c r="AE975" s="418" t="str">
        <f t="shared" si="102"/>
        <v/>
      </c>
      <c r="AF975" s="419"/>
      <c r="AG975" s="419"/>
      <c r="AH975" s="419"/>
    </row>
    <row r="976" spans="1:34" s="1" customFormat="1" ht="15.75" hidden="1" customHeight="1">
      <c r="A976" s="73" t="str">
        <f t="shared" si="100"/>
        <v>×</v>
      </c>
      <c r="E976" s="166"/>
      <c r="F976" s="167"/>
      <c r="G976" s="160"/>
      <c r="H976" s="160"/>
      <c r="I976" s="160"/>
      <c r="J976" s="429"/>
      <c r="K976" s="430"/>
      <c r="L976" s="166"/>
      <c r="M976" s="431"/>
      <c r="N976" s="431"/>
      <c r="O976" s="431"/>
      <c r="P976" s="418" t="str">
        <f t="shared" si="101"/>
        <v/>
      </c>
      <c r="Q976" s="419"/>
      <c r="R976" s="419"/>
      <c r="S976" s="420"/>
      <c r="T976" s="389"/>
      <c r="U976" s="167"/>
      <c r="V976" s="160"/>
      <c r="W976" s="160"/>
      <c r="X976" s="160"/>
      <c r="Y976" s="429"/>
      <c r="Z976" s="430"/>
      <c r="AA976" s="166"/>
      <c r="AB976" s="431"/>
      <c r="AC976" s="431"/>
      <c r="AD976" s="431"/>
      <c r="AE976" s="418" t="str">
        <f t="shared" si="102"/>
        <v/>
      </c>
      <c r="AF976" s="419"/>
      <c r="AG976" s="419"/>
      <c r="AH976" s="419"/>
    </row>
    <row r="977" spans="1:35" s="1" customFormat="1" ht="15.75" hidden="1" customHeight="1">
      <c r="A977" s="73" t="str">
        <f t="shared" si="100"/>
        <v>×</v>
      </c>
      <c r="E977" s="166"/>
      <c r="F977" s="167"/>
      <c r="G977" s="160"/>
      <c r="H977" s="160"/>
      <c r="I977" s="160"/>
      <c r="J977" s="429"/>
      <c r="K977" s="430"/>
      <c r="L977" s="166"/>
      <c r="M977" s="431"/>
      <c r="N977" s="431"/>
      <c r="O977" s="431"/>
      <c r="P977" s="418" t="str">
        <f t="shared" si="101"/>
        <v/>
      </c>
      <c r="Q977" s="419"/>
      <c r="R977" s="419"/>
      <c r="S977" s="420"/>
      <c r="T977" s="389"/>
      <c r="U977" s="167"/>
      <c r="V977" s="160"/>
      <c r="W977" s="160"/>
      <c r="X977" s="160"/>
      <c r="Y977" s="429"/>
      <c r="Z977" s="430"/>
      <c r="AA977" s="166"/>
      <c r="AB977" s="431"/>
      <c r="AC977" s="431"/>
      <c r="AD977" s="431"/>
      <c r="AE977" s="418" t="str">
        <f t="shared" si="102"/>
        <v/>
      </c>
      <c r="AF977" s="419"/>
      <c r="AG977" s="419"/>
      <c r="AH977" s="419"/>
    </row>
    <row r="978" spans="1:35" s="1" customFormat="1" ht="15.75" hidden="1" customHeight="1">
      <c r="A978" s="73" t="str">
        <f t="shared" si="100"/>
        <v>×</v>
      </c>
      <c r="E978" s="166"/>
      <c r="F978" s="167"/>
      <c r="G978" s="160"/>
      <c r="H978" s="160"/>
      <c r="I978" s="160"/>
      <c r="J978" s="429"/>
      <c r="K978" s="430"/>
      <c r="L978" s="166"/>
      <c r="M978" s="431"/>
      <c r="N978" s="431"/>
      <c r="O978" s="431"/>
      <c r="P978" s="418" t="str">
        <f t="shared" si="101"/>
        <v/>
      </c>
      <c r="Q978" s="419"/>
      <c r="R978" s="419"/>
      <c r="S978" s="420"/>
      <c r="T978" s="389"/>
      <c r="U978" s="167"/>
      <c r="V978" s="160"/>
      <c r="W978" s="160"/>
      <c r="X978" s="160"/>
      <c r="Y978" s="429"/>
      <c r="Z978" s="430"/>
      <c r="AA978" s="166"/>
      <c r="AB978" s="431"/>
      <c r="AC978" s="431"/>
      <c r="AD978" s="431"/>
      <c r="AE978" s="418" t="str">
        <f t="shared" si="102"/>
        <v/>
      </c>
      <c r="AF978" s="419"/>
      <c r="AG978" s="419"/>
      <c r="AH978" s="419"/>
    </row>
    <row r="979" spans="1:35" s="1" customFormat="1" ht="15.75" customHeight="1">
      <c r="A979" s="76"/>
      <c r="E979" s="207" t="s">
        <v>546</v>
      </c>
      <c r="F979" s="208"/>
      <c r="G979" s="442">
        <f>ROUND(SUM(P963:S978),1)</f>
        <v>1810.8</v>
      </c>
      <c r="H979" s="443"/>
      <c r="I979" s="443"/>
      <c r="J979" s="443"/>
      <c r="K979" s="443"/>
      <c r="L979" s="443"/>
      <c r="M979" s="443"/>
      <c r="N979" s="443"/>
      <c r="O979" s="443"/>
      <c r="P979" s="443"/>
      <c r="Q979" s="443"/>
      <c r="R979" s="443"/>
      <c r="S979" s="444"/>
      <c r="T979" s="400" t="s">
        <v>546</v>
      </c>
      <c r="U979" s="208"/>
      <c r="V979" s="442">
        <f>ROUND(SUM(AE963:AH978),1)</f>
        <v>2125</v>
      </c>
      <c r="W979" s="443"/>
      <c r="X979" s="443"/>
      <c r="Y979" s="443"/>
      <c r="Z979" s="443"/>
      <c r="AA979" s="443"/>
      <c r="AB979" s="443"/>
      <c r="AC979" s="443"/>
      <c r="AD979" s="443"/>
      <c r="AE979" s="443"/>
      <c r="AF979" s="443"/>
      <c r="AG979" s="443"/>
      <c r="AH979" s="443"/>
    </row>
    <row r="980" spans="1:35" s="1" customFormat="1" ht="15.75" customHeight="1">
      <c r="E980" s="8"/>
      <c r="F980" s="8"/>
      <c r="G980" s="8"/>
      <c r="H980" s="8"/>
      <c r="I980" s="8"/>
      <c r="J980" s="8"/>
      <c r="K980" s="8"/>
      <c r="L980" s="8"/>
      <c r="M980" s="8"/>
      <c r="N980" s="8"/>
      <c r="O980" s="8"/>
      <c r="AA980" s="2" t="s">
        <v>127</v>
      </c>
      <c r="AB980" s="1" t="s">
        <v>513</v>
      </c>
      <c r="AC980" s="76" t="s">
        <v>27</v>
      </c>
      <c r="AD980" s="212">
        <f>AD956</f>
        <v>3.1415926535897931</v>
      </c>
      <c r="AE980" s="212"/>
      <c r="AF980" s="212"/>
      <c r="AG980" s="7" t="s">
        <v>514</v>
      </c>
      <c r="AH980" s="76" t="s">
        <v>158</v>
      </c>
    </row>
    <row r="983" spans="1:35" s="1" customFormat="1" ht="15.75" hidden="1" customHeight="1">
      <c r="A983" s="73" t="str">
        <f>IF(液状化L1の有無="","","×")</f>
        <v>×</v>
      </c>
      <c r="E983" s="61" t="s">
        <v>599</v>
      </c>
      <c r="F983" s="85"/>
      <c r="G983" s="85"/>
      <c r="H983" s="61"/>
      <c r="I983" s="61"/>
      <c r="J983" s="61"/>
      <c r="K983" s="61"/>
      <c r="L983" s="61"/>
      <c r="M983" s="61"/>
      <c r="N983" s="61"/>
      <c r="O983" s="61"/>
      <c r="P983" s="61"/>
      <c r="Q983" s="61"/>
      <c r="R983" s="61"/>
      <c r="S983" s="61"/>
      <c r="T983" s="61"/>
      <c r="U983" s="61"/>
      <c r="V983" s="61"/>
      <c r="W983" s="61"/>
      <c r="X983" s="61"/>
      <c r="Y983" s="61"/>
      <c r="Z983" s="61"/>
      <c r="AA983" s="61"/>
      <c r="AB983" s="61"/>
      <c r="AC983" s="61"/>
      <c r="AD983" s="61"/>
      <c r="AE983" s="61"/>
      <c r="AF983" s="61"/>
      <c r="AG983" s="61"/>
      <c r="AH983" s="61"/>
      <c r="AI983" s="8"/>
    </row>
    <row r="984" spans="1:35" s="1" customFormat="1" ht="15.75" hidden="1" customHeight="1">
      <c r="A984" s="73" t="str">
        <f>IF(液状化L1の有無="","","×")</f>
        <v>×</v>
      </c>
      <c r="E984" s="347" t="s">
        <v>511</v>
      </c>
      <c r="F984" s="348"/>
      <c r="G984" s="348"/>
      <c r="H984" s="348"/>
      <c r="I984" s="348"/>
      <c r="J984" s="348"/>
      <c r="K984" s="348"/>
      <c r="L984" s="348"/>
      <c r="M984" s="348"/>
      <c r="N984" s="348"/>
      <c r="O984" s="348"/>
      <c r="P984" s="348"/>
      <c r="Q984" s="348"/>
      <c r="R984" s="348"/>
      <c r="S984" s="349"/>
      <c r="T984" s="350" t="s">
        <v>512</v>
      </c>
      <c r="U984" s="147"/>
      <c r="V984" s="147"/>
      <c r="W984" s="147"/>
      <c r="X984" s="147"/>
      <c r="Y984" s="147"/>
      <c r="Z984" s="147"/>
      <c r="AA984" s="147"/>
      <c r="AB984" s="147"/>
      <c r="AC984" s="147"/>
      <c r="AD984" s="147"/>
      <c r="AE984" s="147"/>
      <c r="AF984" s="147"/>
      <c r="AG984" s="147"/>
      <c r="AH984" s="214"/>
    </row>
    <row r="985" spans="1:35" s="1" customFormat="1" ht="15.75" hidden="1" customHeight="1">
      <c r="A985" s="73" t="str">
        <f>IF(液状化L1の有無="","","×")</f>
        <v>×</v>
      </c>
      <c r="E985" s="225" t="s">
        <v>78</v>
      </c>
      <c r="F985" s="226"/>
      <c r="G985" s="229" t="s">
        <v>190</v>
      </c>
      <c r="H985" s="230"/>
      <c r="I985" s="230"/>
      <c r="J985" s="325" t="s">
        <v>234</v>
      </c>
      <c r="K985" s="321"/>
      <c r="L985" s="308"/>
      <c r="M985" s="325" t="s">
        <v>545</v>
      </c>
      <c r="N985" s="321"/>
      <c r="O985" s="308"/>
      <c r="P985" s="325" t="s">
        <v>237</v>
      </c>
      <c r="Q985" s="321"/>
      <c r="R985" s="321"/>
      <c r="S985" s="446"/>
      <c r="T985" s="330" t="s">
        <v>78</v>
      </c>
      <c r="U985" s="187"/>
      <c r="V985" s="189" t="s">
        <v>190</v>
      </c>
      <c r="W985" s="218"/>
      <c r="X985" s="218"/>
      <c r="Y985" s="421" t="s">
        <v>234</v>
      </c>
      <c r="Z985" s="422"/>
      <c r="AA985" s="423"/>
      <c r="AB985" s="421" t="s">
        <v>545</v>
      </c>
      <c r="AC985" s="422"/>
      <c r="AD985" s="423"/>
      <c r="AE985" s="421" t="s">
        <v>237</v>
      </c>
      <c r="AF985" s="422"/>
      <c r="AG985" s="422"/>
      <c r="AH985" s="422"/>
    </row>
    <row r="986" spans="1:35" s="1" customFormat="1" ht="15.75" hidden="1" customHeight="1">
      <c r="A986" s="73" t="str">
        <f>IF(液状化L1の有無="","","×")</f>
        <v>×</v>
      </c>
      <c r="E986" s="227"/>
      <c r="F986" s="228"/>
      <c r="G986" s="231"/>
      <c r="H986" s="231"/>
      <c r="I986" s="231"/>
      <c r="J986" s="326"/>
      <c r="K986" s="323"/>
      <c r="L986" s="225"/>
      <c r="M986" s="326"/>
      <c r="N986" s="323"/>
      <c r="O986" s="225"/>
      <c r="P986" s="326"/>
      <c r="Q986" s="323"/>
      <c r="R986" s="323"/>
      <c r="S986" s="364"/>
      <c r="T986" s="351"/>
      <c r="U986" s="228"/>
      <c r="V986" s="231"/>
      <c r="W986" s="231"/>
      <c r="X986" s="231"/>
      <c r="Y986" s="326"/>
      <c r="Z986" s="323"/>
      <c r="AA986" s="225"/>
      <c r="AB986" s="326"/>
      <c r="AC986" s="323"/>
      <c r="AD986" s="225"/>
      <c r="AE986" s="326"/>
      <c r="AF986" s="323"/>
      <c r="AG986" s="323"/>
      <c r="AH986" s="323"/>
    </row>
    <row r="987" spans="1:35" s="1" customFormat="1" ht="15.75" hidden="1" customHeight="1">
      <c r="A987" s="73" t="str">
        <f>IF(液状化L1の有無="",IF(LEN(E987)+LEN(T987)=0,"×",""),"×")</f>
        <v>×</v>
      </c>
      <c r="E987" s="190">
        <v>3</v>
      </c>
      <c r="F987" s="163"/>
      <c r="G987" s="164">
        <v>3</v>
      </c>
      <c r="H987" s="164"/>
      <c r="I987" s="164"/>
      <c r="J987" s="424" t="s">
        <v>547</v>
      </c>
      <c r="K987" s="425"/>
      <c r="L987" s="190"/>
      <c r="M987" s="426">
        <v>0</v>
      </c>
      <c r="N987" s="426"/>
      <c r="O987" s="426"/>
      <c r="P987" s="427">
        <f t="shared" ref="P987:P1002" si="103">IF(M987="","",M987*G987*$AD$1004)</f>
        <v>0</v>
      </c>
      <c r="Q987" s="428"/>
      <c r="R987" s="428"/>
      <c r="S987" s="445"/>
      <c r="T987" s="390">
        <v>3</v>
      </c>
      <c r="U987" s="163"/>
      <c r="V987" s="164">
        <v>3</v>
      </c>
      <c r="W987" s="164"/>
      <c r="X987" s="164"/>
      <c r="Y987" s="424" t="s">
        <v>547</v>
      </c>
      <c r="Z987" s="425"/>
      <c r="AA987" s="190"/>
      <c r="AB987" s="426">
        <v>0</v>
      </c>
      <c r="AC987" s="426"/>
      <c r="AD987" s="426"/>
      <c r="AE987" s="427">
        <f t="shared" ref="AE987:AE1002" si="104">IF(AB987="","",AB987*V987*$AD$1004)</f>
        <v>0</v>
      </c>
      <c r="AF987" s="428"/>
      <c r="AG987" s="428"/>
      <c r="AH987" s="428"/>
    </row>
    <row r="988" spans="1:35" s="1" customFormat="1" ht="15.75" hidden="1" customHeight="1">
      <c r="A988" s="73" t="str">
        <f>IF(液状化L1の有無="",IF(LEN(E988)+LEN(T988)=0,"×",""),"×")</f>
        <v>×</v>
      </c>
      <c r="E988" s="166">
        <v>4</v>
      </c>
      <c r="F988" s="167"/>
      <c r="G988" s="160">
        <v>1.0799999237060547</v>
      </c>
      <c r="H988" s="160"/>
      <c r="I988" s="160"/>
      <c r="J988" s="429" t="s">
        <v>482</v>
      </c>
      <c r="K988" s="430"/>
      <c r="L988" s="166"/>
      <c r="M988" s="431">
        <v>0</v>
      </c>
      <c r="N988" s="431"/>
      <c r="O988" s="431"/>
      <c r="P988" s="418">
        <f t="shared" si="103"/>
        <v>0</v>
      </c>
      <c r="Q988" s="419"/>
      <c r="R988" s="419"/>
      <c r="S988" s="420"/>
      <c r="T988" s="389">
        <v>4</v>
      </c>
      <c r="U988" s="167"/>
      <c r="V988" s="160">
        <v>1.0799999237060547</v>
      </c>
      <c r="W988" s="160"/>
      <c r="X988" s="160"/>
      <c r="Y988" s="429" t="s">
        <v>482</v>
      </c>
      <c r="Z988" s="430"/>
      <c r="AA988" s="166"/>
      <c r="AB988" s="431">
        <v>0</v>
      </c>
      <c r="AC988" s="431"/>
      <c r="AD988" s="431"/>
      <c r="AE988" s="418">
        <f t="shared" si="104"/>
        <v>0</v>
      </c>
      <c r="AF988" s="419"/>
      <c r="AG988" s="419"/>
      <c r="AH988" s="419"/>
    </row>
    <row r="989" spans="1:35" s="1" customFormat="1" ht="15.75" hidden="1" customHeight="1">
      <c r="A989" s="73" t="str">
        <f>IF(液状化L1の有無="",IF(LEN(E989)+LEN(T989)=0,"×",""),"×")</f>
        <v>×</v>
      </c>
      <c r="E989" s="166">
        <v>4</v>
      </c>
      <c r="F989" s="167"/>
      <c r="G989" s="160">
        <v>3.9200000762939453</v>
      </c>
      <c r="H989" s="160"/>
      <c r="I989" s="160"/>
      <c r="J989" s="429" t="s">
        <v>482</v>
      </c>
      <c r="K989" s="430"/>
      <c r="L989" s="166"/>
      <c r="M989" s="431">
        <v>45</v>
      </c>
      <c r="N989" s="431"/>
      <c r="O989" s="431"/>
      <c r="P989" s="418">
        <f t="shared" si="103"/>
        <v>554.17695487904189</v>
      </c>
      <c r="Q989" s="419"/>
      <c r="R989" s="419"/>
      <c r="S989" s="420"/>
      <c r="T989" s="389">
        <v>4</v>
      </c>
      <c r="U989" s="167"/>
      <c r="V989" s="160">
        <v>3.9200000762939453</v>
      </c>
      <c r="W989" s="160"/>
      <c r="X989" s="160"/>
      <c r="Y989" s="429" t="s">
        <v>482</v>
      </c>
      <c r="Z989" s="430"/>
      <c r="AA989" s="166"/>
      <c r="AB989" s="431">
        <v>45</v>
      </c>
      <c r="AC989" s="431"/>
      <c r="AD989" s="431"/>
      <c r="AE989" s="418">
        <f t="shared" si="104"/>
        <v>554.17695487904189</v>
      </c>
      <c r="AF989" s="419"/>
      <c r="AG989" s="419"/>
      <c r="AH989" s="419"/>
    </row>
    <row r="990" spans="1:35" s="1" customFormat="1" ht="15.75" hidden="1" customHeight="1">
      <c r="A990" s="73" t="str">
        <f>IF(液状化L1の有無="",IF(LEN(E990)+LEN(T990)=0,"×",""),"×")</f>
        <v>×</v>
      </c>
      <c r="E990" s="166">
        <v>5</v>
      </c>
      <c r="F990" s="167"/>
      <c r="G990" s="160">
        <v>8</v>
      </c>
      <c r="H990" s="160"/>
      <c r="I990" s="160"/>
      <c r="J990" s="429" t="s">
        <v>547</v>
      </c>
      <c r="K990" s="430"/>
      <c r="L990" s="166"/>
      <c r="M990" s="431">
        <v>25</v>
      </c>
      <c r="N990" s="431"/>
      <c r="O990" s="431"/>
      <c r="P990" s="418">
        <f t="shared" si="103"/>
        <v>628.31853071795865</v>
      </c>
      <c r="Q990" s="419"/>
      <c r="R990" s="419"/>
      <c r="S990" s="420"/>
      <c r="T990" s="389">
        <v>5</v>
      </c>
      <c r="U990" s="167"/>
      <c r="V990" s="160">
        <v>8</v>
      </c>
      <c r="W990" s="160"/>
      <c r="X990" s="160"/>
      <c r="Y990" s="429" t="s">
        <v>547</v>
      </c>
      <c r="Z990" s="430"/>
      <c r="AA990" s="166"/>
      <c r="AB990" s="431">
        <v>25</v>
      </c>
      <c r="AC990" s="431"/>
      <c r="AD990" s="431"/>
      <c r="AE990" s="418">
        <f t="shared" si="104"/>
        <v>628.31853071795865</v>
      </c>
      <c r="AF990" s="419"/>
      <c r="AG990" s="419"/>
      <c r="AH990" s="419"/>
    </row>
    <row r="991" spans="1:35" s="1" customFormat="1" ht="15.75" hidden="1" customHeight="1">
      <c r="A991" s="73" t="str">
        <f>IF(液状化L1の有無="",IF(LEN(E991)+LEN(T991)=0,"×",""),"×")</f>
        <v>×</v>
      </c>
      <c r="E991" s="166">
        <v>6</v>
      </c>
      <c r="F991" s="167"/>
      <c r="G991" s="160">
        <v>4</v>
      </c>
      <c r="H991" s="160"/>
      <c r="I991" s="160"/>
      <c r="J991" s="429" t="s">
        <v>547</v>
      </c>
      <c r="K991" s="430"/>
      <c r="L991" s="166"/>
      <c r="M991" s="431">
        <v>50</v>
      </c>
      <c r="N991" s="431"/>
      <c r="O991" s="431"/>
      <c r="P991" s="418">
        <f t="shared" si="103"/>
        <v>628.31853071795865</v>
      </c>
      <c r="Q991" s="419"/>
      <c r="R991" s="419"/>
      <c r="S991" s="420"/>
      <c r="T991" s="389">
        <v>6</v>
      </c>
      <c r="U991" s="167"/>
      <c r="V991" s="160">
        <v>4.5</v>
      </c>
      <c r="W991" s="160"/>
      <c r="X991" s="160"/>
      <c r="Y991" s="429" t="s">
        <v>547</v>
      </c>
      <c r="Z991" s="430"/>
      <c r="AA991" s="166"/>
      <c r="AB991" s="431">
        <v>50</v>
      </c>
      <c r="AC991" s="431"/>
      <c r="AD991" s="431"/>
      <c r="AE991" s="418">
        <f t="shared" si="104"/>
        <v>706.85834705770344</v>
      </c>
      <c r="AF991" s="419"/>
      <c r="AG991" s="419"/>
      <c r="AH991" s="419"/>
    </row>
    <row r="992" spans="1:35" s="1" customFormat="1" ht="15.75" hidden="1" customHeight="1">
      <c r="A992" s="73" t="str">
        <f>IF(液状化L1の有無="",IF(LEN(E992)+LEN(T992)=0,"×",""),"×")</f>
        <v>×</v>
      </c>
      <c r="E992" s="166">
        <v>6</v>
      </c>
      <c r="F992" s="167"/>
      <c r="G992" s="160">
        <v>0.5</v>
      </c>
      <c r="H992" s="160"/>
      <c r="I992" s="160"/>
      <c r="J992" s="429" t="s">
        <v>547</v>
      </c>
      <c r="K992" s="430"/>
      <c r="L992" s="166"/>
      <c r="M992" s="431">
        <v>0</v>
      </c>
      <c r="N992" s="431"/>
      <c r="O992" s="431"/>
      <c r="P992" s="418">
        <f t="shared" si="103"/>
        <v>0</v>
      </c>
      <c r="Q992" s="419"/>
      <c r="R992" s="419"/>
      <c r="S992" s="420"/>
      <c r="T992" s="389">
        <v>7</v>
      </c>
      <c r="U992" s="167"/>
      <c r="V992" s="160">
        <v>0.5</v>
      </c>
      <c r="W992" s="160"/>
      <c r="X992" s="160"/>
      <c r="Y992" s="429" t="s">
        <v>483</v>
      </c>
      <c r="Z992" s="430"/>
      <c r="AA992" s="166"/>
      <c r="AB992" s="431">
        <v>150</v>
      </c>
      <c r="AC992" s="431"/>
      <c r="AD992" s="431"/>
      <c r="AE992" s="418">
        <f t="shared" si="104"/>
        <v>235.61944901923448</v>
      </c>
      <c r="AF992" s="419"/>
      <c r="AG992" s="419"/>
      <c r="AH992" s="419"/>
    </row>
    <row r="993" spans="1:35" s="1" customFormat="1" ht="15.75" hidden="1" customHeight="1">
      <c r="A993" s="73" t="str">
        <f>IF(液状化L1の有無="",IF(LEN(E993)+LEN(T993)=0,"×",""),"×")</f>
        <v>×</v>
      </c>
      <c r="E993" s="166">
        <v>7</v>
      </c>
      <c r="F993" s="167"/>
      <c r="G993" s="160">
        <v>0.5</v>
      </c>
      <c r="H993" s="160"/>
      <c r="I993" s="160"/>
      <c r="J993" s="429" t="s">
        <v>483</v>
      </c>
      <c r="K993" s="430"/>
      <c r="L993" s="166"/>
      <c r="M993" s="431">
        <v>0</v>
      </c>
      <c r="N993" s="431"/>
      <c r="O993" s="431"/>
      <c r="P993" s="418">
        <f t="shared" si="103"/>
        <v>0</v>
      </c>
      <c r="Q993" s="419"/>
      <c r="R993" s="419"/>
      <c r="S993" s="420"/>
      <c r="T993" s="389"/>
      <c r="U993" s="167"/>
      <c r="V993" s="160"/>
      <c r="W993" s="160"/>
      <c r="X993" s="160"/>
      <c r="Y993" s="429"/>
      <c r="Z993" s="430"/>
      <c r="AA993" s="166"/>
      <c r="AB993" s="431"/>
      <c r="AC993" s="431"/>
      <c r="AD993" s="431"/>
      <c r="AE993" s="418" t="str">
        <f t="shared" si="104"/>
        <v/>
      </c>
      <c r="AF993" s="419"/>
      <c r="AG993" s="419"/>
      <c r="AH993" s="419"/>
    </row>
    <row r="994" spans="1:35" s="1" customFormat="1" ht="15.75" hidden="1" customHeight="1">
      <c r="A994" s="73" t="str">
        <f>IF(液状化L1の有無="",IF(LEN(E994)+LEN(T994)=0,"×",""),"×")</f>
        <v>×</v>
      </c>
      <c r="E994" s="166"/>
      <c r="F994" s="167"/>
      <c r="G994" s="160"/>
      <c r="H994" s="160"/>
      <c r="I994" s="160"/>
      <c r="J994" s="429"/>
      <c r="K994" s="430"/>
      <c r="L994" s="166"/>
      <c r="M994" s="431"/>
      <c r="N994" s="431"/>
      <c r="O994" s="431"/>
      <c r="P994" s="418" t="str">
        <f t="shared" si="103"/>
        <v/>
      </c>
      <c r="Q994" s="419"/>
      <c r="R994" s="419"/>
      <c r="S994" s="420"/>
      <c r="T994" s="389"/>
      <c r="U994" s="167"/>
      <c r="V994" s="160"/>
      <c r="W994" s="160"/>
      <c r="X994" s="160"/>
      <c r="Y994" s="429"/>
      <c r="Z994" s="430"/>
      <c r="AA994" s="166"/>
      <c r="AB994" s="431"/>
      <c r="AC994" s="431"/>
      <c r="AD994" s="431"/>
      <c r="AE994" s="418" t="str">
        <f t="shared" si="104"/>
        <v/>
      </c>
      <c r="AF994" s="419"/>
      <c r="AG994" s="419"/>
      <c r="AH994" s="419"/>
    </row>
    <row r="995" spans="1:35" s="1" customFormat="1" ht="15.75" hidden="1" customHeight="1">
      <c r="A995" s="73" t="str">
        <f>IF(液状化L1の有無="",IF(LEN(E995)+LEN(T995)=0,"×",""),"×")</f>
        <v>×</v>
      </c>
      <c r="E995" s="166"/>
      <c r="F995" s="167"/>
      <c r="G995" s="160"/>
      <c r="H995" s="160"/>
      <c r="I995" s="160"/>
      <c r="J995" s="429"/>
      <c r="K995" s="430"/>
      <c r="L995" s="166"/>
      <c r="M995" s="431"/>
      <c r="N995" s="431"/>
      <c r="O995" s="431"/>
      <c r="P995" s="418" t="str">
        <f t="shared" si="103"/>
        <v/>
      </c>
      <c r="Q995" s="419"/>
      <c r="R995" s="419"/>
      <c r="S995" s="420"/>
      <c r="T995" s="389"/>
      <c r="U995" s="167"/>
      <c r="V995" s="160"/>
      <c r="W995" s="160"/>
      <c r="X995" s="160"/>
      <c r="Y995" s="429"/>
      <c r="Z995" s="430"/>
      <c r="AA995" s="166"/>
      <c r="AB995" s="431"/>
      <c r="AC995" s="431"/>
      <c r="AD995" s="431"/>
      <c r="AE995" s="418" t="str">
        <f t="shared" si="104"/>
        <v/>
      </c>
      <c r="AF995" s="419"/>
      <c r="AG995" s="419"/>
      <c r="AH995" s="419"/>
    </row>
    <row r="996" spans="1:35" s="1" customFormat="1" ht="15.75" hidden="1" customHeight="1">
      <c r="A996" s="73" t="str">
        <f>IF(液状化L1の有無="",IF(LEN(E996)+LEN(T996)=0,"×",""),"×")</f>
        <v>×</v>
      </c>
      <c r="E996" s="166"/>
      <c r="F996" s="167"/>
      <c r="G996" s="160"/>
      <c r="H996" s="160"/>
      <c r="I996" s="160"/>
      <c r="J996" s="429"/>
      <c r="K996" s="430"/>
      <c r="L996" s="166"/>
      <c r="M996" s="431"/>
      <c r="N996" s="431"/>
      <c r="O996" s="431"/>
      <c r="P996" s="418" t="str">
        <f t="shared" si="103"/>
        <v/>
      </c>
      <c r="Q996" s="419"/>
      <c r="R996" s="419"/>
      <c r="S996" s="420"/>
      <c r="T996" s="389"/>
      <c r="U996" s="167"/>
      <c r="V996" s="160"/>
      <c r="W996" s="160"/>
      <c r="X996" s="160"/>
      <c r="Y996" s="429"/>
      <c r="Z996" s="430"/>
      <c r="AA996" s="166"/>
      <c r="AB996" s="431"/>
      <c r="AC996" s="431"/>
      <c r="AD996" s="431"/>
      <c r="AE996" s="418" t="str">
        <f t="shared" si="104"/>
        <v/>
      </c>
      <c r="AF996" s="419"/>
      <c r="AG996" s="419"/>
      <c r="AH996" s="419"/>
    </row>
    <row r="997" spans="1:35" s="1" customFormat="1" ht="15.75" hidden="1" customHeight="1">
      <c r="A997" s="73" t="str">
        <f>IF(液状化L1の有無="",IF(LEN(E997)+LEN(T997)=0,"×",""),"×")</f>
        <v>×</v>
      </c>
      <c r="E997" s="166"/>
      <c r="F997" s="167"/>
      <c r="G997" s="160"/>
      <c r="H997" s="160"/>
      <c r="I997" s="160"/>
      <c r="J997" s="429"/>
      <c r="K997" s="430"/>
      <c r="L997" s="166"/>
      <c r="M997" s="431"/>
      <c r="N997" s="431"/>
      <c r="O997" s="431"/>
      <c r="P997" s="418" t="str">
        <f t="shared" si="103"/>
        <v/>
      </c>
      <c r="Q997" s="419"/>
      <c r="R997" s="419"/>
      <c r="S997" s="420"/>
      <c r="T997" s="389"/>
      <c r="U997" s="167"/>
      <c r="V997" s="160"/>
      <c r="W997" s="160"/>
      <c r="X997" s="160"/>
      <c r="Y997" s="429"/>
      <c r="Z997" s="430"/>
      <c r="AA997" s="166"/>
      <c r="AB997" s="431"/>
      <c r="AC997" s="431"/>
      <c r="AD997" s="431"/>
      <c r="AE997" s="418" t="str">
        <f t="shared" si="104"/>
        <v/>
      </c>
      <c r="AF997" s="419"/>
      <c r="AG997" s="419"/>
      <c r="AH997" s="419"/>
    </row>
    <row r="998" spans="1:35" s="1" customFormat="1" ht="15.75" hidden="1" customHeight="1">
      <c r="A998" s="73" t="str">
        <f>IF(液状化L1の有無="",IF(LEN(E998)+LEN(T998)=0,"×",""),"×")</f>
        <v>×</v>
      </c>
      <c r="E998" s="166"/>
      <c r="F998" s="167"/>
      <c r="G998" s="160"/>
      <c r="H998" s="160"/>
      <c r="I998" s="160"/>
      <c r="J998" s="429"/>
      <c r="K998" s="430"/>
      <c r="L998" s="166"/>
      <c r="M998" s="431"/>
      <c r="N998" s="431"/>
      <c r="O998" s="431"/>
      <c r="P998" s="418" t="str">
        <f t="shared" si="103"/>
        <v/>
      </c>
      <c r="Q998" s="419"/>
      <c r="R998" s="419"/>
      <c r="S998" s="420"/>
      <c r="T998" s="389"/>
      <c r="U998" s="167"/>
      <c r="V998" s="160"/>
      <c r="W998" s="160"/>
      <c r="X998" s="160"/>
      <c r="Y998" s="429"/>
      <c r="Z998" s="430"/>
      <c r="AA998" s="166"/>
      <c r="AB998" s="431"/>
      <c r="AC998" s="431"/>
      <c r="AD998" s="431"/>
      <c r="AE998" s="418" t="str">
        <f t="shared" si="104"/>
        <v/>
      </c>
      <c r="AF998" s="419"/>
      <c r="AG998" s="419"/>
      <c r="AH998" s="419"/>
    </row>
    <row r="999" spans="1:35" s="1" customFormat="1" ht="15.75" hidden="1" customHeight="1">
      <c r="A999" s="73" t="str">
        <f>IF(液状化L1の有無="",IF(LEN(E999)+LEN(T999)=0,"×",""),"×")</f>
        <v>×</v>
      </c>
      <c r="E999" s="166"/>
      <c r="F999" s="167"/>
      <c r="G999" s="160"/>
      <c r="H999" s="160"/>
      <c r="I999" s="160"/>
      <c r="J999" s="429"/>
      <c r="K999" s="430"/>
      <c r="L999" s="166"/>
      <c r="M999" s="431"/>
      <c r="N999" s="431"/>
      <c r="O999" s="431"/>
      <c r="P999" s="418" t="str">
        <f t="shared" si="103"/>
        <v/>
      </c>
      <c r="Q999" s="419"/>
      <c r="R999" s="419"/>
      <c r="S999" s="420"/>
      <c r="T999" s="389"/>
      <c r="U999" s="167"/>
      <c r="V999" s="160"/>
      <c r="W999" s="160"/>
      <c r="X999" s="160"/>
      <c r="Y999" s="429"/>
      <c r="Z999" s="430"/>
      <c r="AA999" s="166"/>
      <c r="AB999" s="431"/>
      <c r="AC999" s="431"/>
      <c r="AD999" s="431"/>
      <c r="AE999" s="418" t="str">
        <f t="shared" si="104"/>
        <v/>
      </c>
      <c r="AF999" s="419"/>
      <c r="AG999" s="419"/>
      <c r="AH999" s="419"/>
    </row>
    <row r="1000" spans="1:35" s="1" customFormat="1" ht="15.75" hidden="1" customHeight="1">
      <c r="A1000" s="73" t="str">
        <f>IF(液状化L1の有無="",IF(LEN(E1000)+LEN(T1000)=0,"×",""),"×")</f>
        <v>×</v>
      </c>
      <c r="E1000" s="166"/>
      <c r="F1000" s="167"/>
      <c r="G1000" s="160"/>
      <c r="H1000" s="160"/>
      <c r="I1000" s="160"/>
      <c r="J1000" s="429"/>
      <c r="K1000" s="430"/>
      <c r="L1000" s="166"/>
      <c r="M1000" s="431"/>
      <c r="N1000" s="431"/>
      <c r="O1000" s="431"/>
      <c r="P1000" s="418" t="str">
        <f t="shared" si="103"/>
        <v/>
      </c>
      <c r="Q1000" s="419"/>
      <c r="R1000" s="419"/>
      <c r="S1000" s="420"/>
      <c r="T1000" s="389"/>
      <c r="U1000" s="167"/>
      <c r="V1000" s="160"/>
      <c r="W1000" s="160"/>
      <c r="X1000" s="160"/>
      <c r="Y1000" s="429"/>
      <c r="Z1000" s="430"/>
      <c r="AA1000" s="166"/>
      <c r="AB1000" s="431"/>
      <c r="AC1000" s="431"/>
      <c r="AD1000" s="431"/>
      <c r="AE1000" s="418" t="str">
        <f t="shared" si="104"/>
        <v/>
      </c>
      <c r="AF1000" s="419"/>
      <c r="AG1000" s="419"/>
      <c r="AH1000" s="419"/>
    </row>
    <row r="1001" spans="1:35" s="1" customFormat="1" ht="15.75" hidden="1" customHeight="1">
      <c r="A1001" s="73" t="str">
        <f>IF(液状化L1の有無="",IF(LEN(E1001)+LEN(T1001)=0,"×",""),"×")</f>
        <v>×</v>
      </c>
      <c r="E1001" s="166"/>
      <c r="F1001" s="167"/>
      <c r="G1001" s="160"/>
      <c r="H1001" s="160"/>
      <c r="I1001" s="160"/>
      <c r="J1001" s="429"/>
      <c r="K1001" s="430"/>
      <c r="L1001" s="166"/>
      <c r="M1001" s="431"/>
      <c r="N1001" s="431"/>
      <c r="O1001" s="431"/>
      <c r="P1001" s="418" t="str">
        <f t="shared" si="103"/>
        <v/>
      </c>
      <c r="Q1001" s="419"/>
      <c r="R1001" s="419"/>
      <c r="S1001" s="420"/>
      <c r="T1001" s="389"/>
      <c r="U1001" s="167"/>
      <c r="V1001" s="160"/>
      <c r="W1001" s="160"/>
      <c r="X1001" s="160"/>
      <c r="Y1001" s="429"/>
      <c r="Z1001" s="430"/>
      <c r="AA1001" s="166"/>
      <c r="AB1001" s="431"/>
      <c r="AC1001" s="431"/>
      <c r="AD1001" s="431"/>
      <c r="AE1001" s="418" t="str">
        <f t="shared" si="104"/>
        <v/>
      </c>
      <c r="AF1001" s="419"/>
      <c r="AG1001" s="419"/>
      <c r="AH1001" s="419"/>
    </row>
    <row r="1002" spans="1:35" s="1" customFormat="1" ht="15.75" hidden="1" customHeight="1">
      <c r="A1002" s="73" t="str">
        <f>IF(液状化L1の有無="",IF(LEN(E1002)+LEN(T1002)=0,"×",""),"×")</f>
        <v>×</v>
      </c>
      <c r="E1002" s="166"/>
      <c r="F1002" s="167"/>
      <c r="G1002" s="160"/>
      <c r="H1002" s="160"/>
      <c r="I1002" s="160"/>
      <c r="J1002" s="429"/>
      <c r="K1002" s="430"/>
      <c r="L1002" s="166"/>
      <c r="M1002" s="431"/>
      <c r="N1002" s="431"/>
      <c r="O1002" s="431"/>
      <c r="P1002" s="418" t="str">
        <f t="shared" si="103"/>
        <v/>
      </c>
      <c r="Q1002" s="419"/>
      <c r="R1002" s="419"/>
      <c r="S1002" s="420"/>
      <c r="T1002" s="389"/>
      <c r="U1002" s="167"/>
      <c r="V1002" s="160"/>
      <c r="W1002" s="160"/>
      <c r="X1002" s="160"/>
      <c r="Y1002" s="429"/>
      <c r="Z1002" s="430"/>
      <c r="AA1002" s="166"/>
      <c r="AB1002" s="431"/>
      <c r="AC1002" s="431"/>
      <c r="AD1002" s="431"/>
      <c r="AE1002" s="418" t="str">
        <f t="shared" si="104"/>
        <v/>
      </c>
      <c r="AF1002" s="419"/>
      <c r="AG1002" s="419"/>
      <c r="AH1002" s="419"/>
    </row>
    <row r="1003" spans="1:35" s="1" customFormat="1" ht="15.75" customHeight="1">
      <c r="A1003" s="73"/>
      <c r="E1003" s="207" t="s">
        <v>546</v>
      </c>
      <c r="F1003" s="208"/>
      <c r="G1003" s="442">
        <f>ROUND(SUM(P987:S1002),1)</f>
        <v>1810.8</v>
      </c>
      <c r="H1003" s="443"/>
      <c r="I1003" s="443"/>
      <c r="J1003" s="443"/>
      <c r="K1003" s="443"/>
      <c r="L1003" s="443"/>
      <c r="M1003" s="443"/>
      <c r="N1003" s="443"/>
      <c r="O1003" s="443"/>
      <c r="P1003" s="443"/>
      <c r="Q1003" s="443"/>
      <c r="R1003" s="443"/>
      <c r="S1003" s="444"/>
      <c r="T1003" s="400" t="s">
        <v>546</v>
      </c>
      <c r="U1003" s="208"/>
      <c r="V1003" s="442">
        <f>ROUND(SUM(AE987:AH1002),1)</f>
        <v>2125</v>
      </c>
      <c r="W1003" s="443"/>
      <c r="X1003" s="443"/>
      <c r="Y1003" s="443"/>
      <c r="Z1003" s="443"/>
      <c r="AA1003" s="443"/>
      <c r="AB1003" s="443"/>
      <c r="AC1003" s="443"/>
      <c r="AD1003" s="443"/>
      <c r="AE1003" s="443"/>
      <c r="AF1003" s="443"/>
      <c r="AG1003" s="443"/>
      <c r="AH1003" s="443"/>
    </row>
    <row r="1004" spans="1:35" s="1" customFormat="1" ht="15.75" hidden="1" customHeight="1">
      <c r="A1004" s="73" t="str">
        <f>IF(液状化L1の有無="","","×")</f>
        <v>×</v>
      </c>
      <c r="E1004" s="8"/>
      <c r="F1004" s="8"/>
      <c r="G1004" s="8"/>
      <c r="H1004" s="8"/>
      <c r="I1004" s="8"/>
      <c r="J1004" s="8"/>
      <c r="K1004" s="8"/>
      <c r="L1004" s="8"/>
      <c r="M1004" s="8"/>
      <c r="N1004" s="8"/>
      <c r="O1004" s="8"/>
      <c r="AA1004" s="2" t="s">
        <v>127</v>
      </c>
      <c r="AB1004" s="1" t="s">
        <v>513</v>
      </c>
      <c r="AC1004" s="76" t="s">
        <v>27</v>
      </c>
      <c r="AD1004" s="212">
        <f>AD980</f>
        <v>3.1415926535897931</v>
      </c>
      <c r="AE1004" s="212"/>
      <c r="AF1004" s="212"/>
      <c r="AG1004" s="7" t="s">
        <v>514</v>
      </c>
      <c r="AH1004" s="76" t="s">
        <v>158</v>
      </c>
    </row>
    <row r="1005" spans="1:35" ht="15.75" hidden="1" customHeight="1">
      <c r="A1005" s="73" t="str">
        <f>IF(液状化L1の有無="","","×")</f>
        <v>×</v>
      </c>
    </row>
    <row r="1007" spans="1:35" s="1" customFormat="1" ht="15.75" hidden="1" customHeight="1">
      <c r="A1007" s="73" t="str">
        <f>IF(液状化L2の有無="","","×")</f>
        <v>×</v>
      </c>
      <c r="E1007" s="61" t="s">
        <v>598</v>
      </c>
      <c r="F1007" s="85"/>
      <c r="G1007" s="85"/>
      <c r="H1007" s="61"/>
      <c r="I1007" s="61"/>
      <c r="J1007" s="61"/>
      <c r="K1007" s="61"/>
      <c r="L1007" s="61"/>
      <c r="M1007" s="61"/>
      <c r="N1007" s="61"/>
      <c r="O1007" s="61"/>
      <c r="P1007" s="61"/>
      <c r="Q1007" s="61"/>
      <c r="R1007" s="61"/>
      <c r="S1007" s="61"/>
      <c r="T1007" s="61"/>
      <c r="U1007" s="61"/>
      <c r="V1007" s="61"/>
      <c r="W1007" s="61"/>
      <c r="X1007" s="61"/>
      <c r="Y1007" s="61"/>
      <c r="Z1007" s="61"/>
      <c r="AA1007" s="61"/>
      <c r="AB1007" s="61"/>
      <c r="AC1007" s="61"/>
      <c r="AD1007" s="61"/>
      <c r="AE1007" s="61"/>
      <c r="AF1007" s="61"/>
      <c r="AG1007" s="61"/>
      <c r="AH1007" s="61"/>
      <c r="AI1007" s="8"/>
    </row>
    <row r="1008" spans="1:35" s="1" customFormat="1" ht="15.75" hidden="1" customHeight="1">
      <c r="A1008" s="73" t="str">
        <f>IF(液状化L2の有無="","","×")</f>
        <v>×</v>
      </c>
      <c r="E1008" s="347" t="s">
        <v>511</v>
      </c>
      <c r="F1008" s="348"/>
      <c r="G1008" s="348"/>
      <c r="H1008" s="348"/>
      <c r="I1008" s="348"/>
      <c r="J1008" s="348"/>
      <c r="K1008" s="348"/>
      <c r="L1008" s="348"/>
      <c r="M1008" s="348"/>
      <c r="N1008" s="348"/>
      <c r="O1008" s="348"/>
      <c r="P1008" s="348"/>
      <c r="Q1008" s="348"/>
      <c r="R1008" s="348"/>
      <c r="S1008" s="349"/>
      <c r="T1008" s="350" t="s">
        <v>512</v>
      </c>
      <c r="U1008" s="147"/>
      <c r="V1008" s="147"/>
      <c r="W1008" s="147"/>
      <c r="X1008" s="147"/>
      <c r="Y1008" s="147"/>
      <c r="Z1008" s="147"/>
      <c r="AA1008" s="147"/>
      <c r="AB1008" s="147"/>
      <c r="AC1008" s="147"/>
      <c r="AD1008" s="147"/>
      <c r="AE1008" s="147"/>
      <c r="AF1008" s="147"/>
      <c r="AG1008" s="147"/>
      <c r="AH1008" s="214"/>
    </row>
    <row r="1009" spans="1:34" s="1" customFormat="1" ht="15.75" hidden="1" customHeight="1">
      <c r="A1009" s="73" t="str">
        <f>IF(液状化L2の有無="","","×")</f>
        <v>×</v>
      </c>
      <c r="E1009" s="225" t="s">
        <v>78</v>
      </c>
      <c r="F1009" s="226"/>
      <c r="G1009" s="229" t="s">
        <v>190</v>
      </c>
      <c r="H1009" s="230"/>
      <c r="I1009" s="230"/>
      <c r="J1009" s="325" t="s">
        <v>234</v>
      </c>
      <c r="K1009" s="321"/>
      <c r="L1009" s="308"/>
      <c r="M1009" s="325" t="s">
        <v>545</v>
      </c>
      <c r="N1009" s="321"/>
      <c r="O1009" s="308"/>
      <c r="P1009" s="325" t="s">
        <v>237</v>
      </c>
      <c r="Q1009" s="321"/>
      <c r="R1009" s="321"/>
      <c r="S1009" s="446"/>
      <c r="T1009" s="330" t="s">
        <v>78</v>
      </c>
      <c r="U1009" s="187"/>
      <c r="V1009" s="189" t="s">
        <v>190</v>
      </c>
      <c r="W1009" s="218"/>
      <c r="X1009" s="218"/>
      <c r="Y1009" s="421" t="s">
        <v>234</v>
      </c>
      <c r="Z1009" s="422"/>
      <c r="AA1009" s="423"/>
      <c r="AB1009" s="421" t="s">
        <v>545</v>
      </c>
      <c r="AC1009" s="422"/>
      <c r="AD1009" s="423"/>
      <c r="AE1009" s="421" t="s">
        <v>237</v>
      </c>
      <c r="AF1009" s="422"/>
      <c r="AG1009" s="422"/>
      <c r="AH1009" s="422"/>
    </row>
    <row r="1010" spans="1:34" s="1" customFormat="1" ht="15.75" hidden="1" customHeight="1">
      <c r="A1010" s="73" t="str">
        <f>IF(液状化L2の有無="","","×")</f>
        <v>×</v>
      </c>
      <c r="E1010" s="227"/>
      <c r="F1010" s="228"/>
      <c r="G1010" s="231"/>
      <c r="H1010" s="231"/>
      <c r="I1010" s="231"/>
      <c r="J1010" s="326"/>
      <c r="K1010" s="323"/>
      <c r="L1010" s="225"/>
      <c r="M1010" s="326"/>
      <c r="N1010" s="323"/>
      <c r="O1010" s="225"/>
      <c r="P1010" s="326"/>
      <c r="Q1010" s="323"/>
      <c r="R1010" s="323"/>
      <c r="S1010" s="364"/>
      <c r="T1010" s="351"/>
      <c r="U1010" s="228"/>
      <c r="V1010" s="231"/>
      <c r="W1010" s="231"/>
      <c r="X1010" s="231"/>
      <c r="Y1010" s="326"/>
      <c r="Z1010" s="323"/>
      <c r="AA1010" s="225"/>
      <c r="AB1010" s="326"/>
      <c r="AC1010" s="323"/>
      <c r="AD1010" s="225"/>
      <c r="AE1010" s="326"/>
      <c r="AF1010" s="323"/>
      <c r="AG1010" s="323"/>
      <c r="AH1010" s="323"/>
    </row>
    <row r="1011" spans="1:34" s="1" customFormat="1" ht="15.75" hidden="1" customHeight="1">
      <c r="A1011" s="73" t="str">
        <f>IF(液状化L2の有無="",IF(LEN(E1011)+LEN(T1011)=0,"×",""),"×")</f>
        <v>×</v>
      </c>
      <c r="E1011" s="190">
        <v>3</v>
      </c>
      <c r="F1011" s="163"/>
      <c r="G1011" s="164">
        <v>3</v>
      </c>
      <c r="H1011" s="164"/>
      <c r="I1011" s="164"/>
      <c r="J1011" s="424" t="s">
        <v>547</v>
      </c>
      <c r="K1011" s="425"/>
      <c r="L1011" s="190"/>
      <c r="M1011" s="426">
        <v>0</v>
      </c>
      <c r="N1011" s="426"/>
      <c r="O1011" s="426"/>
      <c r="P1011" s="427">
        <f t="shared" ref="P1011:P1026" si="105">IF(M1011="","",M1011*G1011*$AD$1028)</f>
        <v>0</v>
      </c>
      <c r="Q1011" s="428"/>
      <c r="R1011" s="428"/>
      <c r="S1011" s="445"/>
      <c r="T1011" s="390">
        <v>3</v>
      </c>
      <c r="U1011" s="163"/>
      <c r="V1011" s="164">
        <v>3</v>
      </c>
      <c r="W1011" s="164"/>
      <c r="X1011" s="164"/>
      <c r="Y1011" s="424" t="s">
        <v>547</v>
      </c>
      <c r="Z1011" s="425"/>
      <c r="AA1011" s="190"/>
      <c r="AB1011" s="426">
        <v>0</v>
      </c>
      <c r="AC1011" s="426"/>
      <c r="AD1011" s="426"/>
      <c r="AE1011" s="427">
        <f t="shared" ref="AE1011:AE1026" si="106">IF(AB1011="","",AB1011*V1011*$AD$1028)</f>
        <v>0</v>
      </c>
      <c r="AF1011" s="428"/>
      <c r="AG1011" s="428"/>
      <c r="AH1011" s="428"/>
    </row>
    <row r="1012" spans="1:34" s="1" customFormat="1" ht="15.75" hidden="1" customHeight="1">
      <c r="A1012" s="73" t="str">
        <f>IF(液状化L2の有無="",IF(LEN(E1012)+LEN(T1012)=0,"×",""),"×")</f>
        <v>×</v>
      </c>
      <c r="E1012" s="166">
        <v>4</v>
      </c>
      <c r="F1012" s="167"/>
      <c r="G1012" s="160">
        <v>1.0799999237060547</v>
      </c>
      <c r="H1012" s="160"/>
      <c r="I1012" s="160"/>
      <c r="J1012" s="429" t="s">
        <v>482</v>
      </c>
      <c r="K1012" s="430"/>
      <c r="L1012" s="166"/>
      <c r="M1012" s="431">
        <v>0</v>
      </c>
      <c r="N1012" s="431"/>
      <c r="O1012" s="431"/>
      <c r="P1012" s="418">
        <f t="shared" si="105"/>
        <v>0</v>
      </c>
      <c r="Q1012" s="419"/>
      <c r="R1012" s="419"/>
      <c r="S1012" s="420"/>
      <c r="T1012" s="389">
        <v>4</v>
      </c>
      <c r="U1012" s="167"/>
      <c r="V1012" s="160">
        <v>1.0799999237060547</v>
      </c>
      <c r="W1012" s="160"/>
      <c r="X1012" s="160"/>
      <c r="Y1012" s="429" t="s">
        <v>482</v>
      </c>
      <c r="Z1012" s="430"/>
      <c r="AA1012" s="166"/>
      <c r="AB1012" s="431">
        <v>0</v>
      </c>
      <c r="AC1012" s="431"/>
      <c r="AD1012" s="431"/>
      <c r="AE1012" s="418">
        <f t="shared" si="106"/>
        <v>0</v>
      </c>
      <c r="AF1012" s="419"/>
      <c r="AG1012" s="419"/>
      <c r="AH1012" s="419"/>
    </row>
    <row r="1013" spans="1:34" s="1" customFormat="1" ht="15.75" hidden="1" customHeight="1">
      <c r="A1013" s="73" t="str">
        <f>IF(液状化L2の有無="",IF(LEN(E1013)+LEN(T1013)=0,"×",""),"×")</f>
        <v>×</v>
      </c>
      <c r="E1013" s="166">
        <v>4</v>
      </c>
      <c r="F1013" s="167"/>
      <c r="G1013" s="160">
        <v>3.9200000762939453</v>
      </c>
      <c r="H1013" s="160"/>
      <c r="I1013" s="160"/>
      <c r="J1013" s="429" t="s">
        <v>482</v>
      </c>
      <c r="K1013" s="430"/>
      <c r="L1013" s="166"/>
      <c r="M1013" s="431">
        <v>45</v>
      </c>
      <c r="N1013" s="431"/>
      <c r="O1013" s="431"/>
      <c r="P1013" s="418">
        <f t="shared" si="105"/>
        <v>554.17695487904189</v>
      </c>
      <c r="Q1013" s="419"/>
      <c r="R1013" s="419"/>
      <c r="S1013" s="420"/>
      <c r="T1013" s="389">
        <v>4</v>
      </c>
      <c r="U1013" s="167"/>
      <c r="V1013" s="160">
        <v>3.9200000762939453</v>
      </c>
      <c r="W1013" s="160"/>
      <c r="X1013" s="160"/>
      <c r="Y1013" s="429" t="s">
        <v>482</v>
      </c>
      <c r="Z1013" s="430"/>
      <c r="AA1013" s="166"/>
      <c r="AB1013" s="431">
        <v>45</v>
      </c>
      <c r="AC1013" s="431"/>
      <c r="AD1013" s="431"/>
      <c r="AE1013" s="418">
        <f t="shared" si="106"/>
        <v>554.17695487904189</v>
      </c>
      <c r="AF1013" s="419"/>
      <c r="AG1013" s="419"/>
      <c r="AH1013" s="419"/>
    </row>
    <row r="1014" spans="1:34" s="1" customFormat="1" ht="15.75" hidden="1" customHeight="1">
      <c r="A1014" s="73" t="str">
        <f>IF(液状化L2の有無="",IF(LEN(E1014)+LEN(T1014)=0,"×",""),"×")</f>
        <v>×</v>
      </c>
      <c r="E1014" s="166">
        <v>5</v>
      </c>
      <c r="F1014" s="167"/>
      <c r="G1014" s="160">
        <v>8</v>
      </c>
      <c r="H1014" s="160"/>
      <c r="I1014" s="160"/>
      <c r="J1014" s="429" t="s">
        <v>547</v>
      </c>
      <c r="K1014" s="430"/>
      <c r="L1014" s="166"/>
      <c r="M1014" s="431">
        <v>25</v>
      </c>
      <c r="N1014" s="431"/>
      <c r="O1014" s="431"/>
      <c r="P1014" s="418">
        <f t="shared" si="105"/>
        <v>628.31853071795865</v>
      </c>
      <c r="Q1014" s="419"/>
      <c r="R1014" s="419"/>
      <c r="S1014" s="420"/>
      <c r="T1014" s="389">
        <v>5</v>
      </c>
      <c r="U1014" s="167"/>
      <c r="V1014" s="160">
        <v>8</v>
      </c>
      <c r="W1014" s="160"/>
      <c r="X1014" s="160"/>
      <c r="Y1014" s="429" t="s">
        <v>547</v>
      </c>
      <c r="Z1014" s="430"/>
      <c r="AA1014" s="166"/>
      <c r="AB1014" s="431">
        <v>25</v>
      </c>
      <c r="AC1014" s="431"/>
      <c r="AD1014" s="431"/>
      <c r="AE1014" s="418">
        <f t="shared" si="106"/>
        <v>628.31853071795865</v>
      </c>
      <c r="AF1014" s="419"/>
      <c r="AG1014" s="419"/>
      <c r="AH1014" s="419"/>
    </row>
    <row r="1015" spans="1:34" s="1" customFormat="1" ht="15.75" hidden="1" customHeight="1">
      <c r="A1015" s="73" t="str">
        <f>IF(液状化L2の有無="",IF(LEN(E1015)+LEN(T1015)=0,"×",""),"×")</f>
        <v>×</v>
      </c>
      <c r="E1015" s="166">
        <v>6</v>
      </c>
      <c r="F1015" s="167"/>
      <c r="G1015" s="160">
        <v>4</v>
      </c>
      <c r="H1015" s="160"/>
      <c r="I1015" s="160"/>
      <c r="J1015" s="429" t="s">
        <v>547</v>
      </c>
      <c r="K1015" s="430"/>
      <c r="L1015" s="166"/>
      <c r="M1015" s="431">
        <v>50</v>
      </c>
      <c r="N1015" s="431"/>
      <c r="O1015" s="431"/>
      <c r="P1015" s="418">
        <f t="shared" si="105"/>
        <v>628.31853071795865</v>
      </c>
      <c r="Q1015" s="419"/>
      <c r="R1015" s="419"/>
      <c r="S1015" s="420"/>
      <c r="T1015" s="389">
        <v>6</v>
      </c>
      <c r="U1015" s="167"/>
      <c r="V1015" s="160">
        <v>4.5</v>
      </c>
      <c r="W1015" s="160"/>
      <c r="X1015" s="160"/>
      <c r="Y1015" s="429" t="s">
        <v>547</v>
      </c>
      <c r="Z1015" s="430"/>
      <c r="AA1015" s="166"/>
      <c r="AB1015" s="431">
        <v>50</v>
      </c>
      <c r="AC1015" s="431"/>
      <c r="AD1015" s="431"/>
      <c r="AE1015" s="418">
        <f t="shared" si="106"/>
        <v>706.85834705770344</v>
      </c>
      <c r="AF1015" s="419"/>
      <c r="AG1015" s="419"/>
      <c r="AH1015" s="419"/>
    </row>
    <row r="1016" spans="1:34" s="1" customFormat="1" ht="15.75" hidden="1" customHeight="1">
      <c r="A1016" s="73" t="str">
        <f>IF(液状化L2の有無="",IF(LEN(E1016)+LEN(T1016)=0,"×",""),"×")</f>
        <v>×</v>
      </c>
      <c r="E1016" s="166">
        <v>6</v>
      </c>
      <c r="F1016" s="167"/>
      <c r="G1016" s="160">
        <v>0.5</v>
      </c>
      <c r="H1016" s="160"/>
      <c r="I1016" s="160"/>
      <c r="J1016" s="429" t="s">
        <v>547</v>
      </c>
      <c r="K1016" s="430"/>
      <c r="L1016" s="166"/>
      <c r="M1016" s="431">
        <v>0</v>
      </c>
      <c r="N1016" s="431"/>
      <c r="O1016" s="431"/>
      <c r="P1016" s="418">
        <f t="shared" si="105"/>
        <v>0</v>
      </c>
      <c r="Q1016" s="419"/>
      <c r="R1016" s="419"/>
      <c r="S1016" s="420"/>
      <c r="T1016" s="389">
        <v>7</v>
      </c>
      <c r="U1016" s="167"/>
      <c r="V1016" s="160">
        <v>0.5</v>
      </c>
      <c r="W1016" s="160"/>
      <c r="X1016" s="160"/>
      <c r="Y1016" s="429" t="s">
        <v>483</v>
      </c>
      <c r="Z1016" s="430"/>
      <c r="AA1016" s="166"/>
      <c r="AB1016" s="431">
        <v>150</v>
      </c>
      <c r="AC1016" s="431"/>
      <c r="AD1016" s="431"/>
      <c r="AE1016" s="418">
        <f t="shared" si="106"/>
        <v>235.61944901923448</v>
      </c>
      <c r="AF1016" s="419"/>
      <c r="AG1016" s="419"/>
      <c r="AH1016" s="419"/>
    </row>
    <row r="1017" spans="1:34" s="1" customFormat="1" ht="15.75" hidden="1" customHeight="1">
      <c r="A1017" s="73" t="str">
        <f>IF(液状化L2の有無="",IF(LEN(E1017)+LEN(T1017)=0,"×",""),"×")</f>
        <v>×</v>
      </c>
      <c r="E1017" s="166">
        <v>7</v>
      </c>
      <c r="F1017" s="167"/>
      <c r="G1017" s="160">
        <v>0.5</v>
      </c>
      <c r="H1017" s="160"/>
      <c r="I1017" s="160"/>
      <c r="J1017" s="429" t="s">
        <v>483</v>
      </c>
      <c r="K1017" s="430"/>
      <c r="L1017" s="166"/>
      <c r="M1017" s="431">
        <v>0</v>
      </c>
      <c r="N1017" s="431"/>
      <c r="O1017" s="431"/>
      <c r="P1017" s="418">
        <f t="shared" si="105"/>
        <v>0</v>
      </c>
      <c r="Q1017" s="419"/>
      <c r="R1017" s="419"/>
      <c r="S1017" s="420"/>
      <c r="T1017" s="389"/>
      <c r="U1017" s="167"/>
      <c r="V1017" s="160"/>
      <c r="W1017" s="160"/>
      <c r="X1017" s="160"/>
      <c r="Y1017" s="429"/>
      <c r="Z1017" s="430"/>
      <c r="AA1017" s="166"/>
      <c r="AB1017" s="431"/>
      <c r="AC1017" s="431"/>
      <c r="AD1017" s="431"/>
      <c r="AE1017" s="418" t="str">
        <f t="shared" si="106"/>
        <v/>
      </c>
      <c r="AF1017" s="419"/>
      <c r="AG1017" s="419"/>
      <c r="AH1017" s="419"/>
    </row>
    <row r="1018" spans="1:34" s="1" customFormat="1" ht="15.75" hidden="1" customHeight="1">
      <c r="A1018" s="73" t="str">
        <f>IF(液状化L2の有無="",IF(LEN(E1018)+LEN(T1018)=0,"×",""),"×")</f>
        <v>×</v>
      </c>
      <c r="E1018" s="166"/>
      <c r="F1018" s="167"/>
      <c r="G1018" s="160"/>
      <c r="H1018" s="160"/>
      <c r="I1018" s="160"/>
      <c r="J1018" s="429"/>
      <c r="K1018" s="430"/>
      <c r="L1018" s="166"/>
      <c r="M1018" s="431"/>
      <c r="N1018" s="431"/>
      <c r="O1018" s="431"/>
      <c r="P1018" s="418" t="str">
        <f t="shared" si="105"/>
        <v/>
      </c>
      <c r="Q1018" s="419"/>
      <c r="R1018" s="419"/>
      <c r="S1018" s="420"/>
      <c r="T1018" s="389"/>
      <c r="U1018" s="167"/>
      <c r="V1018" s="160"/>
      <c r="W1018" s="160"/>
      <c r="X1018" s="160"/>
      <c r="Y1018" s="429"/>
      <c r="Z1018" s="430"/>
      <c r="AA1018" s="166"/>
      <c r="AB1018" s="431"/>
      <c r="AC1018" s="431"/>
      <c r="AD1018" s="431"/>
      <c r="AE1018" s="418" t="str">
        <f t="shared" si="106"/>
        <v/>
      </c>
      <c r="AF1018" s="419"/>
      <c r="AG1018" s="419"/>
      <c r="AH1018" s="419"/>
    </row>
    <row r="1019" spans="1:34" s="1" customFormat="1" ht="15.75" hidden="1" customHeight="1">
      <c r="A1019" s="73" t="str">
        <f>IF(液状化L2の有無="",IF(LEN(E1019)+LEN(T1019)=0,"×",""),"×")</f>
        <v>×</v>
      </c>
      <c r="E1019" s="166"/>
      <c r="F1019" s="167"/>
      <c r="G1019" s="160"/>
      <c r="H1019" s="160"/>
      <c r="I1019" s="160"/>
      <c r="J1019" s="429"/>
      <c r="K1019" s="430"/>
      <c r="L1019" s="166"/>
      <c r="M1019" s="431"/>
      <c r="N1019" s="431"/>
      <c r="O1019" s="431"/>
      <c r="P1019" s="418" t="str">
        <f t="shared" si="105"/>
        <v/>
      </c>
      <c r="Q1019" s="419"/>
      <c r="R1019" s="419"/>
      <c r="S1019" s="420"/>
      <c r="T1019" s="389"/>
      <c r="U1019" s="167"/>
      <c r="V1019" s="160"/>
      <c r="W1019" s="160"/>
      <c r="X1019" s="160"/>
      <c r="Y1019" s="429"/>
      <c r="Z1019" s="430"/>
      <c r="AA1019" s="166"/>
      <c r="AB1019" s="431"/>
      <c r="AC1019" s="431"/>
      <c r="AD1019" s="431"/>
      <c r="AE1019" s="418" t="str">
        <f t="shared" si="106"/>
        <v/>
      </c>
      <c r="AF1019" s="419"/>
      <c r="AG1019" s="419"/>
      <c r="AH1019" s="419"/>
    </row>
    <row r="1020" spans="1:34" s="1" customFormat="1" ht="15.75" hidden="1" customHeight="1">
      <c r="A1020" s="73" t="str">
        <f>IF(液状化L2の有無="",IF(LEN(E1020)+LEN(T1020)=0,"×",""),"×")</f>
        <v>×</v>
      </c>
      <c r="E1020" s="166"/>
      <c r="F1020" s="167"/>
      <c r="G1020" s="160"/>
      <c r="H1020" s="160"/>
      <c r="I1020" s="160"/>
      <c r="J1020" s="429"/>
      <c r="K1020" s="430"/>
      <c r="L1020" s="166"/>
      <c r="M1020" s="431"/>
      <c r="N1020" s="431"/>
      <c r="O1020" s="431"/>
      <c r="P1020" s="418" t="str">
        <f t="shared" si="105"/>
        <v/>
      </c>
      <c r="Q1020" s="419"/>
      <c r="R1020" s="419"/>
      <c r="S1020" s="420"/>
      <c r="T1020" s="389"/>
      <c r="U1020" s="167"/>
      <c r="V1020" s="160"/>
      <c r="W1020" s="160"/>
      <c r="X1020" s="160"/>
      <c r="Y1020" s="429"/>
      <c r="Z1020" s="430"/>
      <c r="AA1020" s="166"/>
      <c r="AB1020" s="431"/>
      <c r="AC1020" s="431"/>
      <c r="AD1020" s="431"/>
      <c r="AE1020" s="418" t="str">
        <f t="shared" si="106"/>
        <v/>
      </c>
      <c r="AF1020" s="419"/>
      <c r="AG1020" s="419"/>
      <c r="AH1020" s="419"/>
    </row>
    <row r="1021" spans="1:34" s="1" customFormat="1" ht="15.75" hidden="1" customHeight="1">
      <c r="A1021" s="73" t="str">
        <f>IF(液状化L2の有無="",IF(LEN(E1021)+LEN(T1021)=0,"×",""),"×")</f>
        <v>×</v>
      </c>
      <c r="E1021" s="166"/>
      <c r="F1021" s="167"/>
      <c r="G1021" s="160"/>
      <c r="H1021" s="160"/>
      <c r="I1021" s="160"/>
      <c r="J1021" s="429"/>
      <c r="K1021" s="430"/>
      <c r="L1021" s="166"/>
      <c r="M1021" s="431"/>
      <c r="N1021" s="431"/>
      <c r="O1021" s="431"/>
      <c r="P1021" s="418" t="str">
        <f t="shared" si="105"/>
        <v/>
      </c>
      <c r="Q1021" s="419"/>
      <c r="R1021" s="419"/>
      <c r="S1021" s="420"/>
      <c r="T1021" s="389"/>
      <c r="U1021" s="167"/>
      <c r="V1021" s="160"/>
      <c r="W1021" s="160"/>
      <c r="X1021" s="160"/>
      <c r="Y1021" s="429"/>
      <c r="Z1021" s="430"/>
      <c r="AA1021" s="166"/>
      <c r="AB1021" s="431"/>
      <c r="AC1021" s="431"/>
      <c r="AD1021" s="431"/>
      <c r="AE1021" s="418" t="str">
        <f t="shared" si="106"/>
        <v/>
      </c>
      <c r="AF1021" s="419"/>
      <c r="AG1021" s="419"/>
      <c r="AH1021" s="419"/>
    </row>
    <row r="1022" spans="1:34" s="1" customFormat="1" ht="15.75" hidden="1" customHeight="1">
      <c r="A1022" s="73" t="str">
        <f>IF(液状化L2の有無="",IF(LEN(E1022)+LEN(T1022)=0,"×",""),"×")</f>
        <v>×</v>
      </c>
      <c r="E1022" s="166"/>
      <c r="F1022" s="167"/>
      <c r="G1022" s="160"/>
      <c r="H1022" s="160"/>
      <c r="I1022" s="160"/>
      <c r="J1022" s="429"/>
      <c r="K1022" s="430"/>
      <c r="L1022" s="166"/>
      <c r="M1022" s="431"/>
      <c r="N1022" s="431"/>
      <c r="O1022" s="431"/>
      <c r="P1022" s="418" t="str">
        <f t="shared" si="105"/>
        <v/>
      </c>
      <c r="Q1022" s="419"/>
      <c r="R1022" s="419"/>
      <c r="S1022" s="420"/>
      <c r="T1022" s="389"/>
      <c r="U1022" s="167"/>
      <c r="V1022" s="160"/>
      <c r="W1022" s="160"/>
      <c r="X1022" s="160"/>
      <c r="Y1022" s="429"/>
      <c r="Z1022" s="430"/>
      <c r="AA1022" s="166"/>
      <c r="AB1022" s="431"/>
      <c r="AC1022" s="431"/>
      <c r="AD1022" s="431"/>
      <c r="AE1022" s="418" t="str">
        <f t="shared" si="106"/>
        <v/>
      </c>
      <c r="AF1022" s="419"/>
      <c r="AG1022" s="419"/>
      <c r="AH1022" s="419"/>
    </row>
    <row r="1023" spans="1:34" s="1" customFormat="1" ht="15.75" hidden="1" customHeight="1">
      <c r="A1023" s="73" t="str">
        <f>IF(液状化L2の有無="",IF(LEN(E1023)+LEN(T1023)=0,"×",""),"×")</f>
        <v>×</v>
      </c>
      <c r="E1023" s="166"/>
      <c r="F1023" s="167"/>
      <c r="G1023" s="160"/>
      <c r="H1023" s="160"/>
      <c r="I1023" s="160"/>
      <c r="J1023" s="429"/>
      <c r="K1023" s="430"/>
      <c r="L1023" s="166"/>
      <c r="M1023" s="431"/>
      <c r="N1023" s="431"/>
      <c r="O1023" s="431"/>
      <c r="P1023" s="418" t="str">
        <f t="shared" si="105"/>
        <v/>
      </c>
      <c r="Q1023" s="419"/>
      <c r="R1023" s="419"/>
      <c r="S1023" s="420"/>
      <c r="T1023" s="389"/>
      <c r="U1023" s="167"/>
      <c r="V1023" s="160"/>
      <c r="W1023" s="160"/>
      <c r="X1023" s="160"/>
      <c r="Y1023" s="429"/>
      <c r="Z1023" s="430"/>
      <c r="AA1023" s="166"/>
      <c r="AB1023" s="431"/>
      <c r="AC1023" s="431"/>
      <c r="AD1023" s="431"/>
      <c r="AE1023" s="418" t="str">
        <f t="shared" si="106"/>
        <v/>
      </c>
      <c r="AF1023" s="419"/>
      <c r="AG1023" s="419"/>
      <c r="AH1023" s="419"/>
    </row>
    <row r="1024" spans="1:34" s="1" customFormat="1" ht="15.75" hidden="1" customHeight="1">
      <c r="A1024" s="73" t="str">
        <f>IF(液状化L2の有無="",IF(LEN(E1024)+LEN(T1024)=0,"×",""),"×")</f>
        <v>×</v>
      </c>
      <c r="E1024" s="166"/>
      <c r="F1024" s="167"/>
      <c r="G1024" s="160"/>
      <c r="H1024" s="160"/>
      <c r="I1024" s="160"/>
      <c r="J1024" s="429"/>
      <c r="K1024" s="430"/>
      <c r="L1024" s="166"/>
      <c r="M1024" s="431"/>
      <c r="N1024" s="431"/>
      <c r="O1024" s="431"/>
      <c r="P1024" s="418" t="str">
        <f t="shared" si="105"/>
        <v/>
      </c>
      <c r="Q1024" s="419"/>
      <c r="R1024" s="419"/>
      <c r="S1024" s="420"/>
      <c r="T1024" s="389"/>
      <c r="U1024" s="167"/>
      <c r="V1024" s="160"/>
      <c r="W1024" s="160"/>
      <c r="X1024" s="160"/>
      <c r="Y1024" s="429"/>
      <c r="Z1024" s="430"/>
      <c r="AA1024" s="166"/>
      <c r="AB1024" s="431"/>
      <c r="AC1024" s="431"/>
      <c r="AD1024" s="431"/>
      <c r="AE1024" s="418" t="str">
        <f t="shared" si="106"/>
        <v/>
      </c>
      <c r="AF1024" s="419"/>
      <c r="AG1024" s="419"/>
      <c r="AH1024" s="419"/>
    </row>
    <row r="1025" spans="1:71" s="1" customFormat="1" ht="15.75" hidden="1" customHeight="1">
      <c r="A1025" s="73" t="str">
        <f>IF(液状化L2の有無="",IF(LEN(E1025)+LEN(T1025)=0,"×",""),"×")</f>
        <v>×</v>
      </c>
      <c r="E1025" s="166"/>
      <c r="F1025" s="167"/>
      <c r="G1025" s="160"/>
      <c r="H1025" s="160"/>
      <c r="I1025" s="160"/>
      <c r="J1025" s="429"/>
      <c r="K1025" s="430"/>
      <c r="L1025" s="166"/>
      <c r="M1025" s="431"/>
      <c r="N1025" s="431"/>
      <c r="O1025" s="431"/>
      <c r="P1025" s="418" t="str">
        <f t="shared" si="105"/>
        <v/>
      </c>
      <c r="Q1025" s="419"/>
      <c r="R1025" s="419"/>
      <c r="S1025" s="420"/>
      <c r="T1025" s="389"/>
      <c r="U1025" s="167"/>
      <c r="V1025" s="160"/>
      <c r="W1025" s="160"/>
      <c r="X1025" s="160"/>
      <c r="Y1025" s="429"/>
      <c r="Z1025" s="430"/>
      <c r="AA1025" s="166"/>
      <c r="AB1025" s="431"/>
      <c r="AC1025" s="431"/>
      <c r="AD1025" s="431"/>
      <c r="AE1025" s="418" t="str">
        <f t="shared" si="106"/>
        <v/>
      </c>
      <c r="AF1025" s="419"/>
      <c r="AG1025" s="419"/>
      <c r="AH1025" s="419"/>
    </row>
    <row r="1026" spans="1:71" s="1" customFormat="1" ht="15.75" hidden="1" customHeight="1">
      <c r="A1026" s="73" t="str">
        <f>IF(液状化L2の有無="",IF(LEN(E1026)+LEN(T1026)=0,"×",""),"×")</f>
        <v>×</v>
      </c>
      <c r="E1026" s="166"/>
      <c r="F1026" s="167"/>
      <c r="G1026" s="160"/>
      <c r="H1026" s="160"/>
      <c r="I1026" s="160"/>
      <c r="J1026" s="429"/>
      <c r="K1026" s="430"/>
      <c r="L1026" s="166"/>
      <c r="M1026" s="431"/>
      <c r="N1026" s="431"/>
      <c r="O1026" s="431"/>
      <c r="P1026" s="418" t="str">
        <f t="shared" si="105"/>
        <v/>
      </c>
      <c r="Q1026" s="419"/>
      <c r="R1026" s="419"/>
      <c r="S1026" s="420"/>
      <c r="T1026" s="389"/>
      <c r="U1026" s="167"/>
      <c r="V1026" s="160"/>
      <c r="W1026" s="160"/>
      <c r="X1026" s="160"/>
      <c r="Y1026" s="429"/>
      <c r="Z1026" s="430"/>
      <c r="AA1026" s="166"/>
      <c r="AB1026" s="431"/>
      <c r="AC1026" s="431"/>
      <c r="AD1026" s="431"/>
      <c r="AE1026" s="418" t="str">
        <f t="shared" si="106"/>
        <v/>
      </c>
      <c r="AF1026" s="419"/>
      <c r="AG1026" s="419"/>
      <c r="AH1026" s="419"/>
    </row>
    <row r="1027" spans="1:71" s="1" customFormat="1" ht="15.75" customHeight="1">
      <c r="A1027" s="73"/>
      <c r="E1027" s="207" t="s">
        <v>546</v>
      </c>
      <c r="F1027" s="208"/>
      <c r="G1027" s="442">
        <f>ROUND(SUM(P1011:S1026),1)</f>
        <v>1810.8</v>
      </c>
      <c r="H1027" s="443"/>
      <c r="I1027" s="443"/>
      <c r="J1027" s="443"/>
      <c r="K1027" s="443"/>
      <c r="L1027" s="443"/>
      <c r="M1027" s="443"/>
      <c r="N1027" s="443"/>
      <c r="O1027" s="443"/>
      <c r="P1027" s="443"/>
      <c r="Q1027" s="443"/>
      <c r="R1027" s="443"/>
      <c r="S1027" s="444"/>
      <c r="T1027" s="400" t="s">
        <v>546</v>
      </c>
      <c r="U1027" s="208"/>
      <c r="V1027" s="442">
        <f>ROUND(SUM(AE1011:AH1026),1)</f>
        <v>2125</v>
      </c>
      <c r="W1027" s="443"/>
      <c r="X1027" s="443"/>
      <c r="Y1027" s="443"/>
      <c r="Z1027" s="443"/>
      <c r="AA1027" s="443"/>
      <c r="AB1027" s="443"/>
      <c r="AC1027" s="443"/>
      <c r="AD1027" s="443"/>
      <c r="AE1027" s="443"/>
      <c r="AF1027" s="443"/>
      <c r="AG1027" s="443"/>
      <c r="AH1027" s="443"/>
    </row>
    <row r="1028" spans="1:71" s="1" customFormat="1" ht="15.75" hidden="1" customHeight="1">
      <c r="A1028" s="73" t="str">
        <f>IF(液状化L2の有無="","","×")</f>
        <v>×</v>
      </c>
      <c r="E1028" s="8"/>
      <c r="F1028" s="8"/>
      <c r="G1028" s="8"/>
      <c r="H1028" s="8"/>
      <c r="I1028" s="8"/>
      <c r="J1028" s="8"/>
      <c r="K1028" s="8"/>
      <c r="L1028" s="8"/>
      <c r="M1028" s="8"/>
      <c r="N1028" s="8"/>
      <c r="O1028" s="8"/>
      <c r="AA1028" s="2" t="s">
        <v>127</v>
      </c>
      <c r="AB1028" s="1" t="s">
        <v>513</v>
      </c>
      <c r="AC1028" s="76" t="s">
        <v>27</v>
      </c>
      <c r="AD1028" s="212">
        <f>AD1004</f>
        <v>3.1415926535897931</v>
      </c>
      <c r="AE1028" s="212"/>
      <c r="AF1028" s="212"/>
      <c r="AG1028" s="7" t="s">
        <v>514</v>
      </c>
      <c r="AH1028" s="76" t="s">
        <v>158</v>
      </c>
    </row>
    <row r="1029" spans="1:71" ht="15.75" hidden="1" customHeight="1">
      <c r="A1029" s="73" t="str">
        <f>IF(液状化L2の有無="","","×")</f>
        <v>×</v>
      </c>
    </row>
    <row r="1030" spans="1:71" s="1" customFormat="1" ht="15.75" customHeight="1"/>
    <row r="1031" spans="1:71" s="89" customFormat="1" ht="15.75" customHeight="1">
      <c r="G1031" s="76"/>
      <c r="H1031" s="76"/>
      <c r="I1031" s="76"/>
      <c r="J1031" s="9"/>
      <c r="K1031" s="9"/>
      <c r="L1031" s="9"/>
      <c r="M1031" s="76"/>
      <c r="N1031" s="76"/>
      <c r="O1031" s="76"/>
      <c r="P1031" s="76"/>
      <c r="Q1031" s="77"/>
      <c r="R1031" s="77"/>
      <c r="S1031" s="77"/>
      <c r="T1031" s="9"/>
      <c r="U1031" s="9"/>
      <c r="V1031" s="9"/>
      <c r="W1031" s="77"/>
      <c r="X1031" s="77"/>
      <c r="Y1031" s="77"/>
      <c r="Z1031" s="77"/>
      <c r="AA1031" s="77"/>
      <c r="AB1031" s="77"/>
      <c r="AC1031" s="77"/>
      <c r="AD1031" s="77"/>
      <c r="AP1031" s="104"/>
      <c r="AV1031" s="104"/>
      <c r="AY1031" s="104"/>
      <c r="BB1031" s="116"/>
      <c r="BL1031" s="104"/>
      <c r="BS1031" s="104"/>
    </row>
    <row r="1032" spans="1:71" s="89" customFormat="1" ht="15.75" customHeight="1">
      <c r="D1032" s="10" t="s">
        <v>238</v>
      </c>
      <c r="AP1032" s="104"/>
      <c r="AV1032" s="104"/>
      <c r="AY1032" s="104"/>
      <c r="BB1032" s="116"/>
      <c r="BL1032" s="104"/>
      <c r="BS1032" s="104"/>
    </row>
    <row r="1033" spans="1:71" s="89" customFormat="1" ht="15.75" customHeight="1">
      <c r="AP1033" s="104"/>
      <c r="AV1033" s="104"/>
      <c r="AY1033" s="104"/>
      <c r="BB1033" s="116"/>
      <c r="BL1033" s="104"/>
      <c r="BS1033" s="104"/>
    </row>
    <row r="1034" spans="1:71" s="89" customFormat="1" ht="15.75" customHeight="1">
      <c r="E1034" s="1" t="s">
        <v>239</v>
      </c>
      <c r="AP1034" s="104"/>
      <c r="AV1034" s="104"/>
      <c r="AY1034" s="104"/>
      <c r="BB1034" s="116"/>
      <c r="BL1034" s="104"/>
      <c r="BS1034" s="104"/>
    </row>
    <row r="1035" spans="1:71" s="89" customFormat="1" ht="15.75" customHeight="1">
      <c r="F1035" s="89" t="s">
        <v>247</v>
      </c>
      <c r="AP1035" s="104"/>
      <c r="AV1035" s="104"/>
      <c r="AY1035" s="104"/>
      <c r="BB1035" s="116"/>
      <c r="BL1035" s="104"/>
      <c r="BS1035" s="104"/>
    </row>
    <row r="1036" spans="1:71" s="89" customFormat="1" ht="15.75" customHeight="1">
      <c r="F1036" s="89" t="s">
        <v>248</v>
      </c>
      <c r="AP1036" s="104"/>
      <c r="AV1036" s="104"/>
      <c r="AY1036" s="104"/>
      <c r="BB1036" s="116"/>
      <c r="BL1036" s="104"/>
      <c r="BS1036" s="104"/>
    </row>
    <row r="1037" spans="1:71" s="89" customFormat="1" ht="15.75" customHeight="1">
      <c r="AP1037" s="104"/>
      <c r="AV1037" s="104"/>
      <c r="AY1037" s="104"/>
      <c r="BB1037" s="116"/>
      <c r="BL1037" s="104"/>
      <c r="BS1037" s="104"/>
    </row>
    <row r="1038" spans="1:71" s="89" customFormat="1" ht="15.75" customHeight="1">
      <c r="E1038" s="181" t="s">
        <v>240</v>
      </c>
      <c r="F1038" s="181"/>
      <c r="G1038" s="76" t="s">
        <v>27</v>
      </c>
      <c r="H1038" s="181" t="s">
        <v>241</v>
      </c>
      <c r="I1038" s="181"/>
      <c r="J1038" s="89" t="s">
        <v>1</v>
      </c>
      <c r="K1038" s="181" t="s">
        <v>199</v>
      </c>
      <c r="L1038" s="181"/>
      <c r="AP1038" s="104"/>
      <c r="AV1038" s="104"/>
      <c r="AY1038" s="104"/>
      <c r="BB1038" s="116"/>
      <c r="BL1038" s="104"/>
      <c r="BS1038" s="104"/>
    </row>
    <row r="1039" spans="1:71" s="89" customFormat="1" ht="15.75" customHeight="1">
      <c r="G1039" s="76" t="s">
        <v>27</v>
      </c>
      <c r="H1039" s="181" t="s">
        <v>241</v>
      </c>
      <c r="I1039" s="181"/>
      <c r="J1039" s="89" t="s">
        <v>1</v>
      </c>
      <c r="K1039" s="89" t="s">
        <v>242</v>
      </c>
      <c r="AP1039" s="104"/>
      <c r="AV1039" s="104"/>
      <c r="AY1039" s="104"/>
      <c r="BB1039" s="116"/>
      <c r="BL1039" s="104"/>
      <c r="BS1039" s="104"/>
    </row>
    <row r="1040" spans="1:71" s="89" customFormat="1" ht="15.75" customHeight="1">
      <c r="AP1040" s="104"/>
      <c r="AV1040" s="104"/>
      <c r="AY1040" s="104"/>
      <c r="BB1040" s="116"/>
      <c r="BL1040" s="104"/>
      <c r="BS1040" s="104"/>
    </row>
    <row r="1041" spans="5:71" s="89" customFormat="1" ht="15.75" customHeight="1">
      <c r="F1041" s="1" t="s">
        <v>3</v>
      </c>
      <c r="G1041" s="1"/>
      <c r="H1041" s="1"/>
      <c r="I1041" s="181" t="s">
        <v>240</v>
      </c>
      <c r="J1041" s="181"/>
      <c r="K1041" s="76" t="s">
        <v>2</v>
      </c>
      <c r="L1041" s="1" t="s">
        <v>243</v>
      </c>
      <c r="AP1041" s="104"/>
      <c r="AV1041" s="104"/>
      <c r="AY1041" s="104"/>
      <c r="BB1041" s="116"/>
      <c r="BL1041" s="104"/>
      <c r="BS1041" s="104"/>
    </row>
    <row r="1042" spans="5:71" s="89" customFormat="1" ht="15.75" customHeight="1">
      <c r="F1042" s="1"/>
      <c r="G1042" s="1"/>
      <c r="H1042" s="1"/>
      <c r="I1042" s="181" t="s">
        <v>199</v>
      </c>
      <c r="J1042" s="181"/>
      <c r="K1042" s="76" t="s">
        <v>2</v>
      </c>
      <c r="L1042" s="1" t="s">
        <v>244</v>
      </c>
      <c r="AP1042" s="104"/>
      <c r="AV1042" s="104"/>
      <c r="AY1042" s="104"/>
      <c r="BB1042" s="116"/>
      <c r="BL1042" s="104"/>
      <c r="BS1042" s="104"/>
    </row>
    <row r="1043" spans="5:71" s="89" customFormat="1" ht="15.75" customHeight="1">
      <c r="I1043" s="181" t="s">
        <v>200</v>
      </c>
      <c r="J1043" s="181"/>
      <c r="K1043" s="76" t="s">
        <v>2</v>
      </c>
      <c r="L1043" s="1" t="s">
        <v>210</v>
      </c>
      <c r="AP1043" s="104"/>
      <c r="AV1043" s="104"/>
      <c r="AY1043" s="104"/>
      <c r="BB1043" s="116"/>
      <c r="BL1043" s="104"/>
      <c r="BS1043" s="104"/>
    </row>
    <row r="1044" spans="5:71" s="89" customFormat="1" ht="15.75" customHeight="1">
      <c r="I1044" s="181" t="s">
        <v>202</v>
      </c>
      <c r="J1044" s="181"/>
      <c r="K1044" s="76" t="s">
        <v>2</v>
      </c>
      <c r="L1044" s="1" t="s">
        <v>245</v>
      </c>
      <c r="AP1044" s="104"/>
      <c r="AV1044" s="104"/>
      <c r="AY1044" s="104"/>
      <c r="BB1044" s="116"/>
      <c r="BL1044" s="104"/>
      <c r="BS1044" s="104"/>
    </row>
    <row r="1045" spans="5:71" s="89" customFormat="1" ht="15.75" customHeight="1">
      <c r="I1045" s="181" t="s">
        <v>241</v>
      </c>
      <c r="J1045" s="181"/>
      <c r="K1045" s="76" t="s">
        <v>2</v>
      </c>
      <c r="L1045" s="89" t="s">
        <v>250</v>
      </c>
      <c r="AP1045" s="104"/>
      <c r="AV1045" s="104"/>
      <c r="AY1045" s="104"/>
      <c r="BB1045" s="116"/>
      <c r="BL1045" s="104"/>
      <c r="BS1045" s="104"/>
    </row>
    <row r="1046" spans="5:71" s="89" customFormat="1" ht="15.75" customHeight="1">
      <c r="L1046" s="89" t="s">
        <v>251</v>
      </c>
      <c r="AP1046" s="104"/>
      <c r="AV1046" s="104"/>
      <c r="AY1046" s="104"/>
      <c r="BB1046" s="116"/>
      <c r="BL1046" s="104"/>
      <c r="BS1046" s="104"/>
    </row>
    <row r="1047" spans="5:71" s="89" customFormat="1" ht="15.75" customHeight="1">
      <c r="L1047" s="89" t="s">
        <v>249</v>
      </c>
      <c r="AP1047" s="104"/>
      <c r="AV1047" s="104"/>
      <c r="AY1047" s="104"/>
      <c r="BB1047" s="116"/>
      <c r="BL1047" s="104"/>
      <c r="BS1047" s="104"/>
    </row>
    <row r="1048" spans="5:71" s="89" customFormat="1" ht="15.75" customHeight="1">
      <c r="L1048" s="89" t="s">
        <v>246</v>
      </c>
      <c r="AP1048" s="104"/>
      <c r="AV1048" s="104"/>
      <c r="AY1048" s="104"/>
      <c r="BB1048" s="116"/>
      <c r="BL1048" s="104"/>
      <c r="BS1048" s="104"/>
    </row>
    <row r="1049" spans="5:71" s="89" customFormat="1" ht="15.75" customHeight="1">
      <c r="AP1049" s="104"/>
      <c r="AV1049" s="104"/>
      <c r="AY1049" s="104"/>
      <c r="BB1049" s="116"/>
      <c r="BL1049" s="104"/>
      <c r="BS1049" s="104"/>
    </row>
    <row r="1050" spans="5:71" ht="15.75" customHeight="1">
      <c r="E1050" s="1" t="s">
        <v>562</v>
      </c>
    </row>
    <row r="1051" spans="5:71" ht="15.75" customHeight="1">
      <c r="E1051" s="1" t="s">
        <v>563</v>
      </c>
    </row>
    <row r="1052" spans="5:71" s="89" customFormat="1" ht="15.75" customHeight="1">
      <c r="AP1052" s="104"/>
      <c r="AV1052" s="104"/>
      <c r="AY1052" s="104"/>
      <c r="BB1052" s="116"/>
      <c r="BL1052" s="104"/>
      <c r="BS1052" s="104"/>
    </row>
    <row r="1053" spans="5:71" s="89" customFormat="1" ht="15.75" customHeight="1">
      <c r="E1053" s="61" t="s">
        <v>345</v>
      </c>
      <c r="F1053" s="85"/>
      <c r="G1053" s="85"/>
      <c r="H1053" s="85"/>
      <c r="I1053" s="85"/>
      <c r="J1053" s="85"/>
      <c r="K1053" s="61"/>
      <c r="L1053" s="61"/>
      <c r="M1053" s="61"/>
      <c r="N1053" s="61"/>
      <c r="O1053" s="61"/>
      <c r="P1053" s="61"/>
      <c r="Q1053" s="61"/>
      <c r="R1053" s="61"/>
      <c r="S1053" s="61"/>
      <c r="T1053" s="61"/>
      <c r="U1053" s="61"/>
      <c r="V1053" s="61"/>
      <c r="W1053" s="61"/>
      <c r="X1053" s="61"/>
      <c r="Y1053" s="61"/>
      <c r="Z1053" s="61"/>
      <c r="AA1053" s="85"/>
      <c r="AB1053" s="85"/>
      <c r="AC1053" s="85"/>
      <c r="AD1053" s="85"/>
      <c r="AE1053" s="85"/>
      <c r="AP1053" s="104"/>
      <c r="AV1053" s="104"/>
      <c r="AY1053" s="104"/>
      <c r="BB1053" s="116"/>
      <c r="BL1053" s="104"/>
      <c r="BS1053" s="104"/>
    </row>
    <row r="1054" spans="5:71" s="89" customFormat="1" ht="15.75" customHeight="1">
      <c r="E1054" s="213" t="s">
        <v>252</v>
      </c>
      <c r="F1054" s="147"/>
      <c r="G1054" s="147"/>
      <c r="H1054" s="147" t="s">
        <v>253</v>
      </c>
      <c r="I1054" s="147"/>
      <c r="J1054" s="147"/>
      <c r="K1054" s="147"/>
      <c r="L1054" s="147"/>
      <c r="M1054" s="147"/>
      <c r="N1054" s="146" t="s">
        <v>254</v>
      </c>
      <c r="O1054" s="147"/>
      <c r="P1054" s="147"/>
      <c r="Q1054" s="146" t="s">
        <v>258</v>
      </c>
      <c r="R1054" s="147"/>
      <c r="S1054" s="147"/>
      <c r="T1054" s="146" t="s">
        <v>259</v>
      </c>
      <c r="U1054" s="147"/>
      <c r="V1054" s="147"/>
      <c r="W1054" s="146" t="s">
        <v>257</v>
      </c>
      <c r="X1054" s="147"/>
      <c r="Y1054" s="147"/>
      <c r="Z1054" s="146" t="s">
        <v>255</v>
      </c>
      <c r="AA1054" s="147"/>
      <c r="AB1054" s="147"/>
      <c r="AC1054" s="146" t="s">
        <v>256</v>
      </c>
      <c r="AD1054" s="147"/>
      <c r="AE1054" s="214"/>
      <c r="AP1054" s="104"/>
      <c r="AV1054" s="104"/>
      <c r="AY1054" s="104"/>
      <c r="BB1054" s="116"/>
      <c r="BL1054" s="104"/>
      <c r="BS1054" s="104"/>
    </row>
    <row r="1055" spans="5:71" s="89" customFormat="1" ht="15.75" customHeight="1">
      <c r="E1055" s="215"/>
      <c r="F1055" s="148"/>
      <c r="G1055" s="148"/>
      <c r="H1055" s="148"/>
      <c r="I1055" s="148"/>
      <c r="J1055" s="148"/>
      <c r="K1055" s="148"/>
      <c r="L1055" s="148"/>
      <c r="M1055" s="148"/>
      <c r="N1055" s="148"/>
      <c r="O1055" s="148"/>
      <c r="P1055" s="148"/>
      <c r="Q1055" s="148"/>
      <c r="R1055" s="148"/>
      <c r="S1055" s="148"/>
      <c r="T1055" s="148"/>
      <c r="U1055" s="148"/>
      <c r="V1055" s="148"/>
      <c r="W1055" s="148"/>
      <c r="X1055" s="148"/>
      <c r="Y1055" s="148"/>
      <c r="Z1055" s="148"/>
      <c r="AA1055" s="148"/>
      <c r="AB1055" s="148"/>
      <c r="AC1055" s="148"/>
      <c r="AD1055" s="148"/>
      <c r="AE1055" s="216"/>
      <c r="AP1055" s="104"/>
      <c r="AV1055" s="104"/>
      <c r="AY1055" s="104"/>
      <c r="BB1055" s="116"/>
      <c r="BL1055" s="104"/>
      <c r="BS1055" s="104"/>
    </row>
    <row r="1056" spans="5:71" s="89" customFormat="1" ht="15.75" customHeight="1">
      <c r="E1056" s="213" t="s">
        <v>262</v>
      </c>
      <c r="F1056" s="147"/>
      <c r="G1056" s="147"/>
      <c r="H1056" s="147" t="s">
        <v>260</v>
      </c>
      <c r="I1056" s="147"/>
      <c r="J1056" s="147"/>
      <c r="K1056" s="147"/>
      <c r="L1056" s="147"/>
      <c r="M1056" s="147"/>
      <c r="N1056" s="184">
        <f>H816</f>
        <v>3298.6722862692827</v>
      </c>
      <c r="O1056" s="184"/>
      <c r="P1056" s="184"/>
      <c r="Q1056" s="184">
        <f>G859</f>
        <v>1963.5</v>
      </c>
      <c r="R1056" s="184"/>
      <c r="S1056" s="184"/>
      <c r="T1056" s="184">
        <f>N1056+Q1056</f>
        <v>5262.1722862692823</v>
      </c>
      <c r="U1056" s="184"/>
      <c r="V1056" s="184"/>
      <c r="W1056" s="362">
        <f>N1056/T1056</f>
        <v>0.62686512467039346</v>
      </c>
      <c r="X1056" s="362"/>
      <c r="Y1056" s="362"/>
      <c r="Z1056" s="356">
        <f>g地盤抵抗係数(1,W1056)</f>
        <v>0.34699999999999998</v>
      </c>
      <c r="AA1056" s="356"/>
      <c r="AB1056" s="356"/>
      <c r="AC1056" s="184">
        <f>Z1056*T1056</f>
        <v>1825.9737833354409</v>
      </c>
      <c r="AD1056" s="184"/>
      <c r="AE1056" s="355"/>
      <c r="AP1056" s="104"/>
      <c r="AV1056" s="104"/>
      <c r="AY1056" s="104"/>
      <c r="BB1056" s="116"/>
      <c r="BL1056" s="104"/>
      <c r="BS1056" s="104"/>
    </row>
    <row r="1057" spans="1:71" s="89" customFormat="1" ht="15.75" customHeight="1">
      <c r="E1057" s="357"/>
      <c r="F1057" s="169"/>
      <c r="G1057" s="169"/>
      <c r="H1057" s="169" t="s">
        <v>261</v>
      </c>
      <c r="I1057" s="169"/>
      <c r="J1057" s="169"/>
      <c r="K1057" s="169"/>
      <c r="L1057" s="169"/>
      <c r="M1057" s="169"/>
      <c r="N1057" s="172"/>
      <c r="O1057" s="172"/>
      <c r="P1057" s="172"/>
      <c r="Q1057" s="172">
        <f>G883</f>
        <v>2038.9</v>
      </c>
      <c r="R1057" s="172"/>
      <c r="S1057" s="172"/>
      <c r="T1057" s="172">
        <f>N1056+Q1057</f>
        <v>5337.5722862692828</v>
      </c>
      <c r="U1057" s="172"/>
      <c r="V1057" s="172"/>
      <c r="W1057" s="171">
        <f>N1056/T1057</f>
        <v>0.61800985716952284</v>
      </c>
      <c r="X1057" s="171"/>
      <c r="Y1057" s="171"/>
      <c r="Z1057" s="353">
        <f>g地盤抵抗係数(2,W1057)</f>
        <v>0.48799999999999999</v>
      </c>
      <c r="AA1057" s="353"/>
      <c r="AB1057" s="353"/>
      <c r="AC1057" s="172">
        <f>Z1057*T1057</f>
        <v>2604.7352756994101</v>
      </c>
      <c r="AD1057" s="172"/>
      <c r="AE1057" s="173"/>
      <c r="AP1057" s="104"/>
      <c r="AV1057" s="104"/>
      <c r="AY1057" s="104"/>
      <c r="BB1057" s="116"/>
      <c r="BL1057" s="104"/>
      <c r="BS1057" s="104"/>
    </row>
    <row r="1058" spans="1:71" s="89" customFormat="1" ht="15.75" customHeight="1">
      <c r="E1058" s="357" t="s">
        <v>263</v>
      </c>
      <c r="F1058" s="169"/>
      <c r="G1058" s="169"/>
      <c r="H1058" s="169" t="s">
        <v>344</v>
      </c>
      <c r="I1058" s="169"/>
      <c r="J1058" s="169"/>
      <c r="K1058" s="169"/>
      <c r="L1058" s="169"/>
      <c r="M1058" s="169"/>
      <c r="N1058" s="172"/>
      <c r="O1058" s="172"/>
      <c r="P1058" s="172"/>
      <c r="Q1058" s="172"/>
      <c r="R1058" s="172"/>
      <c r="S1058" s="172"/>
      <c r="T1058" s="172"/>
      <c r="U1058" s="172"/>
      <c r="V1058" s="172"/>
      <c r="W1058" s="171"/>
      <c r="X1058" s="171"/>
      <c r="Y1058" s="171"/>
      <c r="Z1058" s="353">
        <f>g地盤抵抗係数(3,W1057)</f>
        <v>0.72</v>
      </c>
      <c r="AA1058" s="353"/>
      <c r="AB1058" s="353"/>
      <c r="AC1058" s="172">
        <f>Z1058*T1057</f>
        <v>3843.0520461138835</v>
      </c>
      <c r="AD1058" s="172"/>
      <c r="AE1058" s="173"/>
      <c r="AP1058" s="104"/>
      <c r="AV1058" s="104"/>
      <c r="AY1058" s="104"/>
      <c r="BB1058" s="116"/>
      <c r="BL1058" s="104"/>
      <c r="BS1058" s="104"/>
    </row>
    <row r="1059" spans="1:71" s="89" customFormat="1" ht="28.5" customHeight="1">
      <c r="E1059" s="357" t="s">
        <v>264</v>
      </c>
      <c r="F1059" s="169"/>
      <c r="G1059" s="169"/>
      <c r="H1059" s="300" t="s">
        <v>265</v>
      </c>
      <c r="I1059" s="169"/>
      <c r="J1059" s="169"/>
      <c r="K1059" s="169"/>
      <c r="L1059" s="169"/>
      <c r="M1059" s="169"/>
      <c r="N1059" s="172"/>
      <c r="O1059" s="172"/>
      <c r="P1059" s="172"/>
      <c r="Q1059" s="172">
        <f>G907</f>
        <v>1791</v>
      </c>
      <c r="R1059" s="172"/>
      <c r="S1059" s="172"/>
      <c r="T1059" s="172">
        <f>N1056+Q1059</f>
        <v>5089.6722862692823</v>
      </c>
      <c r="U1059" s="172"/>
      <c r="V1059" s="172"/>
      <c r="W1059" s="171">
        <f>N1056/T1059</f>
        <v>0.64811093931692043</v>
      </c>
      <c r="X1059" s="171"/>
      <c r="Y1059" s="171"/>
      <c r="Z1059" s="353">
        <f>g地盤抵抗係数(4,W1059)</f>
        <v>0.753</v>
      </c>
      <c r="AA1059" s="353"/>
      <c r="AB1059" s="353"/>
      <c r="AC1059" s="172">
        <f>Z1059*T1059</f>
        <v>3832.5232315607695</v>
      </c>
      <c r="AD1059" s="172"/>
      <c r="AE1059" s="173"/>
      <c r="AP1059" s="104"/>
      <c r="AV1059" s="104"/>
      <c r="AY1059" s="104"/>
      <c r="BB1059" s="116"/>
      <c r="BL1059" s="104"/>
      <c r="BS1059" s="104"/>
    </row>
    <row r="1060" spans="1:71" s="89" customFormat="1" ht="28.5" customHeight="1">
      <c r="E1060" s="357"/>
      <c r="F1060" s="169"/>
      <c r="G1060" s="169"/>
      <c r="H1060" s="300" t="s">
        <v>266</v>
      </c>
      <c r="I1060" s="169"/>
      <c r="J1060" s="169"/>
      <c r="K1060" s="169"/>
      <c r="L1060" s="169"/>
      <c r="M1060" s="169"/>
      <c r="N1060" s="172"/>
      <c r="O1060" s="172"/>
      <c r="P1060" s="172"/>
      <c r="Q1060" s="172"/>
      <c r="R1060" s="172"/>
      <c r="S1060" s="172"/>
      <c r="T1060" s="172"/>
      <c r="U1060" s="172"/>
      <c r="V1060" s="172"/>
      <c r="W1060" s="171"/>
      <c r="X1060" s="171"/>
      <c r="Y1060" s="171"/>
      <c r="Z1060" s="353">
        <f>g地盤抵抗係数(5,W1059)</f>
        <v>1.1479999999999999</v>
      </c>
      <c r="AA1060" s="353"/>
      <c r="AB1060" s="353"/>
      <c r="AC1060" s="172">
        <f>Z1060*T1059</f>
        <v>5842.9437846371356</v>
      </c>
      <c r="AD1060" s="172"/>
      <c r="AE1060" s="173"/>
      <c r="AP1060" s="104"/>
      <c r="AV1060" s="104"/>
      <c r="AY1060" s="104"/>
      <c r="BB1060" s="116"/>
      <c r="BL1060" s="104"/>
      <c r="BS1060" s="104"/>
    </row>
    <row r="1061" spans="1:71" s="89" customFormat="1" ht="28.5" hidden="1" customHeight="1">
      <c r="A1061" s="73" t="str">
        <f>IF(液状化L1の有無="","","×")</f>
        <v>×</v>
      </c>
      <c r="E1061" s="316" t="s">
        <v>548</v>
      </c>
      <c r="F1061" s="169"/>
      <c r="G1061" s="169"/>
      <c r="H1061" s="300" t="s">
        <v>265</v>
      </c>
      <c r="I1061" s="169"/>
      <c r="J1061" s="169"/>
      <c r="K1061" s="169"/>
      <c r="L1061" s="169"/>
      <c r="M1061" s="169"/>
      <c r="N1061" s="172"/>
      <c r="O1061" s="172"/>
      <c r="P1061" s="172"/>
      <c r="Q1061" s="182">
        <f>G931</f>
        <v>1791</v>
      </c>
      <c r="R1061" s="182"/>
      <c r="S1061" s="182"/>
      <c r="T1061" s="182">
        <f>N1056+Q1061</f>
        <v>5089.6722862692823</v>
      </c>
      <c r="U1061" s="182"/>
      <c r="V1061" s="182"/>
      <c r="W1061" s="237">
        <f>N1056/T1061</f>
        <v>0.64811093931692043</v>
      </c>
      <c r="X1061" s="237"/>
      <c r="Y1061" s="237"/>
      <c r="Z1061" s="353">
        <f>g地盤抵抗係数(4,W1061)</f>
        <v>0.753</v>
      </c>
      <c r="AA1061" s="353"/>
      <c r="AB1061" s="353"/>
      <c r="AC1061" s="172">
        <f>Z1061*T1061</f>
        <v>3832.5232315607695</v>
      </c>
      <c r="AD1061" s="172"/>
      <c r="AE1061" s="173"/>
      <c r="AP1061" s="104"/>
      <c r="AV1061" s="104"/>
      <c r="AY1061" s="104"/>
      <c r="BB1061" s="116"/>
      <c r="BL1061" s="104"/>
      <c r="BS1061" s="104"/>
    </row>
    <row r="1062" spans="1:71" s="89" customFormat="1" ht="28.5" hidden="1" customHeight="1">
      <c r="A1062" s="73" t="str">
        <f>IF(液状化L2の有無="","","×")</f>
        <v>×</v>
      </c>
      <c r="E1062" s="215"/>
      <c r="F1062" s="148"/>
      <c r="G1062" s="148"/>
      <c r="H1062" s="187" t="s">
        <v>266</v>
      </c>
      <c r="I1062" s="148"/>
      <c r="J1062" s="148"/>
      <c r="K1062" s="148"/>
      <c r="L1062" s="148"/>
      <c r="M1062" s="148"/>
      <c r="N1062" s="179"/>
      <c r="O1062" s="179"/>
      <c r="P1062" s="179"/>
      <c r="Q1062" s="183">
        <f>G955</f>
        <v>1791</v>
      </c>
      <c r="R1062" s="183"/>
      <c r="S1062" s="183"/>
      <c r="T1062" s="183">
        <f>N1056+Q1062</f>
        <v>5089.6722862692823</v>
      </c>
      <c r="U1062" s="183"/>
      <c r="V1062" s="183"/>
      <c r="W1062" s="448">
        <f>N1056/T1062</f>
        <v>0.64811093931692043</v>
      </c>
      <c r="X1062" s="448"/>
      <c r="Y1062" s="448"/>
      <c r="Z1062" s="447">
        <f>g地盤抵抗係数(5,W1062)</f>
        <v>1.1479999999999999</v>
      </c>
      <c r="AA1062" s="447"/>
      <c r="AB1062" s="447"/>
      <c r="AC1062" s="179">
        <f>Z1062*T1062</f>
        <v>5842.9437846371356</v>
      </c>
      <c r="AD1062" s="179"/>
      <c r="AE1062" s="180"/>
      <c r="AP1062" s="104"/>
      <c r="AV1062" s="104"/>
      <c r="AY1062" s="104"/>
      <c r="BB1062" s="116"/>
      <c r="BL1062" s="104"/>
      <c r="BS1062" s="104"/>
    </row>
    <row r="1063" spans="1:71" s="89" customFormat="1" ht="15.75" customHeight="1">
      <c r="E1063" s="449"/>
      <c r="F1063" s="449"/>
      <c r="G1063" s="449"/>
      <c r="H1063" s="449"/>
      <c r="I1063" s="449"/>
      <c r="J1063" s="449"/>
      <c r="K1063" s="449"/>
      <c r="L1063" s="449"/>
      <c r="M1063" s="449"/>
      <c r="N1063" s="449"/>
      <c r="O1063" s="449"/>
      <c r="P1063" s="449"/>
      <c r="Q1063" s="449"/>
      <c r="R1063" s="449"/>
      <c r="S1063" s="449"/>
      <c r="T1063" s="449"/>
      <c r="U1063" s="449"/>
      <c r="V1063" s="449"/>
      <c r="W1063" s="449"/>
      <c r="X1063" s="449"/>
      <c r="Y1063" s="449"/>
      <c r="Z1063" s="449"/>
      <c r="AA1063" s="449"/>
      <c r="AB1063" s="449"/>
      <c r="AC1063" s="449"/>
      <c r="AD1063" s="449"/>
      <c r="AE1063" s="449"/>
      <c r="AP1063" s="104"/>
      <c r="AV1063" s="104"/>
      <c r="AY1063" s="104"/>
      <c r="BB1063" s="116"/>
      <c r="BL1063" s="104"/>
      <c r="BS1063" s="104"/>
    </row>
    <row r="1064" spans="1:71" s="89" customFormat="1" ht="15.75" customHeight="1">
      <c r="E1064" s="61" t="s">
        <v>346</v>
      </c>
      <c r="F1064" s="85"/>
      <c r="G1064" s="85"/>
      <c r="H1064" s="85"/>
      <c r="I1064" s="85"/>
      <c r="J1064" s="85"/>
      <c r="K1064" s="61"/>
      <c r="L1064" s="61"/>
      <c r="M1064" s="61"/>
      <c r="N1064" s="61"/>
      <c r="O1064" s="61"/>
      <c r="P1064" s="61"/>
      <c r="Q1064" s="61"/>
      <c r="R1064" s="61"/>
      <c r="S1064" s="61"/>
      <c r="T1064" s="61"/>
      <c r="U1064" s="61"/>
      <c r="V1064" s="61"/>
      <c r="W1064" s="61"/>
      <c r="X1064" s="61"/>
      <c r="Y1064" s="61"/>
      <c r="Z1064" s="61"/>
      <c r="AA1064" s="85"/>
      <c r="AB1064" s="85"/>
      <c r="AC1064" s="85"/>
      <c r="AD1064" s="85"/>
      <c r="AE1064" s="85"/>
      <c r="AP1064" s="104"/>
      <c r="AV1064" s="104"/>
      <c r="AY1064" s="104"/>
      <c r="BB1064" s="116"/>
      <c r="BL1064" s="104"/>
      <c r="BS1064" s="104"/>
    </row>
    <row r="1065" spans="1:71" s="89" customFormat="1" ht="15.75" customHeight="1">
      <c r="E1065" s="213" t="s">
        <v>252</v>
      </c>
      <c r="F1065" s="147"/>
      <c r="G1065" s="147"/>
      <c r="H1065" s="147" t="s">
        <v>253</v>
      </c>
      <c r="I1065" s="147"/>
      <c r="J1065" s="147"/>
      <c r="K1065" s="147"/>
      <c r="L1065" s="147"/>
      <c r="M1065" s="147"/>
      <c r="N1065" s="146" t="s">
        <v>254</v>
      </c>
      <c r="O1065" s="147"/>
      <c r="P1065" s="147"/>
      <c r="Q1065" s="146" t="s">
        <v>258</v>
      </c>
      <c r="R1065" s="147"/>
      <c r="S1065" s="147"/>
      <c r="T1065" s="146" t="s">
        <v>259</v>
      </c>
      <c r="U1065" s="147"/>
      <c r="V1065" s="147"/>
      <c r="W1065" s="146" t="s">
        <v>257</v>
      </c>
      <c r="X1065" s="147"/>
      <c r="Y1065" s="147"/>
      <c r="Z1065" s="146" t="s">
        <v>255</v>
      </c>
      <c r="AA1065" s="147"/>
      <c r="AB1065" s="147"/>
      <c r="AC1065" s="146" t="s">
        <v>256</v>
      </c>
      <c r="AD1065" s="147"/>
      <c r="AE1065" s="214"/>
      <c r="AP1065" s="104"/>
      <c r="AV1065" s="104"/>
      <c r="AY1065" s="104"/>
      <c r="BB1065" s="116"/>
      <c r="BL1065" s="104"/>
      <c r="BS1065" s="104"/>
    </row>
    <row r="1066" spans="1:71" s="89" customFormat="1" ht="15.75" customHeight="1">
      <c r="E1066" s="215"/>
      <c r="F1066" s="148"/>
      <c r="G1066" s="148"/>
      <c r="H1066" s="148"/>
      <c r="I1066" s="148"/>
      <c r="J1066" s="148"/>
      <c r="K1066" s="148"/>
      <c r="L1066" s="148"/>
      <c r="M1066" s="148"/>
      <c r="N1066" s="148"/>
      <c r="O1066" s="148"/>
      <c r="P1066" s="148"/>
      <c r="Q1066" s="148"/>
      <c r="R1066" s="148"/>
      <c r="S1066" s="148"/>
      <c r="T1066" s="148"/>
      <c r="U1066" s="148"/>
      <c r="V1066" s="148"/>
      <c r="W1066" s="148"/>
      <c r="X1066" s="148"/>
      <c r="Y1066" s="148"/>
      <c r="Z1066" s="148"/>
      <c r="AA1066" s="148"/>
      <c r="AB1066" s="148"/>
      <c r="AC1066" s="148"/>
      <c r="AD1066" s="148"/>
      <c r="AE1066" s="216"/>
      <c r="AP1066" s="104"/>
      <c r="AV1066" s="104"/>
      <c r="AY1066" s="104"/>
      <c r="BB1066" s="116"/>
      <c r="BL1066" s="104"/>
      <c r="BS1066" s="104"/>
    </row>
    <row r="1067" spans="1:71" s="89" customFormat="1" ht="15.75" customHeight="1">
      <c r="E1067" s="213" t="s">
        <v>262</v>
      </c>
      <c r="F1067" s="147"/>
      <c r="G1067" s="147"/>
      <c r="H1067" s="147" t="s">
        <v>260</v>
      </c>
      <c r="I1067" s="147"/>
      <c r="J1067" s="147"/>
      <c r="K1067" s="147"/>
      <c r="L1067" s="147"/>
      <c r="M1067" s="147"/>
      <c r="N1067" s="184">
        <f>H816</f>
        <v>3298.6722862692827</v>
      </c>
      <c r="O1067" s="184"/>
      <c r="P1067" s="184"/>
      <c r="Q1067" s="184">
        <f>G859</f>
        <v>1963.5</v>
      </c>
      <c r="R1067" s="184"/>
      <c r="S1067" s="184"/>
      <c r="T1067" s="184">
        <f>N1067+Q1067</f>
        <v>5262.1722862692823</v>
      </c>
      <c r="U1067" s="184"/>
      <c r="V1067" s="184"/>
      <c r="W1067" s="362">
        <f>N1067/T1067</f>
        <v>0.62686512467039346</v>
      </c>
      <c r="X1067" s="362"/>
      <c r="Y1067" s="362"/>
      <c r="Z1067" s="356">
        <f>g地盤抵抗係数(1,W1067)</f>
        <v>0.34699999999999998</v>
      </c>
      <c r="AA1067" s="356"/>
      <c r="AB1067" s="356"/>
      <c r="AC1067" s="184">
        <f>Z1067*T1067</f>
        <v>1825.9737833354409</v>
      </c>
      <c r="AD1067" s="184"/>
      <c r="AE1067" s="355"/>
      <c r="AP1067" s="104"/>
      <c r="AV1067" s="104"/>
      <c r="AY1067" s="104"/>
      <c r="BB1067" s="116"/>
      <c r="BL1067" s="104"/>
      <c r="BS1067" s="104"/>
    </row>
    <row r="1068" spans="1:71" s="89" customFormat="1" ht="15.75" customHeight="1">
      <c r="E1068" s="357"/>
      <c r="F1068" s="169"/>
      <c r="G1068" s="169"/>
      <c r="H1068" s="169" t="s">
        <v>261</v>
      </c>
      <c r="I1068" s="169"/>
      <c r="J1068" s="169"/>
      <c r="K1068" s="169"/>
      <c r="L1068" s="169"/>
      <c r="M1068" s="169"/>
      <c r="N1068" s="172"/>
      <c r="O1068" s="172"/>
      <c r="P1068" s="172"/>
      <c r="Q1068" s="172">
        <f>G883</f>
        <v>2038.9</v>
      </c>
      <c r="R1068" s="172"/>
      <c r="S1068" s="172"/>
      <c r="T1068" s="172">
        <f>N1067+Q1068</f>
        <v>5337.5722862692828</v>
      </c>
      <c r="U1068" s="172"/>
      <c r="V1068" s="172"/>
      <c r="W1068" s="171">
        <f>N1067/T1068</f>
        <v>0.61800985716952284</v>
      </c>
      <c r="X1068" s="171"/>
      <c r="Y1068" s="171"/>
      <c r="Z1068" s="353">
        <f>g地盤抵抗係数(2,W1068)</f>
        <v>0.48799999999999999</v>
      </c>
      <c r="AA1068" s="353"/>
      <c r="AB1068" s="353"/>
      <c r="AC1068" s="172">
        <f>Z1068*T1068</f>
        <v>2604.7352756994101</v>
      </c>
      <c r="AD1068" s="172"/>
      <c r="AE1068" s="173"/>
      <c r="AP1068" s="104"/>
      <c r="AV1068" s="104"/>
      <c r="AY1068" s="104"/>
      <c r="BB1068" s="116"/>
      <c r="BL1068" s="104"/>
      <c r="BS1068" s="104"/>
    </row>
    <row r="1069" spans="1:71" s="89" customFormat="1" ht="15.75" customHeight="1">
      <c r="E1069" s="357" t="s">
        <v>263</v>
      </c>
      <c r="F1069" s="169"/>
      <c r="G1069" s="169"/>
      <c r="H1069" s="169" t="s">
        <v>344</v>
      </c>
      <c r="I1069" s="169"/>
      <c r="J1069" s="169"/>
      <c r="K1069" s="169"/>
      <c r="L1069" s="169"/>
      <c r="M1069" s="169"/>
      <c r="N1069" s="172"/>
      <c r="O1069" s="172"/>
      <c r="P1069" s="172"/>
      <c r="Q1069" s="172"/>
      <c r="R1069" s="172"/>
      <c r="S1069" s="172"/>
      <c r="T1069" s="172"/>
      <c r="U1069" s="172"/>
      <c r="V1069" s="172"/>
      <c r="W1069" s="171"/>
      <c r="X1069" s="171"/>
      <c r="Y1069" s="171"/>
      <c r="Z1069" s="353">
        <f>g地盤抵抗係数(3,W1068)</f>
        <v>0.72</v>
      </c>
      <c r="AA1069" s="353"/>
      <c r="AB1069" s="353"/>
      <c r="AC1069" s="172">
        <f>Z1069*T1068</f>
        <v>3843.0520461138835</v>
      </c>
      <c r="AD1069" s="172"/>
      <c r="AE1069" s="173"/>
      <c r="AP1069" s="104"/>
      <c r="AV1069" s="104"/>
      <c r="AY1069" s="104"/>
      <c r="BB1069" s="116"/>
      <c r="BL1069" s="104"/>
      <c r="BS1069" s="104"/>
    </row>
    <row r="1070" spans="1:71" s="89" customFormat="1" ht="28.5" customHeight="1">
      <c r="E1070" s="357" t="s">
        <v>264</v>
      </c>
      <c r="F1070" s="169"/>
      <c r="G1070" s="169"/>
      <c r="H1070" s="300" t="s">
        <v>265</v>
      </c>
      <c r="I1070" s="169"/>
      <c r="J1070" s="169"/>
      <c r="K1070" s="169"/>
      <c r="L1070" s="169"/>
      <c r="M1070" s="169"/>
      <c r="N1070" s="172"/>
      <c r="O1070" s="172"/>
      <c r="P1070" s="172"/>
      <c r="Q1070" s="172">
        <f>G979</f>
        <v>1810.8</v>
      </c>
      <c r="R1070" s="172"/>
      <c r="S1070" s="172"/>
      <c r="T1070" s="172">
        <f>N1067+Q1070</f>
        <v>5109.4722862692824</v>
      </c>
      <c r="U1070" s="172"/>
      <c r="V1070" s="172"/>
      <c r="W1070" s="171">
        <f>N1067/T1070</f>
        <v>0.64559940859916709</v>
      </c>
      <c r="X1070" s="171"/>
      <c r="Y1070" s="171"/>
      <c r="Z1070" s="353">
        <f>g地盤抵抗係数(4,W1070)</f>
        <v>0.754</v>
      </c>
      <c r="AA1070" s="353"/>
      <c r="AB1070" s="353"/>
      <c r="AC1070" s="172">
        <f>Z1070*T1070</f>
        <v>3852.542103847039</v>
      </c>
      <c r="AD1070" s="172"/>
      <c r="AE1070" s="173"/>
      <c r="AP1070" s="104"/>
      <c r="AV1070" s="104"/>
      <c r="AY1070" s="104"/>
      <c r="BB1070" s="116"/>
      <c r="BL1070" s="104"/>
      <c r="BS1070" s="104"/>
    </row>
    <row r="1071" spans="1:71" s="89" customFormat="1" ht="28.5" customHeight="1">
      <c r="E1071" s="357"/>
      <c r="F1071" s="169"/>
      <c r="G1071" s="169"/>
      <c r="H1071" s="300" t="s">
        <v>266</v>
      </c>
      <c r="I1071" s="169"/>
      <c r="J1071" s="169"/>
      <c r="K1071" s="169"/>
      <c r="L1071" s="169"/>
      <c r="M1071" s="169"/>
      <c r="N1071" s="172"/>
      <c r="O1071" s="172"/>
      <c r="P1071" s="172"/>
      <c r="Q1071" s="172"/>
      <c r="R1071" s="172"/>
      <c r="S1071" s="172"/>
      <c r="T1071" s="172"/>
      <c r="U1071" s="172"/>
      <c r="V1071" s="172"/>
      <c r="W1071" s="171"/>
      <c r="X1071" s="171"/>
      <c r="Y1071" s="171"/>
      <c r="Z1071" s="353">
        <f>g地盤抵抗係数(5,W1070)</f>
        <v>1.149</v>
      </c>
      <c r="AA1071" s="353"/>
      <c r="AB1071" s="353"/>
      <c r="AC1071" s="172">
        <f>Z1071*T1070</f>
        <v>5870.7836569234059</v>
      </c>
      <c r="AD1071" s="172"/>
      <c r="AE1071" s="173"/>
      <c r="AP1071" s="104"/>
      <c r="AV1071" s="104"/>
      <c r="AY1071" s="104"/>
      <c r="BB1071" s="116"/>
      <c r="BL1071" s="104"/>
      <c r="BS1071" s="104"/>
    </row>
    <row r="1072" spans="1:71" s="89" customFormat="1" ht="28.5" hidden="1" customHeight="1">
      <c r="A1072" s="73" t="str">
        <f>IF(液状化L1の有無="","","×")</f>
        <v>×</v>
      </c>
      <c r="E1072" s="316" t="s">
        <v>548</v>
      </c>
      <c r="F1072" s="169"/>
      <c r="G1072" s="169"/>
      <c r="H1072" s="300" t="s">
        <v>265</v>
      </c>
      <c r="I1072" s="169"/>
      <c r="J1072" s="169"/>
      <c r="K1072" s="169"/>
      <c r="L1072" s="169"/>
      <c r="M1072" s="169"/>
      <c r="N1072" s="172"/>
      <c r="O1072" s="172"/>
      <c r="P1072" s="172"/>
      <c r="Q1072" s="182">
        <f>G1003</f>
        <v>1810.8</v>
      </c>
      <c r="R1072" s="182"/>
      <c r="S1072" s="182"/>
      <c r="T1072" s="182">
        <f>N1067+Q1072</f>
        <v>5109.4722862692824</v>
      </c>
      <c r="U1072" s="182"/>
      <c r="V1072" s="182"/>
      <c r="W1072" s="237">
        <f>N1067/T1072</f>
        <v>0.64559940859916709</v>
      </c>
      <c r="X1072" s="237"/>
      <c r="Y1072" s="237"/>
      <c r="Z1072" s="353">
        <f>g地盤抵抗係数(4,W1072)</f>
        <v>0.754</v>
      </c>
      <c r="AA1072" s="353"/>
      <c r="AB1072" s="353"/>
      <c r="AC1072" s="172">
        <f>Z1072*T1072</f>
        <v>3852.542103847039</v>
      </c>
      <c r="AD1072" s="172"/>
      <c r="AE1072" s="173"/>
      <c r="AP1072" s="104"/>
      <c r="AV1072" s="104"/>
      <c r="AY1072" s="104"/>
      <c r="BB1072" s="116"/>
      <c r="BL1072" s="104"/>
      <c r="BS1072" s="104"/>
    </row>
    <row r="1073" spans="1:71" s="89" customFormat="1" ht="28.5" hidden="1" customHeight="1">
      <c r="A1073" s="73" t="str">
        <f>IF(液状化L2の有無="","","×")</f>
        <v>×</v>
      </c>
      <c r="E1073" s="215"/>
      <c r="F1073" s="148"/>
      <c r="G1073" s="148"/>
      <c r="H1073" s="187" t="s">
        <v>266</v>
      </c>
      <c r="I1073" s="148"/>
      <c r="J1073" s="148"/>
      <c r="K1073" s="148"/>
      <c r="L1073" s="148"/>
      <c r="M1073" s="148"/>
      <c r="N1073" s="179"/>
      <c r="O1073" s="179"/>
      <c r="P1073" s="179"/>
      <c r="Q1073" s="183">
        <f>G1027</f>
        <v>1810.8</v>
      </c>
      <c r="R1073" s="183"/>
      <c r="S1073" s="183"/>
      <c r="T1073" s="183">
        <f>N1067+Q1073</f>
        <v>5109.4722862692824</v>
      </c>
      <c r="U1073" s="183"/>
      <c r="V1073" s="183"/>
      <c r="W1073" s="448">
        <f>N1067/T1073</f>
        <v>0.64559940859916709</v>
      </c>
      <c r="X1073" s="448"/>
      <c r="Y1073" s="448"/>
      <c r="Z1073" s="447">
        <f>g地盤抵抗係数(5,W1073)</f>
        <v>1.149</v>
      </c>
      <c r="AA1073" s="447"/>
      <c r="AB1073" s="447"/>
      <c r="AC1073" s="179">
        <f>Z1073*T1073</f>
        <v>5870.7836569234059</v>
      </c>
      <c r="AD1073" s="179"/>
      <c r="AE1073" s="180"/>
      <c r="AP1073" s="104"/>
      <c r="AV1073" s="104"/>
      <c r="AY1073" s="104"/>
      <c r="BB1073" s="116"/>
      <c r="BL1073" s="104"/>
      <c r="BS1073" s="104"/>
    </row>
    <row r="1074" spans="1:71" s="89" customFormat="1" ht="15.75" customHeight="1">
      <c r="E1074" s="449"/>
      <c r="F1074" s="449"/>
      <c r="G1074" s="449"/>
      <c r="H1074" s="449"/>
      <c r="I1074" s="449"/>
      <c r="J1074" s="449"/>
      <c r="K1074" s="449"/>
      <c r="L1074" s="449"/>
      <c r="M1074" s="449"/>
      <c r="N1074" s="449"/>
      <c r="O1074" s="449"/>
      <c r="P1074" s="449"/>
      <c r="Q1074" s="449"/>
      <c r="R1074" s="449"/>
      <c r="S1074" s="449"/>
      <c r="T1074" s="449"/>
      <c r="U1074" s="449"/>
      <c r="V1074" s="449"/>
      <c r="W1074" s="449"/>
      <c r="X1074" s="449"/>
      <c r="Y1074" s="449"/>
      <c r="Z1074" s="449"/>
      <c r="AA1074" s="449"/>
      <c r="AB1074" s="449"/>
      <c r="AC1074" s="449"/>
      <c r="AD1074" s="449"/>
      <c r="AE1074" s="449"/>
      <c r="AP1074" s="104"/>
      <c r="AV1074" s="104"/>
      <c r="AY1074" s="104"/>
      <c r="BB1074" s="116"/>
      <c r="BL1074" s="104"/>
      <c r="BS1074" s="104"/>
    </row>
    <row r="1075" spans="1:71" s="89" customFormat="1" ht="15.75" customHeight="1">
      <c r="AP1075" s="104"/>
      <c r="AV1075" s="104"/>
      <c r="AY1075" s="104"/>
      <c r="BB1075" s="116"/>
      <c r="BL1075" s="104"/>
      <c r="BS1075" s="104"/>
    </row>
    <row r="1076" spans="1:71" s="89" customFormat="1" ht="15.75" customHeight="1">
      <c r="E1076" s="1" t="s">
        <v>267</v>
      </c>
      <c r="AP1076" s="104"/>
      <c r="AV1076" s="104"/>
      <c r="AY1076" s="104"/>
      <c r="BB1076" s="116"/>
      <c r="BL1076" s="104"/>
      <c r="BS1076" s="104"/>
    </row>
    <row r="1077" spans="1:71" s="89" customFormat="1" ht="15.75" customHeight="1">
      <c r="AP1077" s="104"/>
      <c r="AV1077" s="104"/>
      <c r="AY1077" s="104"/>
      <c r="BB1077" s="116"/>
      <c r="BL1077" s="104"/>
      <c r="BS1077" s="104"/>
    </row>
    <row r="1078" spans="1:71" s="89" customFormat="1" ht="15.75" customHeight="1">
      <c r="E1078" s="181" t="s">
        <v>240</v>
      </c>
      <c r="F1078" s="181"/>
      <c r="G1078" s="76" t="s">
        <v>27</v>
      </c>
      <c r="H1078" s="181" t="s">
        <v>268</v>
      </c>
      <c r="I1078" s="181"/>
      <c r="J1078" s="89" t="s">
        <v>6</v>
      </c>
      <c r="K1078" s="181" t="s">
        <v>269</v>
      </c>
      <c r="L1078" s="181"/>
      <c r="AP1078" s="104"/>
      <c r="AV1078" s="104"/>
      <c r="AY1078" s="104"/>
      <c r="BB1078" s="116"/>
      <c r="BL1078" s="104"/>
      <c r="BS1078" s="104"/>
    </row>
    <row r="1079" spans="1:71" s="89" customFormat="1" ht="15.75" customHeight="1">
      <c r="AP1079" s="104"/>
      <c r="AV1079" s="104"/>
      <c r="AY1079" s="104"/>
      <c r="BB1079" s="116"/>
      <c r="BL1079" s="104"/>
      <c r="BS1079" s="104"/>
    </row>
    <row r="1080" spans="1:71" s="89" customFormat="1" ht="15.75" customHeight="1">
      <c r="F1080" s="1" t="s">
        <v>3</v>
      </c>
      <c r="G1080" s="1"/>
      <c r="H1080" s="1"/>
      <c r="I1080" s="181" t="s">
        <v>200</v>
      </c>
      <c r="J1080" s="181"/>
      <c r="K1080" s="76" t="s">
        <v>2</v>
      </c>
      <c r="L1080" s="1" t="s">
        <v>210</v>
      </c>
      <c r="AP1080" s="104"/>
      <c r="AV1080" s="104"/>
      <c r="AY1080" s="104"/>
      <c r="BB1080" s="116"/>
      <c r="BL1080" s="104"/>
      <c r="BS1080" s="104"/>
    </row>
    <row r="1081" spans="1:71" s="89" customFormat="1" ht="15.75" customHeight="1">
      <c r="F1081" s="1"/>
      <c r="G1081" s="1"/>
      <c r="H1081" s="1"/>
      <c r="I1081" s="181" t="s">
        <v>202</v>
      </c>
      <c r="J1081" s="181"/>
      <c r="K1081" s="76" t="s">
        <v>2</v>
      </c>
      <c r="L1081" s="1" t="s">
        <v>245</v>
      </c>
      <c r="AP1081" s="104"/>
      <c r="AV1081" s="104"/>
      <c r="AY1081" s="104"/>
      <c r="BB1081" s="116"/>
      <c r="BL1081" s="104"/>
      <c r="BS1081" s="104"/>
    </row>
    <row r="1082" spans="1:71" s="89" customFormat="1" ht="15.75" customHeight="1">
      <c r="I1082" s="181" t="s">
        <v>270</v>
      </c>
      <c r="J1082" s="181"/>
      <c r="K1082" s="76" t="s">
        <v>2</v>
      </c>
      <c r="L1082" s="1" t="s">
        <v>272</v>
      </c>
      <c r="AP1082" s="104"/>
      <c r="AV1082" s="104"/>
      <c r="AY1082" s="104"/>
      <c r="BB1082" s="116"/>
      <c r="BL1082" s="104"/>
      <c r="BS1082" s="104"/>
    </row>
    <row r="1083" spans="1:71" s="89" customFormat="1" ht="15.75" customHeight="1">
      <c r="I1083" s="181" t="s">
        <v>271</v>
      </c>
      <c r="J1083" s="181"/>
      <c r="K1083" s="76" t="s">
        <v>2</v>
      </c>
      <c r="L1083" s="1" t="s">
        <v>273</v>
      </c>
      <c r="AP1083" s="104"/>
      <c r="AV1083" s="104"/>
      <c r="AY1083" s="104"/>
      <c r="BB1083" s="116"/>
      <c r="BL1083" s="104"/>
      <c r="BS1083" s="104"/>
    </row>
    <row r="1084" spans="1:71" s="89" customFormat="1" ht="15.75" customHeight="1">
      <c r="I1084" s="1"/>
      <c r="J1084" s="1"/>
      <c r="K1084" s="76"/>
      <c r="AP1084" s="104"/>
      <c r="AV1084" s="104"/>
      <c r="AY1084" s="104"/>
      <c r="BB1084" s="116"/>
      <c r="BL1084" s="104"/>
      <c r="BS1084" s="104"/>
    </row>
    <row r="1085" spans="1:71" s="89" customFormat="1" ht="15.75" customHeight="1">
      <c r="E1085" s="181" t="s">
        <v>240</v>
      </c>
      <c r="F1085" s="181"/>
      <c r="G1085" s="76" t="s">
        <v>27</v>
      </c>
      <c r="H1085" s="181">
        <v>1.4</v>
      </c>
      <c r="I1085" s="181"/>
      <c r="J1085" s="89" t="s">
        <v>1</v>
      </c>
      <c r="K1085" s="352">
        <f>N1056</f>
        <v>3298.6722862692827</v>
      </c>
      <c r="L1085" s="352"/>
      <c r="M1085" s="352"/>
      <c r="N1085" s="89" t="s">
        <v>6</v>
      </c>
      <c r="O1085" s="181">
        <v>1.4</v>
      </c>
      <c r="P1085" s="181"/>
      <c r="Q1085" s="89" t="s">
        <v>1</v>
      </c>
      <c r="R1085" s="352">
        <f>Q1059</f>
        <v>1791</v>
      </c>
      <c r="S1085" s="352"/>
      <c r="T1085" s="352"/>
      <c r="U1085" s="76" t="s">
        <v>27</v>
      </c>
      <c r="V1085" s="352">
        <f>H1085*K1085+O1085*R1085</f>
        <v>7125.5412007769955</v>
      </c>
      <c r="W1085" s="352"/>
      <c r="X1085" s="352"/>
      <c r="Y1085" s="89" t="s">
        <v>274</v>
      </c>
      <c r="AA1085" s="89" t="s">
        <v>347</v>
      </c>
      <c r="AP1085" s="104"/>
      <c r="AV1085" s="104"/>
      <c r="AY1085" s="104"/>
      <c r="BB1085" s="116"/>
      <c r="BL1085" s="104"/>
      <c r="BS1085" s="104"/>
    </row>
    <row r="1086" spans="1:71" s="89" customFormat="1" ht="15.75" customHeight="1">
      <c r="E1086" s="181" t="s">
        <v>240</v>
      </c>
      <c r="F1086" s="181"/>
      <c r="G1086" s="76" t="s">
        <v>27</v>
      </c>
      <c r="H1086" s="181">
        <v>1.4</v>
      </c>
      <c r="I1086" s="181"/>
      <c r="J1086" s="89" t="s">
        <v>1</v>
      </c>
      <c r="K1086" s="352">
        <f>N1067</f>
        <v>3298.6722862692827</v>
      </c>
      <c r="L1086" s="352"/>
      <c r="M1086" s="352"/>
      <c r="N1086" s="89" t="s">
        <v>6</v>
      </c>
      <c r="O1086" s="181">
        <v>1.4</v>
      </c>
      <c r="P1086" s="181"/>
      <c r="Q1086" s="89" t="s">
        <v>1</v>
      </c>
      <c r="R1086" s="352">
        <f>Q1070</f>
        <v>1810.8</v>
      </c>
      <c r="S1086" s="352"/>
      <c r="T1086" s="352"/>
      <c r="U1086" s="76" t="s">
        <v>27</v>
      </c>
      <c r="V1086" s="352">
        <f>H1086*K1086+O1086*R1086</f>
        <v>7153.2612007769958</v>
      </c>
      <c r="W1086" s="352"/>
      <c r="X1086" s="352"/>
      <c r="Y1086" s="89" t="s">
        <v>274</v>
      </c>
      <c r="AA1086" s="89" t="s">
        <v>348</v>
      </c>
      <c r="AP1086" s="104"/>
      <c r="AV1086" s="104"/>
      <c r="AY1086" s="104"/>
      <c r="BB1086" s="116"/>
      <c r="BL1086" s="104"/>
      <c r="BS1086" s="104"/>
    </row>
    <row r="1087" spans="1:71" s="89" customFormat="1" ht="15.75" customHeight="1">
      <c r="E1087" s="76"/>
      <c r="F1087" s="76"/>
      <c r="G1087" s="76"/>
      <c r="H1087" s="76"/>
      <c r="I1087" s="76"/>
      <c r="K1087" s="77"/>
      <c r="L1087" s="77"/>
      <c r="M1087" s="77"/>
      <c r="O1087" s="76"/>
      <c r="P1087" s="76"/>
      <c r="R1087" s="77"/>
      <c r="S1087" s="77"/>
      <c r="T1087" s="77"/>
      <c r="U1087" s="76"/>
      <c r="V1087" s="77"/>
      <c r="W1087" s="77"/>
      <c r="X1087" s="77"/>
      <c r="AP1087" s="104"/>
      <c r="AV1087" s="104"/>
      <c r="AY1087" s="104"/>
      <c r="BB1087" s="116"/>
      <c r="BL1087" s="104"/>
      <c r="BS1087" s="104"/>
    </row>
    <row r="1088" spans="1:71" s="89" customFormat="1" ht="15.75" hidden="1" customHeight="1">
      <c r="A1088" s="73" t="str">
        <f>IF(液状化L2の有無="","","×")</f>
        <v>×</v>
      </c>
      <c r="E1088" s="89" t="s">
        <v>561</v>
      </c>
      <c r="I1088" s="1"/>
      <c r="J1088" s="1"/>
      <c r="K1088" s="76"/>
      <c r="AP1088" s="104"/>
      <c r="AV1088" s="104"/>
      <c r="AY1088" s="104"/>
      <c r="BB1088" s="116"/>
      <c r="BL1088" s="104"/>
      <c r="BS1088" s="104"/>
    </row>
    <row r="1089" spans="1:71" s="89" customFormat="1" ht="15.75" hidden="1" customHeight="1">
      <c r="A1089" s="73" t="str">
        <f>IF(液状化L2の有無="","","×")</f>
        <v>×</v>
      </c>
      <c r="E1089" s="181" t="s">
        <v>240</v>
      </c>
      <c r="F1089" s="181"/>
      <c r="G1089" s="76" t="s">
        <v>27</v>
      </c>
      <c r="H1089" s="181">
        <v>1.4</v>
      </c>
      <c r="I1089" s="181"/>
      <c r="J1089" s="89" t="s">
        <v>1</v>
      </c>
      <c r="K1089" s="352">
        <f>K1085</f>
        <v>3298.6722862692827</v>
      </c>
      <c r="L1089" s="352"/>
      <c r="M1089" s="352"/>
      <c r="N1089" s="89" t="s">
        <v>6</v>
      </c>
      <c r="O1089" s="181">
        <v>1.4</v>
      </c>
      <c r="P1089" s="181"/>
      <c r="Q1089" s="89" t="s">
        <v>1</v>
      </c>
      <c r="R1089" s="352">
        <f>Q1062</f>
        <v>1791</v>
      </c>
      <c r="S1089" s="352"/>
      <c r="T1089" s="352"/>
      <c r="U1089" s="76" t="s">
        <v>27</v>
      </c>
      <c r="V1089" s="352">
        <f>H1089*K1089+O1089*R1089</f>
        <v>7125.5412007769955</v>
      </c>
      <c r="W1089" s="352"/>
      <c r="X1089" s="352"/>
      <c r="Y1089" s="89" t="s">
        <v>274</v>
      </c>
      <c r="AA1089" s="89" t="s">
        <v>347</v>
      </c>
      <c r="AP1089" s="104"/>
      <c r="AV1089" s="104"/>
      <c r="AY1089" s="104"/>
      <c r="BB1089" s="116"/>
      <c r="BL1089" s="104"/>
      <c r="BS1089" s="104"/>
    </row>
    <row r="1090" spans="1:71" s="89" customFormat="1" ht="15.75" hidden="1" customHeight="1">
      <c r="A1090" s="73" t="str">
        <f>IF(液状化L2の有無="","","×")</f>
        <v>×</v>
      </c>
      <c r="E1090" s="181" t="s">
        <v>240</v>
      </c>
      <c r="F1090" s="181"/>
      <c r="G1090" s="76" t="s">
        <v>27</v>
      </c>
      <c r="H1090" s="181">
        <v>1.4</v>
      </c>
      <c r="I1090" s="181"/>
      <c r="J1090" s="89" t="s">
        <v>1</v>
      </c>
      <c r="K1090" s="352">
        <f>K1086</f>
        <v>3298.6722862692827</v>
      </c>
      <c r="L1090" s="352"/>
      <c r="M1090" s="352"/>
      <c r="N1090" s="89" t="s">
        <v>6</v>
      </c>
      <c r="O1090" s="181">
        <v>1.4</v>
      </c>
      <c r="P1090" s="181"/>
      <c r="Q1090" s="89" t="s">
        <v>1</v>
      </c>
      <c r="R1090" s="352">
        <f>Q1073</f>
        <v>1810.8</v>
      </c>
      <c r="S1090" s="352"/>
      <c r="T1090" s="352"/>
      <c r="U1090" s="76" t="s">
        <v>27</v>
      </c>
      <c r="V1090" s="352">
        <f>H1090*K1090+O1090*R1090</f>
        <v>7153.2612007769958</v>
      </c>
      <c r="W1090" s="352"/>
      <c r="X1090" s="352"/>
      <c r="Y1090" s="89" t="s">
        <v>274</v>
      </c>
      <c r="AA1090" s="89" t="s">
        <v>348</v>
      </c>
      <c r="AP1090" s="104"/>
      <c r="AV1090" s="104"/>
      <c r="AY1090" s="104"/>
      <c r="BB1090" s="116"/>
      <c r="BL1090" s="104"/>
      <c r="BS1090" s="104"/>
    </row>
    <row r="1091" spans="1:71" s="89" customFormat="1" ht="15.75" customHeight="1">
      <c r="AP1091" s="104"/>
      <c r="AV1091" s="104"/>
      <c r="AY1091" s="104"/>
      <c r="BB1091" s="116"/>
      <c r="BL1091" s="104"/>
      <c r="BS1091" s="104"/>
    </row>
    <row r="1092" spans="1:71" s="89" customFormat="1" ht="15.75" customHeight="1">
      <c r="AP1092" s="104"/>
      <c r="AV1092" s="104"/>
      <c r="AY1092" s="104"/>
      <c r="BB1092" s="116"/>
      <c r="BL1092" s="104"/>
      <c r="BS1092" s="104"/>
    </row>
    <row r="1093" spans="1:71" s="89" customFormat="1" ht="15.75" customHeight="1">
      <c r="AP1093" s="104"/>
      <c r="AV1093" s="104"/>
      <c r="AY1093" s="104"/>
      <c r="BB1093" s="116"/>
      <c r="BL1093" s="104"/>
      <c r="BS1093" s="104"/>
    </row>
    <row r="1094" spans="1:71" s="89" customFormat="1" ht="15.75" customHeight="1">
      <c r="E1094" s="1" t="s">
        <v>275</v>
      </c>
      <c r="AP1094" s="104"/>
      <c r="AV1094" s="104"/>
      <c r="AY1094" s="104"/>
      <c r="BB1094" s="116"/>
      <c r="BL1094" s="104"/>
      <c r="BS1094" s="104"/>
    </row>
    <row r="1095" spans="1:71" s="89" customFormat="1" ht="15.75" customHeight="1">
      <c r="F1095" s="89" t="s">
        <v>284</v>
      </c>
      <c r="AP1095" s="104"/>
      <c r="AV1095" s="104"/>
      <c r="AY1095" s="104"/>
      <c r="BB1095" s="116"/>
      <c r="BL1095" s="104"/>
      <c r="BS1095" s="104"/>
    </row>
    <row r="1096" spans="1:71" s="89" customFormat="1" ht="15.75" customHeight="1">
      <c r="F1096" s="89" t="s">
        <v>276</v>
      </c>
      <c r="AP1096" s="104"/>
      <c r="AV1096" s="104"/>
      <c r="AY1096" s="104"/>
      <c r="BB1096" s="116"/>
      <c r="BL1096" s="104"/>
      <c r="BS1096" s="104"/>
    </row>
    <row r="1097" spans="1:71" s="89" customFormat="1" ht="15.75" customHeight="1">
      <c r="AP1097" s="104"/>
      <c r="AV1097" s="104"/>
      <c r="AY1097" s="104"/>
      <c r="BB1097" s="116"/>
      <c r="BL1097" s="104"/>
      <c r="BS1097" s="104"/>
    </row>
    <row r="1098" spans="1:71" s="89" customFormat="1" ht="15.75" customHeight="1">
      <c r="E1098" s="181" t="s">
        <v>277</v>
      </c>
      <c r="F1098" s="181"/>
      <c r="G1098" s="76" t="s">
        <v>27</v>
      </c>
      <c r="H1098" s="181" t="s">
        <v>278</v>
      </c>
      <c r="I1098" s="181"/>
      <c r="J1098" s="89" t="s">
        <v>6</v>
      </c>
      <c r="K1098" s="181" t="s">
        <v>279</v>
      </c>
      <c r="L1098" s="181"/>
      <c r="AP1098" s="104"/>
      <c r="AV1098" s="104"/>
      <c r="AY1098" s="104"/>
      <c r="BB1098" s="116"/>
      <c r="BL1098" s="104"/>
      <c r="BS1098" s="104"/>
    </row>
    <row r="1099" spans="1:71" s="89" customFormat="1" ht="15.75" customHeight="1">
      <c r="AP1099" s="104"/>
      <c r="AV1099" s="104"/>
      <c r="AY1099" s="104"/>
      <c r="BB1099" s="116"/>
      <c r="BL1099" s="104"/>
      <c r="BS1099" s="104"/>
    </row>
    <row r="1100" spans="1:71" s="89" customFormat="1" ht="15.75" customHeight="1">
      <c r="F1100" s="1" t="s">
        <v>3</v>
      </c>
      <c r="G1100" s="1"/>
      <c r="H1100" s="1"/>
      <c r="I1100" s="181" t="s">
        <v>277</v>
      </c>
      <c r="J1100" s="181"/>
      <c r="K1100" s="76" t="s">
        <v>2</v>
      </c>
      <c r="L1100" s="1" t="s">
        <v>280</v>
      </c>
      <c r="AP1100" s="104"/>
      <c r="AV1100" s="104"/>
      <c r="AY1100" s="104"/>
      <c r="BB1100" s="116"/>
      <c r="BL1100" s="104"/>
      <c r="BS1100" s="104"/>
    </row>
    <row r="1101" spans="1:71" s="89" customFormat="1" ht="15.75" customHeight="1">
      <c r="F1101" s="1"/>
      <c r="G1101" s="1"/>
      <c r="H1101" s="1"/>
      <c r="I1101" s="181" t="s">
        <v>202</v>
      </c>
      <c r="J1101" s="181"/>
      <c r="K1101" s="76" t="s">
        <v>2</v>
      </c>
      <c r="L1101" s="1" t="s">
        <v>245</v>
      </c>
      <c r="AP1101" s="104"/>
      <c r="AV1101" s="104"/>
      <c r="AY1101" s="104"/>
      <c r="BB1101" s="116"/>
      <c r="BL1101" s="104"/>
      <c r="BS1101" s="104"/>
    </row>
    <row r="1102" spans="1:71" s="89" customFormat="1" ht="15.75" customHeight="1">
      <c r="I1102" s="181" t="s">
        <v>241</v>
      </c>
      <c r="J1102" s="181"/>
      <c r="K1102" s="76" t="s">
        <v>2</v>
      </c>
      <c r="L1102" s="1" t="s">
        <v>281</v>
      </c>
      <c r="AP1102" s="104"/>
      <c r="AV1102" s="104"/>
      <c r="AY1102" s="104"/>
      <c r="BB1102" s="116"/>
      <c r="BL1102" s="104"/>
      <c r="BS1102" s="104"/>
    </row>
    <row r="1103" spans="1:71" s="89" customFormat="1" ht="15.75" customHeight="1">
      <c r="I1103" s="181" t="s">
        <v>279</v>
      </c>
      <c r="J1103" s="181"/>
      <c r="K1103" s="76" t="s">
        <v>2</v>
      </c>
      <c r="L1103" s="1" t="s">
        <v>282</v>
      </c>
      <c r="AP1103" s="104"/>
      <c r="AV1103" s="104"/>
      <c r="AY1103" s="104"/>
      <c r="BB1103" s="116"/>
      <c r="BL1103" s="104"/>
      <c r="BS1103" s="104"/>
    </row>
    <row r="1104" spans="1:71" s="89" customFormat="1" ht="15.75" customHeight="1">
      <c r="A1104" s="73" t="str">
        <f>IF(AC1104=0,"×","")</f>
        <v/>
      </c>
      <c r="J1104" s="181" t="s">
        <v>279</v>
      </c>
      <c r="K1104" s="181"/>
      <c r="L1104" s="76" t="s">
        <v>27</v>
      </c>
      <c r="M1104" s="181">
        <f>M1105-10</f>
        <v>14.5</v>
      </c>
      <c r="N1104" s="181"/>
      <c r="O1104" s="1" t="s">
        <v>566</v>
      </c>
      <c r="R1104" s="76" t="s">
        <v>1</v>
      </c>
      <c r="S1104" s="345">
        <v>0.25</v>
      </c>
      <c r="T1104" s="345"/>
      <c r="U1104" s="76" t="s">
        <v>1</v>
      </c>
      <c r="V1104" s="76" t="s">
        <v>123</v>
      </c>
      <c r="W1104" s="76" t="s">
        <v>1</v>
      </c>
      <c r="X1104" s="346">
        <f>Q815</f>
        <v>1</v>
      </c>
      <c r="Y1104" s="346"/>
      <c r="Z1104" s="346"/>
      <c r="AA1104" s="101" t="s">
        <v>219</v>
      </c>
      <c r="AB1104" s="76" t="s">
        <v>1</v>
      </c>
      <c r="AC1104" s="346">
        <f>MAX(0,-入力!G32)</f>
        <v>1</v>
      </c>
      <c r="AD1104" s="346"/>
      <c r="AE1104" s="346"/>
      <c r="AP1104" s="104"/>
      <c r="AV1104" s="104"/>
      <c r="AY1104" s="104"/>
      <c r="BB1104" s="116"/>
      <c r="BL1104" s="104"/>
      <c r="BS1104" s="104"/>
    </row>
    <row r="1105" spans="1:71" s="89" customFormat="1" ht="15.75" customHeight="1">
      <c r="L1105" s="76" t="str">
        <f>IF(AC1104=0,"＝","+")</f>
        <v>+</v>
      </c>
      <c r="M1105" s="181">
        <f>入力!J29</f>
        <v>24.5</v>
      </c>
      <c r="N1105" s="181"/>
      <c r="O1105" s="1" t="s">
        <v>566</v>
      </c>
      <c r="R1105" s="76" t="s">
        <v>1</v>
      </c>
      <c r="S1105" s="345">
        <v>0.25</v>
      </c>
      <c r="T1105" s="345"/>
      <c r="U1105" s="76" t="s">
        <v>1</v>
      </c>
      <c r="V1105" s="76" t="s">
        <v>123</v>
      </c>
      <c r="W1105" s="76" t="s">
        <v>1</v>
      </c>
      <c r="X1105" s="346">
        <f>X1104</f>
        <v>1</v>
      </c>
      <c r="Y1105" s="346"/>
      <c r="Z1105" s="346"/>
      <c r="AA1105" s="101" t="s">
        <v>219</v>
      </c>
      <c r="AB1105" s="76" t="s">
        <v>1</v>
      </c>
      <c r="AC1105" s="346">
        <f>入力!G26-AC1104</f>
        <v>20</v>
      </c>
      <c r="AD1105" s="346"/>
      <c r="AE1105" s="346"/>
      <c r="AP1105" s="104"/>
      <c r="AV1105" s="104"/>
      <c r="AY1105" s="104"/>
      <c r="BB1105" s="116"/>
      <c r="BL1105" s="104"/>
      <c r="BS1105" s="104"/>
    </row>
    <row r="1106" spans="1:71" s="89" customFormat="1" ht="15.75" customHeight="1">
      <c r="L1106" s="76" t="s">
        <v>27</v>
      </c>
      <c r="M1106" s="352">
        <f>ROUND(M1104*S1104*PI()*X1104^AA1104*AC1104+M1105*S1105*PI()*X1105^AA1105*AC1105,1)</f>
        <v>396.2</v>
      </c>
      <c r="N1106" s="352"/>
      <c r="O1106" s="352"/>
      <c r="P1106" s="1" t="s">
        <v>539</v>
      </c>
      <c r="AP1106" s="104"/>
      <c r="AV1106" s="104"/>
      <c r="AY1106" s="104"/>
      <c r="BB1106" s="116"/>
      <c r="BL1106" s="104"/>
      <c r="BS1106" s="104"/>
    </row>
    <row r="1107" spans="1:71" s="89" customFormat="1" ht="15.75" customHeight="1">
      <c r="G1107" s="76"/>
      <c r="AP1107" s="104"/>
      <c r="AV1107" s="104"/>
      <c r="AY1107" s="104"/>
      <c r="BB1107" s="116"/>
      <c r="BL1107" s="104"/>
      <c r="BS1107" s="104"/>
    </row>
    <row r="1108" spans="1:71" s="89" customFormat="1" ht="15.75" customHeight="1">
      <c r="F1108" s="89" t="s">
        <v>565</v>
      </c>
      <c r="AP1108" s="104"/>
      <c r="AV1108" s="104"/>
      <c r="AY1108" s="104"/>
      <c r="BB1108" s="116"/>
      <c r="BL1108" s="104"/>
      <c r="BS1108" s="104"/>
    </row>
    <row r="1109" spans="1:71" s="89" customFormat="1" ht="15.75" customHeight="1">
      <c r="F1109" s="89" t="s">
        <v>564</v>
      </c>
      <c r="AP1109" s="104"/>
      <c r="AV1109" s="104"/>
      <c r="AY1109" s="104"/>
      <c r="BB1109" s="116"/>
      <c r="BL1109" s="104"/>
      <c r="BS1109" s="104"/>
    </row>
    <row r="1110" spans="1:71" s="89" customFormat="1" ht="15.75" customHeight="1">
      <c r="AP1110" s="104"/>
      <c r="AV1110" s="104"/>
      <c r="AY1110" s="104"/>
      <c r="BB1110" s="116"/>
      <c r="BL1110" s="104"/>
      <c r="BS1110" s="104"/>
    </row>
    <row r="1111" spans="1:71" s="89" customFormat="1" ht="15.75" customHeight="1">
      <c r="H1111" s="61" t="s">
        <v>349</v>
      </c>
      <c r="I1111" s="85"/>
      <c r="J1111" s="85"/>
      <c r="K1111" s="61"/>
      <c r="L1111" s="61"/>
      <c r="M1111" s="61"/>
      <c r="N1111" s="61"/>
      <c r="O1111" s="61"/>
      <c r="P1111" s="61"/>
      <c r="Q1111" s="61"/>
      <c r="R1111" s="61"/>
      <c r="S1111" s="61"/>
      <c r="T1111" s="61"/>
      <c r="U1111" s="61"/>
      <c r="V1111" s="61"/>
      <c r="W1111" s="61"/>
      <c r="X1111" s="61"/>
      <c r="Y1111" s="61"/>
      <c r="Z1111" s="61"/>
      <c r="AA1111" s="85"/>
      <c r="AB1111" s="85"/>
      <c r="AP1111" s="104"/>
      <c r="AV1111" s="104"/>
      <c r="AY1111" s="104"/>
      <c r="BB1111" s="116"/>
      <c r="BL1111" s="104"/>
      <c r="BS1111" s="104"/>
    </row>
    <row r="1112" spans="1:71" s="89" customFormat="1" ht="15.75" customHeight="1">
      <c r="H1112" s="213" t="s">
        <v>252</v>
      </c>
      <c r="I1112" s="147"/>
      <c r="J1112" s="147"/>
      <c r="K1112" s="147" t="s">
        <v>253</v>
      </c>
      <c r="L1112" s="147"/>
      <c r="M1112" s="147"/>
      <c r="N1112" s="147"/>
      <c r="O1112" s="147"/>
      <c r="P1112" s="147"/>
      <c r="Q1112" s="146" t="s">
        <v>258</v>
      </c>
      <c r="R1112" s="147"/>
      <c r="S1112" s="147"/>
      <c r="T1112" s="146" t="s">
        <v>255</v>
      </c>
      <c r="U1112" s="147"/>
      <c r="V1112" s="147"/>
      <c r="W1112" s="146" t="s">
        <v>283</v>
      </c>
      <c r="X1112" s="147"/>
      <c r="Y1112" s="147"/>
      <c r="Z1112" s="146" t="s">
        <v>256</v>
      </c>
      <c r="AA1112" s="147"/>
      <c r="AB1112" s="214"/>
      <c r="AP1112" s="104"/>
      <c r="AV1112" s="104"/>
      <c r="AY1112" s="104"/>
      <c r="BB1112" s="116"/>
      <c r="BL1112" s="104"/>
      <c r="BS1112" s="104"/>
    </row>
    <row r="1113" spans="1:71" s="89" customFormat="1" ht="15.75" customHeight="1">
      <c r="H1113" s="215"/>
      <c r="I1113" s="148"/>
      <c r="J1113" s="148"/>
      <c r="K1113" s="148"/>
      <c r="L1113" s="148"/>
      <c r="M1113" s="148"/>
      <c r="N1113" s="148"/>
      <c r="O1113" s="148"/>
      <c r="P1113" s="148"/>
      <c r="Q1113" s="148"/>
      <c r="R1113" s="148"/>
      <c r="S1113" s="148"/>
      <c r="T1113" s="148"/>
      <c r="U1113" s="148"/>
      <c r="V1113" s="148"/>
      <c r="W1113" s="148"/>
      <c r="X1113" s="148"/>
      <c r="Y1113" s="148"/>
      <c r="Z1113" s="148"/>
      <c r="AA1113" s="148"/>
      <c r="AB1113" s="216"/>
      <c r="AP1113" s="104"/>
      <c r="AV1113" s="104"/>
      <c r="AY1113" s="104"/>
      <c r="BB1113" s="116"/>
      <c r="BL1113" s="104"/>
      <c r="BS1113" s="104"/>
    </row>
    <row r="1114" spans="1:71" s="89" customFormat="1" ht="15.75" customHeight="1">
      <c r="H1114" s="240" t="s">
        <v>262</v>
      </c>
      <c r="I1114" s="210"/>
      <c r="J1114" s="210"/>
      <c r="K1114" s="210" t="s">
        <v>260</v>
      </c>
      <c r="L1114" s="210"/>
      <c r="M1114" s="210"/>
      <c r="N1114" s="210"/>
      <c r="O1114" s="210"/>
      <c r="P1114" s="210"/>
      <c r="Q1114" s="182">
        <f>V859</f>
        <v>2277.6999999999998</v>
      </c>
      <c r="R1114" s="182"/>
      <c r="S1114" s="182"/>
      <c r="T1114" s="237" t="s">
        <v>187</v>
      </c>
      <c r="U1114" s="237"/>
      <c r="V1114" s="237"/>
      <c r="W1114" s="182">
        <f>M1106</f>
        <v>396.2</v>
      </c>
      <c r="X1114" s="182"/>
      <c r="Y1114" s="182"/>
      <c r="Z1114" s="182">
        <f>W1114</f>
        <v>396.2</v>
      </c>
      <c r="AA1114" s="182"/>
      <c r="AB1114" s="358"/>
      <c r="AP1114" s="104"/>
      <c r="AV1114" s="104"/>
      <c r="AY1114" s="104"/>
      <c r="BB1114" s="116"/>
      <c r="BL1114" s="104"/>
      <c r="BS1114" s="104"/>
    </row>
    <row r="1115" spans="1:71" s="89" customFormat="1" ht="15.75" customHeight="1">
      <c r="H1115" s="357"/>
      <c r="I1115" s="169"/>
      <c r="J1115" s="169"/>
      <c r="K1115" s="169" t="s">
        <v>261</v>
      </c>
      <c r="L1115" s="169"/>
      <c r="M1115" s="169"/>
      <c r="N1115" s="169"/>
      <c r="O1115" s="169"/>
      <c r="P1115" s="169"/>
      <c r="Q1115" s="172">
        <f>V883</f>
        <v>2353.1</v>
      </c>
      <c r="R1115" s="172"/>
      <c r="S1115" s="172"/>
      <c r="T1115" s="353">
        <f>g地盤抵抗係数(2,0)</f>
        <v>0.58699999999999997</v>
      </c>
      <c r="U1115" s="353"/>
      <c r="V1115" s="353"/>
      <c r="W1115" s="172"/>
      <c r="X1115" s="172"/>
      <c r="Y1115" s="172"/>
      <c r="Z1115" s="172">
        <f>Q1115*T1115+$W$1114</f>
        <v>1777.4696999999999</v>
      </c>
      <c r="AA1115" s="172"/>
      <c r="AB1115" s="173"/>
      <c r="AP1115" s="104"/>
      <c r="AV1115" s="104"/>
      <c r="AY1115" s="104"/>
      <c r="BB1115" s="116"/>
      <c r="BL1115" s="104"/>
      <c r="BS1115" s="104"/>
    </row>
    <row r="1116" spans="1:71" s="89" customFormat="1" ht="15.75" customHeight="1">
      <c r="H1116" s="357" t="s">
        <v>263</v>
      </c>
      <c r="I1116" s="169"/>
      <c r="J1116" s="169"/>
      <c r="K1116" s="169" t="s">
        <v>344</v>
      </c>
      <c r="L1116" s="169"/>
      <c r="M1116" s="169"/>
      <c r="N1116" s="169"/>
      <c r="O1116" s="169"/>
      <c r="P1116" s="169"/>
      <c r="Q1116" s="172"/>
      <c r="R1116" s="172"/>
      <c r="S1116" s="172"/>
      <c r="T1116" s="353">
        <f>g地盤抵抗係数(3,0)</f>
        <v>0.78600000000000003</v>
      </c>
      <c r="U1116" s="353"/>
      <c r="V1116" s="353"/>
      <c r="W1116" s="172"/>
      <c r="X1116" s="172"/>
      <c r="Y1116" s="172"/>
      <c r="Z1116" s="172">
        <f>Q1115*T1116+$W$1114</f>
        <v>2245.7365999999997</v>
      </c>
      <c r="AA1116" s="172"/>
      <c r="AB1116" s="173"/>
      <c r="AP1116" s="104"/>
      <c r="AV1116" s="104"/>
      <c r="AY1116" s="104"/>
      <c r="BB1116" s="116"/>
      <c r="BL1116" s="104"/>
      <c r="BS1116" s="104"/>
    </row>
    <row r="1117" spans="1:71" s="89" customFormat="1" ht="28.5" customHeight="1">
      <c r="H1117" s="357" t="s">
        <v>264</v>
      </c>
      <c r="I1117" s="169"/>
      <c r="J1117" s="169"/>
      <c r="K1117" s="300" t="s">
        <v>265</v>
      </c>
      <c r="L1117" s="169"/>
      <c r="M1117" s="169"/>
      <c r="N1117" s="169"/>
      <c r="O1117" s="169"/>
      <c r="P1117" s="169"/>
      <c r="Q1117" s="172">
        <f>V907</f>
        <v>2105.1999999999998</v>
      </c>
      <c r="R1117" s="172"/>
      <c r="S1117" s="172"/>
      <c r="T1117" s="353">
        <f>g地盤抵抗係数(4,0)</f>
        <v>0.86499999999999999</v>
      </c>
      <c r="U1117" s="353"/>
      <c r="V1117" s="353"/>
      <c r="W1117" s="172"/>
      <c r="X1117" s="172"/>
      <c r="Y1117" s="172"/>
      <c r="Z1117" s="172">
        <f>Q1117*T1117+W1114</f>
        <v>2217.1979999999999</v>
      </c>
      <c r="AA1117" s="172"/>
      <c r="AB1117" s="173"/>
      <c r="AP1117" s="104"/>
      <c r="AV1117" s="104"/>
      <c r="AY1117" s="104"/>
      <c r="BB1117" s="116"/>
      <c r="BL1117" s="104"/>
      <c r="BS1117" s="104"/>
    </row>
    <row r="1118" spans="1:71" s="89" customFormat="1" ht="28.5" customHeight="1">
      <c r="H1118" s="357"/>
      <c r="I1118" s="169"/>
      <c r="J1118" s="169"/>
      <c r="K1118" s="300" t="s">
        <v>266</v>
      </c>
      <c r="L1118" s="169"/>
      <c r="M1118" s="169"/>
      <c r="N1118" s="169"/>
      <c r="O1118" s="169"/>
      <c r="P1118" s="169"/>
      <c r="Q1118" s="172"/>
      <c r="R1118" s="172"/>
      <c r="S1118" s="172"/>
      <c r="T1118" s="353">
        <f>g地盤抵抗係数(5,0)</f>
        <v>1.1439999999999999</v>
      </c>
      <c r="U1118" s="353"/>
      <c r="V1118" s="353"/>
      <c r="W1118" s="172"/>
      <c r="X1118" s="172"/>
      <c r="Y1118" s="172"/>
      <c r="Z1118" s="172">
        <f>Q1117*T1118+W1114</f>
        <v>2804.5487999999996</v>
      </c>
      <c r="AA1118" s="172"/>
      <c r="AB1118" s="173"/>
      <c r="AP1118" s="104"/>
      <c r="AV1118" s="104"/>
      <c r="AY1118" s="104"/>
      <c r="BB1118" s="116"/>
      <c r="BL1118" s="104"/>
      <c r="BS1118" s="104"/>
    </row>
    <row r="1119" spans="1:71" s="89" customFormat="1" ht="28.5" hidden="1" customHeight="1">
      <c r="A1119" s="73" t="str">
        <f>IF(液状化L1の有無="","","×")</f>
        <v>×</v>
      </c>
      <c r="H1119" s="316" t="s">
        <v>548</v>
      </c>
      <c r="I1119" s="169"/>
      <c r="J1119" s="169"/>
      <c r="K1119" s="300" t="s">
        <v>265</v>
      </c>
      <c r="L1119" s="169"/>
      <c r="M1119" s="169"/>
      <c r="N1119" s="169"/>
      <c r="O1119" s="169"/>
      <c r="P1119" s="169"/>
      <c r="Q1119" s="172">
        <f>V931</f>
        <v>2105.1999999999998</v>
      </c>
      <c r="R1119" s="172"/>
      <c r="S1119" s="172"/>
      <c r="T1119" s="171">
        <f>T1117</f>
        <v>0.86499999999999999</v>
      </c>
      <c r="U1119" s="171"/>
      <c r="V1119" s="171"/>
      <c r="W1119" s="172"/>
      <c r="X1119" s="172"/>
      <c r="Y1119" s="172"/>
      <c r="Z1119" s="172">
        <f>Q1119*T1119+W1114</f>
        <v>2217.1979999999999</v>
      </c>
      <c r="AA1119" s="172"/>
      <c r="AB1119" s="173"/>
      <c r="AP1119" s="104"/>
      <c r="AV1119" s="104"/>
      <c r="AY1119" s="104"/>
      <c r="BB1119" s="116"/>
      <c r="BL1119" s="104"/>
      <c r="BS1119" s="104"/>
    </row>
    <row r="1120" spans="1:71" s="89" customFormat="1" ht="28.5" hidden="1" customHeight="1">
      <c r="A1120" s="73" t="str">
        <f>IF(液状化L2の有無="","","×")</f>
        <v>×</v>
      </c>
      <c r="H1120" s="215"/>
      <c r="I1120" s="148"/>
      <c r="J1120" s="148"/>
      <c r="K1120" s="187" t="s">
        <v>266</v>
      </c>
      <c r="L1120" s="148"/>
      <c r="M1120" s="148"/>
      <c r="N1120" s="148"/>
      <c r="O1120" s="148"/>
      <c r="P1120" s="148"/>
      <c r="Q1120" s="179">
        <f>V955</f>
        <v>2105.1999999999998</v>
      </c>
      <c r="R1120" s="179"/>
      <c r="S1120" s="179"/>
      <c r="T1120" s="177">
        <f>T1118</f>
        <v>1.1439999999999999</v>
      </c>
      <c r="U1120" s="177"/>
      <c r="V1120" s="177"/>
      <c r="W1120" s="179"/>
      <c r="X1120" s="179"/>
      <c r="Y1120" s="179"/>
      <c r="Z1120" s="179">
        <f>Q1120*T1120+W1114</f>
        <v>2804.5487999999996</v>
      </c>
      <c r="AA1120" s="179"/>
      <c r="AB1120" s="180"/>
      <c r="AP1120" s="104"/>
      <c r="AV1120" s="104"/>
      <c r="AY1120" s="104"/>
      <c r="BB1120" s="116"/>
      <c r="BL1120" s="104"/>
      <c r="BS1120" s="104"/>
    </row>
    <row r="1121" spans="1:71" s="89" customFormat="1" ht="15.75" customHeight="1">
      <c r="H1121" s="449"/>
      <c r="I1121" s="449"/>
      <c r="J1121" s="449"/>
      <c r="K1121" s="449"/>
      <c r="L1121" s="449"/>
      <c r="M1121" s="449"/>
      <c r="N1121" s="449"/>
      <c r="O1121" s="449"/>
      <c r="P1121" s="449"/>
      <c r="Q1121" s="449"/>
      <c r="R1121" s="449"/>
      <c r="S1121" s="449"/>
      <c r="T1121" s="449"/>
      <c r="U1121" s="449"/>
      <c r="V1121" s="449"/>
      <c r="W1121" s="449"/>
      <c r="X1121" s="449"/>
      <c r="Y1121" s="449"/>
      <c r="Z1121" s="449"/>
      <c r="AA1121" s="449"/>
      <c r="AB1121" s="449"/>
      <c r="AP1121" s="104"/>
      <c r="AV1121" s="104"/>
      <c r="AY1121" s="104"/>
      <c r="BB1121" s="116"/>
      <c r="BL1121" s="104"/>
      <c r="BS1121" s="104"/>
    </row>
    <row r="1122" spans="1:71" s="89" customFormat="1" ht="15.75" customHeight="1">
      <c r="H1122" s="61" t="s">
        <v>567</v>
      </c>
      <c r="I1122" s="85"/>
      <c r="J1122" s="85"/>
      <c r="K1122" s="61"/>
      <c r="L1122" s="61"/>
      <c r="M1122" s="61"/>
      <c r="N1122" s="61"/>
      <c r="O1122" s="61"/>
      <c r="P1122" s="61"/>
      <c r="Q1122" s="61"/>
      <c r="R1122" s="61"/>
      <c r="S1122" s="61"/>
      <c r="T1122" s="61"/>
      <c r="U1122" s="61"/>
      <c r="V1122" s="61"/>
      <c r="W1122" s="61"/>
      <c r="X1122" s="61"/>
      <c r="Y1122" s="61"/>
      <c r="Z1122" s="61"/>
      <c r="AA1122" s="85"/>
      <c r="AB1122" s="85"/>
      <c r="AP1122" s="104"/>
      <c r="AV1122" s="104"/>
      <c r="AY1122" s="104"/>
      <c r="BB1122" s="116"/>
      <c r="BL1122" s="104"/>
      <c r="BS1122" s="104"/>
    </row>
    <row r="1123" spans="1:71" s="89" customFormat="1" ht="15.75" customHeight="1">
      <c r="H1123" s="213" t="s">
        <v>252</v>
      </c>
      <c r="I1123" s="147"/>
      <c r="J1123" s="147"/>
      <c r="K1123" s="147" t="s">
        <v>253</v>
      </c>
      <c r="L1123" s="147"/>
      <c r="M1123" s="147"/>
      <c r="N1123" s="147"/>
      <c r="O1123" s="147"/>
      <c r="P1123" s="147"/>
      <c r="Q1123" s="146" t="s">
        <v>258</v>
      </c>
      <c r="R1123" s="147"/>
      <c r="S1123" s="147"/>
      <c r="T1123" s="146" t="s">
        <v>255</v>
      </c>
      <c r="U1123" s="147"/>
      <c r="V1123" s="147"/>
      <c r="W1123" s="146" t="s">
        <v>283</v>
      </c>
      <c r="X1123" s="147"/>
      <c r="Y1123" s="147"/>
      <c r="Z1123" s="146" t="s">
        <v>256</v>
      </c>
      <c r="AA1123" s="147"/>
      <c r="AB1123" s="214"/>
      <c r="AP1123" s="104"/>
      <c r="AV1123" s="104"/>
      <c r="AY1123" s="104"/>
      <c r="BB1123" s="116"/>
      <c r="BL1123" s="104"/>
      <c r="BS1123" s="104"/>
    </row>
    <row r="1124" spans="1:71" s="89" customFormat="1" ht="15.75" customHeight="1">
      <c r="H1124" s="215"/>
      <c r="I1124" s="148"/>
      <c r="J1124" s="148"/>
      <c r="K1124" s="148"/>
      <c r="L1124" s="148"/>
      <c r="M1124" s="148"/>
      <c r="N1124" s="148"/>
      <c r="O1124" s="148"/>
      <c r="P1124" s="148"/>
      <c r="Q1124" s="148"/>
      <c r="R1124" s="148"/>
      <c r="S1124" s="148"/>
      <c r="T1124" s="148"/>
      <c r="U1124" s="148"/>
      <c r="V1124" s="148"/>
      <c r="W1124" s="148"/>
      <c r="X1124" s="148"/>
      <c r="Y1124" s="148"/>
      <c r="Z1124" s="148"/>
      <c r="AA1124" s="148"/>
      <c r="AB1124" s="216"/>
      <c r="AP1124" s="104"/>
      <c r="AV1124" s="104"/>
      <c r="AY1124" s="104"/>
      <c r="BB1124" s="116"/>
      <c r="BL1124" s="104"/>
      <c r="BS1124" s="104"/>
    </row>
    <row r="1125" spans="1:71" s="89" customFormat="1" ht="15.75" customHeight="1">
      <c r="H1125" s="240" t="s">
        <v>262</v>
      </c>
      <c r="I1125" s="210"/>
      <c r="J1125" s="210"/>
      <c r="K1125" s="210" t="s">
        <v>260</v>
      </c>
      <c r="L1125" s="210"/>
      <c r="M1125" s="210"/>
      <c r="N1125" s="210"/>
      <c r="O1125" s="210"/>
      <c r="P1125" s="210"/>
      <c r="Q1125" s="182">
        <f>V859</f>
        <v>2277.6999999999998</v>
      </c>
      <c r="R1125" s="182"/>
      <c r="S1125" s="182"/>
      <c r="T1125" s="237" t="s">
        <v>187</v>
      </c>
      <c r="U1125" s="237"/>
      <c r="V1125" s="237"/>
      <c r="W1125" s="182">
        <f>M1106</f>
        <v>396.2</v>
      </c>
      <c r="X1125" s="182"/>
      <c r="Y1125" s="182"/>
      <c r="Z1125" s="182">
        <f>W1125</f>
        <v>396.2</v>
      </c>
      <c r="AA1125" s="182"/>
      <c r="AB1125" s="358"/>
      <c r="AP1125" s="104"/>
      <c r="AV1125" s="104"/>
      <c r="AY1125" s="104"/>
      <c r="BB1125" s="116"/>
      <c r="BL1125" s="104"/>
      <c r="BS1125" s="104"/>
    </row>
    <row r="1126" spans="1:71" s="89" customFormat="1" ht="15.75" customHeight="1">
      <c r="H1126" s="357"/>
      <c r="I1126" s="169"/>
      <c r="J1126" s="169"/>
      <c r="K1126" s="169" t="s">
        <v>261</v>
      </c>
      <c r="L1126" s="169"/>
      <c r="M1126" s="169"/>
      <c r="N1126" s="169"/>
      <c r="O1126" s="169"/>
      <c r="P1126" s="169"/>
      <c r="Q1126" s="172">
        <f>V883</f>
        <v>2353.1</v>
      </c>
      <c r="R1126" s="172"/>
      <c r="S1126" s="172"/>
      <c r="T1126" s="353">
        <f>g地盤抵抗係数(2,0)</f>
        <v>0.58699999999999997</v>
      </c>
      <c r="U1126" s="353"/>
      <c r="V1126" s="353"/>
      <c r="W1126" s="172"/>
      <c r="X1126" s="172"/>
      <c r="Y1126" s="172"/>
      <c r="Z1126" s="172">
        <f>Q1126*T1126+$W$1125</f>
        <v>1777.4696999999999</v>
      </c>
      <c r="AA1126" s="172"/>
      <c r="AB1126" s="173"/>
      <c r="AP1126" s="104"/>
      <c r="AV1126" s="104"/>
      <c r="AY1126" s="104"/>
      <c r="BB1126" s="116"/>
      <c r="BL1126" s="104"/>
      <c r="BS1126" s="104"/>
    </row>
    <row r="1127" spans="1:71" s="89" customFormat="1" ht="15.75" customHeight="1">
      <c r="H1127" s="357" t="s">
        <v>263</v>
      </c>
      <c r="I1127" s="169"/>
      <c r="J1127" s="169"/>
      <c r="K1127" s="169" t="s">
        <v>344</v>
      </c>
      <c r="L1127" s="169"/>
      <c r="M1127" s="169"/>
      <c r="N1127" s="169"/>
      <c r="O1127" s="169"/>
      <c r="P1127" s="169"/>
      <c r="Q1127" s="172"/>
      <c r="R1127" s="172"/>
      <c r="S1127" s="172"/>
      <c r="T1127" s="353">
        <f>g地盤抵抗係数(3,0)</f>
        <v>0.78600000000000003</v>
      </c>
      <c r="U1127" s="353"/>
      <c r="V1127" s="353"/>
      <c r="W1127" s="172"/>
      <c r="X1127" s="172"/>
      <c r="Y1127" s="172"/>
      <c r="Z1127" s="172">
        <f>Q1126*T1127+$W$1125</f>
        <v>2245.7365999999997</v>
      </c>
      <c r="AA1127" s="172"/>
      <c r="AB1127" s="173"/>
      <c r="AP1127" s="104"/>
      <c r="AV1127" s="104"/>
      <c r="AY1127" s="104"/>
      <c r="BB1127" s="116"/>
      <c r="BL1127" s="104"/>
      <c r="BS1127" s="104"/>
    </row>
    <row r="1128" spans="1:71" s="89" customFormat="1" ht="28.5" customHeight="1">
      <c r="H1128" s="357" t="s">
        <v>264</v>
      </c>
      <c r="I1128" s="169"/>
      <c r="J1128" s="169"/>
      <c r="K1128" s="300" t="s">
        <v>265</v>
      </c>
      <c r="L1128" s="169"/>
      <c r="M1128" s="169"/>
      <c r="N1128" s="169"/>
      <c r="O1128" s="169"/>
      <c r="P1128" s="169"/>
      <c r="Q1128" s="172">
        <f>V979</f>
        <v>2125</v>
      </c>
      <c r="R1128" s="172"/>
      <c r="S1128" s="172"/>
      <c r="T1128" s="353">
        <f>g地盤抵抗係数(4,0)</f>
        <v>0.86499999999999999</v>
      </c>
      <c r="U1128" s="353"/>
      <c r="V1128" s="353"/>
      <c r="W1128" s="172"/>
      <c r="X1128" s="172"/>
      <c r="Y1128" s="172"/>
      <c r="Z1128" s="172">
        <f>Q1128*T1128+W1125</f>
        <v>2234.3249999999998</v>
      </c>
      <c r="AA1128" s="172"/>
      <c r="AB1128" s="173"/>
      <c r="AP1128" s="104"/>
      <c r="AV1128" s="104"/>
      <c r="AY1128" s="104"/>
      <c r="BB1128" s="116"/>
      <c r="BL1128" s="104"/>
      <c r="BS1128" s="104"/>
    </row>
    <row r="1129" spans="1:71" s="89" customFormat="1" ht="28.5" customHeight="1">
      <c r="H1129" s="357"/>
      <c r="I1129" s="169"/>
      <c r="J1129" s="169"/>
      <c r="K1129" s="300" t="s">
        <v>266</v>
      </c>
      <c r="L1129" s="169"/>
      <c r="M1129" s="169"/>
      <c r="N1129" s="169"/>
      <c r="O1129" s="169"/>
      <c r="P1129" s="169"/>
      <c r="Q1129" s="172"/>
      <c r="R1129" s="172"/>
      <c r="S1129" s="172"/>
      <c r="T1129" s="353">
        <f>g地盤抵抗係数(5,0)</f>
        <v>1.1439999999999999</v>
      </c>
      <c r="U1129" s="353"/>
      <c r="V1129" s="353"/>
      <c r="W1129" s="172"/>
      <c r="X1129" s="172"/>
      <c r="Y1129" s="172"/>
      <c r="Z1129" s="172">
        <f>Q1128*T1129+W1125</f>
        <v>2827.2</v>
      </c>
      <c r="AA1129" s="172"/>
      <c r="AB1129" s="173"/>
      <c r="AP1129" s="104"/>
      <c r="AV1129" s="104"/>
      <c r="AY1129" s="104"/>
      <c r="BB1129" s="116"/>
      <c r="BL1129" s="104"/>
      <c r="BS1129" s="104"/>
    </row>
    <row r="1130" spans="1:71" s="89" customFormat="1" ht="28.5" hidden="1" customHeight="1">
      <c r="A1130" s="73" t="str">
        <f>IF(液状化L1の有無="","","×")</f>
        <v>×</v>
      </c>
      <c r="H1130" s="316" t="s">
        <v>548</v>
      </c>
      <c r="I1130" s="169"/>
      <c r="J1130" s="169"/>
      <c r="K1130" s="300" t="s">
        <v>265</v>
      </c>
      <c r="L1130" s="169"/>
      <c r="M1130" s="169"/>
      <c r="N1130" s="169"/>
      <c r="O1130" s="169"/>
      <c r="P1130" s="169"/>
      <c r="Q1130" s="172">
        <f>V1003</f>
        <v>2125</v>
      </c>
      <c r="R1130" s="172"/>
      <c r="S1130" s="172"/>
      <c r="T1130" s="171">
        <f>T1128</f>
        <v>0.86499999999999999</v>
      </c>
      <c r="U1130" s="171"/>
      <c r="V1130" s="171"/>
      <c r="W1130" s="172"/>
      <c r="X1130" s="172"/>
      <c r="Y1130" s="172"/>
      <c r="Z1130" s="172">
        <f>Q1130*T1130+W1125</f>
        <v>2234.3249999999998</v>
      </c>
      <c r="AA1130" s="172"/>
      <c r="AB1130" s="173"/>
      <c r="AP1130" s="104"/>
      <c r="AV1130" s="104"/>
      <c r="AY1130" s="104"/>
      <c r="BB1130" s="116"/>
      <c r="BL1130" s="104"/>
      <c r="BS1130" s="104"/>
    </row>
    <row r="1131" spans="1:71" s="89" customFormat="1" ht="28.5" hidden="1" customHeight="1">
      <c r="A1131" s="73" t="str">
        <f>IF(液状化L2の有無="","","×")</f>
        <v>×</v>
      </c>
      <c r="H1131" s="215"/>
      <c r="I1131" s="148"/>
      <c r="J1131" s="148"/>
      <c r="K1131" s="187" t="s">
        <v>266</v>
      </c>
      <c r="L1131" s="148"/>
      <c r="M1131" s="148"/>
      <c r="N1131" s="148"/>
      <c r="O1131" s="148"/>
      <c r="P1131" s="148"/>
      <c r="Q1131" s="179">
        <f>V1027</f>
        <v>2125</v>
      </c>
      <c r="R1131" s="179"/>
      <c r="S1131" s="179"/>
      <c r="T1131" s="177">
        <f>T1129</f>
        <v>1.1439999999999999</v>
      </c>
      <c r="U1131" s="177"/>
      <c r="V1131" s="177"/>
      <c r="W1131" s="179"/>
      <c r="X1131" s="179"/>
      <c r="Y1131" s="179"/>
      <c r="Z1131" s="179">
        <f>Q1131*T1131+W1125</f>
        <v>2827.2</v>
      </c>
      <c r="AA1131" s="179"/>
      <c r="AB1131" s="180"/>
      <c r="AP1131" s="104"/>
      <c r="AV1131" s="104"/>
      <c r="AY1131" s="104"/>
      <c r="BB1131" s="116"/>
      <c r="BL1131" s="104"/>
      <c r="BS1131" s="104"/>
    </row>
    <row r="1132" spans="1:71" s="89" customFormat="1" ht="15.75" customHeight="1">
      <c r="H1132" s="449"/>
      <c r="I1132" s="449"/>
      <c r="J1132" s="449"/>
      <c r="K1132" s="449"/>
      <c r="L1132" s="449"/>
      <c r="M1132" s="449"/>
      <c r="N1132" s="449"/>
      <c r="O1132" s="449"/>
      <c r="P1132" s="449"/>
      <c r="Q1132" s="449"/>
      <c r="R1132" s="449"/>
      <c r="S1132" s="449"/>
      <c r="T1132" s="449"/>
      <c r="U1132" s="449"/>
      <c r="V1132" s="449"/>
      <c r="W1132" s="449"/>
      <c r="X1132" s="449"/>
      <c r="Y1132" s="449"/>
      <c r="Z1132" s="449"/>
      <c r="AA1132" s="449"/>
      <c r="AB1132" s="449"/>
      <c r="AP1132" s="104"/>
      <c r="AV1132" s="104"/>
      <c r="AY1132" s="104"/>
      <c r="BB1132" s="116"/>
      <c r="BL1132" s="104"/>
      <c r="BS1132" s="104"/>
    </row>
    <row r="1133" spans="1:71" s="89" customFormat="1" ht="15.75" customHeight="1">
      <c r="E1133" s="1" t="s">
        <v>367</v>
      </c>
      <c r="AP1133" s="104"/>
      <c r="AV1133" s="104"/>
      <c r="AY1133" s="104"/>
      <c r="BB1133" s="116"/>
      <c r="BL1133" s="104"/>
      <c r="BS1133" s="104"/>
    </row>
    <row r="1134" spans="1:71" s="89" customFormat="1" ht="15.75" customHeight="1">
      <c r="E1134" s="89" t="s">
        <v>368</v>
      </c>
      <c r="AP1134" s="104"/>
      <c r="AV1134" s="104"/>
      <c r="AY1134" s="104"/>
      <c r="BB1134" s="116"/>
      <c r="BL1134" s="104"/>
      <c r="BS1134" s="104"/>
    </row>
    <row r="1135" spans="1:71" s="89" customFormat="1" ht="15.75" customHeight="1">
      <c r="AP1135" s="104"/>
      <c r="AV1135" s="104"/>
      <c r="AY1135" s="104"/>
      <c r="BB1135" s="116"/>
      <c r="BL1135" s="104"/>
      <c r="BS1135" s="104"/>
    </row>
    <row r="1136" spans="1:71" s="89" customFormat="1" ht="15.75" customHeight="1">
      <c r="AP1136" s="104"/>
      <c r="AV1136" s="104"/>
      <c r="AY1136" s="104"/>
      <c r="BB1136" s="116"/>
      <c r="BL1136" s="104"/>
      <c r="BS1136" s="104"/>
    </row>
    <row r="1137" spans="4:71" s="89" customFormat="1" ht="15.75" customHeight="1">
      <c r="AP1137" s="104"/>
      <c r="AV1137" s="104"/>
      <c r="AY1137" s="104"/>
      <c r="BB1137" s="116"/>
      <c r="BL1137" s="104"/>
      <c r="BS1137" s="104"/>
    </row>
    <row r="1138" spans="4:71" s="89" customFormat="1" ht="15.75" customHeight="1">
      <c r="D1138" s="10" t="s">
        <v>285</v>
      </c>
      <c r="AP1138" s="104"/>
      <c r="AV1138" s="104"/>
      <c r="AY1138" s="104"/>
      <c r="BB1138" s="116"/>
      <c r="BL1138" s="104"/>
      <c r="BS1138" s="104"/>
    </row>
    <row r="1139" spans="4:71" s="89" customFormat="1" ht="15.75" customHeight="1">
      <c r="AP1139" s="104"/>
      <c r="AV1139" s="104"/>
      <c r="AY1139" s="104"/>
      <c r="BB1139" s="116"/>
      <c r="BL1139" s="104"/>
      <c r="BS1139" s="104"/>
    </row>
    <row r="1140" spans="4:71" s="89" customFormat="1" ht="15.75" customHeight="1">
      <c r="E1140" s="89" t="s">
        <v>369</v>
      </c>
      <c r="AP1140" s="104"/>
      <c r="AV1140" s="104"/>
      <c r="AY1140" s="104"/>
      <c r="BB1140" s="116"/>
      <c r="BL1140" s="104"/>
      <c r="BS1140" s="104"/>
    </row>
    <row r="1141" spans="4:71" s="89" customFormat="1" ht="15.75" customHeight="1">
      <c r="AP1141" s="104"/>
      <c r="AV1141" s="104"/>
      <c r="AY1141" s="104"/>
      <c r="BB1141" s="116"/>
      <c r="BL1141" s="104"/>
      <c r="BS1141" s="104"/>
    </row>
    <row r="1142" spans="4:71" s="89" customFormat="1" ht="15.75" customHeight="1">
      <c r="E1142" s="181" t="s">
        <v>290</v>
      </c>
      <c r="F1142" s="181"/>
      <c r="G1142" s="76" t="s">
        <v>27</v>
      </c>
      <c r="H1142" s="181" t="s">
        <v>286</v>
      </c>
      <c r="I1142" s="181"/>
      <c r="J1142" s="89" t="s">
        <v>287</v>
      </c>
      <c r="K1142" s="181" t="s">
        <v>288</v>
      </c>
      <c r="L1142" s="181"/>
      <c r="M1142" s="89" t="s">
        <v>287</v>
      </c>
      <c r="N1142" s="181" t="s">
        <v>289</v>
      </c>
      <c r="O1142" s="181"/>
      <c r="P1142" s="89" t="s">
        <v>291</v>
      </c>
      <c r="Q1142" s="181" t="s">
        <v>289</v>
      </c>
      <c r="R1142" s="181"/>
      <c r="AP1142" s="104"/>
      <c r="AV1142" s="104"/>
      <c r="AY1142" s="104"/>
      <c r="BB1142" s="116"/>
      <c r="BL1142" s="104"/>
      <c r="BS1142" s="104"/>
    </row>
    <row r="1143" spans="4:71" s="89" customFormat="1" ht="15.75" customHeight="1">
      <c r="AP1143" s="104"/>
      <c r="AV1143" s="104"/>
      <c r="AY1143" s="104"/>
      <c r="BB1143" s="116"/>
      <c r="BL1143" s="104"/>
      <c r="BS1143" s="104"/>
    </row>
    <row r="1144" spans="4:71" s="89" customFormat="1" ht="15.75" customHeight="1">
      <c r="F1144" s="1" t="s">
        <v>3</v>
      </c>
      <c r="G1144" s="1"/>
      <c r="H1144" s="1"/>
      <c r="I1144" s="181" t="s">
        <v>290</v>
      </c>
      <c r="J1144" s="181"/>
      <c r="K1144" s="76" t="s">
        <v>2</v>
      </c>
      <c r="L1144" s="1" t="s">
        <v>292</v>
      </c>
      <c r="AP1144" s="104"/>
      <c r="AV1144" s="104"/>
      <c r="AY1144" s="104"/>
      <c r="BB1144" s="116"/>
      <c r="BL1144" s="104"/>
      <c r="BS1144" s="104"/>
    </row>
    <row r="1145" spans="4:71" s="89" customFormat="1" ht="15.75" customHeight="1">
      <c r="F1145" s="1"/>
      <c r="G1145" s="1"/>
      <c r="H1145" s="1"/>
      <c r="I1145" s="181" t="s">
        <v>286</v>
      </c>
      <c r="J1145" s="181"/>
      <c r="K1145" s="76" t="s">
        <v>2</v>
      </c>
      <c r="L1145" s="1" t="s">
        <v>293</v>
      </c>
      <c r="AP1145" s="104"/>
      <c r="AV1145" s="104"/>
      <c r="AY1145" s="104"/>
      <c r="BB1145" s="116"/>
      <c r="BL1145" s="104"/>
      <c r="BS1145" s="104"/>
    </row>
    <row r="1146" spans="4:71" s="89" customFormat="1" ht="15.75" customHeight="1">
      <c r="J1146" s="342" t="s">
        <v>236</v>
      </c>
      <c r="K1146" s="342"/>
      <c r="L1146" s="342"/>
      <c r="M1146" s="76" t="s">
        <v>2</v>
      </c>
      <c r="N1146" s="89" t="s">
        <v>294</v>
      </c>
      <c r="AN1146" s="104"/>
      <c r="AT1146" s="104"/>
      <c r="AW1146" s="104"/>
      <c r="BB1146" s="116"/>
      <c r="BJ1146" s="104"/>
      <c r="BQ1146" s="104"/>
    </row>
    <row r="1147" spans="4:71" s="116" customFormat="1" ht="15.75" customHeight="1">
      <c r="J1147" s="123"/>
      <c r="K1147" s="123"/>
      <c r="L1147" s="123"/>
      <c r="M1147" s="112"/>
    </row>
    <row r="1148" spans="4:71" s="116" customFormat="1" ht="15.75" customHeight="1">
      <c r="K1148" s="61" t="s">
        <v>571</v>
      </c>
      <c r="L1148" s="85"/>
      <c r="M1148" s="85"/>
      <c r="N1148" s="85"/>
      <c r="O1148" s="85"/>
      <c r="P1148" s="85"/>
      <c r="Q1148" s="85"/>
      <c r="R1148" s="85"/>
      <c r="S1148" s="85"/>
      <c r="T1148" s="466"/>
      <c r="U1148" s="467"/>
      <c r="V1148" s="467"/>
      <c r="W1148" s="467"/>
      <c r="X1148" s="466"/>
      <c r="Y1148" s="466"/>
      <c r="Z1148" s="466"/>
      <c r="AA1148" s="466"/>
      <c r="AB1148" s="466"/>
      <c r="AC1148" s="466"/>
      <c r="AD1148" s="466"/>
      <c r="AE1148" s="466"/>
      <c r="AF1148" s="466"/>
      <c r="AG1148" s="468"/>
      <c r="AH1148" s="468"/>
      <c r="AI1148" s="468"/>
      <c r="AJ1148" s="114"/>
      <c r="AK1148" s="114"/>
      <c r="AL1148" s="114"/>
      <c r="AR1148" s="115"/>
      <c r="AS1148" s="115"/>
      <c r="AT1148" s="115"/>
    </row>
    <row r="1149" spans="4:71" s="116" customFormat="1" ht="15.75" customHeight="1">
      <c r="K1149" s="350" t="s">
        <v>572</v>
      </c>
      <c r="L1149" s="147"/>
      <c r="M1149" s="147"/>
      <c r="N1149" s="147"/>
      <c r="O1149" s="147"/>
      <c r="P1149" s="147"/>
      <c r="Q1149" s="146" t="s">
        <v>575</v>
      </c>
      <c r="R1149" s="146"/>
      <c r="S1149" s="146"/>
      <c r="T1149" s="146"/>
      <c r="U1149" s="146"/>
      <c r="V1149" s="146"/>
      <c r="W1149" s="146"/>
      <c r="X1149" s="333" t="s">
        <v>578</v>
      </c>
      <c r="Y1149" s="333"/>
      <c r="Z1149" s="333"/>
      <c r="AA1149" s="333"/>
      <c r="AB1149" s="333"/>
      <c r="AC1149" s="333"/>
      <c r="AD1149" s="333"/>
      <c r="AE1149" s="333"/>
      <c r="AF1149" s="333"/>
      <c r="AG1149" s="333"/>
      <c r="AH1149" s="333"/>
      <c r="AI1149" s="334"/>
      <c r="AJ1149" s="114"/>
      <c r="AK1149" s="114"/>
      <c r="AL1149" s="114"/>
      <c r="AR1149" s="115"/>
      <c r="AS1149" s="115"/>
      <c r="AT1149" s="115"/>
    </row>
    <row r="1150" spans="4:71" s="116" customFormat="1" ht="15.75" customHeight="1">
      <c r="K1150" s="371"/>
      <c r="L1150" s="169"/>
      <c r="M1150" s="169"/>
      <c r="N1150" s="169"/>
      <c r="O1150" s="169"/>
      <c r="P1150" s="169"/>
      <c r="Q1150" s="300"/>
      <c r="R1150" s="300"/>
      <c r="S1150" s="300"/>
      <c r="T1150" s="300"/>
      <c r="U1150" s="300"/>
      <c r="V1150" s="300"/>
      <c r="W1150" s="300"/>
      <c r="X1150" s="168" t="s">
        <v>579</v>
      </c>
      <c r="Y1150" s="168"/>
      <c r="Z1150" s="168"/>
      <c r="AA1150" s="168"/>
      <c r="AB1150" s="168" t="s">
        <v>580</v>
      </c>
      <c r="AC1150" s="168"/>
      <c r="AD1150" s="168"/>
      <c r="AE1150" s="168"/>
      <c r="AF1150" s="168" t="s">
        <v>582</v>
      </c>
      <c r="AG1150" s="168"/>
      <c r="AH1150" s="168"/>
      <c r="AI1150" s="197"/>
      <c r="AJ1150" s="114"/>
      <c r="AK1150" s="114"/>
      <c r="AL1150" s="114"/>
      <c r="AR1150" s="115"/>
      <c r="AS1150" s="115"/>
      <c r="AT1150" s="115"/>
    </row>
    <row r="1151" spans="4:71" s="116" customFormat="1" ht="15.75" customHeight="1">
      <c r="K1151" s="311" t="s">
        <v>573</v>
      </c>
      <c r="L1151" s="300"/>
      <c r="M1151" s="300"/>
      <c r="N1151" s="300"/>
      <c r="O1151" s="300"/>
      <c r="P1151" s="300"/>
      <c r="Q1151" s="453"/>
      <c r="R1151" s="454" t="s">
        <v>584</v>
      </c>
      <c r="S1151" s="454"/>
      <c r="T1151" s="455" t="s">
        <v>577</v>
      </c>
      <c r="U1151" s="456">
        <v>3</v>
      </c>
      <c r="V1151" s="456"/>
      <c r="W1151" s="457"/>
      <c r="X1151" s="172">
        <v>1</v>
      </c>
      <c r="Y1151" s="172"/>
      <c r="Z1151" s="172"/>
      <c r="AA1151" s="172"/>
      <c r="AB1151" s="172">
        <v>0.5</v>
      </c>
      <c r="AC1151" s="172"/>
      <c r="AD1151" s="172"/>
      <c r="AE1151" s="172"/>
      <c r="AF1151" s="172">
        <v>0.4</v>
      </c>
      <c r="AG1151" s="172"/>
      <c r="AH1151" s="172"/>
      <c r="AI1151" s="451"/>
      <c r="AJ1151" s="114"/>
      <c r="AK1151" s="114"/>
      <c r="AL1151" s="114"/>
      <c r="AR1151" s="115"/>
      <c r="AS1151" s="115"/>
      <c r="AT1151" s="115"/>
    </row>
    <row r="1152" spans="4:71" s="116" customFormat="1" ht="15.75" customHeight="1">
      <c r="K1152" s="311"/>
      <c r="L1152" s="300"/>
      <c r="M1152" s="300"/>
      <c r="N1152" s="300"/>
      <c r="O1152" s="300"/>
      <c r="P1152" s="300"/>
      <c r="Q1152" s="173">
        <v>3</v>
      </c>
      <c r="R1152" s="456"/>
      <c r="S1152" s="458" t="s">
        <v>576</v>
      </c>
      <c r="T1152" s="459" t="s">
        <v>584</v>
      </c>
      <c r="U1152" s="455" t="s">
        <v>577</v>
      </c>
      <c r="V1152" s="456">
        <v>5</v>
      </c>
      <c r="W1152" s="460"/>
      <c r="X1152" s="172">
        <v>1</v>
      </c>
      <c r="Y1152" s="172"/>
      <c r="Z1152" s="172"/>
      <c r="AA1152" s="172"/>
      <c r="AB1152" s="172">
        <v>0.8</v>
      </c>
      <c r="AC1152" s="172"/>
      <c r="AD1152" s="172"/>
      <c r="AE1152" s="172"/>
      <c r="AF1152" s="172">
        <v>0.7</v>
      </c>
      <c r="AG1152" s="172"/>
      <c r="AH1152" s="172"/>
      <c r="AI1152" s="451"/>
      <c r="AJ1152" s="114"/>
      <c r="AK1152" s="114"/>
      <c r="AL1152" s="114"/>
      <c r="AR1152" s="115"/>
      <c r="AS1152" s="115"/>
      <c r="AT1152" s="115"/>
    </row>
    <row r="1153" spans="9:71" s="116" customFormat="1" ht="15.75" customHeight="1">
      <c r="K1153" s="311"/>
      <c r="L1153" s="300"/>
      <c r="M1153" s="300"/>
      <c r="N1153" s="300"/>
      <c r="O1153" s="300"/>
      <c r="P1153" s="300"/>
      <c r="Q1153" s="117"/>
      <c r="R1153" s="456">
        <v>5</v>
      </c>
      <c r="S1153" s="456"/>
      <c r="T1153" s="458" t="s">
        <v>576</v>
      </c>
      <c r="U1153" s="454" t="s">
        <v>584</v>
      </c>
      <c r="V1153" s="454"/>
      <c r="W1153" s="461"/>
      <c r="X1153" s="172">
        <v>1</v>
      </c>
      <c r="Y1153" s="172"/>
      <c r="Z1153" s="172"/>
      <c r="AA1153" s="172"/>
      <c r="AB1153" s="172">
        <v>1</v>
      </c>
      <c r="AC1153" s="172"/>
      <c r="AD1153" s="172"/>
      <c r="AE1153" s="172"/>
      <c r="AF1153" s="172">
        <v>1</v>
      </c>
      <c r="AG1153" s="172"/>
      <c r="AH1153" s="172"/>
      <c r="AI1153" s="451"/>
      <c r="AJ1153" s="114"/>
      <c r="AK1153" s="114"/>
      <c r="AL1153" s="114"/>
      <c r="AR1153" s="115"/>
      <c r="AS1153" s="115"/>
      <c r="AT1153" s="115"/>
    </row>
    <row r="1154" spans="9:71" s="116" customFormat="1" ht="15.75" customHeight="1">
      <c r="K1154" s="311" t="s">
        <v>574</v>
      </c>
      <c r="L1154" s="300"/>
      <c r="M1154" s="300"/>
      <c r="N1154" s="300"/>
      <c r="O1154" s="300"/>
      <c r="P1154" s="300"/>
      <c r="Q1154" s="117"/>
      <c r="R1154" s="454" t="s">
        <v>584</v>
      </c>
      <c r="S1154" s="454"/>
      <c r="T1154" s="455" t="s">
        <v>577</v>
      </c>
      <c r="U1154" s="456">
        <v>5</v>
      </c>
      <c r="V1154" s="456"/>
      <c r="W1154" s="457"/>
      <c r="X1154" s="172">
        <v>1</v>
      </c>
      <c r="Y1154" s="172"/>
      <c r="Z1154" s="172"/>
      <c r="AA1154" s="172"/>
      <c r="AB1154" s="172">
        <v>0.8</v>
      </c>
      <c r="AC1154" s="172"/>
      <c r="AD1154" s="172"/>
      <c r="AE1154" s="172"/>
      <c r="AF1154" s="172">
        <v>0.7</v>
      </c>
      <c r="AG1154" s="172"/>
      <c r="AH1154" s="172"/>
      <c r="AI1154" s="451"/>
      <c r="AJ1154" s="114"/>
      <c r="AK1154" s="114"/>
      <c r="AL1154" s="114"/>
      <c r="AR1154" s="115"/>
      <c r="AS1154" s="115"/>
      <c r="AT1154" s="115"/>
    </row>
    <row r="1155" spans="9:71" s="116" customFormat="1" ht="15.75" customHeight="1">
      <c r="K1155" s="330"/>
      <c r="L1155" s="187"/>
      <c r="M1155" s="187"/>
      <c r="N1155" s="187"/>
      <c r="O1155" s="187"/>
      <c r="P1155" s="187"/>
      <c r="Q1155" s="111"/>
      <c r="R1155" s="462">
        <v>5</v>
      </c>
      <c r="S1155" s="462"/>
      <c r="T1155" s="463" t="s">
        <v>576</v>
      </c>
      <c r="U1155" s="464" t="s">
        <v>584</v>
      </c>
      <c r="V1155" s="464"/>
      <c r="W1155" s="465"/>
      <c r="X1155" s="179">
        <v>1</v>
      </c>
      <c r="Y1155" s="179"/>
      <c r="Z1155" s="179"/>
      <c r="AA1155" s="179"/>
      <c r="AB1155" s="179">
        <v>1</v>
      </c>
      <c r="AC1155" s="179"/>
      <c r="AD1155" s="179"/>
      <c r="AE1155" s="179"/>
      <c r="AF1155" s="179">
        <v>1</v>
      </c>
      <c r="AG1155" s="179"/>
      <c r="AH1155" s="179"/>
      <c r="AI1155" s="452"/>
      <c r="AJ1155" s="114"/>
      <c r="AK1155" s="114"/>
      <c r="AL1155" s="114"/>
      <c r="AR1155" s="115"/>
      <c r="AS1155" s="115"/>
      <c r="AT1155" s="115"/>
    </row>
    <row r="1156" spans="9:71" s="116" customFormat="1" ht="15.75" customHeight="1">
      <c r="L1156" s="116" t="s">
        <v>583</v>
      </c>
      <c r="O1156" s="112"/>
      <c r="P1156" s="115" t="s">
        <v>584</v>
      </c>
      <c r="Q1156" s="112" t="s">
        <v>585</v>
      </c>
      <c r="R1156" s="116" t="s">
        <v>586</v>
      </c>
      <c r="S1156" s="112"/>
      <c r="T1156" s="115"/>
      <c r="U1156" s="112" t="s">
        <v>585</v>
      </c>
      <c r="V1156" s="212">
        <f>入力!線路_Lm</f>
        <v>2</v>
      </c>
      <c r="W1156" s="212"/>
      <c r="X1156" s="212"/>
      <c r="Y1156" s="115" t="s">
        <v>587</v>
      </c>
      <c r="Z1156" s="212">
        <f>杭先端径</f>
        <v>1</v>
      </c>
      <c r="AA1156" s="212"/>
      <c r="AB1156" s="212"/>
      <c r="AC1156" s="112" t="s">
        <v>585</v>
      </c>
      <c r="AD1156" s="212">
        <f>V1156/Z1156</f>
        <v>2</v>
      </c>
      <c r="AE1156" s="212"/>
      <c r="AF1156" s="212"/>
      <c r="AG1156" s="113"/>
      <c r="AH1156" s="113"/>
      <c r="AI1156" s="113"/>
      <c r="AJ1156" s="112">
        <f>IF(AD1156&lt;U1151,1,IF(AD1156&lt;V1152,2,3))</f>
        <v>1</v>
      </c>
      <c r="AK1156" s="112">
        <f>IF(AD1156&lt;U1154,1,2)</f>
        <v>1</v>
      </c>
      <c r="AL1156" s="114"/>
      <c r="AR1156" s="115"/>
      <c r="AS1156" s="115"/>
      <c r="AT1156" s="115"/>
    </row>
    <row r="1157" spans="9:71" s="116" customFormat="1" ht="15.75" customHeight="1">
      <c r="L1157" s="116" t="s">
        <v>468</v>
      </c>
      <c r="O1157" s="112"/>
      <c r="P1157" s="115" t="s">
        <v>584</v>
      </c>
      <c r="Q1157" s="112" t="s">
        <v>585</v>
      </c>
      <c r="R1157" s="116" t="s">
        <v>586</v>
      </c>
      <c r="S1157" s="112"/>
      <c r="T1157" s="115"/>
      <c r="U1157" s="112" t="s">
        <v>585</v>
      </c>
      <c r="V1157" s="212">
        <f>入力!直角_Lm</f>
        <v>3</v>
      </c>
      <c r="W1157" s="212"/>
      <c r="X1157" s="212"/>
      <c r="Y1157" s="115" t="s">
        <v>587</v>
      </c>
      <c r="Z1157" s="212">
        <f>杭先端径</f>
        <v>1</v>
      </c>
      <c r="AA1157" s="212"/>
      <c r="AB1157" s="212"/>
      <c r="AC1157" s="112" t="s">
        <v>585</v>
      </c>
      <c r="AD1157" s="212">
        <f>V1157/Z1157</f>
        <v>3</v>
      </c>
      <c r="AE1157" s="212"/>
      <c r="AF1157" s="212"/>
      <c r="AG1157" s="113"/>
      <c r="AH1157" s="113"/>
      <c r="AI1157" s="113"/>
      <c r="AJ1157" s="112">
        <f>IF(AD1157&lt;U1151,1,IF(AD1157&lt;V1152,2,3))</f>
        <v>2</v>
      </c>
      <c r="AK1157" s="112">
        <f>IF(AD1157&lt;U1154,1,2)</f>
        <v>1</v>
      </c>
      <c r="AL1157" s="114"/>
      <c r="AR1157" s="115"/>
      <c r="AS1157" s="115"/>
      <c r="AT1157" s="115"/>
    </row>
    <row r="1158" spans="9:71" s="116" customFormat="1" ht="15.75" customHeight="1">
      <c r="O1158" s="112"/>
      <c r="P1158" s="115"/>
      <c r="Q1158" s="112"/>
      <c r="S1158" s="112"/>
      <c r="T1158" s="115"/>
      <c r="U1158" s="112"/>
      <c r="V1158" s="115"/>
      <c r="W1158" s="115"/>
      <c r="X1158" s="115"/>
      <c r="Y1158" s="115"/>
      <c r="Z1158" s="115"/>
      <c r="AA1158" s="115"/>
      <c r="AB1158" s="115"/>
      <c r="AC1158" s="112"/>
      <c r="AD1158" s="115"/>
      <c r="AE1158" s="115"/>
      <c r="AF1158" s="115"/>
      <c r="AG1158" s="113"/>
      <c r="AH1158" s="113"/>
      <c r="AI1158" s="113"/>
      <c r="AJ1158" s="114"/>
      <c r="AK1158" s="114"/>
      <c r="AL1158" s="114"/>
      <c r="AR1158" s="115"/>
      <c r="AS1158" s="115"/>
      <c r="AT1158" s="115"/>
    </row>
    <row r="1159" spans="9:71" s="89" customFormat="1" ht="15.75" customHeight="1">
      <c r="J1159" s="342" t="s">
        <v>235</v>
      </c>
      <c r="K1159" s="342"/>
      <c r="L1159" s="342"/>
      <c r="M1159" s="76" t="s">
        <v>2</v>
      </c>
      <c r="N1159" s="89" t="s">
        <v>295</v>
      </c>
      <c r="AN1159" s="104"/>
      <c r="AT1159" s="104"/>
      <c r="AW1159" s="104"/>
      <c r="BB1159" s="116"/>
      <c r="BJ1159" s="104"/>
      <c r="BQ1159" s="104"/>
    </row>
    <row r="1160" spans="9:71" s="116" customFormat="1" ht="15.75" customHeight="1">
      <c r="J1160" s="123"/>
      <c r="K1160" s="123"/>
      <c r="L1160" s="123"/>
      <c r="M1160" s="112"/>
    </row>
    <row r="1161" spans="9:71" s="116" customFormat="1" ht="15.75" customHeight="1">
      <c r="L1161" s="123"/>
      <c r="M1161" s="123"/>
      <c r="N1161" s="123"/>
      <c r="O1161" s="112"/>
    </row>
    <row r="1162" spans="9:71" s="89" customFormat="1" ht="15.75" customHeight="1">
      <c r="I1162" s="181" t="s">
        <v>288</v>
      </c>
      <c r="J1162" s="181"/>
      <c r="K1162" s="76" t="s">
        <v>2</v>
      </c>
      <c r="L1162" s="1" t="s">
        <v>296</v>
      </c>
      <c r="AP1162" s="104"/>
      <c r="AV1162" s="104"/>
      <c r="AY1162" s="104"/>
      <c r="BB1162" s="116"/>
      <c r="BL1162" s="104"/>
      <c r="BS1162" s="104"/>
    </row>
    <row r="1163" spans="9:71" s="89" customFormat="1" ht="15.75" customHeight="1">
      <c r="J1163" s="342" t="s">
        <v>236</v>
      </c>
      <c r="K1163" s="342"/>
      <c r="L1163" s="342"/>
      <c r="M1163" s="76" t="s">
        <v>2</v>
      </c>
      <c r="N1163" s="89" t="s">
        <v>297</v>
      </c>
      <c r="AN1163" s="104"/>
      <c r="AT1163" s="104"/>
      <c r="AW1163" s="104"/>
      <c r="BB1163" s="116"/>
      <c r="BJ1163" s="104"/>
      <c r="BQ1163" s="104"/>
    </row>
    <row r="1164" spans="9:71" s="116" customFormat="1" ht="15.75" customHeight="1">
      <c r="J1164" s="123"/>
      <c r="K1164" s="123"/>
      <c r="L1164" s="123"/>
      <c r="M1164" s="112"/>
      <c r="N1164" s="123" t="s">
        <v>590</v>
      </c>
      <c r="O1164" s="112" t="s">
        <v>585</v>
      </c>
      <c r="P1164" s="116" t="s">
        <v>591</v>
      </c>
      <c r="Q1164" s="112"/>
    </row>
    <row r="1165" spans="9:71" s="116" customFormat="1" ht="15.75" customHeight="1">
      <c r="J1165" s="123"/>
      <c r="K1165" s="123"/>
      <c r="L1165" s="123"/>
      <c r="M1165" s="112"/>
      <c r="N1165" s="123"/>
      <c r="O1165" s="112"/>
      <c r="Q1165" s="112"/>
    </row>
    <row r="1166" spans="9:71" s="116" customFormat="1" ht="15.75" customHeight="1">
      <c r="L1166" s="116" t="s">
        <v>583</v>
      </c>
      <c r="O1166" s="112"/>
      <c r="P1166" s="115" t="s">
        <v>584</v>
      </c>
      <c r="Q1166" s="112" t="s">
        <v>585</v>
      </c>
      <c r="R1166" s="116" t="s">
        <v>586</v>
      </c>
      <c r="S1166" s="112"/>
      <c r="T1166" s="115"/>
      <c r="U1166" s="112" t="s">
        <v>585</v>
      </c>
      <c r="V1166" s="212">
        <f>入力!線路_Ln</f>
        <v>3</v>
      </c>
      <c r="W1166" s="212"/>
      <c r="X1166" s="212"/>
      <c r="Y1166" s="115" t="s">
        <v>587</v>
      </c>
      <c r="Z1166" s="212">
        <f>杭先端径</f>
        <v>1</v>
      </c>
      <c r="AA1166" s="212"/>
      <c r="AB1166" s="212"/>
      <c r="AC1166" s="112" t="s">
        <v>585</v>
      </c>
      <c r="AD1166" s="212">
        <f>V1166/Z1166</f>
        <v>3</v>
      </c>
      <c r="AE1166" s="212"/>
      <c r="AF1166" s="212"/>
      <c r="AG1166" s="113"/>
      <c r="AH1166" s="113"/>
      <c r="AI1166" s="113"/>
      <c r="AJ1166" s="114"/>
      <c r="AK1166" s="114"/>
      <c r="AL1166" s="114"/>
      <c r="AR1166" s="115"/>
      <c r="AS1166" s="115"/>
      <c r="AT1166" s="115"/>
    </row>
    <row r="1167" spans="9:71" s="116" customFormat="1" ht="15.75" customHeight="1">
      <c r="O1167" s="112"/>
      <c r="P1167" s="115" t="s">
        <v>588</v>
      </c>
      <c r="Q1167" s="112" t="s">
        <v>585</v>
      </c>
      <c r="R1167" s="181">
        <f>入力!線路_n</f>
        <v>2</v>
      </c>
      <c r="S1167" s="181"/>
      <c r="T1167" s="115" t="s">
        <v>589</v>
      </c>
      <c r="U1167" s="112"/>
      <c r="V1167" s="115"/>
      <c r="W1167" s="115"/>
      <c r="X1167" s="115"/>
      <c r="Y1167" s="115"/>
      <c r="Z1167" s="115"/>
      <c r="AA1167" s="115"/>
      <c r="AB1167" s="115"/>
      <c r="AC1167" s="112"/>
      <c r="AD1167" s="115"/>
      <c r="AE1167" s="115"/>
      <c r="AF1167" s="115"/>
      <c r="AG1167" s="113"/>
      <c r="AH1167" s="113"/>
      <c r="AI1167" s="113"/>
      <c r="AJ1167" s="114"/>
      <c r="AK1167" s="114"/>
      <c r="AL1167" s="114"/>
      <c r="AR1167" s="115"/>
      <c r="AS1167" s="115"/>
      <c r="AT1167" s="115"/>
    </row>
    <row r="1168" spans="9:71" s="116" customFormat="1" ht="15.75" customHeight="1">
      <c r="O1168" s="112"/>
      <c r="P1168" s="123" t="s">
        <v>590</v>
      </c>
      <c r="Q1168" s="112" t="s">
        <v>585</v>
      </c>
      <c r="R1168" s="116" t="s">
        <v>592</v>
      </c>
      <c r="S1168" s="212">
        <f>AD1166</f>
        <v>3</v>
      </c>
      <c r="T1168" s="212"/>
      <c r="U1168" s="212"/>
      <c r="V1168" s="115" t="s">
        <v>587</v>
      </c>
      <c r="W1168" s="112">
        <v>3</v>
      </c>
      <c r="X1168" s="417" t="s">
        <v>593</v>
      </c>
      <c r="Y1168" s="417"/>
      <c r="Z1168" s="115" t="s">
        <v>594</v>
      </c>
      <c r="AA1168" s="181">
        <f>R1167</f>
        <v>2</v>
      </c>
      <c r="AB1168" s="181"/>
      <c r="AC1168" s="469">
        <v>-0.09</v>
      </c>
      <c r="AD1168" s="469"/>
      <c r="AE1168" s="115"/>
      <c r="AF1168" s="115"/>
      <c r="AG1168" s="113"/>
      <c r="AH1168" s="113"/>
      <c r="AI1168" s="113"/>
      <c r="AJ1168" s="114"/>
      <c r="AK1168" s="114"/>
      <c r="AL1168" s="114"/>
      <c r="AR1168" s="115"/>
      <c r="AS1168" s="115"/>
      <c r="AT1168" s="115"/>
    </row>
    <row r="1169" spans="9:71" s="116" customFormat="1" ht="15.75" customHeight="1">
      <c r="O1169" s="112"/>
      <c r="P1169" s="123"/>
      <c r="Q1169" s="112" t="s">
        <v>585</v>
      </c>
      <c r="R1169" s="346">
        <f>ROUND((S1168/W1168)^0.42*AA1168^AC1168,3)</f>
        <v>0.94</v>
      </c>
      <c r="S1169" s="346"/>
      <c r="T1169" s="346"/>
      <c r="U1169" s="115"/>
      <c r="V1169" s="115"/>
      <c r="W1169" s="112"/>
      <c r="Z1169" s="115"/>
      <c r="AA1169" s="112"/>
      <c r="AB1169" s="112"/>
      <c r="AC1169" s="88"/>
      <c r="AD1169" s="88"/>
      <c r="AE1169" s="115"/>
      <c r="AF1169" s="115"/>
      <c r="AG1169" s="113"/>
      <c r="AH1169" s="113"/>
      <c r="AI1169" s="113"/>
      <c r="AJ1169" s="114"/>
      <c r="AK1169" s="114"/>
      <c r="AL1169" s="114"/>
      <c r="AR1169" s="115"/>
      <c r="AS1169" s="115"/>
      <c r="AT1169" s="115"/>
    </row>
    <row r="1170" spans="9:71" s="116" customFormat="1" ht="15.75" customHeight="1">
      <c r="L1170" s="116" t="s">
        <v>468</v>
      </c>
      <c r="O1170" s="112"/>
      <c r="P1170" s="115" t="s">
        <v>584</v>
      </c>
      <c r="Q1170" s="112" t="s">
        <v>585</v>
      </c>
      <c r="R1170" s="116" t="s">
        <v>586</v>
      </c>
      <c r="S1170" s="112"/>
      <c r="T1170" s="115"/>
      <c r="U1170" s="112" t="s">
        <v>585</v>
      </c>
      <c r="V1170" s="212">
        <f>入力!直角_Ln</f>
        <v>2</v>
      </c>
      <c r="W1170" s="212"/>
      <c r="X1170" s="212"/>
      <c r="Y1170" s="115" t="s">
        <v>587</v>
      </c>
      <c r="Z1170" s="212">
        <f>杭先端径</f>
        <v>1</v>
      </c>
      <c r="AA1170" s="212"/>
      <c r="AB1170" s="212"/>
      <c r="AC1170" s="112" t="s">
        <v>585</v>
      </c>
      <c r="AD1170" s="212">
        <f>V1170/Z1170</f>
        <v>2</v>
      </c>
      <c r="AE1170" s="212"/>
      <c r="AF1170" s="212"/>
      <c r="AG1170" s="113"/>
      <c r="AH1170" s="113"/>
      <c r="AI1170" s="113"/>
      <c r="AJ1170" s="114"/>
      <c r="AK1170" s="114"/>
      <c r="AL1170" s="114"/>
      <c r="AR1170" s="115"/>
      <c r="AS1170" s="115"/>
      <c r="AT1170" s="115"/>
    </row>
    <row r="1171" spans="9:71" s="116" customFormat="1" ht="15.75" customHeight="1">
      <c r="O1171" s="123"/>
      <c r="P1171" s="115" t="s">
        <v>588</v>
      </c>
      <c r="Q1171" s="112" t="s">
        <v>585</v>
      </c>
      <c r="R1171" s="181">
        <f>入力!直角_n</f>
        <v>3</v>
      </c>
      <c r="S1171" s="181"/>
      <c r="T1171" s="115" t="s">
        <v>589</v>
      </c>
    </row>
    <row r="1172" spans="9:71" s="116" customFormat="1" ht="15.75" customHeight="1">
      <c r="O1172" s="123"/>
      <c r="P1172" s="123" t="s">
        <v>590</v>
      </c>
      <c r="Q1172" s="112" t="s">
        <v>585</v>
      </c>
      <c r="R1172" s="116" t="s">
        <v>592</v>
      </c>
      <c r="S1172" s="212">
        <f>AD1170</f>
        <v>2</v>
      </c>
      <c r="T1172" s="212"/>
      <c r="U1172" s="212"/>
      <c r="V1172" s="115" t="s">
        <v>587</v>
      </c>
      <c r="W1172" s="112">
        <v>3</v>
      </c>
      <c r="X1172" s="417" t="s">
        <v>593</v>
      </c>
      <c r="Y1172" s="417"/>
      <c r="Z1172" s="115" t="s">
        <v>594</v>
      </c>
      <c r="AA1172" s="181">
        <f>R1171</f>
        <v>3</v>
      </c>
      <c r="AB1172" s="181"/>
      <c r="AC1172" s="469">
        <v>-0.09</v>
      </c>
      <c r="AD1172" s="469"/>
    </row>
    <row r="1173" spans="9:71" s="116" customFormat="1" ht="15.75" customHeight="1">
      <c r="O1173" s="123"/>
      <c r="P1173" s="123"/>
      <c r="Q1173" s="112" t="s">
        <v>585</v>
      </c>
      <c r="R1173" s="346">
        <f>ROUND((S1172/W1172)^0.42*AA1172^AC1172,3)</f>
        <v>0.76400000000000001</v>
      </c>
      <c r="S1173" s="346"/>
      <c r="T1173" s="346"/>
      <c r="U1173" s="115"/>
      <c r="V1173" s="115"/>
      <c r="W1173" s="112"/>
      <c r="Z1173" s="115"/>
      <c r="AA1173" s="112"/>
      <c r="AB1173" s="112"/>
      <c r="AC1173" s="88"/>
      <c r="AD1173" s="88"/>
    </row>
    <row r="1174" spans="9:71" s="116" customFormat="1" ht="15.75" customHeight="1">
      <c r="L1174" s="123"/>
      <c r="M1174" s="123"/>
      <c r="N1174" s="123"/>
      <c r="O1174" s="112"/>
    </row>
    <row r="1175" spans="9:71" s="89" customFormat="1" ht="15.75" customHeight="1">
      <c r="J1175" s="342" t="s">
        <v>235</v>
      </c>
      <c r="K1175" s="342"/>
      <c r="L1175" s="342"/>
      <c r="M1175" s="76" t="s">
        <v>2</v>
      </c>
      <c r="N1175" s="89" t="s">
        <v>298</v>
      </c>
      <c r="AN1175" s="104"/>
      <c r="AT1175" s="104"/>
      <c r="AW1175" s="104"/>
      <c r="BB1175" s="116"/>
      <c r="BJ1175" s="104"/>
      <c r="BQ1175" s="104"/>
    </row>
    <row r="1176" spans="9:71" s="116" customFormat="1" ht="15.75" customHeight="1">
      <c r="L1176" s="123"/>
      <c r="M1176" s="123"/>
      <c r="N1176" s="123"/>
      <c r="O1176" s="112"/>
    </row>
    <row r="1177" spans="9:71" s="89" customFormat="1" ht="15.75" customHeight="1">
      <c r="I1177" s="181" t="s">
        <v>289</v>
      </c>
      <c r="J1177" s="181"/>
      <c r="K1177" s="76" t="s">
        <v>2</v>
      </c>
      <c r="L1177" s="89" t="s">
        <v>292</v>
      </c>
      <c r="AP1177" s="104"/>
      <c r="AV1177" s="104"/>
      <c r="AY1177" s="104"/>
      <c r="BB1177" s="116"/>
      <c r="BL1177" s="104"/>
      <c r="BS1177" s="104"/>
    </row>
    <row r="1178" spans="9:71" s="89" customFormat="1" ht="15.75" customHeight="1">
      <c r="M1178" s="1" t="s">
        <v>211</v>
      </c>
      <c r="N1178" s="1"/>
      <c r="O1178" s="1"/>
      <c r="P1178" s="1"/>
      <c r="Q1178" s="1"/>
      <c r="R1178" s="76" t="s">
        <v>2</v>
      </c>
      <c r="S1178" s="181" t="s">
        <v>289</v>
      </c>
      <c r="T1178" s="181"/>
      <c r="U1178" s="76" t="s">
        <v>27</v>
      </c>
      <c r="V1178" s="89" t="s">
        <v>300</v>
      </c>
      <c r="AP1178" s="104"/>
      <c r="AV1178" s="104"/>
      <c r="AY1178" s="104"/>
      <c r="BB1178" s="116"/>
      <c r="BL1178" s="104"/>
      <c r="BS1178" s="104"/>
    </row>
    <row r="1179" spans="9:71" s="89" customFormat="1" ht="15.75" customHeight="1">
      <c r="M1179" s="1" t="s">
        <v>228</v>
      </c>
      <c r="N1179" s="1"/>
      <c r="O1179" s="1"/>
      <c r="P1179" s="1"/>
      <c r="Q1179" s="1"/>
      <c r="R1179" s="76" t="s">
        <v>2</v>
      </c>
      <c r="S1179" s="181" t="s">
        <v>289</v>
      </c>
      <c r="T1179" s="181"/>
      <c r="U1179" s="76" t="s">
        <v>27</v>
      </c>
      <c r="V1179" s="89" t="s">
        <v>301</v>
      </c>
      <c r="AC1179" s="89" t="s">
        <v>291</v>
      </c>
      <c r="AD1179" s="89" t="s">
        <v>299</v>
      </c>
      <c r="AP1179" s="104"/>
      <c r="AV1179" s="104"/>
      <c r="AY1179" s="104"/>
      <c r="BB1179" s="116"/>
      <c r="BL1179" s="104"/>
      <c r="BS1179" s="104"/>
    </row>
    <row r="1180" spans="9:71" s="89" customFormat="1" ht="15.75" customHeight="1">
      <c r="J1180" s="2" t="s">
        <v>302</v>
      </c>
      <c r="K1180" s="76" t="s">
        <v>2</v>
      </c>
      <c r="L1180" s="89" t="s">
        <v>303</v>
      </c>
      <c r="AP1180" s="104"/>
      <c r="AV1180" s="104"/>
      <c r="AY1180" s="104"/>
      <c r="BB1180" s="116"/>
      <c r="BL1180" s="104"/>
      <c r="BS1180" s="104"/>
    </row>
    <row r="1181" spans="9:71" s="89" customFormat="1" ht="15.75" customHeight="1">
      <c r="J1181" s="2" t="s">
        <v>304</v>
      </c>
      <c r="K1181" s="76" t="s">
        <v>2</v>
      </c>
      <c r="L1181" s="89" t="s">
        <v>305</v>
      </c>
      <c r="AP1181" s="104"/>
      <c r="AV1181" s="104"/>
      <c r="AY1181" s="104"/>
      <c r="BB1181" s="116"/>
      <c r="BL1181" s="104"/>
      <c r="BS1181" s="104"/>
    </row>
    <row r="1182" spans="9:71" s="89" customFormat="1" ht="15.75" customHeight="1">
      <c r="J1182" s="89" t="s">
        <v>306</v>
      </c>
      <c r="K1182" s="76" t="s">
        <v>2</v>
      </c>
      <c r="L1182" s="89" t="s">
        <v>307</v>
      </c>
      <c r="AP1182" s="104"/>
      <c r="AV1182" s="104"/>
      <c r="AY1182" s="104"/>
      <c r="BB1182" s="116"/>
      <c r="BL1182" s="104"/>
      <c r="BS1182" s="104"/>
    </row>
    <row r="1183" spans="9:71" s="89" customFormat="1" ht="15.75" customHeight="1">
      <c r="J1183" s="2" t="s">
        <v>308</v>
      </c>
      <c r="K1183" s="76" t="s">
        <v>2</v>
      </c>
      <c r="L1183" s="89" t="s">
        <v>309</v>
      </c>
      <c r="AP1183" s="104"/>
      <c r="AV1183" s="104"/>
      <c r="AY1183" s="104"/>
      <c r="BB1183" s="116"/>
      <c r="BL1183" s="104"/>
      <c r="BS1183" s="104"/>
    </row>
    <row r="1184" spans="9:71" s="89" customFormat="1" ht="15.75" customHeight="1">
      <c r="J1184" s="2" t="s">
        <v>4</v>
      </c>
      <c r="K1184" s="76" t="s">
        <v>2</v>
      </c>
      <c r="L1184" s="89" t="s">
        <v>310</v>
      </c>
      <c r="AP1184" s="104"/>
      <c r="AV1184" s="104"/>
      <c r="AY1184" s="104"/>
      <c r="BB1184" s="116"/>
      <c r="BL1184" s="104"/>
      <c r="BS1184" s="104"/>
    </row>
    <row r="1185" spans="4:71" s="89" customFormat="1" ht="15.75" customHeight="1">
      <c r="J1185" s="2" t="s">
        <v>231</v>
      </c>
      <c r="K1185" s="76" t="s">
        <v>2</v>
      </c>
      <c r="L1185" s="89" t="s">
        <v>311</v>
      </c>
      <c r="AP1185" s="104"/>
      <c r="AV1185" s="104"/>
      <c r="AY1185" s="104"/>
      <c r="BB1185" s="116"/>
      <c r="BL1185" s="104"/>
      <c r="BS1185" s="104"/>
    </row>
    <row r="1186" spans="4:71" s="116" customFormat="1" ht="15.75" customHeight="1">
      <c r="J1186" s="123"/>
      <c r="K1186" s="112"/>
    </row>
    <row r="1187" spans="4:71" s="89" customFormat="1" ht="15.75" customHeight="1">
      <c r="AP1187" s="104"/>
      <c r="AV1187" s="104"/>
      <c r="AY1187" s="104"/>
      <c r="BB1187" s="116"/>
      <c r="BL1187" s="104"/>
      <c r="BS1187" s="104"/>
    </row>
    <row r="1188" spans="4:71" s="89" customFormat="1" ht="15.75" customHeight="1">
      <c r="E1188" s="89" t="s">
        <v>312</v>
      </c>
      <c r="AP1188" s="104"/>
      <c r="AV1188" s="104"/>
      <c r="AY1188" s="104"/>
      <c r="BB1188" s="116"/>
      <c r="BL1188" s="104"/>
      <c r="BS1188" s="104"/>
    </row>
    <row r="1189" spans="4:71" s="89" customFormat="1" ht="15.75" customHeight="1">
      <c r="E1189" s="89" t="s">
        <v>313</v>
      </c>
      <c r="AP1189" s="104"/>
      <c r="AV1189" s="104"/>
      <c r="AY1189" s="104"/>
      <c r="BB1189" s="116"/>
      <c r="BL1189" s="104"/>
      <c r="BS1189" s="104"/>
    </row>
    <row r="1190" spans="4:71" s="89" customFormat="1" ht="15.75" customHeight="1">
      <c r="AP1190" s="104"/>
      <c r="AV1190" s="104"/>
      <c r="AY1190" s="104"/>
      <c r="BB1190" s="116"/>
      <c r="BL1190" s="104"/>
      <c r="BS1190" s="104"/>
    </row>
    <row r="1191" spans="4:71" ht="15.75" customHeight="1">
      <c r="E1191" s="181" t="s">
        <v>314</v>
      </c>
      <c r="F1191" s="181"/>
      <c r="G1191" s="76" t="s">
        <v>27</v>
      </c>
      <c r="H1191" s="181" t="s">
        <v>315</v>
      </c>
      <c r="I1191" s="181"/>
      <c r="J1191" s="76" t="s">
        <v>1</v>
      </c>
      <c r="K1191" s="181" t="s">
        <v>65</v>
      </c>
      <c r="L1191" s="181"/>
      <c r="M1191" s="1" t="s">
        <v>1</v>
      </c>
      <c r="N1191" s="89" t="s">
        <v>225</v>
      </c>
      <c r="O1191" s="1"/>
      <c r="P1191" s="1"/>
      <c r="Q1191" s="1"/>
      <c r="R1191" s="1"/>
      <c r="S1191" s="1"/>
      <c r="T1191" s="1"/>
      <c r="U1191" s="1"/>
      <c r="V1191" s="1"/>
      <c r="W1191" s="1"/>
      <c r="X1191" s="1"/>
      <c r="Y1191" s="1"/>
      <c r="Z1191" s="1"/>
      <c r="AA1191" s="1"/>
      <c r="AB1191" s="1"/>
      <c r="AC1191" s="1"/>
      <c r="AD1191" s="1"/>
      <c r="AE1191" s="1"/>
      <c r="AF1191" s="1"/>
      <c r="AG1191" s="1"/>
      <c r="AH1191" s="1"/>
    </row>
    <row r="1192" spans="4:71" ht="15.75" customHeight="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row>
    <row r="1193" spans="4:71" ht="15.75" customHeight="1">
      <c r="F1193" s="1" t="s">
        <v>3</v>
      </c>
      <c r="G1193" s="1"/>
      <c r="H1193" s="1"/>
      <c r="I1193" s="181" t="s">
        <v>315</v>
      </c>
      <c r="J1193" s="181"/>
      <c r="K1193" s="76" t="s">
        <v>2</v>
      </c>
      <c r="L1193" s="1" t="s">
        <v>316</v>
      </c>
      <c r="M1193" s="1"/>
      <c r="N1193" s="1"/>
      <c r="O1193" s="1"/>
      <c r="P1193" s="1"/>
      <c r="Q1193" s="1"/>
      <c r="R1193" s="1"/>
      <c r="S1193" s="1"/>
      <c r="T1193" s="1"/>
      <c r="U1193" s="1"/>
      <c r="V1193" s="1"/>
      <c r="W1193" s="1"/>
      <c r="X1193" s="1"/>
      <c r="Y1193" s="1"/>
      <c r="Z1193" s="1"/>
      <c r="AA1193" s="1"/>
      <c r="AB1193" s="1"/>
      <c r="AC1193" s="1"/>
      <c r="AD1193" s="1"/>
      <c r="AE1193" s="1"/>
      <c r="AF1193" s="1"/>
      <c r="AG1193" s="1"/>
      <c r="AH1193" s="1"/>
    </row>
    <row r="1194" spans="4:71" s="89" customFormat="1" ht="15.75" customHeight="1">
      <c r="I1194" s="181" t="s">
        <v>65</v>
      </c>
      <c r="J1194" s="181"/>
      <c r="K1194" s="76" t="s">
        <v>2</v>
      </c>
      <c r="L1194" s="89" t="s">
        <v>317</v>
      </c>
      <c r="AP1194" s="104"/>
      <c r="AV1194" s="104"/>
      <c r="AY1194" s="104"/>
      <c r="BB1194" s="116"/>
      <c r="BL1194" s="104"/>
      <c r="BS1194" s="104"/>
    </row>
    <row r="1195" spans="4:71" s="89" customFormat="1" ht="15.75" customHeight="1">
      <c r="I1195" s="181" t="s">
        <v>225</v>
      </c>
      <c r="J1195" s="181"/>
      <c r="K1195" s="76" t="s">
        <v>2</v>
      </c>
      <c r="L1195" s="89" t="s">
        <v>318</v>
      </c>
      <c r="AP1195" s="104"/>
      <c r="AV1195" s="104"/>
      <c r="AY1195" s="104"/>
      <c r="BB1195" s="116"/>
      <c r="BL1195" s="104"/>
      <c r="BS1195" s="104"/>
    </row>
    <row r="1196" spans="4:71" s="89" customFormat="1" ht="15.75" customHeight="1">
      <c r="AP1196" s="104"/>
      <c r="AV1196" s="104"/>
      <c r="AY1196" s="104"/>
      <c r="BB1196" s="116"/>
      <c r="BL1196" s="104"/>
      <c r="BS1196" s="104"/>
    </row>
    <row r="1197" spans="4:71" s="89" customFormat="1" ht="15.75" customHeight="1">
      <c r="AP1197" s="104"/>
      <c r="AV1197" s="104"/>
      <c r="AY1197" s="104"/>
      <c r="BB1197" s="116"/>
      <c r="BL1197" s="104"/>
      <c r="BS1197" s="104"/>
    </row>
    <row r="1198" spans="4:71" s="104" customFormat="1" ht="15.75" customHeight="1">
      <c r="D1198" s="61" t="s">
        <v>569</v>
      </c>
      <c r="E1198" s="61"/>
      <c r="F1198" s="85"/>
      <c r="G1198" s="85"/>
      <c r="H1198" s="85"/>
      <c r="I1198" s="61"/>
      <c r="J1198" s="61"/>
      <c r="K1198" s="61"/>
      <c r="L1198" s="61"/>
      <c r="M1198" s="61"/>
      <c r="N1198" s="61"/>
      <c r="O1198" s="61"/>
      <c r="P1198" s="61"/>
      <c r="Q1198" s="61"/>
      <c r="R1198" s="61"/>
      <c r="S1198" s="61"/>
      <c r="T1198" s="61"/>
      <c r="U1198" s="61"/>
      <c r="V1198" s="61"/>
      <c r="BB1198" s="116"/>
    </row>
    <row r="1199" spans="4:71" s="104" customFormat="1" ht="15.75" customHeight="1">
      <c r="D1199" s="185" t="s">
        <v>8</v>
      </c>
      <c r="E1199" s="185"/>
      <c r="F1199" s="146"/>
      <c r="G1199" s="146" t="s">
        <v>350</v>
      </c>
      <c r="H1199" s="146"/>
      <c r="I1199" s="146"/>
      <c r="J1199" s="188" t="s">
        <v>190</v>
      </c>
      <c r="K1199" s="188"/>
      <c r="L1199" s="188"/>
      <c r="M1199" s="146" t="s">
        <v>320</v>
      </c>
      <c r="N1199" s="147"/>
      <c r="O1199" s="147"/>
      <c r="P1199" s="188" t="s">
        <v>319</v>
      </c>
      <c r="Q1199" s="188"/>
      <c r="R1199" s="188"/>
      <c r="S1199" s="146" t="s">
        <v>568</v>
      </c>
      <c r="T1199" s="146"/>
      <c r="U1199" s="147"/>
      <c r="V1199" s="214"/>
      <c r="BB1199" s="116"/>
    </row>
    <row r="1200" spans="4:71" s="104" customFormat="1" ht="15.75" customHeight="1">
      <c r="D1200" s="186"/>
      <c r="E1200" s="186"/>
      <c r="F1200" s="187"/>
      <c r="G1200" s="187"/>
      <c r="H1200" s="187"/>
      <c r="I1200" s="187"/>
      <c r="J1200" s="189"/>
      <c r="K1200" s="189"/>
      <c r="L1200" s="189"/>
      <c r="M1200" s="148"/>
      <c r="N1200" s="148"/>
      <c r="O1200" s="148"/>
      <c r="P1200" s="189"/>
      <c r="Q1200" s="189"/>
      <c r="R1200" s="189"/>
      <c r="S1200" s="148"/>
      <c r="T1200" s="148"/>
      <c r="U1200" s="148"/>
      <c r="V1200" s="216"/>
      <c r="BB1200" s="116"/>
    </row>
    <row r="1201" spans="1:54" s="104" customFormat="1" ht="15.75" customHeight="1">
      <c r="A1201" s="79" t="str">
        <f>IF(J1201="","×","")</f>
        <v/>
      </c>
      <c r="D1201" s="190">
        <v>1</v>
      </c>
      <c r="E1201" s="190"/>
      <c r="F1201" s="163"/>
      <c r="G1201" s="163" t="s">
        <v>482</v>
      </c>
      <c r="H1201" s="163"/>
      <c r="I1201" s="163"/>
      <c r="J1201" s="164">
        <v>1</v>
      </c>
      <c r="K1201" s="164"/>
      <c r="L1201" s="164"/>
      <c r="M1201" s="164">
        <v>18</v>
      </c>
      <c r="N1201" s="164"/>
      <c r="O1201" s="164"/>
      <c r="P1201" s="149">
        <f>SUM(J$1201:J1201)</f>
        <v>1</v>
      </c>
      <c r="Q1201" s="149"/>
      <c r="R1201" s="165"/>
      <c r="S1201" s="149">
        <f>P1201*M1201</f>
        <v>18</v>
      </c>
      <c r="T1201" s="149"/>
      <c r="U1201" s="149"/>
      <c r="V1201" s="510"/>
      <c r="BB1201" s="116"/>
    </row>
    <row r="1202" spans="1:54" s="104" customFormat="1" ht="15.75" customHeight="1">
      <c r="A1202" s="79" t="str">
        <f t="shared" ref="A1202:A1216" si="107">IF(J1202="","×","")</f>
        <v/>
      </c>
      <c r="D1202" s="161">
        <v>2</v>
      </c>
      <c r="E1202" s="161"/>
      <c r="F1202" s="156"/>
      <c r="G1202" s="156" t="s">
        <v>482</v>
      </c>
      <c r="H1202" s="156"/>
      <c r="I1202" s="156"/>
      <c r="J1202" s="157">
        <v>0.89999997615814209</v>
      </c>
      <c r="K1202" s="157"/>
      <c r="L1202" s="157"/>
      <c r="M1202" s="160">
        <v>18</v>
      </c>
      <c r="N1202" s="160"/>
      <c r="O1202" s="160"/>
      <c r="P1202" s="158">
        <f>SUM(J$1201:J1202)</f>
        <v>1.8999999761581421</v>
      </c>
      <c r="Q1202" s="158"/>
      <c r="R1202" s="159"/>
      <c r="S1202" s="145">
        <f t="shared" ref="S1202:S1216" si="108">S1201+J1202*M1202</f>
        <v>34.199999570846558</v>
      </c>
      <c r="T1202" s="145"/>
      <c r="U1202" s="145"/>
      <c r="V1202" s="482"/>
      <c r="BB1202" s="116"/>
    </row>
    <row r="1203" spans="1:54" s="104" customFormat="1" ht="15.75" hidden="1" customHeight="1">
      <c r="A1203" s="79" t="str">
        <f t="shared" si="107"/>
        <v>×</v>
      </c>
      <c r="D1203" s="161"/>
      <c r="E1203" s="161"/>
      <c r="F1203" s="156"/>
      <c r="G1203" s="156"/>
      <c r="H1203" s="156"/>
      <c r="I1203" s="156"/>
      <c r="J1203" s="157"/>
      <c r="K1203" s="157"/>
      <c r="L1203" s="157"/>
      <c r="M1203" s="160"/>
      <c r="N1203" s="160"/>
      <c r="O1203" s="160"/>
      <c r="P1203" s="158">
        <f>SUM(J$1201:J1203)</f>
        <v>1.8999999761581421</v>
      </c>
      <c r="Q1203" s="158"/>
      <c r="R1203" s="159"/>
      <c r="S1203" s="145">
        <f t="shared" si="108"/>
        <v>34.199999570846558</v>
      </c>
      <c r="T1203" s="145"/>
      <c r="U1203" s="145"/>
      <c r="V1203" s="482"/>
      <c r="BB1203" s="116"/>
    </row>
    <row r="1204" spans="1:54" s="104" customFormat="1" ht="15.75" hidden="1" customHeight="1">
      <c r="A1204" s="79" t="str">
        <f t="shared" si="107"/>
        <v>×</v>
      </c>
      <c r="D1204" s="161"/>
      <c r="E1204" s="161"/>
      <c r="F1204" s="156"/>
      <c r="G1204" s="156"/>
      <c r="H1204" s="156"/>
      <c r="I1204" s="156"/>
      <c r="J1204" s="157"/>
      <c r="K1204" s="157"/>
      <c r="L1204" s="157"/>
      <c r="M1204" s="160"/>
      <c r="N1204" s="160"/>
      <c r="O1204" s="160"/>
      <c r="P1204" s="158">
        <f>SUM(J$1201:J1204)</f>
        <v>1.8999999761581421</v>
      </c>
      <c r="Q1204" s="158"/>
      <c r="R1204" s="159"/>
      <c r="S1204" s="145">
        <f t="shared" si="108"/>
        <v>34.199999570846558</v>
      </c>
      <c r="T1204" s="145"/>
      <c r="U1204" s="145"/>
      <c r="V1204" s="482"/>
      <c r="BB1204" s="116"/>
    </row>
    <row r="1205" spans="1:54" s="104" customFormat="1" ht="15.75" hidden="1" customHeight="1">
      <c r="A1205" s="79" t="str">
        <f t="shared" si="107"/>
        <v>×</v>
      </c>
      <c r="D1205" s="161"/>
      <c r="E1205" s="161"/>
      <c r="F1205" s="156"/>
      <c r="G1205" s="156"/>
      <c r="H1205" s="156"/>
      <c r="I1205" s="156"/>
      <c r="J1205" s="157"/>
      <c r="K1205" s="157"/>
      <c r="L1205" s="157"/>
      <c r="M1205" s="160"/>
      <c r="N1205" s="160"/>
      <c r="O1205" s="160"/>
      <c r="P1205" s="158">
        <f>SUM(J$1201:J1205)</f>
        <v>1.8999999761581421</v>
      </c>
      <c r="Q1205" s="158"/>
      <c r="R1205" s="159"/>
      <c r="S1205" s="145">
        <f t="shared" si="108"/>
        <v>34.199999570846558</v>
      </c>
      <c r="T1205" s="145"/>
      <c r="U1205" s="145"/>
      <c r="V1205" s="482"/>
      <c r="BB1205" s="116"/>
    </row>
    <row r="1206" spans="1:54" s="104" customFormat="1" ht="15.75" hidden="1" customHeight="1">
      <c r="A1206" s="79" t="str">
        <f t="shared" si="107"/>
        <v>×</v>
      </c>
      <c r="D1206" s="161"/>
      <c r="E1206" s="161"/>
      <c r="F1206" s="156"/>
      <c r="G1206" s="156"/>
      <c r="H1206" s="156"/>
      <c r="I1206" s="156"/>
      <c r="J1206" s="157"/>
      <c r="K1206" s="157"/>
      <c r="L1206" s="157"/>
      <c r="M1206" s="160"/>
      <c r="N1206" s="160"/>
      <c r="O1206" s="160"/>
      <c r="P1206" s="158">
        <f>SUM(J$1201:J1206)</f>
        <v>1.8999999761581421</v>
      </c>
      <c r="Q1206" s="158"/>
      <c r="R1206" s="159"/>
      <c r="S1206" s="145">
        <f t="shared" si="108"/>
        <v>34.199999570846558</v>
      </c>
      <c r="T1206" s="145"/>
      <c r="U1206" s="145"/>
      <c r="V1206" s="482"/>
      <c r="BB1206" s="116"/>
    </row>
    <row r="1207" spans="1:54" s="104" customFormat="1" ht="15.75" hidden="1" customHeight="1">
      <c r="A1207" s="79" t="str">
        <f t="shared" si="107"/>
        <v>×</v>
      </c>
      <c r="D1207" s="161"/>
      <c r="E1207" s="161"/>
      <c r="F1207" s="156"/>
      <c r="G1207" s="156"/>
      <c r="H1207" s="156"/>
      <c r="I1207" s="156"/>
      <c r="J1207" s="157"/>
      <c r="K1207" s="157"/>
      <c r="L1207" s="157"/>
      <c r="M1207" s="160"/>
      <c r="N1207" s="160"/>
      <c r="O1207" s="160"/>
      <c r="P1207" s="158">
        <f>SUM(J$1201:J1207)</f>
        <v>1.8999999761581421</v>
      </c>
      <c r="Q1207" s="158"/>
      <c r="R1207" s="159"/>
      <c r="S1207" s="145">
        <f t="shared" si="108"/>
        <v>34.199999570846558</v>
      </c>
      <c r="T1207" s="145"/>
      <c r="U1207" s="145"/>
      <c r="V1207" s="482"/>
      <c r="BB1207" s="116"/>
    </row>
    <row r="1208" spans="1:54" s="104" customFormat="1" ht="15.75" hidden="1" customHeight="1">
      <c r="A1208" s="79" t="str">
        <f t="shared" si="107"/>
        <v>×</v>
      </c>
      <c r="D1208" s="161"/>
      <c r="E1208" s="161"/>
      <c r="F1208" s="156"/>
      <c r="G1208" s="156"/>
      <c r="H1208" s="156"/>
      <c r="I1208" s="156"/>
      <c r="J1208" s="157"/>
      <c r="K1208" s="157"/>
      <c r="L1208" s="157"/>
      <c r="M1208" s="160"/>
      <c r="N1208" s="160"/>
      <c r="O1208" s="160"/>
      <c r="P1208" s="158">
        <f>SUM(J$1201:J1208)</f>
        <v>1.8999999761581421</v>
      </c>
      <c r="Q1208" s="158"/>
      <c r="R1208" s="159"/>
      <c r="S1208" s="145">
        <f t="shared" si="108"/>
        <v>34.199999570846558</v>
      </c>
      <c r="T1208" s="145"/>
      <c r="U1208" s="145"/>
      <c r="V1208" s="482"/>
      <c r="BB1208" s="116"/>
    </row>
    <row r="1209" spans="1:54" s="104" customFormat="1" ht="15.75" hidden="1" customHeight="1">
      <c r="A1209" s="79" t="str">
        <f t="shared" si="107"/>
        <v>×</v>
      </c>
      <c r="D1209" s="161"/>
      <c r="E1209" s="161"/>
      <c r="F1209" s="156"/>
      <c r="G1209" s="156"/>
      <c r="H1209" s="156"/>
      <c r="I1209" s="156"/>
      <c r="J1209" s="157"/>
      <c r="K1209" s="157"/>
      <c r="L1209" s="157"/>
      <c r="M1209" s="160"/>
      <c r="N1209" s="160"/>
      <c r="O1209" s="160"/>
      <c r="P1209" s="158">
        <f>SUM(J$1201:J1209)</f>
        <v>1.8999999761581421</v>
      </c>
      <c r="Q1209" s="158"/>
      <c r="R1209" s="159"/>
      <c r="S1209" s="145">
        <f t="shared" si="108"/>
        <v>34.199999570846558</v>
      </c>
      <c r="T1209" s="145"/>
      <c r="U1209" s="145"/>
      <c r="V1209" s="482"/>
      <c r="BB1209" s="116"/>
    </row>
    <row r="1210" spans="1:54" s="104" customFormat="1" ht="15.75" hidden="1" customHeight="1">
      <c r="A1210" s="79" t="str">
        <f t="shared" si="107"/>
        <v>×</v>
      </c>
      <c r="D1210" s="161"/>
      <c r="E1210" s="161"/>
      <c r="F1210" s="156"/>
      <c r="G1210" s="156"/>
      <c r="H1210" s="156"/>
      <c r="I1210" s="156"/>
      <c r="J1210" s="157"/>
      <c r="K1210" s="157"/>
      <c r="L1210" s="157"/>
      <c r="M1210" s="160"/>
      <c r="N1210" s="160"/>
      <c r="O1210" s="160"/>
      <c r="P1210" s="158">
        <f>SUM(J$1201:J1210)</f>
        <v>1.8999999761581421</v>
      </c>
      <c r="Q1210" s="158"/>
      <c r="R1210" s="159"/>
      <c r="S1210" s="145">
        <f t="shared" si="108"/>
        <v>34.199999570846558</v>
      </c>
      <c r="T1210" s="145"/>
      <c r="U1210" s="145"/>
      <c r="V1210" s="482"/>
      <c r="BB1210" s="116"/>
    </row>
    <row r="1211" spans="1:54" s="104" customFormat="1" ht="15.75" hidden="1" customHeight="1">
      <c r="A1211" s="79" t="str">
        <f t="shared" si="107"/>
        <v>×</v>
      </c>
      <c r="D1211" s="161"/>
      <c r="E1211" s="161"/>
      <c r="F1211" s="156"/>
      <c r="G1211" s="156"/>
      <c r="H1211" s="156"/>
      <c r="I1211" s="156"/>
      <c r="J1211" s="157"/>
      <c r="K1211" s="157"/>
      <c r="L1211" s="157"/>
      <c r="M1211" s="160"/>
      <c r="N1211" s="160"/>
      <c r="O1211" s="160"/>
      <c r="P1211" s="158">
        <f>SUM(J$1201:J1211)</f>
        <v>1.8999999761581421</v>
      </c>
      <c r="Q1211" s="158"/>
      <c r="R1211" s="159"/>
      <c r="S1211" s="145">
        <f t="shared" si="108"/>
        <v>34.199999570846558</v>
      </c>
      <c r="T1211" s="145"/>
      <c r="U1211" s="145"/>
      <c r="V1211" s="482"/>
      <c r="BB1211" s="116"/>
    </row>
    <row r="1212" spans="1:54" s="104" customFormat="1" ht="15.75" hidden="1" customHeight="1">
      <c r="A1212" s="79" t="str">
        <f t="shared" si="107"/>
        <v>×</v>
      </c>
      <c r="D1212" s="161"/>
      <c r="E1212" s="161"/>
      <c r="F1212" s="156"/>
      <c r="G1212" s="156"/>
      <c r="H1212" s="156"/>
      <c r="I1212" s="156"/>
      <c r="J1212" s="157"/>
      <c r="K1212" s="157"/>
      <c r="L1212" s="157"/>
      <c r="M1212" s="160"/>
      <c r="N1212" s="160"/>
      <c r="O1212" s="160"/>
      <c r="P1212" s="158">
        <f>SUM(J$1201:J1212)</f>
        <v>1.8999999761581421</v>
      </c>
      <c r="Q1212" s="158"/>
      <c r="R1212" s="159"/>
      <c r="S1212" s="145">
        <f t="shared" si="108"/>
        <v>34.199999570846558</v>
      </c>
      <c r="T1212" s="145"/>
      <c r="U1212" s="145"/>
      <c r="V1212" s="482"/>
      <c r="BB1212" s="116"/>
    </row>
    <row r="1213" spans="1:54" s="104" customFormat="1" ht="15.75" hidden="1" customHeight="1">
      <c r="A1213" s="79" t="str">
        <f t="shared" si="107"/>
        <v>×</v>
      </c>
      <c r="D1213" s="161"/>
      <c r="E1213" s="161"/>
      <c r="F1213" s="156"/>
      <c r="G1213" s="156"/>
      <c r="H1213" s="156"/>
      <c r="I1213" s="156"/>
      <c r="J1213" s="157"/>
      <c r="K1213" s="157"/>
      <c r="L1213" s="157"/>
      <c r="M1213" s="160"/>
      <c r="N1213" s="160"/>
      <c r="O1213" s="160"/>
      <c r="P1213" s="158">
        <f>SUM(J$1201:J1213)</f>
        <v>1.8999999761581421</v>
      </c>
      <c r="Q1213" s="158"/>
      <c r="R1213" s="159"/>
      <c r="S1213" s="145">
        <f t="shared" si="108"/>
        <v>34.199999570846558</v>
      </c>
      <c r="T1213" s="145"/>
      <c r="U1213" s="145"/>
      <c r="V1213" s="482"/>
      <c r="BB1213" s="116"/>
    </row>
    <row r="1214" spans="1:54" s="104" customFormat="1" ht="15.75" hidden="1" customHeight="1">
      <c r="A1214" s="79" t="str">
        <f t="shared" si="107"/>
        <v>×</v>
      </c>
      <c r="D1214" s="161"/>
      <c r="E1214" s="161"/>
      <c r="F1214" s="156"/>
      <c r="G1214" s="156"/>
      <c r="H1214" s="156"/>
      <c r="I1214" s="156"/>
      <c r="J1214" s="157"/>
      <c r="K1214" s="157"/>
      <c r="L1214" s="157"/>
      <c r="M1214" s="160"/>
      <c r="N1214" s="160"/>
      <c r="O1214" s="160"/>
      <c r="P1214" s="158">
        <f>SUM(J$1201:J1214)</f>
        <v>1.8999999761581421</v>
      </c>
      <c r="Q1214" s="158"/>
      <c r="R1214" s="159"/>
      <c r="S1214" s="145">
        <f t="shared" si="108"/>
        <v>34.199999570846558</v>
      </c>
      <c r="T1214" s="145"/>
      <c r="U1214" s="145"/>
      <c r="V1214" s="482"/>
      <c r="BB1214" s="116"/>
    </row>
    <row r="1215" spans="1:54" s="104" customFormat="1" ht="15.75" hidden="1" customHeight="1">
      <c r="A1215" s="79" t="str">
        <f t="shared" si="107"/>
        <v>×</v>
      </c>
      <c r="D1215" s="161"/>
      <c r="E1215" s="161"/>
      <c r="F1215" s="156"/>
      <c r="G1215" s="156"/>
      <c r="H1215" s="156"/>
      <c r="I1215" s="156"/>
      <c r="J1215" s="157"/>
      <c r="K1215" s="157"/>
      <c r="L1215" s="157"/>
      <c r="M1215" s="160"/>
      <c r="N1215" s="160"/>
      <c r="O1215" s="160"/>
      <c r="P1215" s="158">
        <f>SUM(J$1201:J1215)</f>
        <v>1.8999999761581421</v>
      </c>
      <c r="Q1215" s="158"/>
      <c r="R1215" s="159"/>
      <c r="S1215" s="145">
        <f t="shared" si="108"/>
        <v>34.199999570846558</v>
      </c>
      <c r="T1215" s="145"/>
      <c r="U1215" s="145"/>
      <c r="V1215" s="482"/>
      <c r="BB1215" s="116"/>
    </row>
    <row r="1216" spans="1:54" s="104" customFormat="1" ht="15.75" hidden="1" customHeight="1">
      <c r="A1216" s="79" t="str">
        <f t="shared" si="107"/>
        <v>×</v>
      </c>
      <c r="D1216" s="162"/>
      <c r="E1216" s="162"/>
      <c r="F1216" s="151"/>
      <c r="G1216" s="151"/>
      <c r="H1216" s="151"/>
      <c r="I1216" s="151"/>
      <c r="J1216" s="152"/>
      <c r="K1216" s="152"/>
      <c r="L1216" s="152"/>
      <c r="M1216" s="155"/>
      <c r="N1216" s="155"/>
      <c r="O1216" s="155"/>
      <c r="P1216" s="153">
        <f>SUM(J$1201:J1216)</f>
        <v>1.8999999761581421</v>
      </c>
      <c r="Q1216" s="153"/>
      <c r="R1216" s="154"/>
      <c r="S1216" s="150">
        <f t="shared" si="108"/>
        <v>34.199999570846558</v>
      </c>
      <c r="T1216" s="150"/>
      <c r="U1216" s="150"/>
      <c r="V1216" s="476"/>
      <c r="BB1216" s="116"/>
    </row>
    <row r="1217" spans="1:54" s="104" customFormat="1" ht="15.75" customHeight="1">
      <c r="D1217" s="125"/>
      <c r="E1217" s="125"/>
      <c r="F1217" s="126"/>
      <c r="G1217" s="126"/>
      <c r="H1217" s="126"/>
      <c r="I1217" s="125"/>
      <c r="J1217" s="125"/>
      <c r="K1217" s="125"/>
      <c r="L1217" s="125"/>
      <c r="M1217" s="125"/>
      <c r="N1217" s="125"/>
      <c r="O1217" s="125"/>
      <c r="P1217" s="125"/>
      <c r="Q1217" s="125"/>
      <c r="R1217" s="125"/>
      <c r="S1217" s="125"/>
      <c r="T1217" s="125"/>
      <c r="U1217" s="125"/>
      <c r="V1217" s="126"/>
      <c r="BB1217" s="116"/>
    </row>
    <row r="1218" spans="1:54" s="104" customFormat="1" ht="15.75" customHeight="1">
      <c r="D1218" s="10"/>
      <c r="E1218" s="10"/>
      <c r="F1218" s="10"/>
      <c r="G1218" s="10"/>
      <c r="H1218" s="10"/>
      <c r="I1218" s="10"/>
      <c r="J1218" s="10"/>
      <c r="K1218" s="10"/>
      <c r="L1218" s="10"/>
      <c r="M1218" s="10"/>
      <c r="N1218" s="10"/>
      <c r="O1218" s="10"/>
      <c r="P1218" s="10"/>
      <c r="Q1218" s="10"/>
      <c r="R1218" s="10"/>
      <c r="S1218" s="10"/>
      <c r="T1218" s="10"/>
      <c r="U1218" s="10"/>
      <c r="V1218" s="10"/>
      <c r="W1218" s="1"/>
      <c r="X1218" s="1"/>
      <c r="Y1218" s="1"/>
      <c r="Z1218" s="1"/>
      <c r="AA1218" s="1"/>
      <c r="AB1218" s="1"/>
      <c r="AC1218" s="1"/>
      <c r="AD1218" s="1"/>
      <c r="AE1218" s="1"/>
      <c r="AF1218" s="1"/>
      <c r="AG1218" s="1"/>
      <c r="AH1218" s="1"/>
      <c r="AI1218" s="1"/>
      <c r="BB1218" s="116"/>
    </row>
    <row r="1219" spans="1:54" s="104" customFormat="1" ht="15.75" customHeight="1">
      <c r="D1219" s="61" t="s">
        <v>570</v>
      </c>
      <c r="E1219" s="61"/>
      <c r="F1219" s="85"/>
      <c r="G1219" s="85"/>
      <c r="H1219" s="85"/>
      <c r="I1219" s="61"/>
      <c r="J1219" s="61"/>
      <c r="K1219" s="61"/>
      <c r="L1219" s="61"/>
      <c r="M1219" s="61"/>
      <c r="N1219" s="61"/>
      <c r="O1219" s="61"/>
      <c r="P1219" s="61"/>
      <c r="Q1219" s="61"/>
      <c r="R1219" s="61"/>
      <c r="S1219" s="61"/>
      <c r="T1219" s="61"/>
      <c r="U1219" s="61"/>
      <c r="V1219" s="61"/>
      <c r="W1219" s="61"/>
      <c r="X1219" s="61"/>
      <c r="Y1219" s="61"/>
      <c r="Z1219" s="61"/>
      <c r="AA1219" s="61"/>
      <c r="AB1219" s="61"/>
      <c r="AC1219" s="61"/>
      <c r="AD1219" s="61"/>
      <c r="AE1219" s="85"/>
      <c r="AF1219" s="85"/>
      <c r="AG1219" s="85"/>
      <c r="AH1219" s="85"/>
      <c r="AI1219" s="85"/>
      <c r="AK1219" s="61"/>
      <c r="AL1219" s="61"/>
      <c r="AM1219" s="61"/>
      <c r="BB1219" s="116"/>
    </row>
    <row r="1220" spans="1:54" s="89" customFormat="1" ht="15.75" customHeight="1">
      <c r="D1220" s="185" t="s">
        <v>8</v>
      </c>
      <c r="E1220" s="185"/>
      <c r="F1220" s="146"/>
      <c r="G1220" s="146" t="s">
        <v>350</v>
      </c>
      <c r="H1220" s="146"/>
      <c r="I1220" s="146"/>
      <c r="J1220" s="188" t="s">
        <v>190</v>
      </c>
      <c r="K1220" s="188"/>
      <c r="L1220" s="188"/>
      <c r="M1220" s="146" t="s">
        <v>322</v>
      </c>
      <c r="N1220" s="147"/>
      <c r="O1220" s="147"/>
      <c r="P1220" s="146" t="s">
        <v>321</v>
      </c>
      <c r="Q1220" s="147"/>
      <c r="R1220" s="147"/>
      <c r="S1220" s="146" t="s">
        <v>320</v>
      </c>
      <c r="T1220" s="147"/>
      <c r="U1220" s="147"/>
      <c r="V1220" s="188" t="s">
        <v>319</v>
      </c>
      <c r="W1220" s="188"/>
      <c r="X1220" s="188"/>
      <c r="Y1220" s="146" t="s">
        <v>568</v>
      </c>
      <c r="Z1220" s="146"/>
      <c r="AA1220" s="147"/>
      <c r="AB1220" s="147"/>
      <c r="AC1220" s="147" t="s">
        <v>308</v>
      </c>
      <c r="AD1220" s="147"/>
      <c r="AE1220" s="147"/>
      <c r="AF1220" s="146" t="s">
        <v>323</v>
      </c>
      <c r="AG1220" s="146"/>
      <c r="AH1220" s="147"/>
      <c r="AI1220" s="214"/>
      <c r="BB1220" s="116"/>
    </row>
    <row r="1221" spans="1:54" s="89" customFormat="1" ht="15.75" customHeight="1">
      <c r="D1221" s="186"/>
      <c r="E1221" s="186"/>
      <c r="F1221" s="187"/>
      <c r="G1221" s="187"/>
      <c r="H1221" s="187"/>
      <c r="I1221" s="187"/>
      <c r="J1221" s="189"/>
      <c r="K1221" s="189"/>
      <c r="L1221" s="189"/>
      <c r="M1221" s="148"/>
      <c r="N1221" s="148"/>
      <c r="O1221" s="148"/>
      <c r="P1221" s="148"/>
      <c r="Q1221" s="148"/>
      <c r="R1221" s="148"/>
      <c r="S1221" s="148"/>
      <c r="T1221" s="148"/>
      <c r="U1221" s="148"/>
      <c r="V1221" s="189"/>
      <c r="W1221" s="189"/>
      <c r="X1221" s="189"/>
      <c r="Y1221" s="148"/>
      <c r="Z1221" s="148"/>
      <c r="AA1221" s="148"/>
      <c r="AB1221" s="148"/>
      <c r="AC1221" s="148"/>
      <c r="AD1221" s="148"/>
      <c r="AE1221" s="148"/>
      <c r="AF1221" s="148"/>
      <c r="AG1221" s="148"/>
      <c r="AH1221" s="148"/>
      <c r="AI1221" s="216"/>
      <c r="BB1221" s="116"/>
    </row>
    <row r="1222" spans="1:54" s="89" customFormat="1" ht="15.75" customHeight="1">
      <c r="A1222" s="79" t="str">
        <f t="shared" ref="A1222:A1250" si="109">IF(J1222="","×","")</f>
        <v/>
      </c>
      <c r="D1222" s="190">
        <v>3</v>
      </c>
      <c r="E1222" s="190"/>
      <c r="F1222" s="163"/>
      <c r="G1222" s="163" t="s">
        <v>547</v>
      </c>
      <c r="H1222" s="163"/>
      <c r="I1222" s="163"/>
      <c r="J1222" s="164">
        <v>3</v>
      </c>
      <c r="K1222" s="164"/>
      <c r="L1222" s="164"/>
      <c r="M1222" s="361">
        <v>20</v>
      </c>
      <c r="N1222" s="361"/>
      <c r="O1222" s="361"/>
      <c r="P1222" s="164">
        <v>0</v>
      </c>
      <c r="Q1222" s="164"/>
      <c r="R1222" s="164"/>
      <c r="S1222" s="164">
        <v>16</v>
      </c>
      <c r="T1222" s="164"/>
      <c r="U1222" s="164"/>
      <c r="V1222" s="333">
        <f>P1216</f>
        <v>1.8999999761581421</v>
      </c>
      <c r="W1222" s="333"/>
      <c r="X1222" s="147"/>
      <c r="Y1222" s="149">
        <f>S1216</f>
        <v>34.199999570846558</v>
      </c>
      <c r="Z1222" s="149"/>
      <c r="AA1222" s="149"/>
      <c r="AB1222" s="149"/>
      <c r="AC1222" s="362">
        <f>TAN(RADIANS(45+P1222/2))^2</f>
        <v>0.99999999999999978</v>
      </c>
      <c r="AD1222" s="362"/>
      <c r="AE1222" s="362"/>
      <c r="AF1222" s="184">
        <f>ROUND(IF(G1222="粘性土",MIN((1+V1222/(2*杭先端径))*(Y1222+2*M1222),9*M1222),3*Y1222*AC1222),1)</f>
        <v>144.69999999999999</v>
      </c>
      <c r="AG1222" s="184"/>
      <c r="AH1222" s="184"/>
      <c r="AI1222" s="355"/>
      <c r="BB1222" s="116"/>
    </row>
    <row r="1223" spans="1:54" s="89" customFormat="1" ht="15.75" customHeight="1">
      <c r="A1223" s="79" t="str">
        <f>A1222</f>
        <v/>
      </c>
      <c r="D1223" s="166"/>
      <c r="E1223" s="166"/>
      <c r="F1223" s="167"/>
      <c r="G1223" s="167"/>
      <c r="H1223" s="167"/>
      <c r="I1223" s="167"/>
      <c r="J1223" s="160"/>
      <c r="K1223" s="160"/>
      <c r="L1223" s="160"/>
      <c r="M1223" s="170"/>
      <c r="N1223" s="170"/>
      <c r="O1223" s="170"/>
      <c r="P1223" s="160"/>
      <c r="Q1223" s="160"/>
      <c r="R1223" s="160"/>
      <c r="S1223" s="160">
        <v>9.3299999237060547</v>
      </c>
      <c r="T1223" s="160"/>
      <c r="U1223" s="160"/>
      <c r="V1223" s="168">
        <f>J1222+V1222</f>
        <v>4.8999999761581421</v>
      </c>
      <c r="W1223" s="168"/>
      <c r="X1223" s="168"/>
      <c r="Y1223" s="145">
        <f>Y1222+J1222*S1223</f>
        <v>62.189999341964722</v>
      </c>
      <c r="Z1223" s="145"/>
      <c r="AA1223" s="145"/>
      <c r="AB1223" s="145"/>
      <c r="AC1223" s="171"/>
      <c r="AD1223" s="171"/>
      <c r="AE1223" s="171"/>
      <c r="AF1223" s="359">
        <f>ROUND(IF(G1222="粘性土",MIN((1+V1223/(2*杭先端径))*(Y1223+2*M1222),9*M1222),3*Y1223*AC1222),1)</f>
        <v>180</v>
      </c>
      <c r="AG1223" s="359"/>
      <c r="AH1223" s="359"/>
      <c r="AI1223" s="360"/>
      <c r="BB1223" s="116"/>
    </row>
    <row r="1224" spans="1:54" s="89" customFormat="1" ht="15.75" customHeight="1">
      <c r="A1224" s="79" t="str">
        <f t="shared" si="109"/>
        <v/>
      </c>
      <c r="D1224" s="166">
        <v>4</v>
      </c>
      <c r="E1224" s="166"/>
      <c r="F1224" s="167"/>
      <c r="G1224" s="167" t="s">
        <v>482</v>
      </c>
      <c r="H1224" s="167"/>
      <c r="I1224" s="167"/>
      <c r="J1224" s="160">
        <v>5</v>
      </c>
      <c r="K1224" s="160"/>
      <c r="L1224" s="160"/>
      <c r="M1224" s="170">
        <v>0</v>
      </c>
      <c r="N1224" s="170"/>
      <c r="O1224" s="170"/>
      <c r="P1224" s="160">
        <v>34.299999237060547</v>
      </c>
      <c r="Q1224" s="160"/>
      <c r="R1224" s="160"/>
      <c r="S1224" s="160">
        <v>9</v>
      </c>
      <c r="T1224" s="160"/>
      <c r="U1224" s="160"/>
      <c r="V1224" s="168">
        <f>V1223</f>
        <v>4.8999999761581421</v>
      </c>
      <c r="W1224" s="168"/>
      <c r="X1224" s="169"/>
      <c r="Y1224" s="145">
        <f>Y1223</f>
        <v>62.189999341964722</v>
      </c>
      <c r="Z1224" s="145"/>
      <c r="AA1224" s="145"/>
      <c r="AB1224" s="145"/>
      <c r="AC1224" s="171">
        <f>TAN(RADIANS(45+P1224/2))^2</f>
        <v>3.582174823324717</v>
      </c>
      <c r="AD1224" s="171"/>
      <c r="AE1224" s="171"/>
      <c r="AF1224" s="172">
        <f>ROUND(IF(G1224="粘性土",MIN((1+V1224/(2*杭先端径))*(Y1224+2*M1224),9*M1224),3*Y1224*AC1224),1)</f>
        <v>668.3</v>
      </c>
      <c r="AG1224" s="172"/>
      <c r="AH1224" s="172"/>
      <c r="AI1224" s="173"/>
      <c r="BB1224" s="116"/>
    </row>
    <row r="1225" spans="1:54" s="89" customFormat="1" ht="15.75" customHeight="1">
      <c r="A1225" s="79" t="str">
        <f>A1224</f>
        <v/>
      </c>
      <c r="D1225" s="166"/>
      <c r="E1225" s="166"/>
      <c r="F1225" s="167"/>
      <c r="G1225" s="167"/>
      <c r="H1225" s="167"/>
      <c r="I1225" s="167"/>
      <c r="J1225" s="160"/>
      <c r="K1225" s="160"/>
      <c r="L1225" s="160"/>
      <c r="M1225" s="170"/>
      <c r="N1225" s="170"/>
      <c r="O1225" s="170"/>
      <c r="P1225" s="160"/>
      <c r="Q1225" s="160"/>
      <c r="R1225" s="160"/>
      <c r="S1225" s="160">
        <v>9</v>
      </c>
      <c r="T1225" s="160"/>
      <c r="U1225" s="160"/>
      <c r="V1225" s="168">
        <f>J1224+V1224</f>
        <v>9.8999999761581421</v>
      </c>
      <c r="W1225" s="168"/>
      <c r="X1225" s="168"/>
      <c r="Y1225" s="145">
        <f>Y1224+J1224*S1225</f>
        <v>107.18999934196472</v>
      </c>
      <c r="Z1225" s="145"/>
      <c r="AA1225" s="145"/>
      <c r="AB1225" s="145"/>
      <c r="AC1225" s="171"/>
      <c r="AD1225" s="171"/>
      <c r="AE1225" s="171"/>
      <c r="AF1225" s="172">
        <f>ROUND(IF(G1224="粘性土",MIN((1+V1225/(2*杭先端径))*(Y1225+2*M1224),9*M1224),3*Y1225*AC1224),1)</f>
        <v>1151.9000000000001</v>
      </c>
      <c r="AG1225" s="172"/>
      <c r="AH1225" s="172"/>
      <c r="AI1225" s="173"/>
      <c r="BB1225" s="116"/>
    </row>
    <row r="1226" spans="1:54" s="89" customFormat="1" ht="15.75" customHeight="1">
      <c r="A1226" s="79" t="str">
        <f t="shared" si="109"/>
        <v/>
      </c>
      <c r="D1226" s="166">
        <v>5</v>
      </c>
      <c r="E1226" s="166"/>
      <c r="F1226" s="167"/>
      <c r="G1226" s="167" t="s">
        <v>547</v>
      </c>
      <c r="H1226" s="167"/>
      <c r="I1226" s="167"/>
      <c r="J1226" s="160">
        <v>8</v>
      </c>
      <c r="K1226" s="160"/>
      <c r="L1226" s="160"/>
      <c r="M1226" s="170">
        <v>62.5</v>
      </c>
      <c r="N1226" s="170"/>
      <c r="O1226" s="170"/>
      <c r="P1226" s="160">
        <v>0</v>
      </c>
      <c r="Q1226" s="160"/>
      <c r="R1226" s="160"/>
      <c r="S1226" s="160">
        <v>7</v>
      </c>
      <c r="T1226" s="160"/>
      <c r="U1226" s="160"/>
      <c r="V1226" s="168">
        <f>V1225</f>
        <v>9.8999999761581421</v>
      </c>
      <c r="W1226" s="168"/>
      <c r="X1226" s="169"/>
      <c r="Y1226" s="145">
        <f>Y1225</f>
        <v>107.18999934196472</v>
      </c>
      <c r="Z1226" s="145"/>
      <c r="AA1226" s="145"/>
      <c r="AB1226" s="145"/>
      <c r="AC1226" s="171">
        <f>TAN(RADIANS(45+P1226/2))^2</f>
        <v>0.99999999999999978</v>
      </c>
      <c r="AD1226" s="171"/>
      <c r="AE1226" s="171"/>
      <c r="AF1226" s="172">
        <f>ROUND(IF(G1226="粘性土",MIN((1+V1226/(2*杭先端径))*(Y1226+2*M1226),9*M1226),3*Y1226*AC1226),1)</f>
        <v>562.5</v>
      </c>
      <c r="AG1226" s="172"/>
      <c r="AH1226" s="172"/>
      <c r="AI1226" s="173"/>
      <c r="BB1226" s="116"/>
    </row>
    <row r="1227" spans="1:54" s="89" customFormat="1" ht="15.75" customHeight="1">
      <c r="A1227" s="79" t="str">
        <f>A1226</f>
        <v/>
      </c>
      <c r="D1227" s="166"/>
      <c r="E1227" s="166"/>
      <c r="F1227" s="167"/>
      <c r="G1227" s="167"/>
      <c r="H1227" s="167"/>
      <c r="I1227" s="167"/>
      <c r="J1227" s="160"/>
      <c r="K1227" s="160"/>
      <c r="L1227" s="160"/>
      <c r="M1227" s="170"/>
      <c r="N1227" s="170"/>
      <c r="O1227" s="170"/>
      <c r="P1227" s="160"/>
      <c r="Q1227" s="160"/>
      <c r="R1227" s="160"/>
      <c r="S1227" s="160">
        <v>7</v>
      </c>
      <c r="T1227" s="160"/>
      <c r="U1227" s="160"/>
      <c r="V1227" s="168">
        <f>J1226+V1226</f>
        <v>17.899999976158142</v>
      </c>
      <c r="W1227" s="168"/>
      <c r="X1227" s="168"/>
      <c r="Y1227" s="145">
        <f>Y1226+J1226*S1227</f>
        <v>163.18999934196472</v>
      </c>
      <c r="Z1227" s="145"/>
      <c r="AA1227" s="145"/>
      <c r="AB1227" s="145"/>
      <c r="AC1227" s="171"/>
      <c r="AD1227" s="171"/>
      <c r="AE1227" s="171"/>
      <c r="AF1227" s="172">
        <f>ROUND(IF(G1226="粘性土",MIN((1+V1227/(2*杭先端径))*(Y1227+2*M1226),9*M1226),3*Y1227*AC1226),1)</f>
        <v>562.5</v>
      </c>
      <c r="AG1227" s="172"/>
      <c r="AH1227" s="172"/>
      <c r="AI1227" s="173"/>
      <c r="BB1227" s="116"/>
    </row>
    <row r="1228" spans="1:54" s="89" customFormat="1" ht="15.75" customHeight="1">
      <c r="A1228" s="79" t="str">
        <f t="shared" si="109"/>
        <v/>
      </c>
      <c r="D1228" s="166">
        <v>6</v>
      </c>
      <c r="E1228" s="166"/>
      <c r="F1228" s="167"/>
      <c r="G1228" s="167" t="s">
        <v>547</v>
      </c>
      <c r="H1228" s="167"/>
      <c r="I1228" s="167"/>
      <c r="J1228" s="160">
        <v>4.5</v>
      </c>
      <c r="K1228" s="160"/>
      <c r="L1228" s="160"/>
      <c r="M1228" s="170">
        <v>125</v>
      </c>
      <c r="N1228" s="170"/>
      <c r="O1228" s="170"/>
      <c r="P1228" s="160">
        <v>0</v>
      </c>
      <c r="Q1228" s="160"/>
      <c r="R1228" s="160"/>
      <c r="S1228" s="160">
        <v>7</v>
      </c>
      <c r="T1228" s="160"/>
      <c r="U1228" s="160"/>
      <c r="V1228" s="168">
        <f>V1227</f>
        <v>17.899999976158142</v>
      </c>
      <c r="W1228" s="168"/>
      <c r="X1228" s="169"/>
      <c r="Y1228" s="145">
        <f>Y1227</f>
        <v>163.18999934196472</v>
      </c>
      <c r="Z1228" s="145"/>
      <c r="AA1228" s="145"/>
      <c r="AB1228" s="145"/>
      <c r="AC1228" s="171">
        <f>TAN(RADIANS(45+P1228/2))^2</f>
        <v>0.99999999999999978</v>
      </c>
      <c r="AD1228" s="171"/>
      <c r="AE1228" s="171"/>
      <c r="AF1228" s="172">
        <f>ROUND(IF(G1228="粘性土",MIN((1+V1228/(2*杭先端径))*(Y1228+2*M1228),9*M1228),3*Y1228*AC1228),1)</f>
        <v>1125</v>
      </c>
      <c r="AG1228" s="172"/>
      <c r="AH1228" s="172"/>
      <c r="AI1228" s="173"/>
      <c r="BB1228" s="116"/>
    </row>
    <row r="1229" spans="1:54" s="89" customFormat="1" ht="15.75" customHeight="1">
      <c r="A1229" s="79" t="str">
        <f>A1228</f>
        <v/>
      </c>
      <c r="D1229" s="166"/>
      <c r="E1229" s="166"/>
      <c r="F1229" s="167"/>
      <c r="G1229" s="167"/>
      <c r="H1229" s="167"/>
      <c r="I1229" s="167"/>
      <c r="J1229" s="160"/>
      <c r="K1229" s="160"/>
      <c r="L1229" s="160"/>
      <c r="M1229" s="170"/>
      <c r="N1229" s="170"/>
      <c r="O1229" s="170"/>
      <c r="P1229" s="160"/>
      <c r="Q1229" s="160"/>
      <c r="R1229" s="160"/>
      <c r="S1229" s="160">
        <v>7</v>
      </c>
      <c r="T1229" s="160"/>
      <c r="U1229" s="160"/>
      <c r="V1229" s="168">
        <f>J1228+V1228</f>
        <v>22.399999976158142</v>
      </c>
      <c r="W1229" s="168"/>
      <c r="X1229" s="168"/>
      <c r="Y1229" s="145">
        <f>Y1228+J1228*S1229</f>
        <v>194.68999934196472</v>
      </c>
      <c r="Z1229" s="145"/>
      <c r="AA1229" s="145"/>
      <c r="AB1229" s="145"/>
      <c r="AC1229" s="171"/>
      <c r="AD1229" s="171"/>
      <c r="AE1229" s="171"/>
      <c r="AF1229" s="172">
        <f>ROUND(IF(G1228="粘性土",MIN((1+V1229/(2*杭先端径))*(Y1229+2*M1228),9*M1228),3*Y1229*AC1228),1)</f>
        <v>1125</v>
      </c>
      <c r="AG1229" s="172"/>
      <c r="AH1229" s="172"/>
      <c r="AI1229" s="173"/>
      <c r="BB1229" s="116"/>
    </row>
    <row r="1230" spans="1:54" s="89" customFormat="1" ht="15.75" customHeight="1">
      <c r="A1230" s="79" t="str">
        <f t="shared" si="109"/>
        <v/>
      </c>
      <c r="D1230" s="166">
        <v>7</v>
      </c>
      <c r="E1230" s="166"/>
      <c r="F1230" s="167"/>
      <c r="G1230" s="167" t="s">
        <v>483</v>
      </c>
      <c r="H1230" s="167"/>
      <c r="I1230" s="167"/>
      <c r="J1230" s="160">
        <v>0.5</v>
      </c>
      <c r="K1230" s="160"/>
      <c r="L1230" s="160"/>
      <c r="M1230" s="170">
        <v>0</v>
      </c>
      <c r="N1230" s="170"/>
      <c r="O1230" s="170"/>
      <c r="P1230" s="160">
        <v>37.099998474121094</v>
      </c>
      <c r="Q1230" s="160"/>
      <c r="R1230" s="160"/>
      <c r="S1230" s="160">
        <v>10</v>
      </c>
      <c r="T1230" s="160"/>
      <c r="U1230" s="160"/>
      <c r="V1230" s="168">
        <f>V1229</f>
        <v>22.399999976158142</v>
      </c>
      <c r="W1230" s="168"/>
      <c r="X1230" s="169"/>
      <c r="Y1230" s="145">
        <f>Y1229</f>
        <v>194.68999934196472</v>
      </c>
      <c r="Z1230" s="145"/>
      <c r="AA1230" s="145"/>
      <c r="AB1230" s="145"/>
      <c r="AC1230" s="171">
        <f>TAN(RADIANS(45+P1230/2))^2</f>
        <v>4.0404237766075548</v>
      </c>
      <c r="AD1230" s="171"/>
      <c r="AE1230" s="171"/>
      <c r="AF1230" s="172">
        <f>ROUND(IF(G1230="粘性土",MIN((1+V1230/(2*杭先端径))*(Y1230+2*M1230),9*M1230),3*Y1230*AC1230),1)</f>
        <v>2359.9</v>
      </c>
      <c r="AG1230" s="172"/>
      <c r="AH1230" s="172"/>
      <c r="AI1230" s="173"/>
      <c r="BB1230" s="116"/>
    </row>
    <row r="1231" spans="1:54" s="89" customFormat="1" ht="15.75" customHeight="1">
      <c r="A1231" s="79" t="str">
        <f>A1230</f>
        <v/>
      </c>
      <c r="D1231" s="166"/>
      <c r="E1231" s="166"/>
      <c r="F1231" s="167"/>
      <c r="G1231" s="167"/>
      <c r="H1231" s="167"/>
      <c r="I1231" s="167"/>
      <c r="J1231" s="160"/>
      <c r="K1231" s="160"/>
      <c r="L1231" s="160"/>
      <c r="M1231" s="170"/>
      <c r="N1231" s="170"/>
      <c r="O1231" s="170"/>
      <c r="P1231" s="160"/>
      <c r="Q1231" s="160"/>
      <c r="R1231" s="160"/>
      <c r="S1231" s="160">
        <v>10</v>
      </c>
      <c r="T1231" s="160"/>
      <c r="U1231" s="160"/>
      <c r="V1231" s="168">
        <f>J1230+V1230</f>
        <v>22.899999976158142</v>
      </c>
      <c r="W1231" s="168"/>
      <c r="X1231" s="168"/>
      <c r="Y1231" s="145">
        <f>Y1230+J1230*S1231</f>
        <v>199.68999934196472</v>
      </c>
      <c r="Z1231" s="145"/>
      <c r="AA1231" s="145"/>
      <c r="AB1231" s="145"/>
      <c r="AC1231" s="171"/>
      <c r="AD1231" s="171"/>
      <c r="AE1231" s="171"/>
      <c r="AF1231" s="172">
        <f>ROUND(IF(G1230="粘性土",MIN((1+V1231/(2*杭先端径))*(Y1231+2*M1230),9*M1230),3*Y1231*AC1230),1)</f>
        <v>2420.5</v>
      </c>
      <c r="AG1231" s="172"/>
      <c r="AH1231" s="172"/>
      <c r="AI1231" s="173"/>
      <c r="BB1231" s="116"/>
    </row>
    <row r="1232" spans="1:54" s="89" customFormat="1" ht="15.75" hidden="1" customHeight="1">
      <c r="A1232" s="79" t="str">
        <f t="shared" si="109"/>
        <v>×</v>
      </c>
      <c r="D1232" s="166"/>
      <c r="E1232" s="166"/>
      <c r="F1232" s="167"/>
      <c r="G1232" s="167"/>
      <c r="H1232" s="167"/>
      <c r="I1232" s="167"/>
      <c r="J1232" s="160"/>
      <c r="K1232" s="160"/>
      <c r="L1232" s="160"/>
      <c r="M1232" s="170"/>
      <c r="N1232" s="170"/>
      <c r="O1232" s="170"/>
      <c r="P1232" s="160"/>
      <c r="Q1232" s="160"/>
      <c r="R1232" s="160"/>
      <c r="S1232" s="160"/>
      <c r="T1232" s="160"/>
      <c r="U1232" s="160"/>
      <c r="V1232" s="168">
        <f>V1231</f>
        <v>22.899999976158142</v>
      </c>
      <c r="W1232" s="168"/>
      <c r="X1232" s="169"/>
      <c r="Y1232" s="145">
        <f>Y1231</f>
        <v>199.68999934196472</v>
      </c>
      <c r="Z1232" s="145"/>
      <c r="AA1232" s="145"/>
      <c r="AB1232" s="145"/>
      <c r="AC1232" s="171">
        <f>TAN(RADIANS(45+P1232/2))^2</f>
        <v>0.99999999999999978</v>
      </c>
      <c r="AD1232" s="171"/>
      <c r="AE1232" s="171"/>
      <c r="AF1232" s="172">
        <f>ROUND(IF(G1232="粘性土",MIN((1+V1232/(2*杭先端径))*(Y1232+2*M1232),9*M1232),3*Y1232*AC1232),1)</f>
        <v>599.1</v>
      </c>
      <c r="AG1232" s="172"/>
      <c r="AH1232" s="172"/>
      <c r="AI1232" s="173"/>
      <c r="BB1232" s="116"/>
    </row>
    <row r="1233" spans="1:54" s="89" customFormat="1" ht="15.75" hidden="1" customHeight="1">
      <c r="A1233" s="79" t="str">
        <f>A1232</f>
        <v>×</v>
      </c>
      <c r="D1233" s="166"/>
      <c r="E1233" s="166"/>
      <c r="F1233" s="167"/>
      <c r="G1233" s="167"/>
      <c r="H1233" s="167"/>
      <c r="I1233" s="167"/>
      <c r="J1233" s="160"/>
      <c r="K1233" s="160"/>
      <c r="L1233" s="160"/>
      <c r="M1233" s="170"/>
      <c r="N1233" s="170"/>
      <c r="O1233" s="170"/>
      <c r="P1233" s="160"/>
      <c r="Q1233" s="160"/>
      <c r="R1233" s="160"/>
      <c r="S1233" s="160"/>
      <c r="T1233" s="160"/>
      <c r="U1233" s="160"/>
      <c r="V1233" s="168">
        <f>J1232+V1232</f>
        <v>22.899999976158142</v>
      </c>
      <c r="W1233" s="168"/>
      <c r="X1233" s="168"/>
      <c r="Y1233" s="145">
        <f>Y1232+J1232*S1233</f>
        <v>199.68999934196472</v>
      </c>
      <c r="Z1233" s="145"/>
      <c r="AA1233" s="145"/>
      <c r="AB1233" s="145"/>
      <c r="AC1233" s="171"/>
      <c r="AD1233" s="171"/>
      <c r="AE1233" s="171"/>
      <c r="AF1233" s="172">
        <f>ROUND(IF(G1232="粘性土",MIN((1+V1233/(2*杭先端径))*(Y1233+2*M1232),9*M1232),3*Y1233*AC1232),1)</f>
        <v>599.1</v>
      </c>
      <c r="AG1233" s="172"/>
      <c r="AH1233" s="172"/>
      <c r="AI1233" s="173"/>
      <c r="BB1233" s="116"/>
    </row>
    <row r="1234" spans="1:54" s="89" customFormat="1" ht="15.75" hidden="1" customHeight="1">
      <c r="A1234" s="79" t="str">
        <f t="shared" si="109"/>
        <v>×</v>
      </c>
      <c r="D1234" s="166"/>
      <c r="E1234" s="166"/>
      <c r="F1234" s="167"/>
      <c r="G1234" s="167"/>
      <c r="H1234" s="167"/>
      <c r="I1234" s="167"/>
      <c r="J1234" s="160"/>
      <c r="K1234" s="160"/>
      <c r="L1234" s="160"/>
      <c r="M1234" s="170"/>
      <c r="N1234" s="170"/>
      <c r="O1234" s="170"/>
      <c r="P1234" s="160"/>
      <c r="Q1234" s="160"/>
      <c r="R1234" s="160"/>
      <c r="S1234" s="160"/>
      <c r="T1234" s="160"/>
      <c r="U1234" s="160"/>
      <c r="V1234" s="168">
        <f>V1233</f>
        <v>22.899999976158142</v>
      </c>
      <c r="W1234" s="168"/>
      <c r="X1234" s="169"/>
      <c r="Y1234" s="145">
        <f>Y1233</f>
        <v>199.68999934196472</v>
      </c>
      <c r="Z1234" s="145"/>
      <c r="AA1234" s="145"/>
      <c r="AB1234" s="145"/>
      <c r="AC1234" s="171">
        <f>TAN(RADIANS(45+P1234/2))^2</f>
        <v>0.99999999999999978</v>
      </c>
      <c r="AD1234" s="171"/>
      <c r="AE1234" s="171"/>
      <c r="AF1234" s="172">
        <f>ROUND(IF(G1234="粘性土",MIN((1+V1234/(2*杭先端径))*(Y1234+2*M1234),9*M1234),3*Y1234*AC1234),1)</f>
        <v>599.1</v>
      </c>
      <c r="AG1234" s="172"/>
      <c r="AH1234" s="172"/>
      <c r="AI1234" s="173"/>
      <c r="BB1234" s="116"/>
    </row>
    <row r="1235" spans="1:54" s="89" customFormat="1" ht="15.75" hidden="1" customHeight="1">
      <c r="A1235" s="79" t="str">
        <f>A1234</f>
        <v>×</v>
      </c>
      <c r="D1235" s="166"/>
      <c r="E1235" s="166"/>
      <c r="F1235" s="167"/>
      <c r="G1235" s="167"/>
      <c r="H1235" s="167"/>
      <c r="I1235" s="167"/>
      <c r="J1235" s="160"/>
      <c r="K1235" s="160"/>
      <c r="L1235" s="160"/>
      <c r="M1235" s="170"/>
      <c r="N1235" s="170"/>
      <c r="O1235" s="170"/>
      <c r="P1235" s="160"/>
      <c r="Q1235" s="160"/>
      <c r="R1235" s="160"/>
      <c r="S1235" s="160"/>
      <c r="T1235" s="160"/>
      <c r="U1235" s="160"/>
      <c r="V1235" s="168">
        <f>J1234+V1234</f>
        <v>22.899999976158142</v>
      </c>
      <c r="W1235" s="168"/>
      <c r="X1235" s="168"/>
      <c r="Y1235" s="145">
        <f>Y1234+J1234*S1235</f>
        <v>199.68999934196472</v>
      </c>
      <c r="Z1235" s="145"/>
      <c r="AA1235" s="145"/>
      <c r="AB1235" s="145"/>
      <c r="AC1235" s="171"/>
      <c r="AD1235" s="171"/>
      <c r="AE1235" s="171"/>
      <c r="AF1235" s="172">
        <f>ROUND(IF(G1234="粘性土",MIN((1+V1235/(2*杭先端径))*(Y1235+2*M1234),9*M1234),3*Y1235*AC1234),1)</f>
        <v>599.1</v>
      </c>
      <c r="AG1235" s="172"/>
      <c r="AH1235" s="172"/>
      <c r="AI1235" s="173"/>
      <c r="BB1235" s="116"/>
    </row>
    <row r="1236" spans="1:54" s="89" customFormat="1" ht="15.75" hidden="1" customHeight="1">
      <c r="A1236" s="79" t="str">
        <f t="shared" si="109"/>
        <v>×</v>
      </c>
      <c r="D1236" s="166"/>
      <c r="E1236" s="166"/>
      <c r="F1236" s="167"/>
      <c r="G1236" s="167"/>
      <c r="H1236" s="167"/>
      <c r="I1236" s="167"/>
      <c r="J1236" s="160"/>
      <c r="K1236" s="160"/>
      <c r="L1236" s="160"/>
      <c r="M1236" s="170"/>
      <c r="N1236" s="170"/>
      <c r="O1236" s="170"/>
      <c r="P1236" s="160"/>
      <c r="Q1236" s="160"/>
      <c r="R1236" s="160"/>
      <c r="S1236" s="160"/>
      <c r="T1236" s="160"/>
      <c r="U1236" s="160"/>
      <c r="V1236" s="168">
        <f>V1235</f>
        <v>22.899999976158142</v>
      </c>
      <c r="W1236" s="168"/>
      <c r="X1236" s="169"/>
      <c r="Y1236" s="145">
        <f>Y1235</f>
        <v>199.68999934196472</v>
      </c>
      <c r="Z1236" s="145"/>
      <c r="AA1236" s="145"/>
      <c r="AB1236" s="145"/>
      <c r="AC1236" s="171">
        <f>TAN(RADIANS(45+P1236/2))^2</f>
        <v>0.99999999999999978</v>
      </c>
      <c r="AD1236" s="171"/>
      <c r="AE1236" s="171"/>
      <c r="AF1236" s="172">
        <f>ROUND(IF(G1236="粘性土",MIN((1+V1236/(2*杭先端径))*(Y1236+2*M1236),9*M1236),3*Y1236*AC1236),1)</f>
        <v>599.1</v>
      </c>
      <c r="AG1236" s="172"/>
      <c r="AH1236" s="172"/>
      <c r="AI1236" s="173"/>
      <c r="BB1236" s="116"/>
    </row>
    <row r="1237" spans="1:54" s="89" customFormat="1" ht="15.75" hidden="1" customHeight="1">
      <c r="A1237" s="79" t="str">
        <f>A1236</f>
        <v>×</v>
      </c>
      <c r="D1237" s="166"/>
      <c r="E1237" s="166"/>
      <c r="F1237" s="167"/>
      <c r="G1237" s="167"/>
      <c r="H1237" s="167"/>
      <c r="I1237" s="167"/>
      <c r="J1237" s="160"/>
      <c r="K1237" s="160"/>
      <c r="L1237" s="160"/>
      <c r="M1237" s="170"/>
      <c r="N1237" s="170"/>
      <c r="O1237" s="170"/>
      <c r="P1237" s="160"/>
      <c r="Q1237" s="160"/>
      <c r="R1237" s="160"/>
      <c r="S1237" s="160"/>
      <c r="T1237" s="160"/>
      <c r="U1237" s="160"/>
      <c r="V1237" s="168">
        <f>J1236+V1236</f>
        <v>22.899999976158142</v>
      </c>
      <c r="W1237" s="168"/>
      <c r="X1237" s="168"/>
      <c r="Y1237" s="145">
        <f>Y1236+J1236*S1237</f>
        <v>199.68999934196472</v>
      </c>
      <c r="Z1237" s="145"/>
      <c r="AA1237" s="145"/>
      <c r="AB1237" s="145"/>
      <c r="AC1237" s="171"/>
      <c r="AD1237" s="171"/>
      <c r="AE1237" s="171"/>
      <c r="AF1237" s="172">
        <f>ROUND(IF(G1236="粘性土",MIN((1+V1237/(2*杭先端径))*(Y1237+2*M1236),9*M1236),3*Y1237*AC1236),1)</f>
        <v>599.1</v>
      </c>
      <c r="AG1237" s="172"/>
      <c r="AH1237" s="172"/>
      <c r="AI1237" s="173"/>
      <c r="BB1237" s="116"/>
    </row>
    <row r="1238" spans="1:54" s="89" customFormat="1" ht="15.75" hidden="1" customHeight="1">
      <c r="A1238" s="79" t="str">
        <f t="shared" si="109"/>
        <v>×</v>
      </c>
      <c r="D1238" s="166"/>
      <c r="E1238" s="166"/>
      <c r="F1238" s="167"/>
      <c r="G1238" s="167"/>
      <c r="H1238" s="167"/>
      <c r="I1238" s="167"/>
      <c r="J1238" s="160"/>
      <c r="K1238" s="160"/>
      <c r="L1238" s="160"/>
      <c r="M1238" s="170"/>
      <c r="N1238" s="170"/>
      <c r="O1238" s="170"/>
      <c r="P1238" s="160"/>
      <c r="Q1238" s="160"/>
      <c r="R1238" s="160"/>
      <c r="S1238" s="160"/>
      <c r="T1238" s="160"/>
      <c r="U1238" s="160"/>
      <c r="V1238" s="168">
        <f>V1237</f>
        <v>22.899999976158142</v>
      </c>
      <c r="W1238" s="168"/>
      <c r="X1238" s="169"/>
      <c r="Y1238" s="145">
        <f>Y1237</f>
        <v>199.68999934196472</v>
      </c>
      <c r="Z1238" s="145"/>
      <c r="AA1238" s="145"/>
      <c r="AB1238" s="145"/>
      <c r="AC1238" s="171">
        <f>TAN(RADIANS(45+P1238/2))^2</f>
        <v>0.99999999999999978</v>
      </c>
      <c r="AD1238" s="171"/>
      <c r="AE1238" s="171"/>
      <c r="AF1238" s="172">
        <f>ROUND(IF(G1238="粘性土",MIN((1+V1238/(2*杭先端径))*(Y1238+2*M1238),9*M1238),3*Y1238*AC1238),1)</f>
        <v>599.1</v>
      </c>
      <c r="AG1238" s="172"/>
      <c r="AH1238" s="172"/>
      <c r="AI1238" s="173"/>
      <c r="BB1238" s="116"/>
    </row>
    <row r="1239" spans="1:54" s="89" customFormat="1" ht="15.75" hidden="1" customHeight="1">
      <c r="A1239" s="79" t="str">
        <f>A1238</f>
        <v>×</v>
      </c>
      <c r="D1239" s="166"/>
      <c r="E1239" s="166"/>
      <c r="F1239" s="167"/>
      <c r="G1239" s="167"/>
      <c r="H1239" s="167"/>
      <c r="I1239" s="167"/>
      <c r="J1239" s="160"/>
      <c r="K1239" s="160"/>
      <c r="L1239" s="160"/>
      <c r="M1239" s="170"/>
      <c r="N1239" s="170"/>
      <c r="O1239" s="170"/>
      <c r="P1239" s="160"/>
      <c r="Q1239" s="160"/>
      <c r="R1239" s="160"/>
      <c r="S1239" s="160"/>
      <c r="T1239" s="160"/>
      <c r="U1239" s="160"/>
      <c r="V1239" s="168">
        <f>J1238+V1238</f>
        <v>22.899999976158142</v>
      </c>
      <c r="W1239" s="168"/>
      <c r="X1239" s="168"/>
      <c r="Y1239" s="145">
        <f>Y1238+J1238*S1239</f>
        <v>199.68999934196472</v>
      </c>
      <c r="Z1239" s="145"/>
      <c r="AA1239" s="145"/>
      <c r="AB1239" s="145"/>
      <c r="AC1239" s="171"/>
      <c r="AD1239" s="171"/>
      <c r="AE1239" s="171"/>
      <c r="AF1239" s="172">
        <f>ROUND(IF(G1238="粘性土",MIN((1+V1239/(2*杭先端径))*(Y1239+2*M1238),9*M1238),3*Y1239*AC1238),1)</f>
        <v>599.1</v>
      </c>
      <c r="AG1239" s="172"/>
      <c r="AH1239" s="172"/>
      <c r="AI1239" s="173"/>
      <c r="BB1239" s="116"/>
    </row>
    <row r="1240" spans="1:54" s="89" customFormat="1" ht="15.75" hidden="1" customHeight="1">
      <c r="A1240" s="79" t="str">
        <f t="shared" si="109"/>
        <v>×</v>
      </c>
      <c r="D1240" s="166"/>
      <c r="E1240" s="166"/>
      <c r="F1240" s="167"/>
      <c r="G1240" s="167"/>
      <c r="H1240" s="167"/>
      <c r="I1240" s="167"/>
      <c r="J1240" s="160"/>
      <c r="K1240" s="160"/>
      <c r="L1240" s="160"/>
      <c r="M1240" s="170"/>
      <c r="N1240" s="170"/>
      <c r="O1240" s="170"/>
      <c r="P1240" s="160"/>
      <c r="Q1240" s="160"/>
      <c r="R1240" s="160"/>
      <c r="S1240" s="160"/>
      <c r="T1240" s="160"/>
      <c r="U1240" s="160"/>
      <c r="V1240" s="168">
        <f>V1239</f>
        <v>22.899999976158142</v>
      </c>
      <c r="W1240" s="168"/>
      <c r="X1240" s="169"/>
      <c r="Y1240" s="145">
        <f>Y1239</f>
        <v>199.68999934196472</v>
      </c>
      <c r="Z1240" s="145"/>
      <c r="AA1240" s="145"/>
      <c r="AB1240" s="145"/>
      <c r="AC1240" s="171">
        <f>TAN(RADIANS(45+P1240/2))^2</f>
        <v>0.99999999999999978</v>
      </c>
      <c r="AD1240" s="171"/>
      <c r="AE1240" s="171"/>
      <c r="AF1240" s="172">
        <f>ROUND(IF(G1240="粘性土",MIN((1+V1240/(2*杭先端径))*(Y1240+2*M1240),9*M1240),3*Y1240*AC1240),1)</f>
        <v>599.1</v>
      </c>
      <c r="AG1240" s="172"/>
      <c r="AH1240" s="172"/>
      <c r="AI1240" s="173"/>
      <c r="BB1240" s="116"/>
    </row>
    <row r="1241" spans="1:54" s="89" customFormat="1" ht="15.75" hidden="1" customHeight="1">
      <c r="A1241" s="79" t="str">
        <f>A1240</f>
        <v>×</v>
      </c>
      <c r="D1241" s="166"/>
      <c r="E1241" s="166"/>
      <c r="F1241" s="167"/>
      <c r="G1241" s="167"/>
      <c r="H1241" s="167"/>
      <c r="I1241" s="167"/>
      <c r="J1241" s="160"/>
      <c r="K1241" s="160"/>
      <c r="L1241" s="160"/>
      <c r="M1241" s="170"/>
      <c r="N1241" s="170"/>
      <c r="O1241" s="170"/>
      <c r="P1241" s="160"/>
      <c r="Q1241" s="160"/>
      <c r="R1241" s="160"/>
      <c r="S1241" s="160"/>
      <c r="T1241" s="160"/>
      <c r="U1241" s="160"/>
      <c r="V1241" s="168">
        <f>J1240+V1240</f>
        <v>22.899999976158142</v>
      </c>
      <c r="W1241" s="168"/>
      <c r="X1241" s="168"/>
      <c r="Y1241" s="145">
        <f>Y1240+J1240*S1241</f>
        <v>199.68999934196472</v>
      </c>
      <c r="Z1241" s="145"/>
      <c r="AA1241" s="145"/>
      <c r="AB1241" s="145"/>
      <c r="AC1241" s="171"/>
      <c r="AD1241" s="171"/>
      <c r="AE1241" s="171"/>
      <c r="AF1241" s="172">
        <f>ROUND(IF(G1240="粘性土",MIN((1+V1241/(2*杭先端径))*(Y1241+2*M1240),9*M1240),3*Y1241*AC1240),1)</f>
        <v>599.1</v>
      </c>
      <c r="AG1241" s="172"/>
      <c r="AH1241" s="172"/>
      <c r="AI1241" s="173"/>
      <c r="BB1241" s="116"/>
    </row>
    <row r="1242" spans="1:54" s="89" customFormat="1" ht="15.75" hidden="1" customHeight="1">
      <c r="A1242" s="79" t="str">
        <f t="shared" si="109"/>
        <v>×</v>
      </c>
      <c r="D1242" s="166"/>
      <c r="E1242" s="166"/>
      <c r="F1242" s="167"/>
      <c r="G1242" s="167"/>
      <c r="H1242" s="167"/>
      <c r="I1242" s="167"/>
      <c r="J1242" s="160"/>
      <c r="K1242" s="160"/>
      <c r="L1242" s="160"/>
      <c r="M1242" s="170"/>
      <c r="N1242" s="170"/>
      <c r="O1242" s="170"/>
      <c r="P1242" s="160"/>
      <c r="Q1242" s="160"/>
      <c r="R1242" s="160"/>
      <c r="S1242" s="160"/>
      <c r="T1242" s="160"/>
      <c r="U1242" s="160"/>
      <c r="V1242" s="168">
        <f>V1241</f>
        <v>22.899999976158142</v>
      </c>
      <c r="W1242" s="168"/>
      <c r="X1242" s="169"/>
      <c r="Y1242" s="145">
        <f>Y1241</f>
        <v>199.68999934196472</v>
      </c>
      <c r="Z1242" s="145"/>
      <c r="AA1242" s="145"/>
      <c r="AB1242" s="145"/>
      <c r="AC1242" s="171">
        <f>TAN(RADIANS(45+P1242/2))^2</f>
        <v>0.99999999999999978</v>
      </c>
      <c r="AD1242" s="171"/>
      <c r="AE1242" s="171"/>
      <c r="AF1242" s="172">
        <f>ROUND(IF(G1242="粘性土",MIN((1+V1242/(2*杭先端径))*(Y1242+2*M1242),9*M1242),3*Y1242*AC1242),1)</f>
        <v>599.1</v>
      </c>
      <c r="AG1242" s="172"/>
      <c r="AH1242" s="172"/>
      <c r="AI1242" s="173"/>
      <c r="BB1242" s="116"/>
    </row>
    <row r="1243" spans="1:54" s="89" customFormat="1" ht="15.75" hidden="1" customHeight="1">
      <c r="A1243" s="79" t="str">
        <f>A1242</f>
        <v>×</v>
      </c>
      <c r="D1243" s="166"/>
      <c r="E1243" s="166"/>
      <c r="F1243" s="167"/>
      <c r="G1243" s="167"/>
      <c r="H1243" s="167"/>
      <c r="I1243" s="167"/>
      <c r="J1243" s="160"/>
      <c r="K1243" s="160"/>
      <c r="L1243" s="160"/>
      <c r="M1243" s="170"/>
      <c r="N1243" s="170"/>
      <c r="O1243" s="170"/>
      <c r="P1243" s="160"/>
      <c r="Q1243" s="160"/>
      <c r="R1243" s="160"/>
      <c r="S1243" s="160"/>
      <c r="T1243" s="160"/>
      <c r="U1243" s="160"/>
      <c r="V1243" s="168">
        <f>J1242+V1242</f>
        <v>22.899999976158142</v>
      </c>
      <c r="W1243" s="168"/>
      <c r="X1243" s="168"/>
      <c r="Y1243" s="145">
        <f>Y1242+J1242*S1243</f>
        <v>199.68999934196472</v>
      </c>
      <c r="Z1243" s="145"/>
      <c r="AA1243" s="145"/>
      <c r="AB1243" s="145"/>
      <c r="AC1243" s="171"/>
      <c r="AD1243" s="171"/>
      <c r="AE1243" s="171"/>
      <c r="AF1243" s="172">
        <f>ROUND(IF(G1242="粘性土",MIN((1+V1243/(2*杭先端径))*(Y1243+2*M1242),9*M1242),3*Y1243*AC1242),1)</f>
        <v>599.1</v>
      </c>
      <c r="AG1243" s="172"/>
      <c r="AH1243" s="172"/>
      <c r="AI1243" s="173"/>
      <c r="BB1243" s="116"/>
    </row>
    <row r="1244" spans="1:54" s="89" customFormat="1" ht="15.75" hidden="1" customHeight="1">
      <c r="A1244" s="79" t="str">
        <f t="shared" si="109"/>
        <v>×</v>
      </c>
      <c r="D1244" s="166"/>
      <c r="E1244" s="166"/>
      <c r="F1244" s="167"/>
      <c r="G1244" s="167"/>
      <c r="H1244" s="167"/>
      <c r="I1244" s="167"/>
      <c r="J1244" s="160"/>
      <c r="K1244" s="160"/>
      <c r="L1244" s="160"/>
      <c r="M1244" s="170"/>
      <c r="N1244" s="170"/>
      <c r="O1244" s="170"/>
      <c r="P1244" s="160"/>
      <c r="Q1244" s="160"/>
      <c r="R1244" s="160"/>
      <c r="S1244" s="160"/>
      <c r="T1244" s="160"/>
      <c r="U1244" s="160"/>
      <c r="V1244" s="168">
        <f>V1243</f>
        <v>22.899999976158142</v>
      </c>
      <c r="W1244" s="168"/>
      <c r="X1244" s="169"/>
      <c r="Y1244" s="145">
        <f>Y1243</f>
        <v>199.68999934196472</v>
      </c>
      <c r="Z1244" s="145"/>
      <c r="AA1244" s="145"/>
      <c r="AB1244" s="145"/>
      <c r="AC1244" s="171">
        <f>TAN(RADIANS(45+P1244/2))^2</f>
        <v>0.99999999999999978</v>
      </c>
      <c r="AD1244" s="171"/>
      <c r="AE1244" s="171"/>
      <c r="AF1244" s="172">
        <f>ROUND(IF(G1244="粘性土",MIN((1+V1244/(2*杭先端径))*(Y1244+2*M1244),9*M1244),3*Y1244*AC1244),1)</f>
        <v>599.1</v>
      </c>
      <c r="AG1244" s="172"/>
      <c r="AH1244" s="172"/>
      <c r="AI1244" s="173"/>
      <c r="BB1244" s="116"/>
    </row>
    <row r="1245" spans="1:54" s="89" customFormat="1" ht="15.75" hidden="1" customHeight="1">
      <c r="A1245" s="79" t="str">
        <f>A1244</f>
        <v>×</v>
      </c>
      <c r="D1245" s="166"/>
      <c r="E1245" s="166"/>
      <c r="F1245" s="167"/>
      <c r="G1245" s="167"/>
      <c r="H1245" s="167"/>
      <c r="I1245" s="167"/>
      <c r="J1245" s="160"/>
      <c r="K1245" s="160"/>
      <c r="L1245" s="160"/>
      <c r="M1245" s="170"/>
      <c r="N1245" s="170"/>
      <c r="O1245" s="170"/>
      <c r="P1245" s="160"/>
      <c r="Q1245" s="160"/>
      <c r="R1245" s="160"/>
      <c r="S1245" s="160"/>
      <c r="T1245" s="160"/>
      <c r="U1245" s="160"/>
      <c r="V1245" s="168">
        <f>J1244+V1244</f>
        <v>22.899999976158142</v>
      </c>
      <c r="W1245" s="168"/>
      <c r="X1245" s="168"/>
      <c r="Y1245" s="145">
        <f>Y1244+J1244*S1245</f>
        <v>199.68999934196472</v>
      </c>
      <c r="Z1245" s="145"/>
      <c r="AA1245" s="145"/>
      <c r="AB1245" s="145"/>
      <c r="AC1245" s="171"/>
      <c r="AD1245" s="171"/>
      <c r="AE1245" s="171"/>
      <c r="AF1245" s="172">
        <f>ROUND(IF(G1244="粘性土",MIN((1+V1245/(2*杭先端径))*(Y1245+2*M1244),9*M1244),3*Y1245*AC1244),1)</f>
        <v>599.1</v>
      </c>
      <c r="AG1245" s="172"/>
      <c r="AH1245" s="172"/>
      <c r="AI1245" s="173"/>
      <c r="BB1245" s="116"/>
    </row>
    <row r="1246" spans="1:54" s="89" customFormat="1" ht="15.75" hidden="1" customHeight="1">
      <c r="A1246" s="79" t="str">
        <f t="shared" si="109"/>
        <v>×</v>
      </c>
      <c r="D1246" s="166"/>
      <c r="E1246" s="166"/>
      <c r="F1246" s="167"/>
      <c r="G1246" s="167"/>
      <c r="H1246" s="167"/>
      <c r="I1246" s="167"/>
      <c r="J1246" s="160"/>
      <c r="K1246" s="160"/>
      <c r="L1246" s="160"/>
      <c r="M1246" s="170"/>
      <c r="N1246" s="170"/>
      <c r="O1246" s="170"/>
      <c r="P1246" s="160"/>
      <c r="Q1246" s="160"/>
      <c r="R1246" s="160"/>
      <c r="S1246" s="160"/>
      <c r="T1246" s="160"/>
      <c r="U1246" s="160"/>
      <c r="V1246" s="168">
        <f>V1245</f>
        <v>22.899999976158142</v>
      </c>
      <c r="W1246" s="168"/>
      <c r="X1246" s="169"/>
      <c r="Y1246" s="145">
        <f>Y1245</f>
        <v>199.68999934196472</v>
      </c>
      <c r="Z1246" s="145"/>
      <c r="AA1246" s="145"/>
      <c r="AB1246" s="145"/>
      <c r="AC1246" s="171">
        <f>TAN(RADIANS(45+P1246/2))^2</f>
        <v>0.99999999999999978</v>
      </c>
      <c r="AD1246" s="171"/>
      <c r="AE1246" s="171"/>
      <c r="AF1246" s="172">
        <f>ROUND(IF(G1246="粘性土",MIN((1+V1246/(2*杭先端径))*(Y1246+2*M1246),9*M1246),3*Y1246*AC1246),1)</f>
        <v>599.1</v>
      </c>
      <c r="AG1246" s="172"/>
      <c r="AH1246" s="172"/>
      <c r="AI1246" s="173"/>
      <c r="BB1246" s="116"/>
    </row>
    <row r="1247" spans="1:54" s="89" customFormat="1" ht="15.75" hidden="1" customHeight="1">
      <c r="A1247" s="79" t="str">
        <f>A1246</f>
        <v>×</v>
      </c>
      <c r="D1247" s="166"/>
      <c r="E1247" s="166"/>
      <c r="F1247" s="167"/>
      <c r="G1247" s="167"/>
      <c r="H1247" s="167"/>
      <c r="I1247" s="167"/>
      <c r="J1247" s="160"/>
      <c r="K1247" s="160"/>
      <c r="L1247" s="160"/>
      <c r="M1247" s="170"/>
      <c r="N1247" s="170"/>
      <c r="O1247" s="170"/>
      <c r="P1247" s="160"/>
      <c r="Q1247" s="160"/>
      <c r="R1247" s="160"/>
      <c r="S1247" s="160"/>
      <c r="T1247" s="160"/>
      <c r="U1247" s="160"/>
      <c r="V1247" s="168">
        <f>J1246+V1246</f>
        <v>22.899999976158142</v>
      </c>
      <c r="W1247" s="168"/>
      <c r="X1247" s="168"/>
      <c r="Y1247" s="145">
        <f>Y1246+J1246*S1247</f>
        <v>199.68999934196472</v>
      </c>
      <c r="Z1247" s="145"/>
      <c r="AA1247" s="145"/>
      <c r="AB1247" s="145"/>
      <c r="AC1247" s="171"/>
      <c r="AD1247" s="171"/>
      <c r="AE1247" s="171"/>
      <c r="AF1247" s="172">
        <f>ROUND(IF(G1246="粘性土",MIN((1+V1247/(2*杭先端径))*(Y1247+2*M1246),9*M1246),3*Y1247*AC1246),1)</f>
        <v>599.1</v>
      </c>
      <c r="AG1247" s="172"/>
      <c r="AH1247" s="172"/>
      <c r="AI1247" s="173"/>
      <c r="BB1247" s="116"/>
    </row>
    <row r="1248" spans="1:54" s="89" customFormat="1" ht="15.75" hidden="1" customHeight="1">
      <c r="A1248" s="79" t="str">
        <f t="shared" si="109"/>
        <v>×</v>
      </c>
      <c r="D1248" s="166"/>
      <c r="E1248" s="166"/>
      <c r="F1248" s="167"/>
      <c r="G1248" s="167"/>
      <c r="H1248" s="167"/>
      <c r="I1248" s="167"/>
      <c r="J1248" s="160"/>
      <c r="K1248" s="160"/>
      <c r="L1248" s="160"/>
      <c r="M1248" s="170"/>
      <c r="N1248" s="170"/>
      <c r="O1248" s="170"/>
      <c r="P1248" s="160"/>
      <c r="Q1248" s="160"/>
      <c r="R1248" s="160"/>
      <c r="S1248" s="160"/>
      <c r="T1248" s="160"/>
      <c r="U1248" s="160"/>
      <c r="V1248" s="168">
        <f>V1247</f>
        <v>22.899999976158142</v>
      </c>
      <c r="W1248" s="168"/>
      <c r="X1248" s="169"/>
      <c r="Y1248" s="145">
        <f>Y1247</f>
        <v>199.68999934196472</v>
      </c>
      <c r="Z1248" s="145"/>
      <c r="AA1248" s="145"/>
      <c r="AB1248" s="145"/>
      <c r="AC1248" s="171">
        <f>TAN(RADIANS(45+P1248/2))^2</f>
        <v>0.99999999999999978</v>
      </c>
      <c r="AD1248" s="171"/>
      <c r="AE1248" s="171"/>
      <c r="AF1248" s="172">
        <f>ROUND(IF(G1248="粘性土",MIN((1+V1248/(2*杭先端径))*(Y1248+2*M1248),9*M1248),3*Y1248*AC1248),1)</f>
        <v>599.1</v>
      </c>
      <c r="AG1248" s="172"/>
      <c r="AH1248" s="172"/>
      <c r="AI1248" s="173"/>
      <c r="BB1248" s="116"/>
    </row>
    <row r="1249" spans="1:71" s="89" customFormat="1" ht="15.75" hidden="1" customHeight="1">
      <c r="A1249" s="79" t="str">
        <f>A1248</f>
        <v>×</v>
      </c>
      <c r="D1249" s="166"/>
      <c r="E1249" s="166"/>
      <c r="F1249" s="167"/>
      <c r="G1249" s="167"/>
      <c r="H1249" s="167"/>
      <c r="I1249" s="167"/>
      <c r="J1249" s="160"/>
      <c r="K1249" s="160"/>
      <c r="L1249" s="160"/>
      <c r="M1249" s="170"/>
      <c r="N1249" s="170"/>
      <c r="O1249" s="170"/>
      <c r="P1249" s="160"/>
      <c r="Q1249" s="160"/>
      <c r="R1249" s="160"/>
      <c r="S1249" s="160"/>
      <c r="T1249" s="160"/>
      <c r="U1249" s="160"/>
      <c r="V1249" s="168">
        <f>J1248+V1248</f>
        <v>22.899999976158142</v>
      </c>
      <c r="W1249" s="168"/>
      <c r="X1249" s="168"/>
      <c r="Y1249" s="145">
        <f>Y1248+J1248*S1249</f>
        <v>199.68999934196472</v>
      </c>
      <c r="Z1249" s="145"/>
      <c r="AA1249" s="145"/>
      <c r="AB1249" s="145"/>
      <c r="AC1249" s="171"/>
      <c r="AD1249" s="171"/>
      <c r="AE1249" s="171"/>
      <c r="AF1249" s="172">
        <f>ROUND(IF(G1248="粘性土",MIN((1+V1249/(2*杭先端径))*(Y1249+2*M1248),9*M1248),3*Y1249*AC1248),1)</f>
        <v>599.1</v>
      </c>
      <c r="AG1249" s="172"/>
      <c r="AH1249" s="172"/>
      <c r="AI1249" s="173"/>
      <c r="BB1249" s="116"/>
    </row>
    <row r="1250" spans="1:71" s="89" customFormat="1" ht="15.75" hidden="1" customHeight="1">
      <c r="A1250" s="79" t="str">
        <f t="shared" si="109"/>
        <v>×</v>
      </c>
      <c r="D1250" s="166"/>
      <c r="E1250" s="166"/>
      <c r="F1250" s="167"/>
      <c r="G1250" s="167"/>
      <c r="H1250" s="167"/>
      <c r="I1250" s="167"/>
      <c r="J1250" s="160"/>
      <c r="K1250" s="160"/>
      <c r="L1250" s="160"/>
      <c r="M1250" s="170"/>
      <c r="N1250" s="170"/>
      <c r="O1250" s="170"/>
      <c r="P1250" s="160"/>
      <c r="Q1250" s="160"/>
      <c r="R1250" s="160"/>
      <c r="S1250" s="160"/>
      <c r="T1250" s="160"/>
      <c r="U1250" s="160"/>
      <c r="V1250" s="168">
        <f>V1249</f>
        <v>22.899999976158142</v>
      </c>
      <c r="W1250" s="168"/>
      <c r="X1250" s="169"/>
      <c r="Y1250" s="145">
        <f>Y1249</f>
        <v>199.68999934196472</v>
      </c>
      <c r="Z1250" s="145"/>
      <c r="AA1250" s="145"/>
      <c r="AB1250" s="145"/>
      <c r="AC1250" s="171">
        <f>TAN(RADIANS(45+P1250/2))^2</f>
        <v>0.99999999999999978</v>
      </c>
      <c r="AD1250" s="171"/>
      <c r="AE1250" s="171"/>
      <c r="AF1250" s="172">
        <f>ROUND(IF(G1250="粘性土",MIN((1+V1250/(2*杭先端径))*(Y1250+2*M1250),9*M1250),3*Y1250*AC1250),1)</f>
        <v>599.1</v>
      </c>
      <c r="AG1250" s="172"/>
      <c r="AH1250" s="172"/>
      <c r="AI1250" s="173"/>
      <c r="BB1250" s="116"/>
    </row>
    <row r="1251" spans="1:71" s="89" customFormat="1" ht="15.75" hidden="1" customHeight="1">
      <c r="A1251" s="79" t="str">
        <f>A1250</f>
        <v>×</v>
      </c>
      <c r="D1251" s="174"/>
      <c r="E1251" s="174"/>
      <c r="F1251" s="175"/>
      <c r="G1251" s="175"/>
      <c r="H1251" s="175"/>
      <c r="I1251" s="175"/>
      <c r="J1251" s="155"/>
      <c r="K1251" s="155"/>
      <c r="L1251" s="155"/>
      <c r="M1251" s="176"/>
      <c r="N1251" s="176"/>
      <c r="O1251" s="176"/>
      <c r="P1251" s="155"/>
      <c r="Q1251" s="155"/>
      <c r="R1251" s="155"/>
      <c r="S1251" s="155"/>
      <c r="T1251" s="155"/>
      <c r="U1251" s="155"/>
      <c r="V1251" s="178">
        <f>J1250+V1250</f>
        <v>22.899999976158142</v>
      </c>
      <c r="W1251" s="178"/>
      <c r="X1251" s="178"/>
      <c r="Y1251" s="150">
        <f>Y1250+J1250*S1251</f>
        <v>199.68999934196472</v>
      </c>
      <c r="Z1251" s="150"/>
      <c r="AA1251" s="150"/>
      <c r="AB1251" s="150"/>
      <c r="AC1251" s="177"/>
      <c r="AD1251" s="177"/>
      <c r="AE1251" s="177"/>
      <c r="AF1251" s="179">
        <f>ROUND(IF(G1250="粘性土",MIN((1+V1251/(2*杭先端径))*(Y1251+2*M1250),9*M1250),3*Y1251*AC1250),1)</f>
        <v>599.1</v>
      </c>
      <c r="AG1251" s="179"/>
      <c r="AH1251" s="179"/>
      <c r="AI1251" s="180"/>
      <c r="BB1251" s="116"/>
    </row>
    <row r="1252" spans="1:71" s="89" customFormat="1" ht="15.75" customHeight="1">
      <c r="D1252" s="449"/>
      <c r="E1252" s="449"/>
      <c r="F1252" s="449"/>
      <c r="G1252" s="449"/>
      <c r="H1252" s="118"/>
      <c r="I1252" s="118"/>
      <c r="J1252" s="118"/>
      <c r="K1252" s="118"/>
      <c r="L1252" s="118"/>
      <c r="M1252" s="121"/>
      <c r="N1252" s="122"/>
      <c r="O1252" s="122"/>
      <c r="P1252" s="122"/>
      <c r="Q1252" s="121"/>
      <c r="R1252" s="121"/>
      <c r="S1252" s="121"/>
      <c r="T1252" s="121"/>
      <c r="U1252" s="121"/>
      <c r="V1252" s="121"/>
      <c r="W1252" s="121"/>
      <c r="X1252" s="121"/>
      <c r="Y1252" s="121"/>
      <c r="Z1252" s="450"/>
      <c r="AA1252" s="450"/>
      <c r="AB1252" s="450"/>
      <c r="AC1252" s="122"/>
      <c r="AD1252" s="122"/>
      <c r="AE1252" s="122"/>
      <c r="AF1252" s="449"/>
      <c r="AG1252" s="449"/>
      <c r="AH1252" s="449"/>
      <c r="AI1252" s="449"/>
      <c r="AK1252" s="9"/>
      <c r="AL1252" s="9"/>
      <c r="AM1252" s="9"/>
      <c r="AP1252" s="104"/>
      <c r="AV1252" s="104"/>
      <c r="AY1252" s="104"/>
      <c r="BB1252" s="116"/>
      <c r="BL1252" s="104"/>
      <c r="BS1252" s="104"/>
    </row>
    <row r="1253" spans="1:71" s="116" customFormat="1" ht="15.75" customHeight="1">
      <c r="H1253" s="112"/>
      <c r="I1253" s="112"/>
      <c r="J1253" s="112"/>
      <c r="K1253" s="112"/>
      <c r="L1253" s="112"/>
      <c r="M1253" s="115"/>
      <c r="N1253" s="114"/>
      <c r="O1253" s="114"/>
      <c r="P1253" s="114"/>
      <c r="Q1253" s="115"/>
      <c r="R1253" s="115"/>
      <c r="S1253" s="115"/>
      <c r="T1253" s="115"/>
      <c r="U1253" s="115"/>
      <c r="V1253" s="115"/>
      <c r="W1253" s="115"/>
      <c r="X1253" s="115"/>
      <c r="Y1253" s="115"/>
      <c r="Z1253" s="113"/>
      <c r="AA1253" s="113"/>
      <c r="AB1253" s="113"/>
      <c r="AC1253" s="114"/>
      <c r="AD1253" s="114"/>
      <c r="AE1253" s="114"/>
      <c r="AK1253" s="115"/>
      <c r="AL1253" s="115"/>
      <c r="AM1253" s="115"/>
    </row>
    <row r="1254" spans="1:71" s="116" customFormat="1" ht="15.75" customHeight="1">
      <c r="H1254" s="112"/>
      <c r="I1254" s="112"/>
      <c r="J1254" s="112"/>
      <c r="K1254" s="112"/>
      <c r="L1254" s="112"/>
      <c r="M1254" s="115"/>
      <c r="N1254" s="114"/>
      <c r="O1254" s="114"/>
      <c r="P1254" s="114"/>
      <c r="Q1254" s="115"/>
      <c r="R1254" s="115"/>
      <c r="S1254" s="115"/>
      <c r="T1254" s="115"/>
      <c r="U1254" s="115"/>
      <c r="V1254" s="115"/>
      <c r="W1254" s="115"/>
      <c r="X1254" s="115"/>
      <c r="Y1254" s="115"/>
      <c r="Z1254" s="113"/>
      <c r="AA1254" s="113"/>
      <c r="AB1254" s="113"/>
      <c r="AC1254" s="114"/>
      <c r="AD1254" s="114"/>
      <c r="AE1254" s="114"/>
      <c r="AK1254" s="115"/>
      <c r="AL1254" s="115"/>
      <c r="AM1254" s="115"/>
    </row>
    <row r="1255" spans="1:71" s="116" customFormat="1" ht="15.75" customHeight="1">
      <c r="D1255" s="10" t="s">
        <v>337</v>
      </c>
    </row>
    <row r="1256" spans="1:71" s="116" customFormat="1" ht="15.75" customHeight="1"/>
    <row r="1257" spans="1:71" s="116" customFormat="1" ht="15.75" customHeight="1">
      <c r="E1257" s="116" t="s">
        <v>338</v>
      </c>
    </row>
    <row r="1258" spans="1:71" s="116" customFormat="1" ht="15.75" customHeight="1"/>
    <row r="1259" spans="1:71" s="116" customFormat="1" ht="15.75" customHeight="1">
      <c r="B1259" s="61" t="s">
        <v>604</v>
      </c>
      <c r="C1259" s="61"/>
      <c r="D1259" s="85"/>
      <c r="E1259" s="85"/>
      <c r="F1259" s="85"/>
      <c r="G1259" s="61"/>
      <c r="H1259" s="61"/>
      <c r="I1259" s="61"/>
      <c r="J1259" s="61"/>
      <c r="K1259" s="61"/>
      <c r="L1259" s="61"/>
      <c r="M1259" s="61"/>
      <c r="N1259" s="61"/>
      <c r="O1259" s="61"/>
      <c r="P1259" s="61"/>
      <c r="Q1259" s="61"/>
      <c r="R1259" s="61"/>
      <c r="S1259" s="61"/>
      <c r="T1259" s="61"/>
      <c r="U1259" s="61"/>
      <c r="V1259" s="61"/>
      <c r="W1259" s="61"/>
      <c r="X1259" s="61"/>
      <c r="Y1259" s="61"/>
      <c r="Z1259" s="61"/>
      <c r="AA1259" s="85"/>
      <c r="AB1259" s="85"/>
      <c r="AC1259" s="85"/>
      <c r="AD1259" s="85"/>
      <c r="AE1259" s="85"/>
      <c r="AF1259" s="85"/>
      <c r="AG1259" s="85"/>
      <c r="AH1259" s="85"/>
      <c r="AI1259" s="85"/>
    </row>
    <row r="1260" spans="1:71" s="116" customFormat="1" ht="15.75" customHeight="1">
      <c r="B1260" s="470" t="s">
        <v>8</v>
      </c>
      <c r="C1260" s="471"/>
      <c r="D1260" s="471"/>
      <c r="E1260" s="471" t="s">
        <v>350</v>
      </c>
      <c r="F1260" s="471"/>
      <c r="G1260" s="471"/>
      <c r="H1260" s="472" t="s">
        <v>190</v>
      </c>
      <c r="I1260" s="472"/>
      <c r="J1260" s="472"/>
      <c r="K1260" s="471" t="s">
        <v>596</v>
      </c>
      <c r="L1260" s="471"/>
      <c r="M1260" s="471"/>
      <c r="N1260" s="485"/>
      <c r="O1260" s="394" t="s">
        <v>286</v>
      </c>
      <c r="P1260" s="165"/>
      <c r="Q1260" s="165"/>
      <c r="R1260" s="165"/>
      <c r="S1260" s="165"/>
      <c r="T1260" s="165"/>
      <c r="U1260" s="165" t="s">
        <v>590</v>
      </c>
      <c r="V1260" s="165"/>
      <c r="W1260" s="254"/>
      <c r="X1260" s="224" t="s">
        <v>286</v>
      </c>
      <c r="Y1260" s="165"/>
      <c r="Z1260" s="165"/>
      <c r="AA1260" s="165"/>
      <c r="AB1260" s="165"/>
      <c r="AC1260" s="165"/>
      <c r="AD1260" s="165"/>
      <c r="AE1260" s="165"/>
      <c r="AF1260" s="165"/>
      <c r="AG1260" s="165"/>
      <c r="AH1260" s="165"/>
      <c r="AI1260" s="247"/>
    </row>
    <row r="1261" spans="1:71" s="116" customFormat="1" ht="15.75" customHeight="1">
      <c r="B1261" s="473"/>
      <c r="C1261" s="474"/>
      <c r="D1261" s="474"/>
      <c r="E1261" s="474"/>
      <c r="F1261" s="474"/>
      <c r="G1261" s="474"/>
      <c r="H1261" s="475"/>
      <c r="I1261" s="475"/>
      <c r="J1261" s="475"/>
      <c r="K1261" s="474"/>
      <c r="L1261" s="474"/>
      <c r="M1261" s="474"/>
      <c r="N1261" s="486"/>
      <c r="O1261" s="487" t="s">
        <v>579</v>
      </c>
      <c r="P1261" s="150"/>
      <c r="Q1261" s="150" t="s">
        <v>580</v>
      </c>
      <c r="R1261" s="150"/>
      <c r="S1261" s="150" t="s">
        <v>581</v>
      </c>
      <c r="T1261" s="150"/>
      <c r="U1261" s="208"/>
      <c r="V1261" s="208"/>
      <c r="W1261" s="258"/>
      <c r="X1261" s="477" t="s">
        <v>579</v>
      </c>
      <c r="Y1261" s="150"/>
      <c r="Z1261" s="150"/>
      <c r="AA1261" s="150"/>
      <c r="AB1261" s="150" t="s">
        <v>580</v>
      </c>
      <c r="AC1261" s="150"/>
      <c r="AD1261" s="150"/>
      <c r="AE1261" s="150"/>
      <c r="AF1261" s="150" t="s">
        <v>581</v>
      </c>
      <c r="AG1261" s="150"/>
      <c r="AH1261" s="150"/>
      <c r="AI1261" s="476"/>
    </row>
    <row r="1262" spans="1:71" s="116" customFormat="1" ht="15.75" customHeight="1">
      <c r="A1262" s="120" t="str">
        <f>IF(H1262="","×","")</f>
        <v/>
      </c>
      <c r="B1262" s="224">
        <f>IF(D1222="","",D1222)</f>
        <v>3</v>
      </c>
      <c r="C1262" s="165"/>
      <c r="D1262" s="165"/>
      <c r="E1262" s="165" t="str">
        <f>IF(G1222="","",G1222)</f>
        <v>粘性土</v>
      </c>
      <c r="F1262" s="165"/>
      <c r="G1262" s="165"/>
      <c r="H1262" s="149">
        <f>IF(J1222="","",J1222)</f>
        <v>3</v>
      </c>
      <c r="I1262" s="149"/>
      <c r="J1262" s="149"/>
      <c r="K1262" s="253">
        <f>AF1222*AD$1292</f>
        <v>144.69999999999999</v>
      </c>
      <c r="L1262" s="253"/>
      <c r="M1262" s="253"/>
      <c r="N1262" s="478"/>
      <c r="O1262" s="302">
        <f>IF(E1262="","",IF(E1262="粘性土",1,CHOOSE(AJ$1156,X$1151,X$1152,X$1153)))</f>
        <v>1</v>
      </c>
      <c r="P1262" s="253"/>
      <c r="Q1262" s="253">
        <f>IF(E1262="","",IF(E1262="粘性土",1,CHOOSE(AJ$1156,AB$1151,AB$1152,AB$1153)))</f>
        <v>1</v>
      </c>
      <c r="R1262" s="253"/>
      <c r="S1262" s="253">
        <f>IF(E1262="","",IF(E1262="粘性土",1,CHOOSE(AJ$1156,AF$1151,AF$1152,AF$1153)))</f>
        <v>1</v>
      </c>
      <c r="T1262" s="253"/>
      <c r="U1262" s="488">
        <f>IF(E1262="","",IF(E1262="粘性土",1,R$1169))</f>
        <v>1</v>
      </c>
      <c r="V1262" s="488"/>
      <c r="W1262" s="489"/>
      <c r="X1262" s="252">
        <f>IF(E1262="","",ROUND(K1262*O1262*U1262,1))</f>
        <v>144.69999999999999</v>
      </c>
      <c r="Y1262" s="253"/>
      <c r="Z1262" s="253"/>
      <c r="AA1262" s="253"/>
      <c r="AB1262" s="252">
        <f>IF(E1262="","",ROUND(K1262*Q1262*U1262,1))</f>
        <v>144.69999999999999</v>
      </c>
      <c r="AC1262" s="253"/>
      <c r="AD1262" s="253"/>
      <c r="AE1262" s="253"/>
      <c r="AF1262" s="252">
        <f>IF(E1262="","",ROUND(K1262*S1262*U1262,1))</f>
        <v>144.69999999999999</v>
      </c>
      <c r="AG1262" s="253"/>
      <c r="AH1262" s="253"/>
      <c r="AI1262" s="253"/>
    </row>
    <row r="1263" spans="1:71" s="116" customFormat="1" ht="15.75" customHeight="1">
      <c r="A1263" s="120" t="str">
        <f>A1262</f>
        <v/>
      </c>
      <c r="B1263" s="204"/>
      <c r="C1263" s="205"/>
      <c r="D1263" s="205"/>
      <c r="E1263" s="205"/>
      <c r="F1263" s="205"/>
      <c r="G1263" s="205"/>
      <c r="H1263" s="145"/>
      <c r="I1263" s="145"/>
      <c r="J1263" s="145"/>
      <c r="K1263" s="249">
        <f>AF1223*AD$1292</f>
        <v>180</v>
      </c>
      <c r="L1263" s="249"/>
      <c r="M1263" s="249"/>
      <c r="N1263" s="483"/>
      <c r="O1263" s="305">
        <f>O1262</f>
        <v>1</v>
      </c>
      <c r="P1263" s="249"/>
      <c r="Q1263" s="249">
        <f>Q1262</f>
        <v>1</v>
      </c>
      <c r="R1263" s="249"/>
      <c r="S1263" s="249">
        <f>S1262</f>
        <v>1</v>
      </c>
      <c r="T1263" s="249"/>
      <c r="U1263" s="490">
        <f>U1262</f>
        <v>1</v>
      </c>
      <c r="V1263" s="490"/>
      <c r="W1263" s="491"/>
      <c r="X1263" s="248">
        <f>IF(E1262="","",ROUND(K1263*O1263*U1263,1))</f>
        <v>180</v>
      </c>
      <c r="Y1263" s="249"/>
      <c r="Z1263" s="249"/>
      <c r="AA1263" s="249"/>
      <c r="AB1263" s="248">
        <f>IF(E1262="","",ROUND(K1263*Q1263*U1263,1))</f>
        <v>180</v>
      </c>
      <c r="AC1263" s="249"/>
      <c r="AD1263" s="249"/>
      <c r="AE1263" s="249"/>
      <c r="AF1263" s="248">
        <f>IF(E1262="","",ROUND(K1263*S1263*U1263,1))</f>
        <v>180</v>
      </c>
      <c r="AG1263" s="249"/>
      <c r="AH1263" s="249"/>
      <c r="AI1263" s="249"/>
    </row>
    <row r="1264" spans="1:71" s="116" customFormat="1" ht="15.75" customHeight="1">
      <c r="A1264" s="120" t="str">
        <f>IF(H1264="","×","")</f>
        <v/>
      </c>
      <c r="B1264" s="204">
        <f>IF(D1224="","",D1224)</f>
        <v>4</v>
      </c>
      <c r="C1264" s="205"/>
      <c r="D1264" s="205"/>
      <c r="E1264" s="205" t="str">
        <f>IF(G1224="","",G1224)</f>
        <v>砂質土</v>
      </c>
      <c r="F1264" s="205"/>
      <c r="G1264" s="205"/>
      <c r="H1264" s="145">
        <f>IF(J1224="","",J1224)</f>
        <v>5</v>
      </c>
      <c r="I1264" s="145"/>
      <c r="J1264" s="145"/>
      <c r="K1264" s="249">
        <f>AF1224*AD$1292</f>
        <v>668.3</v>
      </c>
      <c r="L1264" s="249"/>
      <c r="M1264" s="249"/>
      <c r="N1264" s="483"/>
      <c r="O1264" s="305">
        <f>IF(E1264="","",IF(E1264="粘性土",1,CHOOSE(AJ$1156,X$1151,X$1152,X$1153)))</f>
        <v>1</v>
      </c>
      <c r="P1264" s="249"/>
      <c r="Q1264" s="249">
        <f>IF(E1264="","",IF(E1264="粘性土",1,CHOOSE(AJ$1156,AB$1151,AB$1152,AB$1153)))</f>
        <v>0.5</v>
      </c>
      <c r="R1264" s="249"/>
      <c r="S1264" s="249">
        <f>IF(E1264="","",IF(E1264="粘性土",1,CHOOSE(AJ$1156,AF$1151,AF$1152,AF$1153)))</f>
        <v>0.4</v>
      </c>
      <c r="T1264" s="249"/>
      <c r="U1264" s="490">
        <f>IF(E1264="","",IF(E1264="粘性土",1,R$1169))</f>
        <v>0.94</v>
      </c>
      <c r="V1264" s="490"/>
      <c r="W1264" s="491"/>
      <c r="X1264" s="248">
        <f>IF(E1264="","",ROUND(K1264*O1264*U1264,1))</f>
        <v>628.20000000000005</v>
      </c>
      <c r="Y1264" s="249"/>
      <c r="Z1264" s="249"/>
      <c r="AA1264" s="249"/>
      <c r="AB1264" s="248">
        <f>IF(E1264="","",ROUND(K1264*Q1264*U1264,1))</f>
        <v>314.10000000000002</v>
      </c>
      <c r="AC1264" s="249"/>
      <c r="AD1264" s="249"/>
      <c r="AE1264" s="249"/>
      <c r="AF1264" s="248">
        <f>IF(E1264="","",ROUND(K1264*S1264*U1264,1))</f>
        <v>251.3</v>
      </c>
      <c r="AG1264" s="249"/>
      <c r="AH1264" s="249"/>
      <c r="AI1264" s="249"/>
    </row>
    <row r="1265" spans="1:35" s="116" customFormat="1" ht="15.75" customHeight="1">
      <c r="A1265" s="120" t="str">
        <f>A1264</f>
        <v/>
      </c>
      <c r="B1265" s="204"/>
      <c r="C1265" s="205"/>
      <c r="D1265" s="205"/>
      <c r="E1265" s="205"/>
      <c r="F1265" s="205"/>
      <c r="G1265" s="205"/>
      <c r="H1265" s="145"/>
      <c r="I1265" s="145"/>
      <c r="J1265" s="145"/>
      <c r="K1265" s="249">
        <f>AF1225*AD$1292</f>
        <v>1151.9000000000001</v>
      </c>
      <c r="L1265" s="249"/>
      <c r="M1265" s="249"/>
      <c r="N1265" s="483"/>
      <c r="O1265" s="305">
        <f>O1264</f>
        <v>1</v>
      </c>
      <c r="P1265" s="249"/>
      <c r="Q1265" s="249">
        <f>Q1264</f>
        <v>0.5</v>
      </c>
      <c r="R1265" s="249"/>
      <c r="S1265" s="249">
        <f>S1264</f>
        <v>0.4</v>
      </c>
      <c r="T1265" s="249"/>
      <c r="U1265" s="490">
        <f>U1264</f>
        <v>0.94</v>
      </c>
      <c r="V1265" s="490"/>
      <c r="W1265" s="491"/>
      <c r="X1265" s="248">
        <f>IF(E1264="","",ROUND(K1265*O1265*U1265,1))</f>
        <v>1082.8</v>
      </c>
      <c r="Y1265" s="249"/>
      <c r="Z1265" s="249"/>
      <c r="AA1265" s="249"/>
      <c r="AB1265" s="248">
        <f>IF(E1264="","",ROUND(K1265*Q1265*U1265,1))</f>
        <v>541.4</v>
      </c>
      <c r="AC1265" s="249"/>
      <c r="AD1265" s="249"/>
      <c r="AE1265" s="249"/>
      <c r="AF1265" s="248">
        <f>IF(E1264="","",ROUND(K1265*S1265*U1265,1))</f>
        <v>433.1</v>
      </c>
      <c r="AG1265" s="249"/>
      <c r="AH1265" s="249"/>
      <c r="AI1265" s="249"/>
    </row>
    <row r="1266" spans="1:35" s="116" customFormat="1" ht="15.75" customHeight="1">
      <c r="A1266" s="120" t="str">
        <f>IF(H1266="","×","")</f>
        <v/>
      </c>
      <c r="B1266" s="204">
        <f>IF(D1226="","",D1226)</f>
        <v>5</v>
      </c>
      <c r="C1266" s="205"/>
      <c r="D1266" s="205"/>
      <c r="E1266" s="205" t="str">
        <f>IF(G1226="","",G1226)</f>
        <v>粘性土</v>
      </c>
      <c r="F1266" s="205"/>
      <c r="G1266" s="205"/>
      <c r="H1266" s="145">
        <f>IF(J1226="","",J1226)</f>
        <v>8</v>
      </c>
      <c r="I1266" s="145"/>
      <c r="J1266" s="145"/>
      <c r="K1266" s="249">
        <f>AF1226*AD$1292</f>
        <v>562.5</v>
      </c>
      <c r="L1266" s="249"/>
      <c r="M1266" s="249"/>
      <c r="N1266" s="483"/>
      <c r="O1266" s="305">
        <f>IF(E1266="","",IF(E1266="粘性土",1,CHOOSE(AJ$1156,X$1151,X$1152,X$1153)))</f>
        <v>1</v>
      </c>
      <c r="P1266" s="249"/>
      <c r="Q1266" s="249">
        <f>IF(E1266="","",IF(E1266="粘性土",1,CHOOSE(AJ$1156,AB$1151,AB$1152,AB$1153)))</f>
        <v>1</v>
      </c>
      <c r="R1266" s="249"/>
      <c r="S1266" s="249">
        <f>IF(E1266="","",IF(E1266="粘性土",1,CHOOSE(AJ$1156,AF$1151,AF$1152,AF$1153)))</f>
        <v>1</v>
      </c>
      <c r="T1266" s="249"/>
      <c r="U1266" s="490">
        <f t="shared" ref="U1266" si="110">IF(E1266="","",IF(E1266="粘性土",1,R$1169))</f>
        <v>1</v>
      </c>
      <c r="V1266" s="490"/>
      <c r="W1266" s="491"/>
      <c r="X1266" s="248">
        <f>IF(E1266="","",ROUND(K1266*O1266*U1266,1))</f>
        <v>562.5</v>
      </c>
      <c r="Y1266" s="249"/>
      <c r="Z1266" s="249"/>
      <c r="AA1266" s="249"/>
      <c r="AB1266" s="248">
        <f>IF(E1266="","",ROUND(K1266*Q1266*U1266,1))</f>
        <v>562.5</v>
      </c>
      <c r="AC1266" s="249"/>
      <c r="AD1266" s="249"/>
      <c r="AE1266" s="249"/>
      <c r="AF1266" s="248">
        <f>IF(E1266="","",ROUND(K1266*S1266*U1266,1))</f>
        <v>562.5</v>
      </c>
      <c r="AG1266" s="249"/>
      <c r="AH1266" s="249"/>
      <c r="AI1266" s="249"/>
    </row>
    <row r="1267" spans="1:35" s="116" customFormat="1" ht="15.75" customHeight="1">
      <c r="A1267" s="120" t="str">
        <f>A1266</f>
        <v/>
      </c>
      <c r="B1267" s="204"/>
      <c r="C1267" s="205"/>
      <c r="D1267" s="205"/>
      <c r="E1267" s="205"/>
      <c r="F1267" s="205"/>
      <c r="G1267" s="205"/>
      <c r="H1267" s="145"/>
      <c r="I1267" s="145"/>
      <c r="J1267" s="145"/>
      <c r="K1267" s="249">
        <f>AF1227*AD$1292</f>
        <v>562.5</v>
      </c>
      <c r="L1267" s="249"/>
      <c r="M1267" s="249"/>
      <c r="N1267" s="483"/>
      <c r="O1267" s="305">
        <f>O1266</f>
        <v>1</v>
      </c>
      <c r="P1267" s="249"/>
      <c r="Q1267" s="249">
        <f>Q1266</f>
        <v>1</v>
      </c>
      <c r="R1267" s="249"/>
      <c r="S1267" s="249">
        <f>S1266</f>
        <v>1</v>
      </c>
      <c r="T1267" s="249"/>
      <c r="U1267" s="490">
        <f t="shared" ref="U1267" si="111">U1266</f>
        <v>1</v>
      </c>
      <c r="V1267" s="490"/>
      <c r="W1267" s="491"/>
      <c r="X1267" s="248">
        <f>IF(E1266="","",ROUND(K1267*O1267*U1267,1))</f>
        <v>562.5</v>
      </c>
      <c r="Y1267" s="249"/>
      <c r="Z1267" s="249"/>
      <c r="AA1267" s="249"/>
      <c r="AB1267" s="248">
        <f>IF(E1266="","",ROUND(K1267*Q1267*U1267,1))</f>
        <v>562.5</v>
      </c>
      <c r="AC1267" s="249"/>
      <c r="AD1267" s="249"/>
      <c r="AE1267" s="249"/>
      <c r="AF1267" s="248">
        <f>IF(E1266="","",ROUND(K1267*S1267*U1267,1))</f>
        <v>562.5</v>
      </c>
      <c r="AG1267" s="249"/>
      <c r="AH1267" s="249"/>
      <c r="AI1267" s="249"/>
    </row>
    <row r="1268" spans="1:35" s="116" customFormat="1" ht="15.75" customHeight="1">
      <c r="A1268" s="120" t="str">
        <f>IF(H1268="","×","")</f>
        <v/>
      </c>
      <c r="B1268" s="204">
        <f>IF(D1228="","",D1228)</f>
        <v>6</v>
      </c>
      <c r="C1268" s="205"/>
      <c r="D1268" s="205"/>
      <c r="E1268" s="205" t="str">
        <f>IF(G1228="","",G1228)</f>
        <v>粘性土</v>
      </c>
      <c r="F1268" s="205"/>
      <c r="G1268" s="205"/>
      <c r="H1268" s="145">
        <f>IF(J1228="","",J1228)</f>
        <v>4.5</v>
      </c>
      <c r="I1268" s="145"/>
      <c r="J1268" s="145"/>
      <c r="K1268" s="249">
        <f>AF1228*AD$1292</f>
        <v>1125</v>
      </c>
      <c r="L1268" s="249"/>
      <c r="M1268" s="249"/>
      <c r="N1268" s="483"/>
      <c r="O1268" s="305">
        <f>IF(E1268="","",IF(E1268="粘性土",1,CHOOSE(AJ$1156,X$1151,X$1152,X$1153)))</f>
        <v>1</v>
      </c>
      <c r="P1268" s="249"/>
      <c r="Q1268" s="249">
        <f>IF(E1268="","",IF(E1268="粘性土",1,CHOOSE(AJ$1156,AB$1151,AB$1152,AB$1153)))</f>
        <v>1</v>
      </c>
      <c r="R1268" s="249"/>
      <c r="S1268" s="249">
        <f>IF(E1268="","",IF(E1268="粘性土",1,CHOOSE(AJ$1156,AF$1151,AF$1152,AF$1153)))</f>
        <v>1</v>
      </c>
      <c r="T1268" s="249"/>
      <c r="U1268" s="490">
        <f t="shared" ref="U1268" si="112">IF(E1268="","",IF(E1268="粘性土",1,R$1169))</f>
        <v>1</v>
      </c>
      <c r="V1268" s="490"/>
      <c r="W1268" s="491"/>
      <c r="X1268" s="248">
        <f>IF(E1268="","",ROUND(K1268*O1268*U1268,1))</f>
        <v>1125</v>
      </c>
      <c r="Y1268" s="249"/>
      <c r="Z1268" s="249"/>
      <c r="AA1268" s="249"/>
      <c r="AB1268" s="248">
        <f>IF(E1268="","",ROUND(K1268*Q1268*U1268,1))</f>
        <v>1125</v>
      </c>
      <c r="AC1268" s="249"/>
      <c r="AD1268" s="249"/>
      <c r="AE1268" s="249"/>
      <c r="AF1268" s="248">
        <f>IF(E1268="","",ROUND(K1268*S1268*U1268,1))</f>
        <v>1125</v>
      </c>
      <c r="AG1268" s="249"/>
      <c r="AH1268" s="249"/>
      <c r="AI1268" s="249"/>
    </row>
    <row r="1269" spans="1:35" s="116" customFormat="1" ht="15.75" customHeight="1">
      <c r="A1269" s="120" t="str">
        <f>A1268</f>
        <v/>
      </c>
      <c r="B1269" s="204"/>
      <c r="C1269" s="205"/>
      <c r="D1269" s="205"/>
      <c r="E1269" s="205"/>
      <c r="F1269" s="205"/>
      <c r="G1269" s="205"/>
      <c r="H1269" s="145"/>
      <c r="I1269" s="145"/>
      <c r="J1269" s="145"/>
      <c r="K1269" s="249">
        <f>AF1229*AD$1292</f>
        <v>1125</v>
      </c>
      <c r="L1269" s="249"/>
      <c r="M1269" s="249"/>
      <c r="N1269" s="483"/>
      <c r="O1269" s="305">
        <f>O1268</f>
        <v>1</v>
      </c>
      <c r="P1269" s="249"/>
      <c r="Q1269" s="249">
        <f>Q1268</f>
        <v>1</v>
      </c>
      <c r="R1269" s="249"/>
      <c r="S1269" s="249">
        <f>S1268</f>
        <v>1</v>
      </c>
      <c r="T1269" s="249"/>
      <c r="U1269" s="490">
        <f t="shared" ref="U1269" si="113">U1268</f>
        <v>1</v>
      </c>
      <c r="V1269" s="490"/>
      <c r="W1269" s="491"/>
      <c r="X1269" s="248">
        <f>IF(E1268="","",ROUND(K1269*O1269*U1269,1))</f>
        <v>1125</v>
      </c>
      <c r="Y1269" s="249"/>
      <c r="Z1269" s="249"/>
      <c r="AA1269" s="249"/>
      <c r="AB1269" s="248">
        <f>IF(E1268="","",ROUND(K1269*Q1269*U1269,1))</f>
        <v>1125</v>
      </c>
      <c r="AC1269" s="249"/>
      <c r="AD1269" s="249"/>
      <c r="AE1269" s="249"/>
      <c r="AF1269" s="248">
        <f>IF(E1268="","",ROUND(K1269*S1269*U1269,1))</f>
        <v>1125</v>
      </c>
      <c r="AG1269" s="249"/>
      <c r="AH1269" s="249"/>
      <c r="AI1269" s="249"/>
    </row>
    <row r="1270" spans="1:35" s="116" customFormat="1" ht="15.75" customHeight="1">
      <c r="A1270" s="120" t="str">
        <f>IF(H1270="","×","")</f>
        <v/>
      </c>
      <c r="B1270" s="204">
        <f>IF(D1230="","",D1230)</f>
        <v>7</v>
      </c>
      <c r="C1270" s="205"/>
      <c r="D1270" s="205"/>
      <c r="E1270" s="205" t="str">
        <f>IF(G1230="","",G1230)</f>
        <v>砂礫</v>
      </c>
      <c r="F1270" s="205"/>
      <c r="G1270" s="205"/>
      <c r="H1270" s="145">
        <f>IF(J1230="","",J1230)</f>
        <v>0.5</v>
      </c>
      <c r="I1270" s="145"/>
      <c r="J1270" s="145"/>
      <c r="K1270" s="249">
        <f>AF1230*AD$1292</f>
        <v>2359.9</v>
      </c>
      <c r="L1270" s="249"/>
      <c r="M1270" s="249"/>
      <c r="N1270" s="483"/>
      <c r="O1270" s="305">
        <f>IF(E1270="","",IF(E1270="粘性土",1,CHOOSE(AJ$1156,X$1151,X$1152,X$1153)))</f>
        <v>1</v>
      </c>
      <c r="P1270" s="249"/>
      <c r="Q1270" s="249">
        <f>IF(E1270="","",IF(E1270="粘性土",1,CHOOSE(AJ$1156,AB$1151,AB$1152,AB$1153)))</f>
        <v>0.5</v>
      </c>
      <c r="R1270" s="249"/>
      <c r="S1270" s="249">
        <f>IF(E1270="","",IF(E1270="粘性土",1,CHOOSE(AJ$1156,AF$1151,AF$1152,AF$1153)))</f>
        <v>0.4</v>
      </c>
      <c r="T1270" s="249"/>
      <c r="U1270" s="490">
        <f t="shared" ref="U1270" si="114">IF(E1270="","",IF(E1270="粘性土",1,R$1169))</f>
        <v>0.94</v>
      </c>
      <c r="V1270" s="490"/>
      <c r="W1270" s="491"/>
      <c r="X1270" s="248">
        <f>IF(E1270="","",ROUND(K1270*O1270*U1270,1))</f>
        <v>2218.3000000000002</v>
      </c>
      <c r="Y1270" s="249"/>
      <c r="Z1270" s="249"/>
      <c r="AA1270" s="249"/>
      <c r="AB1270" s="248">
        <f>IF(E1270="","",ROUND(K1270*Q1270*U1270,1))</f>
        <v>1109.2</v>
      </c>
      <c r="AC1270" s="249"/>
      <c r="AD1270" s="249"/>
      <c r="AE1270" s="249"/>
      <c r="AF1270" s="248">
        <f>IF(E1270="","",ROUND(K1270*S1270*U1270,1))</f>
        <v>887.3</v>
      </c>
      <c r="AG1270" s="249"/>
      <c r="AH1270" s="249"/>
      <c r="AI1270" s="249"/>
    </row>
    <row r="1271" spans="1:35" s="116" customFormat="1" ht="15.75" customHeight="1">
      <c r="A1271" s="120" t="str">
        <f>A1270</f>
        <v/>
      </c>
      <c r="B1271" s="204"/>
      <c r="C1271" s="205"/>
      <c r="D1271" s="205"/>
      <c r="E1271" s="205"/>
      <c r="F1271" s="205"/>
      <c r="G1271" s="205"/>
      <c r="H1271" s="145"/>
      <c r="I1271" s="145"/>
      <c r="J1271" s="145"/>
      <c r="K1271" s="249">
        <f>AF1231*AD$1292</f>
        <v>2420.5</v>
      </c>
      <c r="L1271" s="249"/>
      <c r="M1271" s="249"/>
      <c r="N1271" s="483"/>
      <c r="O1271" s="305">
        <f>O1270</f>
        <v>1</v>
      </c>
      <c r="P1271" s="249"/>
      <c r="Q1271" s="249">
        <f>Q1270</f>
        <v>0.5</v>
      </c>
      <c r="R1271" s="249"/>
      <c r="S1271" s="249">
        <f>S1270</f>
        <v>0.4</v>
      </c>
      <c r="T1271" s="249"/>
      <c r="U1271" s="490">
        <f t="shared" ref="U1271" si="115">U1270</f>
        <v>0.94</v>
      </c>
      <c r="V1271" s="490"/>
      <c r="W1271" s="491"/>
      <c r="X1271" s="248">
        <f>IF(E1270="","",ROUND(K1271*O1271*U1271,1))</f>
        <v>2275.3000000000002</v>
      </c>
      <c r="Y1271" s="249"/>
      <c r="Z1271" s="249"/>
      <c r="AA1271" s="249"/>
      <c r="AB1271" s="248">
        <f>IF(E1270="","",ROUND(K1271*Q1271*U1271,1))</f>
        <v>1137.5999999999999</v>
      </c>
      <c r="AC1271" s="249"/>
      <c r="AD1271" s="249"/>
      <c r="AE1271" s="249"/>
      <c r="AF1271" s="248">
        <f>IF(E1270="","",ROUND(K1271*S1271*U1271,1))</f>
        <v>910.1</v>
      </c>
      <c r="AG1271" s="249"/>
      <c r="AH1271" s="249"/>
      <c r="AI1271" s="249"/>
    </row>
    <row r="1272" spans="1:35" s="116" customFormat="1" ht="15.75" hidden="1" customHeight="1">
      <c r="A1272" s="120" t="str">
        <f>IF(H1272="","×","")</f>
        <v>×</v>
      </c>
      <c r="B1272" s="204" t="str">
        <f>IF(D1232="","",D1232)</f>
        <v/>
      </c>
      <c r="C1272" s="205"/>
      <c r="D1272" s="205"/>
      <c r="E1272" s="205" t="str">
        <f>IF(G1232="","",G1232)</f>
        <v/>
      </c>
      <c r="F1272" s="205"/>
      <c r="G1272" s="205"/>
      <c r="H1272" s="145" t="str">
        <f>IF(J1232="","",J1232)</f>
        <v/>
      </c>
      <c r="I1272" s="145"/>
      <c r="J1272" s="145"/>
      <c r="K1272" s="249">
        <f>AF1232*AD$1292</f>
        <v>599.1</v>
      </c>
      <c r="L1272" s="249"/>
      <c r="M1272" s="249"/>
      <c r="N1272" s="483"/>
      <c r="O1272" s="305" t="str">
        <f>IF(E1272="","",IF(E1272="粘性土",1,CHOOSE(AJ$1156,X$1151,X$1152,X$1153)))</f>
        <v/>
      </c>
      <c r="P1272" s="249"/>
      <c r="Q1272" s="249" t="str">
        <f>IF(E1272="","",IF(E1272="粘性土",1,CHOOSE(AJ$1156,AB$1151,AB$1152,AB$1153)))</f>
        <v/>
      </c>
      <c r="R1272" s="249"/>
      <c r="S1272" s="249" t="str">
        <f>IF(E1272="","",IF(E1272="粘性土",1,CHOOSE(AJ$1156,AF$1151,AF$1152,AF$1153)))</f>
        <v/>
      </c>
      <c r="T1272" s="249"/>
      <c r="U1272" s="490" t="str">
        <f t="shared" ref="U1272" si="116">IF(E1272="","",IF(E1272="粘性土",1,R$1169))</f>
        <v/>
      </c>
      <c r="V1272" s="490"/>
      <c r="W1272" s="491"/>
      <c r="X1272" s="248" t="str">
        <f>IF(E1272="","",ROUND(K1272*O1272*U1272,1))</f>
        <v/>
      </c>
      <c r="Y1272" s="249"/>
      <c r="Z1272" s="249"/>
      <c r="AA1272" s="249"/>
      <c r="AB1272" s="248" t="str">
        <f>IF(E1272="","",ROUND(K1272*Q1272*U1272,1))</f>
        <v/>
      </c>
      <c r="AC1272" s="249"/>
      <c r="AD1272" s="249"/>
      <c r="AE1272" s="249"/>
      <c r="AF1272" s="248" t="str">
        <f>IF(E1272="","",ROUND(K1272*S1272*U1272,1))</f>
        <v/>
      </c>
      <c r="AG1272" s="249"/>
      <c r="AH1272" s="249"/>
      <c r="AI1272" s="249"/>
    </row>
    <row r="1273" spans="1:35" s="116" customFormat="1" ht="15.75" hidden="1" customHeight="1">
      <c r="A1273" s="120" t="str">
        <f>A1272</f>
        <v>×</v>
      </c>
      <c r="B1273" s="204"/>
      <c r="C1273" s="205"/>
      <c r="D1273" s="205"/>
      <c r="E1273" s="205"/>
      <c r="F1273" s="205"/>
      <c r="G1273" s="205"/>
      <c r="H1273" s="145"/>
      <c r="I1273" s="145"/>
      <c r="J1273" s="145"/>
      <c r="K1273" s="249">
        <f>AF1233*AD$1292</f>
        <v>599.1</v>
      </c>
      <c r="L1273" s="249"/>
      <c r="M1273" s="249"/>
      <c r="N1273" s="483"/>
      <c r="O1273" s="305" t="str">
        <f>O1272</f>
        <v/>
      </c>
      <c r="P1273" s="249"/>
      <c r="Q1273" s="249" t="str">
        <f>Q1272</f>
        <v/>
      </c>
      <c r="R1273" s="249"/>
      <c r="S1273" s="249" t="str">
        <f>S1272</f>
        <v/>
      </c>
      <c r="T1273" s="249"/>
      <c r="U1273" s="490" t="str">
        <f t="shared" ref="U1273" si="117">U1272</f>
        <v/>
      </c>
      <c r="V1273" s="490"/>
      <c r="W1273" s="491"/>
      <c r="X1273" s="248" t="str">
        <f>IF(E1272="","",ROUND(K1273*O1273*U1273,1))</f>
        <v/>
      </c>
      <c r="Y1273" s="249"/>
      <c r="Z1273" s="249"/>
      <c r="AA1273" s="249"/>
      <c r="AB1273" s="248" t="str">
        <f>IF(E1272="","",ROUND(K1273*Q1273*U1273,1))</f>
        <v/>
      </c>
      <c r="AC1273" s="249"/>
      <c r="AD1273" s="249"/>
      <c r="AE1273" s="249"/>
      <c r="AF1273" s="248" t="str">
        <f>IF(E1272="","",ROUND(K1273*S1273*U1273,1))</f>
        <v/>
      </c>
      <c r="AG1273" s="249"/>
      <c r="AH1273" s="249"/>
      <c r="AI1273" s="249"/>
    </row>
    <row r="1274" spans="1:35" s="116" customFormat="1" ht="15.75" hidden="1" customHeight="1">
      <c r="A1274" s="120" t="str">
        <f>IF(H1274="","×","")</f>
        <v>×</v>
      </c>
      <c r="B1274" s="204" t="str">
        <f>IF(D1234="","",D1234)</f>
        <v/>
      </c>
      <c r="C1274" s="205"/>
      <c r="D1274" s="205"/>
      <c r="E1274" s="205" t="str">
        <f>IF(G1234="","",G1234)</f>
        <v/>
      </c>
      <c r="F1274" s="205"/>
      <c r="G1274" s="205"/>
      <c r="H1274" s="145" t="str">
        <f>IF(J1234="","",J1234)</f>
        <v/>
      </c>
      <c r="I1274" s="145"/>
      <c r="J1274" s="145"/>
      <c r="K1274" s="249">
        <f>AF1234*AD$1292</f>
        <v>599.1</v>
      </c>
      <c r="L1274" s="249"/>
      <c r="M1274" s="249"/>
      <c r="N1274" s="483"/>
      <c r="O1274" s="305" t="str">
        <f t="shared" ref="O1274" si="118">IF(E1274="","",IF(E1274="粘性土",1,CHOOSE(AJ$1156,X$1151,X$1152,X$1153)))</f>
        <v/>
      </c>
      <c r="P1274" s="249"/>
      <c r="Q1274" s="249" t="str">
        <f t="shared" ref="Q1274" si="119">IF(E1274="","",IF(E1274="粘性土",1,CHOOSE(AJ$1156,AB$1151,AB$1152,AB$1153)))</f>
        <v/>
      </c>
      <c r="R1274" s="249"/>
      <c r="S1274" s="249" t="str">
        <f t="shared" ref="S1274" si="120">IF(E1274="","",IF(E1274="粘性土",1,CHOOSE(AJ$1156,AF$1151,AF$1152,AF$1153)))</f>
        <v/>
      </c>
      <c r="T1274" s="249"/>
      <c r="U1274" s="490" t="str">
        <f t="shared" ref="U1274" si="121">IF(E1274="","",IF(E1274="粘性土",1,R$1169))</f>
        <v/>
      </c>
      <c r="V1274" s="490"/>
      <c r="W1274" s="491"/>
      <c r="X1274" s="248" t="str">
        <f>IF(E1274="","",ROUND(K1274*O1274*U1274,1))</f>
        <v/>
      </c>
      <c r="Y1274" s="249"/>
      <c r="Z1274" s="249"/>
      <c r="AA1274" s="249"/>
      <c r="AB1274" s="248" t="str">
        <f>IF(E1274="","",ROUND(K1274*Q1274*U1274,1))</f>
        <v/>
      </c>
      <c r="AC1274" s="249"/>
      <c r="AD1274" s="249"/>
      <c r="AE1274" s="249"/>
      <c r="AF1274" s="248" t="str">
        <f>IF(E1274="","",ROUND(K1274*S1274*U1274,1))</f>
        <v/>
      </c>
      <c r="AG1274" s="249"/>
      <c r="AH1274" s="249"/>
      <c r="AI1274" s="249"/>
    </row>
    <row r="1275" spans="1:35" s="116" customFormat="1" ht="15.75" hidden="1" customHeight="1">
      <c r="A1275" s="120" t="str">
        <f>A1274</f>
        <v>×</v>
      </c>
      <c r="B1275" s="204"/>
      <c r="C1275" s="205"/>
      <c r="D1275" s="205"/>
      <c r="E1275" s="205"/>
      <c r="F1275" s="205"/>
      <c r="G1275" s="205"/>
      <c r="H1275" s="145"/>
      <c r="I1275" s="145"/>
      <c r="J1275" s="145"/>
      <c r="K1275" s="249">
        <f>AF1235*AD$1292</f>
        <v>599.1</v>
      </c>
      <c r="L1275" s="249"/>
      <c r="M1275" s="249"/>
      <c r="N1275" s="483"/>
      <c r="O1275" s="305" t="str">
        <f t="shared" ref="O1275" si="122">O1274</f>
        <v/>
      </c>
      <c r="P1275" s="249"/>
      <c r="Q1275" s="249" t="str">
        <f t="shared" ref="Q1275" si="123">Q1274</f>
        <v/>
      </c>
      <c r="R1275" s="249"/>
      <c r="S1275" s="249" t="str">
        <f t="shared" ref="S1275" si="124">S1274</f>
        <v/>
      </c>
      <c r="T1275" s="249"/>
      <c r="U1275" s="490" t="str">
        <f t="shared" ref="U1275" si="125">U1274</f>
        <v/>
      </c>
      <c r="V1275" s="490"/>
      <c r="W1275" s="491"/>
      <c r="X1275" s="248" t="str">
        <f>IF(E1274="","",ROUND(K1275*O1275*U1275,1))</f>
        <v/>
      </c>
      <c r="Y1275" s="249"/>
      <c r="Z1275" s="249"/>
      <c r="AA1275" s="249"/>
      <c r="AB1275" s="248" t="str">
        <f>IF(E1274="","",ROUND(K1275*Q1275*U1275,1))</f>
        <v/>
      </c>
      <c r="AC1275" s="249"/>
      <c r="AD1275" s="249"/>
      <c r="AE1275" s="249"/>
      <c r="AF1275" s="248" t="str">
        <f>IF(E1274="","",ROUND(K1275*S1275*U1275,1))</f>
        <v/>
      </c>
      <c r="AG1275" s="249"/>
      <c r="AH1275" s="249"/>
      <c r="AI1275" s="249"/>
    </row>
    <row r="1276" spans="1:35" s="116" customFormat="1" ht="15.75" hidden="1" customHeight="1">
      <c r="A1276" s="120" t="str">
        <f>IF(H1276="","×","")</f>
        <v>×</v>
      </c>
      <c r="B1276" s="204" t="str">
        <f>IF(D1236="","",D1236)</f>
        <v/>
      </c>
      <c r="C1276" s="205"/>
      <c r="D1276" s="205"/>
      <c r="E1276" s="205" t="str">
        <f>IF(G1236="","",G1236)</f>
        <v/>
      </c>
      <c r="F1276" s="205"/>
      <c r="G1276" s="205"/>
      <c r="H1276" s="145" t="str">
        <f>IF(J1236="","",J1236)</f>
        <v/>
      </c>
      <c r="I1276" s="145"/>
      <c r="J1276" s="145"/>
      <c r="K1276" s="249">
        <f>AF1236*AD$1292</f>
        <v>599.1</v>
      </c>
      <c r="L1276" s="249"/>
      <c r="M1276" s="249"/>
      <c r="N1276" s="483"/>
      <c r="O1276" s="305" t="str">
        <f t="shared" ref="O1276" si="126">IF(E1276="","",IF(E1276="粘性土",1,CHOOSE(AJ$1156,X$1151,X$1152,X$1153)))</f>
        <v/>
      </c>
      <c r="P1276" s="249"/>
      <c r="Q1276" s="249" t="str">
        <f t="shared" ref="Q1276" si="127">IF(E1276="","",IF(E1276="粘性土",1,CHOOSE(AJ$1156,AB$1151,AB$1152,AB$1153)))</f>
        <v/>
      </c>
      <c r="R1276" s="249"/>
      <c r="S1276" s="249" t="str">
        <f t="shared" ref="S1276" si="128">IF(E1276="","",IF(E1276="粘性土",1,CHOOSE(AJ$1156,AF$1151,AF$1152,AF$1153)))</f>
        <v/>
      </c>
      <c r="T1276" s="249"/>
      <c r="U1276" s="490" t="str">
        <f t="shared" ref="U1276" si="129">IF(E1276="","",IF(E1276="粘性土",1,R$1169))</f>
        <v/>
      </c>
      <c r="V1276" s="490"/>
      <c r="W1276" s="491"/>
      <c r="X1276" s="248" t="str">
        <f>IF(E1276="","",ROUND(K1276*O1276*U1276,1))</f>
        <v/>
      </c>
      <c r="Y1276" s="249"/>
      <c r="Z1276" s="249"/>
      <c r="AA1276" s="249"/>
      <c r="AB1276" s="248" t="str">
        <f>IF(E1276="","",ROUND(K1276*Q1276*U1276,1))</f>
        <v/>
      </c>
      <c r="AC1276" s="249"/>
      <c r="AD1276" s="249"/>
      <c r="AE1276" s="249"/>
      <c r="AF1276" s="248" t="str">
        <f>IF(E1276="","",ROUND(K1276*S1276*U1276,1))</f>
        <v/>
      </c>
      <c r="AG1276" s="249"/>
      <c r="AH1276" s="249"/>
      <c r="AI1276" s="249"/>
    </row>
    <row r="1277" spans="1:35" s="116" customFormat="1" ht="15.75" hidden="1" customHeight="1">
      <c r="A1277" s="120" t="str">
        <f>A1276</f>
        <v>×</v>
      </c>
      <c r="B1277" s="204"/>
      <c r="C1277" s="205"/>
      <c r="D1277" s="205"/>
      <c r="E1277" s="205"/>
      <c r="F1277" s="205"/>
      <c r="G1277" s="205"/>
      <c r="H1277" s="145"/>
      <c r="I1277" s="145"/>
      <c r="J1277" s="145"/>
      <c r="K1277" s="249">
        <f>AF1237*AD$1292</f>
        <v>599.1</v>
      </c>
      <c r="L1277" s="249"/>
      <c r="M1277" s="249"/>
      <c r="N1277" s="483"/>
      <c r="O1277" s="305" t="str">
        <f t="shared" ref="O1277" si="130">O1276</f>
        <v/>
      </c>
      <c r="P1277" s="249"/>
      <c r="Q1277" s="249" t="str">
        <f t="shared" ref="Q1277" si="131">Q1276</f>
        <v/>
      </c>
      <c r="R1277" s="249"/>
      <c r="S1277" s="249" t="str">
        <f t="shared" ref="S1277" si="132">S1276</f>
        <v/>
      </c>
      <c r="T1277" s="249"/>
      <c r="U1277" s="490" t="str">
        <f>IF(E1277="","",IF(E1277="粘性土",1,R$1169))</f>
        <v/>
      </c>
      <c r="V1277" s="490"/>
      <c r="W1277" s="491"/>
      <c r="X1277" s="248" t="str">
        <f>IF(E1276="","",ROUND(K1277*O1277*U1277,1))</f>
        <v/>
      </c>
      <c r="Y1277" s="249"/>
      <c r="Z1277" s="249"/>
      <c r="AA1277" s="249"/>
      <c r="AB1277" s="248" t="str">
        <f>IF(E1276="","",ROUND(K1277*Q1277*U1277,1))</f>
        <v/>
      </c>
      <c r="AC1277" s="249"/>
      <c r="AD1277" s="249"/>
      <c r="AE1277" s="249"/>
      <c r="AF1277" s="248" t="str">
        <f>IF(E1276="","",ROUND(K1277*S1277*U1277,1))</f>
        <v/>
      </c>
      <c r="AG1277" s="249"/>
      <c r="AH1277" s="249"/>
      <c r="AI1277" s="249"/>
    </row>
    <row r="1278" spans="1:35" s="116" customFormat="1" ht="15.75" hidden="1" customHeight="1">
      <c r="A1278" s="120" t="str">
        <f>IF(H1278="","×","")</f>
        <v>×</v>
      </c>
      <c r="B1278" s="204" t="str">
        <f>IF(D1238="","",D1238)</f>
        <v/>
      </c>
      <c r="C1278" s="205"/>
      <c r="D1278" s="205"/>
      <c r="E1278" s="205" t="str">
        <f>IF(G1238="","",G1238)</f>
        <v/>
      </c>
      <c r="F1278" s="205"/>
      <c r="G1278" s="205"/>
      <c r="H1278" s="145" t="str">
        <f>IF(J1238="","",J1238)</f>
        <v/>
      </c>
      <c r="I1278" s="145"/>
      <c r="J1278" s="145"/>
      <c r="K1278" s="249">
        <f>AF1238*AD$1292</f>
        <v>599.1</v>
      </c>
      <c r="L1278" s="249"/>
      <c r="M1278" s="249"/>
      <c r="N1278" s="483"/>
      <c r="O1278" s="305" t="str">
        <f t="shared" ref="O1278" si="133">IF(E1278="","",IF(E1278="粘性土",1,CHOOSE(AJ$1156,X$1151,X$1152,X$1153)))</f>
        <v/>
      </c>
      <c r="P1278" s="249"/>
      <c r="Q1278" s="249" t="str">
        <f t="shared" ref="Q1278" si="134">IF(E1278="","",IF(E1278="粘性土",1,CHOOSE(AJ$1156,AB$1151,AB$1152,AB$1153)))</f>
        <v/>
      </c>
      <c r="R1278" s="249"/>
      <c r="S1278" s="249" t="str">
        <f t="shared" ref="S1278" si="135">IF(E1278="","",IF(E1278="粘性土",1,CHOOSE(AJ$1156,AF$1151,AF$1152,AF$1153)))</f>
        <v/>
      </c>
      <c r="T1278" s="249"/>
      <c r="U1278" s="490" t="str">
        <f>U1277</f>
        <v/>
      </c>
      <c r="V1278" s="490"/>
      <c r="W1278" s="491"/>
      <c r="X1278" s="248" t="str">
        <f>IF(E1278="","",ROUND(K1278*O1278*U1278,1))</f>
        <v/>
      </c>
      <c r="Y1278" s="249"/>
      <c r="Z1278" s="249"/>
      <c r="AA1278" s="249"/>
      <c r="AB1278" s="248" t="str">
        <f>IF(E1278="","",ROUND(K1278*Q1278*U1278,1))</f>
        <v/>
      </c>
      <c r="AC1278" s="249"/>
      <c r="AD1278" s="249"/>
      <c r="AE1278" s="249"/>
      <c r="AF1278" s="248" t="str">
        <f>IF(E1278="","",ROUND(K1278*S1278*U1278,1))</f>
        <v/>
      </c>
      <c r="AG1278" s="249"/>
      <c r="AH1278" s="249"/>
      <c r="AI1278" s="249"/>
    </row>
    <row r="1279" spans="1:35" s="116" customFormat="1" ht="15.75" hidden="1" customHeight="1">
      <c r="A1279" s="120" t="str">
        <f>A1278</f>
        <v>×</v>
      </c>
      <c r="B1279" s="204"/>
      <c r="C1279" s="205"/>
      <c r="D1279" s="205"/>
      <c r="E1279" s="205"/>
      <c r="F1279" s="205"/>
      <c r="G1279" s="205"/>
      <c r="H1279" s="145"/>
      <c r="I1279" s="145"/>
      <c r="J1279" s="145"/>
      <c r="K1279" s="249">
        <f>AF1239*AD$1292</f>
        <v>599.1</v>
      </c>
      <c r="L1279" s="249"/>
      <c r="M1279" s="249"/>
      <c r="N1279" s="483"/>
      <c r="O1279" s="305" t="str">
        <f t="shared" ref="O1279" si="136">O1278</f>
        <v/>
      </c>
      <c r="P1279" s="249"/>
      <c r="Q1279" s="249" t="str">
        <f t="shared" ref="Q1279" si="137">Q1278</f>
        <v/>
      </c>
      <c r="R1279" s="249"/>
      <c r="S1279" s="249" t="str">
        <f t="shared" ref="S1279" si="138">S1278</f>
        <v/>
      </c>
      <c r="T1279" s="249"/>
      <c r="U1279" s="490" t="str">
        <f t="shared" ref="U1279" si="139">IF(E1279="","",IF(E1279="粘性土",1,R$1169))</f>
        <v/>
      </c>
      <c r="V1279" s="490"/>
      <c r="W1279" s="491"/>
      <c r="X1279" s="248" t="str">
        <f>IF(E1278="","",ROUND(K1279*O1279*U1279,1))</f>
        <v/>
      </c>
      <c r="Y1279" s="249"/>
      <c r="Z1279" s="249"/>
      <c r="AA1279" s="249"/>
      <c r="AB1279" s="248" t="str">
        <f>IF(E1278="","",ROUND(K1279*Q1279*U1279,1))</f>
        <v/>
      </c>
      <c r="AC1279" s="249"/>
      <c r="AD1279" s="249"/>
      <c r="AE1279" s="249"/>
      <c r="AF1279" s="248" t="str">
        <f>IF(E1278="","",ROUND(K1279*S1279*U1279,1))</f>
        <v/>
      </c>
      <c r="AG1279" s="249"/>
      <c r="AH1279" s="249"/>
      <c r="AI1279" s="249"/>
    </row>
    <row r="1280" spans="1:35" s="116" customFormat="1" ht="15.75" hidden="1" customHeight="1">
      <c r="A1280" s="120" t="str">
        <f>IF(H1280="","×","")</f>
        <v>×</v>
      </c>
      <c r="B1280" s="204" t="str">
        <f>IF(D1240="","",D1240)</f>
        <v/>
      </c>
      <c r="C1280" s="205"/>
      <c r="D1280" s="205"/>
      <c r="E1280" s="205" t="str">
        <f>IF(G1240="","",G1240)</f>
        <v/>
      </c>
      <c r="F1280" s="205"/>
      <c r="G1280" s="205"/>
      <c r="H1280" s="145" t="str">
        <f>IF(J1240="","",J1240)</f>
        <v/>
      </c>
      <c r="I1280" s="145"/>
      <c r="J1280" s="145"/>
      <c r="K1280" s="249">
        <f>AF1240*AD$1292</f>
        <v>599.1</v>
      </c>
      <c r="L1280" s="249"/>
      <c r="M1280" s="249"/>
      <c r="N1280" s="483"/>
      <c r="O1280" s="305" t="str">
        <f t="shared" ref="O1280" si="140">IF(E1280="","",IF(E1280="粘性土",1,CHOOSE(AJ$1156,X$1151,X$1152,X$1153)))</f>
        <v/>
      </c>
      <c r="P1280" s="249"/>
      <c r="Q1280" s="249" t="str">
        <f t="shared" ref="Q1280" si="141">IF(E1280="","",IF(E1280="粘性土",1,CHOOSE(AJ$1156,AB$1151,AB$1152,AB$1153)))</f>
        <v/>
      </c>
      <c r="R1280" s="249"/>
      <c r="S1280" s="249" t="str">
        <f t="shared" ref="S1280" si="142">IF(E1280="","",IF(E1280="粘性土",1,CHOOSE(AJ$1156,AF$1151,AF$1152,AF$1153)))</f>
        <v/>
      </c>
      <c r="T1280" s="249"/>
      <c r="U1280" s="490" t="str">
        <f t="shared" ref="U1280" si="143">U1279</f>
        <v/>
      </c>
      <c r="V1280" s="490"/>
      <c r="W1280" s="491"/>
      <c r="X1280" s="248" t="str">
        <f>IF(E1280="","",ROUND(K1280*O1280*U1280,1))</f>
        <v/>
      </c>
      <c r="Y1280" s="249"/>
      <c r="Z1280" s="249"/>
      <c r="AA1280" s="249"/>
      <c r="AB1280" s="248" t="str">
        <f>IF(E1280="","",ROUND(K1280*Q1280*U1280,1))</f>
        <v/>
      </c>
      <c r="AC1280" s="249"/>
      <c r="AD1280" s="249"/>
      <c r="AE1280" s="249"/>
      <c r="AF1280" s="248" t="str">
        <f>IF(E1280="","",ROUND(K1280*S1280*U1280,1))</f>
        <v/>
      </c>
      <c r="AG1280" s="249"/>
      <c r="AH1280" s="249"/>
      <c r="AI1280" s="249"/>
    </row>
    <row r="1281" spans="1:39" s="116" customFormat="1" ht="15.75" hidden="1" customHeight="1">
      <c r="A1281" s="120" t="str">
        <f>A1280</f>
        <v>×</v>
      </c>
      <c r="B1281" s="204"/>
      <c r="C1281" s="205"/>
      <c r="D1281" s="205"/>
      <c r="E1281" s="205"/>
      <c r="F1281" s="205"/>
      <c r="G1281" s="205"/>
      <c r="H1281" s="145"/>
      <c r="I1281" s="145"/>
      <c r="J1281" s="145"/>
      <c r="K1281" s="249">
        <f>AF1241*AD$1292</f>
        <v>599.1</v>
      </c>
      <c r="L1281" s="249"/>
      <c r="M1281" s="249"/>
      <c r="N1281" s="483"/>
      <c r="O1281" s="305" t="str">
        <f t="shared" ref="O1281" si="144">O1280</f>
        <v/>
      </c>
      <c r="P1281" s="249"/>
      <c r="Q1281" s="249" t="str">
        <f t="shared" ref="Q1281" si="145">Q1280</f>
        <v/>
      </c>
      <c r="R1281" s="249"/>
      <c r="S1281" s="249" t="str">
        <f t="shared" ref="S1281" si="146">S1280</f>
        <v/>
      </c>
      <c r="T1281" s="249"/>
      <c r="U1281" s="490" t="str">
        <f t="shared" ref="U1281" si="147">IF(E1281="","",IF(E1281="粘性土",1,R$1169))</f>
        <v/>
      </c>
      <c r="V1281" s="490"/>
      <c r="W1281" s="491"/>
      <c r="X1281" s="248" t="str">
        <f>IF(E1280="","",ROUND(K1281*O1281*U1281,1))</f>
        <v/>
      </c>
      <c r="Y1281" s="249"/>
      <c r="Z1281" s="249"/>
      <c r="AA1281" s="249"/>
      <c r="AB1281" s="248" t="str">
        <f>IF(E1280="","",ROUND(K1281*Q1281*U1281,1))</f>
        <v/>
      </c>
      <c r="AC1281" s="249"/>
      <c r="AD1281" s="249"/>
      <c r="AE1281" s="249"/>
      <c r="AF1281" s="248" t="str">
        <f>IF(E1280="","",ROUND(K1281*S1281*U1281,1))</f>
        <v/>
      </c>
      <c r="AG1281" s="249"/>
      <c r="AH1281" s="249"/>
      <c r="AI1281" s="249"/>
    </row>
    <row r="1282" spans="1:39" s="116" customFormat="1" ht="15.75" hidden="1" customHeight="1">
      <c r="A1282" s="120" t="str">
        <f>IF(H1282="","×","")</f>
        <v>×</v>
      </c>
      <c r="B1282" s="204" t="str">
        <f>IF(D1242="","",D1242)</f>
        <v/>
      </c>
      <c r="C1282" s="205"/>
      <c r="D1282" s="205"/>
      <c r="E1282" s="205" t="str">
        <f>IF(G1242="","",G1242)</f>
        <v/>
      </c>
      <c r="F1282" s="205"/>
      <c r="G1282" s="205"/>
      <c r="H1282" s="145" t="str">
        <f>IF(J1242="","",J1242)</f>
        <v/>
      </c>
      <c r="I1282" s="145"/>
      <c r="J1282" s="145"/>
      <c r="K1282" s="249">
        <f>AF1242*AD$1292</f>
        <v>599.1</v>
      </c>
      <c r="L1282" s="249"/>
      <c r="M1282" s="249"/>
      <c r="N1282" s="483"/>
      <c r="O1282" s="305" t="str">
        <f t="shared" ref="O1282" si="148">IF(E1282="","",IF(E1282="粘性土",1,CHOOSE(AJ$1156,X$1151,X$1152,X$1153)))</f>
        <v/>
      </c>
      <c r="P1282" s="249"/>
      <c r="Q1282" s="249" t="str">
        <f t="shared" ref="Q1282" si="149">IF(E1282="","",IF(E1282="粘性土",1,CHOOSE(AJ$1156,AB$1151,AB$1152,AB$1153)))</f>
        <v/>
      </c>
      <c r="R1282" s="249"/>
      <c r="S1282" s="249" t="str">
        <f t="shared" ref="S1282" si="150">IF(E1282="","",IF(E1282="粘性土",1,CHOOSE(AJ$1156,AF$1151,AF$1152,AF$1153)))</f>
        <v/>
      </c>
      <c r="T1282" s="249"/>
      <c r="U1282" s="490" t="str">
        <f t="shared" ref="U1282" si="151">U1281</f>
        <v/>
      </c>
      <c r="V1282" s="490"/>
      <c r="W1282" s="491"/>
      <c r="X1282" s="248" t="str">
        <f>IF(E1282="","",ROUND(K1282*O1282*U1282,1))</f>
        <v/>
      </c>
      <c r="Y1282" s="249"/>
      <c r="Z1282" s="249"/>
      <c r="AA1282" s="249"/>
      <c r="AB1282" s="248" t="str">
        <f>IF(E1282="","",ROUND(K1282*Q1282*U1282,1))</f>
        <v/>
      </c>
      <c r="AC1282" s="249"/>
      <c r="AD1282" s="249"/>
      <c r="AE1282" s="249"/>
      <c r="AF1282" s="248" t="str">
        <f>IF(E1282="","",ROUND(K1282*S1282*U1282,1))</f>
        <v/>
      </c>
      <c r="AG1282" s="249"/>
      <c r="AH1282" s="249"/>
      <c r="AI1282" s="249"/>
    </row>
    <row r="1283" spans="1:39" s="116" customFormat="1" ht="15.75" hidden="1" customHeight="1">
      <c r="A1283" s="120" t="str">
        <f>A1282</f>
        <v>×</v>
      </c>
      <c r="B1283" s="204"/>
      <c r="C1283" s="205"/>
      <c r="D1283" s="205"/>
      <c r="E1283" s="205"/>
      <c r="F1283" s="205"/>
      <c r="G1283" s="205"/>
      <c r="H1283" s="145"/>
      <c r="I1283" s="145"/>
      <c r="J1283" s="145"/>
      <c r="K1283" s="249">
        <f>AF1243*AD$1292</f>
        <v>599.1</v>
      </c>
      <c r="L1283" s="249"/>
      <c r="M1283" s="249"/>
      <c r="N1283" s="483"/>
      <c r="O1283" s="305" t="str">
        <f t="shared" ref="O1283" si="152">O1282</f>
        <v/>
      </c>
      <c r="P1283" s="249"/>
      <c r="Q1283" s="249" t="str">
        <f t="shared" ref="Q1283" si="153">Q1282</f>
        <v/>
      </c>
      <c r="R1283" s="249"/>
      <c r="S1283" s="249" t="str">
        <f t="shared" ref="S1283" si="154">S1282</f>
        <v/>
      </c>
      <c r="T1283" s="249"/>
      <c r="U1283" s="490" t="str">
        <f t="shared" ref="U1283" si="155">IF(E1283="","",IF(E1283="粘性土",1,R$1169))</f>
        <v/>
      </c>
      <c r="V1283" s="490"/>
      <c r="W1283" s="491"/>
      <c r="X1283" s="248" t="str">
        <f>IF(E1282="","",ROUND(K1283*O1283*U1283,1))</f>
        <v/>
      </c>
      <c r="Y1283" s="249"/>
      <c r="Z1283" s="249"/>
      <c r="AA1283" s="249"/>
      <c r="AB1283" s="248" t="str">
        <f>IF(E1282="","",ROUND(K1283*Q1283*U1283,1))</f>
        <v/>
      </c>
      <c r="AC1283" s="249"/>
      <c r="AD1283" s="249"/>
      <c r="AE1283" s="249"/>
      <c r="AF1283" s="248" t="str">
        <f>IF(E1282="","",ROUND(K1283*S1283*U1283,1))</f>
        <v/>
      </c>
      <c r="AG1283" s="249"/>
      <c r="AH1283" s="249"/>
      <c r="AI1283" s="249"/>
    </row>
    <row r="1284" spans="1:39" s="116" customFormat="1" ht="15.75" hidden="1" customHeight="1">
      <c r="A1284" s="120" t="str">
        <f>IF(H1284="","×","")</f>
        <v>×</v>
      </c>
      <c r="B1284" s="204" t="str">
        <f>IF(D1244="","",D1244)</f>
        <v/>
      </c>
      <c r="C1284" s="205"/>
      <c r="D1284" s="205"/>
      <c r="E1284" s="205" t="str">
        <f>IF(G1244="","",G1244)</f>
        <v/>
      </c>
      <c r="F1284" s="205"/>
      <c r="G1284" s="205"/>
      <c r="H1284" s="145" t="str">
        <f>IF(J1244="","",J1244)</f>
        <v/>
      </c>
      <c r="I1284" s="145"/>
      <c r="J1284" s="145"/>
      <c r="K1284" s="249">
        <f>AF1244*AD$1292</f>
        <v>599.1</v>
      </c>
      <c r="L1284" s="249"/>
      <c r="M1284" s="249"/>
      <c r="N1284" s="483"/>
      <c r="O1284" s="305" t="str">
        <f t="shared" ref="O1284" si="156">IF(E1284="","",IF(E1284="粘性土",1,CHOOSE(AJ$1156,X$1151,X$1152,X$1153)))</f>
        <v/>
      </c>
      <c r="P1284" s="249"/>
      <c r="Q1284" s="249" t="str">
        <f t="shared" ref="Q1284" si="157">IF(E1284="","",IF(E1284="粘性土",1,CHOOSE(AJ$1156,AB$1151,AB$1152,AB$1153)))</f>
        <v/>
      </c>
      <c r="R1284" s="249"/>
      <c r="S1284" s="249" t="str">
        <f t="shared" ref="S1284" si="158">IF(E1284="","",IF(E1284="粘性土",1,CHOOSE(AJ$1156,AF$1151,AF$1152,AF$1153)))</f>
        <v/>
      </c>
      <c r="T1284" s="249"/>
      <c r="U1284" s="490" t="str">
        <f t="shared" ref="U1284" si="159">U1283</f>
        <v/>
      </c>
      <c r="V1284" s="490"/>
      <c r="W1284" s="491"/>
      <c r="X1284" s="248" t="str">
        <f>IF(E1284="","",ROUND(K1284*O1284*U1284,1))</f>
        <v/>
      </c>
      <c r="Y1284" s="249"/>
      <c r="Z1284" s="249"/>
      <c r="AA1284" s="249"/>
      <c r="AB1284" s="248" t="str">
        <f>IF(E1284="","",ROUND(K1284*Q1284*U1284,1))</f>
        <v/>
      </c>
      <c r="AC1284" s="249"/>
      <c r="AD1284" s="249"/>
      <c r="AE1284" s="249"/>
      <c r="AF1284" s="248" t="str">
        <f>IF(E1284="","",ROUND(K1284*S1284*U1284,1))</f>
        <v/>
      </c>
      <c r="AG1284" s="249"/>
      <c r="AH1284" s="249"/>
      <c r="AI1284" s="249"/>
    </row>
    <row r="1285" spans="1:39" s="116" customFormat="1" ht="15.75" hidden="1" customHeight="1">
      <c r="A1285" s="120" t="str">
        <f>A1284</f>
        <v>×</v>
      </c>
      <c r="B1285" s="204"/>
      <c r="C1285" s="205"/>
      <c r="D1285" s="205"/>
      <c r="E1285" s="205"/>
      <c r="F1285" s="205"/>
      <c r="G1285" s="205"/>
      <c r="H1285" s="145"/>
      <c r="I1285" s="145"/>
      <c r="J1285" s="145"/>
      <c r="K1285" s="249">
        <f>AF1245*AD$1292</f>
        <v>599.1</v>
      </c>
      <c r="L1285" s="249"/>
      <c r="M1285" s="249"/>
      <c r="N1285" s="483"/>
      <c r="O1285" s="305" t="str">
        <f>IF(E1285="","",IF(E1285="粘性土",1,CHOOSE(AJ$1156,X$1151,X$1152,X$1153)))</f>
        <v/>
      </c>
      <c r="P1285" s="249"/>
      <c r="Q1285" s="249" t="str">
        <f>IF(E1285="","",IF(E1285="粘性土",1,CHOOSE(AJ$1156,AB$1151,AB$1152,AB$1153)))</f>
        <v/>
      </c>
      <c r="R1285" s="249"/>
      <c r="S1285" s="249" t="str">
        <f>IF(E1285="","",IF(E1285="粘性土",1,CHOOSE(AJ$1156,AF$1151,AF$1152,AF$1153)))</f>
        <v/>
      </c>
      <c r="T1285" s="249"/>
      <c r="U1285" s="490" t="str">
        <f t="shared" ref="U1285" si="160">IF(E1285="","",IF(E1285="粘性土",1,R$1169))</f>
        <v/>
      </c>
      <c r="V1285" s="490"/>
      <c r="W1285" s="491"/>
      <c r="X1285" s="248" t="str">
        <f>IF(E1284="","",ROUND(K1285*O1285*U1285,1))</f>
        <v/>
      </c>
      <c r="Y1285" s="249"/>
      <c r="Z1285" s="249"/>
      <c r="AA1285" s="249"/>
      <c r="AB1285" s="248" t="str">
        <f>IF(E1284="","",ROUND(K1285*Q1285*U1285,1))</f>
        <v/>
      </c>
      <c r="AC1285" s="249"/>
      <c r="AD1285" s="249"/>
      <c r="AE1285" s="249"/>
      <c r="AF1285" s="248" t="str">
        <f>IF(E1284="","",ROUND(K1285*S1285*U1285,1))</f>
        <v/>
      </c>
      <c r="AG1285" s="249"/>
      <c r="AH1285" s="249"/>
      <c r="AI1285" s="249"/>
    </row>
    <row r="1286" spans="1:39" s="116" customFormat="1" ht="15.75" hidden="1" customHeight="1">
      <c r="A1286" s="120" t="str">
        <f>IF(H1286="","×","")</f>
        <v>×</v>
      </c>
      <c r="B1286" s="204" t="str">
        <f>IF(D1246="","",D1246)</f>
        <v/>
      </c>
      <c r="C1286" s="205"/>
      <c r="D1286" s="205"/>
      <c r="E1286" s="205" t="str">
        <f>IF(G1246="","",G1246)</f>
        <v/>
      </c>
      <c r="F1286" s="205"/>
      <c r="G1286" s="205"/>
      <c r="H1286" s="145" t="str">
        <f>IF(J1246="","",J1246)</f>
        <v/>
      </c>
      <c r="I1286" s="145"/>
      <c r="J1286" s="145"/>
      <c r="K1286" s="249">
        <f>AF1246*AD$1292</f>
        <v>599.1</v>
      </c>
      <c r="L1286" s="249"/>
      <c r="M1286" s="249"/>
      <c r="N1286" s="483"/>
      <c r="O1286" s="305" t="str">
        <f>O1285</f>
        <v/>
      </c>
      <c r="P1286" s="249"/>
      <c r="Q1286" s="249" t="str">
        <f>Q1285</f>
        <v/>
      </c>
      <c r="R1286" s="249"/>
      <c r="S1286" s="249" t="str">
        <f>S1285</f>
        <v/>
      </c>
      <c r="T1286" s="249"/>
      <c r="U1286" s="490" t="str">
        <f t="shared" ref="U1286" si="161">U1285</f>
        <v/>
      </c>
      <c r="V1286" s="490"/>
      <c r="W1286" s="491"/>
      <c r="X1286" s="248" t="str">
        <f>IF(E1286="","",ROUND(K1286*O1286*U1286,1))</f>
        <v/>
      </c>
      <c r="Y1286" s="249"/>
      <c r="Z1286" s="249"/>
      <c r="AA1286" s="249"/>
      <c r="AB1286" s="248" t="str">
        <f>IF(E1286="","",ROUND(K1286*Q1286*U1286,1))</f>
        <v/>
      </c>
      <c r="AC1286" s="249"/>
      <c r="AD1286" s="249"/>
      <c r="AE1286" s="249"/>
      <c r="AF1286" s="248" t="str">
        <f>IF(E1286="","",ROUND(K1286*S1286*U1286,1))</f>
        <v/>
      </c>
      <c r="AG1286" s="249"/>
      <c r="AH1286" s="249"/>
      <c r="AI1286" s="249"/>
    </row>
    <row r="1287" spans="1:39" s="116" customFormat="1" ht="15.75" hidden="1" customHeight="1">
      <c r="A1287" s="120" t="str">
        <f>A1286</f>
        <v>×</v>
      </c>
      <c r="B1287" s="204"/>
      <c r="C1287" s="205"/>
      <c r="D1287" s="205"/>
      <c r="E1287" s="205"/>
      <c r="F1287" s="205"/>
      <c r="G1287" s="205"/>
      <c r="H1287" s="145"/>
      <c r="I1287" s="145"/>
      <c r="J1287" s="145"/>
      <c r="K1287" s="249">
        <f>AF1247*AD$1292</f>
        <v>599.1</v>
      </c>
      <c r="L1287" s="249"/>
      <c r="M1287" s="249"/>
      <c r="N1287" s="483"/>
      <c r="O1287" s="305" t="str">
        <f t="shared" ref="O1287" si="162">IF(E1287="","",IF(E1287="粘性土",1,CHOOSE(AJ$1156,X$1151,X$1152,X$1153)))</f>
        <v/>
      </c>
      <c r="P1287" s="249"/>
      <c r="Q1287" s="249" t="str">
        <f t="shared" ref="Q1287" si="163">IF(E1287="","",IF(E1287="粘性土",1,CHOOSE(AJ$1156,AB$1151,AB$1152,AB$1153)))</f>
        <v/>
      </c>
      <c r="R1287" s="249"/>
      <c r="S1287" s="249" t="str">
        <f t="shared" ref="S1287" si="164">IF(E1287="","",IF(E1287="粘性土",1,CHOOSE(AJ$1156,AF$1151,AF$1152,AF$1153)))</f>
        <v/>
      </c>
      <c r="T1287" s="249"/>
      <c r="U1287" s="490" t="str">
        <f t="shared" ref="U1287" si="165">IF(E1287="","",IF(E1287="粘性土",1,R$1169))</f>
        <v/>
      </c>
      <c r="V1287" s="490"/>
      <c r="W1287" s="491"/>
      <c r="X1287" s="248" t="str">
        <f>IF(E1286="","",ROUND(K1287*O1287*U1287,1))</f>
        <v/>
      </c>
      <c r="Y1287" s="249"/>
      <c r="Z1287" s="249"/>
      <c r="AA1287" s="249"/>
      <c r="AB1287" s="248" t="str">
        <f>IF(E1286="","",ROUND(K1287*Q1287*U1287,1))</f>
        <v/>
      </c>
      <c r="AC1287" s="249"/>
      <c r="AD1287" s="249"/>
      <c r="AE1287" s="249"/>
      <c r="AF1287" s="248" t="str">
        <f>IF(E1286="","",ROUND(K1287*S1287*U1287,1))</f>
        <v/>
      </c>
      <c r="AG1287" s="249"/>
      <c r="AH1287" s="249"/>
      <c r="AI1287" s="249"/>
    </row>
    <row r="1288" spans="1:39" s="116" customFormat="1" ht="15.75" hidden="1" customHeight="1">
      <c r="A1288" s="120" t="str">
        <f>IF(H1288="","×","")</f>
        <v>×</v>
      </c>
      <c r="B1288" s="204" t="str">
        <f>IF(D1248="","",D1248)</f>
        <v/>
      </c>
      <c r="C1288" s="205"/>
      <c r="D1288" s="205"/>
      <c r="E1288" s="205" t="str">
        <f>IF(G1248="","",G1248)</f>
        <v/>
      </c>
      <c r="F1288" s="205"/>
      <c r="G1288" s="205"/>
      <c r="H1288" s="145" t="str">
        <f>IF(J1248="","",J1248)</f>
        <v/>
      </c>
      <c r="I1288" s="145"/>
      <c r="J1288" s="145"/>
      <c r="K1288" s="249">
        <f>AF1248*AD$1292</f>
        <v>599.1</v>
      </c>
      <c r="L1288" s="249"/>
      <c r="M1288" s="249"/>
      <c r="N1288" s="483"/>
      <c r="O1288" s="305" t="str">
        <f t="shared" ref="O1288" si="166">O1287</f>
        <v/>
      </c>
      <c r="P1288" s="249"/>
      <c r="Q1288" s="249" t="str">
        <f t="shared" ref="Q1288" si="167">Q1287</f>
        <v/>
      </c>
      <c r="R1288" s="249"/>
      <c r="S1288" s="249" t="str">
        <f t="shared" ref="S1288" si="168">S1287</f>
        <v/>
      </c>
      <c r="T1288" s="249"/>
      <c r="U1288" s="490" t="str">
        <f t="shared" ref="U1288" si="169">U1287</f>
        <v/>
      </c>
      <c r="V1288" s="490"/>
      <c r="W1288" s="491"/>
      <c r="X1288" s="248" t="str">
        <f>IF(E1288="","",ROUND(K1288*O1288*U1288,1))</f>
        <v/>
      </c>
      <c r="Y1288" s="249"/>
      <c r="Z1288" s="249"/>
      <c r="AA1288" s="249"/>
      <c r="AB1288" s="248" t="str">
        <f>IF(E1288="","",ROUND(K1288*Q1288*U1288,1))</f>
        <v/>
      </c>
      <c r="AC1288" s="249"/>
      <c r="AD1288" s="249"/>
      <c r="AE1288" s="249"/>
      <c r="AF1288" s="248" t="str">
        <f>IF(E1288="","",ROUND(K1288*S1288*U1288,1))</f>
        <v/>
      </c>
      <c r="AG1288" s="249"/>
      <c r="AH1288" s="249"/>
      <c r="AI1288" s="249"/>
    </row>
    <row r="1289" spans="1:39" s="116" customFormat="1" ht="15.75" hidden="1" customHeight="1">
      <c r="A1289" s="120" t="str">
        <f>A1288</f>
        <v>×</v>
      </c>
      <c r="B1289" s="204"/>
      <c r="C1289" s="205"/>
      <c r="D1289" s="205"/>
      <c r="E1289" s="205"/>
      <c r="F1289" s="205"/>
      <c r="G1289" s="205"/>
      <c r="H1289" s="145"/>
      <c r="I1289" s="145"/>
      <c r="J1289" s="145"/>
      <c r="K1289" s="249">
        <f>AF1249*AD$1292</f>
        <v>599.1</v>
      </c>
      <c r="L1289" s="249"/>
      <c r="M1289" s="249"/>
      <c r="N1289" s="483"/>
      <c r="O1289" s="305" t="str">
        <f t="shared" ref="O1289" si="170">IF(E1289="","",IF(E1289="粘性土",1,CHOOSE(AJ$1156,X$1151,X$1152,X$1153)))</f>
        <v/>
      </c>
      <c r="P1289" s="249"/>
      <c r="Q1289" s="249" t="str">
        <f t="shared" ref="Q1289" si="171">IF(E1289="","",IF(E1289="粘性土",1,CHOOSE(AJ$1156,AB$1151,AB$1152,AB$1153)))</f>
        <v/>
      </c>
      <c r="R1289" s="249"/>
      <c r="S1289" s="249" t="str">
        <f t="shared" ref="S1289" si="172">IF(E1289="","",IF(E1289="粘性土",1,CHOOSE(AJ$1156,AF$1151,AF$1152,AF$1153)))</f>
        <v/>
      </c>
      <c r="T1289" s="249"/>
      <c r="U1289" s="490" t="str">
        <f>IF(E1289="","",IF(E1289="粘性土",1,R$1169))</f>
        <v/>
      </c>
      <c r="V1289" s="490"/>
      <c r="W1289" s="491"/>
      <c r="X1289" s="248" t="str">
        <f>IF(E1288="","",ROUND(K1289*O1289*U1289,1))</f>
        <v/>
      </c>
      <c r="Y1289" s="249"/>
      <c r="Z1289" s="249"/>
      <c r="AA1289" s="249"/>
      <c r="AB1289" s="248" t="str">
        <f>IF(E1288="","",ROUND(K1289*Q1289*U1289,1))</f>
        <v/>
      </c>
      <c r="AC1289" s="249"/>
      <c r="AD1289" s="249"/>
      <c r="AE1289" s="249"/>
      <c r="AF1289" s="248" t="str">
        <f>IF(E1288="","",ROUND(K1289*S1289*U1289,1))</f>
        <v/>
      </c>
      <c r="AG1289" s="249"/>
      <c r="AH1289" s="249"/>
      <c r="AI1289" s="249"/>
    </row>
    <row r="1290" spans="1:39" s="116" customFormat="1" ht="15.75" hidden="1" customHeight="1">
      <c r="A1290" s="120" t="str">
        <f>IF(H1290="","×","")</f>
        <v>×</v>
      </c>
      <c r="B1290" s="204" t="str">
        <f>IF(D1250="","",D1250)</f>
        <v/>
      </c>
      <c r="C1290" s="205"/>
      <c r="D1290" s="205"/>
      <c r="E1290" s="205" t="str">
        <f>IF(G1250="","",G1250)</f>
        <v/>
      </c>
      <c r="F1290" s="205"/>
      <c r="G1290" s="205"/>
      <c r="H1290" s="145" t="str">
        <f>IF(J1250="","",J1250)</f>
        <v/>
      </c>
      <c r="I1290" s="145"/>
      <c r="J1290" s="145"/>
      <c r="K1290" s="249">
        <f>AF1250*AD$1292</f>
        <v>599.1</v>
      </c>
      <c r="L1290" s="249"/>
      <c r="M1290" s="249"/>
      <c r="N1290" s="483"/>
      <c r="O1290" s="305" t="str">
        <f t="shared" ref="O1290" si="173">O1289</f>
        <v/>
      </c>
      <c r="P1290" s="249"/>
      <c r="Q1290" s="249" t="str">
        <f t="shared" ref="Q1290" si="174">Q1289</f>
        <v/>
      </c>
      <c r="R1290" s="249"/>
      <c r="S1290" s="249" t="str">
        <f t="shared" ref="S1290" si="175">S1289</f>
        <v/>
      </c>
      <c r="T1290" s="249"/>
      <c r="U1290" s="490" t="str">
        <f>U1289</f>
        <v/>
      </c>
      <c r="V1290" s="490"/>
      <c r="W1290" s="491"/>
      <c r="X1290" s="248" t="str">
        <f>IF(E1290="","",ROUND(K1290*O1290*U1290,1))</f>
        <v/>
      </c>
      <c r="Y1290" s="249"/>
      <c r="Z1290" s="249"/>
      <c r="AA1290" s="249"/>
      <c r="AB1290" s="248" t="str">
        <f>IF(E1290="","",ROUND(K1290*Q1290*U1290,1))</f>
        <v/>
      </c>
      <c r="AC1290" s="249"/>
      <c r="AD1290" s="249"/>
      <c r="AE1290" s="249"/>
      <c r="AF1290" s="248" t="str">
        <f>IF(E1290="","",ROUND(K1290*S1290*U1290,1))</f>
        <v/>
      </c>
      <c r="AG1290" s="249"/>
      <c r="AH1290" s="249"/>
      <c r="AI1290" s="249"/>
    </row>
    <row r="1291" spans="1:39" s="116" customFormat="1" ht="15.75" hidden="1" customHeight="1">
      <c r="A1291" s="120" t="str">
        <f>A1290</f>
        <v>×</v>
      </c>
      <c r="B1291" s="207"/>
      <c r="C1291" s="208"/>
      <c r="D1291" s="208"/>
      <c r="E1291" s="208"/>
      <c r="F1291" s="208"/>
      <c r="G1291" s="208"/>
      <c r="H1291" s="150"/>
      <c r="I1291" s="150"/>
      <c r="J1291" s="150"/>
      <c r="K1291" s="251">
        <f>AF1251*AD$1292</f>
        <v>599.1</v>
      </c>
      <c r="L1291" s="251"/>
      <c r="M1291" s="251"/>
      <c r="N1291" s="484"/>
      <c r="O1291" s="373" t="str">
        <f t="shared" ref="O1291" si="176">IF(E1291="","",IF(E1291="粘性土",1,CHOOSE(AJ$1156,X$1151,X$1152,X$1153)))</f>
        <v/>
      </c>
      <c r="P1291" s="251"/>
      <c r="Q1291" s="251" t="str">
        <f t="shared" ref="Q1291" si="177">IF(E1291="","",IF(E1291="粘性土",1,CHOOSE(AJ$1156,AB$1151,AB$1152,AB$1153)))</f>
        <v/>
      </c>
      <c r="R1291" s="251"/>
      <c r="S1291" s="251" t="str">
        <f t="shared" ref="S1291" si="178">IF(E1291="","",IF(E1291="粘性土",1,CHOOSE(AJ$1156,AF$1151,AF$1152,AF$1153)))</f>
        <v/>
      </c>
      <c r="T1291" s="251"/>
      <c r="U1291" s="492" t="str">
        <f t="shared" ref="U1291" si="179">IF(E1291="","",IF(E1291="粘性土",1,R$1169))</f>
        <v/>
      </c>
      <c r="V1291" s="492"/>
      <c r="W1291" s="493"/>
      <c r="X1291" s="250" t="str">
        <f>IF(E1290="","",ROUND(K1291*O1291*U1291,1))</f>
        <v/>
      </c>
      <c r="Y1291" s="251"/>
      <c r="Z1291" s="251"/>
      <c r="AA1291" s="251"/>
      <c r="AB1291" s="250" t="str">
        <f>IF(E1290="","",ROUND(K1291*Q1291*U1291,1))</f>
        <v/>
      </c>
      <c r="AC1291" s="251"/>
      <c r="AD1291" s="251"/>
      <c r="AE1291" s="251"/>
      <c r="AF1291" s="250" t="str">
        <f>IF(E1290="","",ROUND(K1291*S1291*U1291,1))</f>
        <v/>
      </c>
      <c r="AG1291" s="251"/>
      <c r="AH1291" s="251"/>
      <c r="AI1291" s="251"/>
    </row>
    <row r="1292" spans="1:39" s="116" customFormat="1" ht="15.75" customHeight="1">
      <c r="B1292" s="449"/>
      <c r="C1292" s="449"/>
      <c r="D1292" s="449"/>
      <c r="E1292" s="449"/>
      <c r="F1292" s="449"/>
      <c r="G1292" s="449"/>
      <c r="H1292" s="118"/>
      <c r="I1292" s="118"/>
      <c r="J1292" s="118"/>
      <c r="K1292" s="118"/>
      <c r="L1292" s="118"/>
      <c r="M1292" s="449"/>
      <c r="N1292" s="449"/>
      <c r="O1292" s="449"/>
      <c r="P1292" s="449"/>
      <c r="Q1292" s="121"/>
      <c r="R1292" s="121"/>
      <c r="S1292" s="449"/>
      <c r="T1292" s="449"/>
      <c r="U1292" s="449"/>
      <c r="V1292" s="449"/>
      <c r="W1292" s="449"/>
      <c r="X1292" s="449"/>
      <c r="Y1292" s="449"/>
      <c r="Z1292" s="449"/>
      <c r="AA1292" s="512" t="s">
        <v>127</v>
      </c>
      <c r="AB1292" s="86" t="s">
        <v>595</v>
      </c>
      <c r="AC1292" s="118" t="s">
        <v>27</v>
      </c>
      <c r="AD1292" s="363">
        <f>杭先端径</f>
        <v>1</v>
      </c>
      <c r="AE1292" s="363"/>
      <c r="AF1292" s="363"/>
      <c r="AG1292" s="515" t="s">
        <v>509</v>
      </c>
      <c r="AH1292" s="118" t="s">
        <v>158</v>
      </c>
      <c r="AI1292" s="449"/>
    </row>
    <row r="1293" spans="1:39" s="116" customFormat="1" ht="15.75" customHeight="1">
      <c r="H1293" s="112"/>
      <c r="I1293" s="112"/>
      <c r="J1293" s="112"/>
      <c r="K1293" s="112"/>
      <c r="L1293" s="112"/>
      <c r="M1293" s="115"/>
      <c r="N1293" s="114"/>
      <c r="O1293" s="114"/>
      <c r="P1293" s="114"/>
      <c r="Q1293" s="115"/>
      <c r="R1293" s="115"/>
      <c r="S1293" s="115"/>
      <c r="T1293" s="115"/>
      <c r="U1293" s="115"/>
      <c r="V1293" s="115"/>
      <c r="W1293" s="115"/>
      <c r="X1293" s="115"/>
      <c r="Y1293" s="115"/>
      <c r="Z1293" s="113"/>
      <c r="AA1293" s="113"/>
      <c r="AB1293" s="113"/>
      <c r="AC1293" s="114"/>
      <c r="AD1293" s="114"/>
      <c r="AE1293" s="114"/>
      <c r="AK1293" s="115"/>
      <c r="AL1293" s="115"/>
      <c r="AM1293" s="115"/>
    </row>
    <row r="1294" spans="1:39" s="116" customFormat="1" ht="15.75" customHeight="1">
      <c r="H1294" s="112"/>
      <c r="I1294" s="112"/>
      <c r="J1294" s="112"/>
      <c r="K1294" s="112"/>
      <c r="L1294" s="112"/>
      <c r="M1294" s="115"/>
      <c r="N1294" s="114"/>
      <c r="O1294" s="114"/>
      <c r="P1294" s="114"/>
      <c r="Q1294" s="115"/>
      <c r="R1294" s="115"/>
      <c r="S1294" s="115"/>
      <c r="T1294" s="115"/>
      <c r="U1294" s="115"/>
      <c r="V1294" s="115"/>
      <c r="W1294" s="115"/>
      <c r="X1294" s="115"/>
      <c r="Y1294" s="115"/>
      <c r="Z1294" s="113"/>
      <c r="AA1294" s="113"/>
      <c r="AB1294" s="113"/>
      <c r="AC1294" s="114"/>
      <c r="AD1294" s="114"/>
      <c r="AE1294" s="114"/>
      <c r="AK1294" s="115"/>
      <c r="AL1294" s="115"/>
      <c r="AM1294" s="115"/>
    </row>
    <row r="1295" spans="1:39" s="116" customFormat="1" ht="15.75" customHeight="1">
      <c r="B1295" s="61" t="s">
        <v>605</v>
      </c>
      <c r="C1295" s="61"/>
      <c r="D1295" s="85"/>
      <c r="E1295" s="85"/>
      <c r="F1295" s="85"/>
      <c r="G1295" s="61"/>
      <c r="H1295" s="61"/>
      <c r="I1295" s="61"/>
      <c r="J1295" s="61"/>
      <c r="K1295" s="61"/>
      <c r="L1295" s="61"/>
      <c r="M1295" s="61"/>
      <c r="N1295" s="61"/>
      <c r="O1295" s="61"/>
      <c r="P1295" s="61"/>
      <c r="Q1295" s="61"/>
      <c r="R1295" s="61"/>
      <c r="S1295" s="61"/>
      <c r="T1295" s="61"/>
      <c r="U1295" s="61"/>
      <c r="V1295" s="61"/>
      <c r="W1295" s="61"/>
      <c r="X1295" s="61"/>
      <c r="Y1295" s="61"/>
      <c r="Z1295" s="61"/>
      <c r="AA1295" s="85"/>
      <c r="AB1295" s="85"/>
      <c r="AC1295" s="85"/>
      <c r="AD1295" s="85"/>
      <c r="AE1295" s="85"/>
      <c r="AF1295" s="85"/>
      <c r="AG1295" s="85"/>
      <c r="AH1295" s="85"/>
      <c r="AI1295" s="85"/>
    </row>
    <row r="1296" spans="1:39" s="116" customFormat="1" ht="15.75" customHeight="1">
      <c r="B1296" s="470" t="s">
        <v>8</v>
      </c>
      <c r="C1296" s="471"/>
      <c r="D1296" s="471"/>
      <c r="E1296" s="471" t="s">
        <v>350</v>
      </c>
      <c r="F1296" s="471"/>
      <c r="G1296" s="471"/>
      <c r="H1296" s="472" t="s">
        <v>190</v>
      </c>
      <c r="I1296" s="472"/>
      <c r="J1296" s="472"/>
      <c r="K1296" s="471" t="s">
        <v>596</v>
      </c>
      <c r="L1296" s="471"/>
      <c r="M1296" s="471"/>
      <c r="N1296" s="485"/>
      <c r="O1296" s="394" t="s">
        <v>286</v>
      </c>
      <c r="P1296" s="165"/>
      <c r="Q1296" s="165"/>
      <c r="R1296" s="165"/>
      <c r="S1296" s="165"/>
      <c r="T1296" s="165"/>
      <c r="U1296" s="165" t="s">
        <v>590</v>
      </c>
      <c r="V1296" s="165"/>
      <c r="W1296" s="254"/>
      <c r="X1296" s="224" t="s">
        <v>286</v>
      </c>
      <c r="Y1296" s="165"/>
      <c r="Z1296" s="165"/>
      <c r="AA1296" s="165"/>
      <c r="AB1296" s="165"/>
      <c r="AC1296" s="165"/>
      <c r="AD1296" s="165"/>
      <c r="AE1296" s="165"/>
      <c r="AF1296" s="165"/>
      <c r="AG1296" s="165"/>
      <c r="AH1296" s="165"/>
      <c r="AI1296" s="247"/>
    </row>
    <row r="1297" spans="1:35" s="116" customFormat="1" ht="15.75" customHeight="1">
      <c r="B1297" s="473"/>
      <c r="C1297" s="474"/>
      <c r="D1297" s="474"/>
      <c r="E1297" s="474"/>
      <c r="F1297" s="474"/>
      <c r="G1297" s="474"/>
      <c r="H1297" s="475"/>
      <c r="I1297" s="475"/>
      <c r="J1297" s="475"/>
      <c r="K1297" s="474"/>
      <c r="L1297" s="474"/>
      <c r="M1297" s="474"/>
      <c r="N1297" s="486"/>
      <c r="O1297" s="487" t="s">
        <v>579</v>
      </c>
      <c r="P1297" s="150"/>
      <c r="Q1297" s="150" t="s">
        <v>580</v>
      </c>
      <c r="R1297" s="150"/>
      <c r="S1297" s="150" t="s">
        <v>581</v>
      </c>
      <c r="T1297" s="150"/>
      <c r="U1297" s="208"/>
      <c r="V1297" s="208"/>
      <c r="W1297" s="258"/>
      <c r="X1297" s="477" t="s">
        <v>579</v>
      </c>
      <c r="Y1297" s="150"/>
      <c r="Z1297" s="150"/>
      <c r="AA1297" s="150"/>
      <c r="AB1297" s="150" t="s">
        <v>580</v>
      </c>
      <c r="AC1297" s="150"/>
      <c r="AD1297" s="150"/>
      <c r="AE1297" s="150"/>
      <c r="AF1297" s="150" t="s">
        <v>581</v>
      </c>
      <c r="AG1297" s="150"/>
      <c r="AH1297" s="150"/>
      <c r="AI1297" s="476"/>
    </row>
    <row r="1298" spans="1:35" s="116" customFormat="1" ht="15.75" customHeight="1">
      <c r="A1298" s="120" t="str">
        <f>IF(H1298="","×","")</f>
        <v/>
      </c>
      <c r="B1298" s="224">
        <f>IF(D1222="","",D1222)</f>
        <v>3</v>
      </c>
      <c r="C1298" s="165"/>
      <c r="D1298" s="165"/>
      <c r="E1298" s="165" t="str">
        <f>IF(G1222="","",G1222)</f>
        <v>粘性土</v>
      </c>
      <c r="F1298" s="165"/>
      <c r="G1298" s="165"/>
      <c r="H1298" s="149">
        <f>IF(J1222="","",J1222)</f>
        <v>3</v>
      </c>
      <c r="I1298" s="149"/>
      <c r="J1298" s="149"/>
      <c r="K1298" s="253">
        <f>AF1222*AD$1328</f>
        <v>144.69999999999999</v>
      </c>
      <c r="L1298" s="253"/>
      <c r="M1298" s="253"/>
      <c r="N1298" s="478"/>
      <c r="O1298" s="302">
        <f>IF(E1298="","",IF(E1298="粘性土",1,CHOOSE(AK$1156,X$1154,X$1155)))</f>
        <v>1</v>
      </c>
      <c r="P1298" s="253"/>
      <c r="Q1298" s="253">
        <f>IF(E1298="","",IF(E1298="粘性土",1,CHOOSE(AK$1156,AB$1154,AB$1155)))</f>
        <v>1</v>
      </c>
      <c r="R1298" s="253"/>
      <c r="S1298" s="253">
        <f>IF(E1298="","",IF(E1298="粘性土",1,CHOOSE(AK$1156,AF$1154,AF$1155)))</f>
        <v>1</v>
      </c>
      <c r="T1298" s="253"/>
      <c r="U1298" s="488">
        <f>IF(E1298="","",IF(E1298="粘性土",1,R$1169))</f>
        <v>1</v>
      </c>
      <c r="V1298" s="488"/>
      <c r="W1298" s="489"/>
      <c r="X1298" s="252">
        <f>IF(E1298="","",ROUND(K1298*O1298*U1298,1))</f>
        <v>144.69999999999999</v>
      </c>
      <c r="Y1298" s="253"/>
      <c r="Z1298" s="253"/>
      <c r="AA1298" s="253"/>
      <c r="AB1298" s="252">
        <f>IF(E1298="","",ROUND(K1298*Q1298*U1298,1))</f>
        <v>144.69999999999999</v>
      </c>
      <c r="AC1298" s="253"/>
      <c r="AD1298" s="253"/>
      <c r="AE1298" s="253"/>
      <c r="AF1298" s="252">
        <f>IF(E1298="","",ROUND(K1298*S1298*U1298,1))</f>
        <v>144.69999999999999</v>
      </c>
      <c r="AG1298" s="253"/>
      <c r="AH1298" s="253"/>
      <c r="AI1298" s="253"/>
    </row>
    <row r="1299" spans="1:35" s="116" customFormat="1" ht="15.75" customHeight="1">
      <c r="A1299" s="120" t="str">
        <f>A1298</f>
        <v/>
      </c>
      <c r="B1299" s="204"/>
      <c r="C1299" s="205"/>
      <c r="D1299" s="205"/>
      <c r="E1299" s="205"/>
      <c r="F1299" s="205"/>
      <c r="G1299" s="205"/>
      <c r="H1299" s="145"/>
      <c r="I1299" s="145"/>
      <c r="J1299" s="145"/>
      <c r="K1299" s="249">
        <f>AF1223*AD$1328</f>
        <v>180</v>
      </c>
      <c r="L1299" s="249"/>
      <c r="M1299" s="249"/>
      <c r="N1299" s="483"/>
      <c r="O1299" s="305">
        <f>O1298</f>
        <v>1</v>
      </c>
      <c r="P1299" s="249"/>
      <c r="Q1299" s="249">
        <f>Q1298</f>
        <v>1</v>
      </c>
      <c r="R1299" s="249"/>
      <c r="S1299" s="249">
        <f>S1298</f>
        <v>1</v>
      </c>
      <c r="T1299" s="249"/>
      <c r="U1299" s="490">
        <f>U1298</f>
        <v>1</v>
      </c>
      <c r="V1299" s="490"/>
      <c r="W1299" s="491"/>
      <c r="X1299" s="248">
        <f>IF(E1298="","",ROUND(K1299*O1299*U1299,1))</f>
        <v>180</v>
      </c>
      <c r="Y1299" s="249"/>
      <c r="Z1299" s="249"/>
      <c r="AA1299" s="249"/>
      <c r="AB1299" s="248">
        <f>IF(E1298="","",ROUND(K1299*Q1299*U1299,1))</f>
        <v>180</v>
      </c>
      <c r="AC1299" s="249"/>
      <c r="AD1299" s="249"/>
      <c r="AE1299" s="249"/>
      <c r="AF1299" s="248">
        <f>IF(E1298="","",ROUND(K1299*S1299*U1299,1))</f>
        <v>180</v>
      </c>
      <c r="AG1299" s="249"/>
      <c r="AH1299" s="249"/>
      <c r="AI1299" s="249"/>
    </row>
    <row r="1300" spans="1:35" s="116" customFormat="1" ht="15.75" customHeight="1">
      <c r="A1300" s="120" t="str">
        <f>IF(H1300="","×","")</f>
        <v/>
      </c>
      <c r="B1300" s="204">
        <f>IF(D1224="","",D1224)</f>
        <v>4</v>
      </c>
      <c r="C1300" s="205"/>
      <c r="D1300" s="205"/>
      <c r="E1300" s="205" t="str">
        <f>IF(G1224="","",G1224)</f>
        <v>砂質土</v>
      </c>
      <c r="F1300" s="205"/>
      <c r="G1300" s="205"/>
      <c r="H1300" s="145">
        <f>IF(J1224="","",J1224)</f>
        <v>5</v>
      </c>
      <c r="I1300" s="145"/>
      <c r="J1300" s="145"/>
      <c r="K1300" s="249">
        <f>AF1224*AD$1328</f>
        <v>668.3</v>
      </c>
      <c r="L1300" s="249"/>
      <c r="M1300" s="249"/>
      <c r="N1300" s="483"/>
      <c r="O1300" s="305">
        <f>IF(E1300="","",IF(E1300="粘性土",1,CHOOSE(AK$1156,X$1154,X$1155)))</f>
        <v>1</v>
      </c>
      <c r="P1300" s="249"/>
      <c r="Q1300" s="249">
        <f>IF(E1300="","",IF(E1300="粘性土",1,CHOOSE(AK$1156,AB$1154,AB$1155)))</f>
        <v>0.8</v>
      </c>
      <c r="R1300" s="249"/>
      <c r="S1300" s="249">
        <f>IF(E1300="","",IF(E1300="粘性土",1,CHOOSE(AK$1156,AF$1154,AF$1155)))</f>
        <v>0.7</v>
      </c>
      <c r="T1300" s="249"/>
      <c r="U1300" s="490">
        <f>IF(E1300="","",IF(E1300="粘性土",1,R$1169))</f>
        <v>0.94</v>
      </c>
      <c r="V1300" s="490"/>
      <c r="W1300" s="491"/>
      <c r="X1300" s="248">
        <f>IF(E1300="","",ROUND(K1300*O1300*U1300,1))</f>
        <v>628.20000000000005</v>
      </c>
      <c r="Y1300" s="249"/>
      <c r="Z1300" s="249"/>
      <c r="AA1300" s="249"/>
      <c r="AB1300" s="248">
        <f>IF(E1300="","",ROUND(K1300*Q1300*U1300,1))</f>
        <v>502.6</v>
      </c>
      <c r="AC1300" s="249"/>
      <c r="AD1300" s="249"/>
      <c r="AE1300" s="249"/>
      <c r="AF1300" s="248">
        <f>IF(E1300="","",ROUND(K1300*S1300*U1300,1))</f>
        <v>439.7</v>
      </c>
      <c r="AG1300" s="249"/>
      <c r="AH1300" s="249"/>
      <c r="AI1300" s="249"/>
    </row>
    <row r="1301" spans="1:35" s="116" customFormat="1" ht="15.75" customHeight="1">
      <c r="A1301" s="120" t="str">
        <f>A1300</f>
        <v/>
      </c>
      <c r="B1301" s="204"/>
      <c r="C1301" s="205"/>
      <c r="D1301" s="205"/>
      <c r="E1301" s="205"/>
      <c r="F1301" s="205"/>
      <c r="G1301" s="205"/>
      <c r="H1301" s="145"/>
      <c r="I1301" s="145"/>
      <c r="J1301" s="145"/>
      <c r="K1301" s="249">
        <f>AF1225*AD$1328</f>
        <v>1151.9000000000001</v>
      </c>
      <c r="L1301" s="249"/>
      <c r="M1301" s="249"/>
      <c r="N1301" s="483"/>
      <c r="O1301" s="305">
        <f>O1300</f>
        <v>1</v>
      </c>
      <c r="P1301" s="249"/>
      <c r="Q1301" s="249">
        <f>Q1300</f>
        <v>0.8</v>
      </c>
      <c r="R1301" s="249"/>
      <c r="S1301" s="249">
        <f>S1300</f>
        <v>0.7</v>
      </c>
      <c r="T1301" s="249"/>
      <c r="U1301" s="490">
        <f>U1300</f>
        <v>0.94</v>
      </c>
      <c r="V1301" s="490"/>
      <c r="W1301" s="491"/>
      <c r="X1301" s="248">
        <f>IF(E1300="","",ROUND(K1301*O1301*U1301,1))</f>
        <v>1082.8</v>
      </c>
      <c r="Y1301" s="249"/>
      <c r="Z1301" s="249"/>
      <c r="AA1301" s="249"/>
      <c r="AB1301" s="248">
        <f>IF(E1300="","",ROUND(K1301*Q1301*U1301,1))</f>
        <v>866.2</v>
      </c>
      <c r="AC1301" s="249"/>
      <c r="AD1301" s="249"/>
      <c r="AE1301" s="249"/>
      <c r="AF1301" s="248">
        <f>IF(E1300="","",ROUND(K1301*S1301*U1301,1))</f>
        <v>758</v>
      </c>
      <c r="AG1301" s="249"/>
      <c r="AH1301" s="249"/>
      <c r="AI1301" s="249"/>
    </row>
    <row r="1302" spans="1:35" s="116" customFormat="1" ht="15.75" customHeight="1">
      <c r="A1302" s="120" t="str">
        <f>IF(H1302="","×","")</f>
        <v/>
      </c>
      <c r="B1302" s="204">
        <f>IF(D1226="","",D1226)</f>
        <v>5</v>
      </c>
      <c r="C1302" s="205"/>
      <c r="D1302" s="205"/>
      <c r="E1302" s="205" t="str">
        <f>IF(G1226="","",G1226)</f>
        <v>粘性土</v>
      </c>
      <c r="F1302" s="205"/>
      <c r="G1302" s="205"/>
      <c r="H1302" s="145">
        <f>IF(J1226="","",J1226)</f>
        <v>8</v>
      </c>
      <c r="I1302" s="145"/>
      <c r="J1302" s="145"/>
      <c r="K1302" s="249">
        <f>AF1226*AD$1328</f>
        <v>562.5</v>
      </c>
      <c r="L1302" s="249"/>
      <c r="M1302" s="249"/>
      <c r="N1302" s="483"/>
      <c r="O1302" s="305">
        <f t="shared" ref="O1302" si="180">IF(E1302="","",IF(E1302="粘性土",1,CHOOSE(AK$1156,X$1154,X$1155)))</f>
        <v>1</v>
      </c>
      <c r="P1302" s="249"/>
      <c r="Q1302" s="249">
        <f t="shared" ref="Q1302" si="181">IF(E1302="","",IF(E1302="粘性土",1,CHOOSE(AK$1156,AB$1154,AB$1155)))</f>
        <v>1</v>
      </c>
      <c r="R1302" s="249"/>
      <c r="S1302" s="249">
        <f t="shared" ref="S1302" si="182">IF(E1302="","",IF(E1302="粘性土",1,CHOOSE(AK$1156,AF$1154,AF$1155)))</f>
        <v>1</v>
      </c>
      <c r="T1302" s="249"/>
      <c r="U1302" s="490">
        <f t="shared" ref="U1302" si="183">IF(E1302="","",IF(E1302="粘性土",1,R$1169))</f>
        <v>1</v>
      </c>
      <c r="V1302" s="490"/>
      <c r="W1302" s="491"/>
      <c r="X1302" s="248">
        <f>IF(E1302="","",ROUND(K1302*O1302*U1302,1))</f>
        <v>562.5</v>
      </c>
      <c r="Y1302" s="249"/>
      <c r="Z1302" s="249"/>
      <c r="AA1302" s="249"/>
      <c r="AB1302" s="248">
        <f>IF(E1302="","",ROUND(K1302*Q1302*U1302,1))</f>
        <v>562.5</v>
      </c>
      <c r="AC1302" s="249"/>
      <c r="AD1302" s="249"/>
      <c r="AE1302" s="249"/>
      <c r="AF1302" s="248">
        <f>IF(E1302="","",ROUND(K1302*S1302*U1302,1))</f>
        <v>562.5</v>
      </c>
      <c r="AG1302" s="249"/>
      <c r="AH1302" s="249"/>
      <c r="AI1302" s="249"/>
    </row>
    <row r="1303" spans="1:35" s="116" customFormat="1" ht="15.75" customHeight="1">
      <c r="A1303" s="120" t="str">
        <f>A1302</f>
        <v/>
      </c>
      <c r="B1303" s="204"/>
      <c r="C1303" s="205"/>
      <c r="D1303" s="205"/>
      <c r="E1303" s="205"/>
      <c r="F1303" s="205"/>
      <c r="G1303" s="205"/>
      <c r="H1303" s="145"/>
      <c r="I1303" s="145"/>
      <c r="J1303" s="145"/>
      <c r="K1303" s="249">
        <f>AF1227*AD$1328</f>
        <v>562.5</v>
      </c>
      <c r="L1303" s="249"/>
      <c r="M1303" s="249"/>
      <c r="N1303" s="483"/>
      <c r="O1303" s="305">
        <f t="shared" ref="O1303" si="184">O1302</f>
        <v>1</v>
      </c>
      <c r="P1303" s="249"/>
      <c r="Q1303" s="249">
        <f t="shared" ref="Q1303" si="185">Q1302</f>
        <v>1</v>
      </c>
      <c r="R1303" s="249"/>
      <c r="S1303" s="249">
        <f t="shared" ref="S1303" si="186">S1302</f>
        <v>1</v>
      </c>
      <c r="T1303" s="249"/>
      <c r="U1303" s="490">
        <f t="shared" ref="U1303" si="187">U1302</f>
        <v>1</v>
      </c>
      <c r="V1303" s="490"/>
      <c r="W1303" s="491"/>
      <c r="X1303" s="248">
        <f>IF(E1302="","",ROUND(K1303*O1303*U1303,1))</f>
        <v>562.5</v>
      </c>
      <c r="Y1303" s="249"/>
      <c r="Z1303" s="249"/>
      <c r="AA1303" s="249"/>
      <c r="AB1303" s="248">
        <f>IF(E1302="","",ROUND(K1303*Q1303*U1303,1))</f>
        <v>562.5</v>
      </c>
      <c r="AC1303" s="249"/>
      <c r="AD1303" s="249"/>
      <c r="AE1303" s="249"/>
      <c r="AF1303" s="248">
        <f>IF(E1302="","",ROUND(K1303*S1303*U1303,1))</f>
        <v>562.5</v>
      </c>
      <c r="AG1303" s="249"/>
      <c r="AH1303" s="249"/>
      <c r="AI1303" s="249"/>
    </row>
    <row r="1304" spans="1:35" s="116" customFormat="1" ht="15.75" customHeight="1">
      <c r="A1304" s="120" t="str">
        <f>IF(H1304="","×","")</f>
        <v/>
      </c>
      <c r="B1304" s="204">
        <f>IF(D1228="","",D1228)</f>
        <v>6</v>
      </c>
      <c r="C1304" s="205"/>
      <c r="D1304" s="205"/>
      <c r="E1304" s="205" t="str">
        <f>IF(G1228="","",G1228)</f>
        <v>粘性土</v>
      </c>
      <c r="F1304" s="205"/>
      <c r="G1304" s="205"/>
      <c r="H1304" s="145">
        <f>IF(J1228="","",J1228)</f>
        <v>4.5</v>
      </c>
      <c r="I1304" s="145"/>
      <c r="J1304" s="145"/>
      <c r="K1304" s="249">
        <f>AF1228*AD$1328</f>
        <v>1125</v>
      </c>
      <c r="L1304" s="249"/>
      <c r="M1304" s="249"/>
      <c r="N1304" s="483"/>
      <c r="O1304" s="305">
        <f t="shared" ref="O1304" si="188">IF(E1304="","",IF(E1304="粘性土",1,CHOOSE(AK$1156,X$1154,X$1155)))</f>
        <v>1</v>
      </c>
      <c r="P1304" s="249"/>
      <c r="Q1304" s="249">
        <f t="shared" ref="Q1304" si="189">IF(E1304="","",IF(E1304="粘性土",1,CHOOSE(AK$1156,AB$1154,AB$1155)))</f>
        <v>1</v>
      </c>
      <c r="R1304" s="249"/>
      <c r="S1304" s="249">
        <f t="shared" ref="S1304" si="190">IF(E1304="","",IF(E1304="粘性土",1,CHOOSE(AK$1156,AF$1154,AF$1155)))</f>
        <v>1</v>
      </c>
      <c r="T1304" s="249"/>
      <c r="U1304" s="490">
        <f t="shared" ref="U1304" si="191">IF(E1304="","",IF(E1304="粘性土",1,R$1169))</f>
        <v>1</v>
      </c>
      <c r="V1304" s="490"/>
      <c r="W1304" s="491"/>
      <c r="X1304" s="248">
        <f>IF(E1304="","",ROUND(K1304*O1304*U1304,1))</f>
        <v>1125</v>
      </c>
      <c r="Y1304" s="249"/>
      <c r="Z1304" s="249"/>
      <c r="AA1304" s="249"/>
      <c r="AB1304" s="248">
        <f>IF(E1304="","",ROUND(K1304*Q1304*U1304,1))</f>
        <v>1125</v>
      </c>
      <c r="AC1304" s="249"/>
      <c r="AD1304" s="249"/>
      <c r="AE1304" s="249"/>
      <c r="AF1304" s="248">
        <f>IF(E1304="","",ROUND(K1304*S1304*U1304,1))</f>
        <v>1125</v>
      </c>
      <c r="AG1304" s="249"/>
      <c r="AH1304" s="249"/>
      <c r="AI1304" s="249"/>
    </row>
    <row r="1305" spans="1:35" s="116" customFormat="1" ht="15.75" customHeight="1">
      <c r="A1305" s="120" t="str">
        <f>A1304</f>
        <v/>
      </c>
      <c r="B1305" s="204"/>
      <c r="C1305" s="205"/>
      <c r="D1305" s="205"/>
      <c r="E1305" s="205"/>
      <c r="F1305" s="205"/>
      <c r="G1305" s="205"/>
      <c r="H1305" s="145"/>
      <c r="I1305" s="145"/>
      <c r="J1305" s="145"/>
      <c r="K1305" s="249">
        <f>AF1229*AD$1328</f>
        <v>1125</v>
      </c>
      <c r="L1305" s="249"/>
      <c r="M1305" s="249"/>
      <c r="N1305" s="483"/>
      <c r="O1305" s="305">
        <f t="shared" ref="O1305" si="192">O1304</f>
        <v>1</v>
      </c>
      <c r="P1305" s="249"/>
      <c r="Q1305" s="249">
        <f t="shared" ref="Q1305" si="193">Q1304</f>
        <v>1</v>
      </c>
      <c r="R1305" s="249"/>
      <c r="S1305" s="249">
        <f t="shared" ref="S1305" si="194">S1304</f>
        <v>1</v>
      </c>
      <c r="T1305" s="249"/>
      <c r="U1305" s="490">
        <f t="shared" ref="U1305" si="195">U1304</f>
        <v>1</v>
      </c>
      <c r="V1305" s="490"/>
      <c r="W1305" s="491"/>
      <c r="X1305" s="248">
        <f>IF(E1304="","",ROUND(K1305*O1305*U1305,1))</f>
        <v>1125</v>
      </c>
      <c r="Y1305" s="249"/>
      <c r="Z1305" s="249"/>
      <c r="AA1305" s="249"/>
      <c r="AB1305" s="248">
        <f>IF(E1304="","",ROUND(K1305*Q1305*U1305,1))</f>
        <v>1125</v>
      </c>
      <c r="AC1305" s="249"/>
      <c r="AD1305" s="249"/>
      <c r="AE1305" s="249"/>
      <c r="AF1305" s="248">
        <f>IF(E1304="","",ROUND(K1305*S1305*U1305,1))</f>
        <v>1125</v>
      </c>
      <c r="AG1305" s="249"/>
      <c r="AH1305" s="249"/>
      <c r="AI1305" s="249"/>
    </row>
    <row r="1306" spans="1:35" s="116" customFormat="1" ht="15.75" customHeight="1">
      <c r="A1306" s="120" t="str">
        <f>IF(H1306="","×","")</f>
        <v/>
      </c>
      <c r="B1306" s="204">
        <f>IF(D1230="","",D1230)</f>
        <v>7</v>
      </c>
      <c r="C1306" s="205"/>
      <c r="D1306" s="205"/>
      <c r="E1306" s="205" t="str">
        <f>IF(G1230="","",G1230)</f>
        <v>砂礫</v>
      </c>
      <c r="F1306" s="205"/>
      <c r="G1306" s="205"/>
      <c r="H1306" s="145">
        <f>IF(J1230="","",J1230)</f>
        <v>0.5</v>
      </c>
      <c r="I1306" s="145"/>
      <c r="J1306" s="145"/>
      <c r="K1306" s="249">
        <f>AF1230*AD$1328</f>
        <v>2359.9</v>
      </c>
      <c r="L1306" s="249"/>
      <c r="M1306" s="249"/>
      <c r="N1306" s="483"/>
      <c r="O1306" s="305">
        <f t="shared" ref="O1306" si="196">IF(E1306="","",IF(E1306="粘性土",1,CHOOSE(AK$1156,X$1154,X$1155)))</f>
        <v>1</v>
      </c>
      <c r="P1306" s="249"/>
      <c r="Q1306" s="249">
        <f t="shared" ref="Q1306" si="197">IF(E1306="","",IF(E1306="粘性土",1,CHOOSE(AK$1156,AB$1154,AB$1155)))</f>
        <v>0.8</v>
      </c>
      <c r="R1306" s="249"/>
      <c r="S1306" s="249">
        <f t="shared" ref="S1306" si="198">IF(E1306="","",IF(E1306="粘性土",1,CHOOSE(AK$1156,AF$1154,AF$1155)))</f>
        <v>0.7</v>
      </c>
      <c r="T1306" s="249"/>
      <c r="U1306" s="490">
        <f t="shared" ref="U1306" si="199">IF(E1306="","",IF(E1306="粘性土",1,R$1169))</f>
        <v>0.94</v>
      </c>
      <c r="V1306" s="490"/>
      <c r="W1306" s="491"/>
      <c r="X1306" s="248">
        <f>IF(E1306="","",ROUND(K1306*O1306*U1306,1))</f>
        <v>2218.3000000000002</v>
      </c>
      <c r="Y1306" s="249"/>
      <c r="Z1306" s="249"/>
      <c r="AA1306" s="249"/>
      <c r="AB1306" s="248">
        <f>IF(E1306="","",ROUND(K1306*Q1306*U1306,1))</f>
        <v>1774.6</v>
      </c>
      <c r="AC1306" s="249"/>
      <c r="AD1306" s="249"/>
      <c r="AE1306" s="249"/>
      <c r="AF1306" s="248">
        <f>IF(E1306="","",ROUND(K1306*S1306*U1306,1))</f>
        <v>1552.8</v>
      </c>
      <c r="AG1306" s="249"/>
      <c r="AH1306" s="249"/>
      <c r="AI1306" s="249"/>
    </row>
    <row r="1307" spans="1:35" s="116" customFormat="1" ht="15.75" customHeight="1">
      <c r="A1307" s="120" t="str">
        <f>A1306</f>
        <v/>
      </c>
      <c r="B1307" s="204"/>
      <c r="C1307" s="205"/>
      <c r="D1307" s="205"/>
      <c r="E1307" s="205"/>
      <c r="F1307" s="205"/>
      <c r="G1307" s="205"/>
      <c r="H1307" s="145"/>
      <c r="I1307" s="145"/>
      <c r="J1307" s="145"/>
      <c r="K1307" s="249">
        <f>AF1231*AD$1328</f>
        <v>2420.5</v>
      </c>
      <c r="L1307" s="249"/>
      <c r="M1307" s="249"/>
      <c r="N1307" s="483"/>
      <c r="O1307" s="305">
        <f t="shared" ref="O1307" si="200">O1306</f>
        <v>1</v>
      </c>
      <c r="P1307" s="249"/>
      <c r="Q1307" s="249">
        <f t="shared" ref="Q1307" si="201">Q1306</f>
        <v>0.8</v>
      </c>
      <c r="R1307" s="249"/>
      <c r="S1307" s="249">
        <f t="shared" ref="S1307" si="202">S1306</f>
        <v>0.7</v>
      </c>
      <c r="T1307" s="249"/>
      <c r="U1307" s="490">
        <f t="shared" ref="U1307" si="203">U1306</f>
        <v>0.94</v>
      </c>
      <c r="V1307" s="490"/>
      <c r="W1307" s="491"/>
      <c r="X1307" s="248">
        <f>IF(E1306="","",ROUND(K1307*O1307*U1307,1))</f>
        <v>2275.3000000000002</v>
      </c>
      <c r="Y1307" s="249"/>
      <c r="Z1307" s="249"/>
      <c r="AA1307" s="249"/>
      <c r="AB1307" s="248">
        <f>IF(E1306="","",ROUND(K1307*Q1307*U1307,1))</f>
        <v>1820.2</v>
      </c>
      <c r="AC1307" s="249"/>
      <c r="AD1307" s="249"/>
      <c r="AE1307" s="249"/>
      <c r="AF1307" s="248">
        <f>IF(E1306="","",ROUND(K1307*S1307*U1307,1))</f>
        <v>1592.7</v>
      </c>
      <c r="AG1307" s="249"/>
      <c r="AH1307" s="249"/>
      <c r="AI1307" s="249"/>
    </row>
    <row r="1308" spans="1:35" s="116" customFormat="1" ht="15.75" hidden="1" customHeight="1">
      <c r="A1308" s="120" t="str">
        <f>IF(H1308="","×","")</f>
        <v>×</v>
      </c>
      <c r="B1308" s="204" t="str">
        <f>IF(D1232="","",D1232)</f>
        <v/>
      </c>
      <c r="C1308" s="205"/>
      <c r="D1308" s="205"/>
      <c r="E1308" s="205" t="str">
        <f>IF(G1232="","",G1232)</f>
        <v/>
      </c>
      <c r="F1308" s="205"/>
      <c r="G1308" s="205"/>
      <c r="H1308" s="145" t="str">
        <f>IF(J1232="","",J1232)</f>
        <v/>
      </c>
      <c r="I1308" s="145"/>
      <c r="J1308" s="145"/>
      <c r="K1308" s="249">
        <f>AF1232*AD$1328</f>
        <v>599.1</v>
      </c>
      <c r="L1308" s="249"/>
      <c r="M1308" s="249"/>
      <c r="N1308" s="483"/>
      <c r="O1308" s="305" t="str">
        <f t="shared" ref="O1308" si="204">IF(E1308="","",IF(E1308="粘性土",1,CHOOSE(AK$1156,X$1154,X$1155)))</f>
        <v/>
      </c>
      <c r="P1308" s="249"/>
      <c r="Q1308" s="249" t="str">
        <f t="shared" ref="Q1308" si="205">IF(E1308="","",IF(E1308="粘性土",1,CHOOSE(AK$1156,AB$1154,AB$1155)))</f>
        <v/>
      </c>
      <c r="R1308" s="249"/>
      <c r="S1308" s="249" t="str">
        <f t="shared" ref="S1308" si="206">IF(E1308="","",IF(E1308="粘性土",1,CHOOSE(AK$1156,AF$1154,AF$1155)))</f>
        <v/>
      </c>
      <c r="T1308" s="249"/>
      <c r="U1308" s="490" t="str">
        <f t="shared" ref="U1308" si="207">IF(E1308="","",IF(E1308="粘性土",1,R$1169))</f>
        <v/>
      </c>
      <c r="V1308" s="490"/>
      <c r="W1308" s="491"/>
      <c r="X1308" s="248" t="str">
        <f>IF(E1308="","",ROUND(K1308*O1308*U1308,1))</f>
        <v/>
      </c>
      <c r="Y1308" s="249"/>
      <c r="Z1308" s="249"/>
      <c r="AA1308" s="249"/>
      <c r="AB1308" s="248" t="str">
        <f>IF(E1308="","",ROUND(K1308*Q1308*U1308,1))</f>
        <v/>
      </c>
      <c r="AC1308" s="249"/>
      <c r="AD1308" s="249"/>
      <c r="AE1308" s="249"/>
      <c r="AF1308" s="248" t="str">
        <f>IF(E1308="","",ROUND(K1308*S1308*U1308,1))</f>
        <v/>
      </c>
      <c r="AG1308" s="249"/>
      <c r="AH1308" s="249"/>
      <c r="AI1308" s="249"/>
    </row>
    <row r="1309" spans="1:35" s="116" customFormat="1" ht="15.75" hidden="1" customHeight="1">
      <c r="A1309" s="120" t="str">
        <f>A1308</f>
        <v>×</v>
      </c>
      <c r="B1309" s="204"/>
      <c r="C1309" s="205"/>
      <c r="D1309" s="205"/>
      <c r="E1309" s="205"/>
      <c r="F1309" s="205"/>
      <c r="G1309" s="205"/>
      <c r="H1309" s="145"/>
      <c r="I1309" s="145"/>
      <c r="J1309" s="145"/>
      <c r="K1309" s="249">
        <f>AF1233*AD$1328</f>
        <v>599.1</v>
      </c>
      <c r="L1309" s="249"/>
      <c r="M1309" s="249"/>
      <c r="N1309" s="483"/>
      <c r="O1309" s="305" t="str">
        <f t="shared" ref="O1309" si="208">O1308</f>
        <v/>
      </c>
      <c r="P1309" s="249"/>
      <c r="Q1309" s="249" t="str">
        <f t="shared" ref="Q1309" si="209">Q1308</f>
        <v/>
      </c>
      <c r="R1309" s="249"/>
      <c r="S1309" s="249" t="str">
        <f t="shared" ref="S1309" si="210">S1308</f>
        <v/>
      </c>
      <c r="T1309" s="249"/>
      <c r="U1309" s="490" t="str">
        <f t="shared" ref="U1309" si="211">U1308</f>
        <v/>
      </c>
      <c r="V1309" s="490"/>
      <c r="W1309" s="491"/>
      <c r="X1309" s="248" t="str">
        <f>IF(E1308="","",ROUND(K1309*O1309*U1309,1))</f>
        <v/>
      </c>
      <c r="Y1309" s="249"/>
      <c r="Z1309" s="249"/>
      <c r="AA1309" s="249"/>
      <c r="AB1309" s="248" t="str">
        <f>IF(E1308="","",ROUND(K1309*Q1309*U1309,1))</f>
        <v/>
      </c>
      <c r="AC1309" s="249"/>
      <c r="AD1309" s="249"/>
      <c r="AE1309" s="249"/>
      <c r="AF1309" s="248" t="str">
        <f>IF(E1308="","",ROUND(K1309*S1309*U1309,1))</f>
        <v/>
      </c>
      <c r="AG1309" s="249"/>
      <c r="AH1309" s="249"/>
      <c r="AI1309" s="249"/>
    </row>
    <row r="1310" spans="1:35" s="116" customFormat="1" ht="15.75" hidden="1" customHeight="1">
      <c r="A1310" s="120" t="str">
        <f>IF(H1310="","×","")</f>
        <v>×</v>
      </c>
      <c r="B1310" s="204" t="str">
        <f>IF(D1234="","",D1234)</f>
        <v/>
      </c>
      <c r="C1310" s="205"/>
      <c r="D1310" s="205"/>
      <c r="E1310" s="205" t="str">
        <f>IF(G1234="","",G1234)</f>
        <v/>
      </c>
      <c r="F1310" s="205"/>
      <c r="G1310" s="205"/>
      <c r="H1310" s="145" t="str">
        <f>IF(J1234="","",J1234)</f>
        <v/>
      </c>
      <c r="I1310" s="145"/>
      <c r="J1310" s="145"/>
      <c r="K1310" s="249">
        <f>AF1234*AD$1328</f>
        <v>599.1</v>
      </c>
      <c r="L1310" s="249"/>
      <c r="M1310" s="249"/>
      <c r="N1310" s="483"/>
      <c r="O1310" s="305" t="str">
        <f t="shared" ref="O1310" si="212">IF(E1310="","",IF(E1310="粘性土",1,CHOOSE(AK$1156,X$1154,X$1155)))</f>
        <v/>
      </c>
      <c r="P1310" s="249"/>
      <c r="Q1310" s="249" t="str">
        <f t="shared" ref="Q1310" si="213">IF(E1310="","",IF(E1310="粘性土",1,CHOOSE(AK$1156,AB$1154,AB$1155)))</f>
        <v/>
      </c>
      <c r="R1310" s="249"/>
      <c r="S1310" s="249" t="str">
        <f t="shared" ref="S1310" si="214">IF(E1310="","",IF(E1310="粘性土",1,CHOOSE(AK$1156,AF$1154,AF$1155)))</f>
        <v/>
      </c>
      <c r="T1310" s="249"/>
      <c r="U1310" s="490" t="str">
        <f t="shared" ref="U1310" si="215">IF(E1310="","",IF(E1310="粘性土",1,R$1169))</f>
        <v/>
      </c>
      <c r="V1310" s="490"/>
      <c r="W1310" s="491"/>
      <c r="X1310" s="248" t="str">
        <f>IF(E1310="","",ROUND(K1310*O1310*U1310,1))</f>
        <v/>
      </c>
      <c r="Y1310" s="249"/>
      <c r="Z1310" s="249"/>
      <c r="AA1310" s="249"/>
      <c r="AB1310" s="248" t="str">
        <f>IF(E1310="","",ROUND(K1310*Q1310*U1310,1))</f>
        <v/>
      </c>
      <c r="AC1310" s="249"/>
      <c r="AD1310" s="249"/>
      <c r="AE1310" s="249"/>
      <c r="AF1310" s="248" t="str">
        <f>IF(E1310="","",ROUND(K1310*S1310*U1310,1))</f>
        <v/>
      </c>
      <c r="AG1310" s="249"/>
      <c r="AH1310" s="249"/>
      <c r="AI1310" s="249"/>
    </row>
    <row r="1311" spans="1:35" s="116" customFormat="1" ht="15.75" hidden="1" customHeight="1">
      <c r="A1311" s="120" t="str">
        <f>A1310</f>
        <v>×</v>
      </c>
      <c r="B1311" s="204"/>
      <c r="C1311" s="205"/>
      <c r="D1311" s="205"/>
      <c r="E1311" s="205"/>
      <c r="F1311" s="205"/>
      <c r="G1311" s="205"/>
      <c r="H1311" s="145"/>
      <c r="I1311" s="145"/>
      <c r="J1311" s="145"/>
      <c r="K1311" s="249">
        <f>AF1235*AD$1328</f>
        <v>599.1</v>
      </c>
      <c r="L1311" s="249"/>
      <c r="M1311" s="249"/>
      <c r="N1311" s="483"/>
      <c r="O1311" s="305" t="str">
        <f t="shared" ref="O1311" si="216">O1310</f>
        <v/>
      </c>
      <c r="P1311" s="249"/>
      <c r="Q1311" s="249" t="str">
        <f t="shared" ref="Q1311" si="217">Q1310</f>
        <v/>
      </c>
      <c r="R1311" s="249"/>
      <c r="S1311" s="249" t="str">
        <f t="shared" ref="S1311" si="218">S1310</f>
        <v/>
      </c>
      <c r="T1311" s="249"/>
      <c r="U1311" s="490" t="str">
        <f t="shared" ref="U1311" si="219">U1310</f>
        <v/>
      </c>
      <c r="V1311" s="490"/>
      <c r="W1311" s="491"/>
      <c r="X1311" s="248" t="str">
        <f>IF(E1310="","",ROUND(K1311*O1311*U1311,1))</f>
        <v/>
      </c>
      <c r="Y1311" s="249"/>
      <c r="Z1311" s="249"/>
      <c r="AA1311" s="249"/>
      <c r="AB1311" s="248" t="str">
        <f>IF(E1310="","",ROUND(K1311*Q1311*U1311,1))</f>
        <v/>
      </c>
      <c r="AC1311" s="249"/>
      <c r="AD1311" s="249"/>
      <c r="AE1311" s="249"/>
      <c r="AF1311" s="248" t="str">
        <f>IF(E1310="","",ROUND(K1311*S1311*U1311,1))</f>
        <v/>
      </c>
      <c r="AG1311" s="249"/>
      <c r="AH1311" s="249"/>
      <c r="AI1311" s="249"/>
    </row>
    <row r="1312" spans="1:35" s="116" customFormat="1" ht="15.75" hidden="1" customHeight="1">
      <c r="A1312" s="120" t="str">
        <f>IF(H1312="","×","")</f>
        <v>×</v>
      </c>
      <c r="B1312" s="204" t="str">
        <f>IF(D1236="","",D1236)</f>
        <v/>
      </c>
      <c r="C1312" s="205"/>
      <c r="D1312" s="205"/>
      <c r="E1312" s="205" t="str">
        <f>IF(G1236="","",G1236)</f>
        <v/>
      </c>
      <c r="F1312" s="205"/>
      <c r="G1312" s="205"/>
      <c r="H1312" s="145" t="str">
        <f>IF(J1236="","",J1236)</f>
        <v/>
      </c>
      <c r="I1312" s="145"/>
      <c r="J1312" s="145"/>
      <c r="K1312" s="249">
        <f>AF1236*AD$1328</f>
        <v>599.1</v>
      </c>
      <c r="L1312" s="249"/>
      <c r="M1312" s="249"/>
      <c r="N1312" s="483"/>
      <c r="O1312" s="305" t="str">
        <f t="shared" ref="O1312" si="220">IF(E1312="","",IF(E1312="粘性土",1,CHOOSE(AK$1156,X$1154,X$1155)))</f>
        <v/>
      </c>
      <c r="P1312" s="249"/>
      <c r="Q1312" s="249" t="str">
        <f t="shared" ref="Q1312" si="221">IF(E1312="","",IF(E1312="粘性土",1,CHOOSE(AK$1156,AB$1154,AB$1155)))</f>
        <v/>
      </c>
      <c r="R1312" s="249"/>
      <c r="S1312" s="249" t="str">
        <f t="shared" ref="S1312" si="222">IF(E1312="","",IF(E1312="粘性土",1,CHOOSE(AK$1156,AF$1154,AF$1155)))</f>
        <v/>
      </c>
      <c r="T1312" s="249"/>
      <c r="U1312" s="490" t="str">
        <f t="shared" ref="U1312" si="223">IF(E1312="","",IF(E1312="粘性土",1,R$1169))</f>
        <v/>
      </c>
      <c r="V1312" s="490"/>
      <c r="W1312" s="491"/>
      <c r="X1312" s="248" t="str">
        <f>IF(E1312="","",ROUND(K1312*O1312*U1312,1))</f>
        <v/>
      </c>
      <c r="Y1312" s="249"/>
      <c r="Z1312" s="249"/>
      <c r="AA1312" s="249"/>
      <c r="AB1312" s="248" t="str">
        <f>IF(E1312="","",ROUND(K1312*Q1312*U1312,1))</f>
        <v/>
      </c>
      <c r="AC1312" s="249"/>
      <c r="AD1312" s="249"/>
      <c r="AE1312" s="249"/>
      <c r="AF1312" s="248" t="str">
        <f>IF(E1312="","",ROUND(K1312*S1312*U1312,1))</f>
        <v/>
      </c>
      <c r="AG1312" s="249"/>
      <c r="AH1312" s="249"/>
      <c r="AI1312" s="249"/>
    </row>
    <row r="1313" spans="1:35" s="116" customFormat="1" ht="15.75" hidden="1" customHeight="1">
      <c r="A1313" s="120" t="str">
        <f>A1312</f>
        <v>×</v>
      </c>
      <c r="B1313" s="204"/>
      <c r="C1313" s="205"/>
      <c r="D1313" s="205"/>
      <c r="E1313" s="205"/>
      <c r="F1313" s="205"/>
      <c r="G1313" s="205"/>
      <c r="H1313" s="145"/>
      <c r="I1313" s="145"/>
      <c r="J1313" s="145"/>
      <c r="K1313" s="249">
        <f>AF1237*AD$1328</f>
        <v>599.1</v>
      </c>
      <c r="L1313" s="249"/>
      <c r="M1313" s="249"/>
      <c r="N1313" s="483"/>
      <c r="O1313" s="305" t="str">
        <f t="shared" ref="O1313" si="224">O1312</f>
        <v/>
      </c>
      <c r="P1313" s="249"/>
      <c r="Q1313" s="249" t="str">
        <f t="shared" ref="Q1313" si="225">Q1312</f>
        <v/>
      </c>
      <c r="R1313" s="249"/>
      <c r="S1313" s="249" t="str">
        <f t="shared" ref="S1313" si="226">S1312</f>
        <v/>
      </c>
      <c r="T1313" s="249"/>
      <c r="U1313" s="490" t="str">
        <f>IF(E1313="","",IF(E1313="粘性土",1,R$1169))</f>
        <v/>
      </c>
      <c r="V1313" s="490"/>
      <c r="W1313" s="491"/>
      <c r="X1313" s="248" t="str">
        <f>IF(E1312="","",ROUND(K1313*O1313*U1313,1))</f>
        <v/>
      </c>
      <c r="Y1313" s="249"/>
      <c r="Z1313" s="249"/>
      <c r="AA1313" s="249"/>
      <c r="AB1313" s="248" t="str">
        <f>IF(E1312="","",ROUND(K1313*Q1313*U1313,1))</f>
        <v/>
      </c>
      <c r="AC1313" s="249"/>
      <c r="AD1313" s="249"/>
      <c r="AE1313" s="249"/>
      <c r="AF1313" s="248" t="str">
        <f>IF(E1312="","",ROUND(K1313*S1313*U1313,1))</f>
        <v/>
      </c>
      <c r="AG1313" s="249"/>
      <c r="AH1313" s="249"/>
      <c r="AI1313" s="249"/>
    </row>
    <row r="1314" spans="1:35" s="116" customFormat="1" ht="15.75" hidden="1" customHeight="1">
      <c r="A1314" s="120" t="str">
        <f>IF(H1314="","×","")</f>
        <v>×</v>
      </c>
      <c r="B1314" s="204" t="str">
        <f>IF(D1238="","",D1238)</f>
        <v/>
      </c>
      <c r="C1314" s="205"/>
      <c r="D1314" s="205"/>
      <c r="E1314" s="205" t="str">
        <f>IF(G1238="","",G1238)</f>
        <v/>
      </c>
      <c r="F1314" s="205"/>
      <c r="G1314" s="205"/>
      <c r="H1314" s="145" t="str">
        <f>IF(J1238="","",J1238)</f>
        <v/>
      </c>
      <c r="I1314" s="145"/>
      <c r="J1314" s="145"/>
      <c r="K1314" s="249">
        <f>AF1238*AD$1328</f>
        <v>599.1</v>
      </c>
      <c r="L1314" s="249"/>
      <c r="M1314" s="249"/>
      <c r="N1314" s="483"/>
      <c r="O1314" s="305" t="str">
        <f t="shared" ref="O1314" si="227">IF(E1314="","",IF(E1314="粘性土",1,CHOOSE(AK$1156,X$1154,X$1155)))</f>
        <v/>
      </c>
      <c r="P1314" s="249"/>
      <c r="Q1314" s="249" t="str">
        <f t="shared" ref="Q1314" si="228">IF(E1314="","",IF(E1314="粘性土",1,CHOOSE(AK$1156,AB$1154,AB$1155)))</f>
        <v/>
      </c>
      <c r="R1314" s="249"/>
      <c r="S1314" s="249" t="str">
        <f t="shared" ref="S1314" si="229">IF(E1314="","",IF(E1314="粘性土",1,CHOOSE(AK$1156,AF$1154,AF$1155)))</f>
        <v/>
      </c>
      <c r="T1314" s="249"/>
      <c r="U1314" s="490" t="str">
        <f>U1313</f>
        <v/>
      </c>
      <c r="V1314" s="490"/>
      <c r="W1314" s="491"/>
      <c r="X1314" s="248" t="str">
        <f>IF(E1314="","",ROUND(K1314*O1314*U1314,1))</f>
        <v/>
      </c>
      <c r="Y1314" s="249"/>
      <c r="Z1314" s="249"/>
      <c r="AA1314" s="249"/>
      <c r="AB1314" s="248" t="str">
        <f>IF(E1314="","",ROUND(K1314*Q1314*U1314,1))</f>
        <v/>
      </c>
      <c r="AC1314" s="249"/>
      <c r="AD1314" s="249"/>
      <c r="AE1314" s="249"/>
      <c r="AF1314" s="248" t="str">
        <f>IF(E1314="","",ROUND(K1314*S1314*U1314,1))</f>
        <v/>
      </c>
      <c r="AG1314" s="249"/>
      <c r="AH1314" s="249"/>
      <c r="AI1314" s="249"/>
    </row>
    <row r="1315" spans="1:35" s="116" customFormat="1" ht="15.75" hidden="1" customHeight="1">
      <c r="A1315" s="120" t="str">
        <f>A1314</f>
        <v>×</v>
      </c>
      <c r="B1315" s="204"/>
      <c r="C1315" s="205"/>
      <c r="D1315" s="205"/>
      <c r="E1315" s="205"/>
      <c r="F1315" s="205"/>
      <c r="G1315" s="205"/>
      <c r="H1315" s="145"/>
      <c r="I1315" s="145"/>
      <c r="J1315" s="145"/>
      <c r="K1315" s="249">
        <f>AF1239*AD$1328</f>
        <v>599.1</v>
      </c>
      <c r="L1315" s="249"/>
      <c r="M1315" s="249"/>
      <c r="N1315" s="483"/>
      <c r="O1315" s="305" t="str">
        <f t="shared" ref="O1315" si="230">O1314</f>
        <v/>
      </c>
      <c r="P1315" s="249"/>
      <c r="Q1315" s="249" t="str">
        <f t="shared" ref="Q1315" si="231">Q1314</f>
        <v/>
      </c>
      <c r="R1315" s="249"/>
      <c r="S1315" s="249" t="str">
        <f t="shared" ref="S1315" si="232">S1314</f>
        <v/>
      </c>
      <c r="T1315" s="249"/>
      <c r="U1315" s="490" t="str">
        <f t="shared" ref="U1315" si="233">IF(E1315="","",IF(E1315="粘性土",1,R$1169))</f>
        <v/>
      </c>
      <c r="V1315" s="490"/>
      <c r="W1315" s="491"/>
      <c r="X1315" s="248" t="str">
        <f>IF(E1314="","",ROUND(K1315*O1315*U1315,1))</f>
        <v/>
      </c>
      <c r="Y1315" s="249"/>
      <c r="Z1315" s="249"/>
      <c r="AA1315" s="249"/>
      <c r="AB1315" s="248" t="str">
        <f>IF(E1314="","",ROUND(K1315*Q1315*U1315,1))</f>
        <v/>
      </c>
      <c r="AC1315" s="249"/>
      <c r="AD1315" s="249"/>
      <c r="AE1315" s="249"/>
      <c r="AF1315" s="248" t="str">
        <f>IF(E1314="","",ROUND(K1315*S1315*U1315,1))</f>
        <v/>
      </c>
      <c r="AG1315" s="249"/>
      <c r="AH1315" s="249"/>
      <c r="AI1315" s="249"/>
    </row>
    <row r="1316" spans="1:35" s="116" customFormat="1" ht="15.75" hidden="1" customHeight="1">
      <c r="A1316" s="120" t="str">
        <f>IF(H1316="","×","")</f>
        <v>×</v>
      </c>
      <c r="B1316" s="204" t="str">
        <f>IF(D1240="","",D1240)</f>
        <v/>
      </c>
      <c r="C1316" s="205"/>
      <c r="D1316" s="205"/>
      <c r="E1316" s="205" t="str">
        <f>IF(G1240="","",G1240)</f>
        <v/>
      </c>
      <c r="F1316" s="205"/>
      <c r="G1316" s="205"/>
      <c r="H1316" s="145" t="str">
        <f>IF(J1240="","",J1240)</f>
        <v/>
      </c>
      <c r="I1316" s="145"/>
      <c r="J1316" s="145"/>
      <c r="K1316" s="249">
        <f>AF1240*AD$1328</f>
        <v>599.1</v>
      </c>
      <c r="L1316" s="249"/>
      <c r="M1316" s="249"/>
      <c r="N1316" s="483"/>
      <c r="O1316" s="305" t="str">
        <f t="shared" ref="O1316" si="234">IF(E1316="","",IF(E1316="粘性土",1,CHOOSE(AK$1156,X$1154,X$1155)))</f>
        <v/>
      </c>
      <c r="P1316" s="249"/>
      <c r="Q1316" s="249" t="str">
        <f t="shared" ref="Q1316" si="235">IF(E1316="","",IF(E1316="粘性土",1,CHOOSE(AK$1156,AB$1154,AB$1155)))</f>
        <v/>
      </c>
      <c r="R1316" s="249"/>
      <c r="S1316" s="249" t="str">
        <f t="shared" ref="S1316" si="236">IF(E1316="","",IF(E1316="粘性土",1,CHOOSE(AK$1156,AF$1154,AF$1155)))</f>
        <v/>
      </c>
      <c r="T1316" s="249"/>
      <c r="U1316" s="490" t="str">
        <f t="shared" ref="U1316" si="237">U1315</f>
        <v/>
      </c>
      <c r="V1316" s="490"/>
      <c r="W1316" s="491"/>
      <c r="X1316" s="248" t="str">
        <f>IF(E1316="","",ROUND(K1316*O1316*U1316,1))</f>
        <v/>
      </c>
      <c r="Y1316" s="249"/>
      <c r="Z1316" s="249"/>
      <c r="AA1316" s="249"/>
      <c r="AB1316" s="248" t="str">
        <f>IF(E1316="","",ROUND(K1316*Q1316*U1316,1))</f>
        <v/>
      </c>
      <c r="AC1316" s="249"/>
      <c r="AD1316" s="249"/>
      <c r="AE1316" s="249"/>
      <c r="AF1316" s="248" t="str">
        <f>IF(E1316="","",ROUND(K1316*S1316*U1316,1))</f>
        <v/>
      </c>
      <c r="AG1316" s="249"/>
      <c r="AH1316" s="249"/>
      <c r="AI1316" s="249"/>
    </row>
    <row r="1317" spans="1:35" s="116" customFormat="1" ht="15.75" hidden="1" customHeight="1">
      <c r="A1317" s="120" t="str">
        <f>A1316</f>
        <v>×</v>
      </c>
      <c r="B1317" s="204"/>
      <c r="C1317" s="205"/>
      <c r="D1317" s="205"/>
      <c r="E1317" s="205"/>
      <c r="F1317" s="205"/>
      <c r="G1317" s="205"/>
      <c r="H1317" s="145"/>
      <c r="I1317" s="145"/>
      <c r="J1317" s="145"/>
      <c r="K1317" s="249">
        <f>AF1241*AD$1328</f>
        <v>599.1</v>
      </c>
      <c r="L1317" s="249"/>
      <c r="M1317" s="249"/>
      <c r="N1317" s="483"/>
      <c r="O1317" s="305" t="str">
        <f t="shared" ref="O1317" si="238">O1316</f>
        <v/>
      </c>
      <c r="P1317" s="249"/>
      <c r="Q1317" s="249" t="str">
        <f t="shared" ref="Q1317" si="239">Q1316</f>
        <v/>
      </c>
      <c r="R1317" s="249"/>
      <c r="S1317" s="249" t="str">
        <f t="shared" ref="S1317" si="240">S1316</f>
        <v/>
      </c>
      <c r="T1317" s="249"/>
      <c r="U1317" s="490" t="str">
        <f t="shared" ref="U1317" si="241">IF(E1317="","",IF(E1317="粘性土",1,R$1169))</f>
        <v/>
      </c>
      <c r="V1317" s="490"/>
      <c r="W1317" s="491"/>
      <c r="X1317" s="248" t="str">
        <f>IF(E1316="","",ROUND(K1317*O1317*U1317,1))</f>
        <v/>
      </c>
      <c r="Y1317" s="249"/>
      <c r="Z1317" s="249"/>
      <c r="AA1317" s="249"/>
      <c r="AB1317" s="248" t="str">
        <f>IF(E1316="","",ROUND(K1317*Q1317*U1317,1))</f>
        <v/>
      </c>
      <c r="AC1317" s="249"/>
      <c r="AD1317" s="249"/>
      <c r="AE1317" s="249"/>
      <c r="AF1317" s="248" t="str">
        <f>IF(E1316="","",ROUND(K1317*S1317*U1317,1))</f>
        <v/>
      </c>
      <c r="AG1317" s="249"/>
      <c r="AH1317" s="249"/>
      <c r="AI1317" s="249"/>
    </row>
    <row r="1318" spans="1:35" s="116" customFormat="1" ht="15.75" hidden="1" customHeight="1">
      <c r="A1318" s="120" t="str">
        <f>IF(H1318="","×","")</f>
        <v>×</v>
      </c>
      <c r="B1318" s="204" t="str">
        <f>IF(D1242="","",D1242)</f>
        <v/>
      </c>
      <c r="C1318" s="205"/>
      <c r="D1318" s="205"/>
      <c r="E1318" s="205" t="str">
        <f>IF(G1242="","",G1242)</f>
        <v/>
      </c>
      <c r="F1318" s="205"/>
      <c r="G1318" s="205"/>
      <c r="H1318" s="145" t="str">
        <f>IF(J1242="","",J1242)</f>
        <v/>
      </c>
      <c r="I1318" s="145"/>
      <c r="J1318" s="145"/>
      <c r="K1318" s="249">
        <f>AF1242*AD$1328</f>
        <v>599.1</v>
      </c>
      <c r="L1318" s="249"/>
      <c r="M1318" s="249"/>
      <c r="N1318" s="483"/>
      <c r="O1318" s="305" t="str">
        <f t="shared" ref="O1318" si="242">IF(E1318="","",IF(E1318="粘性土",1,CHOOSE(AK$1156,X$1154,X$1155)))</f>
        <v/>
      </c>
      <c r="P1318" s="249"/>
      <c r="Q1318" s="249" t="str">
        <f t="shared" ref="Q1318" si="243">IF(E1318="","",IF(E1318="粘性土",1,CHOOSE(AK$1156,AB$1154,AB$1155)))</f>
        <v/>
      </c>
      <c r="R1318" s="249"/>
      <c r="S1318" s="249" t="str">
        <f t="shared" ref="S1318" si="244">IF(E1318="","",IF(E1318="粘性土",1,CHOOSE(AK$1156,AF$1154,AF$1155)))</f>
        <v/>
      </c>
      <c r="T1318" s="249"/>
      <c r="U1318" s="490" t="str">
        <f t="shared" ref="U1318" si="245">U1317</f>
        <v/>
      </c>
      <c r="V1318" s="490"/>
      <c r="W1318" s="491"/>
      <c r="X1318" s="248" t="str">
        <f>IF(E1318="","",ROUND(K1318*O1318*U1318,1))</f>
        <v/>
      </c>
      <c r="Y1318" s="249"/>
      <c r="Z1318" s="249"/>
      <c r="AA1318" s="249"/>
      <c r="AB1318" s="248" t="str">
        <f>IF(E1318="","",ROUND(K1318*Q1318*U1318,1))</f>
        <v/>
      </c>
      <c r="AC1318" s="249"/>
      <c r="AD1318" s="249"/>
      <c r="AE1318" s="249"/>
      <c r="AF1318" s="248" t="str">
        <f>IF(E1318="","",ROUND(K1318*S1318*U1318,1))</f>
        <v/>
      </c>
      <c r="AG1318" s="249"/>
      <c r="AH1318" s="249"/>
      <c r="AI1318" s="249"/>
    </row>
    <row r="1319" spans="1:35" s="116" customFormat="1" ht="15.75" hidden="1" customHeight="1">
      <c r="A1319" s="120" t="str">
        <f>A1318</f>
        <v>×</v>
      </c>
      <c r="B1319" s="204"/>
      <c r="C1319" s="205"/>
      <c r="D1319" s="205"/>
      <c r="E1319" s="205"/>
      <c r="F1319" s="205"/>
      <c r="G1319" s="205"/>
      <c r="H1319" s="145"/>
      <c r="I1319" s="145"/>
      <c r="J1319" s="145"/>
      <c r="K1319" s="249">
        <f>AF1243*AD$1328</f>
        <v>599.1</v>
      </c>
      <c r="L1319" s="249"/>
      <c r="M1319" s="249"/>
      <c r="N1319" s="483"/>
      <c r="O1319" s="305" t="str">
        <f t="shared" ref="O1319" si="246">O1318</f>
        <v/>
      </c>
      <c r="P1319" s="249"/>
      <c r="Q1319" s="249" t="str">
        <f t="shared" ref="Q1319" si="247">Q1318</f>
        <v/>
      </c>
      <c r="R1319" s="249"/>
      <c r="S1319" s="249" t="str">
        <f t="shared" ref="S1319" si="248">S1318</f>
        <v/>
      </c>
      <c r="T1319" s="249"/>
      <c r="U1319" s="490" t="str">
        <f t="shared" ref="U1319" si="249">IF(E1319="","",IF(E1319="粘性土",1,R$1169))</f>
        <v/>
      </c>
      <c r="V1319" s="490"/>
      <c r="W1319" s="491"/>
      <c r="X1319" s="248" t="str">
        <f>IF(E1318="","",ROUND(K1319*O1319*U1319,1))</f>
        <v/>
      </c>
      <c r="Y1319" s="249"/>
      <c r="Z1319" s="249"/>
      <c r="AA1319" s="249"/>
      <c r="AB1319" s="248" t="str">
        <f>IF(E1318="","",ROUND(K1319*Q1319*U1319,1))</f>
        <v/>
      </c>
      <c r="AC1319" s="249"/>
      <c r="AD1319" s="249"/>
      <c r="AE1319" s="249"/>
      <c r="AF1319" s="248" t="str">
        <f>IF(E1318="","",ROUND(K1319*S1319*U1319,1))</f>
        <v/>
      </c>
      <c r="AG1319" s="249"/>
      <c r="AH1319" s="249"/>
      <c r="AI1319" s="249"/>
    </row>
    <row r="1320" spans="1:35" s="116" customFormat="1" ht="15.75" hidden="1" customHeight="1">
      <c r="A1320" s="120" t="str">
        <f>IF(H1320="","×","")</f>
        <v>×</v>
      </c>
      <c r="B1320" s="204" t="str">
        <f>IF(D1244="","",D1244)</f>
        <v/>
      </c>
      <c r="C1320" s="205"/>
      <c r="D1320" s="205"/>
      <c r="E1320" s="205" t="str">
        <f>IF(G1244="","",G1244)</f>
        <v/>
      </c>
      <c r="F1320" s="205"/>
      <c r="G1320" s="205"/>
      <c r="H1320" s="145" t="str">
        <f>IF(J1244="","",J1244)</f>
        <v/>
      </c>
      <c r="I1320" s="145"/>
      <c r="J1320" s="145"/>
      <c r="K1320" s="249">
        <f>AF1244*AD$1328</f>
        <v>599.1</v>
      </c>
      <c r="L1320" s="249"/>
      <c r="M1320" s="249"/>
      <c r="N1320" s="483"/>
      <c r="O1320" s="305" t="str">
        <f t="shared" ref="O1320" si="250">IF(E1320="","",IF(E1320="粘性土",1,CHOOSE(AK$1156,X$1154,X$1155)))</f>
        <v/>
      </c>
      <c r="P1320" s="249"/>
      <c r="Q1320" s="249" t="str">
        <f t="shared" ref="Q1320" si="251">IF(E1320="","",IF(E1320="粘性土",1,CHOOSE(AK$1156,AB$1154,AB$1155)))</f>
        <v/>
      </c>
      <c r="R1320" s="249"/>
      <c r="S1320" s="249" t="str">
        <f t="shared" ref="S1320" si="252">IF(E1320="","",IF(E1320="粘性土",1,CHOOSE(AK$1156,AF$1154,AF$1155)))</f>
        <v/>
      </c>
      <c r="T1320" s="249"/>
      <c r="U1320" s="490" t="str">
        <f t="shared" ref="U1320" si="253">U1319</f>
        <v/>
      </c>
      <c r="V1320" s="490"/>
      <c r="W1320" s="491"/>
      <c r="X1320" s="248" t="str">
        <f>IF(E1320="","",ROUND(K1320*O1320*U1320,1))</f>
        <v/>
      </c>
      <c r="Y1320" s="249"/>
      <c r="Z1320" s="249"/>
      <c r="AA1320" s="249"/>
      <c r="AB1320" s="248" t="str">
        <f>IF(E1320="","",ROUND(K1320*Q1320*U1320,1))</f>
        <v/>
      </c>
      <c r="AC1320" s="249"/>
      <c r="AD1320" s="249"/>
      <c r="AE1320" s="249"/>
      <c r="AF1320" s="248" t="str">
        <f>IF(E1320="","",ROUND(K1320*S1320*U1320,1))</f>
        <v/>
      </c>
      <c r="AG1320" s="249"/>
      <c r="AH1320" s="249"/>
      <c r="AI1320" s="249"/>
    </row>
    <row r="1321" spans="1:35" s="116" customFormat="1" ht="15.75" hidden="1" customHeight="1">
      <c r="A1321" s="120" t="str">
        <f>A1320</f>
        <v>×</v>
      </c>
      <c r="B1321" s="204"/>
      <c r="C1321" s="205"/>
      <c r="D1321" s="205"/>
      <c r="E1321" s="205"/>
      <c r="F1321" s="205"/>
      <c r="G1321" s="205"/>
      <c r="H1321" s="145"/>
      <c r="I1321" s="145"/>
      <c r="J1321" s="145"/>
      <c r="K1321" s="249">
        <f>AF1245*AD$1328</f>
        <v>599.1</v>
      </c>
      <c r="L1321" s="249"/>
      <c r="M1321" s="249"/>
      <c r="N1321" s="483"/>
      <c r="O1321" s="305" t="str">
        <f t="shared" ref="O1321" si="254">O1320</f>
        <v/>
      </c>
      <c r="P1321" s="249"/>
      <c r="Q1321" s="249" t="str">
        <f t="shared" ref="Q1321" si="255">Q1320</f>
        <v/>
      </c>
      <c r="R1321" s="249"/>
      <c r="S1321" s="249" t="str">
        <f t="shared" ref="S1321" si="256">S1320</f>
        <v/>
      </c>
      <c r="T1321" s="249"/>
      <c r="U1321" s="490" t="str">
        <f t="shared" ref="U1321" si="257">IF(E1321="","",IF(E1321="粘性土",1,R$1169))</f>
        <v/>
      </c>
      <c r="V1321" s="490"/>
      <c r="W1321" s="491"/>
      <c r="X1321" s="248" t="str">
        <f>IF(E1320="","",ROUND(K1321*O1321*U1321,1))</f>
        <v/>
      </c>
      <c r="Y1321" s="249"/>
      <c r="Z1321" s="249"/>
      <c r="AA1321" s="249"/>
      <c r="AB1321" s="248" t="str">
        <f>IF(E1320="","",ROUND(K1321*Q1321*U1321,1))</f>
        <v/>
      </c>
      <c r="AC1321" s="249"/>
      <c r="AD1321" s="249"/>
      <c r="AE1321" s="249"/>
      <c r="AF1321" s="248" t="str">
        <f>IF(E1320="","",ROUND(K1321*S1321*U1321,1))</f>
        <v/>
      </c>
      <c r="AG1321" s="249"/>
      <c r="AH1321" s="249"/>
      <c r="AI1321" s="249"/>
    </row>
    <row r="1322" spans="1:35" s="116" customFormat="1" ht="15.75" hidden="1" customHeight="1">
      <c r="A1322" s="120" t="str">
        <f>IF(H1322="","×","")</f>
        <v>×</v>
      </c>
      <c r="B1322" s="204" t="str">
        <f>IF(D1246="","",D1246)</f>
        <v/>
      </c>
      <c r="C1322" s="205"/>
      <c r="D1322" s="205"/>
      <c r="E1322" s="205" t="str">
        <f>IF(G1246="","",G1246)</f>
        <v/>
      </c>
      <c r="F1322" s="205"/>
      <c r="G1322" s="205"/>
      <c r="H1322" s="145" t="str">
        <f>IF(J1246="","",J1246)</f>
        <v/>
      </c>
      <c r="I1322" s="145"/>
      <c r="J1322" s="145"/>
      <c r="K1322" s="249">
        <f>AF1246*AD$1328</f>
        <v>599.1</v>
      </c>
      <c r="L1322" s="249"/>
      <c r="M1322" s="249"/>
      <c r="N1322" s="483"/>
      <c r="O1322" s="305" t="str">
        <f t="shared" ref="O1322" si="258">IF(E1322="","",IF(E1322="粘性土",1,CHOOSE(AK$1156,X$1154,X$1155)))</f>
        <v/>
      </c>
      <c r="P1322" s="249"/>
      <c r="Q1322" s="249" t="str">
        <f t="shared" ref="Q1322" si="259">IF(E1322="","",IF(E1322="粘性土",1,CHOOSE(AK$1156,AB$1154,AB$1155)))</f>
        <v/>
      </c>
      <c r="R1322" s="249"/>
      <c r="S1322" s="249" t="str">
        <f t="shared" ref="S1322" si="260">IF(E1322="","",IF(E1322="粘性土",1,CHOOSE(AK$1156,AF$1154,AF$1155)))</f>
        <v/>
      </c>
      <c r="T1322" s="249"/>
      <c r="U1322" s="490" t="str">
        <f t="shared" ref="U1322" si="261">U1321</f>
        <v/>
      </c>
      <c r="V1322" s="490"/>
      <c r="W1322" s="491"/>
      <c r="X1322" s="248" t="str">
        <f>IF(E1322="","",ROUND(K1322*O1322*U1322,1))</f>
        <v/>
      </c>
      <c r="Y1322" s="249"/>
      <c r="Z1322" s="249"/>
      <c r="AA1322" s="249"/>
      <c r="AB1322" s="248" t="str">
        <f>IF(E1322="","",ROUND(K1322*Q1322*U1322,1))</f>
        <v/>
      </c>
      <c r="AC1322" s="249"/>
      <c r="AD1322" s="249"/>
      <c r="AE1322" s="249"/>
      <c r="AF1322" s="248" t="str">
        <f>IF(E1322="","",ROUND(K1322*S1322*U1322,1))</f>
        <v/>
      </c>
      <c r="AG1322" s="249"/>
      <c r="AH1322" s="249"/>
      <c r="AI1322" s="249"/>
    </row>
    <row r="1323" spans="1:35" s="116" customFormat="1" ht="15.75" hidden="1" customHeight="1">
      <c r="A1323" s="120" t="str">
        <f>A1322</f>
        <v>×</v>
      </c>
      <c r="B1323" s="204"/>
      <c r="C1323" s="205"/>
      <c r="D1323" s="205"/>
      <c r="E1323" s="205"/>
      <c r="F1323" s="205"/>
      <c r="G1323" s="205"/>
      <c r="H1323" s="145"/>
      <c r="I1323" s="145"/>
      <c r="J1323" s="145"/>
      <c r="K1323" s="249">
        <f>AF1247*AD$1328</f>
        <v>599.1</v>
      </c>
      <c r="L1323" s="249"/>
      <c r="M1323" s="249"/>
      <c r="N1323" s="483"/>
      <c r="O1323" s="305" t="str">
        <f t="shared" ref="O1323" si="262">O1322</f>
        <v/>
      </c>
      <c r="P1323" s="249"/>
      <c r="Q1323" s="249" t="str">
        <f t="shared" ref="Q1323" si="263">Q1322</f>
        <v/>
      </c>
      <c r="R1323" s="249"/>
      <c r="S1323" s="249" t="str">
        <f t="shared" ref="S1323" si="264">S1322</f>
        <v/>
      </c>
      <c r="T1323" s="249"/>
      <c r="U1323" s="490" t="str">
        <f t="shared" ref="U1323" si="265">IF(E1323="","",IF(E1323="粘性土",1,R$1169))</f>
        <v/>
      </c>
      <c r="V1323" s="490"/>
      <c r="W1323" s="491"/>
      <c r="X1323" s="248" t="str">
        <f>IF(E1322="","",ROUND(K1323*O1323*U1323,1))</f>
        <v/>
      </c>
      <c r="Y1323" s="249"/>
      <c r="Z1323" s="249"/>
      <c r="AA1323" s="249"/>
      <c r="AB1323" s="248" t="str">
        <f>IF(E1322="","",ROUND(K1323*Q1323*U1323,1))</f>
        <v/>
      </c>
      <c r="AC1323" s="249"/>
      <c r="AD1323" s="249"/>
      <c r="AE1323" s="249"/>
      <c r="AF1323" s="248" t="str">
        <f>IF(E1322="","",ROUND(K1323*S1323*U1323,1))</f>
        <v/>
      </c>
      <c r="AG1323" s="249"/>
      <c r="AH1323" s="249"/>
      <c r="AI1323" s="249"/>
    </row>
    <row r="1324" spans="1:35" s="116" customFormat="1" ht="15.75" hidden="1" customHeight="1">
      <c r="A1324" s="120" t="str">
        <f>IF(H1324="","×","")</f>
        <v>×</v>
      </c>
      <c r="B1324" s="204" t="str">
        <f>IF(D1248="","",D1248)</f>
        <v/>
      </c>
      <c r="C1324" s="205"/>
      <c r="D1324" s="205"/>
      <c r="E1324" s="205" t="str">
        <f>IF(G1248="","",G1248)</f>
        <v/>
      </c>
      <c r="F1324" s="205"/>
      <c r="G1324" s="205"/>
      <c r="H1324" s="145" t="str">
        <f>IF(J1248="","",J1248)</f>
        <v/>
      </c>
      <c r="I1324" s="145"/>
      <c r="J1324" s="145"/>
      <c r="K1324" s="249">
        <f>AF1248*AD$1328</f>
        <v>599.1</v>
      </c>
      <c r="L1324" s="249"/>
      <c r="M1324" s="249"/>
      <c r="N1324" s="483"/>
      <c r="O1324" s="305" t="str">
        <f t="shared" ref="O1324" si="266">IF(E1324="","",IF(E1324="粘性土",1,CHOOSE(AK$1156,X$1154,X$1155)))</f>
        <v/>
      </c>
      <c r="P1324" s="249"/>
      <c r="Q1324" s="249" t="str">
        <f t="shared" ref="Q1324" si="267">IF(E1324="","",IF(E1324="粘性土",1,CHOOSE(AK$1156,AB$1154,AB$1155)))</f>
        <v/>
      </c>
      <c r="R1324" s="249"/>
      <c r="S1324" s="249" t="str">
        <f t="shared" ref="S1324" si="268">IF(E1324="","",IF(E1324="粘性土",1,CHOOSE(AK$1156,AF$1154,AF$1155)))</f>
        <v/>
      </c>
      <c r="T1324" s="249"/>
      <c r="U1324" s="490" t="str">
        <f t="shared" ref="U1324" si="269">U1323</f>
        <v/>
      </c>
      <c r="V1324" s="490"/>
      <c r="W1324" s="491"/>
      <c r="X1324" s="248" t="str">
        <f>IF(E1324="","",ROUND(K1324*O1324*U1324,1))</f>
        <v/>
      </c>
      <c r="Y1324" s="249"/>
      <c r="Z1324" s="249"/>
      <c r="AA1324" s="249"/>
      <c r="AB1324" s="248" t="str">
        <f>IF(E1324="","",ROUND(K1324*Q1324*U1324,1))</f>
        <v/>
      </c>
      <c r="AC1324" s="249"/>
      <c r="AD1324" s="249"/>
      <c r="AE1324" s="249"/>
      <c r="AF1324" s="248" t="str">
        <f>IF(E1324="","",ROUND(K1324*S1324*U1324,1))</f>
        <v/>
      </c>
      <c r="AG1324" s="249"/>
      <c r="AH1324" s="249"/>
      <c r="AI1324" s="249"/>
    </row>
    <row r="1325" spans="1:35" s="116" customFormat="1" ht="15.75" hidden="1" customHeight="1">
      <c r="A1325" s="120" t="str">
        <f>A1324</f>
        <v>×</v>
      </c>
      <c r="B1325" s="204"/>
      <c r="C1325" s="205"/>
      <c r="D1325" s="205"/>
      <c r="E1325" s="205"/>
      <c r="F1325" s="205"/>
      <c r="G1325" s="205"/>
      <c r="H1325" s="145"/>
      <c r="I1325" s="145"/>
      <c r="J1325" s="145"/>
      <c r="K1325" s="249">
        <f>AF1249*AD$1328</f>
        <v>599.1</v>
      </c>
      <c r="L1325" s="249"/>
      <c r="M1325" s="249"/>
      <c r="N1325" s="483"/>
      <c r="O1325" s="305" t="str">
        <f t="shared" ref="O1325" si="270">O1324</f>
        <v/>
      </c>
      <c r="P1325" s="249"/>
      <c r="Q1325" s="249" t="str">
        <f t="shared" ref="Q1325" si="271">Q1324</f>
        <v/>
      </c>
      <c r="R1325" s="249"/>
      <c r="S1325" s="249" t="str">
        <f t="shared" ref="S1325" si="272">S1324</f>
        <v/>
      </c>
      <c r="T1325" s="249"/>
      <c r="U1325" s="490" t="str">
        <f>IF(E1325="","",IF(E1325="粘性土",1,R$1169))</f>
        <v/>
      </c>
      <c r="V1325" s="490"/>
      <c r="W1325" s="491"/>
      <c r="X1325" s="248" t="str">
        <f>IF(E1324="","",ROUND(K1325*O1325*U1325,1))</f>
        <v/>
      </c>
      <c r="Y1325" s="249"/>
      <c r="Z1325" s="249"/>
      <c r="AA1325" s="249"/>
      <c r="AB1325" s="248" t="str">
        <f>IF(E1324="","",ROUND(K1325*Q1325*U1325,1))</f>
        <v/>
      </c>
      <c r="AC1325" s="249"/>
      <c r="AD1325" s="249"/>
      <c r="AE1325" s="249"/>
      <c r="AF1325" s="248" t="str">
        <f>IF(E1324="","",ROUND(K1325*S1325*U1325,1))</f>
        <v/>
      </c>
      <c r="AG1325" s="249"/>
      <c r="AH1325" s="249"/>
      <c r="AI1325" s="249"/>
    </row>
    <row r="1326" spans="1:35" s="116" customFormat="1" ht="15.75" hidden="1" customHeight="1">
      <c r="A1326" s="120" t="str">
        <f>IF(H1326="","×","")</f>
        <v>×</v>
      </c>
      <c r="B1326" s="204" t="str">
        <f>IF(D1250="","",D1250)</f>
        <v/>
      </c>
      <c r="C1326" s="205"/>
      <c r="D1326" s="205"/>
      <c r="E1326" s="205" t="str">
        <f>IF(G1250="","",G1250)</f>
        <v/>
      </c>
      <c r="F1326" s="205"/>
      <c r="G1326" s="205"/>
      <c r="H1326" s="145" t="str">
        <f>IF(J1250="","",J1250)</f>
        <v/>
      </c>
      <c r="I1326" s="145"/>
      <c r="J1326" s="145"/>
      <c r="K1326" s="249">
        <f>AF1250*AD$1328</f>
        <v>599.1</v>
      </c>
      <c r="L1326" s="249"/>
      <c r="M1326" s="249"/>
      <c r="N1326" s="483"/>
      <c r="O1326" s="305" t="str">
        <f t="shared" ref="O1326" si="273">IF(E1326="","",IF(E1326="粘性土",1,CHOOSE(AK$1156,X$1154,X$1155)))</f>
        <v/>
      </c>
      <c r="P1326" s="249"/>
      <c r="Q1326" s="249" t="str">
        <f t="shared" ref="Q1326" si="274">IF(E1326="","",IF(E1326="粘性土",1,CHOOSE(AK$1156,AB$1154,AB$1155)))</f>
        <v/>
      </c>
      <c r="R1326" s="249"/>
      <c r="S1326" s="249" t="str">
        <f t="shared" ref="S1326" si="275">IF(E1326="","",IF(E1326="粘性土",1,CHOOSE(AK$1156,AF$1154,AF$1155)))</f>
        <v/>
      </c>
      <c r="T1326" s="249"/>
      <c r="U1326" s="490" t="str">
        <f>U1325</f>
        <v/>
      </c>
      <c r="V1326" s="490"/>
      <c r="W1326" s="491"/>
      <c r="X1326" s="248" t="str">
        <f>IF(E1326="","",ROUND(K1326*O1326*U1326,1))</f>
        <v/>
      </c>
      <c r="Y1326" s="249"/>
      <c r="Z1326" s="249"/>
      <c r="AA1326" s="249"/>
      <c r="AB1326" s="248" t="str">
        <f>IF(E1326="","",ROUND(K1326*Q1326*U1326,1))</f>
        <v/>
      </c>
      <c r="AC1326" s="249"/>
      <c r="AD1326" s="249"/>
      <c r="AE1326" s="249"/>
      <c r="AF1326" s="248" t="str">
        <f>IF(E1326="","",ROUND(K1326*S1326*U1326,1))</f>
        <v/>
      </c>
      <c r="AG1326" s="249"/>
      <c r="AH1326" s="249"/>
      <c r="AI1326" s="249"/>
    </row>
    <row r="1327" spans="1:35" s="116" customFormat="1" ht="15.75" hidden="1" customHeight="1">
      <c r="A1327" s="120" t="str">
        <f>A1326</f>
        <v>×</v>
      </c>
      <c r="B1327" s="207"/>
      <c r="C1327" s="208"/>
      <c r="D1327" s="208"/>
      <c r="E1327" s="208"/>
      <c r="F1327" s="208"/>
      <c r="G1327" s="208"/>
      <c r="H1327" s="150"/>
      <c r="I1327" s="150"/>
      <c r="J1327" s="150"/>
      <c r="K1327" s="251">
        <f>AF1251*AD$1328</f>
        <v>599.1</v>
      </c>
      <c r="L1327" s="251"/>
      <c r="M1327" s="251"/>
      <c r="N1327" s="484"/>
      <c r="O1327" s="373" t="str">
        <f t="shared" ref="O1327" si="276">O1326</f>
        <v/>
      </c>
      <c r="P1327" s="251"/>
      <c r="Q1327" s="251" t="str">
        <f t="shared" ref="Q1327" si="277">Q1326</f>
        <v/>
      </c>
      <c r="R1327" s="251"/>
      <c r="S1327" s="251" t="str">
        <f t="shared" ref="S1327" si="278">S1326</f>
        <v/>
      </c>
      <c r="T1327" s="251"/>
      <c r="U1327" s="492" t="str">
        <f t="shared" ref="U1327" si="279">IF(E1327="","",IF(E1327="粘性土",1,R$1169))</f>
        <v/>
      </c>
      <c r="V1327" s="492"/>
      <c r="W1327" s="493"/>
      <c r="X1327" s="250" t="str">
        <f>IF(E1326="","",ROUND(K1327*O1327*U1327,1))</f>
        <v/>
      </c>
      <c r="Y1327" s="251"/>
      <c r="Z1327" s="251"/>
      <c r="AA1327" s="251"/>
      <c r="AB1327" s="250" t="str">
        <f>IF(E1326="","",ROUND(K1327*Q1327*U1327,1))</f>
        <v/>
      </c>
      <c r="AC1327" s="251"/>
      <c r="AD1327" s="251"/>
      <c r="AE1327" s="251"/>
      <c r="AF1327" s="250" t="str">
        <f>IF(E1326="","",ROUND(K1327*S1327*U1327,1))</f>
        <v/>
      </c>
      <c r="AG1327" s="251"/>
      <c r="AH1327" s="251"/>
      <c r="AI1327" s="251"/>
    </row>
    <row r="1328" spans="1:35" s="116" customFormat="1" ht="15.75" customHeight="1">
      <c r="B1328" s="449"/>
      <c r="C1328" s="449"/>
      <c r="D1328" s="449"/>
      <c r="E1328" s="449"/>
      <c r="F1328" s="449"/>
      <c r="G1328" s="449"/>
      <c r="H1328" s="118"/>
      <c r="I1328" s="118"/>
      <c r="J1328" s="118"/>
      <c r="K1328" s="118"/>
      <c r="L1328" s="118"/>
      <c r="M1328" s="449"/>
      <c r="N1328" s="449"/>
      <c r="O1328" s="449"/>
      <c r="P1328" s="449"/>
      <c r="Q1328" s="121"/>
      <c r="R1328" s="121"/>
      <c r="S1328" s="449"/>
      <c r="T1328" s="449"/>
      <c r="U1328" s="449"/>
      <c r="V1328" s="449"/>
      <c r="W1328" s="449"/>
      <c r="X1328" s="449"/>
      <c r="Y1328" s="449"/>
      <c r="Z1328" s="449"/>
      <c r="AA1328" s="512" t="s">
        <v>127</v>
      </c>
      <c r="AB1328" s="86" t="s">
        <v>595</v>
      </c>
      <c r="AC1328" s="118" t="s">
        <v>27</v>
      </c>
      <c r="AD1328" s="363">
        <f>杭先端径</f>
        <v>1</v>
      </c>
      <c r="AE1328" s="363"/>
      <c r="AF1328" s="363"/>
      <c r="AG1328" s="515" t="s">
        <v>509</v>
      </c>
      <c r="AH1328" s="118" t="s">
        <v>158</v>
      </c>
      <c r="AI1328" s="449"/>
    </row>
    <row r="1329" spans="1:54" s="116" customFormat="1" ht="15.75" customHeight="1">
      <c r="H1329" s="112"/>
      <c r="I1329" s="112"/>
      <c r="J1329" s="112"/>
      <c r="K1329" s="112"/>
      <c r="L1329" s="112"/>
      <c r="M1329" s="115"/>
      <c r="N1329" s="114"/>
      <c r="O1329" s="114"/>
      <c r="P1329" s="114"/>
      <c r="Q1329" s="115"/>
      <c r="R1329" s="115"/>
      <c r="S1329" s="115"/>
      <c r="T1329" s="115"/>
      <c r="U1329" s="115"/>
      <c r="V1329" s="115"/>
      <c r="W1329" s="115"/>
      <c r="X1329" s="115"/>
      <c r="Y1329" s="115"/>
      <c r="Z1329" s="113"/>
      <c r="AA1329" s="113"/>
      <c r="AB1329" s="113"/>
      <c r="AC1329" s="114"/>
      <c r="AD1329" s="114"/>
      <c r="AE1329" s="114"/>
      <c r="AK1329" s="115"/>
      <c r="AL1329" s="115"/>
      <c r="AM1329" s="115"/>
    </row>
    <row r="1330" spans="1:54" s="104" customFormat="1" ht="15.75" hidden="1" customHeight="1">
      <c r="A1330" s="119" t="str">
        <f>IF(液状化L1の有無="","","×")</f>
        <v>×</v>
      </c>
      <c r="H1330" s="80"/>
      <c r="I1330" s="80"/>
      <c r="J1330" s="80"/>
      <c r="K1330" s="80"/>
      <c r="L1330" s="80"/>
      <c r="M1330" s="87"/>
      <c r="N1330" s="87"/>
      <c r="O1330" s="87"/>
      <c r="P1330" s="87"/>
      <c r="Q1330" s="81"/>
      <c r="R1330" s="81"/>
      <c r="S1330" s="81"/>
      <c r="T1330" s="87"/>
      <c r="U1330" s="87"/>
      <c r="V1330" s="87"/>
      <c r="W1330" s="87"/>
      <c r="X1330" s="87"/>
      <c r="Y1330" s="87"/>
      <c r="Z1330" s="103"/>
      <c r="AA1330" s="103"/>
      <c r="AB1330" s="103"/>
      <c r="AC1330" s="81"/>
      <c r="AD1330" s="81"/>
      <c r="AE1330" s="81"/>
      <c r="BB1330" s="116"/>
    </row>
    <row r="1331" spans="1:54" s="116" customFormat="1" ht="15.75" hidden="1" customHeight="1">
      <c r="A1331" s="119" t="str">
        <f>IF(液状化L1の有無="","","×")</f>
        <v>×</v>
      </c>
      <c r="B1331" s="61" t="s">
        <v>606</v>
      </c>
      <c r="C1331" s="61"/>
      <c r="D1331" s="85"/>
      <c r="E1331" s="85"/>
      <c r="F1331" s="85"/>
      <c r="G1331" s="61"/>
      <c r="H1331" s="61"/>
      <c r="I1331" s="61"/>
      <c r="J1331" s="61"/>
      <c r="K1331" s="61"/>
      <c r="L1331" s="61"/>
      <c r="M1331" s="61"/>
      <c r="N1331" s="61"/>
      <c r="O1331" s="61"/>
      <c r="P1331" s="61"/>
      <c r="Q1331" s="61"/>
      <c r="R1331" s="61"/>
      <c r="S1331" s="61"/>
      <c r="T1331" s="61"/>
      <c r="U1331" s="61"/>
      <c r="V1331" s="61"/>
      <c r="W1331" s="61"/>
      <c r="X1331" s="61"/>
      <c r="Y1331" s="61"/>
      <c r="Z1331" s="61"/>
      <c r="AA1331" s="85"/>
      <c r="AB1331" s="85"/>
      <c r="AC1331" s="85"/>
      <c r="AD1331" s="85"/>
      <c r="AE1331" s="85"/>
      <c r="AF1331" s="85"/>
      <c r="AG1331" s="85"/>
      <c r="AH1331" s="85"/>
      <c r="AI1331" s="85"/>
    </row>
    <row r="1332" spans="1:54" s="116" customFormat="1" ht="15.75" hidden="1" customHeight="1">
      <c r="A1332" s="119" t="str">
        <f>IF(液状化L1の有無="","","×")</f>
        <v>×</v>
      </c>
      <c r="B1332" s="470" t="s">
        <v>8</v>
      </c>
      <c r="C1332" s="471"/>
      <c r="D1332" s="471"/>
      <c r="E1332" s="471" t="s">
        <v>350</v>
      </c>
      <c r="F1332" s="471"/>
      <c r="G1332" s="471"/>
      <c r="H1332" s="472" t="s">
        <v>190</v>
      </c>
      <c r="I1332" s="472"/>
      <c r="J1332" s="472"/>
      <c r="K1332" s="471" t="s">
        <v>597</v>
      </c>
      <c r="L1332" s="471"/>
      <c r="M1332" s="471"/>
      <c r="N1332" s="485"/>
      <c r="O1332" s="394" t="s">
        <v>286</v>
      </c>
      <c r="P1332" s="165"/>
      <c r="Q1332" s="165"/>
      <c r="R1332" s="165"/>
      <c r="S1332" s="165"/>
      <c r="T1332" s="165"/>
      <c r="U1332" s="165" t="s">
        <v>590</v>
      </c>
      <c r="V1332" s="165"/>
      <c r="W1332" s="254"/>
      <c r="X1332" s="224" t="s">
        <v>286</v>
      </c>
      <c r="Y1332" s="165"/>
      <c r="Z1332" s="165"/>
      <c r="AA1332" s="165"/>
      <c r="AB1332" s="165"/>
      <c r="AC1332" s="165"/>
      <c r="AD1332" s="165"/>
      <c r="AE1332" s="165"/>
      <c r="AF1332" s="165"/>
      <c r="AG1332" s="165"/>
      <c r="AH1332" s="165"/>
      <c r="AI1332" s="247"/>
      <c r="AJ1332" s="311" t="s">
        <v>502</v>
      </c>
      <c r="AK1332" s="300"/>
      <c r="AL1332" s="300"/>
      <c r="AM1332" s="300"/>
    </row>
    <row r="1333" spans="1:54" s="116" customFormat="1" ht="15.75" hidden="1" customHeight="1">
      <c r="A1333" s="119" t="str">
        <f>IF(液状化L1の有無="","","×")</f>
        <v>×</v>
      </c>
      <c r="B1333" s="473"/>
      <c r="C1333" s="474"/>
      <c r="D1333" s="474"/>
      <c r="E1333" s="474"/>
      <c r="F1333" s="474"/>
      <c r="G1333" s="474"/>
      <c r="H1333" s="475"/>
      <c r="I1333" s="475"/>
      <c r="J1333" s="475"/>
      <c r="K1333" s="474"/>
      <c r="L1333" s="474"/>
      <c r="M1333" s="474"/>
      <c r="N1333" s="486"/>
      <c r="O1333" s="487" t="s">
        <v>579</v>
      </c>
      <c r="P1333" s="150"/>
      <c r="Q1333" s="150" t="s">
        <v>580</v>
      </c>
      <c r="R1333" s="150"/>
      <c r="S1333" s="150" t="s">
        <v>581</v>
      </c>
      <c r="T1333" s="150"/>
      <c r="U1333" s="208"/>
      <c r="V1333" s="208"/>
      <c r="W1333" s="258"/>
      <c r="X1333" s="477" t="s">
        <v>579</v>
      </c>
      <c r="Y1333" s="150"/>
      <c r="Z1333" s="150"/>
      <c r="AA1333" s="150"/>
      <c r="AB1333" s="150" t="s">
        <v>580</v>
      </c>
      <c r="AC1333" s="150"/>
      <c r="AD1333" s="150"/>
      <c r="AE1333" s="150"/>
      <c r="AF1333" s="150" t="s">
        <v>581</v>
      </c>
      <c r="AG1333" s="150"/>
      <c r="AH1333" s="150"/>
      <c r="AI1333" s="476"/>
      <c r="AJ1333" s="330"/>
      <c r="AK1333" s="187"/>
      <c r="AL1333" s="187"/>
      <c r="AM1333" s="187"/>
    </row>
    <row r="1334" spans="1:54" s="116" customFormat="1" ht="15.75" hidden="1" customHeight="1">
      <c r="A1334" s="120" t="str">
        <f>IF(液状化L1の有無="",IF(H1334="","×",""),"×")</f>
        <v>×</v>
      </c>
      <c r="B1334" s="224">
        <f>IF(D1222="","",D1222)</f>
        <v>3</v>
      </c>
      <c r="C1334" s="165"/>
      <c r="D1334" s="165"/>
      <c r="E1334" s="165" t="str">
        <f>IF(G1222="","",G1222)</f>
        <v>粘性土</v>
      </c>
      <c r="F1334" s="165"/>
      <c r="G1334" s="165"/>
      <c r="H1334" s="149">
        <f>IF(J1222="","",J1222)</f>
        <v>3</v>
      </c>
      <c r="I1334" s="149"/>
      <c r="J1334" s="149"/>
      <c r="K1334" s="253">
        <f>AF1222*AD$1364*AJ1334</f>
        <v>144.69999999999999</v>
      </c>
      <c r="L1334" s="253"/>
      <c r="M1334" s="253"/>
      <c r="N1334" s="479"/>
      <c r="O1334" s="302">
        <f>IF(E1334="","",IF(E1334="粘性土",1,CHOOSE(AJ$1156,X$1151,X$1152,X$1153)))</f>
        <v>1</v>
      </c>
      <c r="P1334" s="253"/>
      <c r="Q1334" s="253">
        <f>IF(E1334="","",IF(E1334="粘性土",1,CHOOSE(AJ$1156,AB$1151,AB$1152,AB$1153)))</f>
        <v>1</v>
      </c>
      <c r="R1334" s="253"/>
      <c r="S1334" s="253">
        <f>IF(E1334="","",IF(E1334="粘性土",1,CHOOSE(AJ$1156,AF$1151,AF$1152,AF$1153)))</f>
        <v>1</v>
      </c>
      <c r="T1334" s="253"/>
      <c r="U1334" s="488">
        <f>IF(E1334="","",IF(E1334="粘性土",1,R$1169))</f>
        <v>1</v>
      </c>
      <c r="V1334" s="488"/>
      <c r="W1334" s="489"/>
      <c r="X1334" s="252">
        <f>IF(E1334="","",ROUND(K1334*O1334*U1334,1))</f>
        <v>144.69999999999999</v>
      </c>
      <c r="Y1334" s="253"/>
      <c r="Z1334" s="253"/>
      <c r="AA1334" s="253"/>
      <c r="AB1334" s="252">
        <f>IF(E1334="","",ROUND(K1334*Q1334*U1334,1))</f>
        <v>144.69999999999999</v>
      </c>
      <c r="AC1334" s="253"/>
      <c r="AD1334" s="253"/>
      <c r="AE1334" s="253"/>
      <c r="AF1334" s="252">
        <f>IF(E1334="","",ROUND(K1334*S1334*U1334,1))</f>
        <v>144.69999999999999</v>
      </c>
      <c r="AG1334" s="253"/>
      <c r="AH1334" s="253"/>
      <c r="AI1334" s="253"/>
      <c r="AJ1334" s="149">
        <f>Q295</f>
        <v>1</v>
      </c>
      <c r="AK1334" s="149"/>
      <c r="AL1334" s="149"/>
      <c r="AM1334" s="149"/>
    </row>
    <row r="1335" spans="1:54" s="116" customFormat="1" ht="15.75" hidden="1" customHeight="1">
      <c r="A1335" s="120" t="str">
        <f>A1334</f>
        <v>×</v>
      </c>
      <c r="B1335" s="204"/>
      <c r="C1335" s="205"/>
      <c r="D1335" s="205"/>
      <c r="E1335" s="205"/>
      <c r="F1335" s="205"/>
      <c r="G1335" s="205"/>
      <c r="H1335" s="145"/>
      <c r="I1335" s="145"/>
      <c r="J1335" s="145"/>
      <c r="K1335" s="249">
        <f>AF1223*AD$1364*AJ1334</f>
        <v>180</v>
      </c>
      <c r="L1335" s="249"/>
      <c r="M1335" s="249"/>
      <c r="N1335" s="480"/>
      <c r="O1335" s="305">
        <f>O1334</f>
        <v>1</v>
      </c>
      <c r="P1335" s="249"/>
      <c r="Q1335" s="249">
        <f>Q1334</f>
        <v>1</v>
      </c>
      <c r="R1335" s="249"/>
      <c r="S1335" s="249">
        <f>S1334</f>
        <v>1</v>
      </c>
      <c r="T1335" s="249"/>
      <c r="U1335" s="490">
        <f>U1334</f>
        <v>1</v>
      </c>
      <c r="V1335" s="490"/>
      <c r="W1335" s="491"/>
      <c r="X1335" s="248">
        <f>IF(E1334="","",ROUND(K1335*O1335*U1335,1))</f>
        <v>180</v>
      </c>
      <c r="Y1335" s="249"/>
      <c r="Z1335" s="249"/>
      <c r="AA1335" s="249"/>
      <c r="AB1335" s="248">
        <f>IF(E1334="","",ROUND(K1335*Q1335*U1335,1))</f>
        <v>180</v>
      </c>
      <c r="AC1335" s="249"/>
      <c r="AD1335" s="249"/>
      <c r="AE1335" s="249"/>
      <c r="AF1335" s="248">
        <f>IF(E1334="","",ROUND(K1335*S1335*U1335,1))</f>
        <v>180</v>
      </c>
      <c r="AG1335" s="249"/>
      <c r="AH1335" s="249"/>
      <c r="AI1335" s="249"/>
      <c r="AJ1335" s="145"/>
      <c r="AK1335" s="145"/>
      <c r="AL1335" s="145"/>
      <c r="AM1335" s="145"/>
    </row>
    <row r="1336" spans="1:54" s="116" customFormat="1" ht="15.75" hidden="1" customHeight="1">
      <c r="A1336" s="120" t="str">
        <f>IF(液状化L1の有無="",IF(H1336="","×",""),"×")</f>
        <v>×</v>
      </c>
      <c r="B1336" s="204">
        <f>IF(D1224="","",D1224)</f>
        <v>4</v>
      </c>
      <c r="C1336" s="205"/>
      <c r="D1336" s="205"/>
      <c r="E1336" s="205" t="str">
        <f>IF(G1224="","",G1224)</f>
        <v>砂質土</v>
      </c>
      <c r="F1336" s="205"/>
      <c r="G1336" s="205"/>
      <c r="H1336" s="145">
        <f>IF(J1224="","",J1224)</f>
        <v>5</v>
      </c>
      <c r="I1336" s="145"/>
      <c r="J1336" s="145"/>
      <c r="K1336" s="249">
        <f>AF1224*AD$1364*AJ1336</f>
        <v>668.3</v>
      </c>
      <c r="L1336" s="249"/>
      <c r="M1336" s="249"/>
      <c r="N1336" s="480"/>
      <c r="O1336" s="305">
        <f>IF(E1336="","",IF(E1336="粘性土",1,CHOOSE(AJ$1156,X$1151,X$1152,X$1153)))</f>
        <v>1</v>
      </c>
      <c r="P1336" s="249"/>
      <c r="Q1336" s="249">
        <f>IF(E1336="","",IF(E1336="粘性土",1,CHOOSE(AJ$1156,AB$1151,AB$1152,AB$1153)))</f>
        <v>0.5</v>
      </c>
      <c r="R1336" s="249"/>
      <c r="S1336" s="249">
        <f>IF(E1336="","",IF(E1336="粘性土",1,CHOOSE(AJ$1156,AF$1151,AF$1152,AF$1153)))</f>
        <v>0.4</v>
      </c>
      <c r="T1336" s="249"/>
      <c r="U1336" s="490">
        <f>IF(E1336="","",IF(E1336="粘性土",1,R$1169))</f>
        <v>0.94</v>
      </c>
      <c r="V1336" s="490"/>
      <c r="W1336" s="491"/>
      <c r="X1336" s="248">
        <f>IF(E1336="","",ROUND(K1336*O1336*U1336,1))</f>
        <v>628.20000000000005</v>
      </c>
      <c r="Y1336" s="249"/>
      <c r="Z1336" s="249"/>
      <c r="AA1336" s="249"/>
      <c r="AB1336" s="248">
        <f>IF(E1336="","",ROUND(K1336*Q1336*U1336,1))</f>
        <v>314.10000000000002</v>
      </c>
      <c r="AC1336" s="249"/>
      <c r="AD1336" s="249"/>
      <c r="AE1336" s="249"/>
      <c r="AF1336" s="248">
        <f>IF(E1336="","",ROUND(K1336*S1336*U1336,1))</f>
        <v>251.3</v>
      </c>
      <c r="AG1336" s="249"/>
      <c r="AH1336" s="249"/>
      <c r="AI1336" s="249"/>
      <c r="AJ1336" s="145">
        <f>Q296</f>
        <v>1</v>
      </c>
      <c r="AK1336" s="145"/>
      <c r="AL1336" s="145"/>
      <c r="AM1336" s="145"/>
    </row>
    <row r="1337" spans="1:54" s="116" customFormat="1" ht="15.75" hidden="1" customHeight="1">
      <c r="A1337" s="120" t="str">
        <f t="shared" ref="A1337" si="280">A1336</f>
        <v>×</v>
      </c>
      <c r="B1337" s="204"/>
      <c r="C1337" s="205"/>
      <c r="D1337" s="205"/>
      <c r="E1337" s="205"/>
      <c r="F1337" s="205"/>
      <c r="G1337" s="205"/>
      <c r="H1337" s="145"/>
      <c r="I1337" s="145"/>
      <c r="J1337" s="145"/>
      <c r="K1337" s="249">
        <f>AF1225*AD$1364*AJ1336</f>
        <v>1151.9000000000001</v>
      </c>
      <c r="L1337" s="249"/>
      <c r="M1337" s="249"/>
      <c r="N1337" s="480"/>
      <c r="O1337" s="305">
        <f>O1336</f>
        <v>1</v>
      </c>
      <c r="P1337" s="249"/>
      <c r="Q1337" s="249">
        <f>Q1336</f>
        <v>0.5</v>
      </c>
      <c r="R1337" s="249"/>
      <c r="S1337" s="249">
        <f>S1336</f>
        <v>0.4</v>
      </c>
      <c r="T1337" s="249"/>
      <c r="U1337" s="490">
        <f>U1336</f>
        <v>0.94</v>
      </c>
      <c r="V1337" s="490"/>
      <c r="W1337" s="491"/>
      <c r="X1337" s="248">
        <f>IF(E1336="","",ROUND(K1337*O1337*U1337,1))</f>
        <v>1082.8</v>
      </c>
      <c r="Y1337" s="249"/>
      <c r="Z1337" s="249"/>
      <c r="AA1337" s="249"/>
      <c r="AB1337" s="248">
        <f>IF(E1336="","",ROUND(K1337*Q1337*U1337,1))</f>
        <v>541.4</v>
      </c>
      <c r="AC1337" s="249"/>
      <c r="AD1337" s="249"/>
      <c r="AE1337" s="249"/>
      <c r="AF1337" s="248">
        <f>IF(E1336="","",ROUND(K1337*S1337*U1337,1))</f>
        <v>433.1</v>
      </c>
      <c r="AG1337" s="249"/>
      <c r="AH1337" s="249"/>
      <c r="AI1337" s="249"/>
      <c r="AJ1337" s="145"/>
      <c r="AK1337" s="145"/>
      <c r="AL1337" s="145"/>
      <c r="AM1337" s="145"/>
    </row>
    <row r="1338" spans="1:54" s="116" customFormat="1" ht="15.75" hidden="1" customHeight="1">
      <c r="A1338" s="120" t="str">
        <f>IF(液状化L1の有無="",IF(H1338="","×",""),"×")</f>
        <v>×</v>
      </c>
      <c r="B1338" s="204">
        <f>IF(D1226="","",D1226)</f>
        <v>5</v>
      </c>
      <c r="C1338" s="205"/>
      <c r="D1338" s="205"/>
      <c r="E1338" s="205" t="str">
        <f>IF(G1226="","",G1226)</f>
        <v>粘性土</v>
      </c>
      <c r="F1338" s="205"/>
      <c r="G1338" s="205"/>
      <c r="H1338" s="145">
        <f>IF(J1226="","",J1226)</f>
        <v>8</v>
      </c>
      <c r="I1338" s="145"/>
      <c r="J1338" s="145"/>
      <c r="K1338" s="249">
        <f>AF1226*AD$1364*AJ1338</f>
        <v>562.5</v>
      </c>
      <c r="L1338" s="249"/>
      <c r="M1338" s="249"/>
      <c r="N1338" s="480"/>
      <c r="O1338" s="305">
        <f>IF(E1338="","",IF(E1338="粘性土",1,CHOOSE(AJ$1156,X$1151,X$1152,X$1153)))</f>
        <v>1</v>
      </c>
      <c r="P1338" s="249"/>
      <c r="Q1338" s="249">
        <f>IF(E1338="","",IF(E1338="粘性土",1,CHOOSE(AJ$1156,AB$1151,AB$1152,AB$1153)))</f>
        <v>1</v>
      </c>
      <c r="R1338" s="249"/>
      <c r="S1338" s="249">
        <f>IF(E1338="","",IF(E1338="粘性土",1,CHOOSE(AJ$1156,AF$1151,AF$1152,AF$1153)))</f>
        <v>1</v>
      </c>
      <c r="T1338" s="249"/>
      <c r="U1338" s="490">
        <f t="shared" ref="U1338" si="281">IF(E1338="","",IF(E1338="粘性土",1,R$1169))</f>
        <v>1</v>
      </c>
      <c r="V1338" s="490"/>
      <c r="W1338" s="491"/>
      <c r="X1338" s="248">
        <f>IF(E1338="","",ROUND(K1338*O1338*U1338,1))</f>
        <v>562.5</v>
      </c>
      <c r="Y1338" s="249"/>
      <c r="Z1338" s="249"/>
      <c r="AA1338" s="249"/>
      <c r="AB1338" s="248">
        <f>IF(E1338="","",ROUND(K1338*Q1338*U1338,1))</f>
        <v>562.5</v>
      </c>
      <c r="AC1338" s="249"/>
      <c r="AD1338" s="249"/>
      <c r="AE1338" s="249"/>
      <c r="AF1338" s="248">
        <f>IF(E1338="","",ROUND(K1338*S1338*U1338,1))</f>
        <v>562.5</v>
      </c>
      <c r="AG1338" s="249"/>
      <c r="AH1338" s="249"/>
      <c r="AI1338" s="249"/>
      <c r="AJ1338" s="145">
        <f>Q297</f>
        <v>1</v>
      </c>
      <c r="AK1338" s="145"/>
      <c r="AL1338" s="145"/>
      <c r="AM1338" s="145"/>
    </row>
    <row r="1339" spans="1:54" s="116" customFormat="1" ht="15.75" hidden="1" customHeight="1">
      <c r="A1339" s="120" t="str">
        <f t="shared" ref="A1339" si="282">A1338</f>
        <v>×</v>
      </c>
      <c r="B1339" s="204"/>
      <c r="C1339" s="205"/>
      <c r="D1339" s="205"/>
      <c r="E1339" s="205"/>
      <c r="F1339" s="205"/>
      <c r="G1339" s="205"/>
      <c r="H1339" s="145"/>
      <c r="I1339" s="145"/>
      <c r="J1339" s="145"/>
      <c r="K1339" s="249">
        <f>AF1227*AD$1364*AJ1338</f>
        <v>562.5</v>
      </c>
      <c r="L1339" s="249"/>
      <c r="M1339" s="249"/>
      <c r="N1339" s="480"/>
      <c r="O1339" s="305">
        <f>O1338</f>
        <v>1</v>
      </c>
      <c r="P1339" s="249"/>
      <c r="Q1339" s="249">
        <f>Q1338</f>
        <v>1</v>
      </c>
      <c r="R1339" s="249"/>
      <c r="S1339" s="249">
        <f>S1338</f>
        <v>1</v>
      </c>
      <c r="T1339" s="249"/>
      <c r="U1339" s="490">
        <f t="shared" ref="U1339" si="283">U1338</f>
        <v>1</v>
      </c>
      <c r="V1339" s="490"/>
      <c r="W1339" s="491"/>
      <c r="X1339" s="248">
        <f>IF(E1338="","",ROUND(K1339*O1339*U1339,1))</f>
        <v>562.5</v>
      </c>
      <c r="Y1339" s="249"/>
      <c r="Z1339" s="249"/>
      <c r="AA1339" s="249"/>
      <c r="AB1339" s="248">
        <f>IF(E1338="","",ROUND(K1339*Q1339*U1339,1))</f>
        <v>562.5</v>
      </c>
      <c r="AC1339" s="249"/>
      <c r="AD1339" s="249"/>
      <c r="AE1339" s="249"/>
      <c r="AF1339" s="248">
        <f>IF(E1338="","",ROUND(K1339*S1339*U1339,1))</f>
        <v>562.5</v>
      </c>
      <c r="AG1339" s="249"/>
      <c r="AH1339" s="249"/>
      <c r="AI1339" s="249"/>
      <c r="AJ1339" s="145"/>
      <c r="AK1339" s="145"/>
      <c r="AL1339" s="145"/>
      <c r="AM1339" s="145"/>
    </row>
    <row r="1340" spans="1:54" s="116" customFormat="1" ht="15.75" hidden="1" customHeight="1">
      <c r="A1340" s="120" t="str">
        <f>IF(液状化L1の有無="",IF(H1340="","×",""),"×")</f>
        <v>×</v>
      </c>
      <c r="B1340" s="204">
        <f>IF(D1228="","",D1228)</f>
        <v>6</v>
      </c>
      <c r="C1340" s="205"/>
      <c r="D1340" s="205"/>
      <c r="E1340" s="205" t="str">
        <f>IF(G1228="","",G1228)</f>
        <v>粘性土</v>
      </c>
      <c r="F1340" s="205"/>
      <c r="G1340" s="205"/>
      <c r="H1340" s="145">
        <f>IF(J1228="","",J1228)</f>
        <v>4.5</v>
      </c>
      <c r="I1340" s="145"/>
      <c r="J1340" s="145"/>
      <c r="K1340" s="249">
        <f>AF1228*AD$1364*AJ1340</f>
        <v>1125</v>
      </c>
      <c r="L1340" s="249"/>
      <c r="M1340" s="249"/>
      <c r="N1340" s="480"/>
      <c r="O1340" s="305">
        <f>IF(E1340="","",IF(E1340="粘性土",1,CHOOSE(AJ$1156,X$1151,X$1152,X$1153)))</f>
        <v>1</v>
      </c>
      <c r="P1340" s="249"/>
      <c r="Q1340" s="249">
        <f>IF(E1340="","",IF(E1340="粘性土",1,CHOOSE(AJ$1156,AB$1151,AB$1152,AB$1153)))</f>
        <v>1</v>
      </c>
      <c r="R1340" s="249"/>
      <c r="S1340" s="249">
        <f>IF(E1340="","",IF(E1340="粘性土",1,CHOOSE(AJ$1156,AF$1151,AF$1152,AF$1153)))</f>
        <v>1</v>
      </c>
      <c r="T1340" s="249"/>
      <c r="U1340" s="490">
        <f t="shared" ref="U1340" si="284">IF(E1340="","",IF(E1340="粘性土",1,R$1169))</f>
        <v>1</v>
      </c>
      <c r="V1340" s="490"/>
      <c r="W1340" s="491"/>
      <c r="X1340" s="248">
        <f>IF(E1340="","",ROUND(K1340*O1340*U1340,1))</f>
        <v>1125</v>
      </c>
      <c r="Y1340" s="249"/>
      <c r="Z1340" s="249"/>
      <c r="AA1340" s="249"/>
      <c r="AB1340" s="248">
        <f>IF(E1340="","",ROUND(K1340*Q1340*U1340,1))</f>
        <v>1125</v>
      </c>
      <c r="AC1340" s="249"/>
      <c r="AD1340" s="249"/>
      <c r="AE1340" s="249"/>
      <c r="AF1340" s="248">
        <f>IF(E1340="","",ROUND(K1340*S1340*U1340,1))</f>
        <v>1125</v>
      </c>
      <c r="AG1340" s="249"/>
      <c r="AH1340" s="249"/>
      <c r="AI1340" s="249"/>
      <c r="AJ1340" s="145">
        <f>Q298</f>
        <v>1</v>
      </c>
      <c r="AK1340" s="145"/>
      <c r="AL1340" s="145"/>
      <c r="AM1340" s="145"/>
    </row>
    <row r="1341" spans="1:54" s="116" customFormat="1" ht="15.75" hidden="1" customHeight="1">
      <c r="A1341" s="120" t="str">
        <f t="shared" ref="A1341" si="285">A1340</f>
        <v>×</v>
      </c>
      <c r="B1341" s="204"/>
      <c r="C1341" s="205"/>
      <c r="D1341" s="205"/>
      <c r="E1341" s="205"/>
      <c r="F1341" s="205"/>
      <c r="G1341" s="205"/>
      <c r="H1341" s="145"/>
      <c r="I1341" s="145"/>
      <c r="J1341" s="145"/>
      <c r="K1341" s="249">
        <f>AF1229*AD$1364*AJ1340</f>
        <v>1125</v>
      </c>
      <c r="L1341" s="249"/>
      <c r="M1341" s="249"/>
      <c r="N1341" s="480"/>
      <c r="O1341" s="305">
        <f>O1340</f>
        <v>1</v>
      </c>
      <c r="P1341" s="249"/>
      <c r="Q1341" s="249">
        <f>Q1340</f>
        <v>1</v>
      </c>
      <c r="R1341" s="249"/>
      <c r="S1341" s="249">
        <f>S1340</f>
        <v>1</v>
      </c>
      <c r="T1341" s="249"/>
      <c r="U1341" s="490">
        <f t="shared" ref="U1341" si="286">U1340</f>
        <v>1</v>
      </c>
      <c r="V1341" s="490"/>
      <c r="W1341" s="491"/>
      <c r="X1341" s="248">
        <f>IF(E1340="","",ROUND(K1341*O1341*U1341,1))</f>
        <v>1125</v>
      </c>
      <c r="Y1341" s="249"/>
      <c r="Z1341" s="249"/>
      <c r="AA1341" s="249"/>
      <c r="AB1341" s="248">
        <f>IF(E1340="","",ROUND(K1341*Q1341*U1341,1))</f>
        <v>1125</v>
      </c>
      <c r="AC1341" s="249"/>
      <c r="AD1341" s="249"/>
      <c r="AE1341" s="249"/>
      <c r="AF1341" s="248">
        <f>IF(E1340="","",ROUND(K1341*S1341*U1341,1))</f>
        <v>1125</v>
      </c>
      <c r="AG1341" s="249"/>
      <c r="AH1341" s="249"/>
      <c r="AI1341" s="249"/>
      <c r="AJ1341" s="145"/>
      <c r="AK1341" s="145"/>
      <c r="AL1341" s="145"/>
      <c r="AM1341" s="145"/>
    </row>
    <row r="1342" spans="1:54" s="116" customFormat="1" ht="15.75" hidden="1" customHeight="1">
      <c r="A1342" s="120" t="str">
        <f>IF(液状化L1の有無="",IF(H1342="","×",""),"×")</f>
        <v>×</v>
      </c>
      <c r="B1342" s="204">
        <f>IF(D1230="","",D1230)</f>
        <v>7</v>
      </c>
      <c r="C1342" s="205"/>
      <c r="D1342" s="205"/>
      <c r="E1342" s="205" t="str">
        <f>IF(G1230="","",G1230)</f>
        <v>砂礫</v>
      </c>
      <c r="F1342" s="205"/>
      <c r="G1342" s="205"/>
      <c r="H1342" s="145">
        <f>IF(J1230="","",J1230)</f>
        <v>0.5</v>
      </c>
      <c r="I1342" s="145"/>
      <c r="J1342" s="145"/>
      <c r="K1342" s="249">
        <f>AF1230*AD$1364*AJ1342</f>
        <v>2359.9</v>
      </c>
      <c r="L1342" s="249"/>
      <c r="M1342" s="249"/>
      <c r="N1342" s="480"/>
      <c r="O1342" s="305">
        <f>IF(E1342="","",IF(E1342="粘性土",1,CHOOSE(AJ$1156,X$1151,X$1152,X$1153)))</f>
        <v>1</v>
      </c>
      <c r="P1342" s="249"/>
      <c r="Q1342" s="249">
        <f>IF(E1342="","",IF(E1342="粘性土",1,CHOOSE(AJ$1156,AB$1151,AB$1152,AB$1153)))</f>
        <v>0.5</v>
      </c>
      <c r="R1342" s="249"/>
      <c r="S1342" s="249">
        <f>IF(E1342="","",IF(E1342="粘性土",1,CHOOSE(AJ$1156,AF$1151,AF$1152,AF$1153)))</f>
        <v>0.4</v>
      </c>
      <c r="T1342" s="249"/>
      <c r="U1342" s="490">
        <f t="shared" ref="U1342" si="287">IF(E1342="","",IF(E1342="粘性土",1,R$1169))</f>
        <v>0.94</v>
      </c>
      <c r="V1342" s="490"/>
      <c r="W1342" s="491"/>
      <c r="X1342" s="248">
        <f>IF(E1342="","",ROUND(K1342*O1342*U1342,1))</f>
        <v>2218.3000000000002</v>
      </c>
      <c r="Y1342" s="249"/>
      <c r="Z1342" s="249"/>
      <c r="AA1342" s="249"/>
      <c r="AB1342" s="248">
        <f>IF(E1342="","",ROUND(K1342*Q1342*U1342,1))</f>
        <v>1109.2</v>
      </c>
      <c r="AC1342" s="249"/>
      <c r="AD1342" s="249"/>
      <c r="AE1342" s="249"/>
      <c r="AF1342" s="248">
        <f>IF(E1342="","",ROUND(K1342*S1342*U1342,1))</f>
        <v>887.3</v>
      </c>
      <c r="AG1342" s="249"/>
      <c r="AH1342" s="249"/>
      <c r="AI1342" s="249"/>
      <c r="AJ1342" s="145">
        <f>Q299</f>
        <v>1</v>
      </c>
      <c r="AK1342" s="145"/>
      <c r="AL1342" s="145"/>
      <c r="AM1342" s="145"/>
    </row>
    <row r="1343" spans="1:54" s="116" customFormat="1" ht="15.75" hidden="1" customHeight="1">
      <c r="A1343" s="120" t="str">
        <f t="shared" ref="A1343" si="288">A1342</f>
        <v>×</v>
      </c>
      <c r="B1343" s="204"/>
      <c r="C1343" s="205"/>
      <c r="D1343" s="205"/>
      <c r="E1343" s="205"/>
      <c r="F1343" s="205"/>
      <c r="G1343" s="205"/>
      <c r="H1343" s="145"/>
      <c r="I1343" s="145"/>
      <c r="J1343" s="145"/>
      <c r="K1343" s="249">
        <f>AF1231*AD$1364*AJ1342</f>
        <v>2420.5</v>
      </c>
      <c r="L1343" s="249"/>
      <c r="M1343" s="249"/>
      <c r="N1343" s="480"/>
      <c r="O1343" s="305">
        <f>O1342</f>
        <v>1</v>
      </c>
      <c r="P1343" s="249"/>
      <c r="Q1343" s="249">
        <f>Q1342</f>
        <v>0.5</v>
      </c>
      <c r="R1343" s="249"/>
      <c r="S1343" s="249">
        <f>S1342</f>
        <v>0.4</v>
      </c>
      <c r="T1343" s="249"/>
      <c r="U1343" s="490">
        <f t="shared" ref="U1343" si="289">U1342</f>
        <v>0.94</v>
      </c>
      <c r="V1343" s="490"/>
      <c r="W1343" s="491"/>
      <c r="X1343" s="248">
        <f>IF(E1342="","",ROUND(K1343*O1343*U1343,1))</f>
        <v>2275.3000000000002</v>
      </c>
      <c r="Y1343" s="249"/>
      <c r="Z1343" s="249"/>
      <c r="AA1343" s="249"/>
      <c r="AB1343" s="248">
        <f>IF(E1342="","",ROUND(K1343*Q1343*U1343,1))</f>
        <v>1137.5999999999999</v>
      </c>
      <c r="AC1343" s="249"/>
      <c r="AD1343" s="249"/>
      <c r="AE1343" s="249"/>
      <c r="AF1343" s="248">
        <f>IF(E1342="","",ROUND(K1343*S1343*U1343,1))</f>
        <v>910.1</v>
      </c>
      <c r="AG1343" s="249"/>
      <c r="AH1343" s="249"/>
      <c r="AI1343" s="249"/>
      <c r="AJ1343" s="145"/>
      <c r="AK1343" s="145"/>
      <c r="AL1343" s="145"/>
      <c r="AM1343" s="145"/>
    </row>
    <row r="1344" spans="1:54" s="116" customFormat="1" ht="15.75" hidden="1" customHeight="1">
      <c r="A1344" s="120" t="str">
        <f>IF(液状化L1の有無="",IF(H1344="","×",""),"×")</f>
        <v>×</v>
      </c>
      <c r="B1344" s="204" t="str">
        <f>IF(D1232="","",D1232)</f>
        <v/>
      </c>
      <c r="C1344" s="205"/>
      <c r="D1344" s="205"/>
      <c r="E1344" s="205" t="str">
        <f>IF(G1232="","",G1232)</f>
        <v/>
      </c>
      <c r="F1344" s="205"/>
      <c r="G1344" s="205"/>
      <c r="H1344" s="145" t="str">
        <f>IF(J1232="","",J1232)</f>
        <v/>
      </c>
      <c r="I1344" s="145"/>
      <c r="J1344" s="145"/>
      <c r="K1344" s="249">
        <f>AF1232*AD$1364*AJ1344</f>
        <v>0</v>
      </c>
      <c r="L1344" s="249"/>
      <c r="M1344" s="249"/>
      <c r="N1344" s="480"/>
      <c r="O1344" s="305" t="str">
        <f>IF(E1344="","",IF(E1344="粘性土",1,CHOOSE(AJ$1156,X$1151,X$1152,X$1153)))</f>
        <v/>
      </c>
      <c r="P1344" s="249"/>
      <c r="Q1344" s="249" t="str">
        <f>IF(E1344="","",IF(E1344="粘性土",1,CHOOSE(AJ$1156,AB$1151,AB$1152,AB$1153)))</f>
        <v/>
      </c>
      <c r="R1344" s="249"/>
      <c r="S1344" s="249" t="str">
        <f>IF(E1344="","",IF(E1344="粘性土",1,CHOOSE(AJ$1156,AF$1151,AF$1152,AF$1153)))</f>
        <v/>
      </c>
      <c r="T1344" s="249"/>
      <c r="U1344" s="490" t="str">
        <f t="shared" ref="U1344" si="290">IF(E1344="","",IF(E1344="粘性土",1,R$1169))</f>
        <v/>
      </c>
      <c r="V1344" s="490"/>
      <c r="W1344" s="491"/>
      <c r="X1344" s="248" t="str">
        <f>IF(E1344="","",ROUND(K1344*O1344*U1344,1))</f>
        <v/>
      </c>
      <c r="Y1344" s="249"/>
      <c r="Z1344" s="249"/>
      <c r="AA1344" s="249"/>
      <c r="AB1344" s="248" t="str">
        <f>IF(E1344="","",ROUND(K1344*Q1344*U1344,1))</f>
        <v/>
      </c>
      <c r="AC1344" s="249"/>
      <c r="AD1344" s="249"/>
      <c r="AE1344" s="249"/>
      <c r="AF1344" s="248" t="str">
        <f>IF(E1344="","",ROUND(K1344*S1344*U1344,1))</f>
        <v/>
      </c>
      <c r="AG1344" s="249"/>
      <c r="AH1344" s="249"/>
      <c r="AI1344" s="249"/>
      <c r="AJ1344" s="145">
        <f>Q300</f>
        <v>0</v>
      </c>
      <c r="AK1344" s="145"/>
      <c r="AL1344" s="145"/>
      <c r="AM1344" s="145"/>
    </row>
    <row r="1345" spans="1:39" s="116" customFormat="1" ht="15.75" hidden="1" customHeight="1">
      <c r="A1345" s="120" t="str">
        <f t="shared" ref="A1345" si="291">A1344</f>
        <v>×</v>
      </c>
      <c r="B1345" s="204"/>
      <c r="C1345" s="205"/>
      <c r="D1345" s="205"/>
      <c r="E1345" s="205"/>
      <c r="F1345" s="205"/>
      <c r="G1345" s="205"/>
      <c r="H1345" s="145"/>
      <c r="I1345" s="145"/>
      <c r="J1345" s="145"/>
      <c r="K1345" s="249">
        <f>AF1233*AD$1364*AJ1344</f>
        <v>0</v>
      </c>
      <c r="L1345" s="249"/>
      <c r="M1345" s="249"/>
      <c r="N1345" s="480"/>
      <c r="O1345" s="305" t="str">
        <f>O1344</f>
        <v/>
      </c>
      <c r="P1345" s="249"/>
      <c r="Q1345" s="249" t="str">
        <f>Q1344</f>
        <v/>
      </c>
      <c r="R1345" s="249"/>
      <c r="S1345" s="249" t="str">
        <f>S1344</f>
        <v/>
      </c>
      <c r="T1345" s="249"/>
      <c r="U1345" s="490" t="str">
        <f t="shared" ref="U1345" si="292">U1344</f>
        <v/>
      </c>
      <c r="V1345" s="490"/>
      <c r="W1345" s="491"/>
      <c r="X1345" s="248" t="str">
        <f>IF(E1344="","",ROUND(K1345*O1345*U1345,1))</f>
        <v/>
      </c>
      <c r="Y1345" s="249"/>
      <c r="Z1345" s="249"/>
      <c r="AA1345" s="249"/>
      <c r="AB1345" s="248" t="str">
        <f>IF(E1344="","",ROUND(K1345*Q1345*U1345,1))</f>
        <v/>
      </c>
      <c r="AC1345" s="249"/>
      <c r="AD1345" s="249"/>
      <c r="AE1345" s="249"/>
      <c r="AF1345" s="248" t="str">
        <f>IF(E1344="","",ROUND(K1345*S1345*U1345,1))</f>
        <v/>
      </c>
      <c r="AG1345" s="249"/>
      <c r="AH1345" s="249"/>
      <c r="AI1345" s="249"/>
      <c r="AJ1345" s="145"/>
      <c r="AK1345" s="145"/>
      <c r="AL1345" s="145"/>
      <c r="AM1345" s="145"/>
    </row>
    <row r="1346" spans="1:39" s="116" customFormat="1" ht="15.75" hidden="1" customHeight="1">
      <c r="A1346" s="120" t="str">
        <f>IF(液状化L1の有無="",IF(H1346="","×",""),"×")</f>
        <v>×</v>
      </c>
      <c r="B1346" s="204" t="str">
        <f>IF(D1234="","",D1234)</f>
        <v/>
      </c>
      <c r="C1346" s="205"/>
      <c r="D1346" s="205"/>
      <c r="E1346" s="205" t="str">
        <f>IF(G1234="","",G1234)</f>
        <v/>
      </c>
      <c r="F1346" s="205"/>
      <c r="G1346" s="205"/>
      <c r="H1346" s="145" t="str">
        <f>IF(J1234="","",J1234)</f>
        <v/>
      </c>
      <c r="I1346" s="145"/>
      <c r="J1346" s="145"/>
      <c r="K1346" s="249">
        <f>AF1234*AD$1364*AJ1346</f>
        <v>0</v>
      </c>
      <c r="L1346" s="249"/>
      <c r="M1346" s="249"/>
      <c r="N1346" s="480"/>
      <c r="O1346" s="305" t="str">
        <f t="shared" ref="O1346" si="293">IF(E1346="","",IF(E1346="粘性土",1,CHOOSE(AJ$1156,X$1151,X$1152,X$1153)))</f>
        <v/>
      </c>
      <c r="P1346" s="249"/>
      <c r="Q1346" s="249" t="str">
        <f t="shared" ref="Q1346" si="294">IF(E1346="","",IF(E1346="粘性土",1,CHOOSE(AJ$1156,AB$1151,AB$1152,AB$1153)))</f>
        <v/>
      </c>
      <c r="R1346" s="249"/>
      <c r="S1346" s="249" t="str">
        <f t="shared" ref="S1346" si="295">IF(E1346="","",IF(E1346="粘性土",1,CHOOSE(AJ$1156,AF$1151,AF$1152,AF$1153)))</f>
        <v/>
      </c>
      <c r="T1346" s="249"/>
      <c r="U1346" s="490" t="str">
        <f t="shared" ref="U1346" si="296">IF(E1346="","",IF(E1346="粘性土",1,R$1169))</f>
        <v/>
      </c>
      <c r="V1346" s="490"/>
      <c r="W1346" s="491"/>
      <c r="X1346" s="248" t="str">
        <f>IF(E1346="","",ROUND(K1346*O1346*U1346,1))</f>
        <v/>
      </c>
      <c r="Y1346" s="249"/>
      <c r="Z1346" s="249"/>
      <c r="AA1346" s="249"/>
      <c r="AB1346" s="248" t="str">
        <f>IF(E1346="","",ROUND(K1346*Q1346*U1346,1))</f>
        <v/>
      </c>
      <c r="AC1346" s="249"/>
      <c r="AD1346" s="249"/>
      <c r="AE1346" s="249"/>
      <c r="AF1346" s="248" t="str">
        <f>IF(E1346="","",ROUND(K1346*S1346*U1346,1))</f>
        <v/>
      </c>
      <c r="AG1346" s="249"/>
      <c r="AH1346" s="249"/>
      <c r="AI1346" s="249"/>
      <c r="AJ1346" s="145">
        <f>Q301</f>
        <v>0</v>
      </c>
      <c r="AK1346" s="145"/>
      <c r="AL1346" s="145"/>
      <c r="AM1346" s="145"/>
    </row>
    <row r="1347" spans="1:39" s="116" customFormat="1" ht="15.75" hidden="1" customHeight="1">
      <c r="A1347" s="120" t="str">
        <f t="shared" ref="A1347" si="297">A1346</f>
        <v>×</v>
      </c>
      <c r="B1347" s="204"/>
      <c r="C1347" s="205"/>
      <c r="D1347" s="205"/>
      <c r="E1347" s="205"/>
      <c r="F1347" s="205"/>
      <c r="G1347" s="205"/>
      <c r="H1347" s="145"/>
      <c r="I1347" s="145"/>
      <c r="J1347" s="145"/>
      <c r="K1347" s="249">
        <f>AF1235*AD$1364*AJ1346</f>
        <v>0</v>
      </c>
      <c r="L1347" s="249"/>
      <c r="M1347" s="249"/>
      <c r="N1347" s="480"/>
      <c r="O1347" s="305" t="str">
        <f t="shared" ref="O1347" si="298">O1346</f>
        <v/>
      </c>
      <c r="P1347" s="249"/>
      <c r="Q1347" s="249" t="str">
        <f t="shared" ref="Q1347" si="299">Q1346</f>
        <v/>
      </c>
      <c r="R1347" s="249"/>
      <c r="S1347" s="249" t="str">
        <f t="shared" ref="S1347" si="300">S1346</f>
        <v/>
      </c>
      <c r="T1347" s="249"/>
      <c r="U1347" s="490" t="str">
        <f t="shared" ref="U1347" si="301">U1346</f>
        <v/>
      </c>
      <c r="V1347" s="490"/>
      <c r="W1347" s="491"/>
      <c r="X1347" s="248" t="str">
        <f>IF(E1346="","",ROUND(K1347*O1347*U1347,1))</f>
        <v/>
      </c>
      <c r="Y1347" s="249"/>
      <c r="Z1347" s="249"/>
      <c r="AA1347" s="249"/>
      <c r="AB1347" s="248" t="str">
        <f>IF(E1346="","",ROUND(K1347*Q1347*U1347,1))</f>
        <v/>
      </c>
      <c r="AC1347" s="249"/>
      <c r="AD1347" s="249"/>
      <c r="AE1347" s="249"/>
      <c r="AF1347" s="248" t="str">
        <f>IF(E1346="","",ROUND(K1347*S1347*U1347,1))</f>
        <v/>
      </c>
      <c r="AG1347" s="249"/>
      <c r="AH1347" s="249"/>
      <c r="AI1347" s="249"/>
      <c r="AJ1347" s="145"/>
      <c r="AK1347" s="145"/>
      <c r="AL1347" s="145"/>
      <c r="AM1347" s="145"/>
    </row>
    <row r="1348" spans="1:39" s="116" customFormat="1" ht="15.75" hidden="1" customHeight="1">
      <c r="A1348" s="120" t="str">
        <f>IF(液状化L1の有無="",IF(H1348="","×",""),"×")</f>
        <v>×</v>
      </c>
      <c r="B1348" s="204" t="str">
        <f>IF(D1236="","",D1236)</f>
        <v/>
      </c>
      <c r="C1348" s="205"/>
      <c r="D1348" s="205"/>
      <c r="E1348" s="205" t="str">
        <f>IF(G1236="","",G1236)</f>
        <v/>
      </c>
      <c r="F1348" s="205"/>
      <c r="G1348" s="205"/>
      <c r="H1348" s="145" t="str">
        <f>IF(J1236="","",J1236)</f>
        <v/>
      </c>
      <c r="I1348" s="145"/>
      <c r="J1348" s="145"/>
      <c r="K1348" s="249">
        <f>AF1236*AD$1364*AJ1348</f>
        <v>0</v>
      </c>
      <c r="L1348" s="249"/>
      <c r="M1348" s="249"/>
      <c r="N1348" s="480"/>
      <c r="O1348" s="305" t="str">
        <f t="shared" ref="O1348" si="302">IF(E1348="","",IF(E1348="粘性土",1,CHOOSE(AJ$1156,X$1151,X$1152,X$1153)))</f>
        <v/>
      </c>
      <c r="P1348" s="249"/>
      <c r="Q1348" s="249" t="str">
        <f t="shared" ref="Q1348" si="303">IF(E1348="","",IF(E1348="粘性土",1,CHOOSE(AJ$1156,AB$1151,AB$1152,AB$1153)))</f>
        <v/>
      </c>
      <c r="R1348" s="249"/>
      <c r="S1348" s="249" t="str">
        <f t="shared" ref="S1348" si="304">IF(E1348="","",IF(E1348="粘性土",1,CHOOSE(AJ$1156,AF$1151,AF$1152,AF$1153)))</f>
        <v/>
      </c>
      <c r="T1348" s="249"/>
      <c r="U1348" s="490" t="str">
        <f t="shared" ref="U1348" si="305">IF(E1348="","",IF(E1348="粘性土",1,R$1169))</f>
        <v/>
      </c>
      <c r="V1348" s="490"/>
      <c r="W1348" s="491"/>
      <c r="X1348" s="248" t="str">
        <f>IF(E1348="","",ROUND(K1348*O1348*U1348,1))</f>
        <v/>
      </c>
      <c r="Y1348" s="249"/>
      <c r="Z1348" s="249"/>
      <c r="AA1348" s="249"/>
      <c r="AB1348" s="248" t="str">
        <f>IF(E1348="","",ROUND(K1348*Q1348*U1348,1))</f>
        <v/>
      </c>
      <c r="AC1348" s="249"/>
      <c r="AD1348" s="249"/>
      <c r="AE1348" s="249"/>
      <c r="AF1348" s="248" t="str">
        <f>IF(E1348="","",ROUND(K1348*S1348*U1348,1))</f>
        <v/>
      </c>
      <c r="AG1348" s="249"/>
      <c r="AH1348" s="249"/>
      <c r="AI1348" s="249"/>
      <c r="AJ1348" s="145">
        <f>Q302</f>
        <v>0</v>
      </c>
      <c r="AK1348" s="145"/>
      <c r="AL1348" s="145"/>
      <c r="AM1348" s="145"/>
    </row>
    <row r="1349" spans="1:39" s="116" customFormat="1" ht="15.75" hidden="1" customHeight="1">
      <c r="A1349" s="120" t="str">
        <f t="shared" ref="A1349" si="306">A1348</f>
        <v>×</v>
      </c>
      <c r="B1349" s="204"/>
      <c r="C1349" s="205"/>
      <c r="D1349" s="205"/>
      <c r="E1349" s="205"/>
      <c r="F1349" s="205"/>
      <c r="G1349" s="205"/>
      <c r="H1349" s="145"/>
      <c r="I1349" s="145"/>
      <c r="J1349" s="145"/>
      <c r="K1349" s="249">
        <f>AF1237*AD$1364*AJ1348</f>
        <v>0</v>
      </c>
      <c r="L1349" s="249"/>
      <c r="M1349" s="249"/>
      <c r="N1349" s="480"/>
      <c r="O1349" s="305" t="str">
        <f t="shared" ref="O1349" si="307">O1348</f>
        <v/>
      </c>
      <c r="P1349" s="249"/>
      <c r="Q1349" s="249" t="str">
        <f t="shared" ref="Q1349" si="308">Q1348</f>
        <v/>
      </c>
      <c r="R1349" s="249"/>
      <c r="S1349" s="249" t="str">
        <f t="shared" ref="S1349" si="309">S1348</f>
        <v/>
      </c>
      <c r="T1349" s="249"/>
      <c r="U1349" s="490" t="str">
        <f>IF(E1349="","",IF(E1349="粘性土",1,R$1169))</f>
        <v/>
      </c>
      <c r="V1349" s="490"/>
      <c r="W1349" s="491"/>
      <c r="X1349" s="248" t="str">
        <f>IF(E1348="","",ROUND(K1349*O1349*U1349,1))</f>
        <v/>
      </c>
      <c r="Y1349" s="249"/>
      <c r="Z1349" s="249"/>
      <c r="AA1349" s="249"/>
      <c r="AB1349" s="248" t="str">
        <f>IF(E1348="","",ROUND(K1349*Q1349*U1349,1))</f>
        <v/>
      </c>
      <c r="AC1349" s="249"/>
      <c r="AD1349" s="249"/>
      <c r="AE1349" s="249"/>
      <c r="AF1349" s="248" t="str">
        <f>IF(E1348="","",ROUND(K1349*S1349*U1349,1))</f>
        <v/>
      </c>
      <c r="AG1349" s="249"/>
      <c r="AH1349" s="249"/>
      <c r="AI1349" s="249"/>
      <c r="AJ1349" s="145"/>
      <c r="AK1349" s="145"/>
      <c r="AL1349" s="145"/>
      <c r="AM1349" s="145"/>
    </row>
    <row r="1350" spans="1:39" s="116" customFormat="1" ht="15.75" hidden="1" customHeight="1">
      <c r="A1350" s="120" t="str">
        <f>IF(液状化L1の有無="",IF(H1350="","×",""),"×")</f>
        <v>×</v>
      </c>
      <c r="B1350" s="204" t="str">
        <f>IF(D1238="","",D1238)</f>
        <v/>
      </c>
      <c r="C1350" s="205"/>
      <c r="D1350" s="205"/>
      <c r="E1350" s="205" t="str">
        <f>IF(G1238="","",G1238)</f>
        <v/>
      </c>
      <c r="F1350" s="205"/>
      <c r="G1350" s="205"/>
      <c r="H1350" s="145" t="str">
        <f>IF(J1238="","",J1238)</f>
        <v/>
      </c>
      <c r="I1350" s="145"/>
      <c r="J1350" s="145"/>
      <c r="K1350" s="249">
        <f>AF1238*AD$1364*AJ1350</f>
        <v>0</v>
      </c>
      <c r="L1350" s="249"/>
      <c r="M1350" s="249"/>
      <c r="N1350" s="480"/>
      <c r="O1350" s="305" t="str">
        <f t="shared" ref="O1350" si="310">IF(E1350="","",IF(E1350="粘性土",1,CHOOSE(AJ$1156,X$1151,X$1152,X$1153)))</f>
        <v/>
      </c>
      <c r="P1350" s="249"/>
      <c r="Q1350" s="249" t="str">
        <f t="shared" ref="Q1350" si="311">IF(E1350="","",IF(E1350="粘性土",1,CHOOSE(AJ$1156,AB$1151,AB$1152,AB$1153)))</f>
        <v/>
      </c>
      <c r="R1350" s="249"/>
      <c r="S1350" s="249" t="str">
        <f t="shared" ref="S1350" si="312">IF(E1350="","",IF(E1350="粘性土",1,CHOOSE(AJ$1156,AF$1151,AF$1152,AF$1153)))</f>
        <v/>
      </c>
      <c r="T1350" s="249"/>
      <c r="U1350" s="490" t="str">
        <f>U1349</f>
        <v/>
      </c>
      <c r="V1350" s="490"/>
      <c r="W1350" s="491"/>
      <c r="X1350" s="248" t="str">
        <f>IF(E1350="","",ROUND(K1350*O1350*U1350,1))</f>
        <v/>
      </c>
      <c r="Y1350" s="249"/>
      <c r="Z1350" s="249"/>
      <c r="AA1350" s="249"/>
      <c r="AB1350" s="248" t="str">
        <f>IF(E1350="","",ROUND(K1350*Q1350*U1350,1))</f>
        <v/>
      </c>
      <c r="AC1350" s="249"/>
      <c r="AD1350" s="249"/>
      <c r="AE1350" s="249"/>
      <c r="AF1350" s="248" t="str">
        <f>IF(E1350="","",ROUND(K1350*S1350*U1350,1))</f>
        <v/>
      </c>
      <c r="AG1350" s="249"/>
      <c r="AH1350" s="249"/>
      <c r="AI1350" s="249"/>
      <c r="AJ1350" s="145">
        <f>Q303</f>
        <v>0</v>
      </c>
      <c r="AK1350" s="145"/>
      <c r="AL1350" s="145"/>
      <c r="AM1350" s="145"/>
    </row>
    <row r="1351" spans="1:39" s="116" customFormat="1" ht="15.75" hidden="1" customHeight="1">
      <c r="A1351" s="120" t="str">
        <f t="shared" ref="A1351" si="313">A1350</f>
        <v>×</v>
      </c>
      <c r="B1351" s="204"/>
      <c r="C1351" s="205"/>
      <c r="D1351" s="205"/>
      <c r="E1351" s="205"/>
      <c r="F1351" s="205"/>
      <c r="G1351" s="205"/>
      <c r="H1351" s="145"/>
      <c r="I1351" s="145"/>
      <c r="J1351" s="145"/>
      <c r="K1351" s="249">
        <f>AF1239*AD$1364*AJ1350</f>
        <v>0</v>
      </c>
      <c r="L1351" s="249"/>
      <c r="M1351" s="249"/>
      <c r="N1351" s="480"/>
      <c r="O1351" s="305" t="str">
        <f t="shared" ref="O1351" si="314">O1350</f>
        <v/>
      </c>
      <c r="P1351" s="249"/>
      <c r="Q1351" s="249" t="str">
        <f t="shared" ref="Q1351" si="315">Q1350</f>
        <v/>
      </c>
      <c r="R1351" s="249"/>
      <c r="S1351" s="249" t="str">
        <f t="shared" ref="S1351" si="316">S1350</f>
        <v/>
      </c>
      <c r="T1351" s="249"/>
      <c r="U1351" s="490" t="str">
        <f t="shared" ref="U1351" si="317">IF(E1351="","",IF(E1351="粘性土",1,R$1169))</f>
        <v/>
      </c>
      <c r="V1351" s="490"/>
      <c r="W1351" s="491"/>
      <c r="X1351" s="248" t="str">
        <f>IF(E1350="","",ROUND(K1351*O1351*U1351,1))</f>
        <v/>
      </c>
      <c r="Y1351" s="249"/>
      <c r="Z1351" s="249"/>
      <c r="AA1351" s="249"/>
      <c r="AB1351" s="248" t="str">
        <f>IF(E1350="","",ROUND(K1351*Q1351*U1351,1))</f>
        <v/>
      </c>
      <c r="AC1351" s="249"/>
      <c r="AD1351" s="249"/>
      <c r="AE1351" s="249"/>
      <c r="AF1351" s="248" t="str">
        <f>IF(E1350="","",ROUND(K1351*S1351*U1351,1))</f>
        <v/>
      </c>
      <c r="AG1351" s="249"/>
      <c r="AH1351" s="249"/>
      <c r="AI1351" s="249"/>
      <c r="AJ1351" s="145"/>
      <c r="AK1351" s="145"/>
      <c r="AL1351" s="145"/>
      <c r="AM1351" s="145"/>
    </row>
    <row r="1352" spans="1:39" s="116" customFormat="1" ht="15.75" hidden="1" customHeight="1">
      <c r="A1352" s="120" t="str">
        <f>IF(液状化L1の有無="",IF(H1352="","×",""),"×")</f>
        <v>×</v>
      </c>
      <c r="B1352" s="204" t="str">
        <f>IF(D1240="","",D1240)</f>
        <v/>
      </c>
      <c r="C1352" s="205"/>
      <c r="D1352" s="205"/>
      <c r="E1352" s="205" t="str">
        <f>IF(G1240="","",G1240)</f>
        <v/>
      </c>
      <c r="F1352" s="205"/>
      <c r="G1352" s="205"/>
      <c r="H1352" s="145" t="str">
        <f>IF(J1240="","",J1240)</f>
        <v/>
      </c>
      <c r="I1352" s="145"/>
      <c r="J1352" s="145"/>
      <c r="K1352" s="249">
        <f>AF1240*AD$1364*AJ1352</f>
        <v>0</v>
      </c>
      <c r="L1352" s="249"/>
      <c r="M1352" s="249"/>
      <c r="N1352" s="480"/>
      <c r="O1352" s="305" t="str">
        <f t="shared" ref="O1352" si="318">IF(E1352="","",IF(E1352="粘性土",1,CHOOSE(AJ$1156,X$1151,X$1152,X$1153)))</f>
        <v/>
      </c>
      <c r="P1352" s="249"/>
      <c r="Q1352" s="249" t="str">
        <f t="shared" ref="Q1352" si="319">IF(E1352="","",IF(E1352="粘性土",1,CHOOSE(AJ$1156,AB$1151,AB$1152,AB$1153)))</f>
        <v/>
      </c>
      <c r="R1352" s="249"/>
      <c r="S1352" s="249" t="str">
        <f t="shared" ref="S1352" si="320">IF(E1352="","",IF(E1352="粘性土",1,CHOOSE(AJ$1156,AF$1151,AF$1152,AF$1153)))</f>
        <v/>
      </c>
      <c r="T1352" s="249"/>
      <c r="U1352" s="490" t="str">
        <f t="shared" ref="U1352" si="321">U1351</f>
        <v/>
      </c>
      <c r="V1352" s="490"/>
      <c r="W1352" s="491"/>
      <c r="X1352" s="248" t="str">
        <f>IF(E1352="","",ROUND(K1352*O1352*U1352,1))</f>
        <v/>
      </c>
      <c r="Y1352" s="249"/>
      <c r="Z1352" s="249"/>
      <c r="AA1352" s="249"/>
      <c r="AB1352" s="248" t="str">
        <f>IF(E1352="","",ROUND(K1352*Q1352*U1352,1))</f>
        <v/>
      </c>
      <c r="AC1352" s="249"/>
      <c r="AD1352" s="249"/>
      <c r="AE1352" s="249"/>
      <c r="AF1352" s="248" t="str">
        <f>IF(E1352="","",ROUND(K1352*S1352*U1352,1))</f>
        <v/>
      </c>
      <c r="AG1352" s="249"/>
      <c r="AH1352" s="249"/>
      <c r="AI1352" s="249"/>
      <c r="AJ1352" s="145">
        <f>Q304</f>
        <v>0</v>
      </c>
      <c r="AK1352" s="145"/>
      <c r="AL1352" s="145"/>
      <c r="AM1352" s="145"/>
    </row>
    <row r="1353" spans="1:39" s="116" customFormat="1" ht="15.75" hidden="1" customHeight="1">
      <c r="A1353" s="120" t="str">
        <f t="shared" ref="A1353" si="322">A1352</f>
        <v>×</v>
      </c>
      <c r="B1353" s="204"/>
      <c r="C1353" s="205"/>
      <c r="D1353" s="205"/>
      <c r="E1353" s="205"/>
      <c r="F1353" s="205"/>
      <c r="G1353" s="205"/>
      <c r="H1353" s="145"/>
      <c r="I1353" s="145"/>
      <c r="J1353" s="145"/>
      <c r="K1353" s="249">
        <f>AF1241*AD$1364*AJ1352</f>
        <v>0</v>
      </c>
      <c r="L1353" s="249"/>
      <c r="M1353" s="249"/>
      <c r="N1353" s="480"/>
      <c r="O1353" s="305" t="str">
        <f t="shared" ref="O1353" si="323">O1352</f>
        <v/>
      </c>
      <c r="P1353" s="249"/>
      <c r="Q1353" s="249" t="str">
        <f t="shared" ref="Q1353" si="324">Q1352</f>
        <v/>
      </c>
      <c r="R1353" s="249"/>
      <c r="S1353" s="249" t="str">
        <f t="shared" ref="S1353" si="325">S1352</f>
        <v/>
      </c>
      <c r="T1353" s="249"/>
      <c r="U1353" s="490" t="str">
        <f t="shared" ref="U1353" si="326">IF(E1353="","",IF(E1353="粘性土",1,R$1169))</f>
        <v/>
      </c>
      <c r="V1353" s="490"/>
      <c r="W1353" s="491"/>
      <c r="X1353" s="248" t="str">
        <f>IF(E1352="","",ROUND(K1353*O1353*U1353,1))</f>
        <v/>
      </c>
      <c r="Y1353" s="249"/>
      <c r="Z1353" s="249"/>
      <c r="AA1353" s="249"/>
      <c r="AB1353" s="248" t="str">
        <f>IF(E1352="","",ROUND(K1353*Q1353*U1353,1))</f>
        <v/>
      </c>
      <c r="AC1353" s="249"/>
      <c r="AD1353" s="249"/>
      <c r="AE1353" s="249"/>
      <c r="AF1353" s="248" t="str">
        <f>IF(E1352="","",ROUND(K1353*S1353*U1353,1))</f>
        <v/>
      </c>
      <c r="AG1353" s="249"/>
      <c r="AH1353" s="249"/>
      <c r="AI1353" s="249"/>
      <c r="AJ1353" s="145"/>
      <c r="AK1353" s="145"/>
      <c r="AL1353" s="145"/>
      <c r="AM1353" s="145"/>
    </row>
    <row r="1354" spans="1:39" s="116" customFormat="1" ht="15.75" hidden="1" customHeight="1">
      <c r="A1354" s="120" t="str">
        <f>IF(液状化L1の有無="",IF(H1354="","×",""),"×")</f>
        <v>×</v>
      </c>
      <c r="B1354" s="204" t="str">
        <f>IF(D1242="","",D1242)</f>
        <v/>
      </c>
      <c r="C1354" s="205"/>
      <c r="D1354" s="205"/>
      <c r="E1354" s="205" t="str">
        <f>IF(G1242="","",G1242)</f>
        <v/>
      </c>
      <c r="F1354" s="205"/>
      <c r="G1354" s="205"/>
      <c r="H1354" s="145" t="str">
        <f>IF(J1242="","",J1242)</f>
        <v/>
      </c>
      <c r="I1354" s="145"/>
      <c r="J1354" s="145"/>
      <c r="K1354" s="249">
        <f>AF1242*AD$1364*AJ1354</f>
        <v>0</v>
      </c>
      <c r="L1354" s="249"/>
      <c r="M1354" s="249"/>
      <c r="N1354" s="480"/>
      <c r="O1354" s="305" t="str">
        <f t="shared" ref="O1354" si="327">IF(E1354="","",IF(E1354="粘性土",1,CHOOSE(AJ$1156,X$1151,X$1152,X$1153)))</f>
        <v/>
      </c>
      <c r="P1354" s="249"/>
      <c r="Q1354" s="249" t="str">
        <f t="shared" ref="Q1354" si="328">IF(E1354="","",IF(E1354="粘性土",1,CHOOSE(AJ$1156,AB$1151,AB$1152,AB$1153)))</f>
        <v/>
      </c>
      <c r="R1354" s="249"/>
      <c r="S1354" s="249" t="str">
        <f t="shared" ref="S1354" si="329">IF(E1354="","",IF(E1354="粘性土",1,CHOOSE(AJ$1156,AF$1151,AF$1152,AF$1153)))</f>
        <v/>
      </c>
      <c r="T1354" s="249"/>
      <c r="U1354" s="490" t="str">
        <f t="shared" ref="U1354" si="330">U1353</f>
        <v/>
      </c>
      <c r="V1354" s="490"/>
      <c r="W1354" s="491"/>
      <c r="X1354" s="248" t="str">
        <f>IF(E1354="","",ROUND(K1354*O1354*U1354,1))</f>
        <v/>
      </c>
      <c r="Y1354" s="249"/>
      <c r="Z1354" s="249"/>
      <c r="AA1354" s="249"/>
      <c r="AB1354" s="248" t="str">
        <f>IF(E1354="","",ROUND(K1354*Q1354*U1354,1))</f>
        <v/>
      </c>
      <c r="AC1354" s="249"/>
      <c r="AD1354" s="249"/>
      <c r="AE1354" s="249"/>
      <c r="AF1354" s="248" t="str">
        <f>IF(E1354="","",ROUND(K1354*S1354*U1354,1))</f>
        <v/>
      </c>
      <c r="AG1354" s="249"/>
      <c r="AH1354" s="249"/>
      <c r="AI1354" s="249"/>
      <c r="AJ1354" s="145">
        <f>Q305</f>
        <v>0</v>
      </c>
      <c r="AK1354" s="145"/>
      <c r="AL1354" s="145"/>
      <c r="AM1354" s="145"/>
    </row>
    <row r="1355" spans="1:39" s="116" customFormat="1" ht="15.75" hidden="1" customHeight="1">
      <c r="A1355" s="120" t="str">
        <f t="shared" ref="A1355" si="331">A1354</f>
        <v>×</v>
      </c>
      <c r="B1355" s="204"/>
      <c r="C1355" s="205"/>
      <c r="D1355" s="205"/>
      <c r="E1355" s="205"/>
      <c r="F1355" s="205"/>
      <c r="G1355" s="205"/>
      <c r="H1355" s="145"/>
      <c r="I1355" s="145"/>
      <c r="J1355" s="145"/>
      <c r="K1355" s="249">
        <f>AF1243*AD$1364*AJ1354</f>
        <v>0</v>
      </c>
      <c r="L1355" s="249"/>
      <c r="M1355" s="249"/>
      <c r="N1355" s="480"/>
      <c r="O1355" s="305" t="str">
        <f t="shared" ref="O1355" si="332">O1354</f>
        <v/>
      </c>
      <c r="P1355" s="249"/>
      <c r="Q1355" s="249" t="str">
        <f t="shared" ref="Q1355" si="333">Q1354</f>
        <v/>
      </c>
      <c r="R1355" s="249"/>
      <c r="S1355" s="249" t="str">
        <f t="shared" ref="S1355" si="334">S1354</f>
        <v/>
      </c>
      <c r="T1355" s="249"/>
      <c r="U1355" s="490" t="str">
        <f t="shared" ref="U1355" si="335">IF(E1355="","",IF(E1355="粘性土",1,R$1169))</f>
        <v/>
      </c>
      <c r="V1355" s="490"/>
      <c r="W1355" s="491"/>
      <c r="X1355" s="248" t="str">
        <f>IF(E1354="","",ROUND(K1355*O1355*U1355,1))</f>
        <v/>
      </c>
      <c r="Y1355" s="249"/>
      <c r="Z1355" s="249"/>
      <c r="AA1355" s="249"/>
      <c r="AB1355" s="248" t="str">
        <f>IF(E1354="","",ROUND(K1355*Q1355*U1355,1))</f>
        <v/>
      </c>
      <c r="AC1355" s="249"/>
      <c r="AD1355" s="249"/>
      <c r="AE1355" s="249"/>
      <c r="AF1355" s="248" t="str">
        <f>IF(E1354="","",ROUND(K1355*S1355*U1355,1))</f>
        <v/>
      </c>
      <c r="AG1355" s="249"/>
      <c r="AH1355" s="249"/>
      <c r="AI1355" s="249"/>
      <c r="AJ1355" s="145"/>
      <c r="AK1355" s="145"/>
      <c r="AL1355" s="145"/>
      <c r="AM1355" s="145"/>
    </row>
    <row r="1356" spans="1:39" s="116" customFormat="1" ht="15.75" hidden="1" customHeight="1">
      <c r="A1356" s="120" t="str">
        <f>IF(液状化L1の有無="",IF(H1356="","×",""),"×")</f>
        <v>×</v>
      </c>
      <c r="B1356" s="204" t="str">
        <f>IF(D1244="","",D1244)</f>
        <v/>
      </c>
      <c r="C1356" s="205"/>
      <c r="D1356" s="205"/>
      <c r="E1356" s="205" t="str">
        <f>IF(G1244="","",G1244)</f>
        <v/>
      </c>
      <c r="F1356" s="205"/>
      <c r="G1356" s="205"/>
      <c r="H1356" s="145" t="str">
        <f>IF(J1244="","",J1244)</f>
        <v/>
      </c>
      <c r="I1356" s="145"/>
      <c r="J1356" s="145"/>
      <c r="K1356" s="249">
        <f>AF1244*AD$1364*AJ1356</f>
        <v>0</v>
      </c>
      <c r="L1356" s="249"/>
      <c r="M1356" s="249"/>
      <c r="N1356" s="480"/>
      <c r="O1356" s="305" t="str">
        <f t="shared" ref="O1356" si="336">IF(E1356="","",IF(E1356="粘性土",1,CHOOSE(AJ$1156,X$1151,X$1152,X$1153)))</f>
        <v/>
      </c>
      <c r="P1356" s="249"/>
      <c r="Q1356" s="249" t="str">
        <f t="shared" ref="Q1356" si="337">IF(E1356="","",IF(E1356="粘性土",1,CHOOSE(AJ$1156,AB$1151,AB$1152,AB$1153)))</f>
        <v/>
      </c>
      <c r="R1356" s="249"/>
      <c r="S1356" s="249" t="str">
        <f t="shared" ref="S1356" si="338">IF(E1356="","",IF(E1356="粘性土",1,CHOOSE(AJ$1156,AF$1151,AF$1152,AF$1153)))</f>
        <v/>
      </c>
      <c r="T1356" s="249"/>
      <c r="U1356" s="490" t="str">
        <f t="shared" ref="U1356" si="339">U1355</f>
        <v/>
      </c>
      <c r="V1356" s="490"/>
      <c r="W1356" s="491"/>
      <c r="X1356" s="248" t="str">
        <f>IF(E1356="","",ROUND(K1356*O1356*U1356,1))</f>
        <v/>
      </c>
      <c r="Y1356" s="249"/>
      <c r="Z1356" s="249"/>
      <c r="AA1356" s="249"/>
      <c r="AB1356" s="248" t="str">
        <f>IF(E1356="","",ROUND(K1356*Q1356*U1356,1))</f>
        <v/>
      </c>
      <c r="AC1356" s="249"/>
      <c r="AD1356" s="249"/>
      <c r="AE1356" s="249"/>
      <c r="AF1356" s="248" t="str">
        <f>IF(E1356="","",ROUND(K1356*S1356*U1356,1))</f>
        <v/>
      </c>
      <c r="AG1356" s="249"/>
      <c r="AH1356" s="249"/>
      <c r="AI1356" s="249"/>
      <c r="AJ1356" s="145">
        <f>Q306</f>
        <v>0</v>
      </c>
      <c r="AK1356" s="145"/>
      <c r="AL1356" s="145"/>
      <c r="AM1356" s="145"/>
    </row>
    <row r="1357" spans="1:39" s="116" customFormat="1" ht="15.75" hidden="1" customHeight="1">
      <c r="A1357" s="120" t="str">
        <f t="shared" ref="A1357" si="340">A1356</f>
        <v>×</v>
      </c>
      <c r="B1357" s="204"/>
      <c r="C1357" s="205"/>
      <c r="D1357" s="205"/>
      <c r="E1357" s="205"/>
      <c r="F1357" s="205"/>
      <c r="G1357" s="205"/>
      <c r="H1357" s="145"/>
      <c r="I1357" s="145"/>
      <c r="J1357" s="145"/>
      <c r="K1357" s="249">
        <f>AF1245*AD$1364*AJ1356</f>
        <v>0</v>
      </c>
      <c r="L1357" s="249"/>
      <c r="M1357" s="249"/>
      <c r="N1357" s="480"/>
      <c r="O1357" s="305" t="str">
        <f>IF(E1357="","",IF(E1357="粘性土",1,CHOOSE(AJ$1156,X$1151,X$1152,X$1153)))</f>
        <v/>
      </c>
      <c r="P1357" s="249"/>
      <c r="Q1357" s="249" t="str">
        <f>IF(E1357="","",IF(E1357="粘性土",1,CHOOSE(AJ$1156,AB$1151,AB$1152,AB$1153)))</f>
        <v/>
      </c>
      <c r="R1357" s="249"/>
      <c r="S1357" s="249" t="str">
        <f>IF(E1357="","",IF(E1357="粘性土",1,CHOOSE(AJ$1156,AF$1151,AF$1152,AF$1153)))</f>
        <v/>
      </c>
      <c r="T1357" s="249"/>
      <c r="U1357" s="490" t="str">
        <f t="shared" ref="U1357" si="341">IF(E1357="","",IF(E1357="粘性土",1,R$1169))</f>
        <v/>
      </c>
      <c r="V1357" s="490"/>
      <c r="W1357" s="491"/>
      <c r="X1357" s="248" t="str">
        <f>IF(E1356="","",ROUND(K1357*O1357*U1357,1))</f>
        <v/>
      </c>
      <c r="Y1357" s="249"/>
      <c r="Z1357" s="249"/>
      <c r="AA1357" s="249"/>
      <c r="AB1357" s="248" t="str">
        <f>IF(E1356="","",ROUND(K1357*Q1357*U1357,1))</f>
        <v/>
      </c>
      <c r="AC1357" s="249"/>
      <c r="AD1357" s="249"/>
      <c r="AE1357" s="249"/>
      <c r="AF1357" s="248" t="str">
        <f>IF(E1356="","",ROUND(K1357*S1357*U1357,1))</f>
        <v/>
      </c>
      <c r="AG1357" s="249"/>
      <c r="AH1357" s="249"/>
      <c r="AI1357" s="249"/>
      <c r="AJ1357" s="145"/>
      <c r="AK1357" s="145"/>
      <c r="AL1357" s="145"/>
      <c r="AM1357" s="145"/>
    </row>
    <row r="1358" spans="1:39" s="116" customFormat="1" ht="15.75" hidden="1" customHeight="1">
      <c r="A1358" s="120" t="str">
        <f>IF(液状化L1の有無="",IF(H1358="","×",""),"×")</f>
        <v>×</v>
      </c>
      <c r="B1358" s="204" t="str">
        <f>IF(D1246="","",D1246)</f>
        <v/>
      </c>
      <c r="C1358" s="205"/>
      <c r="D1358" s="205"/>
      <c r="E1358" s="205" t="str">
        <f>IF(G1246="","",G1246)</f>
        <v/>
      </c>
      <c r="F1358" s="205"/>
      <c r="G1358" s="205"/>
      <c r="H1358" s="145" t="str">
        <f>IF(J1246="","",J1246)</f>
        <v/>
      </c>
      <c r="I1358" s="145"/>
      <c r="J1358" s="145"/>
      <c r="K1358" s="249">
        <f>AF1246*AD$1364*AJ1358</f>
        <v>0</v>
      </c>
      <c r="L1358" s="249"/>
      <c r="M1358" s="249"/>
      <c r="N1358" s="480"/>
      <c r="O1358" s="305" t="str">
        <f>O1357</f>
        <v/>
      </c>
      <c r="P1358" s="249"/>
      <c r="Q1358" s="249" t="str">
        <f>Q1357</f>
        <v/>
      </c>
      <c r="R1358" s="249"/>
      <c r="S1358" s="249" t="str">
        <f>S1357</f>
        <v/>
      </c>
      <c r="T1358" s="249"/>
      <c r="U1358" s="490" t="str">
        <f t="shared" ref="U1358" si="342">U1357</f>
        <v/>
      </c>
      <c r="V1358" s="490"/>
      <c r="W1358" s="491"/>
      <c r="X1358" s="248" t="str">
        <f>IF(E1358="","",ROUND(K1358*O1358*U1358,1))</f>
        <v/>
      </c>
      <c r="Y1358" s="249"/>
      <c r="Z1358" s="249"/>
      <c r="AA1358" s="249"/>
      <c r="AB1358" s="248" t="str">
        <f>IF(E1358="","",ROUND(K1358*Q1358*U1358,1))</f>
        <v/>
      </c>
      <c r="AC1358" s="249"/>
      <c r="AD1358" s="249"/>
      <c r="AE1358" s="249"/>
      <c r="AF1358" s="248" t="str">
        <f>IF(E1358="","",ROUND(K1358*S1358*U1358,1))</f>
        <v/>
      </c>
      <c r="AG1358" s="249"/>
      <c r="AH1358" s="249"/>
      <c r="AI1358" s="249"/>
      <c r="AJ1358" s="145">
        <f>Q307</f>
        <v>0</v>
      </c>
      <c r="AK1358" s="145"/>
      <c r="AL1358" s="145"/>
      <c r="AM1358" s="145"/>
    </row>
    <row r="1359" spans="1:39" s="116" customFormat="1" ht="15.75" hidden="1" customHeight="1">
      <c r="A1359" s="120" t="str">
        <f t="shared" ref="A1359" si="343">A1358</f>
        <v>×</v>
      </c>
      <c r="B1359" s="204"/>
      <c r="C1359" s="205"/>
      <c r="D1359" s="205"/>
      <c r="E1359" s="205"/>
      <c r="F1359" s="205"/>
      <c r="G1359" s="205"/>
      <c r="H1359" s="145"/>
      <c r="I1359" s="145"/>
      <c r="J1359" s="145"/>
      <c r="K1359" s="249">
        <f>AF1247*AD$1364*AJ1358</f>
        <v>0</v>
      </c>
      <c r="L1359" s="249"/>
      <c r="M1359" s="249"/>
      <c r="N1359" s="480"/>
      <c r="O1359" s="305" t="str">
        <f t="shared" ref="O1359" si="344">IF(E1359="","",IF(E1359="粘性土",1,CHOOSE(AJ$1156,X$1151,X$1152,X$1153)))</f>
        <v/>
      </c>
      <c r="P1359" s="249"/>
      <c r="Q1359" s="249" t="str">
        <f t="shared" ref="Q1359" si="345">IF(E1359="","",IF(E1359="粘性土",1,CHOOSE(AJ$1156,AB$1151,AB$1152,AB$1153)))</f>
        <v/>
      </c>
      <c r="R1359" s="249"/>
      <c r="S1359" s="249" t="str">
        <f t="shared" ref="S1359" si="346">IF(E1359="","",IF(E1359="粘性土",1,CHOOSE(AJ$1156,AF$1151,AF$1152,AF$1153)))</f>
        <v/>
      </c>
      <c r="T1359" s="249"/>
      <c r="U1359" s="490" t="str">
        <f t="shared" ref="U1359" si="347">IF(E1359="","",IF(E1359="粘性土",1,R$1169))</f>
        <v/>
      </c>
      <c r="V1359" s="490"/>
      <c r="W1359" s="491"/>
      <c r="X1359" s="248" t="str">
        <f>IF(E1358="","",ROUND(K1359*O1359*U1359,1))</f>
        <v/>
      </c>
      <c r="Y1359" s="249"/>
      <c r="Z1359" s="249"/>
      <c r="AA1359" s="249"/>
      <c r="AB1359" s="248" t="str">
        <f>IF(E1358="","",ROUND(K1359*Q1359*U1359,1))</f>
        <v/>
      </c>
      <c r="AC1359" s="249"/>
      <c r="AD1359" s="249"/>
      <c r="AE1359" s="249"/>
      <c r="AF1359" s="248" t="str">
        <f>IF(E1358="","",ROUND(K1359*S1359*U1359,1))</f>
        <v/>
      </c>
      <c r="AG1359" s="249"/>
      <c r="AH1359" s="249"/>
      <c r="AI1359" s="249"/>
      <c r="AJ1359" s="145"/>
      <c r="AK1359" s="145"/>
      <c r="AL1359" s="145"/>
      <c r="AM1359" s="145"/>
    </row>
    <row r="1360" spans="1:39" s="116" customFormat="1" ht="15.75" hidden="1" customHeight="1">
      <c r="A1360" s="120" t="str">
        <f>IF(液状化L1の有無="",IF(H1360="","×",""),"×")</f>
        <v>×</v>
      </c>
      <c r="B1360" s="204" t="str">
        <f>IF(D1248="","",D1248)</f>
        <v/>
      </c>
      <c r="C1360" s="205"/>
      <c r="D1360" s="205"/>
      <c r="E1360" s="205" t="str">
        <f>IF(G1248="","",G1248)</f>
        <v/>
      </c>
      <c r="F1360" s="205"/>
      <c r="G1360" s="205"/>
      <c r="H1360" s="145" t="str">
        <f>IF(J1248="","",J1248)</f>
        <v/>
      </c>
      <c r="I1360" s="145"/>
      <c r="J1360" s="145"/>
      <c r="K1360" s="249">
        <f>AF1248*AD$1364*AJ1360</f>
        <v>0</v>
      </c>
      <c r="L1360" s="249"/>
      <c r="M1360" s="249"/>
      <c r="N1360" s="480"/>
      <c r="O1360" s="305" t="str">
        <f t="shared" ref="O1360" si="348">O1359</f>
        <v/>
      </c>
      <c r="P1360" s="249"/>
      <c r="Q1360" s="249" t="str">
        <f t="shared" ref="Q1360" si="349">Q1359</f>
        <v/>
      </c>
      <c r="R1360" s="249"/>
      <c r="S1360" s="249" t="str">
        <f t="shared" ref="S1360" si="350">S1359</f>
        <v/>
      </c>
      <c r="T1360" s="249"/>
      <c r="U1360" s="490" t="str">
        <f t="shared" ref="U1360" si="351">U1359</f>
        <v/>
      </c>
      <c r="V1360" s="490"/>
      <c r="W1360" s="491"/>
      <c r="X1360" s="248" t="str">
        <f>IF(E1360="","",ROUND(K1360*O1360*U1360,1))</f>
        <v/>
      </c>
      <c r="Y1360" s="249"/>
      <c r="Z1360" s="249"/>
      <c r="AA1360" s="249"/>
      <c r="AB1360" s="248" t="str">
        <f>IF(E1360="","",ROUND(K1360*Q1360*U1360,1))</f>
        <v/>
      </c>
      <c r="AC1360" s="249"/>
      <c r="AD1360" s="249"/>
      <c r="AE1360" s="249"/>
      <c r="AF1360" s="248" t="str">
        <f>IF(E1360="","",ROUND(K1360*S1360*U1360,1))</f>
        <v/>
      </c>
      <c r="AG1360" s="249"/>
      <c r="AH1360" s="249"/>
      <c r="AI1360" s="249"/>
      <c r="AJ1360" s="145">
        <f>Q308</f>
        <v>0</v>
      </c>
      <c r="AK1360" s="145"/>
      <c r="AL1360" s="145"/>
      <c r="AM1360" s="145"/>
    </row>
    <row r="1361" spans="1:39" s="116" customFormat="1" ht="15.75" hidden="1" customHeight="1">
      <c r="A1361" s="120" t="str">
        <f t="shared" ref="A1361" si="352">A1360</f>
        <v>×</v>
      </c>
      <c r="B1361" s="204"/>
      <c r="C1361" s="205"/>
      <c r="D1361" s="205"/>
      <c r="E1361" s="205"/>
      <c r="F1361" s="205"/>
      <c r="G1361" s="205"/>
      <c r="H1361" s="145"/>
      <c r="I1361" s="145"/>
      <c r="J1361" s="145"/>
      <c r="K1361" s="249">
        <f>AF1249*AD$1364*AJ1360</f>
        <v>0</v>
      </c>
      <c r="L1361" s="249"/>
      <c r="M1361" s="249"/>
      <c r="N1361" s="480"/>
      <c r="O1361" s="305" t="str">
        <f t="shared" ref="O1361" si="353">IF(E1361="","",IF(E1361="粘性土",1,CHOOSE(AJ$1156,X$1151,X$1152,X$1153)))</f>
        <v/>
      </c>
      <c r="P1361" s="249"/>
      <c r="Q1361" s="249" t="str">
        <f t="shared" ref="Q1361" si="354">IF(E1361="","",IF(E1361="粘性土",1,CHOOSE(AJ$1156,AB$1151,AB$1152,AB$1153)))</f>
        <v/>
      </c>
      <c r="R1361" s="249"/>
      <c r="S1361" s="249" t="str">
        <f t="shared" ref="S1361" si="355">IF(E1361="","",IF(E1361="粘性土",1,CHOOSE(AJ$1156,AF$1151,AF$1152,AF$1153)))</f>
        <v/>
      </c>
      <c r="T1361" s="249"/>
      <c r="U1361" s="490" t="str">
        <f>IF(E1361="","",IF(E1361="粘性土",1,R$1169))</f>
        <v/>
      </c>
      <c r="V1361" s="490"/>
      <c r="W1361" s="491"/>
      <c r="X1361" s="248" t="str">
        <f>IF(E1360="","",ROUND(K1361*O1361*U1361,1))</f>
        <v/>
      </c>
      <c r="Y1361" s="249"/>
      <c r="Z1361" s="249"/>
      <c r="AA1361" s="249"/>
      <c r="AB1361" s="248" t="str">
        <f>IF(E1360="","",ROUND(K1361*Q1361*U1361,1))</f>
        <v/>
      </c>
      <c r="AC1361" s="249"/>
      <c r="AD1361" s="249"/>
      <c r="AE1361" s="249"/>
      <c r="AF1361" s="248" t="str">
        <f>IF(E1360="","",ROUND(K1361*S1361*U1361,1))</f>
        <v/>
      </c>
      <c r="AG1361" s="249"/>
      <c r="AH1361" s="249"/>
      <c r="AI1361" s="249"/>
      <c r="AJ1361" s="145"/>
      <c r="AK1361" s="145"/>
      <c r="AL1361" s="145"/>
      <c r="AM1361" s="145"/>
    </row>
    <row r="1362" spans="1:39" s="116" customFormat="1" ht="15.75" hidden="1" customHeight="1">
      <c r="A1362" s="120" t="str">
        <f>IF(液状化L1の有無="",IF(H1362="","×",""),"×")</f>
        <v>×</v>
      </c>
      <c r="B1362" s="204" t="str">
        <f>IF(D1250="","",D1250)</f>
        <v/>
      </c>
      <c r="C1362" s="205"/>
      <c r="D1362" s="205"/>
      <c r="E1362" s="205" t="str">
        <f>IF(G1250="","",G1250)</f>
        <v/>
      </c>
      <c r="F1362" s="205"/>
      <c r="G1362" s="205"/>
      <c r="H1362" s="145" t="str">
        <f>IF(J1250="","",J1250)</f>
        <v/>
      </c>
      <c r="I1362" s="145"/>
      <c r="J1362" s="145"/>
      <c r="K1362" s="249">
        <f>AF1250*AD$1364*AJ1362</f>
        <v>0</v>
      </c>
      <c r="L1362" s="249"/>
      <c r="M1362" s="249"/>
      <c r="N1362" s="480"/>
      <c r="O1362" s="305" t="str">
        <f t="shared" ref="O1362" si="356">O1361</f>
        <v/>
      </c>
      <c r="P1362" s="249"/>
      <c r="Q1362" s="249" t="str">
        <f t="shared" ref="Q1362" si="357">Q1361</f>
        <v/>
      </c>
      <c r="R1362" s="249"/>
      <c r="S1362" s="249" t="str">
        <f t="shared" ref="S1362" si="358">S1361</f>
        <v/>
      </c>
      <c r="T1362" s="249"/>
      <c r="U1362" s="490" t="str">
        <f>U1361</f>
        <v/>
      </c>
      <c r="V1362" s="490"/>
      <c r="W1362" s="491"/>
      <c r="X1362" s="248" t="str">
        <f>IF(E1362="","",ROUND(K1362*O1362*U1362,1))</f>
        <v/>
      </c>
      <c r="Y1362" s="249"/>
      <c r="Z1362" s="249"/>
      <c r="AA1362" s="249"/>
      <c r="AB1362" s="248" t="str">
        <f>IF(E1362="","",ROUND(K1362*Q1362*U1362,1))</f>
        <v/>
      </c>
      <c r="AC1362" s="249"/>
      <c r="AD1362" s="249"/>
      <c r="AE1362" s="249"/>
      <c r="AF1362" s="248" t="str">
        <f>IF(E1362="","",ROUND(K1362*S1362*U1362,1))</f>
        <v/>
      </c>
      <c r="AG1362" s="249"/>
      <c r="AH1362" s="249"/>
      <c r="AI1362" s="249"/>
      <c r="AJ1362" s="145">
        <f>Q309</f>
        <v>0</v>
      </c>
      <c r="AK1362" s="145"/>
      <c r="AL1362" s="145"/>
      <c r="AM1362" s="145"/>
    </row>
    <row r="1363" spans="1:39" s="116" customFormat="1" ht="15.75" hidden="1" customHeight="1">
      <c r="A1363" s="120" t="str">
        <f t="shared" ref="A1363" si="359">A1362</f>
        <v>×</v>
      </c>
      <c r="B1363" s="207"/>
      <c r="C1363" s="208"/>
      <c r="D1363" s="208"/>
      <c r="E1363" s="208"/>
      <c r="F1363" s="208"/>
      <c r="G1363" s="208"/>
      <c r="H1363" s="150"/>
      <c r="I1363" s="150"/>
      <c r="J1363" s="150"/>
      <c r="K1363" s="251">
        <f>AF1251*AD$1364*AJ1362</f>
        <v>0</v>
      </c>
      <c r="L1363" s="251"/>
      <c r="M1363" s="251"/>
      <c r="N1363" s="481"/>
      <c r="O1363" s="373" t="str">
        <f t="shared" ref="O1363" si="360">IF(E1363="","",IF(E1363="粘性土",1,CHOOSE(AJ$1156,X$1151,X$1152,X$1153)))</f>
        <v/>
      </c>
      <c r="P1363" s="251"/>
      <c r="Q1363" s="251" t="str">
        <f t="shared" ref="Q1363" si="361">IF(E1363="","",IF(E1363="粘性土",1,CHOOSE(AJ$1156,AB$1151,AB$1152,AB$1153)))</f>
        <v/>
      </c>
      <c r="R1363" s="251"/>
      <c r="S1363" s="251" t="str">
        <f t="shared" ref="S1363" si="362">IF(E1363="","",IF(E1363="粘性土",1,CHOOSE(AJ$1156,AF$1151,AF$1152,AF$1153)))</f>
        <v/>
      </c>
      <c r="T1363" s="251"/>
      <c r="U1363" s="492" t="str">
        <f t="shared" ref="U1363" si="363">IF(E1363="","",IF(E1363="粘性土",1,R$1169))</f>
        <v/>
      </c>
      <c r="V1363" s="492"/>
      <c r="W1363" s="493"/>
      <c r="X1363" s="250" t="str">
        <f>IF(E1362="","",ROUND(K1363*O1363*U1363,1))</f>
        <v/>
      </c>
      <c r="Y1363" s="251"/>
      <c r="Z1363" s="251"/>
      <c r="AA1363" s="251"/>
      <c r="AB1363" s="250" t="str">
        <f>IF(E1362="","",ROUND(K1363*Q1363*U1363,1))</f>
        <v/>
      </c>
      <c r="AC1363" s="251"/>
      <c r="AD1363" s="251"/>
      <c r="AE1363" s="251"/>
      <c r="AF1363" s="250" t="str">
        <f>IF(E1362="","",ROUND(K1363*S1363*U1363,1))</f>
        <v/>
      </c>
      <c r="AG1363" s="251"/>
      <c r="AH1363" s="251"/>
      <c r="AI1363" s="251"/>
      <c r="AJ1363" s="150"/>
      <c r="AK1363" s="150"/>
      <c r="AL1363" s="150"/>
      <c r="AM1363" s="150"/>
    </row>
    <row r="1364" spans="1:39" s="116" customFormat="1" ht="15.75" hidden="1" customHeight="1">
      <c r="A1364" s="119" t="str">
        <f>IF(液状化L1の有無="","","×")</f>
        <v>×</v>
      </c>
      <c r="H1364" s="112"/>
      <c r="I1364" s="112"/>
      <c r="J1364" s="112"/>
      <c r="K1364" s="112"/>
      <c r="L1364" s="112"/>
      <c r="Q1364" s="115"/>
      <c r="R1364" s="115"/>
      <c r="AA1364" s="123" t="s">
        <v>127</v>
      </c>
      <c r="AB1364" s="1" t="s">
        <v>595</v>
      </c>
      <c r="AC1364" s="112" t="s">
        <v>27</v>
      </c>
      <c r="AD1364" s="212">
        <f>杭先端径</f>
        <v>1</v>
      </c>
      <c r="AE1364" s="212"/>
      <c r="AF1364" s="212"/>
      <c r="AG1364" s="7" t="s">
        <v>509</v>
      </c>
      <c r="AH1364" s="112" t="s">
        <v>158</v>
      </c>
    </row>
    <row r="1365" spans="1:39" s="116" customFormat="1" ht="15.75" hidden="1" customHeight="1">
      <c r="A1365" s="119" t="str">
        <f>IF(液状化L2の有無="","","×")</f>
        <v>×</v>
      </c>
      <c r="H1365" s="112"/>
      <c r="I1365" s="112"/>
      <c r="J1365" s="112"/>
      <c r="K1365" s="112"/>
      <c r="L1365" s="112"/>
      <c r="M1365" s="115"/>
      <c r="N1365" s="115"/>
      <c r="O1365" s="115"/>
      <c r="P1365" s="115"/>
      <c r="Q1365" s="114"/>
      <c r="R1365" s="114"/>
      <c r="S1365" s="114"/>
      <c r="T1365" s="115"/>
      <c r="U1365" s="115"/>
      <c r="V1365" s="115"/>
      <c r="W1365" s="115"/>
      <c r="X1365" s="115"/>
      <c r="Y1365" s="115"/>
      <c r="Z1365" s="113"/>
      <c r="AA1365" s="113"/>
      <c r="AB1365" s="113"/>
      <c r="AC1365" s="114"/>
      <c r="AD1365" s="114"/>
      <c r="AE1365" s="114"/>
    </row>
    <row r="1366" spans="1:39" s="116" customFormat="1" ht="15.75" hidden="1" customHeight="1">
      <c r="A1366" s="119" t="str">
        <f>IF(液状化L2の有無="","","×")</f>
        <v>×</v>
      </c>
      <c r="B1366" s="61" t="s">
        <v>607</v>
      </c>
      <c r="C1366" s="61"/>
      <c r="D1366" s="85"/>
      <c r="E1366" s="85"/>
      <c r="F1366" s="85"/>
      <c r="G1366" s="61"/>
      <c r="H1366" s="61"/>
      <c r="I1366" s="61"/>
      <c r="J1366" s="61"/>
      <c r="K1366" s="61"/>
      <c r="L1366" s="61"/>
      <c r="M1366" s="61"/>
      <c r="N1366" s="61"/>
      <c r="O1366" s="61"/>
      <c r="P1366" s="61"/>
      <c r="Q1366" s="61"/>
      <c r="R1366" s="61"/>
      <c r="S1366" s="61"/>
      <c r="T1366" s="61"/>
      <c r="U1366" s="61"/>
      <c r="V1366" s="61"/>
      <c r="W1366" s="61"/>
      <c r="X1366" s="61"/>
      <c r="Y1366" s="61"/>
      <c r="Z1366" s="61"/>
      <c r="AA1366" s="85"/>
      <c r="AB1366" s="85"/>
      <c r="AC1366" s="85"/>
      <c r="AD1366" s="85"/>
      <c r="AE1366" s="85"/>
      <c r="AF1366" s="85"/>
      <c r="AG1366" s="85"/>
      <c r="AH1366" s="85"/>
      <c r="AI1366" s="85"/>
    </row>
    <row r="1367" spans="1:39" s="116" customFormat="1" ht="15.75" hidden="1" customHeight="1">
      <c r="A1367" s="119" t="str">
        <f>IF(液状化L2の有無="","","×")</f>
        <v>×</v>
      </c>
      <c r="B1367" s="470" t="s">
        <v>8</v>
      </c>
      <c r="C1367" s="471"/>
      <c r="D1367" s="471"/>
      <c r="E1367" s="471" t="s">
        <v>350</v>
      </c>
      <c r="F1367" s="471"/>
      <c r="G1367" s="471"/>
      <c r="H1367" s="472" t="s">
        <v>190</v>
      </c>
      <c r="I1367" s="472"/>
      <c r="J1367" s="472"/>
      <c r="K1367" s="471" t="s">
        <v>597</v>
      </c>
      <c r="L1367" s="471"/>
      <c r="M1367" s="471"/>
      <c r="N1367" s="485"/>
      <c r="O1367" s="394" t="s">
        <v>286</v>
      </c>
      <c r="P1367" s="165"/>
      <c r="Q1367" s="165"/>
      <c r="R1367" s="165"/>
      <c r="S1367" s="165"/>
      <c r="T1367" s="165"/>
      <c r="U1367" s="165" t="s">
        <v>590</v>
      </c>
      <c r="V1367" s="165"/>
      <c r="W1367" s="254"/>
      <c r="X1367" s="224" t="s">
        <v>286</v>
      </c>
      <c r="Y1367" s="165"/>
      <c r="Z1367" s="165"/>
      <c r="AA1367" s="165"/>
      <c r="AB1367" s="165"/>
      <c r="AC1367" s="165"/>
      <c r="AD1367" s="165"/>
      <c r="AE1367" s="165"/>
      <c r="AF1367" s="165"/>
      <c r="AG1367" s="165"/>
      <c r="AH1367" s="165"/>
      <c r="AI1367" s="247"/>
      <c r="AJ1367" s="311" t="s">
        <v>502</v>
      </c>
      <c r="AK1367" s="300"/>
      <c r="AL1367" s="300"/>
      <c r="AM1367" s="300"/>
    </row>
    <row r="1368" spans="1:39" s="116" customFormat="1" ht="15.75" hidden="1" customHeight="1">
      <c r="A1368" s="119" t="str">
        <f>IF(液状化L2の有無="","","×")</f>
        <v>×</v>
      </c>
      <c r="B1368" s="473"/>
      <c r="C1368" s="474"/>
      <c r="D1368" s="474"/>
      <c r="E1368" s="474"/>
      <c r="F1368" s="474"/>
      <c r="G1368" s="474"/>
      <c r="H1368" s="475"/>
      <c r="I1368" s="475"/>
      <c r="J1368" s="475"/>
      <c r="K1368" s="474"/>
      <c r="L1368" s="474"/>
      <c r="M1368" s="474"/>
      <c r="N1368" s="486"/>
      <c r="O1368" s="487" t="s">
        <v>579</v>
      </c>
      <c r="P1368" s="150"/>
      <c r="Q1368" s="150" t="s">
        <v>580</v>
      </c>
      <c r="R1368" s="150"/>
      <c r="S1368" s="150" t="s">
        <v>581</v>
      </c>
      <c r="T1368" s="150"/>
      <c r="U1368" s="208"/>
      <c r="V1368" s="208"/>
      <c r="W1368" s="258"/>
      <c r="X1368" s="477" t="s">
        <v>579</v>
      </c>
      <c r="Y1368" s="150"/>
      <c r="Z1368" s="150"/>
      <c r="AA1368" s="150"/>
      <c r="AB1368" s="150" t="s">
        <v>580</v>
      </c>
      <c r="AC1368" s="150"/>
      <c r="AD1368" s="150"/>
      <c r="AE1368" s="150"/>
      <c r="AF1368" s="150" t="s">
        <v>581</v>
      </c>
      <c r="AG1368" s="150"/>
      <c r="AH1368" s="150"/>
      <c r="AI1368" s="476"/>
      <c r="AJ1368" s="330"/>
      <c r="AK1368" s="187"/>
      <c r="AL1368" s="187"/>
      <c r="AM1368" s="187"/>
    </row>
    <row r="1369" spans="1:39" s="116" customFormat="1" ht="15.75" hidden="1" customHeight="1">
      <c r="A1369" s="120" t="str">
        <f>IF(液状化L2の有無="",IF(H1369="","×",""),"×")</f>
        <v>×</v>
      </c>
      <c r="B1369" s="224">
        <f>IF(D1222="","",D1222)</f>
        <v>3</v>
      </c>
      <c r="C1369" s="165"/>
      <c r="D1369" s="165"/>
      <c r="E1369" s="165" t="str">
        <f>IF(G1222="","",G1222)</f>
        <v>粘性土</v>
      </c>
      <c r="F1369" s="165"/>
      <c r="G1369" s="165"/>
      <c r="H1369" s="149">
        <f>IF(J1222="","",J1222)</f>
        <v>3</v>
      </c>
      <c r="I1369" s="149"/>
      <c r="J1369" s="149"/>
      <c r="K1369" s="253">
        <f>AF1222*AD$1399*AJ1369</f>
        <v>144.69999999999999</v>
      </c>
      <c r="L1369" s="253"/>
      <c r="M1369" s="253"/>
      <c r="N1369" s="479"/>
      <c r="O1369" s="302">
        <f>IF(E1369="","",IF(E1369="粘性土",1,CHOOSE(AJ$1156,X$1151,X$1152,X$1153)))</f>
        <v>1</v>
      </c>
      <c r="P1369" s="253"/>
      <c r="Q1369" s="253">
        <f>IF(E1369="","",IF(E1369="粘性土",1,CHOOSE(AJ$1156,AB$1151,AB$1152,AB$1153)))</f>
        <v>1</v>
      </c>
      <c r="R1369" s="253"/>
      <c r="S1369" s="253">
        <f>IF(E1369="","",IF(E1369="粘性土",1,CHOOSE(AJ$1156,AF$1151,AF$1152,AF$1153)))</f>
        <v>1</v>
      </c>
      <c r="T1369" s="253"/>
      <c r="U1369" s="488">
        <f>IF(E1369="","",IF(E1369="粘性土",1,R$1169))</f>
        <v>1</v>
      </c>
      <c r="V1369" s="488"/>
      <c r="W1369" s="489"/>
      <c r="X1369" s="252">
        <f>IF(E1369="","",ROUND(K1369*O1369*U1369,1))</f>
        <v>144.69999999999999</v>
      </c>
      <c r="Y1369" s="253"/>
      <c r="Z1369" s="253"/>
      <c r="AA1369" s="253"/>
      <c r="AB1369" s="252">
        <f>IF(E1369="","",ROUND(K1369*Q1369*U1369,1))</f>
        <v>144.69999999999999</v>
      </c>
      <c r="AC1369" s="253"/>
      <c r="AD1369" s="253"/>
      <c r="AE1369" s="253"/>
      <c r="AF1369" s="252">
        <f>IF(E1369="","",ROUND(K1369*S1369*U1369,1))</f>
        <v>144.69999999999999</v>
      </c>
      <c r="AG1369" s="253"/>
      <c r="AH1369" s="253"/>
      <c r="AI1369" s="253"/>
      <c r="AJ1369" s="149">
        <f>Q317</f>
        <v>1</v>
      </c>
      <c r="AK1369" s="149"/>
      <c r="AL1369" s="149"/>
      <c r="AM1369" s="149"/>
    </row>
    <row r="1370" spans="1:39" s="116" customFormat="1" ht="15.75" hidden="1" customHeight="1">
      <c r="A1370" s="120" t="str">
        <f>A1369</f>
        <v>×</v>
      </c>
      <c r="B1370" s="204"/>
      <c r="C1370" s="205"/>
      <c r="D1370" s="205"/>
      <c r="E1370" s="205"/>
      <c r="F1370" s="205"/>
      <c r="G1370" s="205"/>
      <c r="H1370" s="145"/>
      <c r="I1370" s="145"/>
      <c r="J1370" s="145"/>
      <c r="K1370" s="249">
        <f>AF1223*AD$1399*AJ1369</f>
        <v>180</v>
      </c>
      <c r="L1370" s="249"/>
      <c r="M1370" s="249"/>
      <c r="N1370" s="480"/>
      <c r="O1370" s="305">
        <f>O1369</f>
        <v>1</v>
      </c>
      <c r="P1370" s="249"/>
      <c r="Q1370" s="249">
        <f>Q1369</f>
        <v>1</v>
      </c>
      <c r="R1370" s="249"/>
      <c r="S1370" s="249">
        <f>S1369</f>
        <v>1</v>
      </c>
      <c r="T1370" s="249"/>
      <c r="U1370" s="490">
        <f>U1369</f>
        <v>1</v>
      </c>
      <c r="V1370" s="490"/>
      <c r="W1370" s="491"/>
      <c r="X1370" s="248">
        <f>IF(E1369="","",ROUND(K1370*O1370*U1370,1))</f>
        <v>180</v>
      </c>
      <c r="Y1370" s="249"/>
      <c r="Z1370" s="249"/>
      <c r="AA1370" s="249"/>
      <c r="AB1370" s="248">
        <f>IF(E1369="","",ROUND(K1370*Q1370*U1370,1))</f>
        <v>180</v>
      </c>
      <c r="AC1370" s="249"/>
      <c r="AD1370" s="249"/>
      <c r="AE1370" s="249"/>
      <c r="AF1370" s="248">
        <f>IF(E1369="","",ROUND(K1370*S1370*U1370,1))</f>
        <v>180</v>
      </c>
      <c r="AG1370" s="249"/>
      <c r="AH1370" s="249"/>
      <c r="AI1370" s="249"/>
      <c r="AJ1370" s="145"/>
      <c r="AK1370" s="145"/>
      <c r="AL1370" s="145"/>
      <c r="AM1370" s="145"/>
    </row>
    <row r="1371" spans="1:39" s="116" customFormat="1" ht="15.75" hidden="1" customHeight="1">
      <c r="A1371" s="120" t="str">
        <f>IF(液状化L2の有無="",IF(H1371="","×",""),"×")</f>
        <v>×</v>
      </c>
      <c r="B1371" s="204">
        <f>IF(D1224="","",D1224)</f>
        <v>4</v>
      </c>
      <c r="C1371" s="205"/>
      <c r="D1371" s="205"/>
      <c r="E1371" s="205" t="str">
        <f>IF(G1224="","",G1224)</f>
        <v>砂質土</v>
      </c>
      <c r="F1371" s="205"/>
      <c r="G1371" s="205"/>
      <c r="H1371" s="145">
        <f>IF(J1224="","",J1224)</f>
        <v>5</v>
      </c>
      <c r="I1371" s="145"/>
      <c r="J1371" s="145"/>
      <c r="K1371" s="249">
        <f>AF1224*AD$1399*AJ1371</f>
        <v>668.3</v>
      </c>
      <c r="L1371" s="249"/>
      <c r="M1371" s="249"/>
      <c r="N1371" s="480"/>
      <c r="O1371" s="305">
        <f>IF(E1371="","",IF(E1371="粘性土",1,CHOOSE(AJ$1156,X$1151,X$1152,X$1153)))</f>
        <v>1</v>
      </c>
      <c r="P1371" s="249"/>
      <c r="Q1371" s="249">
        <f>IF(E1371="","",IF(E1371="粘性土",1,CHOOSE(AJ$1156,AB$1151,AB$1152,AB$1153)))</f>
        <v>0.5</v>
      </c>
      <c r="R1371" s="249"/>
      <c r="S1371" s="249">
        <f>IF(E1371="","",IF(E1371="粘性土",1,CHOOSE(AJ$1156,AF$1151,AF$1152,AF$1153)))</f>
        <v>0.4</v>
      </c>
      <c r="T1371" s="249"/>
      <c r="U1371" s="490">
        <f>IF(E1371="","",IF(E1371="粘性土",1,R$1169))</f>
        <v>0.94</v>
      </c>
      <c r="V1371" s="490"/>
      <c r="W1371" s="491"/>
      <c r="X1371" s="248">
        <f>IF(E1371="","",ROUND(K1371*O1371*U1371,1))</f>
        <v>628.20000000000005</v>
      </c>
      <c r="Y1371" s="249"/>
      <c r="Z1371" s="249"/>
      <c r="AA1371" s="249"/>
      <c r="AB1371" s="248">
        <f>IF(E1371="","",ROUND(K1371*Q1371*U1371,1))</f>
        <v>314.10000000000002</v>
      </c>
      <c r="AC1371" s="249"/>
      <c r="AD1371" s="249"/>
      <c r="AE1371" s="249"/>
      <c r="AF1371" s="248">
        <f>IF(E1371="","",ROUND(K1371*S1371*U1371,1))</f>
        <v>251.3</v>
      </c>
      <c r="AG1371" s="249"/>
      <c r="AH1371" s="249"/>
      <c r="AI1371" s="249"/>
      <c r="AJ1371" s="145">
        <f>Q318</f>
        <v>1</v>
      </c>
      <c r="AK1371" s="145"/>
      <c r="AL1371" s="145"/>
      <c r="AM1371" s="145"/>
    </row>
    <row r="1372" spans="1:39" s="116" customFormat="1" ht="15.75" hidden="1" customHeight="1">
      <c r="A1372" s="120" t="str">
        <f t="shared" ref="A1372" si="364">A1371</f>
        <v>×</v>
      </c>
      <c r="B1372" s="204"/>
      <c r="C1372" s="205"/>
      <c r="D1372" s="205"/>
      <c r="E1372" s="205"/>
      <c r="F1372" s="205"/>
      <c r="G1372" s="205"/>
      <c r="H1372" s="145"/>
      <c r="I1372" s="145"/>
      <c r="J1372" s="145"/>
      <c r="K1372" s="249">
        <f>AF1225*AD$1399*AJ1371</f>
        <v>1151.9000000000001</v>
      </c>
      <c r="L1372" s="249"/>
      <c r="M1372" s="249"/>
      <c r="N1372" s="480"/>
      <c r="O1372" s="305">
        <f>O1371</f>
        <v>1</v>
      </c>
      <c r="P1372" s="249"/>
      <c r="Q1372" s="249">
        <f>Q1371</f>
        <v>0.5</v>
      </c>
      <c r="R1372" s="249"/>
      <c r="S1372" s="249">
        <f>S1371</f>
        <v>0.4</v>
      </c>
      <c r="T1372" s="249"/>
      <c r="U1372" s="490">
        <f>U1371</f>
        <v>0.94</v>
      </c>
      <c r="V1372" s="490"/>
      <c r="W1372" s="491"/>
      <c r="X1372" s="248">
        <f>IF(E1371="","",ROUND(K1372*O1372*U1372,1))</f>
        <v>1082.8</v>
      </c>
      <c r="Y1372" s="249"/>
      <c r="Z1372" s="249"/>
      <c r="AA1372" s="249"/>
      <c r="AB1372" s="248">
        <f>IF(E1371="","",ROUND(K1372*Q1372*U1372,1))</f>
        <v>541.4</v>
      </c>
      <c r="AC1372" s="249"/>
      <c r="AD1372" s="249"/>
      <c r="AE1372" s="249"/>
      <c r="AF1372" s="248">
        <f>IF(E1371="","",ROUND(K1372*S1372*U1372,1))</f>
        <v>433.1</v>
      </c>
      <c r="AG1372" s="249"/>
      <c r="AH1372" s="249"/>
      <c r="AI1372" s="249"/>
      <c r="AJ1372" s="145"/>
      <c r="AK1372" s="145"/>
      <c r="AL1372" s="145"/>
      <c r="AM1372" s="145"/>
    </row>
    <row r="1373" spans="1:39" s="116" customFormat="1" ht="15.75" hidden="1" customHeight="1">
      <c r="A1373" s="120" t="str">
        <f>IF(液状化L2の有無="",IF(H1373="","×",""),"×")</f>
        <v>×</v>
      </c>
      <c r="B1373" s="204">
        <f>IF(D1226="","",D1226)</f>
        <v>5</v>
      </c>
      <c r="C1373" s="205"/>
      <c r="D1373" s="205"/>
      <c r="E1373" s="205" t="str">
        <f>IF(G1226="","",G1226)</f>
        <v>粘性土</v>
      </c>
      <c r="F1373" s="205"/>
      <c r="G1373" s="205"/>
      <c r="H1373" s="145">
        <f>IF(J1226="","",J1226)</f>
        <v>8</v>
      </c>
      <c r="I1373" s="145"/>
      <c r="J1373" s="145"/>
      <c r="K1373" s="249">
        <f>AF1226*AD$1399*AJ1373</f>
        <v>562.5</v>
      </c>
      <c r="L1373" s="249"/>
      <c r="M1373" s="249"/>
      <c r="N1373" s="480"/>
      <c r="O1373" s="305">
        <f>IF(E1373="","",IF(E1373="粘性土",1,CHOOSE(AJ$1156,X$1151,X$1152,X$1153)))</f>
        <v>1</v>
      </c>
      <c r="P1373" s="249"/>
      <c r="Q1373" s="249">
        <f>IF(E1373="","",IF(E1373="粘性土",1,CHOOSE(AJ$1156,AB$1151,AB$1152,AB$1153)))</f>
        <v>1</v>
      </c>
      <c r="R1373" s="249"/>
      <c r="S1373" s="249">
        <f>IF(E1373="","",IF(E1373="粘性土",1,CHOOSE(AJ$1156,AF$1151,AF$1152,AF$1153)))</f>
        <v>1</v>
      </c>
      <c r="T1373" s="249"/>
      <c r="U1373" s="490">
        <f t="shared" ref="U1373" si="365">IF(E1373="","",IF(E1373="粘性土",1,R$1169))</f>
        <v>1</v>
      </c>
      <c r="V1373" s="490"/>
      <c r="W1373" s="491"/>
      <c r="X1373" s="248">
        <f>IF(E1373="","",ROUND(K1373*O1373*U1373,1))</f>
        <v>562.5</v>
      </c>
      <c r="Y1373" s="249"/>
      <c r="Z1373" s="249"/>
      <c r="AA1373" s="249"/>
      <c r="AB1373" s="248">
        <f>IF(E1373="","",ROUND(K1373*Q1373*U1373,1))</f>
        <v>562.5</v>
      </c>
      <c r="AC1373" s="249"/>
      <c r="AD1373" s="249"/>
      <c r="AE1373" s="249"/>
      <c r="AF1373" s="248">
        <f>IF(E1373="","",ROUND(K1373*S1373*U1373,1))</f>
        <v>562.5</v>
      </c>
      <c r="AG1373" s="249"/>
      <c r="AH1373" s="249"/>
      <c r="AI1373" s="249"/>
      <c r="AJ1373" s="145">
        <f>Q319</f>
        <v>1</v>
      </c>
      <c r="AK1373" s="145"/>
      <c r="AL1373" s="145"/>
      <c r="AM1373" s="145"/>
    </row>
    <row r="1374" spans="1:39" s="116" customFormat="1" ht="15.75" hidden="1" customHeight="1">
      <c r="A1374" s="120" t="str">
        <f t="shared" ref="A1374" si="366">A1373</f>
        <v>×</v>
      </c>
      <c r="B1374" s="204"/>
      <c r="C1374" s="205"/>
      <c r="D1374" s="205"/>
      <c r="E1374" s="205"/>
      <c r="F1374" s="205"/>
      <c r="G1374" s="205"/>
      <c r="H1374" s="145"/>
      <c r="I1374" s="145"/>
      <c r="J1374" s="145"/>
      <c r="K1374" s="249">
        <f>AF1227*AD$1399*AJ1373</f>
        <v>562.5</v>
      </c>
      <c r="L1374" s="249"/>
      <c r="M1374" s="249"/>
      <c r="N1374" s="480"/>
      <c r="O1374" s="305">
        <f>O1373</f>
        <v>1</v>
      </c>
      <c r="P1374" s="249"/>
      <c r="Q1374" s="249">
        <f>Q1373</f>
        <v>1</v>
      </c>
      <c r="R1374" s="249"/>
      <c r="S1374" s="249">
        <f>S1373</f>
        <v>1</v>
      </c>
      <c r="T1374" s="249"/>
      <c r="U1374" s="490">
        <f t="shared" ref="U1374" si="367">U1373</f>
        <v>1</v>
      </c>
      <c r="V1374" s="490"/>
      <c r="W1374" s="491"/>
      <c r="X1374" s="248">
        <f>IF(E1373="","",ROUND(K1374*O1374*U1374,1))</f>
        <v>562.5</v>
      </c>
      <c r="Y1374" s="249"/>
      <c r="Z1374" s="249"/>
      <c r="AA1374" s="249"/>
      <c r="AB1374" s="248">
        <f>IF(E1373="","",ROUND(K1374*Q1374*U1374,1))</f>
        <v>562.5</v>
      </c>
      <c r="AC1374" s="249"/>
      <c r="AD1374" s="249"/>
      <c r="AE1374" s="249"/>
      <c r="AF1374" s="248">
        <f>IF(E1373="","",ROUND(K1374*S1374*U1374,1))</f>
        <v>562.5</v>
      </c>
      <c r="AG1374" s="249"/>
      <c r="AH1374" s="249"/>
      <c r="AI1374" s="249"/>
      <c r="AJ1374" s="145"/>
      <c r="AK1374" s="145"/>
      <c r="AL1374" s="145"/>
      <c r="AM1374" s="145"/>
    </row>
    <row r="1375" spans="1:39" s="116" customFormat="1" ht="15.75" hidden="1" customHeight="1">
      <c r="A1375" s="120" t="str">
        <f>IF(液状化L2の有無="",IF(H1375="","×",""),"×")</f>
        <v>×</v>
      </c>
      <c r="B1375" s="204">
        <f>IF(D1228="","",D1228)</f>
        <v>6</v>
      </c>
      <c r="C1375" s="205"/>
      <c r="D1375" s="205"/>
      <c r="E1375" s="205" t="str">
        <f>IF(G1228="","",G1228)</f>
        <v>粘性土</v>
      </c>
      <c r="F1375" s="205"/>
      <c r="G1375" s="205"/>
      <c r="H1375" s="145">
        <f>IF(J1228="","",J1228)</f>
        <v>4.5</v>
      </c>
      <c r="I1375" s="145"/>
      <c r="J1375" s="145"/>
      <c r="K1375" s="249">
        <f>AF1228*AD$1399*AJ1375</f>
        <v>1125</v>
      </c>
      <c r="L1375" s="249"/>
      <c r="M1375" s="249"/>
      <c r="N1375" s="480"/>
      <c r="O1375" s="305">
        <f>IF(E1375="","",IF(E1375="粘性土",1,CHOOSE(AJ$1156,X$1151,X$1152,X$1153)))</f>
        <v>1</v>
      </c>
      <c r="P1375" s="249"/>
      <c r="Q1375" s="249">
        <f>IF(E1375="","",IF(E1375="粘性土",1,CHOOSE(AJ$1156,AB$1151,AB$1152,AB$1153)))</f>
        <v>1</v>
      </c>
      <c r="R1375" s="249"/>
      <c r="S1375" s="249">
        <f>IF(E1375="","",IF(E1375="粘性土",1,CHOOSE(AJ$1156,AF$1151,AF$1152,AF$1153)))</f>
        <v>1</v>
      </c>
      <c r="T1375" s="249"/>
      <c r="U1375" s="490">
        <f t="shared" ref="U1375" si="368">IF(E1375="","",IF(E1375="粘性土",1,R$1169))</f>
        <v>1</v>
      </c>
      <c r="V1375" s="490"/>
      <c r="W1375" s="491"/>
      <c r="X1375" s="248">
        <f>IF(E1375="","",ROUND(K1375*O1375*U1375,1))</f>
        <v>1125</v>
      </c>
      <c r="Y1375" s="249"/>
      <c r="Z1375" s="249"/>
      <c r="AA1375" s="249"/>
      <c r="AB1375" s="248">
        <f>IF(E1375="","",ROUND(K1375*Q1375*U1375,1))</f>
        <v>1125</v>
      </c>
      <c r="AC1375" s="249"/>
      <c r="AD1375" s="249"/>
      <c r="AE1375" s="249"/>
      <c r="AF1375" s="248">
        <f>IF(E1375="","",ROUND(K1375*S1375*U1375,1))</f>
        <v>1125</v>
      </c>
      <c r="AG1375" s="249"/>
      <c r="AH1375" s="249"/>
      <c r="AI1375" s="249"/>
      <c r="AJ1375" s="145">
        <f>Q320</f>
        <v>1</v>
      </c>
      <c r="AK1375" s="145"/>
      <c r="AL1375" s="145"/>
      <c r="AM1375" s="145"/>
    </row>
    <row r="1376" spans="1:39" s="116" customFormat="1" ht="15.75" hidden="1" customHeight="1">
      <c r="A1376" s="120" t="str">
        <f t="shared" ref="A1376" si="369">A1375</f>
        <v>×</v>
      </c>
      <c r="B1376" s="204"/>
      <c r="C1376" s="205"/>
      <c r="D1376" s="205"/>
      <c r="E1376" s="205"/>
      <c r="F1376" s="205"/>
      <c r="G1376" s="205"/>
      <c r="H1376" s="145"/>
      <c r="I1376" s="145"/>
      <c r="J1376" s="145"/>
      <c r="K1376" s="249">
        <f>AF1229*AD$1399*AJ1375</f>
        <v>1125</v>
      </c>
      <c r="L1376" s="249"/>
      <c r="M1376" s="249"/>
      <c r="N1376" s="480"/>
      <c r="O1376" s="305">
        <f>O1375</f>
        <v>1</v>
      </c>
      <c r="P1376" s="249"/>
      <c r="Q1376" s="249">
        <f>Q1375</f>
        <v>1</v>
      </c>
      <c r="R1376" s="249"/>
      <c r="S1376" s="249">
        <f>S1375</f>
        <v>1</v>
      </c>
      <c r="T1376" s="249"/>
      <c r="U1376" s="490">
        <f t="shared" ref="U1376" si="370">U1375</f>
        <v>1</v>
      </c>
      <c r="V1376" s="490"/>
      <c r="W1376" s="491"/>
      <c r="X1376" s="248">
        <f>IF(E1375="","",ROUND(K1376*O1376*U1376,1))</f>
        <v>1125</v>
      </c>
      <c r="Y1376" s="249"/>
      <c r="Z1376" s="249"/>
      <c r="AA1376" s="249"/>
      <c r="AB1376" s="248">
        <f>IF(E1375="","",ROUND(K1376*Q1376*U1376,1))</f>
        <v>1125</v>
      </c>
      <c r="AC1376" s="249"/>
      <c r="AD1376" s="249"/>
      <c r="AE1376" s="249"/>
      <c r="AF1376" s="248">
        <f>IF(E1375="","",ROUND(K1376*S1376*U1376,1))</f>
        <v>1125</v>
      </c>
      <c r="AG1376" s="249"/>
      <c r="AH1376" s="249"/>
      <c r="AI1376" s="249"/>
      <c r="AJ1376" s="145"/>
      <c r="AK1376" s="145"/>
      <c r="AL1376" s="145"/>
      <c r="AM1376" s="145"/>
    </row>
    <row r="1377" spans="1:39" s="116" customFormat="1" ht="15.75" hidden="1" customHeight="1">
      <c r="A1377" s="120" t="str">
        <f>IF(液状化L2の有無="",IF(H1377="","×",""),"×")</f>
        <v>×</v>
      </c>
      <c r="B1377" s="204">
        <f>IF(D1230="","",D1230)</f>
        <v>7</v>
      </c>
      <c r="C1377" s="205"/>
      <c r="D1377" s="205"/>
      <c r="E1377" s="205" t="str">
        <f>IF(G1230="","",G1230)</f>
        <v>砂礫</v>
      </c>
      <c r="F1377" s="205"/>
      <c r="G1377" s="205"/>
      <c r="H1377" s="145">
        <f>IF(J1230="","",J1230)</f>
        <v>0.5</v>
      </c>
      <c r="I1377" s="145"/>
      <c r="J1377" s="145"/>
      <c r="K1377" s="249">
        <f>AF1230*AD$1399*AJ1377</f>
        <v>2359.9</v>
      </c>
      <c r="L1377" s="249"/>
      <c r="M1377" s="249"/>
      <c r="N1377" s="480"/>
      <c r="O1377" s="305">
        <f>IF(E1377="","",IF(E1377="粘性土",1,CHOOSE(AJ$1156,X$1151,X$1152,X$1153)))</f>
        <v>1</v>
      </c>
      <c r="P1377" s="249"/>
      <c r="Q1377" s="249">
        <f>IF(E1377="","",IF(E1377="粘性土",1,CHOOSE(AJ$1156,AB$1151,AB$1152,AB$1153)))</f>
        <v>0.5</v>
      </c>
      <c r="R1377" s="249"/>
      <c r="S1377" s="249">
        <f>IF(E1377="","",IF(E1377="粘性土",1,CHOOSE(AJ$1156,AF$1151,AF$1152,AF$1153)))</f>
        <v>0.4</v>
      </c>
      <c r="T1377" s="249"/>
      <c r="U1377" s="490">
        <f t="shared" ref="U1377" si="371">IF(E1377="","",IF(E1377="粘性土",1,R$1169))</f>
        <v>0.94</v>
      </c>
      <c r="V1377" s="490"/>
      <c r="W1377" s="491"/>
      <c r="X1377" s="248">
        <f>IF(E1377="","",ROUND(K1377*O1377*U1377,1))</f>
        <v>2218.3000000000002</v>
      </c>
      <c r="Y1377" s="249"/>
      <c r="Z1377" s="249"/>
      <c r="AA1377" s="249"/>
      <c r="AB1377" s="248">
        <f>IF(E1377="","",ROUND(K1377*Q1377*U1377,1))</f>
        <v>1109.2</v>
      </c>
      <c r="AC1377" s="249"/>
      <c r="AD1377" s="249"/>
      <c r="AE1377" s="249"/>
      <c r="AF1377" s="248">
        <f>IF(E1377="","",ROUND(K1377*S1377*U1377,1))</f>
        <v>887.3</v>
      </c>
      <c r="AG1377" s="249"/>
      <c r="AH1377" s="249"/>
      <c r="AI1377" s="249"/>
      <c r="AJ1377" s="145">
        <f>Q321</f>
        <v>1</v>
      </c>
      <c r="AK1377" s="145"/>
      <c r="AL1377" s="145"/>
      <c r="AM1377" s="145"/>
    </row>
    <row r="1378" spans="1:39" s="116" customFormat="1" ht="15.75" hidden="1" customHeight="1">
      <c r="A1378" s="120" t="str">
        <f t="shared" ref="A1378" si="372">A1377</f>
        <v>×</v>
      </c>
      <c r="B1378" s="204"/>
      <c r="C1378" s="205"/>
      <c r="D1378" s="205"/>
      <c r="E1378" s="205"/>
      <c r="F1378" s="205"/>
      <c r="G1378" s="205"/>
      <c r="H1378" s="145"/>
      <c r="I1378" s="145"/>
      <c r="J1378" s="145"/>
      <c r="K1378" s="249">
        <f>AF1231*AD$1399*AJ1377</f>
        <v>2420.5</v>
      </c>
      <c r="L1378" s="249"/>
      <c r="M1378" s="249"/>
      <c r="N1378" s="480"/>
      <c r="O1378" s="305">
        <f>O1377</f>
        <v>1</v>
      </c>
      <c r="P1378" s="249"/>
      <c r="Q1378" s="249">
        <f>Q1377</f>
        <v>0.5</v>
      </c>
      <c r="R1378" s="249"/>
      <c r="S1378" s="249">
        <f>S1377</f>
        <v>0.4</v>
      </c>
      <c r="T1378" s="249"/>
      <c r="U1378" s="490">
        <f t="shared" ref="U1378" si="373">U1377</f>
        <v>0.94</v>
      </c>
      <c r="V1378" s="490"/>
      <c r="W1378" s="491"/>
      <c r="X1378" s="248">
        <f>IF(E1377="","",ROUND(K1378*O1378*U1378,1))</f>
        <v>2275.3000000000002</v>
      </c>
      <c r="Y1378" s="249"/>
      <c r="Z1378" s="249"/>
      <c r="AA1378" s="249"/>
      <c r="AB1378" s="248">
        <f>IF(E1377="","",ROUND(K1378*Q1378*U1378,1))</f>
        <v>1137.5999999999999</v>
      </c>
      <c r="AC1378" s="249"/>
      <c r="AD1378" s="249"/>
      <c r="AE1378" s="249"/>
      <c r="AF1378" s="248">
        <f>IF(E1377="","",ROUND(K1378*S1378*U1378,1))</f>
        <v>910.1</v>
      </c>
      <c r="AG1378" s="249"/>
      <c r="AH1378" s="249"/>
      <c r="AI1378" s="249"/>
      <c r="AJ1378" s="145"/>
      <c r="AK1378" s="145"/>
      <c r="AL1378" s="145"/>
      <c r="AM1378" s="145"/>
    </row>
    <row r="1379" spans="1:39" s="116" customFormat="1" ht="15.75" hidden="1" customHeight="1">
      <c r="A1379" s="120" t="str">
        <f>IF(液状化L2の有無="",IF(H1379="","×",""),"×")</f>
        <v>×</v>
      </c>
      <c r="B1379" s="204" t="str">
        <f>IF(D1232="","",D1232)</f>
        <v/>
      </c>
      <c r="C1379" s="205"/>
      <c r="D1379" s="205"/>
      <c r="E1379" s="205" t="str">
        <f>IF(G1232="","",G1232)</f>
        <v/>
      </c>
      <c r="F1379" s="205"/>
      <c r="G1379" s="205"/>
      <c r="H1379" s="145" t="str">
        <f>IF(J1232="","",J1232)</f>
        <v/>
      </c>
      <c r="I1379" s="145"/>
      <c r="J1379" s="145"/>
      <c r="K1379" s="249">
        <f>AF1232*AD$1399*AJ1379</f>
        <v>0</v>
      </c>
      <c r="L1379" s="249"/>
      <c r="M1379" s="249"/>
      <c r="N1379" s="480"/>
      <c r="O1379" s="305" t="str">
        <f>IF(E1379="","",IF(E1379="粘性土",1,CHOOSE(AJ$1156,X$1151,X$1152,X$1153)))</f>
        <v/>
      </c>
      <c r="P1379" s="249"/>
      <c r="Q1379" s="249" t="str">
        <f>IF(E1379="","",IF(E1379="粘性土",1,CHOOSE(AJ$1156,AB$1151,AB$1152,AB$1153)))</f>
        <v/>
      </c>
      <c r="R1379" s="249"/>
      <c r="S1379" s="249" t="str">
        <f>IF(E1379="","",IF(E1379="粘性土",1,CHOOSE(AJ$1156,AF$1151,AF$1152,AF$1153)))</f>
        <v/>
      </c>
      <c r="T1379" s="249"/>
      <c r="U1379" s="490" t="str">
        <f t="shared" ref="U1379" si="374">IF(E1379="","",IF(E1379="粘性土",1,R$1169))</f>
        <v/>
      </c>
      <c r="V1379" s="490"/>
      <c r="W1379" s="491"/>
      <c r="X1379" s="248" t="str">
        <f>IF(E1379="","",ROUND(K1379*O1379*U1379,1))</f>
        <v/>
      </c>
      <c r="Y1379" s="249"/>
      <c r="Z1379" s="249"/>
      <c r="AA1379" s="249"/>
      <c r="AB1379" s="248" t="str">
        <f>IF(E1379="","",ROUND(K1379*Q1379*U1379,1))</f>
        <v/>
      </c>
      <c r="AC1379" s="249"/>
      <c r="AD1379" s="249"/>
      <c r="AE1379" s="249"/>
      <c r="AF1379" s="248" t="str">
        <f>IF(E1379="","",ROUND(K1379*S1379*U1379,1))</f>
        <v/>
      </c>
      <c r="AG1379" s="249"/>
      <c r="AH1379" s="249"/>
      <c r="AI1379" s="249"/>
      <c r="AJ1379" s="145">
        <f>Q322</f>
        <v>0</v>
      </c>
      <c r="AK1379" s="145"/>
      <c r="AL1379" s="145"/>
      <c r="AM1379" s="145"/>
    </row>
    <row r="1380" spans="1:39" s="116" customFormat="1" ht="15.75" hidden="1" customHeight="1">
      <c r="A1380" s="120" t="str">
        <f t="shared" ref="A1380" si="375">A1379</f>
        <v>×</v>
      </c>
      <c r="B1380" s="204"/>
      <c r="C1380" s="205"/>
      <c r="D1380" s="205"/>
      <c r="E1380" s="205"/>
      <c r="F1380" s="205"/>
      <c r="G1380" s="205"/>
      <c r="H1380" s="145"/>
      <c r="I1380" s="145"/>
      <c r="J1380" s="145"/>
      <c r="K1380" s="249">
        <f>AF1233*AD$1399*AJ1379</f>
        <v>0</v>
      </c>
      <c r="L1380" s="249"/>
      <c r="M1380" s="249"/>
      <c r="N1380" s="480"/>
      <c r="O1380" s="305" t="str">
        <f>O1379</f>
        <v/>
      </c>
      <c r="P1380" s="249"/>
      <c r="Q1380" s="249" t="str">
        <f>Q1379</f>
        <v/>
      </c>
      <c r="R1380" s="249"/>
      <c r="S1380" s="249" t="str">
        <f>S1379</f>
        <v/>
      </c>
      <c r="T1380" s="249"/>
      <c r="U1380" s="490" t="str">
        <f t="shared" ref="U1380" si="376">U1379</f>
        <v/>
      </c>
      <c r="V1380" s="490"/>
      <c r="W1380" s="491"/>
      <c r="X1380" s="248" t="str">
        <f>IF(E1379="","",ROUND(K1380*O1380*U1380,1))</f>
        <v/>
      </c>
      <c r="Y1380" s="249"/>
      <c r="Z1380" s="249"/>
      <c r="AA1380" s="249"/>
      <c r="AB1380" s="248" t="str">
        <f>IF(E1379="","",ROUND(K1380*Q1380*U1380,1))</f>
        <v/>
      </c>
      <c r="AC1380" s="249"/>
      <c r="AD1380" s="249"/>
      <c r="AE1380" s="249"/>
      <c r="AF1380" s="248" t="str">
        <f>IF(E1379="","",ROUND(K1380*S1380*U1380,1))</f>
        <v/>
      </c>
      <c r="AG1380" s="249"/>
      <c r="AH1380" s="249"/>
      <c r="AI1380" s="249"/>
      <c r="AJ1380" s="145"/>
      <c r="AK1380" s="145"/>
      <c r="AL1380" s="145"/>
      <c r="AM1380" s="145"/>
    </row>
    <row r="1381" spans="1:39" s="116" customFormat="1" ht="15.75" hidden="1" customHeight="1">
      <c r="A1381" s="120" t="str">
        <f>IF(液状化L2の有無="",IF(H1381="","×",""),"×")</f>
        <v>×</v>
      </c>
      <c r="B1381" s="204" t="str">
        <f>IF(D1234="","",D1234)</f>
        <v/>
      </c>
      <c r="C1381" s="205"/>
      <c r="D1381" s="205"/>
      <c r="E1381" s="205" t="str">
        <f>IF(G1234="","",G1234)</f>
        <v/>
      </c>
      <c r="F1381" s="205"/>
      <c r="G1381" s="205"/>
      <c r="H1381" s="145" t="str">
        <f>IF(J1234="","",J1234)</f>
        <v/>
      </c>
      <c r="I1381" s="145"/>
      <c r="J1381" s="145"/>
      <c r="K1381" s="249">
        <f>AF1234*AD$1399*AJ1381</f>
        <v>0</v>
      </c>
      <c r="L1381" s="249"/>
      <c r="M1381" s="249"/>
      <c r="N1381" s="480"/>
      <c r="O1381" s="305" t="str">
        <f t="shared" ref="O1381" si="377">IF(E1381="","",IF(E1381="粘性土",1,CHOOSE(AJ$1156,X$1151,X$1152,X$1153)))</f>
        <v/>
      </c>
      <c r="P1381" s="249"/>
      <c r="Q1381" s="249" t="str">
        <f t="shared" ref="Q1381" si="378">IF(E1381="","",IF(E1381="粘性土",1,CHOOSE(AJ$1156,AB$1151,AB$1152,AB$1153)))</f>
        <v/>
      </c>
      <c r="R1381" s="249"/>
      <c r="S1381" s="249" t="str">
        <f t="shared" ref="S1381" si="379">IF(E1381="","",IF(E1381="粘性土",1,CHOOSE(AJ$1156,AF$1151,AF$1152,AF$1153)))</f>
        <v/>
      </c>
      <c r="T1381" s="249"/>
      <c r="U1381" s="490" t="str">
        <f t="shared" ref="U1381" si="380">IF(E1381="","",IF(E1381="粘性土",1,R$1169))</f>
        <v/>
      </c>
      <c r="V1381" s="490"/>
      <c r="W1381" s="491"/>
      <c r="X1381" s="248" t="str">
        <f>IF(E1381="","",ROUND(K1381*O1381*U1381,1))</f>
        <v/>
      </c>
      <c r="Y1381" s="249"/>
      <c r="Z1381" s="249"/>
      <c r="AA1381" s="249"/>
      <c r="AB1381" s="248" t="str">
        <f>IF(E1381="","",ROUND(K1381*Q1381*U1381,1))</f>
        <v/>
      </c>
      <c r="AC1381" s="249"/>
      <c r="AD1381" s="249"/>
      <c r="AE1381" s="249"/>
      <c r="AF1381" s="248" t="str">
        <f>IF(E1381="","",ROUND(K1381*S1381*U1381,1))</f>
        <v/>
      </c>
      <c r="AG1381" s="249"/>
      <c r="AH1381" s="249"/>
      <c r="AI1381" s="249"/>
      <c r="AJ1381" s="145">
        <f>Q323</f>
        <v>0</v>
      </c>
      <c r="AK1381" s="145"/>
      <c r="AL1381" s="145"/>
      <c r="AM1381" s="145"/>
    </row>
    <row r="1382" spans="1:39" s="116" customFormat="1" ht="15.75" hidden="1" customHeight="1">
      <c r="A1382" s="120" t="str">
        <f t="shared" ref="A1382" si="381">A1381</f>
        <v>×</v>
      </c>
      <c r="B1382" s="204"/>
      <c r="C1382" s="205"/>
      <c r="D1382" s="205"/>
      <c r="E1382" s="205"/>
      <c r="F1382" s="205"/>
      <c r="G1382" s="205"/>
      <c r="H1382" s="145"/>
      <c r="I1382" s="145"/>
      <c r="J1382" s="145"/>
      <c r="K1382" s="249">
        <f>AF1235*AD$1399*AJ1381</f>
        <v>0</v>
      </c>
      <c r="L1382" s="249"/>
      <c r="M1382" s="249"/>
      <c r="N1382" s="480"/>
      <c r="O1382" s="305" t="str">
        <f t="shared" ref="O1382" si="382">O1381</f>
        <v/>
      </c>
      <c r="P1382" s="249"/>
      <c r="Q1382" s="249" t="str">
        <f t="shared" ref="Q1382" si="383">Q1381</f>
        <v/>
      </c>
      <c r="R1382" s="249"/>
      <c r="S1382" s="249" t="str">
        <f t="shared" ref="S1382" si="384">S1381</f>
        <v/>
      </c>
      <c r="T1382" s="249"/>
      <c r="U1382" s="490" t="str">
        <f t="shared" ref="U1382" si="385">U1381</f>
        <v/>
      </c>
      <c r="V1382" s="490"/>
      <c r="W1382" s="491"/>
      <c r="X1382" s="248" t="str">
        <f>IF(E1381="","",ROUND(K1382*O1382*U1382,1))</f>
        <v/>
      </c>
      <c r="Y1382" s="249"/>
      <c r="Z1382" s="249"/>
      <c r="AA1382" s="249"/>
      <c r="AB1382" s="248" t="str">
        <f>IF(E1381="","",ROUND(K1382*Q1382*U1382,1))</f>
        <v/>
      </c>
      <c r="AC1382" s="249"/>
      <c r="AD1382" s="249"/>
      <c r="AE1382" s="249"/>
      <c r="AF1382" s="248" t="str">
        <f>IF(E1381="","",ROUND(K1382*S1382*U1382,1))</f>
        <v/>
      </c>
      <c r="AG1382" s="249"/>
      <c r="AH1382" s="249"/>
      <c r="AI1382" s="249"/>
      <c r="AJ1382" s="145"/>
      <c r="AK1382" s="145"/>
      <c r="AL1382" s="145"/>
      <c r="AM1382" s="145"/>
    </row>
    <row r="1383" spans="1:39" s="116" customFormat="1" ht="15.75" hidden="1" customHeight="1">
      <c r="A1383" s="120" t="str">
        <f>IF(液状化L2の有無="",IF(H1383="","×",""),"×")</f>
        <v>×</v>
      </c>
      <c r="B1383" s="204" t="str">
        <f>IF(D1236="","",D1236)</f>
        <v/>
      </c>
      <c r="C1383" s="205"/>
      <c r="D1383" s="205"/>
      <c r="E1383" s="205" t="str">
        <f>IF(G1236="","",G1236)</f>
        <v/>
      </c>
      <c r="F1383" s="205"/>
      <c r="G1383" s="205"/>
      <c r="H1383" s="145" t="str">
        <f>IF(J1236="","",J1236)</f>
        <v/>
      </c>
      <c r="I1383" s="145"/>
      <c r="J1383" s="145"/>
      <c r="K1383" s="249">
        <f>AF1236*AD$1399*AJ1383</f>
        <v>0</v>
      </c>
      <c r="L1383" s="249"/>
      <c r="M1383" s="249"/>
      <c r="N1383" s="480"/>
      <c r="O1383" s="305" t="str">
        <f t="shared" ref="O1383" si="386">IF(E1383="","",IF(E1383="粘性土",1,CHOOSE(AJ$1156,X$1151,X$1152,X$1153)))</f>
        <v/>
      </c>
      <c r="P1383" s="249"/>
      <c r="Q1383" s="249" t="str">
        <f t="shared" ref="Q1383" si="387">IF(E1383="","",IF(E1383="粘性土",1,CHOOSE(AJ$1156,AB$1151,AB$1152,AB$1153)))</f>
        <v/>
      </c>
      <c r="R1383" s="249"/>
      <c r="S1383" s="249" t="str">
        <f t="shared" ref="S1383" si="388">IF(E1383="","",IF(E1383="粘性土",1,CHOOSE(AJ$1156,AF$1151,AF$1152,AF$1153)))</f>
        <v/>
      </c>
      <c r="T1383" s="249"/>
      <c r="U1383" s="490" t="str">
        <f t="shared" ref="U1383" si="389">IF(E1383="","",IF(E1383="粘性土",1,R$1169))</f>
        <v/>
      </c>
      <c r="V1383" s="490"/>
      <c r="W1383" s="491"/>
      <c r="X1383" s="248" t="str">
        <f>IF(E1383="","",ROUND(K1383*O1383*U1383,1))</f>
        <v/>
      </c>
      <c r="Y1383" s="249"/>
      <c r="Z1383" s="249"/>
      <c r="AA1383" s="249"/>
      <c r="AB1383" s="248" t="str">
        <f>IF(E1383="","",ROUND(K1383*Q1383*U1383,1))</f>
        <v/>
      </c>
      <c r="AC1383" s="249"/>
      <c r="AD1383" s="249"/>
      <c r="AE1383" s="249"/>
      <c r="AF1383" s="248" t="str">
        <f>IF(E1383="","",ROUND(K1383*S1383*U1383,1))</f>
        <v/>
      </c>
      <c r="AG1383" s="249"/>
      <c r="AH1383" s="249"/>
      <c r="AI1383" s="249"/>
      <c r="AJ1383" s="145">
        <f>Q324</f>
        <v>0</v>
      </c>
      <c r="AK1383" s="145"/>
      <c r="AL1383" s="145"/>
      <c r="AM1383" s="145"/>
    </row>
    <row r="1384" spans="1:39" s="116" customFormat="1" ht="15.75" hidden="1" customHeight="1">
      <c r="A1384" s="120" t="str">
        <f t="shared" ref="A1384" si="390">A1383</f>
        <v>×</v>
      </c>
      <c r="B1384" s="204"/>
      <c r="C1384" s="205"/>
      <c r="D1384" s="205"/>
      <c r="E1384" s="205"/>
      <c r="F1384" s="205"/>
      <c r="G1384" s="205"/>
      <c r="H1384" s="145"/>
      <c r="I1384" s="145"/>
      <c r="J1384" s="145"/>
      <c r="K1384" s="249">
        <f>AF1237*AD$1399*AJ1383</f>
        <v>0</v>
      </c>
      <c r="L1384" s="249"/>
      <c r="M1384" s="249"/>
      <c r="N1384" s="480"/>
      <c r="O1384" s="305" t="str">
        <f t="shared" ref="O1384" si="391">O1383</f>
        <v/>
      </c>
      <c r="P1384" s="249"/>
      <c r="Q1384" s="249" t="str">
        <f t="shared" ref="Q1384" si="392">Q1383</f>
        <v/>
      </c>
      <c r="R1384" s="249"/>
      <c r="S1384" s="249" t="str">
        <f t="shared" ref="S1384" si="393">S1383</f>
        <v/>
      </c>
      <c r="T1384" s="249"/>
      <c r="U1384" s="490" t="str">
        <f>IF(E1384="","",IF(E1384="粘性土",1,R$1169))</f>
        <v/>
      </c>
      <c r="V1384" s="490"/>
      <c r="W1384" s="491"/>
      <c r="X1384" s="248" t="str">
        <f>IF(E1383="","",ROUND(K1384*O1384*U1384,1))</f>
        <v/>
      </c>
      <c r="Y1384" s="249"/>
      <c r="Z1384" s="249"/>
      <c r="AA1384" s="249"/>
      <c r="AB1384" s="248" t="str">
        <f>IF(E1383="","",ROUND(K1384*Q1384*U1384,1))</f>
        <v/>
      </c>
      <c r="AC1384" s="249"/>
      <c r="AD1384" s="249"/>
      <c r="AE1384" s="249"/>
      <c r="AF1384" s="248" t="str">
        <f>IF(E1383="","",ROUND(K1384*S1384*U1384,1))</f>
        <v/>
      </c>
      <c r="AG1384" s="249"/>
      <c r="AH1384" s="249"/>
      <c r="AI1384" s="249"/>
      <c r="AJ1384" s="145"/>
      <c r="AK1384" s="145"/>
      <c r="AL1384" s="145"/>
      <c r="AM1384" s="145"/>
    </row>
    <row r="1385" spans="1:39" s="116" customFormat="1" ht="15.75" hidden="1" customHeight="1">
      <c r="A1385" s="120" t="str">
        <f>IF(液状化L2の有無="",IF(H1385="","×",""),"×")</f>
        <v>×</v>
      </c>
      <c r="B1385" s="204" t="str">
        <f>IF(D1238="","",D1238)</f>
        <v/>
      </c>
      <c r="C1385" s="205"/>
      <c r="D1385" s="205"/>
      <c r="E1385" s="205" t="str">
        <f>IF(G1238="","",G1238)</f>
        <v/>
      </c>
      <c r="F1385" s="205"/>
      <c r="G1385" s="205"/>
      <c r="H1385" s="145" t="str">
        <f>IF(J1238="","",J1238)</f>
        <v/>
      </c>
      <c r="I1385" s="145"/>
      <c r="J1385" s="145"/>
      <c r="K1385" s="249">
        <f>AF1238*AD$1399*AJ1385</f>
        <v>0</v>
      </c>
      <c r="L1385" s="249"/>
      <c r="M1385" s="249"/>
      <c r="N1385" s="480"/>
      <c r="O1385" s="305" t="str">
        <f t="shared" ref="O1385" si="394">IF(E1385="","",IF(E1385="粘性土",1,CHOOSE(AJ$1156,X$1151,X$1152,X$1153)))</f>
        <v/>
      </c>
      <c r="P1385" s="249"/>
      <c r="Q1385" s="249" t="str">
        <f t="shared" ref="Q1385" si="395">IF(E1385="","",IF(E1385="粘性土",1,CHOOSE(AJ$1156,AB$1151,AB$1152,AB$1153)))</f>
        <v/>
      </c>
      <c r="R1385" s="249"/>
      <c r="S1385" s="249" t="str">
        <f t="shared" ref="S1385" si="396">IF(E1385="","",IF(E1385="粘性土",1,CHOOSE(AJ$1156,AF$1151,AF$1152,AF$1153)))</f>
        <v/>
      </c>
      <c r="T1385" s="249"/>
      <c r="U1385" s="490" t="str">
        <f>U1384</f>
        <v/>
      </c>
      <c r="V1385" s="490"/>
      <c r="W1385" s="491"/>
      <c r="X1385" s="248" t="str">
        <f>IF(E1385="","",ROUND(K1385*O1385*U1385,1))</f>
        <v/>
      </c>
      <c r="Y1385" s="249"/>
      <c r="Z1385" s="249"/>
      <c r="AA1385" s="249"/>
      <c r="AB1385" s="248" t="str">
        <f>IF(E1385="","",ROUND(K1385*Q1385*U1385,1))</f>
        <v/>
      </c>
      <c r="AC1385" s="249"/>
      <c r="AD1385" s="249"/>
      <c r="AE1385" s="249"/>
      <c r="AF1385" s="248" t="str">
        <f>IF(E1385="","",ROUND(K1385*S1385*U1385,1))</f>
        <v/>
      </c>
      <c r="AG1385" s="249"/>
      <c r="AH1385" s="249"/>
      <c r="AI1385" s="249"/>
      <c r="AJ1385" s="145">
        <f>Q325</f>
        <v>0</v>
      </c>
      <c r="AK1385" s="145"/>
      <c r="AL1385" s="145"/>
      <c r="AM1385" s="145"/>
    </row>
    <row r="1386" spans="1:39" s="116" customFormat="1" ht="15.75" hidden="1" customHeight="1">
      <c r="A1386" s="120" t="str">
        <f t="shared" ref="A1386" si="397">A1385</f>
        <v>×</v>
      </c>
      <c r="B1386" s="204"/>
      <c r="C1386" s="205"/>
      <c r="D1386" s="205"/>
      <c r="E1386" s="205"/>
      <c r="F1386" s="205"/>
      <c r="G1386" s="205"/>
      <c r="H1386" s="145"/>
      <c r="I1386" s="145"/>
      <c r="J1386" s="145"/>
      <c r="K1386" s="249">
        <f>AF1239*AD$1399*AJ1385</f>
        <v>0</v>
      </c>
      <c r="L1386" s="249"/>
      <c r="M1386" s="249"/>
      <c r="N1386" s="480"/>
      <c r="O1386" s="305" t="str">
        <f t="shared" ref="O1386" si="398">O1385</f>
        <v/>
      </c>
      <c r="P1386" s="249"/>
      <c r="Q1386" s="249" t="str">
        <f t="shared" ref="Q1386" si="399">Q1385</f>
        <v/>
      </c>
      <c r="R1386" s="249"/>
      <c r="S1386" s="249" t="str">
        <f t="shared" ref="S1386" si="400">S1385</f>
        <v/>
      </c>
      <c r="T1386" s="249"/>
      <c r="U1386" s="490" t="str">
        <f t="shared" ref="U1386" si="401">IF(E1386="","",IF(E1386="粘性土",1,R$1169))</f>
        <v/>
      </c>
      <c r="V1386" s="490"/>
      <c r="W1386" s="491"/>
      <c r="X1386" s="248" t="str">
        <f>IF(E1385="","",ROUND(K1386*O1386*U1386,1))</f>
        <v/>
      </c>
      <c r="Y1386" s="249"/>
      <c r="Z1386" s="249"/>
      <c r="AA1386" s="249"/>
      <c r="AB1386" s="248" t="str">
        <f>IF(E1385="","",ROUND(K1386*Q1386*U1386,1))</f>
        <v/>
      </c>
      <c r="AC1386" s="249"/>
      <c r="AD1386" s="249"/>
      <c r="AE1386" s="249"/>
      <c r="AF1386" s="248" t="str">
        <f>IF(E1385="","",ROUND(K1386*S1386*U1386,1))</f>
        <v/>
      </c>
      <c r="AG1386" s="249"/>
      <c r="AH1386" s="249"/>
      <c r="AI1386" s="249"/>
      <c r="AJ1386" s="145"/>
      <c r="AK1386" s="145"/>
      <c r="AL1386" s="145"/>
      <c r="AM1386" s="145"/>
    </row>
    <row r="1387" spans="1:39" s="116" customFormat="1" ht="15.75" hidden="1" customHeight="1">
      <c r="A1387" s="120" t="str">
        <f>IF(液状化L2の有無="",IF(H1387="","×",""),"×")</f>
        <v>×</v>
      </c>
      <c r="B1387" s="204" t="str">
        <f>IF(D1240="","",D1240)</f>
        <v/>
      </c>
      <c r="C1387" s="205"/>
      <c r="D1387" s="205"/>
      <c r="E1387" s="205" t="str">
        <f>IF(G1240="","",G1240)</f>
        <v/>
      </c>
      <c r="F1387" s="205"/>
      <c r="G1387" s="205"/>
      <c r="H1387" s="145" t="str">
        <f>IF(J1240="","",J1240)</f>
        <v/>
      </c>
      <c r="I1387" s="145"/>
      <c r="J1387" s="145"/>
      <c r="K1387" s="249">
        <f>AF1240*AD$1399*AJ1387</f>
        <v>0</v>
      </c>
      <c r="L1387" s="249"/>
      <c r="M1387" s="249"/>
      <c r="N1387" s="480"/>
      <c r="O1387" s="305" t="str">
        <f t="shared" ref="O1387" si="402">IF(E1387="","",IF(E1387="粘性土",1,CHOOSE(AJ$1156,X$1151,X$1152,X$1153)))</f>
        <v/>
      </c>
      <c r="P1387" s="249"/>
      <c r="Q1387" s="249" t="str">
        <f t="shared" ref="Q1387" si="403">IF(E1387="","",IF(E1387="粘性土",1,CHOOSE(AJ$1156,AB$1151,AB$1152,AB$1153)))</f>
        <v/>
      </c>
      <c r="R1387" s="249"/>
      <c r="S1387" s="249" t="str">
        <f t="shared" ref="S1387" si="404">IF(E1387="","",IF(E1387="粘性土",1,CHOOSE(AJ$1156,AF$1151,AF$1152,AF$1153)))</f>
        <v/>
      </c>
      <c r="T1387" s="249"/>
      <c r="U1387" s="490" t="str">
        <f t="shared" ref="U1387" si="405">U1386</f>
        <v/>
      </c>
      <c r="V1387" s="490"/>
      <c r="W1387" s="491"/>
      <c r="X1387" s="248" t="str">
        <f>IF(E1387="","",ROUND(K1387*O1387*U1387,1))</f>
        <v/>
      </c>
      <c r="Y1387" s="249"/>
      <c r="Z1387" s="249"/>
      <c r="AA1387" s="249"/>
      <c r="AB1387" s="248" t="str">
        <f>IF(E1387="","",ROUND(K1387*Q1387*U1387,1))</f>
        <v/>
      </c>
      <c r="AC1387" s="249"/>
      <c r="AD1387" s="249"/>
      <c r="AE1387" s="249"/>
      <c r="AF1387" s="248" t="str">
        <f>IF(E1387="","",ROUND(K1387*S1387*U1387,1))</f>
        <v/>
      </c>
      <c r="AG1387" s="249"/>
      <c r="AH1387" s="249"/>
      <c r="AI1387" s="249"/>
      <c r="AJ1387" s="145">
        <f>Q326</f>
        <v>0</v>
      </c>
      <c r="AK1387" s="145"/>
      <c r="AL1387" s="145"/>
      <c r="AM1387" s="145"/>
    </row>
    <row r="1388" spans="1:39" s="116" customFormat="1" ht="15.75" hidden="1" customHeight="1">
      <c r="A1388" s="120" t="str">
        <f t="shared" ref="A1388" si="406">A1387</f>
        <v>×</v>
      </c>
      <c r="B1388" s="204"/>
      <c r="C1388" s="205"/>
      <c r="D1388" s="205"/>
      <c r="E1388" s="205"/>
      <c r="F1388" s="205"/>
      <c r="G1388" s="205"/>
      <c r="H1388" s="145"/>
      <c r="I1388" s="145"/>
      <c r="J1388" s="145"/>
      <c r="K1388" s="249">
        <f>AF1241*AD$1399*AJ1387</f>
        <v>0</v>
      </c>
      <c r="L1388" s="249"/>
      <c r="M1388" s="249"/>
      <c r="N1388" s="480"/>
      <c r="O1388" s="305" t="str">
        <f t="shared" ref="O1388" si="407">O1387</f>
        <v/>
      </c>
      <c r="P1388" s="249"/>
      <c r="Q1388" s="249" t="str">
        <f t="shared" ref="Q1388" si="408">Q1387</f>
        <v/>
      </c>
      <c r="R1388" s="249"/>
      <c r="S1388" s="249" t="str">
        <f t="shared" ref="S1388" si="409">S1387</f>
        <v/>
      </c>
      <c r="T1388" s="249"/>
      <c r="U1388" s="490" t="str">
        <f t="shared" ref="U1388" si="410">IF(E1388="","",IF(E1388="粘性土",1,R$1169))</f>
        <v/>
      </c>
      <c r="V1388" s="490"/>
      <c r="W1388" s="491"/>
      <c r="X1388" s="248" t="str">
        <f>IF(E1387="","",ROUND(K1388*O1388*U1388,1))</f>
        <v/>
      </c>
      <c r="Y1388" s="249"/>
      <c r="Z1388" s="249"/>
      <c r="AA1388" s="249"/>
      <c r="AB1388" s="248" t="str">
        <f>IF(E1387="","",ROUND(K1388*Q1388*U1388,1))</f>
        <v/>
      </c>
      <c r="AC1388" s="249"/>
      <c r="AD1388" s="249"/>
      <c r="AE1388" s="249"/>
      <c r="AF1388" s="248" t="str">
        <f>IF(E1387="","",ROUND(K1388*S1388*U1388,1))</f>
        <v/>
      </c>
      <c r="AG1388" s="249"/>
      <c r="AH1388" s="249"/>
      <c r="AI1388" s="249"/>
      <c r="AJ1388" s="145"/>
      <c r="AK1388" s="145"/>
      <c r="AL1388" s="145"/>
      <c r="AM1388" s="145"/>
    </row>
    <row r="1389" spans="1:39" s="116" customFormat="1" ht="15.75" hidden="1" customHeight="1">
      <c r="A1389" s="120" t="str">
        <f>IF(液状化L2の有無="",IF(H1389="","×",""),"×")</f>
        <v>×</v>
      </c>
      <c r="B1389" s="204" t="str">
        <f>IF(D1242="","",D1242)</f>
        <v/>
      </c>
      <c r="C1389" s="205"/>
      <c r="D1389" s="205"/>
      <c r="E1389" s="205" t="str">
        <f>IF(G1242="","",G1242)</f>
        <v/>
      </c>
      <c r="F1389" s="205"/>
      <c r="G1389" s="205"/>
      <c r="H1389" s="145" t="str">
        <f>IF(J1242="","",J1242)</f>
        <v/>
      </c>
      <c r="I1389" s="145"/>
      <c r="J1389" s="145"/>
      <c r="K1389" s="249">
        <f>AF1242*AD$1399*AJ1389</f>
        <v>0</v>
      </c>
      <c r="L1389" s="249"/>
      <c r="M1389" s="249"/>
      <c r="N1389" s="480"/>
      <c r="O1389" s="305" t="str">
        <f t="shared" ref="O1389" si="411">IF(E1389="","",IF(E1389="粘性土",1,CHOOSE(AJ$1156,X$1151,X$1152,X$1153)))</f>
        <v/>
      </c>
      <c r="P1389" s="249"/>
      <c r="Q1389" s="249" t="str">
        <f t="shared" ref="Q1389" si="412">IF(E1389="","",IF(E1389="粘性土",1,CHOOSE(AJ$1156,AB$1151,AB$1152,AB$1153)))</f>
        <v/>
      </c>
      <c r="R1389" s="249"/>
      <c r="S1389" s="249" t="str">
        <f t="shared" ref="S1389" si="413">IF(E1389="","",IF(E1389="粘性土",1,CHOOSE(AJ$1156,AF$1151,AF$1152,AF$1153)))</f>
        <v/>
      </c>
      <c r="T1389" s="249"/>
      <c r="U1389" s="490" t="str">
        <f t="shared" ref="U1389" si="414">U1388</f>
        <v/>
      </c>
      <c r="V1389" s="490"/>
      <c r="W1389" s="491"/>
      <c r="X1389" s="248" t="str">
        <f>IF(E1389="","",ROUND(K1389*O1389*U1389,1))</f>
        <v/>
      </c>
      <c r="Y1389" s="249"/>
      <c r="Z1389" s="249"/>
      <c r="AA1389" s="249"/>
      <c r="AB1389" s="248" t="str">
        <f>IF(E1389="","",ROUND(K1389*Q1389*U1389,1))</f>
        <v/>
      </c>
      <c r="AC1389" s="249"/>
      <c r="AD1389" s="249"/>
      <c r="AE1389" s="249"/>
      <c r="AF1389" s="248" t="str">
        <f>IF(E1389="","",ROUND(K1389*S1389*U1389,1))</f>
        <v/>
      </c>
      <c r="AG1389" s="249"/>
      <c r="AH1389" s="249"/>
      <c r="AI1389" s="249"/>
      <c r="AJ1389" s="145">
        <f>Q327</f>
        <v>0</v>
      </c>
      <c r="AK1389" s="145"/>
      <c r="AL1389" s="145"/>
      <c r="AM1389" s="145"/>
    </row>
    <row r="1390" spans="1:39" s="116" customFormat="1" ht="15.75" hidden="1" customHeight="1">
      <c r="A1390" s="120" t="str">
        <f t="shared" ref="A1390" si="415">A1389</f>
        <v>×</v>
      </c>
      <c r="B1390" s="204"/>
      <c r="C1390" s="205"/>
      <c r="D1390" s="205"/>
      <c r="E1390" s="205"/>
      <c r="F1390" s="205"/>
      <c r="G1390" s="205"/>
      <c r="H1390" s="145"/>
      <c r="I1390" s="145"/>
      <c r="J1390" s="145"/>
      <c r="K1390" s="249">
        <f>AF1243*AD$1399*AJ1389</f>
        <v>0</v>
      </c>
      <c r="L1390" s="249"/>
      <c r="M1390" s="249"/>
      <c r="N1390" s="480"/>
      <c r="O1390" s="305" t="str">
        <f t="shared" ref="O1390" si="416">O1389</f>
        <v/>
      </c>
      <c r="P1390" s="249"/>
      <c r="Q1390" s="249" t="str">
        <f t="shared" ref="Q1390" si="417">Q1389</f>
        <v/>
      </c>
      <c r="R1390" s="249"/>
      <c r="S1390" s="249" t="str">
        <f t="shared" ref="S1390" si="418">S1389</f>
        <v/>
      </c>
      <c r="T1390" s="249"/>
      <c r="U1390" s="490" t="str">
        <f t="shared" ref="U1390" si="419">IF(E1390="","",IF(E1390="粘性土",1,R$1169))</f>
        <v/>
      </c>
      <c r="V1390" s="490"/>
      <c r="W1390" s="491"/>
      <c r="X1390" s="248" t="str">
        <f>IF(E1389="","",ROUND(K1390*O1390*U1390,1))</f>
        <v/>
      </c>
      <c r="Y1390" s="249"/>
      <c r="Z1390" s="249"/>
      <c r="AA1390" s="249"/>
      <c r="AB1390" s="248" t="str">
        <f>IF(E1389="","",ROUND(K1390*Q1390*U1390,1))</f>
        <v/>
      </c>
      <c r="AC1390" s="249"/>
      <c r="AD1390" s="249"/>
      <c r="AE1390" s="249"/>
      <c r="AF1390" s="248" t="str">
        <f>IF(E1389="","",ROUND(K1390*S1390*U1390,1))</f>
        <v/>
      </c>
      <c r="AG1390" s="249"/>
      <c r="AH1390" s="249"/>
      <c r="AI1390" s="249"/>
      <c r="AJ1390" s="145"/>
      <c r="AK1390" s="145"/>
      <c r="AL1390" s="145"/>
      <c r="AM1390" s="145"/>
    </row>
    <row r="1391" spans="1:39" s="116" customFormat="1" ht="15.75" hidden="1" customHeight="1">
      <c r="A1391" s="120" t="str">
        <f>IF(液状化L2の有無="",IF(H1391="","×",""),"×")</f>
        <v>×</v>
      </c>
      <c r="B1391" s="204" t="str">
        <f>IF(D1244="","",D1244)</f>
        <v/>
      </c>
      <c r="C1391" s="205"/>
      <c r="D1391" s="205"/>
      <c r="E1391" s="205" t="str">
        <f>IF(G1244="","",G1244)</f>
        <v/>
      </c>
      <c r="F1391" s="205"/>
      <c r="G1391" s="205"/>
      <c r="H1391" s="145" t="str">
        <f>IF(J1244="","",J1244)</f>
        <v/>
      </c>
      <c r="I1391" s="145"/>
      <c r="J1391" s="145"/>
      <c r="K1391" s="249">
        <f>AF1244*AD$1399*AJ1391</f>
        <v>0</v>
      </c>
      <c r="L1391" s="249"/>
      <c r="M1391" s="249"/>
      <c r="N1391" s="480"/>
      <c r="O1391" s="305" t="str">
        <f t="shared" ref="O1391" si="420">IF(E1391="","",IF(E1391="粘性土",1,CHOOSE(AJ$1156,X$1151,X$1152,X$1153)))</f>
        <v/>
      </c>
      <c r="P1391" s="249"/>
      <c r="Q1391" s="249" t="str">
        <f t="shared" ref="Q1391" si="421">IF(E1391="","",IF(E1391="粘性土",1,CHOOSE(AJ$1156,AB$1151,AB$1152,AB$1153)))</f>
        <v/>
      </c>
      <c r="R1391" s="249"/>
      <c r="S1391" s="249" t="str">
        <f t="shared" ref="S1391" si="422">IF(E1391="","",IF(E1391="粘性土",1,CHOOSE(AJ$1156,AF$1151,AF$1152,AF$1153)))</f>
        <v/>
      </c>
      <c r="T1391" s="249"/>
      <c r="U1391" s="490" t="str">
        <f t="shared" ref="U1391" si="423">U1390</f>
        <v/>
      </c>
      <c r="V1391" s="490"/>
      <c r="W1391" s="491"/>
      <c r="X1391" s="248" t="str">
        <f>IF(E1391="","",ROUND(K1391*O1391*U1391,1))</f>
        <v/>
      </c>
      <c r="Y1391" s="249"/>
      <c r="Z1391" s="249"/>
      <c r="AA1391" s="249"/>
      <c r="AB1391" s="248" t="str">
        <f>IF(E1391="","",ROUND(K1391*Q1391*U1391,1))</f>
        <v/>
      </c>
      <c r="AC1391" s="249"/>
      <c r="AD1391" s="249"/>
      <c r="AE1391" s="249"/>
      <c r="AF1391" s="248" t="str">
        <f>IF(E1391="","",ROUND(K1391*S1391*U1391,1))</f>
        <v/>
      </c>
      <c r="AG1391" s="249"/>
      <c r="AH1391" s="249"/>
      <c r="AI1391" s="249"/>
      <c r="AJ1391" s="145">
        <f>Q328</f>
        <v>0</v>
      </c>
      <c r="AK1391" s="145"/>
      <c r="AL1391" s="145"/>
      <c r="AM1391" s="145"/>
    </row>
    <row r="1392" spans="1:39" s="116" customFormat="1" ht="15.75" hidden="1" customHeight="1">
      <c r="A1392" s="120" t="str">
        <f t="shared" ref="A1392" si="424">A1391</f>
        <v>×</v>
      </c>
      <c r="B1392" s="204"/>
      <c r="C1392" s="205"/>
      <c r="D1392" s="205"/>
      <c r="E1392" s="205"/>
      <c r="F1392" s="205"/>
      <c r="G1392" s="205"/>
      <c r="H1392" s="145"/>
      <c r="I1392" s="145"/>
      <c r="J1392" s="145"/>
      <c r="K1392" s="249">
        <f>AF1245*AD$1399*AJ1391</f>
        <v>0</v>
      </c>
      <c r="L1392" s="249"/>
      <c r="M1392" s="249"/>
      <c r="N1392" s="480"/>
      <c r="O1392" s="305" t="str">
        <f>IF(E1392="","",IF(E1392="粘性土",1,CHOOSE(AJ$1156,X$1151,X$1152,X$1153)))</f>
        <v/>
      </c>
      <c r="P1392" s="249"/>
      <c r="Q1392" s="249" t="str">
        <f>IF(E1392="","",IF(E1392="粘性土",1,CHOOSE(AJ$1156,AB$1151,AB$1152,AB$1153)))</f>
        <v/>
      </c>
      <c r="R1392" s="249"/>
      <c r="S1392" s="249" t="str">
        <f>IF(E1392="","",IF(E1392="粘性土",1,CHOOSE(AJ$1156,AF$1151,AF$1152,AF$1153)))</f>
        <v/>
      </c>
      <c r="T1392" s="249"/>
      <c r="U1392" s="490" t="str">
        <f t="shared" ref="U1392" si="425">IF(E1392="","",IF(E1392="粘性土",1,R$1169))</f>
        <v/>
      </c>
      <c r="V1392" s="490"/>
      <c r="W1392" s="491"/>
      <c r="X1392" s="248" t="str">
        <f>IF(E1391="","",ROUND(K1392*O1392*U1392,1))</f>
        <v/>
      </c>
      <c r="Y1392" s="249"/>
      <c r="Z1392" s="249"/>
      <c r="AA1392" s="249"/>
      <c r="AB1392" s="248" t="str">
        <f>IF(E1391="","",ROUND(K1392*Q1392*U1392,1))</f>
        <v/>
      </c>
      <c r="AC1392" s="249"/>
      <c r="AD1392" s="249"/>
      <c r="AE1392" s="249"/>
      <c r="AF1392" s="248" t="str">
        <f>IF(E1391="","",ROUND(K1392*S1392*U1392,1))</f>
        <v/>
      </c>
      <c r="AG1392" s="249"/>
      <c r="AH1392" s="249"/>
      <c r="AI1392" s="249"/>
      <c r="AJ1392" s="145"/>
      <c r="AK1392" s="145"/>
      <c r="AL1392" s="145"/>
      <c r="AM1392" s="145"/>
    </row>
    <row r="1393" spans="1:39" s="116" customFormat="1" ht="15.75" hidden="1" customHeight="1">
      <c r="A1393" s="120" t="str">
        <f>IF(液状化L2の有無="",IF(H1393="","×",""),"×")</f>
        <v>×</v>
      </c>
      <c r="B1393" s="204" t="str">
        <f>IF(D1246="","",D1246)</f>
        <v/>
      </c>
      <c r="C1393" s="205"/>
      <c r="D1393" s="205"/>
      <c r="E1393" s="205" t="str">
        <f>IF(G1246="","",G1246)</f>
        <v/>
      </c>
      <c r="F1393" s="205"/>
      <c r="G1393" s="205"/>
      <c r="H1393" s="145" t="str">
        <f>IF(J1246="","",J1246)</f>
        <v/>
      </c>
      <c r="I1393" s="145"/>
      <c r="J1393" s="145"/>
      <c r="K1393" s="249">
        <f>AF1246*AD$1399*AJ1393</f>
        <v>0</v>
      </c>
      <c r="L1393" s="249"/>
      <c r="M1393" s="249"/>
      <c r="N1393" s="480"/>
      <c r="O1393" s="305" t="str">
        <f>O1392</f>
        <v/>
      </c>
      <c r="P1393" s="249"/>
      <c r="Q1393" s="249" t="str">
        <f>Q1392</f>
        <v/>
      </c>
      <c r="R1393" s="249"/>
      <c r="S1393" s="249" t="str">
        <f>S1392</f>
        <v/>
      </c>
      <c r="T1393" s="249"/>
      <c r="U1393" s="490" t="str">
        <f t="shared" ref="U1393" si="426">U1392</f>
        <v/>
      </c>
      <c r="V1393" s="490"/>
      <c r="W1393" s="491"/>
      <c r="X1393" s="248" t="str">
        <f>IF(E1393="","",ROUND(K1393*O1393*U1393,1))</f>
        <v/>
      </c>
      <c r="Y1393" s="249"/>
      <c r="Z1393" s="249"/>
      <c r="AA1393" s="249"/>
      <c r="AB1393" s="248" t="str">
        <f>IF(E1393="","",ROUND(K1393*Q1393*U1393,1))</f>
        <v/>
      </c>
      <c r="AC1393" s="249"/>
      <c r="AD1393" s="249"/>
      <c r="AE1393" s="249"/>
      <c r="AF1393" s="248" t="str">
        <f>IF(E1393="","",ROUND(K1393*S1393*U1393,1))</f>
        <v/>
      </c>
      <c r="AG1393" s="249"/>
      <c r="AH1393" s="249"/>
      <c r="AI1393" s="249"/>
      <c r="AJ1393" s="145">
        <f>Q329</f>
        <v>0</v>
      </c>
      <c r="AK1393" s="145"/>
      <c r="AL1393" s="145"/>
      <c r="AM1393" s="145"/>
    </row>
    <row r="1394" spans="1:39" s="116" customFormat="1" ht="15.75" hidden="1" customHeight="1">
      <c r="A1394" s="120" t="str">
        <f t="shared" ref="A1394" si="427">A1393</f>
        <v>×</v>
      </c>
      <c r="B1394" s="204"/>
      <c r="C1394" s="205"/>
      <c r="D1394" s="205"/>
      <c r="E1394" s="205"/>
      <c r="F1394" s="205"/>
      <c r="G1394" s="205"/>
      <c r="H1394" s="145"/>
      <c r="I1394" s="145"/>
      <c r="J1394" s="145"/>
      <c r="K1394" s="249">
        <f>AF1247*AD$1399*AJ1393</f>
        <v>0</v>
      </c>
      <c r="L1394" s="249"/>
      <c r="M1394" s="249"/>
      <c r="N1394" s="480"/>
      <c r="O1394" s="305" t="str">
        <f t="shared" ref="O1394" si="428">IF(E1394="","",IF(E1394="粘性土",1,CHOOSE(AJ$1156,X$1151,X$1152,X$1153)))</f>
        <v/>
      </c>
      <c r="P1394" s="249"/>
      <c r="Q1394" s="249" t="str">
        <f t="shared" ref="Q1394" si="429">IF(E1394="","",IF(E1394="粘性土",1,CHOOSE(AJ$1156,AB$1151,AB$1152,AB$1153)))</f>
        <v/>
      </c>
      <c r="R1394" s="249"/>
      <c r="S1394" s="249" t="str">
        <f t="shared" ref="S1394" si="430">IF(E1394="","",IF(E1394="粘性土",1,CHOOSE(AJ$1156,AF$1151,AF$1152,AF$1153)))</f>
        <v/>
      </c>
      <c r="T1394" s="249"/>
      <c r="U1394" s="490" t="str">
        <f t="shared" ref="U1394" si="431">IF(E1394="","",IF(E1394="粘性土",1,R$1169))</f>
        <v/>
      </c>
      <c r="V1394" s="490"/>
      <c r="W1394" s="491"/>
      <c r="X1394" s="248" t="str">
        <f>IF(E1393="","",ROUND(K1394*O1394*U1394,1))</f>
        <v/>
      </c>
      <c r="Y1394" s="249"/>
      <c r="Z1394" s="249"/>
      <c r="AA1394" s="249"/>
      <c r="AB1394" s="248" t="str">
        <f>IF(E1393="","",ROUND(K1394*Q1394*U1394,1))</f>
        <v/>
      </c>
      <c r="AC1394" s="249"/>
      <c r="AD1394" s="249"/>
      <c r="AE1394" s="249"/>
      <c r="AF1394" s="248" t="str">
        <f>IF(E1393="","",ROUND(K1394*S1394*U1394,1))</f>
        <v/>
      </c>
      <c r="AG1394" s="249"/>
      <c r="AH1394" s="249"/>
      <c r="AI1394" s="249"/>
      <c r="AJ1394" s="145"/>
      <c r="AK1394" s="145"/>
      <c r="AL1394" s="145"/>
      <c r="AM1394" s="145"/>
    </row>
    <row r="1395" spans="1:39" s="116" customFormat="1" ht="15.75" hidden="1" customHeight="1">
      <c r="A1395" s="120" t="str">
        <f>IF(液状化L2の有無="",IF(H1395="","×",""),"×")</f>
        <v>×</v>
      </c>
      <c r="B1395" s="204" t="str">
        <f>IF(D1248="","",D1248)</f>
        <v/>
      </c>
      <c r="C1395" s="205"/>
      <c r="D1395" s="205"/>
      <c r="E1395" s="205" t="str">
        <f>IF(G1248="","",G1248)</f>
        <v/>
      </c>
      <c r="F1395" s="205"/>
      <c r="G1395" s="205"/>
      <c r="H1395" s="145" t="str">
        <f>IF(J1248="","",J1248)</f>
        <v/>
      </c>
      <c r="I1395" s="145"/>
      <c r="J1395" s="145"/>
      <c r="K1395" s="249">
        <f>AF1248*AD$1399*AJ1395</f>
        <v>0</v>
      </c>
      <c r="L1395" s="249"/>
      <c r="M1395" s="249"/>
      <c r="N1395" s="480"/>
      <c r="O1395" s="305" t="str">
        <f t="shared" ref="O1395" si="432">O1394</f>
        <v/>
      </c>
      <c r="P1395" s="249"/>
      <c r="Q1395" s="249" t="str">
        <f t="shared" ref="Q1395" si="433">Q1394</f>
        <v/>
      </c>
      <c r="R1395" s="249"/>
      <c r="S1395" s="249" t="str">
        <f t="shared" ref="S1395" si="434">S1394</f>
        <v/>
      </c>
      <c r="T1395" s="249"/>
      <c r="U1395" s="490" t="str">
        <f t="shared" ref="U1395" si="435">U1394</f>
        <v/>
      </c>
      <c r="V1395" s="490"/>
      <c r="W1395" s="491"/>
      <c r="X1395" s="248" t="str">
        <f>IF(E1395="","",ROUND(K1395*O1395*U1395,1))</f>
        <v/>
      </c>
      <c r="Y1395" s="249"/>
      <c r="Z1395" s="249"/>
      <c r="AA1395" s="249"/>
      <c r="AB1395" s="248" t="str">
        <f>IF(E1395="","",ROUND(K1395*Q1395*U1395,1))</f>
        <v/>
      </c>
      <c r="AC1395" s="249"/>
      <c r="AD1395" s="249"/>
      <c r="AE1395" s="249"/>
      <c r="AF1395" s="248" t="str">
        <f>IF(E1395="","",ROUND(K1395*S1395*U1395,1))</f>
        <v/>
      </c>
      <c r="AG1395" s="249"/>
      <c r="AH1395" s="249"/>
      <c r="AI1395" s="249"/>
      <c r="AJ1395" s="145">
        <f>Q330</f>
        <v>0</v>
      </c>
      <c r="AK1395" s="145"/>
      <c r="AL1395" s="145"/>
      <c r="AM1395" s="145"/>
    </row>
    <row r="1396" spans="1:39" s="116" customFormat="1" ht="15.75" hidden="1" customHeight="1">
      <c r="A1396" s="120" t="str">
        <f t="shared" ref="A1396" si="436">A1395</f>
        <v>×</v>
      </c>
      <c r="B1396" s="204"/>
      <c r="C1396" s="205"/>
      <c r="D1396" s="205"/>
      <c r="E1396" s="205"/>
      <c r="F1396" s="205"/>
      <c r="G1396" s="205"/>
      <c r="H1396" s="145"/>
      <c r="I1396" s="145"/>
      <c r="J1396" s="145"/>
      <c r="K1396" s="249">
        <f>AF1249*AD$1399*AJ1395</f>
        <v>0</v>
      </c>
      <c r="L1396" s="249"/>
      <c r="M1396" s="249"/>
      <c r="N1396" s="480"/>
      <c r="O1396" s="305" t="str">
        <f t="shared" ref="O1396" si="437">IF(E1396="","",IF(E1396="粘性土",1,CHOOSE(AJ$1156,X$1151,X$1152,X$1153)))</f>
        <v/>
      </c>
      <c r="P1396" s="249"/>
      <c r="Q1396" s="249" t="str">
        <f t="shared" ref="Q1396" si="438">IF(E1396="","",IF(E1396="粘性土",1,CHOOSE(AJ$1156,AB$1151,AB$1152,AB$1153)))</f>
        <v/>
      </c>
      <c r="R1396" s="249"/>
      <c r="S1396" s="249" t="str">
        <f t="shared" ref="S1396" si="439">IF(E1396="","",IF(E1396="粘性土",1,CHOOSE(AJ$1156,AF$1151,AF$1152,AF$1153)))</f>
        <v/>
      </c>
      <c r="T1396" s="249"/>
      <c r="U1396" s="490" t="str">
        <f>IF(E1396="","",IF(E1396="粘性土",1,R$1169))</f>
        <v/>
      </c>
      <c r="V1396" s="490"/>
      <c r="W1396" s="491"/>
      <c r="X1396" s="248" t="str">
        <f>IF(E1395="","",ROUND(K1396*O1396*U1396,1))</f>
        <v/>
      </c>
      <c r="Y1396" s="249"/>
      <c r="Z1396" s="249"/>
      <c r="AA1396" s="249"/>
      <c r="AB1396" s="248" t="str">
        <f>IF(E1395="","",ROUND(K1396*Q1396*U1396,1))</f>
        <v/>
      </c>
      <c r="AC1396" s="249"/>
      <c r="AD1396" s="249"/>
      <c r="AE1396" s="249"/>
      <c r="AF1396" s="248" t="str">
        <f>IF(E1395="","",ROUND(K1396*S1396*U1396,1))</f>
        <v/>
      </c>
      <c r="AG1396" s="249"/>
      <c r="AH1396" s="249"/>
      <c r="AI1396" s="249"/>
      <c r="AJ1396" s="145"/>
      <c r="AK1396" s="145"/>
      <c r="AL1396" s="145"/>
      <c r="AM1396" s="145"/>
    </row>
    <row r="1397" spans="1:39" s="116" customFormat="1" ht="15.75" hidden="1" customHeight="1">
      <c r="A1397" s="120" t="str">
        <f>IF(液状化L2の有無="",IF(H1397="","×",""),"×")</f>
        <v>×</v>
      </c>
      <c r="B1397" s="204" t="str">
        <f>IF(D1250="","",D1250)</f>
        <v/>
      </c>
      <c r="C1397" s="205"/>
      <c r="D1397" s="205"/>
      <c r="E1397" s="205" t="str">
        <f>IF(G1250="","",G1250)</f>
        <v/>
      </c>
      <c r="F1397" s="205"/>
      <c r="G1397" s="205"/>
      <c r="H1397" s="145" t="str">
        <f>IF(J1250="","",J1250)</f>
        <v/>
      </c>
      <c r="I1397" s="145"/>
      <c r="J1397" s="145"/>
      <c r="K1397" s="249">
        <f>AF1250*AD$1399*AJ1397</f>
        <v>0</v>
      </c>
      <c r="L1397" s="249"/>
      <c r="M1397" s="249"/>
      <c r="N1397" s="480"/>
      <c r="O1397" s="305" t="str">
        <f t="shared" ref="O1397" si="440">O1396</f>
        <v/>
      </c>
      <c r="P1397" s="249"/>
      <c r="Q1397" s="249" t="str">
        <f t="shared" ref="Q1397" si="441">Q1396</f>
        <v/>
      </c>
      <c r="R1397" s="249"/>
      <c r="S1397" s="249" t="str">
        <f t="shared" ref="S1397" si="442">S1396</f>
        <v/>
      </c>
      <c r="T1397" s="249"/>
      <c r="U1397" s="490" t="str">
        <f>U1396</f>
        <v/>
      </c>
      <c r="V1397" s="490"/>
      <c r="W1397" s="491"/>
      <c r="X1397" s="248" t="str">
        <f>IF(E1397="","",ROUND(K1397*O1397*U1397,1))</f>
        <v/>
      </c>
      <c r="Y1397" s="249"/>
      <c r="Z1397" s="249"/>
      <c r="AA1397" s="249"/>
      <c r="AB1397" s="248" t="str">
        <f>IF(E1397="","",ROUND(K1397*Q1397*U1397,1))</f>
        <v/>
      </c>
      <c r="AC1397" s="249"/>
      <c r="AD1397" s="249"/>
      <c r="AE1397" s="249"/>
      <c r="AF1397" s="248" t="str">
        <f>IF(E1397="","",ROUND(K1397*S1397*U1397,1))</f>
        <v/>
      </c>
      <c r="AG1397" s="249"/>
      <c r="AH1397" s="249"/>
      <c r="AI1397" s="249"/>
      <c r="AJ1397" s="145">
        <f>Q331</f>
        <v>0</v>
      </c>
      <c r="AK1397" s="145"/>
      <c r="AL1397" s="145"/>
      <c r="AM1397" s="145"/>
    </row>
    <row r="1398" spans="1:39" s="116" customFormat="1" ht="15.75" hidden="1" customHeight="1">
      <c r="A1398" s="120" t="str">
        <f t="shared" ref="A1398" si="443">A1397</f>
        <v>×</v>
      </c>
      <c r="B1398" s="207"/>
      <c r="C1398" s="208"/>
      <c r="D1398" s="208"/>
      <c r="E1398" s="208"/>
      <c r="F1398" s="208"/>
      <c r="G1398" s="208"/>
      <c r="H1398" s="150"/>
      <c r="I1398" s="150"/>
      <c r="J1398" s="150"/>
      <c r="K1398" s="251">
        <f>AF1251*AD$1399*AJ1397</f>
        <v>0</v>
      </c>
      <c r="L1398" s="251"/>
      <c r="M1398" s="251"/>
      <c r="N1398" s="481"/>
      <c r="O1398" s="373" t="str">
        <f t="shared" ref="O1398" si="444">IF(E1398="","",IF(E1398="粘性土",1,CHOOSE(AJ$1156,X$1151,X$1152,X$1153)))</f>
        <v/>
      </c>
      <c r="P1398" s="251"/>
      <c r="Q1398" s="251" t="str">
        <f t="shared" ref="Q1398" si="445">IF(E1398="","",IF(E1398="粘性土",1,CHOOSE(AJ$1156,AB$1151,AB$1152,AB$1153)))</f>
        <v/>
      </c>
      <c r="R1398" s="251"/>
      <c r="S1398" s="251" t="str">
        <f t="shared" ref="S1398" si="446">IF(E1398="","",IF(E1398="粘性土",1,CHOOSE(AJ$1156,AF$1151,AF$1152,AF$1153)))</f>
        <v/>
      </c>
      <c r="T1398" s="251"/>
      <c r="U1398" s="492" t="str">
        <f t="shared" ref="U1398" si="447">IF(E1398="","",IF(E1398="粘性土",1,R$1169))</f>
        <v/>
      </c>
      <c r="V1398" s="492"/>
      <c r="W1398" s="493"/>
      <c r="X1398" s="250" t="str">
        <f>IF(E1397="","",ROUND(K1398*O1398*U1398,1))</f>
        <v/>
      </c>
      <c r="Y1398" s="251"/>
      <c r="Z1398" s="251"/>
      <c r="AA1398" s="251"/>
      <c r="AB1398" s="250" t="str">
        <f>IF(E1397="","",ROUND(K1398*Q1398*U1398,1))</f>
        <v/>
      </c>
      <c r="AC1398" s="251"/>
      <c r="AD1398" s="251"/>
      <c r="AE1398" s="251"/>
      <c r="AF1398" s="250" t="str">
        <f>IF(E1397="","",ROUND(K1398*S1398*U1398,1))</f>
        <v/>
      </c>
      <c r="AG1398" s="251"/>
      <c r="AH1398" s="251"/>
      <c r="AI1398" s="251"/>
      <c r="AJ1398" s="150"/>
      <c r="AK1398" s="150"/>
      <c r="AL1398" s="150"/>
      <c r="AM1398" s="150"/>
    </row>
    <row r="1399" spans="1:39" s="116" customFormat="1" ht="15.75" hidden="1" customHeight="1">
      <c r="A1399" s="119" t="str">
        <f>IF(液状化L2の有無="","","×")</f>
        <v>×</v>
      </c>
      <c r="H1399" s="112"/>
      <c r="I1399" s="112"/>
      <c r="J1399" s="112"/>
      <c r="K1399" s="112"/>
      <c r="L1399" s="112"/>
      <c r="Q1399" s="115"/>
      <c r="R1399" s="115"/>
      <c r="AA1399" s="123" t="s">
        <v>127</v>
      </c>
      <c r="AB1399" s="1" t="s">
        <v>595</v>
      </c>
      <c r="AC1399" s="112" t="s">
        <v>27</v>
      </c>
      <c r="AD1399" s="212">
        <f>杭先端径</f>
        <v>1</v>
      </c>
      <c r="AE1399" s="212"/>
      <c r="AF1399" s="212"/>
      <c r="AG1399" s="7" t="s">
        <v>509</v>
      </c>
      <c r="AH1399" s="112" t="s">
        <v>158</v>
      </c>
    </row>
    <row r="1400" spans="1:39" s="116" customFormat="1" ht="15.75" customHeight="1">
      <c r="H1400" s="112"/>
      <c r="I1400" s="112"/>
      <c r="J1400" s="112"/>
      <c r="K1400" s="112"/>
      <c r="L1400" s="112"/>
      <c r="M1400" s="115"/>
      <c r="N1400" s="114"/>
      <c r="O1400" s="114"/>
      <c r="P1400" s="114"/>
      <c r="Q1400" s="115"/>
      <c r="R1400" s="115"/>
      <c r="S1400" s="115"/>
      <c r="T1400" s="115"/>
      <c r="U1400" s="115"/>
      <c r="V1400" s="115"/>
      <c r="W1400" s="115"/>
      <c r="X1400" s="115"/>
      <c r="Y1400" s="115"/>
      <c r="Z1400" s="113"/>
      <c r="AA1400" s="113"/>
      <c r="AB1400" s="113"/>
      <c r="AC1400" s="114"/>
      <c r="AD1400" s="114"/>
      <c r="AE1400" s="114"/>
      <c r="AK1400" s="115"/>
      <c r="AL1400" s="115"/>
      <c r="AM1400" s="115"/>
    </row>
    <row r="1401" spans="1:39" s="116" customFormat="1" ht="15.75" customHeight="1">
      <c r="H1401" s="112"/>
      <c r="I1401" s="112"/>
      <c r="J1401" s="112"/>
      <c r="K1401" s="112"/>
      <c r="L1401" s="112"/>
      <c r="M1401" s="115"/>
      <c r="N1401" s="114"/>
      <c r="O1401" s="114"/>
      <c r="P1401" s="114"/>
      <c r="Q1401" s="115"/>
      <c r="R1401" s="115"/>
      <c r="S1401" s="115"/>
      <c r="T1401" s="115"/>
      <c r="U1401" s="115"/>
      <c r="V1401" s="115"/>
      <c r="W1401" s="115"/>
      <c r="X1401" s="115"/>
      <c r="Y1401" s="115"/>
      <c r="Z1401" s="113"/>
      <c r="AA1401" s="113"/>
      <c r="AB1401" s="113"/>
      <c r="AC1401" s="114"/>
      <c r="AD1401" s="114"/>
      <c r="AE1401" s="114"/>
      <c r="AK1401" s="115"/>
      <c r="AL1401" s="115"/>
      <c r="AM1401" s="115"/>
    </row>
    <row r="1402" spans="1:39" s="116" customFormat="1" ht="15.75" customHeight="1">
      <c r="B1402" s="61" t="s">
        <v>608</v>
      </c>
      <c r="C1402" s="61"/>
      <c r="D1402" s="85"/>
      <c r="E1402" s="85"/>
      <c r="F1402" s="85"/>
      <c r="G1402" s="61"/>
      <c r="H1402" s="61"/>
      <c r="I1402" s="61"/>
      <c r="J1402" s="61"/>
      <c r="K1402" s="61"/>
      <c r="L1402" s="61"/>
      <c r="M1402" s="61"/>
      <c r="N1402" s="61"/>
      <c r="O1402" s="61"/>
      <c r="P1402" s="61"/>
      <c r="Q1402" s="61"/>
      <c r="R1402" s="61"/>
      <c r="S1402" s="61"/>
      <c r="T1402" s="61"/>
      <c r="U1402" s="61"/>
      <c r="V1402" s="61"/>
      <c r="W1402" s="61"/>
      <c r="X1402" s="61"/>
      <c r="Y1402" s="61"/>
      <c r="Z1402" s="61"/>
      <c r="AA1402" s="85"/>
      <c r="AB1402" s="85"/>
      <c r="AC1402" s="85"/>
      <c r="AD1402" s="85"/>
      <c r="AE1402" s="85"/>
      <c r="AF1402" s="85"/>
      <c r="AG1402" s="85"/>
      <c r="AH1402" s="85"/>
      <c r="AI1402" s="85"/>
    </row>
    <row r="1403" spans="1:39" s="116" customFormat="1" ht="15.75" customHeight="1">
      <c r="B1403" s="470" t="s">
        <v>8</v>
      </c>
      <c r="C1403" s="471"/>
      <c r="D1403" s="471"/>
      <c r="E1403" s="471" t="s">
        <v>350</v>
      </c>
      <c r="F1403" s="471"/>
      <c r="G1403" s="471"/>
      <c r="H1403" s="472" t="s">
        <v>190</v>
      </c>
      <c r="I1403" s="472"/>
      <c r="J1403" s="472"/>
      <c r="K1403" s="471" t="s">
        <v>596</v>
      </c>
      <c r="L1403" s="471"/>
      <c r="M1403" s="471"/>
      <c r="N1403" s="485"/>
      <c r="O1403" s="394" t="s">
        <v>286</v>
      </c>
      <c r="P1403" s="165"/>
      <c r="Q1403" s="165"/>
      <c r="R1403" s="165"/>
      <c r="S1403" s="165"/>
      <c r="T1403" s="165"/>
      <c r="U1403" s="165" t="s">
        <v>590</v>
      </c>
      <c r="V1403" s="165"/>
      <c r="W1403" s="254"/>
      <c r="X1403" s="224" t="s">
        <v>286</v>
      </c>
      <c r="Y1403" s="165"/>
      <c r="Z1403" s="165"/>
      <c r="AA1403" s="165"/>
      <c r="AB1403" s="165"/>
      <c r="AC1403" s="165"/>
      <c r="AD1403" s="165"/>
      <c r="AE1403" s="165"/>
      <c r="AF1403" s="165"/>
      <c r="AG1403" s="165"/>
      <c r="AH1403" s="165"/>
      <c r="AI1403" s="247"/>
    </row>
    <row r="1404" spans="1:39" s="116" customFormat="1" ht="15.75" customHeight="1">
      <c r="B1404" s="473"/>
      <c r="C1404" s="474"/>
      <c r="D1404" s="474"/>
      <c r="E1404" s="474"/>
      <c r="F1404" s="474"/>
      <c r="G1404" s="474"/>
      <c r="H1404" s="475"/>
      <c r="I1404" s="475"/>
      <c r="J1404" s="475"/>
      <c r="K1404" s="474"/>
      <c r="L1404" s="474"/>
      <c r="M1404" s="474"/>
      <c r="N1404" s="486"/>
      <c r="O1404" s="487" t="s">
        <v>579</v>
      </c>
      <c r="P1404" s="150"/>
      <c r="Q1404" s="150" t="s">
        <v>580</v>
      </c>
      <c r="R1404" s="150"/>
      <c r="S1404" s="150" t="s">
        <v>581</v>
      </c>
      <c r="T1404" s="150"/>
      <c r="U1404" s="208"/>
      <c r="V1404" s="208"/>
      <c r="W1404" s="258"/>
      <c r="X1404" s="477" t="s">
        <v>579</v>
      </c>
      <c r="Y1404" s="150"/>
      <c r="Z1404" s="150"/>
      <c r="AA1404" s="150"/>
      <c r="AB1404" s="150" t="s">
        <v>580</v>
      </c>
      <c r="AC1404" s="150"/>
      <c r="AD1404" s="150"/>
      <c r="AE1404" s="150"/>
      <c r="AF1404" s="150" t="s">
        <v>581</v>
      </c>
      <c r="AG1404" s="150"/>
      <c r="AH1404" s="150"/>
      <c r="AI1404" s="476"/>
    </row>
    <row r="1405" spans="1:39" s="116" customFormat="1" ht="15.75" customHeight="1">
      <c r="A1405" s="120" t="str">
        <f>IF(H1405="","×","")</f>
        <v/>
      </c>
      <c r="B1405" s="224">
        <f>IF(D1222="","",D1222)</f>
        <v>3</v>
      </c>
      <c r="C1405" s="165"/>
      <c r="D1405" s="165"/>
      <c r="E1405" s="165" t="str">
        <f>IF(G1222="","",G1222)</f>
        <v>粘性土</v>
      </c>
      <c r="F1405" s="165"/>
      <c r="G1405" s="165"/>
      <c r="H1405" s="149">
        <f>IF(J1222="","",J1222)</f>
        <v>3</v>
      </c>
      <c r="I1405" s="149"/>
      <c r="J1405" s="149"/>
      <c r="K1405" s="253">
        <f>AF1222*AD$1435</f>
        <v>144.69999999999999</v>
      </c>
      <c r="L1405" s="253"/>
      <c r="M1405" s="253"/>
      <c r="N1405" s="478"/>
      <c r="O1405" s="302">
        <f>IF(E1405="","",IF(E1405="粘性土",1,CHOOSE(AJ$1157,X$1151,X$1152,X$1153)))</f>
        <v>1</v>
      </c>
      <c r="P1405" s="253"/>
      <c r="Q1405" s="253">
        <f>IF(E1405="","",IF(E1405="粘性土",1,CHOOSE(AJ$1157,AB$1151,AB$1152,AB$1153)))</f>
        <v>1</v>
      </c>
      <c r="R1405" s="253"/>
      <c r="S1405" s="253">
        <f>IF(E1405="","",IF(E1405="粘性土",1,CHOOSE(AJ$1157,AF$1151,AF$1152,AF$1153)))</f>
        <v>1</v>
      </c>
      <c r="T1405" s="253"/>
      <c r="U1405" s="488">
        <f>IF(E1405="","",IF(E1405="粘性土",1,R$1173))</f>
        <v>1</v>
      </c>
      <c r="V1405" s="488"/>
      <c r="W1405" s="489"/>
      <c r="X1405" s="252">
        <f>IF(E1405="","",ROUND(K1405*O1405*U1405,1))</f>
        <v>144.69999999999999</v>
      </c>
      <c r="Y1405" s="253"/>
      <c r="Z1405" s="253"/>
      <c r="AA1405" s="253"/>
      <c r="AB1405" s="252">
        <f>IF(E1405="","",ROUND(K1405*Q1405*U1405,1))</f>
        <v>144.69999999999999</v>
      </c>
      <c r="AC1405" s="253"/>
      <c r="AD1405" s="253"/>
      <c r="AE1405" s="253"/>
      <c r="AF1405" s="252">
        <f>IF(E1405="","",ROUND(K1405*S1405*U1405,1))</f>
        <v>144.69999999999999</v>
      </c>
      <c r="AG1405" s="253"/>
      <c r="AH1405" s="253"/>
      <c r="AI1405" s="253"/>
    </row>
    <row r="1406" spans="1:39" s="116" customFormat="1" ht="15.75" customHeight="1">
      <c r="A1406" s="120" t="str">
        <f>A1405</f>
        <v/>
      </c>
      <c r="B1406" s="204"/>
      <c r="C1406" s="205"/>
      <c r="D1406" s="205"/>
      <c r="E1406" s="205"/>
      <c r="F1406" s="205"/>
      <c r="G1406" s="205"/>
      <c r="H1406" s="145"/>
      <c r="I1406" s="145"/>
      <c r="J1406" s="145"/>
      <c r="K1406" s="249">
        <f>AF1223*AD$1435</f>
        <v>180</v>
      </c>
      <c r="L1406" s="249"/>
      <c r="M1406" s="249"/>
      <c r="N1406" s="483"/>
      <c r="O1406" s="305">
        <f>O1405</f>
        <v>1</v>
      </c>
      <c r="P1406" s="249"/>
      <c r="Q1406" s="249">
        <f>Q1405</f>
        <v>1</v>
      </c>
      <c r="R1406" s="249"/>
      <c r="S1406" s="249">
        <f>S1405</f>
        <v>1</v>
      </c>
      <c r="T1406" s="249"/>
      <c r="U1406" s="490">
        <f>U1405</f>
        <v>1</v>
      </c>
      <c r="V1406" s="490"/>
      <c r="W1406" s="491"/>
      <c r="X1406" s="248">
        <f>IF(E1405="","",ROUND(K1406*O1406*U1406,1))</f>
        <v>180</v>
      </c>
      <c r="Y1406" s="249"/>
      <c r="Z1406" s="249"/>
      <c r="AA1406" s="249"/>
      <c r="AB1406" s="248">
        <f>IF(E1405="","",ROUND(K1406*Q1406*U1406,1))</f>
        <v>180</v>
      </c>
      <c r="AC1406" s="249"/>
      <c r="AD1406" s="249"/>
      <c r="AE1406" s="249"/>
      <c r="AF1406" s="248">
        <f>IF(E1405="","",ROUND(K1406*S1406*U1406,1))</f>
        <v>180</v>
      </c>
      <c r="AG1406" s="249"/>
      <c r="AH1406" s="249"/>
      <c r="AI1406" s="249"/>
    </row>
    <row r="1407" spans="1:39" s="116" customFormat="1" ht="15.75" customHeight="1">
      <c r="A1407" s="120" t="str">
        <f>IF(H1407="","×","")</f>
        <v/>
      </c>
      <c r="B1407" s="204">
        <f>IF(D1224="","",D1224)</f>
        <v>4</v>
      </c>
      <c r="C1407" s="205"/>
      <c r="D1407" s="205"/>
      <c r="E1407" s="205" t="str">
        <f>IF(G1224="","",G1224)</f>
        <v>砂質土</v>
      </c>
      <c r="F1407" s="205"/>
      <c r="G1407" s="205"/>
      <c r="H1407" s="145">
        <f>IF(J1224="","",J1224)</f>
        <v>5</v>
      </c>
      <c r="I1407" s="145"/>
      <c r="J1407" s="145"/>
      <c r="K1407" s="249">
        <f>AF1224*AD$1435</f>
        <v>668.3</v>
      </c>
      <c r="L1407" s="249"/>
      <c r="M1407" s="249"/>
      <c r="N1407" s="483"/>
      <c r="O1407" s="305">
        <f>IF(E1407="","",IF(E1407="粘性土",1,CHOOSE(AJ$1157,X$1151,X$1152,X$1153)))</f>
        <v>1</v>
      </c>
      <c r="P1407" s="249"/>
      <c r="Q1407" s="249">
        <f>IF(E1407="","",IF(E1407="粘性土",1,CHOOSE(AJ$1157,AB$1151,AB$1152,AB$1153)))</f>
        <v>0.8</v>
      </c>
      <c r="R1407" s="249"/>
      <c r="S1407" s="249">
        <f>IF(E1407="","",IF(E1407="粘性土",1,CHOOSE(AJ$1157,AF$1151,AF$1152,AF$1153)))</f>
        <v>0.7</v>
      </c>
      <c r="T1407" s="249"/>
      <c r="U1407" s="490">
        <f>IF(E1407="","",IF(E1407="粘性土",1,R$1173))</f>
        <v>0.76400000000000001</v>
      </c>
      <c r="V1407" s="490"/>
      <c r="W1407" s="491"/>
      <c r="X1407" s="248">
        <f>IF(E1407="","",ROUND(K1407*O1407*U1407,1))</f>
        <v>510.6</v>
      </c>
      <c r="Y1407" s="249"/>
      <c r="Z1407" s="249"/>
      <c r="AA1407" s="249"/>
      <c r="AB1407" s="248">
        <f>IF(E1407="","",ROUND(K1407*Q1407*U1407,1))</f>
        <v>408.5</v>
      </c>
      <c r="AC1407" s="249"/>
      <c r="AD1407" s="249"/>
      <c r="AE1407" s="249"/>
      <c r="AF1407" s="248">
        <f>IF(E1407="","",ROUND(K1407*S1407*U1407,1))</f>
        <v>357.4</v>
      </c>
      <c r="AG1407" s="249"/>
      <c r="AH1407" s="249"/>
      <c r="AI1407" s="249"/>
    </row>
    <row r="1408" spans="1:39" s="116" customFormat="1" ht="15.75" customHeight="1">
      <c r="A1408" s="120" t="str">
        <f>A1407</f>
        <v/>
      </c>
      <c r="B1408" s="204"/>
      <c r="C1408" s="205"/>
      <c r="D1408" s="205"/>
      <c r="E1408" s="205"/>
      <c r="F1408" s="205"/>
      <c r="G1408" s="205"/>
      <c r="H1408" s="145"/>
      <c r="I1408" s="145"/>
      <c r="J1408" s="145"/>
      <c r="K1408" s="249">
        <f>AF1225*AD$1435</f>
        <v>1151.9000000000001</v>
      </c>
      <c r="L1408" s="249"/>
      <c r="M1408" s="249"/>
      <c r="N1408" s="483"/>
      <c r="O1408" s="305">
        <f>O1407</f>
        <v>1</v>
      </c>
      <c r="P1408" s="249"/>
      <c r="Q1408" s="249">
        <f>Q1407</f>
        <v>0.8</v>
      </c>
      <c r="R1408" s="249"/>
      <c r="S1408" s="249">
        <f>S1407</f>
        <v>0.7</v>
      </c>
      <c r="T1408" s="249"/>
      <c r="U1408" s="490">
        <f>U1407</f>
        <v>0.76400000000000001</v>
      </c>
      <c r="V1408" s="490"/>
      <c r="W1408" s="491"/>
      <c r="X1408" s="248">
        <f>IF(E1407="","",ROUND(K1408*O1408*U1408,1))</f>
        <v>880.1</v>
      </c>
      <c r="Y1408" s="249"/>
      <c r="Z1408" s="249"/>
      <c r="AA1408" s="249"/>
      <c r="AB1408" s="248">
        <f>IF(E1407="","",ROUND(K1408*Q1408*U1408,1))</f>
        <v>704</v>
      </c>
      <c r="AC1408" s="249"/>
      <c r="AD1408" s="249"/>
      <c r="AE1408" s="249"/>
      <c r="AF1408" s="248">
        <f>IF(E1407="","",ROUND(K1408*S1408*U1408,1))</f>
        <v>616</v>
      </c>
      <c r="AG1408" s="249"/>
      <c r="AH1408" s="249"/>
      <c r="AI1408" s="249"/>
    </row>
    <row r="1409" spans="1:35" s="116" customFormat="1" ht="15.75" customHeight="1">
      <c r="A1409" s="120" t="str">
        <f>IF(H1409="","×","")</f>
        <v/>
      </c>
      <c r="B1409" s="204">
        <f>IF(D1226="","",D1226)</f>
        <v>5</v>
      </c>
      <c r="C1409" s="205"/>
      <c r="D1409" s="205"/>
      <c r="E1409" s="205" t="str">
        <f>IF(G1226="","",G1226)</f>
        <v>粘性土</v>
      </c>
      <c r="F1409" s="205"/>
      <c r="G1409" s="205"/>
      <c r="H1409" s="145">
        <f>IF(J1226="","",J1226)</f>
        <v>8</v>
      </c>
      <c r="I1409" s="145"/>
      <c r="J1409" s="145"/>
      <c r="K1409" s="249">
        <f>AF1226*AD$1435</f>
        <v>562.5</v>
      </c>
      <c r="L1409" s="249"/>
      <c r="M1409" s="249"/>
      <c r="N1409" s="483"/>
      <c r="O1409" s="305">
        <f>IF(E1409="","",IF(E1409="粘性土",1,CHOOSE(AJ$1157,X$1151,X$1152,X$1153)))</f>
        <v>1</v>
      </c>
      <c r="P1409" s="249"/>
      <c r="Q1409" s="249">
        <f>IF(E1409="","",IF(E1409="粘性土",1,CHOOSE(AJ$1157,AB$1151,AB$1152,AB$1153)))</f>
        <v>1</v>
      </c>
      <c r="R1409" s="249"/>
      <c r="S1409" s="249">
        <f>IF(E1409="","",IF(E1409="粘性土",1,CHOOSE(AJ$1157,AF$1151,AF$1152,AF$1153)))</f>
        <v>1</v>
      </c>
      <c r="T1409" s="249"/>
      <c r="U1409" s="490">
        <f>IF(E1409="","",IF(E1409="粘性土",1,R$1173))</f>
        <v>1</v>
      </c>
      <c r="V1409" s="490"/>
      <c r="W1409" s="491"/>
      <c r="X1409" s="248">
        <f>IF(E1409="","",ROUND(K1409*O1409*U1409,1))</f>
        <v>562.5</v>
      </c>
      <c r="Y1409" s="249"/>
      <c r="Z1409" s="249"/>
      <c r="AA1409" s="249"/>
      <c r="AB1409" s="248">
        <f>IF(E1409="","",ROUND(K1409*Q1409*U1409,1))</f>
        <v>562.5</v>
      </c>
      <c r="AC1409" s="249"/>
      <c r="AD1409" s="249"/>
      <c r="AE1409" s="249"/>
      <c r="AF1409" s="248">
        <f>IF(E1409="","",ROUND(K1409*S1409*U1409,1))</f>
        <v>562.5</v>
      </c>
      <c r="AG1409" s="249"/>
      <c r="AH1409" s="249"/>
      <c r="AI1409" s="249"/>
    </row>
    <row r="1410" spans="1:35" s="116" customFormat="1" ht="15.75" customHeight="1">
      <c r="A1410" s="120" t="str">
        <f>A1409</f>
        <v/>
      </c>
      <c r="B1410" s="204"/>
      <c r="C1410" s="205"/>
      <c r="D1410" s="205"/>
      <c r="E1410" s="205"/>
      <c r="F1410" s="205"/>
      <c r="G1410" s="205"/>
      <c r="H1410" s="145"/>
      <c r="I1410" s="145"/>
      <c r="J1410" s="145"/>
      <c r="K1410" s="249">
        <f>AF1227*AD$1435</f>
        <v>562.5</v>
      </c>
      <c r="L1410" s="249"/>
      <c r="M1410" s="249"/>
      <c r="N1410" s="483"/>
      <c r="O1410" s="305">
        <f>O1409</f>
        <v>1</v>
      </c>
      <c r="P1410" s="249"/>
      <c r="Q1410" s="249">
        <f>Q1409</f>
        <v>1</v>
      </c>
      <c r="R1410" s="249"/>
      <c r="S1410" s="249">
        <f>S1409</f>
        <v>1</v>
      </c>
      <c r="T1410" s="249"/>
      <c r="U1410" s="490">
        <f>U1409</f>
        <v>1</v>
      </c>
      <c r="V1410" s="490"/>
      <c r="W1410" s="491"/>
      <c r="X1410" s="248">
        <f>IF(E1409="","",ROUND(K1410*O1410*U1410,1))</f>
        <v>562.5</v>
      </c>
      <c r="Y1410" s="249"/>
      <c r="Z1410" s="249"/>
      <c r="AA1410" s="249"/>
      <c r="AB1410" s="248">
        <f>IF(E1409="","",ROUND(K1410*Q1410*U1410,1))</f>
        <v>562.5</v>
      </c>
      <c r="AC1410" s="249"/>
      <c r="AD1410" s="249"/>
      <c r="AE1410" s="249"/>
      <c r="AF1410" s="248">
        <f>IF(E1409="","",ROUND(K1410*S1410*U1410,1))</f>
        <v>562.5</v>
      </c>
      <c r="AG1410" s="249"/>
      <c r="AH1410" s="249"/>
      <c r="AI1410" s="249"/>
    </row>
    <row r="1411" spans="1:35" s="116" customFormat="1" ht="15.75" customHeight="1">
      <c r="A1411" s="120" t="str">
        <f>IF(H1411="","×","")</f>
        <v/>
      </c>
      <c r="B1411" s="204">
        <f>IF(D1228="","",D1228)</f>
        <v>6</v>
      </c>
      <c r="C1411" s="205"/>
      <c r="D1411" s="205"/>
      <c r="E1411" s="205" t="str">
        <f>IF(G1228="","",G1228)</f>
        <v>粘性土</v>
      </c>
      <c r="F1411" s="205"/>
      <c r="G1411" s="205"/>
      <c r="H1411" s="145">
        <f>IF(J1228="","",J1228)</f>
        <v>4.5</v>
      </c>
      <c r="I1411" s="145"/>
      <c r="J1411" s="145"/>
      <c r="K1411" s="249">
        <f>AF1228*AD$1435</f>
        <v>1125</v>
      </c>
      <c r="L1411" s="249"/>
      <c r="M1411" s="249"/>
      <c r="N1411" s="483"/>
      <c r="O1411" s="305">
        <f>IF(E1411="","",IF(E1411="粘性土",1,CHOOSE(AJ$1157,X$1151,X$1152,X$1153)))</f>
        <v>1</v>
      </c>
      <c r="P1411" s="249"/>
      <c r="Q1411" s="249">
        <f>IF(E1411="","",IF(E1411="粘性土",1,CHOOSE(AJ$1157,AB$1151,AB$1152,AB$1153)))</f>
        <v>1</v>
      </c>
      <c r="R1411" s="249"/>
      <c r="S1411" s="249">
        <f>IF(E1411="","",IF(E1411="粘性土",1,CHOOSE(AJ$1157,AF$1151,AF$1152,AF$1153)))</f>
        <v>1</v>
      </c>
      <c r="T1411" s="249"/>
      <c r="U1411" s="490">
        <f>IF(E1411="","",IF(E1411="粘性土",1,R$1173))</f>
        <v>1</v>
      </c>
      <c r="V1411" s="490"/>
      <c r="W1411" s="491"/>
      <c r="X1411" s="248">
        <f>IF(E1411="","",ROUND(K1411*O1411*U1411,1))</f>
        <v>1125</v>
      </c>
      <c r="Y1411" s="249"/>
      <c r="Z1411" s="249"/>
      <c r="AA1411" s="249"/>
      <c r="AB1411" s="248">
        <f>IF(E1411="","",ROUND(K1411*Q1411*U1411,1))</f>
        <v>1125</v>
      </c>
      <c r="AC1411" s="249"/>
      <c r="AD1411" s="249"/>
      <c r="AE1411" s="249"/>
      <c r="AF1411" s="248">
        <f>IF(E1411="","",ROUND(K1411*S1411*U1411,1))</f>
        <v>1125</v>
      </c>
      <c r="AG1411" s="249"/>
      <c r="AH1411" s="249"/>
      <c r="AI1411" s="249"/>
    </row>
    <row r="1412" spans="1:35" s="116" customFormat="1" ht="15.75" customHeight="1">
      <c r="A1412" s="120" t="str">
        <f>A1411</f>
        <v/>
      </c>
      <c r="B1412" s="204"/>
      <c r="C1412" s="205"/>
      <c r="D1412" s="205"/>
      <c r="E1412" s="205"/>
      <c r="F1412" s="205"/>
      <c r="G1412" s="205"/>
      <c r="H1412" s="145"/>
      <c r="I1412" s="145"/>
      <c r="J1412" s="145"/>
      <c r="K1412" s="249">
        <f>AF1229*AD$1435</f>
        <v>1125</v>
      </c>
      <c r="L1412" s="249"/>
      <c r="M1412" s="249"/>
      <c r="N1412" s="483"/>
      <c r="O1412" s="305">
        <f>O1411</f>
        <v>1</v>
      </c>
      <c r="P1412" s="249"/>
      <c r="Q1412" s="249">
        <f>Q1411</f>
        <v>1</v>
      </c>
      <c r="R1412" s="249"/>
      <c r="S1412" s="249">
        <f>S1411</f>
        <v>1</v>
      </c>
      <c r="T1412" s="249"/>
      <c r="U1412" s="490">
        <f>U1411</f>
        <v>1</v>
      </c>
      <c r="V1412" s="490"/>
      <c r="W1412" s="491"/>
      <c r="X1412" s="248">
        <f>IF(E1411="","",ROUND(K1412*O1412*U1412,1))</f>
        <v>1125</v>
      </c>
      <c r="Y1412" s="249"/>
      <c r="Z1412" s="249"/>
      <c r="AA1412" s="249"/>
      <c r="AB1412" s="248">
        <f>IF(E1411="","",ROUND(K1412*Q1412*U1412,1))</f>
        <v>1125</v>
      </c>
      <c r="AC1412" s="249"/>
      <c r="AD1412" s="249"/>
      <c r="AE1412" s="249"/>
      <c r="AF1412" s="248">
        <f>IF(E1411="","",ROUND(K1412*S1412*U1412,1))</f>
        <v>1125</v>
      </c>
      <c r="AG1412" s="249"/>
      <c r="AH1412" s="249"/>
      <c r="AI1412" s="249"/>
    </row>
    <row r="1413" spans="1:35" s="116" customFormat="1" ht="15.75" customHeight="1">
      <c r="A1413" s="120" t="str">
        <f>IF(H1413="","×","")</f>
        <v/>
      </c>
      <c r="B1413" s="204">
        <f>IF(D1230="","",D1230)</f>
        <v>7</v>
      </c>
      <c r="C1413" s="205"/>
      <c r="D1413" s="205"/>
      <c r="E1413" s="205" t="str">
        <f>IF(G1230="","",G1230)</f>
        <v>砂礫</v>
      </c>
      <c r="F1413" s="205"/>
      <c r="G1413" s="205"/>
      <c r="H1413" s="145">
        <f>IF(J1230="","",J1230)</f>
        <v>0.5</v>
      </c>
      <c r="I1413" s="145"/>
      <c r="J1413" s="145"/>
      <c r="K1413" s="249">
        <f>AF1230*AD$1435</f>
        <v>2359.9</v>
      </c>
      <c r="L1413" s="249"/>
      <c r="M1413" s="249"/>
      <c r="N1413" s="483"/>
      <c r="O1413" s="305">
        <f>IF(E1413="","",IF(E1413="粘性土",1,CHOOSE(AJ$1157,X$1151,X$1152,X$1153)))</f>
        <v>1</v>
      </c>
      <c r="P1413" s="249"/>
      <c r="Q1413" s="249">
        <f>IF(E1413="","",IF(E1413="粘性土",1,CHOOSE(AJ$1157,AB$1151,AB$1152,AB$1153)))</f>
        <v>0.8</v>
      </c>
      <c r="R1413" s="249"/>
      <c r="S1413" s="249">
        <f>IF(E1413="","",IF(E1413="粘性土",1,CHOOSE(AJ$1157,AF$1151,AF$1152,AF$1153)))</f>
        <v>0.7</v>
      </c>
      <c r="T1413" s="249"/>
      <c r="U1413" s="490">
        <f>IF(E1413="","",IF(E1413="粘性土",1,R$1173))</f>
        <v>0.76400000000000001</v>
      </c>
      <c r="V1413" s="490"/>
      <c r="W1413" s="491"/>
      <c r="X1413" s="248">
        <f>IF(E1413="","",ROUND(K1413*O1413*U1413,1))</f>
        <v>1803</v>
      </c>
      <c r="Y1413" s="249"/>
      <c r="Z1413" s="249"/>
      <c r="AA1413" s="249"/>
      <c r="AB1413" s="248">
        <f>IF(E1413="","",ROUND(K1413*Q1413*U1413,1))</f>
        <v>1442.4</v>
      </c>
      <c r="AC1413" s="249"/>
      <c r="AD1413" s="249"/>
      <c r="AE1413" s="249"/>
      <c r="AF1413" s="248">
        <f>IF(E1413="","",ROUND(K1413*S1413*U1413,1))</f>
        <v>1262.0999999999999</v>
      </c>
      <c r="AG1413" s="249"/>
      <c r="AH1413" s="249"/>
      <c r="AI1413" s="249"/>
    </row>
    <row r="1414" spans="1:35" s="116" customFormat="1" ht="15.75" customHeight="1">
      <c r="A1414" s="120" t="str">
        <f>A1413</f>
        <v/>
      </c>
      <c r="B1414" s="204"/>
      <c r="C1414" s="205"/>
      <c r="D1414" s="205"/>
      <c r="E1414" s="205"/>
      <c r="F1414" s="205"/>
      <c r="G1414" s="205"/>
      <c r="H1414" s="145"/>
      <c r="I1414" s="145"/>
      <c r="J1414" s="145"/>
      <c r="K1414" s="249">
        <f>AF1231*AD$1435</f>
        <v>2420.5</v>
      </c>
      <c r="L1414" s="249"/>
      <c r="M1414" s="249"/>
      <c r="N1414" s="483"/>
      <c r="O1414" s="305">
        <f>O1413</f>
        <v>1</v>
      </c>
      <c r="P1414" s="249"/>
      <c r="Q1414" s="249">
        <f>Q1413</f>
        <v>0.8</v>
      </c>
      <c r="R1414" s="249"/>
      <c r="S1414" s="249">
        <f>S1413</f>
        <v>0.7</v>
      </c>
      <c r="T1414" s="249"/>
      <c r="U1414" s="490">
        <f>U1413</f>
        <v>0.76400000000000001</v>
      </c>
      <c r="V1414" s="490"/>
      <c r="W1414" s="491"/>
      <c r="X1414" s="248">
        <f>IF(E1413="","",ROUND(K1414*O1414*U1414,1))</f>
        <v>1849.3</v>
      </c>
      <c r="Y1414" s="249"/>
      <c r="Z1414" s="249"/>
      <c r="AA1414" s="249"/>
      <c r="AB1414" s="248">
        <f>IF(E1413="","",ROUND(K1414*Q1414*U1414,1))</f>
        <v>1479.4</v>
      </c>
      <c r="AC1414" s="249"/>
      <c r="AD1414" s="249"/>
      <c r="AE1414" s="249"/>
      <c r="AF1414" s="248">
        <f>IF(E1413="","",ROUND(K1414*S1414*U1414,1))</f>
        <v>1294.5</v>
      </c>
      <c r="AG1414" s="249"/>
      <c r="AH1414" s="249"/>
      <c r="AI1414" s="249"/>
    </row>
    <row r="1415" spans="1:35" s="116" customFormat="1" ht="15.75" hidden="1" customHeight="1">
      <c r="A1415" s="120" t="str">
        <f>IF(H1415="","×","")</f>
        <v>×</v>
      </c>
      <c r="B1415" s="204" t="str">
        <f>IF(D1232="","",D1232)</f>
        <v/>
      </c>
      <c r="C1415" s="205"/>
      <c r="D1415" s="205"/>
      <c r="E1415" s="205" t="str">
        <f>IF(G1232="","",G1232)</f>
        <v/>
      </c>
      <c r="F1415" s="205"/>
      <c r="G1415" s="205"/>
      <c r="H1415" s="145" t="str">
        <f>IF(J1232="","",J1232)</f>
        <v/>
      </c>
      <c r="I1415" s="145"/>
      <c r="J1415" s="145"/>
      <c r="K1415" s="249">
        <f>AF1232*AD$1435</f>
        <v>599.1</v>
      </c>
      <c r="L1415" s="249"/>
      <c r="M1415" s="249"/>
      <c r="N1415" s="483"/>
      <c r="O1415" s="305" t="str">
        <f>IF(E1415="","",IF(E1415="粘性土",1,CHOOSE(AJ$1157,X$1151,X$1152,X$1153)))</f>
        <v/>
      </c>
      <c r="P1415" s="249"/>
      <c r="Q1415" s="249" t="str">
        <f>IF(E1415="","",IF(E1415="粘性土",1,CHOOSE(AJ$1157,AB$1151,AB$1152,AB$1153)))</f>
        <v/>
      </c>
      <c r="R1415" s="249"/>
      <c r="S1415" s="249" t="str">
        <f>IF(E1415="","",IF(E1415="粘性土",1,CHOOSE(AJ$1157,AF$1151,AF$1152,AF$1153)))</f>
        <v/>
      </c>
      <c r="T1415" s="249"/>
      <c r="U1415" s="490" t="str">
        <f>IF(E1415="","",IF(E1415="粘性土",1,R$1173))</f>
        <v/>
      </c>
      <c r="V1415" s="490"/>
      <c r="W1415" s="491"/>
      <c r="X1415" s="248" t="str">
        <f>IF(E1415="","",ROUND(K1415*O1415*U1415,1))</f>
        <v/>
      </c>
      <c r="Y1415" s="249"/>
      <c r="Z1415" s="249"/>
      <c r="AA1415" s="249"/>
      <c r="AB1415" s="248" t="str">
        <f>IF(E1415="","",ROUND(K1415*Q1415*U1415,1))</f>
        <v/>
      </c>
      <c r="AC1415" s="249"/>
      <c r="AD1415" s="249"/>
      <c r="AE1415" s="249"/>
      <c r="AF1415" s="248" t="str">
        <f>IF(E1415="","",ROUND(K1415*S1415*U1415,1))</f>
        <v/>
      </c>
      <c r="AG1415" s="249"/>
      <c r="AH1415" s="249"/>
      <c r="AI1415" s="249"/>
    </row>
    <row r="1416" spans="1:35" s="116" customFormat="1" ht="15.75" hidden="1" customHeight="1">
      <c r="A1416" s="120" t="str">
        <f>A1415</f>
        <v>×</v>
      </c>
      <c r="B1416" s="204"/>
      <c r="C1416" s="205"/>
      <c r="D1416" s="205"/>
      <c r="E1416" s="205"/>
      <c r="F1416" s="205"/>
      <c r="G1416" s="205"/>
      <c r="H1416" s="145"/>
      <c r="I1416" s="145"/>
      <c r="J1416" s="145"/>
      <c r="K1416" s="249">
        <f>AF1233*AD$1435</f>
        <v>599.1</v>
      </c>
      <c r="L1416" s="249"/>
      <c r="M1416" s="249"/>
      <c r="N1416" s="483"/>
      <c r="O1416" s="305" t="str">
        <f>O1415</f>
        <v/>
      </c>
      <c r="P1416" s="249"/>
      <c r="Q1416" s="249" t="str">
        <f>Q1415</f>
        <v/>
      </c>
      <c r="R1416" s="249"/>
      <c r="S1416" s="249" t="str">
        <f>S1415</f>
        <v/>
      </c>
      <c r="T1416" s="249"/>
      <c r="U1416" s="490" t="str">
        <f>U1415</f>
        <v/>
      </c>
      <c r="V1416" s="490"/>
      <c r="W1416" s="491"/>
      <c r="X1416" s="248" t="str">
        <f>IF(E1415="","",ROUND(K1416*O1416*U1416,1))</f>
        <v/>
      </c>
      <c r="Y1416" s="249"/>
      <c r="Z1416" s="249"/>
      <c r="AA1416" s="249"/>
      <c r="AB1416" s="248" t="str">
        <f>IF(E1415="","",ROUND(K1416*Q1416*U1416,1))</f>
        <v/>
      </c>
      <c r="AC1416" s="249"/>
      <c r="AD1416" s="249"/>
      <c r="AE1416" s="249"/>
      <c r="AF1416" s="248" t="str">
        <f>IF(E1415="","",ROUND(K1416*S1416*U1416,1))</f>
        <v/>
      </c>
      <c r="AG1416" s="249"/>
      <c r="AH1416" s="249"/>
      <c r="AI1416" s="249"/>
    </row>
    <row r="1417" spans="1:35" s="116" customFormat="1" ht="15.75" hidden="1" customHeight="1">
      <c r="A1417" s="120" t="str">
        <f>IF(H1417="","×","")</f>
        <v>×</v>
      </c>
      <c r="B1417" s="204" t="str">
        <f>IF(D1234="","",D1234)</f>
        <v/>
      </c>
      <c r="C1417" s="205"/>
      <c r="D1417" s="205"/>
      <c r="E1417" s="205" t="str">
        <f>IF(G1234="","",G1234)</f>
        <v/>
      </c>
      <c r="F1417" s="205"/>
      <c r="G1417" s="205"/>
      <c r="H1417" s="145" t="str">
        <f>IF(J1234="","",J1234)</f>
        <v/>
      </c>
      <c r="I1417" s="145"/>
      <c r="J1417" s="145"/>
      <c r="K1417" s="249">
        <f>AF1234*AD$1435</f>
        <v>599.1</v>
      </c>
      <c r="L1417" s="249"/>
      <c r="M1417" s="249"/>
      <c r="N1417" s="483"/>
      <c r="O1417" s="305" t="str">
        <f>IF(E1417="","",IF(E1417="粘性土",1,CHOOSE(AJ$1157,X$1151,X$1152,X$1153)))</f>
        <v/>
      </c>
      <c r="P1417" s="249"/>
      <c r="Q1417" s="249" t="str">
        <f>IF(E1417="","",IF(E1417="粘性土",1,CHOOSE(AJ$1157,AB$1151,AB$1152,AB$1153)))</f>
        <v/>
      </c>
      <c r="R1417" s="249"/>
      <c r="S1417" s="249" t="str">
        <f>IF(E1417="","",IF(E1417="粘性土",1,CHOOSE(AJ$1157,AF$1151,AF$1152,AF$1153)))</f>
        <v/>
      </c>
      <c r="T1417" s="249"/>
      <c r="U1417" s="490" t="str">
        <f>IF(E1417="","",IF(E1417="粘性土",1,R$1173))</f>
        <v/>
      </c>
      <c r="V1417" s="490"/>
      <c r="W1417" s="491"/>
      <c r="X1417" s="248" t="str">
        <f>IF(E1417="","",ROUND(K1417*O1417*U1417,1))</f>
        <v/>
      </c>
      <c r="Y1417" s="249"/>
      <c r="Z1417" s="249"/>
      <c r="AA1417" s="249"/>
      <c r="AB1417" s="248" t="str">
        <f>IF(E1417="","",ROUND(K1417*Q1417*U1417,1))</f>
        <v/>
      </c>
      <c r="AC1417" s="249"/>
      <c r="AD1417" s="249"/>
      <c r="AE1417" s="249"/>
      <c r="AF1417" s="248" t="str">
        <f>IF(E1417="","",ROUND(K1417*S1417*U1417,1))</f>
        <v/>
      </c>
      <c r="AG1417" s="249"/>
      <c r="AH1417" s="249"/>
      <c r="AI1417" s="249"/>
    </row>
    <row r="1418" spans="1:35" s="116" customFormat="1" ht="15.75" hidden="1" customHeight="1">
      <c r="A1418" s="120" t="str">
        <f>A1417</f>
        <v>×</v>
      </c>
      <c r="B1418" s="204"/>
      <c r="C1418" s="205"/>
      <c r="D1418" s="205"/>
      <c r="E1418" s="205"/>
      <c r="F1418" s="205"/>
      <c r="G1418" s="205"/>
      <c r="H1418" s="145"/>
      <c r="I1418" s="145"/>
      <c r="J1418" s="145"/>
      <c r="K1418" s="249">
        <f>AF1235*AD$1435</f>
        <v>599.1</v>
      </c>
      <c r="L1418" s="249"/>
      <c r="M1418" s="249"/>
      <c r="N1418" s="483"/>
      <c r="O1418" s="305" t="str">
        <f>O1417</f>
        <v/>
      </c>
      <c r="P1418" s="249"/>
      <c r="Q1418" s="249" t="str">
        <f>Q1417</f>
        <v/>
      </c>
      <c r="R1418" s="249"/>
      <c r="S1418" s="249" t="str">
        <f>S1417</f>
        <v/>
      </c>
      <c r="T1418" s="249"/>
      <c r="U1418" s="490" t="str">
        <f>U1417</f>
        <v/>
      </c>
      <c r="V1418" s="490"/>
      <c r="W1418" s="491"/>
      <c r="X1418" s="248" t="str">
        <f>IF(E1417="","",ROUND(K1418*O1418*U1418,1))</f>
        <v/>
      </c>
      <c r="Y1418" s="249"/>
      <c r="Z1418" s="249"/>
      <c r="AA1418" s="249"/>
      <c r="AB1418" s="248" t="str">
        <f>IF(E1417="","",ROUND(K1418*Q1418*U1418,1))</f>
        <v/>
      </c>
      <c r="AC1418" s="249"/>
      <c r="AD1418" s="249"/>
      <c r="AE1418" s="249"/>
      <c r="AF1418" s="248" t="str">
        <f>IF(E1417="","",ROUND(K1418*S1418*U1418,1))</f>
        <v/>
      </c>
      <c r="AG1418" s="249"/>
      <c r="AH1418" s="249"/>
      <c r="AI1418" s="249"/>
    </row>
    <row r="1419" spans="1:35" s="116" customFormat="1" ht="15.75" hidden="1" customHeight="1">
      <c r="A1419" s="120" t="str">
        <f>IF(H1419="","×","")</f>
        <v>×</v>
      </c>
      <c r="B1419" s="204" t="str">
        <f>IF(D1236="","",D1236)</f>
        <v/>
      </c>
      <c r="C1419" s="205"/>
      <c r="D1419" s="205"/>
      <c r="E1419" s="205" t="str">
        <f>IF(G1236="","",G1236)</f>
        <v/>
      </c>
      <c r="F1419" s="205"/>
      <c r="G1419" s="205"/>
      <c r="H1419" s="145" t="str">
        <f>IF(J1236="","",J1236)</f>
        <v/>
      </c>
      <c r="I1419" s="145"/>
      <c r="J1419" s="145"/>
      <c r="K1419" s="249">
        <f>AF1236*AD$1435</f>
        <v>599.1</v>
      </c>
      <c r="L1419" s="249"/>
      <c r="M1419" s="249"/>
      <c r="N1419" s="483"/>
      <c r="O1419" s="305" t="str">
        <f>IF(E1419="","",IF(E1419="粘性土",1,CHOOSE(AJ$1157,X$1151,X$1152,X$1153)))</f>
        <v/>
      </c>
      <c r="P1419" s="249"/>
      <c r="Q1419" s="249" t="str">
        <f>IF(E1419="","",IF(E1419="粘性土",1,CHOOSE(AJ$1157,AB$1151,AB$1152,AB$1153)))</f>
        <v/>
      </c>
      <c r="R1419" s="249"/>
      <c r="S1419" s="249" t="str">
        <f>IF(E1419="","",IF(E1419="粘性土",1,CHOOSE(AJ$1157,AF$1151,AF$1152,AF$1153)))</f>
        <v/>
      </c>
      <c r="T1419" s="249"/>
      <c r="U1419" s="490" t="str">
        <f>IF(E1419="","",IF(E1419="粘性土",1,R$1173))</f>
        <v/>
      </c>
      <c r="V1419" s="490"/>
      <c r="W1419" s="491"/>
      <c r="X1419" s="248" t="str">
        <f>IF(E1419="","",ROUND(K1419*O1419*U1419,1))</f>
        <v/>
      </c>
      <c r="Y1419" s="249"/>
      <c r="Z1419" s="249"/>
      <c r="AA1419" s="249"/>
      <c r="AB1419" s="248" t="str">
        <f>IF(E1419="","",ROUND(K1419*Q1419*U1419,1))</f>
        <v/>
      </c>
      <c r="AC1419" s="249"/>
      <c r="AD1419" s="249"/>
      <c r="AE1419" s="249"/>
      <c r="AF1419" s="248" t="str">
        <f>IF(E1419="","",ROUND(K1419*S1419*U1419,1))</f>
        <v/>
      </c>
      <c r="AG1419" s="249"/>
      <c r="AH1419" s="249"/>
      <c r="AI1419" s="249"/>
    </row>
    <row r="1420" spans="1:35" s="116" customFormat="1" ht="15.75" hidden="1" customHeight="1">
      <c r="A1420" s="120" t="str">
        <f>A1419</f>
        <v>×</v>
      </c>
      <c r="B1420" s="204"/>
      <c r="C1420" s="205"/>
      <c r="D1420" s="205"/>
      <c r="E1420" s="205"/>
      <c r="F1420" s="205"/>
      <c r="G1420" s="205"/>
      <c r="H1420" s="145"/>
      <c r="I1420" s="145"/>
      <c r="J1420" s="145"/>
      <c r="K1420" s="249">
        <f>AF1237*AD$1435</f>
        <v>599.1</v>
      </c>
      <c r="L1420" s="249"/>
      <c r="M1420" s="249"/>
      <c r="N1420" s="483"/>
      <c r="O1420" s="305" t="str">
        <f>O1419</f>
        <v/>
      </c>
      <c r="P1420" s="249"/>
      <c r="Q1420" s="249" t="str">
        <f>Q1419</f>
        <v/>
      </c>
      <c r="R1420" s="249"/>
      <c r="S1420" s="249" t="str">
        <f>S1419</f>
        <v/>
      </c>
      <c r="T1420" s="249"/>
      <c r="U1420" s="490" t="str">
        <f>U1419</f>
        <v/>
      </c>
      <c r="V1420" s="490"/>
      <c r="W1420" s="491"/>
      <c r="X1420" s="248" t="str">
        <f>IF(E1419="","",ROUND(K1420*O1420*U1420,1))</f>
        <v/>
      </c>
      <c r="Y1420" s="249"/>
      <c r="Z1420" s="249"/>
      <c r="AA1420" s="249"/>
      <c r="AB1420" s="248" t="str">
        <f>IF(E1419="","",ROUND(K1420*Q1420*U1420,1))</f>
        <v/>
      </c>
      <c r="AC1420" s="249"/>
      <c r="AD1420" s="249"/>
      <c r="AE1420" s="249"/>
      <c r="AF1420" s="248" t="str">
        <f>IF(E1419="","",ROUND(K1420*S1420*U1420,1))</f>
        <v/>
      </c>
      <c r="AG1420" s="249"/>
      <c r="AH1420" s="249"/>
      <c r="AI1420" s="249"/>
    </row>
    <row r="1421" spans="1:35" s="116" customFormat="1" ht="15.75" hidden="1" customHeight="1">
      <c r="A1421" s="120" t="str">
        <f>IF(H1421="","×","")</f>
        <v>×</v>
      </c>
      <c r="B1421" s="204" t="str">
        <f>IF(D1238="","",D1238)</f>
        <v/>
      </c>
      <c r="C1421" s="205"/>
      <c r="D1421" s="205"/>
      <c r="E1421" s="205" t="str">
        <f>IF(G1238="","",G1238)</f>
        <v/>
      </c>
      <c r="F1421" s="205"/>
      <c r="G1421" s="205"/>
      <c r="H1421" s="145" t="str">
        <f>IF(J1238="","",J1238)</f>
        <v/>
      </c>
      <c r="I1421" s="145"/>
      <c r="J1421" s="145"/>
      <c r="K1421" s="249">
        <f>AF1238*AD$1435</f>
        <v>599.1</v>
      </c>
      <c r="L1421" s="249"/>
      <c r="M1421" s="249"/>
      <c r="N1421" s="483"/>
      <c r="O1421" s="305" t="str">
        <f>IF(E1421="","",IF(E1421="粘性土",1,CHOOSE(AJ$1157,X$1151,X$1152,X$1153)))</f>
        <v/>
      </c>
      <c r="P1421" s="249"/>
      <c r="Q1421" s="249" t="str">
        <f>IF(E1421="","",IF(E1421="粘性土",1,CHOOSE(AJ$1157,AB$1151,AB$1152,AB$1153)))</f>
        <v/>
      </c>
      <c r="R1421" s="249"/>
      <c r="S1421" s="249" t="str">
        <f>IF(E1421="","",IF(E1421="粘性土",1,CHOOSE(AJ$1157,AF$1151,AF$1152,AF$1153)))</f>
        <v/>
      </c>
      <c r="T1421" s="249"/>
      <c r="U1421" s="490" t="str">
        <f>IF(E1421="","",IF(E1421="粘性土",1,R$1173))</f>
        <v/>
      </c>
      <c r="V1421" s="490"/>
      <c r="W1421" s="491"/>
      <c r="X1421" s="248" t="str">
        <f>IF(E1421="","",ROUND(K1421*O1421*U1421,1))</f>
        <v/>
      </c>
      <c r="Y1421" s="249"/>
      <c r="Z1421" s="249"/>
      <c r="AA1421" s="249"/>
      <c r="AB1421" s="248" t="str">
        <f>IF(E1421="","",ROUND(K1421*Q1421*U1421,1))</f>
        <v/>
      </c>
      <c r="AC1421" s="249"/>
      <c r="AD1421" s="249"/>
      <c r="AE1421" s="249"/>
      <c r="AF1421" s="248" t="str">
        <f>IF(E1421="","",ROUND(K1421*S1421*U1421,1))</f>
        <v/>
      </c>
      <c r="AG1421" s="249"/>
      <c r="AH1421" s="249"/>
      <c r="AI1421" s="249"/>
    </row>
    <row r="1422" spans="1:35" s="116" customFormat="1" ht="15.75" hidden="1" customHeight="1">
      <c r="A1422" s="120" t="str">
        <f>A1421</f>
        <v>×</v>
      </c>
      <c r="B1422" s="204"/>
      <c r="C1422" s="205"/>
      <c r="D1422" s="205"/>
      <c r="E1422" s="205"/>
      <c r="F1422" s="205"/>
      <c r="G1422" s="205"/>
      <c r="H1422" s="145"/>
      <c r="I1422" s="145"/>
      <c r="J1422" s="145"/>
      <c r="K1422" s="249">
        <f>AF1239*AD$1435</f>
        <v>599.1</v>
      </c>
      <c r="L1422" s="249"/>
      <c r="M1422" s="249"/>
      <c r="N1422" s="483"/>
      <c r="O1422" s="305" t="str">
        <f>O1421</f>
        <v/>
      </c>
      <c r="P1422" s="249"/>
      <c r="Q1422" s="249" t="str">
        <f>Q1421</f>
        <v/>
      </c>
      <c r="R1422" s="249"/>
      <c r="S1422" s="249" t="str">
        <f>S1421</f>
        <v/>
      </c>
      <c r="T1422" s="249"/>
      <c r="U1422" s="490" t="str">
        <f>U1421</f>
        <v/>
      </c>
      <c r="V1422" s="490"/>
      <c r="W1422" s="491"/>
      <c r="X1422" s="248" t="str">
        <f>IF(E1421="","",ROUND(K1422*O1422*U1422,1))</f>
        <v/>
      </c>
      <c r="Y1422" s="249"/>
      <c r="Z1422" s="249"/>
      <c r="AA1422" s="249"/>
      <c r="AB1422" s="248" t="str">
        <f>IF(E1421="","",ROUND(K1422*Q1422*U1422,1))</f>
        <v/>
      </c>
      <c r="AC1422" s="249"/>
      <c r="AD1422" s="249"/>
      <c r="AE1422" s="249"/>
      <c r="AF1422" s="248" t="str">
        <f>IF(E1421="","",ROUND(K1422*S1422*U1422,1))</f>
        <v/>
      </c>
      <c r="AG1422" s="249"/>
      <c r="AH1422" s="249"/>
      <c r="AI1422" s="249"/>
    </row>
    <row r="1423" spans="1:35" s="116" customFormat="1" ht="15.75" hidden="1" customHeight="1">
      <c r="A1423" s="120" t="str">
        <f>IF(H1423="","×","")</f>
        <v>×</v>
      </c>
      <c r="B1423" s="204" t="str">
        <f>IF(D1240="","",D1240)</f>
        <v/>
      </c>
      <c r="C1423" s="205"/>
      <c r="D1423" s="205"/>
      <c r="E1423" s="205" t="str">
        <f>IF(G1240="","",G1240)</f>
        <v/>
      </c>
      <c r="F1423" s="205"/>
      <c r="G1423" s="205"/>
      <c r="H1423" s="145" t="str">
        <f>IF(J1240="","",J1240)</f>
        <v/>
      </c>
      <c r="I1423" s="145"/>
      <c r="J1423" s="145"/>
      <c r="K1423" s="249">
        <f>AF1240*AD$1435</f>
        <v>599.1</v>
      </c>
      <c r="L1423" s="249"/>
      <c r="M1423" s="249"/>
      <c r="N1423" s="483"/>
      <c r="O1423" s="305" t="str">
        <f>IF(E1423="","",IF(E1423="粘性土",1,CHOOSE(AJ$1157,X$1151,X$1152,X$1153)))</f>
        <v/>
      </c>
      <c r="P1423" s="249"/>
      <c r="Q1423" s="249" t="str">
        <f>IF(E1423="","",IF(E1423="粘性土",1,CHOOSE(AJ$1157,AB$1151,AB$1152,AB$1153)))</f>
        <v/>
      </c>
      <c r="R1423" s="249"/>
      <c r="S1423" s="249" t="str">
        <f>IF(E1423="","",IF(E1423="粘性土",1,CHOOSE(AJ$1157,AF$1151,AF$1152,AF$1153)))</f>
        <v/>
      </c>
      <c r="T1423" s="249"/>
      <c r="U1423" s="490" t="str">
        <f>IF(E1423="","",IF(E1423="粘性土",1,R$1173))</f>
        <v/>
      </c>
      <c r="V1423" s="490"/>
      <c r="W1423" s="491"/>
      <c r="X1423" s="248" t="str">
        <f>IF(E1423="","",ROUND(K1423*O1423*U1423,1))</f>
        <v/>
      </c>
      <c r="Y1423" s="249"/>
      <c r="Z1423" s="249"/>
      <c r="AA1423" s="249"/>
      <c r="AB1423" s="248" t="str">
        <f>IF(E1423="","",ROUND(K1423*Q1423*U1423,1))</f>
        <v/>
      </c>
      <c r="AC1423" s="249"/>
      <c r="AD1423" s="249"/>
      <c r="AE1423" s="249"/>
      <c r="AF1423" s="248" t="str">
        <f>IF(E1423="","",ROUND(K1423*S1423*U1423,1))</f>
        <v/>
      </c>
      <c r="AG1423" s="249"/>
      <c r="AH1423" s="249"/>
      <c r="AI1423" s="249"/>
    </row>
    <row r="1424" spans="1:35" s="116" customFormat="1" ht="15.75" hidden="1" customHeight="1">
      <c r="A1424" s="120" t="str">
        <f>A1423</f>
        <v>×</v>
      </c>
      <c r="B1424" s="204"/>
      <c r="C1424" s="205"/>
      <c r="D1424" s="205"/>
      <c r="E1424" s="205"/>
      <c r="F1424" s="205"/>
      <c r="G1424" s="205"/>
      <c r="H1424" s="145"/>
      <c r="I1424" s="145"/>
      <c r="J1424" s="145"/>
      <c r="K1424" s="249">
        <f>AF1241*AD$1435</f>
        <v>599.1</v>
      </c>
      <c r="L1424" s="249"/>
      <c r="M1424" s="249"/>
      <c r="N1424" s="483"/>
      <c r="O1424" s="305" t="str">
        <f>O1423</f>
        <v/>
      </c>
      <c r="P1424" s="249"/>
      <c r="Q1424" s="249" t="str">
        <f>Q1423</f>
        <v/>
      </c>
      <c r="R1424" s="249"/>
      <c r="S1424" s="249" t="str">
        <f>S1423</f>
        <v/>
      </c>
      <c r="T1424" s="249"/>
      <c r="U1424" s="490" t="str">
        <f>U1423</f>
        <v/>
      </c>
      <c r="V1424" s="490"/>
      <c r="W1424" s="491"/>
      <c r="X1424" s="248" t="str">
        <f>IF(E1423="","",ROUND(K1424*O1424*U1424,1))</f>
        <v/>
      </c>
      <c r="Y1424" s="249"/>
      <c r="Z1424" s="249"/>
      <c r="AA1424" s="249"/>
      <c r="AB1424" s="248" t="str">
        <f>IF(E1423="","",ROUND(K1424*Q1424*U1424,1))</f>
        <v/>
      </c>
      <c r="AC1424" s="249"/>
      <c r="AD1424" s="249"/>
      <c r="AE1424" s="249"/>
      <c r="AF1424" s="248" t="str">
        <f>IF(E1423="","",ROUND(K1424*S1424*U1424,1))</f>
        <v/>
      </c>
      <c r="AG1424" s="249"/>
      <c r="AH1424" s="249"/>
      <c r="AI1424" s="249"/>
    </row>
    <row r="1425" spans="1:39" s="116" customFormat="1" ht="15.75" hidden="1" customHeight="1">
      <c r="A1425" s="120" t="str">
        <f>IF(H1425="","×","")</f>
        <v>×</v>
      </c>
      <c r="B1425" s="204" t="str">
        <f>IF(D1242="","",D1242)</f>
        <v/>
      </c>
      <c r="C1425" s="205"/>
      <c r="D1425" s="205"/>
      <c r="E1425" s="205" t="str">
        <f>IF(G1242="","",G1242)</f>
        <v/>
      </c>
      <c r="F1425" s="205"/>
      <c r="G1425" s="205"/>
      <c r="H1425" s="145" t="str">
        <f>IF(J1242="","",J1242)</f>
        <v/>
      </c>
      <c r="I1425" s="145"/>
      <c r="J1425" s="145"/>
      <c r="K1425" s="249">
        <f>AF1242*AD$1435</f>
        <v>599.1</v>
      </c>
      <c r="L1425" s="249"/>
      <c r="M1425" s="249"/>
      <c r="N1425" s="483"/>
      <c r="O1425" s="305" t="str">
        <f>IF(E1425="","",IF(E1425="粘性土",1,CHOOSE(AJ$1157,X$1151,X$1152,X$1153)))</f>
        <v/>
      </c>
      <c r="P1425" s="249"/>
      <c r="Q1425" s="249" t="str">
        <f>IF(E1425="","",IF(E1425="粘性土",1,CHOOSE(AJ$1157,AB$1151,AB$1152,AB$1153)))</f>
        <v/>
      </c>
      <c r="R1425" s="249"/>
      <c r="S1425" s="249" t="str">
        <f>IF(E1425="","",IF(E1425="粘性土",1,CHOOSE(AJ$1157,AF$1151,AF$1152,AF$1153)))</f>
        <v/>
      </c>
      <c r="T1425" s="249"/>
      <c r="U1425" s="490" t="str">
        <f>IF(E1425="","",IF(E1425="粘性土",1,R$1173))</f>
        <v/>
      </c>
      <c r="V1425" s="490"/>
      <c r="W1425" s="491"/>
      <c r="X1425" s="248" t="str">
        <f>IF(E1425="","",ROUND(K1425*O1425*U1425,1))</f>
        <v/>
      </c>
      <c r="Y1425" s="249"/>
      <c r="Z1425" s="249"/>
      <c r="AA1425" s="249"/>
      <c r="AB1425" s="248" t="str">
        <f>IF(E1425="","",ROUND(K1425*Q1425*U1425,1))</f>
        <v/>
      </c>
      <c r="AC1425" s="249"/>
      <c r="AD1425" s="249"/>
      <c r="AE1425" s="249"/>
      <c r="AF1425" s="248" t="str">
        <f>IF(E1425="","",ROUND(K1425*S1425*U1425,1))</f>
        <v/>
      </c>
      <c r="AG1425" s="249"/>
      <c r="AH1425" s="249"/>
      <c r="AI1425" s="249"/>
    </row>
    <row r="1426" spans="1:39" s="116" customFormat="1" ht="15.75" hidden="1" customHeight="1">
      <c r="A1426" s="120" t="str">
        <f>A1425</f>
        <v>×</v>
      </c>
      <c r="B1426" s="204"/>
      <c r="C1426" s="205"/>
      <c r="D1426" s="205"/>
      <c r="E1426" s="205"/>
      <c r="F1426" s="205"/>
      <c r="G1426" s="205"/>
      <c r="H1426" s="145"/>
      <c r="I1426" s="145"/>
      <c r="J1426" s="145"/>
      <c r="K1426" s="249">
        <f>AF1243*AD$1435</f>
        <v>599.1</v>
      </c>
      <c r="L1426" s="249"/>
      <c r="M1426" s="249"/>
      <c r="N1426" s="483"/>
      <c r="O1426" s="305" t="str">
        <f>O1425</f>
        <v/>
      </c>
      <c r="P1426" s="249"/>
      <c r="Q1426" s="249" t="str">
        <f>Q1425</f>
        <v/>
      </c>
      <c r="R1426" s="249"/>
      <c r="S1426" s="249" t="str">
        <f>S1425</f>
        <v/>
      </c>
      <c r="T1426" s="249"/>
      <c r="U1426" s="490" t="str">
        <f>U1425</f>
        <v/>
      </c>
      <c r="V1426" s="490"/>
      <c r="W1426" s="491"/>
      <c r="X1426" s="248" t="str">
        <f>IF(E1425="","",ROUND(K1426*O1426*U1426,1))</f>
        <v/>
      </c>
      <c r="Y1426" s="249"/>
      <c r="Z1426" s="249"/>
      <c r="AA1426" s="249"/>
      <c r="AB1426" s="248" t="str">
        <f>IF(E1425="","",ROUND(K1426*Q1426*U1426,1))</f>
        <v/>
      </c>
      <c r="AC1426" s="249"/>
      <c r="AD1426" s="249"/>
      <c r="AE1426" s="249"/>
      <c r="AF1426" s="248" t="str">
        <f>IF(E1425="","",ROUND(K1426*S1426*U1426,1))</f>
        <v/>
      </c>
      <c r="AG1426" s="249"/>
      <c r="AH1426" s="249"/>
      <c r="AI1426" s="249"/>
    </row>
    <row r="1427" spans="1:39" s="116" customFormat="1" ht="15.75" hidden="1" customHeight="1">
      <c r="A1427" s="120" t="str">
        <f>IF(H1427="","×","")</f>
        <v>×</v>
      </c>
      <c r="B1427" s="204" t="str">
        <f>IF(D1244="","",D1244)</f>
        <v/>
      </c>
      <c r="C1427" s="205"/>
      <c r="D1427" s="205"/>
      <c r="E1427" s="205" t="str">
        <f>IF(G1244="","",G1244)</f>
        <v/>
      </c>
      <c r="F1427" s="205"/>
      <c r="G1427" s="205"/>
      <c r="H1427" s="145" t="str">
        <f>IF(J1244="","",J1244)</f>
        <v/>
      </c>
      <c r="I1427" s="145"/>
      <c r="J1427" s="145"/>
      <c r="K1427" s="249">
        <f>AF1244*AD$1435</f>
        <v>599.1</v>
      </c>
      <c r="L1427" s="249"/>
      <c r="M1427" s="249"/>
      <c r="N1427" s="483"/>
      <c r="O1427" s="305" t="str">
        <f>IF(E1427="","",IF(E1427="粘性土",1,CHOOSE(AJ$1157,X$1151,X$1152,X$1153)))</f>
        <v/>
      </c>
      <c r="P1427" s="249"/>
      <c r="Q1427" s="249" t="str">
        <f>IF(E1427="","",IF(E1427="粘性土",1,CHOOSE(AJ$1157,AB$1151,AB$1152,AB$1153)))</f>
        <v/>
      </c>
      <c r="R1427" s="249"/>
      <c r="S1427" s="249" t="str">
        <f>IF(E1427="","",IF(E1427="粘性土",1,CHOOSE(AJ$1157,AF$1151,AF$1152,AF$1153)))</f>
        <v/>
      </c>
      <c r="T1427" s="249"/>
      <c r="U1427" s="490" t="str">
        <f>IF(E1427="","",IF(E1427="粘性土",1,R$1173))</f>
        <v/>
      </c>
      <c r="V1427" s="490"/>
      <c r="W1427" s="491"/>
      <c r="X1427" s="248" t="str">
        <f>IF(E1427="","",ROUND(K1427*O1427*U1427,1))</f>
        <v/>
      </c>
      <c r="Y1427" s="249"/>
      <c r="Z1427" s="249"/>
      <c r="AA1427" s="249"/>
      <c r="AB1427" s="248" t="str">
        <f>IF(E1427="","",ROUND(K1427*Q1427*U1427,1))</f>
        <v/>
      </c>
      <c r="AC1427" s="249"/>
      <c r="AD1427" s="249"/>
      <c r="AE1427" s="249"/>
      <c r="AF1427" s="248" t="str">
        <f>IF(E1427="","",ROUND(K1427*S1427*U1427,1))</f>
        <v/>
      </c>
      <c r="AG1427" s="249"/>
      <c r="AH1427" s="249"/>
      <c r="AI1427" s="249"/>
    </row>
    <row r="1428" spans="1:39" s="116" customFormat="1" ht="15.75" hidden="1" customHeight="1">
      <c r="A1428" s="120" t="str">
        <f>A1427</f>
        <v>×</v>
      </c>
      <c r="B1428" s="204"/>
      <c r="C1428" s="205"/>
      <c r="D1428" s="205"/>
      <c r="E1428" s="205"/>
      <c r="F1428" s="205"/>
      <c r="G1428" s="205"/>
      <c r="H1428" s="145"/>
      <c r="I1428" s="145"/>
      <c r="J1428" s="145"/>
      <c r="K1428" s="249">
        <f>AF1245*AD$1435</f>
        <v>599.1</v>
      </c>
      <c r="L1428" s="249"/>
      <c r="M1428" s="249"/>
      <c r="N1428" s="483"/>
      <c r="O1428" s="305" t="str">
        <f>O1427</f>
        <v/>
      </c>
      <c r="P1428" s="249"/>
      <c r="Q1428" s="249" t="str">
        <f>Q1427</f>
        <v/>
      </c>
      <c r="R1428" s="249"/>
      <c r="S1428" s="249" t="str">
        <f>S1427</f>
        <v/>
      </c>
      <c r="T1428" s="249"/>
      <c r="U1428" s="490" t="str">
        <f>U1427</f>
        <v/>
      </c>
      <c r="V1428" s="490"/>
      <c r="W1428" s="491"/>
      <c r="X1428" s="248" t="str">
        <f>IF(E1427="","",ROUND(K1428*O1428*U1428,1))</f>
        <v/>
      </c>
      <c r="Y1428" s="249"/>
      <c r="Z1428" s="249"/>
      <c r="AA1428" s="249"/>
      <c r="AB1428" s="248" t="str">
        <f>IF(E1427="","",ROUND(K1428*Q1428*U1428,1))</f>
        <v/>
      </c>
      <c r="AC1428" s="249"/>
      <c r="AD1428" s="249"/>
      <c r="AE1428" s="249"/>
      <c r="AF1428" s="248" t="str">
        <f>IF(E1427="","",ROUND(K1428*S1428*U1428,1))</f>
        <v/>
      </c>
      <c r="AG1428" s="249"/>
      <c r="AH1428" s="249"/>
      <c r="AI1428" s="249"/>
    </row>
    <row r="1429" spans="1:39" s="116" customFormat="1" ht="15.75" hidden="1" customHeight="1">
      <c r="A1429" s="120" t="str">
        <f>IF(H1429="","×","")</f>
        <v>×</v>
      </c>
      <c r="B1429" s="204" t="str">
        <f>IF(D1246="","",D1246)</f>
        <v/>
      </c>
      <c r="C1429" s="205"/>
      <c r="D1429" s="205"/>
      <c r="E1429" s="205" t="str">
        <f>IF(G1246="","",G1246)</f>
        <v/>
      </c>
      <c r="F1429" s="205"/>
      <c r="G1429" s="205"/>
      <c r="H1429" s="145" t="str">
        <f>IF(J1246="","",J1246)</f>
        <v/>
      </c>
      <c r="I1429" s="145"/>
      <c r="J1429" s="145"/>
      <c r="K1429" s="249">
        <f>AF1246*AD$1435</f>
        <v>599.1</v>
      </c>
      <c r="L1429" s="249"/>
      <c r="M1429" s="249"/>
      <c r="N1429" s="483"/>
      <c r="O1429" s="305" t="str">
        <f>IF(E1429="","",IF(E1429="粘性土",1,CHOOSE(AJ$1157,X$1151,X$1152,X$1153)))</f>
        <v/>
      </c>
      <c r="P1429" s="249"/>
      <c r="Q1429" s="249" t="str">
        <f>IF(E1429="","",IF(E1429="粘性土",1,CHOOSE(AJ$1157,AB$1151,AB$1152,AB$1153)))</f>
        <v/>
      </c>
      <c r="R1429" s="249"/>
      <c r="S1429" s="249" t="str">
        <f>IF(E1429="","",IF(E1429="粘性土",1,CHOOSE(AJ$1157,AF$1151,AF$1152,AF$1153)))</f>
        <v/>
      </c>
      <c r="T1429" s="249"/>
      <c r="U1429" s="490" t="str">
        <f>IF(E1429="","",IF(E1429="粘性土",1,R$1173))</f>
        <v/>
      </c>
      <c r="V1429" s="490"/>
      <c r="W1429" s="491"/>
      <c r="X1429" s="248" t="str">
        <f>IF(E1429="","",ROUND(K1429*O1429*U1429,1))</f>
        <v/>
      </c>
      <c r="Y1429" s="249"/>
      <c r="Z1429" s="249"/>
      <c r="AA1429" s="249"/>
      <c r="AB1429" s="248" t="str">
        <f>IF(E1429="","",ROUND(K1429*Q1429*U1429,1))</f>
        <v/>
      </c>
      <c r="AC1429" s="249"/>
      <c r="AD1429" s="249"/>
      <c r="AE1429" s="249"/>
      <c r="AF1429" s="248" t="str">
        <f>IF(E1429="","",ROUND(K1429*S1429*U1429,1))</f>
        <v/>
      </c>
      <c r="AG1429" s="249"/>
      <c r="AH1429" s="249"/>
      <c r="AI1429" s="249"/>
    </row>
    <row r="1430" spans="1:39" s="116" customFormat="1" ht="15.75" hidden="1" customHeight="1">
      <c r="A1430" s="120" t="str">
        <f>A1429</f>
        <v>×</v>
      </c>
      <c r="B1430" s="204"/>
      <c r="C1430" s="205"/>
      <c r="D1430" s="205"/>
      <c r="E1430" s="205"/>
      <c r="F1430" s="205"/>
      <c r="G1430" s="205"/>
      <c r="H1430" s="145"/>
      <c r="I1430" s="145"/>
      <c r="J1430" s="145"/>
      <c r="K1430" s="249">
        <f>AF1247*AD$1435</f>
        <v>599.1</v>
      </c>
      <c r="L1430" s="249"/>
      <c r="M1430" s="249"/>
      <c r="N1430" s="483"/>
      <c r="O1430" s="305" t="str">
        <f>O1429</f>
        <v/>
      </c>
      <c r="P1430" s="249"/>
      <c r="Q1430" s="249" t="str">
        <f>Q1429</f>
        <v/>
      </c>
      <c r="R1430" s="249"/>
      <c r="S1430" s="249" t="str">
        <f>S1429</f>
        <v/>
      </c>
      <c r="T1430" s="249"/>
      <c r="U1430" s="490" t="str">
        <f>U1429</f>
        <v/>
      </c>
      <c r="V1430" s="490"/>
      <c r="W1430" s="491"/>
      <c r="X1430" s="248" t="str">
        <f>IF(E1429="","",ROUND(K1430*O1430*U1430,1))</f>
        <v/>
      </c>
      <c r="Y1430" s="249"/>
      <c r="Z1430" s="249"/>
      <c r="AA1430" s="249"/>
      <c r="AB1430" s="248" t="str">
        <f>IF(E1429="","",ROUND(K1430*Q1430*U1430,1))</f>
        <v/>
      </c>
      <c r="AC1430" s="249"/>
      <c r="AD1430" s="249"/>
      <c r="AE1430" s="249"/>
      <c r="AF1430" s="248" t="str">
        <f>IF(E1429="","",ROUND(K1430*S1430*U1430,1))</f>
        <v/>
      </c>
      <c r="AG1430" s="249"/>
      <c r="AH1430" s="249"/>
      <c r="AI1430" s="249"/>
    </row>
    <row r="1431" spans="1:39" s="116" customFormat="1" ht="15.75" hidden="1" customHeight="1">
      <c r="A1431" s="120" t="str">
        <f>IF(H1431="","×","")</f>
        <v>×</v>
      </c>
      <c r="B1431" s="204" t="str">
        <f>IF(D1248="","",D1248)</f>
        <v/>
      </c>
      <c r="C1431" s="205"/>
      <c r="D1431" s="205"/>
      <c r="E1431" s="205" t="str">
        <f>IF(G1248="","",G1248)</f>
        <v/>
      </c>
      <c r="F1431" s="205"/>
      <c r="G1431" s="205"/>
      <c r="H1431" s="145" t="str">
        <f>IF(J1248="","",J1248)</f>
        <v/>
      </c>
      <c r="I1431" s="145"/>
      <c r="J1431" s="145"/>
      <c r="K1431" s="249">
        <f>AF1248*AD$1435</f>
        <v>599.1</v>
      </c>
      <c r="L1431" s="249"/>
      <c r="M1431" s="249"/>
      <c r="N1431" s="483"/>
      <c r="O1431" s="305" t="str">
        <f>IF(E1431="","",IF(E1431="粘性土",1,CHOOSE(AJ$1157,X$1151,X$1152,X$1153)))</f>
        <v/>
      </c>
      <c r="P1431" s="249"/>
      <c r="Q1431" s="249" t="str">
        <f>IF(E1431="","",IF(E1431="粘性土",1,CHOOSE(AJ$1157,AB$1151,AB$1152,AB$1153)))</f>
        <v/>
      </c>
      <c r="R1431" s="249"/>
      <c r="S1431" s="249" t="str">
        <f>IF(E1431="","",IF(E1431="粘性土",1,CHOOSE(AJ$1157,AF$1151,AF$1152,AF$1153)))</f>
        <v/>
      </c>
      <c r="T1431" s="249"/>
      <c r="U1431" s="490" t="str">
        <f>IF(E1431="","",IF(E1431="粘性土",1,R$1173))</f>
        <v/>
      </c>
      <c r="V1431" s="490"/>
      <c r="W1431" s="491"/>
      <c r="X1431" s="248" t="str">
        <f>IF(E1431="","",ROUND(K1431*O1431*U1431,1))</f>
        <v/>
      </c>
      <c r="Y1431" s="249"/>
      <c r="Z1431" s="249"/>
      <c r="AA1431" s="249"/>
      <c r="AB1431" s="248" t="str">
        <f>IF(E1431="","",ROUND(K1431*Q1431*U1431,1))</f>
        <v/>
      </c>
      <c r="AC1431" s="249"/>
      <c r="AD1431" s="249"/>
      <c r="AE1431" s="249"/>
      <c r="AF1431" s="248" t="str">
        <f>IF(E1431="","",ROUND(K1431*S1431*U1431,1))</f>
        <v/>
      </c>
      <c r="AG1431" s="249"/>
      <c r="AH1431" s="249"/>
      <c r="AI1431" s="249"/>
    </row>
    <row r="1432" spans="1:39" s="116" customFormat="1" ht="15.75" hidden="1" customHeight="1">
      <c r="A1432" s="120" t="str">
        <f>A1431</f>
        <v>×</v>
      </c>
      <c r="B1432" s="204"/>
      <c r="C1432" s="205"/>
      <c r="D1432" s="205"/>
      <c r="E1432" s="205"/>
      <c r="F1432" s="205"/>
      <c r="G1432" s="205"/>
      <c r="H1432" s="145"/>
      <c r="I1432" s="145"/>
      <c r="J1432" s="145"/>
      <c r="K1432" s="249">
        <f>AF1249*AD$1435</f>
        <v>599.1</v>
      </c>
      <c r="L1432" s="249"/>
      <c r="M1432" s="249"/>
      <c r="N1432" s="483"/>
      <c r="O1432" s="305" t="str">
        <f>O1431</f>
        <v/>
      </c>
      <c r="P1432" s="249"/>
      <c r="Q1432" s="249" t="str">
        <f>Q1431</f>
        <v/>
      </c>
      <c r="R1432" s="249"/>
      <c r="S1432" s="249" t="str">
        <f>S1431</f>
        <v/>
      </c>
      <c r="T1432" s="249"/>
      <c r="U1432" s="490" t="str">
        <f>U1431</f>
        <v/>
      </c>
      <c r="V1432" s="490"/>
      <c r="W1432" s="491"/>
      <c r="X1432" s="248" t="str">
        <f>IF(E1431="","",ROUND(K1432*O1432*U1432,1))</f>
        <v/>
      </c>
      <c r="Y1432" s="249"/>
      <c r="Z1432" s="249"/>
      <c r="AA1432" s="249"/>
      <c r="AB1432" s="248" t="str">
        <f>IF(E1431="","",ROUND(K1432*Q1432*U1432,1))</f>
        <v/>
      </c>
      <c r="AC1432" s="249"/>
      <c r="AD1432" s="249"/>
      <c r="AE1432" s="249"/>
      <c r="AF1432" s="248" t="str">
        <f>IF(E1431="","",ROUND(K1432*S1432*U1432,1))</f>
        <v/>
      </c>
      <c r="AG1432" s="249"/>
      <c r="AH1432" s="249"/>
      <c r="AI1432" s="249"/>
    </row>
    <row r="1433" spans="1:39" s="116" customFormat="1" ht="15.75" hidden="1" customHeight="1">
      <c r="A1433" s="120" t="str">
        <f>IF(H1433="","×","")</f>
        <v>×</v>
      </c>
      <c r="B1433" s="204" t="str">
        <f>IF(D1250="","",D1250)</f>
        <v/>
      </c>
      <c r="C1433" s="205"/>
      <c r="D1433" s="205"/>
      <c r="E1433" s="205" t="str">
        <f>IF(G1250="","",G1250)</f>
        <v/>
      </c>
      <c r="F1433" s="205"/>
      <c r="G1433" s="205"/>
      <c r="H1433" s="145" t="str">
        <f>IF(J1250="","",J1250)</f>
        <v/>
      </c>
      <c r="I1433" s="145"/>
      <c r="J1433" s="145"/>
      <c r="K1433" s="249">
        <f>AF1250*AD$1435</f>
        <v>599.1</v>
      </c>
      <c r="L1433" s="249"/>
      <c r="M1433" s="249"/>
      <c r="N1433" s="483"/>
      <c r="O1433" s="305" t="str">
        <f>IF(E1433="","",IF(E1433="粘性土",1,CHOOSE(AJ$1157,X$1151,X$1152,X$1153)))</f>
        <v/>
      </c>
      <c r="P1433" s="249"/>
      <c r="Q1433" s="249" t="str">
        <f>IF(E1433="","",IF(E1433="粘性土",1,CHOOSE(AJ$1157,AB$1151,AB$1152,AB$1153)))</f>
        <v/>
      </c>
      <c r="R1433" s="249"/>
      <c r="S1433" s="249" t="str">
        <f>IF(E1433="","",IF(E1433="粘性土",1,CHOOSE(AJ$1157,AF$1151,AF$1152,AF$1153)))</f>
        <v/>
      </c>
      <c r="T1433" s="249"/>
      <c r="U1433" s="490" t="str">
        <f>IF(E1433="","",IF(E1433="粘性土",1,R$1173))</f>
        <v/>
      </c>
      <c r="V1433" s="490"/>
      <c r="W1433" s="491"/>
      <c r="X1433" s="248" t="str">
        <f>IF(E1433="","",ROUND(K1433*O1433*U1433,1))</f>
        <v/>
      </c>
      <c r="Y1433" s="249"/>
      <c r="Z1433" s="249"/>
      <c r="AA1433" s="249"/>
      <c r="AB1433" s="248" t="str">
        <f>IF(E1433="","",ROUND(K1433*Q1433*U1433,1))</f>
        <v/>
      </c>
      <c r="AC1433" s="249"/>
      <c r="AD1433" s="249"/>
      <c r="AE1433" s="249"/>
      <c r="AF1433" s="248" t="str">
        <f>IF(E1433="","",ROUND(K1433*S1433*U1433,1))</f>
        <v/>
      </c>
      <c r="AG1433" s="249"/>
      <c r="AH1433" s="249"/>
      <c r="AI1433" s="249"/>
    </row>
    <row r="1434" spans="1:39" s="116" customFormat="1" ht="15.75" hidden="1" customHeight="1">
      <c r="A1434" s="120" t="str">
        <f>A1433</f>
        <v>×</v>
      </c>
      <c r="B1434" s="207"/>
      <c r="C1434" s="208"/>
      <c r="D1434" s="208"/>
      <c r="E1434" s="208"/>
      <c r="F1434" s="208"/>
      <c r="G1434" s="208"/>
      <c r="H1434" s="150"/>
      <c r="I1434" s="150"/>
      <c r="J1434" s="150"/>
      <c r="K1434" s="251">
        <f>AF1251*AD$1435</f>
        <v>599.1</v>
      </c>
      <c r="L1434" s="251"/>
      <c r="M1434" s="251"/>
      <c r="N1434" s="484"/>
      <c r="O1434" s="373" t="str">
        <f>O1433</f>
        <v/>
      </c>
      <c r="P1434" s="251"/>
      <c r="Q1434" s="251" t="str">
        <f>Q1433</f>
        <v/>
      </c>
      <c r="R1434" s="251"/>
      <c r="S1434" s="251" t="str">
        <f>S1433</f>
        <v/>
      </c>
      <c r="T1434" s="251"/>
      <c r="U1434" s="492" t="str">
        <f>U1433</f>
        <v/>
      </c>
      <c r="V1434" s="492"/>
      <c r="W1434" s="493"/>
      <c r="X1434" s="250" t="str">
        <f>IF(E1433="","",ROUND(K1434*O1434*U1434,1))</f>
        <v/>
      </c>
      <c r="Y1434" s="251"/>
      <c r="Z1434" s="251"/>
      <c r="AA1434" s="251"/>
      <c r="AB1434" s="250" t="str">
        <f>IF(E1433="","",ROUND(K1434*Q1434*U1434,1))</f>
        <v/>
      </c>
      <c r="AC1434" s="251"/>
      <c r="AD1434" s="251"/>
      <c r="AE1434" s="251"/>
      <c r="AF1434" s="250" t="str">
        <f>IF(E1433="","",ROUND(K1434*S1434*U1434,1))</f>
        <v/>
      </c>
      <c r="AG1434" s="251"/>
      <c r="AH1434" s="251"/>
      <c r="AI1434" s="251"/>
    </row>
    <row r="1435" spans="1:39" s="116" customFormat="1" ht="15.75" customHeight="1">
      <c r="B1435" s="449"/>
      <c r="C1435" s="449"/>
      <c r="D1435" s="449"/>
      <c r="E1435" s="449"/>
      <c r="F1435" s="449"/>
      <c r="G1435" s="449"/>
      <c r="H1435" s="118"/>
      <c r="I1435" s="118"/>
      <c r="J1435" s="118"/>
      <c r="K1435" s="118"/>
      <c r="L1435" s="118"/>
      <c r="M1435" s="449"/>
      <c r="N1435" s="449"/>
      <c r="O1435" s="449"/>
      <c r="P1435" s="449"/>
      <c r="Q1435" s="121"/>
      <c r="R1435" s="121"/>
      <c r="S1435" s="449"/>
      <c r="T1435" s="449"/>
      <c r="U1435" s="449"/>
      <c r="V1435" s="449"/>
      <c r="W1435" s="449"/>
      <c r="X1435" s="449"/>
      <c r="Y1435" s="449"/>
      <c r="Z1435" s="449"/>
      <c r="AA1435" s="512" t="s">
        <v>127</v>
      </c>
      <c r="AB1435" s="86" t="s">
        <v>595</v>
      </c>
      <c r="AC1435" s="118" t="s">
        <v>27</v>
      </c>
      <c r="AD1435" s="363">
        <f>杭先端径</f>
        <v>1</v>
      </c>
      <c r="AE1435" s="363"/>
      <c r="AF1435" s="363"/>
      <c r="AG1435" s="515" t="s">
        <v>509</v>
      </c>
      <c r="AH1435" s="118" t="s">
        <v>158</v>
      </c>
      <c r="AI1435" s="449"/>
    </row>
    <row r="1436" spans="1:39" s="116" customFormat="1" ht="15.75" customHeight="1">
      <c r="H1436" s="112"/>
      <c r="I1436" s="112"/>
      <c r="J1436" s="112"/>
      <c r="K1436" s="112"/>
      <c r="L1436" s="112"/>
      <c r="M1436" s="115"/>
      <c r="N1436" s="114"/>
      <c r="O1436" s="114"/>
      <c r="P1436" s="114"/>
      <c r="Q1436" s="115"/>
      <c r="R1436" s="115"/>
      <c r="S1436" s="115"/>
      <c r="T1436" s="115"/>
      <c r="U1436" s="115"/>
      <c r="V1436" s="115"/>
      <c r="W1436" s="115"/>
      <c r="X1436" s="115"/>
      <c r="Y1436" s="115"/>
      <c r="Z1436" s="113"/>
      <c r="AA1436" s="113"/>
      <c r="AB1436" s="113"/>
      <c r="AC1436" s="114"/>
      <c r="AD1436" s="114"/>
      <c r="AE1436" s="114"/>
      <c r="AK1436" s="115"/>
      <c r="AL1436" s="115"/>
      <c r="AM1436" s="115"/>
    </row>
    <row r="1437" spans="1:39" s="116" customFormat="1" ht="15.75" customHeight="1">
      <c r="H1437" s="112"/>
      <c r="I1437" s="112"/>
      <c r="J1437" s="112"/>
      <c r="K1437" s="112"/>
      <c r="L1437" s="112"/>
      <c r="M1437" s="115"/>
      <c r="N1437" s="114"/>
      <c r="O1437" s="114"/>
      <c r="P1437" s="114"/>
      <c r="Q1437" s="115"/>
      <c r="R1437" s="115"/>
      <c r="S1437" s="115"/>
      <c r="T1437" s="115"/>
      <c r="U1437" s="115"/>
      <c r="V1437" s="115"/>
      <c r="W1437" s="115"/>
      <c r="X1437" s="115"/>
      <c r="Y1437" s="115"/>
      <c r="Z1437" s="113"/>
      <c r="AA1437" s="113"/>
      <c r="AB1437" s="113"/>
      <c r="AC1437" s="114"/>
      <c r="AD1437" s="114"/>
      <c r="AE1437" s="114"/>
      <c r="AK1437" s="115"/>
      <c r="AL1437" s="115"/>
      <c r="AM1437" s="115"/>
    </row>
    <row r="1438" spans="1:39" s="116" customFormat="1" ht="15.75" customHeight="1">
      <c r="B1438" s="61" t="s">
        <v>609</v>
      </c>
      <c r="C1438" s="61"/>
      <c r="D1438" s="85"/>
      <c r="E1438" s="85"/>
      <c r="F1438" s="85"/>
      <c r="G1438" s="61"/>
      <c r="H1438" s="61"/>
      <c r="I1438" s="61"/>
      <c r="J1438" s="61"/>
      <c r="K1438" s="61"/>
      <c r="L1438" s="61"/>
      <c r="M1438" s="61"/>
      <c r="N1438" s="61"/>
      <c r="O1438" s="61"/>
      <c r="P1438" s="61"/>
      <c r="Q1438" s="61"/>
      <c r="R1438" s="61"/>
      <c r="S1438" s="61"/>
      <c r="T1438" s="61"/>
      <c r="U1438" s="61"/>
      <c r="V1438" s="61"/>
      <c r="W1438" s="61"/>
      <c r="X1438" s="61"/>
      <c r="Y1438" s="61"/>
      <c r="Z1438" s="61"/>
      <c r="AA1438" s="85"/>
      <c r="AB1438" s="85"/>
      <c r="AC1438" s="85"/>
      <c r="AD1438" s="85"/>
      <c r="AE1438" s="85"/>
      <c r="AF1438" s="85"/>
      <c r="AG1438" s="85"/>
      <c r="AH1438" s="85"/>
      <c r="AI1438" s="85"/>
    </row>
    <row r="1439" spans="1:39" s="116" customFormat="1" ht="15.75" customHeight="1">
      <c r="B1439" s="470" t="s">
        <v>8</v>
      </c>
      <c r="C1439" s="471"/>
      <c r="D1439" s="471"/>
      <c r="E1439" s="471" t="s">
        <v>350</v>
      </c>
      <c r="F1439" s="471"/>
      <c r="G1439" s="471"/>
      <c r="H1439" s="472" t="s">
        <v>190</v>
      </c>
      <c r="I1439" s="472"/>
      <c r="J1439" s="472"/>
      <c r="K1439" s="471" t="s">
        <v>596</v>
      </c>
      <c r="L1439" s="471"/>
      <c r="M1439" s="471"/>
      <c r="N1439" s="485"/>
      <c r="O1439" s="394" t="s">
        <v>286</v>
      </c>
      <c r="P1439" s="165"/>
      <c r="Q1439" s="165"/>
      <c r="R1439" s="165"/>
      <c r="S1439" s="165"/>
      <c r="T1439" s="165"/>
      <c r="U1439" s="165" t="s">
        <v>590</v>
      </c>
      <c r="V1439" s="165"/>
      <c r="W1439" s="254"/>
      <c r="X1439" s="224" t="s">
        <v>286</v>
      </c>
      <c r="Y1439" s="165"/>
      <c r="Z1439" s="165"/>
      <c r="AA1439" s="165"/>
      <c r="AB1439" s="165"/>
      <c r="AC1439" s="165"/>
      <c r="AD1439" s="165"/>
      <c r="AE1439" s="165"/>
      <c r="AF1439" s="165"/>
      <c r="AG1439" s="165"/>
      <c r="AH1439" s="165"/>
      <c r="AI1439" s="247"/>
    </row>
    <row r="1440" spans="1:39" s="116" customFormat="1" ht="15.75" customHeight="1">
      <c r="B1440" s="473"/>
      <c r="C1440" s="474"/>
      <c r="D1440" s="474"/>
      <c r="E1440" s="474"/>
      <c r="F1440" s="474"/>
      <c r="G1440" s="474"/>
      <c r="H1440" s="475"/>
      <c r="I1440" s="475"/>
      <c r="J1440" s="475"/>
      <c r="K1440" s="474"/>
      <c r="L1440" s="474"/>
      <c r="M1440" s="474"/>
      <c r="N1440" s="486"/>
      <c r="O1440" s="487" t="s">
        <v>579</v>
      </c>
      <c r="P1440" s="150"/>
      <c r="Q1440" s="150" t="s">
        <v>580</v>
      </c>
      <c r="R1440" s="150"/>
      <c r="S1440" s="150" t="s">
        <v>581</v>
      </c>
      <c r="T1440" s="150"/>
      <c r="U1440" s="208"/>
      <c r="V1440" s="208"/>
      <c r="W1440" s="258"/>
      <c r="X1440" s="477" t="s">
        <v>579</v>
      </c>
      <c r="Y1440" s="150"/>
      <c r="Z1440" s="150"/>
      <c r="AA1440" s="150"/>
      <c r="AB1440" s="150" t="s">
        <v>580</v>
      </c>
      <c r="AC1440" s="150"/>
      <c r="AD1440" s="150"/>
      <c r="AE1440" s="150"/>
      <c r="AF1440" s="150" t="s">
        <v>581</v>
      </c>
      <c r="AG1440" s="150"/>
      <c r="AH1440" s="150"/>
      <c r="AI1440" s="476"/>
    </row>
    <row r="1441" spans="1:35" s="116" customFormat="1" ht="15.75" customHeight="1">
      <c r="A1441" s="120" t="str">
        <f>IF(H1441="","×","")</f>
        <v/>
      </c>
      <c r="B1441" s="224">
        <f>IF(D1222="","",D1222)</f>
        <v>3</v>
      </c>
      <c r="C1441" s="165"/>
      <c r="D1441" s="165"/>
      <c r="E1441" s="165" t="str">
        <f>IF(G1222="","",G1222)</f>
        <v>粘性土</v>
      </c>
      <c r="F1441" s="165"/>
      <c r="G1441" s="165"/>
      <c r="H1441" s="149">
        <f>IF(J1222="","",J1222)</f>
        <v>3</v>
      </c>
      <c r="I1441" s="149"/>
      <c r="J1441" s="149"/>
      <c r="K1441" s="253">
        <f>AF1222*AD$1471</f>
        <v>144.69999999999999</v>
      </c>
      <c r="L1441" s="253"/>
      <c r="M1441" s="253"/>
      <c r="N1441" s="478"/>
      <c r="O1441" s="302">
        <f>IF(E1441="","",IF(E1441="粘性土",1,CHOOSE(AK$1157,X$1154,X$1155)))</f>
        <v>1</v>
      </c>
      <c r="P1441" s="253"/>
      <c r="Q1441" s="253">
        <f>IF(E1441="","",IF(E1441="粘性土",1,CHOOSE(AK$1157,AB$1154,AB$1155)))</f>
        <v>1</v>
      </c>
      <c r="R1441" s="253"/>
      <c r="S1441" s="253">
        <f>IF(E1441="","",IF(E1441="粘性土",1,CHOOSE(AK$1157,AF$1154,AF$1155)))</f>
        <v>1</v>
      </c>
      <c r="T1441" s="253"/>
      <c r="U1441" s="488">
        <f>IF(E1441="","",IF(E1441="粘性土",1,R$1173))</f>
        <v>1</v>
      </c>
      <c r="V1441" s="488"/>
      <c r="W1441" s="489"/>
      <c r="X1441" s="252">
        <f>IF(E1441="","",ROUND(K1441*O1441*U1441,1))</f>
        <v>144.69999999999999</v>
      </c>
      <c r="Y1441" s="253"/>
      <c r="Z1441" s="253"/>
      <c r="AA1441" s="253"/>
      <c r="AB1441" s="252">
        <f>IF(E1441="","",ROUND(K1441*Q1441*U1441,1))</f>
        <v>144.69999999999999</v>
      </c>
      <c r="AC1441" s="253"/>
      <c r="AD1441" s="253"/>
      <c r="AE1441" s="253"/>
      <c r="AF1441" s="252">
        <f>IF(E1441="","",ROUND(K1441*S1441*U1441,1))</f>
        <v>144.69999999999999</v>
      </c>
      <c r="AG1441" s="253"/>
      <c r="AH1441" s="253"/>
      <c r="AI1441" s="253"/>
    </row>
    <row r="1442" spans="1:35" s="116" customFormat="1" ht="15.75" customHeight="1">
      <c r="A1442" s="120" t="str">
        <f>A1441</f>
        <v/>
      </c>
      <c r="B1442" s="204"/>
      <c r="C1442" s="205"/>
      <c r="D1442" s="205"/>
      <c r="E1442" s="205"/>
      <c r="F1442" s="205"/>
      <c r="G1442" s="205"/>
      <c r="H1442" s="145"/>
      <c r="I1442" s="145"/>
      <c r="J1442" s="145"/>
      <c r="K1442" s="249">
        <f>AF1223*AD$1471</f>
        <v>180</v>
      </c>
      <c r="L1442" s="249"/>
      <c r="M1442" s="249"/>
      <c r="N1442" s="483"/>
      <c r="O1442" s="305">
        <f>O1441</f>
        <v>1</v>
      </c>
      <c r="P1442" s="249"/>
      <c r="Q1442" s="249">
        <f>Q1441</f>
        <v>1</v>
      </c>
      <c r="R1442" s="249"/>
      <c r="S1442" s="249">
        <f>S1441</f>
        <v>1</v>
      </c>
      <c r="T1442" s="249"/>
      <c r="U1442" s="490">
        <f>U1441</f>
        <v>1</v>
      </c>
      <c r="V1442" s="490"/>
      <c r="W1442" s="491"/>
      <c r="X1442" s="248">
        <f>IF(E1441="","",ROUND(K1442*O1442*U1442,1))</f>
        <v>180</v>
      </c>
      <c r="Y1442" s="249"/>
      <c r="Z1442" s="249"/>
      <c r="AA1442" s="249"/>
      <c r="AB1442" s="248">
        <f>IF(E1441="","",ROUND(K1442*Q1442*U1442,1))</f>
        <v>180</v>
      </c>
      <c r="AC1442" s="249"/>
      <c r="AD1442" s="249"/>
      <c r="AE1442" s="249"/>
      <c r="AF1442" s="248">
        <f>IF(E1441="","",ROUND(K1442*S1442*U1442,1))</f>
        <v>180</v>
      </c>
      <c r="AG1442" s="249"/>
      <c r="AH1442" s="249"/>
      <c r="AI1442" s="249"/>
    </row>
    <row r="1443" spans="1:35" s="116" customFormat="1" ht="15.75" customHeight="1">
      <c r="A1443" s="120" t="str">
        <f>IF(H1443="","×","")</f>
        <v/>
      </c>
      <c r="B1443" s="204">
        <f>IF(D1224="","",D1224)</f>
        <v>4</v>
      </c>
      <c r="C1443" s="205"/>
      <c r="D1443" s="205"/>
      <c r="E1443" s="205" t="str">
        <f>IF(G1224="","",G1224)</f>
        <v>砂質土</v>
      </c>
      <c r="F1443" s="205"/>
      <c r="G1443" s="205"/>
      <c r="H1443" s="145">
        <f>IF(J1224="","",J1224)</f>
        <v>5</v>
      </c>
      <c r="I1443" s="145"/>
      <c r="J1443" s="145"/>
      <c r="K1443" s="249">
        <f>AF1224*AD$1471</f>
        <v>668.3</v>
      </c>
      <c r="L1443" s="249"/>
      <c r="M1443" s="249"/>
      <c r="N1443" s="483"/>
      <c r="O1443" s="305">
        <f>IF(E1443="","",IF(E1443="粘性土",1,CHOOSE(AK$1157,X$1154,X$1155)))</f>
        <v>1</v>
      </c>
      <c r="P1443" s="249"/>
      <c r="Q1443" s="249">
        <f>IF(E1443="","",IF(E1443="粘性土",1,CHOOSE(AK$1157,AB$1154,AB$1155)))</f>
        <v>0.8</v>
      </c>
      <c r="R1443" s="249"/>
      <c r="S1443" s="249">
        <f>IF(E1443="","",IF(E1443="粘性土",1,CHOOSE(AK$1157,AF$1154,AF$1155)))</f>
        <v>0.7</v>
      </c>
      <c r="T1443" s="249"/>
      <c r="U1443" s="490">
        <f>IF(E1443="","",IF(E1443="粘性土",1,R$1173))</f>
        <v>0.76400000000000001</v>
      </c>
      <c r="V1443" s="490"/>
      <c r="W1443" s="491"/>
      <c r="X1443" s="248">
        <f>IF(E1443="","",ROUND(K1443*O1443*U1443,1))</f>
        <v>510.6</v>
      </c>
      <c r="Y1443" s="249"/>
      <c r="Z1443" s="249"/>
      <c r="AA1443" s="249"/>
      <c r="AB1443" s="248">
        <f>IF(E1443="","",ROUND(K1443*Q1443*U1443,1))</f>
        <v>408.5</v>
      </c>
      <c r="AC1443" s="249"/>
      <c r="AD1443" s="249"/>
      <c r="AE1443" s="249"/>
      <c r="AF1443" s="248">
        <f>IF(E1443="","",ROUND(K1443*S1443*U1443,1))</f>
        <v>357.4</v>
      </c>
      <c r="AG1443" s="249"/>
      <c r="AH1443" s="249"/>
      <c r="AI1443" s="249"/>
    </row>
    <row r="1444" spans="1:35" s="116" customFormat="1" ht="15.75" customHeight="1">
      <c r="A1444" s="120" t="str">
        <f>A1443</f>
        <v/>
      </c>
      <c r="B1444" s="204"/>
      <c r="C1444" s="205"/>
      <c r="D1444" s="205"/>
      <c r="E1444" s="205"/>
      <c r="F1444" s="205"/>
      <c r="G1444" s="205"/>
      <c r="H1444" s="145"/>
      <c r="I1444" s="145"/>
      <c r="J1444" s="145"/>
      <c r="K1444" s="249">
        <f>AF1225*AD$1471</f>
        <v>1151.9000000000001</v>
      </c>
      <c r="L1444" s="249"/>
      <c r="M1444" s="249"/>
      <c r="N1444" s="483"/>
      <c r="O1444" s="305">
        <f>O1443</f>
        <v>1</v>
      </c>
      <c r="P1444" s="249"/>
      <c r="Q1444" s="249">
        <f>Q1443</f>
        <v>0.8</v>
      </c>
      <c r="R1444" s="249"/>
      <c r="S1444" s="249">
        <f>S1443</f>
        <v>0.7</v>
      </c>
      <c r="T1444" s="249"/>
      <c r="U1444" s="490">
        <f>U1443</f>
        <v>0.76400000000000001</v>
      </c>
      <c r="V1444" s="490"/>
      <c r="W1444" s="491"/>
      <c r="X1444" s="248">
        <f>IF(E1443="","",ROUND(K1444*O1444*U1444,1))</f>
        <v>880.1</v>
      </c>
      <c r="Y1444" s="249"/>
      <c r="Z1444" s="249"/>
      <c r="AA1444" s="249"/>
      <c r="AB1444" s="248">
        <f>IF(E1443="","",ROUND(K1444*Q1444*U1444,1))</f>
        <v>704</v>
      </c>
      <c r="AC1444" s="249"/>
      <c r="AD1444" s="249"/>
      <c r="AE1444" s="249"/>
      <c r="AF1444" s="248">
        <f>IF(E1443="","",ROUND(K1444*S1444*U1444,1))</f>
        <v>616</v>
      </c>
      <c r="AG1444" s="249"/>
      <c r="AH1444" s="249"/>
      <c r="AI1444" s="249"/>
    </row>
    <row r="1445" spans="1:35" s="116" customFormat="1" ht="15.75" customHeight="1">
      <c r="A1445" s="120" t="str">
        <f>IF(H1445="","×","")</f>
        <v/>
      </c>
      <c r="B1445" s="204">
        <f>IF(D1226="","",D1226)</f>
        <v>5</v>
      </c>
      <c r="C1445" s="205"/>
      <c r="D1445" s="205"/>
      <c r="E1445" s="205" t="str">
        <f>IF(G1226="","",G1226)</f>
        <v>粘性土</v>
      </c>
      <c r="F1445" s="205"/>
      <c r="G1445" s="205"/>
      <c r="H1445" s="145">
        <f>IF(J1226="","",J1226)</f>
        <v>8</v>
      </c>
      <c r="I1445" s="145"/>
      <c r="J1445" s="145"/>
      <c r="K1445" s="249">
        <f>AF1226*AD$1471</f>
        <v>562.5</v>
      </c>
      <c r="L1445" s="249"/>
      <c r="M1445" s="249"/>
      <c r="N1445" s="483"/>
      <c r="O1445" s="305">
        <f>IF(E1445="","",IF(E1445="粘性土",1,CHOOSE(AK$1157,X$1154,X$1155)))</f>
        <v>1</v>
      </c>
      <c r="P1445" s="249"/>
      <c r="Q1445" s="249">
        <f>IF(E1445="","",IF(E1445="粘性土",1,CHOOSE(AK$1157,AB$1154,AB$1155)))</f>
        <v>1</v>
      </c>
      <c r="R1445" s="249"/>
      <c r="S1445" s="249">
        <f>IF(E1445="","",IF(E1445="粘性土",1,CHOOSE(AK$1157,AF$1154,AF$1155)))</f>
        <v>1</v>
      </c>
      <c r="T1445" s="249"/>
      <c r="U1445" s="490">
        <f>IF(E1445="","",IF(E1445="粘性土",1,R$1173))</f>
        <v>1</v>
      </c>
      <c r="V1445" s="490"/>
      <c r="W1445" s="491"/>
      <c r="X1445" s="248">
        <f>IF(E1445="","",ROUND(K1445*O1445*U1445,1))</f>
        <v>562.5</v>
      </c>
      <c r="Y1445" s="249"/>
      <c r="Z1445" s="249"/>
      <c r="AA1445" s="249"/>
      <c r="AB1445" s="248">
        <f>IF(E1445="","",ROUND(K1445*Q1445*U1445,1))</f>
        <v>562.5</v>
      </c>
      <c r="AC1445" s="249"/>
      <c r="AD1445" s="249"/>
      <c r="AE1445" s="249"/>
      <c r="AF1445" s="248">
        <f>IF(E1445="","",ROUND(K1445*S1445*U1445,1))</f>
        <v>562.5</v>
      </c>
      <c r="AG1445" s="249"/>
      <c r="AH1445" s="249"/>
      <c r="AI1445" s="249"/>
    </row>
    <row r="1446" spans="1:35" s="116" customFormat="1" ht="15.75" customHeight="1">
      <c r="A1446" s="120" t="str">
        <f>A1445</f>
        <v/>
      </c>
      <c r="B1446" s="204"/>
      <c r="C1446" s="205"/>
      <c r="D1446" s="205"/>
      <c r="E1446" s="205"/>
      <c r="F1446" s="205"/>
      <c r="G1446" s="205"/>
      <c r="H1446" s="145"/>
      <c r="I1446" s="145"/>
      <c r="J1446" s="145"/>
      <c r="K1446" s="249">
        <f>AF1227*AD$1471</f>
        <v>562.5</v>
      </c>
      <c r="L1446" s="249"/>
      <c r="M1446" s="249"/>
      <c r="N1446" s="483"/>
      <c r="O1446" s="305">
        <f t="shared" ref="O1446" si="448">O1445</f>
        <v>1</v>
      </c>
      <c r="P1446" s="249"/>
      <c r="Q1446" s="249">
        <f t="shared" ref="Q1446" si="449">Q1445</f>
        <v>1</v>
      </c>
      <c r="R1446" s="249"/>
      <c r="S1446" s="249">
        <f t="shared" ref="S1446" si="450">S1445</f>
        <v>1</v>
      </c>
      <c r="T1446" s="249"/>
      <c r="U1446" s="490">
        <f>U1445</f>
        <v>1</v>
      </c>
      <c r="V1446" s="490"/>
      <c r="W1446" s="491"/>
      <c r="X1446" s="248">
        <f>IF(E1445="","",ROUND(K1446*O1446*U1446,1))</f>
        <v>562.5</v>
      </c>
      <c r="Y1446" s="249"/>
      <c r="Z1446" s="249"/>
      <c r="AA1446" s="249"/>
      <c r="AB1446" s="248">
        <f>IF(E1445="","",ROUND(K1446*Q1446*U1446,1))</f>
        <v>562.5</v>
      </c>
      <c r="AC1446" s="249"/>
      <c r="AD1446" s="249"/>
      <c r="AE1446" s="249"/>
      <c r="AF1446" s="248">
        <f>IF(E1445="","",ROUND(K1446*S1446*U1446,1))</f>
        <v>562.5</v>
      </c>
      <c r="AG1446" s="249"/>
      <c r="AH1446" s="249"/>
      <c r="AI1446" s="249"/>
    </row>
    <row r="1447" spans="1:35" s="116" customFormat="1" ht="15.75" customHeight="1">
      <c r="A1447" s="120" t="str">
        <f>IF(H1447="","×","")</f>
        <v/>
      </c>
      <c r="B1447" s="204">
        <f>IF(D1228="","",D1228)</f>
        <v>6</v>
      </c>
      <c r="C1447" s="205"/>
      <c r="D1447" s="205"/>
      <c r="E1447" s="205" t="str">
        <f>IF(G1228="","",G1228)</f>
        <v>粘性土</v>
      </c>
      <c r="F1447" s="205"/>
      <c r="G1447" s="205"/>
      <c r="H1447" s="145">
        <f>IF(J1228="","",J1228)</f>
        <v>4.5</v>
      </c>
      <c r="I1447" s="145"/>
      <c r="J1447" s="145"/>
      <c r="K1447" s="249">
        <f>AF1228*AD$1471</f>
        <v>1125</v>
      </c>
      <c r="L1447" s="249"/>
      <c r="M1447" s="249"/>
      <c r="N1447" s="483"/>
      <c r="O1447" s="305">
        <f>IF(E1447="","",IF(E1447="粘性土",1,CHOOSE(AK$1157,X$1154,X$1155)))</f>
        <v>1</v>
      </c>
      <c r="P1447" s="249"/>
      <c r="Q1447" s="249">
        <f>IF(E1447="","",IF(E1447="粘性土",1,CHOOSE(AK$1157,AB$1154,AB$1155)))</f>
        <v>1</v>
      </c>
      <c r="R1447" s="249"/>
      <c r="S1447" s="249">
        <f>IF(E1447="","",IF(E1447="粘性土",1,CHOOSE(AK$1157,AF$1154,AF$1155)))</f>
        <v>1</v>
      </c>
      <c r="T1447" s="249"/>
      <c r="U1447" s="490">
        <f>IF(E1447="","",IF(E1447="粘性土",1,R$1173))</f>
        <v>1</v>
      </c>
      <c r="V1447" s="490"/>
      <c r="W1447" s="491"/>
      <c r="X1447" s="248">
        <f>IF(E1447="","",ROUND(K1447*O1447*U1447,1))</f>
        <v>1125</v>
      </c>
      <c r="Y1447" s="249"/>
      <c r="Z1447" s="249"/>
      <c r="AA1447" s="249"/>
      <c r="AB1447" s="248">
        <f>IF(E1447="","",ROUND(K1447*Q1447*U1447,1))</f>
        <v>1125</v>
      </c>
      <c r="AC1447" s="249"/>
      <c r="AD1447" s="249"/>
      <c r="AE1447" s="249"/>
      <c r="AF1447" s="248">
        <f>IF(E1447="","",ROUND(K1447*S1447*U1447,1))</f>
        <v>1125</v>
      </c>
      <c r="AG1447" s="249"/>
      <c r="AH1447" s="249"/>
      <c r="AI1447" s="249"/>
    </row>
    <row r="1448" spans="1:35" s="116" customFormat="1" ht="15.75" customHeight="1">
      <c r="A1448" s="120" t="str">
        <f>A1447</f>
        <v/>
      </c>
      <c r="B1448" s="204"/>
      <c r="C1448" s="205"/>
      <c r="D1448" s="205"/>
      <c r="E1448" s="205"/>
      <c r="F1448" s="205"/>
      <c r="G1448" s="205"/>
      <c r="H1448" s="145"/>
      <c r="I1448" s="145"/>
      <c r="J1448" s="145"/>
      <c r="K1448" s="249">
        <f>AF1229*AD$1471</f>
        <v>1125</v>
      </c>
      <c r="L1448" s="249"/>
      <c r="M1448" s="249"/>
      <c r="N1448" s="483"/>
      <c r="O1448" s="305">
        <f t="shared" ref="O1448" si="451">O1447</f>
        <v>1</v>
      </c>
      <c r="P1448" s="249"/>
      <c r="Q1448" s="249">
        <f t="shared" ref="Q1448" si="452">Q1447</f>
        <v>1</v>
      </c>
      <c r="R1448" s="249"/>
      <c r="S1448" s="249">
        <f t="shared" ref="S1448" si="453">S1447</f>
        <v>1</v>
      </c>
      <c r="T1448" s="249"/>
      <c r="U1448" s="490">
        <f>U1447</f>
        <v>1</v>
      </c>
      <c r="V1448" s="490"/>
      <c r="W1448" s="491"/>
      <c r="X1448" s="248">
        <f>IF(E1447="","",ROUND(K1448*O1448*U1448,1))</f>
        <v>1125</v>
      </c>
      <c r="Y1448" s="249"/>
      <c r="Z1448" s="249"/>
      <c r="AA1448" s="249"/>
      <c r="AB1448" s="248">
        <f>IF(E1447="","",ROUND(K1448*Q1448*U1448,1))</f>
        <v>1125</v>
      </c>
      <c r="AC1448" s="249"/>
      <c r="AD1448" s="249"/>
      <c r="AE1448" s="249"/>
      <c r="AF1448" s="248">
        <f>IF(E1447="","",ROUND(K1448*S1448*U1448,1))</f>
        <v>1125</v>
      </c>
      <c r="AG1448" s="249"/>
      <c r="AH1448" s="249"/>
      <c r="AI1448" s="249"/>
    </row>
    <row r="1449" spans="1:35" s="116" customFormat="1" ht="15.75" customHeight="1">
      <c r="A1449" s="120" t="str">
        <f>IF(H1449="","×","")</f>
        <v/>
      </c>
      <c r="B1449" s="204">
        <f>IF(D1230="","",D1230)</f>
        <v>7</v>
      </c>
      <c r="C1449" s="205"/>
      <c r="D1449" s="205"/>
      <c r="E1449" s="205" t="str">
        <f>IF(G1230="","",G1230)</f>
        <v>砂礫</v>
      </c>
      <c r="F1449" s="205"/>
      <c r="G1449" s="205"/>
      <c r="H1449" s="145">
        <f>IF(J1230="","",J1230)</f>
        <v>0.5</v>
      </c>
      <c r="I1449" s="145"/>
      <c r="J1449" s="145"/>
      <c r="K1449" s="249">
        <f>AF1230*AD$1471</f>
        <v>2359.9</v>
      </c>
      <c r="L1449" s="249"/>
      <c r="M1449" s="249"/>
      <c r="N1449" s="483"/>
      <c r="O1449" s="305">
        <f>IF(E1449="","",IF(E1449="粘性土",1,CHOOSE(AK$1157,X$1154,X$1155)))</f>
        <v>1</v>
      </c>
      <c r="P1449" s="249"/>
      <c r="Q1449" s="249">
        <f>IF(E1449="","",IF(E1449="粘性土",1,CHOOSE(AK$1157,AB$1154,AB$1155)))</f>
        <v>0.8</v>
      </c>
      <c r="R1449" s="249"/>
      <c r="S1449" s="249">
        <f>IF(E1449="","",IF(E1449="粘性土",1,CHOOSE(AK$1157,AF$1154,AF$1155)))</f>
        <v>0.7</v>
      </c>
      <c r="T1449" s="249"/>
      <c r="U1449" s="490">
        <f>IF(E1449="","",IF(E1449="粘性土",1,R$1173))</f>
        <v>0.76400000000000001</v>
      </c>
      <c r="V1449" s="490"/>
      <c r="W1449" s="491"/>
      <c r="X1449" s="248">
        <f>IF(E1449="","",ROUND(K1449*O1449*U1449,1))</f>
        <v>1803</v>
      </c>
      <c r="Y1449" s="249"/>
      <c r="Z1449" s="249"/>
      <c r="AA1449" s="249"/>
      <c r="AB1449" s="248">
        <f>IF(E1449="","",ROUND(K1449*Q1449*U1449,1))</f>
        <v>1442.4</v>
      </c>
      <c r="AC1449" s="249"/>
      <c r="AD1449" s="249"/>
      <c r="AE1449" s="249"/>
      <c r="AF1449" s="248">
        <f>IF(E1449="","",ROUND(K1449*S1449*U1449,1))</f>
        <v>1262.0999999999999</v>
      </c>
      <c r="AG1449" s="249"/>
      <c r="AH1449" s="249"/>
      <c r="AI1449" s="249"/>
    </row>
    <row r="1450" spans="1:35" s="116" customFormat="1" ht="15.75" customHeight="1">
      <c r="A1450" s="120" t="str">
        <f>A1449</f>
        <v/>
      </c>
      <c r="B1450" s="204"/>
      <c r="C1450" s="205"/>
      <c r="D1450" s="205"/>
      <c r="E1450" s="205"/>
      <c r="F1450" s="205"/>
      <c r="G1450" s="205"/>
      <c r="H1450" s="145"/>
      <c r="I1450" s="145"/>
      <c r="J1450" s="145"/>
      <c r="K1450" s="249">
        <f>AF1231*AD$1471</f>
        <v>2420.5</v>
      </c>
      <c r="L1450" s="249"/>
      <c r="M1450" s="249"/>
      <c r="N1450" s="483"/>
      <c r="O1450" s="305">
        <f t="shared" ref="O1450" si="454">O1449</f>
        <v>1</v>
      </c>
      <c r="P1450" s="249"/>
      <c r="Q1450" s="249">
        <f t="shared" ref="Q1450" si="455">Q1449</f>
        <v>0.8</v>
      </c>
      <c r="R1450" s="249"/>
      <c r="S1450" s="249">
        <f t="shared" ref="S1450" si="456">S1449</f>
        <v>0.7</v>
      </c>
      <c r="T1450" s="249"/>
      <c r="U1450" s="490">
        <f>U1449</f>
        <v>0.76400000000000001</v>
      </c>
      <c r="V1450" s="490"/>
      <c r="W1450" s="491"/>
      <c r="X1450" s="248">
        <f>IF(E1449="","",ROUND(K1450*O1450*U1450,1))</f>
        <v>1849.3</v>
      </c>
      <c r="Y1450" s="249"/>
      <c r="Z1450" s="249"/>
      <c r="AA1450" s="249"/>
      <c r="AB1450" s="248">
        <f>IF(E1449="","",ROUND(K1450*Q1450*U1450,1))</f>
        <v>1479.4</v>
      </c>
      <c r="AC1450" s="249"/>
      <c r="AD1450" s="249"/>
      <c r="AE1450" s="249"/>
      <c r="AF1450" s="248">
        <f>IF(E1449="","",ROUND(K1450*S1450*U1450,1))</f>
        <v>1294.5</v>
      </c>
      <c r="AG1450" s="249"/>
      <c r="AH1450" s="249"/>
      <c r="AI1450" s="249"/>
    </row>
    <row r="1451" spans="1:35" s="116" customFormat="1" ht="15.75" hidden="1" customHeight="1">
      <c r="A1451" s="120" t="str">
        <f>IF(H1451="","×","")</f>
        <v>×</v>
      </c>
      <c r="B1451" s="204" t="str">
        <f>IF(D1232="","",D1232)</f>
        <v/>
      </c>
      <c r="C1451" s="205"/>
      <c r="D1451" s="205"/>
      <c r="E1451" s="205" t="str">
        <f>IF(G1232="","",G1232)</f>
        <v/>
      </c>
      <c r="F1451" s="205"/>
      <c r="G1451" s="205"/>
      <c r="H1451" s="145" t="str">
        <f>IF(J1232="","",J1232)</f>
        <v/>
      </c>
      <c r="I1451" s="145"/>
      <c r="J1451" s="145"/>
      <c r="K1451" s="249">
        <f>AF1232*AD$1471</f>
        <v>599.1</v>
      </c>
      <c r="L1451" s="249"/>
      <c r="M1451" s="249"/>
      <c r="N1451" s="483"/>
      <c r="O1451" s="305" t="str">
        <f>IF(E1451="","",IF(E1451="粘性土",1,CHOOSE(AK$1157,X$1154,X$1155)))</f>
        <v/>
      </c>
      <c r="P1451" s="249"/>
      <c r="Q1451" s="249" t="str">
        <f>IF(E1451="","",IF(E1451="粘性土",1,CHOOSE(AK$1157,AB$1154,AB$1155)))</f>
        <v/>
      </c>
      <c r="R1451" s="249"/>
      <c r="S1451" s="249" t="str">
        <f>IF(E1451="","",IF(E1451="粘性土",1,CHOOSE(AK$1157,AF$1154,AF$1155)))</f>
        <v/>
      </c>
      <c r="T1451" s="249"/>
      <c r="U1451" s="490" t="str">
        <f>IF(E1451="","",IF(E1451="粘性土",1,R$1173))</f>
        <v/>
      </c>
      <c r="V1451" s="490"/>
      <c r="W1451" s="491"/>
      <c r="X1451" s="248" t="str">
        <f>IF(E1451="","",ROUND(K1451*O1451*U1451,1))</f>
        <v/>
      </c>
      <c r="Y1451" s="249"/>
      <c r="Z1451" s="249"/>
      <c r="AA1451" s="249"/>
      <c r="AB1451" s="248" t="str">
        <f>IF(E1451="","",ROUND(K1451*Q1451*U1451,1))</f>
        <v/>
      </c>
      <c r="AC1451" s="249"/>
      <c r="AD1451" s="249"/>
      <c r="AE1451" s="249"/>
      <c r="AF1451" s="248" t="str">
        <f>IF(E1451="","",ROUND(K1451*S1451*U1451,1))</f>
        <v/>
      </c>
      <c r="AG1451" s="249"/>
      <c r="AH1451" s="249"/>
      <c r="AI1451" s="249"/>
    </row>
    <row r="1452" spans="1:35" s="116" customFormat="1" ht="15.75" hidden="1" customHeight="1">
      <c r="A1452" s="120" t="str">
        <f>A1451</f>
        <v>×</v>
      </c>
      <c r="B1452" s="204"/>
      <c r="C1452" s="205"/>
      <c r="D1452" s="205"/>
      <c r="E1452" s="205"/>
      <c r="F1452" s="205"/>
      <c r="G1452" s="205"/>
      <c r="H1452" s="145"/>
      <c r="I1452" s="145"/>
      <c r="J1452" s="145"/>
      <c r="K1452" s="249">
        <f>AF1233*AD$1471</f>
        <v>599.1</v>
      </c>
      <c r="L1452" s="249"/>
      <c r="M1452" s="249"/>
      <c r="N1452" s="483"/>
      <c r="O1452" s="305" t="str">
        <f>O1451</f>
        <v/>
      </c>
      <c r="P1452" s="249"/>
      <c r="Q1452" s="249" t="str">
        <f>Q1451</f>
        <v/>
      </c>
      <c r="R1452" s="249"/>
      <c r="S1452" s="249" t="str">
        <f>S1451</f>
        <v/>
      </c>
      <c r="T1452" s="249"/>
      <c r="U1452" s="490" t="str">
        <f>U1451</f>
        <v/>
      </c>
      <c r="V1452" s="490"/>
      <c r="W1452" s="491"/>
      <c r="X1452" s="248" t="str">
        <f>IF(E1451="","",ROUND(K1452*O1452*U1452,1))</f>
        <v/>
      </c>
      <c r="Y1452" s="249"/>
      <c r="Z1452" s="249"/>
      <c r="AA1452" s="249"/>
      <c r="AB1452" s="248" t="str">
        <f>IF(E1451="","",ROUND(K1452*Q1452*U1452,1))</f>
        <v/>
      </c>
      <c r="AC1452" s="249"/>
      <c r="AD1452" s="249"/>
      <c r="AE1452" s="249"/>
      <c r="AF1452" s="248" t="str">
        <f>IF(E1451="","",ROUND(K1452*S1452*U1452,1))</f>
        <v/>
      </c>
      <c r="AG1452" s="249"/>
      <c r="AH1452" s="249"/>
      <c r="AI1452" s="249"/>
    </row>
    <row r="1453" spans="1:35" s="116" customFormat="1" ht="15.75" hidden="1" customHeight="1">
      <c r="A1453" s="120" t="str">
        <f>IF(H1453="","×","")</f>
        <v>×</v>
      </c>
      <c r="B1453" s="204" t="str">
        <f>IF(D1234="","",D1234)</f>
        <v/>
      </c>
      <c r="C1453" s="205"/>
      <c r="D1453" s="205"/>
      <c r="E1453" s="205" t="str">
        <f>IF(G1234="","",G1234)</f>
        <v/>
      </c>
      <c r="F1453" s="205"/>
      <c r="G1453" s="205"/>
      <c r="H1453" s="145" t="str">
        <f>IF(J1234="","",J1234)</f>
        <v/>
      </c>
      <c r="I1453" s="145"/>
      <c r="J1453" s="145"/>
      <c r="K1453" s="249">
        <f>AF1234*AD$1471</f>
        <v>599.1</v>
      </c>
      <c r="L1453" s="249"/>
      <c r="M1453" s="249"/>
      <c r="N1453" s="483"/>
      <c r="O1453" s="305" t="str">
        <f>IF(E1453="","",IF(E1453="粘性土",1,CHOOSE(AK$1157,X$1154,X$1155)))</f>
        <v/>
      </c>
      <c r="P1453" s="249"/>
      <c r="Q1453" s="249" t="str">
        <f>IF(E1453="","",IF(E1453="粘性土",1,CHOOSE(AK$1157,AB$1154,AB$1155)))</f>
        <v/>
      </c>
      <c r="R1453" s="249"/>
      <c r="S1453" s="249" t="str">
        <f>IF(E1453="","",IF(E1453="粘性土",1,CHOOSE(AK$1157,AF$1154,AF$1155)))</f>
        <v/>
      </c>
      <c r="T1453" s="249"/>
      <c r="U1453" s="490" t="str">
        <f>IF(E1453="","",IF(E1453="粘性土",1,R$1173))</f>
        <v/>
      </c>
      <c r="V1453" s="490"/>
      <c r="W1453" s="491"/>
      <c r="X1453" s="248" t="str">
        <f>IF(E1453="","",ROUND(K1453*O1453*U1453,1))</f>
        <v/>
      </c>
      <c r="Y1453" s="249"/>
      <c r="Z1453" s="249"/>
      <c r="AA1453" s="249"/>
      <c r="AB1453" s="248" t="str">
        <f>IF(E1453="","",ROUND(K1453*Q1453*U1453,1))</f>
        <v/>
      </c>
      <c r="AC1453" s="249"/>
      <c r="AD1453" s="249"/>
      <c r="AE1453" s="249"/>
      <c r="AF1453" s="248" t="str">
        <f>IF(E1453="","",ROUND(K1453*S1453*U1453,1))</f>
        <v/>
      </c>
      <c r="AG1453" s="249"/>
      <c r="AH1453" s="249"/>
      <c r="AI1453" s="249"/>
    </row>
    <row r="1454" spans="1:35" s="116" customFormat="1" ht="15.75" hidden="1" customHeight="1">
      <c r="A1454" s="120" t="str">
        <f>A1453</f>
        <v>×</v>
      </c>
      <c r="B1454" s="204"/>
      <c r="C1454" s="205"/>
      <c r="D1454" s="205"/>
      <c r="E1454" s="205"/>
      <c r="F1454" s="205"/>
      <c r="G1454" s="205"/>
      <c r="H1454" s="145"/>
      <c r="I1454" s="145"/>
      <c r="J1454" s="145"/>
      <c r="K1454" s="249">
        <f>AF1235*AD$1471</f>
        <v>599.1</v>
      </c>
      <c r="L1454" s="249"/>
      <c r="M1454" s="249"/>
      <c r="N1454" s="483"/>
      <c r="O1454" s="305" t="str">
        <f>O1453</f>
        <v/>
      </c>
      <c r="P1454" s="249"/>
      <c r="Q1454" s="249" t="str">
        <f>Q1453</f>
        <v/>
      </c>
      <c r="R1454" s="249"/>
      <c r="S1454" s="249" t="str">
        <f>S1453</f>
        <v/>
      </c>
      <c r="T1454" s="249"/>
      <c r="U1454" s="490" t="str">
        <f>U1453</f>
        <v/>
      </c>
      <c r="V1454" s="490"/>
      <c r="W1454" s="491"/>
      <c r="X1454" s="248" t="str">
        <f>IF(E1453="","",ROUND(K1454*O1454*U1454,1))</f>
        <v/>
      </c>
      <c r="Y1454" s="249"/>
      <c r="Z1454" s="249"/>
      <c r="AA1454" s="249"/>
      <c r="AB1454" s="248" t="str">
        <f>IF(E1453="","",ROUND(K1454*Q1454*U1454,1))</f>
        <v/>
      </c>
      <c r="AC1454" s="249"/>
      <c r="AD1454" s="249"/>
      <c r="AE1454" s="249"/>
      <c r="AF1454" s="248" t="str">
        <f>IF(E1453="","",ROUND(K1454*S1454*U1454,1))</f>
        <v/>
      </c>
      <c r="AG1454" s="249"/>
      <c r="AH1454" s="249"/>
      <c r="AI1454" s="249"/>
    </row>
    <row r="1455" spans="1:35" s="116" customFormat="1" ht="15.75" hidden="1" customHeight="1">
      <c r="A1455" s="120" t="str">
        <f>IF(H1455="","×","")</f>
        <v>×</v>
      </c>
      <c r="B1455" s="204" t="str">
        <f>IF(D1236="","",D1236)</f>
        <v/>
      </c>
      <c r="C1455" s="205"/>
      <c r="D1455" s="205"/>
      <c r="E1455" s="205" t="str">
        <f>IF(G1236="","",G1236)</f>
        <v/>
      </c>
      <c r="F1455" s="205"/>
      <c r="G1455" s="205"/>
      <c r="H1455" s="145" t="str">
        <f>IF(J1236="","",J1236)</f>
        <v/>
      </c>
      <c r="I1455" s="145"/>
      <c r="J1455" s="145"/>
      <c r="K1455" s="249">
        <f>AF1236*AD$1471</f>
        <v>599.1</v>
      </c>
      <c r="L1455" s="249"/>
      <c r="M1455" s="249"/>
      <c r="N1455" s="483"/>
      <c r="O1455" s="305" t="str">
        <f>IF(E1455="","",IF(E1455="粘性土",1,CHOOSE(AK$1157,X$1154,X$1155)))</f>
        <v/>
      </c>
      <c r="P1455" s="249"/>
      <c r="Q1455" s="249" t="str">
        <f>IF(E1455="","",IF(E1455="粘性土",1,CHOOSE(AK$1157,AB$1154,AB$1155)))</f>
        <v/>
      </c>
      <c r="R1455" s="249"/>
      <c r="S1455" s="249" t="str">
        <f>IF(E1455="","",IF(E1455="粘性土",1,CHOOSE(AK$1157,AF$1154,AF$1155)))</f>
        <v/>
      </c>
      <c r="T1455" s="249"/>
      <c r="U1455" s="490" t="str">
        <f>IF(E1455="","",IF(E1455="粘性土",1,R$1173))</f>
        <v/>
      </c>
      <c r="V1455" s="490"/>
      <c r="W1455" s="491"/>
      <c r="X1455" s="248" t="str">
        <f>IF(E1455="","",ROUND(K1455*O1455*U1455,1))</f>
        <v/>
      </c>
      <c r="Y1455" s="249"/>
      <c r="Z1455" s="249"/>
      <c r="AA1455" s="249"/>
      <c r="AB1455" s="248" t="str">
        <f>IF(E1455="","",ROUND(K1455*Q1455*U1455,1))</f>
        <v/>
      </c>
      <c r="AC1455" s="249"/>
      <c r="AD1455" s="249"/>
      <c r="AE1455" s="249"/>
      <c r="AF1455" s="248" t="str">
        <f>IF(E1455="","",ROUND(K1455*S1455*U1455,1))</f>
        <v/>
      </c>
      <c r="AG1455" s="249"/>
      <c r="AH1455" s="249"/>
      <c r="AI1455" s="249"/>
    </row>
    <row r="1456" spans="1:35" s="116" customFormat="1" ht="15.75" hidden="1" customHeight="1">
      <c r="A1456" s="120" t="str">
        <f>A1455</f>
        <v>×</v>
      </c>
      <c r="B1456" s="204"/>
      <c r="C1456" s="205"/>
      <c r="D1456" s="205"/>
      <c r="E1456" s="205"/>
      <c r="F1456" s="205"/>
      <c r="G1456" s="205"/>
      <c r="H1456" s="145"/>
      <c r="I1456" s="145"/>
      <c r="J1456" s="145"/>
      <c r="K1456" s="249">
        <f>AF1237*AD$1471</f>
        <v>599.1</v>
      </c>
      <c r="L1456" s="249"/>
      <c r="M1456" s="249"/>
      <c r="N1456" s="483"/>
      <c r="O1456" s="305" t="str">
        <f t="shared" ref="O1456" si="457">O1455</f>
        <v/>
      </c>
      <c r="P1456" s="249"/>
      <c r="Q1456" s="249" t="str">
        <f t="shared" ref="Q1456" si="458">Q1455</f>
        <v/>
      </c>
      <c r="R1456" s="249"/>
      <c r="S1456" s="249" t="str">
        <f t="shared" ref="S1456" si="459">S1455</f>
        <v/>
      </c>
      <c r="T1456" s="249"/>
      <c r="U1456" s="490" t="str">
        <f>U1455</f>
        <v/>
      </c>
      <c r="V1456" s="490"/>
      <c r="W1456" s="491"/>
      <c r="X1456" s="248" t="str">
        <f>IF(E1455="","",ROUND(K1456*O1456*U1456,1))</f>
        <v/>
      </c>
      <c r="Y1456" s="249"/>
      <c r="Z1456" s="249"/>
      <c r="AA1456" s="249"/>
      <c r="AB1456" s="248" t="str">
        <f>IF(E1455="","",ROUND(K1456*Q1456*U1456,1))</f>
        <v/>
      </c>
      <c r="AC1456" s="249"/>
      <c r="AD1456" s="249"/>
      <c r="AE1456" s="249"/>
      <c r="AF1456" s="248" t="str">
        <f>IF(E1455="","",ROUND(K1456*S1456*U1456,1))</f>
        <v/>
      </c>
      <c r="AG1456" s="249"/>
      <c r="AH1456" s="249"/>
      <c r="AI1456" s="249"/>
    </row>
    <row r="1457" spans="1:39" s="116" customFormat="1" ht="15.75" hidden="1" customHeight="1">
      <c r="A1457" s="120" t="str">
        <f>IF(H1457="","×","")</f>
        <v>×</v>
      </c>
      <c r="B1457" s="204" t="str">
        <f>IF(D1238="","",D1238)</f>
        <v/>
      </c>
      <c r="C1457" s="205"/>
      <c r="D1457" s="205"/>
      <c r="E1457" s="205" t="str">
        <f>IF(G1238="","",G1238)</f>
        <v/>
      </c>
      <c r="F1457" s="205"/>
      <c r="G1457" s="205"/>
      <c r="H1457" s="145" t="str">
        <f>IF(J1238="","",J1238)</f>
        <v/>
      </c>
      <c r="I1457" s="145"/>
      <c r="J1457" s="145"/>
      <c r="K1457" s="249">
        <f>AF1238*AD$1471</f>
        <v>599.1</v>
      </c>
      <c r="L1457" s="249"/>
      <c r="M1457" s="249"/>
      <c r="N1457" s="483"/>
      <c r="O1457" s="305" t="str">
        <f>IF(E1457="","",IF(E1457="粘性土",1,CHOOSE(AK$1157,X$1154,X$1155)))</f>
        <v/>
      </c>
      <c r="P1457" s="249"/>
      <c r="Q1457" s="249" t="str">
        <f>IF(E1457="","",IF(E1457="粘性土",1,CHOOSE(AK$1157,AB$1154,AB$1155)))</f>
        <v/>
      </c>
      <c r="R1457" s="249"/>
      <c r="S1457" s="249" t="str">
        <f>IF(E1457="","",IF(E1457="粘性土",1,CHOOSE(AK$1157,AF$1154,AF$1155)))</f>
        <v/>
      </c>
      <c r="T1457" s="249"/>
      <c r="U1457" s="490" t="str">
        <f>IF(E1457="","",IF(E1457="粘性土",1,R$1173))</f>
        <v/>
      </c>
      <c r="V1457" s="490"/>
      <c r="W1457" s="491"/>
      <c r="X1457" s="248" t="str">
        <f>IF(E1457="","",ROUND(K1457*O1457*U1457,1))</f>
        <v/>
      </c>
      <c r="Y1457" s="249"/>
      <c r="Z1457" s="249"/>
      <c r="AA1457" s="249"/>
      <c r="AB1457" s="248" t="str">
        <f>IF(E1457="","",ROUND(K1457*Q1457*U1457,1))</f>
        <v/>
      </c>
      <c r="AC1457" s="249"/>
      <c r="AD1457" s="249"/>
      <c r="AE1457" s="249"/>
      <c r="AF1457" s="248" t="str">
        <f>IF(E1457="","",ROUND(K1457*S1457*U1457,1))</f>
        <v/>
      </c>
      <c r="AG1457" s="249"/>
      <c r="AH1457" s="249"/>
      <c r="AI1457" s="249"/>
    </row>
    <row r="1458" spans="1:39" s="116" customFormat="1" ht="15.75" hidden="1" customHeight="1">
      <c r="A1458" s="120" t="str">
        <f>A1457</f>
        <v>×</v>
      </c>
      <c r="B1458" s="204"/>
      <c r="C1458" s="205"/>
      <c r="D1458" s="205"/>
      <c r="E1458" s="205"/>
      <c r="F1458" s="205"/>
      <c r="G1458" s="205"/>
      <c r="H1458" s="145"/>
      <c r="I1458" s="145"/>
      <c r="J1458" s="145"/>
      <c r="K1458" s="249">
        <f>AF1239*AD$1471</f>
        <v>599.1</v>
      </c>
      <c r="L1458" s="249"/>
      <c r="M1458" s="249"/>
      <c r="N1458" s="483"/>
      <c r="O1458" s="305" t="str">
        <f t="shared" ref="O1458" si="460">O1457</f>
        <v/>
      </c>
      <c r="P1458" s="249"/>
      <c r="Q1458" s="249" t="str">
        <f t="shared" ref="Q1458" si="461">Q1457</f>
        <v/>
      </c>
      <c r="R1458" s="249"/>
      <c r="S1458" s="249" t="str">
        <f t="shared" ref="S1458" si="462">S1457</f>
        <v/>
      </c>
      <c r="T1458" s="249"/>
      <c r="U1458" s="490" t="str">
        <f>U1457</f>
        <v/>
      </c>
      <c r="V1458" s="490"/>
      <c r="W1458" s="491"/>
      <c r="X1458" s="248" t="str">
        <f>IF(E1457="","",ROUND(K1458*O1458*U1458,1))</f>
        <v/>
      </c>
      <c r="Y1458" s="249"/>
      <c r="Z1458" s="249"/>
      <c r="AA1458" s="249"/>
      <c r="AB1458" s="248" t="str">
        <f>IF(E1457="","",ROUND(K1458*Q1458*U1458,1))</f>
        <v/>
      </c>
      <c r="AC1458" s="249"/>
      <c r="AD1458" s="249"/>
      <c r="AE1458" s="249"/>
      <c r="AF1458" s="248" t="str">
        <f>IF(E1457="","",ROUND(K1458*S1458*U1458,1))</f>
        <v/>
      </c>
      <c r="AG1458" s="249"/>
      <c r="AH1458" s="249"/>
      <c r="AI1458" s="249"/>
    </row>
    <row r="1459" spans="1:39" s="116" customFormat="1" ht="15.75" hidden="1" customHeight="1">
      <c r="A1459" s="120" t="str">
        <f>IF(H1459="","×","")</f>
        <v>×</v>
      </c>
      <c r="B1459" s="204" t="str">
        <f>IF(D1240="","",D1240)</f>
        <v/>
      </c>
      <c r="C1459" s="205"/>
      <c r="D1459" s="205"/>
      <c r="E1459" s="205" t="str">
        <f>IF(G1240="","",G1240)</f>
        <v/>
      </c>
      <c r="F1459" s="205"/>
      <c r="G1459" s="205"/>
      <c r="H1459" s="145" t="str">
        <f>IF(J1240="","",J1240)</f>
        <v/>
      </c>
      <c r="I1459" s="145"/>
      <c r="J1459" s="145"/>
      <c r="K1459" s="249">
        <f>AF1240*AD$1471</f>
        <v>599.1</v>
      </c>
      <c r="L1459" s="249"/>
      <c r="M1459" s="249"/>
      <c r="N1459" s="483"/>
      <c r="O1459" s="305" t="str">
        <f>IF(E1459="","",IF(E1459="粘性土",1,CHOOSE(AK$1157,X$1154,X$1155)))</f>
        <v/>
      </c>
      <c r="P1459" s="249"/>
      <c r="Q1459" s="249" t="str">
        <f>IF(E1459="","",IF(E1459="粘性土",1,CHOOSE(AK$1157,AB$1154,AB$1155)))</f>
        <v/>
      </c>
      <c r="R1459" s="249"/>
      <c r="S1459" s="249" t="str">
        <f>IF(E1459="","",IF(E1459="粘性土",1,CHOOSE(AK$1157,AF$1154,AF$1155)))</f>
        <v/>
      </c>
      <c r="T1459" s="249"/>
      <c r="U1459" s="490" t="str">
        <f>IF(E1459="","",IF(E1459="粘性土",1,R$1173))</f>
        <v/>
      </c>
      <c r="V1459" s="490"/>
      <c r="W1459" s="491"/>
      <c r="X1459" s="248" t="str">
        <f>IF(E1459="","",ROUND(K1459*O1459*U1459,1))</f>
        <v/>
      </c>
      <c r="Y1459" s="249"/>
      <c r="Z1459" s="249"/>
      <c r="AA1459" s="249"/>
      <c r="AB1459" s="248" t="str">
        <f>IF(E1459="","",ROUND(K1459*Q1459*U1459,1))</f>
        <v/>
      </c>
      <c r="AC1459" s="249"/>
      <c r="AD1459" s="249"/>
      <c r="AE1459" s="249"/>
      <c r="AF1459" s="248" t="str">
        <f>IF(E1459="","",ROUND(K1459*S1459*U1459,1))</f>
        <v/>
      </c>
      <c r="AG1459" s="249"/>
      <c r="AH1459" s="249"/>
      <c r="AI1459" s="249"/>
    </row>
    <row r="1460" spans="1:39" s="116" customFormat="1" ht="15.75" hidden="1" customHeight="1">
      <c r="A1460" s="120" t="str">
        <f>A1459</f>
        <v>×</v>
      </c>
      <c r="B1460" s="204"/>
      <c r="C1460" s="205"/>
      <c r="D1460" s="205"/>
      <c r="E1460" s="205"/>
      <c r="F1460" s="205"/>
      <c r="G1460" s="205"/>
      <c r="H1460" s="145"/>
      <c r="I1460" s="145"/>
      <c r="J1460" s="145"/>
      <c r="K1460" s="249">
        <f>AF1241*AD$1471</f>
        <v>599.1</v>
      </c>
      <c r="L1460" s="249"/>
      <c r="M1460" s="249"/>
      <c r="N1460" s="483"/>
      <c r="O1460" s="305" t="str">
        <f t="shared" ref="O1460" si="463">O1459</f>
        <v/>
      </c>
      <c r="P1460" s="249"/>
      <c r="Q1460" s="249" t="str">
        <f t="shared" ref="Q1460" si="464">Q1459</f>
        <v/>
      </c>
      <c r="R1460" s="249"/>
      <c r="S1460" s="249" t="str">
        <f t="shared" ref="S1460" si="465">S1459</f>
        <v/>
      </c>
      <c r="T1460" s="249"/>
      <c r="U1460" s="490" t="str">
        <f>U1459</f>
        <v/>
      </c>
      <c r="V1460" s="490"/>
      <c r="W1460" s="491"/>
      <c r="X1460" s="248" t="str">
        <f>IF(E1459="","",ROUND(K1460*O1460*U1460,1))</f>
        <v/>
      </c>
      <c r="Y1460" s="249"/>
      <c r="Z1460" s="249"/>
      <c r="AA1460" s="249"/>
      <c r="AB1460" s="248" t="str">
        <f>IF(E1459="","",ROUND(K1460*Q1460*U1460,1))</f>
        <v/>
      </c>
      <c r="AC1460" s="249"/>
      <c r="AD1460" s="249"/>
      <c r="AE1460" s="249"/>
      <c r="AF1460" s="248" t="str">
        <f>IF(E1459="","",ROUND(K1460*S1460*U1460,1))</f>
        <v/>
      </c>
      <c r="AG1460" s="249"/>
      <c r="AH1460" s="249"/>
      <c r="AI1460" s="249"/>
    </row>
    <row r="1461" spans="1:39" s="116" customFormat="1" ht="15.75" hidden="1" customHeight="1">
      <c r="A1461" s="120" t="str">
        <f>IF(H1461="","×","")</f>
        <v>×</v>
      </c>
      <c r="B1461" s="204" t="str">
        <f>IF(D1242="","",D1242)</f>
        <v/>
      </c>
      <c r="C1461" s="205"/>
      <c r="D1461" s="205"/>
      <c r="E1461" s="205" t="str">
        <f>IF(G1242="","",G1242)</f>
        <v/>
      </c>
      <c r="F1461" s="205"/>
      <c r="G1461" s="205"/>
      <c r="H1461" s="145" t="str">
        <f>IF(J1242="","",J1242)</f>
        <v/>
      </c>
      <c r="I1461" s="145"/>
      <c r="J1461" s="145"/>
      <c r="K1461" s="249">
        <f>AF1242*AD$1471</f>
        <v>599.1</v>
      </c>
      <c r="L1461" s="249"/>
      <c r="M1461" s="249"/>
      <c r="N1461" s="483"/>
      <c r="O1461" s="305" t="str">
        <f>IF(E1461="","",IF(E1461="粘性土",1,CHOOSE(AK$1157,X$1154,X$1155)))</f>
        <v/>
      </c>
      <c r="P1461" s="249"/>
      <c r="Q1461" s="249" t="str">
        <f>IF(E1461="","",IF(E1461="粘性土",1,CHOOSE(AK$1157,AB$1154,AB$1155)))</f>
        <v/>
      </c>
      <c r="R1461" s="249"/>
      <c r="S1461" s="249" t="str">
        <f>IF(E1461="","",IF(E1461="粘性土",1,CHOOSE(AK$1157,AF$1154,AF$1155)))</f>
        <v/>
      </c>
      <c r="T1461" s="249"/>
      <c r="U1461" s="490" t="str">
        <f>IF(E1461="","",IF(E1461="粘性土",1,R$1173))</f>
        <v/>
      </c>
      <c r="V1461" s="490"/>
      <c r="W1461" s="491"/>
      <c r="X1461" s="248" t="str">
        <f>IF(E1461="","",ROUND(K1461*O1461*U1461,1))</f>
        <v/>
      </c>
      <c r="Y1461" s="249"/>
      <c r="Z1461" s="249"/>
      <c r="AA1461" s="249"/>
      <c r="AB1461" s="248" t="str">
        <f>IF(E1461="","",ROUND(K1461*Q1461*U1461,1))</f>
        <v/>
      </c>
      <c r="AC1461" s="249"/>
      <c r="AD1461" s="249"/>
      <c r="AE1461" s="249"/>
      <c r="AF1461" s="248" t="str">
        <f>IF(E1461="","",ROUND(K1461*S1461*U1461,1))</f>
        <v/>
      </c>
      <c r="AG1461" s="249"/>
      <c r="AH1461" s="249"/>
      <c r="AI1461" s="249"/>
    </row>
    <row r="1462" spans="1:39" s="116" customFormat="1" ht="15.75" hidden="1" customHeight="1">
      <c r="A1462" s="120" t="str">
        <f>A1461</f>
        <v>×</v>
      </c>
      <c r="B1462" s="204"/>
      <c r="C1462" s="205"/>
      <c r="D1462" s="205"/>
      <c r="E1462" s="205"/>
      <c r="F1462" s="205"/>
      <c r="G1462" s="205"/>
      <c r="H1462" s="145"/>
      <c r="I1462" s="145"/>
      <c r="J1462" s="145"/>
      <c r="K1462" s="249">
        <f>AF1243*AD$1471</f>
        <v>599.1</v>
      </c>
      <c r="L1462" s="249"/>
      <c r="M1462" s="249"/>
      <c r="N1462" s="483"/>
      <c r="O1462" s="305" t="str">
        <f>O1461</f>
        <v/>
      </c>
      <c r="P1462" s="249"/>
      <c r="Q1462" s="249" t="str">
        <f>Q1461</f>
        <v/>
      </c>
      <c r="R1462" s="249"/>
      <c r="S1462" s="249" t="str">
        <f>S1461</f>
        <v/>
      </c>
      <c r="T1462" s="249"/>
      <c r="U1462" s="490" t="str">
        <f>U1461</f>
        <v/>
      </c>
      <c r="V1462" s="490"/>
      <c r="W1462" s="491"/>
      <c r="X1462" s="248" t="str">
        <f>IF(E1461="","",ROUND(K1462*O1462*U1462,1))</f>
        <v/>
      </c>
      <c r="Y1462" s="249"/>
      <c r="Z1462" s="249"/>
      <c r="AA1462" s="249"/>
      <c r="AB1462" s="248" t="str">
        <f>IF(E1461="","",ROUND(K1462*Q1462*U1462,1))</f>
        <v/>
      </c>
      <c r="AC1462" s="249"/>
      <c r="AD1462" s="249"/>
      <c r="AE1462" s="249"/>
      <c r="AF1462" s="248" t="str">
        <f>IF(E1461="","",ROUND(K1462*S1462*U1462,1))</f>
        <v/>
      </c>
      <c r="AG1462" s="249"/>
      <c r="AH1462" s="249"/>
      <c r="AI1462" s="249"/>
    </row>
    <row r="1463" spans="1:39" s="116" customFormat="1" ht="15.75" hidden="1" customHeight="1">
      <c r="A1463" s="120" t="str">
        <f>IF(H1463="","×","")</f>
        <v>×</v>
      </c>
      <c r="B1463" s="204" t="str">
        <f>IF(D1244="","",D1244)</f>
        <v/>
      </c>
      <c r="C1463" s="205"/>
      <c r="D1463" s="205"/>
      <c r="E1463" s="205" t="str">
        <f>IF(G1244="","",G1244)</f>
        <v/>
      </c>
      <c r="F1463" s="205"/>
      <c r="G1463" s="205"/>
      <c r="H1463" s="145" t="str">
        <f>IF(J1244="","",J1244)</f>
        <v/>
      </c>
      <c r="I1463" s="145"/>
      <c r="J1463" s="145"/>
      <c r="K1463" s="249">
        <f>AF1244*AD$1471</f>
        <v>599.1</v>
      </c>
      <c r="L1463" s="249"/>
      <c r="M1463" s="249"/>
      <c r="N1463" s="483"/>
      <c r="O1463" s="305" t="str">
        <f>IF(E1463="","",IF(E1463="粘性土",1,CHOOSE(AK$1157,X$1154,X$1155)))</f>
        <v/>
      </c>
      <c r="P1463" s="249"/>
      <c r="Q1463" s="249" t="str">
        <f>IF(E1463="","",IF(E1463="粘性土",1,CHOOSE(AK$1157,AB$1154,AB$1155)))</f>
        <v/>
      </c>
      <c r="R1463" s="249"/>
      <c r="S1463" s="249" t="str">
        <f>IF(E1463="","",IF(E1463="粘性土",1,CHOOSE(AK$1157,AF$1154,AF$1155)))</f>
        <v/>
      </c>
      <c r="T1463" s="249"/>
      <c r="U1463" s="490" t="str">
        <f>IF(E1463="","",IF(E1463="粘性土",1,R$1173))</f>
        <v/>
      </c>
      <c r="V1463" s="490"/>
      <c r="W1463" s="491"/>
      <c r="X1463" s="248" t="str">
        <f>IF(E1463="","",ROUND(K1463*O1463*U1463,1))</f>
        <v/>
      </c>
      <c r="Y1463" s="249"/>
      <c r="Z1463" s="249"/>
      <c r="AA1463" s="249"/>
      <c r="AB1463" s="248" t="str">
        <f>IF(E1463="","",ROUND(K1463*Q1463*U1463,1))</f>
        <v/>
      </c>
      <c r="AC1463" s="249"/>
      <c r="AD1463" s="249"/>
      <c r="AE1463" s="249"/>
      <c r="AF1463" s="248" t="str">
        <f>IF(E1463="","",ROUND(K1463*S1463*U1463,1))</f>
        <v/>
      </c>
      <c r="AG1463" s="249"/>
      <c r="AH1463" s="249"/>
      <c r="AI1463" s="249"/>
    </row>
    <row r="1464" spans="1:39" s="116" customFormat="1" ht="15.75" hidden="1" customHeight="1">
      <c r="A1464" s="120" t="str">
        <f>A1463</f>
        <v>×</v>
      </c>
      <c r="B1464" s="204"/>
      <c r="C1464" s="205"/>
      <c r="D1464" s="205"/>
      <c r="E1464" s="205"/>
      <c r="F1464" s="205"/>
      <c r="G1464" s="205"/>
      <c r="H1464" s="145"/>
      <c r="I1464" s="145"/>
      <c r="J1464" s="145"/>
      <c r="K1464" s="249">
        <f>AF1245*AD$1471</f>
        <v>599.1</v>
      </c>
      <c r="L1464" s="249"/>
      <c r="M1464" s="249"/>
      <c r="N1464" s="483"/>
      <c r="O1464" s="305" t="str">
        <f>O1463</f>
        <v/>
      </c>
      <c r="P1464" s="249"/>
      <c r="Q1464" s="249" t="str">
        <f>Q1463</f>
        <v/>
      </c>
      <c r="R1464" s="249"/>
      <c r="S1464" s="249" t="str">
        <f>S1463</f>
        <v/>
      </c>
      <c r="T1464" s="249"/>
      <c r="U1464" s="490" t="str">
        <f>U1463</f>
        <v/>
      </c>
      <c r="V1464" s="490"/>
      <c r="W1464" s="491"/>
      <c r="X1464" s="248" t="str">
        <f>IF(E1463="","",ROUND(K1464*O1464*U1464,1))</f>
        <v/>
      </c>
      <c r="Y1464" s="249"/>
      <c r="Z1464" s="249"/>
      <c r="AA1464" s="249"/>
      <c r="AB1464" s="248" t="str">
        <f>IF(E1463="","",ROUND(K1464*Q1464*U1464,1))</f>
        <v/>
      </c>
      <c r="AC1464" s="249"/>
      <c r="AD1464" s="249"/>
      <c r="AE1464" s="249"/>
      <c r="AF1464" s="248" t="str">
        <f>IF(E1463="","",ROUND(K1464*S1464*U1464,1))</f>
        <v/>
      </c>
      <c r="AG1464" s="249"/>
      <c r="AH1464" s="249"/>
      <c r="AI1464" s="249"/>
    </row>
    <row r="1465" spans="1:39" s="116" customFormat="1" ht="15.75" hidden="1" customHeight="1">
      <c r="A1465" s="120" t="str">
        <f>IF(H1465="","×","")</f>
        <v>×</v>
      </c>
      <c r="B1465" s="204" t="str">
        <f>IF(D1246="","",D1246)</f>
        <v/>
      </c>
      <c r="C1465" s="205"/>
      <c r="D1465" s="205"/>
      <c r="E1465" s="205" t="str">
        <f>IF(G1246="","",G1246)</f>
        <v/>
      </c>
      <c r="F1465" s="205"/>
      <c r="G1465" s="205"/>
      <c r="H1465" s="145" t="str">
        <f>IF(J1246="","",J1246)</f>
        <v/>
      </c>
      <c r="I1465" s="145"/>
      <c r="J1465" s="145"/>
      <c r="K1465" s="249">
        <f>AF1246*AD$1471</f>
        <v>599.1</v>
      </c>
      <c r="L1465" s="249"/>
      <c r="M1465" s="249"/>
      <c r="N1465" s="483"/>
      <c r="O1465" s="305" t="str">
        <f>IF(E1465="","",IF(E1465="粘性土",1,CHOOSE(AK$1157,X$1154,X$1155)))</f>
        <v/>
      </c>
      <c r="P1465" s="249"/>
      <c r="Q1465" s="249" t="str">
        <f>IF(E1465="","",IF(E1465="粘性土",1,CHOOSE(AK$1157,AB$1154,AB$1155)))</f>
        <v/>
      </c>
      <c r="R1465" s="249"/>
      <c r="S1465" s="249" t="str">
        <f>IF(E1465="","",IF(E1465="粘性土",1,CHOOSE(AK$1157,AF$1154,AF$1155)))</f>
        <v/>
      </c>
      <c r="T1465" s="249"/>
      <c r="U1465" s="490" t="str">
        <f>IF(E1465="","",IF(E1465="粘性土",1,R$1173))</f>
        <v/>
      </c>
      <c r="V1465" s="490"/>
      <c r="W1465" s="491"/>
      <c r="X1465" s="248" t="str">
        <f>IF(E1465="","",ROUND(K1465*O1465*U1465,1))</f>
        <v/>
      </c>
      <c r="Y1465" s="249"/>
      <c r="Z1465" s="249"/>
      <c r="AA1465" s="249"/>
      <c r="AB1465" s="248" t="str">
        <f>IF(E1465="","",ROUND(K1465*Q1465*U1465,1))</f>
        <v/>
      </c>
      <c r="AC1465" s="249"/>
      <c r="AD1465" s="249"/>
      <c r="AE1465" s="249"/>
      <c r="AF1465" s="248" t="str">
        <f>IF(E1465="","",ROUND(K1465*S1465*U1465,1))</f>
        <v/>
      </c>
      <c r="AG1465" s="249"/>
      <c r="AH1465" s="249"/>
      <c r="AI1465" s="249"/>
    </row>
    <row r="1466" spans="1:39" s="116" customFormat="1" ht="15.75" hidden="1" customHeight="1">
      <c r="A1466" s="120" t="str">
        <f>A1465</f>
        <v>×</v>
      </c>
      <c r="B1466" s="204"/>
      <c r="C1466" s="205"/>
      <c r="D1466" s="205"/>
      <c r="E1466" s="205"/>
      <c r="F1466" s="205"/>
      <c r="G1466" s="205"/>
      <c r="H1466" s="145"/>
      <c r="I1466" s="145"/>
      <c r="J1466" s="145"/>
      <c r="K1466" s="249">
        <f>AF1247*AD$1471</f>
        <v>599.1</v>
      </c>
      <c r="L1466" s="249"/>
      <c r="M1466" s="249"/>
      <c r="N1466" s="483"/>
      <c r="O1466" s="305" t="str">
        <f t="shared" ref="O1466" si="466">O1465</f>
        <v/>
      </c>
      <c r="P1466" s="249"/>
      <c r="Q1466" s="249" t="str">
        <f t="shared" ref="Q1466" si="467">Q1465</f>
        <v/>
      </c>
      <c r="R1466" s="249"/>
      <c r="S1466" s="249" t="str">
        <f t="shared" ref="S1466" si="468">S1465</f>
        <v/>
      </c>
      <c r="T1466" s="249"/>
      <c r="U1466" s="490" t="str">
        <f>U1465</f>
        <v/>
      </c>
      <c r="V1466" s="490"/>
      <c r="W1466" s="491"/>
      <c r="X1466" s="248" t="str">
        <f>IF(E1465="","",ROUND(K1466*O1466*U1466,1))</f>
        <v/>
      </c>
      <c r="Y1466" s="249"/>
      <c r="Z1466" s="249"/>
      <c r="AA1466" s="249"/>
      <c r="AB1466" s="248" t="str">
        <f>IF(E1465="","",ROUND(K1466*Q1466*U1466,1))</f>
        <v/>
      </c>
      <c r="AC1466" s="249"/>
      <c r="AD1466" s="249"/>
      <c r="AE1466" s="249"/>
      <c r="AF1466" s="248" t="str">
        <f>IF(E1465="","",ROUND(K1466*S1466*U1466,1))</f>
        <v/>
      </c>
      <c r="AG1466" s="249"/>
      <c r="AH1466" s="249"/>
      <c r="AI1466" s="249"/>
    </row>
    <row r="1467" spans="1:39" s="116" customFormat="1" ht="15.75" hidden="1" customHeight="1">
      <c r="A1467" s="120" t="str">
        <f>IF(H1467="","×","")</f>
        <v>×</v>
      </c>
      <c r="B1467" s="204" t="str">
        <f>IF(D1248="","",D1248)</f>
        <v/>
      </c>
      <c r="C1467" s="205"/>
      <c r="D1467" s="205"/>
      <c r="E1467" s="205" t="str">
        <f>IF(G1248="","",G1248)</f>
        <v/>
      </c>
      <c r="F1467" s="205"/>
      <c r="G1467" s="205"/>
      <c r="H1467" s="145" t="str">
        <f>IF(J1248="","",J1248)</f>
        <v/>
      </c>
      <c r="I1467" s="145"/>
      <c r="J1467" s="145"/>
      <c r="K1467" s="249">
        <f>AF1248*AD$1471</f>
        <v>599.1</v>
      </c>
      <c r="L1467" s="249"/>
      <c r="M1467" s="249"/>
      <c r="N1467" s="483"/>
      <c r="O1467" s="305" t="str">
        <f>IF(E1467="","",IF(E1467="粘性土",1,CHOOSE(AK$1157,X$1154,X$1155)))</f>
        <v/>
      </c>
      <c r="P1467" s="249"/>
      <c r="Q1467" s="249" t="str">
        <f>IF(E1467="","",IF(E1467="粘性土",1,CHOOSE(AK$1157,AB$1154,AB$1155)))</f>
        <v/>
      </c>
      <c r="R1467" s="249"/>
      <c r="S1467" s="249" t="str">
        <f>IF(E1467="","",IF(E1467="粘性土",1,CHOOSE(AK$1157,AF$1154,AF$1155)))</f>
        <v/>
      </c>
      <c r="T1467" s="249"/>
      <c r="U1467" s="490" t="str">
        <f>IF(E1467="","",IF(E1467="粘性土",1,R$1173))</f>
        <v/>
      </c>
      <c r="V1467" s="490"/>
      <c r="W1467" s="491"/>
      <c r="X1467" s="248" t="str">
        <f>IF(E1467="","",ROUND(K1467*O1467*U1467,1))</f>
        <v/>
      </c>
      <c r="Y1467" s="249"/>
      <c r="Z1467" s="249"/>
      <c r="AA1467" s="249"/>
      <c r="AB1467" s="248" t="str">
        <f>IF(E1467="","",ROUND(K1467*Q1467*U1467,1))</f>
        <v/>
      </c>
      <c r="AC1467" s="249"/>
      <c r="AD1467" s="249"/>
      <c r="AE1467" s="249"/>
      <c r="AF1467" s="248" t="str">
        <f>IF(E1467="","",ROUND(K1467*S1467*U1467,1))</f>
        <v/>
      </c>
      <c r="AG1467" s="249"/>
      <c r="AH1467" s="249"/>
      <c r="AI1467" s="249"/>
    </row>
    <row r="1468" spans="1:39" s="116" customFormat="1" ht="15.75" hidden="1" customHeight="1">
      <c r="A1468" s="120" t="str">
        <f>A1467</f>
        <v>×</v>
      </c>
      <c r="B1468" s="204"/>
      <c r="C1468" s="205"/>
      <c r="D1468" s="205"/>
      <c r="E1468" s="205"/>
      <c r="F1468" s="205"/>
      <c r="G1468" s="205"/>
      <c r="H1468" s="145"/>
      <c r="I1468" s="145"/>
      <c r="J1468" s="145"/>
      <c r="K1468" s="249">
        <f>AF1249*AD$1471</f>
        <v>599.1</v>
      </c>
      <c r="L1468" s="249"/>
      <c r="M1468" s="249"/>
      <c r="N1468" s="483"/>
      <c r="O1468" s="305" t="str">
        <f t="shared" ref="O1468" si="469">O1467</f>
        <v/>
      </c>
      <c r="P1468" s="249"/>
      <c r="Q1468" s="249" t="str">
        <f t="shared" ref="Q1468" si="470">Q1467</f>
        <v/>
      </c>
      <c r="R1468" s="249"/>
      <c r="S1468" s="249" t="str">
        <f t="shared" ref="S1468" si="471">S1467</f>
        <v/>
      </c>
      <c r="T1468" s="249"/>
      <c r="U1468" s="490" t="str">
        <f>U1467</f>
        <v/>
      </c>
      <c r="V1468" s="490"/>
      <c r="W1468" s="491"/>
      <c r="X1468" s="248" t="str">
        <f>IF(E1467="","",ROUND(K1468*O1468*U1468,1))</f>
        <v/>
      </c>
      <c r="Y1468" s="249"/>
      <c r="Z1468" s="249"/>
      <c r="AA1468" s="249"/>
      <c r="AB1468" s="248" t="str">
        <f>IF(E1467="","",ROUND(K1468*Q1468*U1468,1))</f>
        <v/>
      </c>
      <c r="AC1468" s="249"/>
      <c r="AD1468" s="249"/>
      <c r="AE1468" s="249"/>
      <c r="AF1468" s="248" t="str">
        <f>IF(E1467="","",ROUND(K1468*S1468*U1468,1))</f>
        <v/>
      </c>
      <c r="AG1468" s="249"/>
      <c r="AH1468" s="249"/>
      <c r="AI1468" s="249"/>
    </row>
    <row r="1469" spans="1:39" s="116" customFormat="1" ht="15.75" hidden="1" customHeight="1">
      <c r="A1469" s="120" t="str">
        <f>IF(H1469="","×","")</f>
        <v>×</v>
      </c>
      <c r="B1469" s="204" t="str">
        <f>IF(D1250="","",D1250)</f>
        <v/>
      </c>
      <c r="C1469" s="205"/>
      <c r="D1469" s="205"/>
      <c r="E1469" s="205" t="str">
        <f>IF(G1250="","",G1250)</f>
        <v/>
      </c>
      <c r="F1469" s="205"/>
      <c r="G1469" s="205"/>
      <c r="H1469" s="145" t="str">
        <f>IF(J1250="","",J1250)</f>
        <v/>
      </c>
      <c r="I1469" s="145"/>
      <c r="J1469" s="145"/>
      <c r="K1469" s="249">
        <f>AF1250*AD$1471</f>
        <v>599.1</v>
      </c>
      <c r="L1469" s="249"/>
      <c r="M1469" s="249"/>
      <c r="N1469" s="483"/>
      <c r="O1469" s="305" t="str">
        <f>IF(E1469="","",IF(E1469="粘性土",1,CHOOSE(AK$1157,X$1154,X$1155)))</f>
        <v/>
      </c>
      <c r="P1469" s="249"/>
      <c r="Q1469" s="249" t="str">
        <f>IF(E1469="","",IF(E1469="粘性土",1,CHOOSE(AK$1157,AB$1154,AB$1155)))</f>
        <v/>
      </c>
      <c r="R1469" s="249"/>
      <c r="S1469" s="249" t="str">
        <f>IF(E1469="","",IF(E1469="粘性土",1,CHOOSE(AK$1157,AF$1154,AF$1155)))</f>
        <v/>
      </c>
      <c r="T1469" s="249"/>
      <c r="U1469" s="490" t="str">
        <f>IF(E1469="","",IF(E1469="粘性土",1,R$1173))</f>
        <v/>
      </c>
      <c r="V1469" s="490"/>
      <c r="W1469" s="491"/>
      <c r="X1469" s="248" t="str">
        <f>IF(E1469="","",ROUND(K1469*O1469*U1469,1))</f>
        <v/>
      </c>
      <c r="Y1469" s="249"/>
      <c r="Z1469" s="249"/>
      <c r="AA1469" s="249"/>
      <c r="AB1469" s="248" t="str">
        <f>IF(E1469="","",ROUND(K1469*Q1469*U1469,1))</f>
        <v/>
      </c>
      <c r="AC1469" s="249"/>
      <c r="AD1469" s="249"/>
      <c r="AE1469" s="249"/>
      <c r="AF1469" s="248" t="str">
        <f>IF(E1469="","",ROUND(K1469*S1469*U1469,1))</f>
        <v/>
      </c>
      <c r="AG1469" s="249"/>
      <c r="AH1469" s="249"/>
      <c r="AI1469" s="249"/>
    </row>
    <row r="1470" spans="1:39" s="116" customFormat="1" ht="15.75" hidden="1" customHeight="1">
      <c r="A1470" s="120" t="str">
        <f>A1469</f>
        <v>×</v>
      </c>
      <c r="B1470" s="207"/>
      <c r="C1470" s="208"/>
      <c r="D1470" s="208"/>
      <c r="E1470" s="208"/>
      <c r="F1470" s="208"/>
      <c r="G1470" s="208"/>
      <c r="H1470" s="150"/>
      <c r="I1470" s="150"/>
      <c r="J1470" s="150"/>
      <c r="K1470" s="251">
        <f>AF1251*AD$1471</f>
        <v>599.1</v>
      </c>
      <c r="L1470" s="251"/>
      <c r="M1470" s="251"/>
      <c r="N1470" s="484"/>
      <c r="O1470" s="373" t="str">
        <f t="shared" ref="O1470" si="472">O1469</f>
        <v/>
      </c>
      <c r="P1470" s="251"/>
      <c r="Q1470" s="251" t="str">
        <f t="shared" ref="Q1470" si="473">Q1469</f>
        <v/>
      </c>
      <c r="R1470" s="251"/>
      <c r="S1470" s="251" t="str">
        <f t="shared" ref="S1470" si="474">S1469</f>
        <v/>
      </c>
      <c r="T1470" s="251"/>
      <c r="U1470" s="492" t="str">
        <f>U1469</f>
        <v/>
      </c>
      <c r="V1470" s="492"/>
      <c r="W1470" s="493"/>
      <c r="X1470" s="250" t="str">
        <f>IF(E1469="","",ROUND(K1470*O1470*U1470,1))</f>
        <v/>
      </c>
      <c r="Y1470" s="251"/>
      <c r="Z1470" s="251"/>
      <c r="AA1470" s="251"/>
      <c r="AB1470" s="250" t="str">
        <f>IF(E1469="","",ROUND(K1470*Q1470*U1470,1))</f>
        <v/>
      </c>
      <c r="AC1470" s="251"/>
      <c r="AD1470" s="251"/>
      <c r="AE1470" s="251"/>
      <c r="AF1470" s="250" t="str">
        <f>IF(E1469="","",ROUND(K1470*S1470*U1470,1))</f>
        <v/>
      </c>
      <c r="AG1470" s="251"/>
      <c r="AH1470" s="251"/>
      <c r="AI1470" s="251"/>
    </row>
    <row r="1471" spans="1:39" s="116" customFormat="1" ht="15.75" customHeight="1">
      <c r="B1471" s="449"/>
      <c r="C1471" s="449"/>
      <c r="D1471" s="449"/>
      <c r="E1471" s="449"/>
      <c r="F1471" s="449"/>
      <c r="G1471" s="449"/>
      <c r="H1471" s="118"/>
      <c r="I1471" s="118"/>
      <c r="J1471" s="118"/>
      <c r="K1471" s="118"/>
      <c r="L1471" s="118"/>
      <c r="M1471" s="449"/>
      <c r="N1471" s="449"/>
      <c r="O1471" s="449"/>
      <c r="P1471" s="449"/>
      <c r="Q1471" s="121"/>
      <c r="R1471" s="121"/>
      <c r="S1471" s="449"/>
      <c r="T1471" s="449"/>
      <c r="U1471" s="449"/>
      <c r="V1471" s="449"/>
      <c r="W1471" s="449"/>
      <c r="X1471" s="449"/>
      <c r="Y1471" s="449"/>
      <c r="Z1471" s="449"/>
      <c r="AA1471" s="512" t="s">
        <v>127</v>
      </c>
      <c r="AB1471" s="86" t="s">
        <v>595</v>
      </c>
      <c r="AC1471" s="118" t="s">
        <v>27</v>
      </c>
      <c r="AD1471" s="363">
        <f>杭先端径</f>
        <v>1</v>
      </c>
      <c r="AE1471" s="363"/>
      <c r="AF1471" s="363"/>
      <c r="AG1471" s="515" t="s">
        <v>509</v>
      </c>
      <c r="AH1471" s="118" t="s">
        <v>158</v>
      </c>
      <c r="AI1471" s="449"/>
    </row>
    <row r="1472" spans="1:39" s="116" customFormat="1" ht="15.75" customHeight="1">
      <c r="H1472" s="112"/>
      <c r="I1472" s="112"/>
      <c r="J1472" s="112"/>
      <c r="K1472" s="112"/>
      <c r="L1472" s="112"/>
      <c r="M1472" s="115"/>
      <c r="N1472" s="114"/>
      <c r="O1472" s="114"/>
      <c r="P1472" s="114"/>
      <c r="Q1472" s="115"/>
      <c r="R1472" s="115"/>
      <c r="S1472" s="115"/>
      <c r="T1472" s="115"/>
      <c r="U1472" s="115"/>
      <c r="V1472" s="115"/>
      <c r="W1472" s="115"/>
      <c r="X1472" s="115"/>
      <c r="Y1472" s="115"/>
      <c r="Z1472" s="113"/>
      <c r="AA1472" s="113"/>
      <c r="AB1472" s="113"/>
      <c r="AC1472" s="114"/>
      <c r="AD1472" s="114"/>
      <c r="AE1472" s="114"/>
      <c r="AK1472" s="115"/>
      <c r="AL1472" s="115"/>
      <c r="AM1472" s="115"/>
    </row>
    <row r="1473" spans="1:39" s="116" customFormat="1" ht="15.75" hidden="1" customHeight="1">
      <c r="A1473" s="119" t="str">
        <f>IF(液状化L1の有無="","","×")</f>
        <v>×</v>
      </c>
      <c r="H1473" s="112"/>
      <c r="I1473" s="112"/>
      <c r="J1473" s="112"/>
      <c r="K1473" s="112"/>
      <c r="L1473" s="112"/>
      <c r="M1473" s="115"/>
      <c r="N1473" s="115"/>
      <c r="O1473" s="115"/>
      <c r="P1473" s="115"/>
      <c r="Q1473" s="114"/>
      <c r="R1473" s="114"/>
      <c r="S1473" s="114"/>
      <c r="T1473" s="115"/>
      <c r="U1473" s="115"/>
      <c r="V1473" s="115"/>
      <c r="W1473" s="115"/>
      <c r="X1473" s="115"/>
      <c r="Y1473" s="115"/>
      <c r="Z1473" s="113"/>
      <c r="AA1473" s="113"/>
      <c r="AB1473" s="113"/>
      <c r="AC1473" s="114"/>
      <c r="AD1473" s="114"/>
      <c r="AE1473" s="114"/>
    </row>
    <row r="1474" spans="1:39" s="116" customFormat="1" ht="15.75" hidden="1" customHeight="1">
      <c r="A1474" s="119" t="str">
        <f>IF(液状化L1の有無="","","×")</f>
        <v>×</v>
      </c>
      <c r="B1474" s="61" t="s">
        <v>610</v>
      </c>
      <c r="C1474" s="61"/>
      <c r="D1474" s="85"/>
      <c r="E1474" s="85"/>
      <c r="F1474" s="85"/>
      <c r="G1474" s="61"/>
      <c r="H1474" s="61"/>
      <c r="I1474" s="61"/>
      <c r="J1474" s="61"/>
      <c r="K1474" s="61"/>
      <c r="L1474" s="61"/>
      <c r="M1474" s="61"/>
      <c r="N1474" s="61"/>
      <c r="O1474" s="61"/>
      <c r="P1474" s="61"/>
      <c r="Q1474" s="61"/>
      <c r="R1474" s="61"/>
      <c r="S1474" s="61"/>
      <c r="T1474" s="61"/>
      <c r="U1474" s="61"/>
      <c r="V1474" s="61"/>
      <c r="W1474" s="61"/>
      <c r="X1474" s="61"/>
      <c r="Y1474" s="61"/>
      <c r="Z1474" s="61"/>
      <c r="AA1474" s="85"/>
      <c r="AB1474" s="85"/>
      <c r="AC1474" s="85"/>
      <c r="AD1474" s="85"/>
      <c r="AE1474" s="85"/>
      <c r="AF1474" s="85"/>
      <c r="AG1474" s="85"/>
      <c r="AH1474" s="85"/>
      <c r="AI1474" s="85"/>
    </row>
    <row r="1475" spans="1:39" s="116" customFormat="1" ht="15.75" hidden="1" customHeight="1">
      <c r="A1475" s="119" t="str">
        <f>IF(液状化L1の有無="","","×")</f>
        <v>×</v>
      </c>
      <c r="B1475" s="470" t="s">
        <v>8</v>
      </c>
      <c r="C1475" s="471"/>
      <c r="D1475" s="471"/>
      <c r="E1475" s="471" t="s">
        <v>350</v>
      </c>
      <c r="F1475" s="471"/>
      <c r="G1475" s="471"/>
      <c r="H1475" s="472" t="s">
        <v>190</v>
      </c>
      <c r="I1475" s="472"/>
      <c r="J1475" s="472"/>
      <c r="K1475" s="471" t="s">
        <v>597</v>
      </c>
      <c r="L1475" s="471"/>
      <c r="M1475" s="471"/>
      <c r="N1475" s="485"/>
      <c r="O1475" s="394" t="s">
        <v>286</v>
      </c>
      <c r="P1475" s="165"/>
      <c r="Q1475" s="165"/>
      <c r="R1475" s="165"/>
      <c r="S1475" s="165"/>
      <c r="T1475" s="165"/>
      <c r="U1475" s="165" t="s">
        <v>590</v>
      </c>
      <c r="V1475" s="165"/>
      <c r="W1475" s="254"/>
      <c r="X1475" s="224" t="s">
        <v>286</v>
      </c>
      <c r="Y1475" s="165"/>
      <c r="Z1475" s="165"/>
      <c r="AA1475" s="165"/>
      <c r="AB1475" s="165"/>
      <c r="AC1475" s="165"/>
      <c r="AD1475" s="165"/>
      <c r="AE1475" s="165"/>
      <c r="AF1475" s="165"/>
      <c r="AG1475" s="165"/>
      <c r="AH1475" s="165"/>
      <c r="AI1475" s="247"/>
      <c r="AJ1475" s="311" t="s">
        <v>502</v>
      </c>
      <c r="AK1475" s="300"/>
      <c r="AL1475" s="300"/>
      <c r="AM1475" s="300"/>
    </row>
    <row r="1476" spans="1:39" s="116" customFormat="1" ht="15.75" hidden="1" customHeight="1">
      <c r="A1476" s="119" t="str">
        <f>IF(液状化L1の有無="","","×")</f>
        <v>×</v>
      </c>
      <c r="B1476" s="473"/>
      <c r="C1476" s="474"/>
      <c r="D1476" s="474"/>
      <c r="E1476" s="474"/>
      <c r="F1476" s="474"/>
      <c r="G1476" s="474"/>
      <c r="H1476" s="475"/>
      <c r="I1476" s="475"/>
      <c r="J1476" s="475"/>
      <c r="K1476" s="474"/>
      <c r="L1476" s="474"/>
      <c r="M1476" s="474"/>
      <c r="N1476" s="486"/>
      <c r="O1476" s="487" t="s">
        <v>579</v>
      </c>
      <c r="P1476" s="150"/>
      <c r="Q1476" s="150" t="s">
        <v>580</v>
      </c>
      <c r="R1476" s="150"/>
      <c r="S1476" s="150" t="s">
        <v>581</v>
      </c>
      <c r="T1476" s="150"/>
      <c r="U1476" s="208"/>
      <c r="V1476" s="208"/>
      <c r="W1476" s="258"/>
      <c r="X1476" s="477" t="s">
        <v>579</v>
      </c>
      <c r="Y1476" s="150"/>
      <c r="Z1476" s="150"/>
      <c r="AA1476" s="150"/>
      <c r="AB1476" s="150" t="s">
        <v>580</v>
      </c>
      <c r="AC1476" s="150"/>
      <c r="AD1476" s="150"/>
      <c r="AE1476" s="150"/>
      <c r="AF1476" s="150" t="s">
        <v>581</v>
      </c>
      <c r="AG1476" s="150"/>
      <c r="AH1476" s="150"/>
      <c r="AI1476" s="476"/>
      <c r="AJ1476" s="330"/>
      <c r="AK1476" s="187"/>
      <c r="AL1476" s="187"/>
      <c r="AM1476" s="187"/>
    </row>
    <row r="1477" spans="1:39" s="116" customFormat="1" ht="15.75" hidden="1" customHeight="1">
      <c r="A1477" s="120" t="str">
        <f>IF(液状化L1の有無="",IF(H1477="","×",""),"×")</f>
        <v>×</v>
      </c>
      <c r="B1477" s="224">
        <f>IF(D1222="","",D1222)</f>
        <v>3</v>
      </c>
      <c r="C1477" s="165"/>
      <c r="D1477" s="165"/>
      <c r="E1477" s="165" t="str">
        <f>IF(G1222="","",G1222)</f>
        <v>粘性土</v>
      </c>
      <c r="F1477" s="165"/>
      <c r="G1477" s="165"/>
      <c r="H1477" s="149">
        <f>IF(J1222="","",J1222)</f>
        <v>3</v>
      </c>
      <c r="I1477" s="149"/>
      <c r="J1477" s="149"/>
      <c r="K1477" s="253">
        <f>AF1222*AD$1507*AJ1477</f>
        <v>144.69999999999999</v>
      </c>
      <c r="L1477" s="253"/>
      <c r="M1477" s="253"/>
      <c r="N1477" s="479"/>
      <c r="O1477" s="302">
        <f>IF(E1477="","",IF(E1477="粘性土",1,CHOOSE(AJ$1157,X$1151,X$1152,X$1153)))</f>
        <v>1</v>
      </c>
      <c r="P1477" s="253"/>
      <c r="Q1477" s="253">
        <f>IF(E1477="","",IF(E1477="粘性土",1,CHOOSE(AJ$1157,AB$1151,AB$1152,AB$1153)))</f>
        <v>1</v>
      </c>
      <c r="R1477" s="253"/>
      <c r="S1477" s="253">
        <f>IF(E1477="","",IF(E1477="粘性土",1,CHOOSE(AJ$1157,AF$1151,AF$1152,AF$1153)))</f>
        <v>1</v>
      </c>
      <c r="T1477" s="253"/>
      <c r="U1477" s="488">
        <f>IF(E1477="","",IF(E1477="粘性土",1,R$1173))</f>
        <v>1</v>
      </c>
      <c r="V1477" s="488"/>
      <c r="W1477" s="489"/>
      <c r="X1477" s="252">
        <f>IF(E1477="","",ROUND(K1477*O1477*U1477,1))</f>
        <v>144.69999999999999</v>
      </c>
      <c r="Y1477" s="253"/>
      <c r="Z1477" s="253"/>
      <c r="AA1477" s="253"/>
      <c r="AB1477" s="252">
        <f>IF(E1477="","",ROUND(K1477*Q1477*U1477,1))</f>
        <v>144.69999999999999</v>
      </c>
      <c r="AC1477" s="253"/>
      <c r="AD1477" s="253"/>
      <c r="AE1477" s="253"/>
      <c r="AF1477" s="252">
        <f>IF(E1477="","",ROUND(K1477*S1477*U1477,1))</f>
        <v>144.69999999999999</v>
      </c>
      <c r="AG1477" s="253"/>
      <c r="AH1477" s="253"/>
      <c r="AI1477" s="253"/>
      <c r="AJ1477" s="149">
        <f>Q295</f>
        <v>1</v>
      </c>
      <c r="AK1477" s="149"/>
      <c r="AL1477" s="149"/>
      <c r="AM1477" s="149"/>
    </row>
    <row r="1478" spans="1:39" s="116" customFormat="1" ht="15.75" hidden="1" customHeight="1">
      <c r="A1478" s="120" t="str">
        <f>A1477</f>
        <v>×</v>
      </c>
      <c r="B1478" s="204"/>
      <c r="C1478" s="205"/>
      <c r="D1478" s="205"/>
      <c r="E1478" s="205"/>
      <c r="F1478" s="205"/>
      <c r="G1478" s="205"/>
      <c r="H1478" s="145"/>
      <c r="I1478" s="145"/>
      <c r="J1478" s="145"/>
      <c r="K1478" s="249">
        <f>AF1223*AD$1507*AJ1477</f>
        <v>180</v>
      </c>
      <c r="L1478" s="249"/>
      <c r="M1478" s="249"/>
      <c r="N1478" s="480"/>
      <c r="O1478" s="305">
        <f>O1477</f>
        <v>1</v>
      </c>
      <c r="P1478" s="249"/>
      <c r="Q1478" s="249">
        <f>Q1477</f>
        <v>1</v>
      </c>
      <c r="R1478" s="249"/>
      <c r="S1478" s="249">
        <f>S1477</f>
        <v>1</v>
      </c>
      <c r="T1478" s="249"/>
      <c r="U1478" s="490">
        <f>U1477</f>
        <v>1</v>
      </c>
      <c r="V1478" s="490"/>
      <c r="W1478" s="491"/>
      <c r="X1478" s="248">
        <f>IF(E1477="","",ROUND(K1478*O1478*U1478,1))</f>
        <v>180</v>
      </c>
      <c r="Y1478" s="249"/>
      <c r="Z1478" s="249"/>
      <c r="AA1478" s="249"/>
      <c r="AB1478" s="248">
        <f>IF(E1477="","",ROUND(K1478*Q1478*U1478,1))</f>
        <v>180</v>
      </c>
      <c r="AC1478" s="249"/>
      <c r="AD1478" s="249"/>
      <c r="AE1478" s="249"/>
      <c r="AF1478" s="248">
        <f>IF(E1477="","",ROUND(K1478*S1478*U1478,1))</f>
        <v>180</v>
      </c>
      <c r="AG1478" s="249"/>
      <c r="AH1478" s="249"/>
      <c r="AI1478" s="249"/>
      <c r="AJ1478" s="145"/>
      <c r="AK1478" s="145"/>
      <c r="AL1478" s="145"/>
      <c r="AM1478" s="145"/>
    </row>
    <row r="1479" spans="1:39" s="116" customFormat="1" ht="15.75" hidden="1" customHeight="1">
      <c r="A1479" s="120" t="str">
        <f>IF(液状化L1の有無="",IF(H1479="","×",""),"×")</f>
        <v>×</v>
      </c>
      <c r="B1479" s="204">
        <f>IF(D1224="","",D1224)</f>
        <v>4</v>
      </c>
      <c r="C1479" s="205"/>
      <c r="D1479" s="205"/>
      <c r="E1479" s="205" t="str">
        <f>IF(G1224="","",G1224)</f>
        <v>砂質土</v>
      </c>
      <c r="F1479" s="205"/>
      <c r="G1479" s="205"/>
      <c r="H1479" s="145">
        <f>IF(J1224="","",J1224)</f>
        <v>5</v>
      </c>
      <c r="I1479" s="145"/>
      <c r="J1479" s="145"/>
      <c r="K1479" s="249">
        <f>AF1224*AD$1507*AJ1479</f>
        <v>668.3</v>
      </c>
      <c r="L1479" s="249"/>
      <c r="M1479" s="249"/>
      <c r="N1479" s="480"/>
      <c r="O1479" s="305">
        <f>IF(E1479="","",IF(E1479="粘性土",1,CHOOSE(AJ$1157,X$1151,X$1152,X$1153)))</f>
        <v>1</v>
      </c>
      <c r="P1479" s="249"/>
      <c r="Q1479" s="249">
        <f>IF(E1479="","",IF(E1479="粘性土",1,CHOOSE(AJ$1157,AB$1151,AB$1152,AB$1153)))</f>
        <v>0.8</v>
      </c>
      <c r="R1479" s="249"/>
      <c r="S1479" s="249">
        <f>IF(E1479="","",IF(E1479="粘性土",1,CHOOSE(AJ$1157,AF$1151,AF$1152,AF$1153)))</f>
        <v>0.7</v>
      </c>
      <c r="T1479" s="249"/>
      <c r="U1479" s="490">
        <f>IF(E1479="","",IF(E1479="粘性土",1,R$1173))</f>
        <v>0.76400000000000001</v>
      </c>
      <c r="V1479" s="490"/>
      <c r="W1479" s="491"/>
      <c r="X1479" s="248">
        <f>IF(E1479="","",ROUND(K1479*O1479*U1479,1))</f>
        <v>510.6</v>
      </c>
      <c r="Y1479" s="249"/>
      <c r="Z1479" s="249"/>
      <c r="AA1479" s="249"/>
      <c r="AB1479" s="248">
        <f>IF(E1479="","",ROUND(K1479*Q1479*U1479,1))</f>
        <v>408.5</v>
      </c>
      <c r="AC1479" s="249"/>
      <c r="AD1479" s="249"/>
      <c r="AE1479" s="249"/>
      <c r="AF1479" s="248">
        <f>IF(E1479="","",ROUND(K1479*S1479*U1479,1))</f>
        <v>357.4</v>
      </c>
      <c r="AG1479" s="249"/>
      <c r="AH1479" s="249"/>
      <c r="AI1479" s="249"/>
      <c r="AJ1479" s="145">
        <f>Q296</f>
        <v>1</v>
      </c>
      <c r="AK1479" s="145"/>
      <c r="AL1479" s="145"/>
      <c r="AM1479" s="145"/>
    </row>
    <row r="1480" spans="1:39" s="116" customFormat="1" ht="15.75" hidden="1" customHeight="1">
      <c r="A1480" s="120" t="str">
        <f t="shared" ref="A1480" si="475">A1479</f>
        <v>×</v>
      </c>
      <c r="B1480" s="204"/>
      <c r="C1480" s="205"/>
      <c r="D1480" s="205"/>
      <c r="E1480" s="205"/>
      <c r="F1480" s="205"/>
      <c r="G1480" s="205"/>
      <c r="H1480" s="145"/>
      <c r="I1480" s="145"/>
      <c r="J1480" s="145"/>
      <c r="K1480" s="249">
        <f>AF1225*AD$1507*AJ1479</f>
        <v>1151.9000000000001</v>
      </c>
      <c r="L1480" s="249"/>
      <c r="M1480" s="249"/>
      <c r="N1480" s="480"/>
      <c r="O1480" s="305">
        <f>O1479</f>
        <v>1</v>
      </c>
      <c r="P1480" s="249"/>
      <c r="Q1480" s="249">
        <f>Q1479</f>
        <v>0.8</v>
      </c>
      <c r="R1480" s="249"/>
      <c r="S1480" s="249">
        <f>S1479</f>
        <v>0.7</v>
      </c>
      <c r="T1480" s="249"/>
      <c r="U1480" s="490">
        <f>U1479</f>
        <v>0.76400000000000001</v>
      </c>
      <c r="V1480" s="490"/>
      <c r="W1480" s="491"/>
      <c r="X1480" s="248">
        <f>IF(E1479="","",ROUND(K1480*O1480*U1480,1))</f>
        <v>880.1</v>
      </c>
      <c r="Y1480" s="249"/>
      <c r="Z1480" s="249"/>
      <c r="AA1480" s="249"/>
      <c r="AB1480" s="248">
        <f>IF(E1479="","",ROUND(K1480*Q1480*U1480,1))</f>
        <v>704</v>
      </c>
      <c r="AC1480" s="249"/>
      <c r="AD1480" s="249"/>
      <c r="AE1480" s="249"/>
      <c r="AF1480" s="248">
        <f>IF(E1479="","",ROUND(K1480*S1480*U1480,1))</f>
        <v>616</v>
      </c>
      <c r="AG1480" s="249"/>
      <c r="AH1480" s="249"/>
      <c r="AI1480" s="249"/>
      <c r="AJ1480" s="145"/>
      <c r="AK1480" s="145"/>
      <c r="AL1480" s="145"/>
      <c r="AM1480" s="145"/>
    </row>
    <row r="1481" spans="1:39" s="116" customFormat="1" ht="15.75" hidden="1" customHeight="1">
      <c r="A1481" s="120" t="str">
        <f>IF(液状化L1の有無="",IF(H1481="","×",""),"×")</f>
        <v>×</v>
      </c>
      <c r="B1481" s="204">
        <f>IF(D1226="","",D1226)</f>
        <v>5</v>
      </c>
      <c r="C1481" s="205"/>
      <c r="D1481" s="205"/>
      <c r="E1481" s="205" t="str">
        <f>IF(G1226="","",G1226)</f>
        <v>粘性土</v>
      </c>
      <c r="F1481" s="205"/>
      <c r="G1481" s="205"/>
      <c r="H1481" s="145">
        <f>IF(J1226="","",J1226)</f>
        <v>8</v>
      </c>
      <c r="I1481" s="145"/>
      <c r="J1481" s="145"/>
      <c r="K1481" s="249">
        <f>AF1226*AD$1507*AJ1481</f>
        <v>562.5</v>
      </c>
      <c r="L1481" s="249"/>
      <c r="M1481" s="249"/>
      <c r="N1481" s="480"/>
      <c r="O1481" s="305">
        <f>IF(E1481="","",IF(E1481="粘性土",1,CHOOSE(AJ$1157,X$1151,X$1152,X$1153)))</f>
        <v>1</v>
      </c>
      <c r="P1481" s="249"/>
      <c r="Q1481" s="249">
        <f>IF(E1481="","",IF(E1481="粘性土",1,CHOOSE(AJ$1157,AB$1151,AB$1152,AB$1153)))</f>
        <v>1</v>
      </c>
      <c r="R1481" s="249"/>
      <c r="S1481" s="249">
        <f>IF(E1481="","",IF(E1481="粘性土",1,CHOOSE(AJ$1157,AF$1151,AF$1152,AF$1153)))</f>
        <v>1</v>
      </c>
      <c r="T1481" s="249"/>
      <c r="U1481" s="490">
        <f>IF(E1481="","",IF(E1481="粘性土",1,R$1173))</f>
        <v>1</v>
      </c>
      <c r="V1481" s="490"/>
      <c r="W1481" s="491"/>
      <c r="X1481" s="248">
        <f>IF(E1481="","",ROUND(K1481*O1481*U1481,1))</f>
        <v>562.5</v>
      </c>
      <c r="Y1481" s="249"/>
      <c r="Z1481" s="249"/>
      <c r="AA1481" s="249"/>
      <c r="AB1481" s="248">
        <f>IF(E1481="","",ROUND(K1481*Q1481*U1481,1))</f>
        <v>562.5</v>
      </c>
      <c r="AC1481" s="249"/>
      <c r="AD1481" s="249"/>
      <c r="AE1481" s="249"/>
      <c r="AF1481" s="248">
        <f>IF(E1481="","",ROUND(K1481*S1481*U1481,1))</f>
        <v>562.5</v>
      </c>
      <c r="AG1481" s="249"/>
      <c r="AH1481" s="249"/>
      <c r="AI1481" s="249"/>
      <c r="AJ1481" s="145">
        <f>Q297</f>
        <v>1</v>
      </c>
      <c r="AK1481" s="145"/>
      <c r="AL1481" s="145"/>
      <c r="AM1481" s="145"/>
    </row>
    <row r="1482" spans="1:39" s="116" customFormat="1" ht="15.75" hidden="1" customHeight="1">
      <c r="A1482" s="120" t="str">
        <f t="shared" ref="A1482" si="476">A1481</f>
        <v>×</v>
      </c>
      <c r="B1482" s="204"/>
      <c r="C1482" s="205"/>
      <c r="D1482" s="205"/>
      <c r="E1482" s="205"/>
      <c r="F1482" s="205"/>
      <c r="G1482" s="205"/>
      <c r="H1482" s="145"/>
      <c r="I1482" s="145"/>
      <c r="J1482" s="145"/>
      <c r="K1482" s="249">
        <f>AF1227*AD$1507*AJ1481</f>
        <v>562.5</v>
      </c>
      <c r="L1482" s="249"/>
      <c r="M1482" s="249"/>
      <c r="N1482" s="480"/>
      <c r="O1482" s="305">
        <f>O1481</f>
        <v>1</v>
      </c>
      <c r="P1482" s="249"/>
      <c r="Q1482" s="249">
        <f>Q1481</f>
        <v>1</v>
      </c>
      <c r="R1482" s="249"/>
      <c r="S1482" s="249">
        <f>S1481</f>
        <v>1</v>
      </c>
      <c r="T1482" s="249"/>
      <c r="U1482" s="490">
        <f>U1481</f>
        <v>1</v>
      </c>
      <c r="V1482" s="490"/>
      <c r="W1482" s="491"/>
      <c r="X1482" s="248">
        <f>IF(E1481="","",ROUND(K1482*O1482*U1482,1))</f>
        <v>562.5</v>
      </c>
      <c r="Y1482" s="249"/>
      <c r="Z1482" s="249"/>
      <c r="AA1482" s="249"/>
      <c r="AB1482" s="248">
        <f>IF(E1481="","",ROUND(K1482*Q1482*U1482,1))</f>
        <v>562.5</v>
      </c>
      <c r="AC1482" s="249"/>
      <c r="AD1482" s="249"/>
      <c r="AE1482" s="249"/>
      <c r="AF1482" s="248">
        <f>IF(E1481="","",ROUND(K1482*S1482*U1482,1))</f>
        <v>562.5</v>
      </c>
      <c r="AG1482" s="249"/>
      <c r="AH1482" s="249"/>
      <c r="AI1482" s="249"/>
      <c r="AJ1482" s="145"/>
      <c r="AK1482" s="145"/>
      <c r="AL1482" s="145"/>
      <c r="AM1482" s="145"/>
    </row>
    <row r="1483" spans="1:39" s="116" customFormat="1" ht="15.75" hidden="1" customHeight="1">
      <c r="A1483" s="120" t="str">
        <f>IF(液状化L1の有無="",IF(H1483="","×",""),"×")</f>
        <v>×</v>
      </c>
      <c r="B1483" s="204">
        <f>IF(D1228="","",D1228)</f>
        <v>6</v>
      </c>
      <c r="C1483" s="205"/>
      <c r="D1483" s="205"/>
      <c r="E1483" s="205" t="str">
        <f>IF(G1228="","",G1228)</f>
        <v>粘性土</v>
      </c>
      <c r="F1483" s="205"/>
      <c r="G1483" s="205"/>
      <c r="H1483" s="145">
        <f>IF(J1228="","",J1228)</f>
        <v>4.5</v>
      </c>
      <c r="I1483" s="145"/>
      <c r="J1483" s="145"/>
      <c r="K1483" s="249">
        <f>AF1228*AD$1507*AJ1483</f>
        <v>1125</v>
      </c>
      <c r="L1483" s="249"/>
      <c r="M1483" s="249"/>
      <c r="N1483" s="480"/>
      <c r="O1483" s="305">
        <f>IF(E1483="","",IF(E1483="粘性土",1,CHOOSE(AJ$1157,X$1151,X$1152,X$1153)))</f>
        <v>1</v>
      </c>
      <c r="P1483" s="249"/>
      <c r="Q1483" s="249">
        <f>IF(E1483="","",IF(E1483="粘性土",1,CHOOSE(AJ$1157,AB$1151,AB$1152,AB$1153)))</f>
        <v>1</v>
      </c>
      <c r="R1483" s="249"/>
      <c r="S1483" s="249">
        <f>IF(E1483="","",IF(E1483="粘性土",1,CHOOSE(AJ$1157,AF$1151,AF$1152,AF$1153)))</f>
        <v>1</v>
      </c>
      <c r="T1483" s="249"/>
      <c r="U1483" s="490">
        <f>IF(E1483="","",IF(E1483="粘性土",1,R$1173))</f>
        <v>1</v>
      </c>
      <c r="V1483" s="490"/>
      <c r="W1483" s="491"/>
      <c r="X1483" s="248">
        <f>IF(E1483="","",ROUND(K1483*O1483*U1483,1))</f>
        <v>1125</v>
      </c>
      <c r="Y1483" s="249"/>
      <c r="Z1483" s="249"/>
      <c r="AA1483" s="249"/>
      <c r="AB1483" s="248">
        <f>IF(E1483="","",ROUND(K1483*Q1483*U1483,1))</f>
        <v>1125</v>
      </c>
      <c r="AC1483" s="249"/>
      <c r="AD1483" s="249"/>
      <c r="AE1483" s="249"/>
      <c r="AF1483" s="248">
        <f>IF(E1483="","",ROUND(K1483*S1483*U1483,1))</f>
        <v>1125</v>
      </c>
      <c r="AG1483" s="249"/>
      <c r="AH1483" s="249"/>
      <c r="AI1483" s="249"/>
      <c r="AJ1483" s="145">
        <f>Q298</f>
        <v>1</v>
      </c>
      <c r="AK1483" s="145"/>
      <c r="AL1483" s="145"/>
      <c r="AM1483" s="145"/>
    </row>
    <row r="1484" spans="1:39" s="116" customFormat="1" ht="15.75" hidden="1" customHeight="1">
      <c r="A1484" s="120" t="str">
        <f t="shared" ref="A1484" si="477">A1483</f>
        <v>×</v>
      </c>
      <c r="B1484" s="204"/>
      <c r="C1484" s="205"/>
      <c r="D1484" s="205"/>
      <c r="E1484" s="205"/>
      <c r="F1484" s="205"/>
      <c r="G1484" s="205"/>
      <c r="H1484" s="145"/>
      <c r="I1484" s="145"/>
      <c r="J1484" s="145"/>
      <c r="K1484" s="249">
        <f>AF1229*AD$1507*AJ1483</f>
        <v>1125</v>
      </c>
      <c r="L1484" s="249"/>
      <c r="M1484" s="249"/>
      <c r="N1484" s="480"/>
      <c r="O1484" s="305">
        <f>O1483</f>
        <v>1</v>
      </c>
      <c r="P1484" s="249"/>
      <c r="Q1484" s="249">
        <f>Q1483</f>
        <v>1</v>
      </c>
      <c r="R1484" s="249"/>
      <c r="S1484" s="249">
        <f>S1483</f>
        <v>1</v>
      </c>
      <c r="T1484" s="249"/>
      <c r="U1484" s="490">
        <f>U1483</f>
        <v>1</v>
      </c>
      <c r="V1484" s="490"/>
      <c r="W1484" s="491"/>
      <c r="X1484" s="248">
        <f>IF(E1483="","",ROUND(K1484*O1484*U1484,1))</f>
        <v>1125</v>
      </c>
      <c r="Y1484" s="249"/>
      <c r="Z1484" s="249"/>
      <c r="AA1484" s="249"/>
      <c r="AB1484" s="248">
        <f>IF(E1483="","",ROUND(K1484*Q1484*U1484,1))</f>
        <v>1125</v>
      </c>
      <c r="AC1484" s="249"/>
      <c r="AD1484" s="249"/>
      <c r="AE1484" s="249"/>
      <c r="AF1484" s="248">
        <f>IF(E1483="","",ROUND(K1484*S1484*U1484,1))</f>
        <v>1125</v>
      </c>
      <c r="AG1484" s="249"/>
      <c r="AH1484" s="249"/>
      <c r="AI1484" s="249"/>
      <c r="AJ1484" s="145"/>
      <c r="AK1484" s="145"/>
      <c r="AL1484" s="145"/>
      <c r="AM1484" s="145"/>
    </row>
    <row r="1485" spans="1:39" s="116" customFormat="1" ht="15.75" hidden="1" customHeight="1">
      <c r="A1485" s="120" t="str">
        <f>IF(液状化L1の有無="",IF(H1485="","×",""),"×")</f>
        <v>×</v>
      </c>
      <c r="B1485" s="204">
        <f>IF(D1230="","",D1230)</f>
        <v>7</v>
      </c>
      <c r="C1485" s="205"/>
      <c r="D1485" s="205"/>
      <c r="E1485" s="205" t="str">
        <f>IF(G1230="","",G1230)</f>
        <v>砂礫</v>
      </c>
      <c r="F1485" s="205"/>
      <c r="G1485" s="205"/>
      <c r="H1485" s="145">
        <f>IF(J1230="","",J1230)</f>
        <v>0.5</v>
      </c>
      <c r="I1485" s="145"/>
      <c r="J1485" s="145"/>
      <c r="K1485" s="249">
        <f>AF1230*AD$1507*AJ1485</f>
        <v>2359.9</v>
      </c>
      <c r="L1485" s="249"/>
      <c r="M1485" s="249"/>
      <c r="N1485" s="480"/>
      <c r="O1485" s="305">
        <f>IF(E1485="","",IF(E1485="粘性土",1,CHOOSE(AJ$1157,X$1151,X$1152,X$1153)))</f>
        <v>1</v>
      </c>
      <c r="P1485" s="249"/>
      <c r="Q1485" s="249">
        <f>IF(E1485="","",IF(E1485="粘性土",1,CHOOSE(AJ$1157,AB$1151,AB$1152,AB$1153)))</f>
        <v>0.8</v>
      </c>
      <c r="R1485" s="249"/>
      <c r="S1485" s="249">
        <f>IF(E1485="","",IF(E1485="粘性土",1,CHOOSE(AJ$1157,AF$1151,AF$1152,AF$1153)))</f>
        <v>0.7</v>
      </c>
      <c r="T1485" s="249"/>
      <c r="U1485" s="490">
        <f>IF(E1485="","",IF(E1485="粘性土",1,R$1173))</f>
        <v>0.76400000000000001</v>
      </c>
      <c r="V1485" s="490"/>
      <c r="W1485" s="491"/>
      <c r="X1485" s="248">
        <f>IF(E1485="","",ROUND(K1485*O1485*U1485,1))</f>
        <v>1803</v>
      </c>
      <c r="Y1485" s="249"/>
      <c r="Z1485" s="249"/>
      <c r="AA1485" s="249"/>
      <c r="AB1485" s="248">
        <f>IF(E1485="","",ROUND(K1485*Q1485*U1485,1))</f>
        <v>1442.4</v>
      </c>
      <c r="AC1485" s="249"/>
      <c r="AD1485" s="249"/>
      <c r="AE1485" s="249"/>
      <c r="AF1485" s="248">
        <f>IF(E1485="","",ROUND(K1485*S1485*U1485,1))</f>
        <v>1262.0999999999999</v>
      </c>
      <c r="AG1485" s="249"/>
      <c r="AH1485" s="249"/>
      <c r="AI1485" s="249"/>
      <c r="AJ1485" s="145">
        <f>Q299</f>
        <v>1</v>
      </c>
      <c r="AK1485" s="145"/>
      <c r="AL1485" s="145"/>
      <c r="AM1485" s="145"/>
    </row>
    <row r="1486" spans="1:39" s="116" customFormat="1" ht="15.75" hidden="1" customHeight="1">
      <c r="A1486" s="120" t="str">
        <f t="shared" ref="A1486" si="478">A1485</f>
        <v>×</v>
      </c>
      <c r="B1486" s="204"/>
      <c r="C1486" s="205"/>
      <c r="D1486" s="205"/>
      <c r="E1486" s="205"/>
      <c r="F1486" s="205"/>
      <c r="G1486" s="205"/>
      <c r="H1486" s="145"/>
      <c r="I1486" s="145"/>
      <c r="J1486" s="145"/>
      <c r="K1486" s="249">
        <f>AF1231*AD$1507*AJ1485</f>
        <v>2420.5</v>
      </c>
      <c r="L1486" s="249"/>
      <c r="M1486" s="249"/>
      <c r="N1486" s="480"/>
      <c r="O1486" s="305">
        <f>O1485</f>
        <v>1</v>
      </c>
      <c r="P1486" s="249"/>
      <c r="Q1486" s="249">
        <f>Q1485</f>
        <v>0.8</v>
      </c>
      <c r="R1486" s="249"/>
      <c r="S1486" s="249">
        <f>S1485</f>
        <v>0.7</v>
      </c>
      <c r="T1486" s="249"/>
      <c r="U1486" s="490">
        <f>U1485</f>
        <v>0.76400000000000001</v>
      </c>
      <c r="V1486" s="490"/>
      <c r="W1486" s="491"/>
      <c r="X1486" s="248">
        <f>IF(E1485="","",ROUND(K1486*O1486*U1486,1))</f>
        <v>1849.3</v>
      </c>
      <c r="Y1486" s="249"/>
      <c r="Z1486" s="249"/>
      <c r="AA1486" s="249"/>
      <c r="AB1486" s="248">
        <f>IF(E1485="","",ROUND(K1486*Q1486*U1486,1))</f>
        <v>1479.4</v>
      </c>
      <c r="AC1486" s="249"/>
      <c r="AD1486" s="249"/>
      <c r="AE1486" s="249"/>
      <c r="AF1486" s="248">
        <f>IF(E1485="","",ROUND(K1486*S1486*U1486,1))</f>
        <v>1294.5</v>
      </c>
      <c r="AG1486" s="249"/>
      <c r="AH1486" s="249"/>
      <c r="AI1486" s="249"/>
      <c r="AJ1486" s="145"/>
      <c r="AK1486" s="145"/>
      <c r="AL1486" s="145"/>
      <c r="AM1486" s="145"/>
    </row>
    <row r="1487" spans="1:39" s="116" customFormat="1" ht="15.75" hidden="1" customHeight="1">
      <c r="A1487" s="120" t="str">
        <f>IF(液状化L1の有無="",IF(H1487="","×",""),"×")</f>
        <v>×</v>
      </c>
      <c r="B1487" s="204" t="str">
        <f>IF(D1232="","",D1232)</f>
        <v/>
      </c>
      <c r="C1487" s="205"/>
      <c r="D1487" s="205"/>
      <c r="E1487" s="205" t="str">
        <f>IF(G1232="","",G1232)</f>
        <v/>
      </c>
      <c r="F1487" s="205"/>
      <c r="G1487" s="205"/>
      <c r="H1487" s="145" t="str">
        <f>IF(J1232="","",J1232)</f>
        <v/>
      </c>
      <c r="I1487" s="145"/>
      <c r="J1487" s="145"/>
      <c r="K1487" s="249">
        <f>AF1232*AD$1507*AJ1487</f>
        <v>0</v>
      </c>
      <c r="L1487" s="249"/>
      <c r="M1487" s="249"/>
      <c r="N1487" s="480"/>
      <c r="O1487" s="305" t="str">
        <f>IF(E1487="","",IF(E1487="粘性土",1,CHOOSE(AJ$1157,X$1151,X$1152,X$1153)))</f>
        <v/>
      </c>
      <c r="P1487" s="249"/>
      <c r="Q1487" s="249" t="str">
        <f>IF(E1487="","",IF(E1487="粘性土",1,CHOOSE(AJ$1157,AB$1151,AB$1152,AB$1153)))</f>
        <v/>
      </c>
      <c r="R1487" s="249"/>
      <c r="S1487" s="249" t="str">
        <f>IF(E1487="","",IF(E1487="粘性土",1,CHOOSE(AJ$1157,AF$1151,AF$1152,AF$1153)))</f>
        <v/>
      </c>
      <c r="T1487" s="249"/>
      <c r="U1487" s="490" t="str">
        <f>IF(E1487="","",IF(E1487="粘性土",1,R$1173))</f>
        <v/>
      </c>
      <c r="V1487" s="490"/>
      <c r="W1487" s="491"/>
      <c r="X1487" s="248" t="str">
        <f>IF(E1487="","",ROUND(K1487*O1487*U1487,1))</f>
        <v/>
      </c>
      <c r="Y1487" s="249"/>
      <c r="Z1487" s="249"/>
      <c r="AA1487" s="249"/>
      <c r="AB1487" s="248" t="str">
        <f>IF(E1487="","",ROUND(K1487*Q1487*U1487,1))</f>
        <v/>
      </c>
      <c r="AC1487" s="249"/>
      <c r="AD1487" s="249"/>
      <c r="AE1487" s="249"/>
      <c r="AF1487" s="248" t="str">
        <f>IF(E1487="","",ROUND(K1487*S1487*U1487,1))</f>
        <v/>
      </c>
      <c r="AG1487" s="249"/>
      <c r="AH1487" s="249"/>
      <c r="AI1487" s="249"/>
      <c r="AJ1487" s="145">
        <f>Q300</f>
        <v>0</v>
      </c>
      <c r="AK1487" s="145"/>
      <c r="AL1487" s="145"/>
      <c r="AM1487" s="145"/>
    </row>
    <row r="1488" spans="1:39" s="116" customFormat="1" ht="15.75" hidden="1" customHeight="1">
      <c r="A1488" s="120" t="str">
        <f t="shared" ref="A1488" si="479">A1487</f>
        <v>×</v>
      </c>
      <c r="B1488" s="204"/>
      <c r="C1488" s="205"/>
      <c r="D1488" s="205"/>
      <c r="E1488" s="205"/>
      <c r="F1488" s="205"/>
      <c r="G1488" s="205"/>
      <c r="H1488" s="145"/>
      <c r="I1488" s="145"/>
      <c r="J1488" s="145"/>
      <c r="K1488" s="249">
        <f>AF1233*AD$1507*AJ1487</f>
        <v>0</v>
      </c>
      <c r="L1488" s="249"/>
      <c r="M1488" s="249"/>
      <c r="N1488" s="480"/>
      <c r="O1488" s="305" t="str">
        <f>O1487</f>
        <v/>
      </c>
      <c r="P1488" s="249"/>
      <c r="Q1488" s="249" t="str">
        <f>Q1487</f>
        <v/>
      </c>
      <c r="R1488" s="249"/>
      <c r="S1488" s="249" t="str">
        <f>S1487</f>
        <v/>
      </c>
      <c r="T1488" s="249"/>
      <c r="U1488" s="490" t="str">
        <f>U1487</f>
        <v/>
      </c>
      <c r="V1488" s="490"/>
      <c r="W1488" s="491"/>
      <c r="X1488" s="248" t="str">
        <f>IF(E1487="","",ROUND(K1488*O1488*U1488,1))</f>
        <v/>
      </c>
      <c r="Y1488" s="249"/>
      <c r="Z1488" s="249"/>
      <c r="AA1488" s="249"/>
      <c r="AB1488" s="248" t="str">
        <f>IF(E1487="","",ROUND(K1488*Q1488*U1488,1))</f>
        <v/>
      </c>
      <c r="AC1488" s="249"/>
      <c r="AD1488" s="249"/>
      <c r="AE1488" s="249"/>
      <c r="AF1488" s="248" t="str">
        <f>IF(E1487="","",ROUND(K1488*S1488*U1488,1))</f>
        <v/>
      </c>
      <c r="AG1488" s="249"/>
      <c r="AH1488" s="249"/>
      <c r="AI1488" s="249"/>
      <c r="AJ1488" s="145"/>
      <c r="AK1488" s="145"/>
      <c r="AL1488" s="145"/>
      <c r="AM1488" s="145"/>
    </row>
    <row r="1489" spans="1:39" s="116" customFormat="1" ht="15.75" hidden="1" customHeight="1">
      <c r="A1489" s="120" t="str">
        <f>IF(液状化L1の有無="",IF(H1489="","×",""),"×")</f>
        <v>×</v>
      </c>
      <c r="B1489" s="204" t="str">
        <f>IF(D1234="","",D1234)</f>
        <v/>
      </c>
      <c r="C1489" s="205"/>
      <c r="D1489" s="205"/>
      <c r="E1489" s="205" t="str">
        <f>IF(G1234="","",G1234)</f>
        <v/>
      </c>
      <c r="F1489" s="205"/>
      <c r="G1489" s="205"/>
      <c r="H1489" s="145" t="str">
        <f>IF(J1234="","",J1234)</f>
        <v/>
      </c>
      <c r="I1489" s="145"/>
      <c r="J1489" s="145"/>
      <c r="K1489" s="249">
        <f>AF1234*AD$1507*AJ1489</f>
        <v>0</v>
      </c>
      <c r="L1489" s="249"/>
      <c r="M1489" s="249"/>
      <c r="N1489" s="480"/>
      <c r="O1489" s="305" t="str">
        <f>IF(E1489="","",IF(E1489="粘性土",1,CHOOSE(AJ$1157,X$1151,X$1152,X$1153)))</f>
        <v/>
      </c>
      <c r="P1489" s="249"/>
      <c r="Q1489" s="249" t="str">
        <f>IF(E1489="","",IF(E1489="粘性土",1,CHOOSE(AJ$1157,AB$1151,AB$1152,AB$1153)))</f>
        <v/>
      </c>
      <c r="R1489" s="249"/>
      <c r="S1489" s="249" t="str">
        <f>IF(E1489="","",IF(E1489="粘性土",1,CHOOSE(AJ$1157,AF$1151,AF$1152,AF$1153)))</f>
        <v/>
      </c>
      <c r="T1489" s="249"/>
      <c r="U1489" s="490" t="str">
        <f>IF(E1489="","",IF(E1489="粘性土",1,R$1173))</f>
        <v/>
      </c>
      <c r="V1489" s="490"/>
      <c r="W1489" s="491"/>
      <c r="X1489" s="248" t="str">
        <f>IF(E1489="","",ROUND(K1489*O1489*U1489,1))</f>
        <v/>
      </c>
      <c r="Y1489" s="249"/>
      <c r="Z1489" s="249"/>
      <c r="AA1489" s="249"/>
      <c r="AB1489" s="248" t="str">
        <f>IF(E1489="","",ROUND(K1489*Q1489*U1489,1))</f>
        <v/>
      </c>
      <c r="AC1489" s="249"/>
      <c r="AD1489" s="249"/>
      <c r="AE1489" s="249"/>
      <c r="AF1489" s="248" t="str">
        <f>IF(E1489="","",ROUND(K1489*S1489*U1489,1))</f>
        <v/>
      </c>
      <c r="AG1489" s="249"/>
      <c r="AH1489" s="249"/>
      <c r="AI1489" s="249"/>
      <c r="AJ1489" s="145">
        <f>Q301</f>
        <v>0</v>
      </c>
      <c r="AK1489" s="145"/>
      <c r="AL1489" s="145"/>
      <c r="AM1489" s="145"/>
    </row>
    <row r="1490" spans="1:39" s="116" customFormat="1" ht="15.75" hidden="1" customHeight="1">
      <c r="A1490" s="120" t="str">
        <f t="shared" ref="A1490" si="480">A1489</f>
        <v>×</v>
      </c>
      <c r="B1490" s="204"/>
      <c r="C1490" s="205"/>
      <c r="D1490" s="205"/>
      <c r="E1490" s="205"/>
      <c r="F1490" s="205"/>
      <c r="G1490" s="205"/>
      <c r="H1490" s="145"/>
      <c r="I1490" s="145"/>
      <c r="J1490" s="145"/>
      <c r="K1490" s="249">
        <f>AF1235*AD$1507*AJ1489</f>
        <v>0</v>
      </c>
      <c r="L1490" s="249"/>
      <c r="M1490" s="249"/>
      <c r="N1490" s="480"/>
      <c r="O1490" s="305" t="str">
        <f>O1489</f>
        <v/>
      </c>
      <c r="P1490" s="249"/>
      <c r="Q1490" s="249" t="str">
        <f>Q1489</f>
        <v/>
      </c>
      <c r="R1490" s="249"/>
      <c r="S1490" s="249" t="str">
        <f>S1489</f>
        <v/>
      </c>
      <c r="T1490" s="249"/>
      <c r="U1490" s="490" t="str">
        <f>U1489</f>
        <v/>
      </c>
      <c r="V1490" s="490"/>
      <c r="W1490" s="491"/>
      <c r="X1490" s="248" t="str">
        <f>IF(E1489="","",ROUND(K1490*O1490*U1490,1))</f>
        <v/>
      </c>
      <c r="Y1490" s="249"/>
      <c r="Z1490" s="249"/>
      <c r="AA1490" s="249"/>
      <c r="AB1490" s="248" t="str">
        <f>IF(E1489="","",ROUND(K1490*Q1490*U1490,1))</f>
        <v/>
      </c>
      <c r="AC1490" s="249"/>
      <c r="AD1490" s="249"/>
      <c r="AE1490" s="249"/>
      <c r="AF1490" s="248" t="str">
        <f>IF(E1489="","",ROUND(K1490*S1490*U1490,1))</f>
        <v/>
      </c>
      <c r="AG1490" s="249"/>
      <c r="AH1490" s="249"/>
      <c r="AI1490" s="249"/>
      <c r="AJ1490" s="145"/>
      <c r="AK1490" s="145"/>
      <c r="AL1490" s="145"/>
      <c r="AM1490" s="145"/>
    </row>
    <row r="1491" spans="1:39" s="116" customFormat="1" ht="15.75" hidden="1" customHeight="1">
      <c r="A1491" s="120" t="str">
        <f>IF(液状化L1の有無="",IF(H1491="","×",""),"×")</f>
        <v>×</v>
      </c>
      <c r="B1491" s="204" t="str">
        <f>IF(D1236="","",D1236)</f>
        <v/>
      </c>
      <c r="C1491" s="205"/>
      <c r="D1491" s="205"/>
      <c r="E1491" s="205" t="str">
        <f>IF(G1236="","",G1236)</f>
        <v/>
      </c>
      <c r="F1491" s="205"/>
      <c r="G1491" s="205"/>
      <c r="H1491" s="145" t="str">
        <f>IF(J1236="","",J1236)</f>
        <v/>
      </c>
      <c r="I1491" s="145"/>
      <c r="J1491" s="145"/>
      <c r="K1491" s="249">
        <f>AF1236*AD$1507*AJ1491</f>
        <v>0</v>
      </c>
      <c r="L1491" s="249"/>
      <c r="M1491" s="249"/>
      <c r="N1491" s="480"/>
      <c r="O1491" s="305" t="str">
        <f>IF(E1491="","",IF(E1491="粘性土",1,CHOOSE(AJ$1157,X$1151,X$1152,X$1153)))</f>
        <v/>
      </c>
      <c r="P1491" s="249"/>
      <c r="Q1491" s="249" t="str">
        <f>IF(E1491="","",IF(E1491="粘性土",1,CHOOSE(AJ$1157,AB$1151,AB$1152,AB$1153)))</f>
        <v/>
      </c>
      <c r="R1491" s="249"/>
      <c r="S1491" s="249" t="str">
        <f>IF(E1491="","",IF(E1491="粘性土",1,CHOOSE(AJ$1157,AF$1151,AF$1152,AF$1153)))</f>
        <v/>
      </c>
      <c r="T1491" s="249"/>
      <c r="U1491" s="490" t="str">
        <f>IF(E1491="","",IF(E1491="粘性土",1,R$1173))</f>
        <v/>
      </c>
      <c r="V1491" s="490"/>
      <c r="W1491" s="491"/>
      <c r="X1491" s="248" t="str">
        <f>IF(E1491="","",ROUND(K1491*O1491*U1491,1))</f>
        <v/>
      </c>
      <c r="Y1491" s="249"/>
      <c r="Z1491" s="249"/>
      <c r="AA1491" s="249"/>
      <c r="AB1491" s="248" t="str">
        <f>IF(E1491="","",ROUND(K1491*Q1491*U1491,1))</f>
        <v/>
      </c>
      <c r="AC1491" s="249"/>
      <c r="AD1491" s="249"/>
      <c r="AE1491" s="249"/>
      <c r="AF1491" s="248" t="str">
        <f>IF(E1491="","",ROUND(K1491*S1491*U1491,1))</f>
        <v/>
      </c>
      <c r="AG1491" s="249"/>
      <c r="AH1491" s="249"/>
      <c r="AI1491" s="249"/>
      <c r="AJ1491" s="145">
        <f>Q302</f>
        <v>0</v>
      </c>
      <c r="AK1491" s="145"/>
      <c r="AL1491" s="145"/>
      <c r="AM1491" s="145"/>
    </row>
    <row r="1492" spans="1:39" s="116" customFormat="1" ht="15.75" hidden="1" customHeight="1">
      <c r="A1492" s="120" t="str">
        <f t="shared" ref="A1492" si="481">A1491</f>
        <v>×</v>
      </c>
      <c r="B1492" s="204"/>
      <c r="C1492" s="205"/>
      <c r="D1492" s="205"/>
      <c r="E1492" s="205"/>
      <c r="F1492" s="205"/>
      <c r="G1492" s="205"/>
      <c r="H1492" s="145"/>
      <c r="I1492" s="145"/>
      <c r="J1492" s="145"/>
      <c r="K1492" s="249">
        <f>AF1237*AD$1507*AJ1491</f>
        <v>0</v>
      </c>
      <c r="L1492" s="249"/>
      <c r="M1492" s="249"/>
      <c r="N1492" s="480"/>
      <c r="O1492" s="305" t="str">
        <f>O1491</f>
        <v/>
      </c>
      <c r="P1492" s="249"/>
      <c r="Q1492" s="249" t="str">
        <f>Q1491</f>
        <v/>
      </c>
      <c r="R1492" s="249"/>
      <c r="S1492" s="249" t="str">
        <f>S1491</f>
        <v/>
      </c>
      <c r="T1492" s="249"/>
      <c r="U1492" s="490" t="str">
        <f>U1491</f>
        <v/>
      </c>
      <c r="V1492" s="490"/>
      <c r="W1492" s="491"/>
      <c r="X1492" s="248" t="str">
        <f>IF(E1491="","",ROUND(K1492*O1492*U1492,1))</f>
        <v/>
      </c>
      <c r="Y1492" s="249"/>
      <c r="Z1492" s="249"/>
      <c r="AA1492" s="249"/>
      <c r="AB1492" s="248" t="str">
        <f>IF(E1491="","",ROUND(K1492*Q1492*U1492,1))</f>
        <v/>
      </c>
      <c r="AC1492" s="249"/>
      <c r="AD1492" s="249"/>
      <c r="AE1492" s="249"/>
      <c r="AF1492" s="248" t="str">
        <f>IF(E1491="","",ROUND(K1492*S1492*U1492,1))</f>
        <v/>
      </c>
      <c r="AG1492" s="249"/>
      <c r="AH1492" s="249"/>
      <c r="AI1492" s="249"/>
      <c r="AJ1492" s="145"/>
      <c r="AK1492" s="145"/>
      <c r="AL1492" s="145"/>
      <c r="AM1492" s="145"/>
    </row>
    <row r="1493" spans="1:39" s="116" customFormat="1" ht="15.75" hidden="1" customHeight="1">
      <c r="A1493" s="120" t="str">
        <f>IF(液状化L1の有無="",IF(H1493="","×",""),"×")</f>
        <v>×</v>
      </c>
      <c r="B1493" s="204" t="str">
        <f>IF(D1238="","",D1238)</f>
        <v/>
      </c>
      <c r="C1493" s="205"/>
      <c r="D1493" s="205"/>
      <c r="E1493" s="205" t="str">
        <f>IF(G1238="","",G1238)</f>
        <v/>
      </c>
      <c r="F1493" s="205"/>
      <c r="G1493" s="205"/>
      <c r="H1493" s="145" t="str">
        <f>IF(J1238="","",J1238)</f>
        <v/>
      </c>
      <c r="I1493" s="145"/>
      <c r="J1493" s="145"/>
      <c r="K1493" s="249">
        <f>AF1238*AD$1507*AJ1493</f>
        <v>0</v>
      </c>
      <c r="L1493" s="249"/>
      <c r="M1493" s="249"/>
      <c r="N1493" s="480"/>
      <c r="O1493" s="305" t="str">
        <f>IF(E1493="","",IF(E1493="粘性土",1,CHOOSE(AJ$1157,X$1151,X$1152,X$1153)))</f>
        <v/>
      </c>
      <c r="P1493" s="249"/>
      <c r="Q1493" s="249" t="str">
        <f>IF(E1493="","",IF(E1493="粘性土",1,CHOOSE(AJ$1157,AB$1151,AB$1152,AB$1153)))</f>
        <v/>
      </c>
      <c r="R1493" s="249"/>
      <c r="S1493" s="249" t="str">
        <f>IF(E1493="","",IF(E1493="粘性土",1,CHOOSE(AJ$1157,AF$1151,AF$1152,AF$1153)))</f>
        <v/>
      </c>
      <c r="T1493" s="249"/>
      <c r="U1493" s="490" t="str">
        <f>IF(E1493="","",IF(E1493="粘性土",1,R$1173))</f>
        <v/>
      </c>
      <c r="V1493" s="490"/>
      <c r="W1493" s="491"/>
      <c r="X1493" s="248" t="str">
        <f>IF(E1493="","",ROUND(K1493*O1493*U1493,1))</f>
        <v/>
      </c>
      <c r="Y1493" s="249"/>
      <c r="Z1493" s="249"/>
      <c r="AA1493" s="249"/>
      <c r="AB1493" s="248" t="str">
        <f>IF(E1493="","",ROUND(K1493*Q1493*U1493,1))</f>
        <v/>
      </c>
      <c r="AC1493" s="249"/>
      <c r="AD1493" s="249"/>
      <c r="AE1493" s="249"/>
      <c r="AF1493" s="248" t="str">
        <f>IF(E1493="","",ROUND(K1493*S1493*U1493,1))</f>
        <v/>
      </c>
      <c r="AG1493" s="249"/>
      <c r="AH1493" s="249"/>
      <c r="AI1493" s="249"/>
      <c r="AJ1493" s="145">
        <f>Q303</f>
        <v>0</v>
      </c>
      <c r="AK1493" s="145"/>
      <c r="AL1493" s="145"/>
      <c r="AM1493" s="145"/>
    </row>
    <row r="1494" spans="1:39" s="116" customFormat="1" ht="15.75" hidden="1" customHeight="1">
      <c r="A1494" s="120" t="str">
        <f t="shared" ref="A1494" si="482">A1493</f>
        <v>×</v>
      </c>
      <c r="B1494" s="204"/>
      <c r="C1494" s="205"/>
      <c r="D1494" s="205"/>
      <c r="E1494" s="205"/>
      <c r="F1494" s="205"/>
      <c r="G1494" s="205"/>
      <c r="H1494" s="145"/>
      <c r="I1494" s="145"/>
      <c r="J1494" s="145"/>
      <c r="K1494" s="249">
        <f>AF1239*AD$1507*AJ1493</f>
        <v>0</v>
      </c>
      <c r="L1494" s="249"/>
      <c r="M1494" s="249"/>
      <c r="N1494" s="480"/>
      <c r="O1494" s="305" t="str">
        <f>O1493</f>
        <v/>
      </c>
      <c r="P1494" s="249"/>
      <c r="Q1494" s="249" t="str">
        <f>Q1493</f>
        <v/>
      </c>
      <c r="R1494" s="249"/>
      <c r="S1494" s="249" t="str">
        <f>S1493</f>
        <v/>
      </c>
      <c r="T1494" s="249"/>
      <c r="U1494" s="490" t="str">
        <f>U1493</f>
        <v/>
      </c>
      <c r="V1494" s="490"/>
      <c r="W1494" s="491"/>
      <c r="X1494" s="248" t="str">
        <f>IF(E1493="","",ROUND(K1494*O1494*U1494,1))</f>
        <v/>
      </c>
      <c r="Y1494" s="249"/>
      <c r="Z1494" s="249"/>
      <c r="AA1494" s="249"/>
      <c r="AB1494" s="248" t="str">
        <f>IF(E1493="","",ROUND(K1494*Q1494*U1494,1))</f>
        <v/>
      </c>
      <c r="AC1494" s="249"/>
      <c r="AD1494" s="249"/>
      <c r="AE1494" s="249"/>
      <c r="AF1494" s="248" t="str">
        <f>IF(E1493="","",ROUND(K1494*S1494*U1494,1))</f>
        <v/>
      </c>
      <c r="AG1494" s="249"/>
      <c r="AH1494" s="249"/>
      <c r="AI1494" s="249"/>
      <c r="AJ1494" s="145"/>
      <c r="AK1494" s="145"/>
      <c r="AL1494" s="145"/>
      <c r="AM1494" s="145"/>
    </row>
    <row r="1495" spans="1:39" s="116" customFormat="1" ht="15.75" hidden="1" customHeight="1">
      <c r="A1495" s="120" t="str">
        <f>IF(液状化L1の有無="",IF(H1495="","×",""),"×")</f>
        <v>×</v>
      </c>
      <c r="B1495" s="204" t="str">
        <f>IF(D1240="","",D1240)</f>
        <v/>
      </c>
      <c r="C1495" s="205"/>
      <c r="D1495" s="205"/>
      <c r="E1495" s="205" t="str">
        <f>IF(G1240="","",G1240)</f>
        <v/>
      </c>
      <c r="F1495" s="205"/>
      <c r="G1495" s="205"/>
      <c r="H1495" s="145" t="str">
        <f>IF(J1240="","",J1240)</f>
        <v/>
      </c>
      <c r="I1495" s="145"/>
      <c r="J1495" s="145"/>
      <c r="K1495" s="249">
        <f>AF1240*AD$1507*AJ1495</f>
        <v>0</v>
      </c>
      <c r="L1495" s="249"/>
      <c r="M1495" s="249"/>
      <c r="N1495" s="480"/>
      <c r="O1495" s="305" t="str">
        <f>IF(E1495="","",IF(E1495="粘性土",1,CHOOSE(AJ$1157,X$1151,X$1152,X$1153)))</f>
        <v/>
      </c>
      <c r="P1495" s="249"/>
      <c r="Q1495" s="249" t="str">
        <f>IF(E1495="","",IF(E1495="粘性土",1,CHOOSE(AJ$1157,AB$1151,AB$1152,AB$1153)))</f>
        <v/>
      </c>
      <c r="R1495" s="249"/>
      <c r="S1495" s="249" t="str">
        <f>IF(E1495="","",IF(E1495="粘性土",1,CHOOSE(AJ$1157,AF$1151,AF$1152,AF$1153)))</f>
        <v/>
      </c>
      <c r="T1495" s="249"/>
      <c r="U1495" s="490" t="str">
        <f>IF(E1495="","",IF(E1495="粘性土",1,R$1173))</f>
        <v/>
      </c>
      <c r="V1495" s="490"/>
      <c r="W1495" s="491"/>
      <c r="X1495" s="248" t="str">
        <f>IF(E1495="","",ROUND(K1495*O1495*U1495,1))</f>
        <v/>
      </c>
      <c r="Y1495" s="249"/>
      <c r="Z1495" s="249"/>
      <c r="AA1495" s="249"/>
      <c r="AB1495" s="248" t="str">
        <f>IF(E1495="","",ROUND(K1495*Q1495*U1495,1))</f>
        <v/>
      </c>
      <c r="AC1495" s="249"/>
      <c r="AD1495" s="249"/>
      <c r="AE1495" s="249"/>
      <c r="AF1495" s="248" t="str">
        <f>IF(E1495="","",ROUND(K1495*S1495*U1495,1))</f>
        <v/>
      </c>
      <c r="AG1495" s="249"/>
      <c r="AH1495" s="249"/>
      <c r="AI1495" s="249"/>
      <c r="AJ1495" s="145">
        <f>Q304</f>
        <v>0</v>
      </c>
      <c r="AK1495" s="145"/>
      <c r="AL1495" s="145"/>
      <c r="AM1495" s="145"/>
    </row>
    <row r="1496" spans="1:39" s="116" customFormat="1" ht="15.75" hidden="1" customHeight="1">
      <c r="A1496" s="120" t="str">
        <f t="shared" ref="A1496" si="483">A1495</f>
        <v>×</v>
      </c>
      <c r="B1496" s="204"/>
      <c r="C1496" s="205"/>
      <c r="D1496" s="205"/>
      <c r="E1496" s="205"/>
      <c r="F1496" s="205"/>
      <c r="G1496" s="205"/>
      <c r="H1496" s="145"/>
      <c r="I1496" s="145"/>
      <c r="J1496" s="145"/>
      <c r="K1496" s="249">
        <f>AF1241*AD$1507*AJ1495</f>
        <v>0</v>
      </c>
      <c r="L1496" s="249"/>
      <c r="M1496" s="249"/>
      <c r="N1496" s="480"/>
      <c r="O1496" s="305" t="str">
        <f>O1495</f>
        <v/>
      </c>
      <c r="P1496" s="249"/>
      <c r="Q1496" s="249" t="str">
        <f>Q1495</f>
        <v/>
      </c>
      <c r="R1496" s="249"/>
      <c r="S1496" s="249" t="str">
        <f>S1495</f>
        <v/>
      </c>
      <c r="T1496" s="249"/>
      <c r="U1496" s="490" t="str">
        <f>U1495</f>
        <v/>
      </c>
      <c r="V1496" s="490"/>
      <c r="W1496" s="491"/>
      <c r="X1496" s="248" t="str">
        <f>IF(E1495="","",ROUND(K1496*O1496*U1496,1))</f>
        <v/>
      </c>
      <c r="Y1496" s="249"/>
      <c r="Z1496" s="249"/>
      <c r="AA1496" s="249"/>
      <c r="AB1496" s="248" t="str">
        <f>IF(E1495="","",ROUND(K1496*Q1496*U1496,1))</f>
        <v/>
      </c>
      <c r="AC1496" s="249"/>
      <c r="AD1496" s="249"/>
      <c r="AE1496" s="249"/>
      <c r="AF1496" s="248" t="str">
        <f>IF(E1495="","",ROUND(K1496*S1496*U1496,1))</f>
        <v/>
      </c>
      <c r="AG1496" s="249"/>
      <c r="AH1496" s="249"/>
      <c r="AI1496" s="249"/>
      <c r="AJ1496" s="145"/>
      <c r="AK1496" s="145"/>
      <c r="AL1496" s="145"/>
      <c r="AM1496" s="145"/>
    </row>
    <row r="1497" spans="1:39" s="116" customFormat="1" ht="15.75" hidden="1" customHeight="1">
      <c r="A1497" s="120" t="str">
        <f>IF(液状化L1の有無="",IF(H1497="","×",""),"×")</f>
        <v>×</v>
      </c>
      <c r="B1497" s="204" t="str">
        <f>IF(D1242="","",D1242)</f>
        <v/>
      </c>
      <c r="C1497" s="205"/>
      <c r="D1497" s="205"/>
      <c r="E1497" s="205" t="str">
        <f>IF(G1242="","",G1242)</f>
        <v/>
      </c>
      <c r="F1497" s="205"/>
      <c r="G1497" s="205"/>
      <c r="H1497" s="145" t="str">
        <f>IF(J1242="","",J1242)</f>
        <v/>
      </c>
      <c r="I1497" s="145"/>
      <c r="J1497" s="145"/>
      <c r="K1497" s="249">
        <f>AF1242*AD$1507*AJ1497</f>
        <v>0</v>
      </c>
      <c r="L1497" s="249"/>
      <c r="M1497" s="249"/>
      <c r="N1497" s="480"/>
      <c r="O1497" s="305" t="str">
        <f>IF(E1497="","",IF(E1497="粘性土",1,CHOOSE(AJ$1157,X$1151,X$1152,X$1153)))</f>
        <v/>
      </c>
      <c r="P1497" s="249"/>
      <c r="Q1497" s="249" t="str">
        <f>IF(E1497="","",IF(E1497="粘性土",1,CHOOSE(AJ$1157,AB$1151,AB$1152,AB$1153)))</f>
        <v/>
      </c>
      <c r="R1497" s="249"/>
      <c r="S1497" s="249" t="str">
        <f>IF(E1497="","",IF(E1497="粘性土",1,CHOOSE(AJ$1157,AF$1151,AF$1152,AF$1153)))</f>
        <v/>
      </c>
      <c r="T1497" s="249"/>
      <c r="U1497" s="490" t="str">
        <f>IF(E1497="","",IF(E1497="粘性土",1,R$1173))</f>
        <v/>
      </c>
      <c r="V1497" s="490"/>
      <c r="W1497" s="491"/>
      <c r="X1497" s="248" t="str">
        <f>IF(E1497="","",ROUND(K1497*O1497*U1497,1))</f>
        <v/>
      </c>
      <c r="Y1497" s="249"/>
      <c r="Z1497" s="249"/>
      <c r="AA1497" s="249"/>
      <c r="AB1497" s="248" t="str">
        <f>IF(E1497="","",ROUND(K1497*Q1497*U1497,1))</f>
        <v/>
      </c>
      <c r="AC1497" s="249"/>
      <c r="AD1497" s="249"/>
      <c r="AE1497" s="249"/>
      <c r="AF1497" s="248" t="str">
        <f>IF(E1497="","",ROUND(K1497*S1497*U1497,1))</f>
        <v/>
      </c>
      <c r="AG1497" s="249"/>
      <c r="AH1497" s="249"/>
      <c r="AI1497" s="249"/>
      <c r="AJ1497" s="145">
        <f>Q305</f>
        <v>0</v>
      </c>
      <c r="AK1497" s="145"/>
      <c r="AL1497" s="145"/>
      <c r="AM1497" s="145"/>
    </row>
    <row r="1498" spans="1:39" s="116" customFormat="1" ht="15.75" hidden="1" customHeight="1">
      <c r="A1498" s="120" t="str">
        <f t="shared" ref="A1498" si="484">A1497</f>
        <v>×</v>
      </c>
      <c r="B1498" s="204"/>
      <c r="C1498" s="205"/>
      <c r="D1498" s="205"/>
      <c r="E1498" s="205"/>
      <c r="F1498" s="205"/>
      <c r="G1498" s="205"/>
      <c r="H1498" s="145"/>
      <c r="I1498" s="145"/>
      <c r="J1498" s="145"/>
      <c r="K1498" s="249">
        <f>AF1243*AD$1507*AJ1497</f>
        <v>0</v>
      </c>
      <c r="L1498" s="249"/>
      <c r="M1498" s="249"/>
      <c r="N1498" s="480"/>
      <c r="O1498" s="305" t="str">
        <f>O1497</f>
        <v/>
      </c>
      <c r="P1498" s="249"/>
      <c r="Q1498" s="249" t="str">
        <f>Q1497</f>
        <v/>
      </c>
      <c r="R1498" s="249"/>
      <c r="S1498" s="249" t="str">
        <f>S1497</f>
        <v/>
      </c>
      <c r="T1498" s="249"/>
      <c r="U1498" s="490" t="str">
        <f>U1497</f>
        <v/>
      </c>
      <c r="V1498" s="490"/>
      <c r="W1498" s="491"/>
      <c r="X1498" s="248" t="str">
        <f>IF(E1497="","",ROUND(K1498*O1498*U1498,1))</f>
        <v/>
      </c>
      <c r="Y1498" s="249"/>
      <c r="Z1498" s="249"/>
      <c r="AA1498" s="249"/>
      <c r="AB1498" s="248" t="str">
        <f>IF(E1497="","",ROUND(K1498*Q1498*U1498,1))</f>
        <v/>
      </c>
      <c r="AC1498" s="249"/>
      <c r="AD1498" s="249"/>
      <c r="AE1498" s="249"/>
      <c r="AF1498" s="248" t="str">
        <f>IF(E1497="","",ROUND(K1498*S1498*U1498,1))</f>
        <v/>
      </c>
      <c r="AG1498" s="249"/>
      <c r="AH1498" s="249"/>
      <c r="AI1498" s="249"/>
      <c r="AJ1498" s="145"/>
      <c r="AK1498" s="145"/>
      <c r="AL1498" s="145"/>
      <c r="AM1498" s="145"/>
    </row>
    <row r="1499" spans="1:39" s="116" customFormat="1" ht="15.75" hidden="1" customHeight="1">
      <c r="A1499" s="120" t="str">
        <f>IF(液状化L1の有無="",IF(H1499="","×",""),"×")</f>
        <v>×</v>
      </c>
      <c r="B1499" s="204" t="str">
        <f>IF(D1244="","",D1244)</f>
        <v/>
      </c>
      <c r="C1499" s="205"/>
      <c r="D1499" s="205"/>
      <c r="E1499" s="205" t="str">
        <f>IF(G1244="","",G1244)</f>
        <v/>
      </c>
      <c r="F1499" s="205"/>
      <c r="G1499" s="205"/>
      <c r="H1499" s="145" t="str">
        <f>IF(J1244="","",J1244)</f>
        <v/>
      </c>
      <c r="I1499" s="145"/>
      <c r="J1499" s="145"/>
      <c r="K1499" s="249">
        <f>AF1244*AD$1507*AJ1499</f>
        <v>0</v>
      </c>
      <c r="L1499" s="249"/>
      <c r="M1499" s="249"/>
      <c r="N1499" s="480"/>
      <c r="O1499" s="305" t="str">
        <f>IF(E1499="","",IF(E1499="粘性土",1,CHOOSE(AJ$1157,X$1151,X$1152,X$1153)))</f>
        <v/>
      </c>
      <c r="P1499" s="249"/>
      <c r="Q1499" s="249" t="str">
        <f>IF(E1499="","",IF(E1499="粘性土",1,CHOOSE(AJ$1157,AB$1151,AB$1152,AB$1153)))</f>
        <v/>
      </c>
      <c r="R1499" s="249"/>
      <c r="S1499" s="249" t="str">
        <f>IF(E1499="","",IF(E1499="粘性土",1,CHOOSE(AJ$1157,AF$1151,AF$1152,AF$1153)))</f>
        <v/>
      </c>
      <c r="T1499" s="249"/>
      <c r="U1499" s="490" t="str">
        <f>IF(E1499="","",IF(E1499="粘性土",1,R$1173))</f>
        <v/>
      </c>
      <c r="V1499" s="490"/>
      <c r="W1499" s="491"/>
      <c r="X1499" s="248" t="str">
        <f>IF(E1499="","",ROUND(K1499*O1499*U1499,1))</f>
        <v/>
      </c>
      <c r="Y1499" s="249"/>
      <c r="Z1499" s="249"/>
      <c r="AA1499" s="249"/>
      <c r="AB1499" s="248" t="str">
        <f>IF(E1499="","",ROUND(K1499*Q1499*U1499,1))</f>
        <v/>
      </c>
      <c r="AC1499" s="249"/>
      <c r="AD1499" s="249"/>
      <c r="AE1499" s="249"/>
      <c r="AF1499" s="248" t="str">
        <f>IF(E1499="","",ROUND(K1499*S1499*U1499,1))</f>
        <v/>
      </c>
      <c r="AG1499" s="249"/>
      <c r="AH1499" s="249"/>
      <c r="AI1499" s="249"/>
      <c r="AJ1499" s="145">
        <f>Q306</f>
        <v>0</v>
      </c>
      <c r="AK1499" s="145"/>
      <c r="AL1499" s="145"/>
      <c r="AM1499" s="145"/>
    </row>
    <row r="1500" spans="1:39" s="116" customFormat="1" ht="15.75" hidden="1" customHeight="1">
      <c r="A1500" s="120" t="str">
        <f t="shared" ref="A1500" si="485">A1499</f>
        <v>×</v>
      </c>
      <c r="B1500" s="204"/>
      <c r="C1500" s="205"/>
      <c r="D1500" s="205"/>
      <c r="E1500" s="205"/>
      <c r="F1500" s="205"/>
      <c r="G1500" s="205"/>
      <c r="H1500" s="145"/>
      <c r="I1500" s="145"/>
      <c r="J1500" s="145"/>
      <c r="K1500" s="249">
        <f>AF1245*AD$1507*AJ1499</f>
        <v>0</v>
      </c>
      <c r="L1500" s="249"/>
      <c r="M1500" s="249"/>
      <c r="N1500" s="480"/>
      <c r="O1500" s="305" t="str">
        <f>O1499</f>
        <v/>
      </c>
      <c r="P1500" s="249"/>
      <c r="Q1500" s="249" t="str">
        <f>Q1499</f>
        <v/>
      </c>
      <c r="R1500" s="249"/>
      <c r="S1500" s="249" t="str">
        <f>S1499</f>
        <v/>
      </c>
      <c r="T1500" s="249"/>
      <c r="U1500" s="490" t="str">
        <f>U1499</f>
        <v/>
      </c>
      <c r="V1500" s="490"/>
      <c r="W1500" s="491"/>
      <c r="X1500" s="248" t="str">
        <f>IF(E1499="","",ROUND(K1500*O1500*U1500,1))</f>
        <v/>
      </c>
      <c r="Y1500" s="249"/>
      <c r="Z1500" s="249"/>
      <c r="AA1500" s="249"/>
      <c r="AB1500" s="248" t="str">
        <f>IF(E1499="","",ROUND(K1500*Q1500*U1500,1))</f>
        <v/>
      </c>
      <c r="AC1500" s="249"/>
      <c r="AD1500" s="249"/>
      <c r="AE1500" s="249"/>
      <c r="AF1500" s="248" t="str">
        <f>IF(E1499="","",ROUND(K1500*S1500*U1500,1))</f>
        <v/>
      </c>
      <c r="AG1500" s="249"/>
      <c r="AH1500" s="249"/>
      <c r="AI1500" s="249"/>
      <c r="AJ1500" s="145"/>
      <c r="AK1500" s="145"/>
      <c r="AL1500" s="145"/>
      <c r="AM1500" s="145"/>
    </row>
    <row r="1501" spans="1:39" s="116" customFormat="1" ht="15.75" hidden="1" customHeight="1">
      <c r="A1501" s="120" t="str">
        <f>IF(液状化L1の有無="",IF(H1501="","×",""),"×")</f>
        <v>×</v>
      </c>
      <c r="B1501" s="204" t="str">
        <f>IF(D1246="","",D1246)</f>
        <v/>
      </c>
      <c r="C1501" s="205"/>
      <c r="D1501" s="205"/>
      <c r="E1501" s="205" t="str">
        <f>IF(G1246="","",G1246)</f>
        <v/>
      </c>
      <c r="F1501" s="205"/>
      <c r="G1501" s="205"/>
      <c r="H1501" s="145" t="str">
        <f>IF(J1246="","",J1246)</f>
        <v/>
      </c>
      <c r="I1501" s="145"/>
      <c r="J1501" s="145"/>
      <c r="K1501" s="249">
        <f>AF1246*AD$1507*AJ1501</f>
        <v>0</v>
      </c>
      <c r="L1501" s="249"/>
      <c r="M1501" s="249"/>
      <c r="N1501" s="480"/>
      <c r="O1501" s="305" t="str">
        <f>IF(E1501="","",IF(E1501="粘性土",1,CHOOSE(AJ$1157,X$1151,X$1152,X$1153)))</f>
        <v/>
      </c>
      <c r="P1501" s="249"/>
      <c r="Q1501" s="249" t="str">
        <f>IF(E1501="","",IF(E1501="粘性土",1,CHOOSE(AJ$1157,AB$1151,AB$1152,AB$1153)))</f>
        <v/>
      </c>
      <c r="R1501" s="249"/>
      <c r="S1501" s="249" t="str">
        <f>IF(E1501="","",IF(E1501="粘性土",1,CHOOSE(AJ$1157,AF$1151,AF$1152,AF$1153)))</f>
        <v/>
      </c>
      <c r="T1501" s="249"/>
      <c r="U1501" s="490" t="str">
        <f>IF(E1501="","",IF(E1501="粘性土",1,R$1173))</f>
        <v/>
      </c>
      <c r="V1501" s="490"/>
      <c r="W1501" s="491"/>
      <c r="X1501" s="248" t="str">
        <f>IF(E1501="","",ROUND(K1501*O1501*U1501,1))</f>
        <v/>
      </c>
      <c r="Y1501" s="249"/>
      <c r="Z1501" s="249"/>
      <c r="AA1501" s="249"/>
      <c r="AB1501" s="248" t="str">
        <f>IF(E1501="","",ROUND(K1501*Q1501*U1501,1))</f>
        <v/>
      </c>
      <c r="AC1501" s="249"/>
      <c r="AD1501" s="249"/>
      <c r="AE1501" s="249"/>
      <c r="AF1501" s="248" t="str">
        <f>IF(E1501="","",ROUND(K1501*S1501*U1501,1))</f>
        <v/>
      </c>
      <c r="AG1501" s="249"/>
      <c r="AH1501" s="249"/>
      <c r="AI1501" s="249"/>
      <c r="AJ1501" s="145">
        <f>Q307</f>
        <v>0</v>
      </c>
      <c r="AK1501" s="145"/>
      <c r="AL1501" s="145"/>
      <c r="AM1501" s="145"/>
    </row>
    <row r="1502" spans="1:39" s="116" customFormat="1" ht="15.75" hidden="1" customHeight="1">
      <c r="A1502" s="120" t="str">
        <f t="shared" ref="A1502" si="486">A1501</f>
        <v>×</v>
      </c>
      <c r="B1502" s="204"/>
      <c r="C1502" s="205"/>
      <c r="D1502" s="205"/>
      <c r="E1502" s="205"/>
      <c r="F1502" s="205"/>
      <c r="G1502" s="205"/>
      <c r="H1502" s="145"/>
      <c r="I1502" s="145"/>
      <c r="J1502" s="145"/>
      <c r="K1502" s="249">
        <f>AF1247*AD$1507*AJ1501</f>
        <v>0</v>
      </c>
      <c r="L1502" s="249"/>
      <c r="M1502" s="249"/>
      <c r="N1502" s="480"/>
      <c r="O1502" s="305" t="str">
        <f>O1501</f>
        <v/>
      </c>
      <c r="P1502" s="249"/>
      <c r="Q1502" s="249" t="str">
        <f>Q1501</f>
        <v/>
      </c>
      <c r="R1502" s="249"/>
      <c r="S1502" s="249" t="str">
        <f>S1501</f>
        <v/>
      </c>
      <c r="T1502" s="249"/>
      <c r="U1502" s="490" t="str">
        <f>U1501</f>
        <v/>
      </c>
      <c r="V1502" s="490"/>
      <c r="W1502" s="491"/>
      <c r="X1502" s="248" t="str">
        <f>IF(E1501="","",ROUND(K1502*O1502*U1502,1))</f>
        <v/>
      </c>
      <c r="Y1502" s="249"/>
      <c r="Z1502" s="249"/>
      <c r="AA1502" s="249"/>
      <c r="AB1502" s="248" t="str">
        <f>IF(E1501="","",ROUND(K1502*Q1502*U1502,1))</f>
        <v/>
      </c>
      <c r="AC1502" s="249"/>
      <c r="AD1502" s="249"/>
      <c r="AE1502" s="249"/>
      <c r="AF1502" s="248" t="str">
        <f>IF(E1501="","",ROUND(K1502*S1502*U1502,1))</f>
        <v/>
      </c>
      <c r="AG1502" s="249"/>
      <c r="AH1502" s="249"/>
      <c r="AI1502" s="249"/>
      <c r="AJ1502" s="145"/>
      <c r="AK1502" s="145"/>
      <c r="AL1502" s="145"/>
      <c r="AM1502" s="145"/>
    </row>
    <row r="1503" spans="1:39" s="116" customFormat="1" ht="15.75" hidden="1" customHeight="1">
      <c r="A1503" s="120" t="str">
        <f>IF(液状化L1の有無="",IF(H1503="","×",""),"×")</f>
        <v>×</v>
      </c>
      <c r="B1503" s="204" t="str">
        <f>IF(D1248="","",D1248)</f>
        <v/>
      </c>
      <c r="C1503" s="205"/>
      <c r="D1503" s="205"/>
      <c r="E1503" s="205" t="str">
        <f>IF(G1248="","",G1248)</f>
        <v/>
      </c>
      <c r="F1503" s="205"/>
      <c r="G1503" s="205"/>
      <c r="H1503" s="145" t="str">
        <f>IF(J1248="","",J1248)</f>
        <v/>
      </c>
      <c r="I1503" s="145"/>
      <c r="J1503" s="145"/>
      <c r="K1503" s="249">
        <f>AF1248*AD$1507*AJ1503</f>
        <v>0</v>
      </c>
      <c r="L1503" s="249"/>
      <c r="M1503" s="249"/>
      <c r="N1503" s="480"/>
      <c r="O1503" s="305" t="str">
        <f>IF(E1503="","",IF(E1503="粘性土",1,CHOOSE(AJ$1157,X$1151,X$1152,X$1153)))</f>
        <v/>
      </c>
      <c r="P1503" s="249"/>
      <c r="Q1503" s="249" t="str">
        <f>IF(E1503="","",IF(E1503="粘性土",1,CHOOSE(AJ$1157,AB$1151,AB$1152,AB$1153)))</f>
        <v/>
      </c>
      <c r="R1503" s="249"/>
      <c r="S1503" s="249" t="str">
        <f>IF(E1503="","",IF(E1503="粘性土",1,CHOOSE(AJ$1157,AF$1151,AF$1152,AF$1153)))</f>
        <v/>
      </c>
      <c r="T1503" s="249"/>
      <c r="U1503" s="490" t="str">
        <f>IF(E1503="","",IF(E1503="粘性土",1,R$1173))</f>
        <v/>
      </c>
      <c r="V1503" s="490"/>
      <c r="W1503" s="491"/>
      <c r="X1503" s="248" t="str">
        <f>IF(E1503="","",ROUND(K1503*O1503*U1503,1))</f>
        <v/>
      </c>
      <c r="Y1503" s="249"/>
      <c r="Z1503" s="249"/>
      <c r="AA1503" s="249"/>
      <c r="AB1503" s="248" t="str">
        <f>IF(E1503="","",ROUND(K1503*Q1503*U1503,1))</f>
        <v/>
      </c>
      <c r="AC1503" s="249"/>
      <c r="AD1503" s="249"/>
      <c r="AE1503" s="249"/>
      <c r="AF1503" s="248" t="str">
        <f>IF(E1503="","",ROUND(K1503*S1503*U1503,1))</f>
        <v/>
      </c>
      <c r="AG1503" s="249"/>
      <c r="AH1503" s="249"/>
      <c r="AI1503" s="249"/>
      <c r="AJ1503" s="145">
        <f>Q308</f>
        <v>0</v>
      </c>
      <c r="AK1503" s="145"/>
      <c r="AL1503" s="145"/>
      <c r="AM1503" s="145"/>
    </row>
    <row r="1504" spans="1:39" s="116" customFormat="1" ht="15.75" hidden="1" customHeight="1">
      <c r="A1504" s="120" t="str">
        <f t="shared" ref="A1504" si="487">A1503</f>
        <v>×</v>
      </c>
      <c r="B1504" s="204"/>
      <c r="C1504" s="205"/>
      <c r="D1504" s="205"/>
      <c r="E1504" s="205"/>
      <c r="F1504" s="205"/>
      <c r="G1504" s="205"/>
      <c r="H1504" s="145"/>
      <c r="I1504" s="145"/>
      <c r="J1504" s="145"/>
      <c r="K1504" s="249">
        <f>AF1249*AD$1507*AJ1503</f>
        <v>0</v>
      </c>
      <c r="L1504" s="249"/>
      <c r="M1504" s="249"/>
      <c r="N1504" s="480"/>
      <c r="O1504" s="305" t="str">
        <f>O1503</f>
        <v/>
      </c>
      <c r="P1504" s="249"/>
      <c r="Q1504" s="249" t="str">
        <f>Q1503</f>
        <v/>
      </c>
      <c r="R1504" s="249"/>
      <c r="S1504" s="249" t="str">
        <f>S1503</f>
        <v/>
      </c>
      <c r="T1504" s="249"/>
      <c r="U1504" s="490" t="str">
        <f>U1503</f>
        <v/>
      </c>
      <c r="V1504" s="490"/>
      <c r="W1504" s="491"/>
      <c r="X1504" s="248" t="str">
        <f>IF(E1503="","",ROUND(K1504*O1504*U1504,1))</f>
        <v/>
      </c>
      <c r="Y1504" s="249"/>
      <c r="Z1504" s="249"/>
      <c r="AA1504" s="249"/>
      <c r="AB1504" s="248" t="str">
        <f>IF(E1503="","",ROUND(K1504*Q1504*U1504,1))</f>
        <v/>
      </c>
      <c r="AC1504" s="249"/>
      <c r="AD1504" s="249"/>
      <c r="AE1504" s="249"/>
      <c r="AF1504" s="248" t="str">
        <f>IF(E1503="","",ROUND(K1504*S1504*U1504,1))</f>
        <v/>
      </c>
      <c r="AG1504" s="249"/>
      <c r="AH1504" s="249"/>
      <c r="AI1504" s="249"/>
      <c r="AJ1504" s="145"/>
      <c r="AK1504" s="145"/>
      <c r="AL1504" s="145"/>
      <c r="AM1504" s="145"/>
    </row>
    <row r="1505" spans="1:39" s="116" customFormat="1" ht="15.75" hidden="1" customHeight="1">
      <c r="A1505" s="120" t="str">
        <f>IF(液状化L1の有無="",IF(H1505="","×",""),"×")</f>
        <v>×</v>
      </c>
      <c r="B1505" s="204" t="str">
        <f>IF(D1250="","",D1250)</f>
        <v/>
      </c>
      <c r="C1505" s="205"/>
      <c r="D1505" s="205"/>
      <c r="E1505" s="205" t="str">
        <f>IF(G1250="","",G1250)</f>
        <v/>
      </c>
      <c r="F1505" s="205"/>
      <c r="G1505" s="205"/>
      <c r="H1505" s="145" t="str">
        <f>IF(J1250="","",J1250)</f>
        <v/>
      </c>
      <c r="I1505" s="145"/>
      <c r="J1505" s="145"/>
      <c r="K1505" s="249">
        <f>AF1250*AD$1507*AJ1505</f>
        <v>0</v>
      </c>
      <c r="L1505" s="249"/>
      <c r="M1505" s="249"/>
      <c r="N1505" s="480"/>
      <c r="O1505" s="305" t="str">
        <f>IF(E1505="","",IF(E1505="粘性土",1,CHOOSE(AJ$1157,X$1151,X$1152,X$1153)))</f>
        <v/>
      </c>
      <c r="P1505" s="249"/>
      <c r="Q1505" s="249" t="str">
        <f>IF(E1505="","",IF(E1505="粘性土",1,CHOOSE(AJ$1157,AB$1151,AB$1152,AB$1153)))</f>
        <v/>
      </c>
      <c r="R1505" s="249"/>
      <c r="S1505" s="249" t="str">
        <f>IF(E1505="","",IF(E1505="粘性土",1,CHOOSE(AJ$1157,AF$1151,AF$1152,AF$1153)))</f>
        <v/>
      </c>
      <c r="T1505" s="249"/>
      <c r="U1505" s="490" t="str">
        <f>IF(E1505="","",IF(E1505="粘性土",1,R$1173))</f>
        <v/>
      </c>
      <c r="V1505" s="490"/>
      <c r="W1505" s="491"/>
      <c r="X1505" s="248" t="str">
        <f>IF(E1505="","",ROUND(K1505*O1505*U1505,1))</f>
        <v/>
      </c>
      <c r="Y1505" s="249"/>
      <c r="Z1505" s="249"/>
      <c r="AA1505" s="249"/>
      <c r="AB1505" s="248" t="str">
        <f>IF(E1505="","",ROUND(K1505*Q1505*U1505,1))</f>
        <v/>
      </c>
      <c r="AC1505" s="249"/>
      <c r="AD1505" s="249"/>
      <c r="AE1505" s="249"/>
      <c r="AF1505" s="248" t="str">
        <f>IF(E1505="","",ROUND(K1505*S1505*U1505,1))</f>
        <v/>
      </c>
      <c r="AG1505" s="249"/>
      <c r="AH1505" s="249"/>
      <c r="AI1505" s="249"/>
      <c r="AJ1505" s="145">
        <f>Q309</f>
        <v>0</v>
      </c>
      <c r="AK1505" s="145"/>
      <c r="AL1505" s="145"/>
      <c r="AM1505" s="145"/>
    </row>
    <row r="1506" spans="1:39" s="116" customFormat="1" ht="15.75" hidden="1" customHeight="1">
      <c r="A1506" s="120" t="str">
        <f t="shared" ref="A1506" si="488">A1505</f>
        <v>×</v>
      </c>
      <c r="B1506" s="207"/>
      <c r="C1506" s="208"/>
      <c r="D1506" s="208"/>
      <c r="E1506" s="208"/>
      <c r="F1506" s="208"/>
      <c r="G1506" s="208"/>
      <c r="H1506" s="150"/>
      <c r="I1506" s="150"/>
      <c r="J1506" s="150"/>
      <c r="K1506" s="251">
        <f>AF1251*AD$1507*AJ1505</f>
        <v>0</v>
      </c>
      <c r="L1506" s="251"/>
      <c r="M1506" s="251"/>
      <c r="N1506" s="481"/>
      <c r="O1506" s="373" t="str">
        <f>O1505</f>
        <v/>
      </c>
      <c r="P1506" s="251"/>
      <c r="Q1506" s="251" t="str">
        <f>Q1505</f>
        <v/>
      </c>
      <c r="R1506" s="251"/>
      <c r="S1506" s="251" t="str">
        <f>S1505</f>
        <v/>
      </c>
      <c r="T1506" s="251"/>
      <c r="U1506" s="492" t="str">
        <f>U1505</f>
        <v/>
      </c>
      <c r="V1506" s="492"/>
      <c r="W1506" s="493"/>
      <c r="X1506" s="250" t="str">
        <f>IF(E1505="","",ROUND(K1506*O1506*U1506,1))</f>
        <v/>
      </c>
      <c r="Y1506" s="251"/>
      <c r="Z1506" s="251"/>
      <c r="AA1506" s="251"/>
      <c r="AB1506" s="250" t="str">
        <f>IF(E1505="","",ROUND(K1506*Q1506*U1506,1))</f>
        <v/>
      </c>
      <c r="AC1506" s="251"/>
      <c r="AD1506" s="251"/>
      <c r="AE1506" s="251"/>
      <c r="AF1506" s="250" t="str">
        <f>IF(E1505="","",ROUND(K1506*S1506*U1506,1))</f>
        <v/>
      </c>
      <c r="AG1506" s="251"/>
      <c r="AH1506" s="251"/>
      <c r="AI1506" s="251"/>
      <c r="AJ1506" s="150"/>
      <c r="AK1506" s="150"/>
      <c r="AL1506" s="150"/>
      <c r="AM1506" s="150"/>
    </row>
    <row r="1507" spans="1:39" s="116" customFormat="1" ht="15.75" hidden="1" customHeight="1">
      <c r="A1507" s="119" t="str">
        <f>IF(液状化L1の有無="","","×")</f>
        <v>×</v>
      </c>
      <c r="H1507" s="112"/>
      <c r="I1507" s="112"/>
      <c r="J1507" s="112"/>
      <c r="K1507" s="112"/>
      <c r="L1507" s="112"/>
      <c r="Q1507" s="115"/>
      <c r="R1507" s="115"/>
      <c r="AA1507" s="123" t="s">
        <v>127</v>
      </c>
      <c r="AB1507" s="1" t="s">
        <v>595</v>
      </c>
      <c r="AC1507" s="112" t="s">
        <v>27</v>
      </c>
      <c r="AD1507" s="212">
        <f>杭先端径</f>
        <v>1</v>
      </c>
      <c r="AE1507" s="212"/>
      <c r="AF1507" s="212"/>
      <c r="AG1507" s="7" t="s">
        <v>509</v>
      </c>
      <c r="AH1507" s="112" t="s">
        <v>158</v>
      </c>
    </row>
    <row r="1508" spans="1:39" s="116" customFormat="1" ht="15.75" hidden="1" customHeight="1">
      <c r="A1508" s="119" t="str">
        <f>IF(液状化L2の有無="","","×")</f>
        <v>×</v>
      </c>
      <c r="H1508" s="112"/>
      <c r="I1508" s="112"/>
      <c r="J1508" s="112"/>
      <c r="K1508" s="112"/>
      <c r="L1508" s="112"/>
      <c r="M1508" s="115"/>
      <c r="N1508" s="115"/>
      <c r="O1508" s="115"/>
      <c r="P1508" s="115"/>
      <c r="Q1508" s="114"/>
      <c r="R1508" s="114"/>
      <c r="S1508" s="114"/>
      <c r="T1508" s="115"/>
      <c r="U1508" s="115"/>
      <c r="V1508" s="115"/>
      <c r="W1508" s="115"/>
      <c r="X1508" s="115"/>
      <c r="Y1508" s="115"/>
      <c r="Z1508" s="113"/>
      <c r="AA1508" s="113"/>
      <c r="AB1508" s="113"/>
      <c r="AC1508" s="114"/>
      <c r="AD1508" s="114"/>
      <c r="AE1508" s="114"/>
    </row>
    <row r="1509" spans="1:39" s="116" customFormat="1" ht="15.75" hidden="1" customHeight="1">
      <c r="A1509" s="119" t="str">
        <f>IF(液状化L2の有無="","","×")</f>
        <v>×</v>
      </c>
      <c r="B1509" s="61" t="s">
        <v>611</v>
      </c>
      <c r="C1509" s="61"/>
      <c r="D1509" s="85"/>
      <c r="E1509" s="85"/>
      <c r="F1509" s="85"/>
      <c r="G1509" s="61"/>
      <c r="H1509" s="61"/>
      <c r="I1509" s="61"/>
      <c r="J1509" s="61"/>
      <c r="K1509" s="61"/>
      <c r="L1509" s="61"/>
      <c r="M1509" s="61"/>
      <c r="N1509" s="61"/>
      <c r="O1509" s="61"/>
      <c r="P1509" s="61"/>
      <c r="Q1509" s="61"/>
      <c r="R1509" s="61"/>
      <c r="S1509" s="61"/>
      <c r="T1509" s="61"/>
      <c r="U1509" s="61"/>
      <c r="V1509" s="61"/>
      <c r="W1509" s="61"/>
      <c r="X1509" s="61"/>
      <c r="Y1509" s="61"/>
      <c r="Z1509" s="61"/>
      <c r="AA1509" s="85"/>
      <c r="AB1509" s="85"/>
      <c r="AC1509" s="85"/>
      <c r="AD1509" s="85"/>
      <c r="AE1509" s="85"/>
      <c r="AF1509" s="85"/>
      <c r="AG1509" s="85"/>
      <c r="AH1509" s="85"/>
      <c r="AI1509" s="85"/>
    </row>
    <row r="1510" spans="1:39" s="116" customFormat="1" ht="15.75" hidden="1" customHeight="1">
      <c r="A1510" s="119" t="str">
        <f>IF(液状化L2の有無="","","×")</f>
        <v>×</v>
      </c>
      <c r="B1510" s="470" t="s">
        <v>8</v>
      </c>
      <c r="C1510" s="471"/>
      <c r="D1510" s="471"/>
      <c r="E1510" s="471" t="s">
        <v>350</v>
      </c>
      <c r="F1510" s="471"/>
      <c r="G1510" s="471"/>
      <c r="H1510" s="472" t="s">
        <v>190</v>
      </c>
      <c r="I1510" s="472"/>
      <c r="J1510" s="472"/>
      <c r="K1510" s="471" t="s">
        <v>597</v>
      </c>
      <c r="L1510" s="471"/>
      <c r="M1510" s="471"/>
      <c r="N1510" s="485"/>
      <c r="O1510" s="394" t="s">
        <v>286</v>
      </c>
      <c r="P1510" s="165"/>
      <c r="Q1510" s="165"/>
      <c r="R1510" s="165"/>
      <c r="S1510" s="165"/>
      <c r="T1510" s="165"/>
      <c r="U1510" s="165" t="s">
        <v>590</v>
      </c>
      <c r="V1510" s="165"/>
      <c r="W1510" s="254"/>
      <c r="X1510" s="224" t="s">
        <v>286</v>
      </c>
      <c r="Y1510" s="165"/>
      <c r="Z1510" s="165"/>
      <c r="AA1510" s="165"/>
      <c r="AB1510" s="165"/>
      <c r="AC1510" s="165"/>
      <c r="AD1510" s="165"/>
      <c r="AE1510" s="165"/>
      <c r="AF1510" s="165"/>
      <c r="AG1510" s="165"/>
      <c r="AH1510" s="165"/>
      <c r="AI1510" s="247"/>
      <c r="AJ1510" s="311" t="s">
        <v>502</v>
      </c>
      <c r="AK1510" s="300"/>
      <c r="AL1510" s="300"/>
      <c r="AM1510" s="300"/>
    </row>
    <row r="1511" spans="1:39" s="116" customFormat="1" ht="15.75" hidden="1" customHeight="1">
      <c r="A1511" s="119" t="str">
        <f>IF(液状化L2の有無="","","×")</f>
        <v>×</v>
      </c>
      <c r="B1511" s="473"/>
      <c r="C1511" s="474"/>
      <c r="D1511" s="474"/>
      <c r="E1511" s="474"/>
      <c r="F1511" s="474"/>
      <c r="G1511" s="474"/>
      <c r="H1511" s="475"/>
      <c r="I1511" s="475"/>
      <c r="J1511" s="475"/>
      <c r="K1511" s="474"/>
      <c r="L1511" s="474"/>
      <c r="M1511" s="474"/>
      <c r="N1511" s="486"/>
      <c r="O1511" s="487" t="s">
        <v>579</v>
      </c>
      <c r="P1511" s="150"/>
      <c r="Q1511" s="150" t="s">
        <v>580</v>
      </c>
      <c r="R1511" s="150"/>
      <c r="S1511" s="150" t="s">
        <v>581</v>
      </c>
      <c r="T1511" s="150"/>
      <c r="U1511" s="208"/>
      <c r="V1511" s="208"/>
      <c r="W1511" s="258"/>
      <c r="X1511" s="477" t="s">
        <v>579</v>
      </c>
      <c r="Y1511" s="150"/>
      <c r="Z1511" s="150"/>
      <c r="AA1511" s="150"/>
      <c r="AB1511" s="150" t="s">
        <v>580</v>
      </c>
      <c r="AC1511" s="150"/>
      <c r="AD1511" s="150"/>
      <c r="AE1511" s="150"/>
      <c r="AF1511" s="150" t="s">
        <v>581</v>
      </c>
      <c r="AG1511" s="150"/>
      <c r="AH1511" s="150"/>
      <c r="AI1511" s="476"/>
      <c r="AJ1511" s="330"/>
      <c r="AK1511" s="187"/>
      <c r="AL1511" s="187"/>
      <c r="AM1511" s="187"/>
    </row>
    <row r="1512" spans="1:39" s="116" customFormat="1" ht="15.75" hidden="1" customHeight="1">
      <c r="A1512" s="120" t="str">
        <f>IF(液状化L2の有無="",IF(H1512="","×",""),"×")</f>
        <v>×</v>
      </c>
      <c r="B1512" s="224">
        <f>IF(D1222="","",D1222)</f>
        <v>3</v>
      </c>
      <c r="C1512" s="165"/>
      <c r="D1512" s="165"/>
      <c r="E1512" s="165" t="str">
        <f>IF(G1222="","",G1222)</f>
        <v>粘性土</v>
      </c>
      <c r="F1512" s="165"/>
      <c r="G1512" s="165"/>
      <c r="H1512" s="149">
        <f>IF(J1222="","",J1222)</f>
        <v>3</v>
      </c>
      <c r="I1512" s="149"/>
      <c r="J1512" s="149"/>
      <c r="K1512" s="253">
        <f>AF1222*AD$1542*AJ1512</f>
        <v>144.69999999999999</v>
      </c>
      <c r="L1512" s="253"/>
      <c r="M1512" s="253"/>
      <c r="N1512" s="479"/>
      <c r="O1512" s="302">
        <f>IF(E1512="","",IF(E1512="粘性土",1,CHOOSE(AJ$1157,X$1151,X$1152,X$1153)))</f>
        <v>1</v>
      </c>
      <c r="P1512" s="253"/>
      <c r="Q1512" s="253">
        <f>IF(E1512="","",IF(E1512="粘性土",1,CHOOSE(AJ$1157,AB$1151,AB$1152,AB$1153)))</f>
        <v>1</v>
      </c>
      <c r="R1512" s="253"/>
      <c r="S1512" s="253">
        <f>IF(E1512="","",IF(E1512="粘性土",1,CHOOSE(AJ$1157,AF$1151,AF$1152,AF$1153)))</f>
        <v>1</v>
      </c>
      <c r="T1512" s="253"/>
      <c r="U1512" s="488">
        <f>IF(E1512="","",IF(E1512="粘性土",1,R$1173))</f>
        <v>1</v>
      </c>
      <c r="V1512" s="488"/>
      <c r="W1512" s="489"/>
      <c r="X1512" s="252">
        <f>IF(E1512="","",ROUND(K1512*O1512*U1512,1))</f>
        <v>144.69999999999999</v>
      </c>
      <c r="Y1512" s="253"/>
      <c r="Z1512" s="253"/>
      <c r="AA1512" s="253"/>
      <c r="AB1512" s="252">
        <f>IF(E1512="","",ROUND(K1512*Q1512*U1512,1))</f>
        <v>144.69999999999999</v>
      </c>
      <c r="AC1512" s="253"/>
      <c r="AD1512" s="253"/>
      <c r="AE1512" s="253"/>
      <c r="AF1512" s="252">
        <f>IF(E1512="","",ROUND(K1512*S1512*U1512,1))</f>
        <v>144.69999999999999</v>
      </c>
      <c r="AG1512" s="253"/>
      <c r="AH1512" s="253"/>
      <c r="AI1512" s="253"/>
      <c r="AJ1512" s="149">
        <f>Q317</f>
        <v>1</v>
      </c>
      <c r="AK1512" s="149"/>
      <c r="AL1512" s="149"/>
      <c r="AM1512" s="149"/>
    </row>
    <row r="1513" spans="1:39" s="116" customFormat="1" ht="15.75" hidden="1" customHeight="1">
      <c r="A1513" s="120" t="str">
        <f>A1512</f>
        <v>×</v>
      </c>
      <c r="B1513" s="204"/>
      <c r="C1513" s="205"/>
      <c r="D1513" s="205"/>
      <c r="E1513" s="205"/>
      <c r="F1513" s="205"/>
      <c r="G1513" s="205"/>
      <c r="H1513" s="145"/>
      <c r="I1513" s="145"/>
      <c r="J1513" s="145"/>
      <c r="K1513" s="249">
        <f>AF1223*AD$1542*AJ1512</f>
        <v>180</v>
      </c>
      <c r="L1513" s="249"/>
      <c r="M1513" s="249"/>
      <c r="N1513" s="480"/>
      <c r="O1513" s="305">
        <f>O1512</f>
        <v>1</v>
      </c>
      <c r="P1513" s="249"/>
      <c r="Q1513" s="249">
        <f>Q1512</f>
        <v>1</v>
      </c>
      <c r="R1513" s="249"/>
      <c r="S1513" s="249">
        <f>S1512</f>
        <v>1</v>
      </c>
      <c r="T1513" s="249"/>
      <c r="U1513" s="490">
        <f>U1512</f>
        <v>1</v>
      </c>
      <c r="V1513" s="490"/>
      <c r="W1513" s="491"/>
      <c r="X1513" s="248">
        <f>IF(E1512="","",ROUND(K1513*O1513*U1513,1))</f>
        <v>180</v>
      </c>
      <c r="Y1513" s="249"/>
      <c r="Z1513" s="249"/>
      <c r="AA1513" s="249"/>
      <c r="AB1513" s="248">
        <f>IF(E1512="","",ROUND(K1513*Q1513*U1513,1))</f>
        <v>180</v>
      </c>
      <c r="AC1513" s="249"/>
      <c r="AD1513" s="249"/>
      <c r="AE1513" s="249"/>
      <c r="AF1513" s="248">
        <f>IF(E1512="","",ROUND(K1513*S1513*U1513,1))</f>
        <v>180</v>
      </c>
      <c r="AG1513" s="249"/>
      <c r="AH1513" s="249"/>
      <c r="AI1513" s="249"/>
      <c r="AJ1513" s="145"/>
      <c r="AK1513" s="145"/>
      <c r="AL1513" s="145"/>
      <c r="AM1513" s="145"/>
    </row>
    <row r="1514" spans="1:39" s="116" customFormat="1" ht="15.75" hidden="1" customHeight="1">
      <c r="A1514" s="120" t="str">
        <f>IF(液状化L2の有無="",IF(H1514="","×",""),"×")</f>
        <v>×</v>
      </c>
      <c r="B1514" s="204">
        <f>IF(D1224="","",D1224)</f>
        <v>4</v>
      </c>
      <c r="C1514" s="205"/>
      <c r="D1514" s="205"/>
      <c r="E1514" s="205" t="str">
        <f>IF(G1224="","",G1224)</f>
        <v>砂質土</v>
      </c>
      <c r="F1514" s="205"/>
      <c r="G1514" s="205"/>
      <c r="H1514" s="145">
        <f>IF(J1224="","",J1224)</f>
        <v>5</v>
      </c>
      <c r="I1514" s="145"/>
      <c r="J1514" s="145"/>
      <c r="K1514" s="249">
        <f>AF1224*AD$1542*AJ1514</f>
        <v>668.3</v>
      </c>
      <c r="L1514" s="249"/>
      <c r="M1514" s="249"/>
      <c r="N1514" s="480"/>
      <c r="O1514" s="305">
        <f>IF(E1514="","",IF(E1514="粘性土",1,CHOOSE(AJ$1157,X$1151,X$1152,X$1153)))</f>
        <v>1</v>
      </c>
      <c r="P1514" s="249"/>
      <c r="Q1514" s="249">
        <f>IF(E1514="","",IF(E1514="粘性土",1,CHOOSE(AJ$1157,AB$1151,AB$1152,AB$1153)))</f>
        <v>0.8</v>
      </c>
      <c r="R1514" s="249"/>
      <c r="S1514" s="249">
        <f>IF(E1514="","",IF(E1514="粘性土",1,CHOOSE(AJ$1157,AF$1151,AF$1152,AF$1153)))</f>
        <v>0.7</v>
      </c>
      <c r="T1514" s="249"/>
      <c r="U1514" s="490">
        <f>IF(E1514="","",IF(E1514="粘性土",1,R$1173))</f>
        <v>0.76400000000000001</v>
      </c>
      <c r="V1514" s="490"/>
      <c r="W1514" s="491"/>
      <c r="X1514" s="248">
        <f>IF(E1514="","",ROUND(K1514*O1514*U1514,1))</f>
        <v>510.6</v>
      </c>
      <c r="Y1514" s="249"/>
      <c r="Z1514" s="249"/>
      <c r="AA1514" s="249"/>
      <c r="AB1514" s="248">
        <f>IF(E1514="","",ROUND(K1514*Q1514*U1514,1))</f>
        <v>408.5</v>
      </c>
      <c r="AC1514" s="249"/>
      <c r="AD1514" s="249"/>
      <c r="AE1514" s="249"/>
      <c r="AF1514" s="248">
        <f>IF(E1514="","",ROUND(K1514*S1514*U1514,1))</f>
        <v>357.4</v>
      </c>
      <c r="AG1514" s="249"/>
      <c r="AH1514" s="249"/>
      <c r="AI1514" s="249"/>
      <c r="AJ1514" s="145">
        <f>Q318</f>
        <v>1</v>
      </c>
      <c r="AK1514" s="145"/>
      <c r="AL1514" s="145"/>
      <c r="AM1514" s="145"/>
    </row>
    <row r="1515" spans="1:39" s="116" customFormat="1" ht="15.75" hidden="1" customHeight="1">
      <c r="A1515" s="120" t="str">
        <f t="shared" ref="A1515" si="489">A1514</f>
        <v>×</v>
      </c>
      <c r="B1515" s="204"/>
      <c r="C1515" s="205"/>
      <c r="D1515" s="205"/>
      <c r="E1515" s="205"/>
      <c r="F1515" s="205"/>
      <c r="G1515" s="205"/>
      <c r="H1515" s="145"/>
      <c r="I1515" s="145"/>
      <c r="J1515" s="145"/>
      <c r="K1515" s="249">
        <f>AF1225*AD$1542*AJ1514</f>
        <v>1151.9000000000001</v>
      </c>
      <c r="L1515" s="249"/>
      <c r="M1515" s="249"/>
      <c r="N1515" s="480"/>
      <c r="O1515" s="305">
        <f>O1514</f>
        <v>1</v>
      </c>
      <c r="P1515" s="249"/>
      <c r="Q1515" s="249">
        <f>Q1514</f>
        <v>0.8</v>
      </c>
      <c r="R1515" s="249"/>
      <c r="S1515" s="249">
        <f>S1514</f>
        <v>0.7</v>
      </c>
      <c r="T1515" s="249"/>
      <c r="U1515" s="490">
        <f>U1514</f>
        <v>0.76400000000000001</v>
      </c>
      <c r="V1515" s="490"/>
      <c r="W1515" s="491"/>
      <c r="X1515" s="248">
        <f>IF(E1514="","",ROUND(K1515*O1515*U1515,1))</f>
        <v>880.1</v>
      </c>
      <c r="Y1515" s="249"/>
      <c r="Z1515" s="249"/>
      <c r="AA1515" s="249"/>
      <c r="AB1515" s="248">
        <f>IF(E1514="","",ROUND(K1515*Q1515*U1515,1))</f>
        <v>704</v>
      </c>
      <c r="AC1515" s="249"/>
      <c r="AD1515" s="249"/>
      <c r="AE1515" s="249"/>
      <c r="AF1515" s="248">
        <f>IF(E1514="","",ROUND(K1515*S1515*U1515,1))</f>
        <v>616</v>
      </c>
      <c r="AG1515" s="249"/>
      <c r="AH1515" s="249"/>
      <c r="AI1515" s="249"/>
      <c r="AJ1515" s="145"/>
      <c r="AK1515" s="145"/>
      <c r="AL1515" s="145"/>
      <c r="AM1515" s="145"/>
    </row>
    <row r="1516" spans="1:39" s="116" customFormat="1" ht="15.75" hidden="1" customHeight="1">
      <c r="A1516" s="120" t="str">
        <f>IF(液状化L2の有無="",IF(H1516="","×",""),"×")</f>
        <v>×</v>
      </c>
      <c r="B1516" s="204">
        <f>IF(D1226="","",D1226)</f>
        <v>5</v>
      </c>
      <c r="C1516" s="205"/>
      <c r="D1516" s="205"/>
      <c r="E1516" s="205" t="str">
        <f>IF(G1226="","",G1226)</f>
        <v>粘性土</v>
      </c>
      <c r="F1516" s="205"/>
      <c r="G1516" s="205"/>
      <c r="H1516" s="145">
        <f>IF(J1226="","",J1226)</f>
        <v>8</v>
      </c>
      <c r="I1516" s="145"/>
      <c r="J1516" s="145"/>
      <c r="K1516" s="249">
        <f>AF1226*AD$1542*AJ1516</f>
        <v>562.5</v>
      </c>
      <c r="L1516" s="249"/>
      <c r="M1516" s="249"/>
      <c r="N1516" s="480"/>
      <c r="O1516" s="305">
        <f>IF(E1516="","",IF(E1516="粘性土",1,CHOOSE(AJ$1157,X$1151,X$1152,X$1153)))</f>
        <v>1</v>
      </c>
      <c r="P1516" s="249"/>
      <c r="Q1516" s="249">
        <f>IF(E1516="","",IF(E1516="粘性土",1,CHOOSE(AJ$1157,AB$1151,AB$1152,AB$1153)))</f>
        <v>1</v>
      </c>
      <c r="R1516" s="249"/>
      <c r="S1516" s="249">
        <f>IF(E1516="","",IF(E1516="粘性土",1,CHOOSE(AJ$1157,AF$1151,AF$1152,AF$1153)))</f>
        <v>1</v>
      </c>
      <c r="T1516" s="249"/>
      <c r="U1516" s="490">
        <f>IF(E1516="","",IF(E1516="粘性土",1,R$1173))</f>
        <v>1</v>
      </c>
      <c r="V1516" s="490"/>
      <c r="W1516" s="491"/>
      <c r="X1516" s="248">
        <f>IF(E1516="","",ROUND(K1516*O1516*U1516,1))</f>
        <v>562.5</v>
      </c>
      <c r="Y1516" s="249"/>
      <c r="Z1516" s="249"/>
      <c r="AA1516" s="249"/>
      <c r="AB1516" s="248">
        <f>IF(E1516="","",ROUND(K1516*Q1516*U1516,1))</f>
        <v>562.5</v>
      </c>
      <c r="AC1516" s="249"/>
      <c r="AD1516" s="249"/>
      <c r="AE1516" s="249"/>
      <c r="AF1516" s="248">
        <f>IF(E1516="","",ROUND(K1516*S1516*U1516,1))</f>
        <v>562.5</v>
      </c>
      <c r="AG1516" s="249"/>
      <c r="AH1516" s="249"/>
      <c r="AI1516" s="249"/>
      <c r="AJ1516" s="145">
        <f>Q319</f>
        <v>1</v>
      </c>
      <c r="AK1516" s="145"/>
      <c r="AL1516" s="145"/>
      <c r="AM1516" s="145"/>
    </row>
    <row r="1517" spans="1:39" s="116" customFormat="1" ht="15.75" hidden="1" customHeight="1">
      <c r="A1517" s="120" t="str">
        <f t="shared" ref="A1517" si="490">A1516</f>
        <v>×</v>
      </c>
      <c r="B1517" s="204"/>
      <c r="C1517" s="205"/>
      <c r="D1517" s="205"/>
      <c r="E1517" s="205"/>
      <c r="F1517" s="205"/>
      <c r="G1517" s="205"/>
      <c r="H1517" s="145"/>
      <c r="I1517" s="145"/>
      <c r="J1517" s="145"/>
      <c r="K1517" s="249">
        <f>AF1227*AD$1542*AJ1516</f>
        <v>562.5</v>
      </c>
      <c r="L1517" s="249"/>
      <c r="M1517" s="249"/>
      <c r="N1517" s="480"/>
      <c r="O1517" s="305">
        <f>O1516</f>
        <v>1</v>
      </c>
      <c r="P1517" s="249"/>
      <c r="Q1517" s="249">
        <f>Q1516</f>
        <v>1</v>
      </c>
      <c r="R1517" s="249"/>
      <c r="S1517" s="249">
        <f>S1516</f>
        <v>1</v>
      </c>
      <c r="T1517" s="249"/>
      <c r="U1517" s="490">
        <f>U1516</f>
        <v>1</v>
      </c>
      <c r="V1517" s="490"/>
      <c r="W1517" s="491"/>
      <c r="X1517" s="248">
        <f>IF(E1516="","",ROUND(K1517*O1517*U1517,1))</f>
        <v>562.5</v>
      </c>
      <c r="Y1517" s="249"/>
      <c r="Z1517" s="249"/>
      <c r="AA1517" s="249"/>
      <c r="AB1517" s="248">
        <f>IF(E1516="","",ROUND(K1517*Q1517*U1517,1))</f>
        <v>562.5</v>
      </c>
      <c r="AC1517" s="249"/>
      <c r="AD1517" s="249"/>
      <c r="AE1517" s="249"/>
      <c r="AF1517" s="248">
        <f>IF(E1516="","",ROUND(K1517*S1517*U1517,1))</f>
        <v>562.5</v>
      </c>
      <c r="AG1517" s="249"/>
      <c r="AH1517" s="249"/>
      <c r="AI1517" s="249"/>
      <c r="AJ1517" s="145"/>
      <c r="AK1517" s="145"/>
      <c r="AL1517" s="145"/>
      <c r="AM1517" s="145"/>
    </row>
    <row r="1518" spans="1:39" s="116" customFormat="1" ht="15.75" hidden="1" customHeight="1">
      <c r="A1518" s="120" t="str">
        <f>IF(液状化L2の有無="",IF(H1518="","×",""),"×")</f>
        <v>×</v>
      </c>
      <c r="B1518" s="204">
        <f>IF(D1228="","",D1228)</f>
        <v>6</v>
      </c>
      <c r="C1518" s="205"/>
      <c r="D1518" s="205"/>
      <c r="E1518" s="205" t="str">
        <f>IF(G1228="","",G1228)</f>
        <v>粘性土</v>
      </c>
      <c r="F1518" s="205"/>
      <c r="G1518" s="205"/>
      <c r="H1518" s="145">
        <f>IF(J1228="","",J1228)</f>
        <v>4.5</v>
      </c>
      <c r="I1518" s="145"/>
      <c r="J1518" s="145"/>
      <c r="K1518" s="249">
        <f>AF1228*AD$1542*AJ1518</f>
        <v>1125</v>
      </c>
      <c r="L1518" s="249"/>
      <c r="M1518" s="249"/>
      <c r="N1518" s="480"/>
      <c r="O1518" s="305">
        <f>IF(E1518="","",IF(E1518="粘性土",1,CHOOSE(AJ$1157,X$1151,X$1152,X$1153)))</f>
        <v>1</v>
      </c>
      <c r="P1518" s="249"/>
      <c r="Q1518" s="249">
        <f>IF(E1518="","",IF(E1518="粘性土",1,CHOOSE(AJ$1157,AB$1151,AB$1152,AB$1153)))</f>
        <v>1</v>
      </c>
      <c r="R1518" s="249"/>
      <c r="S1518" s="249">
        <f>IF(E1518="","",IF(E1518="粘性土",1,CHOOSE(AJ$1157,AF$1151,AF$1152,AF$1153)))</f>
        <v>1</v>
      </c>
      <c r="T1518" s="249"/>
      <c r="U1518" s="490">
        <f>IF(E1518="","",IF(E1518="粘性土",1,R$1173))</f>
        <v>1</v>
      </c>
      <c r="V1518" s="490"/>
      <c r="W1518" s="491"/>
      <c r="X1518" s="248">
        <f>IF(E1518="","",ROUND(K1518*O1518*U1518,1))</f>
        <v>1125</v>
      </c>
      <c r="Y1518" s="249"/>
      <c r="Z1518" s="249"/>
      <c r="AA1518" s="249"/>
      <c r="AB1518" s="248">
        <f>IF(E1518="","",ROUND(K1518*Q1518*U1518,1))</f>
        <v>1125</v>
      </c>
      <c r="AC1518" s="249"/>
      <c r="AD1518" s="249"/>
      <c r="AE1518" s="249"/>
      <c r="AF1518" s="248">
        <f>IF(E1518="","",ROUND(K1518*S1518*U1518,1))</f>
        <v>1125</v>
      </c>
      <c r="AG1518" s="249"/>
      <c r="AH1518" s="249"/>
      <c r="AI1518" s="249"/>
      <c r="AJ1518" s="145">
        <f>Q320</f>
        <v>1</v>
      </c>
      <c r="AK1518" s="145"/>
      <c r="AL1518" s="145"/>
      <c r="AM1518" s="145"/>
    </row>
    <row r="1519" spans="1:39" s="116" customFormat="1" ht="15.75" hidden="1" customHeight="1">
      <c r="A1519" s="120" t="str">
        <f t="shared" ref="A1519" si="491">A1518</f>
        <v>×</v>
      </c>
      <c r="B1519" s="204"/>
      <c r="C1519" s="205"/>
      <c r="D1519" s="205"/>
      <c r="E1519" s="205"/>
      <c r="F1519" s="205"/>
      <c r="G1519" s="205"/>
      <c r="H1519" s="145"/>
      <c r="I1519" s="145"/>
      <c r="J1519" s="145"/>
      <c r="K1519" s="249">
        <f>AF1229*AD$1542*AJ1518</f>
        <v>1125</v>
      </c>
      <c r="L1519" s="249"/>
      <c r="M1519" s="249"/>
      <c r="N1519" s="480"/>
      <c r="O1519" s="305">
        <f>O1518</f>
        <v>1</v>
      </c>
      <c r="P1519" s="249"/>
      <c r="Q1519" s="249">
        <f>Q1518</f>
        <v>1</v>
      </c>
      <c r="R1519" s="249"/>
      <c r="S1519" s="249">
        <f>S1518</f>
        <v>1</v>
      </c>
      <c r="T1519" s="249"/>
      <c r="U1519" s="490">
        <f>U1518</f>
        <v>1</v>
      </c>
      <c r="V1519" s="490"/>
      <c r="W1519" s="491"/>
      <c r="X1519" s="248">
        <f>IF(E1518="","",ROUND(K1519*O1519*U1519,1))</f>
        <v>1125</v>
      </c>
      <c r="Y1519" s="249"/>
      <c r="Z1519" s="249"/>
      <c r="AA1519" s="249"/>
      <c r="AB1519" s="248">
        <f>IF(E1518="","",ROUND(K1519*Q1519*U1519,1))</f>
        <v>1125</v>
      </c>
      <c r="AC1519" s="249"/>
      <c r="AD1519" s="249"/>
      <c r="AE1519" s="249"/>
      <c r="AF1519" s="248">
        <f>IF(E1518="","",ROUND(K1519*S1519*U1519,1))</f>
        <v>1125</v>
      </c>
      <c r="AG1519" s="249"/>
      <c r="AH1519" s="249"/>
      <c r="AI1519" s="249"/>
      <c r="AJ1519" s="145"/>
      <c r="AK1519" s="145"/>
      <c r="AL1519" s="145"/>
      <c r="AM1519" s="145"/>
    </row>
    <row r="1520" spans="1:39" s="116" customFormat="1" ht="15.75" hidden="1" customHeight="1">
      <c r="A1520" s="120" t="str">
        <f>IF(液状化L2の有無="",IF(H1520="","×",""),"×")</f>
        <v>×</v>
      </c>
      <c r="B1520" s="204">
        <f>IF(D1230="","",D1230)</f>
        <v>7</v>
      </c>
      <c r="C1520" s="205"/>
      <c r="D1520" s="205"/>
      <c r="E1520" s="205" t="str">
        <f>IF(G1230="","",G1230)</f>
        <v>砂礫</v>
      </c>
      <c r="F1520" s="205"/>
      <c r="G1520" s="205"/>
      <c r="H1520" s="145">
        <f>IF(J1230="","",J1230)</f>
        <v>0.5</v>
      </c>
      <c r="I1520" s="145"/>
      <c r="J1520" s="145"/>
      <c r="K1520" s="249">
        <f>AF1230*AD$1542*AJ1520</f>
        <v>2359.9</v>
      </c>
      <c r="L1520" s="249"/>
      <c r="M1520" s="249"/>
      <c r="N1520" s="480"/>
      <c r="O1520" s="305">
        <f>IF(E1520="","",IF(E1520="粘性土",1,CHOOSE(AJ$1157,X$1151,X$1152,X$1153)))</f>
        <v>1</v>
      </c>
      <c r="P1520" s="249"/>
      <c r="Q1520" s="249">
        <f>IF(E1520="","",IF(E1520="粘性土",1,CHOOSE(AJ$1157,AB$1151,AB$1152,AB$1153)))</f>
        <v>0.8</v>
      </c>
      <c r="R1520" s="249"/>
      <c r="S1520" s="249">
        <f>IF(E1520="","",IF(E1520="粘性土",1,CHOOSE(AJ$1157,AF$1151,AF$1152,AF$1153)))</f>
        <v>0.7</v>
      </c>
      <c r="T1520" s="249"/>
      <c r="U1520" s="490">
        <f>IF(E1520="","",IF(E1520="粘性土",1,R$1173))</f>
        <v>0.76400000000000001</v>
      </c>
      <c r="V1520" s="490"/>
      <c r="W1520" s="491"/>
      <c r="X1520" s="248">
        <f>IF(E1520="","",ROUND(K1520*O1520*U1520,1))</f>
        <v>1803</v>
      </c>
      <c r="Y1520" s="249"/>
      <c r="Z1520" s="249"/>
      <c r="AA1520" s="249"/>
      <c r="AB1520" s="248">
        <f>IF(E1520="","",ROUND(K1520*Q1520*U1520,1))</f>
        <v>1442.4</v>
      </c>
      <c r="AC1520" s="249"/>
      <c r="AD1520" s="249"/>
      <c r="AE1520" s="249"/>
      <c r="AF1520" s="248">
        <f>IF(E1520="","",ROUND(K1520*S1520*U1520,1))</f>
        <v>1262.0999999999999</v>
      </c>
      <c r="AG1520" s="249"/>
      <c r="AH1520" s="249"/>
      <c r="AI1520" s="249"/>
      <c r="AJ1520" s="145">
        <f>Q321</f>
        <v>1</v>
      </c>
      <c r="AK1520" s="145"/>
      <c r="AL1520" s="145"/>
      <c r="AM1520" s="145"/>
    </row>
    <row r="1521" spans="1:39" s="116" customFormat="1" ht="15.75" hidden="1" customHeight="1">
      <c r="A1521" s="120" t="str">
        <f t="shared" ref="A1521" si="492">A1520</f>
        <v>×</v>
      </c>
      <c r="B1521" s="204"/>
      <c r="C1521" s="205"/>
      <c r="D1521" s="205"/>
      <c r="E1521" s="205"/>
      <c r="F1521" s="205"/>
      <c r="G1521" s="205"/>
      <c r="H1521" s="145"/>
      <c r="I1521" s="145"/>
      <c r="J1521" s="145"/>
      <c r="K1521" s="249">
        <f>AF1231*AD$1542*AJ1520</f>
        <v>2420.5</v>
      </c>
      <c r="L1521" s="249"/>
      <c r="M1521" s="249"/>
      <c r="N1521" s="480"/>
      <c r="O1521" s="305">
        <f>O1520</f>
        <v>1</v>
      </c>
      <c r="P1521" s="249"/>
      <c r="Q1521" s="249">
        <f>Q1520</f>
        <v>0.8</v>
      </c>
      <c r="R1521" s="249"/>
      <c r="S1521" s="249">
        <f>S1520</f>
        <v>0.7</v>
      </c>
      <c r="T1521" s="249"/>
      <c r="U1521" s="490">
        <f>U1520</f>
        <v>0.76400000000000001</v>
      </c>
      <c r="V1521" s="490"/>
      <c r="W1521" s="491"/>
      <c r="X1521" s="248">
        <f>IF(E1520="","",ROUND(K1521*O1521*U1521,1))</f>
        <v>1849.3</v>
      </c>
      <c r="Y1521" s="249"/>
      <c r="Z1521" s="249"/>
      <c r="AA1521" s="249"/>
      <c r="AB1521" s="248">
        <f>IF(E1520="","",ROUND(K1521*Q1521*U1521,1))</f>
        <v>1479.4</v>
      </c>
      <c r="AC1521" s="249"/>
      <c r="AD1521" s="249"/>
      <c r="AE1521" s="249"/>
      <c r="AF1521" s="248">
        <f>IF(E1520="","",ROUND(K1521*S1521*U1521,1))</f>
        <v>1294.5</v>
      </c>
      <c r="AG1521" s="249"/>
      <c r="AH1521" s="249"/>
      <c r="AI1521" s="249"/>
      <c r="AJ1521" s="145"/>
      <c r="AK1521" s="145"/>
      <c r="AL1521" s="145"/>
      <c r="AM1521" s="145"/>
    </row>
    <row r="1522" spans="1:39" s="116" customFormat="1" ht="15.75" hidden="1" customHeight="1">
      <c r="A1522" s="120" t="str">
        <f>IF(液状化L2の有無="",IF(H1522="","×",""),"×")</f>
        <v>×</v>
      </c>
      <c r="B1522" s="204" t="str">
        <f>IF(D1232="","",D1232)</f>
        <v/>
      </c>
      <c r="C1522" s="205"/>
      <c r="D1522" s="205"/>
      <c r="E1522" s="205" t="str">
        <f>IF(G1232="","",G1232)</f>
        <v/>
      </c>
      <c r="F1522" s="205"/>
      <c r="G1522" s="205"/>
      <c r="H1522" s="145" t="str">
        <f>IF(J1232="","",J1232)</f>
        <v/>
      </c>
      <c r="I1522" s="145"/>
      <c r="J1522" s="145"/>
      <c r="K1522" s="249">
        <f>AF1232*AD$1542*AJ1522</f>
        <v>0</v>
      </c>
      <c r="L1522" s="249"/>
      <c r="M1522" s="249"/>
      <c r="N1522" s="480"/>
      <c r="O1522" s="305" t="str">
        <f>IF(E1522="","",IF(E1522="粘性土",1,CHOOSE(AJ$1157,X$1151,X$1152,X$1153)))</f>
        <v/>
      </c>
      <c r="P1522" s="249"/>
      <c r="Q1522" s="249" t="str">
        <f>IF(E1522="","",IF(E1522="粘性土",1,CHOOSE(AJ$1157,AB$1151,AB$1152,AB$1153)))</f>
        <v/>
      </c>
      <c r="R1522" s="249"/>
      <c r="S1522" s="249" t="str">
        <f>IF(E1522="","",IF(E1522="粘性土",1,CHOOSE(AJ$1157,AF$1151,AF$1152,AF$1153)))</f>
        <v/>
      </c>
      <c r="T1522" s="249"/>
      <c r="U1522" s="490" t="str">
        <f>IF(E1522="","",IF(E1522="粘性土",1,R$1173))</f>
        <v/>
      </c>
      <c r="V1522" s="490"/>
      <c r="W1522" s="491"/>
      <c r="X1522" s="248" t="str">
        <f>IF(E1522="","",ROUND(K1522*O1522*U1522,1))</f>
        <v/>
      </c>
      <c r="Y1522" s="249"/>
      <c r="Z1522" s="249"/>
      <c r="AA1522" s="249"/>
      <c r="AB1522" s="248" t="str">
        <f>IF(E1522="","",ROUND(K1522*Q1522*U1522,1))</f>
        <v/>
      </c>
      <c r="AC1522" s="249"/>
      <c r="AD1522" s="249"/>
      <c r="AE1522" s="249"/>
      <c r="AF1522" s="248" t="str">
        <f>IF(E1522="","",ROUND(K1522*S1522*U1522,1))</f>
        <v/>
      </c>
      <c r="AG1522" s="249"/>
      <c r="AH1522" s="249"/>
      <c r="AI1522" s="249"/>
      <c r="AJ1522" s="145">
        <f>Q322</f>
        <v>0</v>
      </c>
      <c r="AK1522" s="145"/>
      <c r="AL1522" s="145"/>
      <c r="AM1522" s="145"/>
    </row>
    <row r="1523" spans="1:39" s="116" customFormat="1" ht="15.75" hidden="1" customHeight="1">
      <c r="A1523" s="120" t="str">
        <f t="shared" ref="A1523" si="493">A1522</f>
        <v>×</v>
      </c>
      <c r="B1523" s="204"/>
      <c r="C1523" s="205"/>
      <c r="D1523" s="205"/>
      <c r="E1523" s="205"/>
      <c r="F1523" s="205"/>
      <c r="G1523" s="205"/>
      <c r="H1523" s="145"/>
      <c r="I1523" s="145"/>
      <c r="J1523" s="145"/>
      <c r="K1523" s="249">
        <f>AF1233*AD$1542*AJ1522</f>
        <v>0</v>
      </c>
      <c r="L1523" s="249"/>
      <c r="M1523" s="249"/>
      <c r="N1523" s="480"/>
      <c r="O1523" s="305" t="str">
        <f>O1522</f>
        <v/>
      </c>
      <c r="P1523" s="249"/>
      <c r="Q1523" s="249" t="str">
        <f>Q1522</f>
        <v/>
      </c>
      <c r="R1523" s="249"/>
      <c r="S1523" s="249" t="str">
        <f>S1522</f>
        <v/>
      </c>
      <c r="T1523" s="249"/>
      <c r="U1523" s="490" t="str">
        <f>U1522</f>
        <v/>
      </c>
      <c r="V1523" s="490"/>
      <c r="W1523" s="491"/>
      <c r="X1523" s="248" t="str">
        <f>IF(E1522="","",ROUND(K1523*O1523*U1523,1))</f>
        <v/>
      </c>
      <c r="Y1523" s="249"/>
      <c r="Z1523" s="249"/>
      <c r="AA1523" s="249"/>
      <c r="AB1523" s="248" t="str">
        <f>IF(E1522="","",ROUND(K1523*Q1523*U1523,1))</f>
        <v/>
      </c>
      <c r="AC1523" s="249"/>
      <c r="AD1523" s="249"/>
      <c r="AE1523" s="249"/>
      <c r="AF1523" s="248" t="str">
        <f>IF(E1522="","",ROUND(K1523*S1523*U1523,1))</f>
        <v/>
      </c>
      <c r="AG1523" s="249"/>
      <c r="AH1523" s="249"/>
      <c r="AI1523" s="249"/>
      <c r="AJ1523" s="145"/>
      <c r="AK1523" s="145"/>
      <c r="AL1523" s="145"/>
      <c r="AM1523" s="145"/>
    </row>
    <row r="1524" spans="1:39" s="116" customFormat="1" ht="15.75" hidden="1" customHeight="1">
      <c r="A1524" s="120" t="str">
        <f>IF(液状化L2の有無="",IF(H1524="","×",""),"×")</f>
        <v>×</v>
      </c>
      <c r="B1524" s="204" t="str">
        <f>IF(D1234="","",D1234)</f>
        <v/>
      </c>
      <c r="C1524" s="205"/>
      <c r="D1524" s="205"/>
      <c r="E1524" s="205" t="str">
        <f>IF(G1234="","",G1234)</f>
        <v/>
      </c>
      <c r="F1524" s="205"/>
      <c r="G1524" s="205"/>
      <c r="H1524" s="145" t="str">
        <f>IF(J1234="","",J1234)</f>
        <v/>
      </c>
      <c r="I1524" s="145"/>
      <c r="J1524" s="145"/>
      <c r="K1524" s="249">
        <f>AF1234*AD$1542*AJ1524</f>
        <v>0</v>
      </c>
      <c r="L1524" s="249"/>
      <c r="M1524" s="249"/>
      <c r="N1524" s="480"/>
      <c r="O1524" s="305" t="str">
        <f>IF(E1524="","",IF(E1524="粘性土",1,CHOOSE(AJ$1157,X$1151,X$1152,X$1153)))</f>
        <v/>
      </c>
      <c r="P1524" s="249"/>
      <c r="Q1524" s="249" t="str">
        <f>IF(E1524="","",IF(E1524="粘性土",1,CHOOSE(AJ$1157,AB$1151,AB$1152,AB$1153)))</f>
        <v/>
      </c>
      <c r="R1524" s="249"/>
      <c r="S1524" s="249" t="str">
        <f>IF(E1524="","",IF(E1524="粘性土",1,CHOOSE(AJ$1157,AF$1151,AF$1152,AF$1153)))</f>
        <v/>
      </c>
      <c r="T1524" s="249"/>
      <c r="U1524" s="490" t="str">
        <f>IF(E1524="","",IF(E1524="粘性土",1,R$1173))</f>
        <v/>
      </c>
      <c r="V1524" s="490"/>
      <c r="W1524" s="491"/>
      <c r="X1524" s="248" t="str">
        <f>IF(E1524="","",ROUND(K1524*O1524*U1524,1))</f>
        <v/>
      </c>
      <c r="Y1524" s="249"/>
      <c r="Z1524" s="249"/>
      <c r="AA1524" s="249"/>
      <c r="AB1524" s="248" t="str">
        <f>IF(E1524="","",ROUND(K1524*Q1524*U1524,1))</f>
        <v/>
      </c>
      <c r="AC1524" s="249"/>
      <c r="AD1524" s="249"/>
      <c r="AE1524" s="249"/>
      <c r="AF1524" s="248" t="str">
        <f>IF(E1524="","",ROUND(K1524*S1524*U1524,1))</f>
        <v/>
      </c>
      <c r="AG1524" s="249"/>
      <c r="AH1524" s="249"/>
      <c r="AI1524" s="249"/>
      <c r="AJ1524" s="145">
        <f>Q323</f>
        <v>0</v>
      </c>
      <c r="AK1524" s="145"/>
      <c r="AL1524" s="145"/>
      <c r="AM1524" s="145"/>
    </row>
    <row r="1525" spans="1:39" s="116" customFormat="1" ht="15.75" hidden="1" customHeight="1">
      <c r="A1525" s="120" t="str">
        <f t="shared" ref="A1525" si="494">A1524</f>
        <v>×</v>
      </c>
      <c r="B1525" s="204"/>
      <c r="C1525" s="205"/>
      <c r="D1525" s="205"/>
      <c r="E1525" s="205"/>
      <c r="F1525" s="205"/>
      <c r="G1525" s="205"/>
      <c r="H1525" s="145"/>
      <c r="I1525" s="145"/>
      <c r="J1525" s="145"/>
      <c r="K1525" s="249">
        <f>AF1235*AD$1542*AJ1524</f>
        <v>0</v>
      </c>
      <c r="L1525" s="249"/>
      <c r="M1525" s="249"/>
      <c r="N1525" s="480"/>
      <c r="O1525" s="305" t="str">
        <f>O1524</f>
        <v/>
      </c>
      <c r="P1525" s="249"/>
      <c r="Q1525" s="249" t="str">
        <f>Q1524</f>
        <v/>
      </c>
      <c r="R1525" s="249"/>
      <c r="S1525" s="249" t="str">
        <f>S1524</f>
        <v/>
      </c>
      <c r="T1525" s="249"/>
      <c r="U1525" s="490" t="str">
        <f>U1524</f>
        <v/>
      </c>
      <c r="V1525" s="490"/>
      <c r="W1525" s="491"/>
      <c r="X1525" s="248" t="str">
        <f>IF(E1524="","",ROUND(K1525*O1525*U1525,1))</f>
        <v/>
      </c>
      <c r="Y1525" s="249"/>
      <c r="Z1525" s="249"/>
      <c r="AA1525" s="249"/>
      <c r="AB1525" s="248" t="str">
        <f>IF(E1524="","",ROUND(K1525*Q1525*U1525,1))</f>
        <v/>
      </c>
      <c r="AC1525" s="249"/>
      <c r="AD1525" s="249"/>
      <c r="AE1525" s="249"/>
      <c r="AF1525" s="248" t="str">
        <f>IF(E1524="","",ROUND(K1525*S1525*U1525,1))</f>
        <v/>
      </c>
      <c r="AG1525" s="249"/>
      <c r="AH1525" s="249"/>
      <c r="AI1525" s="249"/>
      <c r="AJ1525" s="145"/>
      <c r="AK1525" s="145"/>
      <c r="AL1525" s="145"/>
      <c r="AM1525" s="145"/>
    </row>
    <row r="1526" spans="1:39" s="116" customFormat="1" ht="15.75" hidden="1" customHeight="1">
      <c r="A1526" s="120" t="str">
        <f>IF(液状化L2の有無="",IF(H1526="","×",""),"×")</f>
        <v>×</v>
      </c>
      <c r="B1526" s="204" t="str">
        <f>IF(D1236="","",D1236)</f>
        <v/>
      </c>
      <c r="C1526" s="205"/>
      <c r="D1526" s="205"/>
      <c r="E1526" s="205" t="str">
        <f>IF(G1236="","",G1236)</f>
        <v/>
      </c>
      <c r="F1526" s="205"/>
      <c r="G1526" s="205"/>
      <c r="H1526" s="145" t="str">
        <f>IF(J1236="","",J1236)</f>
        <v/>
      </c>
      <c r="I1526" s="145"/>
      <c r="J1526" s="145"/>
      <c r="K1526" s="249">
        <f>AF1236*AD$1542*AJ1526</f>
        <v>0</v>
      </c>
      <c r="L1526" s="249"/>
      <c r="M1526" s="249"/>
      <c r="N1526" s="480"/>
      <c r="O1526" s="305" t="str">
        <f>IF(E1526="","",IF(E1526="粘性土",1,CHOOSE(AJ$1157,X$1151,X$1152,X$1153)))</f>
        <v/>
      </c>
      <c r="P1526" s="249"/>
      <c r="Q1526" s="249" t="str">
        <f>IF(E1526="","",IF(E1526="粘性土",1,CHOOSE(AJ$1157,AB$1151,AB$1152,AB$1153)))</f>
        <v/>
      </c>
      <c r="R1526" s="249"/>
      <c r="S1526" s="249" t="str">
        <f>IF(E1526="","",IF(E1526="粘性土",1,CHOOSE(AJ$1157,AF$1151,AF$1152,AF$1153)))</f>
        <v/>
      </c>
      <c r="T1526" s="249"/>
      <c r="U1526" s="490" t="str">
        <f>IF(E1526="","",IF(E1526="粘性土",1,R$1173))</f>
        <v/>
      </c>
      <c r="V1526" s="490"/>
      <c r="W1526" s="491"/>
      <c r="X1526" s="248" t="str">
        <f>IF(E1526="","",ROUND(K1526*O1526*U1526,1))</f>
        <v/>
      </c>
      <c r="Y1526" s="249"/>
      <c r="Z1526" s="249"/>
      <c r="AA1526" s="249"/>
      <c r="AB1526" s="248" t="str">
        <f>IF(E1526="","",ROUND(K1526*Q1526*U1526,1))</f>
        <v/>
      </c>
      <c r="AC1526" s="249"/>
      <c r="AD1526" s="249"/>
      <c r="AE1526" s="249"/>
      <c r="AF1526" s="248" t="str">
        <f>IF(E1526="","",ROUND(K1526*S1526*U1526,1))</f>
        <v/>
      </c>
      <c r="AG1526" s="249"/>
      <c r="AH1526" s="249"/>
      <c r="AI1526" s="249"/>
      <c r="AJ1526" s="145">
        <f>Q324</f>
        <v>0</v>
      </c>
      <c r="AK1526" s="145"/>
      <c r="AL1526" s="145"/>
      <c r="AM1526" s="145"/>
    </row>
    <row r="1527" spans="1:39" s="116" customFormat="1" ht="15.75" hidden="1" customHeight="1">
      <c r="A1527" s="120" t="str">
        <f t="shared" ref="A1527" si="495">A1526</f>
        <v>×</v>
      </c>
      <c r="B1527" s="204"/>
      <c r="C1527" s="205"/>
      <c r="D1527" s="205"/>
      <c r="E1527" s="205"/>
      <c r="F1527" s="205"/>
      <c r="G1527" s="205"/>
      <c r="H1527" s="145"/>
      <c r="I1527" s="145"/>
      <c r="J1527" s="145"/>
      <c r="K1527" s="249">
        <f>AF1237*AD$1542*AJ1526</f>
        <v>0</v>
      </c>
      <c r="L1527" s="249"/>
      <c r="M1527" s="249"/>
      <c r="N1527" s="480"/>
      <c r="O1527" s="305" t="str">
        <f>O1526</f>
        <v/>
      </c>
      <c r="P1527" s="249"/>
      <c r="Q1527" s="249" t="str">
        <f>Q1526</f>
        <v/>
      </c>
      <c r="R1527" s="249"/>
      <c r="S1527" s="249" t="str">
        <f>S1526</f>
        <v/>
      </c>
      <c r="T1527" s="249"/>
      <c r="U1527" s="490" t="str">
        <f>U1526</f>
        <v/>
      </c>
      <c r="V1527" s="490"/>
      <c r="W1527" s="491"/>
      <c r="X1527" s="248" t="str">
        <f>IF(E1526="","",ROUND(K1527*O1527*U1527,1))</f>
        <v/>
      </c>
      <c r="Y1527" s="249"/>
      <c r="Z1527" s="249"/>
      <c r="AA1527" s="249"/>
      <c r="AB1527" s="248" t="str">
        <f>IF(E1526="","",ROUND(K1527*Q1527*U1527,1))</f>
        <v/>
      </c>
      <c r="AC1527" s="249"/>
      <c r="AD1527" s="249"/>
      <c r="AE1527" s="249"/>
      <c r="AF1527" s="248" t="str">
        <f>IF(E1526="","",ROUND(K1527*S1527*U1527,1))</f>
        <v/>
      </c>
      <c r="AG1527" s="249"/>
      <c r="AH1527" s="249"/>
      <c r="AI1527" s="249"/>
      <c r="AJ1527" s="145"/>
      <c r="AK1527" s="145"/>
      <c r="AL1527" s="145"/>
      <c r="AM1527" s="145"/>
    </row>
    <row r="1528" spans="1:39" s="116" customFormat="1" ht="15.75" hidden="1" customHeight="1">
      <c r="A1528" s="120" t="str">
        <f>IF(液状化L2の有無="",IF(H1528="","×",""),"×")</f>
        <v>×</v>
      </c>
      <c r="B1528" s="204" t="str">
        <f>IF(D1238="","",D1238)</f>
        <v/>
      </c>
      <c r="C1528" s="205"/>
      <c r="D1528" s="205"/>
      <c r="E1528" s="205" t="str">
        <f>IF(G1238="","",G1238)</f>
        <v/>
      </c>
      <c r="F1528" s="205"/>
      <c r="G1528" s="205"/>
      <c r="H1528" s="145" t="str">
        <f>IF(J1238="","",J1238)</f>
        <v/>
      </c>
      <c r="I1528" s="145"/>
      <c r="J1528" s="145"/>
      <c r="K1528" s="249">
        <f>AF1238*AD$1542*AJ1528</f>
        <v>0</v>
      </c>
      <c r="L1528" s="249"/>
      <c r="M1528" s="249"/>
      <c r="N1528" s="480"/>
      <c r="O1528" s="305" t="str">
        <f>IF(E1528="","",IF(E1528="粘性土",1,CHOOSE(AJ$1157,X$1151,X$1152,X$1153)))</f>
        <v/>
      </c>
      <c r="P1528" s="249"/>
      <c r="Q1528" s="249" t="str">
        <f>IF(E1528="","",IF(E1528="粘性土",1,CHOOSE(AJ$1157,AB$1151,AB$1152,AB$1153)))</f>
        <v/>
      </c>
      <c r="R1528" s="249"/>
      <c r="S1528" s="249" t="str">
        <f>IF(E1528="","",IF(E1528="粘性土",1,CHOOSE(AJ$1157,AF$1151,AF$1152,AF$1153)))</f>
        <v/>
      </c>
      <c r="T1528" s="249"/>
      <c r="U1528" s="490" t="str">
        <f>IF(E1528="","",IF(E1528="粘性土",1,R$1173))</f>
        <v/>
      </c>
      <c r="V1528" s="490"/>
      <c r="W1528" s="491"/>
      <c r="X1528" s="248" t="str">
        <f>IF(E1528="","",ROUND(K1528*O1528*U1528,1))</f>
        <v/>
      </c>
      <c r="Y1528" s="249"/>
      <c r="Z1528" s="249"/>
      <c r="AA1528" s="249"/>
      <c r="AB1528" s="248" t="str">
        <f>IF(E1528="","",ROUND(K1528*Q1528*U1528,1))</f>
        <v/>
      </c>
      <c r="AC1528" s="249"/>
      <c r="AD1528" s="249"/>
      <c r="AE1528" s="249"/>
      <c r="AF1528" s="248" t="str">
        <f>IF(E1528="","",ROUND(K1528*S1528*U1528,1))</f>
        <v/>
      </c>
      <c r="AG1528" s="249"/>
      <c r="AH1528" s="249"/>
      <c r="AI1528" s="249"/>
      <c r="AJ1528" s="145">
        <f>Q325</f>
        <v>0</v>
      </c>
      <c r="AK1528" s="145"/>
      <c r="AL1528" s="145"/>
      <c r="AM1528" s="145"/>
    </row>
    <row r="1529" spans="1:39" s="116" customFormat="1" ht="15.75" hidden="1" customHeight="1">
      <c r="A1529" s="120" t="str">
        <f t="shared" ref="A1529" si="496">A1528</f>
        <v>×</v>
      </c>
      <c r="B1529" s="204"/>
      <c r="C1529" s="205"/>
      <c r="D1529" s="205"/>
      <c r="E1529" s="205"/>
      <c r="F1529" s="205"/>
      <c r="G1529" s="205"/>
      <c r="H1529" s="145"/>
      <c r="I1529" s="145"/>
      <c r="J1529" s="145"/>
      <c r="K1529" s="249">
        <f>AF1239*AD$1542*AJ1528</f>
        <v>0</v>
      </c>
      <c r="L1529" s="249"/>
      <c r="M1529" s="249"/>
      <c r="N1529" s="480"/>
      <c r="O1529" s="305" t="str">
        <f>O1528</f>
        <v/>
      </c>
      <c r="P1529" s="249"/>
      <c r="Q1529" s="249" t="str">
        <f>Q1528</f>
        <v/>
      </c>
      <c r="R1529" s="249"/>
      <c r="S1529" s="249" t="str">
        <f>S1528</f>
        <v/>
      </c>
      <c r="T1529" s="249"/>
      <c r="U1529" s="490" t="str">
        <f>U1528</f>
        <v/>
      </c>
      <c r="V1529" s="490"/>
      <c r="W1529" s="491"/>
      <c r="X1529" s="248" t="str">
        <f>IF(E1528="","",ROUND(K1529*O1529*U1529,1))</f>
        <v/>
      </c>
      <c r="Y1529" s="249"/>
      <c r="Z1529" s="249"/>
      <c r="AA1529" s="249"/>
      <c r="AB1529" s="248" t="str">
        <f>IF(E1528="","",ROUND(K1529*Q1529*U1529,1))</f>
        <v/>
      </c>
      <c r="AC1529" s="249"/>
      <c r="AD1529" s="249"/>
      <c r="AE1529" s="249"/>
      <c r="AF1529" s="248" t="str">
        <f>IF(E1528="","",ROUND(K1529*S1529*U1529,1))</f>
        <v/>
      </c>
      <c r="AG1529" s="249"/>
      <c r="AH1529" s="249"/>
      <c r="AI1529" s="249"/>
      <c r="AJ1529" s="145"/>
      <c r="AK1529" s="145"/>
      <c r="AL1529" s="145"/>
      <c r="AM1529" s="145"/>
    </row>
    <row r="1530" spans="1:39" s="116" customFormat="1" ht="15.75" hidden="1" customHeight="1">
      <c r="A1530" s="120" t="str">
        <f>IF(液状化L2の有無="",IF(H1530="","×",""),"×")</f>
        <v>×</v>
      </c>
      <c r="B1530" s="204" t="str">
        <f>IF(D1240="","",D1240)</f>
        <v/>
      </c>
      <c r="C1530" s="205"/>
      <c r="D1530" s="205"/>
      <c r="E1530" s="205" t="str">
        <f>IF(G1240="","",G1240)</f>
        <v/>
      </c>
      <c r="F1530" s="205"/>
      <c r="G1530" s="205"/>
      <c r="H1530" s="145" t="str">
        <f>IF(J1240="","",J1240)</f>
        <v/>
      </c>
      <c r="I1530" s="145"/>
      <c r="J1530" s="145"/>
      <c r="K1530" s="249">
        <f>AF1240*AD$1542*AJ1530</f>
        <v>0</v>
      </c>
      <c r="L1530" s="249"/>
      <c r="M1530" s="249"/>
      <c r="N1530" s="480"/>
      <c r="O1530" s="305" t="str">
        <f>IF(E1530="","",IF(E1530="粘性土",1,CHOOSE(AJ$1157,X$1151,X$1152,X$1153)))</f>
        <v/>
      </c>
      <c r="P1530" s="249"/>
      <c r="Q1530" s="249" t="str">
        <f>IF(E1530="","",IF(E1530="粘性土",1,CHOOSE(AJ$1157,AB$1151,AB$1152,AB$1153)))</f>
        <v/>
      </c>
      <c r="R1530" s="249"/>
      <c r="S1530" s="249" t="str">
        <f>IF(E1530="","",IF(E1530="粘性土",1,CHOOSE(AJ$1157,AF$1151,AF$1152,AF$1153)))</f>
        <v/>
      </c>
      <c r="T1530" s="249"/>
      <c r="U1530" s="490" t="str">
        <f>IF(E1530="","",IF(E1530="粘性土",1,R$1173))</f>
        <v/>
      </c>
      <c r="V1530" s="490"/>
      <c r="W1530" s="491"/>
      <c r="X1530" s="248" t="str">
        <f>IF(E1530="","",ROUND(K1530*O1530*U1530,1))</f>
        <v/>
      </c>
      <c r="Y1530" s="249"/>
      <c r="Z1530" s="249"/>
      <c r="AA1530" s="249"/>
      <c r="AB1530" s="248" t="str">
        <f>IF(E1530="","",ROUND(K1530*Q1530*U1530,1))</f>
        <v/>
      </c>
      <c r="AC1530" s="249"/>
      <c r="AD1530" s="249"/>
      <c r="AE1530" s="249"/>
      <c r="AF1530" s="248" t="str">
        <f>IF(E1530="","",ROUND(K1530*S1530*U1530,1))</f>
        <v/>
      </c>
      <c r="AG1530" s="249"/>
      <c r="AH1530" s="249"/>
      <c r="AI1530" s="249"/>
      <c r="AJ1530" s="145">
        <f>Q326</f>
        <v>0</v>
      </c>
      <c r="AK1530" s="145"/>
      <c r="AL1530" s="145"/>
      <c r="AM1530" s="145"/>
    </row>
    <row r="1531" spans="1:39" s="116" customFormat="1" ht="15.75" hidden="1" customHeight="1">
      <c r="A1531" s="120" t="str">
        <f t="shared" ref="A1531" si="497">A1530</f>
        <v>×</v>
      </c>
      <c r="B1531" s="204"/>
      <c r="C1531" s="205"/>
      <c r="D1531" s="205"/>
      <c r="E1531" s="205"/>
      <c r="F1531" s="205"/>
      <c r="G1531" s="205"/>
      <c r="H1531" s="145"/>
      <c r="I1531" s="145"/>
      <c r="J1531" s="145"/>
      <c r="K1531" s="249">
        <f>AF1241*AD$1542*AJ1530</f>
        <v>0</v>
      </c>
      <c r="L1531" s="249"/>
      <c r="M1531" s="249"/>
      <c r="N1531" s="480"/>
      <c r="O1531" s="305" t="str">
        <f>O1530</f>
        <v/>
      </c>
      <c r="P1531" s="249"/>
      <c r="Q1531" s="249" t="str">
        <f>Q1530</f>
        <v/>
      </c>
      <c r="R1531" s="249"/>
      <c r="S1531" s="249" t="str">
        <f>S1530</f>
        <v/>
      </c>
      <c r="T1531" s="249"/>
      <c r="U1531" s="490" t="str">
        <f>U1530</f>
        <v/>
      </c>
      <c r="V1531" s="490"/>
      <c r="W1531" s="491"/>
      <c r="X1531" s="248" t="str">
        <f>IF(E1530="","",ROUND(K1531*O1531*U1531,1))</f>
        <v/>
      </c>
      <c r="Y1531" s="249"/>
      <c r="Z1531" s="249"/>
      <c r="AA1531" s="249"/>
      <c r="AB1531" s="248" t="str">
        <f>IF(E1530="","",ROUND(K1531*Q1531*U1531,1))</f>
        <v/>
      </c>
      <c r="AC1531" s="249"/>
      <c r="AD1531" s="249"/>
      <c r="AE1531" s="249"/>
      <c r="AF1531" s="248" t="str">
        <f>IF(E1530="","",ROUND(K1531*S1531*U1531,1))</f>
        <v/>
      </c>
      <c r="AG1531" s="249"/>
      <c r="AH1531" s="249"/>
      <c r="AI1531" s="249"/>
      <c r="AJ1531" s="145"/>
      <c r="AK1531" s="145"/>
      <c r="AL1531" s="145"/>
      <c r="AM1531" s="145"/>
    </row>
    <row r="1532" spans="1:39" s="116" customFormat="1" ht="15.75" hidden="1" customHeight="1">
      <c r="A1532" s="120" t="str">
        <f>IF(液状化L2の有無="",IF(H1532="","×",""),"×")</f>
        <v>×</v>
      </c>
      <c r="B1532" s="204" t="str">
        <f>IF(D1242="","",D1242)</f>
        <v/>
      </c>
      <c r="C1532" s="205"/>
      <c r="D1532" s="205"/>
      <c r="E1532" s="205" t="str">
        <f>IF(G1242="","",G1242)</f>
        <v/>
      </c>
      <c r="F1532" s="205"/>
      <c r="G1532" s="205"/>
      <c r="H1532" s="145" t="str">
        <f>IF(J1242="","",J1242)</f>
        <v/>
      </c>
      <c r="I1532" s="145"/>
      <c r="J1532" s="145"/>
      <c r="K1532" s="249">
        <f>AF1242*AD$1542*AJ1532</f>
        <v>0</v>
      </c>
      <c r="L1532" s="249"/>
      <c r="M1532" s="249"/>
      <c r="N1532" s="480"/>
      <c r="O1532" s="305" t="str">
        <f>IF(E1532="","",IF(E1532="粘性土",1,CHOOSE(AJ$1157,X$1151,X$1152,X$1153)))</f>
        <v/>
      </c>
      <c r="P1532" s="249"/>
      <c r="Q1532" s="249" t="str">
        <f>IF(E1532="","",IF(E1532="粘性土",1,CHOOSE(AJ$1157,AB$1151,AB$1152,AB$1153)))</f>
        <v/>
      </c>
      <c r="R1532" s="249"/>
      <c r="S1532" s="249" t="str">
        <f>IF(E1532="","",IF(E1532="粘性土",1,CHOOSE(AJ$1157,AF$1151,AF$1152,AF$1153)))</f>
        <v/>
      </c>
      <c r="T1532" s="249"/>
      <c r="U1532" s="490" t="str">
        <f>IF(E1532="","",IF(E1532="粘性土",1,R$1173))</f>
        <v/>
      </c>
      <c r="V1532" s="490"/>
      <c r="W1532" s="491"/>
      <c r="X1532" s="248" t="str">
        <f>IF(E1532="","",ROUND(K1532*O1532*U1532,1))</f>
        <v/>
      </c>
      <c r="Y1532" s="249"/>
      <c r="Z1532" s="249"/>
      <c r="AA1532" s="249"/>
      <c r="AB1532" s="248" t="str">
        <f>IF(E1532="","",ROUND(K1532*Q1532*U1532,1))</f>
        <v/>
      </c>
      <c r="AC1532" s="249"/>
      <c r="AD1532" s="249"/>
      <c r="AE1532" s="249"/>
      <c r="AF1532" s="248" t="str">
        <f>IF(E1532="","",ROUND(K1532*S1532*U1532,1))</f>
        <v/>
      </c>
      <c r="AG1532" s="249"/>
      <c r="AH1532" s="249"/>
      <c r="AI1532" s="249"/>
      <c r="AJ1532" s="145">
        <f>Q327</f>
        <v>0</v>
      </c>
      <c r="AK1532" s="145"/>
      <c r="AL1532" s="145"/>
      <c r="AM1532" s="145"/>
    </row>
    <row r="1533" spans="1:39" s="116" customFormat="1" ht="15.75" hidden="1" customHeight="1">
      <c r="A1533" s="120" t="str">
        <f t="shared" ref="A1533" si="498">A1532</f>
        <v>×</v>
      </c>
      <c r="B1533" s="204"/>
      <c r="C1533" s="205"/>
      <c r="D1533" s="205"/>
      <c r="E1533" s="205"/>
      <c r="F1533" s="205"/>
      <c r="G1533" s="205"/>
      <c r="H1533" s="145"/>
      <c r="I1533" s="145"/>
      <c r="J1533" s="145"/>
      <c r="K1533" s="249">
        <f>AF1243*AD$1542*AJ1532</f>
        <v>0</v>
      </c>
      <c r="L1533" s="249"/>
      <c r="M1533" s="249"/>
      <c r="N1533" s="480"/>
      <c r="O1533" s="305" t="str">
        <f>O1532</f>
        <v/>
      </c>
      <c r="P1533" s="249"/>
      <c r="Q1533" s="249" t="str">
        <f>Q1532</f>
        <v/>
      </c>
      <c r="R1533" s="249"/>
      <c r="S1533" s="249" t="str">
        <f>S1532</f>
        <v/>
      </c>
      <c r="T1533" s="249"/>
      <c r="U1533" s="490" t="str">
        <f>U1532</f>
        <v/>
      </c>
      <c r="V1533" s="490"/>
      <c r="W1533" s="491"/>
      <c r="X1533" s="248" t="str">
        <f>IF(E1532="","",ROUND(K1533*O1533*U1533,1))</f>
        <v/>
      </c>
      <c r="Y1533" s="249"/>
      <c r="Z1533" s="249"/>
      <c r="AA1533" s="249"/>
      <c r="AB1533" s="248" t="str">
        <f>IF(E1532="","",ROUND(K1533*Q1533*U1533,1))</f>
        <v/>
      </c>
      <c r="AC1533" s="249"/>
      <c r="AD1533" s="249"/>
      <c r="AE1533" s="249"/>
      <c r="AF1533" s="248" t="str">
        <f>IF(E1532="","",ROUND(K1533*S1533*U1533,1))</f>
        <v/>
      </c>
      <c r="AG1533" s="249"/>
      <c r="AH1533" s="249"/>
      <c r="AI1533" s="249"/>
      <c r="AJ1533" s="145"/>
      <c r="AK1533" s="145"/>
      <c r="AL1533" s="145"/>
      <c r="AM1533" s="145"/>
    </row>
    <row r="1534" spans="1:39" s="116" customFormat="1" ht="15.75" hidden="1" customHeight="1">
      <c r="A1534" s="120" t="str">
        <f>IF(液状化L2の有無="",IF(H1534="","×",""),"×")</f>
        <v>×</v>
      </c>
      <c r="B1534" s="204" t="str">
        <f>IF(D1244="","",D1244)</f>
        <v/>
      </c>
      <c r="C1534" s="205"/>
      <c r="D1534" s="205"/>
      <c r="E1534" s="205" t="str">
        <f>IF(G1244="","",G1244)</f>
        <v/>
      </c>
      <c r="F1534" s="205"/>
      <c r="G1534" s="205"/>
      <c r="H1534" s="145" t="str">
        <f>IF(J1244="","",J1244)</f>
        <v/>
      </c>
      <c r="I1534" s="145"/>
      <c r="J1534" s="145"/>
      <c r="K1534" s="249">
        <f>AF1244*AD$1542*AJ1534</f>
        <v>0</v>
      </c>
      <c r="L1534" s="249"/>
      <c r="M1534" s="249"/>
      <c r="N1534" s="480"/>
      <c r="O1534" s="305" t="str">
        <f>IF(E1534="","",IF(E1534="粘性土",1,CHOOSE(AJ$1157,X$1151,X$1152,X$1153)))</f>
        <v/>
      </c>
      <c r="P1534" s="249"/>
      <c r="Q1534" s="249" t="str">
        <f>IF(E1534="","",IF(E1534="粘性土",1,CHOOSE(AJ$1157,AB$1151,AB$1152,AB$1153)))</f>
        <v/>
      </c>
      <c r="R1534" s="249"/>
      <c r="S1534" s="249" t="str">
        <f>IF(E1534="","",IF(E1534="粘性土",1,CHOOSE(AJ$1157,AF$1151,AF$1152,AF$1153)))</f>
        <v/>
      </c>
      <c r="T1534" s="249"/>
      <c r="U1534" s="490" t="str">
        <f>IF(E1534="","",IF(E1534="粘性土",1,R$1173))</f>
        <v/>
      </c>
      <c r="V1534" s="490"/>
      <c r="W1534" s="491"/>
      <c r="X1534" s="248" t="str">
        <f>IF(E1534="","",ROUND(K1534*O1534*U1534,1))</f>
        <v/>
      </c>
      <c r="Y1534" s="249"/>
      <c r="Z1534" s="249"/>
      <c r="AA1534" s="249"/>
      <c r="AB1534" s="248" t="str">
        <f>IF(E1534="","",ROUND(K1534*Q1534*U1534,1))</f>
        <v/>
      </c>
      <c r="AC1534" s="249"/>
      <c r="AD1534" s="249"/>
      <c r="AE1534" s="249"/>
      <c r="AF1534" s="248" t="str">
        <f>IF(E1534="","",ROUND(K1534*S1534*U1534,1))</f>
        <v/>
      </c>
      <c r="AG1534" s="249"/>
      <c r="AH1534" s="249"/>
      <c r="AI1534" s="249"/>
      <c r="AJ1534" s="145">
        <f>Q328</f>
        <v>0</v>
      </c>
      <c r="AK1534" s="145"/>
      <c r="AL1534" s="145"/>
      <c r="AM1534" s="145"/>
    </row>
    <row r="1535" spans="1:39" s="116" customFormat="1" ht="15.75" hidden="1" customHeight="1">
      <c r="A1535" s="120" t="str">
        <f t="shared" ref="A1535" si="499">A1534</f>
        <v>×</v>
      </c>
      <c r="B1535" s="204"/>
      <c r="C1535" s="205"/>
      <c r="D1535" s="205"/>
      <c r="E1535" s="205"/>
      <c r="F1535" s="205"/>
      <c r="G1535" s="205"/>
      <c r="H1535" s="145"/>
      <c r="I1535" s="145"/>
      <c r="J1535" s="145"/>
      <c r="K1535" s="249">
        <f>AF1245*AD$1542*AJ1534</f>
        <v>0</v>
      </c>
      <c r="L1535" s="249"/>
      <c r="M1535" s="249"/>
      <c r="N1535" s="480"/>
      <c r="O1535" s="305" t="str">
        <f>O1534</f>
        <v/>
      </c>
      <c r="P1535" s="249"/>
      <c r="Q1535" s="249" t="str">
        <f>Q1534</f>
        <v/>
      </c>
      <c r="R1535" s="249"/>
      <c r="S1535" s="249" t="str">
        <f>S1534</f>
        <v/>
      </c>
      <c r="T1535" s="249"/>
      <c r="U1535" s="490" t="str">
        <f>U1534</f>
        <v/>
      </c>
      <c r="V1535" s="490"/>
      <c r="W1535" s="491"/>
      <c r="X1535" s="248" t="str">
        <f>IF(E1534="","",ROUND(K1535*O1535*U1535,1))</f>
        <v/>
      </c>
      <c r="Y1535" s="249"/>
      <c r="Z1535" s="249"/>
      <c r="AA1535" s="249"/>
      <c r="AB1535" s="248" t="str">
        <f>IF(E1534="","",ROUND(K1535*Q1535*U1535,1))</f>
        <v/>
      </c>
      <c r="AC1535" s="249"/>
      <c r="AD1535" s="249"/>
      <c r="AE1535" s="249"/>
      <c r="AF1535" s="248" t="str">
        <f>IF(E1534="","",ROUND(K1535*S1535*U1535,1))</f>
        <v/>
      </c>
      <c r="AG1535" s="249"/>
      <c r="AH1535" s="249"/>
      <c r="AI1535" s="249"/>
      <c r="AJ1535" s="145"/>
      <c r="AK1535" s="145"/>
      <c r="AL1535" s="145"/>
      <c r="AM1535" s="145"/>
    </row>
    <row r="1536" spans="1:39" s="116" customFormat="1" ht="15.75" hidden="1" customHeight="1">
      <c r="A1536" s="120" t="str">
        <f>IF(液状化L2の有無="",IF(H1536="","×",""),"×")</f>
        <v>×</v>
      </c>
      <c r="B1536" s="204" t="str">
        <f>IF(D1246="","",D1246)</f>
        <v/>
      </c>
      <c r="C1536" s="205"/>
      <c r="D1536" s="205"/>
      <c r="E1536" s="205" t="str">
        <f>IF(G1246="","",G1246)</f>
        <v/>
      </c>
      <c r="F1536" s="205"/>
      <c r="G1536" s="205"/>
      <c r="H1536" s="145" t="str">
        <f>IF(J1246="","",J1246)</f>
        <v/>
      </c>
      <c r="I1536" s="145"/>
      <c r="J1536" s="145"/>
      <c r="K1536" s="249">
        <f>AF1246*AD$1542*AJ1536</f>
        <v>0</v>
      </c>
      <c r="L1536" s="249"/>
      <c r="M1536" s="249"/>
      <c r="N1536" s="480"/>
      <c r="O1536" s="305" t="str">
        <f>IF(E1536="","",IF(E1536="粘性土",1,CHOOSE(AJ$1157,X$1151,X$1152,X$1153)))</f>
        <v/>
      </c>
      <c r="P1536" s="249"/>
      <c r="Q1536" s="249" t="str">
        <f>IF(E1536="","",IF(E1536="粘性土",1,CHOOSE(AJ$1157,AB$1151,AB$1152,AB$1153)))</f>
        <v/>
      </c>
      <c r="R1536" s="249"/>
      <c r="S1536" s="249" t="str">
        <f>IF(E1536="","",IF(E1536="粘性土",1,CHOOSE(AJ$1157,AF$1151,AF$1152,AF$1153)))</f>
        <v/>
      </c>
      <c r="T1536" s="249"/>
      <c r="U1536" s="490" t="str">
        <f>IF(E1536="","",IF(E1536="粘性土",1,R$1173))</f>
        <v/>
      </c>
      <c r="V1536" s="490"/>
      <c r="W1536" s="491"/>
      <c r="X1536" s="248" t="str">
        <f>IF(E1536="","",ROUND(K1536*O1536*U1536,1))</f>
        <v/>
      </c>
      <c r="Y1536" s="249"/>
      <c r="Z1536" s="249"/>
      <c r="AA1536" s="249"/>
      <c r="AB1536" s="248" t="str">
        <f>IF(E1536="","",ROUND(K1536*Q1536*U1536,1))</f>
        <v/>
      </c>
      <c r="AC1536" s="249"/>
      <c r="AD1536" s="249"/>
      <c r="AE1536" s="249"/>
      <c r="AF1536" s="248" t="str">
        <f>IF(E1536="","",ROUND(K1536*S1536*U1536,1))</f>
        <v/>
      </c>
      <c r="AG1536" s="249"/>
      <c r="AH1536" s="249"/>
      <c r="AI1536" s="249"/>
      <c r="AJ1536" s="145">
        <f>Q329</f>
        <v>0</v>
      </c>
      <c r="AK1536" s="145"/>
      <c r="AL1536" s="145"/>
      <c r="AM1536" s="145"/>
    </row>
    <row r="1537" spans="1:71" s="116" customFormat="1" ht="15.75" hidden="1" customHeight="1">
      <c r="A1537" s="120" t="str">
        <f t="shared" ref="A1537" si="500">A1536</f>
        <v>×</v>
      </c>
      <c r="B1537" s="204"/>
      <c r="C1537" s="205"/>
      <c r="D1537" s="205"/>
      <c r="E1537" s="205"/>
      <c r="F1537" s="205"/>
      <c r="G1537" s="205"/>
      <c r="H1537" s="145"/>
      <c r="I1537" s="145"/>
      <c r="J1537" s="145"/>
      <c r="K1537" s="249">
        <f>AF1247*AD$1542*AJ1536</f>
        <v>0</v>
      </c>
      <c r="L1537" s="249"/>
      <c r="M1537" s="249"/>
      <c r="N1537" s="480"/>
      <c r="O1537" s="305" t="str">
        <f>O1536</f>
        <v/>
      </c>
      <c r="P1537" s="249"/>
      <c r="Q1537" s="249" t="str">
        <f>Q1536</f>
        <v/>
      </c>
      <c r="R1537" s="249"/>
      <c r="S1537" s="249" t="str">
        <f>S1536</f>
        <v/>
      </c>
      <c r="T1537" s="249"/>
      <c r="U1537" s="490" t="str">
        <f>U1536</f>
        <v/>
      </c>
      <c r="V1537" s="490"/>
      <c r="W1537" s="491"/>
      <c r="X1537" s="248" t="str">
        <f>IF(E1536="","",ROUND(K1537*O1537*U1537,1))</f>
        <v/>
      </c>
      <c r="Y1537" s="249"/>
      <c r="Z1537" s="249"/>
      <c r="AA1537" s="249"/>
      <c r="AB1537" s="248" t="str">
        <f>IF(E1536="","",ROUND(K1537*Q1537*U1537,1))</f>
        <v/>
      </c>
      <c r="AC1537" s="249"/>
      <c r="AD1537" s="249"/>
      <c r="AE1537" s="249"/>
      <c r="AF1537" s="248" t="str">
        <f>IF(E1536="","",ROUND(K1537*S1537*U1537,1))</f>
        <v/>
      </c>
      <c r="AG1537" s="249"/>
      <c r="AH1537" s="249"/>
      <c r="AI1537" s="249"/>
      <c r="AJ1537" s="145"/>
      <c r="AK1537" s="145"/>
      <c r="AL1537" s="145"/>
      <c r="AM1537" s="145"/>
    </row>
    <row r="1538" spans="1:71" s="116" customFormat="1" ht="15.75" hidden="1" customHeight="1">
      <c r="A1538" s="120" t="str">
        <f>IF(液状化L2の有無="",IF(H1538="","×",""),"×")</f>
        <v>×</v>
      </c>
      <c r="B1538" s="204" t="str">
        <f>IF(D1248="","",D1248)</f>
        <v/>
      </c>
      <c r="C1538" s="205"/>
      <c r="D1538" s="205"/>
      <c r="E1538" s="205" t="str">
        <f>IF(G1248="","",G1248)</f>
        <v/>
      </c>
      <c r="F1538" s="205"/>
      <c r="G1538" s="205"/>
      <c r="H1538" s="145" t="str">
        <f>IF(J1248="","",J1248)</f>
        <v/>
      </c>
      <c r="I1538" s="145"/>
      <c r="J1538" s="145"/>
      <c r="K1538" s="249">
        <f>AF1248*AD$1542*AJ1538</f>
        <v>0</v>
      </c>
      <c r="L1538" s="249"/>
      <c r="M1538" s="249"/>
      <c r="N1538" s="480"/>
      <c r="O1538" s="305" t="str">
        <f>IF(E1538="","",IF(E1538="粘性土",1,CHOOSE(AJ$1157,X$1151,X$1152,X$1153)))</f>
        <v/>
      </c>
      <c r="P1538" s="249"/>
      <c r="Q1538" s="249" t="str">
        <f>IF(E1538="","",IF(E1538="粘性土",1,CHOOSE(AJ$1157,AB$1151,AB$1152,AB$1153)))</f>
        <v/>
      </c>
      <c r="R1538" s="249"/>
      <c r="S1538" s="249" t="str">
        <f>IF(E1538="","",IF(E1538="粘性土",1,CHOOSE(AJ$1157,AF$1151,AF$1152,AF$1153)))</f>
        <v/>
      </c>
      <c r="T1538" s="249"/>
      <c r="U1538" s="490" t="str">
        <f>IF(E1538="","",IF(E1538="粘性土",1,R$1173))</f>
        <v/>
      </c>
      <c r="V1538" s="490"/>
      <c r="W1538" s="491"/>
      <c r="X1538" s="248" t="str">
        <f>IF(E1538="","",ROUND(K1538*O1538*U1538,1))</f>
        <v/>
      </c>
      <c r="Y1538" s="249"/>
      <c r="Z1538" s="249"/>
      <c r="AA1538" s="249"/>
      <c r="AB1538" s="248" t="str">
        <f>IF(E1538="","",ROUND(K1538*Q1538*U1538,1))</f>
        <v/>
      </c>
      <c r="AC1538" s="249"/>
      <c r="AD1538" s="249"/>
      <c r="AE1538" s="249"/>
      <c r="AF1538" s="248" t="str">
        <f>IF(E1538="","",ROUND(K1538*S1538*U1538,1))</f>
        <v/>
      </c>
      <c r="AG1538" s="249"/>
      <c r="AH1538" s="249"/>
      <c r="AI1538" s="249"/>
      <c r="AJ1538" s="145">
        <f>Q330</f>
        <v>0</v>
      </c>
      <c r="AK1538" s="145"/>
      <c r="AL1538" s="145"/>
      <c r="AM1538" s="145"/>
    </row>
    <row r="1539" spans="1:71" s="116" customFormat="1" ht="15.75" hidden="1" customHeight="1">
      <c r="A1539" s="120" t="str">
        <f t="shared" ref="A1539" si="501">A1538</f>
        <v>×</v>
      </c>
      <c r="B1539" s="204"/>
      <c r="C1539" s="205"/>
      <c r="D1539" s="205"/>
      <c r="E1539" s="205"/>
      <c r="F1539" s="205"/>
      <c r="G1539" s="205"/>
      <c r="H1539" s="145"/>
      <c r="I1539" s="145"/>
      <c r="J1539" s="145"/>
      <c r="K1539" s="249">
        <f>AF1249*AD$1542*AJ1538</f>
        <v>0</v>
      </c>
      <c r="L1539" s="249"/>
      <c r="M1539" s="249"/>
      <c r="N1539" s="480"/>
      <c r="O1539" s="305" t="str">
        <f>O1538</f>
        <v/>
      </c>
      <c r="P1539" s="249"/>
      <c r="Q1539" s="249" t="str">
        <f>Q1538</f>
        <v/>
      </c>
      <c r="R1539" s="249"/>
      <c r="S1539" s="249" t="str">
        <f>S1538</f>
        <v/>
      </c>
      <c r="T1539" s="249"/>
      <c r="U1539" s="490" t="str">
        <f>U1538</f>
        <v/>
      </c>
      <c r="V1539" s="490"/>
      <c r="W1539" s="491"/>
      <c r="X1539" s="248" t="str">
        <f>IF(E1538="","",ROUND(K1539*O1539*U1539,1))</f>
        <v/>
      </c>
      <c r="Y1539" s="249"/>
      <c r="Z1539" s="249"/>
      <c r="AA1539" s="249"/>
      <c r="AB1539" s="248" t="str">
        <f>IF(E1538="","",ROUND(K1539*Q1539*U1539,1))</f>
        <v/>
      </c>
      <c r="AC1539" s="249"/>
      <c r="AD1539" s="249"/>
      <c r="AE1539" s="249"/>
      <c r="AF1539" s="248" t="str">
        <f>IF(E1538="","",ROUND(K1539*S1539*U1539,1))</f>
        <v/>
      </c>
      <c r="AG1539" s="249"/>
      <c r="AH1539" s="249"/>
      <c r="AI1539" s="249"/>
      <c r="AJ1539" s="145"/>
      <c r="AK1539" s="145"/>
      <c r="AL1539" s="145"/>
      <c r="AM1539" s="145"/>
    </row>
    <row r="1540" spans="1:71" s="116" customFormat="1" ht="15.75" hidden="1" customHeight="1">
      <c r="A1540" s="120" t="str">
        <f>IF(液状化L2の有無="",IF(H1540="","×",""),"×")</f>
        <v>×</v>
      </c>
      <c r="B1540" s="204" t="str">
        <f>IF(D1250="","",D1250)</f>
        <v/>
      </c>
      <c r="C1540" s="205"/>
      <c r="D1540" s="205"/>
      <c r="E1540" s="205" t="str">
        <f>IF(G1250="","",G1250)</f>
        <v/>
      </c>
      <c r="F1540" s="205"/>
      <c r="G1540" s="205"/>
      <c r="H1540" s="145" t="str">
        <f>IF(J1250="","",J1250)</f>
        <v/>
      </c>
      <c r="I1540" s="145"/>
      <c r="J1540" s="145"/>
      <c r="K1540" s="249">
        <f>AF1250*AD$1542*AJ1540</f>
        <v>0</v>
      </c>
      <c r="L1540" s="249"/>
      <c r="M1540" s="249"/>
      <c r="N1540" s="480"/>
      <c r="O1540" s="305" t="str">
        <f>IF(E1540="","",IF(E1540="粘性土",1,CHOOSE(AJ$1157,X$1151,X$1152,X$1153)))</f>
        <v/>
      </c>
      <c r="P1540" s="249"/>
      <c r="Q1540" s="249" t="str">
        <f>IF(E1540="","",IF(E1540="粘性土",1,CHOOSE(AJ$1157,AB$1151,AB$1152,AB$1153)))</f>
        <v/>
      </c>
      <c r="R1540" s="249"/>
      <c r="S1540" s="249" t="str">
        <f>IF(E1540="","",IF(E1540="粘性土",1,CHOOSE(AJ$1157,AF$1151,AF$1152,AF$1153)))</f>
        <v/>
      </c>
      <c r="T1540" s="249"/>
      <c r="U1540" s="490" t="str">
        <f>IF(E1540="","",IF(E1540="粘性土",1,R$1173))</f>
        <v/>
      </c>
      <c r="V1540" s="490"/>
      <c r="W1540" s="491"/>
      <c r="X1540" s="248" t="str">
        <f>IF(E1540="","",ROUND(K1540*O1540*U1540,1))</f>
        <v/>
      </c>
      <c r="Y1540" s="249"/>
      <c r="Z1540" s="249"/>
      <c r="AA1540" s="249"/>
      <c r="AB1540" s="248" t="str">
        <f>IF(E1540="","",ROUND(K1540*Q1540*U1540,1))</f>
        <v/>
      </c>
      <c r="AC1540" s="249"/>
      <c r="AD1540" s="249"/>
      <c r="AE1540" s="249"/>
      <c r="AF1540" s="248" t="str">
        <f>IF(E1540="","",ROUND(K1540*S1540*U1540,1))</f>
        <v/>
      </c>
      <c r="AG1540" s="249"/>
      <c r="AH1540" s="249"/>
      <c r="AI1540" s="249"/>
      <c r="AJ1540" s="145">
        <f>Q331</f>
        <v>0</v>
      </c>
      <c r="AK1540" s="145"/>
      <c r="AL1540" s="145"/>
      <c r="AM1540" s="145"/>
    </row>
    <row r="1541" spans="1:71" s="116" customFormat="1" ht="15.75" hidden="1" customHeight="1">
      <c r="A1541" s="120" t="str">
        <f t="shared" ref="A1541" si="502">A1540</f>
        <v>×</v>
      </c>
      <c r="B1541" s="207"/>
      <c r="C1541" s="208"/>
      <c r="D1541" s="208"/>
      <c r="E1541" s="208"/>
      <c r="F1541" s="208"/>
      <c r="G1541" s="208"/>
      <c r="H1541" s="150"/>
      <c r="I1541" s="150"/>
      <c r="J1541" s="150"/>
      <c r="K1541" s="251">
        <f>AF1251*AD$1542*AJ1540</f>
        <v>0</v>
      </c>
      <c r="L1541" s="251"/>
      <c r="M1541" s="251"/>
      <c r="N1541" s="481"/>
      <c r="O1541" s="373" t="str">
        <f>O1540</f>
        <v/>
      </c>
      <c r="P1541" s="251"/>
      <c r="Q1541" s="251" t="str">
        <f>Q1540</f>
        <v/>
      </c>
      <c r="R1541" s="251"/>
      <c r="S1541" s="251" t="str">
        <f>S1540</f>
        <v/>
      </c>
      <c r="T1541" s="251"/>
      <c r="U1541" s="492" t="str">
        <f>U1540</f>
        <v/>
      </c>
      <c r="V1541" s="492"/>
      <c r="W1541" s="493"/>
      <c r="X1541" s="250" t="str">
        <f>IF(E1540="","",ROUND(K1541*O1541*U1541,1))</f>
        <v/>
      </c>
      <c r="Y1541" s="251"/>
      <c r="Z1541" s="251"/>
      <c r="AA1541" s="251"/>
      <c r="AB1541" s="250" t="str">
        <f>IF(E1540="","",ROUND(K1541*Q1541*U1541,1))</f>
        <v/>
      </c>
      <c r="AC1541" s="251"/>
      <c r="AD1541" s="251"/>
      <c r="AE1541" s="251"/>
      <c r="AF1541" s="250" t="str">
        <f>IF(E1540="","",ROUND(K1541*S1541*U1541,1))</f>
        <v/>
      </c>
      <c r="AG1541" s="251"/>
      <c r="AH1541" s="251"/>
      <c r="AI1541" s="251"/>
      <c r="AJ1541" s="150"/>
      <c r="AK1541" s="150"/>
      <c r="AL1541" s="150"/>
      <c r="AM1541" s="150"/>
    </row>
    <row r="1542" spans="1:71" s="116" customFormat="1" ht="15.75" hidden="1" customHeight="1">
      <c r="A1542" s="119" t="str">
        <f>IF(液状化L2の有無="","","×")</f>
        <v>×</v>
      </c>
      <c r="H1542" s="112"/>
      <c r="I1542" s="112"/>
      <c r="J1542" s="112"/>
      <c r="K1542" s="112"/>
      <c r="L1542" s="112"/>
      <c r="Q1542" s="115"/>
      <c r="R1542" s="115"/>
      <c r="AA1542" s="123" t="s">
        <v>127</v>
      </c>
      <c r="AB1542" s="1" t="s">
        <v>595</v>
      </c>
      <c r="AC1542" s="112" t="s">
        <v>27</v>
      </c>
      <c r="AD1542" s="212">
        <f>杭先端径</f>
        <v>1</v>
      </c>
      <c r="AE1542" s="212"/>
      <c r="AF1542" s="212"/>
      <c r="AG1542" s="7" t="s">
        <v>509</v>
      </c>
      <c r="AH1542" s="112" t="s">
        <v>158</v>
      </c>
    </row>
    <row r="1543" spans="1:71" s="116" customFormat="1" ht="15.75" customHeight="1">
      <c r="H1543" s="112"/>
      <c r="I1543" s="112"/>
      <c r="J1543" s="112"/>
      <c r="K1543" s="112"/>
      <c r="L1543" s="112"/>
      <c r="M1543" s="115"/>
      <c r="N1543" s="114"/>
      <c r="O1543" s="114"/>
      <c r="P1543" s="114"/>
      <c r="Q1543" s="115"/>
      <c r="R1543" s="115"/>
      <c r="S1543" s="115"/>
      <c r="T1543" s="115"/>
      <c r="U1543" s="115"/>
      <c r="V1543" s="115"/>
      <c r="W1543" s="115"/>
      <c r="X1543" s="115"/>
      <c r="Y1543" s="115"/>
      <c r="Z1543" s="113"/>
      <c r="AA1543" s="113"/>
      <c r="AB1543" s="113"/>
      <c r="AC1543" s="114"/>
      <c r="AD1543" s="114"/>
      <c r="AE1543" s="114"/>
      <c r="AK1543" s="115"/>
      <c r="AL1543" s="115"/>
      <c r="AM1543" s="115"/>
    </row>
    <row r="1544" spans="1:71" s="89" customFormat="1" ht="15.75" customHeight="1">
      <c r="AP1544" s="104"/>
      <c r="AV1544" s="104"/>
      <c r="AY1544" s="104"/>
      <c r="BB1544" s="116"/>
      <c r="BL1544" s="104"/>
      <c r="BS1544" s="104"/>
    </row>
    <row r="1545" spans="1:71" s="89" customFormat="1" ht="15.75" customHeight="1">
      <c r="D1545" s="10" t="s">
        <v>324</v>
      </c>
      <c r="AP1545" s="104"/>
      <c r="AV1545" s="104"/>
      <c r="AY1545" s="104"/>
      <c r="BB1545" s="116"/>
      <c r="BL1545" s="104"/>
      <c r="BS1545" s="104"/>
    </row>
    <row r="1546" spans="1:71" s="89" customFormat="1" ht="15.75" customHeight="1">
      <c r="AP1546" s="104"/>
      <c r="AV1546" s="104"/>
      <c r="AY1546" s="104"/>
      <c r="BB1546" s="116"/>
      <c r="BL1546" s="104"/>
      <c r="BS1546" s="104"/>
    </row>
    <row r="1547" spans="1:71" s="89" customFormat="1" ht="15.75" customHeight="1">
      <c r="E1547" s="89" t="s">
        <v>325</v>
      </c>
      <c r="AP1547" s="104"/>
      <c r="AV1547" s="104"/>
      <c r="AY1547" s="104"/>
      <c r="BB1547" s="116"/>
      <c r="BL1547" s="104"/>
      <c r="BS1547" s="104"/>
    </row>
    <row r="1548" spans="1:71" s="89" customFormat="1" ht="15.75" customHeight="1">
      <c r="AP1548" s="104"/>
      <c r="AV1548" s="104"/>
      <c r="AY1548" s="104"/>
      <c r="BB1548" s="116"/>
      <c r="BL1548" s="104"/>
      <c r="BS1548" s="104"/>
    </row>
    <row r="1549" spans="1:71" s="89" customFormat="1" ht="15.75" customHeight="1">
      <c r="E1549" s="181" t="s">
        <v>326</v>
      </c>
      <c r="F1549" s="181"/>
      <c r="G1549" s="76" t="s">
        <v>27</v>
      </c>
      <c r="H1549" s="181" t="s">
        <v>339</v>
      </c>
      <c r="I1549" s="181"/>
      <c r="J1549" s="89" t="s">
        <v>1</v>
      </c>
      <c r="K1549" s="181" t="s">
        <v>200</v>
      </c>
      <c r="L1549" s="181"/>
      <c r="AP1549" s="104"/>
      <c r="AV1549" s="104"/>
      <c r="AY1549" s="104"/>
      <c r="BB1549" s="116"/>
      <c r="BL1549" s="104"/>
      <c r="BS1549" s="104"/>
    </row>
    <row r="1550" spans="1:71" s="89" customFormat="1" ht="15.75" customHeight="1">
      <c r="E1550" s="181" t="s">
        <v>327</v>
      </c>
      <c r="F1550" s="181"/>
      <c r="G1550" s="76" t="s">
        <v>27</v>
      </c>
      <c r="H1550" s="181" t="s">
        <v>540</v>
      </c>
      <c r="I1550" s="181"/>
      <c r="J1550" s="89" t="s">
        <v>1</v>
      </c>
      <c r="K1550" s="181" t="s">
        <v>200</v>
      </c>
      <c r="L1550" s="181"/>
      <c r="AP1550" s="104"/>
      <c r="AV1550" s="104"/>
      <c r="AY1550" s="104"/>
      <c r="BB1550" s="116"/>
      <c r="BL1550" s="104"/>
      <c r="BS1550" s="104"/>
    </row>
    <row r="1551" spans="1:71" s="89" customFormat="1" ht="15.75" customHeight="1">
      <c r="AP1551" s="104"/>
      <c r="AV1551" s="104"/>
      <c r="AY1551" s="104"/>
      <c r="BB1551" s="116"/>
      <c r="BL1551" s="104"/>
      <c r="BS1551" s="104"/>
    </row>
    <row r="1552" spans="1:71" s="89" customFormat="1" ht="15.75" customHeight="1">
      <c r="F1552" s="1" t="s">
        <v>3</v>
      </c>
      <c r="G1552" s="1"/>
      <c r="H1552" s="1"/>
      <c r="I1552" s="181" t="s">
        <v>326</v>
      </c>
      <c r="J1552" s="181"/>
      <c r="K1552" s="76" t="s">
        <v>2</v>
      </c>
      <c r="L1552" s="1" t="s">
        <v>328</v>
      </c>
      <c r="AP1552" s="104"/>
      <c r="AV1552" s="104"/>
      <c r="AY1552" s="104"/>
      <c r="BB1552" s="116"/>
      <c r="BL1552" s="104"/>
      <c r="BS1552" s="104"/>
    </row>
    <row r="1553" spans="4:71" s="89" customFormat="1" ht="15.75" customHeight="1">
      <c r="F1553" s="1"/>
      <c r="G1553" s="1"/>
      <c r="H1553" s="1"/>
      <c r="I1553" s="181" t="s">
        <v>327</v>
      </c>
      <c r="J1553" s="181"/>
      <c r="K1553" s="76" t="s">
        <v>2</v>
      </c>
      <c r="L1553" s="1" t="s">
        <v>329</v>
      </c>
      <c r="AP1553" s="104"/>
      <c r="AV1553" s="104"/>
      <c r="AY1553" s="104"/>
      <c r="BB1553" s="116"/>
      <c r="BL1553" s="104"/>
      <c r="BS1553" s="104"/>
    </row>
    <row r="1554" spans="4:71" s="89" customFormat="1" ht="15.75" customHeight="1">
      <c r="I1554" s="181" t="s">
        <v>339</v>
      </c>
      <c r="J1554" s="181"/>
      <c r="K1554" s="76" t="s">
        <v>2</v>
      </c>
      <c r="L1554" s="1" t="s">
        <v>340</v>
      </c>
      <c r="AP1554" s="104"/>
      <c r="AV1554" s="104"/>
      <c r="AY1554" s="104"/>
      <c r="BB1554" s="116"/>
      <c r="BL1554" s="104"/>
      <c r="BS1554" s="104"/>
    </row>
    <row r="1555" spans="4:71" s="89" customFormat="1" ht="15.75" customHeight="1">
      <c r="I1555" s="181" t="s">
        <v>540</v>
      </c>
      <c r="J1555" s="181"/>
      <c r="K1555" s="76" t="s">
        <v>2</v>
      </c>
      <c r="L1555" s="1" t="s">
        <v>341</v>
      </c>
      <c r="AP1555" s="104"/>
      <c r="AV1555" s="104"/>
      <c r="AY1555" s="104"/>
      <c r="BB1555" s="116"/>
      <c r="BL1555" s="104"/>
      <c r="BS1555" s="104"/>
    </row>
    <row r="1556" spans="4:71" s="89" customFormat="1" ht="15.75" customHeight="1">
      <c r="I1556" s="181" t="s">
        <v>200</v>
      </c>
      <c r="J1556" s="181"/>
      <c r="K1556" s="76" t="s">
        <v>2</v>
      </c>
      <c r="L1556" s="1" t="s">
        <v>210</v>
      </c>
      <c r="AP1556" s="104"/>
      <c r="AV1556" s="104"/>
      <c r="AY1556" s="104"/>
      <c r="BB1556" s="116"/>
      <c r="BL1556" s="104"/>
      <c r="BS1556" s="104"/>
    </row>
    <row r="1557" spans="4:71" s="89" customFormat="1" ht="15.75" customHeight="1">
      <c r="AP1557" s="104"/>
      <c r="AV1557" s="104"/>
      <c r="AY1557" s="104"/>
      <c r="BB1557" s="116"/>
      <c r="BL1557" s="104"/>
      <c r="BS1557" s="104"/>
    </row>
    <row r="1558" spans="4:71" s="89" customFormat="1" ht="15.75" customHeight="1">
      <c r="E1558" s="181" t="s">
        <v>326</v>
      </c>
      <c r="F1558" s="181"/>
      <c r="G1558" s="76" t="s">
        <v>27</v>
      </c>
      <c r="H1558" s="181" t="s">
        <v>339</v>
      </c>
      <c r="I1558" s="181"/>
      <c r="J1558" s="89" t="s">
        <v>1</v>
      </c>
      <c r="K1558" s="181" t="s">
        <v>200</v>
      </c>
      <c r="L1558" s="181"/>
      <c r="AP1558" s="104"/>
      <c r="AV1558" s="104"/>
      <c r="AY1558" s="104"/>
      <c r="BB1558" s="116"/>
      <c r="BL1558" s="104"/>
      <c r="BS1558" s="104"/>
    </row>
    <row r="1559" spans="4:71" s="89" customFormat="1" ht="15.75" customHeight="1">
      <c r="G1559" s="76" t="s">
        <v>27</v>
      </c>
      <c r="H1559" s="181">
        <v>0.6</v>
      </c>
      <c r="I1559" s="181"/>
      <c r="J1559" s="89" t="s">
        <v>1</v>
      </c>
      <c r="K1559" s="352">
        <f>N1056</f>
        <v>3298.6722862692827</v>
      </c>
      <c r="L1559" s="181"/>
      <c r="M1559" s="181"/>
      <c r="AP1559" s="104"/>
      <c r="AV1559" s="104"/>
      <c r="AY1559" s="104"/>
      <c r="BB1559" s="116"/>
      <c r="BL1559" s="104"/>
      <c r="BS1559" s="104"/>
    </row>
    <row r="1560" spans="4:71" s="89" customFormat="1" ht="15.75" customHeight="1">
      <c r="G1560" s="76" t="s">
        <v>27</v>
      </c>
      <c r="H1560" s="352">
        <f>H1559*K1559</f>
        <v>1979.2033717615695</v>
      </c>
      <c r="I1560" s="181"/>
      <c r="J1560" s="181"/>
      <c r="K1560" s="89" t="s">
        <v>330</v>
      </c>
      <c r="AP1560" s="104"/>
      <c r="AV1560" s="104"/>
      <c r="AY1560" s="104"/>
      <c r="BB1560" s="116"/>
      <c r="BL1560" s="104"/>
      <c r="BS1560" s="104"/>
    </row>
    <row r="1561" spans="4:71" s="89" customFormat="1" ht="15.75" customHeight="1">
      <c r="AP1561" s="104"/>
      <c r="AV1561" s="104"/>
      <c r="AY1561" s="104"/>
      <c r="BB1561" s="116"/>
      <c r="BL1561" s="104"/>
      <c r="BS1561" s="104"/>
    </row>
    <row r="1562" spans="4:71" s="89" customFormat="1" ht="15.75" customHeight="1">
      <c r="E1562" s="181" t="s">
        <v>327</v>
      </c>
      <c r="F1562" s="181"/>
      <c r="G1562" s="76" t="s">
        <v>27</v>
      </c>
      <c r="H1562" s="181" t="s">
        <v>540</v>
      </c>
      <c r="I1562" s="181"/>
      <c r="J1562" s="89" t="s">
        <v>1</v>
      </c>
      <c r="K1562" s="181" t="s">
        <v>200</v>
      </c>
      <c r="L1562" s="181"/>
      <c r="AP1562" s="104"/>
      <c r="AV1562" s="104"/>
      <c r="AY1562" s="104"/>
      <c r="BB1562" s="116"/>
      <c r="BL1562" s="104"/>
      <c r="BS1562" s="104"/>
    </row>
    <row r="1563" spans="4:71" s="89" customFormat="1" ht="15.75" customHeight="1">
      <c r="G1563" s="76" t="s">
        <v>27</v>
      </c>
      <c r="H1563" s="181">
        <v>1.4</v>
      </c>
      <c r="I1563" s="181"/>
      <c r="J1563" s="89" t="s">
        <v>1</v>
      </c>
      <c r="K1563" s="352">
        <f>N1056</f>
        <v>3298.6722862692827</v>
      </c>
      <c r="L1563" s="181"/>
      <c r="M1563" s="181"/>
      <c r="AP1563" s="104"/>
      <c r="AV1563" s="104"/>
      <c r="AY1563" s="104"/>
      <c r="BB1563" s="116"/>
      <c r="BL1563" s="104"/>
      <c r="BS1563" s="104"/>
    </row>
    <row r="1564" spans="4:71" s="89" customFormat="1" ht="15.75" customHeight="1">
      <c r="G1564" s="76" t="s">
        <v>27</v>
      </c>
      <c r="H1564" s="352">
        <f>H1563*K1563</f>
        <v>4618.1412007769959</v>
      </c>
      <c r="I1564" s="181"/>
      <c r="J1564" s="181"/>
      <c r="K1564" s="89" t="s">
        <v>330</v>
      </c>
      <c r="AP1564" s="104"/>
      <c r="AV1564" s="104"/>
      <c r="AY1564" s="104"/>
      <c r="BB1564" s="116"/>
      <c r="BL1564" s="104"/>
      <c r="BS1564" s="104"/>
    </row>
    <row r="1565" spans="4:71" s="89" customFormat="1" ht="15.75" customHeight="1">
      <c r="AP1565" s="104"/>
      <c r="AV1565" s="104"/>
      <c r="AY1565" s="104"/>
      <c r="BB1565" s="116"/>
      <c r="BL1565" s="104"/>
      <c r="BS1565" s="104"/>
    </row>
    <row r="1566" spans="4:71" s="89" customFormat="1" ht="15.75" customHeight="1">
      <c r="AP1566" s="104"/>
      <c r="AV1566" s="104"/>
      <c r="AY1566" s="104"/>
      <c r="BB1566" s="116"/>
      <c r="BL1566" s="104"/>
      <c r="BS1566" s="104"/>
    </row>
    <row r="1567" spans="4:71" s="89" customFormat="1" ht="15.75" customHeight="1">
      <c r="D1567" s="10" t="s">
        <v>331</v>
      </c>
      <c r="AP1567" s="104"/>
      <c r="AV1567" s="104"/>
      <c r="AY1567" s="104"/>
      <c r="BB1567" s="116"/>
      <c r="BL1567" s="104"/>
      <c r="BS1567" s="104"/>
    </row>
    <row r="1568" spans="4:71" s="89" customFormat="1" ht="15.75" customHeight="1">
      <c r="AP1568" s="104"/>
      <c r="AV1568" s="104"/>
      <c r="AY1568" s="104"/>
      <c r="BB1568" s="116"/>
      <c r="BL1568" s="104"/>
      <c r="BS1568" s="104"/>
    </row>
    <row r="1569" spans="5:71" s="89" customFormat="1" ht="15.75" customHeight="1">
      <c r="E1569" s="89" t="s">
        <v>332</v>
      </c>
      <c r="AP1569" s="104"/>
      <c r="AV1569" s="104"/>
      <c r="AY1569" s="104"/>
      <c r="BB1569" s="116"/>
      <c r="BL1569" s="104"/>
      <c r="BS1569" s="104"/>
    </row>
    <row r="1570" spans="5:71" s="89" customFormat="1" ht="15.75" customHeight="1">
      <c r="E1570" s="89" t="s">
        <v>75</v>
      </c>
      <c r="AP1570" s="104"/>
      <c r="AV1570" s="104"/>
      <c r="AY1570" s="104"/>
      <c r="BB1570" s="116"/>
      <c r="BL1570" s="104"/>
      <c r="BS1570" s="104"/>
    </row>
    <row r="1571" spans="5:71" s="89" customFormat="1" ht="15.75" customHeight="1">
      <c r="AP1571" s="104"/>
      <c r="AV1571" s="104"/>
      <c r="AY1571" s="104"/>
      <c r="BB1571" s="116"/>
      <c r="BL1571" s="104"/>
      <c r="BS1571" s="104"/>
    </row>
    <row r="1572" spans="5:71" s="89" customFormat="1" ht="15.75" customHeight="1">
      <c r="E1572" s="181" t="s">
        <v>333</v>
      </c>
      <c r="F1572" s="181"/>
      <c r="G1572" s="76" t="s">
        <v>27</v>
      </c>
      <c r="H1572" s="181" t="s">
        <v>541</v>
      </c>
      <c r="I1572" s="181"/>
      <c r="J1572" s="89" t="s">
        <v>1</v>
      </c>
      <c r="K1572" s="181" t="s">
        <v>202</v>
      </c>
      <c r="L1572" s="181"/>
      <c r="AP1572" s="104"/>
      <c r="AV1572" s="104"/>
      <c r="AY1572" s="104"/>
      <c r="BB1572" s="116"/>
      <c r="BL1572" s="104"/>
      <c r="BS1572" s="104"/>
    </row>
    <row r="1573" spans="5:71" s="89" customFormat="1" ht="15.75" customHeight="1">
      <c r="E1573" s="181" t="s">
        <v>334</v>
      </c>
      <c r="F1573" s="181"/>
      <c r="G1573" s="76" t="s">
        <v>27</v>
      </c>
      <c r="H1573" s="181" t="s">
        <v>542</v>
      </c>
      <c r="I1573" s="181"/>
      <c r="J1573" s="89" t="s">
        <v>1</v>
      </c>
      <c r="K1573" s="181" t="s">
        <v>202</v>
      </c>
      <c r="L1573" s="181"/>
      <c r="AP1573" s="104"/>
      <c r="AV1573" s="104"/>
      <c r="AY1573" s="104"/>
      <c r="BB1573" s="116"/>
      <c r="BL1573" s="104"/>
      <c r="BS1573" s="104"/>
    </row>
    <row r="1574" spans="5:71" s="89" customFormat="1" ht="15.75" customHeight="1">
      <c r="AP1574" s="104"/>
      <c r="AV1574" s="104"/>
      <c r="AY1574" s="104"/>
      <c r="BB1574" s="116"/>
      <c r="BL1574" s="104"/>
      <c r="BS1574" s="104"/>
    </row>
    <row r="1575" spans="5:71" s="89" customFormat="1" ht="15.75" customHeight="1">
      <c r="F1575" s="1" t="s">
        <v>3</v>
      </c>
      <c r="G1575" s="1"/>
      <c r="H1575" s="1"/>
      <c r="I1575" s="181" t="s">
        <v>326</v>
      </c>
      <c r="J1575" s="181"/>
      <c r="K1575" s="76" t="s">
        <v>2</v>
      </c>
      <c r="L1575" s="1" t="s">
        <v>335</v>
      </c>
      <c r="AP1575" s="104"/>
      <c r="AV1575" s="104"/>
      <c r="AY1575" s="104"/>
      <c r="BB1575" s="116"/>
      <c r="BL1575" s="104"/>
      <c r="BS1575" s="104"/>
    </row>
    <row r="1576" spans="5:71" s="89" customFormat="1" ht="15.75" customHeight="1">
      <c r="F1576" s="1"/>
      <c r="G1576" s="1"/>
      <c r="H1576" s="1"/>
      <c r="I1576" s="181" t="s">
        <v>327</v>
      </c>
      <c r="J1576" s="181"/>
      <c r="K1576" s="76" t="s">
        <v>2</v>
      </c>
      <c r="L1576" s="1" t="s">
        <v>336</v>
      </c>
      <c r="AP1576" s="104"/>
      <c r="AV1576" s="104"/>
      <c r="AY1576" s="104"/>
      <c r="BB1576" s="116"/>
      <c r="BL1576" s="104"/>
      <c r="BS1576" s="104"/>
    </row>
    <row r="1577" spans="5:71" s="89" customFormat="1" ht="15.75" customHeight="1">
      <c r="I1577" s="181" t="s">
        <v>541</v>
      </c>
      <c r="J1577" s="181"/>
      <c r="K1577" s="76" t="s">
        <v>2</v>
      </c>
      <c r="L1577" s="354" t="s">
        <v>615</v>
      </c>
      <c r="M1577" s="354"/>
      <c r="N1577" s="354"/>
      <c r="O1577" s="354"/>
      <c r="P1577" s="354"/>
      <c r="Q1577" s="354"/>
      <c r="R1577" s="354"/>
      <c r="S1577" s="354"/>
      <c r="T1577" s="354"/>
      <c r="U1577" s="354"/>
      <c r="V1577" s="354"/>
      <c r="W1577" s="354"/>
      <c r="X1577" s="354"/>
      <c r="Y1577" s="354"/>
      <c r="Z1577" s="354"/>
      <c r="AA1577" s="354"/>
      <c r="AB1577" s="354"/>
      <c r="AC1577" s="354"/>
      <c r="AD1577" s="354"/>
      <c r="AE1577" s="354"/>
      <c r="AF1577" s="354"/>
      <c r="AG1577" s="354"/>
      <c r="AH1577" s="181">
        <v>1.2</v>
      </c>
      <c r="AI1577" s="181"/>
      <c r="AP1577" s="104"/>
      <c r="AV1577" s="104"/>
      <c r="AY1577" s="104"/>
      <c r="BB1577" s="116"/>
      <c r="BL1577" s="104"/>
      <c r="BS1577" s="104"/>
    </row>
    <row r="1578" spans="5:71" s="89" customFormat="1" ht="15.75" customHeight="1">
      <c r="I1578" s="181" t="s">
        <v>542</v>
      </c>
      <c r="J1578" s="181"/>
      <c r="K1578" s="76" t="s">
        <v>2</v>
      </c>
      <c r="L1578" s="354" t="s">
        <v>616</v>
      </c>
      <c r="M1578" s="354"/>
      <c r="N1578" s="354"/>
      <c r="O1578" s="354"/>
      <c r="P1578" s="354"/>
      <c r="Q1578" s="354"/>
      <c r="R1578" s="354"/>
      <c r="S1578" s="354"/>
      <c r="T1578" s="354"/>
      <c r="U1578" s="354"/>
      <c r="V1578" s="354"/>
      <c r="W1578" s="354"/>
      <c r="X1578" s="354"/>
      <c r="Y1578" s="354"/>
      <c r="Z1578" s="354"/>
      <c r="AA1578" s="354"/>
      <c r="AB1578" s="354"/>
      <c r="AC1578" s="354"/>
      <c r="AD1578" s="354"/>
      <c r="AE1578" s="354"/>
      <c r="AF1578" s="354"/>
      <c r="AG1578" s="354"/>
      <c r="AH1578" s="181">
        <v>1.4</v>
      </c>
      <c r="AI1578" s="181"/>
      <c r="AV1578" s="104"/>
      <c r="AY1578" s="104"/>
      <c r="BB1578" s="116"/>
      <c r="BL1578" s="104"/>
      <c r="BS1578" s="104"/>
    </row>
    <row r="1579" spans="5:71" s="89" customFormat="1" ht="15.75" customHeight="1">
      <c r="I1579" s="181" t="s">
        <v>200</v>
      </c>
      <c r="J1579" s="181"/>
      <c r="K1579" s="76" t="s">
        <v>2</v>
      </c>
      <c r="L1579" s="1" t="s">
        <v>205</v>
      </c>
      <c r="AV1579" s="104"/>
      <c r="AY1579" s="104"/>
      <c r="BB1579" s="116"/>
      <c r="BL1579" s="104"/>
      <c r="BS1579" s="104"/>
    </row>
    <row r="1580" spans="5:71" s="89" customFormat="1" ht="15.75" customHeight="1">
      <c r="AP1580" s="104"/>
      <c r="AV1580" s="104"/>
      <c r="AY1580" s="104"/>
      <c r="BB1580" s="116"/>
      <c r="BL1580" s="104"/>
      <c r="BS1580" s="104"/>
    </row>
    <row r="1581" spans="5:71" s="116" customFormat="1" ht="15.75" customHeight="1"/>
    <row r="1582" spans="5:71" s="1" customFormat="1" ht="15.75" customHeight="1">
      <c r="E1582" s="61" t="s">
        <v>612</v>
      </c>
      <c r="F1582" s="85"/>
      <c r="G1582" s="85"/>
      <c r="H1582" s="61"/>
      <c r="I1582" s="61"/>
      <c r="J1582" s="61"/>
      <c r="K1582" s="61"/>
      <c r="L1582" s="61"/>
      <c r="M1582" s="61"/>
      <c r="N1582" s="61"/>
      <c r="O1582" s="61"/>
      <c r="P1582" s="61"/>
      <c r="Q1582" s="61"/>
      <c r="R1582" s="61"/>
      <c r="S1582" s="61"/>
      <c r="T1582" s="61"/>
      <c r="U1582" s="61"/>
      <c r="V1582" s="61"/>
      <c r="W1582" s="61"/>
      <c r="X1582" s="61"/>
      <c r="Y1582" s="61"/>
      <c r="Z1582" s="61"/>
      <c r="AA1582" s="61"/>
      <c r="AB1582" s="61"/>
      <c r="AC1582" s="61"/>
      <c r="AD1582" s="61"/>
      <c r="AE1582" s="61"/>
      <c r="AF1582" s="61"/>
      <c r="AG1582" s="61"/>
      <c r="AH1582" s="61"/>
      <c r="AI1582" s="8"/>
    </row>
    <row r="1583" spans="5:71" s="1" customFormat="1" ht="15.75" customHeight="1">
      <c r="E1583" s="347" t="s">
        <v>511</v>
      </c>
      <c r="F1583" s="348"/>
      <c r="G1583" s="348"/>
      <c r="H1583" s="348"/>
      <c r="I1583" s="348"/>
      <c r="J1583" s="348"/>
      <c r="K1583" s="348"/>
      <c r="L1583" s="348"/>
      <c r="M1583" s="348"/>
      <c r="N1583" s="348"/>
      <c r="O1583" s="348"/>
      <c r="P1583" s="348"/>
      <c r="Q1583" s="348"/>
      <c r="R1583" s="348"/>
      <c r="S1583" s="410"/>
      <c r="T1583" s="350" t="s">
        <v>512</v>
      </c>
      <c r="U1583" s="147"/>
      <c r="V1583" s="147"/>
      <c r="W1583" s="147"/>
      <c r="X1583" s="147"/>
      <c r="Y1583" s="147"/>
      <c r="Z1583" s="147"/>
      <c r="AA1583" s="147"/>
      <c r="AB1583" s="147"/>
      <c r="AC1583" s="147"/>
      <c r="AD1583" s="147"/>
      <c r="AE1583" s="147"/>
      <c r="AF1583" s="147"/>
      <c r="AG1583" s="147"/>
      <c r="AH1583" s="214"/>
    </row>
    <row r="1584" spans="5:71" s="1" customFormat="1" ht="15.75" customHeight="1">
      <c r="E1584" s="316" t="s">
        <v>78</v>
      </c>
      <c r="F1584" s="300"/>
      <c r="G1584" s="496" t="s">
        <v>190</v>
      </c>
      <c r="H1584" s="497"/>
      <c r="I1584" s="497"/>
      <c r="J1584" s="300" t="s">
        <v>237</v>
      </c>
      <c r="K1584" s="300"/>
      <c r="L1584" s="300"/>
      <c r="M1584" s="300"/>
      <c r="N1584" s="300" t="s">
        <v>613</v>
      </c>
      <c r="O1584" s="300"/>
      <c r="P1584" s="300"/>
      <c r="Q1584" s="300" t="s">
        <v>614</v>
      </c>
      <c r="R1584" s="300"/>
      <c r="S1584" s="372"/>
      <c r="T1584" s="311" t="s">
        <v>78</v>
      </c>
      <c r="U1584" s="300"/>
      <c r="V1584" s="496" t="s">
        <v>190</v>
      </c>
      <c r="W1584" s="497"/>
      <c r="X1584" s="497"/>
      <c r="Y1584" s="300" t="s">
        <v>237</v>
      </c>
      <c r="Z1584" s="300"/>
      <c r="AA1584" s="300"/>
      <c r="AB1584" s="300"/>
      <c r="AC1584" s="300" t="s">
        <v>613</v>
      </c>
      <c r="AD1584" s="300"/>
      <c r="AE1584" s="300"/>
      <c r="AF1584" s="300" t="s">
        <v>614</v>
      </c>
      <c r="AG1584" s="300"/>
      <c r="AH1584" s="372"/>
    </row>
    <row r="1585" spans="1:34" s="1" customFormat="1" ht="15.75" customHeight="1">
      <c r="E1585" s="186"/>
      <c r="F1585" s="187"/>
      <c r="G1585" s="218"/>
      <c r="H1585" s="218"/>
      <c r="I1585" s="218"/>
      <c r="J1585" s="187"/>
      <c r="K1585" s="187"/>
      <c r="L1585" s="187"/>
      <c r="M1585" s="187"/>
      <c r="N1585" s="187"/>
      <c r="O1585" s="187"/>
      <c r="P1585" s="187"/>
      <c r="Q1585" s="187"/>
      <c r="R1585" s="187"/>
      <c r="S1585" s="222"/>
      <c r="T1585" s="330"/>
      <c r="U1585" s="187"/>
      <c r="V1585" s="218"/>
      <c r="W1585" s="218"/>
      <c r="X1585" s="218"/>
      <c r="Y1585" s="187"/>
      <c r="Z1585" s="187"/>
      <c r="AA1585" s="187"/>
      <c r="AB1585" s="187"/>
      <c r="AC1585" s="187"/>
      <c r="AD1585" s="187"/>
      <c r="AE1585" s="187"/>
      <c r="AF1585" s="187"/>
      <c r="AG1585" s="187"/>
      <c r="AH1585" s="222"/>
    </row>
    <row r="1586" spans="1:34" s="96" customFormat="1" ht="15.75" customHeight="1">
      <c r="A1586" s="124" t="str">
        <f t="shared" ref="A1586:A1601" si="503">IF(LEN(E1586)+LEN(T1586)=0,"×","")</f>
        <v/>
      </c>
      <c r="E1586" s="219">
        <f>IF(E891="","",E891)</f>
        <v>3</v>
      </c>
      <c r="F1586" s="159"/>
      <c r="G1586" s="158">
        <f>IF(G891="","",G891)</f>
        <v>3</v>
      </c>
      <c r="H1586" s="158"/>
      <c r="I1586" s="158"/>
      <c r="J1586" s="504">
        <f>IF(P891="","",P891)</f>
        <v>0</v>
      </c>
      <c r="K1586" s="504"/>
      <c r="L1586" s="504"/>
      <c r="M1586" s="504"/>
      <c r="N1586" s="505">
        <f>IF(J1586="","",ROUND(J1586/G1586*$AH$1577,1))</f>
        <v>0</v>
      </c>
      <c r="O1586" s="505"/>
      <c r="P1586" s="505"/>
      <c r="Q1586" s="505">
        <f>IF(J1586="","",ROUND(J1586/G1586*$AH$1578,1))</f>
        <v>0</v>
      </c>
      <c r="R1586" s="505"/>
      <c r="S1586" s="506"/>
      <c r="T1586" s="507">
        <f>IF(T891="","",T891)</f>
        <v>3</v>
      </c>
      <c r="U1586" s="159"/>
      <c r="V1586" s="158">
        <f>IF(V891="","",V891)</f>
        <v>3</v>
      </c>
      <c r="W1586" s="158"/>
      <c r="X1586" s="158"/>
      <c r="Y1586" s="504">
        <f>IF(AE891="","",AE891)</f>
        <v>0</v>
      </c>
      <c r="Z1586" s="504"/>
      <c r="AA1586" s="504"/>
      <c r="AB1586" s="504"/>
      <c r="AC1586" s="505">
        <f>IF(Y1586="","",ROUND(Y1586/V1586*$AH$1577,1))</f>
        <v>0</v>
      </c>
      <c r="AD1586" s="505"/>
      <c r="AE1586" s="505"/>
      <c r="AF1586" s="505">
        <f>IF(Y1586="","",ROUND(Y1586/V1586*$AH$1578,1))</f>
        <v>0</v>
      </c>
      <c r="AG1586" s="505"/>
      <c r="AH1586" s="506"/>
    </row>
    <row r="1587" spans="1:34" s="96" customFormat="1" ht="15.75" customHeight="1">
      <c r="A1587" s="124" t="str">
        <f t="shared" si="503"/>
        <v/>
      </c>
      <c r="E1587" s="204">
        <f>IF(E892="","",E892)</f>
        <v>4</v>
      </c>
      <c r="F1587" s="205"/>
      <c r="G1587" s="145">
        <f>IF(G892="","",G892)</f>
        <v>1.2199997901916504</v>
      </c>
      <c r="H1587" s="145"/>
      <c r="I1587" s="145"/>
      <c r="J1587" s="498">
        <f>IF(P892="","",P892)</f>
        <v>0</v>
      </c>
      <c r="K1587" s="498"/>
      <c r="L1587" s="498"/>
      <c r="M1587" s="498"/>
      <c r="N1587" s="499">
        <f t="shared" ref="N1587:N1601" si="504">IF(J1587="","",ROUND(J1587/G1587*$AH$1577,1))</f>
        <v>0</v>
      </c>
      <c r="O1587" s="499"/>
      <c r="P1587" s="499"/>
      <c r="Q1587" s="499">
        <f t="shared" ref="Q1587:Q1601" si="505">IF(J1587="","",ROUND(J1587/G1587*$AH$1578,1))</f>
        <v>0</v>
      </c>
      <c r="R1587" s="499"/>
      <c r="S1587" s="500"/>
      <c r="T1587" s="397">
        <f>IF(T892="","",T892)</f>
        <v>4</v>
      </c>
      <c r="U1587" s="205"/>
      <c r="V1587" s="145">
        <f>IF(V892="","",V892)</f>
        <v>1.2199997901916504</v>
      </c>
      <c r="W1587" s="145"/>
      <c r="X1587" s="145"/>
      <c r="Y1587" s="498">
        <f>IF(AE892="","",AE892)</f>
        <v>0</v>
      </c>
      <c r="Z1587" s="498"/>
      <c r="AA1587" s="498"/>
      <c r="AB1587" s="498"/>
      <c r="AC1587" s="499">
        <f t="shared" ref="AC1587:AC1601" si="506">IF(Y1587="","",ROUND(Y1587/V1587*$AH$1577,1))</f>
        <v>0</v>
      </c>
      <c r="AD1587" s="499"/>
      <c r="AE1587" s="499"/>
      <c r="AF1587" s="499">
        <f t="shared" ref="AF1587:AF1601" si="507">IF(Y1587="","",ROUND(Y1587/V1587*$AH$1578,1))</f>
        <v>0</v>
      </c>
      <c r="AG1587" s="499"/>
      <c r="AH1587" s="500"/>
    </row>
    <row r="1588" spans="1:34" s="96" customFormat="1" ht="15.75" customHeight="1">
      <c r="A1588" s="124" t="str">
        <f t="shared" si="503"/>
        <v/>
      </c>
      <c r="E1588" s="204">
        <f>IF(E893="","",E893)</f>
        <v>4</v>
      </c>
      <c r="F1588" s="205"/>
      <c r="G1588" s="145">
        <f>IF(G893="","",G893)</f>
        <v>3.7800002098083496</v>
      </c>
      <c r="H1588" s="145"/>
      <c r="I1588" s="145"/>
      <c r="J1588" s="498">
        <f>IF(P893="","",P893)</f>
        <v>534.38494003658047</v>
      </c>
      <c r="K1588" s="498"/>
      <c r="L1588" s="498"/>
      <c r="M1588" s="498"/>
      <c r="N1588" s="499">
        <f t="shared" si="504"/>
        <v>169.6</v>
      </c>
      <c r="O1588" s="499"/>
      <c r="P1588" s="499"/>
      <c r="Q1588" s="499">
        <f t="shared" si="505"/>
        <v>197.9</v>
      </c>
      <c r="R1588" s="499"/>
      <c r="S1588" s="500"/>
      <c r="T1588" s="397">
        <f>IF(T893="","",T893)</f>
        <v>4</v>
      </c>
      <c r="U1588" s="205"/>
      <c r="V1588" s="145">
        <f>IF(V893="","",V893)</f>
        <v>3.7800002098083496</v>
      </c>
      <c r="W1588" s="145"/>
      <c r="X1588" s="145"/>
      <c r="Y1588" s="498">
        <f>IF(AE893="","",AE893)</f>
        <v>534.38494003658047</v>
      </c>
      <c r="Z1588" s="498"/>
      <c r="AA1588" s="498"/>
      <c r="AB1588" s="498"/>
      <c r="AC1588" s="499">
        <f t="shared" si="506"/>
        <v>169.6</v>
      </c>
      <c r="AD1588" s="499"/>
      <c r="AE1588" s="499"/>
      <c r="AF1588" s="499">
        <f t="shared" si="507"/>
        <v>197.9</v>
      </c>
      <c r="AG1588" s="499"/>
      <c r="AH1588" s="500"/>
    </row>
    <row r="1589" spans="1:34" s="96" customFormat="1" ht="15.75" customHeight="1">
      <c r="A1589" s="124" t="str">
        <f t="shared" si="503"/>
        <v/>
      </c>
      <c r="E1589" s="204">
        <f>IF(E894="","",E894)</f>
        <v>5</v>
      </c>
      <c r="F1589" s="205"/>
      <c r="G1589" s="145">
        <f>IF(G894="","",G894)</f>
        <v>8</v>
      </c>
      <c r="H1589" s="145"/>
      <c r="I1589" s="145"/>
      <c r="J1589" s="498">
        <f>IF(P894="","",P894)</f>
        <v>628.31853071795865</v>
      </c>
      <c r="K1589" s="498"/>
      <c r="L1589" s="498"/>
      <c r="M1589" s="498"/>
      <c r="N1589" s="499">
        <f t="shared" si="504"/>
        <v>94.2</v>
      </c>
      <c r="O1589" s="499"/>
      <c r="P1589" s="499"/>
      <c r="Q1589" s="499">
        <f t="shared" si="505"/>
        <v>110</v>
      </c>
      <c r="R1589" s="499"/>
      <c r="S1589" s="500"/>
      <c r="T1589" s="397">
        <f>IF(T894="","",T894)</f>
        <v>5</v>
      </c>
      <c r="U1589" s="205"/>
      <c r="V1589" s="145">
        <f>IF(V894="","",V894)</f>
        <v>8</v>
      </c>
      <c r="W1589" s="145"/>
      <c r="X1589" s="145"/>
      <c r="Y1589" s="498">
        <f>IF(AE894="","",AE894)</f>
        <v>628.31853071795865</v>
      </c>
      <c r="Z1589" s="498"/>
      <c r="AA1589" s="498"/>
      <c r="AB1589" s="498"/>
      <c r="AC1589" s="499">
        <f t="shared" si="506"/>
        <v>94.2</v>
      </c>
      <c r="AD1589" s="499"/>
      <c r="AE1589" s="499"/>
      <c r="AF1589" s="499">
        <f t="shared" si="507"/>
        <v>110</v>
      </c>
      <c r="AG1589" s="499"/>
      <c r="AH1589" s="500"/>
    </row>
    <row r="1590" spans="1:34" s="96" customFormat="1" ht="15.75" customHeight="1">
      <c r="A1590" s="124" t="str">
        <f t="shared" si="503"/>
        <v/>
      </c>
      <c r="E1590" s="204">
        <f>IF(E895="","",E895)</f>
        <v>6</v>
      </c>
      <c r="F1590" s="205"/>
      <c r="G1590" s="145">
        <f>IF(G895="","",G895)</f>
        <v>4</v>
      </c>
      <c r="H1590" s="145"/>
      <c r="I1590" s="145"/>
      <c r="J1590" s="498">
        <f>IF(P895="","",P895)</f>
        <v>628.31853071795865</v>
      </c>
      <c r="K1590" s="498"/>
      <c r="L1590" s="498"/>
      <c r="M1590" s="498"/>
      <c r="N1590" s="499">
        <f t="shared" si="504"/>
        <v>188.5</v>
      </c>
      <c r="O1590" s="499"/>
      <c r="P1590" s="499"/>
      <c r="Q1590" s="499">
        <f t="shared" si="505"/>
        <v>219.9</v>
      </c>
      <c r="R1590" s="499"/>
      <c r="S1590" s="500"/>
      <c r="T1590" s="397">
        <f>IF(T895="","",T895)</f>
        <v>6</v>
      </c>
      <c r="U1590" s="205"/>
      <c r="V1590" s="145">
        <f>IF(V895="","",V895)</f>
        <v>4.5</v>
      </c>
      <c r="W1590" s="145"/>
      <c r="X1590" s="145"/>
      <c r="Y1590" s="498">
        <f>IF(AE895="","",AE895)</f>
        <v>706.85834705770344</v>
      </c>
      <c r="Z1590" s="498"/>
      <c r="AA1590" s="498"/>
      <c r="AB1590" s="498"/>
      <c r="AC1590" s="499">
        <f t="shared" si="506"/>
        <v>188.5</v>
      </c>
      <c r="AD1590" s="499"/>
      <c r="AE1590" s="499"/>
      <c r="AF1590" s="499">
        <f t="shared" si="507"/>
        <v>219.9</v>
      </c>
      <c r="AG1590" s="499"/>
      <c r="AH1590" s="500"/>
    </row>
    <row r="1591" spans="1:34" s="96" customFormat="1" ht="15.75" customHeight="1">
      <c r="A1591" s="124" t="str">
        <f t="shared" si="503"/>
        <v/>
      </c>
      <c r="E1591" s="204">
        <f>IF(E896="","",E896)</f>
        <v>6</v>
      </c>
      <c r="F1591" s="205"/>
      <c r="G1591" s="145">
        <f>IF(G896="","",G896)</f>
        <v>0.5</v>
      </c>
      <c r="H1591" s="145"/>
      <c r="I1591" s="145"/>
      <c r="J1591" s="498">
        <f>IF(P896="","",P896)</f>
        <v>0</v>
      </c>
      <c r="K1591" s="498"/>
      <c r="L1591" s="498"/>
      <c r="M1591" s="498"/>
      <c r="N1591" s="499">
        <f t="shared" si="504"/>
        <v>0</v>
      </c>
      <c r="O1591" s="499"/>
      <c r="P1591" s="499"/>
      <c r="Q1591" s="499">
        <f t="shared" si="505"/>
        <v>0</v>
      </c>
      <c r="R1591" s="499"/>
      <c r="S1591" s="500"/>
      <c r="T1591" s="397">
        <f>IF(T896="","",T896)</f>
        <v>7</v>
      </c>
      <c r="U1591" s="205"/>
      <c r="V1591" s="145">
        <f>IF(V896="","",V896)</f>
        <v>0.5</v>
      </c>
      <c r="W1591" s="145"/>
      <c r="X1591" s="145"/>
      <c r="Y1591" s="498">
        <f>IF(AE896="","",AE896)</f>
        <v>235.61944901923448</v>
      </c>
      <c r="Z1591" s="498"/>
      <c r="AA1591" s="498"/>
      <c r="AB1591" s="498"/>
      <c r="AC1591" s="499">
        <f t="shared" si="506"/>
        <v>565.5</v>
      </c>
      <c r="AD1591" s="499"/>
      <c r="AE1591" s="499"/>
      <c r="AF1591" s="499">
        <f t="shared" si="507"/>
        <v>659.7</v>
      </c>
      <c r="AG1591" s="499"/>
      <c r="AH1591" s="500"/>
    </row>
    <row r="1592" spans="1:34" s="96" customFormat="1" ht="15.75" customHeight="1">
      <c r="A1592" s="124" t="str">
        <f t="shared" si="503"/>
        <v/>
      </c>
      <c r="E1592" s="204">
        <f>IF(E897="","",E897)</f>
        <v>7</v>
      </c>
      <c r="F1592" s="205"/>
      <c r="G1592" s="145">
        <f>IF(G897="","",G897)</f>
        <v>0.5</v>
      </c>
      <c r="H1592" s="145"/>
      <c r="I1592" s="145"/>
      <c r="J1592" s="498">
        <f>IF(P897="","",P897)</f>
        <v>0</v>
      </c>
      <c r="K1592" s="498"/>
      <c r="L1592" s="498"/>
      <c r="M1592" s="498"/>
      <c r="N1592" s="499">
        <f t="shared" si="504"/>
        <v>0</v>
      </c>
      <c r="O1592" s="499"/>
      <c r="P1592" s="499"/>
      <c r="Q1592" s="499">
        <f t="shared" si="505"/>
        <v>0</v>
      </c>
      <c r="R1592" s="499"/>
      <c r="S1592" s="500"/>
      <c r="T1592" s="397" t="str">
        <f>IF(T897="","",T897)</f>
        <v/>
      </c>
      <c r="U1592" s="205"/>
      <c r="V1592" s="145" t="str">
        <f>IF(V897="","",V897)</f>
        <v/>
      </c>
      <c r="W1592" s="145"/>
      <c r="X1592" s="145"/>
      <c r="Y1592" s="498" t="str">
        <f>IF(AE897="","",AE897)</f>
        <v/>
      </c>
      <c r="Z1592" s="498"/>
      <c r="AA1592" s="498"/>
      <c r="AB1592" s="498"/>
      <c r="AC1592" s="499" t="str">
        <f t="shared" si="506"/>
        <v/>
      </c>
      <c r="AD1592" s="499"/>
      <c r="AE1592" s="499"/>
      <c r="AF1592" s="499" t="str">
        <f t="shared" si="507"/>
        <v/>
      </c>
      <c r="AG1592" s="499"/>
      <c r="AH1592" s="500"/>
    </row>
    <row r="1593" spans="1:34" s="96" customFormat="1" ht="15.75" hidden="1" customHeight="1">
      <c r="A1593" s="124" t="str">
        <f t="shared" si="503"/>
        <v>×</v>
      </c>
      <c r="E1593" s="204" t="str">
        <f>IF(E898="","",E898)</f>
        <v/>
      </c>
      <c r="F1593" s="205"/>
      <c r="G1593" s="145" t="str">
        <f>IF(G898="","",G898)</f>
        <v/>
      </c>
      <c r="H1593" s="145"/>
      <c r="I1593" s="145"/>
      <c r="J1593" s="498" t="str">
        <f>IF(P898="","",P898)</f>
        <v/>
      </c>
      <c r="K1593" s="498"/>
      <c r="L1593" s="498"/>
      <c r="M1593" s="498"/>
      <c r="N1593" s="499" t="str">
        <f t="shared" si="504"/>
        <v/>
      </c>
      <c r="O1593" s="499"/>
      <c r="P1593" s="499"/>
      <c r="Q1593" s="499" t="str">
        <f t="shared" si="505"/>
        <v/>
      </c>
      <c r="R1593" s="499"/>
      <c r="S1593" s="500"/>
      <c r="T1593" s="397" t="str">
        <f>IF(T898="","",T898)</f>
        <v/>
      </c>
      <c r="U1593" s="205"/>
      <c r="V1593" s="145" t="str">
        <f>IF(V898="","",V898)</f>
        <v/>
      </c>
      <c r="W1593" s="145"/>
      <c r="X1593" s="145"/>
      <c r="Y1593" s="498" t="str">
        <f>IF(AE898="","",AE898)</f>
        <v/>
      </c>
      <c r="Z1593" s="498"/>
      <c r="AA1593" s="498"/>
      <c r="AB1593" s="498"/>
      <c r="AC1593" s="499" t="str">
        <f t="shared" si="506"/>
        <v/>
      </c>
      <c r="AD1593" s="499"/>
      <c r="AE1593" s="499"/>
      <c r="AF1593" s="499" t="str">
        <f t="shared" si="507"/>
        <v/>
      </c>
      <c r="AG1593" s="499"/>
      <c r="AH1593" s="500"/>
    </row>
    <row r="1594" spans="1:34" s="96" customFormat="1" ht="15.75" hidden="1" customHeight="1">
      <c r="A1594" s="124" t="str">
        <f t="shared" si="503"/>
        <v>×</v>
      </c>
      <c r="E1594" s="204" t="str">
        <f>IF(E899="","",E899)</f>
        <v/>
      </c>
      <c r="F1594" s="205"/>
      <c r="G1594" s="145" t="str">
        <f>IF(G899="","",G899)</f>
        <v/>
      </c>
      <c r="H1594" s="145"/>
      <c r="I1594" s="145"/>
      <c r="J1594" s="498" t="str">
        <f>IF(P899="","",P899)</f>
        <v/>
      </c>
      <c r="K1594" s="498"/>
      <c r="L1594" s="498"/>
      <c r="M1594" s="498"/>
      <c r="N1594" s="499" t="str">
        <f t="shared" si="504"/>
        <v/>
      </c>
      <c r="O1594" s="499"/>
      <c r="P1594" s="499"/>
      <c r="Q1594" s="499" t="str">
        <f t="shared" si="505"/>
        <v/>
      </c>
      <c r="R1594" s="499"/>
      <c r="S1594" s="500"/>
      <c r="T1594" s="397" t="str">
        <f>IF(T899="","",T899)</f>
        <v/>
      </c>
      <c r="U1594" s="205"/>
      <c r="V1594" s="145" t="str">
        <f>IF(V899="","",V899)</f>
        <v/>
      </c>
      <c r="W1594" s="145"/>
      <c r="X1594" s="145"/>
      <c r="Y1594" s="498" t="str">
        <f>IF(AE899="","",AE899)</f>
        <v/>
      </c>
      <c r="Z1594" s="498"/>
      <c r="AA1594" s="498"/>
      <c r="AB1594" s="498"/>
      <c r="AC1594" s="499" t="str">
        <f t="shared" si="506"/>
        <v/>
      </c>
      <c r="AD1594" s="499"/>
      <c r="AE1594" s="499"/>
      <c r="AF1594" s="499" t="str">
        <f t="shared" si="507"/>
        <v/>
      </c>
      <c r="AG1594" s="499"/>
      <c r="AH1594" s="500"/>
    </row>
    <row r="1595" spans="1:34" s="96" customFormat="1" ht="15.75" hidden="1" customHeight="1">
      <c r="A1595" s="124" t="str">
        <f t="shared" si="503"/>
        <v>×</v>
      </c>
      <c r="E1595" s="204" t="str">
        <f>IF(E900="","",E900)</f>
        <v/>
      </c>
      <c r="F1595" s="205"/>
      <c r="G1595" s="145" t="str">
        <f>IF(G900="","",G900)</f>
        <v/>
      </c>
      <c r="H1595" s="145"/>
      <c r="I1595" s="145"/>
      <c r="J1595" s="498" t="str">
        <f>IF(P900="","",P900)</f>
        <v/>
      </c>
      <c r="K1595" s="498"/>
      <c r="L1595" s="498"/>
      <c r="M1595" s="498"/>
      <c r="N1595" s="499" t="str">
        <f t="shared" si="504"/>
        <v/>
      </c>
      <c r="O1595" s="499"/>
      <c r="P1595" s="499"/>
      <c r="Q1595" s="499" t="str">
        <f t="shared" si="505"/>
        <v/>
      </c>
      <c r="R1595" s="499"/>
      <c r="S1595" s="500"/>
      <c r="T1595" s="397" t="str">
        <f>IF(T900="","",T900)</f>
        <v/>
      </c>
      <c r="U1595" s="205"/>
      <c r="V1595" s="145" t="str">
        <f>IF(V900="","",V900)</f>
        <v/>
      </c>
      <c r="W1595" s="145"/>
      <c r="X1595" s="145"/>
      <c r="Y1595" s="498" t="str">
        <f>IF(AE900="","",AE900)</f>
        <v/>
      </c>
      <c r="Z1595" s="498"/>
      <c r="AA1595" s="498"/>
      <c r="AB1595" s="498"/>
      <c r="AC1595" s="499" t="str">
        <f t="shared" si="506"/>
        <v/>
      </c>
      <c r="AD1595" s="499"/>
      <c r="AE1595" s="499"/>
      <c r="AF1595" s="499" t="str">
        <f t="shared" si="507"/>
        <v/>
      </c>
      <c r="AG1595" s="499"/>
      <c r="AH1595" s="500"/>
    </row>
    <row r="1596" spans="1:34" s="96" customFormat="1" ht="15.75" hidden="1" customHeight="1">
      <c r="A1596" s="124" t="str">
        <f t="shared" si="503"/>
        <v>×</v>
      </c>
      <c r="E1596" s="204" t="str">
        <f>IF(E901="","",E901)</f>
        <v/>
      </c>
      <c r="F1596" s="205"/>
      <c r="G1596" s="145" t="str">
        <f>IF(G901="","",G901)</f>
        <v/>
      </c>
      <c r="H1596" s="145"/>
      <c r="I1596" s="145"/>
      <c r="J1596" s="498" t="str">
        <f>IF(P901="","",P901)</f>
        <v/>
      </c>
      <c r="K1596" s="498"/>
      <c r="L1596" s="498"/>
      <c r="M1596" s="498"/>
      <c r="N1596" s="499" t="str">
        <f t="shared" si="504"/>
        <v/>
      </c>
      <c r="O1596" s="499"/>
      <c r="P1596" s="499"/>
      <c r="Q1596" s="499" t="str">
        <f t="shared" si="505"/>
        <v/>
      </c>
      <c r="R1596" s="499"/>
      <c r="S1596" s="500"/>
      <c r="T1596" s="397" t="str">
        <f>IF(T901="","",T901)</f>
        <v/>
      </c>
      <c r="U1596" s="205"/>
      <c r="V1596" s="145" t="str">
        <f>IF(V901="","",V901)</f>
        <v/>
      </c>
      <c r="W1596" s="145"/>
      <c r="X1596" s="145"/>
      <c r="Y1596" s="498" t="str">
        <f>IF(AE901="","",AE901)</f>
        <v/>
      </c>
      <c r="Z1596" s="498"/>
      <c r="AA1596" s="498"/>
      <c r="AB1596" s="498"/>
      <c r="AC1596" s="499" t="str">
        <f t="shared" si="506"/>
        <v/>
      </c>
      <c r="AD1596" s="499"/>
      <c r="AE1596" s="499"/>
      <c r="AF1596" s="499" t="str">
        <f t="shared" si="507"/>
        <v/>
      </c>
      <c r="AG1596" s="499"/>
      <c r="AH1596" s="500"/>
    </row>
    <row r="1597" spans="1:34" s="96" customFormat="1" ht="15.75" hidden="1" customHeight="1">
      <c r="A1597" s="124" t="str">
        <f t="shared" si="503"/>
        <v>×</v>
      </c>
      <c r="E1597" s="204" t="str">
        <f>IF(E902="","",E902)</f>
        <v/>
      </c>
      <c r="F1597" s="205"/>
      <c r="G1597" s="145" t="str">
        <f>IF(G902="","",G902)</f>
        <v/>
      </c>
      <c r="H1597" s="145"/>
      <c r="I1597" s="145"/>
      <c r="J1597" s="498" t="str">
        <f>IF(P902="","",P902)</f>
        <v/>
      </c>
      <c r="K1597" s="498"/>
      <c r="L1597" s="498"/>
      <c r="M1597" s="498"/>
      <c r="N1597" s="499" t="str">
        <f t="shared" si="504"/>
        <v/>
      </c>
      <c r="O1597" s="499"/>
      <c r="P1597" s="499"/>
      <c r="Q1597" s="499" t="str">
        <f t="shared" si="505"/>
        <v/>
      </c>
      <c r="R1597" s="499"/>
      <c r="S1597" s="500"/>
      <c r="T1597" s="397" t="str">
        <f>IF(T902="","",T902)</f>
        <v/>
      </c>
      <c r="U1597" s="205"/>
      <c r="V1597" s="145" t="str">
        <f>IF(V902="","",V902)</f>
        <v/>
      </c>
      <c r="W1597" s="145"/>
      <c r="X1597" s="145"/>
      <c r="Y1597" s="498" t="str">
        <f>IF(AE902="","",AE902)</f>
        <v/>
      </c>
      <c r="Z1597" s="498"/>
      <c r="AA1597" s="498"/>
      <c r="AB1597" s="498"/>
      <c r="AC1597" s="499" t="str">
        <f t="shared" si="506"/>
        <v/>
      </c>
      <c r="AD1597" s="499"/>
      <c r="AE1597" s="499"/>
      <c r="AF1597" s="499" t="str">
        <f t="shared" si="507"/>
        <v/>
      </c>
      <c r="AG1597" s="499"/>
      <c r="AH1597" s="500"/>
    </row>
    <row r="1598" spans="1:34" s="96" customFormat="1" ht="15.75" hidden="1" customHeight="1">
      <c r="A1598" s="124" t="str">
        <f t="shared" si="503"/>
        <v>×</v>
      </c>
      <c r="E1598" s="204" t="str">
        <f>IF(E903="","",E903)</f>
        <v/>
      </c>
      <c r="F1598" s="205"/>
      <c r="G1598" s="145" t="str">
        <f>IF(G903="","",G903)</f>
        <v/>
      </c>
      <c r="H1598" s="145"/>
      <c r="I1598" s="145"/>
      <c r="J1598" s="498" t="str">
        <f>IF(P903="","",P903)</f>
        <v/>
      </c>
      <c r="K1598" s="498"/>
      <c r="L1598" s="498"/>
      <c r="M1598" s="498"/>
      <c r="N1598" s="499" t="str">
        <f t="shared" si="504"/>
        <v/>
      </c>
      <c r="O1598" s="499"/>
      <c r="P1598" s="499"/>
      <c r="Q1598" s="499" t="str">
        <f t="shared" si="505"/>
        <v/>
      </c>
      <c r="R1598" s="499"/>
      <c r="S1598" s="500"/>
      <c r="T1598" s="397" t="str">
        <f>IF(T903="","",T903)</f>
        <v/>
      </c>
      <c r="U1598" s="205"/>
      <c r="V1598" s="145" t="str">
        <f>IF(V903="","",V903)</f>
        <v/>
      </c>
      <c r="W1598" s="145"/>
      <c r="X1598" s="145"/>
      <c r="Y1598" s="498" t="str">
        <f>IF(AE903="","",AE903)</f>
        <v/>
      </c>
      <c r="Z1598" s="498"/>
      <c r="AA1598" s="498"/>
      <c r="AB1598" s="498"/>
      <c r="AC1598" s="499" t="str">
        <f t="shared" si="506"/>
        <v/>
      </c>
      <c r="AD1598" s="499"/>
      <c r="AE1598" s="499"/>
      <c r="AF1598" s="499" t="str">
        <f t="shared" si="507"/>
        <v/>
      </c>
      <c r="AG1598" s="499"/>
      <c r="AH1598" s="500"/>
    </row>
    <row r="1599" spans="1:34" s="96" customFormat="1" ht="15.75" hidden="1" customHeight="1">
      <c r="A1599" s="124" t="str">
        <f t="shared" si="503"/>
        <v>×</v>
      </c>
      <c r="E1599" s="204" t="str">
        <f>IF(E904="","",E904)</f>
        <v/>
      </c>
      <c r="F1599" s="205"/>
      <c r="G1599" s="145" t="str">
        <f>IF(G904="","",G904)</f>
        <v/>
      </c>
      <c r="H1599" s="145"/>
      <c r="I1599" s="145"/>
      <c r="J1599" s="498" t="str">
        <f>IF(P904="","",P904)</f>
        <v/>
      </c>
      <c r="K1599" s="498"/>
      <c r="L1599" s="498"/>
      <c r="M1599" s="498"/>
      <c r="N1599" s="499" t="str">
        <f t="shared" si="504"/>
        <v/>
      </c>
      <c r="O1599" s="499"/>
      <c r="P1599" s="499"/>
      <c r="Q1599" s="499" t="str">
        <f t="shared" si="505"/>
        <v/>
      </c>
      <c r="R1599" s="499"/>
      <c r="S1599" s="500"/>
      <c r="T1599" s="397" t="str">
        <f>IF(T904="","",T904)</f>
        <v/>
      </c>
      <c r="U1599" s="205"/>
      <c r="V1599" s="145" t="str">
        <f>IF(V904="","",V904)</f>
        <v/>
      </c>
      <c r="W1599" s="145"/>
      <c r="X1599" s="145"/>
      <c r="Y1599" s="498" t="str">
        <f>IF(AE904="","",AE904)</f>
        <v/>
      </c>
      <c r="Z1599" s="498"/>
      <c r="AA1599" s="498"/>
      <c r="AB1599" s="498"/>
      <c r="AC1599" s="499" t="str">
        <f t="shared" si="506"/>
        <v/>
      </c>
      <c r="AD1599" s="499"/>
      <c r="AE1599" s="499"/>
      <c r="AF1599" s="499" t="str">
        <f t="shared" si="507"/>
        <v/>
      </c>
      <c r="AG1599" s="499"/>
      <c r="AH1599" s="500"/>
    </row>
    <row r="1600" spans="1:34" s="96" customFormat="1" ht="15.75" hidden="1" customHeight="1">
      <c r="A1600" s="124" t="str">
        <f t="shared" si="503"/>
        <v>×</v>
      </c>
      <c r="E1600" s="204" t="str">
        <f>IF(E905="","",E905)</f>
        <v/>
      </c>
      <c r="F1600" s="205"/>
      <c r="G1600" s="145" t="str">
        <f>IF(G905="","",G905)</f>
        <v/>
      </c>
      <c r="H1600" s="145"/>
      <c r="I1600" s="145"/>
      <c r="J1600" s="498" t="str">
        <f>IF(P905="","",P905)</f>
        <v/>
      </c>
      <c r="K1600" s="498"/>
      <c r="L1600" s="498"/>
      <c r="M1600" s="498"/>
      <c r="N1600" s="499" t="str">
        <f t="shared" si="504"/>
        <v/>
      </c>
      <c r="O1600" s="499"/>
      <c r="P1600" s="499"/>
      <c r="Q1600" s="499" t="str">
        <f t="shared" si="505"/>
        <v/>
      </c>
      <c r="R1600" s="499"/>
      <c r="S1600" s="500"/>
      <c r="T1600" s="397" t="str">
        <f>IF(T905="","",T905)</f>
        <v/>
      </c>
      <c r="U1600" s="205"/>
      <c r="V1600" s="145" t="str">
        <f>IF(V905="","",V905)</f>
        <v/>
      </c>
      <c r="W1600" s="145"/>
      <c r="X1600" s="145"/>
      <c r="Y1600" s="498" t="str">
        <f>IF(AE905="","",AE905)</f>
        <v/>
      </c>
      <c r="Z1600" s="498"/>
      <c r="AA1600" s="498"/>
      <c r="AB1600" s="498"/>
      <c r="AC1600" s="499" t="str">
        <f t="shared" si="506"/>
        <v/>
      </c>
      <c r="AD1600" s="499"/>
      <c r="AE1600" s="499"/>
      <c r="AF1600" s="499" t="str">
        <f t="shared" si="507"/>
        <v/>
      </c>
      <c r="AG1600" s="499"/>
      <c r="AH1600" s="500"/>
    </row>
    <row r="1601" spans="1:71" s="96" customFormat="1" ht="15.75" hidden="1" customHeight="1">
      <c r="A1601" s="124" t="str">
        <f t="shared" si="503"/>
        <v>×</v>
      </c>
      <c r="E1601" s="207" t="str">
        <f>IF(E906="","",E906)</f>
        <v/>
      </c>
      <c r="F1601" s="208"/>
      <c r="G1601" s="150" t="str">
        <f>IF(G906="","",G906)</f>
        <v/>
      </c>
      <c r="H1601" s="150"/>
      <c r="I1601" s="150"/>
      <c r="J1601" s="501" t="str">
        <f>IF(P906="","",P906)</f>
        <v/>
      </c>
      <c r="K1601" s="501"/>
      <c r="L1601" s="501"/>
      <c r="M1601" s="501"/>
      <c r="N1601" s="502" t="str">
        <f t="shared" si="504"/>
        <v/>
      </c>
      <c r="O1601" s="502"/>
      <c r="P1601" s="502"/>
      <c r="Q1601" s="502" t="str">
        <f t="shared" si="505"/>
        <v/>
      </c>
      <c r="R1601" s="502"/>
      <c r="S1601" s="503"/>
      <c r="T1601" s="400" t="str">
        <f>IF(T906="","",T906)</f>
        <v/>
      </c>
      <c r="U1601" s="208"/>
      <c r="V1601" s="150" t="str">
        <f>IF(V906="","",V906)</f>
        <v/>
      </c>
      <c r="W1601" s="150"/>
      <c r="X1601" s="150"/>
      <c r="Y1601" s="501" t="str">
        <f>IF(AE906="","",AE906)</f>
        <v/>
      </c>
      <c r="Z1601" s="501"/>
      <c r="AA1601" s="501"/>
      <c r="AB1601" s="501"/>
      <c r="AC1601" s="502" t="str">
        <f t="shared" si="506"/>
        <v/>
      </c>
      <c r="AD1601" s="502"/>
      <c r="AE1601" s="502"/>
      <c r="AF1601" s="502" t="str">
        <f t="shared" si="507"/>
        <v/>
      </c>
      <c r="AG1601" s="502"/>
      <c r="AH1601" s="503"/>
    </row>
    <row r="1602" spans="1:71" s="89" customFormat="1" ht="15.75" customHeight="1">
      <c r="E1602" s="449"/>
      <c r="F1602" s="449"/>
      <c r="G1602" s="449"/>
      <c r="H1602" s="449"/>
      <c r="I1602" s="449"/>
      <c r="J1602" s="449"/>
      <c r="K1602" s="449"/>
      <c r="L1602" s="449"/>
      <c r="M1602" s="449"/>
      <c r="N1602" s="449"/>
      <c r="O1602" s="449"/>
      <c r="P1602" s="449"/>
      <c r="Q1602" s="449"/>
      <c r="R1602" s="449"/>
      <c r="S1602" s="449"/>
      <c r="T1602" s="449"/>
      <c r="U1602" s="449"/>
      <c r="V1602" s="449"/>
      <c r="W1602" s="449"/>
      <c r="X1602" s="449"/>
      <c r="Y1602" s="449"/>
      <c r="Z1602" s="449"/>
      <c r="AA1602" s="449"/>
      <c r="AB1602" s="449"/>
      <c r="AC1602" s="449"/>
      <c r="AD1602" s="449"/>
      <c r="AE1602" s="449"/>
      <c r="AF1602" s="449"/>
      <c r="AG1602" s="449"/>
      <c r="AH1602" s="449"/>
      <c r="AP1602" s="104"/>
      <c r="AV1602" s="104"/>
      <c r="AY1602" s="104"/>
      <c r="BB1602" s="116"/>
      <c r="BL1602" s="104"/>
      <c r="BS1602" s="104"/>
    </row>
    <row r="1603" spans="1:71" s="116" customFormat="1" ht="15.75" hidden="1" customHeight="1">
      <c r="A1603" s="119" t="str">
        <f>IF(液状化L1の有無="","","×")</f>
        <v>×</v>
      </c>
    </row>
    <row r="1604" spans="1:71" s="1" customFormat="1" ht="15.75" hidden="1" customHeight="1">
      <c r="A1604" s="119" t="str">
        <f>IF(液状化L1の有無="","","×")</f>
        <v>×</v>
      </c>
      <c r="E1604" s="61" t="s">
        <v>617</v>
      </c>
      <c r="F1604" s="85"/>
      <c r="G1604" s="85"/>
      <c r="H1604" s="61"/>
      <c r="I1604" s="61"/>
      <c r="J1604" s="61"/>
      <c r="K1604" s="61"/>
      <c r="L1604" s="61"/>
      <c r="M1604" s="61"/>
      <c r="N1604" s="61"/>
      <c r="O1604" s="61"/>
      <c r="P1604" s="61"/>
      <c r="Q1604" s="61"/>
      <c r="R1604" s="61"/>
      <c r="S1604" s="61"/>
      <c r="T1604" s="61"/>
      <c r="U1604" s="61"/>
      <c r="V1604" s="61"/>
      <c r="W1604" s="61"/>
      <c r="X1604" s="61"/>
      <c r="Y1604" s="61"/>
      <c r="Z1604" s="61"/>
      <c r="AA1604" s="61"/>
      <c r="AB1604" s="61"/>
      <c r="AC1604" s="61"/>
      <c r="AD1604" s="61"/>
      <c r="AE1604" s="61"/>
      <c r="AF1604" s="61"/>
      <c r="AG1604" s="61"/>
      <c r="AH1604" s="61"/>
      <c r="AI1604" s="8"/>
    </row>
    <row r="1605" spans="1:71" s="1" customFormat="1" ht="15.75" hidden="1" customHeight="1">
      <c r="A1605" s="119" t="str">
        <f>IF(液状化L1の有無="","","×")</f>
        <v>×</v>
      </c>
      <c r="E1605" s="347" t="s">
        <v>511</v>
      </c>
      <c r="F1605" s="348"/>
      <c r="G1605" s="348"/>
      <c r="H1605" s="348"/>
      <c r="I1605" s="348"/>
      <c r="J1605" s="348"/>
      <c r="K1605" s="348"/>
      <c r="L1605" s="348"/>
      <c r="M1605" s="348"/>
      <c r="N1605" s="348"/>
      <c r="O1605" s="348"/>
      <c r="P1605" s="348"/>
      <c r="Q1605" s="348"/>
      <c r="R1605" s="348"/>
      <c r="S1605" s="410"/>
      <c r="T1605" s="350" t="s">
        <v>512</v>
      </c>
      <c r="U1605" s="147"/>
      <c r="V1605" s="147"/>
      <c r="W1605" s="147"/>
      <c r="X1605" s="147"/>
      <c r="Y1605" s="147"/>
      <c r="Z1605" s="147"/>
      <c r="AA1605" s="147"/>
      <c r="AB1605" s="147"/>
      <c r="AC1605" s="147"/>
      <c r="AD1605" s="147"/>
      <c r="AE1605" s="147"/>
      <c r="AF1605" s="147"/>
      <c r="AG1605" s="147"/>
      <c r="AH1605" s="214"/>
    </row>
    <row r="1606" spans="1:71" s="1" customFormat="1" ht="15.75" hidden="1" customHeight="1">
      <c r="A1606" s="119" t="str">
        <f>IF(液状化L1の有無="","","×")</f>
        <v>×</v>
      </c>
      <c r="E1606" s="316" t="s">
        <v>78</v>
      </c>
      <c r="F1606" s="300"/>
      <c r="G1606" s="496" t="s">
        <v>190</v>
      </c>
      <c r="H1606" s="497"/>
      <c r="I1606" s="497"/>
      <c r="J1606" s="300" t="s">
        <v>237</v>
      </c>
      <c r="K1606" s="300"/>
      <c r="L1606" s="300"/>
      <c r="M1606" s="300"/>
      <c r="N1606" s="300" t="s">
        <v>613</v>
      </c>
      <c r="O1606" s="300"/>
      <c r="P1606" s="300"/>
      <c r="Q1606" s="300" t="s">
        <v>614</v>
      </c>
      <c r="R1606" s="300"/>
      <c r="S1606" s="372"/>
      <c r="T1606" s="311" t="s">
        <v>78</v>
      </c>
      <c r="U1606" s="300"/>
      <c r="V1606" s="496" t="s">
        <v>190</v>
      </c>
      <c r="W1606" s="497"/>
      <c r="X1606" s="497"/>
      <c r="Y1606" s="300" t="s">
        <v>237</v>
      </c>
      <c r="Z1606" s="300"/>
      <c r="AA1606" s="300"/>
      <c r="AB1606" s="300"/>
      <c r="AC1606" s="300" t="s">
        <v>613</v>
      </c>
      <c r="AD1606" s="300"/>
      <c r="AE1606" s="300"/>
      <c r="AF1606" s="300" t="s">
        <v>614</v>
      </c>
      <c r="AG1606" s="300"/>
      <c r="AH1606" s="372"/>
    </row>
    <row r="1607" spans="1:71" s="1" customFormat="1" ht="15.75" hidden="1" customHeight="1">
      <c r="A1607" s="119" t="str">
        <f>IF(液状化L1の有無="","","×")</f>
        <v>×</v>
      </c>
      <c r="E1607" s="186"/>
      <c r="F1607" s="187"/>
      <c r="G1607" s="218"/>
      <c r="H1607" s="218"/>
      <c r="I1607" s="218"/>
      <c r="J1607" s="187"/>
      <c r="K1607" s="187"/>
      <c r="L1607" s="187"/>
      <c r="M1607" s="187"/>
      <c r="N1607" s="187"/>
      <c r="O1607" s="187"/>
      <c r="P1607" s="187"/>
      <c r="Q1607" s="187"/>
      <c r="R1607" s="187"/>
      <c r="S1607" s="222"/>
      <c r="T1607" s="330"/>
      <c r="U1607" s="187"/>
      <c r="V1607" s="218"/>
      <c r="W1607" s="218"/>
      <c r="X1607" s="218"/>
      <c r="Y1607" s="187"/>
      <c r="Z1607" s="187"/>
      <c r="AA1607" s="187"/>
      <c r="AB1607" s="187"/>
      <c r="AC1607" s="187"/>
      <c r="AD1607" s="187"/>
      <c r="AE1607" s="187"/>
      <c r="AF1607" s="187"/>
      <c r="AG1607" s="187"/>
      <c r="AH1607" s="222"/>
    </row>
    <row r="1608" spans="1:71" s="96" customFormat="1" ht="15.75" hidden="1" customHeight="1">
      <c r="A1608" s="124" t="str">
        <f>IF(液状化L1の有無="",IF(LEN(E1608)+LEN(T1608)=0,"×",""),"×")</f>
        <v>×</v>
      </c>
      <c r="E1608" s="224">
        <f>IF(E915="","",E915)</f>
        <v>3</v>
      </c>
      <c r="F1608" s="165"/>
      <c r="G1608" s="149">
        <f>IF(G915="","",G915)</f>
        <v>3</v>
      </c>
      <c r="H1608" s="149"/>
      <c r="I1608" s="149"/>
      <c r="J1608" s="508">
        <f>IF(P915="","",P915)</f>
        <v>0</v>
      </c>
      <c r="K1608" s="508"/>
      <c r="L1608" s="508"/>
      <c r="M1608" s="508"/>
      <c r="N1608" s="494">
        <f>IF(J1608="","",ROUND(J1608/G1608*$AH$1577,1))</f>
        <v>0</v>
      </c>
      <c r="O1608" s="494"/>
      <c r="P1608" s="494"/>
      <c r="Q1608" s="494">
        <f>IF(J1608="","",ROUND(J1608/G1608*$AH$1578,1))</f>
        <v>0</v>
      </c>
      <c r="R1608" s="494"/>
      <c r="S1608" s="509"/>
      <c r="T1608" s="394">
        <f>IF(T915="","",T915)</f>
        <v>3</v>
      </c>
      <c r="U1608" s="165"/>
      <c r="V1608" s="149">
        <f>IF(V915="","",V915)</f>
        <v>3</v>
      </c>
      <c r="W1608" s="149"/>
      <c r="X1608" s="149"/>
      <c r="Y1608" s="508">
        <f>IF(AE915="","",AE915)</f>
        <v>0</v>
      </c>
      <c r="Z1608" s="508"/>
      <c r="AA1608" s="508"/>
      <c r="AB1608" s="508"/>
      <c r="AC1608" s="494">
        <f>IF(Y1608="","",ROUND(Y1608/V1608*$AH$1577,1))</f>
        <v>0</v>
      </c>
      <c r="AD1608" s="494"/>
      <c r="AE1608" s="494"/>
      <c r="AF1608" s="494">
        <f>IF(Y1608="","",ROUND(Y1608/V1608*$AH$1578,1))</f>
        <v>0</v>
      </c>
      <c r="AG1608" s="494"/>
      <c r="AH1608" s="509"/>
    </row>
    <row r="1609" spans="1:71" s="96" customFormat="1" ht="15.75" hidden="1" customHeight="1">
      <c r="A1609" s="124" t="str">
        <f>IF(液状化L1の有無="",IF(LEN(E1609)+LEN(T1609)=0,"×",""),"×")</f>
        <v>×</v>
      </c>
      <c r="E1609" s="204">
        <f>IF(E916="","",E916)</f>
        <v>4</v>
      </c>
      <c r="F1609" s="205"/>
      <c r="G1609" s="145">
        <f>IF(G916="","",G916)</f>
        <v>1.2199997901916504</v>
      </c>
      <c r="H1609" s="145"/>
      <c r="I1609" s="145"/>
      <c r="J1609" s="498">
        <f>IF(P916="","",P916)</f>
        <v>0</v>
      </c>
      <c r="K1609" s="498"/>
      <c r="L1609" s="498"/>
      <c r="M1609" s="498"/>
      <c r="N1609" s="499">
        <f t="shared" ref="N1609:N1623" si="508">IF(J1609="","",ROUND(J1609/G1609*$AH$1577,1))</f>
        <v>0</v>
      </c>
      <c r="O1609" s="499"/>
      <c r="P1609" s="499"/>
      <c r="Q1609" s="499">
        <f t="shared" ref="Q1609:Q1623" si="509">IF(J1609="","",ROUND(J1609/G1609*$AH$1578,1))</f>
        <v>0</v>
      </c>
      <c r="R1609" s="499"/>
      <c r="S1609" s="500"/>
      <c r="T1609" s="397">
        <f>IF(T916="","",T916)</f>
        <v>4</v>
      </c>
      <c r="U1609" s="205"/>
      <c r="V1609" s="145">
        <f>IF(V916="","",V916)</f>
        <v>1.2199997901916504</v>
      </c>
      <c r="W1609" s="145"/>
      <c r="X1609" s="145"/>
      <c r="Y1609" s="498">
        <f>IF(AE892="","",AE892)</f>
        <v>0</v>
      </c>
      <c r="Z1609" s="498"/>
      <c r="AA1609" s="498"/>
      <c r="AB1609" s="498"/>
      <c r="AC1609" s="499">
        <f t="shared" ref="AC1609:AC1623" si="510">IF(Y1609="","",ROUND(Y1609/V1609*$AH$1577,1))</f>
        <v>0</v>
      </c>
      <c r="AD1609" s="499"/>
      <c r="AE1609" s="499"/>
      <c r="AF1609" s="499">
        <f t="shared" ref="AF1609:AF1623" si="511">IF(Y1609="","",ROUND(Y1609/V1609*$AH$1578,1))</f>
        <v>0</v>
      </c>
      <c r="AG1609" s="499"/>
      <c r="AH1609" s="500"/>
    </row>
    <row r="1610" spans="1:71" s="96" customFormat="1" ht="15.75" hidden="1" customHeight="1">
      <c r="A1610" s="124" t="str">
        <f>IF(液状化L1の有無="",IF(LEN(E1610)+LEN(T1610)=0,"×",""),"×")</f>
        <v>×</v>
      </c>
      <c r="E1610" s="204">
        <f>IF(E917="","",E917)</f>
        <v>4</v>
      </c>
      <c r="F1610" s="205"/>
      <c r="G1610" s="145">
        <f>IF(G917="","",G917)</f>
        <v>3.7800002098083496</v>
      </c>
      <c r="H1610" s="145"/>
      <c r="I1610" s="145"/>
      <c r="J1610" s="498">
        <f>IF(P917="","",P917)</f>
        <v>534.38494003658047</v>
      </c>
      <c r="K1610" s="498"/>
      <c r="L1610" s="498"/>
      <c r="M1610" s="498"/>
      <c r="N1610" s="499">
        <f t="shared" si="508"/>
        <v>169.6</v>
      </c>
      <c r="O1610" s="499"/>
      <c r="P1610" s="499"/>
      <c r="Q1610" s="499">
        <f t="shared" si="509"/>
        <v>197.9</v>
      </c>
      <c r="R1610" s="499"/>
      <c r="S1610" s="500"/>
      <c r="T1610" s="397">
        <f>IF(T917="","",T917)</f>
        <v>4</v>
      </c>
      <c r="U1610" s="205"/>
      <c r="V1610" s="145">
        <f>IF(V917="","",V917)</f>
        <v>3.7800002098083496</v>
      </c>
      <c r="W1610" s="145"/>
      <c r="X1610" s="145"/>
      <c r="Y1610" s="498">
        <f>IF(AE893="","",AE893)</f>
        <v>534.38494003658047</v>
      </c>
      <c r="Z1610" s="498"/>
      <c r="AA1610" s="498"/>
      <c r="AB1610" s="498"/>
      <c r="AC1610" s="499">
        <f t="shared" si="510"/>
        <v>169.6</v>
      </c>
      <c r="AD1610" s="499"/>
      <c r="AE1610" s="499"/>
      <c r="AF1610" s="499">
        <f t="shared" si="511"/>
        <v>197.9</v>
      </c>
      <c r="AG1610" s="499"/>
      <c r="AH1610" s="500"/>
    </row>
    <row r="1611" spans="1:71" s="96" customFormat="1" ht="15.75" hidden="1" customHeight="1">
      <c r="A1611" s="124" t="str">
        <f>IF(液状化L1の有無="",IF(LEN(E1611)+LEN(T1611)=0,"×",""),"×")</f>
        <v>×</v>
      </c>
      <c r="E1611" s="204">
        <f>IF(E918="","",E918)</f>
        <v>5</v>
      </c>
      <c r="F1611" s="205"/>
      <c r="G1611" s="145">
        <f>IF(G918="","",G918)</f>
        <v>8</v>
      </c>
      <c r="H1611" s="145"/>
      <c r="I1611" s="145"/>
      <c r="J1611" s="498">
        <f>IF(P918="","",P918)</f>
        <v>628.31853071795865</v>
      </c>
      <c r="K1611" s="498"/>
      <c r="L1611" s="498"/>
      <c r="M1611" s="498"/>
      <c r="N1611" s="499">
        <f t="shared" si="508"/>
        <v>94.2</v>
      </c>
      <c r="O1611" s="499"/>
      <c r="P1611" s="499"/>
      <c r="Q1611" s="499">
        <f t="shared" si="509"/>
        <v>110</v>
      </c>
      <c r="R1611" s="499"/>
      <c r="S1611" s="500"/>
      <c r="T1611" s="397">
        <f>IF(T918="","",T918)</f>
        <v>5</v>
      </c>
      <c r="U1611" s="205"/>
      <c r="V1611" s="145">
        <f>IF(V918="","",V918)</f>
        <v>8</v>
      </c>
      <c r="W1611" s="145"/>
      <c r="X1611" s="145"/>
      <c r="Y1611" s="498">
        <f>IF(AE894="","",AE894)</f>
        <v>628.31853071795865</v>
      </c>
      <c r="Z1611" s="498"/>
      <c r="AA1611" s="498"/>
      <c r="AB1611" s="498"/>
      <c r="AC1611" s="499">
        <f t="shared" si="510"/>
        <v>94.2</v>
      </c>
      <c r="AD1611" s="499"/>
      <c r="AE1611" s="499"/>
      <c r="AF1611" s="499">
        <f t="shared" si="511"/>
        <v>110</v>
      </c>
      <c r="AG1611" s="499"/>
      <c r="AH1611" s="500"/>
    </row>
    <row r="1612" spans="1:71" s="96" customFormat="1" ht="15.75" hidden="1" customHeight="1">
      <c r="A1612" s="124" t="str">
        <f>IF(液状化L1の有無="",IF(LEN(E1612)+LEN(T1612)=0,"×",""),"×")</f>
        <v>×</v>
      </c>
      <c r="E1612" s="204">
        <f>IF(E919="","",E919)</f>
        <v>6</v>
      </c>
      <c r="F1612" s="205"/>
      <c r="G1612" s="145">
        <f>IF(G919="","",G919)</f>
        <v>4</v>
      </c>
      <c r="H1612" s="145"/>
      <c r="I1612" s="145"/>
      <c r="J1612" s="498">
        <f>IF(P919="","",P919)</f>
        <v>628.31853071795865</v>
      </c>
      <c r="K1612" s="498"/>
      <c r="L1612" s="498"/>
      <c r="M1612" s="498"/>
      <c r="N1612" s="499">
        <f t="shared" si="508"/>
        <v>188.5</v>
      </c>
      <c r="O1612" s="499"/>
      <c r="P1612" s="499"/>
      <c r="Q1612" s="499">
        <f t="shared" si="509"/>
        <v>219.9</v>
      </c>
      <c r="R1612" s="499"/>
      <c r="S1612" s="500"/>
      <c r="T1612" s="397">
        <f>IF(T919="","",T919)</f>
        <v>6</v>
      </c>
      <c r="U1612" s="205"/>
      <c r="V1612" s="145">
        <f>IF(V919="","",V919)</f>
        <v>4.5</v>
      </c>
      <c r="W1612" s="145"/>
      <c r="X1612" s="145"/>
      <c r="Y1612" s="498">
        <f>IF(AE895="","",AE895)</f>
        <v>706.85834705770344</v>
      </c>
      <c r="Z1612" s="498"/>
      <c r="AA1612" s="498"/>
      <c r="AB1612" s="498"/>
      <c r="AC1612" s="499">
        <f t="shared" si="510"/>
        <v>188.5</v>
      </c>
      <c r="AD1612" s="499"/>
      <c r="AE1612" s="499"/>
      <c r="AF1612" s="499">
        <f t="shared" si="511"/>
        <v>219.9</v>
      </c>
      <c r="AG1612" s="499"/>
      <c r="AH1612" s="500"/>
    </row>
    <row r="1613" spans="1:71" s="96" customFormat="1" ht="15.75" hidden="1" customHeight="1">
      <c r="A1613" s="124" t="str">
        <f>IF(液状化L1の有無="",IF(LEN(E1613)+LEN(T1613)=0,"×",""),"×")</f>
        <v>×</v>
      </c>
      <c r="E1613" s="204">
        <f>IF(E920="","",E920)</f>
        <v>6</v>
      </c>
      <c r="F1613" s="205"/>
      <c r="G1613" s="145">
        <f>IF(G920="","",G920)</f>
        <v>0.5</v>
      </c>
      <c r="H1613" s="145"/>
      <c r="I1613" s="145"/>
      <c r="J1613" s="498">
        <f>IF(P920="","",P920)</f>
        <v>0</v>
      </c>
      <c r="K1613" s="498"/>
      <c r="L1613" s="498"/>
      <c r="M1613" s="498"/>
      <c r="N1613" s="499">
        <f t="shared" si="508"/>
        <v>0</v>
      </c>
      <c r="O1613" s="499"/>
      <c r="P1613" s="499"/>
      <c r="Q1613" s="499">
        <f t="shared" si="509"/>
        <v>0</v>
      </c>
      <c r="R1613" s="499"/>
      <c r="S1613" s="500"/>
      <c r="T1613" s="397">
        <f>IF(T920="","",T920)</f>
        <v>7</v>
      </c>
      <c r="U1613" s="205"/>
      <c r="V1613" s="145">
        <f>IF(V920="","",V920)</f>
        <v>0.5</v>
      </c>
      <c r="W1613" s="145"/>
      <c r="X1613" s="145"/>
      <c r="Y1613" s="498">
        <f>IF(AE896="","",AE896)</f>
        <v>235.61944901923448</v>
      </c>
      <c r="Z1613" s="498"/>
      <c r="AA1613" s="498"/>
      <c r="AB1613" s="498"/>
      <c r="AC1613" s="499">
        <f t="shared" si="510"/>
        <v>565.5</v>
      </c>
      <c r="AD1613" s="499"/>
      <c r="AE1613" s="499"/>
      <c r="AF1613" s="499">
        <f t="shared" si="511"/>
        <v>659.7</v>
      </c>
      <c r="AG1613" s="499"/>
      <c r="AH1613" s="500"/>
    </row>
    <row r="1614" spans="1:71" s="96" customFormat="1" ht="15.75" hidden="1" customHeight="1">
      <c r="A1614" s="124" t="str">
        <f>IF(液状化L1の有無="",IF(LEN(E1614)+LEN(T1614)=0,"×",""),"×")</f>
        <v>×</v>
      </c>
      <c r="E1614" s="204">
        <f>IF(E921="","",E921)</f>
        <v>7</v>
      </c>
      <c r="F1614" s="205"/>
      <c r="G1614" s="145">
        <f>IF(G921="","",G921)</f>
        <v>0.5</v>
      </c>
      <c r="H1614" s="145"/>
      <c r="I1614" s="145"/>
      <c r="J1614" s="498">
        <f>IF(P921="","",P921)</f>
        <v>0</v>
      </c>
      <c r="K1614" s="498"/>
      <c r="L1614" s="498"/>
      <c r="M1614" s="498"/>
      <c r="N1614" s="499">
        <f t="shared" si="508"/>
        <v>0</v>
      </c>
      <c r="O1614" s="499"/>
      <c r="P1614" s="499"/>
      <c r="Q1614" s="499">
        <f t="shared" si="509"/>
        <v>0</v>
      </c>
      <c r="R1614" s="499"/>
      <c r="S1614" s="500"/>
      <c r="T1614" s="397" t="str">
        <f>IF(T921="","",T921)</f>
        <v/>
      </c>
      <c r="U1614" s="205"/>
      <c r="V1614" s="145" t="str">
        <f>IF(V921="","",V921)</f>
        <v/>
      </c>
      <c r="W1614" s="145"/>
      <c r="X1614" s="145"/>
      <c r="Y1614" s="498" t="str">
        <f>IF(AE897="","",AE897)</f>
        <v/>
      </c>
      <c r="Z1614" s="498"/>
      <c r="AA1614" s="498"/>
      <c r="AB1614" s="498"/>
      <c r="AC1614" s="499" t="str">
        <f t="shared" si="510"/>
        <v/>
      </c>
      <c r="AD1614" s="499"/>
      <c r="AE1614" s="499"/>
      <c r="AF1614" s="499" t="str">
        <f t="shared" si="511"/>
        <v/>
      </c>
      <c r="AG1614" s="499"/>
      <c r="AH1614" s="500"/>
    </row>
    <row r="1615" spans="1:71" s="96" customFormat="1" ht="15.75" hidden="1" customHeight="1">
      <c r="A1615" s="124" t="str">
        <f>IF(液状化L1の有無="",IF(LEN(E1615)+LEN(T1615)=0,"×",""),"×")</f>
        <v>×</v>
      </c>
      <c r="E1615" s="204" t="str">
        <f>IF(E922="","",E922)</f>
        <v/>
      </c>
      <c r="F1615" s="205"/>
      <c r="G1615" s="145" t="str">
        <f>IF(G922="","",G922)</f>
        <v/>
      </c>
      <c r="H1615" s="145"/>
      <c r="I1615" s="145"/>
      <c r="J1615" s="498" t="str">
        <f>IF(P922="","",P922)</f>
        <v/>
      </c>
      <c r="K1615" s="498"/>
      <c r="L1615" s="498"/>
      <c r="M1615" s="498"/>
      <c r="N1615" s="499" t="str">
        <f t="shared" si="508"/>
        <v/>
      </c>
      <c r="O1615" s="499"/>
      <c r="P1615" s="499"/>
      <c r="Q1615" s="499" t="str">
        <f t="shared" si="509"/>
        <v/>
      </c>
      <c r="R1615" s="499"/>
      <c r="S1615" s="500"/>
      <c r="T1615" s="397" t="str">
        <f>IF(T922="","",T922)</f>
        <v/>
      </c>
      <c r="U1615" s="205"/>
      <c r="V1615" s="145" t="str">
        <f>IF(V922="","",V922)</f>
        <v/>
      </c>
      <c r="W1615" s="145"/>
      <c r="X1615" s="145"/>
      <c r="Y1615" s="498" t="str">
        <f>IF(AE898="","",AE898)</f>
        <v/>
      </c>
      <c r="Z1615" s="498"/>
      <c r="AA1615" s="498"/>
      <c r="AB1615" s="498"/>
      <c r="AC1615" s="499" t="str">
        <f t="shared" si="510"/>
        <v/>
      </c>
      <c r="AD1615" s="499"/>
      <c r="AE1615" s="499"/>
      <c r="AF1615" s="499" t="str">
        <f t="shared" si="511"/>
        <v/>
      </c>
      <c r="AG1615" s="499"/>
      <c r="AH1615" s="500"/>
    </row>
    <row r="1616" spans="1:71" s="96" customFormat="1" ht="15.75" hidden="1" customHeight="1">
      <c r="A1616" s="124" t="str">
        <f>IF(液状化L1の有無="",IF(LEN(E1616)+LEN(T1616)=0,"×",""),"×")</f>
        <v>×</v>
      </c>
      <c r="E1616" s="204" t="str">
        <f>IF(E923="","",E923)</f>
        <v/>
      </c>
      <c r="F1616" s="205"/>
      <c r="G1616" s="145" t="str">
        <f>IF(G923="","",G923)</f>
        <v/>
      </c>
      <c r="H1616" s="145"/>
      <c r="I1616" s="145"/>
      <c r="J1616" s="498" t="str">
        <f>IF(P923="","",P923)</f>
        <v/>
      </c>
      <c r="K1616" s="498"/>
      <c r="L1616" s="498"/>
      <c r="M1616" s="498"/>
      <c r="N1616" s="499" t="str">
        <f t="shared" si="508"/>
        <v/>
      </c>
      <c r="O1616" s="499"/>
      <c r="P1616" s="499"/>
      <c r="Q1616" s="499" t="str">
        <f t="shared" si="509"/>
        <v/>
      </c>
      <c r="R1616" s="499"/>
      <c r="S1616" s="500"/>
      <c r="T1616" s="397" t="str">
        <f>IF(T923="","",T923)</f>
        <v/>
      </c>
      <c r="U1616" s="205"/>
      <c r="V1616" s="145" t="str">
        <f>IF(V923="","",V923)</f>
        <v/>
      </c>
      <c r="W1616" s="145"/>
      <c r="X1616" s="145"/>
      <c r="Y1616" s="498" t="str">
        <f>IF(AE899="","",AE899)</f>
        <v/>
      </c>
      <c r="Z1616" s="498"/>
      <c r="AA1616" s="498"/>
      <c r="AB1616" s="498"/>
      <c r="AC1616" s="499" t="str">
        <f t="shared" si="510"/>
        <v/>
      </c>
      <c r="AD1616" s="499"/>
      <c r="AE1616" s="499"/>
      <c r="AF1616" s="499" t="str">
        <f t="shared" si="511"/>
        <v/>
      </c>
      <c r="AG1616" s="499"/>
      <c r="AH1616" s="500"/>
    </row>
    <row r="1617" spans="1:35" s="96" customFormat="1" ht="15.75" hidden="1" customHeight="1">
      <c r="A1617" s="124" t="str">
        <f>IF(液状化L1の有無="",IF(LEN(E1617)+LEN(T1617)=0,"×",""),"×")</f>
        <v>×</v>
      </c>
      <c r="E1617" s="204" t="str">
        <f>IF(E924="","",E924)</f>
        <v/>
      </c>
      <c r="F1617" s="205"/>
      <c r="G1617" s="145" t="str">
        <f>IF(G924="","",G924)</f>
        <v/>
      </c>
      <c r="H1617" s="145"/>
      <c r="I1617" s="145"/>
      <c r="J1617" s="498" t="str">
        <f>IF(P924="","",P924)</f>
        <v/>
      </c>
      <c r="K1617" s="498"/>
      <c r="L1617" s="498"/>
      <c r="M1617" s="498"/>
      <c r="N1617" s="499" t="str">
        <f t="shared" si="508"/>
        <v/>
      </c>
      <c r="O1617" s="499"/>
      <c r="P1617" s="499"/>
      <c r="Q1617" s="499" t="str">
        <f t="shared" si="509"/>
        <v/>
      </c>
      <c r="R1617" s="499"/>
      <c r="S1617" s="500"/>
      <c r="T1617" s="397" t="str">
        <f>IF(T924="","",T924)</f>
        <v/>
      </c>
      <c r="U1617" s="205"/>
      <c r="V1617" s="145" t="str">
        <f>IF(V924="","",V924)</f>
        <v/>
      </c>
      <c r="W1617" s="145"/>
      <c r="X1617" s="145"/>
      <c r="Y1617" s="498" t="str">
        <f>IF(AE900="","",AE900)</f>
        <v/>
      </c>
      <c r="Z1617" s="498"/>
      <c r="AA1617" s="498"/>
      <c r="AB1617" s="498"/>
      <c r="AC1617" s="499" t="str">
        <f t="shared" si="510"/>
        <v/>
      </c>
      <c r="AD1617" s="499"/>
      <c r="AE1617" s="499"/>
      <c r="AF1617" s="499" t="str">
        <f t="shared" si="511"/>
        <v/>
      </c>
      <c r="AG1617" s="499"/>
      <c r="AH1617" s="500"/>
    </row>
    <row r="1618" spans="1:35" s="96" customFormat="1" ht="15.75" hidden="1" customHeight="1">
      <c r="A1618" s="124" t="str">
        <f>IF(液状化L1の有無="",IF(LEN(E1618)+LEN(T1618)=0,"×",""),"×")</f>
        <v>×</v>
      </c>
      <c r="E1618" s="204" t="str">
        <f>IF(E925="","",E925)</f>
        <v/>
      </c>
      <c r="F1618" s="205"/>
      <c r="G1618" s="145" t="str">
        <f>IF(G925="","",G925)</f>
        <v/>
      </c>
      <c r="H1618" s="145"/>
      <c r="I1618" s="145"/>
      <c r="J1618" s="498" t="str">
        <f>IF(P925="","",P925)</f>
        <v/>
      </c>
      <c r="K1618" s="498"/>
      <c r="L1618" s="498"/>
      <c r="M1618" s="498"/>
      <c r="N1618" s="499" t="str">
        <f t="shared" si="508"/>
        <v/>
      </c>
      <c r="O1618" s="499"/>
      <c r="P1618" s="499"/>
      <c r="Q1618" s="499" t="str">
        <f t="shared" si="509"/>
        <v/>
      </c>
      <c r="R1618" s="499"/>
      <c r="S1618" s="500"/>
      <c r="T1618" s="397" t="str">
        <f>IF(T925="","",T925)</f>
        <v/>
      </c>
      <c r="U1618" s="205"/>
      <c r="V1618" s="145" t="str">
        <f>IF(V925="","",V925)</f>
        <v/>
      </c>
      <c r="W1618" s="145"/>
      <c r="X1618" s="145"/>
      <c r="Y1618" s="498" t="str">
        <f>IF(AE901="","",AE901)</f>
        <v/>
      </c>
      <c r="Z1618" s="498"/>
      <c r="AA1618" s="498"/>
      <c r="AB1618" s="498"/>
      <c r="AC1618" s="499" t="str">
        <f t="shared" si="510"/>
        <v/>
      </c>
      <c r="AD1618" s="499"/>
      <c r="AE1618" s="499"/>
      <c r="AF1618" s="499" t="str">
        <f t="shared" si="511"/>
        <v/>
      </c>
      <c r="AG1618" s="499"/>
      <c r="AH1618" s="500"/>
    </row>
    <row r="1619" spans="1:35" s="96" customFormat="1" ht="15.75" hidden="1" customHeight="1">
      <c r="A1619" s="124" t="str">
        <f>IF(液状化L1の有無="",IF(LEN(E1619)+LEN(T1619)=0,"×",""),"×")</f>
        <v>×</v>
      </c>
      <c r="E1619" s="204" t="str">
        <f>IF(E926="","",E926)</f>
        <v/>
      </c>
      <c r="F1619" s="205"/>
      <c r="G1619" s="145" t="str">
        <f>IF(G926="","",G926)</f>
        <v/>
      </c>
      <c r="H1619" s="145"/>
      <c r="I1619" s="145"/>
      <c r="J1619" s="498" t="str">
        <f>IF(P926="","",P926)</f>
        <v/>
      </c>
      <c r="K1619" s="498"/>
      <c r="L1619" s="498"/>
      <c r="M1619" s="498"/>
      <c r="N1619" s="499" t="str">
        <f t="shared" si="508"/>
        <v/>
      </c>
      <c r="O1619" s="499"/>
      <c r="P1619" s="499"/>
      <c r="Q1619" s="499" t="str">
        <f t="shared" si="509"/>
        <v/>
      </c>
      <c r="R1619" s="499"/>
      <c r="S1619" s="500"/>
      <c r="T1619" s="397" t="str">
        <f>IF(T926="","",T926)</f>
        <v/>
      </c>
      <c r="U1619" s="205"/>
      <c r="V1619" s="145" t="str">
        <f>IF(V926="","",V926)</f>
        <v/>
      </c>
      <c r="W1619" s="145"/>
      <c r="X1619" s="145"/>
      <c r="Y1619" s="498" t="str">
        <f>IF(AE902="","",AE902)</f>
        <v/>
      </c>
      <c r="Z1619" s="498"/>
      <c r="AA1619" s="498"/>
      <c r="AB1619" s="498"/>
      <c r="AC1619" s="499" t="str">
        <f t="shared" si="510"/>
        <v/>
      </c>
      <c r="AD1619" s="499"/>
      <c r="AE1619" s="499"/>
      <c r="AF1619" s="499" t="str">
        <f t="shared" si="511"/>
        <v/>
      </c>
      <c r="AG1619" s="499"/>
      <c r="AH1619" s="500"/>
    </row>
    <row r="1620" spans="1:35" s="96" customFormat="1" ht="15.75" hidden="1" customHeight="1">
      <c r="A1620" s="124" t="str">
        <f>IF(液状化L1の有無="",IF(LEN(E1620)+LEN(T1620)=0,"×",""),"×")</f>
        <v>×</v>
      </c>
      <c r="E1620" s="204" t="str">
        <f>IF(E927="","",E927)</f>
        <v/>
      </c>
      <c r="F1620" s="205"/>
      <c r="G1620" s="145" t="str">
        <f>IF(G927="","",G927)</f>
        <v/>
      </c>
      <c r="H1620" s="145"/>
      <c r="I1620" s="145"/>
      <c r="J1620" s="498" t="str">
        <f>IF(P927="","",P927)</f>
        <v/>
      </c>
      <c r="K1620" s="498"/>
      <c r="L1620" s="498"/>
      <c r="M1620" s="498"/>
      <c r="N1620" s="499" t="str">
        <f t="shared" si="508"/>
        <v/>
      </c>
      <c r="O1620" s="499"/>
      <c r="P1620" s="499"/>
      <c r="Q1620" s="499" t="str">
        <f t="shared" si="509"/>
        <v/>
      </c>
      <c r="R1620" s="499"/>
      <c r="S1620" s="500"/>
      <c r="T1620" s="397" t="str">
        <f>IF(T927="","",T927)</f>
        <v/>
      </c>
      <c r="U1620" s="205"/>
      <c r="V1620" s="145" t="str">
        <f>IF(V927="","",V927)</f>
        <v/>
      </c>
      <c r="W1620" s="145"/>
      <c r="X1620" s="145"/>
      <c r="Y1620" s="498" t="str">
        <f>IF(AE903="","",AE903)</f>
        <v/>
      </c>
      <c r="Z1620" s="498"/>
      <c r="AA1620" s="498"/>
      <c r="AB1620" s="498"/>
      <c r="AC1620" s="499" t="str">
        <f t="shared" si="510"/>
        <v/>
      </c>
      <c r="AD1620" s="499"/>
      <c r="AE1620" s="499"/>
      <c r="AF1620" s="499" t="str">
        <f t="shared" si="511"/>
        <v/>
      </c>
      <c r="AG1620" s="499"/>
      <c r="AH1620" s="500"/>
    </row>
    <row r="1621" spans="1:35" s="96" customFormat="1" ht="15.75" hidden="1" customHeight="1">
      <c r="A1621" s="124" t="str">
        <f>IF(液状化L1の有無="",IF(LEN(E1621)+LEN(T1621)=0,"×",""),"×")</f>
        <v>×</v>
      </c>
      <c r="E1621" s="204" t="str">
        <f>IF(E928="","",E928)</f>
        <v/>
      </c>
      <c r="F1621" s="205"/>
      <c r="G1621" s="145" t="str">
        <f>IF(G928="","",G928)</f>
        <v/>
      </c>
      <c r="H1621" s="145"/>
      <c r="I1621" s="145"/>
      <c r="J1621" s="498" t="str">
        <f>IF(P928="","",P928)</f>
        <v/>
      </c>
      <c r="K1621" s="498"/>
      <c r="L1621" s="498"/>
      <c r="M1621" s="498"/>
      <c r="N1621" s="499" t="str">
        <f t="shared" si="508"/>
        <v/>
      </c>
      <c r="O1621" s="499"/>
      <c r="P1621" s="499"/>
      <c r="Q1621" s="499" t="str">
        <f t="shared" si="509"/>
        <v/>
      </c>
      <c r="R1621" s="499"/>
      <c r="S1621" s="500"/>
      <c r="T1621" s="397" t="str">
        <f>IF(T928="","",T928)</f>
        <v/>
      </c>
      <c r="U1621" s="205"/>
      <c r="V1621" s="145" t="str">
        <f>IF(V928="","",V928)</f>
        <v/>
      </c>
      <c r="W1621" s="145"/>
      <c r="X1621" s="145"/>
      <c r="Y1621" s="498" t="str">
        <f>IF(AE904="","",AE904)</f>
        <v/>
      </c>
      <c r="Z1621" s="498"/>
      <c r="AA1621" s="498"/>
      <c r="AB1621" s="498"/>
      <c r="AC1621" s="499" t="str">
        <f t="shared" si="510"/>
        <v/>
      </c>
      <c r="AD1621" s="499"/>
      <c r="AE1621" s="499"/>
      <c r="AF1621" s="499" t="str">
        <f t="shared" si="511"/>
        <v/>
      </c>
      <c r="AG1621" s="499"/>
      <c r="AH1621" s="500"/>
    </row>
    <row r="1622" spans="1:35" s="96" customFormat="1" ht="15.75" hidden="1" customHeight="1">
      <c r="A1622" s="124" t="str">
        <f>IF(液状化L1の有無="",IF(LEN(E1622)+LEN(T1622)=0,"×",""),"×")</f>
        <v>×</v>
      </c>
      <c r="E1622" s="204" t="str">
        <f>IF(E929="","",E929)</f>
        <v/>
      </c>
      <c r="F1622" s="205"/>
      <c r="G1622" s="145" t="str">
        <f>IF(G929="","",G929)</f>
        <v/>
      </c>
      <c r="H1622" s="145"/>
      <c r="I1622" s="145"/>
      <c r="J1622" s="498" t="str">
        <f>IF(P929="","",P929)</f>
        <v/>
      </c>
      <c r="K1622" s="498"/>
      <c r="L1622" s="498"/>
      <c r="M1622" s="498"/>
      <c r="N1622" s="499" t="str">
        <f t="shared" si="508"/>
        <v/>
      </c>
      <c r="O1622" s="499"/>
      <c r="P1622" s="499"/>
      <c r="Q1622" s="499" t="str">
        <f t="shared" si="509"/>
        <v/>
      </c>
      <c r="R1622" s="499"/>
      <c r="S1622" s="500"/>
      <c r="T1622" s="397" t="str">
        <f>IF(T929="","",T929)</f>
        <v/>
      </c>
      <c r="U1622" s="205"/>
      <c r="V1622" s="145" t="str">
        <f>IF(V929="","",V929)</f>
        <v/>
      </c>
      <c r="W1622" s="145"/>
      <c r="X1622" s="145"/>
      <c r="Y1622" s="498" t="str">
        <f>IF(AE905="","",AE905)</f>
        <v/>
      </c>
      <c r="Z1622" s="498"/>
      <c r="AA1622" s="498"/>
      <c r="AB1622" s="498"/>
      <c r="AC1622" s="499" t="str">
        <f t="shared" si="510"/>
        <v/>
      </c>
      <c r="AD1622" s="499"/>
      <c r="AE1622" s="499"/>
      <c r="AF1622" s="499" t="str">
        <f t="shared" si="511"/>
        <v/>
      </c>
      <c r="AG1622" s="499"/>
      <c r="AH1622" s="500"/>
    </row>
    <row r="1623" spans="1:35" s="96" customFormat="1" ht="15.75" hidden="1" customHeight="1">
      <c r="A1623" s="124" t="str">
        <f>IF(液状化L1の有無="",IF(LEN(E1623)+LEN(T1623)=0,"×",""),"×")</f>
        <v>×</v>
      </c>
      <c r="E1623" s="207" t="str">
        <f>IF(E930="","",E930)</f>
        <v/>
      </c>
      <c r="F1623" s="208"/>
      <c r="G1623" s="150" t="str">
        <f>IF(G930="","",G930)</f>
        <v/>
      </c>
      <c r="H1623" s="150"/>
      <c r="I1623" s="150"/>
      <c r="J1623" s="501" t="str">
        <f>IF(P930="","",P930)</f>
        <v/>
      </c>
      <c r="K1623" s="501"/>
      <c r="L1623" s="501"/>
      <c r="M1623" s="501"/>
      <c r="N1623" s="502" t="str">
        <f t="shared" si="508"/>
        <v/>
      </c>
      <c r="O1623" s="502"/>
      <c r="P1623" s="502"/>
      <c r="Q1623" s="502" t="str">
        <f t="shared" si="509"/>
        <v/>
      </c>
      <c r="R1623" s="502"/>
      <c r="S1623" s="503"/>
      <c r="T1623" s="400" t="str">
        <f>IF(T930="","",T930)</f>
        <v/>
      </c>
      <c r="U1623" s="208"/>
      <c r="V1623" s="150" t="str">
        <f>IF(V930="","",V930)</f>
        <v/>
      </c>
      <c r="W1623" s="150"/>
      <c r="X1623" s="150"/>
      <c r="Y1623" s="501" t="str">
        <f>IF(AE906="","",AE906)</f>
        <v/>
      </c>
      <c r="Z1623" s="501"/>
      <c r="AA1623" s="501"/>
      <c r="AB1623" s="501"/>
      <c r="AC1623" s="502" t="str">
        <f t="shared" si="510"/>
        <v/>
      </c>
      <c r="AD1623" s="502"/>
      <c r="AE1623" s="502"/>
      <c r="AF1623" s="502" t="str">
        <f t="shared" si="511"/>
        <v/>
      </c>
      <c r="AG1623" s="502"/>
      <c r="AH1623" s="503"/>
    </row>
    <row r="1624" spans="1:35" s="116" customFormat="1" ht="15.75" hidden="1" customHeight="1">
      <c r="A1624" s="119" t="str">
        <f>IF(液状化L1の有無="","","×")</f>
        <v>×</v>
      </c>
    </row>
    <row r="1625" spans="1:35" s="116" customFormat="1" ht="15.75" customHeight="1"/>
    <row r="1626" spans="1:35" s="1" customFormat="1" ht="15.75" hidden="1" customHeight="1">
      <c r="A1626" s="119" t="str">
        <f>IF(液状化L2の有無="","","×")</f>
        <v>×</v>
      </c>
      <c r="E1626" s="61" t="s">
        <v>618</v>
      </c>
      <c r="F1626" s="85"/>
      <c r="G1626" s="85"/>
      <c r="H1626" s="61"/>
      <c r="I1626" s="61"/>
      <c r="J1626" s="61"/>
      <c r="K1626" s="61"/>
      <c r="L1626" s="61"/>
      <c r="M1626" s="61"/>
      <c r="N1626" s="61"/>
      <c r="O1626" s="61"/>
      <c r="P1626" s="61"/>
      <c r="Q1626" s="61"/>
      <c r="R1626" s="61"/>
      <c r="S1626" s="61"/>
      <c r="T1626" s="61"/>
      <c r="U1626" s="61"/>
      <c r="V1626" s="61"/>
      <c r="W1626" s="61"/>
      <c r="X1626" s="61"/>
      <c r="Y1626" s="61"/>
      <c r="Z1626" s="61"/>
      <c r="AA1626" s="61"/>
      <c r="AB1626" s="61"/>
      <c r="AC1626" s="61"/>
      <c r="AD1626" s="61"/>
      <c r="AE1626" s="61"/>
      <c r="AF1626" s="61"/>
      <c r="AG1626" s="61"/>
      <c r="AH1626" s="61"/>
      <c r="AI1626" s="8"/>
    </row>
    <row r="1627" spans="1:35" s="1" customFormat="1" ht="15.75" hidden="1" customHeight="1">
      <c r="A1627" s="119" t="str">
        <f>IF(液状化L2の有無="","","×")</f>
        <v>×</v>
      </c>
      <c r="E1627" s="347" t="s">
        <v>511</v>
      </c>
      <c r="F1627" s="348"/>
      <c r="G1627" s="348"/>
      <c r="H1627" s="348"/>
      <c r="I1627" s="348"/>
      <c r="J1627" s="348"/>
      <c r="K1627" s="348"/>
      <c r="L1627" s="348"/>
      <c r="M1627" s="348"/>
      <c r="N1627" s="348"/>
      <c r="O1627" s="348"/>
      <c r="P1627" s="348"/>
      <c r="Q1627" s="348"/>
      <c r="R1627" s="348"/>
      <c r="S1627" s="410"/>
      <c r="T1627" s="350" t="s">
        <v>512</v>
      </c>
      <c r="U1627" s="147"/>
      <c r="V1627" s="147"/>
      <c r="W1627" s="147"/>
      <c r="X1627" s="147"/>
      <c r="Y1627" s="147"/>
      <c r="Z1627" s="147"/>
      <c r="AA1627" s="147"/>
      <c r="AB1627" s="147"/>
      <c r="AC1627" s="147"/>
      <c r="AD1627" s="147"/>
      <c r="AE1627" s="147"/>
      <c r="AF1627" s="147"/>
      <c r="AG1627" s="147"/>
      <c r="AH1627" s="214"/>
    </row>
    <row r="1628" spans="1:35" s="1" customFormat="1" ht="15.75" hidden="1" customHeight="1">
      <c r="A1628" s="119" t="str">
        <f>IF(液状化L2の有無="","","×")</f>
        <v>×</v>
      </c>
      <c r="E1628" s="316" t="s">
        <v>78</v>
      </c>
      <c r="F1628" s="300"/>
      <c r="G1628" s="496" t="s">
        <v>190</v>
      </c>
      <c r="H1628" s="497"/>
      <c r="I1628" s="497"/>
      <c r="J1628" s="300" t="s">
        <v>237</v>
      </c>
      <c r="K1628" s="300"/>
      <c r="L1628" s="300"/>
      <c r="M1628" s="300"/>
      <c r="N1628" s="300" t="s">
        <v>613</v>
      </c>
      <c r="O1628" s="300"/>
      <c r="P1628" s="300"/>
      <c r="Q1628" s="300" t="s">
        <v>614</v>
      </c>
      <c r="R1628" s="300"/>
      <c r="S1628" s="372"/>
      <c r="T1628" s="311" t="s">
        <v>78</v>
      </c>
      <c r="U1628" s="300"/>
      <c r="V1628" s="496" t="s">
        <v>190</v>
      </c>
      <c r="W1628" s="497"/>
      <c r="X1628" s="497"/>
      <c r="Y1628" s="300" t="s">
        <v>237</v>
      </c>
      <c r="Z1628" s="300"/>
      <c r="AA1628" s="300"/>
      <c r="AB1628" s="300"/>
      <c r="AC1628" s="300" t="s">
        <v>613</v>
      </c>
      <c r="AD1628" s="300"/>
      <c r="AE1628" s="300"/>
      <c r="AF1628" s="300" t="s">
        <v>614</v>
      </c>
      <c r="AG1628" s="300"/>
      <c r="AH1628" s="372"/>
    </row>
    <row r="1629" spans="1:35" s="1" customFormat="1" ht="15.75" hidden="1" customHeight="1">
      <c r="A1629" s="119" t="str">
        <f>IF(液状化L2の有無="","","×")</f>
        <v>×</v>
      </c>
      <c r="E1629" s="186"/>
      <c r="F1629" s="187"/>
      <c r="G1629" s="218"/>
      <c r="H1629" s="218"/>
      <c r="I1629" s="218"/>
      <c r="J1629" s="187"/>
      <c r="K1629" s="187"/>
      <c r="L1629" s="187"/>
      <c r="M1629" s="187"/>
      <c r="N1629" s="187"/>
      <c r="O1629" s="187"/>
      <c r="P1629" s="187"/>
      <c r="Q1629" s="187"/>
      <c r="R1629" s="187"/>
      <c r="S1629" s="222"/>
      <c r="T1629" s="330"/>
      <c r="U1629" s="187"/>
      <c r="V1629" s="218"/>
      <c r="W1629" s="218"/>
      <c r="X1629" s="218"/>
      <c r="Y1629" s="187"/>
      <c r="Z1629" s="187"/>
      <c r="AA1629" s="187"/>
      <c r="AB1629" s="187"/>
      <c r="AC1629" s="187"/>
      <c r="AD1629" s="187"/>
      <c r="AE1629" s="187"/>
      <c r="AF1629" s="187"/>
      <c r="AG1629" s="187"/>
      <c r="AH1629" s="222"/>
    </row>
    <row r="1630" spans="1:35" s="96" customFormat="1" ht="15.75" hidden="1" customHeight="1">
      <c r="A1630" s="124" t="str">
        <f>IF(液状化L2の有無="",IF(LEN(E1630)+LEN(T1630)=0,"×",""),"×")</f>
        <v>×</v>
      </c>
      <c r="E1630" s="224">
        <f>IF(E939="","",E939)</f>
        <v>3</v>
      </c>
      <c r="F1630" s="165"/>
      <c r="G1630" s="149">
        <f>IF(G939="","",G939)</f>
        <v>3</v>
      </c>
      <c r="H1630" s="149"/>
      <c r="I1630" s="149"/>
      <c r="J1630" s="508">
        <f>IF(P939="","",P939)</f>
        <v>0</v>
      </c>
      <c r="K1630" s="508"/>
      <c r="L1630" s="508"/>
      <c r="M1630" s="508"/>
      <c r="N1630" s="494">
        <f>IF(J1630="","",ROUND(J1630/G1630*$AH$1577,1))</f>
        <v>0</v>
      </c>
      <c r="O1630" s="494"/>
      <c r="P1630" s="494"/>
      <c r="Q1630" s="494">
        <f>IF(J1630="","",ROUND(J1630/G1630*$AH$1578,1))</f>
        <v>0</v>
      </c>
      <c r="R1630" s="494"/>
      <c r="S1630" s="509"/>
      <c r="T1630" s="394">
        <f>IF(T939="","",T939)</f>
        <v>3</v>
      </c>
      <c r="U1630" s="165"/>
      <c r="V1630" s="149">
        <f>IF(V939="","",V939)</f>
        <v>3</v>
      </c>
      <c r="W1630" s="149"/>
      <c r="X1630" s="149"/>
      <c r="Y1630" s="508">
        <f>IF(AE939="","",AE939)</f>
        <v>0</v>
      </c>
      <c r="Z1630" s="508"/>
      <c r="AA1630" s="508"/>
      <c r="AB1630" s="508"/>
      <c r="AC1630" s="494">
        <f>IF(Y1630="","",ROUND(Y1630/V1630*$AH$1577,1))</f>
        <v>0</v>
      </c>
      <c r="AD1630" s="494"/>
      <c r="AE1630" s="494"/>
      <c r="AF1630" s="494">
        <f>IF(Y1630="","",ROUND(Y1630/V1630*$AH$1578,1))</f>
        <v>0</v>
      </c>
      <c r="AG1630" s="494"/>
      <c r="AH1630" s="509"/>
    </row>
    <row r="1631" spans="1:35" s="96" customFormat="1" ht="15.75" hidden="1" customHeight="1">
      <c r="A1631" s="124" t="str">
        <f>IF(液状化L2の有無="",IF(LEN(E1631)+LEN(T1631)=0,"×",""),"×")</f>
        <v>×</v>
      </c>
      <c r="E1631" s="204">
        <f>IF(E940="","",E940)</f>
        <v>4</v>
      </c>
      <c r="F1631" s="205"/>
      <c r="G1631" s="145">
        <f>IF(G940="","",G940)</f>
        <v>1.2199997901916504</v>
      </c>
      <c r="H1631" s="145"/>
      <c r="I1631" s="145"/>
      <c r="J1631" s="498">
        <f>IF(P940="","",P940)</f>
        <v>0</v>
      </c>
      <c r="K1631" s="498"/>
      <c r="L1631" s="498"/>
      <c r="M1631" s="498"/>
      <c r="N1631" s="499">
        <f t="shared" ref="N1631:N1645" si="512">IF(J1631="","",ROUND(J1631/G1631*$AH$1577,1))</f>
        <v>0</v>
      </c>
      <c r="O1631" s="499"/>
      <c r="P1631" s="499"/>
      <c r="Q1631" s="499">
        <f t="shared" ref="Q1631:Q1645" si="513">IF(J1631="","",ROUND(J1631/G1631*$AH$1578,1))</f>
        <v>0</v>
      </c>
      <c r="R1631" s="499"/>
      <c r="S1631" s="500"/>
      <c r="T1631" s="397">
        <f>IF(T940="","",T940)</f>
        <v>4</v>
      </c>
      <c r="U1631" s="205"/>
      <c r="V1631" s="145">
        <f>IF(V940="","",V940)</f>
        <v>1.2199997901916504</v>
      </c>
      <c r="W1631" s="145"/>
      <c r="X1631" s="145"/>
      <c r="Y1631" s="498">
        <f>IF(AE940="","",AE940)</f>
        <v>0</v>
      </c>
      <c r="Z1631" s="498"/>
      <c r="AA1631" s="498"/>
      <c r="AB1631" s="498"/>
      <c r="AC1631" s="499">
        <f t="shared" ref="AC1631:AC1645" si="514">IF(Y1631="","",ROUND(Y1631/V1631*$AH$1577,1))</f>
        <v>0</v>
      </c>
      <c r="AD1631" s="499"/>
      <c r="AE1631" s="499"/>
      <c r="AF1631" s="499">
        <f t="shared" ref="AF1631:AF1645" si="515">IF(Y1631="","",ROUND(Y1631/V1631*$AH$1578,1))</f>
        <v>0</v>
      </c>
      <c r="AG1631" s="499"/>
      <c r="AH1631" s="500"/>
    </row>
    <row r="1632" spans="1:35" s="96" customFormat="1" ht="15.75" hidden="1" customHeight="1">
      <c r="A1632" s="124" t="str">
        <f>IF(液状化L2の有無="",IF(LEN(E1632)+LEN(T1632)=0,"×",""),"×")</f>
        <v>×</v>
      </c>
      <c r="E1632" s="204">
        <f>IF(E941="","",E941)</f>
        <v>4</v>
      </c>
      <c r="F1632" s="205"/>
      <c r="G1632" s="145">
        <f>IF(G941="","",G941)</f>
        <v>3.7800002098083496</v>
      </c>
      <c r="H1632" s="145"/>
      <c r="I1632" s="145"/>
      <c r="J1632" s="498">
        <f>IF(P941="","",P941)</f>
        <v>534.38494003658047</v>
      </c>
      <c r="K1632" s="498"/>
      <c r="L1632" s="498"/>
      <c r="M1632" s="498"/>
      <c r="N1632" s="499">
        <f t="shared" si="512"/>
        <v>169.6</v>
      </c>
      <c r="O1632" s="499"/>
      <c r="P1632" s="499"/>
      <c r="Q1632" s="499">
        <f t="shared" si="513"/>
        <v>197.9</v>
      </c>
      <c r="R1632" s="499"/>
      <c r="S1632" s="500"/>
      <c r="T1632" s="397">
        <f>IF(T941="","",T941)</f>
        <v>4</v>
      </c>
      <c r="U1632" s="205"/>
      <c r="V1632" s="145">
        <f>IF(V941="","",V941)</f>
        <v>3.7800002098083496</v>
      </c>
      <c r="W1632" s="145"/>
      <c r="X1632" s="145"/>
      <c r="Y1632" s="498">
        <f>IF(AE941="","",AE941)</f>
        <v>534.38494003658047</v>
      </c>
      <c r="Z1632" s="498"/>
      <c r="AA1632" s="498"/>
      <c r="AB1632" s="498"/>
      <c r="AC1632" s="499">
        <f t="shared" si="514"/>
        <v>169.6</v>
      </c>
      <c r="AD1632" s="499"/>
      <c r="AE1632" s="499"/>
      <c r="AF1632" s="499">
        <f t="shared" si="515"/>
        <v>197.9</v>
      </c>
      <c r="AG1632" s="499"/>
      <c r="AH1632" s="500"/>
    </row>
    <row r="1633" spans="1:34" s="96" customFormat="1" ht="15.75" hidden="1" customHeight="1">
      <c r="A1633" s="124" t="str">
        <f>IF(液状化L2の有無="",IF(LEN(E1633)+LEN(T1633)=0,"×",""),"×")</f>
        <v>×</v>
      </c>
      <c r="E1633" s="204">
        <f>IF(E942="","",E942)</f>
        <v>5</v>
      </c>
      <c r="F1633" s="205"/>
      <c r="G1633" s="145">
        <f>IF(G942="","",G942)</f>
        <v>8</v>
      </c>
      <c r="H1633" s="145"/>
      <c r="I1633" s="145"/>
      <c r="J1633" s="498">
        <f>IF(P942="","",P942)</f>
        <v>628.31853071795865</v>
      </c>
      <c r="K1633" s="498"/>
      <c r="L1633" s="498"/>
      <c r="M1633" s="498"/>
      <c r="N1633" s="499">
        <f t="shared" si="512"/>
        <v>94.2</v>
      </c>
      <c r="O1633" s="499"/>
      <c r="P1633" s="499"/>
      <c r="Q1633" s="499">
        <f t="shared" si="513"/>
        <v>110</v>
      </c>
      <c r="R1633" s="499"/>
      <c r="S1633" s="500"/>
      <c r="T1633" s="397">
        <f>IF(T942="","",T942)</f>
        <v>5</v>
      </c>
      <c r="U1633" s="205"/>
      <c r="V1633" s="145">
        <f>IF(V942="","",V942)</f>
        <v>8</v>
      </c>
      <c r="W1633" s="145"/>
      <c r="X1633" s="145"/>
      <c r="Y1633" s="498">
        <f>IF(AE942="","",AE942)</f>
        <v>628.31853071795865</v>
      </c>
      <c r="Z1633" s="498"/>
      <c r="AA1633" s="498"/>
      <c r="AB1633" s="498"/>
      <c r="AC1633" s="499">
        <f t="shared" si="514"/>
        <v>94.2</v>
      </c>
      <c r="AD1633" s="499"/>
      <c r="AE1633" s="499"/>
      <c r="AF1633" s="499">
        <f t="shared" si="515"/>
        <v>110</v>
      </c>
      <c r="AG1633" s="499"/>
      <c r="AH1633" s="500"/>
    </row>
    <row r="1634" spans="1:34" s="96" customFormat="1" ht="15.75" hidden="1" customHeight="1">
      <c r="A1634" s="124" t="str">
        <f>IF(液状化L2の有無="",IF(LEN(E1634)+LEN(T1634)=0,"×",""),"×")</f>
        <v>×</v>
      </c>
      <c r="E1634" s="204">
        <f>IF(E943="","",E943)</f>
        <v>6</v>
      </c>
      <c r="F1634" s="205"/>
      <c r="G1634" s="145">
        <f>IF(G943="","",G943)</f>
        <v>4</v>
      </c>
      <c r="H1634" s="145"/>
      <c r="I1634" s="145"/>
      <c r="J1634" s="498">
        <f>IF(P943="","",P943)</f>
        <v>628.31853071795865</v>
      </c>
      <c r="K1634" s="498"/>
      <c r="L1634" s="498"/>
      <c r="M1634" s="498"/>
      <c r="N1634" s="499">
        <f t="shared" si="512"/>
        <v>188.5</v>
      </c>
      <c r="O1634" s="499"/>
      <c r="P1634" s="499"/>
      <c r="Q1634" s="499">
        <f t="shared" si="513"/>
        <v>219.9</v>
      </c>
      <c r="R1634" s="499"/>
      <c r="S1634" s="500"/>
      <c r="T1634" s="397">
        <f>IF(T943="","",T943)</f>
        <v>6</v>
      </c>
      <c r="U1634" s="205"/>
      <c r="V1634" s="145">
        <f>IF(V943="","",V943)</f>
        <v>4.5</v>
      </c>
      <c r="W1634" s="145"/>
      <c r="X1634" s="145"/>
      <c r="Y1634" s="498">
        <f>IF(AE943="","",AE943)</f>
        <v>706.85834705770344</v>
      </c>
      <c r="Z1634" s="498"/>
      <c r="AA1634" s="498"/>
      <c r="AB1634" s="498"/>
      <c r="AC1634" s="499">
        <f t="shared" si="514"/>
        <v>188.5</v>
      </c>
      <c r="AD1634" s="499"/>
      <c r="AE1634" s="499"/>
      <c r="AF1634" s="499">
        <f t="shared" si="515"/>
        <v>219.9</v>
      </c>
      <c r="AG1634" s="499"/>
      <c r="AH1634" s="500"/>
    </row>
    <row r="1635" spans="1:34" s="96" customFormat="1" ht="15.75" hidden="1" customHeight="1">
      <c r="A1635" s="124" t="str">
        <f>IF(液状化L2の有無="",IF(LEN(E1635)+LEN(T1635)=0,"×",""),"×")</f>
        <v>×</v>
      </c>
      <c r="E1635" s="204">
        <f>IF(E944="","",E944)</f>
        <v>6</v>
      </c>
      <c r="F1635" s="205"/>
      <c r="G1635" s="145">
        <f>IF(G944="","",G944)</f>
        <v>0.5</v>
      </c>
      <c r="H1635" s="145"/>
      <c r="I1635" s="145"/>
      <c r="J1635" s="498">
        <f>IF(P944="","",P944)</f>
        <v>0</v>
      </c>
      <c r="K1635" s="498"/>
      <c r="L1635" s="498"/>
      <c r="M1635" s="498"/>
      <c r="N1635" s="499">
        <f t="shared" si="512"/>
        <v>0</v>
      </c>
      <c r="O1635" s="499"/>
      <c r="P1635" s="499"/>
      <c r="Q1635" s="499">
        <f t="shared" si="513"/>
        <v>0</v>
      </c>
      <c r="R1635" s="499"/>
      <c r="S1635" s="500"/>
      <c r="T1635" s="397">
        <f>IF(T944="","",T944)</f>
        <v>7</v>
      </c>
      <c r="U1635" s="205"/>
      <c r="V1635" s="145">
        <f>IF(V944="","",V944)</f>
        <v>0.5</v>
      </c>
      <c r="W1635" s="145"/>
      <c r="X1635" s="145"/>
      <c r="Y1635" s="498">
        <f>IF(AE944="","",AE944)</f>
        <v>235.61944901923448</v>
      </c>
      <c r="Z1635" s="498"/>
      <c r="AA1635" s="498"/>
      <c r="AB1635" s="498"/>
      <c r="AC1635" s="499">
        <f t="shared" si="514"/>
        <v>565.5</v>
      </c>
      <c r="AD1635" s="499"/>
      <c r="AE1635" s="499"/>
      <c r="AF1635" s="499">
        <f t="shared" si="515"/>
        <v>659.7</v>
      </c>
      <c r="AG1635" s="499"/>
      <c r="AH1635" s="500"/>
    </row>
    <row r="1636" spans="1:34" s="96" customFormat="1" ht="15.75" hidden="1" customHeight="1">
      <c r="A1636" s="124" t="str">
        <f>IF(液状化L2の有無="",IF(LEN(E1636)+LEN(T1636)=0,"×",""),"×")</f>
        <v>×</v>
      </c>
      <c r="E1636" s="204">
        <f>IF(E945="","",E945)</f>
        <v>7</v>
      </c>
      <c r="F1636" s="205"/>
      <c r="G1636" s="145">
        <f>IF(G945="","",G945)</f>
        <v>0.5</v>
      </c>
      <c r="H1636" s="145"/>
      <c r="I1636" s="145"/>
      <c r="J1636" s="498">
        <f>IF(P945="","",P945)</f>
        <v>0</v>
      </c>
      <c r="K1636" s="498"/>
      <c r="L1636" s="498"/>
      <c r="M1636" s="498"/>
      <c r="N1636" s="499">
        <f t="shared" si="512"/>
        <v>0</v>
      </c>
      <c r="O1636" s="499"/>
      <c r="P1636" s="499"/>
      <c r="Q1636" s="499">
        <f t="shared" si="513"/>
        <v>0</v>
      </c>
      <c r="R1636" s="499"/>
      <c r="S1636" s="500"/>
      <c r="T1636" s="397" t="str">
        <f>IF(T945="","",T945)</f>
        <v/>
      </c>
      <c r="U1636" s="205"/>
      <c r="V1636" s="145" t="str">
        <f>IF(V945="","",V945)</f>
        <v/>
      </c>
      <c r="W1636" s="145"/>
      <c r="X1636" s="145"/>
      <c r="Y1636" s="498" t="str">
        <f>IF(AE945="","",AE945)</f>
        <v/>
      </c>
      <c r="Z1636" s="498"/>
      <c r="AA1636" s="498"/>
      <c r="AB1636" s="498"/>
      <c r="AC1636" s="499" t="str">
        <f t="shared" si="514"/>
        <v/>
      </c>
      <c r="AD1636" s="499"/>
      <c r="AE1636" s="499"/>
      <c r="AF1636" s="499" t="str">
        <f t="shared" si="515"/>
        <v/>
      </c>
      <c r="AG1636" s="499"/>
      <c r="AH1636" s="500"/>
    </row>
    <row r="1637" spans="1:34" s="96" customFormat="1" ht="15.75" hidden="1" customHeight="1">
      <c r="A1637" s="124" t="str">
        <f>IF(液状化L2の有無="",IF(LEN(E1637)+LEN(T1637)=0,"×",""),"×")</f>
        <v>×</v>
      </c>
      <c r="E1637" s="204" t="str">
        <f>IF(E946="","",E946)</f>
        <v/>
      </c>
      <c r="F1637" s="205"/>
      <c r="G1637" s="145" t="str">
        <f>IF(G946="","",G946)</f>
        <v/>
      </c>
      <c r="H1637" s="145"/>
      <c r="I1637" s="145"/>
      <c r="J1637" s="498" t="str">
        <f>IF(P946="","",P946)</f>
        <v/>
      </c>
      <c r="K1637" s="498"/>
      <c r="L1637" s="498"/>
      <c r="M1637" s="498"/>
      <c r="N1637" s="499" t="str">
        <f t="shared" si="512"/>
        <v/>
      </c>
      <c r="O1637" s="499"/>
      <c r="P1637" s="499"/>
      <c r="Q1637" s="499" t="str">
        <f t="shared" si="513"/>
        <v/>
      </c>
      <c r="R1637" s="499"/>
      <c r="S1637" s="500"/>
      <c r="T1637" s="397" t="str">
        <f>IF(T946="","",T946)</f>
        <v/>
      </c>
      <c r="U1637" s="205"/>
      <c r="V1637" s="145" t="str">
        <f>IF(V946="","",V946)</f>
        <v/>
      </c>
      <c r="W1637" s="145"/>
      <c r="X1637" s="145"/>
      <c r="Y1637" s="498" t="str">
        <f>IF(AE946="","",AE946)</f>
        <v/>
      </c>
      <c r="Z1637" s="498"/>
      <c r="AA1637" s="498"/>
      <c r="AB1637" s="498"/>
      <c r="AC1637" s="499" t="str">
        <f t="shared" si="514"/>
        <v/>
      </c>
      <c r="AD1637" s="499"/>
      <c r="AE1637" s="499"/>
      <c r="AF1637" s="499" t="str">
        <f t="shared" si="515"/>
        <v/>
      </c>
      <c r="AG1637" s="499"/>
      <c r="AH1637" s="500"/>
    </row>
    <row r="1638" spans="1:34" s="96" customFormat="1" ht="15.75" hidden="1" customHeight="1">
      <c r="A1638" s="124" t="str">
        <f>IF(液状化L2の有無="",IF(LEN(E1638)+LEN(T1638)=0,"×",""),"×")</f>
        <v>×</v>
      </c>
      <c r="E1638" s="204" t="str">
        <f>IF(E947="","",E947)</f>
        <v/>
      </c>
      <c r="F1638" s="205"/>
      <c r="G1638" s="145" t="str">
        <f>IF(G947="","",G947)</f>
        <v/>
      </c>
      <c r="H1638" s="145"/>
      <c r="I1638" s="145"/>
      <c r="J1638" s="498" t="str">
        <f>IF(P947="","",P947)</f>
        <v/>
      </c>
      <c r="K1638" s="498"/>
      <c r="L1638" s="498"/>
      <c r="M1638" s="498"/>
      <c r="N1638" s="499" t="str">
        <f t="shared" si="512"/>
        <v/>
      </c>
      <c r="O1638" s="499"/>
      <c r="P1638" s="499"/>
      <c r="Q1638" s="499" t="str">
        <f t="shared" si="513"/>
        <v/>
      </c>
      <c r="R1638" s="499"/>
      <c r="S1638" s="500"/>
      <c r="T1638" s="397" t="str">
        <f>IF(T947="","",T947)</f>
        <v/>
      </c>
      <c r="U1638" s="205"/>
      <c r="V1638" s="145" t="str">
        <f>IF(V947="","",V947)</f>
        <v/>
      </c>
      <c r="W1638" s="145"/>
      <c r="X1638" s="145"/>
      <c r="Y1638" s="498" t="str">
        <f>IF(AE947="","",AE947)</f>
        <v/>
      </c>
      <c r="Z1638" s="498"/>
      <c r="AA1638" s="498"/>
      <c r="AB1638" s="498"/>
      <c r="AC1638" s="499" t="str">
        <f t="shared" si="514"/>
        <v/>
      </c>
      <c r="AD1638" s="499"/>
      <c r="AE1638" s="499"/>
      <c r="AF1638" s="499" t="str">
        <f t="shared" si="515"/>
        <v/>
      </c>
      <c r="AG1638" s="499"/>
      <c r="AH1638" s="500"/>
    </row>
    <row r="1639" spans="1:34" s="96" customFormat="1" ht="15.75" hidden="1" customHeight="1">
      <c r="A1639" s="124" t="str">
        <f>IF(液状化L2の有無="",IF(LEN(E1639)+LEN(T1639)=0,"×",""),"×")</f>
        <v>×</v>
      </c>
      <c r="E1639" s="204" t="str">
        <f>IF(E948="","",E948)</f>
        <v/>
      </c>
      <c r="F1639" s="205"/>
      <c r="G1639" s="145" t="str">
        <f>IF(G948="","",G948)</f>
        <v/>
      </c>
      <c r="H1639" s="145"/>
      <c r="I1639" s="145"/>
      <c r="J1639" s="498" t="str">
        <f>IF(P948="","",P948)</f>
        <v/>
      </c>
      <c r="K1639" s="498"/>
      <c r="L1639" s="498"/>
      <c r="M1639" s="498"/>
      <c r="N1639" s="499" t="str">
        <f t="shared" si="512"/>
        <v/>
      </c>
      <c r="O1639" s="499"/>
      <c r="P1639" s="499"/>
      <c r="Q1639" s="499" t="str">
        <f t="shared" si="513"/>
        <v/>
      </c>
      <c r="R1639" s="499"/>
      <c r="S1639" s="500"/>
      <c r="T1639" s="397" t="str">
        <f>IF(T948="","",T948)</f>
        <v/>
      </c>
      <c r="U1639" s="205"/>
      <c r="V1639" s="145" t="str">
        <f>IF(V948="","",V948)</f>
        <v/>
      </c>
      <c r="W1639" s="145"/>
      <c r="X1639" s="145"/>
      <c r="Y1639" s="498" t="str">
        <f>IF(AE948="","",AE948)</f>
        <v/>
      </c>
      <c r="Z1639" s="498"/>
      <c r="AA1639" s="498"/>
      <c r="AB1639" s="498"/>
      <c r="AC1639" s="499" t="str">
        <f t="shared" si="514"/>
        <v/>
      </c>
      <c r="AD1639" s="499"/>
      <c r="AE1639" s="499"/>
      <c r="AF1639" s="499" t="str">
        <f t="shared" si="515"/>
        <v/>
      </c>
      <c r="AG1639" s="499"/>
      <c r="AH1639" s="500"/>
    </row>
    <row r="1640" spans="1:34" s="96" customFormat="1" ht="15.75" hidden="1" customHeight="1">
      <c r="A1640" s="124" t="str">
        <f>IF(液状化L2の有無="",IF(LEN(E1640)+LEN(T1640)=0,"×",""),"×")</f>
        <v>×</v>
      </c>
      <c r="E1640" s="204" t="str">
        <f>IF(E949="","",E949)</f>
        <v/>
      </c>
      <c r="F1640" s="205"/>
      <c r="G1640" s="145" t="str">
        <f>IF(G949="","",G949)</f>
        <v/>
      </c>
      <c r="H1640" s="145"/>
      <c r="I1640" s="145"/>
      <c r="J1640" s="498" t="str">
        <f>IF(P949="","",P949)</f>
        <v/>
      </c>
      <c r="K1640" s="498"/>
      <c r="L1640" s="498"/>
      <c r="M1640" s="498"/>
      <c r="N1640" s="499" t="str">
        <f t="shared" si="512"/>
        <v/>
      </c>
      <c r="O1640" s="499"/>
      <c r="P1640" s="499"/>
      <c r="Q1640" s="499" t="str">
        <f t="shared" si="513"/>
        <v/>
      </c>
      <c r="R1640" s="499"/>
      <c r="S1640" s="500"/>
      <c r="T1640" s="397" t="str">
        <f>IF(T949="","",T949)</f>
        <v/>
      </c>
      <c r="U1640" s="205"/>
      <c r="V1640" s="145" t="str">
        <f>IF(V949="","",V949)</f>
        <v/>
      </c>
      <c r="W1640" s="145"/>
      <c r="X1640" s="145"/>
      <c r="Y1640" s="498" t="str">
        <f>IF(AE949="","",AE949)</f>
        <v/>
      </c>
      <c r="Z1640" s="498"/>
      <c r="AA1640" s="498"/>
      <c r="AB1640" s="498"/>
      <c r="AC1640" s="499" t="str">
        <f t="shared" si="514"/>
        <v/>
      </c>
      <c r="AD1640" s="499"/>
      <c r="AE1640" s="499"/>
      <c r="AF1640" s="499" t="str">
        <f t="shared" si="515"/>
        <v/>
      </c>
      <c r="AG1640" s="499"/>
      <c r="AH1640" s="500"/>
    </row>
    <row r="1641" spans="1:34" s="96" customFormat="1" ht="15.75" hidden="1" customHeight="1">
      <c r="A1641" s="124" t="str">
        <f>IF(液状化L2の有無="",IF(LEN(E1641)+LEN(T1641)=0,"×",""),"×")</f>
        <v>×</v>
      </c>
      <c r="E1641" s="204" t="str">
        <f>IF(E950="","",E950)</f>
        <v/>
      </c>
      <c r="F1641" s="205"/>
      <c r="G1641" s="145" t="str">
        <f>IF(G950="","",G950)</f>
        <v/>
      </c>
      <c r="H1641" s="145"/>
      <c r="I1641" s="145"/>
      <c r="J1641" s="498" t="str">
        <f>IF(P950="","",P950)</f>
        <v/>
      </c>
      <c r="K1641" s="498"/>
      <c r="L1641" s="498"/>
      <c r="M1641" s="498"/>
      <c r="N1641" s="499" t="str">
        <f t="shared" si="512"/>
        <v/>
      </c>
      <c r="O1641" s="499"/>
      <c r="P1641" s="499"/>
      <c r="Q1641" s="499" t="str">
        <f t="shared" si="513"/>
        <v/>
      </c>
      <c r="R1641" s="499"/>
      <c r="S1641" s="500"/>
      <c r="T1641" s="397" t="str">
        <f>IF(T950="","",T950)</f>
        <v/>
      </c>
      <c r="U1641" s="205"/>
      <c r="V1641" s="145" t="str">
        <f>IF(V950="","",V950)</f>
        <v/>
      </c>
      <c r="W1641" s="145"/>
      <c r="X1641" s="145"/>
      <c r="Y1641" s="498" t="str">
        <f>IF(AE950="","",AE950)</f>
        <v/>
      </c>
      <c r="Z1641" s="498"/>
      <c r="AA1641" s="498"/>
      <c r="AB1641" s="498"/>
      <c r="AC1641" s="499" t="str">
        <f t="shared" si="514"/>
        <v/>
      </c>
      <c r="AD1641" s="499"/>
      <c r="AE1641" s="499"/>
      <c r="AF1641" s="499" t="str">
        <f t="shared" si="515"/>
        <v/>
      </c>
      <c r="AG1641" s="499"/>
      <c r="AH1641" s="500"/>
    </row>
    <row r="1642" spans="1:34" s="96" customFormat="1" ht="15.75" hidden="1" customHeight="1">
      <c r="A1642" s="124" t="str">
        <f>IF(液状化L2の有無="",IF(LEN(E1642)+LEN(T1642)=0,"×",""),"×")</f>
        <v>×</v>
      </c>
      <c r="E1642" s="204" t="str">
        <f>IF(E951="","",E951)</f>
        <v/>
      </c>
      <c r="F1642" s="205"/>
      <c r="G1642" s="145" t="str">
        <f>IF(G951="","",G951)</f>
        <v/>
      </c>
      <c r="H1642" s="145"/>
      <c r="I1642" s="145"/>
      <c r="J1642" s="498" t="str">
        <f>IF(P951="","",P951)</f>
        <v/>
      </c>
      <c r="K1642" s="498"/>
      <c r="L1642" s="498"/>
      <c r="M1642" s="498"/>
      <c r="N1642" s="499" t="str">
        <f t="shared" si="512"/>
        <v/>
      </c>
      <c r="O1642" s="499"/>
      <c r="P1642" s="499"/>
      <c r="Q1642" s="499" t="str">
        <f t="shared" si="513"/>
        <v/>
      </c>
      <c r="R1642" s="499"/>
      <c r="S1642" s="500"/>
      <c r="T1642" s="397" t="str">
        <f>IF(T951="","",T951)</f>
        <v/>
      </c>
      <c r="U1642" s="205"/>
      <c r="V1642" s="145" t="str">
        <f>IF(V951="","",V951)</f>
        <v/>
      </c>
      <c r="W1642" s="145"/>
      <c r="X1642" s="145"/>
      <c r="Y1642" s="498" t="str">
        <f>IF(AE951="","",AE951)</f>
        <v/>
      </c>
      <c r="Z1642" s="498"/>
      <c r="AA1642" s="498"/>
      <c r="AB1642" s="498"/>
      <c r="AC1642" s="499" t="str">
        <f t="shared" si="514"/>
        <v/>
      </c>
      <c r="AD1642" s="499"/>
      <c r="AE1642" s="499"/>
      <c r="AF1642" s="499" t="str">
        <f t="shared" si="515"/>
        <v/>
      </c>
      <c r="AG1642" s="499"/>
      <c r="AH1642" s="500"/>
    </row>
    <row r="1643" spans="1:34" s="96" customFormat="1" ht="15.75" hidden="1" customHeight="1">
      <c r="A1643" s="124" t="str">
        <f>IF(液状化L2の有無="",IF(LEN(E1643)+LEN(T1643)=0,"×",""),"×")</f>
        <v>×</v>
      </c>
      <c r="E1643" s="204" t="str">
        <f>IF(E952="","",E952)</f>
        <v/>
      </c>
      <c r="F1643" s="205"/>
      <c r="G1643" s="145" t="str">
        <f>IF(G952="","",G952)</f>
        <v/>
      </c>
      <c r="H1643" s="145"/>
      <c r="I1643" s="145"/>
      <c r="J1643" s="498" t="str">
        <f>IF(P952="","",P952)</f>
        <v/>
      </c>
      <c r="K1643" s="498"/>
      <c r="L1643" s="498"/>
      <c r="M1643" s="498"/>
      <c r="N1643" s="499" t="str">
        <f t="shared" si="512"/>
        <v/>
      </c>
      <c r="O1643" s="499"/>
      <c r="P1643" s="499"/>
      <c r="Q1643" s="499" t="str">
        <f t="shared" si="513"/>
        <v/>
      </c>
      <c r="R1643" s="499"/>
      <c r="S1643" s="500"/>
      <c r="T1643" s="397" t="str">
        <f>IF(T952="","",T952)</f>
        <v/>
      </c>
      <c r="U1643" s="205"/>
      <c r="V1643" s="145" t="str">
        <f>IF(V952="","",V952)</f>
        <v/>
      </c>
      <c r="W1643" s="145"/>
      <c r="X1643" s="145"/>
      <c r="Y1643" s="498" t="str">
        <f>IF(AE952="","",AE952)</f>
        <v/>
      </c>
      <c r="Z1643" s="498"/>
      <c r="AA1643" s="498"/>
      <c r="AB1643" s="498"/>
      <c r="AC1643" s="499" t="str">
        <f t="shared" si="514"/>
        <v/>
      </c>
      <c r="AD1643" s="499"/>
      <c r="AE1643" s="499"/>
      <c r="AF1643" s="499" t="str">
        <f t="shared" si="515"/>
        <v/>
      </c>
      <c r="AG1643" s="499"/>
      <c r="AH1643" s="500"/>
    </row>
    <row r="1644" spans="1:34" s="96" customFormat="1" ht="15.75" hidden="1" customHeight="1">
      <c r="A1644" s="124" t="str">
        <f>IF(液状化L2の有無="",IF(LEN(E1644)+LEN(T1644)=0,"×",""),"×")</f>
        <v>×</v>
      </c>
      <c r="E1644" s="204" t="str">
        <f>IF(E953="","",E953)</f>
        <v/>
      </c>
      <c r="F1644" s="205"/>
      <c r="G1644" s="145" t="str">
        <f>IF(G953="","",G953)</f>
        <v/>
      </c>
      <c r="H1644" s="145"/>
      <c r="I1644" s="145"/>
      <c r="J1644" s="498" t="str">
        <f>IF(P953="","",P953)</f>
        <v/>
      </c>
      <c r="K1644" s="498"/>
      <c r="L1644" s="498"/>
      <c r="M1644" s="498"/>
      <c r="N1644" s="499" t="str">
        <f t="shared" si="512"/>
        <v/>
      </c>
      <c r="O1644" s="499"/>
      <c r="P1644" s="499"/>
      <c r="Q1644" s="499" t="str">
        <f t="shared" si="513"/>
        <v/>
      </c>
      <c r="R1644" s="499"/>
      <c r="S1644" s="500"/>
      <c r="T1644" s="397" t="str">
        <f>IF(T953="","",T953)</f>
        <v/>
      </c>
      <c r="U1644" s="205"/>
      <c r="V1644" s="145" t="str">
        <f>IF(V953="","",V953)</f>
        <v/>
      </c>
      <c r="W1644" s="145"/>
      <c r="X1644" s="145"/>
      <c r="Y1644" s="498" t="str">
        <f>IF(AE953="","",AE953)</f>
        <v/>
      </c>
      <c r="Z1644" s="498"/>
      <c r="AA1644" s="498"/>
      <c r="AB1644" s="498"/>
      <c r="AC1644" s="499" t="str">
        <f t="shared" si="514"/>
        <v/>
      </c>
      <c r="AD1644" s="499"/>
      <c r="AE1644" s="499"/>
      <c r="AF1644" s="499" t="str">
        <f t="shared" si="515"/>
        <v/>
      </c>
      <c r="AG1644" s="499"/>
      <c r="AH1644" s="500"/>
    </row>
    <row r="1645" spans="1:34" s="96" customFormat="1" ht="15.75" hidden="1" customHeight="1">
      <c r="A1645" s="124" t="str">
        <f>IF(液状化L2の有無="",IF(LEN(E1645)+LEN(T1645)=0,"×",""),"×")</f>
        <v>×</v>
      </c>
      <c r="E1645" s="207" t="str">
        <f>IF(E954="","",E954)</f>
        <v/>
      </c>
      <c r="F1645" s="208"/>
      <c r="G1645" s="150" t="str">
        <f>IF(G954="","",G954)</f>
        <v/>
      </c>
      <c r="H1645" s="150"/>
      <c r="I1645" s="150"/>
      <c r="J1645" s="501" t="str">
        <f>IF(P954="","",P954)</f>
        <v/>
      </c>
      <c r="K1645" s="501"/>
      <c r="L1645" s="501"/>
      <c r="M1645" s="501"/>
      <c r="N1645" s="502" t="str">
        <f t="shared" si="512"/>
        <v/>
      </c>
      <c r="O1645" s="502"/>
      <c r="P1645" s="502"/>
      <c r="Q1645" s="502" t="str">
        <f t="shared" si="513"/>
        <v/>
      </c>
      <c r="R1645" s="502"/>
      <c r="S1645" s="503"/>
      <c r="T1645" s="400" t="str">
        <f>IF(T954="","",T954)</f>
        <v/>
      </c>
      <c r="U1645" s="208"/>
      <c r="V1645" s="150" t="str">
        <f>IF(V954="","",V954)</f>
        <v/>
      </c>
      <c r="W1645" s="150"/>
      <c r="X1645" s="150"/>
      <c r="Y1645" s="501" t="str">
        <f>IF(AE954="","",AE954)</f>
        <v/>
      </c>
      <c r="Z1645" s="501"/>
      <c r="AA1645" s="501"/>
      <c r="AB1645" s="501"/>
      <c r="AC1645" s="502" t="str">
        <f t="shared" si="514"/>
        <v/>
      </c>
      <c r="AD1645" s="502"/>
      <c r="AE1645" s="502"/>
      <c r="AF1645" s="502" t="str">
        <f t="shared" si="515"/>
        <v/>
      </c>
      <c r="AG1645" s="502"/>
      <c r="AH1645" s="503"/>
    </row>
    <row r="1646" spans="1:34" s="116" customFormat="1" ht="15.75" customHeight="1"/>
    <row r="1647" spans="1:34" s="116" customFormat="1" ht="15.75" customHeight="1"/>
    <row r="1648" spans="1:34" s="116" customFormat="1" ht="15.75" customHeight="1"/>
    <row r="1649" spans="1:35" s="116" customFormat="1" ht="15.75" customHeight="1"/>
    <row r="1650" spans="1:35" s="1" customFormat="1" ht="15.75" customHeight="1">
      <c r="E1650" s="61" t="s">
        <v>619</v>
      </c>
      <c r="F1650" s="85"/>
      <c r="G1650" s="85"/>
      <c r="H1650" s="61"/>
      <c r="I1650" s="61"/>
      <c r="J1650" s="61"/>
      <c r="K1650" s="61"/>
      <c r="L1650" s="61"/>
      <c r="M1650" s="61"/>
      <c r="N1650" s="61"/>
      <c r="O1650" s="61"/>
      <c r="P1650" s="61"/>
      <c r="Q1650" s="61"/>
      <c r="R1650" s="61"/>
      <c r="S1650" s="61"/>
      <c r="T1650" s="61"/>
      <c r="U1650" s="61"/>
      <c r="V1650" s="61"/>
      <c r="W1650" s="61"/>
      <c r="X1650" s="61"/>
      <c r="Y1650" s="61"/>
      <c r="Z1650" s="61"/>
      <c r="AA1650" s="61"/>
      <c r="AB1650" s="61"/>
      <c r="AC1650" s="61"/>
      <c r="AD1650" s="61"/>
      <c r="AE1650" s="61"/>
      <c r="AF1650" s="61"/>
      <c r="AG1650" s="61"/>
      <c r="AH1650" s="61"/>
      <c r="AI1650" s="8"/>
    </row>
    <row r="1651" spans="1:35" s="1" customFormat="1" ht="15.75" customHeight="1">
      <c r="E1651" s="347" t="s">
        <v>511</v>
      </c>
      <c r="F1651" s="348"/>
      <c r="G1651" s="348"/>
      <c r="H1651" s="348"/>
      <c r="I1651" s="348"/>
      <c r="J1651" s="348"/>
      <c r="K1651" s="348"/>
      <c r="L1651" s="348"/>
      <c r="M1651" s="348"/>
      <c r="N1651" s="348"/>
      <c r="O1651" s="348"/>
      <c r="P1651" s="348"/>
      <c r="Q1651" s="348"/>
      <c r="R1651" s="348"/>
      <c r="S1651" s="410"/>
      <c r="T1651" s="350" t="s">
        <v>512</v>
      </c>
      <c r="U1651" s="147"/>
      <c r="V1651" s="147"/>
      <c r="W1651" s="147"/>
      <c r="X1651" s="147"/>
      <c r="Y1651" s="147"/>
      <c r="Z1651" s="147"/>
      <c r="AA1651" s="147"/>
      <c r="AB1651" s="147"/>
      <c r="AC1651" s="147"/>
      <c r="AD1651" s="147"/>
      <c r="AE1651" s="147"/>
      <c r="AF1651" s="147"/>
      <c r="AG1651" s="147"/>
      <c r="AH1651" s="214"/>
    </row>
    <row r="1652" spans="1:35" s="1" customFormat="1" ht="15.75" customHeight="1">
      <c r="E1652" s="316" t="s">
        <v>78</v>
      </c>
      <c r="F1652" s="300"/>
      <c r="G1652" s="496" t="s">
        <v>190</v>
      </c>
      <c r="H1652" s="497"/>
      <c r="I1652" s="497"/>
      <c r="J1652" s="300" t="s">
        <v>237</v>
      </c>
      <c r="K1652" s="300"/>
      <c r="L1652" s="300"/>
      <c r="M1652" s="300"/>
      <c r="N1652" s="300" t="s">
        <v>613</v>
      </c>
      <c r="O1652" s="300"/>
      <c r="P1652" s="300"/>
      <c r="Q1652" s="300" t="s">
        <v>614</v>
      </c>
      <c r="R1652" s="300"/>
      <c r="S1652" s="372"/>
      <c r="T1652" s="311" t="s">
        <v>78</v>
      </c>
      <c r="U1652" s="300"/>
      <c r="V1652" s="496" t="s">
        <v>190</v>
      </c>
      <c r="W1652" s="497"/>
      <c r="X1652" s="497"/>
      <c r="Y1652" s="300" t="s">
        <v>237</v>
      </c>
      <c r="Z1652" s="300"/>
      <c r="AA1652" s="300"/>
      <c r="AB1652" s="300"/>
      <c r="AC1652" s="300" t="s">
        <v>613</v>
      </c>
      <c r="AD1652" s="300"/>
      <c r="AE1652" s="300"/>
      <c r="AF1652" s="300" t="s">
        <v>614</v>
      </c>
      <c r="AG1652" s="300"/>
      <c r="AH1652" s="372"/>
    </row>
    <row r="1653" spans="1:35" s="1" customFormat="1" ht="15.75" customHeight="1">
      <c r="E1653" s="186"/>
      <c r="F1653" s="187"/>
      <c r="G1653" s="218"/>
      <c r="H1653" s="218"/>
      <c r="I1653" s="218"/>
      <c r="J1653" s="187"/>
      <c r="K1653" s="187"/>
      <c r="L1653" s="187"/>
      <c r="M1653" s="187"/>
      <c r="N1653" s="187"/>
      <c r="O1653" s="187"/>
      <c r="P1653" s="187"/>
      <c r="Q1653" s="187"/>
      <c r="R1653" s="187"/>
      <c r="S1653" s="222"/>
      <c r="T1653" s="330"/>
      <c r="U1653" s="187"/>
      <c r="V1653" s="218"/>
      <c r="W1653" s="218"/>
      <c r="X1653" s="218"/>
      <c r="Y1653" s="187"/>
      <c r="Z1653" s="187"/>
      <c r="AA1653" s="187"/>
      <c r="AB1653" s="187"/>
      <c r="AC1653" s="187"/>
      <c r="AD1653" s="187"/>
      <c r="AE1653" s="187"/>
      <c r="AF1653" s="187"/>
      <c r="AG1653" s="187"/>
      <c r="AH1653" s="222"/>
    </row>
    <row r="1654" spans="1:35" s="96" customFormat="1" ht="15.75" customHeight="1">
      <c r="A1654" s="124" t="str">
        <f t="shared" ref="A1654:A1669" si="516">IF(LEN(E1654)+LEN(T1654)=0,"×","")</f>
        <v/>
      </c>
      <c r="E1654" s="224">
        <f>IF(E963="","",E963)</f>
        <v>3</v>
      </c>
      <c r="F1654" s="165"/>
      <c r="G1654" s="149">
        <f>IF(G963="","",G963)</f>
        <v>3</v>
      </c>
      <c r="H1654" s="149"/>
      <c r="I1654" s="149"/>
      <c r="J1654" s="508">
        <f>IF(P963="","",P963)</f>
        <v>0</v>
      </c>
      <c r="K1654" s="508"/>
      <c r="L1654" s="508"/>
      <c r="M1654" s="508"/>
      <c r="N1654" s="494">
        <f>IF(J1654="","",ROUND(J1654/G1654*$AH$1577,1))</f>
        <v>0</v>
      </c>
      <c r="O1654" s="494"/>
      <c r="P1654" s="494"/>
      <c r="Q1654" s="494">
        <f>IF(J1654="","",ROUND(J1654/G1654*$AH$1578,1))</f>
        <v>0</v>
      </c>
      <c r="R1654" s="494"/>
      <c r="S1654" s="509"/>
      <c r="T1654" s="394">
        <f>IF(T963="","",T963)</f>
        <v>3</v>
      </c>
      <c r="U1654" s="165"/>
      <c r="V1654" s="149">
        <f>IF(V963="","",V963)</f>
        <v>3</v>
      </c>
      <c r="W1654" s="149"/>
      <c r="X1654" s="149"/>
      <c r="Y1654" s="508">
        <f>IF(AE963="","",AE963)</f>
        <v>0</v>
      </c>
      <c r="Z1654" s="508"/>
      <c r="AA1654" s="508"/>
      <c r="AB1654" s="508"/>
      <c r="AC1654" s="494">
        <f>IF(Y1654="","",ROUND(Y1654/V1654*$AH$1577,1))</f>
        <v>0</v>
      </c>
      <c r="AD1654" s="494"/>
      <c r="AE1654" s="494"/>
      <c r="AF1654" s="494">
        <f>IF(Y1654="","",ROUND(Y1654/V1654*$AH$1578,1))</f>
        <v>0</v>
      </c>
      <c r="AG1654" s="494"/>
      <c r="AH1654" s="509"/>
    </row>
    <row r="1655" spans="1:35" s="96" customFormat="1" ht="15.75" customHeight="1">
      <c r="A1655" s="124" t="str">
        <f t="shared" si="516"/>
        <v/>
      </c>
      <c r="E1655" s="204">
        <f t="shared" ref="E1655:E1669" si="517">IF(E964="","",E964)</f>
        <v>4</v>
      </c>
      <c r="F1655" s="205"/>
      <c r="G1655" s="145">
        <f t="shared" ref="G1655:G1669" si="518">IF(G964="","",G964)</f>
        <v>1.0799999237060547</v>
      </c>
      <c r="H1655" s="145"/>
      <c r="I1655" s="145"/>
      <c r="J1655" s="498">
        <f t="shared" ref="J1655:J1669" si="519">IF(P964="","",P964)</f>
        <v>0</v>
      </c>
      <c r="K1655" s="498"/>
      <c r="L1655" s="498"/>
      <c r="M1655" s="498"/>
      <c r="N1655" s="499">
        <f t="shared" ref="N1655:N1669" si="520">IF(J1655="","",ROUND(J1655/G1655*$AH$1577,1))</f>
        <v>0</v>
      </c>
      <c r="O1655" s="499"/>
      <c r="P1655" s="499"/>
      <c r="Q1655" s="499">
        <f t="shared" ref="Q1655:Q1669" si="521">IF(J1655="","",ROUND(J1655/G1655*$AH$1578,1))</f>
        <v>0</v>
      </c>
      <c r="R1655" s="499"/>
      <c r="S1655" s="500"/>
      <c r="T1655" s="397">
        <f t="shared" ref="T1655:T1669" si="522">IF(T964="","",T964)</f>
        <v>4</v>
      </c>
      <c r="U1655" s="205"/>
      <c r="V1655" s="145">
        <f t="shared" ref="V1655:V1669" si="523">IF(V964="","",V964)</f>
        <v>1.0799999237060547</v>
      </c>
      <c r="W1655" s="145"/>
      <c r="X1655" s="145"/>
      <c r="Y1655" s="498">
        <f t="shared" ref="Y1655:Y1669" si="524">IF(AE964="","",AE964)</f>
        <v>0</v>
      </c>
      <c r="Z1655" s="498"/>
      <c r="AA1655" s="498"/>
      <c r="AB1655" s="498"/>
      <c r="AC1655" s="499">
        <f t="shared" ref="AC1655:AC1669" si="525">IF(Y1655="","",ROUND(Y1655/V1655*$AH$1577,1))</f>
        <v>0</v>
      </c>
      <c r="AD1655" s="499"/>
      <c r="AE1655" s="499"/>
      <c r="AF1655" s="499">
        <f t="shared" ref="AF1655:AF1669" si="526">IF(Y1655="","",ROUND(Y1655/V1655*$AH$1578,1))</f>
        <v>0</v>
      </c>
      <c r="AG1655" s="499"/>
      <c r="AH1655" s="500"/>
    </row>
    <row r="1656" spans="1:35" s="96" customFormat="1" ht="15.75" customHeight="1">
      <c r="A1656" s="124" t="str">
        <f t="shared" si="516"/>
        <v/>
      </c>
      <c r="E1656" s="204">
        <f t="shared" si="517"/>
        <v>4</v>
      </c>
      <c r="F1656" s="205"/>
      <c r="G1656" s="145">
        <f t="shared" si="518"/>
        <v>3.9200000762939453</v>
      </c>
      <c r="H1656" s="145"/>
      <c r="I1656" s="145"/>
      <c r="J1656" s="498">
        <f t="shared" si="519"/>
        <v>554.17695487904189</v>
      </c>
      <c r="K1656" s="498"/>
      <c r="L1656" s="498"/>
      <c r="M1656" s="498"/>
      <c r="N1656" s="499">
        <f t="shared" si="520"/>
        <v>169.6</v>
      </c>
      <c r="O1656" s="499"/>
      <c r="P1656" s="499"/>
      <c r="Q1656" s="499">
        <f t="shared" si="521"/>
        <v>197.9</v>
      </c>
      <c r="R1656" s="499"/>
      <c r="S1656" s="500"/>
      <c r="T1656" s="397">
        <f t="shared" si="522"/>
        <v>4</v>
      </c>
      <c r="U1656" s="205"/>
      <c r="V1656" s="145">
        <f t="shared" si="523"/>
        <v>3.9200000762939453</v>
      </c>
      <c r="W1656" s="145"/>
      <c r="X1656" s="145"/>
      <c r="Y1656" s="498">
        <f t="shared" si="524"/>
        <v>554.17695487904189</v>
      </c>
      <c r="Z1656" s="498"/>
      <c r="AA1656" s="498"/>
      <c r="AB1656" s="498"/>
      <c r="AC1656" s="499">
        <f t="shared" si="525"/>
        <v>169.6</v>
      </c>
      <c r="AD1656" s="499"/>
      <c r="AE1656" s="499"/>
      <c r="AF1656" s="499">
        <f t="shared" si="526"/>
        <v>197.9</v>
      </c>
      <c r="AG1656" s="499"/>
      <c r="AH1656" s="500"/>
    </row>
    <row r="1657" spans="1:35" s="96" customFormat="1" ht="15.75" customHeight="1">
      <c r="A1657" s="124" t="str">
        <f t="shared" si="516"/>
        <v/>
      </c>
      <c r="E1657" s="204">
        <f t="shared" si="517"/>
        <v>5</v>
      </c>
      <c r="F1657" s="205"/>
      <c r="G1657" s="145">
        <f t="shared" si="518"/>
        <v>8</v>
      </c>
      <c r="H1657" s="145"/>
      <c r="I1657" s="145"/>
      <c r="J1657" s="498">
        <f t="shared" si="519"/>
        <v>628.31853071795865</v>
      </c>
      <c r="K1657" s="498"/>
      <c r="L1657" s="498"/>
      <c r="M1657" s="498"/>
      <c r="N1657" s="499">
        <f t="shared" si="520"/>
        <v>94.2</v>
      </c>
      <c r="O1657" s="499"/>
      <c r="P1657" s="499"/>
      <c r="Q1657" s="499">
        <f t="shared" si="521"/>
        <v>110</v>
      </c>
      <c r="R1657" s="499"/>
      <c r="S1657" s="500"/>
      <c r="T1657" s="397">
        <f t="shared" si="522"/>
        <v>5</v>
      </c>
      <c r="U1657" s="205"/>
      <c r="V1657" s="145">
        <f t="shared" si="523"/>
        <v>8</v>
      </c>
      <c r="W1657" s="145"/>
      <c r="X1657" s="145"/>
      <c r="Y1657" s="498">
        <f t="shared" si="524"/>
        <v>628.31853071795865</v>
      </c>
      <c r="Z1657" s="498"/>
      <c r="AA1657" s="498"/>
      <c r="AB1657" s="498"/>
      <c r="AC1657" s="499">
        <f t="shared" si="525"/>
        <v>94.2</v>
      </c>
      <c r="AD1657" s="499"/>
      <c r="AE1657" s="499"/>
      <c r="AF1657" s="499">
        <f t="shared" si="526"/>
        <v>110</v>
      </c>
      <c r="AG1657" s="499"/>
      <c r="AH1657" s="500"/>
    </row>
    <row r="1658" spans="1:35" s="96" customFormat="1" ht="15.75" customHeight="1">
      <c r="A1658" s="124" t="str">
        <f t="shared" si="516"/>
        <v/>
      </c>
      <c r="E1658" s="204">
        <f t="shared" si="517"/>
        <v>6</v>
      </c>
      <c r="F1658" s="205"/>
      <c r="G1658" s="145">
        <f t="shared" si="518"/>
        <v>4</v>
      </c>
      <c r="H1658" s="145"/>
      <c r="I1658" s="145"/>
      <c r="J1658" s="498">
        <f t="shared" si="519"/>
        <v>628.31853071795865</v>
      </c>
      <c r="K1658" s="498"/>
      <c r="L1658" s="498"/>
      <c r="M1658" s="498"/>
      <c r="N1658" s="499">
        <f t="shared" si="520"/>
        <v>188.5</v>
      </c>
      <c r="O1658" s="499"/>
      <c r="P1658" s="499"/>
      <c r="Q1658" s="499">
        <f t="shared" si="521"/>
        <v>219.9</v>
      </c>
      <c r="R1658" s="499"/>
      <c r="S1658" s="500"/>
      <c r="T1658" s="397">
        <f t="shared" si="522"/>
        <v>6</v>
      </c>
      <c r="U1658" s="205"/>
      <c r="V1658" s="145">
        <f t="shared" si="523"/>
        <v>4.5</v>
      </c>
      <c r="W1658" s="145"/>
      <c r="X1658" s="145"/>
      <c r="Y1658" s="498">
        <f t="shared" si="524"/>
        <v>706.85834705770344</v>
      </c>
      <c r="Z1658" s="498"/>
      <c r="AA1658" s="498"/>
      <c r="AB1658" s="498"/>
      <c r="AC1658" s="499">
        <f t="shared" si="525"/>
        <v>188.5</v>
      </c>
      <c r="AD1658" s="499"/>
      <c r="AE1658" s="499"/>
      <c r="AF1658" s="499">
        <f t="shared" si="526"/>
        <v>219.9</v>
      </c>
      <c r="AG1658" s="499"/>
      <c r="AH1658" s="500"/>
    </row>
    <row r="1659" spans="1:35" s="96" customFormat="1" ht="15.75" customHeight="1">
      <c r="A1659" s="124" t="str">
        <f t="shared" si="516"/>
        <v/>
      </c>
      <c r="E1659" s="204">
        <f t="shared" si="517"/>
        <v>6</v>
      </c>
      <c r="F1659" s="205"/>
      <c r="G1659" s="145">
        <f t="shared" si="518"/>
        <v>0.5</v>
      </c>
      <c r="H1659" s="145"/>
      <c r="I1659" s="145"/>
      <c r="J1659" s="498">
        <f t="shared" si="519"/>
        <v>0</v>
      </c>
      <c r="K1659" s="498"/>
      <c r="L1659" s="498"/>
      <c r="M1659" s="498"/>
      <c r="N1659" s="499">
        <f t="shared" si="520"/>
        <v>0</v>
      </c>
      <c r="O1659" s="499"/>
      <c r="P1659" s="499"/>
      <c r="Q1659" s="499">
        <f t="shared" si="521"/>
        <v>0</v>
      </c>
      <c r="R1659" s="499"/>
      <c r="S1659" s="500"/>
      <c r="T1659" s="397">
        <f t="shared" si="522"/>
        <v>7</v>
      </c>
      <c r="U1659" s="205"/>
      <c r="V1659" s="145">
        <f t="shared" si="523"/>
        <v>0.5</v>
      </c>
      <c r="W1659" s="145"/>
      <c r="X1659" s="145"/>
      <c r="Y1659" s="498">
        <f t="shared" si="524"/>
        <v>235.61944901923448</v>
      </c>
      <c r="Z1659" s="498"/>
      <c r="AA1659" s="498"/>
      <c r="AB1659" s="498"/>
      <c r="AC1659" s="499">
        <f t="shared" si="525"/>
        <v>565.5</v>
      </c>
      <c r="AD1659" s="499"/>
      <c r="AE1659" s="499"/>
      <c r="AF1659" s="499">
        <f t="shared" si="526"/>
        <v>659.7</v>
      </c>
      <c r="AG1659" s="499"/>
      <c r="AH1659" s="500"/>
    </row>
    <row r="1660" spans="1:35" s="96" customFormat="1" ht="15.75" customHeight="1">
      <c r="A1660" s="124" t="str">
        <f t="shared" si="516"/>
        <v/>
      </c>
      <c r="E1660" s="204">
        <f t="shared" si="517"/>
        <v>7</v>
      </c>
      <c r="F1660" s="205"/>
      <c r="G1660" s="145">
        <f t="shared" si="518"/>
        <v>0.5</v>
      </c>
      <c r="H1660" s="145"/>
      <c r="I1660" s="145"/>
      <c r="J1660" s="498">
        <f t="shared" si="519"/>
        <v>0</v>
      </c>
      <c r="K1660" s="498"/>
      <c r="L1660" s="498"/>
      <c r="M1660" s="498"/>
      <c r="N1660" s="499">
        <f t="shared" si="520"/>
        <v>0</v>
      </c>
      <c r="O1660" s="499"/>
      <c r="P1660" s="499"/>
      <c r="Q1660" s="499">
        <f t="shared" si="521"/>
        <v>0</v>
      </c>
      <c r="R1660" s="499"/>
      <c r="S1660" s="500"/>
      <c r="T1660" s="397" t="str">
        <f t="shared" si="522"/>
        <v/>
      </c>
      <c r="U1660" s="205"/>
      <c r="V1660" s="145" t="str">
        <f t="shared" si="523"/>
        <v/>
      </c>
      <c r="W1660" s="145"/>
      <c r="X1660" s="145"/>
      <c r="Y1660" s="498" t="str">
        <f t="shared" si="524"/>
        <v/>
      </c>
      <c r="Z1660" s="498"/>
      <c r="AA1660" s="498"/>
      <c r="AB1660" s="498"/>
      <c r="AC1660" s="499" t="str">
        <f t="shared" si="525"/>
        <v/>
      </c>
      <c r="AD1660" s="499"/>
      <c r="AE1660" s="499"/>
      <c r="AF1660" s="499" t="str">
        <f t="shared" si="526"/>
        <v/>
      </c>
      <c r="AG1660" s="499"/>
      <c r="AH1660" s="500"/>
    </row>
    <row r="1661" spans="1:35" s="96" customFormat="1" ht="15.75" hidden="1" customHeight="1">
      <c r="A1661" s="124" t="str">
        <f t="shared" si="516"/>
        <v>×</v>
      </c>
      <c r="E1661" s="204" t="str">
        <f t="shared" si="517"/>
        <v/>
      </c>
      <c r="F1661" s="205"/>
      <c r="G1661" s="145" t="str">
        <f t="shared" si="518"/>
        <v/>
      </c>
      <c r="H1661" s="145"/>
      <c r="I1661" s="145"/>
      <c r="J1661" s="498" t="str">
        <f t="shared" si="519"/>
        <v/>
      </c>
      <c r="K1661" s="498"/>
      <c r="L1661" s="498"/>
      <c r="M1661" s="498"/>
      <c r="N1661" s="499" t="str">
        <f t="shared" si="520"/>
        <v/>
      </c>
      <c r="O1661" s="499"/>
      <c r="P1661" s="499"/>
      <c r="Q1661" s="499" t="str">
        <f t="shared" si="521"/>
        <v/>
      </c>
      <c r="R1661" s="499"/>
      <c r="S1661" s="500"/>
      <c r="T1661" s="397" t="str">
        <f t="shared" si="522"/>
        <v/>
      </c>
      <c r="U1661" s="205"/>
      <c r="V1661" s="145" t="str">
        <f t="shared" si="523"/>
        <v/>
      </c>
      <c r="W1661" s="145"/>
      <c r="X1661" s="145"/>
      <c r="Y1661" s="498" t="str">
        <f t="shared" si="524"/>
        <v/>
      </c>
      <c r="Z1661" s="498"/>
      <c r="AA1661" s="498"/>
      <c r="AB1661" s="498"/>
      <c r="AC1661" s="499" t="str">
        <f t="shared" si="525"/>
        <v/>
      </c>
      <c r="AD1661" s="499"/>
      <c r="AE1661" s="499"/>
      <c r="AF1661" s="499" t="str">
        <f t="shared" si="526"/>
        <v/>
      </c>
      <c r="AG1661" s="499"/>
      <c r="AH1661" s="500"/>
    </row>
    <row r="1662" spans="1:35" s="96" customFormat="1" ht="15.75" hidden="1" customHeight="1">
      <c r="A1662" s="124" t="str">
        <f t="shared" si="516"/>
        <v>×</v>
      </c>
      <c r="E1662" s="204" t="str">
        <f t="shared" si="517"/>
        <v/>
      </c>
      <c r="F1662" s="205"/>
      <c r="G1662" s="145" t="str">
        <f t="shared" si="518"/>
        <v/>
      </c>
      <c r="H1662" s="145"/>
      <c r="I1662" s="145"/>
      <c r="J1662" s="498" t="str">
        <f t="shared" si="519"/>
        <v/>
      </c>
      <c r="K1662" s="498"/>
      <c r="L1662" s="498"/>
      <c r="M1662" s="498"/>
      <c r="N1662" s="499" t="str">
        <f t="shared" si="520"/>
        <v/>
      </c>
      <c r="O1662" s="499"/>
      <c r="P1662" s="499"/>
      <c r="Q1662" s="499" t="str">
        <f t="shared" si="521"/>
        <v/>
      </c>
      <c r="R1662" s="499"/>
      <c r="S1662" s="500"/>
      <c r="T1662" s="397" t="str">
        <f t="shared" si="522"/>
        <v/>
      </c>
      <c r="U1662" s="205"/>
      <c r="V1662" s="145" t="str">
        <f t="shared" si="523"/>
        <v/>
      </c>
      <c r="W1662" s="145"/>
      <c r="X1662" s="145"/>
      <c r="Y1662" s="498" t="str">
        <f t="shared" si="524"/>
        <v/>
      </c>
      <c r="Z1662" s="498"/>
      <c r="AA1662" s="498"/>
      <c r="AB1662" s="498"/>
      <c r="AC1662" s="499" t="str">
        <f t="shared" si="525"/>
        <v/>
      </c>
      <c r="AD1662" s="499"/>
      <c r="AE1662" s="499"/>
      <c r="AF1662" s="499" t="str">
        <f t="shared" si="526"/>
        <v/>
      </c>
      <c r="AG1662" s="499"/>
      <c r="AH1662" s="500"/>
    </row>
    <row r="1663" spans="1:35" s="96" customFormat="1" ht="15.75" hidden="1" customHeight="1">
      <c r="A1663" s="124" t="str">
        <f t="shared" si="516"/>
        <v>×</v>
      </c>
      <c r="E1663" s="204" t="str">
        <f t="shared" si="517"/>
        <v/>
      </c>
      <c r="F1663" s="205"/>
      <c r="G1663" s="145" t="str">
        <f t="shared" si="518"/>
        <v/>
      </c>
      <c r="H1663" s="145"/>
      <c r="I1663" s="145"/>
      <c r="J1663" s="498" t="str">
        <f t="shared" si="519"/>
        <v/>
      </c>
      <c r="K1663" s="498"/>
      <c r="L1663" s="498"/>
      <c r="M1663" s="498"/>
      <c r="N1663" s="499" t="str">
        <f t="shared" si="520"/>
        <v/>
      </c>
      <c r="O1663" s="499"/>
      <c r="P1663" s="499"/>
      <c r="Q1663" s="499" t="str">
        <f t="shared" si="521"/>
        <v/>
      </c>
      <c r="R1663" s="499"/>
      <c r="S1663" s="500"/>
      <c r="T1663" s="397" t="str">
        <f t="shared" si="522"/>
        <v/>
      </c>
      <c r="U1663" s="205"/>
      <c r="V1663" s="145" t="str">
        <f t="shared" si="523"/>
        <v/>
      </c>
      <c r="W1663" s="145"/>
      <c r="X1663" s="145"/>
      <c r="Y1663" s="498" t="str">
        <f t="shared" si="524"/>
        <v/>
      </c>
      <c r="Z1663" s="498"/>
      <c r="AA1663" s="498"/>
      <c r="AB1663" s="498"/>
      <c r="AC1663" s="499" t="str">
        <f t="shared" si="525"/>
        <v/>
      </c>
      <c r="AD1663" s="499"/>
      <c r="AE1663" s="499"/>
      <c r="AF1663" s="499" t="str">
        <f t="shared" si="526"/>
        <v/>
      </c>
      <c r="AG1663" s="499"/>
      <c r="AH1663" s="500"/>
    </row>
    <row r="1664" spans="1:35" s="96" customFormat="1" ht="15.75" hidden="1" customHeight="1">
      <c r="A1664" s="124" t="str">
        <f t="shared" si="516"/>
        <v>×</v>
      </c>
      <c r="E1664" s="204" t="str">
        <f t="shared" si="517"/>
        <v/>
      </c>
      <c r="F1664" s="205"/>
      <c r="G1664" s="145" t="str">
        <f t="shared" si="518"/>
        <v/>
      </c>
      <c r="H1664" s="145"/>
      <c r="I1664" s="145"/>
      <c r="J1664" s="498" t="str">
        <f t="shared" si="519"/>
        <v/>
      </c>
      <c r="K1664" s="498"/>
      <c r="L1664" s="498"/>
      <c r="M1664" s="498"/>
      <c r="N1664" s="499" t="str">
        <f t="shared" si="520"/>
        <v/>
      </c>
      <c r="O1664" s="499"/>
      <c r="P1664" s="499"/>
      <c r="Q1664" s="499" t="str">
        <f t="shared" si="521"/>
        <v/>
      </c>
      <c r="R1664" s="499"/>
      <c r="S1664" s="500"/>
      <c r="T1664" s="397" t="str">
        <f t="shared" si="522"/>
        <v/>
      </c>
      <c r="U1664" s="205"/>
      <c r="V1664" s="145" t="str">
        <f t="shared" si="523"/>
        <v/>
      </c>
      <c r="W1664" s="145"/>
      <c r="X1664" s="145"/>
      <c r="Y1664" s="498" t="str">
        <f t="shared" si="524"/>
        <v/>
      </c>
      <c r="Z1664" s="498"/>
      <c r="AA1664" s="498"/>
      <c r="AB1664" s="498"/>
      <c r="AC1664" s="499" t="str">
        <f t="shared" si="525"/>
        <v/>
      </c>
      <c r="AD1664" s="499"/>
      <c r="AE1664" s="499"/>
      <c r="AF1664" s="499" t="str">
        <f t="shared" si="526"/>
        <v/>
      </c>
      <c r="AG1664" s="499"/>
      <c r="AH1664" s="500"/>
    </row>
    <row r="1665" spans="1:35" s="96" customFormat="1" ht="15.75" hidden="1" customHeight="1">
      <c r="A1665" s="124" t="str">
        <f t="shared" si="516"/>
        <v>×</v>
      </c>
      <c r="E1665" s="204" t="str">
        <f t="shared" si="517"/>
        <v/>
      </c>
      <c r="F1665" s="205"/>
      <c r="G1665" s="145" t="str">
        <f t="shared" si="518"/>
        <v/>
      </c>
      <c r="H1665" s="145"/>
      <c r="I1665" s="145"/>
      <c r="J1665" s="498" t="str">
        <f t="shared" si="519"/>
        <v/>
      </c>
      <c r="K1665" s="498"/>
      <c r="L1665" s="498"/>
      <c r="M1665" s="498"/>
      <c r="N1665" s="499" t="str">
        <f t="shared" si="520"/>
        <v/>
      </c>
      <c r="O1665" s="499"/>
      <c r="P1665" s="499"/>
      <c r="Q1665" s="499" t="str">
        <f t="shared" si="521"/>
        <v/>
      </c>
      <c r="R1665" s="499"/>
      <c r="S1665" s="500"/>
      <c r="T1665" s="397" t="str">
        <f t="shared" si="522"/>
        <v/>
      </c>
      <c r="U1665" s="205"/>
      <c r="V1665" s="145" t="str">
        <f t="shared" si="523"/>
        <v/>
      </c>
      <c r="W1665" s="145"/>
      <c r="X1665" s="145"/>
      <c r="Y1665" s="498" t="str">
        <f t="shared" si="524"/>
        <v/>
      </c>
      <c r="Z1665" s="498"/>
      <c r="AA1665" s="498"/>
      <c r="AB1665" s="498"/>
      <c r="AC1665" s="499" t="str">
        <f t="shared" si="525"/>
        <v/>
      </c>
      <c r="AD1665" s="499"/>
      <c r="AE1665" s="499"/>
      <c r="AF1665" s="499" t="str">
        <f t="shared" si="526"/>
        <v/>
      </c>
      <c r="AG1665" s="499"/>
      <c r="AH1665" s="500"/>
    </row>
    <row r="1666" spans="1:35" s="96" customFormat="1" ht="15.75" hidden="1" customHeight="1">
      <c r="A1666" s="124" t="str">
        <f t="shared" si="516"/>
        <v>×</v>
      </c>
      <c r="E1666" s="204" t="str">
        <f t="shared" si="517"/>
        <v/>
      </c>
      <c r="F1666" s="205"/>
      <c r="G1666" s="145" t="str">
        <f t="shared" si="518"/>
        <v/>
      </c>
      <c r="H1666" s="145"/>
      <c r="I1666" s="145"/>
      <c r="J1666" s="498" t="str">
        <f t="shared" si="519"/>
        <v/>
      </c>
      <c r="K1666" s="498"/>
      <c r="L1666" s="498"/>
      <c r="M1666" s="498"/>
      <c r="N1666" s="499" t="str">
        <f t="shared" si="520"/>
        <v/>
      </c>
      <c r="O1666" s="499"/>
      <c r="P1666" s="499"/>
      <c r="Q1666" s="499" t="str">
        <f t="shared" si="521"/>
        <v/>
      </c>
      <c r="R1666" s="499"/>
      <c r="S1666" s="500"/>
      <c r="T1666" s="397" t="str">
        <f t="shared" si="522"/>
        <v/>
      </c>
      <c r="U1666" s="205"/>
      <c r="V1666" s="145" t="str">
        <f t="shared" si="523"/>
        <v/>
      </c>
      <c r="W1666" s="145"/>
      <c r="X1666" s="145"/>
      <c r="Y1666" s="498" t="str">
        <f t="shared" si="524"/>
        <v/>
      </c>
      <c r="Z1666" s="498"/>
      <c r="AA1666" s="498"/>
      <c r="AB1666" s="498"/>
      <c r="AC1666" s="499" t="str">
        <f t="shared" si="525"/>
        <v/>
      </c>
      <c r="AD1666" s="499"/>
      <c r="AE1666" s="499"/>
      <c r="AF1666" s="499" t="str">
        <f t="shared" si="526"/>
        <v/>
      </c>
      <c r="AG1666" s="499"/>
      <c r="AH1666" s="500"/>
    </row>
    <row r="1667" spans="1:35" s="96" customFormat="1" ht="15.75" hidden="1" customHeight="1">
      <c r="A1667" s="124" t="str">
        <f t="shared" si="516"/>
        <v>×</v>
      </c>
      <c r="E1667" s="204" t="str">
        <f t="shared" si="517"/>
        <v/>
      </c>
      <c r="F1667" s="205"/>
      <c r="G1667" s="145" t="str">
        <f t="shared" si="518"/>
        <v/>
      </c>
      <c r="H1667" s="145"/>
      <c r="I1667" s="145"/>
      <c r="J1667" s="498" t="str">
        <f t="shared" si="519"/>
        <v/>
      </c>
      <c r="K1667" s="498"/>
      <c r="L1667" s="498"/>
      <c r="M1667" s="498"/>
      <c r="N1667" s="499" t="str">
        <f t="shared" si="520"/>
        <v/>
      </c>
      <c r="O1667" s="499"/>
      <c r="P1667" s="499"/>
      <c r="Q1667" s="499" t="str">
        <f t="shared" si="521"/>
        <v/>
      </c>
      <c r="R1667" s="499"/>
      <c r="S1667" s="500"/>
      <c r="T1667" s="397" t="str">
        <f t="shared" si="522"/>
        <v/>
      </c>
      <c r="U1667" s="205"/>
      <c r="V1667" s="145" t="str">
        <f t="shared" si="523"/>
        <v/>
      </c>
      <c r="W1667" s="145"/>
      <c r="X1667" s="145"/>
      <c r="Y1667" s="498" t="str">
        <f t="shared" si="524"/>
        <v/>
      </c>
      <c r="Z1667" s="498"/>
      <c r="AA1667" s="498"/>
      <c r="AB1667" s="498"/>
      <c r="AC1667" s="499" t="str">
        <f t="shared" si="525"/>
        <v/>
      </c>
      <c r="AD1667" s="499"/>
      <c r="AE1667" s="499"/>
      <c r="AF1667" s="499" t="str">
        <f t="shared" si="526"/>
        <v/>
      </c>
      <c r="AG1667" s="499"/>
      <c r="AH1667" s="500"/>
    </row>
    <row r="1668" spans="1:35" s="96" customFormat="1" ht="15.75" hidden="1" customHeight="1">
      <c r="A1668" s="124" t="str">
        <f t="shared" si="516"/>
        <v>×</v>
      </c>
      <c r="E1668" s="204" t="str">
        <f t="shared" si="517"/>
        <v/>
      </c>
      <c r="F1668" s="205"/>
      <c r="G1668" s="145" t="str">
        <f t="shared" si="518"/>
        <v/>
      </c>
      <c r="H1668" s="145"/>
      <c r="I1668" s="145"/>
      <c r="J1668" s="498" t="str">
        <f t="shared" si="519"/>
        <v/>
      </c>
      <c r="K1668" s="498"/>
      <c r="L1668" s="498"/>
      <c r="M1668" s="498"/>
      <c r="N1668" s="499" t="str">
        <f t="shared" si="520"/>
        <v/>
      </c>
      <c r="O1668" s="499"/>
      <c r="P1668" s="499"/>
      <c r="Q1668" s="499" t="str">
        <f t="shared" si="521"/>
        <v/>
      </c>
      <c r="R1668" s="499"/>
      <c r="S1668" s="500"/>
      <c r="T1668" s="397" t="str">
        <f t="shared" si="522"/>
        <v/>
      </c>
      <c r="U1668" s="205"/>
      <c r="V1668" s="145" t="str">
        <f t="shared" si="523"/>
        <v/>
      </c>
      <c r="W1668" s="145"/>
      <c r="X1668" s="145"/>
      <c r="Y1668" s="498" t="str">
        <f t="shared" si="524"/>
        <v/>
      </c>
      <c r="Z1668" s="498"/>
      <c r="AA1668" s="498"/>
      <c r="AB1668" s="498"/>
      <c r="AC1668" s="499" t="str">
        <f t="shared" si="525"/>
        <v/>
      </c>
      <c r="AD1668" s="499"/>
      <c r="AE1668" s="499"/>
      <c r="AF1668" s="499" t="str">
        <f t="shared" si="526"/>
        <v/>
      </c>
      <c r="AG1668" s="499"/>
      <c r="AH1668" s="500"/>
    </row>
    <row r="1669" spans="1:35" s="96" customFormat="1" ht="15.75" hidden="1" customHeight="1">
      <c r="A1669" s="124" t="str">
        <f t="shared" si="516"/>
        <v>×</v>
      </c>
      <c r="E1669" s="207" t="str">
        <f t="shared" si="517"/>
        <v/>
      </c>
      <c r="F1669" s="208"/>
      <c r="G1669" s="150" t="str">
        <f t="shared" si="518"/>
        <v/>
      </c>
      <c r="H1669" s="150"/>
      <c r="I1669" s="150"/>
      <c r="J1669" s="501" t="str">
        <f t="shared" si="519"/>
        <v/>
      </c>
      <c r="K1669" s="501"/>
      <c r="L1669" s="501"/>
      <c r="M1669" s="501"/>
      <c r="N1669" s="502" t="str">
        <f t="shared" si="520"/>
        <v/>
      </c>
      <c r="O1669" s="502"/>
      <c r="P1669" s="502"/>
      <c r="Q1669" s="502" t="str">
        <f t="shared" si="521"/>
        <v/>
      </c>
      <c r="R1669" s="502"/>
      <c r="S1669" s="503"/>
      <c r="T1669" s="400" t="str">
        <f t="shared" si="522"/>
        <v/>
      </c>
      <c r="U1669" s="208"/>
      <c r="V1669" s="150" t="str">
        <f t="shared" si="523"/>
        <v/>
      </c>
      <c r="W1669" s="150"/>
      <c r="X1669" s="150"/>
      <c r="Y1669" s="501" t="str">
        <f t="shared" si="524"/>
        <v/>
      </c>
      <c r="Z1669" s="501"/>
      <c r="AA1669" s="501"/>
      <c r="AB1669" s="501"/>
      <c r="AC1669" s="502" t="str">
        <f t="shared" si="525"/>
        <v/>
      </c>
      <c r="AD1669" s="502"/>
      <c r="AE1669" s="502"/>
      <c r="AF1669" s="502" t="str">
        <f t="shared" si="526"/>
        <v/>
      </c>
      <c r="AG1669" s="502"/>
      <c r="AH1669" s="503"/>
    </row>
    <row r="1670" spans="1:35" s="116" customFormat="1" ht="15.75" customHeight="1">
      <c r="E1670" s="449"/>
      <c r="F1670" s="449"/>
      <c r="G1670" s="449"/>
      <c r="H1670" s="449"/>
      <c r="I1670" s="449"/>
      <c r="J1670" s="449"/>
      <c r="K1670" s="449"/>
      <c r="L1670" s="449"/>
      <c r="M1670" s="449"/>
      <c r="N1670" s="449"/>
      <c r="O1670" s="449"/>
      <c r="P1670" s="449"/>
      <c r="Q1670" s="449"/>
      <c r="R1670" s="449"/>
      <c r="S1670" s="449"/>
      <c r="T1670" s="449"/>
      <c r="U1670" s="449"/>
      <c r="V1670" s="449"/>
      <c r="W1670" s="449"/>
      <c r="X1670" s="449"/>
      <c r="Y1670" s="449"/>
      <c r="Z1670" s="449"/>
      <c r="AA1670" s="449"/>
      <c r="AB1670" s="449"/>
      <c r="AC1670" s="449"/>
      <c r="AD1670" s="449"/>
      <c r="AE1670" s="449"/>
      <c r="AF1670" s="449"/>
      <c r="AG1670" s="449"/>
      <c r="AH1670" s="449"/>
    </row>
    <row r="1671" spans="1:35" s="116" customFormat="1" ht="15.75" hidden="1" customHeight="1">
      <c r="A1671" s="119" t="str">
        <f>IF(液状化L1の有無="","","×")</f>
        <v>×</v>
      </c>
    </row>
    <row r="1672" spans="1:35" s="1" customFormat="1" ht="15.75" hidden="1" customHeight="1">
      <c r="A1672" s="119" t="str">
        <f>IF(液状化L1の有無="","","×")</f>
        <v>×</v>
      </c>
      <c r="E1672" s="61" t="s">
        <v>620</v>
      </c>
      <c r="F1672" s="85"/>
      <c r="G1672" s="85"/>
      <c r="H1672" s="61"/>
      <c r="I1672" s="61"/>
      <c r="J1672" s="61"/>
      <c r="K1672" s="61"/>
      <c r="L1672" s="61"/>
      <c r="M1672" s="61"/>
      <c r="N1672" s="61"/>
      <c r="O1672" s="61"/>
      <c r="P1672" s="61"/>
      <c r="Q1672" s="61"/>
      <c r="R1672" s="61"/>
      <c r="S1672" s="61"/>
      <c r="T1672" s="61"/>
      <c r="U1672" s="61"/>
      <c r="V1672" s="61"/>
      <c r="W1672" s="61"/>
      <c r="X1672" s="61"/>
      <c r="Y1672" s="61"/>
      <c r="Z1672" s="61"/>
      <c r="AA1672" s="61"/>
      <c r="AB1672" s="61"/>
      <c r="AC1672" s="61"/>
      <c r="AD1672" s="61"/>
      <c r="AE1672" s="61"/>
      <c r="AF1672" s="61"/>
      <c r="AG1672" s="61"/>
      <c r="AH1672" s="61"/>
      <c r="AI1672" s="8"/>
    </row>
    <row r="1673" spans="1:35" s="1" customFormat="1" ht="15.75" hidden="1" customHeight="1">
      <c r="A1673" s="119" t="str">
        <f>IF(液状化L1の有無="","","×")</f>
        <v>×</v>
      </c>
      <c r="E1673" s="347" t="s">
        <v>511</v>
      </c>
      <c r="F1673" s="348"/>
      <c r="G1673" s="348"/>
      <c r="H1673" s="348"/>
      <c r="I1673" s="348"/>
      <c r="J1673" s="348"/>
      <c r="K1673" s="348"/>
      <c r="L1673" s="348"/>
      <c r="M1673" s="348"/>
      <c r="N1673" s="348"/>
      <c r="O1673" s="348"/>
      <c r="P1673" s="348"/>
      <c r="Q1673" s="348"/>
      <c r="R1673" s="348"/>
      <c r="S1673" s="410"/>
      <c r="T1673" s="350" t="s">
        <v>512</v>
      </c>
      <c r="U1673" s="147"/>
      <c r="V1673" s="147"/>
      <c r="W1673" s="147"/>
      <c r="X1673" s="147"/>
      <c r="Y1673" s="147"/>
      <c r="Z1673" s="147"/>
      <c r="AA1673" s="147"/>
      <c r="AB1673" s="147"/>
      <c r="AC1673" s="147"/>
      <c r="AD1673" s="147"/>
      <c r="AE1673" s="147"/>
      <c r="AF1673" s="147"/>
      <c r="AG1673" s="147"/>
      <c r="AH1673" s="214"/>
    </row>
    <row r="1674" spans="1:35" s="1" customFormat="1" ht="15.75" hidden="1" customHeight="1">
      <c r="A1674" s="119" t="str">
        <f>IF(液状化L1の有無="","","×")</f>
        <v>×</v>
      </c>
      <c r="E1674" s="316" t="s">
        <v>78</v>
      </c>
      <c r="F1674" s="300"/>
      <c r="G1674" s="496" t="s">
        <v>190</v>
      </c>
      <c r="H1674" s="497"/>
      <c r="I1674" s="497"/>
      <c r="J1674" s="300" t="s">
        <v>237</v>
      </c>
      <c r="K1674" s="300"/>
      <c r="L1674" s="300"/>
      <c r="M1674" s="300"/>
      <c r="N1674" s="300" t="s">
        <v>613</v>
      </c>
      <c r="O1674" s="300"/>
      <c r="P1674" s="300"/>
      <c r="Q1674" s="300" t="s">
        <v>614</v>
      </c>
      <c r="R1674" s="300"/>
      <c r="S1674" s="372"/>
      <c r="T1674" s="311" t="s">
        <v>78</v>
      </c>
      <c r="U1674" s="300"/>
      <c r="V1674" s="496" t="s">
        <v>190</v>
      </c>
      <c r="W1674" s="497"/>
      <c r="X1674" s="497"/>
      <c r="Y1674" s="300" t="s">
        <v>237</v>
      </c>
      <c r="Z1674" s="300"/>
      <c r="AA1674" s="300"/>
      <c r="AB1674" s="300"/>
      <c r="AC1674" s="300" t="s">
        <v>613</v>
      </c>
      <c r="AD1674" s="300"/>
      <c r="AE1674" s="300"/>
      <c r="AF1674" s="300" t="s">
        <v>614</v>
      </c>
      <c r="AG1674" s="300"/>
      <c r="AH1674" s="372"/>
    </row>
    <row r="1675" spans="1:35" s="1" customFormat="1" ht="15.75" hidden="1" customHeight="1">
      <c r="A1675" s="119" t="str">
        <f>IF(液状化L1の有無="","","×")</f>
        <v>×</v>
      </c>
      <c r="E1675" s="186"/>
      <c r="F1675" s="187"/>
      <c r="G1675" s="218"/>
      <c r="H1675" s="218"/>
      <c r="I1675" s="218"/>
      <c r="J1675" s="187"/>
      <c r="K1675" s="187"/>
      <c r="L1675" s="187"/>
      <c r="M1675" s="187"/>
      <c r="N1675" s="187"/>
      <c r="O1675" s="187"/>
      <c r="P1675" s="187"/>
      <c r="Q1675" s="187"/>
      <c r="R1675" s="187"/>
      <c r="S1675" s="222"/>
      <c r="T1675" s="330"/>
      <c r="U1675" s="187"/>
      <c r="V1675" s="218"/>
      <c r="W1675" s="218"/>
      <c r="X1675" s="218"/>
      <c r="Y1675" s="187"/>
      <c r="Z1675" s="187"/>
      <c r="AA1675" s="187"/>
      <c r="AB1675" s="187"/>
      <c r="AC1675" s="187"/>
      <c r="AD1675" s="187"/>
      <c r="AE1675" s="187"/>
      <c r="AF1675" s="187"/>
      <c r="AG1675" s="187"/>
      <c r="AH1675" s="222"/>
    </row>
    <row r="1676" spans="1:35" s="96" customFormat="1" ht="15.75" hidden="1" customHeight="1">
      <c r="A1676" s="124" t="str">
        <f>IF(液状化L1の有無="",IF(LEN(E1676)+LEN(T1676)=0,"×",""),"×")</f>
        <v>×</v>
      </c>
      <c r="E1676" s="224">
        <f>IF(E987="","",E987)</f>
        <v>3</v>
      </c>
      <c r="F1676" s="165"/>
      <c r="G1676" s="149">
        <f>IF(G987="","",G987)</f>
        <v>3</v>
      </c>
      <c r="H1676" s="149"/>
      <c r="I1676" s="149"/>
      <c r="J1676" s="508">
        <f>IF(P987="","",P987)</f>
        <v>0</v>
      </c>
      <c r="K1676" s="508"/>
      <c r="L1676" s="508"/>
      <c r="M1676" s="508"/>
      <c r="N1676" s="494">
        <f>IF(J1676="","",ROUND(J1676/G1676*$AH$1577,1))</f>
        <v>0</v>
      </c>
      <c r="O1676" s="494"/>
      <c r="P1676" s="494"/>
      <c r="Q1676" s="494">
        <f>IF(J1676="","",ROUND(J1676/G1676*$AH$1578,1))</f>
        <v>0</v>
      </c>
      <c r="R1676" s="494"/>
      <c r="S1676" s="509"/>
      <c r="T1676" s="394">
        <f>IF(T987="","",T987)</f>
        <v>3</v>
      </c>
      <c r="U1676" s="165"/>
      <c r="V1676" s="149">
        <f>IF(V987="","",V987)</f>
        <v>3</v>
      </c>
      <c r="W1676" s="149"/>
      <c r="X1676" s="149"/>
      <c r="Y1676" s="508">
        <f>IF(AE987="","",AE987)</f>
        <v>0</v>
      </c>
      <c r="Z1676" s="508"/>
      <c r="AA1676" s="508"/>
      <c r="AB1676" s="508"/>
      <c r="AC1676" s="494">
        <f>IF(Y1676="","",ROUND(Y1676/V1676*$AH$1577,1))</f>
        <v>0</v>
      </c>
      <c r="AD1676" s="494"/>
      <c r="AE1676" s="494"/>
      <c r="AF1676" s="494">
        <f>IF(Y1676="","",ROUND(Y1676/V1676*$AH$1578,1))</f>
        <v>0</v>
      </c>
      <c r="AG1676" s="494"/>
      <c r="AH1676" s="509"/>
    </row>
    <row r="1677" spans="1:35" s="96" customFormat="1" ht="15.75" hidden="1" customHeight="1">
      <c r="A1677" s="124" t="str">
        <f>IF(液状化L1の有無="",IF(LEN(E1677)+LEN(T1677)=0,"×",""),"×")</f>
        <v>×</v>
      </c>
      <c r="E1677" s="204">
        <f t="shared" ref="E1677:E1691" si="527">IF(E988="","",E988)</f>
        <v>4</v>
      </c>
      <c r="F1677" s="205"/>
      <c r="G1677" s="145">
        <f t="shared" ref="G1677:G1691" si="528">IF(G988="","",G988)</f>
        <v>1.0799999237060547</v>
      </c>
      <c r="H1677" s="145"/>
      <c r="I1677" s="145"/>
      <c r="J1677" s="498">
        <f t="shared" ref="J1677:J1691" si="529">IF(P988="","",P988)</f>
        <v>0</v>
      </c>
      <c r="K1677" s="498"/>
      <c r="L1677" s="498"/>
      <c r="M1677" s="498"/>
      <c r="N1677" s="499">
        <f t="shared" ref="N1677:N1691" si="530">IF(J1677="","",ROUND(J1677/G1677*$AH$1577,1))</f>
        <v>0</v>
      </c>
      <c r="O1677" s="499"/>
      <c r="P1677" s="499"/>
      <c r="Q1677" s="499">
        <f t="shared" ref="Q1677:Q1691" si="531">IF(J1677="","",ROUND(J1677/G1677*$AH$1578,1))</f>
        <v>0</v>
      </c>
      <c r="R1677" s="499"/>
      <c r="S1677" s="500"/>
      <c r="T1677" s="397">
        <f t="shared" ref="T1677:T1691" si="532">IF(T988="","",T988)</f>
        <v>4</v>
      </c>
      <c r="U1677" s="205"/>
      <c r="V1677" s="145">
        <f t="shared" ref="V1677:V1691" si="533">IF(V988="","",V988)</f>
        <v>1.0799999237060547</v>
      </c>
      <c r="W1677" s="145"/>
      <c r="X1677" s="145"/>
      <c r="Y1677" s="498">
        <f t="shared" ref="Y1677:Y1691" si="534">IF(AE988="","",AE988)</f>
        <v>0</v>
      </c>
      <c r="Z1677" s="498"/>
      <c r="AA1677" s="498"/>
      <c r="AB1677" s="498"/>
      <c r="AC1677" s="499">
        <f t="shared" ref="AC1677:AC1691" si="535">IF(Y1677="","",ROUND(Y1677/V1677*$AH$1577,1))</f>
        <v>0</v>
      </c>
      <c r="AD1677" s="499"/>
      <c r="AE1677" s="499"/>
      <c r="AF1677" s="499">
        <f t="shared" ref="AF1677:AF1691" si="536">IF(Y1677="","",ROUND(Y1677/V1677*$AH$1578,1))</f>
        <v>0</v>
      </c>
      <c r="AG1677" s="499"/>
      <c r="AH1677" s="500"/>
    </row>
    <row r="1678" spans="1:35" s="96" customFormat="1" ht="15.75" hidden="1" customHeight="1">
      <c r="A1678" s="124" t="str">
        <f>IF(液状化L1の有無="",IF(LEN(E1678)+LEN(T1678)=0,"×",""),"×")</f>
        <v>×</v>
      </c>
      <c r="E1678" s="204">
        <f t="shared" si="527"/>
        <v>4</v>
      </c>
      <c r="F1678" s="205"/>
      <c r="G1678" s="145">
        <f t="shared" si="528"/>
        <v>3.9200000762939453</v>
      </c>
      <c r="H1678" s="145"/>
      <c r="I1678" s="145"/>
      <c r="J1678" s="498">
        <f t="shared" si="529"/>
        <v>554.17695487904189</v>
      </c>
      <c r="K1678" s="498"/>
      <c r="L1678" s="498"/>
      <c r="M1678" s="498"/>
      <c r="N1678" s="499">
        <f t="shared" si="530"/>
        <v>169.6</v>
      </c>
      <c r="O1678" s="499"/>
      <c r="P1678" s="499"/>
      <c r="Q1678" s="499">
        <f t="shared" si="531"/>
        <v>197.9</v>
      </c>
      <c r="R1678" s="499"/>
      <c r="S1678" s="500"/>
      <c r="T1678" s="397">
        <f t="shared" si="532"/>
        <v>4</v>
      </c>
      <c r="U1678" s="205"/>
      <c r="V1678" s="145">
        <f t="shared" si="533"/>
        <v>3.9200000762939453</v>
      </c>
      <c r="W1678" s="145"/>
      <c r="X1678" s="145"/>
      <c r="Y1678" s="498">
        <f t="shared" si="534"/>
        <v>554.17695487904189</v>
      </c>
      <c r="Z1678" s="498"/>
      <c r="AA1678" s="498"/>
      <c r="AB1678" s="498"/>
      <c r="AC1678" s="499">
        <f t="shared" si="535"/>
        <v>169.6</v>
      </c>
      <c r="AD1678" s="499"/>
      <c r="AE1678" s="499"/>
      <c r="AF1678" s="499">
        <f t="shared" si="536"/>
        <v>197.9</v>
      </c>
      <c r="AG1678" s="499"/>
      <c r="AH1678" s="500"/>
    </row>
    <row r="1679" spans="1:35" s="96" customFormat="1" ht="15.75" hidden="1" customHeight="1">
      <c r="A1679" s="124" t="str">
        <f>IF(液状化L1の有無="",IF(LEN(E1679)+LEN(T1679)=0,"×",""),"×")</f>
        <v>×</v>
      </c>
      <c r="E1679" s="204">
        <f t="shared" si="527"/>
        <v>5</v>
      </c>
      <c r="F1679" s="205"/>
      <c r="G1679" s="145">
        <f t="shared" si="528"/>
        <v>8</v>
      </c>
      <c r="H1679" s="145"/>
      <c r="I1679" s="145"/>
      <c r="J1679" s="498">
        <f t="shared" si="529"/>
        <v>628.31853071795865</v>
      </c>
      <c r="K1679" s="498"/>
      <c r="L1679" s="498"/>
      <c r="M1679" s="498"/>
      <c r="N1679" s="499">
        <f t="shared" si="530"/>
        <v>94.2</v>
      </c>
      <c r="O1679" s="499"/>
      <c r="P1679" s="499"/>
      <c r="Q1679" s="499">
        <f t="shared" si="531"/>
        <v>110</v>
      </c>
      <c r="R1679" s="499"/>
      <c r="S1679" s="500"/>
      <c r="T1679" s="397">
        <f t="shared" si="532"/>
        <v>5</v>
      </c>
      <c r="U1679" s="205"/>
      <c r="V1679" s="145">
        <f t="shared" si="533"/>
        <v>8</v>
      </c>
      <c r="W1679" s="145"/>
      <c r="X1679" s="145"/>
      <c r="Y1679" s="498">
        <f t="shared" si="534"/>
        <v>628.31853071795865</v>
      </c>
      <c r="Z1679" s="498"/>
      <c r="AA1679" s="498"/>
      <c r="AB1679" s="498"/>
      <c r="AC1679" s="499">
        <f t="shared" si="535"/>
        <v>94.2</v>
      </c>
      <c r="AD1679" s="499"/>
      <c r="AE1679" s="499"/>
      <c r="AF1679" s="499">
        <f t="shared" si="536"/>
        <v>110</v>
      </c>
      <c r="AG1679" s="499"/>
      <c r="AH1679" s="500"/>
    </row>
    <row r="1680" spans="1:35" s="96" customFormat="1" ht="15.75" hidden="1" customHeight="1">
      <c r="A1680" s="124" t="str">
        <f>IF(液状化L1の有無="",IF(LEN(E1680)+LEN(T1680)=0,"×",""),"×")</f>
        <v>×</v>
      </c>
      <c r="E1680" s="204">
        <f t="shared" si="527"/>
        <v>6</v>
      </c>
      <c r="F1680" s="205"/>
      <c r="G1680" s="145">
        <f t="shared" si="528"/>
        <v>4</v>
      </c>
      <c r="H1680" s="145"/>
      <c r="I1680" s="145"/>
      <c r="J1680" s="498">
        <f t="shared" si="529"/>
        <v>628.31853071795865</v>
      </c>
      <c r="K1680" s="498"/>
      <c r="L1680" s="498"/>
      <c r="M1680" s="498"/>
      <c r="N1680" s="499">
        <f t="shared" si="530"/>
        <v>188.5</v>
      </c>
      <c r="O1680" s="499"/>
      <c r="P1680" s="499"/>
      <c r="Q1680" s="499">
        <f t="shared" si="531"/>
        <v>219.9</v>
      </c>
      <c r="R1680" s="499"/>
      <c r="S1680" s="500"/>
      <c r="T1680" s="397">
        <f t="shared" si="532"/>
        <v>6</v>
      </c>
      <c r="U1680" s="205"/>
      <c r="V1680" s="145">
        <f t="shared" si="533"/>
        <v>4.5</v>
      </c>
      <c r="W1680" s="145"/>
      <c r="X1680" s="145"/>
      <c r="Y1680" s="498">
        <f t="shared" si="534"/>
        <v>706.85834705770344</v>
      </c>
      <c r="Z1680" s="498"/>
      <c r="AA1680" s="498"/>
      <c r="AB1680" s="498"/>
      <c r="AC1680" s="499">
        <f t="shared" si="535"/>
        <v>188.5</v>
      </c>
      <c r="AD1680" s="499"/>
      <c r="AE1680" s="499"/>
      <c r="AF1680" s="499">
        <f t="shared" si="536"/>
        <v>219.9</v>
      </c>
      <c r="AG1680" s="499"/>
      <c r="AH1680" s="500"/>
    </row>
    <row r="1681" spans="1:35" s="96" customFormat="1" ht="15.75" hidden="1" customHeight="1">
      <c r="A1681" s="124" t="str">
        <f>IF(液状化L1の有無="",IF(LEN(E1681)+LEN(T1681)=0,"×",""),"×")</f>
        <v>×</v>
      </c>
      <c r="E1681" s="204">
        <f t="shared" si="527"/>
        <v>6</v>
      </c>
      <c r="F1681" s="205"/>
      <c r="G1681" s="145">
        <f t="shared" si="528"/>
        <v>0.5</v>
      </c>
      <c r="H1681" s="145"/>
      <c r="I1681" s="145"/>
      <c r="J1681" s="498">
        <f t="shared" si="529"/>
        <v>0</v>
      </c>
      <c r="K1681" s="498"/>
      <c r="L1681" s="498"/>
      <c r="M1681" s="498"/>
      <c r="N1681" s="499">
        <f t="shared" si="530"/>
        <v>0</v>
      </c>
      <c r="O1681" s="499"/>
      <c r="P1681" s="499"/>
      <c r="Q1681" s="499">
        <f t="shared" si="531"/>
        <v>0</v>
      </c>
      <c r="R1681" s="499"/>
      <c r="S1681" s="500"/>
      <c r="T1681" s="397">
        <f t="shared" si="532"/>
        <v>7</v>
      </c>
      <c r="U1681" s="205"/>
      <c r="V1681" s="145">
        <f t="shared" si="533"/>
        <v>0.5</v>
      </c>
      <c r="W1681" s="145"/>
      <c r="X1681" s="145"/>
      <c r="Y1681" s="498">
        <f t="shared" si="534"/>
        <v>235.61944901923448</v>
      </c>
      <c r="Z1681" s="498"/>
      <c r="AA1681" s="498"/>
      <c r="AB1681" s="498"/>
      <c r="AC1681" s="499">
        <f t="shared" si="535"/>
        <v>565.5</v>
      </c>
      <c r="AD1681" s="499"/>
      <c r="AE1681" s="499"/>
      <c r="AF1681" s="499">
        <f t="shared" si="536"/>
        <v>659.7</v>
      </c>
      <c r="AG1681" s="499"/>
      <c r="AH1681" s="500"/>
    </row>
    <row r="1682" spans="1:35" s="96" customFormat="1" ht="15.75" hidden="1" customHeight="1">
      <c r="A1682" s="124" t="str">
        <f>IF(液状化L1の有無="",IF(LEN(E1682)+LEN(T1682)=0,"×",""),"×")</f>
        <v>×</v>
      </c>
      <c r="E1682" s="204">
        <f t="shared" si="527"/>
        <v>7</v>
      </c>
      <c r="F1682" s="205"/>
      <c r="G1682" s="145">
        <f t="shared" si="528"/>
        <v>0.5</v>
      </c>
      <c r="H1682" s="145"/>
      <c r="I1682" s="145"/>
      <c r="J1682" s="498">
        <f t="shared" si="529"/>
        <v>0</v>
      </c>
      <c r="K1682" s="498"/>
      <c r="L1682" s="498"/>
      <c r="M1682" s="498"/>
      <c r="N1682" s="499">
        <f t="shared" si="530"/>
        <v>0</v>
      </c>
      <c r="O1682" s="499"/>
      <c r="P1682" s="499"/>
      <c r="Q1682" s="499">
        <f t="shared" si="531"/>
        <v>0</v>
      </c>
      <c r="R1682" s="499"/>
      <c r="S1682" s="500"/>
      <c r="T1682" s="397" t="str">
        <f t="shared" si="532"/>
        <v/>
      </c>
      <c r="U1682" s="205"/>
      <c r="V1682" s="145" t="str">
        <f t="shared" si="533"/>
        <v/>
      </c>
      <c r="W1682" s="145"/>
      <c r="X1682" s="145"/>
      <c r="Y1682" s="498" t="str">
        <f t="shared" si="534"/>
        <v/>
      </c>
      <c r="Z1682" s="498"/>
      <c r="AA1682" s="498"/>
      <c r="AB1682" s="498"/>
      <c r="AC1682" s="499" t="str">
        <f t="shared" si="535"/>
        <v/>
      </c>
      <c r="AD1682" s="499"/>
      <c r="AE1682" s="499"/>
      <c r="AF1682" s="499" t="str">
        <f t="shared" si="536"/>
        <v/>
      </c>
      <c r="AG1682" s="499"/>
      <c r="AH1682" s="500"/>
    </row>
    <row r="1683" spans="1:35" s="96" customFormat="1" ht="15.75" hidden="1" customHeight="1">
      <c r="A1683" s="124" t="str">
        <f>IF(液状化L1の有無="",IF(LEN(E1683)+LEN(T1683)=0,"×",""),"×")</f>
        <v>×</v>
      </c>
      <c r="E1683" s="204" t="str">
        <f t="shared" si="527"/>
        <v/>
      </c>
      <c r="F1683" s="205"/>
      <c r="G1683" s="145" t="str">
        <f t="shared" si="528"/>
        <v/>
      </c>
      <c r="H1683" s="145"/>
      <c r="I1683" s="145"/>
      <c r="J1683" s="498" t="str">
        <f t="shared" si="529"/>
        <v/>
      </c>
      <c r="K1683" s="498"/>
      <c r="L1683" s="498"/>
      <c r="M1683" s="498"/>
      <c r="N1683" s="499" t="str">
        <f t="shared" si="530"/>
        <v/>
      </c>
      <c r="O1683" s="499"/>
      <c r="P1683" s="499"/>
      <c r="Q1683" s="499" t="str">
        <f t="shared" si="531"/>
        <v/>
      </c>
      <c r="R1683" s="499"/>
      <c r="S1683" s="500"/>
      <c r="T1683" s="397" t="str">
        <f t="shared" si="532"/>
        <v/>
      </c>
      <c r="U1683" s="205"/>
      <c r="V1683" s="145" t="str">
        <f t="shared" si="533"/>
        <v/>
      </c>
      <c r="W1683" s="145"/>
      <c r="X1683" s="145"/>
      <c r="Y1683" s="498" t="str">
        <f t="shared" si="534"/>
        <v/>
      </c>
      <c r="Z1683" s="498"/>
      <c r="AA1683" s="498"/>
      <c r="AB1683" s="498"/>
      <c r="AC1683" s="499" t="str">
        <f t="shared" si="535"/>
        <v/>
      </c>
      <c r="AD1683" s="499"/>
      <c r="AE1683" s="499"/>
      <c r="AF1683" s="499" t="str">
        <f t="shared" si="536"/>
        <v/>
      </c>
      <c r="AG1683" s="499"/>
      <c r="AH1683" s="500"/>
    </row>
    <row r="1684" spans="1:35" s="96" customFormat="1" ht="15.75" hidden="1" customHeight="1">
      <c r="A1684" s="124" t="str">
        <f>IF(液状化L1の有無="",IF(LEN(E1684)+LEN(T1684)=0,"×",""),"×")</f>
        <v>×</v>
      </c>
      <c r="E1684" s="204" t="str">
        <f t="shared" si="527"/>
        <v/>
      </c>
      <c r="F1684" s="205"/>
      <c r="G1684" s="145" t="str">
        <f t="shared" si="528"/>
        <v/>
      </c>
      <c r="H1684" s="145"/>
      <c r="I1684" s="145"/>
      <c r="J1684" s="498" t="str">
        <f t="shared" si="529"/>
        <v/>
      </c>
      <c r="K1684" s="498"/>
      <c r="L1684" s="498"/>
      <c r="M1684" s="498"/>
      <c r="N1684" s="499" t="str">
        <f t="shared" si="530"/>
        <v/>
      </c>
      <c r="O1684" s="499"/>
      <c r="P1684" s="499"/>
      <c r="Q1684" s="499" t="str">
        <f t="shared" si="531"/>
        <v/>
      </c>
      <c r="R1684" s="499"/>
      <c r="S1684" s="500"/>
      <c r="T1684" s="397" t="str">
        <f t="shared" si="532"/>
        <v/>
      </c>
      <c r="U1684" s="205"/>
      <c r="V1684" s="145" t="str">
        <f t="shared" si="533"/>
        <v/>
      </c>
      <c r="W1684" s="145"/>
      <c r="X1684" s="145"/>
      <c r="Y1684" s="498" t="str">
        <f t="shared" si="534"/>
        <v/>
      </c>
      <c r="Z1684" s="498"/>
      <c r="AA1684" s="498"/>
      <c r="AB1684" s="498"/>
      <c r="AC1684" s="499" t="str">
        <f t="shared" si="535"/>
        <v/>
      </c>
      <c r="AD1684" s="499"/>
      <c r="AE1684" s="499"/>
      <c r="AF1684" s="499" t="str">
        <f t="shared" si="536"/>
        <v/>
      </c>
      <c r="AG1684" s="499"/>
      <c r="AH1684" s="500"/>
    </row>
    <row r="1685" spans="1:35" s="96" customFormat="1" ht="15.75" hidden="1" customHeight="1">
      <c r="A1685" s="124" t="str">
        <f>IF(液状化L1の有無="",IF(LEN(E1685)+LEN(T1685)=0,"×",""),"×")</f>
        <v>×</v>
      </c>
      <c r="E1685" s="204" t="str">
        <f t="shared" si="527"/>
        <v/>
      </c>
      <c r="F1685" s="205"/>
      <c r="G1685" s="145" t="str">
        <f t="shared" si="528"/>
        <v/>
      </c>
      <c r="H1685" s="145"/>
      <c r="I1685" s="145"/>
      <c r="J1685" s="498" t="str">
        <f t="shared" si="529"/>
        <v/>
      </c>
      <c r="K1685" s="498"/>
      <c r="L1685" s="498"/>
      <c r="M1685" s="498"/>
      <c r="N1685" s="499" t="str">
        <f t="shared" si="530"/>
        <v/>
      </c>
      <c r="O1685" s="499"/>
      <c r="P1685" s="499"/>
      <c r="Q1685" s="499" t="str">
        <f t="shared" si="531"/>
        <v/>
      </c>
      <c r="R1685" s="499"/>
      <c r="S1685" s="500"/>
      <c r="T1685" s="397" t="str">
        <f t="shared" si="532"/>
        <v/>
      </c>
      <c r="U1685" s="205"/>
      <c r="V1685" s="145" t="str">
        <f t="shared" si="533"/>
        <v/>
      </c>
      <c r="W1685" s="145"/>
      <c r="X1685" s="145"/>
      <c r="Y1685" s="498" t="str">
        <f t="shared" si="534"/>
        <v/>
      </c>
      <c r="Z1685" s="498"/>
      <c r="AA1685" s="498"/>
      <c r="AB1685" s="498"/>
      <c r="AC1685" s="499" t="str">
        <f t="shared" si="535"/>
        <v/>
      </c>
      <c r="AD1685" s="499"/>
      <c r="AE1685" s="499"/>
      <c r="AF1685" s="499" t="str">
        <f t="shared" si="536"/>
        <v/>
      </c>
      <c r="AG1685" s="499"/>
      <c r="AH1685" s="500"/>
    </row>
    <row r="1686" spans="1:35" s="96" customFormat="1" ht="15.75" hidden="1" customHeight="1">
      <c r="A1686" s="124" t="str">
        <f>IF(液状化L1の有無="",IF(LEN(E1686)+LEN(T1686)=0,"×",""),"×")</f>
        <v>×</v>
      </c>
      <c r="E1686" s="204" t="str">
        <f t="shared" si="527"/>
        <v/>
      </c>
      <c r="F1686" s="205"/>
      <c r="G1686" s="145" t="str">
        <f t="shared" si="528"/>
        <v/>
      </c>
      <c r="H1686" s="145"/>
      <c r="I1686" s="145"/>
      <c r="J1686" s="498" t="str">
        <f t="shared" si="529"/>
        <v/>
      </c>
      <c r="K1686" s="498"/>
      <c r="L1686" s="498"/>
      <c r="M1686" s="498"/>
      <c r="N1686" s="499" t="str">
        <f t="shared" si="530"/>
        <v/>
      </c>
      <c r="O1686" s="499"/>
      <c r="P1686" s="499"/>
      <c r="Q1686" s="499" t="str">
        <f t="shared" si="531"/>
        <v/>
      </c>
      <c r="R1686" s="499"/>
      <c r="S1686" s="500"/>
      <c r="T1686" s="397" t="str">
        <f t="shared" si="532"/>
        <v/>
      </c>
      <c r="U1686" s="205"/>
      <c r="V1686" s="145" t="str">
        <f t="shared" si="533"/>
        <v/>
      </c>
      <c r="W1686" s="145"/>
      <c r="X1686" s="145"/>
      <c r="Y1686" s="498" t="str">
        <f t="shared" si="534"/>
        <v/>
      </c>
      <c r="Z1686" s="498"/>
      <c r="AA1686" s="498"/>
      <c r="AB1686" s="498"/>
      <c r="AC1686" s="499" t="str">
        <f t="shared" si="535"/>
        <v/>
      </c>
      <c r="AD1686" s="499"/>
      <c r="AE1686" s="499"/>
      <c r="AF1686" s="499" t="str">
        <f t="shared" si="536"/>
        <v/>
      </c>
      <c r="AG1686" s="499"/>
      <c r="AH1686" s="500"/>
    </row>
    <row r="1687" spans="1:35" s="96" customFormat="1" ht="15.75" hidden="1" customHeight="1">
      <c r="A1687" s="124" t="str">
        <f>IF(液状化L1の有無="",IF(LEN(E1687)+LEN(T1687)=0,"×",""),"×")</f>
        <v>×</v>
      </c>
      <c r="E1687" s="204" t="str">
        <f t="shared" si="527"/>
        <v/>
      </c>
      <c r="F1687" s="205"/>
      <c r="G1687" s="145" t="str">
        <f t="shared" si="528"/>
        <v/>
      </c>
      <c r="H1687" s="145"/>
      <c r="I1687" s="145"/>
      <c r="J1687" s="498" t="str">
        <f t="shared" si="529"/>
        <v/>
      </c>
      <c r="K1687" s="498"/>
      <c r="L1687" s="498"/>
      <c r="M1687" s="498"/>
      <c r="N1687" s="499" t="str">
        <f t="shared" si="530"/>
        <v/>
      </c>
      <c r="O1687" s="499"/>
      <c r="P1687" s="499"/>
      <c r="Q1687" s="499" t="str">
        <f t="shared" si="531"/>
        <v/>
      </c>
      <c r="R1687" s="499"/>
      <c r="S1687" s="500"/>
      <c r="T1687" s="397" t="str">
        <f t="shared" si="532"/>
        <v/>
      </c>
      <c r="U1687" s="205"/>
      <c r="V1687" s="145" t="str">
        <f t="shared" si="533"/>
        <v/>
      </c>
      <c r="W1687" s="145"/>
      <c r="X1687" s="145"/>
      <c r="Y1687" s="498" t="str">
        <f t="shared" si="534"/>
        <v/>
      </c>
      <c r="Z1687" s="498"/>
      <c r="AA1687" s="498"/>
      <c r="AB1687" s="498"/>
      <c r="AC1687" s="499" t="str">
        <f t="shared" si="535"/>
        <v/>
      </c>
      <c r="AD1687" s="499"/>
      <c r="AE1687" s="499"/>
      <c r="AF1687" s="499" t="str">
        <f t="shared" si="536"/>
        <v/>
      </c>
      <c r="AG1687" s="499"/>
      <c r="AH1687" s="500"/>
    </row>
    <row r="1688" spans="1:35" s="96" customFormat="1" ht="15.75" hidden="1" customHeight="1">
      <c r="A1688" s="124" t="str">
        <f>IF(液状化L1の有無="",IF(LEN(E1688)+LEN(T1688)=0,"×",""),"×")</f>
        <v>×</v>
      </c>
      <c r="E1688" s="204" t="str">
        <f t="shared" si="527"/>
        <v/>
      </c>
      <c r="F1688" s="205"/>
      <c r="G1688" s="145" t="str">
        <f t="shared" si="528"/>
        <v/>
      </c>
      <c r="H1688" s="145"/>
      <c r="I1688" s="145"/>
      <c r="J1688" s="498" t="str">
        <f t="shared" si="529"/>
        <v/>
      </c>
      <c r="K1688" s="498"/>
      <c r="L1688" s="498"/>
      <c r="M1688" s="498"/>
      <c r="N1688" s="499" t="str">
        <f t="shared" si="530"/>
        <v/>
      </c>
      <c r="O1688" s="499"/>
      <c r="P1688" s="499"/>
      <c r="Q1688" s="499" t="str">
        <f t="shared" si="531"/>
        <v/>
      </c>
      <c r="R1688" s="499"/>
      <c r="S1688" s="500"/>
      <c r="T1688" s="397" t="str">
        <f t="shared" si="532"/>
        <v/>
      </c>
      <c r="U1688" s="205"/>
      <c r="V1688" s="145" t="str">
        <f t="shared" si="533"/>
        <v/>
      </c>
      <c r="W1688" s="145"/>
      <c r="X1688" s="145"/>
      <c r="Y1688" s="498" t="str">
        <f t="shared" si="534"/>
        <v/>
      </c>
      <c r="Z1688" s="498"/>
      <c r="AA1688" s="498"/>
      <c r="AB1688" s="498"/>
      <c r="AC1688" s="499" t="str">
        <f t="shared" si="535"/>
        <v/>
      </c>
      <c r="AD1688" s="499"/>
      <c r="AE1688" s="499"/>
      <c r="AF1688" s="499" t="str">
        <f t="shared" si="536"/>
        <v/>
      </c>
      <c r="AG1688" s="499"/>
      <c r="AH1688" s="500"/>
    </row>
    <row r="1689" spans="1:35" s="96" customFormat="1" ht="15.75" hidden="1" customHeight="1">
      <c r="A1689" s="124" t="str">
        <f>IF(液状化L1の有無="",IF(LEN(E1689)+LEN(T1689)=0,"×",""),"×")</f>
        <v>×</v>
      </c>
      <c r="E1689" s="204" t="str">
        <f t="shared" si="527"/>
        <v/>
      </c>
      <c r="F1689" s="205"/>
      <c r="G1689" s="145" t="str">
        <f t="shared" si="528"/>
        <v/>
      </c>
      <c r="H1689" s="145"/>
      <c r="I1689" s="145"/>
      <c r="J1689" s="498" t="str">
        <f t="shared" si="529"/>
        <v/>
      </c>
      <c r="K1689" s="498"/>
      <c r="L1689" s="498"/>
      <c r="M1689" s="498"/>
      <c r="N1689" s="499" t="str">
        <f t="shared" si="530"/>
        <v/>
      </c>
      <c r="O1689" s="499"/>
      <c r="P1689" s="499"/>
      <c r="Q1689" s="499" t="str">
        <f t="shared" si="531"/>
        <v/>
      </c>
      <c r="R1689" s="499"/>
      <c r="S1689" s="500"/>
      <c r="T1689" s="397" t="str">
        <f t="shared" si="532"/>
        <v/>
      </c>
      <c r="U1689" s="205"/>
      <c r="V1689" s="145" t="str">
        <f t="shared" si="533"/>
        <v/>
      </c>
      <c r="W1689" s="145"/>
      <c r="X1689" s="145"/>
      <c r="Y1689" s="498" t="str">
        <f t="shared" si="534"/>
        <v/>
      </c>
      <c r="Z1689" s="498"/>
      <c r="AA1689" s="498"/>
      <c r="AB1689" s="498"/>
      <c r="AC1689" s="499" t="str">
        <f t="shared" si="535"/>
        <v/>
      </c>
      <c r="AD1689" s="499"/>
      <c r="AE1689" s="499"/>
      <c r="AF1689" s="499" t="str">
        <f t="shared" si="536"/>
        <v/>
      </c>
      <c r="AG1689" s="499"/>
      <c r="AH1689" s="500"/>
    </row>
    <row r="1690" spans="1:35" s="96" customFormat="1" ht="15.75" hidden="1" customHeight="1">
      <c r="A1690" s="124" t="str">
        <f>IF(液状化L1の有無="",IF(LEN(E1690)+LEN(T1690)=0,"×",""),"×")</f>
        <v>×</v>
      </c>
      <c r="E1690" s="204" t="str">
        <f t="shared" si="527"/>
        <v/>
      </c>
      <c r="F1690" s="205"/>
      <c r="G1690" s="145" t="str">
        <f t="shared" si="528"/>
        <v/>
      </c>
      <c r="H1690" s="145"/>
      <c r="I1690" s="145"/>
      <c r="J1690" s="498" t="str">
        <f t="shared" si="529"/>
        <v/>
      </c>
      <c r="K1690" s="498"/>
      <c r="L1690" s="498"/>
      <c r="M1690" s="498"/>
      <c r="N1690" s="499" t="str">
        <f t="shared" si="530"/>
        <v/>
      </c>
      <c r="O1690" s="499"/>
      <c r="P1690" s="499"/>
      <c r="Q1690" s="499" t="str">
        <f t="shared" si="531"/>
        <v/>
      </c>
      <c r="R1690" s="499"/>
      <c r="S1690" s="500"/>
      <c r="T1690" s="397" t="str">
        <f t="shared" si="532"/>
        <v/>
      </c>
      <c r="U1690" s="205"/>
      <c r="V1690" s="145" t="str">
        <f t="shared" si="533"/>
        <v/>
      </c>
      <c r="W1690" s="145"/>
      <c r="X1690" s="145"/>
      <c r="Y1690" s="498" t="str">
        <f t="shared" si="534"/>
        <v/>
      </c>
      <c r="Z1690" s="498"/>
      <c r="AA1690" s="498"/>
      <c r="AB1690" s="498"/>
      <c r="AC1690" s="499" t="str">
        <f t="shared" si="535"/>
        <v/>
      </c>
      <c r="AD1690" s="499"/>
      <c r="AE1690" s="499"/>
      <c r="AF1690" s="499" t="str">
        <f t="shared" si="536"/>
        <v/>
      </c>
      <c r="AG1690" s="499"/>
      <c r="AH1690" s="500"/>
    </row>
    <row r="1691" spans="1:35" s="96" customFormat="1" ht="15.75" hidden="1" customHeight="1">
      <c r="A1691" s="124" t="str">
        <f>IF(液状化L1の有無="",IF(LEN(E1691)+LEN(T1691)=0,"×",""),"×")</f>
        <v>×</v>
      </c>
      <c r="E1691" s="207" t="str">
        <f t="shared" si="527"/>
        <v/>
      </c>
      <c r="F1691" s="208"/>
      <c r="G1691" s="150" t="str">
        <f t="shared" si="528"/>
        <v/>
      </c>
      <c r="H1691" s="150"/>
      <c r="I1691" s="150"/>
      <c r="J1691" s="501" t="str">
        <f t="shared" si="529"/>
        <v/>
      </c>
      <c r="K1691" s="501"/>
      <c r="L1691" s="501"/>
      <c r="M1691" s="501"/>
      <c r="N1691" s="502" t="str">
        <f t="shared" si="530"/>
        <v/>
      </c>
      <c r="O1691" s="502"/>
      <c r="P1691" s="502"/>
      <c r="Q1691" s="502" t="str">
        <f t="shared" si="531"/>
        <v/>
      </c>
      <c r="R1691" s="502"/>
      <c r="S1691" s="503"/>
      <c r="T1691" s="400" t="str">
        <f t="shared" si="532"/>
        <v/>
      </c>
      <c r="U1691" s="208"/>
      <c r="V1691" s="150" t="str">
        <f t="shared" si="533"/>
        <v/>
      </c>
      <c r="W1691" s="150"/>
      <c r="X1691" s="150"/>
      <c r="Y1691" s="501" t="str">
        <f t="shared" si="534"/>
        <v/>
      </c>
      <c r="Z1691" s="501"/>
      <c r="AA1691" s="501"/>
      <c r="AB1691" s="501"/>
      <c r="AC1691" s="502" t="str">
        <f t="shared" si="535"/>
        <v/>
      </c>
      <c r="AD1691" s="502"/>
      <c r="AE1691" s="502"/>
      <c r="AF1691" s="502" t="str">
        <f t="shared" si="536"/>
        <v/>
      </c>
      <c r="AG1691" s="502"/>
      <c r="AH1691" s="503"/>
    </row>
    <row r="1692" spans="1:35" s="116" customFormat="1" ht="15.75" hidden="1" customHeight="1">
      <c r="A1692" s="119" t="str">
        <f>IF(液状化L1の有無="","","×")</f>
        <v>×</v>
      </c>
    </row>
    <row r="1693" spans="1:35" s="116" customFormat="1" ht="15.75" customHeight="1"/>
    <row r="1694" spans="1:35" s="1" customFormat="1" ht="15.75" hidden="1" customHeight="1">
      <c r="A1694" s="119" t="str">
        <f>IF(液状化L2の有無="","","×")</f>
        <v>×</v>
      </c>
      <c r="E1694" s="61" t="s">
        <v>621</v>
      </c>
      <c r="F1694" s="85"/>
      <c r="G1694" s="85"/>
      <c r="H1694" s="61"/>
      <c r="I1694" s="61"/>
      <c r="J1694" s="61"/>
      <c r="K1694" s="61"/>
      <c r="L1694" s="61"/>
      <c r="M1694" s="61"/>
      <c r="N1694" s="61"/>
      <c r="O1694" s="61"/>
      <c r="P1694" s="61"/>
      <c r="Q1694" s="61"/>
      <c r="R1694" s="61"/>
      <c r="S1694" s="61"/>
      <c r="T1694" s="61"/>
      <c r="U1694" s="61"/>
      <c r="V1694" s="61"/>
      <c r="W1694" s="61"/>
      <c r="X1694" s="61"/>
      <c r="Y1694" s="61"/>
      <c r="Z1694" s="61"/>
      <c r="AA1694" s="61"/>
      <c r="AB1694" s="61"/>
      <c r="AC1694" s="61"/>
      <c r="AD1694" s="61"/>
      <c r="AE1694" s="61"/>
      <c r="AF1694" s="61"/>
      <c r="AG1694" s="61"/>
      <c r="AH1694" s="61"/>
      <c r="AI1694" s="8"/>
    </row>
    <row r="1695" spans="1:35" s="1" customFormat="1" ht="15.75" hidden="1" customHeight="1">
      <c r="A1695" s="119" t="str">
        <f>IF(液状化L2の有無="","","×")</f>
        <v>×</v>
      </c>
      <c r="E1695" s="347" t="s">
        <v>511</v>
      </c>
      <c r="F1695" s="348"/>
      <c r="G1695" s="348"/>
      <c r="H1695" s="348"/>
      <c r="I1695" s="348"/>
      <c r="J1695" s="348"/>
      <c r="K1695" s="348"/>
      <c r="L1695" s="348"/>
      <c r="M1695" s="348"/>
      <c r="N1695" s="348"/>
      <c r="O1695" s="348"/>
      <c r="P1695" s="348"/>
      <c r="Q1695" s="348"/>
      <c r="R1695" s="348"/>
      <c r="S1695" s="410"/>
      <c r="T1695" s="350" t="s">
        <v>512</v>
      </c>
      <c r="U1695" s="147"/>
      <c r="V1695" s="147"/>
      <c r="W1695" s="147"/>
      <c r="X1695" s="147"/>
      <c r="Y1695" s="147"/>
      <c r="Z1695" s="147"/>
      <c r="AA1695" s="147"/>
      <c r="AB1695" s="147"/>
      <c r="AC1695" s="147"/>
      <c r="AD1695" s="147"/>
      <c r="AE1695" s="147"/>
      <c r="AF1695" s="147"/>
      <c r="AG1695" s="147"/>
      <c r="AH1695" s="214"/>
    </row>
    <row r="1696" spans="1:35" s="1" customFormat="1" ht="15.75" hidden="1" customHeight="1">
      <c r="A1696" s="119" t="str">
        <f>IF(液状化L2の有無="","","×")</f>
        <v>×</v>
      </c>
      <c r="E1696" s="316" t="s">
        <v>78</v>
      </c>
      <c r="F1696" s="300"/>
      <c r="G1696" s="496" t="s">
        <v>190</v>
      </c>
      <c r="H1696" s="497"/>
      <c r="I1696" s="497"/>
      <c r="J1696" s="300" t="s">
        <v>237</v>
      </c>
      <c r="K1696" s="300"/>
      <c r="L1696" s="300"/>
      <c r="M1696" s="300"/>
      <c r="N1696" s="300" t="s">
        <v>613</v>
      </c>
      <c r="O1696" s="300"/>
      <c r="P1696" s="300"/>
      <c r="Q1696" s="300" t="s">
        <v>614</v>
      </c>
      <c r="R1696" s="300"/>
      <c r="S1696" s="372"/>
      <c r="T1696" s="311" t="s">
        <v>78</v>
      </c>
      <c r="U1696" s="300"/>
      <c r="V1696" s="496" t="s">
        <v>190</v>
      </c>
      <c r="W1696" s="497"/>
      <c r="X1696" s="497"/>
      <c r="Y1696" s="300" t="s">
        <v>237</v>
      </c>
      <c r="Z1696" s="300"/>
      <c r="AA1696" s="300"/>
      <c r="AB1696" s="300"/>
      <c r="AC1696" s="300" t="s">
        <v>613</v>
      </c>
      <c r="AD1696" s="300"/>
      <c r="AE1696" s="300"/>
      <c r="AF1696" s="300" t="s">
        <v>614</v>
      </c>
      <c r="AG1696" s="300"/>
      <c r="AH1696" s="372"/>
    </row>
    <row r="1697" spans="1:34" s="1" customFormat="1" ht="15.75" hidden="1" customHeight="1">
      <c r="A1697" s="119" t="str">
        <f>IF(液状化L2の有無="","","×")</f>
        <v>×</v>
      </c>
      <c r="E1697" s="186"/>
      <c r="F1697" s="187"/>
      <c r="G1697" s="218"/>
      <c r="H1697" s="218"/>
      <c r="I1697" s="218"/>
      <c r="J1697" s="187"/>
      <c r="K1697" s="187"/>
      <c r="L1697" s="187"/>
      <c r="M1697" s="187"/>
      <c r="N1697" s="187"/>
      <c r="O1697" s="187"/>
      <c r="P1697" s="187"/>
      <c r="Q1697" s="187"/>
      <c r="R1697" s="187"/>
      <c r="S1697" s="222"/>
      <c r="T1697" s="330"/>
      <c r="U1697" s="187"/>
      <c r="V1697" s="218"/>
      <c r="W1697" s="218"/>
      <c r="X1697" s="218"/>
      <c r="Y1697" s="187"/>
      <c r="Z1697" s="187"/>
      <c r="AA1697" s="187"/>
      <c r="AB1697" s="187"/>
      <c r="AC1697" s="187"/>
      <c r="AD1697" s="187"/>
      <c r="AE1697" s="187"/>
      <c r="AF1697" s="187"/>
      <c r="AG1697" s="187"/>
      <c r="AH1697" s="222"/>
    </row>
    <row r="1698" spans="1:34" s="96" customFormat="1" ht="15.75" hidden="1" customHeight="1">
      <c r="A1698" s="124" t="str">
        <f>IF(液状化L2の有無="",IF(LEN(E1698)+LEN(T1698)=0,"×",""),"×")</f>
        <v>×</v>
      </c>
      <c r="E1698" s="224">
        <f>IF(E1011="","",E1011)</f>
        <v>3</v>
      </c>
      <c r="F1698" s="165"/>
      <c r="G1698" s="149">
        <f>IF(G1011="","",G1011)</f>
        <v>3</v>
      </c>
      <c r="H1698" s="149"/>
      <c r="I1698" s="149"/>
      <c r="J1698" s="508">
        <f>IF(P1011="","",P1011)</f>
        <v>0</v>
      </c>
      <c r="K1698" s="508"/>
      <c r="L1698" s="508"/>
      <c r="M1698" s="508"/>
      <c r="N1698" s="494">
        <f>IF(J1698="","",ROUND(J1698/G1698*$AH$1577,1))</f>
        <v>0</v>
      </c>
      <c r="O1698" s="494"/>
      <c r="P1698" s="494"/>
      <c r="Q1698" s="494">
        <f>IF(J1698="","",ROUND(J1698/G1698*$AH$1578,1))</f>
        <v>0</v>
      </c>
      <c r="R1698" s="494"/>
      <c r="S1698" s="509"/>
      <c r="T1698" s="394">
        <f>IF(T1011="","",T1011)</f>
        <v>3</v>
      </c>
      <c r="U1698" s="165"/>
      <c r="V1698" s="149">
        <f>IF(V1011="","",V1011)</f>
        <v>3</v>
      </c>
      <c r="W1698" s="149"/>
      <c r="X1698" s="149"/>
      <c r="Y1698" s="508">
        <f>IF(AE1011="","",AE1011)</f>
        <v>0</v>
      </c>
      <c r="Z1698" s="508"/>
      <c r="AA1698" s="508"/>
      <c r="AB1698" s="508"/>
      <c r="AC1698" s="494">
        <f>IF(Y1698="","",ROUND(Y1698/V1698*$AH$1577,1))</f>
        <v>0</v>
      </c>
      <c r="AD1698" s="494"/>
      <c r="AE1698" s="494"/>
      <c r="AF1698" s="494">
        <f>IF(Y1698="","",ROUND(Y1698/V1698*$AH$1578,1))</f>
        <v>0</v>
      </c>
      <c r="AG1698" s="494"/>
      <c r="AH1698" s="509"/>
    </row>
    <row r="1699" spans="1:34" s="96" customFormat="1" ht="15.75" hidden="1" customHeight="1">
      <c r="A1699" s="124" t="str">
        <f>IF(液状化L2の有無="",IF(LEN(E1699)+LEN(T1699)=0,"×",""),"×")</f>
        <v>×</v>
      </c>
      <c r="E1699" s="204">
        <f t="shared" ref="E1699:E1713" si="537">IF(E1012="","",E1012)</f>
        <v>4</v>
      </c>
      <c r="F1699" s="205"/>
      <c r="G1699" s="145">
        <f t="shared" ref="G1699:G1713" si="538">IF(G1012="","",G1012)</f>
        <v>1.0799999237060547</v>
      </c>
      <c r="H1699" s="145"/>
      <c r="I1699" s="145"/>
      <c r="J1699" s="498">
        <f t="shared" ref="J1699:J1713" si="539">IF(P1012="","",P1012)</f>
        <v>0</v>
      </c>
      <c r="K1699" s="498"/>
      <c r="L1699" s="498"/>
      <c r="M1699" s="498"/>
      <c r="N1699" s="499">
        <f t="shared" ref="N1699:N1713" si="540">IF(J1699="","",ROUND(J1699/G1699*$AH$1577,1))</f>
        <v>0</v>
      </c>
      <c r="O1699" s="499"/>
      <c r="P1699" s="499"/>
      <c r="Q1699" s="499">
        <f t="shared" ref="Q1699:Q1713" si="541">IF(J1699="","",ROUND(J1699/G1699*$AH$1578,1))</f>
        <v>0</v>
      </c>
      <c r="R1699" s="499"/>
      <c r="S1699" s="500"/>
      <c r="T1699" s="397">
        <f t="shared" ref="T1699:T1713" si="542">IF(T1012="","",T1012)</f>
        <v>4</v>
      </c>
      <c r="U1699" s="205"/>
      <c r="V1699" s="145">
        <f t="shared" ref="V1699:V1713" si="543">IF(V1012="","",V1012)</f>
        <v>1.0799999237060547</v>
      </c>
      <c r="W1699" s="145"/>
      <c r="X1699" s="145"/>
      <c r="Y1699" s="498">
        <f t="shared" ref="Y1699:Y1713" si="544">IF(AE1012="","",AE1012)</f>
        <v>0</v>
      </c>
      <c r="Z1699" s="498"/>
      <c r="AA1699" s="498"/>
      <c r="AB1699" s="498"/>
      <c r="AC1699" s="499">
        <f t="shared" ref="AC1699:AC1713" si="545">IF(Y1699="","",ROUND(Y1699/V1699*$AH$1577,1))</f>
        <v>0</v>
      </c>
      <c r="AD1699" s="499"/>
      <c r="AE1699" s="499"/>
      <c r="AF1699" s="499">
        <f t="shared" ref="AF1699:AF1713" si="546">IF(Y1699="","",ROUND(Y1699/V1699*$AH$1578,1))</f>
        <v>0</v>
      </c>
      <c r="AG1699" s="499"/>
      <c r="AH1699" s="500"/>
    </row>
    <row r="1700" spans="1:34" s="96" customFormat="1" ht="15.75" hidden="1" customHeight="1">
      <c r="A1700" s="124" t="str">
        <f>IF(液状化L2の有無="",IF(LEN(E1700)+LEN(T1700)=0,"×",""),"×")</f>
        <v>×</v>
      </c>
      <c r="E1700" s="204">
        <f t="shared" si="537"/>
        <v>4</v>
      </c>
      <c r="F1700" s="205"/>
      <c r="G1700" s="145">
        <f t="shared" si="538"/>
        <v>3.9200000762939453</v>
      </c>
      <c r="H1700" s="145"/>
      <c r="I1700" s="145"/>
      <c r="J1700" s="498">
        <f t="shared" si="539"/>
        <v>554.17695487904189</v>
      </c>
      <c r="K1700" s="498"/>
      <c r="L1700" s="498"/>
      <c r="M1700" s="498"/>
      <c r="N1700" s="499">
        <f t="shared" si="540"/>
        <v>169.6</v>
      </c>
      <c r="O1700" s="499"/>
      <c r="P1700" s="499"/>
      <c r="Q1700" s="499">
        <f t="shared" si="541"/>
        <v>197.9</v>
      </c>
      <c r="R1700" s="499"/>
      <c r="S1700" s="500"/>
      <c r="T1700" s="397">
        <f t="shared" si="542"/>
        <v>4</v>
      </c>
      <c r="U1700" s="205"/>
      <c r="V1700" s="145">
        <f t="shared" si="543"/>
        <v>3.9200000762939453</v>
      </c>
      <c r="W1700" s="145"/>
      <c r="X1700" s="145"/>
      <c r="Y1700" s="498">
        <f t="shared" si="544"/>
        <v>554.17695487904189</v>
      </c>
      <c r="Z1700" s="498"/>
      <c r="AA1700" s="498"/>
      <c r="AB1700" s="498"/>
      <c r="AC1700" s="499">
        <f t="shared" si="545"/>
        <v>169.6</v>
      </c>
      <c r="AD1700" s="499"/>
      <c r="AE1700" s="499"/>
      <c r="AF1700" s="499">
        <f t="shared" si="546"/>
        <v>197.9</v>
      </c>
      <c r="AG1700" s="499"/>
      <c r="AH1700" s="500"/>
    </row>
    <row r="1701" spans="1:34" s="96" customFormat="1" ht="15.75" hidden="1" customHeight="1">
      <c r="A1701" s="124" t="str">
        <f>IF(液状化L2の有無="",IF(LEN(E1701)+LEN(T1701)=0,"×",""),"×")</f>
        <v>×</v>
      </c>
      <c r="E1701" s="204">
        <f t="shared" si="537"/>
        <v>5</v>
      </c>
      <c r="F1701" s="205"/>
      <c r="G1701" s="145">
        <f t="shared" si="538"/>
        <v>8</v>
      </c>
      <c r="H1701" s="145"/>
      <c r="I1701" s="145"/>
      <c r="J1701" s="498">
        <f t="shared" si="539"/>
        <v>628.31853071795865</v>
      </c>
      <c r="K1701" s="498"/>
      <c r="L1701" s="498"/>
      <c r="M1701" s="498"/>
      <c r="N1701" s="499">
        <f t="shared" si="540"/>
        <v>94.2</v>
      </c>
      <c r="O1701" s="499"/>
      <c r="P1701" s="499"/>
      <c r="Q1701" s="499">
        <f t="shared" si="541"/>
        <v>110</v>
      </c>
      <c r="R1701" s="499"/>
      <c r="S1701" s="500"/>
      <c r="T1701" s="397">
        <f t="shared" si="542"/>
        <v>5</v>
      </c>
      <c r="U1701" s="205"/>
      <c r="V1701" s="145">
        <f t="shared" si="543"/>
        <v>8</v>
      </c>
      <c r="W1701" s="145"/>
      <c r="X1701" s="145"/>
      <c r="Y1701" s="498">
        <f t="shared" si="544"/>
        <v>628.31853071795865</v>
      </c>
      <c r="Z1701" s="498"/>
      <c r="AA1701" s="498"/>
      <c r="AB1701" s="498"/>
      <c r="AC1701" s="499">
        <f t="shared" si="545"/>
        <v>94.2</v>
      </c>
      <c r="AD1701" s="499"/>
      <c r="AE1701" s="499"/>
      <c r="AF1701" s="499">
        <f t="shared" si="546"/>
        <v>110</v>
      </c>
      <c r="AG1701" s="499"/>
      <c r="AH1701" s="500"/>
    </row>
    <row r="1702" spans="1:34" s="96" customFormat="1" ht="15.75" hidden="1" customHeight="1">
      <c r="A1702" s="124" t="str">
        <f>IF(液状化L2の有無="",IF(LEN(E1702)+LEN(T1702)=0,"×",""),"×")</f>
        <v>×</v>
      </c>
      <c r="E1702" s="204">
        <f t="shared" si="537"/>
        <v>6</v>
      </c>
      <c r="F1702" s="205"/>
      <c r="G1702" s="145">
        <f t="shared" si="538"/>
        <v>4</v>
      </c>
      <c r="H1702" s="145"/>
      <c r="I1702" s="145"/>
      <c r="J1702" s="498">
        <f t="shared" si="539"/>
        <v>628.31853071795865</v>
      </c>
      <c r="K1702" s="498"/>
      <c r="L1702" s="498"/>
      <c r="M1702" s="498"/>
      <c r="N1702" s="499">
        <f t="shared" si="540"/>
        <v>188.5</v>
      </c>
      <c r="O1702" s="499"/>
      <c r="P1702" s="499"/>
      <c r="Q1702" s="499">
        <f t="shared" si="541"/>
        <v>219.9</v>
      </c>
      <c r="R1702" s="499"/>
      <c r="S1702" s="500"/>
      <c r="T1702" s="397">
        <f t="shared" si="542"/>
        <v>6</v>
      </c>
      <c r="U1702" s="205"/>
      <c r="V1702" s="145">
        <f t="shared" si="543"/>
        <v>4.5</v>
      </c>
      <c r="W1702" s="145"/>
      <c r="X1702" s="145"/>
      <c r="Y1702" s="498">
        <f t="shared" si="544"/>
        <v>706.85834705770344</v>
      </c>
      <c r="Z1702" s="498"/>
      <c r="AA1702" s="498"/>
      <c r="AB1702" s="498"/>
      <c r="AC1702" s="499">
        <f t="shared" si="545"/>
        <v>188.5</v>
      </c>
      <c r="AD1702" s="499"/>
      <c r="AE1702" s="499"/>
      <c r="AF1702" s="499">
        <f t="shared" si="546"/>
        <v>219.9</v>
      </c>
      <c r="AG1702" s="499"/>
      <c r="AH1702" s="500"/>
    </row>
    <row r="1703" spans="1:34" s="96" customFormat="1" ht="15.75" hidden="1" customHeight="1">
      <c r="A1703" s="124" t="str">
        <f>IF(液状化L2の有無="",IF(LEN(E1703)+LEN(T1703)=0,"×",""),"×")</f>
        <v>×</v>
      </c>
      <c r="E1703" s="204">
        <f t="shared" si="537"/>
        <v>6</v>
      </c>
      <c r="F1703" s="205"/>
      <c r="G1703" s="145">
        <f t="shared" si="538"/>
        <v>0.5</v>
      </c>
      <c r="H1703" s="145"/>
      <c r="I1703" s="145"/>
      <c r="J1703" s="498">
        <f t="shared" si="539"/>
        <v>0</v>
      </c>
      <c r="K1703" s="498"/>
      <c r="L1703" s="498"/>
      <c r="M1703" s="498"/>
      <c r="N1703" s="499">
        <f t="shared" si="540"/>
        <v>0</v>
      </c>
      <c r="O1703" s="499"/>
      <c r="P1703" s="499"/>
      <c r="Q1703" s="499">
        <f t="shared" si="541"/>
        <v>0</v>
      </c>
      <c r="R1703" s="499"/>
      <c r="S1703" s="500"/>
      <c r="T1703" s="397">
        <f t="shared" si="542"/>
        <v>7</v>
      </c>
      <c r="U1703" s="205"/>
      <c r="V1703" s="145">
        <f t="shared" si="543"/>
        <v>0.5</v>
      </c>
      <c r="W1703" s="145"/>
      <c r="X1703" s="145"/>
      <c r="Y1703" s="498">
        <f t="shared" si="544"/>
        <v>235.61944901923448</v>
      </c>
      <c r="Z1703" s="498"/>
      <c r="AA1703" s="498"/>
      <c r="AB1703" s="498"/>
      <c r="AC1703" s="499">
        <f t="shared" si="545"/>
        <v>565.5</v>
      </c>
      <c r="AD1703" s="499"/>
      <c r="AE1703" s="499"/>
      <c r="AF1703" s="499">
        <f t="shared" si="546"/>
        <v>659.7</v>
      </c>
      <c r="AG1703" s="499"/>
      <c r="AH1703" s="500"/>
    </row>
    <row r="1704" spans="1:34" s="96" customFormat="1" ht="15.75" hidden="1" customHeight="1">
      <c r="A1704" s="124" t="str">
        <f>IF(液状化L2の有無="",IF(LEN(E1704)+LEN(T1704)=0,"×",""),"×")</f>
        <v>×</v>
      </c>
      <c r="E1704" s="204">
        <f t="shared" si="537"/>
        <v>7</v>
      </c>
      <c r="F1704" s="205"/>
      <c r="G1704" s="145">
        <f t="shared" si="538"/>
        <v>0.5</v>
      </c>
      <c r="H1704" s="145"/>
      <c r="I1704" s="145"/>
      <c r="J1704" s="498">
        <f t="shared" si="539"/>
        <v>0</v>
      </c>
      <c r="K1704" s="498"/>
      <c r="L1704" s="498"/>
      <c r="M1704" s="498"/>
      <c r="N1704" s="499">
        <f t="shared" si="540"/>
        <v>0</v>
      </c>
      <c r="O1704" s="499"/>
      <c r="P1704" s="499"/>
      <c r="Q1704" s="499">
        <f t="shared" si="541"/>
        <v>0</v>
      </c>
      <c r="R1704" s="499"/>
      <c r="S1704" s="500"/>
      <c r="T1704" s="397" t="str">
        <f t="shared" si="542"/>
        <v/>
      </c>
      <c r="U1704" s="205"/>
      <c r="V1704" s="145" t="str">
        <f t="shared" si="543"/>
        <v/>
      </c>
      <c r="W1704" s="145"/>
      <c r="X1704" s="145"/>
      <c r="Y1704" s="498" t="str">
        <f t="shared" si="544"/>
        <v/>
      </c>
      <c r="Z1704" s="498"/>
      <c r="AA1704" s="498"/>
      <c r="AB1704" s="498"/>
      <c r="AC1704" s="499" t="str">
        <f t="shared" si="545"/>
        <v/>
      </c>
      <c r="AD1704" s="499"/>
      <c r="AE1704" s="499"/>
      <c r="AF1704" s="499" t="str">
        <f t="shared" si="546"/>
        <v/>
      </c>
      <c r="AG1704" s="499"/>
      <c r="AH1704" s="500"/>
    </row>
    <row r="1705" spans="1:34" s="96" customFormat="1" ht="15.75" hidden="1" customHeight="1">
      <c r="A1705" s="124" t="str">
        <f>IF(液状化L2の有無="",IF(LEN(E1705)+LEN(T1705)=0,"×",""),"×")</f>
        <v>×</v>
      </c>
      <c r="E1705" s="204" t="str">
        <f t="shared" si="537"/>
        <v/>
      </c>
      <c r="F1705" s="205"/>
      <c r="G1705" s="145" t="str">
        <f t="shared" si="538"/>
        <v/>
      </c>
      <c r="H1705" s="145"/>
      <c r="I1705" s="145"/>
      <c r="J1705" s="498" t="str">
        <f t="shared" si="539"/>
        <v/>
      </c>
      <c r="K1705" s="498"/>
      <c r="L1705" s="498"/>
      <c r="M1705" s="498"/>
      <c r="N1705" s="499" t="str">
        <f t="shared" si="540"/>
        <v/>
      </c>
      <c r="O1705" s="499"/>
      <c r="P1705" s="499"/>
      <c r="Q1705" s="499" t="str">
        <f t="shared" si="541"/>
        <v/>
      </c>
      <c r="R1705" s="499"/>
      <c r="S1705" s="500"/>
      <c r="T1705" s="397" t="str">
        <f t="shared" si="542"/>
        <v/>
      </c>
      <c r="U1705" s="205"/>
      <c r="V1705" s="145" t="str">
        <f t="shared" si="543"/>
        <v/>
      </c>
      <c r="W1705" s="145"/>
      <c r="X1705" s="145"/>
      <c r="Y1705" s="498" t="str">
        <f t="shared" si="544"/>
        <v/>
      </c>
      <c r="Z1705" s="498"/>
      <c r="AA1705" s="498"/>
      <c r="AB1705" s="498"/>
      <c r="AC1705" s="499" t="str">
        <f t="shared" si="545"/>
        <v/>
      </c>
      <c r="AD1705" s="499"/>
      <c r="AE1705" s="499"/>
      <c r="AF1705" s="499" t="str">
        <f t="shared" si="546"/>
        <v/>
      </c>
      <c r="AG1705" s="499"/>
      <c r="AH1705" s="500"/>
    </row>
    <row r="1706" spans="1:34" s="96" customFormat="1" ht="15.75" hidden="1" customHeight="1">
      <c r="A1706" s="124" t="str">
        <f>IF(液状化L2の有無="",IF(LEN(E1706)+LEN(T1706)=0,"×",""),"×")</f>
        <v>×</v>
      </c>
      <c r="E1706" s="204" t="str">
        <f t="shared" si="537"/>
        <v/>
      </c>
      <c r="F1706" s="205"/>
      <c r="G1706" s="145" t="str">
        <f t="shared" si="538"/>
        <v/>
      </c>
      <c r="H1706" s="145"/>
      <c r="I1706" s="145"/>
      <c r="J1706" s="498" t="str">
        <f t="shared" si="539"/>
        <v/>
      </c>
      <c r="K1706" s="498"/>
      <c r="L1706" s="498"/>
      <c r="M1706" s="498"/>
      <c r="N1706" s="499" t="str">
        <f t="shared" si="540"/>
        <v/>
      </c>
      <c r="O1706" s="499"/>
      <c r="P1706" s="499"/>
      <c r="Q1706" s="499" t="str">
        <f t="shared" si="541"/>
        <v/>
      </c>
      <c r="R1706" s="499"/>
      <c r="S1706" s="500"/>
      <c r="T1706" s="397" t="str">
        <f t="shared" si="542"/>
        <v/>
      </c>
      <c r="U1706" s="205"/>
      <c r="V1706" s="145" t="str">
        <f t="shared" si="543"/>
        <v/>
      </c>
      <c r="W1706" s="145"/>
      <c r="X1706" s="145"/>
      <c r="Y1706" s="498" t="str">
        <f t="shared" si="544"/>
        <v/>
      </c>
      <c r="Z1706" s="498"/>
      <c r="AA1706" s="498"/>
      <c r="AB1706" s="498"/>
      <c r="AC1706" s="499" t="str">
        <f t="shared" si="545"/>
        <v/>
      </c>
      <c r="AD1706" s="499"/>
      <c r="AE1706" s="499"/>
      <c r="AF1706" s="499" t="str">
        <f t="shared" si="546"/>
        <v/>
      </c>
      <c r="AG1706" s="499"/>
      <c r="AH1706" s="500"/>
    </row>
    <row r="1707" spans="1:34" s="96" customFormat="1" ht="15.75" hidden="1" customHeight="1">
      <c r="A1707" s="124" t="str">
        <f>IF(液状化L2の有無="",IF(LEN(E1707)+LEN(T1707)=0,"×",""),"×")</f>
        <v>×</v>
      </c>
      <c r="E1707" s="204" t="str">
        <f t="shared" si="537"/>
        <v/>
      </c>
      <c r="F1707" s="205"/>
      <c r="G1707" s="145" t="str">
        <f t="shared" si="538"/>
        <v/>
      </c>
      <c r="H1707" s="145"/>
      <c r="I1707" s="145"/>
      <c r="J1707" s="498" t="str">
        <f t="shared" si="539"/>
        <v/>
      </c>
      <c r="K1707" s="498"/>
      <c r="L1707" s="498"/>
      <c r="M1707" s="498"/>
      <c r="N1707" s="499" t="str">
        <f t="shared" si="540"/>
        <v/>
      </c>
      <c r="O1707" s="499"/>
      <c r="P1707" s="499"/>
      <c r="Q1707" s="499" t="str">
        <f t="shared" si="541"/>
        <v/>
      </c>
      <c r="R1707" s="499"/>
      <c r="S1707" s="500"/>
      <c r="T1707" s="397" t="str">
        <f t="shared" si="542"/>
        <v/>
      </c>
      <c r="U1707" s="205"/>
      <c r="V1707" s="145" t="str">
        <f t="shared" si="543"/>
        <v/>
      </c>
      <c r="W1707" s="145"/>
      <c r="X1707" s="145"/>
      <c r="Y1707" s="498" t="str">
        <f t="shared" si="544"/>
        <v/>
      </c>
      <c r="Z1707" s="498"/>
      <c r="AA1707" s="498"/>
      <c r="AB1707" s="498"/>
      <c r="AC1707" s="499" t="str">
        <f t="shared" si="545"/>
        <v/>
      </c>
      <c r="AD1707" s="499"/>
      <c r="AE1707" s="499"/>
      <c r="AF1707" s="499" t="str">
        <f t="shared" si="546"/>
        <v/>
      </c>
      <c r="AG1707" s="499"/>
      <c r="AH1707" s="500"/>
    </row>
    <row r="1708" spans="1:34" s="96" customFormat="1" ht="15.75" hidden="1" customHeight="1">
      <c r="A1708" s="124" t="str">
        <f>IF(液状化L2の有無="",IF(LEN(E1708)+LEN(T1708)=0,"×",""),"×")</f>
        <v>×</v>
      </c>
      <c r="E1708" s="204" t="str">
        <f t="shared" si="537"/>
        <v/>
      </c>
      <c r="F1708" s="205"/>
      <c r="G1708" s="145" t="str">
        <f t="shared" si="538"/>
        <v/>
      </c>
      <c r="H1708" s="145"/>
      <c r="I1708" s="145"/>
      <c r="J1708" s="498" t="str">
        <f t="shared" si="539"/>
        <v/>
      </c>
      <c r="K1708" s="498"/>
      <c r="L1708" s="498"/>
      <c r="M1708" s="498"/>
      <c r="N1708" s="499" t="str">
        <f t="shared" si="540"/>
        <v/>
      </c>
      <c r="O1708" s="499"/>
      <c r="P1708" s="499"/>
      <c r="Q1708" s="499" t="str">
        <f t="shared" si="541"/>
        <v/>
      </c>
      <c r="R1708" s="499"/>
      <c r="S1708" s="500"/>
      <c r="T1708" s="397" t="str">
        <f t="shared" si="542"/>
        <v/>
      </c>
      <c r="U1708" s="205"/>
      <c r="V1708" s="145" t="str">
        <f t="shared" si="543"/>
        <v/>
      </c>
      <c r="W1708" s="145"/>
      <c r="X1708" s="145"/>
      <c r="Y1708" s="498" t="str">
        <f t="shared" si="544"/>
        <v/>
      </c>
      <c r="Z1708" s="498"/>
      <c r="AA1708" s="498"/>
      <c r="AB1708" s="498"/>
      <c r="AC1708" s="499" t="str">
        <f t="shared" si="545"/>
        <v/>
      </c>
      <c r="AD1708" s="499"/>
      <c r="AE1708" s="499"/>
      <c r="AF1708" s="499" t="str">
        <f t="shared" si="546"/>
        <v/>
      </c>
      <c r="AG1708" s="499"/>
      <c r="AH1708" s="500"/>
    </row>
    <row r="1709" spans="1:34" s="96" customFormat="1" ht="15.75" hidden="1" customHeight="1">
      <c r="A1709" s="124" t="str">
        <f>IF(液状化L2の有無="",IF(LEN(E1709)+LEN(T1709)=0,"×",""),"×")</f>
        <v>×</v>
      </c>
      <c r="E1709" s="204" t="str">
        <f t="shared" si="537"/>
        <v/>
      </c>
      <c r="F1709" s="205"/>
      <c r="G1709" s="145" t="str">
        <f t="shared" si="538"/>
        <v/>
      </c>
      <c r="H1709" s="145"/>
      <c r="I1709" s="145"/>
      <c r="J1709" s="498" t="str">
        <f t="shared" si="539"/>
        <v/>
      </c>
      <c r="K1709" s="498"/>
      <c r="L1709" s="498"/>
      <c r="M1709" s="498"/>
      <c r="N1709" s="499" t="str">
        <f t="shared" si="540"/>
        <v/>
      </c>
      <c r="O1709" s="499"/>
      <c r="P1709" s="499"/>
      <c r="Q1709" s="499" t="str">
        <f t="shared" si="541"/>
        <v/>
      </c>
      <c r="R1709" s="499"/>
      <c r="S1709" s="500"/>
      <c r="T1709" s="397" t="str">
        <f t="shared" si="542"/>
        <v/>
      </c>
      <c r="U1709" s="205"/>
      <c r="V1709" s="145" t="str">
        <f t="shared" si="543"/>
        <v/>
      </c>
      <c r="W1709" s="145"/>
      <c r="X1709" s="145"/>
      <c r="Y1709" s="498" t="str">
        <f t="shared" si="544"/>
        <v/>
      </c>
      <c r="Z1709" s="498"/>
      <c r="AA1709" s="498"/>
      <c r="AB1709" s="498"/>
      <c r="AC1709" s="499" t="str">
        <f t="shared" si="545"/>
        <v/>
      </c>
      <c r="AD1709" s="499"/>
      <c r="AE1709" s="499"/>
      <c r="AF1709" s="499" t="str">
        <f t="shared" si="546"/>
        <v/>
      </c>
      <c r="AG1709" s="499"/>
      <c r="AH1709" s="500"/>
    </row>
    <row r="1710" spans="1:34" s="96" customFormat="1" ht="15.75" hidden="1" customHeight="1">
      <c r="A1710" s="124" t="str">
        <f>IF(液状化L2の有無="",IF(LEN(E1710)+LEN(T1710)=0,"×",""),"×")</f>
        <v>×</v>
      </c>
      <c r="E1710" s="204" t="str">
        <f t="shared" si="537"/>
        <v/>
      </c>
      <c r="F1710" s="205"/>
      <c r="G1710" s="145" t="str">
        <f t="shared" si="538"/>
        <v/>
      </c>
      <c r="H1710" s="145"/>
      <c r="I1710" s="145"/>
      <c r="J1710" s="498" t="str">
        <f t="shared" si="539"/>
        <v/>
      </c>
      <c r="K1710" s="498"/>
      <c r="L1710" s="498"/>
      <c r="M1710" s="498"/>
      <c r="N1710" s="499" t="str">
        <f t="shared" si="540"/>
        <v/>
      </c>
      <c r="O1710" s="499"/>
      <c r="P1710" s="499"/>
      <c r="Q1710" s="499" t="str">
        <f t="shared" si="541"/>
        <v/>
      </c>
      <c r="R1710" s="499"/>
      <c r="S1710" s="500"/>
      <c r="T1710" s="397" t="str">
        <f t="shared" si="542"/>
        <v/>
      </c>
      <c r="U1710" s="205"/>
      <c r="V1710" s="145" t="str">
        <f t="shared" si="543"/>
        <v/>
      </c>
      <c r="W1710" s="145"/>
      <c r="X1710" s="145"/>
      <c r="Y1710" s="498" t="str">
        <f t="shared" si="544"/>
        <v/>
      </c>
      <c r="Z1710" s="498"/>
      <c r="AA1710" s="498"/>
      <c r="AB1710" s="498"/>
      <c r="AC1710" s="499" t="str">
        <f t="shared" si="545"/>
        <v/>
      </c>
      <c r="AD1710" s="499"/>
      <c r="AE1710" s="499"/>
      <c r="AF1710" s="499" t="str">
        <f t="shared" si="546"/>
        <v/>
      </c>
      <c r="AG1710" s="499"/>
      <c r="AH1710" s="500"/>
    </row>
    <row r="1711" spans="1:34" s="96" customFormat="1" ht="15.75" hidden="1" customHeight="1">
      <c r="A1711" s="124" t="str">
        <f>IF(液状化L2の有無="",IF(LEN(E1711)+LEN(T1711)=0,"×",""),"×")</f>
        <v>×</v>
      </c>
      <c r="E1711" s="204" t="str">
        <f t="shared" si="537"/>
        <v/>
      </c>
      <c r="F1711" s="205"/>
      <c r="G1711" s="145" t="str">
        <f t="shared" si="538"/>
        <v/>
      </c>
      <c r="H1711" s="145"/>
      <c r="I1711" s="145"/>
      <c r="J1711" s="498" t="str">
        <f t="shared" si="539"/>
        <v/>
      </c>
      <c r="K1711" s="498"/>
      <c r="L1711" s="498"/>
      <c r="M1711" s="498"/>
      <c r="N1711" s="499" t="str">
        <f t="shared" si="540"/>
        <v/>
      </c>
      <c r="O1711" s="499"/>
      <c r="P1711" s="499"/>
      <c r="Q1711" s="499" t="str">
        <f t="shared" si="541"/>
        <v/>
      </c>
      <c r="R1711" s="499"/>
      <c r="S1711" s="500"/>
      <c r="T1711" s="397" t="str">
        <f t="shared" si="542"/>
        <v/>
      </c>
      <c r="U1711" s="205"/>
      <c r="V1711" s="145" t="str">
        <f t="shared" si="543"/>
        <v/>
      </c>
      <c r="W1711" s="145"/>
      <c r="X1711" s="145"/>
      <c r="Y1711" s="498" t="str">
        <f t="shared" si="544"/>
        <v/>
      </c>
      <c r="Z1711" s="498"/>
      <c r="AA1711" s="498"/>
      <c r="AB1711" s="498"/>
      <c r="AC1711" s="499" t="str">
        <f t="shared" si="545"/>
        <v/>
      </c>
      <c r="AD1711" s="499"/>
      <c r="AE1711" s="499"/>
      <c r="AF1711" s="499" t="str">
        <f t="shared" si="546"/>
        <v/>
      </c>
      <c r="AG1711" s="499"/>
      <c r="AH1711" s="500"/>
    </row>
    <row r="1712" spans="1:34" s="96" customFormat="1" ht="15.75" hidden="1" customHeight="1">
      <c r="A1712" s="124" t="str">
        <f>IF(液状化L2の有無="",IF(LEN(E1712)+LEN(T1712)=0,"×",""),"×")</f>
        <v>×</v>
      </c>
      <c r="E1712" s="204" t="str">
        <f t="shared" si="537"/>
        <v/>
      </c>
      <c r="F1712" s="205"/>
      <c r="G1712" s="145" t="str">
        <f t="shared" si="538"/>
        <v/>
      </c>
      <c r="H1712" s="145"/>
      <c r="I1712" s="145"/>
      <c r="J1712" s="498" t="str">
        <f t="shared" si="539"/>
        <v/>
      </c>
      <c r="K1712" s="498"/>
      <c r="L1712" s="498"/>
      <c r="M1712" s="498"/>
      <c r="N1712" s="499" t="str">
        <f t="shared" si="540"/>
        <v/>
      </c>
      <c r="O1712" s="499"/>
      <c r="P1712" s="499"/>
      <c r="Q1712" s="499" t="str">
        <f t="shared" si="541"/>
        <v/>
      </c>
      <c r="R1712" s="499"/>
      <c r="S1712" s="500"/>
      <c r="T1712" s="397" t="str">
        <f t="shared" si="542"/>
        <v/>
      </c>
      <c r="U1712" s="205"/>
      <c r="V1712" s="145" t="str">
        <f t="shared" si="543"/>
        <v/>
      </c>
      <c r="W1712" s="145"/>
      <c r="X1712" s="145"/>
      <c r="Y1712" s="498" t="str">
        <f t="shared" si="544"/>
        <v/>
      </c>
      <c r="Z1712" s="498"/>
      <c r="AA1712" s="498"/>
      <c r="AB1712" s="498"/>
      <c r="AC1712" s="499" t="str">
        <f t="shared" si="545"/>
        <v/>
      </c>
      <c r="AD1712" s="499"/>
      <c r="AE1712" s="499"/>
      <c r="AF1712" s="499" t="str">
        <f t="shared" si="546"/>
        <v/>
      </c>
      <c r="AG1712" s="499"/>
      <c r="AH1712" s="500"/>
    </row>
    <row r="1713" spans="1:71" s="96" customFormat="1" ht="15.75" hidden="1" customHeight="1">
      <c r="A1713" s="124" t="str">
        <f>IF(液状化L2の有無="",IF(LEN(E1713)+LEN(T1713)=0,"×",""),"×")</f>
        <v>×</v>
      </c>
      <c r="E1713" s="207" t="str">
        <f t="shared" si="537"/>
        <v/>
      </c>
      <c r="F1713" s="208"/>
      <c r="G1713" s="150" t="str">
        <f t="shared" si="538"/>
        <v/>
      </c>
      <c r="H1713" s="150"/>
      <c r="I1713" s="150"/>
      <c r="J1713" s="501" t="str">
        <f t="shared" si="539"/>
        <v/>
      </c>
      <c r="K1713" s="501"/>
      <c r="L1713" s="501"/>
      <c r="M1713" s="501"/>
      <c r="N1713" s="502" t="str">
        <f t="shared" si="540"/>
        <v/>
      </c>
      <c r="O1713" s="502"/>
      <c r="P1713" s="502"/>
      <c r="Q1713" s="502" t="str">
        <f t="shared" si="541"/>
        <v/>
      </c>
      <c r="R1713" s="502"/>
      <c r="S1713" s="503"/>
      <c r="T1713" s="400" t="str">
        <f t="shared" si="542"/>
        <v/>
      </c>
      <c r="U1713" s="208"/>
      <c r="V1713" s="150" t="str">
        <f t="shared" si="543"/>
        <v/>
      </c>
      <c r="W1713" s="150"/>
      <c r="X1713" s="150"/>
      <c r="Y1713" s="501" t="str">
        <f t="shared" si="544"/>
        <v/>
      </c>
      <c r="Z1713" s="501"/>
      <c r="AA1713" s="501"/>
      <c r="AB1713" s="501"/>
      <c r="AC1713" s="502" t="str">
        <f t="shared" si="545"/>
        <v/>
      </c>
      <c r="AD1713" s="502"/>
      <c r="AE1713" s="502"/>
      <c r="AF1713" s="502" t="str">
        <f t="shared" si="546"/>
        <v/>
      </c>
      <c r="AG1713" s="502"/>
      <c r="AH1713" s="503"/>
    </row>
    <row r="1714" spans="1:71" s="116" customFormat="1" ht="15.75" customHeight="1"/>
    <row r="1715" spans="1:71" s="116" customFormat="1" ht="15.75" customHeight="1"/>
    <row r="1716" spans="1:71" s="116" customFormat="1" ht="15.75" customHeight="1"/>
    <row r="1717" spans="1:71" s="89" customFormat="1" ht="15.75" customHeight="1">
      <c r="AP1717" s="104"/>
      <c r="AV1717" s="104"/>
      <c r="AY1717" s="104"/>
      <c r="BB1717" s="116"/>
      <c r="BL1717" s="104"/>
      <c r="BS1717" s="104"/>
    </row>
    <row r="1718" spans="1:71" s="89" customFormat="1" ht="15.75" customHeight="1">
      <c r="AP1718" s="104"/>
      <c r="AV1718" s="104"/>
      <c r="AY1718" s="104"/>
      <c r="BB1718" s="116"/>
      <c r="BL1718" s="104"/>
      <c r="BS1718" s="104"/>
    </row>
    <row r="1719" spans="1:71" s="89" customFormat="1" ht="15.75" customHeight="1">
      <c r="AP1719" s="104"/>
      <c r="AV1719" s="104"/>
      <c r="AY1719" s="104"/>
      <c r="BB1719" s="116"/>
      <c r="BL1719" s="104"/>
      <c r="BS1719" s="104"/>
    </row>
    <row r="1720" spans="1:71" s="89" customFormat="1" ht="15.75" customHeight="1">
      <c r="AP1720" s="104"/>
      <c r="AV1720" s="104"/>
      <c r="AY1720" s="104"/>
      <c r="BB1720" s="116"/>
      <c r="BL1720" s="104"/>
      <c r="BS1720" s="104"/>
    </row>
    <row r="1721" spans="1:71" s="89" customFormat="1" ht="15.75" customHeight="1">
      <c r="AP1721" s="104"/>
      <c r="AV1721" s="104"/>
      <c r="AY1721" s="104"/>
      <c r="BB1721" s="116"/>
      <c r="BL1721" s="104"/>
      <c r="BS1721" s="104"/>
    </row>
    <row r="1722" spans="1:71" s="89" customFormat="1" ht="15.75" customHeight="1">
      <c r="AP1722" s="104"/>
      <c r="AV1722" s="104"/>
      <c r="AY1722" s="104"/>
      <c r="BB1722" s="116"/>
      <c r="BL1722" s="104"/>
      <c r="BS1722" s="104"/>
    </row>
    <row r="1723" spans="1:71" s="89" customFormat="1" ht="15.75" customHeight="1">
      <c r="AP1723" s="104"/>
      <c r="AV1723" s="104"/>
      <c r="AY1723" s="104"/>
      <c r="BB1723" s="116"/>
      <c r="BL1723" s="104"/>
      <c r="BS1723" s="104"/>
    </row>
    <row r="1724" spans="1:71" s="89" customFormat="1" ht="15.75" customHeight="1">
      <c r="AP1724" s="104"/>
      <c r="AV1724" s="104"/>
      <c r="AY1724" s="104"/>
      <c r="BB1724" s="116"/>
      <c r="BL1724" s="104"/>
      <c r="BS1724" s="104"/>
    </row>
    <row r="1725" spans="1:71" s="89" customFormat="1" ht="15.75" customHeight="1">
      <c r="AP1725" s="104"/>
      <c r="AV1725" s="104"/>
      <c r="AY1725" s="104"/>
      <c r="BB1725" s="116"/>
      <c r="BL1725" s="104"/>
      <c r="BS1725" s="104"/>
    </row>
    <row r="1726" spans="1:71" s="89" customFormat="1" ht="15.75" customHeight="1">
      <c r="AP1726" s="104"/>
      <c r="AV1726" s="104"/>
      <c r="AY1726" s="104"/>
      <c r="BB1726" s="116"/>
      <c r="BL1726" s="104"/>
      <c r="BS1726" s="104"/>
    </row>
    <row r="1727" spans="1:71" s="89" customFormat="1" ht="15.75" customHeight="1">
      <c r="AP1727" s="104"/>
      <c r="AV1727" s="104"/>
      <c r="AY1727" s="104"/>
      <c r="BB1727" s="116"/>
      <c r="BL1727" s="104"/>
      <c r="BS1727" s="104"/>
    </row>
    <row r="1728" spans="1:71" s="89" customFormat="1" ht="15.75" customHeight="1">
      <c r="AP1728" s="104"/>
      <c r="AV1728" s="104"/>
      <c r="AY1728" s="104"/>
      <c r="BB1728" s="116"/>
      <c r="BL1728" s="104"/>
      <c r="BS1728" s="104"/>
    </row>
    <row r="1729" spans="42:71" s="89" customFormat="1" ht="15.75" customHeight="1">
      <c r="AP1729" s="104"/>
      <c r="AV1729" s="104"/>
      <c r="AY1729" s="104"/>
      <c r="BB1729" s="116"/>
      <c r="BL1729" s="104"/>
      <c r="BS1729" s="104"/>
    </row>
    <row r="1730" spans="42:71" s="89" customFormat="1" ht="15.75" customHeight="1">
      <c r="AP1730" s="104"/>
      <c r="AV1730" s="104"/>
      <c r="AY1730" s="104"/>
      <c r="BB1730" s="116"/>
      <c r="BL1730" s="104"/>
      <c r="BS1730" s="104"/>
    </row>
    <row r="1731" spans="42:71" s="89" customFormat="1" ht="15.75" customHeight="1">
      <c r="AP1731" s="104"/>
      <c r="AV1731" s="104"/>
      <c r="AY1731" s="104"/>
      <c r="BB1731" s="116"/>
      <c r="BL1731" s="104"/>
      <c r="BS1731" s="104"/>
    </row>
    <row r="1732" spans="42:71" s="89" customFormat="1" ht="15.75" customHeight="1">
      <c r="AP1732" s="104"/>
      <c r="AV1732" s="104"/>
      <c r="AY1732" s="104"/>
      <c r="BB1732" s="116"/>
      <c r="BL1732" s="104"/>
      <c r="BS1732" s="104"/>
    </row>
    <row r="1733" spans="42:71" s="89" customFormat="1" ht="15.75" customHeight="1">
      <c r="AP1733" s="104"/>
      <c r="AV1733" s="104"/>
      <c r="AY1733" s="104"/>
      <c r="BB1733" s="116"/>
      <c r="BL1733" s="104"/>
      <c r="BS1733" s="104"/>
    </row>
    <row r="1734" spans="42:71" s="89" customFormat="1" ht="15.75" customHeight="1">
      <c r="AP1734" s="104"/>
      <c r="AV1734" s="104"/>
      <c r="AY1734" s="104"/>
      <c r="BB1734" s="116"/>
      <c r="BL1734" s="104"/>
      <c r="BS1734" s="104"/>
    </row>
    <row r="1735" spans="42:71" s="89" customFormat="1" ht="15.75" customHeight="1">
      <c r="AP1735" s="104"/>
      <c r="AV1735" s="104"/>
      <c r="AY1735" s="104"/>
      <c r="BB1735" s="116"/>
      <c r="BL1735" s="104"/>
      <c r="BS1735" s="104"/>
    </row>
    <row r="1736" spans="42:71" s="89" customFormat="1" ht="15.75" customHeight="1">
      <c r="AP1736" s="104"/>
      <c r="AV1736" s="104"/>
      <c r="AY1736" s="104"/>
      <c r="BB1736" s="116"/>
      <c r="BL1736" s="104"/>
      <c r="BS1736" s="104"/>
    </row>
    <row r="1737" spans="42:71" s="89" customFormat="1" ht="15.75" customHeight="1">
      <c r="AP1737" s="104"/>
      <c r="AV1737" s="104"/>
      <c r="AY1737" s="104"/>
      <c r="BB1737" s="116"/>
      <c r="BL1737" s="104"/>
      <c r="BS1737" s="104"/>
    </row>
    <row r="1738" spans="42:71" s="89" customFormat="1" ht="15.75" customHeight="1">
      <c r="AP1738" s="104"/>
      <c r="AV1738" s="104"/>
      <c r="AY1738" s="104"/>
      <c r="BB1738" s="116"/>
      <c r="BL1738" s="104"/>
      <c r="BS1738" s="104"/>
    </row>
    <row r="1739" spans="42:71" s="89" customFormat="1" ht="15.75" customHeight="1">
      <c r="AP1739" s="104"/>
      <c r="AV1739" s="104"/>
      <c r="AY1739" s="104"/>
      <c r="BB1739" s="116"/>
      <c r="BL1739" s="104"/>
      <c r="BS1739" s="104"/>
    </row>
    <row r="1740" spans="42:71" s="89" customFormat="1" ht="15.75" customHeight="1">
      <c r="AP1740" s="104"/>
      <c r="AV1740" s="104"/>
      <c r="AY1740" s="104"/>
      <c r="BB1740" s="116"/>
      <c r="BL1740" s="104"/>
      <c r="BS1740" s="104"/>
    </row>
    <row r="1741" spans="42:71" s="89" customFormat="1" ht="15.75" customHeight="1">
      <c r="AP1741" s="104"/>
      <c r="AV1741" s="104"/>
      <c r="AY1741" s="104"/>
      <c r="BB1741" s="116"/>
      <c r="BL1741" s="104"/>
      <c r="BS1741" s="104"/>
    </row>
    <row r="1742" spans="42:71" s="89" customFormat="1" ht="15.75" customHeight="1">
      <c r="AP1742" s="104"/>
      <c r="AV1742" s="104"/>
      <c r="AY1742" s="104"/>
      <c r="BB1742" s="116"/>
      <c r="BL1742" s="104"/>
      <c r="BS1742" s="104"/>
    </row>
    <row r="1743" spans="42:71" s="89" customFormat="1" ht="15.75" customHeight="1">
      <c r="AP1743" s="104"/>
      <c r="AV1743" s="104"/>
      <c r="AY1743" s="104"/>
      <c r="BB1743" s="116"/>
      <c r="BL1743" s="104"/>
      <c r="BS1743" s="104"/>
    </row>
    <row r="1744" spans="42:71" s="89" customFormat="1" ht="15.75" customHeight="1">
      <c r="AP1744" s="104"/>
      <c r="AV1744" s="104"/>
      <c r="AY1744" s="104"/>
      <c r="BB1744" s="116"/>
      <c r="BL1744" s="104"/>
      <c r="BS1744" s="104"/>
    </row>
    <row r="1745" spans="42:71" s="89" customFormat="1" ht="15.75" customHeight="1">
      <c r="AP1745" s="104"/>
      <c r="AV1745" s="104"/>
      <c r="AY1745" s="104"/>
      <c r="BB1745" s="116"/>
      <c r="BL1745" s="104"/>
      <c r="BS1745" s="104"/>
    </row>
    <row r="1746" spans="42:71" s="89" customFormat="1" ht="15.75" customHeight="1">
      <c r="AP1746" s="104"/>
      <c r="AV1746" s="104"/>
      <c r="AY1746" s="104"/>
      <c r="BB1746" s="116"/>
      <c r="BL1746" s="104"/>
      <c r="BS1746" s="104"/>
    </row>
    <row r="1747" spans="42:71" s="89" customFormat="1" ht="15.75" customHeight="1">
      <c r="AP1747" s="104"/>
      <c r="AV1747" s="104"/>
      <c r="AY1747" s="104"/>
      <c r="BB1747" s="116"/>
      <c r="BL1747" s="104"/>
      <c r="BS1747" s="104"/>
    </row>
    <row r="1748" spans="42:71" s="89" customFormat="1" ht="15.75" customHeight="1">
      <c r="AP1748" s="104"/>
      <c r="AV1748" s="104"/>
      <c r="AY1748" s="104"/>
      <c r="BB1748" s="116"/>
      <c r="BL1748" s="104"/>
      <c r="BS1748" s="104"/>
    </row>
    <row r="1749" spans="42:71" s="89" customFormat="1" ht="15.75" customHeight="1">
      <c r="AP1749" s="104"/>
      <c r="AV1749" s="104"/>
      <c r="AY1749" s="104"/>
      <c r="BB1749" s="116"/>
      <c r="BL1749" s="104"/>
      <c r="BS1749" s="104"/>
    </row>
    <row r="1750" spans="42:71" s="89" customFormat="1" ht="15.75" customHeight="1">
      <c r="AP1750" s="104"/>
      <c r="AV1750" s="104"/>
      <c r="AY1750" s="104"/>
      <c r="BB1750" s="116"/>
      <c r="BL1750" s="104"/>
      <c r="BS1750" s="104"/>
    </row>
    <row r="1751" spans="42:71" s="89" customFormat="1" ht="15.75" customHeight="1">
      <c r="AP1751" s="104"/>
      <c r="AV1751" s="104"/>
      <c r="AY1751" s="104"/>
      <c r="BB1751" s="116"/>
      <c r="BL1751" s="104"/>
      <c r="BS1751" s="104"/>
    </row>
    <row r="1752" spans="42:71" s="89" customFormat="1" ht="15.75" customHeight="1">
      <c r="AP1752" s="104"/>
      <c r="AV1752" s="104"/>
      <c r="AY1752" s="104"/>
      <c r="BB1752" s="116"/>
      <c r="BL1752" s="104"/>
      <c r="BS1752" s="104"/>
    </row>
    <row r="1753" spans="42:71" s="89" customFormat="1" ht="15.75" customHeight="1">
      <c r="AP1753" s="104"/>
      <c r="AV1753" s="104"/>
      <c r="AY1753" s="104"/>
      <c r="BB1753" s="116"/>
      <c r="BL1753" s="104"/>
      <c r="BS1753" s="104"/>
    </row>
    <row r="1754" spans="42:71" s="89" customFormat="1" ht="15.75" customHeight="1">
      <c r="AP1754" s="104"/>
      <c r="AV1754" s="104"/>
      <c r="AY1754" s="104"/>
      <c r="BB1754" s="116"/>
      <c r="BL1754" s="104"/>
      <c r="BS1754" s="104"/>
    </row>
    <row r="1755" spans="42:71" s="89" customFormat="1" ht="15.75" customHeight="1">
      <c r="AP1755" s="104"/>
      <c r="AV1755" s="104"/>
      <c r="AY1755" s="104"/>
      <c r="BB1755" s="116"/>
      <c r="BL1755" s="104"/>
      <c r="BS1755" s="104"/>
    </row>
    <row r="1756" spans="42:71" s="89" customFormat="1" ht="15.75" customHeight="1">
      <c r="AP1756" s="104"/>
      <c r="AV1756" s="104"/>
      <c r="AY1756" s="104"/>
      <c r="BB1756" s="116"/>
      <c r="BL1756" s="104"/>
      <c r="BS1756" s="104"/>
    </row>
    <row r="1757" spans="42:71" s="89" customFormat="1" ht="15.75" customHeight="1">
      <c r="AP1757" s="104"/>
      <c r="AV1757" s="104"/>
      <c r="AY1757" s="104"/>
      <c r="BB1757" s="116"/>
      <c r="BL1757" s="104"/>
      <c r="BS1757" s="104"/>
    </row>
    <row r="1758" spans="42:71" s="89" customFormat="1" ht="15.75" customHeight="1">
      <c r="AP1758" s="104"/>
      <c r="AV1758" s="104"/>
      <c r="AY1758" s="104"/>
      <c r="BB1758" s="116"/>
      <c r="BL1758" s="104"/>
      <c r="BS1758" s="104"/>
    </row>
    <row r="1759" spans="42:71" s="89" customFormat="1" ht="15.75" customHeight="1">
      <c r="AP1759" s="104"/>
      <c r="AV1759" s="104"/>
      <c r="AY1759" s="104"/>
      <c r="BB1759" s="116"/>
      <c r="BL1759" s="104"/>
      <c r="BS1759" s="104"/>
    </row>
    <row r="1760" spans="42:71" s="89" customFormat="1" ht="15.75" customHeight="1">
      <c r="AP1760" s="104"/>
      <c r="AV1760" s="104"/>
      <c r="AY1760" s="104"/>
      <c r="BB1760" s="116"/>
      <c r="BL1760" s="104"/>
      <c r="BS1760" s="104"/>
    </row>
    <row r="1761" spans="42:71" s="89" customFormat="1" ht="15.75" customHeight="1">
      <c r="AP1761" s="104"/>
      <c r="AV1761" s="104"/>
      <c r="AY1761" s="104"/>
      <c r="BB1761" s="116"/>
      <c r="BL1761" s="104"/>
      <c r="BS1761" s="104"/>
    </row>
    <row r="1762" spans="42:71" s="89" customFormat="1" ht="15.75" customHeight="1">
      <c r="AP1762" s="104"/>
      <c r="AV1762" s="104"/>
      <c r="AY1762" s="104"/>
      <c r="BB1762" s="116"/>
      <c r="BL1762" s="104"/>
      <c r="BS1762" s="104"/>
    </row>
    <row r="1763" spans="42:71" s="89" customFormat="1" ht="15.75" customHeight="1">
      <c r="AP1763" s="104"/>
      <c r="AV1763" s="104"/>
      <c r="AY1763" s="104"/>
      <c r="BB1763" s="116"/>
      <c r="BL1763" s="104"/>
      <c r="BS1763" s="104"/>
    </row>
    <row r="1764" spans="42:71" s="89" customFormat="1" ht="15.75" customHeight="1">
      <c r="AP1764" s="104"/>
      <c r="AV1764" s="104"/>
      <c r="AY1764" s="104"/>
      <c r="BB1764" s="116"/>
      <c r="BL1764" s="104"/>
      <c r="BS1764" s="104"/>
    </row>
    <row r="1765" spans="42:71" s="89" customFormat="1" ht="15.75" customHeight="1">
      <c r="AP1765" s="104"/>
      <c r="AV1765" s="104"/>
      <c r="AY1765" s="104"/>
      <c r="BB1765" s="116"/>
      <c r="BL1765" s="104"/>
      <c r="BS1765" s="104"/>
    </row>
    <row r="1766" spans="42:71" s="89" customFormat="1" ht="15.75" customHeight="1">
      <c r="AP1766" s="104"/>
      <c r="AV1766" s="104"/>
      <c r="AY1766" s="104"/>
      <c r="BB1766" s="116"/>
      <c r="BL1766" s="104"/>
      <c r="BS1766" s="104"/>
    </row>
    <row r="1767" spans="42:71" s="89" customFormat="1" ht="15.75" customHeight="1">
      <c r="AP1767" s="104"/>
      <c r="AV1767" s="104"/>
      <c r="AY1767" s="104"/>
      <c r="BB1767" s="116"/>
      <c r="BL1767" s="104"/>
      <c r="BS1767" s="104"/>
    </row>
    <row r="1768" spans="42:71" s="89" customFormat="1" ht="15.75" customHeight="1">
      <c r="AP1768" s="104"/>
      <c r="AV1768" s="104"/>
      <c r="AY1768" s="104"/>
      <c r="BB1768" s="116"/>
      <c r="BL1768" s="104"/>
      <c r="BS1768" s="104"/>
    </row>
    <row r="1769" spans="42:71" s="89" customFormat="1" ht="15.75" customHeight="1">
      <c r="AP1769" s="104"/>
      <c r="AV1769" s="104"/>
      <c r="AY1769" s="104"/>
      <c r="BB1769" s="116"/>
      <c r="BL1769" s="104"/>
      <c r="BS1769" s="104"/>
    </row>
    <row r="1770" spans="42:71" s="89" customFormat="1" ht="15.75" customHeight="1">
      <c r="AP1770" s="104"/>
      <c r="AV1770" s="104"/>
      <c r="AY1770" s="104"/>
      <c r="BB1770" s="116"/>
      <c r="BL1770" s="104"/>
      <c r="BS1770" s="104"/>
    </row>
    <row r="1771" spans="42:71" s="89" customFormat="1" ht="15.75" customHeight="1">
      <c r="AP1771" s="104"/>
      <c r="AV1771" s="104"/>
      <c r="AY1771" s="104"/>
      <c r="BB1771" s="116"/>
      <c r="BL1771" s="104"/>
      <c r="BS1771" s="104"/>
    </row>
    <row r="1772" spans="42:71" s="89" customFormat="1" ht="15.75" customHeight="1">
      <c r="AP1772" s="104"/>
      <c r="AV1772" s="104"/>
      <c r="AY1772" s="104"/>
      <c r="BB1772" s="116"/>
      <c r="BL1772" s="104"/>
      <c r="BS1772" s="104"/>
    </row>
    <row r="1773" spans="42:71" s="89" customFormat="1" ht="15.75" customHeight="1">
      <c r="AP1773" s="104"/>
      <c r="AV1773" s="104"/>
      <c r="AY1773" s="104"/>
      <c r="BB1773" s="116"/>
      <c r="BL1773" s="104"/>
      <c r="BS1773" s="104"/>
    </row>
    <row r="1774" spans="42:71" s="89" customFormat="1" ht="15.75" customHeight="1">
      <c r="AP1774" s="104"/>
      <c r="AV1774" s="104"/>
      <c r="AY1774" s="104"/>
      <c r="BB1774" s="116"/>
      <c r="BL1774" s="104"/>
      <c r="BS1774" s="104"/>
    </row>
    <row r="1775" spans="42:71" s="89" customFormat="1" ht="15.75" customHeight="1">
      <c r="AP1775" s="104"/>
      <c r="AV1775" s="104"/>
      <c r="AY1775" s="104"/>
      <c r="BB1775" s="116"/>
      <c r="BL1775" s="104"/>
      <c r="BS1775" s="104"/>
    </row>
    <row r="1776" spans="42:71" s="89" customFormat="1" ht="15.75" customHeight="1">
      <c r="AP1776" s="104"/>
      <c r="AV1776" s="104"/>
      <c r="AY1776" s="104"/>
      <c r="BB1776" s="116"/>
      <c r="BL1776" s="104"/>
      <c r="BS1776" s="104"/>
    </row>
    <row r="1777" spans="42:71" s="89" customFormat="1" ht="15.75" customHeight="1">
      <c r="AP1777" s="104"/>
      <c r="AV1777" s="104"/>
      <c r="AY1777" s="104"/>
      <c r="BB1777" s="116"/>
      <c r="BL1777" s="104"/>
      <c r="BS1777" s="104"/>
    </row>
    <row r="1778" spans="42:71" s="89" customFormat="1" ht="15.75" customHeight="1">
      <c r="AP1778" s="104"/>
      <c r="AV1778" s="104"/>
      <c r="AY1778" s="104"/>
      <c r="BB1778" s="116"/>
      <c r="BL1778" s="104"/>
      <c r="BS1778" s="104"/>
    </row>
    <row r="1779" spans="42:71" s="89" customFormat="1" ht="15.75" customHeight="1">
      <c r="AP1779" s="104"/>
      <c r="AV1779" s="104"/>
      <c r="AY1779" s="104"/>
      <c r="BB1779" s="116"/>
      <c r="BL1779" s="104"/>
      <c r="BS1779" s="104"/>
    </row>
    <row r="1780" spans="42:71" s="89" customFormat="1" ht="15.75" customHeight="1">
      <c r="AP1780" s="104"/>
      <c r="AV1780" s="104"/>
      <c r="AY1780" s="104"/>
      <c r="BB1780" s="116"/>
      <c r="BL1780" s="104"/>
      <c r="BS1780" s="104"/>
    </row>
    <row r="1781" spans="42:71" s="89" customFormat="1" ht="15.75" customHeight="1">
      <c r="AP1781" s="104"/>
      <c r="AV1781" s="104"/>
      <c r="AY1781" s="104"/>
      <c r="BB1781" s="116"/>
      <c r="BL1781" s="104"/>
      <c r="BS1781" s="104"/>
    </row>
    <row r="1782" spans="42:71" s="89" customFormat="1" ht="15.75" customHeight="1">
      <c r="AP1782" s="104"/>
      <c r="AV1782" s="104"/>
      <c r="AY1782" s="104"/>
      <c r="BB1782" s="116"/>
      <c r="BL1782" s="104"/>
      <c r="BS1782" s="104"/>
    </row>
    <row r="1783" spans="42:71" s="89" customFormat="1" ht="15.75" customHeight="1">
      <c r="AP1783" s="104"/>
      <c r="AV1783" s="104"/>
      <c r="AY1783" s="104"/>
      <c r="BB1783" s="116"/>
      <c r="BL1783" s="104"/>
      <c r="BS1783" s="104"/>
    </row>
    <row r="1784" spans="42:71" s="89" customFormat="1" ht="15.75" customHeight="1">
      <c r="AP1784" s="104"/>
      <c r="AV1784" s="104"/>
      <c r="AY1784" s="104"/>
      <c r="BB1784" s="116"/>
      <c r="BL1784" s="104"/>
      <c r="BS1784" s="104"/>
    </row>
    <row r="1785" spans="42:71" s="89" customFormat="1" ht="15.75" customHeight="1">
      <c r="AP1785" s="104"/>
      <c r="AV1785" s="104"/>
      <c r="AY1785" s="104"/>
      <c r="BB1785" s="116"/>
      <c r="BL1785" s="104"/>
      <c r="BS1785" s="104"/>
    </row>
    <row r="1786" spans="42:71" s="89" customFormat="1" ht="15.75" customHeight="1">
      <c r="AP1786" s="104"/>
      <c r="AV1786" s="104"/>
      <c r="AY1786" s="104"/>
      <c r="BB1786" s="116"/>
      <c r="BL1786" s="104"/>
      <c r="BS1786" s="104"/>
    </row>
    <row r="1787" spans="42:71" s="89" customFormat="1" ht="15.75" customHeight="1">
      <c r="AP1787" s="104"/>
      <c r="AV1787" s="104"/>
      <c r="AY1787" s="104"/>
      <c r="BB1787" s="116"/>
      <c r="BL1787" s="104"/>
      <c r="BS1787" s="104"/>
    </row>
    <row r="1788" spans="42:71" s="89" customFormat="1" ht="15.75" customHeight="1">
      <c r="AP1788" s="104"/>
      <c r="AV1788" s="104"/>
      <c r="AY1788" s="104"/>
      <c r="BB1788" s="116"/>
      <c r="BL1788" s="104"/>
      <c r="BS1788" s="104"/>
    </row>
    <row r="1789" spans="42:71" s="89" customFormat="1" ht="15.75" customHeight="1">
      <c r="AP1789" s="104"/>
      <c r="AV1789" s="104"/>
      <c r="AY1789" s="104"/>
      <c r="BB1789" s="116"/>
      <c r="BL1789" s="104"/>
      <c r="BS1789" s="104"/>
    </row>
    <row r="1790" spans="42:71" s="89" customFormat="1" ht="15.75" customHeight="1">
      <c r="AP1790" s="104"/>
      <c r="AV1790" s="104"/>
      <c r="AY1790" s="104"/>
      <c r="BB1790" s="116"/>
      <c r="BL1790" s="104"/>
      <c r="BS1790" s="104"/>
    </row>
    <row r="1791" spans="42:71" s="89" customFormat="1" ht="15.75" customHeight="1">
      <c r="AP1791" s="104"/>
      <c r="AV1791" s="104"/>
      <c r="AY1791" s="104"/>
      <c r="BB1791" s="116"/>
      <c r="BL1791" s="104"/>
      <c r="BS1791" s="104"/>
    </row>
    <row r="1792" spans="42:71" s="89" customFormat="1" ht="15.75" customHeight="1">
      <c r="AP1792" s="104"/>
      <c r="AV1792" s="104"/>
      <c r="AY1792" s="104"/>
      <c r="BB1792" s="116"/>
      <c r="BL1792" s="104"/>
      <c r="BS1792" s="104"/>
    </row>
    <row r="1793" spans="42:71" s="89" customFormat="1" ht="15.75" customHeight="1">
      <c r="AP1793" s="104"/>
      <c r="AV1793" s="104"/>
      <c r="AY1793" s="104"/>
      <c r="BB1793" s="116"/>
      <c r="BL1793" s="104"/>
      <c r="BS1793" s="104"/>
    </row>
    <row r="1794" spans="42:71" s="89" customFormat="1" ht="15.75" customHeight="1">
      <c r="AP1794" s="104"/>
      <c r="AV1794" s="104"/>
      <c r="AY1794" s="104"/>
      <c r="BB1794" s="116"/>
      <c r="BL1794" s="104"/>
      <c r="BS1794" s="104"/>
    </row>
    <row r="1795" spans="42:71" s="89" customFormat="1" ht="15.75" customHeight="1">
      <c r="AP1795" s="104"/>
      <c r="AV1795" s="104"/>
      <c r="AY1795" s="104"/>
      <c r="BB1795" s="116"/>
      <c r="BL1795" s="104"/>
      <c r="BS1795" s="104"/>
    </row>
    <row r="1796" spans="42:71" s="89" customFormat="1" ht="15.75" customHeight="1">
      <c r="AP1796" s="104"/>
      <c r="AV1796" s="104"/>
      <c r="AY1796" s="104"/>
      <c r="BB1796" s="116"/>
      <c r="BL1796" s="104"/>
      <c r="BS1796" s="104"/>
    </row>
    <row r="1797" spans="42:71" s="89" customFormat="1" ht="15.75" customHeight="1">
      <c r="AP1797" s="104"/>
      <c r="AV1797" s="104"/>
      <c r="AY1797" s="104"/>
      <c r="BB1797" s="116"/>
      <c r="BL1797" s="104"/>
      <c r="BS1797" s="104"/>
    </row>
    <row r="1798" spans="42:71" s="89" customFormat="1" ht="15.75" customHeight="1">
      <c r="AP1798" s="104"/>
      <c r="AV1798" s="104"/>
      <c r="AY1798" s="104"/>
      <c r="BB1798" s="116"/>
      <c r="BL1798" s="104"/>
      <c r="BS1798" s="104"/>
    </row>
    <row r="1799" spans="42:71" s="89" customFormat="1" ht="15.75" customHeight="1">
      <c r="AP1799" s="104"/>
      <c r="AV1799" s="104"/>
      <c r="AY1799" s="104"/>
      <c r="BB1799" s="116"/>
      <c r="BL1799" s="104"/>
      <c r="BS1799" s="104"/>
    </row>
    <row r="1800" spans="42:71" s="89" customFormat="1" ht="15.75" customHeight="1">
      <c r="AP1800" s="104"/>
      <c r="AV1800" s="104"/>
      <c r="AY1800" s="104"/>
      <c r="BB1800" s="116"/>
      <c r="BL1800" s="104"/>
      <c r="BS1800" s="104"/>
    </row>
    <row r="1801" spans="42:71" s="89" customFormat="1" ht="15.75" customHeight="1">
      <c r="AP1801" s="104"/>
      <c r="AV1801" s="104"/>
      <c r="AY1801" s="104"/>
      <c r="BB1801" s="116"/>
      <c r="BL1801" s="104"/>
      <c r="BS1801" s="104"/>
    </row>
    <row r="1802" spans="42:71" s="89" customFormat="1" ht="15.75" customHeight="1">
      <c r="AP1802" s="104"/>
      <c r="AV1802" s="104"/>
      <c r="AY1802" s="104"/>
      <c r="BB1802" s="116"/>
      <c r="BL1802" s="104"/>
      <c r="BS1802" s="104"/>
    </row>
    <row r="1803" spans="42:71" s="89" customFormat="1" ht="15.75" customHeight="1">
      <c r="AP1803" s="104"/>
      <c r="AV1803" s="104"/>
      <c r="AY1803" s="104"/>
      <c r="BB1803" s="116"/>
      <c r="BL1803" s="104"/>
      <c r="BS1803" s="104"/>
    </row>
    <row r="1804" spans="42:71" s="89" customFormat="1" ht="15.75" customHeight="1">
      <c r="AP1804" s="104"/>
      <c r="AV1804" s="104"/>
      <c r="AY1804" s="104"/>
      <c r="BB1804" s="116"/>
      <c r="BL1804" s="104"/>
      <c r="BS1804" s="104"/>
    </row>
    <row r="1805" spans="42:71" s="89" customFormat="1" ht="15.75" customHeight="1">
      <c r="AP1805" s="104"/>
      <c r="AV1805" s="104"/>
      <c r="AY1805" s="104"/>
      <c r="BB1805" s="116"/>
      <c r="BL1805" s="104"/>
      <c r="BS1805" s="104"/>
    </row>
    <row r="1806" spans="42:71" s="89" customFormat="1" ht="15.75" customHeight="1">
      <c r="AP1806" s="104"/>
      <c r="AV1806" s="104"/>
      <c r="AY1806" s="104"/>
      <c r="BB1806" s="116"/>
      <c r="BL1806" s="104"/>
      <c r="BS1806" s="104"/>
    </row>
    <row r="1807" spans="42:71" s="89" customFormat="1" ht="15.75" customHeight="1">
      <c r="AP1807" s="104"/>
      <c r="AV1807" s="104"/>
      <c r="AY1807" s="104"/>
      <c r="BB1807" s="116"/>
      <c r="BL1807" s="104"/>
      <c r="BS1807" s="104"/>
    </row>
    <row r="1808" spans="42:71" s="89" customFormat="1" ht="15.75" customHeight="1">
      <c r="AP1808" s="104"/>
      <c r="AV1808" s="104"/>
      <c r="AY1808" s="104"/>
      <c r="BB1808" s="116"/>
      <c r="BL1808" s="104"/>
      <c r="BS1808" s="104"/>
    </row>
    <row r="1809" spans="42:71" s="89" customFormat="1" ht="15.75" customHeight="1">
      <c r="AP1809" s="104"/>
      <c r="AV1809" s="104"/>
      <c r="AY1809" s="104"/>
      <c r="BB1809" s="116"/>
      <c r="BL1809" s="104"/>
      <c r="BS1809" s="104"/>
    </row>
    <row r="1810" spans="42:71" s="89" customFormat="1" ht="15.75" customHeight="1">
      <c r="AP1810" s="104"/>
      <c r="AV1810" s="104"/>
      <c r="AY1810" s="104"/>
      <c r="BB1810" s="116"/>
      <c r="BL1810" s="104"/>
      <c r="BS1810" s="104"/>
    </row>
    <row r="1811" spans="42:71" s="89" customFormat="1" ht="15.75" customHeight="1">
      <c r="AP1811" s="104"/>
      <c r="AV1811" s="104"/>
      <c r="AY1811" s="104"/>
      <c r="BB1811" s="116"/>
      <c r="BL1811" s="104"/>
      <c r="BS1811" s="104"/>
    </row>
    <row r="1812" spans="42:71" s="89" customFormat="1" ht="15.75" customHeight="1">
      <c r="AP1812" s="104"/>
      <c r="AV1812" s="104"/>
      <c r="AY1812" s="104"/>
      <c r="BB1812" s="116"/>
      <c r="BL1812" s="104"/>
      <c r="BS1812" s="104"/>
    </row>
    <row r="1813" spans="42:71" s="89" customFormat="1" ht="15.75" customHeight="1">
      <c r="AP1813" s="104"/>
      <c r="AV1813" s="104"/>
      <c r="AY1813" s="104"/>
      <c r="BB1813" s="116"/>
      <c r="BL1813" s="104"/>
      <c r="BS1813" s="104"/>
    </row>
    <row r="1814" spans="42:71" s="89" customFormat="1" ht="15.75" customHeight="1">
      <c r="AP1814" s="104"/>
      <c r="AV1814" s="104"/>
      <c r="AY1814" s="104"/>
      <c r="BB1814" s="116"/>
      <c r="BL1814" s="104"/>
      <c r="BS1814" s="104"/>
    </row>
    <row r="1815" spans="42:71" s="89" customFormat="1" ht="15.75" customHeight="1">
      <c r="AP1815" s="104"/>
      <c r="AV1815" s="104"/>
      <c r="AY1815" s="104"/>
      <c r="BB1815" s="116"/>
      <c r="BL1815" s="104"/>
      <c r="BS1815" s="104"/>
    </row>
    <row r="1816" spans="42:71" s="89" customFormat="1" ht="15.75" customHeight="1">
      <c r="AP1816" s="104"/>
      <c r="AV1816" s="104"/>
      <c r="AY1816" s="104"/>
      <c r="BB1816" s="116"/>
      <c r="BL1816" s="104"/>
      <c r="BS1816" s="104"/>
    </row>
    <row r="1817" spans="42:71" s="89" customFormat="1" ht="15.75" customHeight="1">
      <c r="AP1817" s="104"/>
      <c r="AV1817" s="104"/>
      <c r="AY1817" s="104"/>
      <c r="BB1817" s="116"/>
      <c r="BL1817" s="104"/>
      <c r="BS1817" s="104"/>
    </row>
    <row r="1818" spans="42:71" s="89" customFormat="1" ht="15.75" customHeight="1">
      <c r="AP1818" s="104"/>
      <c r="AV1818" s="104"/>
      <c r="AY1818" s="104"/>
      <c r="BB1818" s="116"/>
      <c r="BL1818" s="104"/>
      <c r="BS1818" s="104"/>
    </row>
    <row r="1819" spans="42:71" s="89" customFormat="1" ht="15.75" customHeight="1">
      <c r="AP1819" s="104"/>
      <c r="AV1819" s="104"/>
      <c r="AY1819" s="104"/>
      <c r="BB1819" s="116"/>
      <c r="BL1819" s="104"/>
      <c r="BS1819" s="104"/>
    </row>
    <row r="1820" spans="42:71" s="89" customFormat="1" ht="15.75" customHeight="1">
      <c r="AP1820" s="104"/>
      <c r="AV1820" s="104"/>
      <c r="AY1820" s="104"/>
      <c r="BB1820" s="116"/>
      <c r="BL1820" s="104"/>
      <c r="BS1820" s="104"/>
    </row>
    <row r="1821" spans="42:71" s="89" customFormat="1" ht="15.75" customHeight="1">
      <c r="AP1821" s="104"/>
      <c r="AV1821" s="104"/>
      <c r="AY1821" s="104"/>
      <c r="BB1821" s="116"/>
      <c r="BL1821" s="104"/>
      <c r="BS1821" s="104"/>
    </row>
    <row r="1822" spans="42:71" s="89" customFormat="1" ht="15.75" customHeight="1">
      <c r="AP1822" s="104"/>
      <c r="AV1822" s="104"/>
      <c r="AY1822" s="104"/>
      <c r="BB1822" s="116"/>
      <c r="BL1822" s="104"/>
      <c r="BS1822" s="104"/>
    </row>
    <row r="1823" spans="42:71" s="89" customFormat="1" ht="15.75" customHeight="1">
      <c r="AP1823" s="104"/>
      <c r="AV1823" s="104"/>
      <c r="AY1823" s="104"/>
      <c r="BB1823" s="116"/>
      <c r="BL1823" s="104"/>
      <c r="BS1823" s="104"/>
    </row>
    <row r="1824" spans="42:71" s="89" customFormat="1" ht="15.75" customHeight="1">
      <c r="AP1824" s="104"/>
      <c r="AV1824" s="104"/>
      <c r="AY1824" s="104"/>
      <c r="BB1824" s="116"/>
      <c r="BL1824" s="104"/>
      <c r="BS1824" s="104"/>
    </row>
    <row r="1825" spans="42:71" s="89" customFormat="1" ht="15.75" customHeight="1">
      <c r="AP1825" s="104"/>
      <c r="AV1825" s="104"/>
      <c r="AY1825" s="104"/>
      <c r="BB1825" s="116"/>
      <c r="BL1825" s="104"/>
      <c r="BS1825" s="104"/>
    </row>
    <row r="1826" spans="42:71" s="89" customFormat="1" ht="15.75" customHeight="1">
      <c r="AP1826" s="104"/>
      <c r="AV1826" s="104"/>
      <c r="AY1826" s="104"/>
      <c r="BB1826" s="116"/>
      <c r="BL1826" s="104"/>
      <c r="BS1826" s="104"/>
    </row>
    <row r="1827" spans="42:71" s="89" customFormat="1" ht="15.75" customHeight="1">
      <c r="AP1827" s="104"/>
      <c r="AV1827" s="104"/>
      <c r="AY1827" s="104"/>
      <c r="BB1827" s="116"/>
      <c r="BL1827" s="104"/>
      <c r="BS1827" s="104"/>
    </row>
    <row r="1828" spans="42:71" s="89" customFormat="1" ht="15.75" customHeight="1">
      <c r="AP1828" s="104"/>
      <c r="AV1828" s="104"/>
      <c r="AY1828" s="104"/>
      <c r="BB1828" s="116"/>
      <c r="BL1828" s="104"/>
      <c r="BS1828" s="104"/>
    </row>
    <row r="1829" spans="42:71" s="89" customFormat="1" ht="15.75" customHeight="1">
      <c r="AP1829" s="104"/>
      <c r="AV1829" s="104"/>
      <c r="AY1829" s="104"/>
      <c r="BB1829" s="116"/>
      <c r="BL1829" s="104"/>
      <c r="BS1829" s="104"/>
    </row>
    <row r="1830" spans="42:71" s="89" customFormat="1" ht="15.75" customHeight="1">
      <c r="AP1830" s="104"/>
      <c r="AV1830" s="104"/>
      <c r="AY1830" s="104"/>
      <c r="BB1830" s="116"/>
      <c r="BL1830" s="104"/>
      <c r="BS1830" s="104"/>
    </row>
    <row r="1831" spans="42:71" s="89" customFormat="1" ht="15.75" customHeight="1">
      <c r="AP1831" s="104"/>
      <c r="AV1831" s="104"/>
      <c r="AY1831" s="104"/>
      <c r="BB1831" s="116"/>
      <c r="BL1831" s="104"/>
      <c r="BS1831" s="104"/>
    </row>
    <row r="1832" spans="42:71" s="89" customFormat="1" ht="15.75" customHeight="1">
      <c r="AP1832" s="104"/>
      <c r="AV1832" s="104"/>
      <c r="AY1832" s="104"/>
      <c r="BB1832" s="116"/>
      <c r="BL1832" s="104"/>
      <c r="BS1832" s="104"/>
    </row>
    <row r="1833" spans="42:71" s="89" customFormat="1" ht="15.75" customHeight="1">
      <c r="AP1833" s="104"/>
      <c r="AV1833" s="104"/>
      <c r="AY1833" s="104"/>
      <c r="BB1833" s="116"/>
      <c r="BL1833" s="104"/>
      <c r="BS1833" s="104"/>
    </row>
    <row r="1834" spans="42:71" s="89" customFormat="1" ht="15.75" customHeight="1">
      <c r="AP1834" s="104"/>
      <c r="AV1834" s="104"/>
      <c r="AY1834" s="104"/>
      <c r="BB1834" s="116"/>
      <c r="BL1834" s="104"/>
      <c r="BS1834" s="104"/>
    </row>
    <row r="1835" spans="42:71" s="89" customFormat="1" ht="15.75" customHeight="1">
      <c r="AP1835" s="104"/>
      <c r="AV1835" s="104"/>
      <c r="AY1835" s="104"/>
      <c r="BB1835" s="116"/>
      <c r="BL1835" s="104"/>
      <c r="BS1835" s="104"/>
    </row>
    <row r="1836" spans="42:71" s="89" customFormat="1" ht="15.75" customHeight="1">
      <c r="AP1836" s="104"/>
      <c r="AV1836" s="104"/>
      <c r="AY1836" s="104"/>
      <c r="BB1836" s="116"/>
      <c r="BL1836" s="104"/>
      <c r="BS1836" s="104"/>
    </row>
    <row r="1837" spans="42:71" s="89" customFormat="1" ht="15.75" customHeight="1">
      <c r="AP1837" s="104"/>
      <c r="AV1837" s="104"/>
      <c r="AY1837" s="104"/>
      <c r="BB1837" s="116"/>
      <c r="BL1837" s="104"/>
      <c r="BS1837" s="104"/>
    </row>
    <row r="1838" spans="42:71" s="89" customFormat="1" ht="15.75" customHeight="1">
      <c r="AP1838" s="104"/>
      <c r="AV1838" s="104"/>
      <c r="AY1838" s="104"/>
      <c r="BB1838" s="116"/>
      <c r="BL1838" s="104"/>
      <c r="BS1838" s="104"/>
    </row>
    <row r="1839" spans="42:71" s="89" customFormat="1" ht="15.75" customHeight="1">
      <c r="AP1839" s="104"/>
      <c r="AV1839" s="104"/>
      <c r="AY1839" s="104"/>
      <c r="BB1839" s="116"/>
      <c r="BL1839" s="104"/>
      <c r="BS1839" s="104"/>
    </row>
    <row r="1840" spans="42:71" s="89" customFormat="1" ht="15.75" customHeight="1">
      <c r="AP1840" s="104"/>
      <c r="AV1840" s="104"/>
      <c r="AY1840" s="104"/>
      <c r="BB1840" s="116"/>
      <c r="BL1840" s="104"/>
      <c r="BS1840" s="104"/>
    </row>
    <row r="1841" spans="42:71" s="89" customFormat="1" ht="15.75" customHeight="1">
      <c r="AP1841" s="104"/>
      <c r="AV1841" s="104"/>
      <c r="AY1841" s="104"/>
      <c r="BB1841" s="116"/>
      <c r="BL1841" s="104"/>
      <c r="BS1841" s="104"/>
    </row>
    <row r="1842" spans="42:71" s="89" customFormat="1" ht="15.75" customHeight="1">
      <c r="AP1842" s="104"/>
      <c r="AV1842" s="104"/>
      <c r="AY1842" s="104"/>
      <c r="BB1842" s="116"/>
      <c r="BL1842" s="104"/>
      <c r="BS1842" s="104"/>
    </row>
    <row r="1843" spans="42:71" s="89" customFormat="1" ht="15.75" customHeight="1">
      <c r="AP1843" s="104"/>
      <c r="AV1843" s="104"/>
      <c r="AY1843" s="104"/>
      <c r="BB1843" s="116"/>
      <c r="BL1843" s="104"/>
      <c r="BS1843" s="104"/>
    </row>
    <row r="1844" spans="42:71" s="89" customFormat="1" ht="15.75" customHeight="1">
      <c r="AP1844" s="104"/>
      <c r="AV1844" s="104"/>
      <c r="AY1844" s="104"/>
      <c r="BB1844" s="116"/>
      <c r="BL1844" s="104"/>
      <c r="BS1844" s="104"/>
    </row>
    <row r="1845" spans="42:71" s="89" customFormat="1" ht="15.75" customHeight="1">
      <c r="AP1845" s="104"/>
      <c r="AV1845" s="104"/>
      <c r="AY1845" s="104"/>
      <c r="BB1845" s="116"/>
      <c r="BL1845" s="104"/>
      <c r="BS1845" s="104"/>
    </row>
    <row r="1846" spans="42:71" s="89" customFormat="1" ht="15.75" customHeight="1">
      <c r="AP1846" s="104"/>
      <c r="AV1846" s="104"/>
      <c r="AY1846" s="104"/>
      <c r="BB1846" s="116"/>
      <c r="BL1846" s="104"/>
      <c r="BS1846" s="104"/>
    </row>
    <row r="1847" spans="42:71" s="89" customFormat="1" ht="15.75" customHeight="1">
      <c r="AP1847" s="104"/>
      <c r="AV1847" s="104"/>
      <c r="AY1847" s="104"/>
      <c r="BB1847" s="116"/>
      <c r="BL1847" s="104"/>
      <c r="BS1847" s="104"/>
    </row>
    <row r="1848" spans="42:71" s="89" customFormat="1" ht="15.75" customHeight="1">
      <c r="AP1848" s="104"/>
      <c r="AV1848" s="104"/>
      <c r="AY1848" s="104"/>
      <c r="BB1848" s="116"/>
      <c r="BL1848" s="104"/>
      <c r="BS1848" s="104"/>
    </row>
    <row r="1849" spans="42:71" s="89" customFormat="1" ht="15.75" customHeight="1">
      <c r="AP1849" s="104"/>
      <c r="AV1849" s="104"/>
      <c r="AY1849" s="104"/>
      <c r="BB1849" s="116"/>
      <c r="BL1849" s="104"/>
      <c r="BS1849" s="104"/>
    </row>
    <row r="1850" spans="42:71" s="89" customFormat="1" ht="15.75" customHeight="1">
      <c r="AP1850" s="104"/>
      <c r="AV1850" s="104"/>
      <c r="AY1850" s="104"/>
      <c r="BB1850" s="116"/>
      <c r="BL1850" s="104"/>
      <c r="BS1850" s="104"/>
    </row>
    <row r="1851" spans="42:71" s="89" customFormat="1" ht="15.75" customHeight="1">
      <c r="AP1851" s="104"/>
      <c r="AV1851" s="104"/>
      <c r="AY1851" s="104"/>
      <c r="BB1851" s="116"/>
      <c r="BL1851" s="104"/>
      <c r="BS1851" s="104"/>
    </row>
    <row r="1852" spans="42:71" s="89" customFormat="1" ht="15.75" customHeight="1">
      <c r="AP1852" s="104"/>
      <c r="AV1852" s="104"/>
      <c r="AY1852" s="104"/>
      <c r="BB1852" s="116"/>
      <c r="BL1852" s="104"/>
      <c r="BS1852" s="104"/>
    </row>
    <row r="1853" spans="42:71" s="89" customFormat="1" ht="15.75" customHeight="1">
      <c r="AP1853" s="104"/>
      <c r="AV1853" s="104"/>
      <c r="AY1853" s="104"/>
      <c r="BB1853" s="116"/>
      <c r="BL1853" s="104"/>
      <c r="BS1853" s="104"/>
    </row>
    <row r="1854" spans="42:71" s="89" customFormat="1" ht="15.75" customHeight="1">
      <c r="AP1854" s="104"/>
      <c r="AV1854" s="104"/>
      <c r="AY1854" s="104"/>
      <c r="BB1854" s="116"/>
      <c r="BL1854" s="104"/>
      <c r="BS1854" s="104"/>
    </row>
    <row r="1855" spans="42:71" s="89" customFormat="1" ht="15.75" customHeight="1">
      <c r="AP1855" s="104"/>
      <c r="AV1855" s="104"/>
      <c r="AY1855" s="104"/>
      <c r="BB1855" s="116"/>
      <c r="BL1855" s="104"/>
      <c r="BS1855" s="104"/>
    </row>
    <row r="1856" spans="42:71" s="89" customFormat="1" ht="15.75" customHeight="1">
      <c r="AP1856" s="104"/>
      <c r="AV1856" s="104"/>
      <c r="AY1856" s="104"/>
      <c r="BB1856" s="116"/>
      <c r="BL1856" s="104"/>
      <c r="BS1856" s="104"/>
    </row>
    <row r="1857" spans="42:71" s="89" customFormat="1" ht="15.75" customHeight="1">
      <c r="AP1857" s="104"/>
      <c r="AV1857" s="104"/>
      <c r="AY1857" s="104"/>
      <c r="BB1857" s="116"/>
      <c r="BL1857" s="104"/>
      <c r="BS1857" s="104"/>
    </row>
    <row r="1858" spans="42:71" s="89" customFormat="1" ht="15.75" customHeight="1">
      <c r="AP1858" s="104"/>
      <c r="AV1858" s="104"/>
      <c r="AY1858" s="104"/>
      <c r="BB1858" s="116"/>
      <c r="BL1858" s="104"/>
      <c r="BS1858" s="104"/>
    </row>
    <row r="1859" spans="42:71" s="89" customFormat="1" ht="15.75" customHeight="1">
      <c r="AP1859" s="104"/>
      <c r="AV1859" s="104"/>
      <c r="AY1859" s="104"/>
      <c r="BB1859" s="116"/>
      <c r="BL1859" s="104"/>
      <c r="BS1859" s="104"/>
    </row>
    <row r="1860" spans="42:71" s="89" customFormat="1" ht="15.75" customHeight="1">
      <c r="AP1860" s="104"/>
      <c r="AV1860" s="104"/>
      <c r="AY1860" s="104"/>
      <c r="BB1860" s="116"/>
      <c r="BL1860" s="104"/>
      <c r="BS1860" s="104"/>
    </row>
    <row r="1861" spans="42:71" s="89" customFormat="1" ht="15.75" customHeight="1">
      <c r="AP1861" s="104"/>
      <c r="AV1861" s="104"/>
      <c r="AY1861" s="104"/>
      <c r="BB1861" s="116"/>
      <c r="BL1861" s="104"/>
      <c r="BS1861" s="104"/>
    </row>
    <row r="1862" spans="42:71" s="89" customFormat="1" ht="15.75" customHeight="1">
      <c r="AP1862" s="104"/>
      <c r="AV1862" s="104"/>
      <c r="AY1862" s="104"/>
      <c r="BB1862" s="116"/>
      <c r="BL1862" s="104"/>
      <c r="BS1862" s="104"/>
    </row>
    <row r="1863" spans="42:71" s="89" customFormat="1" ht="15.75" customHeight="1">
      <c r="AP1863" s="104"/>
      <c r="AV1863" s="104"/>
      <c r="AY1863" s="104"/>
      <c r="BB1863" s="116"/>
      <c r="BL1863" s="104"/>
      <c r="BS1863" s="104"/>
    </row>
    <row r="1864" spans="42:71" s="89" customFormat="1" ht="15.75" customHeight="1">
      <c r="AP1864" s="104"/>
      <c r="AV1864" s="104"/>
      <c r="AY1864" s="104"/>
      <c r="BB1864" s="116"/>
      <c r="BL1864" s="104"/>
      <c r="BS1864" s="104"/>
    </row>
    <row r="1865" spans="42:71" s="89" customFormat="1" ht="15.75" customHeight="1">
      <c r="AP1865" s="104"/>
      <c r="AV1865" s="104"/>
      <c r="AY1865" s="104"/>
      <c r="BB1865" s="116"/>
      <c r="BL1865" s="104"/>
      <c r="BS1865" s="104"/>
    </row>
    <row r="1866" spans="42:71" s="89" customFormat="1" ht="15.75" customHeight="1">
      <c r="AP1866" s="104"/>
      <c r="AV1866" s="104"/>
      <c r="AY1866" s="104"/>
      <c r="BB1866" s="116"/>
      <c r="BL1866" s="104"/>
      <c r="BS1866" s="104"/>
    </row>
    <row r="1867" spans="42:71" s="89" customFormat="1" ht="15.75" customHeight="1">
      <c r="AP1867" s="104"/>
      <c r="AV1867" s="104"/>
      <c r="AY1867" s="104"/>
      <c r="BB1867" s="116"/>
      <c r="BL1867" s="104"/>
      <c r="BS1867" s="104"/>
    </row>
    <row r="1868" spans="42:71" s="89" customFormat="1" ht="15.75" customHeight="1">
      <c r="AP1868" s="104"/>
      <c r="AV1868" s="104"/>
      <c r="AY1868" s="104"/>
      <c r="BB1868" s="116"/>
      <c r="BL1868" s="104"/>
      <c r="BS1868" s="104"/>
    </row>
    <row r="1869" spans="42:71" s="89" customFormat="1" ht="15.75" customHeight="1">
      <c r="AP1869" s="104"/>
      <c r="AV1869" s="104"/>
      <c r="AY1869" s="104"/>
      <c r="BB1869" s="116"/>
      <c r="BL1869" s="104"/>
      <c r="BS1869" s="104"/>
    </row>
    <row r="1870" spans="42:71" s="89" customFormat="1" ht="15.75" customHeight="1">
      <c r="AP1870" s="104"/>
      <c r="AV1870" s="104"/>
      <c r="AY1870" s="104"/>
      <c r="BB1870" s="116"/>
      <c r="BL1870" s="104"/>
      <c r="BS1870" s="104"/>
    </row>
    <row r="1871" spans="42:71" s="89" customFormat="1" ht="15.75" customHeight="1">
      <c r="AP1871" s="104"/>
      <c r="AV1871" s="104"/>
      <c r="AY1871" s="104"/>
      <c r="BB1871" s="116"/>
      <c r="BL1871" s="104"/>
      <c r="BS1871" s="104"/>
    </row>
    <row r="1872" spans="42:71" s="89" customFormat="1" ht="15.75" customHeight="1">
      <c r="AP1872" s="104"/>
      <c r="AV1872" s="104"/>
      <c r="AY1872" s="104"/>
      <c r="BB1872" s="116"/>
      <c r="BL1872" s="104"/>
      <c r="BS1872" s="104"/>
    </row>
    <row r="1873" spans="42:71" s="89" customFormat="1" ht="15.75" customHeight="1">
      <c r="AP1873" s="104"/>
      <c r="AV1873" s="104"/>
      <c r="AY1873" s="104"/>
      <c r="BB1873" s="116"/>
      <c r="BL1873" s="104"/>
      <c r="BS1873" s="104"/>
    </row>
    <row r="1874" spans="42:71" s="89" customFormat="1" ht="15.75" customHeight="1">
      <c r="AP1874" s="104"/>
      <c r="AV1874" s="104"/>
      <c r="AY1874" s="104"/>
      <c r="BB1874" s="116"/>
      <c r="BL1874" s="104"/>
      <c r="BS1874" s="104"/>
    </row>
    <row r="1875" spans="42:71" s="89" customFormat="1" ht="15.75" customHeight="1">
      <c r="AP1875" s="104"/>
      <c r="AV1875" s="104"/>
      <c r="AY1875" s="104"/>
      <c r="BB1875" s="116"/>
      <c r="BL1875" s="104"/>
      <c r="BS1875" s="104"/>
    </row>
    <row r="1876" spans="42:71" s="89" customFormat="1" ht="15.75" customHeight="1">
      <c r="AP1876" s="104"/>
      <c r="AV1876" s="104"/>
      <c r="AY1876" s="104"/>
      <c r="BB1876" s="116"/>
      <c r="BL1876" s="104"/>
      <c r="BS1876" s="104"/>
    </row>
    <row r="1877" spans="42:71" s="89" customFormat="1" ht="15.75" customHeight="1">
      <c r="AP1877" s="104"/>
      <c r="AV1877" s="104"/>
      <c r="AY1877" s="104"/>
      <c r="BB1877" s="116"/>
      <c r="BL1877" s="104"/>
      <c r="BS1877" s="104"/>
    </row>
    <row r="1878" spans="42:71" s="89" customFormat="1" ht="15.75" customHeight="1">
      <c r="AP1878" s="104"/>
      <c r="AV1878" s="104"/>
      <c r="AY1878" s="104"/>
      <c r="BB1878" s="116"/>
      <c r="BL1878" s="104"/>
      <c r="BS1878" s="104"/>
    </row>
    <row r="1879" spans="42:71" s="89" customFormat="1" ht="15.75" customHeight="1">
      <c r="AP1879" s="104"/>
      <c r="AV1879" s="104"/>
      <c r="AY1879" s="104"/>
      <c r="BB1879" s="116"/>
      <c r="BL1879" s="104"/>
      <c r="BS1879" s="104"/>
    </row>
    <row r="1880" spans="42:71" s="89" customFormat="1" ht="15.75" customHeight="1">
      <c r="AP1880" s="104"/>
      <c r="AV1880" s="104"/>
      <c r="AY1880" s="104"/>
      <c r="BB1880" s="116"/>
      <c r="BL1880" s="104"/>
      <c r="BS1880" s="104"/>
    </row>
    <row r="1881" spans="42:71" s="89" customFormat="1" ht="15.75" customHeight="1">
      <c r="AP1881" s="104"/>
      <c r="AV1881" s="104"/>
      <c r="AY1881" s="104"/>
      <c r="BB1881" s="116"/>
      <c r="BL1881" s="104"/>
      <c r="BS1881" s="104"/>
    </row>
    <row r="1882" spans="42:71" s="89" customFormat="1" ht="15.75" customHeight="1">
      <c r="AP1882" s="104"/>
      <c r="AV1882" s="104"/>
      <c r="AY1882" s="104"/>
      <c r="BB1882" s="116"/>
      <c r="BL1882" s="104"/>
      <c r="BS1882" s="104"/>
    </row>
    <row r="1883" spans="42:71" s="89" customFormat="1" ht="15.75" customHeight="1">
      <c r="AP1883" s="104"/>
      <c r="AV1883" s="104"/>
      <c r="AY1883" s="104"/>
      <c r="BB1883" s="116"/>
      <c r="BL1883" s="104"/>
      <c r="BS1883" s="104"/>
    </row>
    <row r="1884" spans="42:71" s="89" customFormat="1" ht="15.75" customHeight="1">
      <c r="AP1884" s="104"/>
      <c r="AV1884" s="104"/>
      <c r="AY1884" s="104"/>
      <c r="BB1884" s="116"/>
      <c r="BL1884" s="104"/>
      <c r="BS1884" s="104"/>
    </row>
    <row r="1885" spans="42:71" s="89" customFormat="1" ht="15.75" customHeight="1">
      <c r="AP1885" s="104"/>
      <c r="AV1885" s="104"/>
      <c r="AY1885" s="104"/>
      <c r="BB1885" s="116"/>
      <c r="BL1885" s="104"/>
      <c r="BS1885" s="104"/>
    </row>
    <row r="1886" spans="42:71" s="89" customFormat="1" ht="15.75" customHeight="1">
      <c r="AP1886" s="104"/>
      <c r="AV1886" s="104"/>
      <c r="AY1886" s="104"/>
      <c r="BB1886" s="116"/>
      <c r="BL1886" s="104"/>
      <c r="BS1886" s="104"/>
    </row>
    <row r="1887" spans="42:71" s="89" customFormat="1" ht="15.75" customHeight="1">
      <c r="AP1887" s="104"/>
      <c r="AV1887" s="104"/>
      <c r="AY1887" s="104"/>
      <c r="BB1887" s="116"/>
      <c r="BL1887" s="104"/>
      <c r="BS1887" s="104"/>
    </row>
    <row r="1888" spans="42:71" s="89" customFormat="1" ht="15.75" customHeight="1">
      <c r="AP1888" s="104"/>
      <c r="AV1888" s="104"/>
      <c r="AY1888" s="104"/>
      <c r="BB1888" s="116"/>
      <c r="BL1888" s="104"/>
      <c r="BS1888" s="104"/>
    </row>
    <row r="1889" spans="42:71" s="89" customFormat="1" ht="15.75" customHeight="1">
      <c r="AP1889" s="104"/>
      <c r="AV1889" s="104"/>
      <c r="AY1889" s="104"/>
      <c r="BB1889" s="116"/>
      <c r="BL1889" s="104"/>
      <c r="BS1889" s="104"/>
    </row>
    <row r="1890" spans="42:71" s="89" customFormat="1" ht="15.75" customHeight="1">
      <c r="AP1890" s="104"/>
      <c r="AV1890" s="104"/>
      <c r="AY1890" s="104"/>
      <c r="BB1890" s="116"/>
      <c r="BL1890" s="104"/>
      <c r="BS1890" s="104"/>
    </row>
    <row r="1891" spans="42:71" s="89" customFormat="1" ht="15.75" customHeight="1">
      <c r="AP1891" s="104"/>
      <c r="AV1891" s="104"/>
      <c r="AY1891" s="104"/>
      <c r="BB1891" s="116"/>
      <c r="BL1891" s="104"/>
      <c r="BS1891" s="104"/>
    </row>
    <row r="1892" spans="42:71" s="89" customFormat="1" ht="15.75" customHeight="1">
      <c r="AP1892" s="104"/>
      <c r="AV1892" s="104"/>
      <c r="AY1892" s="104"/>
      <c r="BB1892" s="116"/>
      <c r="BL1892" s="104"/>
      <c r="BS1892" s="104"/>
    </row>
    <row r="1893" spans="42:71" s="89" customFormat="1" ht="15.75" customHeight="1">
      <c r="AP1893" s="104"/>
      <c r="AV1893" s="104"/>
      <c r="AY1893" s="104"/>
      <c r="BB1893" s="116"/>
      <c r="BL1893" s="104"/>
      <c r="BS1893" s="104"/>
    </row>
    <row r="1894" spans="42:71" s="89" customFormat="1" ht="15.75" customHeight="1">
      <c r="AP1894" s="104"/>
      <c r="AV1894" s="104"/>
      <c r="AY1894" s="104"/>
      <c r="BB1894" s="116"/>
      <c r="BL1894" s="104"/>
      <c r="BS1894" s="104"/>
    </row>
    <row r="1895" spans="42:71" s="89" customFormat="1" ht="15.75" customHeight="1">
      <c r="AP1895" s="104"/>
      <c r="AV1895" s="104"/>
      <c r="AY1895" s="104"/>
      <c r="BB1895" s="116"/>
      <c r="BL1895" s="104"/>
      <c r="BS1895" s="104"/>
    </row>
    <row r="1896" spans="42:71" s="89" customFormat="1" ht="15.75" customHeight="1">
      <c r="AP1896" s="104"/>
      <c r="AV1896" s="104"/>
      <c r="AY1896" s="104"/>
      <c r="BB1896" s="116"/>
      <c r="BL1896" s="104"/>
      <c r="BS1896" s="104"/>
    </row>
    <row r="1897" spans="42:71" s="89" customFormat="1" ht="15.75" customHeight="1">
      <c r="AP1897" s="104"/>
      <c r="AV1897" s="104"/>
      <c r="AY1897" s="104"/>
      <c r="BB1897" s="116"/>
      <c r="BL1897" s="104"/>
      <c r="BS1897" s="104"/>
    </row>
    <row r="1898" spans="42:71" s="89" customFormat="1" ht="15.75" customHeight="1">
      <c r="AP1898" s="104"/>
      <c r="AV1898" s="104"/>
      <c r="AY1898" s="104"/>
      <c r="BB1898" s="116"/>
      <c r="BL1898" s="104"/>
      <c r="BS1898" s="104"/>
    </row>
    <row r="1899" spans="42:71" s="89" customFormat="1" ht="15.75" customHeight="1">
      <c r="AP1899" s="104"/>
      <c r="AV1899" s="104"/>
      <c r="AY1899" s="104"/>
      <c r="BB1899" s="116"/>
      <c r="BL1899" s="104"/>
      <c r="BS1899" s="104"/>
    </row>
    <row r="1900" spans="42:71" s="89" customFormat="1" ht="15.75" customHeight="1">
      <c r="AP1900" s="104"/>
      <c r="AV1900" s="104"/>
      <c r="AY1900" s="104"/>
      <c r="BB1900" s="116"/>
      <c r="BL1900" s="104"/>
      <c r="BS1900" s="104"/>
    </row>
    <row r="1901" spans="42:71" s="89" customFormat="1" ht="15.75" customHeight="1">
      <c r="AP1901" s="104"/>
      <c r="AV1901" s="104"/>
      <c r="AY1901" s="104"/>
      <c r="BB1901" s="116"/>
      <c r="BL1901" s="104"/>
      <c r="BS1901" s="104"/>
    </row>
    <row r="1902" spans="42:71" s="89" customFormat="1" ht="15.75" customHeight="1">
      <c r="AP1902" s="104"/>
      <c r="AV1902" s="104"/>
      <c r="AY1902" s="104"/>
      <c r="BB1902" s="116"/>
      <c r="BL1902" s="104"/>
      <c r="BS1902" s="104"/>
    </row>
    <row r="1903" spans="42:71" s="89" customFormat="1" ht="15.75" customHeight="1">
      <c r="AP1903" s="104"/>
      <c r="AV1903" s="104"/>
      <c r="AY1903" s="104"/>
      <c r="BB1903" s="116"/>
      <c r="BL1903" s="104"/>
      <c r="BS1903" s="104"/>
    </row>
    <row r="1904" spans="42:71" s="89" customFormat="1" ht="15.75" customHeight="1">
      <c r="AP1904" s="104"/>
      <c r="AV1904" s="104"/>
      <c r="AY1904" s="104"/>
      <c r="BB1904" s="116"/>
      <c r="BL1904" s="104"/>
      <c r="BS1904" s="104"/>
    </row>
    <row r="1905" spans="42:71" s="89" customFormat="1" ht="15.75" customHeight="1">
      <c r="AP1905" s="104"/>
      <c r="AV1905" s="104"/>
      <c r="AY1905" s="104"/>
      <c r="BB1905" s="116"/>
      <c r="BL1905" s="104"/>
      <c r="BS1905" s="104"/>
    </row>
    <row r="1906" spans="42:71" s="89" customFormat="1" ht="15.75" customHeight="1">
      <c r="AP1906" s="104"/>
      <c r="AV1906" s="104"/>
      <c r="AY1906" s="104"/>
      <c r="BB1906" s="116"/>
      <c r="BL1906" s="104"/>
      <c r="BS1906" s="104"/>
    </row>
    <row r="1907" spans="42:71" s="89" customFormat="1" ht="15.75" customHeight="1">
      <c r="AP1907" s="104"/>
      <c r="AV1907" s="104"/>
      <c r="AY1907" s="104"/>
      <c r="BB1907" s="116"/>
      <c r="BL1907" s="104"/>
      <c r="BS1907" s="104"/>
    </row>
    <row r="1908" spans="42:71" s="89" customFormat="1" ht="15.75" customHeight="1">
      <c r="AP1908" s="104"/>
      <c r="AV1908" s="104"/>
      <c r="AY1908" s="104"/>
      <c r="BB1908" s="116"/>
      <c r="BL1908" s="104"/>
      <c r="BS1908" s="104"/>
    </row>
    <row r="1909" spans="42:71" s="89" customFormat="1" ht="15.75" customHeight="1">
      <c r="AP1909" s="104"/>
      <c r="AV1909" s="104"/>
      <c r="AY1909" s="104"/>
      <c r="BB1909" s="116"/>
      <c r="BL1909" s="104"/>
      <c r="BS1909" s="104"/>
    </row>
    <row r="1910" spans="42:71" s="89" customFormat="1" ht="15.75" customHeight="1">
      <c r="AP1910" s="104"/>
      <c r="AV1910" s="104"/>
      <c r="AY1910" s="104"/>
      <c r="BB1910" s="116"/>
      <c r="BL1910" s="104"/>
      <c r="BS1910" s="104"/>
    </row>
    <row r="1911" spans="42:71" s="89" customFormat="1" ht="15.75" customHeight="1">
      <c r="AP1911" s="104"/>
      <c r="AV1911" s="104"/>
      <c r="AY1911" s="104"/>
      <c r="BB1911" s="116"/>
      <c r="BL1911" s="104"/>
      <c r="BS1911" s="104"/>
    </row>
    <row r="1912" spans="42:71" s="89" customFormat="1" ht="15.75" customHeight="1">
      <c r="AP1912" s="104"/>
      <c r="AV1912" s="104"/>
      <c r="AY1912" s="104"/>
      <c r="BB1912" s="116"/>
      <c r="BL1912" s="104"/>
      <c r="BS1912" s="104"/>
    </row>
    <row r="1913" spans="42:71" s="89" customFormat="1" ht="15.75" customHeight="1">
      <c r="AP1913" s="104"/>
      <c r="AV1913" s="104"/>
      <c r="AY1913" s="104"/>
      <c r="BB1913" s="116"/>
      <c r="BL1913" s="104"/>
      <c r="BS1913" s="104"/>
    </row>
    <row r="1914" spans="42:71" s="89" customFormat="1" ht="15.75" customHeight="1">
      <c r="AP1914" s="104"/>
      <c r="AV1914" s="104"/>
      <c r="AY1914" s="104"/>
      <c r="BB1914" s="116"/>
      <c r="BL1914" s="104"/>
      <c r="BS1914" s="104"/>
    </row>
    <row r="1915" spans="42:71" s="89" customFormat="1" ht="15.75" customHeight="1">
      <c r="AP1915" s="104"/>
      <c r="AV1915" s="104"/>
      <c r="AY1915" s="104"/>
      <c r="BB1915" s="116"/>
      <c r="BL1915" s="104"/>
      <c r="BS1915" s="104"/>
    </row>
    <row r="1916" spans="42:71" s="89" customFormat="1" ht="15.75" customHeight="1">
      <c r="AP1916" s="104"/>
      <c r="AV1916" s="104"/>
      <c r="AY1916" s="104"/>
      <c r="BB1916" s="116"/>
      <c r="BL1916" s="104"/>
      <c r="BS1916" s="104"/>
    </row>
    <row r="1917" spans="42:71" s="89" customFormat="1" ht="15.75" customHeight="1">
      <c r="AP1917" s="104"/>
      <c r="AV1917" s="104"/>
      <c r="AY1917" s="104"/>
      <c r="BB1917" s="116"/>
      <c r="BL1917" s="104"/>
      <c r="BS1917" s="104"/>
    </row>
    <row r="1918" spans="42:71" s="89" customFormat="1" ht="15.75" customHeight="1">
      <c r="AP1918" s="104"/>
      <c r="AV1918" s="104"/>
      <c r="AY1918" s="104"/>
      <c r="BB1918" s="116"/>
      <c r="BL1918" s="104"/>
      <c r="BS1918" s="104"/>
    </row>
    <row r="1919" spans="42:71" s="89" customFormat="1" ht="15.75" customHeight="1">
      <c r="AP1919" s="104"/>
      <c r="AV1919" s="104"/>
      <c r="AY1919" s="104"/>
      <c r="BB1919" s="116"/>
      <c r="BL1919" s="104"/>
      <c r="BS1919" s="104"/>
    </row>
    <row r="1920" spans="42:71" s="89" customFormat="1" ht="15.75" customHeight="1">
      <c r="AP1920" s="104"/>
      <c r="AV1920" s="104"/>
      <c r="AY1920" s="104"/>
      <c r="BB1920" s="116"/>
      <c r="BL1920" s="104"/>
      <c r="BS1920" s="104"/>
    </row>
    <row r="1921" spans="42:71" s="89" customFormat="1" ht="15.75" customHeight="1">
      <c r="AP1921" s="104"/>
      <c r="AV1921" s="104"/>
      <c r="AY1921" s="104"/>
      <c r="BB1921" s="116"/>
      <c r="BL1921" s="104"/>
      <c r="BS1921" s="104"/>
    </row>
    <row r="1922" spans="42:71" s="89" customFormat="1" ht="15.75" customHeight="1">
      <c r="AP1922" s="104"/>
      <c r="AV1922" s="104"/>
      <c r="AY1922" s="104"/>
      <c r="BB1922" s="116"/>
      <c r="BL1922" s="104"/>
      <c r="BS1922" s="104"/>
    </row>
    <row r="1923" spans="42:71" s="89" customFormat="1" ht="15.75" customHeight="1">
      <c r="AP1923" s="104"/>
      <c r="AV1923" s="104"/>
      <c r="AY1923" s="104"/>
      <c r="BB1923" s="116"/>
      <c r="BL1923" s="104"/>
      <c r="BS1923" s="104"/>
    </row>
    <row r="1924" spans="42:71" s="89" customFormat="1" ht="15.75" customHeight="1">
      <c r="AP1924" s="104"/>
      <c r="AV1924" s="104"/>
      <c r="AY1924" s="104"/>
      <c r="BB1924" s="116"/>
      <c r="BL1924" s="104"/>
      <c r="BS1924" s="104"/>
    </row>
    <row r="1925" spans="42:71" s="89" customFormat="1" ht="15.75" customHeight="1">
      <c r="AP1925" s="104"/>
      <c r="AV1925" s="104"/>
      <c r="AY1925" s="104"/>
      <c r="BB1925" s="116"/>
      <c r="BL1925" s="104"/>
      <c r="BS1925" s="104"/>
    </row>
    <row r="1926" spans="42:71" s="89" customFormat="1" ht="15.75" customHeight="1">
      <c r="AP1926" s="104"/>
      <c r="AV1926" s="104"/>
      <c r="AY1926" s="104"/>
      <c r="BB1926" s="116"/>
      <c r="BL1926" s="104"/>
      <c r="BS1926" s="104"/>
    </row>
    <row r="1927" spans="42:71" s="89" customFormat="1" ht="15.75" customHeight="1">
      <c r="AP1927" s="104"/>
      <c r="AV1927" s="104"/>
      <c r="AY1927" s="104"/>
      <c r="BB1927" s="116"/>
      <c r="BL1927" s="104"/>
      <c r="BS1927" s="104"/>
    </row>
    <row r="1928" spans="42:71" s="89" customFormat="1" ht="15.75" customHeight="1">
      <c r="AP1928" s="104"/>
      <c r="AV1928" s="104"/>
      <c r="AY1928" s="104"/>
      <c r="BB1928" s="116"/>
      <c r="BL1928" s="104"/>
      <c r="BS1928" s="104"/>
    </row>
    <row r="1929" spans="42:71" s="89" customFormat="1" ht="15.75" customHeight="1">
      <c r="AP1929" s="104"/>
      <c r="AV1929" s="104"/>
      <c r="AY1929" s="104"/>
      <c r="BB1929" s="116"/>
      <c r="BL1929" s="104"/>
      <c r="BS1929" s="104"/>
    </row>
    <row r="1930" spans="42:71" s="89" customFormat="1" ht="15.75" customHeight="1">
      <c r="AP1930" s="104"/>
      <c r="AV1930" s="104"/>
      <c r="AY1930" s="104"/>
      <c r="BB1930" s="116"/>
      <c r="BL1930" s="104"/>
      <c r="BS1930" s="104"/>
    </row>
    <row r="1931" spans="42:71" s="89" customFormat="1" ht="15.75" customHeight="1">
      <c r="AP1931" s="104"/>
      <c r="AV1931" s="104"/>
      <c r="AY1931" s="104"/>
      <c r="BB1931" s="116"/>
      <c r="BL1931" s="104"/>
      <c r="BS1931" s="104"/>
    </row>
    <row r="1932" spans="42:71" s="89" customFormat="1" ht="15.75" customHeight="1">
      <c r="AP1932" s="104"/>
      <c r="AV1932" s="104"/>
      <c r="AY1932" s="104"/>
      <c r="BB1932" s="116"/>
      <c r="BL1932" s="104"/>
      <c r="BS1932" s="104"/>
    </row>
    <row r="1933" spans="42:71" s="89" customFormat="1" ht="15.75" customHeight="1">
      <c r="AP1933" s="104"/>
      <c r="AV1933" s="104"/>
      <c r="AY1933" s="104"/>
      <c r="BB1933" s="116"/>
      <c r="BL1933" s="104"/>
      <c r="BS1933" s="104"/>
    </row>
    <row r="1934" spans="42:71" s="89" customFormat="1" ht="15.75" customHeight="1">
      <c r="AP1934" s="104"/>
      <c r="AV1934" s="104"/>
      <c r="AY1934" s="104"/>
      <c r="BB1934" s="116"/>
      <c r="BL1934" s="104"/>
      <c r="BS1934" s="104"/>
    </row>
    <row r="1935" spans="42:71" s="89" customFormat="1" ht="15.75" customHeight="1">
      <c r="AP1935" s="104"/>
      <c r="AV1935" s="104"/>
      <c r="AY1935" s="104"/>
      <c r="BB1935" s="116"/>
      <c r="BL1935" s="104"/>
      <c r="BS1935" s="104"/>
    </row>
    <row r="1936" spans="42:71" s="89" customFormat="1" ht="15.75" customHeight="1">
      <c r="AP1936" s="104"/>
      <c r="AV1936" s="104"/>
      <c r="AY1936" s="104"/>
      <c r="BB1936" s="116"/>
      <c r="BL1936" s="104"/>
      <c r="BS1936" s="104"/>
    </row>
    <row r="1937" spans="42:71" s="89" customFormat="1" ht="15.75" customHeight="1">
      <c r="AP1937" s="104"/>
      <c r="AV1937" s="104"/>
      <c r="AY1937" s="104"/>
      <c r="BB1937" s="116"/>
      <c r="BL1937" s="104"/>
      <c r="BS1937" s="104"/>
    </row>
    <row r="1938" spans="42:71" s="89" customFormat="1" ht="15.75" customHeight="1">
      <c r="AP1938" s="104"/>
      <c r="AV1938" s="104"/>
      <c r="AY1938" s="104"/>
      <c r="BB1938" s="116"/>
      <c r="BL1938" s="104"/>
      <c r="BS1938" s="104"/>
    </row>
    <row r="1939" spans="42:71" s="89" customFormat="1" ht="15.75" customHeight="1">
      <c r="AP1939" s="104"/>
      <c r="AV1939" s="104"/>
      <c r="AY1939" s="104"/>
      <c r="BB1939" s="116"/>
      <c r="BL1939" s="104"/>
      <c r="BS1939" s="104"/>
    </row>
    <row r="1940" spans="42:71" s="89" customFormat="1" ht="15.75" customHeight="1">
      <c r="AP1940" s="104"/>
      <c r="AV1940" s="104"/>
      <c r="AY1940" s="104"/>
      <c r="BB1940" s="116"/>
      <c r="BL1940" s="104"/>
      <c r="BS1940" s="104"/>
    </row>
    <row r="1941" spans="42:71" s="89" customFormat="1" ht="15.75" customHeight="1">
      <c r="AP1941" s="104"/>
      <c r="AV1941" s="104"/>
      <c r="AY1941" s="104"/>
      <c r="BB1941" s="116"/>
      <c r="BL1941" s="104"/>
      <c r="BS1941" s="104"/>
    </row>
    <row r="1942" spans="42:71" s="89" customFormat="1" ht="15.75" customHeight="1">
      <c r="AP1942" s="104"/>
      <c r="AV1942" s="104"/>
      <c r="AY1942" s="104"/>
      <c r="BB1942" s="116"/>
      <c r="BL1942" s="104"/>
      <c r="BS1942" s="104"/>
    </row>
    <row r="1943" spans="42:71" s="89" customFormat="1" ht="15.75" customHeight="1">
      <c r="AP1943" s="104"/>
      <c r="AV1943" s="104"/>
      <c r="AY1943" s="104"/>
      <c r="BB1943" s="116"/>
      <c r="BL1943" s="104"/>
      <c r="BS1943" s="104"/>
    </row>
    <row r="1944" spans="42:71" s="89" customFormat="1" ht="15.75" customHeight="1">
      <c r="AP1944" s="104"/>
      <c r="AV1944" s="104"/>
      <c r="AY1944" s="104"/>
      <c r="BB1944" s="116"/>
      <c r="BL1944" s="104"/>
      <c r="BS1944" s="104"/>
    </row>
    <row r="1945" spans="42:71" s="89" customFormat="1" ht="15.75" customHeight="1">
      <c r="AP1945" s="104"/>
      <c r="AV1945" s="104"/>
      <c r="AY1945" s="104"/>
      <c r="BB1945" s="116"/>
      <c r="BL1945" s="104"/>
      <c r="BS1945" s="104"/>
    </row>
    <row r="1946" spans="42:71" s="89" customFormat="1" ht="15.75" customHeight="1">
      <c r="AP1946" s="104"/>
      <c r="AV1946" s="104"/>
      <c r="AY1946" s="104"/>
      <c r="BB1946" s="116"/>
      <c r="BL1946" s="104"/>
      <c r="BS1946" s="104"/>
    </row>
    <row r="1947" spans="42:71" s="89" customFormat="1" ht="15.75" customHeight="1">
      <c r="AP1947" s="104"/>
      <c r="AV1947" s="104"/>
      <c r="AY1947" s="104"/>
      <c r="BB1947" s="116"/>
      <c r="BL1947" s="104"/>
      <c r="BS1947" s="104"/>
    </row>
    <row r="1948" spans="42:71" s="89" customFormat="1" ht="15.75" customHeight="1">
      <c r="AP1948" s="104"/>
      <c r="AV1948" s="104"/>
      <c r="AY1948" s="104"/>
      <c r="BB1948" s="116"/>
      <c r="BL1948" s="104"/>
      <c r="BS1948" s="104"/>
    </row>
    <row r="1949" spans="42:71" s="89" customFormat="1" ht="15.75" customHeight="1">
      <c r="AP1949" s="104"/>
      <c r="AV1949" s="104"/>
      <c r="AY1949" s="104"/>
      <c r="BB1949" s="116"/>
      <c r="BL1949" s="104"/>
      <c r="BS1949" s="104"/>
    </row>
    <row r="1950" spans="42:71" s="89" customFormat="1" ht="15.75" customHeight="1">
      <c r="AP1950" s="104"/>
      <c r="AV1950" s="104"/>
      <c r="AY1950" s="104"/>
      <c r="BB1950" s="116"/>
      <c r="BL1950" s="104"/>
      <c r="BS1950" s="104"/>
    </row>
    <row r="1951" spans="42:71" s="89" customFormat="1" ht="15.75" customHeight="1">
      <c r="AP1951" s="104"/>
      <c r="AV1951" s="104"/>
      <c r="AY1951" s="104"/>
      <c r="BB1951" s="116"/>
      <c r="BL1951" s="104"/>
      <c r="BS1951" s="104"/>
    </row>
    <row r="1952" spans="42:71" s="89" customFormat="1" ht="15.75" customHeight="1">
      <c r="AP1952" s="104"/>
      <c r="AV1952" s="104"/>
      <c r="AY1952" s="104"/>
      <c r="BB1952" s="116"/>
      <c r="BL1952" s="104"/>
      <c r="BS1952" s="104"/>
    </row>
    <row r="1953" spans="42:71" s="89" customFormat="1" ht="15.75" customHeight="1">
      <c r="AP1953" s="104"/>
      <c r="AV1953" s="104"/>
      <c r="AY1953" s="104"/>
      <c r="BB1953" s="116"/>
      <c r="BL1953" s="104"/>
      <c r="BS1953" s="104"/>
    </row>
    <row r="1954" spans="42:71" s="89" customFormat="1" ht="15.75" customHeight="1">
      <c r="AP1954" s="104"/>
      <c r="AV1954" s="104"/>
      <c r="AY1954" s="104"/>
      <c r="BB1954" s="116"/>
      <c r="BL1954" s="104"/>
      <c r="BS1954" s="104"/>
    </row>
    <row r="1955" spans="42:71" s="89" customFormat="1" ht="15.75" customHeight="1">
      <c r="AP1955" s="104"/>
      <c r="AV1955" s="104"/>
      <c r="AY1955" s="104"/>
      <c r="BB1955" s="116"/>
      <c r="BL1955" s="104"/>
      <c r="BS1955" s="104"/>
    </row>
    <row r="1956" spans="42:71" s="89" customFormat="1" ht="15.75" customHeight="1">
      <c r="AP1956" s="104"/>
      <c r="AV1956" s="104"/>
      <c r="AY1956" s="104"/>
      <c r="BB1956" s="116"/>
      <c r="BL1956" s="104"/>
      <c r="BS1956" s="104"/>
    </row>
    <row r="1957" spans="42:71" s="89" customFormat="1" ht="15.75" customHeight="1">
      <c r="AP1957" s="104"/>
      <c r="AV1957" s="104"/>
      <c r="AY1957" s="104"/>
      <c r="BB1957" s="116"/>
      <c r="BL1957" s="104"/>
      <c r="BS1957" s="104"/>
    </row>
    <row r="1958" spans="42:71" s="89" customFormat="1" ht="15.75" customHeight="1">
      <c r="AP1958" s="104"/>
      <c r="AV1958" s="104"/>
      <c r="AY1958" s="104"/>
      <c r="BB1958" s="116"/>
      <c r="BL1958" s="104"/>
      <c r="BS1958" s="104"/>
    </row>
    <row r="1959" spans="42:71" s="89" customFormat="1" ht="15.75" customHeight="1">
      <c r="AP1959" s="104"/>
      <c r="AV1959" s="104"/>
      <c r="AY1959" s="104"/>
      <c r="BB1959" s="116"/>
      <c r="BL1959" s="104"/>
      <c r="BS1959" s="104"/>
    </row>
    <row r="1960" spans="42:71" s="89" customFormat="1" ht="15.75" customHeight="1">
      <c r="AP1960" s="104"/>
      <c r="AV1960" s="104"/>
      <c r="AY1960" s="104"/>
      <c r="BB1960" s="116"/>
      <c r="BL1960" s="104"/>
      <c r="BS1960" s="104"/>
    </row>
    <row r="1961" spans="42:71" s="89" customFormat="1" ht="15.75" customHeight="1">
      <c r="AP1961" s="104"/>
      <c r="AV1961" s="104"/>
      <c r="AY1961" s="104"/>
      <c r="BB1961" s="116"/>
      <c r="BL1961" s="104"/>
      <c r="BS1961" s="104"/>
    </row>
    <row r="1962" spans="42:71" s="89" customFormat="1" ht="15.75" customHeight="1">
      <c r="AP1962" s="104"/>
      <c r="AV1962" s="104"/>
      <c r="AY1962" s="104"/>
      <c r="BB1962" s="116"/>
      <c r="BL1962" s="104"/>
      <c r="BS1962" s="104"/>
    </row>
    <row r="1963" spans="42:71" s="89" customFormat="1" ht="15.75" customHeight="1">
      <c r="AP1963" s="104"/>
      <c r="AV1963" s="104"/>
      <c r="AY1963" s="104"/>
      <c r="BB1963" s="116"/>
      <c r="BL1963" s="104"/>
      <c r="BS1963" s="104"/>
    </row>
    <row r="1964" spans="42:71" s="89" customFormat="1" ht="15.75" customHeight="1">
      <c r="AP1964" s="104"/>
      <c r="AV1964" s="104"/>
      <c r="AY1964" s="104"/>
      <c r="BB1964" s="116"/>
      <c r="BL1964" s="104"/>
      <c r="BS1964" s="104"/>
    </row>
    <row r="1965" spans="42:71" s="89" customFormat="1" ht="15.75" customHeight="1">
      <c r="AP1965" s="104"/>
      <c r="AV1965" s="104"/>
      <c r="AY1965" s="104"/>
      <c r="BB1965" s="116"/>
      <c r="BL1965" s="104"/>
      <c r="BS1965" s="104"/>
    </row>
    <row r="1966" spans="42:71" s="89" customFormat="1" ht="15.75" customHeight="1">
      <c r="AP1966" s="104"/>
      <c r="AV1966" s="104"/>
      <c r="AY1966" s="104"/>
      <c r="BB1966" s="116"/>
      <c r="BL1966" s="104"/>
      <c r="BS1966" s="104"/>
    </row>
    <row r="1967" spans="42:71" s="89" customFormat="1" ht="15.75" customHeight="1">
      <c r="AP1967" s="104"/>
      <c r="AV1967" s="104"/>
      <c r="AY1967" s="104"/>
      <c r="BB1967" s="116"/>
      <c r="BL1967" s="104"/>
      <c r="BS1967" s="104"/>
    </row>
    <row r="1968" spans="42:71" s="89" customFormat="1" ht="15.75" customHeight="1">
      <c r="AP1968" s="104"/>
      <c r="AV1968" s="104"/>
      <c r="AY1968" s="104"/>
      <c r="BB1968" s="116"/>
      <c r="BL1968" s="104"/>
      <c r="BS1968" s="104"/>
    </row>
    <row r="1969" spans="42:71" s="89" customFormat="1" ht="15.75" customHeight="1">
      <c r="AP1969" s="104"/>
      <c r="AV1969" s="104"/>
      <c r="AY1969" s="104"/>
      <c r="BB1969" s="116"/>
      <c r="BL1969" s="104"/>
      <c r="BS1969" s="104"/>
    </row>
    <row r="1970" spans="42:71" s="89" customFormat="1" ht="15.75" customHeight="1">
      <c r="AP1970" s="104"/>
      <c r="AV1970" s="104"/>
      <c r="AY1970" s="104"/>
      <c r="BB1970" s="116"/>
      <c r="BL1970" s="104"/>
      <c r="BS1970" s="104"/>
    </row>
    <row r="1971" spans="42:71" s="89" customFormat="1" ht="15.75" customHeight="1">
      <c r="AP1971" s="104"/>
      <c r="AV1971" s="104"/>
      <c r="AY1971" s="104"/>
      <c r="BB1971" s="116"/>
      <c r="BL1971" s="104"/>
      <c r="BS1971" s="104"/>
    </row>
    <row r="1972" spans="42:71" s="89" customFormat="1" ht="15.75" customHeight="1">
      <c r="AP1972" s="104"/>
      <c r="AV1972" s="104"/>
      <c r="AY1972" s="104"/>
      <c r="BB1972" s="116"/>
      <c r="BL1972" s="104"/>
      <c r="BS1972" s="104"/>
    </row>
    <row r="1973" spans="42:71" s="89" customFormat="1" ht="15.75" customHeight="1">
      <c r="AP1973" s="104"/>
      <c r="AV1973" s="104"/>
      <c r="AY1973" s="104"/>
      <c r="BB1973" s="116"/>
      <c r="BL1973" s="104"/>
      <c r="BS1973" s="104"/>
    </row>
    <row r="1974" spans="42:71" s="89" customFormat="1" ht="15.75" customHeight="1">
      <c r="AP1974" s="104"/>
      <c r="AV1974" s="104"/>
      <c r="AY1974" s="104"/>
      <c r="BB1974" s="116"/>
      <c r="BL1974" s="104"/>
      <c r="BS1974" s="104"/>
    </row>
    <row r="1975" spans="42:71" s="89" customFormat="1" ht="15.75" customHeight="1">
      <c r="AP1975" s="104"/>
      <c r="AV1975" s="104"/>
      <c r="AY1975" s="104"/>
      <c r="BB1975" s="116"/>
      <c r="BL1975" s="104"/>
      <c r="BS1975" s="104"/>
    </row>
    <row r="1976" spans="42:71" s="89" customFormat="1" ht="15.75" customHeight="1">
      <c r="AP1976" s="104"/>
      <c r="AV1976" s="104"/>
      <c r="AY1976" s="104"/>
      <c r="BB1976" s="116"/>
      <c r="BL1976" s="104"/>
      <c r="BS1976" s="104"/>
    </row>
    <row r="1977" spans="42:71" s="89" customFormat="1" ht="15.75" customHeight="1">
      <c r="AP1977" s="104"/>
      <c r="AV1977" s="104"/>
      <c r="AY1977" s="104"/>
      <c r="BB1977" s="116"/>
      <c r="BL1977" s="104"/>
      <c r="BS1977" s="104"/>
    </row>
    <row r="1978" spans="42:71" s="89" customFormat="1" ht="15.75" customHeight="1">
      <c r="AP1978" s="104"/>
      <c r="AV1978" s="104"/>
      <c r="AY1978" s="104"/>
      <c r="BB1978" s="116"/>
      <c r="BL1978" s="104"/>
      <c r="BS1978" s="104"/>
    </row>
    <row r="1979" spans="42:71" s="89" customFormat="1" ht="15.75" customHeight="1">
      <c r="AP1979" s="104"/>
      <c r="AV1979" s="104"/>
      <c r="AY1979" s="104"/>
      <c r="BB1979" s="116"/>
      <c r="BL1979" s="104"/>
      <c r="BS1979" s="104"/>
    </row>
    <row r="1980" spans="42:71" s="89" customFormat="1" ht="15.75" customHeight="1">
      <c r="AP1980" s="104"/>
      <c r="AV1980" s="104"/>
      <c r="AY1980" s="104"/>
      <c r="BB1980" s="116"/>
      <c r="BL1980" s="104"/>
      <c r="BS1980" s="104"/>
    </row>
    <row r="1981" spans="42:71" s="89" customFormat="1" ht="15.75" customHeight="1">
      <c r="AP1981" s="104"/>
      <c r="AV1981" s="104"/>
      <c r="AY1981" s="104"/>
      <c r="BB1981" s="116"/>
      <c r="BL1981" s="104"/>
      <c r="BS1981" s="104"/>
    </row>
    <row r="1982" spans="42:71" s="89" customFormat="1" ht="15.75" customHeight="1">
      <c r="AP1982" s="104"/>
      <c r="AV1982" s="104"/>
      <c r="AY1982" s="104"/>
      <c r="BB1982" s="116"/>
      <c r="BL1982" s="104"/>
      <c r="BS1982" s="104"/>
    </row>
    <row r="1983" spans="42:71" s="89" customFormat="1" ht="15.75" customHeight="1">
      <c r="AP1983" s="104"/>
      <c r="AV1983" s="104"/>
      <c r="AY1983" s="104"/>
      <c r="BB1983" s="116"/>
      <c r="BL1983" s="104"/>
      <c r="BS1983" s="104"/>
    </row>
    <row r="1984" spans="42:71" s="89" customFormat="1" ht="15.75" customHeight="1">
      <c r="AP1984" s="104"/>
      <c r="AV1984" s="104"/>
      <c r="AY1984" s="104"/>
      <c r="BB1984" s="116"/>
      <c r="BL1984" s="104"/>
      <c r="BS1984" s="104"/>
    </row>
    <row r="1985" spans="42:71" s="89" customFormat="1" ht="15.75" customHeight="1">
      <c r="AP1985" s="104"/>
      <c r="AV1985" s="104"/>
      <c r="AY1985" s="104"/>
      <c r="BB1985" s="116"/>
      <c r="BL1985" s="104"/>
      <c r="BS1985" s="104"/>
    </row>
    <row r="1986" spans="42:71" s="89" customFormat="1" ht="15.75" customHeight="1">
      <c r="AP1986" s="104"/>
      <c r="AV1986" s="104"/>
      <c r="AY1986" s="104"/>
      <c r="BB1986" s="116"/>
      <c r="BL1986" s="104"/>
      <c r="BS1986" s="104"/>
    </row>
    <row r="1987" spans="42:71" s="89" customFormat="1" ht="15.75" customHeight="1">
      <c r="AP1987" s="104"/>
      <c r="AV1987" s="104"/>
      <c r="AY1987" s="104"/>
      <c r="BB1987" s="116"/>
      <c r="BL1987" s="104"/>
      <c r="BS1987" s="104"/>
    </row>
    <row r="1988" spans="42:71" s="89" customFormat="1" ht="15.75" customHeight="1">
      <c r="AP1988" s="104"/>
      <c r="AV1988" s="104"/>
      <c r="AY1988" s="104"/>
      <c r="BB1988" s="116"/>
      <c r="BL1988" s="104"/>
      <c r="BS1988" s="104"/>
    </row>
    <row r="1989" spans="42:71" s="89" customFormat="1" ht="15.75" customHeight="1">
      <c r="AP1989" s="104"/>
      <c r="AV1989" s="104"/>
      <c r="AY1989" s="104"/>
      <c r="BB1989" s="116"/>
      <c r="BL1989" s="104"/>
      <c r="BS1989" s="104"/>
    </row>
    <row r="1990" spans="42:71" s="89" customFormat="1" ht="15.75" customHeight="1">
      <c r="AP1990" s="104"/>
      <c r="AV1990" s="104"/>
      <c r="AY1990" s="104"/>
      <c r="BB1990" s="116"/>
      <c r="BL1990" s="104"/>
      <c r="BS1990" s="104"/>
    </row>
    <row r="1991" spans="42:71" s="89" customFormat="1" ht="15.75" customHeight="1">
      <c r="AP1991" s="104"/>
      <c r="AV1991" s="104"/>
      <c r="AY1991" s="104"/>
      <c r="BB1991" s="116"/>
      <c r="BL1991" s="104"/>
      <c r="BS1991" s="104"/>
    </row>
    <row r="1992" spans="42:71" s="89" customFormat="1" ht="15.75" customHeight="1">
      <c r="AP1992" s="104"/>
      <c r="AV1992" s="104"/>
      <c r="AY1992" s="104"/>
      <c r="BB1992" s="116"/>
      <c r="BL1992" s="104"/>
      <c r="BS1992" s="104"/>
    </row>
    <row r="1993" spans="42:71" s="89" customFormat="1" ht="15.75" customHeight="1">
      <c r="AP1993" s="104"/>
      <c r="AV1993" s="104"/>
      <c r="AY1993" s="104"/>
      <c r="BB1993" s="116"/>
      <c r="BL1993" s="104"/>
      <c r="BS1993" s="104"/>
    </row>
    <row r="1994" spans="42:71" s="89" customFormat="1" ht="15.75" customHeight="1">
      <c r="AP1994" s="104"/>
      <c r="AV1994" s="104"/>
      <c r="AY1994" s="104"/>
      <c r="BB1994" s="116"/>
      <c r="BL1994" s="104"/>
      <c r="BS1994" s="104"/>
    </row>
    <row r="1995" spans="42:71" s="89" customFormat="1" ht="15.75" customHeight="1">
      <c r="AP1995" s="104"/>
      <c r="AV1995" s="104"/>
      <c r="AY1995" s="104"/>
      <c r="BB1995" s="116"/>
      <c r="BL1995" s="104"/>
      <c r="BS1995" s="104"/>
    </row>
    <row r="1996" spans="42:71" s="89" customFormat="1" ht="15.75" customHeight="1">
      <c r="AP1996" s="104"/>
      <c r="AV1996" s="104"/>
      <c r="AY1996" s="104"/>
      <c r="BB1996" s="116"/>
      <c r="BL1996" s="104"/>
      <c r="BS1996" s="104"/>
    </row>
    <row r="1997" spans="42:71" s="89" customFormat="1" ht="15.75" customHeight="1">
      <c r="AP1997" s="104"/>
      <c r="AV1997" s="104"/>
      <c r="AY1997" s="104"/>
      <c r="BB1997" s="116"/>
      <c r="BL1997" s="104"/>
      <c r="BS1997" s="104"/>
    </row>
    <row r="1998" spans="42:71" s="89" customFormat="1" ht="15.75" customHeight="1">
      <c r="AP1998" s="104"/>
      <c r="AV1998" s="104"/>
      <c r="AY1998" s="104"/>
      <c r="BB1998" s="116"/>
      <c r="BL1998" s="104"/>
      <c r="BS1998" s="104"/>
    </row>
    <row r="1999" spans="42:71" s="89" customFormat="1" ht="15.75" customHeight="1">
      <c r="AP1999" s="104"/>
      <c r="AV1999" s="104"/>
      <c r="AY1999" s="104"/>
      <c r="BB1999" s="116"/>
      <c r="BL1999" s="104"/>
      <c r="BS1999" s="104"/>
    </row>
    <row r="2000" spans="42:71" s="89" customFormat="1" ht="15.75" customHeight="1">
      <c r="AP2000" s="104"/>
      <c r="AV2000" s="104"/>
      <c r="AY2000" s="104"/>
      <c r="BB2000" s="116"/>
      <c r="BL2000" s="104"/>
      <c r="BS2000" s="104"/>
    </row>
    <row r="2001" spans="42:71" s="89" customFormat="1" ht="15.75" customHeight="1">
      <c r="AP2001" s="104"/>
      <c r="AV2001" s="104"/>
      <c r="AY2001" s="104"/>
      <c r="BB2001" s="116"/>
      <c r="BL2001" s="104"/>
      <c r="BS2001" s="104"/>
    </row>
    <row r="2002" spans="42:71" s="89" customFormat="1" ht="15.75" customHeight="1">
      <c r="AP2002" s="104"/>
      <c r="AV2002" s="104"/>
      <c r="AY2002" s="104"/>
      <c r="BB2002" s="116"/>
      <c r="BL2002" s="104"/>
      <c r="BS2002" s="104"/>
    </row>
    <row r="2003" spans="42:71" s="89" customFormat="1" ht="15.75" customHeight="1">
      <c r="AP2003" s="104"/>
      <c r="AV2003" s="104"/>
      <c r="AY2003" s="104"/>
      <c r="BB2003" s="116"/>
      <c r="BL2003" s="104"/>
      <c r="BS2003" s="104"/>
    </row>
    <row r="2004" spans="42:71" s="89" customFormat="1" ht="15.75" customHeight="1">
      <c r="AP2004" s="104"/>
      <c r="AV2004" s="104"/>
      <c r="AY2004" s="104"/>
      <c r="BB2004" s="116"/>
      <c r="BL2004" s="104"/>
      <c r="BS2004" s="104"/>
    </row>
    <row r="2005" spans="42:71" s="89" customFormat="1" ht="15.75" customHeight="1">
      <c r="AP2005" s="104"/>
      <c r="AV2005" s="104"/>
      <c r="AY2005" s="104"/>
      <c r="BB2005" s="116"/>
      <c r="BL2005" s="104"/>
      <c r="BS2005" s="104"/>
    </row>
    <row r="2006" spans="42:71" s="89" customFormat="1" ht="15.75" customHeight="1">
      <c r="AP2006" s="104"/>
      <c r="AV2006" s="104"/>
      <c r="AY2006" s="104"/>
      <c r="BB2006" s="116"/>
      <c r="BL2006" s="104"/>
      <c r="BS2006" s="104"/>
    </row>
    <row r="2007" spans="42:71" s="89" customFormat="1" ht="15.75" customHeight="1">
      <c r="AP2007" s="104"/>
      <c r="AV2007" s="104"/>
      <c r="AY2007" s="104"/>
      <c r="BB2007" s="116"/>
      <c r="BL2007" s="104"/>
      <c r="BS2007" s="104"/>
    </row>
    <row r="2008" spans="42:71" s="89" customFormat="1" ht="15.75" customHeight="1">
      <c r="AP2008" s="104"/>
      <c r="AV2008" s="104"/>
      <c r="AY2008" s="104"/>
      <c r="BB2008" s="116"/>
      <c r="BL2008" s="104"/>
      <c r="BS2008" s="104"/>
    </row>
    <row r="2009" spans="42:71" s="89" customFormat="1" ht="15.75" customHeight="1">
      <c r="AP2009" s="104"/>
      <c r="AV2009" s="104"/>
      <c r="AY2009" s="104"/>
      <c r="BB2009" s="116"/>
      <c r="BL2009" s="104"/>
      <c r="BS2009" s="104"/>
    </row>
    <row r="2010" spans="42:71" s="89" customFormat="1" ht="15.75" customHeight="1">
      <c r="AP2010" s="104"/>
      <c r="AV2010" s="104"/>
      <c r="AY2010" s="104"/>
      <c r="BB2010" s="116"/>
      <c r="BL2010" s="104"/>
      <c r="BS2010" s="104"/>
    </row>
    <row r="2011" spans="42:71" s="89" customFormat="1" ht="15.75" customHeight="1">
      <c r="AP2011" s="104"/>
      <c r="AV2011" s="104"/>
      <c r="AY2011" s="104"/>
      <c r="BB2011" s="116"/>
      <c r="BL2011" s="104"/>
      <c r="BS2011" s="104"/>
    </row>
    <row r="2012" spans="42:71" s="89" customFormat="1" ht="15.75" customHeight="1">
      <c r="AP2012" s="104"/>
      <c r="AV2012" s="104"/>
      <c r="AY2012" s="104"/>
      <c r="BB2012" s="116"/>
      <c r="BL2012" s="104"/>
      <c r="BS2012" s="104"/>
    </row>
    <row r="2013" spans="42:71" s="89" customFormat="1" ht="15.75" customHeight="1">
      <c r="AP2013" s="104"/>
      <c r="AV2013" s="104"/>
      <c r="AY2013" s="104"/>
      <c r="BB2013" s="116"/>
      <c r="BL2013" s="104"/>
      <c r="BS2013" s="104"/>
    </row>
    <row r="2014" spans="42:71" s="89" customFormat="1" ht="15.75" customHeight="1">
      <c r="AP2014" s="104"/>
      <c r="AV2014" s="104"/>
      <c r="AY2014" s="104"/>
      <c r="BB2014" s="116"/>
      <c r="BL2014" s="104"/>
      <c r="BS2014" s="104"/>
    </row>
    <row r="2015" spans="42:71" s="89" customFormat="1" ht="15.75" customHeight="1">
      <c r="AP2015" s="104"/>
      <c r="AV2015" s="104"/>
      <c r="AY2015" s="104"/>
      <c r="BB2015" s="116"/>
      <c r="BL2015" s="104"/>
      <c r="BS2015" s="104"/>
    </row>
    <row r="2016" spans="42:71" s="89" customFormat="1" ht="15.75" customHeight="1">
      <c r="AP2016" s="104"/>
      <c r="AV2016" s="104"/>
      <c r="AY2016" s="104"/>
      <c r="BB2016" s="116"/>
      <c r="BL2016" s="104"/>
      <c r="BS2016" s="104"/>
    </row>
    <row r="2017" spans="42:71" s="89" customFormat="1" ht="15.75" customHeight="1">
      <c r="AP2017" s="104"/>
      <c r="AV2017" s="104"/>
      <c r="AY2017" s="104"/>
      <c r="BB2017" s="116"/>
      <c r="BL2017" s="104"/>
      <c r="BS2017" s="104"/>
    </row>
    <row r="2018" spans="42:71" s="89" customFormat="1" ht="15.75" customHeight="1">
      <c r="AP2018" s="104"/>
      <c r="AV2018" s="104"/>
      <c r="AY2018" s="104"/>
      <c r="BB2018" s="116"/>
      <c r="BL2018" s="104"/>
      <c r="BS2018" s="104"/>
    </row>
    <row r="2019" spans="42:71" s="89" customFormat="1" ht="15.75" customHeight="1">
      <c r="AP2019" s="104"/>
      <c r="AV2019" s="104"/>
      <c r="AY2019" s="104"/>
      <c r="BB2019" s="116"/>
      <c r="BL2019" s="104"/>
      <c r="BS2019" s="104"/>
    </row>
    <row r="2020" spans="42:71" s="89" customFormat="1" ht="15.75" customHeight="1">
      <c r="AP2020" s="104"/>
      <c r="AV2020" s="104"/>
      <c r="AY2020" s="104"/>
      <c r="BB2020" s="116"/>
      <c r="BL2020" s="104"/>
      <c r="BS2020" s="104"/>
    </row>
    <row r="2021" spans="42:71" s="89" customFormat="1" ht="15.75" customHeight="1">
      <c r="AP2021" s="104"/>
      <c r="AV2021" s="104"/>
      <c r="AY2021" s="104"/>
      <c r="BB2021" s="116"/>
      <c r="BL2021" s="104"/>
      <c r="BS2021" s="104"/>
    </row>
    <row r="2022" spans="42:71" s="89" customFormat="1" ht="15.75" customHeight="1">
      <c r="AP2022" s="104"/>
      <c r="AV2022" s="104"/>
      <c r="AY2022" s="104"/>
      <c r="BB2022" s="116"/>
      <c r="BL2022" s="104"/>
      <c r="BS2022" s="104"/>
    </row>
    <row r="2023" spans="42:71" s="89" customFormat="1" ht="15.75" customHeight="1">
      <c r="AP2023" s="104"/>
      <c r="AV2023" s="104"/>
      <c r="AY2023" s="104"/>
      <c r="BB2023" s="116"/>
      <c r="BL2023" s="104"/>
      <c r="BS2023" s="104"/>
    </row>
    <row r="2024" spans="42:71" s="89" customFormat="1" ht="15.75" customHeight="1">
      <c r="AP2024" s="104"/>
      <c r="AV2024" s="104"/>
      <c r="AY2024" s="104"/>
      <c r="BB2024" s="116"/>
      <c r="BL2024" s="104"/>
      <c r="BS2024" s="104"/>
    </row>
    <row r="2025" spans="42:71" s="89" customFormat="1" ht="15.75" customHeight="1">
      <c r="AP2025" s="104"/>
      <c r="AV2025" s="104"/>
      <c r="AY2025" s="104"/>
      <c r="BB2025" s="116"/>
      <c r="BL2025" s="104"/>
      <c r="BS2025" s="104"/>
    </row>
    <row r="2026" spans="42:71" s="89" customFormat="1" ht="15.75" customHeight="1">
      <c r="AP2026" s="104"/>
      <c r="AV2026" s="104"/>
      <c r="AY2026" s="104"/>
      <c r="BB2026" s="116"/>
      <c r="BL2026" s="104"/>
      <c r="BS2026" s="104"/>
    </row>
    <row r="2027" spans="42:71" s="89" customFormat="1" ht="15.75" customHeight="1">
      <c r="AP2027" s="104"/>
      <c r="AV2027" s="104"/>
      <c r="AY2027" s="104"/>
      <c r="BB2027" s="116"/>
      <c r="BL2027" s="104"/>
      <c r="BS2027" s="104"/>
    </row>
    <row r="2028" spans="42:71" s="89" customFormat="1" ht="15.75" customHeight="1">
      <c r="AP2028" s="104"/>
      <c r="AV2028" s="104"/>
      <c r="AY2028" s="104"/>
      <c r="BB2028" s="116"/>
      <c r="BL2028" s="104"/>
      <c r="BS2028" s="104"/>
    </row>
    <row r="2029" spans="42:71" s="89" customFormat="1" ht="15.75" customHeight="1">
      <c r="AP2029" s="104"/>
      <c r="AV2029" s="104"/>
      <c r="AY2029" s="104"/>
      <c r="BB2029" s="116"/>
      <c r="BL2029" s="104"/>
      <c r="BS2029" s="104"/>
    </row>
    <row r="2030" spans="42:71" s="89" customFormat="1" ht="15.75" customHeight="1">
      <c r="AP2030" s="104"/>
      <c r="AV2030" s="104"/>
      <c r="AY2030" s="104"/>
      <c r="BB2030" s="116"/>
      <c r="BL2030" s="104"/>
      <c r="BS2030" s="104"/>
    </row>
    <row r="2031" spans="42:71" s="89" customFormat="1" ht="15.75" customHeight="1">
      <c r="AP2031" s="104"/>
      <c r="AV2031" s="104"/>
      <c r="AY2031" s="104"/>
      <c r="BB2031" s="116"/>
      <c r="BL2031" s="104"/>
      <c r="BS2031" s="104"/>
    </row>
    <row r="2032" spans="42:71" s="89" customFormat="1" ht="15.75" customHeight="1">
      <c r="AP2032" s="104"/>
      <c r="AV2032" s="104"/>
      <c r="AY2032" s="104"/>
      <c r="BB2032" s="116"/>
      <c r="BL2032" s="104"/>
      <c r="BS2032" s="104"/>
    </row>
    <row r="2033" spans="42:71" s="89" customFormat="1" ht="15.75" customHeight="1">
      <c r="AP2033" s="104"/>
      <c r="AV2033" s="104"/>
      <c r="AY2033" s="104"/>
      <c r="BB2033" s="116"/>
      <c r="BL2033" s="104"/>
      <c r="BS2033" s="104"/>
    </row>
    <row r="2034" spans="42:71" s="89" customFormat="1" ht="15.75" customHeight="1">
      <c r="AP2034" s="104"/>
      <c r="AV2034" s="104"/>
      <c r="AY2034" s="104"/>
      <c r="BB2034" s="116"/>
      <c r="BL2034" s="104"/>
      <c r="BS2034" s="104"/>
    </row>
    <row r="2035" spans="42:71" s="89" customFormat="1" ht="15.75" customHeight="1">
      <c r="AP2035" s="104"/>
      <c r="AV2035" s="104"/>
      <c r="AY2035" s="104"/>
      <c r="BB2035" s="116"/>
      <c r="BL2035" s="104"/>
      <c r="BS2035" s="104"/>
    </row>
    <row r="2036" spans="42:71" s="89" customFormat="1" ht="15.75" customHeight="1">
      <c r="AP2036" s="104"/>
      <c r="AV2036" s="104"/>
      <c r="AY2036" s="104"/>
      <c r="BB2036" s="116"/>
      <c r="BL2036" s="104"/>
      <c r="BS2036" s="104"/>
    </row>
    <row r="2037" spans="42:71" s="89" customFormat="1" ht="15.75" customHeight="1">
      <c r="AP2037" s="104"/>
      <c r="AV2037" s="104"/>
      <c r="AY2037" s="104"/>
      <c r="BB2037" s="116"/>
      <c r="BL2037" s="104"/>
      <c r="BS2037" s="104"/>
    </row>
    <row r="2038" spans="42:71" s="89" customFormat="1" ht="15.75" customHeight="1">
      <c r="AP2038" s="104"/>
      <c r="AV2038" s="104"/>
      <c r="AY2038" s="104"/>
      <c r="BB2038" s="116"/>
      <c r="BL2038" s="104"/>
      <c r="BS2038" s="104"/>
    </row>
    <row r="2039" spans="42:71" s="89" customFormat="1" ht="15.75" customHeight="1">
      <c r="AP2039" s="104"/>
      <c r="AV2039" s="104"/>
      <c r="AY2039" s="104"/>
      <c r="BB2039" s="116"/>
      <c r="BL2039" s="104"/>
      <c r="BS2039" s="104"/>
    </row>
    <row r="2040" spans="42:71" s="89" customFormat="1" ht="15.75" customHeight="1">
      <c r="AP2040" s="104"/>
      <c r="AV2040" s="104"/>
      <c r="AY2040" s="104"/>
      <c r="BB2040" s="116"/>
      <c r="BL2040" s="104"/>
      <c r="BS2040" s="104"/>
    </row>
    <row r="2041" spans="42:71" s="89" customFormat="1" ht="15.75" customHeight="1">
      <c r="AP2041" s="104"/>
      <c r="AV2041" s="104"/>
      <c r="AY2041" s="104"/>
      <c r="BB2041" s="116"/>
      <c r="BL2041" s="104"/>
      <c r="BS2041" s="104"/>
    </row>
    <row r="2042" spans="42:71" s="89" customFormat="1" ht="15.75" customHeight="1">
      <c r="AP2042" s="104"/>
      <c r="AV2042" s="104"/>
      <c r="AY2042" s="104"/>
      <c r="BB2042" s="116"/>
      <c r="BL2042" s="104"/>
      <c r="BS2042" s="104"/>
    </row>
    <row r="2043" spans="42:71" s="89" customFormat="1" ht="15.75" customHeight="1">
      <c r="AP2043" s="104"/>
      <c r="AV2043" s="104"/>
      <c r="AY2043" s="104"/>
      <c r="BB2043" s="116"/>
      <c r="BL2043" s="104"/>
      <c r="BS2043" s="104"/>
    </row>
    <row r="2044" spans="42:71" s="89" customFormat="1" ht="15.75" customHeight="1">
      <c r="AP2044" s="104"/>
      <c r="AV2044" s="104"/>
      <c r="AY2044" s="104"/>
      <c r="BB2044" s="116"/>
      <c r="BL2044" s="104"/>
      <c r="BS2044" s="104"/>
    </row>
    <row r="2045" spans="42:71" s="89" customFormat="1" ht="15.75" customHeight="1">
      <c r="AP2045" s="104"/>
      <c r="AV2045" s="104"/>
      <c r="AY2045" s="104"/>
      <c r="BB2045" s="116"/>
      <c r="BL2045" s="104"/>
      <c r="BS2045" s="104"/>
    </row>
    <row r="2046" spans="42:71" s="89" customFormat="1" ht="15.75" customHeight="1">
      <c r="AP2046" s="104"/>
      <c r="AV2046" s="104"/>
      <c r="AY2046" s="104"/>
      <c r="BB2046" s="116"/>
      <c r="BL2046" s="104"/>
      <c r="BS2046" s="104"/>
    </row>
    <row r="2047" spans="42:71" s="89" customFormat="1" ht="15.75" customHeight="1">
      <c r="AP2047" s="104"/>
      <c r="AV2047" s="104"/>
      <c r="AY2047" s="104"/>
      <c r="BB2047" s="116"/>
      <c r="BL2047" s="104"/>
      <c r="BS2047" s="104"/>
    </row>
    <row r="2048" spans="42:71" s="89" customFormat="1" ht="15.75" customHeight="1">
      <c r="AP2048" s="104"/>
      <c r="AV2048" s="104"/>
      <c r="AY2048" s="104"/>
      <c r="BB2048" s="116"/>
      <c r="BL2048" s="104"/>
      <c r="BS2048" s="104"/>
    </row>
    <row r="2049" spans="42:71" s="89" customFormat="1" ht="15.75" customHeight="1">
      <c r="AP2049" s="104"/>
      <c r="AV2049" s="104"/>
      <c r="AY2049" s="104"/>
      <c r="BB2049" s="116"/>
      <c r="BL2049" s="104"/>
      <c r="BS2049" s="104"/>
    </row>
    <row r="2050" spans="42:71" s="89" customFormat="1" ht="15.75" customHeight="1">
      <c r="AP2050" s="104"/>
      <c r="AV2050" s="104"/>
      <c r="AY2050" s="104"/>
      <c r="BB2050" s="116"/>
      <c r="BL2050" s="104"/>
      <c r="BS2050" s="104"/>
    </row>
    <row r="2051" spans="42:71" s="89" customFormat="1" ht="15.75" customHeight="1">
      <c r="AP2051" s="104"/>
      <c r="AV2051" s="104"/>
      <c r="AY2051" s="104"/>
      <c r="BB2051" s="116"/>
      <c r="BL2051" s="104"/>
      <c r="BS2051" s="104"/>
    </row>
    <row r="2052" spans="42:71" s="89" customFormat="1" ht="15.75" customHeight="1">
      <c r="AP2052" s="104"/>
      <c r="AV2052" s="104"/>
      <c r="AY2052" s="104"/>
      <c r="BB2052" s="116"/>
      <c r="BL2052" s="104"/>
      <c r="BS2052" s="104"/>
    </row>
    <row r="2053" spans="42:71" s="89" customFormat="1" ht="15.75" customHeight="1">
      <c r="AP2053" s="104"/>
      <c r="AV2053" s="104"/>
      <c r="AY2053" s="104"/>
      <c r="BB2053" s="116"/>
      <c r="BL2053" s="104"/>
      <c r="BS2053" s="104"/>
    </row>
    <row r="2054" spans="42:71" s="89" customFormat="1" ht="15.75" customHeight="1">
      <c r="AP2054" s="104"/>
      <c r="AV2054" s="104"/>
      <c r="AY2054" s="104"/>
      <c r="BB2054" s="116"/>
      <c r="BL2054" s="104"/>
      <c r="BS2054" s="104"/>
    </row>
    <row r="2055" spans="42:71" s="89" customFormat="1" ht="15.75" customHeight="1">
      <c r="AP2055" s="104"/>
      <c r="AV2055" s="104"/>
      <c r="AY2055" s="104"/>
      <c r="BB2055" s="116"/>
      <c r="BL2055" s="104"/>
      <c r="BS2055" s="104"/>
    </row>
    <row r="2056" spans="42:71" s="89" customFormat="1" ht="15.75" customHeight="1">
      <c r="AP2056" s="104"/>
      <c r="AV2056" s="104"/>
      <c r="AY2056" s="104"/>
      <c r="BB2056" s="116"/>
      <c r="BL2056" s="104"/>
      <c r="BS2056" s="104"/>
    </row>
    <row r="2057" spans="42:71" s="89" customFormat="1" ht="15.75" customHeight="1">
      <c r="AP2057" s="104"/>
      <c r="AV2057" s="104"/>
      <c r="AY2057" s="104"/>
      <c r="BB2057" s="116"/>
      <c r="BL2057" s="104"/>
      <c r="BS2057" s="104"/>
    </row>
    <row r="2058" spans="42:71" s="89" customFormat="1" ht="15.75" customHeight="1">
      <c r="AP2058" s="104"/>
      <c r="AV2058" s="104"/>
      <c r="AY2058" s="104"/>
      <c r="BB2058" s="116"/>
      <c r="BL2058" s="104"/>
      <c r="BS2058" s="104"/>
    </row>
    <row r="2059" spans="42:71" s="89" customFormat="1" ht="15.75" customHeight="1">
      <c r="AP2059" s="104"/>
      <c r="AV2059" s="104"/>
      <c r="AY2059" s="104"/>
      <c r="BB2059" s="116"/>
      <c r="BL2059" s="104"/>
      <c r="BS2059" s="104"/>
    </row>
    <row r="2060" spans="42:71" s="89" customFormat="1" ht="15.75" customHeight="1">
      <c r="AP2060" s="104"/>
      <c r="AV2060" s="104"/>
      <c r="AY2060" s="104"/>
      <c r="BB2060" s="116"/>
      <c r="BL2060" s="104"/>
      <c r="BS2060" s="104"/>
    </row>
    <row r="2061" spans="42:71" s="89" customFormat="1" ht="15.75" customHeight="1">
      <c r="AP2061" s="104"/>
      <c r="AV2061" s="104"/>
      <c r="AY2061" s="104"/>
      <c r="BB2061" s="116"/>
      <c r="BL2061" s="104"/>
      <c r="BS2061" s="104"/>
    </row>
    <row r="2062" spans="42:71" s="89" customFormat="1" ht="15.75" customHeight="1">
      <c r="AP2062" s="104"/>
      <c r="AV2062" s="104"/>
      <c r="AY2062" s="104"/>
      <c r="BB2062" s="116"/>
      <c r="BL2062" s="104"/>
      <c r="BS2062" s="104"/>
    </row>
    <row r="2063" spans="42:71" s="89" customFormat="1" ht="15.75" customHeight="1">
      <c r="AP2063" s="104"/>
      <c r="AV2063" s="104"/>
      <c r="AY2063" s="104"/>
      <c r="BB2063" s="116"/>
      <c r="BL2063" s="104"/>
      <c r="BS2063" s="104"/>
    </row>
    <row r="2064" spans="42:71" s="89" customFormat="1" ht="15.75" customHeight="1">
      <c r="AP2064" s="104"/>
      <c r="AV2064" s="104"/>
      <c r="AY2064" s="104"/>
      <c r="BB2064" s="116"/>
      <c r="BL2064" s="104"/>
      <c r="BS2064" s="104"/>
    </row>
    <row r="2065" spans="42:71" s="89" customFormat="1" ht="15.75" customHeight="1">
      <c r="AP2065" s="104"/>
      <c r="AV2065" s="104"/>
      <c r="AY2065" s="104"/>
      <c r="BB2065" s="116"/>
      <c r="BL2065" s="104"/>
      <c r="BS2065" s="104"/>
    </row>
    <row r="2066" spans="42:71" s="89" customFormat="1" ht="15.75" customHeight="1">
      <c r="AP2066" s="104"/>
      <c r="AV2066" s="104"/>
      <c r="AY2066" s="104"/>
      <c r="BB2066" s="116"/>
      <c r="BL2066" s="104"/>
      <c r="BS2066" s="104"/>
    </row>
    <row r="2067" spans="42:71" s="89" customFormat="1" ht="15.75" customHeight="1">
      <c r="AP2067" s="104"/>
      <c r="AV2067" s="104"/>
      <c r="AY2067" s="104"/>
      <c r="BB2067" s="116"/>
      <c r="BL2067" s="104"/>
      <c r="BS2067" s="104"/>
    </row>
    <row r="2068" spans="42:71" s="89" customFormat="1" ht="15.75" customHeight="1">
      <c r="AP2068" s="104"/>
      <c r="AV2068" s="104"/>
      <c r="AY2068" s="104"/>
      <c r="BB2068" s="116"/>
      <c r="BL2068" s="104"/>
      <c r="BS2068" s="104"/>
    </row>
    <row r="2069" spans="42:71" s="89" customFormat="1" ht="15.75" customHeight="1">
      <c r="AP2069" s="104"/>
      <c r="AV2069" s="104"/>
      <c r="AY2069" s="104"/>
      <c r="BB2069" s="116"/>
      <c r="BL2069" s="104"/>
      <c r="BS2069" s="104"/>
    </row>
    <row r="2070" spans="42:71" s="89" customFormat="1" ht="15.75" customHeight="1">
      <c r="AP2070" s="104"/>
      <c r="AV2070" s="104"/>
      <c r="AY2070" s="104"/>
      <c r="BB2070" s="116"/>
      <c r="BL2070" s="104"/>
      <c r="BS2070" s="104"/>
    </row>
    <row r="2071" spans="42:71" s="89" customFormat="1" ht="15.75" customHeight="1">
      <c r="AP2071" s="104"/>
      <c r="AV2071" s="104"/>
      <c r="AY2071" s="104"/>
      <c r="BB2071" s="116"/>
      <c r="BL2071" s="104"/>
      <c r="BS2071" s="104"/>
    </row>
    <row r="2072" spans="42:71" s="89" customFormat="1" ht="15.75" customHeight="1">
      <c r="AP2072" s="104"/>
      <c r="AV2072" s="104"/>
      <c r="AY2072" s="104"/>
      <c r="BB2072" s="116"/>
      <c r="BL2072" s="104"/>
      <c r="BS2072" s="104"/>
    </row>
    <row r="2073" spans="42:71" s="89" customFormat="1" ht="15.75" customHeight="1">
      <c r="AP2073" s="104"/>
      <c r="AV2073" s="104"/>
      <c r="AY2073" s="104"/>
      <c r="BB2073" s="116"/>
      <c r="BL2073" s="104"/>
      <c r="BS2073" s="104"/>
    </row>
    <row r="2074" spans="42:71" s="89" customFormat="1" ht="15.75" customHeight="1">
      <c r="AP2074" s="104"/>
      <c r="AV2074" s="104"/>
      <c r="AY2074" s="104"/>
      <c r="BB2074" s="116"/>
      <c r="BL2074" s="104"/>
      <c r="BS2074" s="104"/>
    </row>
    <row r="2075" spans="42:71" s="89" customFormat="1" ht="15.75" customHeight="1">
      <c r="AP2075" s="104"/>
      <c r="AV2075" s="104"/>
      <c r="AY2075" s="104"/>
      <c r="BB2075" s="116"/>
      <c r="BL2075" s="104"/>
      <c r="BS2075" s="104"/>
    </row>
    <row r="2076" spans="42:71" s="89" customFormat="1" ht="15.75" customHeight="1">
      <c r="AP2076" s="104"/>
      <c r="AV2076" s="104"/>
      <c r="AY2076" s="104"/>
      <c r="BB2076" s="116"/>
      <c r="BL2076" s="104"/>
      <c r="BS2076" s="104"/>
    </row>
    <row r="2077" spans="42:71" s="89" customFormat="1" ht="15.75" customHeight="1">
      <c r="AP2077" s="104"/>
      <c r="AV2077" s="104"/>
      <c r="AY2077" s="104"/>
      <c r="BB2077" s="116"/>
      <c r="BL2077" s="104"/>
      <c r="BS2077" s="104"/>
    </row>
    <row r="2078" spans="42:71" s="89" customFormat="1" ht="15.75" customHeight="1">
      <c r="AP2078" s="104"/>
      <c r="AV2078" s="104"/>
      <c r="AY2078" s="104"/>
      <c r="BB2078" s="116"/>
      <c r="BL2078" s="104"/>
      <c r="BS2078" s="104"/>
    </row>
    <row r="2079" spans="42:71" s="89" customFormat="1" ht="15.75" customHeight="1">
      <c r="AP2079" s="104"/>
      <c r="AV2079" s="104"/>
      <c r="AY2079" s="104"/>
      <c r="BB2079" s="116"/>
      <c r="BL2079" s="104"/>
      <c r="BS2079" s="104"/>
    </row>
    <row r="2080" spans="42:71" s="89" customFormat="1" ht="15.75" customHeight="1">
      <c r="AP2080" s="104"/>
      <c r="AV2080" s="104"/>
      <c r="AY2080" s="104"/>
      <c r="BB2080" s="116"/>
      <c r="BL2080" s="104"/>
      <c r="BS2080" s="104"/>
    </row>
    <row r="2081" spans="42:71" s="89" customFormat="1" ht="15.75" customHeight="1">
      <c r="AP2081" s="104"/>
      <c r="AV2081" s="104"/>
      <c r="AY2081" s="104"/>
      <c r="BB2081" s="116"/>
      <c r="BL2081" s="104"/>
      <c r="BS2081" s="104"/>
    </row>
    <row r="2082" spans="42:71" s="89" customFormat="1" ht="15.75" customHeight="1">
      <c r="AP2082" s="104"/>
      <c r="AV2082" s="104"/>
      <c r="AY2082" s="104"/>
      <c r="BB2082" s="116"/>
      <c r="BL2082" s="104"/>
      <c r="BS2082" s="104"/>
    </row>
    <row r="2083" spans="42:71" s="89" customFormat="1" ht="15.75" customHeight="1">
      <c r="AP2083" s="104"/>
      <c r="AV2083" s="104"/>
      <c r="AY2083" s="104"/>
      <c r="BB2083" s="116"/>
      <c r="BL2083" s="104"/>
      <c r="BS2083" s="104"/>
    </row>
    <row r="2084" spans="42:71" s="89" customFormat="1" ht="15.75" customHeight="1">
      <c r="AP2084" s="104"/>
      <c r="AV2084" s="104"/>
      <c r="AY2084" s="104"/>
      <c r="BB2084" s="116"/>
      <c r="BL2084" s="104"/>
      <c r="BS2084" s="104"/>
    </row>
    <row r="2085" spans="42:71" s="89" customFormat="1" ht="15.75" customHeight="1">
      <c r="AP2085" s="104"/>
      <c r="AV2085" s="104"/>
      <c r="AY2085" s="104"/>
      <c r="BB2085" s="116"/>
      <c r="BL2085" s="104"/>
      <c r="BS2085" s="104"/>
    </row>
    <row r="2086" spans="42:71" s="89" customFormat="1" ht="15.75" customHeight="1">
      <c r="AP2086" s="104"/>
      <c r="AV2086" s="104"/>
      <c r="AY2086" s="104"/>
      <c r="BB2086" s="116"/>
      <c r="BL2086" s="104"/>
      <c r="BS2086" s="104"/>
    </row>
    <row r="2087" spans="42:71" s="89" customFormat="1" ht="15.75" customHeight="1">
      <c r="AP2087" s="104"/>
      <c r="AV2087" s="104"/>
      <c r="AY2087" s="104"/>
      <c r="BB2087" s="116"/>
      <c r="BL2087" s="104"/>
      <c r="BS2087" s="104"/>
    </row>
    <row r="2088" spans="42:71" s="89" customFormat="1" ht="15.75" customHeight="1">
      <c r="AP2088" s="104"/>
      <c r="AV2088" s="104"/>
      <c r="AY2088" s="104"/>
      <c r="BB2088" s="116"/>
      <c r="BL2088" s="104"/>
      <c r="BS2088" s="104"/>
    </row>
    <row r="2089" spans="42:71" s="89" customFormat="1" ht="15.75" customHeight="1">
      <c r="AP2089" s="104"/>
      <c r="AV2089" s="104"/>
      <c r="AY2089" s="104"/>
      <c r="BB2089" s="116"/>
      <c r="BL2089" s="104"/>
      <c r="BS2089" s="104"/>
    </row>
    <row r="2090" spans="42:71" s="89" customFormat="1" ht="15.75" customHeight="1">
      <c r="AP2090" s="104"/>
      <c r="AV2090" s="104"/>
      <c r="AY2090" s="104"/>
      <c r="BB2090" s="116"/>
      <c r="BL2090" s="104"/>
      <c r="BS2090" s="104"/>
    </row>
    <row r="2091" spans="42:71" s="89" customFormat="1" ht="15.75" customHeight="1">
      <c r="AP2091" s="104"/>
      <c r="AV2091" s="104"/>
      <c r="AY2091" s="104"/>
      <c r="BB2091" s="116"/>
      <c r="BL2091" s="104"/>
      <c r="BS2091" s="104"/>
    </row>
    <row r="2092" spans="42:71" s="89" customFormat="1" ht="15.75" customHeight="1">
      <c r="AP2092" s="104"/>
      <c r="AV2092" s="104"/>
      <c r="AY2092" s="104"/>
      <c r="BB2092" s="116"/>
      <c r="BL2092" s="104"/>
      <c r="BS2092" s="104"/>
    </row>
    <row r="2093" spans="42:71" s="89" customFormat="1" ht="15.75" customHeight="1">
      <c r="AP2093" s="104"/>
      <c r="AV2093" s="104"/>
      <c r="AY2093" s="104"/>
      <c r="BB2093" s="116"/>
      <c r="BL2093" s="104"/>
      <c r="BS2093" s="104"/>
    </row>
    <row r="2094" spans="42:71" s="89" customFormat="1" ht="15.75" customHeight="1">
      <c r="AP2094" s="104"/>
      <c r="AV2094" s="104"/>
      <c r="AY2094" s="104"/>
      <c r="BB2094" s="116"/>
      <c r="BL2094" s="104"/>
      <c r="BS2094" s="104"/>
    </row>
    <row r="2095" spans="42:71" s="89" customFormat="1" ht="15.75" customHeight="1">
      <c r="AP2095" s="104"/>
      <c r="AV2095" s="104"/>
      <c r="AY2095" s="104"/>
      <c r="BB2095" s="116"/>
      <c r="BL2095" s="104"/>
      <c r="BS2095" s="104"/>
    </row>
    <row r="2096" spans="42:71" s="89" customFormat="1" ht="15.75" customHeight="1">
      <c r="AP2096" s="104"/>
      <c r="AV2096" s="104"/>
      <c r="AY2096" s="104"/>
      <c r="BB2096" s="116"/>
      <c r="BL2096" s="104"/>
      <c r="BS2096" s="104"/>
    </row>
    <row r="2097" spans="42:71" s="89" customFormat="1" ht="15.75" customHeight="1">
      <c r="AP2097" s="104"/>
      <c r="AV2097" s="104"/>
      <c r="AY2097" s="104"/>
      <c r="BB2097" s="116"/>
      <c r="BL2097" s="104"/>
      <c r="BS2097" s="104"/>
    </row>
    <row r="2098" spans="42:71" s="89" customFormat="1" ht="15.75" customHeight="1">
      <c r="AP2098" s="104"/>
      <c r="AV2098" s="104"/>
      <c r="AY2098" s="104"/>
      <c r="BB2098" s="116"/>
      <c r="BL2098" s="104"/>
      <c r="BS2098" s="104"/>
    </row>
    <row r="2099" spans="42:71" s="89" customFormat="1" ht="15.75" customHeight="1">
      <c r="AP2099" s="104"/>
      <c r="AV2099" s="104"/>
      <c r="AY2099" s="104"/>
      <c r="BB2099" s="116"/>
      <c r="BL2099" s="104"/>
      <c r="BS2099" s="104"/>
    </row>
    <row r="2100" spans="42:71" s="89" customFormat="1" ht="15.75" customHeight="1">
      <c r="AP2100" s="104"/>
      <c r="AV2100" s="104"/>
      <c r="AY2100" s="104"/>
      <c r="BB2100" s="116"/>
      <c r="BL2100" s="104"/>
      <c r="BS2100" s="104"/>
    </row>
    <row r="2101" spans="42:71" s="89" customFormat="1" ht="15.75" customHeight="1">
      <c r="AP2101" s="104"/>
      <c r="AV2101" s="104"/>
      <c r="AY2101" s="104"/>
      <c r="BB2101" s="116"/>
      <c r="BL2101" s="104"/>
      <c r="BS2101" s="104"/>
    </row>
    <row r="2102" spans="42:71" s="89" customFormat="1" ht="15.75" customHeight="1">
      <c r="AP2102" s="104"/>
      <c r="AV2102" s="104"/>
      <c r="AY2102" s="104"/>
      <c r="BB2102" s="116"/>
      <c r="BL2102" s="104"/>
      <c r="BS2102" s="104"/>
    </row>
    <row r="2103" spans="42:71" s="89" customFormat="1" ht="15.75" customHeight="1">
      <c r="AP2103" s="104"/>
      <c r="AV2103" s="104"/>
      <c r="AY2103" s="104"/>
      <c r="BB2103" s="116"/>
      <c r="BL2103" s="104"/>
      <c r="BS2103" s="104"/>
    </row>
    <row r="2104" spans="42:71" s="89" customFormat="1" ht="15.75" customHeight="1">
      <c r="AP2104" s="104"/>
      <c r="AV2104" s="104"/>
      <c r="AY2104" s="104"/>
      <c r="BB2104" s="116"/>
      <c r="BL2104" s="104"/>
      <c r="BS2104" s="104"/>
    </row>
    <row r="2105" spans="42:71" s="89" customFormat="1" ht="15.75" customHeight="1">
      <c r="AP2105" s="104"/>
      <c r="AV2105" s="104"/>
      <c r="AY2105" s="104"/>
      <c r="BB2105" s="116"/>
      <c r="BL2105" s="104"/>
      <c r="BS2105" s="104"/>
    </row>
    <row r="2106" spans="42:71" s="89" customFormat="1" ht="15.75" customHeight="1">
      <c r="AP2106" s="104"/>
      <c r="AV2106" s="104"/>
      <c r="AY2106" s="104"/>
      <c r="BB2106" s="116"/>
      <c r="BL2106" s="104"/>
      <c r="BS2106" s="104"/>
    </row>
    <row r="2107" spans="42:71" s="89" customFormat="1" ht="15.75" customHeight="1">
      <c r="AP2107" s="104"/>
      <c r="AV2107" s="104"/>
      <c r="AY2107" s="104"/>
      <c r="BB2107" s="116"/>
      <c r="BL2107" s="104"/>
      <c r="BS2107" s="104"/>
    </row>
    <row r="2108" spans="42:71" s="89" customFormat="1" ht="15.75" customHeight="1">
      <c r="AP2108" s="104"/>
      <c r="AV2108" s="104"/>
      <c r="AY2108" s="104"/>
      <c r="BB2108" s="116"/>
      <c r="BL2108" s="104"/>
      <c r="BS2108" s="104"/>
    </row>
    <row r="2109" spans="42:71" s="89" customFormat="1" ht="15.75" customHeight="1">
      <c r="AP2109" s="104"/>
      <c r="AV2109" s="104"/>
      <c r="AY2109" s="104"/>
      <c r="BB2109" s="116"/>
      <c r="BL2109" s="104"/>
      <c r="BS2109" s="104"/>
    </row>
    <row r="2110" spans="42:71" s="89" customFormat="1" ht="15.75" customHeight="1">
      <c r="AP2110" s="104"/>
      <c r="AV2110" s="104"/>
      <c r="AY2110" s="104"/>
      <c r="BB2110" s="116"/>
      <c r="BL2110" s="104"/>
      <c r="BS2110" s="104"/>
    </row>
    <row r="2111" spans="42:71" s="89" customFormat="1" ht="15.75" customHeight="1">
      <c r="AP2111" s="104"/>
      <c r="AV2111" s="104"/>
      <c r="AY2111" s="104"/>
      <c r="BB2111" s="116"/>
      <c r="BL2111" s="104"/>
      <c r="BS2111" s="104"/>
    </row>
    <row r="2112" spans="42:71" s="89" customFormat="1" ht="15.75" customHeight="1">
      <c r="AP2112" s="104"/>
      <c r="AV2112" s="104"/>
      <c r="AY2112" s="104"/>
      <c r="BB2112" s="116"/>
      <c r="BL2112" s="104"/>
      <c r="BS2112" s="104"/>
    </row>
    <row r="2113" spans="42:71" s="89" customFormat="1" ht="15.75" customHeight="1">
      <c r="AP2113" s="104"/>
      <c r="AV2113" s="104"/>
      <c r="AY2113" s="104"/>
      <c r="BB2113" s="116"/>
      <c r="BL2113" s="104"/>
      <c r="BS2113" s="104"/>
    </row>
    <row r="2114" spans="42:71" s="89" customFormat="1" ht="15.75" customHeight="1">
      <c r="AP2114" s="104"/>
      <c r="AV2114" s="104"/>
      <c r="AY2114" s="104"/>
      <c r="BB2114" s="116"/>
      <c r="BL2114" s="104"/>
      <c r="BS2114" s="104"/>
    </row>
    <row r="2115" spans="42:71" s="89" customFormat="1" ht="15.75" customHeight="1">
      <c r="AP2115" s="104"/>
      <c r="AV2115" s="104"/>
      <c r="AY2115" s="104"/>
      <c r="BB2115" s="116"/>
      <c r="BL2115" s="104"/>
      <c r="BS2115" s="104"/>
    </row>
    <row r="2116" spans="42:71" s="89" customFormat="1" ht="15.75" customHeight="1">
      <c r="AP2116" s="104"/>
      <c r="AV2116" s="104"/>
      <c r="AY2116" s="104"/>
      <c r="BB2116" s="116"/>
      <c r="BL2116" s="104"/>
      <c r="BS2116" s="104"/>
    </row>
    <row r="2117" spans="42:71" s="89" customFormat="1" ht="15.75" customHeight="1">
      <c r="AP2117" s="104"/>
      <c r="AV2117" s="104"/>
      <c r="AY2117" s="104"/>
      <c r="BB2117" s="116"/>
      <c r="BL2117" s="104"/>
      <c r="BS2117" s="104"/>
    </row>
    <row r="2118" spans="42:71" s="89" customFormat="1" ht="15.75" customHeight="1">
      <c r="AP2118" s="104"/>
      <c r="AV2118" s="104"/>
      <c r="AY2118" s="104"/>
      <c r="BB2118" s="116"/>
      <c r="BL2118" s="104"/>
      <c r="BS2118" s="104"/>
    </row>
    <row r="2119" spans="42:71" s="89" customFormat="1" ht="15.75" customHeight="1">
      <c r="AP2119" s="104"/>
      <c r="AV2119" s="104"/>
      <c r="AY2119" s="104"/>
      <c r="BB2119" s="116"/>
      <c r="BL2119" s="104"/>
      <c r="BS2119" s="104"/>
    </row>
    <row r="2120" spans="42:71" s="89" customFormat="1" ht="15.75" customHeight="1">
      <c r="AP2120" s="104"/>
      <c r="AV2120" s="104"/>
      <c r="AY2120" s="104"/>
      <c r="BB2120" s="116"/>
      <c r="BL2120" s="104"/>
      <c r="BS2120" s="104"/>
    </row>
    <row r="2121" spans="42:71" s="89" customFormat="1" ht="15.75" customHeight="1">
      <c r="AP2121" s="104"/>
      <c r="AV2121" s="104"/>
      <c r="AY2121" s="104"/>
      <c r="BB2121" s="116"/>
      <c r="BL2121" s="104"/>
      <c r="BS2121" s="104"/>
    </row>
    <row r="2122" spans="42:71" s="89" customFormat="1" ht="15.75" customHeight="1">
      <c r="AP2122" s="104"/>
      <c r="AV2122" s="104"/>
      <c r="AY2122" s="104"/>
      <c r="BB2122" s="116"/>
      <c r="BL2122" s="104"/>
      <c r="BS2122" s="104"/>
    </row>
    <row r="2123" spans="42:71" s="89" customFormat="1" ht="15.75" customHeight="1">
      <c r="AP2123" s="104"/>
      <c r="AV2123" s="104"/>
      <c r="AY2123" s="104"/>
      <c r="BB2123" s="116"/>
      <c r="BL2123" s="104"/>
      <c r="BS2123" s="104"/>
    </row>
    <row r="2124" spans="42:71" s="89" customFormat="1" ht="15.75" customHeight="1">
      <c r="AP2124" s="104"/>
      <c r="AV2124" s="104"/>
      <c r="AY2124" s="104"/>
      <c r="BB2124" s="116"/>
      <c r="BL2124" s="104"/>
      <c r="BS2124" s="104"/>
    </row>
    <row r="2125" spans="42:71" s="89" customFormat="1" ht="15.75" customHeight="1">
      <c r="AP2125" s="104"/>
      <c r="AV2125" s="104"/>
      <c r="AY2125" s="104"/>
      <c r="BB2125" s="116"/>
      <c r="BL2125" s="104"/>
      <c r="BS2125" s="104"/>
    </row>
    <row r="2126" spans="42:71" s="89" customFormat="1" ht="15.75" customHeight="1">
      <c r="AP2126" s="104"/>
      <c r="AV2126" s="104"/>
      <c r="AY2126" s="104"/>
      <c r="BB2126" s="116"/>
      <c r="BL2126" s="104"/>
      <c r="BS2126" s="104"/>
    </row>
    <row r="2127" spans="42:71" s="89" customFormat="1" ht="15.75" customHeight="1">
      <c r="AP2127" s="104"/>
      <c r="AV2127" s="104"/>
      <c r="AY2127" s="104"/>
      <c r="BB2127" s="116"/>
      <c r="BL2127" s="104"/>
      <c r="BS2127" s="104"/>
    </row>
    <row r="2128" spans="42:71" s="89" customFormat="1" ht="15.75" customHeight="1">
      <c r="AP2128" s="104"/>
      <c r="AV2128" s="104"/>
      <c r="AY2128" s="104"/>
      <c r="BB2128" s="116"/>
      <c r="BL2128" s="104"/>
      <c r="BS2128" s="104"/>
    </row>
    <row r="2129" spans="42:71" s="89" customFormat="1" ht="15.75" customHeight="1">
      <c r="AP2129" s="104"/>
      <c r="AV2129" s="104"/>
      <c r="AY2129" s="104"/>
      <c r="BB2129" s="116"/>
      <c r="BL2129" s="104"/>
      <c r="BS2129" s="104"/>
    </row>
    <row r="2130" spans="42:71" s="89" customFormat="1" ht="15.75" customHeight="1">
      <c r="AP2130" s="104"/>
      <c r="AV2130" s="104"/>
      <c r="AY2130" s="104"/>
      <c r="BB2130" s="116"/>
      <c r="BL2130" s="104"/>
      <c r="BS2130" s="104"/>
    </row>
    <row r="2131" spans="42:71" s="89" customFormat="1" ht="15.75" customHeight="1">
      <c r="AP2131" s="104"/>
      <c r="AV2131" s="104"/>
      <c r="AY2131" s="104"/>
      <c r="BB2131" s="116"/>
      <c r="BL2131" s="104"/>
      <c r="BS2131" s="104"/>
    </row>
    <row r="2132" spans="42:71" s="89" customFormat="1" ht="15.75" customHeight="1">
      <c r="AP2132" s="104"/>
      <c r="AV2132" s="104"/>
      <c r="AY2132" s="104"/>
      <c r="BB2132" s="116"/>
      <c r="BL2132" s="104"/>
      <c r="BS2132" s="104"/>
    </row>
    <row r="2133" spans="42:71" s="89" customFormat="1" ht="15.75" customHeight="1">
      <c r="AP2133" s="104"/>
      <c r="AV2133" s="104"/>
      <c r="AY2133" s="104"/>
      <c r="BB2133" s="116"/>
      <c r="BL2133" s="104"/>
      <c r="BS2133" s="104"/>
    </row>
    <row r="2134" spans="42:71" s="89" customFormat="1" ht="15.75" customHeight="1">
      <c r="AP2134" s="104"/>
      <c r="AV2134" s="104"/>
      <c r="AY2134" s="104"/>
      <c r="BB2134" s="116"/>
      <c r="BL2134" s="104"/>
      <c r="BS2134" s="104"/>
    </row>
    <row r="2135" spans="42:71" s="89" customFormat="1" ht="15.75" customHeight="1">
      <c r="AP2135" s="104"/>
      <c r="AV2135" s="104"/>
      <c r="AY2135" s="104"/>
      <c r="BB2135" s="116"/>
      <c r="BL2135" s="104"/>
      <c r="BS2135" s="104"/>
    </row>
    <row r="2136" spans="42:71" s="89" customFormat="1" ht="15.75" customHeight="1">
      <c r="AP2136" s="104"/>
      <c r="AV2136" s="104"/>
      <c r="AY2136" s="104"/>
      <c r="BB2136" s="116"/>
      <c r="BL2136" s="104"/>
      <c r="BS2136" s="104"/>
    </row>
    <row r="2137" spans="42:71" s="89" customFormat="1" ht="15.75" customHeight="1">
      <c r="AP2137" s="104"/>
      <c r="AV2137" s="104"/>
      <c r="AY2137" s="104"/>
      <c r="BB2137" s="116"/>
      <c r="BL2137" s="104"/>
      <c r="BS2137" s="104"/>
    </row>
    <row r="2138" spans="42:71" s="89" customFormat="1" ht="15.75" customHeight="1">
      <c r="AP2138" s="104"/>
      <c r="AV2138" s="104"/>
      <c r="AY2138" s="104"/>
      <c r="BB2138" s="116"/>
      <c r="BL2138" s="104"/>
      <c r="BS2138" s="104"/>
    </row>
    <row r="2139" spans="42:71" s="89" customFormat="1" ht="15.75" customHeight="1">
      <c r="AP2139" s="104"/>
      <c r="AV2139" s="104"/>
      <c r="AY2139" s="104"/>
      <c r="BB2139" s="116"/>
      <c r="BL2139" s="104"/>
      <c r="BS2139" s="104"/>
    </row>
    <row r="2140" spans="42:71" s="89" customFormat="1" ht="15.75" customHeight="1">
      <c r="AP2140" s="104"/>
      <c r="AV2140" s="104"/>
      <c r="AY2140" s="104"/>
      <c r="BB2140" s="116"/>
      <c r="BL2140" s="104"/>
      <c r="BS2140" s="104"/>
    </row>
    <row r="2141" spans="42:71" s="89" customFormat="1" ht="15.75" customHeight="1">
      <c r="AP2141" s="104"/>
      <c r="AV2141" s="104"/>
      <c r="AY2141" s="104"/>
      <c r="BB2141" s="116"/>
      <c r="BL2141" s="104"/>
      <c r="BS2141" s="104"/>
    </row>
    <row r="2142" spans="42:71" s="89" customFormat="1" ht="15.75" customHeight="1">
      <c r="AP2142" s="104"/>
      <c r="AV2142" s="104"/>
      <c r="AY2142" s="104"/>
      <c r="BB2142" s="116"/>
      <c r="BL2142" s="104"/>
      <c r="BS2142" s="104"/>
    </row>
    <row r="2143" spans="42:71" s="89" customFormat="1" ht="15.75" customHeight="1">
      <c r="AP2143" s="104"/>
      <c r="AV2143" s="104"/>
      <c r="AY2143" s="104"/>
      <c r="BB2143" s="116"/>
      <c r="BL2143" s="104"/>
      <c r="BS2143" s="104"/>
    </row>
    <row r="2144" spans="42:71" s="89" customFormat="1" ht="15.75" customHeight="1">
      <c r="AP2144" s="104"/>
      <c r="AV2144" s="104"/>
      <c r="AY2144" s="104"/>
      <c r="BB2144" s="116"/>
      <c r="BL2144" s="104"/>
      <c r="BS2144" s="104"/>
    </row>
    <row r="2145" spans="42:71" s="89" customFormat="1" ht="15.75" customHeight="1">
      <c r="AP2145" s="104"/>
      <c r="AV2145" s="104"/>
      <c r="AY2145" s="104"/>
      <c r="BB2145" s="116"/>
      <c r="BL2145" s="104"/>
      <c r="BS2145" s="104"/>
    </row>
    <row r="2146" spans="42:71" s="89" customFormat="1" ht="15.75" customHeight="1">
      <c r="AP2146" s="104"/>
      <c r="AV2146" s="104"/>
      <c r="AY2146" s="104"/>
      <c r="BB2146" s="116"/>
      <c r="BL2146" s="104"/>
      <c r="BS2146" s="104"/>
    </row>
    <row r="2147" spans="42:71" s="89" customFormat="1" ht="15.75" customHeight="1">
      <c r="AP2147" s="104"/>
      <c r="AV2147" s="104"/>
      <c r="AY2147" s="104"/>
      <c r="BB2147" s="116"/>
      <c r="BL2147" s="104"/>
      <c r="BS2147" s="104"/>
    </row>
    <row r="2148" spans="42:71" s="89" customFormat="1" ht="15.75" customHeight="1">
      <c r="AP2148" s="104"/>
      <c r="AV2148" s="104"/>
      <c r="AY2148" s="104"/>
      <c r="BB2148" s="116"/>
      <c r="BL2148" s="104"/>
      <c r="BS2148" s="104"/>
    </row>
    <row r="2149" spans="42:71" s="89" customFormat="1" ht="15.75" customHeight="1">
      <c r="AP2149" s="104"/>
      <c r="AV2149" s="104"/>
      <c r="AY2149" s="104"/>
      <c r="BB2149" s="116"/>
      <c r="BL2149" s="104"/>
      <c r="BS2149" s="104"/>
    </row>
    <row r="2150" spans="42:71" s="89" customFormat="1" ht="15.75" customHeight="1">
      <c r="AP2150" s="104"/>
      <c r="AV2150" s="104"/>
      <c r="AY2150" s="104"/>
      <c r="BB2150" s="116"/>
      <c r="BL2150" s="104"/>
      <c r="BS2150" s="104"/>
    </row>
    <row r="2151" spans="42:71" s="89" customFormat="1" ht="15.75" customHeight="1">
      <c r="AP2151" s="104"/>
      <c r="AV2151" s="104"/>
      <c r="AY2151" s="104"/>
      <c r="BB2151" s="116"/>
      <c r="BL2151" s="104"/>
      <c r="BS2151" s="104"/>
    </row>
    <row r="2152" spans="42:71" s="89" customFormat="1" ht="15.75" customHeight="1">
      <c r="AP2152" s="104"/>
      <c r="AV2152" s="104"/>
      <c r="AY2152" s="104"/>
      <c r="BB2152" s="116"/>
      <c r="BL2152" s="104"/>
      <c r="BS2152" s="104"/>
    </row>
    <row r="2153" spans="42:71" s="89" customFormat="1" ht="15.75" customHeight="1">
      <c r="AP2153" s="104"/>
      <c r="AV2153" s="104"/>
      <c r="AY2153" s="104"/>
      <c r="BB2153" s="116"/>
      <c r="BL2153" s="104"/>
      <c r="BS2153" s="104"/>
    </row>
    <row r="2154" spans="42:71" s="89" customFormat="1" ht="15.75" customHeight="1">
      <c r="AP2154" s="104"/>
      <c r="AV2154" s="104"/>
      <c r="AY2154" s="104"/>
      <c r="BB2154" s="116"/>
      <c r="BL2154" s="104"/>
      <c r="BS2154" s="104"/>
    </row>
    <row r="2155" spans="42:71" s="89" customFormat="1" ht="15.75" customHeight="1">
      <c r="AP2155" s="104"/>
      <c r="AV2155" s="104"/>
      <c r="AY2155" s="104"/>
      <c r="BB2155" s="116"/>
      <c r="BL2155" s="104"/>
      <c r="BS2155" s="104"/>
    </row>
    <row r="2156" spans="42:71" s="89" customFormat="1" ht="15.75" customHeight="1">
      <c r="AP2156" s="104"/>
      <c r="AV2156" s="104"/>
      <c r="AY2156" s="104"/>
      <c r="BB2156" s="116"/>
      <c r="BL2156" s="104"/>
      <c r="BS2156" s="104"/>
    </row>
    <row r="2157" spans="42:71" s="89" customFormat="1" ht="15.75" customHeight="1">
      <c r="AP2157" s="104"/>
      <c r="AV2157" s="104"/>
      <c r="AY2157" s="104"/>
      <c r="BB2157" s="116"/>
      <c r="BL2157" s="104"/>
      <c r="BS2157" s="104"/>
    </row>
    <row r="2158" spans="42:71" s="89" customFormat="1" ht="15.75" customHeight="1">
      <c r="AP2158" s="104"/>
      <c r="AV2158" s="104"/>
      <c r="AY2158" s="104"/>
      <c r="BB2158" s="116"/>
      <c r="BL2158" s="104"/>
      <c r="BS2158" s="104"/>
    </row>
    <row r="2159" spans="42:71" s="89" customFormat="1" ht="15.75" customHeight="1">
      <c r="AP2159" s="104"/>
      <c r="AV2159" s="104"/>
      <c r="AY2159" s="104"/>
      <c r="BB2159" s="116"/>
      <c r="BL2159" s="104"/>
      <c r="BS2159" s="104"/>
    </row>
    <row r="2160" spans="42:71" s="89" customFormat="1" ht="15.75" customHeight="1">
      <c r="AP2160" s="104"/>
      <c r="AV2160" s="104"/>
      <c r="AY2160" s="104"/>
      <c r="BB2160" s="116"/>
      <c r="BL2160" s="104"/>
      <c r="BS2160" s="104"/>
    </row>
    <row r="2161" spans="42:71" s="89" customFormat="1" ht="15.75" customHeight="1">
      <c r="AP2161" s="104"/>
      <c r="AV2161" s="104"/>
      <c r="AY2161" s="104"/>
      <c r="BB2161" s="116"/>
      <c r="BL2161" s="104"/>
      <c r="BS2161" s="104"/>
    </row>
    <row r="2162" spans="42:71" s="89" customFormat="1" ht="15.75" customHeight="1">
      <c r="AP2162" s="104"/>
      <c r="AV2162" s="104"/>
      <c r="AY2162" s="104"/>
      <c r="BB2162" s="116"/>
      <c r="BL2162" s="104"/>
      <c r="BS2162" s="104"/>
    </row>
    <row r="2163" spans="42:71" s="89" customFormat="1" ht="15.75" customHeight="1">
      <c r="AP2163" s="104"/>
      <c r="AV2163" s="104"/>
      <c r="AY2163" s="104"/>
      <c r="BB2163" s="116"/>
      <c r="BL2163" s="104"/>
      <c r="BS2163" s="104"/>
    </row>
    <row r="2164" spans="42:71" s="89" customFormat="1" ht="15.75" customHeight="1">
      <c r="AP2164" s="104"/>
      <c r="AV2164" s="104"/>
      <c r="AY2164" s="104"/>
      <c r="BB2164" s="116"/>
      <c r="BL2164" s="104"/>
      <c r="BS2164" s="104"/>
    </row>
    <row r="2165" spans="42:71" s="89" customFormat="1" ht="15.75" customHeight="1">
      <c r="AP2165" s="104"/>
      <c r="AV2165" s="104"/>
      <c r="AY2165" s="104"/>
      <c r="BB2165" s="116"/>
      <c r="BL2165" s="104"/>
      <c r="BS2165" s="104"/>
    </row>
    <row r="2166" spans="42:71" s="89" customFormat="1" ht="15.75" customHeight="1">
      <c r="AP2166" s="104"/>
      <c r="AV2166" s="104"/>
      <c r="AY2166" s="104"/>
      <c r="BB2166" s="116"/>
      <c r="BL2166" s="104"/>
      <c r="BS2166" s="104"/>
    </row>
    <row r="2167" spans="42:71" s="89" customFormat="1" ht="15.75" customHeight="1">
      <c r="AP2167" s="104"/>
      <c r="AV2167" s="104"/>
      <c r="AY2167" s="104"/>
      <c r="BB2167" s="116"/>
      <c r="BL2167" s="104"/>
      <c r="BS2167" s="104"/>
    </row>
    <row r="2168" spans="42:71" s="89" customFormat="1" ht="15.75" customHeight="1">
      <c r="AP2168" s="104"/>
      <c r="AV2168" s="104"/>
      <c r="AY2168" s="104"/>
      <c r="BB2168" s="116"/>
      <c r="BL2168" s="104"/>
      <c r="BS2168" s="104"/>
    </row>
    <row r="2169" spans="42:71" s="89" customFormat="1" ht="15.75" customHeight="1">
      <c r="AP2169" s="104"/>
      <c r="AV2169" s="104"/>
      <c r="AY2169" s="104"/>
      <c r="BB2169" s="116"/>
      <c r="BL2169" s="104"/>
      <c r="BS2169" s="104"/>
    </row>
    <row r="2170" spans="42:71" s="89" customFormat="1" ht="15.75" customHeight="1">
      <c r="AP2170" s="104"/>
      <c r="AV2170" s="104"/>
      <c r="AY2170" s="104"/>
      <c r="BB2170" s="116"/>
      <c r="BL2170" s="104"/>
      <c r="BS2170" s="104"/>
    </row>
    <row r="2171" spans="42:71" s="89" customFormat="1" ht="15.75" customHeight="1">
      <c r="AP2171" s="104"/>
      <c r="AV2171" s="104"/>
      <c r="AY2171" s="104"/>
      <c r="BB2171" s="116"/>
      <c r="BL2171" s="104"/>
      <c r="BS2171" s="104"/>
    </row>
    <row r="2172" spans="42:71" s="89" customFormat="1" ht="15.75" customHeight="1">
      <c r="AP2172" s="104"/>
      <c r="AV2172" s="104"/>
      <c r="AY2172" s="104"/>
      <c r="BB2172" s="116"/>
      <c r="BL2172" s="104"/>
      <c r="BS2172" s="104"/>
    </row>
    <row r="2173" spans="42:71" s="89" customFormat="1" ht="15.75" customHeight="1">
      <c r="AP2173" s="104"/>
      <c r="AV2173" s="104"/>
      <c r="AY2173" s="104"/>
      <c r="BB2173" s="116"/>
      <c r="BL2173" s="104"/>
      <c r="BS2173" s="104"/>
    </row>
    <row r="2174" spans="42:71" s="89" customFormat="1" ht="15.75" customHeight="1">
      <c r="AP2174" s="104"/>
      <c r="AV2174" s="104"/>
      <c r="AY2174" s="104"/>
      <c r="BB2174" s="116"/>
      <c r="BL2174" s="104"/>
      <c r="BS2174" s="104"/>
    </row>
    <row r="2175" spans="42:71" s="89" customFormat="1" ht="15.75" customHeight="1">
      <c r="AP2175" s="104"/>
      <c r="AV2175" s="104"/>
      <c r="AY2175" s="104"/>
      <c r="BB2175" s="116"/>
      <c r="BL2175" s="104"/>
      <c r="BS2175" s="104"/>
    </row>
    <row r="2176" spans="42:71" s="89" customFormat="1" ht="15.75" customHeight="1">
      <c r="AP2176" s="104"/>
      <c r="AV2176" s="104"/>
      <c r="AY2176" s="104"/>
      <c r="BB2176" s="116"/>
      <c r="BL2176" s="104"/>
      <c r="BS2176" s="104"/>
    </row>
    <row r="2177" spans="42:71" s="89" customFormat="1" ht="15.75" customHeight="1">
      <c r="AP2177" s="104"/>
      <c r="AV2177" s="104"/>
      <c r="AY2177" s="104"/>
      <c r="BB2177" s="116"/>
      <c r="BL2177" s="104"/>
      <c r="BS2177" s="104"/>
    </row>
    <row r="2178" spans="42:71" s="89" customFormat="1" ht="15.75" customHeight="1">
      <c r="AP2178" s="104"/>
      <c r="AV2178" s="104"/>
      <c r="AY2178" s="104"/>
      <c r="BB2178" s="116"/>
      <c r="BL2178" s="104"/>
      <c r="BS2178" s="104"/>
    </row>
    <row r="2179" spans="42:71" s="89" customFormat="1" ht="15.75" customHeight="1">
      <c r="AP2179" s="104"/>
      <c r="AV2179" s="104"/>
      <c r="AY2179" s="104"/>
      <c r="BB2179" s="116"/>
      <c r="BL2179" s="104"/>
      <c r="BS2179" s="104"/>
    </row>
    <row r="2180" spans="42:71" s="89" customFormat="1" ht="15.75" customHeight="1">
      <c r="AP2180" s="104"/>
      <c r="AV2180" s="104"/>
      <c r="AY2180" s="104"/>
      <c r="BB2180" s="116"/>
      <c r="BL2180" s="104"/>
      <c r="BS2180" s="104"/>
    </row>
    <row r="2181" spans="42:71" s="89" customFormat="1" ht="15.75" customHeight="1">
      <c r="AP2181" s="104"/>
      <c r="AV2181" s="104"/>
      <c r="AY2181" s="104"/>
      <c r="BB2181" s="116"/>
      <c r="BL2181" s="104"/>
      <c r="BS2181" s="104"/>
    </row>
    <row r="2182" spans="42:71" s="89" customFormat="1" ht="15.75" customHeight="1">
      <c r="AP2182" s="104"/>
      <c r="AV2182" s="104"/>
      <c r="AY2182" s="104"/>
      <c r="BB2182" s="116"/>
      <c r="BL2182" s="104"/>
      <c r="BS2182" s="104"/>
    </row>
    <row r="2183" spans="42:71" s="89" customFormat="1" ht="15.75" customHeight="1">
      <c r="AP2183" s="104"/>
      <c r="AV2183" s="104"/>
      <c r="AY2183" s="104"/>
      <c r="BB2183" s="116"/>
      <c r="BL2183" s="104"/>
      <c r="BS2183" s="104"/>
    </row>
    <row r="2184" spans="42:71" s="89" customFormat="1" ht="15.75" customHeight="1">
      <c r="AP2184" s="104"/>
      <c r="AV2184" s="104"/>
      <c r="AY2184" s="104"/>
      <c r="BB2184" s="116"/>
      <c r="BL2184" s="104"/>
      <c r="BS2184" s="104"/>
    </row>
    <row r="2185" spans="42:71" s="89" customFormat="1" ht="15.75" customHeight="1">
      <c r="AP2185" s="104"/>
      <c r="AV2185" s="104"/>
      <c r="AY2185" s="104"/>
      <c r="BB2185" s="116"/>
      <c r="BL2185" s="104"/>
      <c r="BS2185" s="104"/>
    </row>
    <row r="2186" spans="42:71" s="89" customFormat="1" ht="15.75" customHeight="1">
      <c r="AP2186" s="104"/>
      <c r="AV2186" s="104"/>
      <c r="AY2186" s="104"/>
      <c r="BB2186" s="116"/>
      <c r="BL2186" s="104"/>
      <c r="BS2186" s="104"/>
    </row>
    <row r="2187" spans="42:71" s="89" customFormat="1" ht="15.75" customHeight="1">
      <c r="AP2187" s="104"/>
      <c r="AV2187" s="104"/>
      <c r="AY2187" s="104"/>
      <c r="BB2187" s="116"/>
      <c r="BL2187" s="104"/>
      <c r="BS2187" s="104"/>
    </row>
    <row r="2188" spans="42:71" s="89" customFormat="1" ht="15.75" customHeight="1">
      <c r="AP2188" s="104"/>
      <c r="AV2188" s="104"/>
      <c r="AY2188" s="104"/>
      <c r="BB2188" s="116"/>
      <c r="BL2188" s="104"/>
      <c r="BS2188" s="104"/>
    </row>
    <row r="2189" spans="42:71" s="89" customFormat="1" ht="15.75" customHeight="1">
      <c r="AP2189" s="104"/>
      <c r="AV2189" s="104"/>
      <c r="AY2189" s="104"/>
      <c r="BB2189" s="116"/>
      <c r="BL2189" s="104"/>
      <c r="BS2189" s="104"/>
    </row>
    <row r="2190" spans="42:71" s="89" customFormat="1" ht="15.75" customHeight="1">
      <c r="AP2190" s="104"/>
      <c r="AV2190" s="104"/>
      <c r="AY2190" s="104"/>
      <c r="BB2190" s="116"/>
      <c r="BL2190" s="104"/>
      <c r="BS2190" s="104"/>
    </row>
    <row r="2191" spans="42:71" s="89" customFormat="1" ht="15.75" customHeight="1">
      <c r="AP2191" s="104"/>
      <c r="AV2191" s="104"/>
      <c r="AY2191" s="104"/>
      <c r="BB2191" s="116"/>
      <c r="BL2191" s="104"/>
      <c r="BS2191" s="104"/>
    </row>
    <row r="2192" spans="42:71" s="89" customFormat="1" ht="15.75" customHeight="1">
      <c r="AP2192" s="104"/>
      <c r="AV2192" s="104"/>
      <c r="AY2192" s="104"/>
      <c r="BB2192" s="116"/>
      <c r="BL2192" s="104"/>
      <c r="BS2192" s="104"/>
    </row>
    <row r="2193" spans="42:71" s="89" customFormat="1" ht="15.75" customHeight="1">
      <c r="AP2193" s="104"/>
      <c r="AV2193" s="104"/>
      <c r="AY2193" s="104"/>
      <c r="BB2193" s="116"/>
      <c r="BL2193" s="104"/>
      <c r="BS2193" s="104"/>
    </row>
    <row r="2194" spans="42:71" s="89" customFormat="1" ht="15.75" customHeight="1">
      <c r="AP2194" s="104"/>
      <c r="AV2194" s="104"/>
      <c r="AY2194" s="104"/>
      <c r="BB2194" s="116"/>
      <c r="BL2194" s="104"/>
      <c r="BS2194" s="104"/>
    </row>
    <row r="2195" spans="42:71" s="89" customFormat="1" ht="15.75" customHeight="1">
      <c r="AP2195" s="104"/>
      <c r="AV2195" s="104"/>
      <c r="AY2195" s="104"/>
      <c r="BB2195" s="116"/>
      <c r="BL2195" s="104"/>
      <c r="BS2195" s="104"/>
    </row>
    <row r="2196" spans="42:71" s="89" customFormat="1" ht="15.75" customHeight="1">
      <c r="AP2196" s="104"/>
      <c r="AV2196" s="104"/>
      <c r="AY2196" s="104"/>
      <c r="BB2196" s="116"/>
      <c r="BL2196" s="104"/>
      <c r="BS2196" s="104"/>
    </row>
    <row r="2197" spans="42:71" s="89" customFormat="1" ht="15.75" customHeight="1">
      <c r="AP2197" s="104"/>
      <c r="AV2197" s="104"/>
      <c r="AY2197" s="104"/>
      <c r="BB2197" s="116"/>
      <c r="BL2197" s="104"/>
      <c r="BS2197" s="104"/>
    </row>
    <row r="2198" spans="42:71" s="89" customFormat="1" ht="15.75" customHeight="1">
      <c r="AP2198" s="104"/>
      <c r="AV2198" s="104"/>
      <c r="AY2198" s="104"/>
      <c r="BB2198" s="116"/>
      <c r="BL2198" s="104"/>
      <c r="BS2198" s="104"/>
    </row>
    <row r="2199" spans="42:71" s="89" customFormat="1" ht="15.75" customHeight="1">
      <c r="AP2199" s="104"/>
      <c r="AV2199" s="104"/>
      <c r="AY2199" s="104"/>
      <c r="BB2199" s="116"/>
      <c r="BL2199" s="104"/>
      <c r="BS2199" s="104"/>
    </row>
    <row r="2200" spans="42:71" s="89" customFormat="1" ht="15.75" customHeight="1">
      <c r="AP2200" s="104"/>
      <c r="AV2200" s="104"/>
      <c r="AY2200" s="104"/>
      <c r="BB2200" s="116"/>
      <c r="BL2200" s="104"/>
      <c r="BS2200" s="104"/>
    </row>
    <row r="2201" spans="42:71" s="89" customFormat="1" ht="15.75" customHeight="1">
      <c r="AP2201" s="104"/>
      <c r="AV2201" s="104"/>
      <c r="AY2201" s="104"/>
      <c r="BB2201" s="116"/>
      <c r="BL2201" s="104"/>
      <c r="BS2201" s="104"/>
    </row>
    <row r="2202" spans="42:71" s="89" customFormat="1" ht="15.75" customHeight="1">
      <c r="AP2202" s="104"/>
      <c r="AV2202" s="104"/>
      <c r="AY2202" s="104"/>
      <c r="BB2202" s="116"/>
      <c r="BL2202" s="104"/>
      <c r="BS2202" s="104"/>
    </row>
    <row r="2203" spans="42:71" s="89" customFormat="1" ht="15.75" customHeight="1">
      <c r="AP2203" s="104"/>
      <c r="AV2203" s="104"/>
      <c r="AY2203" s="104"/>
      <c r="BB2203" s="116"/>
      <c r="BL2203" s="104"/>
      <c r="BS2203" s="104"/>
    </row>
    <row r="2204" spans="42:71" s="89" customFormat="1" ht="15.75" customHeight="1">
      <c r="AP2204" s="104"/>
      <c r="AV2204" s="104"/>
      <c r="AY2204" s="104"/>
      <c r="BB2204" s="116"/>
      <c r="BL2204" s="104"/>
      <c r="BS2204" s="104"/>
    </row>
    <row r="2205" spans="42:71" s="89" customFormat="1" ht="15.75" customHeight="1">
      <c r="AP2205" s="104"/>
      <c r="AV2205" s="104"/>
      <c r="AY2205" s="104"/>
      <c r="BB2205" s="116"/>
      <c r="BL2205" s="104"/>
      <c r="BS2205" s="104"/>
    </row>
    <row r="2206" spans="42:71" s="89" customFormat="1" ht="15.75" customHeight="1">
      <c r="AP2206" s="104"/>
      <c r="AV2206" s="104"/>
      <c r="AY2206" s="104"/>
      <c r="BB2206" s="116"/>
      <c r="BL2206" s="104"/>
      <c r="BS2206" s="104"/>
    </row>
    <row r="2207" spans="42:71" s="89" customFormat="1" ht="15.75" customHeight="1">
      <c r="AP2207" s="104"/>
      <c r="AV2207" s="104"/>
      <c r="AY2207" s="104"/>
      <c r="BB2207" s="116"/>
      <c r="BL2207" s="104"/>
      <c r="BS2207" s="104"/>
    </row>
    <row r="2208" spans="42:71" s="89" customFormat="1" ht="15.75" customHeight="1">
      <c r="AP2208" s="104"/>
      <c r="AV2208" s="104"/>
      <c r="AY2208" s="104"/>
      <c r="BB2208" s="116"/>
      <c r="BL2208" s="104"/>
      <c r="BS2208" s="104"/>
    </row>
    <row r="2209" spans="42:71" s="89" customFormat="1" ht="15.75" customHeight="1">
      <c r="AP2209" s="104"/>
      <c r="AV2209" s="104"/>
      <c r="AY2209" s="104"/>
      <c r="BB2209" s="116"/>
      <c r="BL2209" s="104"/>
      <c r="BS2209" s="104"/>
    </row>
    <row r="2210" spans="42:71" s="89" customFormat="1" ht="15.75" customHeight="1">
      <c r="AP2210" s="104"/>
      <c r="AV2210" s="104"/>
      <c r="AY2210" s="104"/>
      <c r="BB2210" s="116"/>
      <c r="BL2210" s="104"/>
      <c r="BS2210" s="104"/>
    </row>
    <row r="2211" spans="42:71" s="89" customFormat="1" ht="15.75" customHeight="1">
      <c r="AP2211" s="104"/>
      <c r="AV2211" s="104"/>
      <c r="AY2211" s="104"/>
      <c r="BB2211" s="116"/>
      <c r="BL2211" s="104"/>
      <c r="BS2211" s="104"/>
    </row>
    <row r="2212" spans="42:71" s="89" customFormat="1" ht="15.75" customHeight="1">
      <c r="AP2212" s="104"/>
      <c r="AV2212" s="104"/>
      <c r="AY2212" s="104"/>
      <c r="BB2212" s="116"/>
      <c r="BL2212" s="104"/>
      <c r="BS2212" s="104"/>
    </row>
    <row r="2213" spans="42:71" s="89" customFormat="1" ht="15.75" customHeight="1">
      <c r="AP2213" s="104"/>
      <c r="AV2213" s="104"/>
      <c r="AY2213" s="104"/>
      <c r="BB2213" s="116"/>
      <c r="BL2213" s="104"/>
      <c r="BS2213" s="104"/>
    </row>
    <row r="2214" spans="42:71" s="89" customFormat="1" ht="15.75" customHeight="1">
      <c r="AP2214" s="104"/>
      <c r="AV2214" s="104"/>
      <c r="AY2214" s="104"/>
      <c r="BB2214" s="116"/>
      <c r="BL2214" s="104"/>
      <c r="BS2214" s="104"/>
    </row>
    <row r="2215" spans="42:71" s="89" customFormat="1" ht="15.75" customHeight="1">
      <c r="AP2215" s="104"/>
      <c r="AV2215" s="104"/>
      <c r="AY2215" s="104"/>
      <c r="BB2215" s="116"/>
      <c r="BL2215" s="104"/>
      <c r="BS2215" s="104"/>
    </row>
    <row r="2216" spans="42:71" s="89" customFormat="1" ht="15.75" customHeight="1">
      <c r="AP2216" s="104"/>
      <c r="AV2216" s="104"/>
      <c r="AY2216" s="104"/>
      <c r="BB2216" s="116"/>
      <c r="BL2216" s="104"/>
      <c r="BS2216" s="104"/>
    </row>
    <row r="2217" spans="42:71" s="89" customFormat="1" ht="15.75" customHeight="1">
      <c r="AP2217" s="104"/>
      <c r="AV2217" s="104"/>
      <c r="AY2217" s="104"/>
      <c r="BB2217" s="116"/>
      <c r="BL2217" s="104"/>
      <c r="BS2217" s="104"/>
    </row>
    <row r="2218" spans="42:71" s="89" customFormat="1" ht="15.75" customHeight="1">
      <c r="AP2218" s="104"/>
      <c r="AV2218" s="104"/>
      <c r="AY2218" s="104"/>
      <c r="BB2218" s="116"/>
      <c r="BL2218" s="104"/>
      <c r="BS2218" s="104"/>
    </row>
    <row r="2219" spans="42:71" s="89" customFormat="1" ht="15.75" customHeight="1">
      <c r="AP2219" s="104"/>
      <c r="AV2219" s="104"/>
      <c r="AY2219" s="104"/>
      <c r="BB2219" s="116"/>
      <c r="BL2219" s="104"/>
      <c r="BS2219" s="104"/>
    </row>
    <row r="2220" spans="42:71" s="89" customFormat="1" ht="15.75" customHeight="1">
      <c r="AP2220" s="104"/>
      <c r="AV2220" s="104"/>
      <c r="AY2220" s="104"/>
      <c r="BB2220" s="116"/>
      <c r="BL2220" s="104"/>
      <c r="BS2220" s="104"/>
    </row>
    <row r="2221" spans="42:71" s="89" customFormat="1" ht="15.75" customHeight="1">
      <c r="AP2221" s="104"/>
      <c r="AV2221" s="104"/>
      <c r="AY2221" s="104"/>
      <c r="BB2221" s="116"/>
      <c r="BL2221" s="104"/>
      <c r="BS2221" s="104"/>
    </row>
    <row r="2222" spans="42:71" s="89" customFormat="1" ht="15.75" customHeight="1">
      <c r="AP2222" s="104"/>
      <c r="AV2222" s="104"/>
      <c r="AY2222" s="104"/>
      <c r="BB2222" s="116"/>
      <c r="BL2222" s="104"/>
      <c r="BS2222" s="104"/>
    </row>
    <row r="2223" spans="42:71" s="89" customFormat="1" ht="15.75" customHeight="1">
      <c r="AP2223" s="104"/>
      <c r="AV2223" s="104"/>
      <c r="AY2223" s="104"/>
      <c r="BB2223" s="116"/>
      <c r="BL2223" s="104"/>
      <c r="BS2223" s="104"/>
    </row>
    <row r="2224" spans="42:71" s="89" customFormat="1" ht="15.75" customHeight="1">
      <c r="AP2224" s="104"/>
      <c r="AV2224" s="104"/>
      <c r="AY2224" s="104"/>
      <c r="BB2224" s="116"/>
      <c r="BL2224" s="104"/>
      <c r="BS2224" s="104"/>
    </row>
    <row r="2225" spans="42:71" s="89" customFormat="1" ht="15.75" customHeight="1">
      <c r="AP2225" s="104"/>
      <c r="AV2225" s="104"/>
      <c r="AY2225" s="104"/>
      <c r="BB2225" s="116"/>
      <c r="BL2225" s="104"/>
      <c r="BS2225" s="104"/>
    </row>
    <row r="2226" spans="42:71" s="89" customFormat="1" ht="15.75" customHeight="1">
      <c r="AP2226" s="104"/>
      <c r="AV2226" s="104"/>
      <c r="AY2226" s="104"/>
      <c r="BB2226" s="116"/>
      <c r="BL2226" s="104"/>
      <c r="BS2226" s="104"/>
    </row>
    <row r="2227" spans="42:71" s="89" customFormat="1" ht="15.75" customHeight="1">
      <c r="AP2227" s="104"/>
      <c r="AV2227" s="104"/>
      <c r="AY2227" s="104"/>
      <c r="BB2227" s="116"/>
      <c r="BL2227" s="104"/>
      <c r="BS2227" s="104"/>
    </row>
    <row r="2228" spans="42:71" s="89" customFormat="1" ht="15.75" customHeight="1">
      <c r="AP2228" s="104"/>
      <c r="AV2228" s="104"/>
      <c r="AY2228" s="104"/>
      <c r="BB2228" s="116"/>
      <c r="BL2228" s="104"/>
      <c r="BS2228" s="104"/>
    </row>
    <row r="2229" spans="42:71" s="89" customFormat="1" ht="15.75" customHeight="1">
      <c r="AP2229" s="104"/>
      <c r="AV2229" s="104"/>
      <c r="AY2229" s="104"/>
      <c r="BB2229" s="116"/>
      <c r="BL2229" s="104"/>
      <c r="BS2229" s="104"/>
    </row>
    <row r="2230" spans="42:71" s="89" customFormat="1" ht="15.75" customHeight="1">
      <c r="AP2230" s="104"/>
      <c r="AV2230" s="104"/>
      <c r="AY2230" s="104"/>
      <c r="BB2230" s="116"/>
      <c r="BL2230" s="104"/>
      <c r="BS2230" s="104"/>
    </row>
    <row r="2231" spans="42:71" s="89" customFormat="1" ht="15.75" customHeight="1">
      <c r="AP2231" s="104"/>
      <c r="AV2231" s="104"/>
      <c r="AY2231" s="104"/>
      <c r="BB2231" s="116"/>
      <c r="BL2231" s="104"/>
      <c r="BS2231" s="104"/>
    </row>
    <row r="2232" spans="42:71" s="89" customFormat="1" ht="15.75" customHeight="1">
      <c r="AP2232" s="104"/>
      <c r="AV2232" s="104"/>
      <c r="AY2232" s="104"/>
      <c r="BB2232" s="116"/>
      <c r="BL2232" s="104"/>
      <c r="BS2232" s="104"/>
    </row>
    <row r="2233" spans="42:71" s="89" customFormat="1" ht="15.75" customHeight="1">
      <c r="AP2233" s="104"/>
      <c r="AV2233" s="104"/>
      <c r="AY2233" s="104"/>
      <c r="BB2233" s="116"/>
      <c r="BL2233" s="104"/>
      <c r="BS2233" s="104"/>
    </row>
    <row r="2234" spans="42:71" s="89" customFormat="1" ht="15.75" customHeight="1">
      <c r="AP2234" s="104"/>
      <c r="AV2234" s="104"/>
      <c r="AY2234" s="104"/>
      <c r="BB2234" s="116"/>
      <c r="BL2234" s="104"/>
      <c r="BS2234" s="104"/>
    </row>
    <row r="2235" spans="42:71" s="89" customFormat="1" ht="15.75" customHeight="1">
      <c r="AP2235" s="104"/>
      <c r="AV2235" s="104"/>
      <c r="AY2235" s="104"/>
      <c r="BB2235" s="116"/>
      <c r="BL2235" s="104"/>
      <c r="BS2235" s="104"/>
    </row>
    <row r="2236" spans="42:71" s="89" customFormat="1" ht="15.75" customHeight="1">
      <c r="AP2236" s="104"/>
      <c r="AV2236" s="104"/>
      <c r="AY2236" s="104"/>
      <c r="BB2236" s="116"/>
      <c r="BL2236" s="104"/>
      <c r="BS2236" s="104"/>
    </row>
    <row r="2237" spans="42:71" s="89" customFormat="1" ht="15.75" customHeight="1">
      <c r="AP2237" s="104"/>
      <c r="AV2237" s="104"/>
      <c r="AY2237" s="104"/>
      <c r="BB2237" s="116"/>
      <c r="BL2237" s="104"/>
      <c r="BS2237" s="104"/>
    </row>
    <row r="2238" spans="42:71" s="89" customFormat="1" ht="15.75" customHeight="1">
      <c r="AP2238" s="104"/>
      <c r="AV2238" s="104"/>
      <c r="AY2238" s="104"/>
      <c r="BB2238" s="116"/>
      <c r="BL2238" s="104"/>
      <c r="BS2238" s="104"/>
    </row>
  </sheetData>
  <autoFilter ref="A2:A2238">
    <filterColumn colId="0">
      <filters blank="1"/>
    </filterColumn>
  </autoFilter>
  <dataConsolidate/>
  <mergeCells count="8617">
    <mergeCell ref="E1712:F1712"/>
    <mergeCell ref="G1712:I1712"/>
    <mergeCell ref="J1712:M1712"/>
    <mergeCell ref="N1712:P1712"/>
    <mergeCell ref="Q1712:S1712"/>
    <mergeCell ref="T1712:U1712"/>
    <mergeCell ref="V1712:X1712"/>
    <mergeCell ref="Y1712:AB1712"/>
    <mergeCell ref="AC1712:AE1712"/>
    <mergeCell ref="AF1712:AH1712"/>
    <mergeCell ref="E1713:F1713"/>
    <mergeCell ref="G1713:I1713"/>
    <mergeCell ref="J1713:M1713"/>
    <mergeCell ref="N1713:P1713"/>
    <mergeCell ref="Q1713:S1713"/>
    <mergeCell ref="T1713:U1713"/>
    <mergeCell ref="V1713:X1713"/>
    <mergeCell ref="Y1713:AB1713"/>
    <mergeCell ref="AC1713:AE1713"/>
    <mergeCell ref="AF1713:AH1713"/>
    <mergeCell ref="E1710:F1710"/>
    <mergeCell ref="G1710:I1710"/>
    <mergeCell ref="J1710:M1710"/>
    <mergeCell ref="N1710:P1710"/>
    <mergeCell ref="Q1710:S1710"/>
    <mergeCell ref="T1710:U1710"/>
    <mergeCell ref="V1710:X1710"/>
    <mergeCell ref="Y1710:AB1710"/>
    <mergeCell ref="AC1710:AE1710"/>
    <mergeCell ref="AF1710:AH1710"/>
    <mergeCell ref="E1711:F1711"/>
    <mergeCell ref="G1711:I1711"/>
    <mergeCell ref="J1711:M1711"/>
    <mergeCell ref="N1711:P1711"/>
    <mergeCell ref="Q1711:S1711"/>
    <mergeCell ref="T1711:U1711"/>
    <mergeCell ref="V1711:X1711"/>
    <mergeCell ref="Y1711:AB1711"/>
    <mergeCell ref="AC1711:AE1711"/>
    <mergeCell ref="AF1711:AH1711"/>
    <mergeCell ref="E1708:F1708"/>
    <mergeCell ref="G1708:I1708"/>
    <mergeCell ref="J1708:M1708"/>
    <mergeCell ref="N1708:P1708"/>
    <mergeCell ref="Q1708:S1708"/>
    <mergeCell ref="T1708:U1708"/>
    <mergeCell ref="V1708:X1708"/>
    <mergeCell ref="Y1708:AB1708"/>
    <mergeCell ref="AC1708:AE1708"/>
    <mergeCell ref="AF1708:AH1708"/>
    <mergeCell ref="E1709:F1709"/>
    <mergeCell ref="G1709:I1709"/>
    <mergeCell ref="J1709:M1709"/>
    <mergeCell ref="N1709:P1709"/>
    <mergeCell ref="Q1709:S1709"/>
    <mergeCell ref="T1709:U1709"/>
    <mergeCell ref="V1709:X1709"/>
    <mergeCell ref="Y1709:AB1709"/>
    <mergeCell ref="AC1709:AE1709"/>
    <mergeCell ref="AF1709:AH1709"/>
    <mergeCell ref="E1706:F1706"/>
    <mergeCell ref="G1706:I1706"/>
    <mergeCell ref="J1706:M1706"/>
    <mergeCell ref="N1706:P1706"/>
    <mergeCell ref="Q1706:S1706"/>
    <mergeCell ref="T1706:U1706"/>
    <mergeCell ref="V1706:X1706"/>
    <mergeCell ref="Y1706:AB1706"/>
    <mergeCell ref="AC1706:AE1706"/>
    <mergeCell ref="AF1706:AH1706"/>
    <mergeCell ref="E1707:F1707"/>
    <mergeCell ref="G1707:I1707"/>
    <mergeCell ref="J1707:M1707"/>
    <mergeCell ref="N1707:P1707"/>
    <mergeCell ref="Q1707:S1707"/>
    <mergeCell ref="T1707:U1707"/>
    <mergeCell ref="V1707:X1707"/>
    <mergeCell ref="Y1707:AB1707"/>
    <mergeCell ref="AC1707:AE1707"/>
    <mergeCell ref="AF1707:AH1707"/>
    <mergeCell ref="E1704:F1704"/>
    <mergeCell ref="G1704:I1704"/>
    <mergeCell ref="J1704:M1704"/>
    <mergeCell ref="N1704:P1704"/>
    <mergeCell ref="Q1704:S1704"/>
    <mergeCell ref="T1704:U1704"/>
    <mergeCell ref="V1704:X1704"/>
    <mergeCell ref="Y1704:AB1704"/>
    <mergeCell ref="AC1704:AE1704"/>
    <mergeCell ref="AF1704:AH1704"/>
    <mergeCell ref="E1705:F1705"/>
    <mergeCell ref="G1705:I1705"/>
    <mergeCell ref="J1705:M1705"/>
    <mergeCell ref="N1705:P1705"/>
    <mergeCell ref="Q1705:S1705"/>
    <mergeCell ref="T1705:U1705"/>
    <mergeCell ref="V1705:X1705"/>
    <mergeCell ref="Y1705:AB1705"/>
    <mergeCell ref="AC1705:AE1705"/>
    <mergeCell ref="AF1705:AH1705"/>
    <mergeCell ref="E1702:F1702"/>
    <mergeCell ref="G1702:I1702"/>
    <mergeCell ref="J1702:M1702"/>
    <mergeCell ref="N1702:P1702"/>
    <mergeCell ref="Q1702:S1702"/>
    <mergeCell ref="T1702:U1702"/>
    <mergeCell ref="V1702:X1702"/>
    <mergeCell ref="Y1702:AB1702"/>
    <mergeCell ref="AC1702:AE1702"/>
    <mergeCell ref="AF1702:AH1702"/>
    <mergeCell ref="E1703:F1703"/>
    <mergeCell ref="G1703:I1703"/>
    <mergeCell ref="J1703:M1703"/>
    <mergeCell ref="N1703:P1703"/>
    <mergeCell ref="Q1703:S1703"/>
    <mergeCell ref="T1703:U1703"/>
    <mergeCell ref="V1703:X1703"/>
    <mergeCell ref="Y1703:AB1703"/>
    <mergeCell ref="AC1703:AE1703"/>
    <mergeCell ref="AF1703:AH1703"/>
    <mergeCell ref="E1700:F1700"/>
    <mergeCell ref="G1700:I1700"/>
    <mergeCell ref="J1700:M1700"/>
    <mergeCell ref="N1700:P1700"/>
    <mergeCell ref="Q1700:S1700"/>
    <mergeCell ref="T1700:U1700"/>
    <mergeCell ref="V1700:X1700"/>
    <mergeCell ref="Y1700:AB1700"/>
    <mergeCell ref="AC1700:AE1700"/>
    <mergeCell ref="AF1700:AH1700"/>
    <mergeCell ref="E1701:F1701"/>
    <mergeCell ref="G1701:I1701"/>
    <mergeCell ref="J1701:M1701"/>
    <mergeCell ref="N1701:P1701"/>
    <mergeCell ref="Q1701:S1701"/>
    <mergeCell ref="T1701:U1701"/>
    <mergeCell ref="V1701:X1701"/>
    <mergeCell ref="Y1701:AB1701"/>
    <mergeCell ref="AC1701:AE1701"/>
    <mergeCell ref="AF1701:AH1701"/>
    <mergeCell ref="E1698:F1698"/>
    <mergeCell ref="G1698:I1698"/>
    <mergeCell ref="J1698:M1698"/>
    <mergeCell ref="N1698:P1698"/>
    <mergeCell ref="Q1698:S1698"/>
    <mergeCell ref="T1698:U1698"/>
    <mergeCell ref="V1698:X1698"/>
    <mergeCell ref="Y1698:AB1698"/>
    <mergeCell ref="AC1698:AE1698"/>
    <mergeCell ref="AF1698:AH1698"/>
    <mergeCell ref="E1699:F1699"/>
    <mergeCell ref="G1699:I1699"/>
    <mergeCell ref="J1699:M1699"/>
    <mergeCell ref="N1699:P1699"/>
    <mergeCell ref="Q1699:S1699"/>
    <mergeCell ref="T1699:U1699"/>
    <mergeCell ref="V1699:X1699"/>
    <mergeCell ref="Y1699:AB1699"/>
    <mergeCell ref="AC1699:AE1699"/>
    <mergeCell ref="AF1699:AH1699"/>
    <mergeCell ref="E1691:F1691"/>
    <mergeCell ref="G1691:I1691"/>
    <mergeCell ref="J1691:M1691"/>
    <mergeCell ref="N1691:P1691"/>
    <mergeCell ref="Q1691:S1691"/>
    <mergeCell ref="T1691:U1691"/>
    <mergeCell ref="V1691:X1691"/>
    <mergeCell ref="Y1691:AB1691"/>
    <mergeCell ref="AC1691:AE1691"/>
    <mergeCell ref="AF1691:AH1691"/>
    <mergeCell ref="E1695:S1695"/>
    <mergeCell ref="T1695:AH1695"/>
    <mergeCell ref="E1696:F1697"/>
    <mergeCell ref="G1696:I1697"/>
    <mergeCell ref="J1696:M1697"/>
    <mergeCell ref="N1696:P1697"/>
    <mergeCell ref="Q1696:S1697"/>
    <mergeCell ref="T1696:U1697"/>
    <mergeCell ref="V1696:X1697"/>
    <mergeCell ref="Y1696:AB1697"/>
    <mergeCell ref="AC1696:AE1697"/>
    <mergeCell ref="AF1696:AH1697"/>
    <mergeCell ref="E1689:F1689"/>
    <mergeCell ref="G1689:I1689"/>
    <mergeCell ref="J1689:M1689"/>
    <mergeCell ref="N1689:P1689"/>
    <mergeCell ref="Q1689:S1689"/>
    <mergeCell ref="T1689:U1689"/>
    <mergeCell ref="V1689:X1689"/>
    <mergeCell ref="Y1689:AB1689"/>
    <mergeCell ref="AC1689:AE1689"/>
    <mergeCell ref="AF1689:AH1689"/>
    <mergeCell ref="E1690:F1690"/>
    <mergeCell ref="G1690:I1690"/>
    <mergeCell ref="J1690:M1690"/>
    <mergeCell ref="N1690:P1690"/>
    <mergeCell ref="Q1690:S1690"/>
    <mergeCell ref="T1690:U1690"/>
    <mergeCell ref="V1690:X1690"/>
    <mergeCell ref="Y1690:AB1690"/>
    <mergeCell ref="AC1690:AE1690"/>
    <mergeCell ref="AF1690:AH1690"/>
    <mergeCell ref="E1687:F1687"/>
    <mergeCell ref="G1687:I1687"/>
    <mergeCell ref="J1687:M1687"/>
    <mergeCell ref="N1687:P1687"/>
    <mergeCell ref="Q1687:S1687"/>
    <mergeCell ref="T1687:U1687"/>
    <mergeCell ref="V1687:X1687"/>
    <mergeCell ref="Y1687:AB1687"/>
    <mergeCell ref="AC1687:AE1687"/>
    <mergeCell ref="AF1687:AH1687"/>
    <mergeCell ref="E1688:F1688"/>
    <mergeCell ref="G1688:I1688"/>
    <mergeCell ref="J1688:M1688"/>
    <mergeCell ref="N1688:P1688"/>
    <mergeCell ref="Q1688:S1688"/>
    <mergeCell ref="T1688:U1688"/>
    <mergeCell ref="V1688:X1688"/>
    <mergeCell ref="Y1688:AB1688"/>
    <mergeCell ref="AC1688:AE1688"/>
    <mergeCell ref="AF1688:AH1688"/>
    <mergeCell ref="E1685:F1685"/>
    <mergeCell ref="G1685:I1685"/>
    <mergeCell ref="J1685:M1685"/>
    <mergeCell ref="N1685:P1685"/>
    <mergeCell ref="Q1685:S1685"/>
    <mergeCell ref="T1685:U1685"/>
    <mergeCell ref="V1685:X1685"/>
    <mergeCell ref="Y1685:AB1685"/>
    <mergeCell ref="AC1685:AE1685"/>
    <mergeCell ref="AF1685:AH1685"/>
    <mergeCell ref="E1686:F1686"/>
    <mergeCell ref="G1686:I1686"/>
    <mergeCell ref="J1686:M1686"/>
    <mergeCell ref="N1686:P1686"/>
    <mergeCell ref="Q1686:S1686"/>
    <mergeCell ref="T1686:U1686"/>
    <mergeCell ref="V1686:X1686"/>
    <mergeCell ref="Y1686:AB1686"/>
    <mergeCell ref="AC1686:AE1686"/>
    <mergeCell ref="AF1686:AH1686"/>
    <mergeCell ref="E1683:F1683"/>
    <mergeCell ref="G1683:I1683"/>
    <mergeCell ref="J1683:M1683"/>
    <mergeCell ref="N1683:P1683"/>
    <mergeCell ref="Q1683:S1683"/>
    <mergeCell ref="T1683:U1683"/>
    <mergeCell ref="V1683:X1683"/>
    <mergeCell ref="Y1683:AB1683"/>
    <mergeCell ref="AC1683:AE1683"/>
    <mergeCell ref="AF1683:AH1683"/>
    <mergeCell ref="E1684:F1684"/>
    <mergeCell ref="G1684:I1684"/>
    <mergeCell ref="J1684:M1684"/>
    <mergeCell ref="N1684:P1684"/>
    <mergeCell ref="Q1684:S1684"/>
    <mergeCell ref="T1684:U1684"/>
    <mergeCell ref="V1684:X1684"/>
    <mergeCell ref="Y1684:AB1684"/>
    <mergeCell ref="AC1684:AE1684"/>
    <mergeCell ref="AF1684:AH1684"/>
    <mergeCell ref="E1681:F1681"/>
    <mergeCell ref="G1681:I1681"/>
    <mergeCell ref="J1681:M1681"/>
    <mergeCell ref="N1681:P1681"/>
    <mergeCell ref="Q1681:S1681"/>
    <mergeCell ref="T1681:U1681"/>
    <mergeCell ref="V1681:X1681"/>
    <mergeCell ref="Y1681:AB1681"/>
    <mergeCell ref="AC1681:AE1681"/>
    <mergeCell ref="AF1681:AH1681"/>
    <mergeCell ref="E1682:F1682"/>
    <mergeCell ref="G1682:I1682"/>
    <mergeCell ref="J1682:M1682"/>
    <mergeCell ref="N1682:P1682"/>
    <mergeCell ref="Q1682:S1682"/>
    <mergeCell ref="T1682:U1682"/>
    <mergeCell ref="V1682:X1682"/>
    <mergeCell ref="Y1682:AB1682"/>
    <mergeCell ref="AC1682:AE1682"/>
    <mergeCell ref="AF1682:AH1682"/>
    <mergeCell ref="E1679:F1679"/>
    <mergeCell ref="G1679:I1679"/>
    <mergeCell ref="J1679:M1679"/>
    <mergeCell ref="N1679:P1679"/>
    <mergeCell ref="Q1679:S1679"/>
    <mergeCell ref="T1679:U1679"/>
    <mergeCell ref="V1679:X1679"/>
    <mergeCell ref="Y1679:AB1679"/>
    <mergeCell ref="AC1679:AE1679"/>
    <mergeCell ref="AF1679:AH1679"/>
    <mergeCell ref="E1680:F1680"/>
    <mergeCell ref="G1680:I1680"/>
    <mergeCell ref="J1680:M1680"/>
    <mergeCell ref="N1680:P1680"/>
    <mergeCell ref="Q1680:S1680"/>
    <mergeCell ref="T1680:U1680"/>
    <mergeCell ref="V1680:X1680"/>
    <mergeCell ref="Y1680:AB1680"/>
    <mergeCell ref="AC1680:AE1680"/>
    <mergeCell ref="AF1680:AH1680"/>
    <mergeCell ref="E1677:F1677"/>
    <mergeCell ref="G1677:I1677"/>
    <mergeCell ref="J1677:M1677"/>
    <mergeCell ref="N1677:P1677"/>
    <mergeCell ref="Q1677:S1677"/>
    <mergeCell ref="T1677:U1677"/>
    <mergeCell ref="V1677:X1677"/>
    <mergeCell ref="Y1677:AB1677"/>
    <mergeCell ref="AC1677:AE1677"/>
    <mergeCell ref="AF1677:AH1677"/>
    <mergeCell ref="E1678:F1678"/>
    <mergeCell ref="G1678:I1678"/>
    <mergeCell ref="J1678:M1678"/>
    <mergeCell ref="N1678:P1678"/>
    <mergeCell ref="Q1678:S1678"/>
    <mergeCell ref="T1678:U1678"/>
    <mergeCell ref="V1678:X1678"/>
    <mergeCell ref="Y1678:AB1678"/>
    <mergeCell ref="AC1678:AE1678"/>
    <mergeCell ref="AF1678:AH1678"/>
    <mergeCell ref="E1673:S1673"/>
    <mergeCell ref="T1673:AH1673"/>
    <mergeCell ref="E1674:F1675"/>
    <mergeCell ref="G1674:I1675"/>
    <mergeCell ref="J1674:M1675"/>
    <mergeCell ref="N1674:P1675"/>
    <mergeCell ref="Q1674:S1675"/>
    <mergeCell ref="T1674:U1675"/>
    <mergeCell ref="V1674:X1675"/>
    <mergeCell ref="Y1674:AB1675"/>
    <mergeCell ref="AC1674:AE1675"/>
    <mergeCell ref="AF1674:AH1675"/>
    <mergeCell ref="E1676:F1676"/>
    <mergeCell ref="G1676:I1676"/>
    <mergeCell ref="J1676:M1676"/>
    <mergeCell ref="N1676:P1676"/>
    <mergeCell ref="Q1676:S1676"/>
    <mergeCell ref="T1676:U1676"/>
    <mergeCell ref="V1676:X1676"/>
    <mergeCell ref="Y1676:AB1676"/>
    <mergeCell ref="AC1676:AE1676"/>
    <mergeCell ref="AF1676:AH1676"/>
    <mergeCell ref="E1668:F1668"/>
    <mergeCell ref="G1668:I1668"/>
    <mergeCell ref="J1668:M1668"/>
    <mergeCell ref="N1668:P1668"/>
    <mergeCell ref="Q1668:S1668"/>
    <mergeCell ref="T1668:U1668"/>
    <mergeCell ref="V1668:X1668"/>
    <mergeCell ref="Y1668:AB1668"/>
    <mergeCell ref="AC1668:AE1668"/>
    <mergeCell ref="AF1668:AH1668"/>
    <mergeCell ref="E1669:F1669"/>
    <mergeCell ref="G1669:I1669"/>
    <mergeCell ref="J1669:M1669"/>
    <mergeCell ref="N1669:P1669"/>
    <mergeCell ref="Q1669:S1669"/>
    <mergeCell ref="T1669:U1669"/>
    <mergeCell ref="V1669:X1669"/>
    <mergeCell ref="Y1669:AB1669"/>
    <mergeCell ref="AC1669:AE1669"/>
    <mergeCell ref="AF1669:AH1669"/>
    <mergeCell ref="E1666:F1666"/>
    <mergeCell ref="G1666:I1666"/>
    <mergeCell ref="J1666:M1666"/>
    <mergeCell ref="N1666:P1666"/>
    <mergeCell ref="Q1666:S1666"/>
    <mergeCell ref="T1666:U1666"/>
    <mergeCell ref="V1666:X1666"/>
    <mergeCell ref="Y1666:AB1666"/>
    <mergeCell ref="AC1666:AE1666"/>
    <mergeCell ref="AF1666:AH1666"/>
    <mergeCell ref="E1667:F1667"/>
    <mergeCell ref="G1667:I1667"/>
    <mergeCell ref="J1667:M1667"/>
    <mergeCell ref="N1667:P1667"/>
    <mergeCell ref="Q1667:S1667"/>
    <mergeCell ref="T1667:U1667"/>
    <mergeCell ref="V1667:X1667"/>
    <mergeCell ref="Y1667:AB1667"/>
    <mergeCell ref="AC1667:AE1667"/>
    <mergeCell ref="AF1667:AH1667"/>
    <mergeCell ref="E1664:F1664"/>
    <mergeCell ref="G1664:I1664"/>
    <mergeCell ref="J1664:M1664"/>
    <mergeCell ref="N1664:P1664"/>
    <mergeCell ref="Q1664:S1664"/>
    <mergeCell ref="T1664:U1664"/>
    <mergeCell ref="V1664:X1664"/>
    <mergeCell ref="Y1664:AB1664"/>
    <mergeCell ref="AC1664:AE1664"/>
    <mergeCell ref="AF1664:AH1664"/>
    <mergeCell ref="E1665:F1665"/>
    <mergeCell ref="G1665:I1665"/>
    <mergeCell ref="J1665:M1665"/>
    <mergeCell ref="N1665:P1665"/>
    <mergeCell ref="Q1665:S1665"/>
    <mergeCell ref="T1665:U1665"/>
    <mergeCell ref="V1665:X1665"/>
    <mergeCell ref="Y1665:AB1665"/>
    <mergeCell ref="AC1665:AE1665"/>
    <mergeCell ref="AF1665:AH1665"/>
    <mergeCell ref="E1662:F1662"/>
    <mergeCell ref="G1662:I1662"/>
    <mergeCell ref="J1662:M1662"/>
    <mergeCell ref="N1662:P1662"/>
    <mergeCell ref="Q1662:S1662"/>
    <mergeCell ref="T1662:U1662"/>
    <mergeCell ref="V1662:X1662"/>
    <mergeCell ref="Y1662:AB1662"/>
    <mergeCell ref="AC1662:AE1662"/>
    <mergeCell ref="AF1662:AH1662"/>
    <mergeCell ref="E1663:F1663"/>
    <mergeCell ref="G1663:I1663"/>
    <mergeCell ref="J1663:M1663"/>
    <mergeCell ref="N1663:P1663"/>
    <mergeCell ref="Q1663:S1663"/>
    <mergeCell ref="T1663:U1663"/>
    <mergeCell ref="V1663:X1663"/>
    <mergeCell ref="Y1663:AB1663"/>
    <mergeCell ref="AC1663:AE1663"/>
    <mergeCell ref="AF1663:AH1663"/>
    <mergeCell ref="E1660:F1660"/>
    <mergeCell ref="G1660:I1660"/>
    <mergeCell ref="J1660:M1660"/>
    <mergeCell ref="N1660:P1660"/>
    <mergeCell ref="Q1660:S1660"/>
    <mergeCell ref="T1660:U1660"/>
    <mergeCell ref="V1660:X1660"/>
    <mergeCell ref="Y1660:AB1660"/>
    <mergeCell ref="AC1660:AE1660"/>
    <mergeCell ref="AF1660:AH1660"/>
    <mergeCell ref="E1661:F1661"/>
    <mergeCell ref="G1661:I1661"/>
    <mergeCell ref="J1661:M1661"/>
    <mergeCell ref="N1661:P1661"/>
    <mergeCell ref="Q1661:S1661"/>
    <mergeCell ref="T1661:U1661"/>
    <mergeCell ref="V1661:X1661"/>
    <mergeCell ref="Y1661:AB1661"/>
    <mergeCell ref="AC1661:AE1661"/>
    <mergeCell ref="AF1661:AH1661"/>
    <mergeCell ref="E1658:F1658"/>
    <mergeCell ref="G1658:I1658"/>
    <mergeCell ref="J1658:M1658"/>
    <mergeCell ref="N1658:P1658"/>
    <mergeCell ref="Q1658:S1658"/>
    <mergeCell ref="T1658:U1658"/>
    <mergeCell ref="V1658:X1658"/>
    <mergeCell ref="Y1658:AB1658"/>
    <mergeCell ref="AC1658:AE1658"/>
    <mergeCell ref="AF1658:AH1658"/>
    <mergeCell ref="E1659:F1659"/>
    <mergeCell ref="G1659:I1659"/>
    <mergeCell ref="J1659:M1659"/>
    <mergeCell ref="N1659:P1659"/>
    <mergeCell ref="Q1659:S1659"/>
    <mergeCell ref="T1659:U1659"/>
    <mergeCell ref="V1659:X1659"/>
    <mergeCell ref="Y1659:AB1659"/>
    <mergeCell ref="AC1659:AE1659"/>
    <mergeCell ref="AF1659:AH1659"/>
    <mergeCell ref="E1656:F1656"/>
    <mergeCell ref="G1656:I1656"/>
    <mergeCell ref="J1656:M1656"/>
    <mergeCell ref="N1656:P1656"/>
    <mergeCell ref="Q1656:S1656"/>
    <mergeCell ref="T1656:U1656"/>
    <mergeCell ref="V1656:X1656"/>
    <mergeCell ref="Y1656:AB1656"/>
    <mergeCell ref="AC1656:AE1656"/>
    <mergeCell ref="AF1656:AH1656"/>
    <mergeCell ref="E1657:F1657"/>
    <mergeCell ref="G1657:I1657"/>
    <mergeCell ref="J1657:M1657"/>
    <mergeCell ref="N1657:P1657"/>
    <mergeCell ref="Q1657:S1657"/>
    <mergeCell ref="T1657:U1657"/>
    <mergeCell ref="V1657:X1657"/>
    <mergeCell ref="Y1657:AB1657"/>
    <mergeCell ref="AC1657:AE1657"/>
    <mergeCell ref="AF1657:AH1657"/>
    <mergeCell ref="E1654:F1654"/>
    <mergeCell ref="G1654:I1654"/>
    <mergeCell ref="J1654:M1654"/>
    <mergeCell ref="N1654:P1654"/>
    <mergeCell ref="Q1654:S1654"/>
    <mergeCell ref="T1654:U1654"/>
    <mergeCell ref="V1654:X1654"/>
    <mergeCell ref="Y1654:AB1654"/>
    <mergeCell ref="AC1654:AE1654"/>
    <mergeCell ref="AF1654:AH1654"/>
    <mergeCell ref="E1655:F1655"/>
    <mergeCell ref="G1655:I1655"/>
    <mergeCell ref="J1655:M1655"/>
    <mergeCell ref="N1655:P1655"/>
    <mergeCell ref="Q1655:S1655"/>
    <mergeCell ref="T1655:U1655"/>
    <mergeCell ref="V1655:X1655"/>
    <mergeCell ref="Y1655:AB1655"/>
    <mergeCell ref="AC1655:AE1655"/>
    <mergeCell ref="AF1655:AH1655"/>
    <mergeCell ref="E1645:F1645"/>
    <mergeCell ref="G1645:I1645"/>
    <mergeCell ref="J1645:M1645"/>
    <mergeCell ref="N1645:P1645"/>
    <mergeCell ref="Q1645:S1645"/>
    <mergeCell ref="T1645:U1645"/>
    <mergeCell ref="V1645:X1645"/>
    <mergeCell ref="Y1645:AB1645"/>
    <mergeCell ref="AC1645:AE1645"/>
    <mergeCell ref="AF1645:AH1645"/>
    <mergeCell ref="E1651:S1651"/>
    <mergeCell ref="T1651:AH1651"/>
    <mergeCell ref="E1652:F1653"/>
    <mergeCell ref="G1652:I1653"/>
    <mergeCell ref="J1652:M1653"/>
    <mergeCell ref="N1652:P1653"/>
    <mergeCell ref="Q1652:S1653"/>
    <mergeCell ref="T1652:U1653"/>
    <mergeCell ref="V1652:X1653"/>
    <mergeCell ref="Y1652:AB1653"/>
    <mergeCell ref="AC1652:AE1653"/>
    <mergeCell ref="AF1652:AH1653"/>
    <mergeCell ref="E1643:F1643"/>
    <mergeCell ref="G1643:I1643"/>
    <mergeCell ref="J1643:M1643"/>
    <mergeCell ref="N1643:P1643"/>
    <mergeCell ref="Q1643:S1643"/>
    <mergeCell ref="T1643:U1643"/>
    <mergeCell ref="V1643:X1643"/>
    <mergeCell ref="Y1643:AB1643"/>
    <mergeCell ref="AC1643:AE1643"/>
    <mergeCell ref="AF1643:AH1643"/>
    <mergeCell ref="E1644:F1644"/>
    <mergeCell ref="G1644:I1644"/>
    <mergeCell ref="J1644:M1644"/>
    <mergeCell ref="N1644:P1644"/>
    <mergeCell ref="Q1644:S1644"/>
    <mergeCell ref="T1644:U1644"/>
    <mergeCell ref="V1644:X1644"/>
    <mergeCell ref="Y1644:AB1644"/>
    <mergeCell ref="AC1644:AE1644"/>
    <mergeCell ref="AF1644:AH1644"/>
    <mergeCell ref="E1641:F1641"/>
    <mergeCell ref="G1641:I1641"/>
    <mergeCell ref="J1641:M1641"/>
    <mergeCell ref="N1641:P1641"/>
    <mergeCell ref="Q1641:S1641"/>
    <mergeCell ref="T1641:U1641"/>
    <mergeCell ref="V1641:X1641"/>
    <mergeCell ref="Y1641:AB1641"/>
    <mergeCell ref="AC1641:AE1641"/>
    <mergeCell ref="AF1641:AH1641"/>
    <mergeCell ref="E1642:F1642"/>
    <mergeCell ref="G1642:I1642"/>
    <mergeCell ref="J1642:M1642"/>
    <mergeCell ref="N1642:P1642"/>
    <mergeCell ref="Q1642:S1642"/>
    <mergeCell ref="T1642:U1642"/>
    <mergeCell ref="V1642:X1642"/>
    <mergeCell ref="Y1642:AB1642"/>
    <mergeCell ref="AC1642:AE1642"/>
    <mergeCell ref="AF1642:AH1642"/>
    <mergeCell ref="E1639:F1639"/>
    <mergeCell ref="G1639:I1639"/>
    <mergeCell ref="J1639:M1639"/>
    <mergeCell ref="N1639:P1639"/>
    <mergeCell ref="Q1639:S1639"/>
    <mergeCell ref="T1639:U1639"/>
    <mergeCell ref="V1639:X1639"/>
    <mergeCell ref="Y1639:AB1639"/>
    <mergeCell ref="AC1639:AE1639"/>
    <mergeCell ref="AF1639:AH1639"/>
    <mergeCell ref="E1640:F1640"/>
    <mergeCell ref="G1640:I1640"/>
    <mergeCell ref="J1640:M1640"/>
    <mergeCell ref="N1640:P1640"/>
    <mergeCell ref="Q1640:S1640"/>
    <mergeCell ref="T1640:U1640"/>
    <mergeCell ref="V1640:X1640"/>
    <mergeCell ref="Y1640:AB1640"/>
    <mergeCell ref="AC1640:AE1640"/>
    <mergeCell ref="AF1640:AH1640"/>
    <mergeCell ref="E1637:F1637"/>
    <mergeCell ref="G1637:I1637"/>
    <mergeCell ref="J1637:M1637"/>
    <mergeCell ref="N1637:P1637"/>
    <mergeCell ref="Q1637:S1637"/>
    <mergeCell ref="T1637:U1637"/>
    <mergeCell ref="V1637:X1637"/>
    <mergeCell ref="Y1637:AB1637"/>
    <mergeCell ref="AC1637:AE1637"/>
    <mergeCell ref="AF1637:AH1637"/>
    <mergeCell ref="E1638:F1638"/>
    <mergeCell ref="G1638:I1638"/>
    <mergeCell ref="J1638:M1638"/>
    <mergeCell ref="N1638:P1638"/>
    <mergeCell ref="Q1638:S1638"/>
    <mergeCell ref="T1638:U1638"/>
    <mergeCell ref="V1638:X1638"/>
    <mergeCell ref="Y1638:AB1638"/>
    <mergeCell ref="AC1638:AE1638"/>
    <mergeCell ref="AF1638:AH1638"/>
    <mergeCell ref="E1635:F1635"/>
    <mergeCell ref="G1635:I1635"/>
    <mergeCell ref="J1635:M1635"/>
    <mergeCell ref="N1635:P1635"/>
    <mergeCell ref="Q1635:S1635"/>
    <mergeCell ref="T1635:U1635"/>
    <mergeCell ref="V1635:X1635"/>
    <mergeCell ref="Y1635:AB1635"/>
    <mergeCell ref="AC1635:AE1635"/>
    <mergeCell ref="AF1635:AH1635"/>
    <mergeCell ref="E1636:F1636"/>
    <mergeCell ref="G1636:I1636"/>
    <mergeCell ref="J1636:M1636"/>
    <mergeCell ref="N1636:P1636"/>
    <mergeCell ref="Q1636:S1636"/>
    <mergeCell ref="T1636:U1636"/>
    <mergeCell ref="V1636:X1636"/>
    <mergeCell ref="Y1636:AB1636"/>
    <mergeCell ref="AC1636:AE1636"/>
    <mergeCell ref="AF1636:AH1636"/>
    <mergeCell ref="E1633:F1633"/>
    <mergeCell ref="G1633:I1633"/>
    <mergeCell ref="J1633:M1633"/>
    <mergeCell ref="N1633:P1633"/>
    <mergeCell ref="Q1633:S1633"/>
    <mergeCell ref="T1633:U1633"/>
    <mergeCell ref="V1633:X1633"/>
    <mergeCell ref="Y1633:AB1633"/>
    <mergeCell ref="AC1633:AE1633"/>
    <mergeCell ref="AF1633:AH1633"/>
    <mergeCell ref="E1634:F1634"/>
    <mergeCell ref="G1634:I1634"/>
    <mergeCell ref="J1634:M1634"/>
    <mergeCell ref="N1634:P1634"/>
    <mergeCell ref="Q1634:S1634"/>
    <mergeCell ref="T1634:U1634"/>
    <mergeCell ref="V1634:X1634"/>
    <mergeCell ref="Y1634:AB1634"/>
    <mergeCell ref="AC1634:AE1634"/>
    <mergeCell ref="AF1634:AH1634"/>
    <mergeCell ref="V1630:X1630"/>
    <mergeCell ref="Y1630:AB1630"/>
    <mergeCell ref="AC1630:AE1630"/>
    <mergeCell ref="AF1630:AH1630"/>
    <mergeCell ref="E1631:F1631"/>
    <mergeCell ref="G1631:I1631"/>
    <mergeCell ref="J1631:M1631"/>
    <mergeCell ref="N1631:P1631"/>
    <mergeCell ref="Q1631:S1631"/>
    <mergeCell ref="T1631:U1631"/>
    <mergeCell ref="V1631:X1631"/>
    <mergeCell ref="Y1631:AB1631"/>
    <mergeCell ref="AC1631:AE1631"/>
    <mergeCell ref="AF1631:AH1631"/>
    <mergeCell ref="E1632:F1632"/>
    <mergeCell ref="G1632:I1632"/>
    <mergeCell ref="J1632:M1632"/>
    <mergeCell ref="N1632:P1632"/>
    <mergeCell ref="Q1632:S1632"/>
    <mergeCell ref="T1632:U1632"/>
    <mergeCell ref="V1632:X1632"/>
    <mergeCell ref="Y1632:AB1632"/>
    <mergeCell ref="AC1632:AE1632"/>
    <mergeCell ref="AF1632:AH1632"/>
    <mergeCell ref="E1622:F1622"/>
    <mergeCell ref="G1622:I1622"/>
    <mergeCell ref="J1622:M1622"/>
    <mergeCell ref="N1622:P1622"/>
    <mergeCell ref="Q1622:S1622"/>
    <mergeCell ref="T1622:U1622"/>
    <mergeCell ref="V1622:X1622"/>
    <mergeCell ref="Y1622:AB1622"/>
    <mergeCell ref="AC1622:AE1622"/>
    <mergeCell ref="AF1622:AH1622"/>
    <mergeCell ref="E1623:F1623"/>
    <mergeCell ref="G1623:I1623"/>
    <mergeCell ref="J1623:M1623"/>
    <mergeCell ref="N1623:P1623"/>
    <mergeCell ref="Q1623:S1623"/>
    <mergeCell ref="T1623:U1623"/>
    <mergeCell ref="V1623:X1623"/>
    <mergeCell ref="Y1623:AB1623"/>
    <mergeCell ref="AC1623:AE1623"/>
    <mergeCell ref="AF1623:AH1623"/>
    <mergeCell ref="E1620:F1620"/>
    <mergeCell ref="G1620:I1620"/>
    <mergeCell ref="J1620:M1620"/>
    <mergeCell ref="N1620:P1620"/>
    <mergeCell ref="Q1620:S1620"/>
    <mergeCell ref="T1620:U1620"/>
    <mergeCell ref="V1620:X1620"/>
    <mergeCell ref="Y1620:AB1620"/>
    <mergeCell ref="AC1620:AE1620"/>
    <mergeCell ref="AF1620:AH1620"/>
    <mergeCell ref="E1621:F1621"/>
    <mergeCell ref="G1621:I1621"/>
    <mergeCell ref="J1621:M1621"/>
    <mergeCell ref="N1621:P1621"/>
    <mergeCell ref="Q1621:S1621"/>
    <mergeCell ref="T1621:U1621"/>
    <mergeCell ref="V1621:X1621"/>
    <mergeCell ref="Y1621:AB1621"/>
    <mergeCell ref="AC1621:AE1621"/>
    <mergeCell ref="AF1621:AH1621"/>
    <mergeCell ref="E1618:F1618"/>
    <mergeCell ref="G1618:I1618"/>
    <mergeCell ref="J1618:M1618"/>
    <mergeCell ref="N1618:P1618"/>
    <mergeCell ref="Q1618:S1618"/>
    <mergeCell ref="T1618:U1618"/>
    <mergeCell ref="V1618:X1618"/>
    <mergeCell ref="Y1618:AB1618"/>
    <mergeCell ref="AC1618:AE1618"/>
    <mergeCell ref="AF1618:AH1618"/>
    <mergeCell ref="E1619:F1619"/>
    <mergeCell ref="G1619:I1619"/>
    <mergeCell ref="J1619:M1619"/>
    <mergeCell ref="N1619:P1619"/>
    <mergeCell ref="Q1619:S1619"/>
    <mergeCell ref="T1619:U1619"/>
    <mergeCell ref="V1619:X1619"/>
    <mergeCell ref="Y1619:AB1619"/>
    <mergeCell ref="AC1619:AE1619"/>
    <mergeCell ref="AF1619:AH1619"/>
    <mergeCell ref="E1616:F1616"/>
    <mergeCell ref="G1616:I1616"/>
    <mergeCell ref="J1616:M1616"/>
    <mergeCell ref="N1616:P1616"/>
    <mergeCell ref="Q1616:S1616"/>
    <mergeCell ref="T1616:U1616"/>
    <mergeCell ref="V1616:X1616"/>
    <mergeCell ref="Y1616:AB1616"/>
    <mergeCell ref="AC1616:AE1616"/>
    <mergeCell ref="AF1616:AH1616"/>
    <mergeCell ref="E1617:F1617"/>
    <mergeCell ref="G1617:I1617"/>
    <mergeCell ref="J1617:M1617"/>
    <mergeCell ref="N1617:P1617"/>
    <mergeCell ref="Q1617:S1617"/>
    <mergeCell ref="T1617:U1617"/>
    <mergeCell ref="V1617:X1617"/>
    <mergeCell ref="Y1617:AB1617"/>
    <mergeCell ref="AC1617:AE1617"/>
    <mergeCell ref="AF1617:AH1617"/>
    <mergeCell ref="E1614:F1614"/>
    <mergeCell ref="G1614:I1614"/>
    <mergeCell ref="J1614:M1614"/>
    <mergeCell ref="N1614:P1614"/>
    <mergeCell ref="Q1614:S1614"/>
    <mergeCell ref="T1614:U1614"/>
    <mergeCell ref="V1614:X1614"/>
    <mergeCell ref="Y1614:AB1614"/>
    <mergeCell ref="AC1614:AE1614"/>
    <mergeCell ref="AF1614:AH1614"/>
    <mergeCell ref="E1615:F1615"/>
    <mergeCell ref="G1615:I1615"/>
    <mergeCell ref="J1615:M1615"/>
    <mergeCell ref="N1615:P1615"/>
    <mergeCell ref="Q1615:S1615"/>
    <mergeCell ref="T1615:U1615"/>
    <mergeCell ref="V1615:X1615"/>
    <mergeCell ref="Y1615:AB1615"/>
    <mergeCell ref="AC1615:AE1615"/>
    <mergeCell ref="AF1615:AH1615"/>
    <mergeCell ref="E1612:F1612"/>
    <mergeCell ref="G1612:I1612"/>
    <mergeCell ref="J1612:M1612"/>
    <mergeCell ref="N1612:P1612"/>
    <mergeCell ref="Q1612:S1612"/>
    <mergeCell ref="T1612:U1612"/>
    <mergeCell ref="V1612:X1612"/>
    <mergeCell ref="Y1612:AB1612"/>
    <mergeCell ref="AC1612:AE1612"/>
    <mergeCell ref="AF1612:AH1612"/>
    <mergeCell ref="E1613:F1613"/>
    <mergeCell ref="G1613:I1613"/>
    <mergeCell ref="J1613:M1613"/>
    <mergeCell ref="N1613:P1613"/>
    <mergeCell ref="Q1613:S1613"/>
    <mergeCell ref="T1613:U1613"/>
    <mergeCell ref="V1613:X1613"/>
    <mergeCell ref="Y1613:AB1613"/>
    <mergeCell ref="AC1613:AE1613"/>
    <mergeCell ref="AF1613:AH1613"/>
    <mergeCell ref="E1610:F1610"/>
    <mergeCell ref="G1610:I1610"/>
    <mergeCell ref="J1610:M1610"/>
    <mergeCell ref="N1610:P1610"/>
    <mergeCell ref="Q1610:S1610"/>
    <mergeCell ref="T1610:U1610"/>
    <mergeCell ref="V1610:X1610"/>
    <mergeCell ref="Y1610:AB1610"/>
    <mergeCell ref="AC1610:AE1610"/>
    <mergeCell ref="AF1610:AH1610"/>
    <mergeCell ref="E1611:F1611"/>
    <mergeCell ref="G1611:I1611"/>
    <mergeCell ref="J1611:M1611"/>
    <mergeCell ref="N1611:P1611"/>
    <mergeCell ref="Q1611:S1611"/>
    <mergeCell ref="T1611:U1611"/>
    <mergeCell ref="V1611:X1611"/>
    <mergeCell ref="Y1611:AB1611"/>
    <mergeCell ref="AC1611:AE1611"/>
    <mergeCell ref="AF1611:AH1611"/>
    <mergeCell ref="E1609:F1609"/>
    <mergeCell ref="G1609:I1609"/>
    <mergeCell ref="J1609:M1609"/>
    <mergeCell ref="N1609:P1609"/>
    <mergeCell ref="Q1609:S1609"/>
    <mergeCell ref="T1609:U1609"/>
    <mergeCell ref="V1609:X1609"/>
    <mergeCell ref="Y1609:AB1609"/>
    <mergeCell ref="AC1609:AE1609"/>
    <mergeCell ref="AF1609:AH1609"/>
    <mergeCell ref="E1605:S1605"/>
    <mergeCell ref="T1605:AH1605"/>
    <mergeCell ref="E1606:F1607"/>
    <mergeCell ref="G1606:I1607"/>
    <mergeCell ref="J1606:M1607"/>
    <mergeCell ref="N1606:P1607"/>
    <mergeCell ref="Q1606:S1607"/>
    <mergeCell ref="T1606:U1607"/>
    <mergeCell ref="V1606:X1607"/>
    <mergeCell ref="Y1606:AB1607"/>
    <mergeCell ref="AC1606:AE1607"/>
    <mergeCell ref="AF1606:AH1607"/>
    <mergeCell ref="E1608:F1608"/>
    <mergeCell ref="G1608:I1608"/>
    <mergeCell ref="J1608:M1608"/>
    <mergeCell ref="N1608:P1608"/>
    <mergeCell ref="Q1608:S1608"/>
    <mergeCell ref="T1608:U1608"/>
    <mergeCell ref="V1608:X1608"/>
    <mergeCell ref="Y1608:AB1608"/>
    <mergeCell ref="AC1608:AE1608"/>
    <mergeCell ref="AF1608:AH1608"/>
    <mergeCell ref="E1601:F1601"/>
    <mergeCell ref="G1601:I1601"/>
    <mergeCell ref="J1601:M1601"/>
    <mergeCell ref="N1601:P1601"/>
    <mergeCell ref="Q1601:S1601"/>
    <mergeCell ref="T1601:U1601"/>
    <mergeCell ref="V1601:X1601"/>
    <mergeCell ref="Y1601:AB1601"/>
    <mergeCell ref="AC1601:AE1601"/>
    <mergeCell ref="AF1601:AH1601"/>
    <mergeCell ref="E1599:F1599"/>
    <mergeCell ref="G1599:I1599"/>
    <mergeCell ref="J1599:M1599"/>
    <mergeCell ref="N1599:P1599"/>
    <mergeCell ref="Q1599:S1599"/>
    <mergeCell ref="T1599:U1599"/>
    <mergeCell ref="V1599:X1599"/>
    <mergeCell ref="Y1599:AB1599"/>
    <mergeCell ref="AC1599:AE1599"/>
    <mergeCell ref="AF1599:AH1599"/>
    <mergeCell ref="E1600:F1600"/>
    <mergeCell ref="G1600:I1600"/>
    <mergeCell ref="J1600:M1600"/>
    <mergeCell ref="N1600:P1600"/>
    <mergeCell ref="Q1600:S1600"/>
    <mergeCell ref="T1600:U1600"/>
    <mergeCell ref="V1600:X1600"/>
    <mergeCell ref="Y1600:AB1600"/>
    <mergeCell ref="AC1600:AE1600"/>
    <mergeCell ref="AF1600:AH1600"/>
    <mergeCell ref="E1597:F1597"/>
    <mergeCell ref="G1597:I1597"/>
    <mergeCell ref="J1597:M1597"/>
    <mergeCell ref="N1597:P1597"/>
    <mergeCell ref="Q1597:S1597"/>
    <mergeCell ref="T1597:U1597"/>
    <mergeCell ref="V1597:X1597"/>
    <mergeCell ref="Y1597:AB1597"/>
    <mergeCell ref="AC1597:AE1597"/>
    <mergeCell ref="AF1597:AH1597"/>
    <mergeCell ref="E1598:F1598"/>
    <mergeCell ref="G1598:I1598"/>
    <mergeCell ref="J1598:M1598"/>
    <mergeCell ref="N1598:P1598"/>
    <mergeCell ref="Q1598:S1598"/>
    <mergeCell ref="T1598:U1598"/>
    <mergeCell ref="V1598:X1598"/>
    <mergeCell ref="Y1598:AB1598"/>
    <mergeCell ref="AC1598:AE1598"/>
    <mergeCell ref="AF1598:AH1598"/>
    <mergeCell ref="E1595:F1595"/>
    <mergeCell ref="G1595:I1595"/>
    <mergeCell ref="J1595:M1595"/>
    <mergeCell ref="N1595:P1595"/>
    <mergeCell ref="Q1595:S1595"/>
    <mergeCell ref="T1595:U1595"/>
    <mergeCell ref="V1595:X1595"/>
    <mergeCell ref="Y1595:AB1595"/>
    <mergeCell ref="AC1595:AE1595"/>
    <mergeCell ref="AF1595:AH1595"/>
    <mergeCell ref="E1596:F1596"/>
    <mergeCell ref="G1596:I1596"/>
    <mergeCell ref="J1596:M1596"/>
    <mergeCell ref="N1596:P1596"/>
    <mergeCell ref="Q1596:S1596"/>
    <mergeCell ref="T1596:U1596"/>
    <mergeCell ref="V1596:X1596"/>
    <mergeCell ref="Y1596:AB1596"/>
    <mergeCell ref="AC1596:AE1596"/>
    <mergeCell ref="AF1596:AH1596"/>
    <mergeCell ref="E1593:F1593"/>
    <mergeCell ref="G1593:I1593"/>
    <mergeCell ref="J1593:M1593"/>
    <mergeCell ref="N1593:P1593"/>
    <mergeCell ref="Q1593:S1593"/>
    <mergeCell ref="T1593:U1593"/>
    <mergeCell ref="V1593:X1593"/>
    <mergeCell ref="Y1593:AB1593"/>
    <mergeCell ref="AC1593:AE1593"/>
    <mergeCell ref="AF1593:AH1593"/>
    <mergeCell ref="E1594:F1594"/>
    <mergeCell ref="G1594:I1594"/>
    <mergeCell ref="J1594:M1594"/>
    <mergeCell ref="N1594:P1594"/>
    <mergeCell ref="Q1594:S1594"/>
    <mergeCell ref="T1594:U1594"/>
    <mergeCell ref="V1594:X1594"/>
    <mergeCell ref="AC1594:AE1594"/>
    <mergeCell ref="AF1594:AH1594"/>
    <mergeCell ref="E1591:F1591"/>
    <mergeCell ref="G1591:I1591"/>
    <mergeCell ref="J1591:M1591"/>
    <mergeCell ref="N1591:P1591"/>
    <mergeCell ref="Q1591:S1591"/>
    <mergeCell ref="T1591:U1591"/>
    <mergeCell ref="V1591:X1591"/>
    <mergeCell ref="Y1591:AB1591"/>
    <mergeCell ref="AC1591:AE1591"/>
    <mergeCell ref="AF1591:AH1591"/>
    <mergeCell ref="E1592:F1592"/>
    <mergeCell ref="G1592:I1592"/>
    <mergeCell ref="J1592:M1592"/>
    <mergeCell ref="N1592:P1592"/>
    <mergeCell ref="Q1592:S1592"/>
    <mergeCell ref="T1592:U1592"/>
    <mergeCell ref="V1592:X1592"/>
    <mergeCell ref="Y1592:AB1592"/>
    <mergeCell ref="AC1592:AE1592"/>
    <mergeCell ref="AF1592:AH1592"/>
    <mergeCell ref="E1589:F1589"/>
    <mergeCell ref="G1589:I1589"/>
    <mergeCell ref="J1589:M1589"/>
    <mergeCell ref="N1589:P1589"/>
    <mergeCell ref="Q1589:S1589"/>
    <mergeCell ref="T1589:U1589"/>
    <mergeCell ref="V1589:X1589"/>
    <mergeCell ref="Y1589:AB1589"/>
    <mergeCell ref="AC1589:AE1589"/>
    <mergeCell ref="AF1589:AH1589"/>
    <mergeCell ref="E1590:F1590"/>
    <mergeCell ref="G1590:I1590"/>
    <mergeCell ref="J1590:M1590"/>
    <mergeCell ref="N1590:P1590"/>
    <mergeCell ref="Q1590:S1590"/>
    <mergeCell ref="T1590:U1590"/>
    <mergeCell ref="V1590:X1590"/>
    <mergeCell ref="Y1590:AB1590"/>
    <mergeCell ref="AC1590:AE1590"/>
    <mergeCell ref="AF1590:AH1590"/>
    <mergeCell ref="AF1584:AH1585"/>
    <mergeCell ref="Y1586:AB1586"/>
    <mergeCell ref="AC1586:AE1586"/>
    <mergeCell ref="AF1586:AH1586"/>
    <mergeCell ref="E1587:F1587"/>
    <mergeCell ref="G1587:I1587"/>
    <mergeCell ref="J1587:M1587"/>
    <mergeCell ref="N1587:P1587"/>
    <mergeCell ref="Q1587:S1587"/>
    <mergeCell ref="T1587:U1587"/>
    <mergeCell ref="V1587:X1587"/>
    <mergeCell ref="Y1587:AB1587"/>
    <mergeCell ref="AC1587:AE1587"/>
    <mergeCell ref="AF1587:AH1587"/>
    <mergeCell ref="E1588:F1588"/>
    <mergeCell ref="G1588:I1588"/>
    <mergeCell ref="J1588:M1588"/>
    <mergeCell ref="N1588:P1588"/>
    <mergeCell ref="Q1588:S1588"/>
    <mergeCell ref="T1588:U1588"/>
    <mergeCell ref="V1588:X1588"/>
    <mergeCell ref="Y1588:AB1588"/>
    <mergeCell ref="AC1588:AE1588"/>
    <mergeCell ref="AF1588:AH1588"/>
    <mergeCell ref="AD1542:AF1542"/>
    <mergeCell ref="E1583:S1583"/>
    <mergeCell ref="T1583:AH1583"/>
    <mergeCell ref="E1584:F1585"/>
    <mergeCell ref="G1584:I1585"/>
    <mergeCell ref="Q1584:S1585"/>
    <mergeCell ref="J1584:M1585"/>
    <mergeCell ref="T1584:U1585"/>
    <mergeCell ref="V1584:X1585"/>
    <mergeCell ref="E1586:F1586"/>
    <mergeCell ref="G1586:I1586"/>
    <mergeCell ref="Q1586:S1586"/>
    <mergeCell ref="J1586:M1586"/>
    <mergeCell ref="T1586:U1586"/>
    <mergeCell ref="V1586:X1586"/>
    <mergeCell ref="N1584:P1585"/>
    <mergeCell ref="N1586:P1586"/>
    <mergeCell ref="AH1577:AI1577"/>
    <mergeCell ref="AH1578:AI1578"/>
    <mergeCell ref="L1577:AG1577"/>
    <mergeCell ref="L1578:AG1578"/>
    <mergeCell ref="Y1584:AB1585"/>
    <mergeCell ref="AC1584:AE1585"/>
    <mergeCell ref="B1540:D1541"/>
    <mergeCell ref="E1540:G1541"/>
    <mergeCell ref="H1540:J1541"/>
    <mergeCell ref="K1540:N1540"/>
    <mergeCell ref="O1540:P1540"/>
    <mergeCell ref="Q1540:R1540"/>
    <mergeCell ref="S1540:T1540"/>
    <mergeCell ref="U1540:W1540"/>
    <mergeCell ref="X1540:AA1540"/>
    <mergeCell ref="AB1540:AE1540"/>
    <mergeCell ref="AF1540:AI1540"/>
    <mergeCell ref="AJ1540:AM1541"/>
    <mergeCell ref="K1541:N1541"/>
    <mergeCell ref="O1541:P1541"/>
    <mergeCell ref="Q1541:R1541"/>
    <mergeCell ref="S1541:T1541"/>
    <mergeCell ref="U1541:W1541"/>
    <mergeCell ref="X1541:AA1541"/>
    <mergeCell ref="AB1541:AE1541"/>
    <mergeCell ref="AF1541:AI1541"/>
    <mergeCell ref="B1538:D1539"/>
    <mergeCell ref="E1538:G1539"/>
    <mergeCell ref="H1538:J1539"/>
    <mergeCell ref="K1538:N1538"/>
    <mergeCell ref="O1538:P1538"/>
    <mergeCell ref="Q1538:R1538"/>
    <mergeCell ref="S1538:T1538"/>
    <mergeCell ref="U1538:W1538"/>
    <mergeCell ref="X1538:AA1538"/>
    <mergeCell ref="AB1538:AE1538"/>
    <mergeCell ref="AF1538:AI1538"/>
    <mergeCell ref="AJ1538:AM1539"/>
    <mergeCell ref="K1539:N1539"/>
    <mergeCell ref="O1539:P1539"/>
    <mergeCell ref="Q1539:R1539"/>
    <mergeCell ref="S1539:T1539"/>
    <mergeCell ref="U1539:W1539"/>
    <mergeCell ref="X1539:AA1539"/>
    <mergeCell ref="AB1539:AE1539"/>
    <mergeCell ref="AF1539:AI1539"/>
    <mergeCell ref="B1536:D1537"/>
    <mergeCell ref="E1536:G1537"/>
    <mergeCell ref="H1536:J1537"/>
    <mergeCell ref="K1536:N1536"/>
    <mergeCell ref="O1536:P1536"/>
    <mergeCell ref="Q1536:R1536"/>
    <mergeCell ref="S1536:T1536"/>
    <mergeCell ref="U1536:W1536"/>
    <mergeCell ref="X1536:AA1536"/>
    <mergeCell ref="AB1536:AE1536"/>
    <mergeCell ref="AF1536:AI1536"/>
    <mergeCell ref="AJ1536:AM1537"/>
    <mergeCell ref="K1537:N1537"/>
    <mergeCell ref="O1537:P1537"/>
    <mergeCell ref="Q1537:R1537"/>
    <mergeCell ref="S1537:T1537"/>
    <mergeCell ref="U1537:W1537"/>
    <mergeCell ref="X1537:AA1537"/>
    <mergeCell ref="AB1537:AE1537"/>
    <mergeCell ref="AF1537:AI1537"/>
    <mergeCell ref="B1534:D1535"/>
    <mergeCell ref="E1534:G1535"/>
    <mergeCell ref="H1534:J1535"/>
    <mergeCell ref="K1534:N1534"/>
    <mergeCell ref="O1534:P1534"/>
    <mergeCell ref="Q1534:R1534"/>
    <mergeCell ref="S1534:T1534"/>
    <mergeCell ref="U1534:W1534"/>
    <mergeCell ref="X1534:AA1534"/>
    <mergeCell ref="AB1534:AE1534"/>
    <mergeCell ref="AF1534:AI1534"/>
    <mergeCell ref="AJ1534:AM1535"/>
    <mergeCell ref="K1535:N1535"/>
    <mergeCell ref="O1535:P1535"/>
    <mergeCell ref="Q1535:R1535"/>
    <mergeCell ref="S1535:T1535"/>
    <mergeCell ref="U1535:W1535"/>
    <mergeCell ref="X1535:AA1535"/>
    <mergeCell ref="AB1535:AE1535"/>
    <mergeCell ref="AF1535:AI1535"/>
    <mergeCell ref="B1532:D1533"/>
    <mergeCell ref="E1532:G1533"/>
    <mergeCell ref="H1532:J1533"/>
    <mergeCell ref="K1532:N1532"/>
    <mergeCell ref="O1532:P1532"/>
    <mergeCell ref="Q1532:R1532"/>
    <mergeCell ref="S1532:T1532"/>
    <mergeCell ref="U1532:W1532"/>
    <mergeCell ref="X1532:AA1532"/>
    <mergeCell ref="AB1532:AE1532"/>
    <mergeCell ref="AF1532:AI1532"/>
    <mergeCell ref="AJ1532:AM1533"/>
    <mergeCell ref="K1533:N1533"/>
    <mergeCell ref="O1533:P1533"/>
    <mergeCell ref="Q1533:R1533"/>
    <mergeCell ref="S1533:T1533"/>
    <mergeCell ref="U1533:W1533"/>
    <mergeCell ref="X1533:AA1533"/>
    <mergeCell ref="AB1533:AE1533"/>
    <mergeCell ref="AF1533:AI1533"/>
    <mergeCell ref="B1530:D1531"/>
    <mergeCell ref="E1530:G1531"/>
    <mergeCell ref="H1530:J1531"/>
    <mergeCell ref="K1530:N1530"/>
    <mergeCell ref="O1530:P1530"/>
    <mergeCell ref="Q1530:R1530"/>
    <mergeCell ref="S1530:T1530"/>
    <mergeCell ref="U1530:W1530"/>
    <mergeCell ref="X1530:AA1530"/>
    <mergeCell ref="AB1530:AE1530"/>
    <mergeCell ref="AF1530:AI1530"/>
    <mergeCell ref="AJ1530:AM1531"/>
    <mergeCell ref="K1531:N1531"/>
    <mergeCell ref="O1531:P1531"/>
    <mergeCell ref="Q1531:R1531"/>
    <mergeCell ref="S1531:T1531"/>
    <mergeCell ref="U1531:W1531"/>
    <mergeCell ref="X1531:AA1531"/>
    <mergeCell ref="AB1531:AE1531"/>
    <mergeCell ref="AF1531:AI1531"/>
    <mergeCell ref="B1528:D1529"/>
    <mergeCell ref="E1528:G1529"/>
    <mergeCell ref="H1528:J1529"/>
    <mergeCell ref="K1528:N1528"/>
    <mergeCell ref="O1528:P1528"/>
    <mergeCell ref="Q1528:R1528"/>
    <mergeCell ref="S1528:T1528"/>
    <mergeCell ref="U1528:W1528"/>
    <mergeCell ref="X1528:AA1528"/>
    <mergeCell ref="AB1528:AE1528"/>
    <mergeCell ref="AF1528:AI1528"/>
    <mergeCell ref="AJ1528:AM1529"/>
    <mergeCell ref="K1529:N1529"/>
    <mergeCell ref="O1529:P1529"/>
    <mergeCell ref="Q1529:R1529"/>
    <mergeCell ref="S1529:T1529"/>
    <mergeCell ref="U1529:W1529"/>
    <mergeCell ref="X1529:AA1529"/>
    <mergeCell ref="AB1529:AE1529"/>
    <mergeCell ref="AF1529:AI1529"/>
    <mergeCell ref="B1526:D1527"/>
    <mergeCell ref="E1526:G1527"/>
    <mergeCell ref="H1526:J1527"/>
    <mergeCell ref="K1526:N1526"/>
    <mergeCell ref="O1526:P1526"/>
    <mergeCell ref="Q1526:R1526"/>
    <mergeCell ref="S1526:T1526"/>
    <mergeCell ref="U1526:W1526"/>
    <mergeCell ref="X1526:AA1526"/>
    <mergeCell ref="AB1526:AE1526"/>
    <mergeCell ref="AF1526:AI1526"/>
    <mergeCell ref="AJ1526:AM1527"/>
    <mergeCell ref="K1527:N1527"/>
    <mergeCell ref="O1527:P1527"/>
    <mergeCell ref="Q1527:R1527"/>
    <mergeCell ref="S1527:T1527"/>
    <mergeCell ref="U1527:W1527"/>
    <mergeCell ref="X1527:AA1527"/>
    <mergeCell ref="AB1527:AE1527"/>
    <mergeCell ref="AF1527:AI1527"/>
    <mergeCell ref="B1524:D1525"/>
    <mergeCell ref="E1524:G1525"/>
    <mergeCell ref="H1524:J1525"/>
    <mergeCell ref="K1524:N1524"/>
    <mergeCell ref="O1524:P1524"/>
    <mergeCell ref="Q1524:R1524"/>
    <mergeCell ref="S1524:T1524"/>
    <mergeCell ref="U1524:W1524"/>
    <mergeCell ref="X1524:AA1524"/>
    <mergeCell ref="AB1524:AE1524"/>
    <mergeCell ref="AF1524:AI1524"/>
    <mergeCell ref="AJ1524:AM1525"/>
    <mergeCell ref="K1525:N1525"/>
    <mergeCell ref="O1525:P1525"/>
    <mergeCell ref="Q1525:R1525"/>
    <mergeCell ref="S1525:T1525"/>
    <mergeCell ref="U1525:W1525"/>
    <mergeCell ref="X1525:AA1525"/>
    <mergeCell ref="AB1525:AE1525"/>
    <mergeCell ref="AF1525:AI1525"/>
    <mergeCell ref="B1522:D1523"/>
    <mergeCell ref="E1522:G1523"/>
    <mergeCell ref="H1522:J1523"/>
    <mergeCell ref="K1522:N1522"/>
    <mergeCell ref="O1522:P1522"/>
    <mergeCell ref="Q1522:R1522"/>
    <mergeCell ref="S1522:T1522"/>
    <mergeCell ref="U1522:W1522"/>
    <mergeCell ref="X1522:AA1522"/>
    <mergeCell ref="AB1522:AE1522"/>
    <mergeCell ref="AF1522:AI1522"/>
    <mergeCell ref="AJ1522:AM1523"/>
    <mergeCell ref="K1523:N1523"/>
    <mergeCell ref="O1523:P1523"/>
    <mergeCell ref="Q1523:R1523"/>
    <mergeCell ref="S1523:T1523"/>
    <mergeCell ref="U1523:W1523"/>
    <mergeCell ref="X1523:AA1523"/>
    <mergeCell ref="AB1523:AE1523"/>
    <mergeCell ref="AF1523:AI1523"/>
    <mergeCell ref="B1520:D1521"/>
    <mergeCell ref="E1520:G1521"/>
    <mergeCell ref="H1520:J1521"/>
    <mergeCell ref="K1520:N1520"/>
    <mergeCell ref="O1520:P1520"/>
    <mergeCell ref="Q1520:R1520"/>
    <mergeCell ref="S1520:T1520"/>
    <mergeCell ref="U1520:W1520"/>
    <mergeCell ref="X1520:AA1520"/>
    <mergeCell ref="AB1520:AE1520"/>
    <mergeCell ref="AF1520:AI1520"/>
    <mergeCell ref="AJ1520:AM1521"/>
    <mergeCell ref="K1521:N1521"/>
    <mergeCell ref="O1521:P1521"/>
    <mergeCell ref="Q1521:R1521"/>
    <mergeCell ref="S1521:T1521"/>
    <mergeCell ref="U1521:W1521"/>
    <mergeCell ref="X1521:AA1521"/>
    <mergeCell ref="AB1521:AE1521"/>
    <mergeCell ref="AF1521:AI1521"/>
    <mergeCell ref="B1518:D1519"/>
    <mergeCell ref="E1518:G1519"/>
    <mergeCell ref="H1518:J1519"/>
    <mergeCell ref="K1518:N1518"/>
    <mergeCell ref="O1518:P1518"/>
    <mergeCell ref="Q1518:R1518"/>
    <mergeCell ref="S1518:T1518"/>
    <mergeCell ref="U1518:W1518"/>
    <mergeCell ref="X1518:AA1518"/>
    <mergeCell ref="AB1518:AE1518"/>
    <mergeCell ref="AF1518:AI1518"/>
    <mergeCell ref="AJ1518:AM1519"/>
    <mergeCell ref="K1519:N1519"/>
    <mergeCell ref="O1519:P1519"/>
    <mergeCell ref="Q1519:R1519"/>
    <mergeCell ref="S1519:T1519"/>
    <mergeCell ref="U1519:W1519"/>
    <mergeCell ref="X1519:AA1519"/>
    <mergeCell ref="AB1519:AE1519"/>
    <mergeCell ref="AF1519:AI1519"/>
    <mergeCell ref="B1516:D1517"/>
    <mergeCell ref="E1516:G1517"/>
    <mergeCell ref="H1516:J1517"/>
    <mergeCell ref="K1516:N1516"/>
    <mergeCell ref="O1516:P1516"/>
    <mergeCell ref="Q1516:R1516"/>
    <mergeCell ref="S1516:T1516"/>
    <mergeCell ref="U1516:W1516"/>
    <mergeCell ref="X1516:AA1516"/>
    <mergeCell ref="AB1516:AE1516"/>
    <mergeCell ref="AF1516:AI1516"/>
    <mergeCell ref="AJ1516:AM1517"/>
    <mergeCell ref="K1517:N1517"/>
    <mergeCell ref="O1517:P1517"/>
    <mergeCell ref="Q1517:R1517"/>
    <mergeCell ref="S1517:T1517"/>
    <mergeCell ref="U1517:W1517"/>
    <mergeCell ref="X1517:AA1517"/>
    <mergeCell ref="AB1517:AE1517"/>
    <mergeCell ref="AF1517:AI1517"/>
    <mergeCell ref="X1513:AA1513"/>
    <mergeCell ref="AB1513:AE1513"/>
    <mergeCell ref="AF1513:AI1513"/>
    <mergeCell ref="B1514:D1515"/>
    <mergeCell ref="E1514:G1515"/>
    <mergeCell ref="H1514:J1515"/>
    <mergeCell ref="K1514:N1514"/>
    <mergeCell ref="O1514:P1514"/>
    <mergeCell ref="Q1514:R1514"/>
    <mergeCell ref="S1514:T1514"/>
    <mergeCell ref="U1514:W1514"/>
    <mergeCell ref="X1514:AA1514"/>
    <mergeCell ref="AB1514:AE1514"/>
    <mergeCell ref="AF1514:AI1514"/>
    <mergeCell ref="AJ1514:AM1515"/>
    <mergeCell ref="K1515:N1515"/>
    <mergeCell ref="O1515:P1515"/>
    <mergeCell ref="Q1515:R1515"/>
    <mergeCell ref="S1515:T1515"/>
    <mergeCell ref="U1515:W1515"/>
    <mergeCell ref="X1515:AA1515"/>
    <mergeCell ref="AB1515:AE1515"/>
    <mergeCell ref="AF1515:AI1515"/>
    <mergeCell ref="AD1507:AF1507"/>
    <mergeCell ref="B1510:D1511"/>
    <mergeCell ref="E1510:G1511"/>
    <mergeCell ref="H1510:J1511"/>
    <mergeCell ref="K1510:N1511"/>
    <mergeCell ref="O1510:T1510"/>
    <mergeCell ref="U1510:W1511"/>
    <mergeCell ref="X1510:AI1510"/>
    <mergeCell ref="AJ1510:AM1511"/>
    <mergeCell ref="O1511:P1511"/>
    <mergeCell ref="Q1511:R1511"/>
    <mergeCell ref="S1511:T1511"/>
    <mergeCell ref="X1511:AA1511"/>
    <mergeCell ref="AB1511:AE1511"/>
    <mergeCell ref="AF1511:AI1511"/>
    <mergeCell ref="B1512:D1513"/>
    <mergeCell ref="E1512:G1513"/>
    <mergeCell ref="H1512:J1513"/>
    <mergeCell ref="K1512:N1512"/>
    <mergeCell ref="O1512:P1512"/>
    <mergeCell ref="Q1512:R1512"/>
    <mergeCell ref="S1512:T1512"/>
    <mergeCell ref="U1512:W1512"/>
    <mergeCell ref="X1512:AA1512"/>
    <mergeCell ref="AB1512:AE1512"/>
    <mergeCell ref="AF1512:AI1512"/>
    <mergeCell ref="AJ1512:AM1513"/>
    <mergeCell ref="K1513:N1513"/>
    <mergeCell ref="O1513:P1513"/>
    <mergeCell ref="Q1513:R1513"/>
    <mergeCell ref="S1513:T1513"/>
    <mergeCell ref="U1513:W1513"/>
    <mergeCell ref="B1505:D1506"/>
    <mergeCell ref="E1505:G1506"/>
    <mergeCell ref="H1505:J1506"/>
    <mergeCell ref="K1505:N1505"/>
    <mergeCell ref="O1505:P1505"/>
    <mergeCell ref="Q1505:R1505"/>
    <mergeCell ref="S1505:T1505"/>
    <mergeCell ref="U1505:W1505"/>
    <mergeCell ref="X1505:AA1505"/>
    <mergeCell ref="AB1505:AE1505"/>
    <mergeCell ref="AF1505:AI1505"/>
    <mergeCell ref="AJ1505:AM1506"/>
    <mergeCell ref="K1506:N1506"/>
    <mergeCell ref="O1506:P1506"/>
    <mergeCell ref="Q1506:R1506"/>
    <mergeCell ref="S1506:T1506"/>
    <mergeCell ref="U1506:W1506"/>
    <mergeCell ref="X1506:AA1506"/>
    <mergeCell ref="AB1506:AE1506"/>
    <mergeCell ref="AF1506:AI1506"/>
    <mergeCell ref="B1503:D1504"/>
    <mergeCell ref="E1503:G1504"/>
    <mergeCell ref="H1503:J1504"/>
    <mergeCell ref="K1503:N1503"/>
    <mergeCell ref="O1503:P1503"/>
    <mergeCell ref="Q1503:R1503"/>
    <mergeCell ref="S1503:T1503"/>
    <mergeCell ref="U1503:W1503"/>
    <mergeCell ref="X1503:AA1503"/>
    <mergeCell ref="AB1503:AE1503"/>
    <mergeCell ref="AF1503:AI1503"/>
    <mergeCell ref="AJ1503:AM1504"/>
    <mergeCell ref="K1504:N1504"/>
    <mergeCell ref="O1504:P1504"/>
    <mergeCell ref="Q1504:R1504"/>
    <mergeCell ref="S1504:T1504"/>
    <mergeCell ref="U1504:W1504"/>
    <mergeCell ref="X1504:AA1504"/>
    <mergeCell ref="AB1504:AE1504"/>
    <mergeCell ref="AF1504:AI1504"/>
    <mergeCell ref="B1501:D1502"/>
    <mergeCell ref="E1501:G1502"/>
    <mergeCell ref="H1501:J1502"/>
    <mergeCell ref="K1501:N1501"/>
    <mergeCell ref="O1501:P1501"/>
    <mergeCell ref="Q1501:R1501"/>
    <mergeCell ref="S1501:T1501"/>
    <mergeCell ref="U1501:W1501"/>
    <mergeCell ref="X1501:AA1501"/>
    <mergeCell ref="AB1501:AE1501"/>
    <mergeCell ref="AF1501:AI1501"/>
    <mergeCell ref="AJ1501:AM1502"/>
    <mergeCell ref="K1502:N1502"/>
    <mergeCell ref="O1502:P1502"/>
    <mergeCell ref="Q1502:R1502"/>
    <mergeCell ref="S1502:T1502"/>
    <mergeCell ref="U1502:W1502"/>
    <mergeCell ref="X1502:AA1502"/>
    <mergeCell ref="AB1502:AE1502"/>
    <mergeCell ref="AF1502:AI1502"/>
    <mergeCell ref="B1499:D1500"/>
    <mergeCell ref="E1499:G1500"/>
    <mergeCell ref="H1499:J1500"/>
    <mergeCell ref="K1499:N1499"/>
    <mergeCell ref="O1499:P1499"/>
    <mergeCell ref="Q1499:R1499"/>
    <mergeCell ref="S1499:T1499"/>
    <mergeCell ref="U1499:W1499"/>
    <mergeCell ref="X1499:AA1499"/>
    <mergeCell ref="AB1499:AE1499"/>
    <mergeCell ref="AF1499:AI1499"/>
    <mergeCell ref="AJ1499:AM1500"/>
    <mergeCell ref="K1500:N1500"/>
    <mergeCell ref="O1500:P1500"/>
    <mergeCell ref="Q1500:R1500"/>
    <mergeCell ref="S1500:T1500"/>
    <mergeCell ref="U1500:W1500"/>
    <mergeCell ref="X1500:AA1500"/>
    <mergeCell ref="AB1500:AE1500"/>
    <mergeCell ref="AF1500:AI1500"/>
    <mergeCell ref="B1497:D1498"/>
    <mergeCell ref="E1497:G1498"/>
    <mergeCell ref="H1497:J1498"/>
    <mergeCell ref="K1497:N1497"/>
    <mergeCell ref="O1497:P1497"/>
    <mergeCell ref="Q1497:R1497"/>
    <mergeCell ref="S1497:T1497"/>
    <mergeCell ref="U1497:W1497"/>
    <mergeCell ref="X1497:AA1497"/>
    <mergeCell ref="AB1497:AE1497"/>
    <mergeCell ref="AF1497:AI1497"/>
    <mergeCell ref="AJ1497:AM1498"/>
    <mergeCell ref="K1498:N1498"/>
    <mergeCell ref="O1498:P1498"/>
    <mergeCell ref="Q1498:R1498"/>
    <mergeCell ref="S1498:T1498"/>
    <mergeCell ref="U1498:W1498"/>
    <mergeCell ref="X1498:AA1498"/>
    <mergeCell ref="AB1498:AE1498"/>
    <mergeCell ref="AF1498:AI1498"/>
    <mergeCell ref="B1495:D1496"/>
    <mergeCell ref="E1495:G1496"/>
    <mergeCell ref="H1495:J1496"/>
    <mergeCell ref="K1495:N1495"/>
    <mergeCell ref="O1495:P1495"/>
    <mergeCell ref="Q1495:R1495"/>
    <mergeCell ref="S1495:T1495"/>
    <mergeCell ref="U1495:W1495"/>
    <mergeCell ref="X1495:AA1495"/>
    <mergeCell ref="AB1495:AE1495"/>
    <mergeCell ref="AF1495:AI1495"/>
    <mergeCell ref="AJ1495:AM1496"/>
    <mergeCell ref="K1496:N1496"/>
    <mergeCell ref="O1496:P1496"/>
    <mergeCell ref="Q1496:R1496"/>
    <mergeCell ref="S1496:T1496"/>
    <mergeCell ref="U1496:W1496"/>
    <mergeCell ref="X1496:AA1496"/>
    <mergeCell ref="AB1496:AE1496"/>
    <mergeCell ref="AF1496:AI1496"/>
    <mergeCell ref="B1493:D1494"/>
    <mergeCell ref="E1493:G1494"/>
    <mergeCell ref="H1493:J1494"/>
    <mergeCell ref="K1493:N1493"/>
    <mergeCell ref="O1493:P1493"/>
    <mergeCell ref="Q1493:R1493"/>
    <mergeCell ref="S1493:T1493"/>
    <mergeCell ref="U1493:W1493"/>
    <mergeCell ref="X1493:AA1493"/>
    <mergeCell ref="AB1493:AE1493"/>
    <mergeCell ref="AF1493:AI1493"/>
    <mergeCell ref="AJ1493:AM1494"/>
    <mergeCell ref="K1494:N1494"/>
    <mergeCell ref="O1494:P1494"/>
    <mergeCell ref="Q1494:R1494"/>
    <mergeCell ref="S1494:T1494"/>
    <mergeCell ref="U1494:W1494"/>
    <mergeCell ref="X1494:AA1494"/>
    <mergeCell ref="AB1494:AE1494"/>
    <mergeCell ref="AF1494:AI1494"/>
    <mergeCell ref="B1491:D1492"/>
    <mergeCell ref="E1491:G1492"/>
    <mergeCell ref="H1491:J1492"/>
    <mergeCell ref="K1491:N1491"/>
    <mergeCell ref="O1491:P1491"/>
    <mergeCell ref="Q1491:R1491"/>
    <mergeCell ref="S1491:T1491"/>
    <mergeCell ref="U1491:W1491"/>
    <mergeCell ref="X1491:AA1491"/>
    <mergeCell ref="AB1491:AE1491"/>
    <mergeCell ref="AF1491:AI1491"/>
    <mergeCell ref="AJ1491:AM1492"/>
    <mergeCell ref="K1492:N1492"/>
    <mergeCell ref="O1492:P1492"/>
    <mergeCell ref="Q1492:R1492"/>
    <mergeCell ref="S1492:T1492"/>
    <mergeCell ref="U1492:W1492"/>
    <mergeCell ref="X1492:AA1492"/>
    <mergeCell ref="AB1492:AE1492"/>
    <mergeCell ref="AF1492:AI1492"/>
    <mergeCell ref="B1489:D1490"/>
    <mergeCell ref="E1489:G1490"/>
    <mergeCell ref="H1489:J1490"/>
    <mergeCell ref="K1489:N1489"/>
    <mergeCell ref="O1489:P1489"/>
    <mergeCell ref="Q1489:R1489"/>
    <mergeCell ref="S1489:T1489"/>
    <mergeCell ref="U1489:W1489"/>
    <mergeCell ref="X1489:AA1489"/>
    <mergeCell ref="AB1489:AE1489"/>
    <mergeCell ref="AF1489:AI1489"/>
    <mergeCell ref="AJ1489:AM1490"/>
    <mergeCell ref="K1490:N1490"/>
    <mergeCell ref="O1490:P1490"/>
    <mergeCell ref="Q1490:R1490"/>
    <mergeCell ref="S1490:T1490"/>
    <mergeCell ref="U1490:W1490"/>
    <mergeCell ref="X1490:AA1490"/>
    <mergeCell ref="AB1490:AE1490"/>
    <mergeCell ref="AF1490:AI1490"/>
    <mergeCell ref="B1487:D1488"/>
    <mergeCell ref="E1487:G1488"/>
    <mergeCell ref="H1487:J1488"/>
    <mergeCell ref="K1487:N1487"/>
    <mergeCell ref="O1487:P1487"/>
    <mergeCell ref="Q1487:R1487"/>
    <mergeCell ref="S1487:T1487"/>
    <mergeCell ref="U1487:W1487"/>
    <mergeCell ref="X1487:AA1487"/>
    <mergeCell ref="AB1487:AE1487"/>
    <mergeCell ref="AF1487:AI1487"/>
    <mergeCell ref="AJ1487:AM1488"/>
    <mergeCell ref="K1488:N1488"/>
    <mergeCell ref="O1488:P1488"/>
    <mergeCell ref="Q1488:R1488"/>
    <mergeCell ref="S1488:T1488"/>
    <mergeCell ref="U1488:W1488"/>
    <mergeCell ref="X1488:AA1488"/>
    <mergeCell ref="AB1488:AE1488"/>
    <mergeCell ref="AF1488:AI1488"/>
    <mergeCell ref="B1485:D1486"/>
    <mergeCell ref="E1485:G1486"/>
    <mergeCell ref="H1485:J1486"/>
    <mergeCell ref="K1485:N1485"/>
    <mergeCell ref="O1485:P1485"/>
    <mergeCell ref="Q1485:R1485"/>
    <mergeCell ref="S1485:T1485"/>
    <mergeCell ref="U1485:W1485"/>
    <mergeCell ref="X1485:AA1485"/>
    <mergeCell ref="AB1485:AE1485"/>
    <mergeCell ref="AF1485:AI1485"/>
    <mergeCell ref="AJ1485:AM1486"/>
    <mergeCell ref="K1486:N1486"/>
    <mergeCell ref="O1486:P1486"/>
    <mergeCell ref="Q1486:R1486"/>
    <mergeCell ref="S1486:T1486"/>
    <mergeCell ref="U1486:W1486"/>
    <mergeCell ref="X1486:AA1486"/>
    <mergeCell ref="AB1486:AE1486"/>
    <mergeCell ref="AF1486:AI1486"/>
    <mergeCell ref="B1483:D1484"/>
    <mergeCell ref="E1483:G1484"/>
    <mergeCell ref="H1483:J1484"/>
    <mergeCell ref="K1483:N1483"/>
    <mergeCell ref="O1483:P1483"/>
    <mergeCell ref="Q1483:R1483"/>
    <mergeCell ref="S1483:T1483"/>
    <mergeCell ref="U1483:W1483"/>
    <mergeCell ref="X1483:AA1483"/>
    <mergeCell ref="AB1483:AE1483"/>
    <mergeCell ref="AF1483:AI1483"/>
    <mergeCell ref="AJ1483:AM1484"/>
    <mergeCell ref="K1484:N1484"/>
    <mergeCell ref="O1484:P1484"/>
    <mergeCell ref="Q1484:R1484"/>
    <mergeCell ref="S1484:T1484"/>
    <mergeCell ref="U1484:W1484"/>
    <mergeCell ref="X1484:AA1484"/>
    <mergeCell ref="AB1484:AE1484"/>
    <mergeCell ref="AF1484:AI1484"/>
    <mergeCell ref="B1481:D1482"/>
    <mergeCell ref="E1481:G1482"/>
    <mergeCell ref="H1481:J1482"/>
    <mergeCell ref="K1481:N1481"/>
    <mergeCell ref="O1481:P1481"/>
    <mergeCell ref="Q1481:R1481"/>
    <mergeCell ref="S1481:T1481"/>
    <mergeCell ref="U1481:W1481"/>
    <mergeCell ref="X1481:AA1481"/>
    <mergeCell ref="AB1481:AE1481"/>
    <mergeCell ref="AF1481:AI1481"/>
    <mergeCell ref="AJ1481:AM1482"/>
    <mergeCell ref="K1482:N1482"/>
    <mergeCell ref="O1482:P1482"/>
    <mergeCell ref="Q1482:R1482"/>
    <mergeCell ref="S1482:T1482"/>
    <mergeCell ref="U1482:W1482"/>
    <mergeCell ref="X1482:AA1482"/>
    <mergeCell ref="AB1482:AE1482"/>
    <mergeCell ref="AF1482:AI1482"/>
    <mergeCell ref="X1478:AA1478"/>
    <mergeCell ref="AB1478:AE1478"/>
    <mergeCell ref="AF1478:AI1478"/>
    <mergeCell ref="B1479:D1480"/>
    <mergeCell ref="E1479:G1480"/>
    <mergeCell ref="H1479:J1480"/>
    <mergeCell ref="K1479:N1479"/>
    <mergeCell ref="O1479:P1479"/>
    <mergeCell ref="Q1479:R1479"/>
    <mergeCell ref="S1479:T1479"/>
    <mergeCell ref="U1479:W1479"/>
    <mergeCell ref="X1479:AA1479"/>
    <mergeCell ref="AB1479:AE1479"/>
    <mergeCell ref="AF1479:AI1479"/>
    <mergeCell ref="AJ1479:AM1480"/>
    <mergeCell ref="K1480:N1480"/>
    <mergeCell ref="O1480:P1480"/>
    <mergeCell ref="Q1480:R1480"/>
    <mergeCell ref="S1480:T1480"/>
    <mergeCell ref="U1480:W1480"/>
    <mergeCell ref="X1480:AA1480"/>
    <mergeCell ref="AB1480:AE1480"/>
    <mergeCell ref="AF1480:AI1480"/>
    <mergeCell ref="AD1471:AF1471"/>
    <mergeCell ref="B1475:D1476"/>
    <mergeCell ref="E1475:G1476"/>
    <mergeCell ref="H1475:J1476"/>
    <mergeCell ref="K1475:N1476"/>
    <mergeCell ref="O1475:T1475"/>
    <mergeCell ref="U1475:W1476"/>
    <mergeCell ref="X1475:AI1475"/>
    <mergeCell ref="AJ1475:AM1476"/>
    <mergeCell ref="O1476:P1476"/>
    <mergeCell ref="Q1476:R1476"/>
    <mergeCell ref="S1476:T1476"/>
    <mergeCell ref="X1476:AA1476"/>
    <mergeCell ref="AB1476:AE1476"/>
    <mergeCell ref="AF1476:AI1476"/>
    <mergeCell ref="B1477:D1478"/>
    <mergeCell ref="E1477:G1478"/>
    <mergeCell ref="H1477:J1478"/>
    <mergeCell ref="K1477:N1477"/>
    <mergeCell ref="O1477:P1477"/>
    <mergeCell ref="Q1477:R1477"/>
    <mergeCell ref="S1477:T1477"/>
    <mergeCell ref="U1477:W1477"/>
    <mergeCell ref="X1477:AA1477"/>
    <mergeCell ref="AB1477:AE1477"/>
    <mergeCell ref="AF1477:AI1477"/>
    <mergeCell ref="AJ1477:AM1478"/>
    <mergeCell ref="K1478:N1478"/>
    <mergeCell ref="O1478:P1478"/>
    <mergeCell ref="Q1478:R1478"/>
    <mergeCell ref="S1478:T1478"/>
    <mergeCell ref="U1478:W1478"/>
    <mergeCell ref="B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B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B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B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B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B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B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B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B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B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B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B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B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AF1446:AI1446"/>
    <mergeCell ref="AF1442:AI1442"/>
    <mergeCell ref="B1443:D1444"/>
    <mergeCell ref="E1443:G1444"/>
    <mergeCell ref="H1443:J1444"/>
    <mergeCell ref="K1443:N1443"/>
    <mergeCell ref="O1443:P1443"/>
    <mergeCell ref="Q1443:R1443"/>
    <mergeCell ref="S1443:T1443"/>
    <mergeCell ref="U1443:W1443"/>
    <mergeCell ref="X1443:AA1443"/>
    <mergeCell ref="AB1443:AE1443"/>
    <mergeCell ref="AF1443:AI1443"/>
    <mergeCell ref="K1444:N1444"/>
    <mergeCell ref="O1444:P1444"/>
    <mergeCell ref="Q1444:R1444"/>
    <mergeCell ref="S1444:T1444"/>
    <mergeCell ref="U1444:W1444"/>
    <mergeCell ref="X1444:AA1444"/>
    <mergeCell ref="AB1444:AE1444"/>
    <mergeCell ref="AF1444:AI1444"/>
    <mergeCell ref="AD1435:AF1435"/>
    <mergeCell ref="B1439:D1440"/>
    <mergeCell ref="E1439:G1440"/>
    <mergeCell ref="H1439:J1440"/>
    <mergeCell ref="K1439:N1440"/>
    <mergeCell ref="O1439:T1439"/>
    <mergeCell ref="U1439:W1440"/>
    <mergeCell ref="X1439:AI1439"/>
    <mergeCell ref="O1440:P1440"/>
    <mergeCell ref="Q1440:R1440"/>
    <mergeCell ref="S1440:T1440"/>
    <mergeCell ref="X1440:AA1440"/>
    <mergeCell ref="AB1440:AE1440"/>
    <mergeCell ref="AF1440:AI1440"/>
    <mergeCell ref="B1441:D1442"/>
    <mergeCell ref="E1441:G1442"/>
    <mergeCell ref="H1441:J1442"/>
    <mergeCell ref="K1441:N1441"/>
    <mergeCell ref="O1441:P1441"/>
    <mergeCell ref="Q1441:R1441"/>
    <mergeCell ref="S1441:T1441"/>
    <mergeCell ref="U1441:W1441"/>
    <mergeCell ref="X1441:AA1441"/>
    <mergeCell ref="AB1441:AE1441"/>
    <mergeCell ref="AF1441:AI1441"/>
    <mergeCell ref="K1442:N1442"/>
    <mergeCell ref="O1442:P1442"/>
    <mergeCell ref="Q1442:R1442"/>
    <mergeCell ref="S1442:T1442"/>
    <mergeCell ref="U1442:W1442"/>
    <mergeCell ref="X1442:AA1442"/>
    <mergeCell ref="AB1442:AE1442"/>
    <mergeCell ref="B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B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B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B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B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B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B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B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B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B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B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B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B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AF1410:AI1410"/>
    <mergeCell ref="AF1406:AI1406"/>
    <mergeCell ref="B1407:D1408"/>
    <mergeCell ref="E1407:G1408"/>
    <mergeCell ref="H1407:J1408"/>
    <mergeCell ref="K1407:N1407"/>
    <mergeCell ref="O1407:P1407"/>
    <mergeCell ref="Q1407:R1407"/>
    <mergeCell ref="S1407:T1407"/>
    <mergeCell ref="U1407:W1407"/>
    <mergeCell ref="X1407:AA1407"/>
    <mergeCell ref="AB1407:AE1407"/>
    <mergeCell ref="AF1407:AI1407"/>
    <mergeCell ref="K1408:N1408"/>
    <mergeCell ref="O1408:P1408"/>
    <mergeCell ref="Q1408:R1408"/>
    <mergeCell ref="S1408:T1408"/>
    <mergeCell ref="U1408:W1408"/>
    <mergeCell ref="X1408:AA1408"/>
    <mergeCell ref="AB1408:AE1408"/>
    <mergeCell ref="AF1408:AI1408"/>
    <mergeCell ref="AD1399:AF1399"/>
    <mergeCell ref="B1403:D1404"/>
    <mergeCell ref="E1403:G1404"/>
    <mergeCell ref="H1403:J1404"/>
    <mergeCell ref="K1403:N1404"/>
    <mergeCell ref="O1403:T1403"/>
    <mergeCell ref="U1403:W1404"/>
    <mergeCell ref="X1403:AI1403"/>
    <mergeCell ref="O1404:P1404"/>
    <mergeCell ref="Q1404:R1404"/>
    <mergeCell ref="S1404:T1404"/>
    <mergeCell ref="X1404:AA1404"/>
    <mergeCell ref="AB1404:AE1404"/>
    <mergeCell ref="AF1404:AI1404"/>
    <mergeCell ref="B1405:D1406"/>
    <mergeCell ref="E1405:G1406"/>
    <mergeCell ref="H1405:J1406"/>
    <mergeCell ref="K1405:N1405"/>
    <mergeCell ref="O1405:P1405"/>
    <mergeCell ref="Q1405:R1405"/>
    <mergeCell ref="S1405:T1405"/>
    <mergeCell ref="U1405:W1405"/>
    <mergeCell ref="X1405:AA1405"/>
    <mergeCell ref="AB1405:AE1405"/>
    <mergeCell ref="AF1405:AI1405"/>
    <mergeCell ref="K1406:N1406"/>
    <mergeCell ref="O1406:P1406"/>
    <mergeCell ref="Q1406:R1406"/>
    <mergeCell ref="S1406:T1406"/>
    <mergeCell ref="U1406:W1406"/>
    <mergeCell ref="X1406:AA1406"/>
    <mergeCell ref="AB1406:AE1406"/>
    <mergeCell ref="B1397:D1398"/>
    <mergeCell ref="E1397:G1398"/>
    <mergeCell ref="H1397:J1398"/>
    <mergeCell ref="K1397:N1397"/>
    <mergeCell ref="O1397:P1397"/>
    <mergeCell ref="Q1397:R1397"/>
    <mergeCell ref="S1397:T1397"/>
    <mergeCell ref="U1397:W1397"/>
    <mergeCell ref="X1397:AA1397"/>
    <mergeCell ref="AB1397:AE1397"/>
    <mergeCell ref="AF1397:AI1397"/>
    <mergeCell ref="AJ1397:AM1398"/>
    <mergeCell ref="K1398:N1398"/>
    <mergeCell ref="O1398:P1398"/>
    <mergeCell ref="Q1398:R1398"/>
    <mergeCell ref="S1398:T1398"/>
    <mergeCell ref="U1398:W1398"/>
    <mergeCell ref="X1398:AA1398"/>
    <mergeCell ref="AB1398:AE1398"/>
    <mergeCell ref="AF1398:AI1398"/>
    <mergeCell ref="B1395:D1396"/>
    <mergeCell ref="E1395:G1396"/>
    <mergeCell ref="H1395:J1396"/>
    <mergeCell ref="K1395:N1395"/>
    <mergeCell ref="O1395:P1395"/>
    <mergeCell ref="Q1395:R1395"/>
    <mergeCell ref="S1395:T1395"/>
    <mergeCell ref="U1395:W1395"/>
    <mergeCell ref="X1395:AA1395"/>
    <mergeCell ref="AB1395:AE1395"/>
    <mergeCell ref="AF1395:AI1395"/>
    <mergeCell ref="AJ1395:AM1396"/>
    <mergeCell ref="K1396:N1396"/>
    <mergeCell ref="O1396:P1396"/>
    <mergeCell ref="Q1396:R1396"/>
    <mergeCell ref="S1396:T1396"/>
    <mergeCell ref="U1396:W1396"/>
    <mergeCell ref="X1396:AA1396"/>
    <mergeCell ref="AB1396:AE1396"/>
    <mergeCell ref="AF1396:AI1396"/>
    <mergeCell ref="B1393:D1394"/>
    <mergeCell ref="E1393:G1394"/>
    <mergeCell ref="H1393:J1394"/>
    <mergeCell ref="K1393:N1393"/>
    <mergeCell ref="O1393:P1393"/>
    <mergeCell ref="Q1393:R1393"/>
    <mergeCell ref="S1393:T1393"/>
    <mergeCell ref="U1393:W1393"/>
    <mergeCell ref="X1393:AA1393"/>
    <mergeCell ref="AB1393:AE1393"/>
    <mergeCell ref="AF1393:AI1393"/>
    <mergeCell ref="AJ1393:AM1394"/>
    <mergeCell ref="K1394:N1394"/>
    <mergeCell ref="O1394:P1394"/>
    <mergeCell ref="Q1394:R1394"/>
    <mergeCell ref="S1394:T1394"/>
    <mergeCell ref="U1394:W1394"/>
    <mergeCell ref="X1394:AA1394"/>
    <mergeCell ref="AB1394:AE1394"/>
    <mergeCell ref="AF1394:AI1394"/>
    <mergeCell ref="B1391:D1392"/>
    <mergeCell ref="E1391:G1392"/>
    <mergeCell ref="H1391:J1392"/>
    <mergeCell ref="K1391:N1391"/>
    <mergeCell ref="O1391:P1391"/>
    <mergeCell ref="Q1391:R1391"/>
    <mergeCell ref="S1391:T1391"/>
    <mergeCell ref="U1391:W1391"/>
    <mergeCell ref="X1391:AA1391"/>
    <mergeCell ref="AB1391:AE1391"/>
    <mergeCell ref="AF1391:AI1391"/>
    <mergeCell ref="AJ1391:AM1392"/>
    <mergeCell ref="K1392:N1392"/>
    <mergeCell ref="O1392:P1392"/>
    <mergeCell ref="Q1392:R1392"/>
    <mergeCell ref="S1392:T1392"/>
    <mergeCell ref="U1392:W1392"/>
    <mergeCell ref="X1392:AA1392"/>
    <mergeCell ref="AB1392:AE1392"/>
    <mergeCell ref="AF1392:AI1392"/>
    <mergeCell ref="B1389:D1390"/>
    <mergeCell ref="E1389:G1390"/>
    <mergeCell ref="H1389:J1390"/>
    <mergeCell ref="K1389:N1389"/>
    <mergeCell ref="O1389:P1389"/>
    <mergeCell ref="Q1389:R1389"/>
    <mergeCell ref="S1389:T1389"/>
    <mergeCell ref="U1389:W1389"/>
    <mergeCell ref="X1389:AA1389"/>
    <mergeCell ref="AB1389:AE1389"/>
    <mergeCell ref="AF1389:AI1389"/>
    <mergeCell ref="AJ1389:AM1390"/>
    <mergeCell ref="K1390:N1390"/>
    <mergeCell ref="O1390:P1390"/>
    <mergeCell ref="Q1390:R1390"/>
    <mergeCell ref="S1390:T1390"/>
    <mergeCell ref="U1390:W1390"/>
    <mergeCell ref="X1390:AA1390"/>
    <mergeCell ref="AB1390:AE1390"/>
    <mergeCell ref="AF1390:AI1390"/>
    <mergeCell ref="B1387:D1388"/>
    <mergeCell ref="E1387:G1388"/>
    <mergeCell ref="H1387:J1388"/>
    <mergeCell ref="K1387:N1387"/>
    <mergeCell ref="O1387:P1387"/>
    <mergeCell ref="Q1387:R1387"/>
    <mergeCell ref="S1387:T1387"/>
    <mergeCell ref="U1387:W1387"/>
    <mergeCell ref="X1387:AA1387"/>
    <mergeCell ref="AB1387:AE1387"/>
    <mergeCell ref="AF1387:AI1387"/>
    <mergeCell ref="AJ1387:AM1388"/>
    <mergeCell ref="K1388:N1388"/>
    <mergeCell ref="O1388:P1388"/>
    <mergeCell ref="Q1388:R1388"/>
    <mergeCell ref="S1388:T1388"/>
    <mergeCell ref="U1388:W1388"/>
    <mergeCell ref="X1388:AA1388"/>
    <mergeCell ref="AB1388:AE1388"/>
    <mergeCell ref="AF1388:AI1388"/>
    <mergeCell ref="B1385:D1386"/>
    <mergeCell ref="E1385:G1386"/>
    <mergeCell ref="H1385:J1386"/>
    <mergeCell ref="K1385:N1385"/>
    <mergeCell ref="O1385:P1385"/>
    <mergeCell ref="Q1385:R1385"/>
    <mergeCell ref="S1385:T1385"/>
    <mergeCell ref="U1385:W1385"/>
    <mergeCell ref="X1385:AA1385"/>
    <mergeCell ref="AB1385:AE1385"/>
    <mergeCell ref="AF1385:AI1385"/>
    <mergeCell ref="AJ1385:AM1386"/>
    <mergeCell ref="K1386:N1386"/>
    <mergeCell ref="O1386:P1386"/>
    <mergeCell ref="Q1386:R1386"/>
    <mergeCell ref="S1386:T1386"/>
    <mergeCell ref="U1386:W1386"/>
    <mergeCell ref="X1386:AA1386"/>
    <mergeCell ref="AB1386:AE1386"/>
    <mergeCell ref="AF1386:AI1386"/>
    <mergeCell ref="B1383:D1384"/>
    <mergeCell ref="E1383:G1384"/>
    <mergeCell ref="H1383:J1384"/>
    <mergeCell ref="K1383:N1383"/>
    <mergeCell ref="O1383:P1383"/>
    <mergeCell ref="Q1383:R1383"/>
    <mergeCell ref="S1383:T1383"/>
    <mergeCell ref="U1383:W1383"/>
    <mergeCell ref="X1383:AA1383"/>
    <mergeCell ref="AB1383:AE1383"/>
    <mergeCell ref="AF1383:AI1383"/>
    <mergeCell ref="AJ1383:AM1384"/>
    <mergeCell ref="K1384:N1384"/>
    <mergeCell ref="O1384:P1384"/>
    <mergeCell ref="Q1384:R1384"/>
    <mergeCell ref="S1384:T1384"/>
    <mergeCell ref="U1384:W1384"/>
    <mergeCell ref="X1384:AA1384"/>
    <mergeCell ref="AB1384:AE1384"/>
    <mergeCell ref="AF1384:AI1384"/>
    <mergeCell ref="B1381:D1382"/>
    <mergeCell ref="E1381:G1382"/>
    <mergeCell ref="H1381:J1382"/>
    <mergeCell ref="K1381:N1381"/>
    <mergeCell ref="O1381:P1381"/>
    <mergeCell ref="Q1381:R1381"/>
    <mergeCell ref="S1381:T1381"/>
    <mergeCell ref="U1381:W1381"/>
    <mergeCell ref="X1381:AA1381"/>
    <mergeCell ref="AB1381:AE1381"/>
    <mergeCell ref="AF1381:AI1381"/>
    <mergeCell ref="AJ1381:AM1382"/>
    <mergeCell ref="K1382:N1382"/>
    <mergeCell ref="O1382:P1382"/>
    <mergeCell ref="Q1382:R1382"/>
    <mergeCell ref="S1382:T1382"/>
    <mergeCell ref="U1382:W1382"/>
    <mergeCell ref="X1382:AA1382"/>
    <mergeCell ref="AB1382:AE1382"/>
    <mergeCell ref="AF1382:AI1382"/>
    <mergeCell ref="B1379:D1380"/>
    <mergeCell ref="E1379:G1380"/>
    <mergeCell ref="H1379:J1380"/>
    <mergeCell ref="K1379:N1379"/>
    <mergeCell ref="O1379:P1379"/>
    <mergeCell ref="Q1379:R1379"/>
    <mergeCell ref="S1379:T1379"/>
    <mergeCell ref="U1379:W1379"/>
    <mergeCell ref="X1379:AA1379"/>
    <mergeCell ref="AB1379:AE1379"/>
    <mergeCell ref="AF1379:AI1379"/>
    <mergeCell ref="AJ1379:AM1380"/>
    <mergeCell ref="K1380:N1380"/>
    <mergeCell ref="O1380:P1380"/>
    <mergeCell ref="Q1380:R1380"/>
    <mergeCell ref="S1380:T1380"/>
    <mergeCell ref="U1380:W1380"/>
    <mergeCell ref="X1380:AA1380"/>
    <mergeCell ref="AB1380:AE1380"/>
    <mergeCell ref="AF1380:AI1380"/>
    <mergeCell ref="B1377:D1378"/>
    <mergeCell ref="E1377:G1378"/>
    <mergeCell ref="H1377:J1378"/>
    <mergeCell ref="K1377:N1377"/>
    <mergeCell ref="O1377:P1377"/>
    <mergeCell ref="Q1377:R1377"/>
    <mergeCell ref="S1377:T1377"/>
    <mergeCell ref="U1377:W1377"/>
    <mergeCell ref="X1377:AA1377"/>
    <mergeCell ref="AB1377:AE1377"/>
    <mergeCell ref="AF1377:AI1377"/>
    <mergeCell ref="AJ1377:AM1378"/>
    <mergeCell ref="K1378:N1378"/>
    <mergeCell ref="O1378:P1378"/>
    <mergeCell ref="Q1378:R1378"/>
    <mergeCell ref="S1378:T1378"/>
    <mergeCell ref="U1378:W1378"/>
    <mergeCell ref="X1378:AA1378"/>
    <mergeCell ref="AB1378:AE1378"/>
    <mergeCell ref="AF1378:AI1378"/>
    <mergeCell ref="B1375:D1376"/>
    <mergeCell ref="E1375:G1376"/>
    <mergeCell ref="H1375:J1376"/>
    <mergeCell ref="K1375:N1375"/>
    <mergeCell ref="O1375:P1375"/>
    <mergeCell ref="Q1375:R1375"/>
    <mergeCell ref="S1375:T1375"/>
    <mergeCell ref="U1375:W1375"/>
    <mergeCell ref="X1375:AA1375"/>
    <mergeCell ref="AB1375:AE1375"/>
    <mergeCell ref="AF1375:AI1375"/>
    <mergeCell ref="AJ1375:AM1376"/>
    <mergeCell ref="K1376:N1376"/>
    <mergeCell ref="O1376:P1376"/>
    <mergeCell ref="Q1376:R1376"/>
    <mergeCell ref="S1376:T1376"/>
    <mergeCell ref="U1376:W1376"/>
    <mergeCell ref="X1376:AA1376"/>
    <mergeCell ref="AB1376:AE1376"/>
    <mergeCell ref="AF1376:AI1376"/>
    <mergeCell ref="B1373:D1374"/>
    <mergeCell ref="E1373:G1374"/>
    <mergeCell ref="H1373:J1374"/>
    <mergeCell ref="K1373:N1373"/>
    <mergeCell ref="O1373:P1373"/>
    <mergeCell ref="Q1373:R1373"/>
    <mergeCell ref="S1373:T1373"/>
    <mergeCell ref="U1373:W1373"/>
    <mergeCell ref="X1373:AA1373"/>
    <mergeCell ref="AB1373:AE1373"/>
    <mergeCell ref="AF1373:AI1373"/>
    <mergeCell ref="AJ1373:AM1374"/>
    <mergeCell ref="K1374:N1374"/>
    <mergeCell ref="O1374:P1374"/>
    <mergeCell ref="Q1374:R1374"/>
    <mergeCell ref="S1374:T1374"/>
    <mergeCell ref="U1374:W1374"/>
    <mergeCell ref="X1374:AA1374"/>
    <mergeCell ref="AB1374:AE1374"/>
    <mergeCell ref="AF1374:AI1374"/>
    <mergeCell ref="AB1370:AE1370"/>
    <mergeCell ref="AF1370:AI1370"/>
    <mergeCell ref="B1371:D1372"/>
    <mergeCell ref="E1371:G1372"/>
    <mergeCell ref="H1371:J1372"/>
    <mergeCell ref="K1371:N1371"/>
    <mergeCell ref="O1371:P1371"/>
    <mergeCell ref="Q1371:R1371"/>
    <mergeCell ref="S1371:T1371"/>
    <mergeCell ref="U1371:W1371"/>
    <mergeCell ref="X1371:AA1371"/>
    <mergeCell ref="AB1371:AE1371"/>
    <mergeCell ref="AF1371:AI1371"/>
    <mergeCell ref="AJ1371:AM1372"/>
    <mergeCell ref="K1372:N1372"/>
    <mergeCell ref="O1372:P1372"/>
    <mergeCell ref="Q1372:R1372"/>
    <mergeCell ref="S1372:T1372"/>
    <mergeCell ref="U1372:W1372"/>
    <mergeCell ref="X1372:AA1372"/>
    <mergeCell ref="AB1372:AE1372"/>
    <mergeCell ref="AF1372:AI1372"/>
    <mergeCell ref="B1367:D1368"/>
    <mergeCell ref="E1367:G1368"/>
    <mergeCell ref="H1367:J1368"/>
    <mergeCell ref="K1367:N1368"/>
    <mergeCell ref="O1367:T1367"/>
    <mergeCell ref="U1367:W1368"/>
    <mergeCell ref="X1367:AI1367"/>
    <mergeCell ref="AJ1367:AM1368"/>
    <mergeCell ref="O1368:P1368"/>
    <mergeCell ref="Q1368:R1368"/>
    <mergeCell ref="S1368:T1368"/>
    <mergeCell ref="X1368:AA1368"/>
    <mergeCell ref="AB1368:AE1368"/>
    <mergeCell ref="AF1368:AI1368"/>
    <mergeCell ref="B1369:D1370"/>
    <mergeCell ref="E1369:G1370"/>
    <mergeCell ref="H1369:J1370"/>
    <mergeCell ref="K1369:N1369"/>
    <mergeCell ref="O1369:P1369"/>
    <mergeCell ref="Q1369:R1369"/>
    <mergeCell ref="S1369:T1369"/>
    <mergeCell ref="U1369:W1369"/>
    <mergeCell ref="X1369:AA1369"/>
    <mergeCell ref="AB1369:AE1369"/>
    <mergeCell ref="AF1369:AI1369"/>
    <mergeCell ref="AJ1369:AM1370"/>
    <mergeCell ref="K1370:N1370"/>
    <mergeCell ref="O1370:P1370"/>
    <mergeCell ref="Q1370:R1370"/>
    <mergeCell ref="S1370:T1370"/>
    <mergeCell ref="U1370:W1370"/>
    <mergeCell ref="X1370:AA1370"/>
    <mergeCell ref="AD1364:AF1364"/>
    <mergeCell ref="AJ1332:AM1333"/>
    <mergeCell ref="AJ1334:AM1335"/>
    <mergeCell ref="AJ1336:AM1337"/>
    <mergeCell ref="AJ1338:AM1339"/>
    <mergeCell ref="AJ1340:AM1341"/>
    <mergeCell ref="AJ1342:AM1343"/>
    <mergeCell ref="AJ1344:AM1345"/>
    <mergeCell ref="AJ1346:AM1347"/>
    <mergeCell ref="AJ1348:AM1349"/>
    <mergeCell ref="AJ1350:AM1351"/>
    <mergeCell ref="AJ1352:AM1353"/>
    <mergeCell ref="AJ1354:AM1355"/>
    <mergeCell ref="AJ1356:AM1357"/>
    <mergeCell ref="AJ1358:AM1359"/>
    <mergeCell ref="AJ1360:AM1361"/>
    <mergeCell ref="AJ1362:AM1363"/>
    <mergeCell ref="B1362:D1363"/>
    <mergeCell ref="E1362:G1363"/>
    <mergeCell ref="H1362:J1363"/>
    <mergeCell ref="K1362:N1362"/>
    <mergeCell ref="O1362:P1362"/>
    <mergeCell ref="Q1362:R1362"/>
    <mergeCell ref="S1362:T1362"/>
    <mergeCell ref="U1362:W1362"/>
    <mergeCell ref="X1362:AA1362"/>
    <mergeCell ref="AB1362:AE1362"/>
    <mergeCell ref="AF1362:AI1362"/>
    <mergeCell ref="K1363:N1363"/>
    <mergeCell ref="O1363:P1363"/>
    <mergeCell ref="Q1363:R1363"/>
    <mergeCell ref="S1363:T1363"/>
    <mergeCell ref="U1363:W1363"/>
    <mergeCell ref="X1363:AA1363"/>
    <mergeCell ref="AB1363:AE1363"/>
    <mergeCell ref="AF1363:AI1363"/>
    <mergeCell ref="B1360:D1361"/>
    <mergeCell ref="E1360:G1361"/>
    <mergeCell ref="H1360:J1361"/>
    <mergeCell ref="K1360:N1360"/>
    <mergeCell ref="O1360:P1360"/>
    <mergeCell ref="Q1360:R1360"/>
    <mergeCell ref="S1360:T1360"/>
    <mergeCell ref="U1360:W1360"/>
    <mergeCell ref="X1360:AA1360"/>
    <mergeCell ref="AB1360:AE1360"/>
    <mergeCell ref="AF1360:AI1360"/>
    <mergeCell ref="K1361:N1361"/>
    <mergeCell ref="O1361:P1361"/>
    <mergeCell ref="Q1361:R1361"/>
    <mergeCell ref="S1361:T1361"/>
    <mergeCell ref="U1361:W1361"/>
    <mergeCell ref="X1361:AA1361"/>
    <mergeCell ref="AB1361:AE1361"/>
    <mergeCell ref="AF1361:AI1361"/>
    <mergeCell ref="B1358:D1359"/>
    <mergeCell ref="E1358:G1359"/>
    <mergeCell ref="H1358:J1359"/>
    <mergeCell ref="K1358:N1358"/>
    <mergeCell ref="O1358:P1358"/>
    <mergeCell ref="Q1358:R1358"/>
    <mergeCell ref="S1358:T1358"/>
    <mergeCell ref="U1358:W1358"/>
    <mergeCell ref="X1358:AA1358"/>
    <mergeCell ref="AB1358:AE1358"/>
    <mergeCell ref="AF1358:AI1358"/>
    <mergeCell ref="K1359:N1359"/>
    <mergeCell ref="O1359:P1359"/>
    <mergeCell ref="Q1359:R1359"/>
    <mergeCell ref="S1359:T1359"/>
    <mergeCell ref="U1359:W1359"/>
    <mergeCell ref="X1359:AA1359"/>
    <mergeCell ref="AB1359:AE1359"/>
    <mergeCell ref="AF1359:AI1359"/>
    <mergeCell ref="B1356:D1357"/>
    <mergeCell ref="E1356:G1357"/>
    <mergeCell ref="H1356:J1357"/>
    <mergeCell ref="K1356:N1356"/>
    <mergeCell ref="O1356:P1356"/>
    <mergeCell ref="Q1356:R1356"/>
    <mergeCell ref="S1356:T1356"/>
    <mergeCell ref="U1356:W1356"/>
    <mergeCell ref="X1356:AA1356"/>
    <mergeCell ref="AB1356:AE1356"/>
    <mergeCell ref="AF1356:AI1356"/>
    <mergeCell ref="K1357:N1357"/>
    <mergeCell ref="O1357:P1357"/>
    <mergeCell ref="Q1357:R1357"/>
    <mergeCell ref="S1357:T1357"/>
    <mergeCell ref="U1357:W1357"/>
    <mergeCell ref="X1357:AA1357"/>
    <mergeCell ref="AB1357:AE1357"/>
    <mergeCell ref="AF1357:AI1357"/>
    <mergeCell ref="B1354:D1355"/>
    <mergeCell ref="E1354:G1355"/>
    <mergeCell ref="H1354:J1355"/>
    <mergeCell ref="K1354:N1354"/>
    <mergeCell ref="O1354:P1354"/>
    <mergeCell ref="Q1354:R1354"/>
    <mergeCell ref="S1354:T1354"/>
    <mergeCell ref="U1354:W1354"/>
    <mergeCell ref="X1354:AA1354"/>
    <mergeCell ref="AB1354:AE1354"/>
    <mergeCell ref="AF1354:AI1354"/>
    <mergeCell ref="K1355:N1355"/>
    <mergeCell ref="O1355:P1355"/>
    <mergeCell ref="Q1355:R1355"/>
    <mergeCell ref="S1355:T1355"/>
    <mergeCell ref="U1355:W1355"/>
    <mergeCell ref="X1355:AA1355"/>
    <mergeCell ref="AB1355:AE1355"/>
    <mergeCell ref="AF1355:AI1355"/>
    <mergeCell ref="B1352:D1353"/>
    <mergeCell ref="E1352:G1353"/>
    <mergeCell ref="H1352:J1353"/>
    <mergeCell ref="K1352:N1352"/>
    <mergeCell ref="O1352:P1352"/>
    <mergeCell ref="Q1352:R1352"/>
    <mergeCell ref="S1352:T1352"/>
    <mergeCell ref="U1352:W1352"/>
    <mergeCell ref="X1352:AA1352"/>
    <mergeCell ref="AB1352:AE1352"/>
    <mergeCell ref="AF1352:AI1352"/>
    <mergeCell ref="K1353:N1353"/>
    <mergeCell ref="O1353:P1353"/>
    <mergeCell ref="Q1353:R1353"/>
    <mergeCell ref="S1353:T1353"/>
    <mergeCell ref="U1353:W1353"/>
    <mergeCell ref="X1353:AA1353"/>
    <mergeCell ref="AB1353:AE1353"/>
    <mergeCell ref="AF1353:AI1353"/>
    <mergeCell ref="B1350:D1351"/>
    <mergeCell ref="E1350:G1351"/>
    <mergeCell ref="H1350:J1351"/>
    <mergeCell ref="K1350:N1350"/>
    <mergeCell ref="O1350:P1350"/>
    <mergeCell ref="Q1350:R1350"/>
    <mergeCell ref="S1350:T1350"/>
    <mergeCell ref="U1350:W1350"/>
    <mergeCell ref="X1350:AA1350"/>
    <mergeCell ref="AB1350:AE1350"/>
    <mergeCell ref="AF1350:AI1350"/>
    <mergeCell ref="K1351:N1351"/>
    <mergeCell ref="O1351:P1351"/>
    <mergeCell ref="Q1351:R1351"/>
    <mergeCell ref="S1351:T1351"/>
    <mergeCell ref="U1351:W1351"/>
    <mergeCell ref="X1351:AA1351"/>
    <mergeCell ref="AB1351:AE1351"/>
    <mergeCell ref="AF1351:AI1351"/>
    <mergeCell ref="B1348:D1349"/>
    <mergeCell ref="E1348:G1349"/>
    <mergeCell ref="H1348:J1349"/>
    <mergeCell ref="K1348:N1348"/>
    <mergeCell ref="O1348:P1348"/>
    <mergeCell ref="Q1348:R1348"/>
    <mergeCell ref="S1348:T1348"/>
    <mergeCell ref="U1348:W1348"/>
    <mergeCell ref="X1348:AA1348"/>
    <mergeCell ref="AB1348:AE1348"/>
    <mergeCell ref="AF1348:AI1348"/>
    <mergeCell ref="K1349:N1349"/>
    <mergeCell ref="O1349:P1349"/>
    <mergeCell ref="Q1349:R1349"/>
    <mergeCell ref="S1349:T1349"/>
    <mergeCell ref="U1349:W1349"/>
    <mergeCell ref="X1349:AA1349"/>
    <mergeCell ref="AB1349:AE1349"/>
    <mergeCell ref="AF1349:AI1349"/>
    <mergeCell ref="B1346:D1347"/>
    <mergeCell ref="E1346:G1347"/>
    <mergeCell ref="H1346:J1347"/>
    <mergeCell ref="K1346:N1346"/>
    <mergeCell ref="O1346:P1346"/>
    <mergeCell ref="Q1346:R1346"/>
    <mergeCell ref="S1346:T1346"/>
    <mergeCell ref="U1346:W1346"/>
    <mergeCell ref="X1346:AA1346"/>
    <mergeCell ref="AB1346:AE1346"/>
    <mergeCell ref="AF1346:AI1346"/>
    <mergeCell ref="K1347:N1347"/>
    <mergeCell ref="O1347:P1347"/>
    <mergeCell ref="Q1347:R1347"/>
    <mergeCell ref="S1347:T1347"/>
    <mergeCell ref="U1347:W1347"/>
    <mergeCell ref="X1347:AA1347"/>
    <mergeCell ref="AB1347:AE1347"/>
    <mergeCell ref="AF1347:AI1347"/>
    <mergeCell ref="B1344:D1345"/>
    <mergeCell ref="E1344:G1345"/>
    <mergeCell ref="H1344:J1345"/>
    <mergeCell ref="K1344:N1344"/>
    <mergeCell ref="O1344:P1344"/>
    <mergeCell ref="Q1344:R1344"/>
    <mergeCell ref="S1344:T1344"/>
    <mergeCell ref="U1344:W1344"/>
    <mergeCell ref="X1344:AA1344"/>
    <mergeCell ref="AB1344:AE1344"/>
    <mergeCell ref="AF1344:AI1344"/>
    <mergeCell ref="K1345:N1345"/>
    <mergeCell ref="O1345:P1345"/>
    <mergeCell ref="Q1345:R1345"/>
    <mergeCell ref="S1345:T1345"/>
    <mergeCell ref="U1345:W1345"/>
    <mergeCell ref="X1345:AA1345"/>
    <mergeCell ref="AB1345:AE1345"/>
    <mergeCell ref="AF1345:AI1345"/>
    <mergeCell ref="B1342:D1343"/>
    <mergeCell ref="E1342:G1343"/>
    <mergeCell ref="H1342:J1343"/>
    <mergeCell ref="K1342:N1342"/>
    <mergeCell ref="O1342:P1342"/>
    <mergeCell ref="Q1342:R1342"/>
    <mergeCell ref="S1342:T1342"/>
    <mergeCell ref="U1342:W1342"/>
    <mergeCell ref="X1342:AA1342"/>
    <mergeCell ref="AB1342:AE1342"/>
    <mergeCell ref="AF1342:AI1342"/>
    <mergeCell ref="K1343:N1343"/>
    <mergeCell ref="O1343:P1343"/>
    <mergeCell ref="Q1343:R1343"/>
    <mergeCell ref="S1343:T1343"/>
    <mergeCell ref="U1343:W1343"/>
    <mergeCell ref="X1343:AA1343"/>
    <mergeCell ref="AB1343:AE1343"/>
    <mergeCell ref="AF1343:AI1343"/>
    <mergeCell ref="B1340:D1341"/>
    <mergeCell ref="E1340:G1341"/>
    <mergeCell ref="H1340:J1341"/>
    <mergeCell ref="K1340:N1340"/>
    <mergeCell ref="O1340:P1340"/>
    <mergeCell ref="Q1340:R1340"/>
    <mergeCell ref="S1340:T1340"/>
    <mergeCell ref="U1340:W1340"/>
    <mergeCell ref="X1340:AA1340"/>
    <mergeCell ref="AB1340:AE1340"/>
    <mergeCell ref="AF1340:AI1340"/>
    <mergeCell ref="K1341:N1341"/>
    <mergeCell ref="O1341:P1341"/>
    <mergeCell ref="Q1341:R1341"/>
    <mergeCell ref="S1341:T1341"/>
    <mergeCell ref="U1341:W1341"/>
    <mergeCell ref="X1341:AA1341"/>
    <mergeCell ref="AB1341:AE1341"/>
    <mergeCell ref="AF1341:AI1341"/>
    <mergeCell ref="B1338:D1339"/>
    <mergeCell ref="E1338:G1339"/>
    <mergeCell ref="H1338:J1339"/>
    <mergeCell ref="K1338:N1338"/>
    <mergeCell ref="O1338:P1338"/>
    <mergeCell ref="Q1338:R1338"/>
    <mergeCell ref="S1338:T1338"/>
    <mergeCell ref="U1338:W1338"/>
    <mergeCell ref="X1338:AA1338"/>
    <mergeCell ref="AB1338:AE1338"/>
    <mergeCell ref="AF1338:AI1338"/>
    <mergeCell ref="K1339:N1339"/>
    <mergeCell ref="O1339:P1339"/>
    <mergeCell ref="Q1339:R1339"/>
    <mergeCell ref="S1339:T1339"/>
    <mergeCell ref="U1339:W1339"/>
    <mergeCell ref="X1339:AA1339"/>
    <mergeCell ref="AB1339:AE1339"/>
    <mergeCell ref="AF1339:AI1339"/>
    <mergeCell ref="AF1335:AI1335"/>
    <mergeCell ref="B1336:D1337"/>
    <mergeCell ref="E1336:G1337"/>
    <mergeCell ref="H1336:J1337"/>
    <mergeCell ref="K1336:N1336"/>
    <mergeCell ref="O1336:P1336"/>
    <mergeCell ref="Q1336:R1336"/>
    <mergeCell ref="S1336:T1336"/>
    <mergeCell ref="U1336:W1336"/>
    <mergeCell ref="X1336:AA1336"/>
    <mergeCell ref="AB1336:AE1336"/>
    <mergeCell ref="AF1336:AI1336"/>
    <mergeCell ref="K1337:N1337"/>
    <mergeCell ref="O1337:P1337"/>
    <mergeCell ref="Q1337:R1337"/>
    <mergeCell ref="S1337:T1337"/>
    <mergeCell ref="U1337:W1337"/>
    <mergeCell ref="X1337:AA1337"/>
    <mergeCell ref="AB1337:AE1337"/>
    <mergeCell ref="AF1337:AI1337"/>
    <mergeCell ref="AD1328:AF1328"/>
    <mergeCell ref="B1332:D1333"/>
    <mergeCell ref="E1332:G1333"/>
    <mergeCell ref="H1332:J1333"/>
    <mergeCell ref="K1332:N1333"/>
    <mergeCell ref="O1332:T1332"/>
    <mergeCell ref="U1332:W1333"/>
    <mergeCell ref="X1332:AI1332"/>
    <mergeCell ref="O1333:P1333"/>
    <mergeCell ref="Q1333:R1333"/>
    <mergeCell ref="S1333:T1333"/>
    <mergeCell ref="X1333:AA1333"/>
    <mergeCell ref="AB1333:AE1333"/>
    <mergeCell ref="AF1333:AI1333"/>
    <mergeCell ref="B1334:D1335"/>
    <mergeCell ref="E1334:G1335"/>
    <mergeCell ref="H1334:J1335"/>
    <mergeCell ref="K1334:N1334"/>
    <mergeCell ref="O1334:P1334"/>
    <mergeCell ref="Q1334:R1334"/>
    <mergeCell ref="S1334:T1334"/>
    <mergeCell ref="U1334:W1334"/>
    <mergeCell ref="X1334:AA1334"/>
    <mergeCell ref="AB1334:AE1334"/>
    <mergeCell ref="AF1334:AI1334"/>
    <mergeCell ref="K1335:N1335"/>
    <mergeCell ref="O1335:P1335"/>
    <mergeCell ref="Q1335:R1335"/>
    <mergeCell ref="S1335:T1335"/>
    <mergeCell ref="U1335:W1335"/>
    <mergeCell ref="X1335:AA1335"/>
    <mergeCell ref="AB1335:AE1335"/>
    <mergeCell ref="B1326:D1327"/>
    <mergeCell ref="E1326:G1327"/>
    <mergeCell ref="H1326:J1327"/>
    <mergeCell ref="K1326:N1326"/>
    <mergeCell ref="O1326:P1326"/>
    <mergeCell ref="Q1326:R1326"/>
    <mergeCell ref="S1326:T1326"/>
    <mergeCell ref="U1326:W1326"/>
    <mergeCell ref="X1326:AA1326"/>
    <mergeCell ref="AB1326:AE1326"/>
    <mergeCell ref="AF1326:AI1326"/>
    <mergeCell ref="K1327:N1327"/>
    <mergeCell ref="O1327:P1327"/>
    <mergeCell ref="Q1327:R1327"/>
    <mergeCell ref="S1327:T1327"/>
    <mergeCell ref="U1327:W1327"/>
    <mergeCell ref="X1327:AA1327"/>
    <mergeCell ref="AB1327:AE1327"/>
    <mergeCell ref="AF1327:AI1327"/>
    <mergeCell ref="B1324:D1325"/>
    <mergeCell ref="E1324:G1325"/>
    <mergeCell ref="H1324:J1325"/>
    <mergeCell ref="K1324:N1324"/>
    <mergeCell ref="O1324:P1324"/>
    <mergeCell ref="Q1324:R1324"/>
    <mergeCell ref="S1324:T1324"/>
    <mergeCell ref="U1324:W1324"/>
    <mergeCell ref="X1324:AA1324"/>
    <mergeCell ref="AB1324:AE1324"/>
    <mergeCell ref="AF1324:AI1324"/>
    <mergeCell ref="K1325:N1325"/>
    <mergeCell ref="O1325:P1325"/>
    <mergeCell ref="Q1325:R1325"/>
    <mergeCell ref="S1325:T1325"/>
    <mergeCell ref="U1325:W1325"/>
    <mergeCell ref="X1325:AA1325"/>
    <mergeCell ref="AB1325:AE1325"/>
    <mergeCell ref="AF1325:AI1325"/>
    <mergeCell ref="B1322:D1323"/>
    <mergeCell ref="E1322:G1323"/>
    <mergeCell ref="H1322:J1323"/>
    <mergeCell ref="K1322:N1322"/>
    <mergeCell ref="O1322:P1322"/>
    <mergeCell ref="Q1322:R1322"/>
    <mergeCell ref="S1322:T1322"/>
    <mergeCell ref="U1322:W1322"/>
    <mergeCell ref="X1322:AA1322"/>
    <mergeCell ref="AB1322:AE1322"/>
    <mergeCell ref="AF1322:AI1322"/>
    <mergeCell ref="K1323:N1323"/>
    <mergeCell ref="O1323:P1323"/>
    <mergeCell ref="Q1323:R1323"/>
    <mergeCell ref="S1323:T1323"/>
    <mergeCell ref="U1323:W1323"/>
    <mergeCell ref="X1323:AA1323"/>
    <mergeCell ref="AB1323:AE1323"/>
    <mergeCell ref="AF1323:AI1323"/>
    <mergeCell ref="B1320:D1321"/>
    <mergeCell ref="E1320:G1321"/>
    <mergeCell ref="H1320:J1321"/>
    <mergeCell ref="K1320:N1320"/>
    <mergeCell ref="O1320:P1320"/>
    <mergeCell ref="Q1320:R1320"/>
    <mergeCell ref="S1320:T1320"/>
    <mergeCell ref="U1320:W1320"/>
    <mergeCell ref="X1320:AA1320"/>
    <mergeCell ref="AB1320:AE1320"/>
    <mergeCell ref="AF1320:AI1320"/>
    <mergeCell ref="K1321:N1321"/>
    <mergeCell ref="O1321:P1321"/>
    <mergeCell ref="Q1321:R1321"/>
    <mergeCell ref="S1321:T1321"/>
    <mergeCell ref="U1321:W1321"/>
    <mergeCell ref="X1321:AA1321"/>
    <mergeCell ref="AB1321:AE1321"/>
    <mergeCell ref="AF1321:AI1321"/>
    <mergeCell ref="B1318:D1319"/>
    <mergeCell ref="E1318:G1319"/>
    <mergeCell ref="H1318:J1319"/>
    <mergeCell ref="K1318:N1318"/>
    <mergeCell ref="O1318:P1318"/>
    <mergeCell ref="Q1318:R1318"/>
    <mergeCell ref="S1318:T1318"/>
    <mergeCell ref="U1318:W1318"/>
    <mergeCell ref="X1318:AA1318"/>
    <mergeCell ref="AB1318:AE1318"/>
    <mergeCell ref="AF1318:AI1318"/>
    <mergeCell ref="K1319:N1319"/>
    <mergeCell ref="O1319:P1319"/>
    <mergeCell ref="Q1319:R1319"/>
    <mergeCell ref="S1319:T1319"/>
    <mergeCell ref="U1319:W1319"/>
    <mergeCell ref="X1319:AA1319"/>
    <mergeCell ref="AB1319:AE1319"/>
    <mergeCell ref="AF1319:AI1319"/>
    <mergeCell ref="B1316:D1317"/>
    <mergeCell ref="E1316:G1317"/>
    <mergeCell ref="H1316:J1317"/>
    <mergeCell ref="K1316:N1316"/>
    <mergeCell ref="O1316:P1316"/>
    <mergeCell ref="Q1316:R1316"/>
    <mergeCell ref="S1316:T1316"/>
    <mergeCell ref="U1316:W1316"/>
    <mergeCell ref="X1316:AA1316"/>
    <mergeCell ref="AB1316:AE1316"/>
    <mergeCell ref="AF1316:AI1316"/>
    <mergeCell ref="K1317:N1317"/>
    <mergeCell ref="O1317:P1317"/>
    <mergeCell ref="Q1317:R1317"/>
    <mergeCell ref="S1317:T1317"/>
    <mergeCell ref="U1317:W1317"/>
    <mergeCell ref="X1317:AA1317"/>
    <mergeCell ref="AB1317:AE1317"/>
    <mergeCell ref="AF1317:AI1317"/>
    <mergeCell ref="B1314:D1315"/>
    <mergeCell ref="E1314:G1315"/>
    <mergeCell ref="H1314:J1315"/>
    <mergeCell ref="K1314:N1314"/>
    <mergeCell ref="O1314:P1314"/>
    <mergeCell ref="Q1314:R1314"/>
    <mergeCell ref="S1314:T1314"/>
    <mergeCell ref="U1314:W1314"/>
    <mergeCell ref="X1314:AA1314"/>
    <mergeCell ref="AB1314:AE1314"/>
    <mergeCell ref="AF1314:AI1314"/>
    <mergeCell ref="K1315:N1315"/>
    <mergeCell ref="O1315:P1315"/>
    <mergeCell ref="Q1315:R1315"/>
    <mergeCell ref="S1315:T1315"/>
    <mergeCell ref="U1315:W1315"/>
    <mergeCell ref="X1315:AA1315"/>
    <mergeCell ref="AB1315:AE1315"/>
    <mergeCell ref="AF1315:AI1315"/>
    <mergeCell ref="B1312:D1313"/>
    <mergeCell ref="E1312:G1313"/>
    <mergeCell ref="H1312:J1313"/>
    <mergeCell ref="K1312:N1312"/>
    <mergeCell ref="O1312:P1312"/>
    <mergeCell ref="Q1312:R1312"/>
    <mergeCell ref="S1312:T1312"/>
    <mergeCell ref="U1312:W1312"/>
    <mergeCell ref="X1312:AA1312"/>
    <mergeCell ref="AB1312:AE1312"/>
    <mergeCell ref="AF1312:AI1312"/>
    <mergeCell ref="K1313:N1313"/>
    <mergeCell ref="O1313:P1313"/>
    <mergeCell ref="Q1313:R1313"/>
    <mergeCell ref="S1313:T1313"/>
    <mergeCell ref="U1313:W1313"/>
    <mergeCell ref="X1313:AA1313"/>
    <mergeCell ref="AB1313:AE1313"/>
    <mergeCell ref="AF1313:AI1313"/>
    <mergeCell ref="B1310:D1311"/>
    <mergeCell ref="E1310:G1311"/>
    <mergeCell ref="H1310:J1311"/>
    <mergeCell ref="K1310:N1310"/>
    <mergeCell ref="O1310:P1310"/>
    <mergeCell ref="Q1310:R1310"/>
    <mergeCell ref="S1310:T1310"/>
    <mergeCell ref="U1310:W1310"/>
    <mergeCell ref="X1310:AA1310"/>
    <mergeCell ref="AB1310:AE1310"/>
    <mergeCell ref="AF1310:AI1310"/>
    <mergeCell ref="K1311:N1311"/>
    <mergeCell ref="O1311:P1311"/>
    <mergeCell ref="Q1311:R1311"/>
    <mergeCell ref="S1311:T1311"/>
    <mergeCell ref="U1311:W1311"/>
    <mergeCell ref="X1311:AA1311"/>
    <mergeCell ref="AB1311:AE1311"/>
    <mergeCell ref="AF1311:AI1311"/>
    <mergeCell ref="B1308:D1309"/>
    <mergeCell ref="E1308:G1309"/>
    <mergeCell ref="H1308:J1309"/>
    <mergeCell ref="K1308:N1308"/>
    <mergeCell ref="O1308:P1308"/>
    <mergeCell ref="Q1308:R1308"/>
    <mergeCell ref="S1308:T1308"/>
    <mergeCell ref="U1308:W1308"/>
    <mergeCell ref="X1308:AA1308"/>
    <mergeCell ref="AB1308:AE1308"/>
    <mergeCell ref="AF1308:AI1308"/>
    <mergeCell ref="K1309:N1309"/>
    <mergeCell ref="O1309:P1309"/>
    <mergeCell ref="Q1309:R1309"/>
    <mergeCell ref="S1309:T1309"/>
    <mergeCell ref="U1309:W1309"/>
    <mergeCell ref="X1309:AA1309"/>
    <mergeCell ref="AB1309:AE1309"/>
    <mergeCell ref="AF1309:AI1309"/>
    <mergeCell ref="B1306:D1307"/>
    <mergeCell ref="E1306:G1307"/>
    <mergeCell ref="H1306:J1307"/>
    <mergeCell ref="K1306:N1306"/>
    <mergeCell ref="O1306:P1306"/>
    <mergeCell ref="Q1306:R1306"/>
    <mergeCell ref="S1306:T1306"/>
    <mergeCell ref="U1306:W1306"/>
    <mergeCell ref="X1306:AA1306"/>
    <mergeCell ref="AB1306:AE1306"/>
    <mergeCell ref="AF1306:AI1306"/>
    <mergeCell ref="K1307:N1307"/>
    <mergeCell ref="O1307:P1307"/>
    <mergeCell ref="Q1307:R1307"/>
    <mergeCell ref="S1307:T1307"/>
    <mergeCell ref="U1307:W1307"/>
    <mergeCell ref="X1307:AA1307"/>
    <mergeCell ref="AB1307:AE1307"/>
    <mergeCell ref="AF1307:AI1307"/>
    <mergeCell ref="B1304:D1305"/>
    <mergeCell ref="E1304:G1305"/>
    <mergeCell ref="H1304:J1305"/>
    <mergeCell ref="K1304:N1304"/>
    <mergeCell ref="O1304:P1304"/>
    <mergeCell ref="Q1304:R1304"/>
    <mergeCell ref="S1304:T1304"/>
    <mergeCell ref="U1304:W1304"/>
    <mergeCell ref="X1304:AA1304"/>
    <mergeCell ref="AB1304:AE1304"/>
    <mergeCell ref="AF1304:AI1304"/>
    <mergeCell ref="K1305:N1305"/>
    <mergeCell ref="O1305:P1305"/>
    <mergeCell ref="Q1305:R1305"/>
    <mergeCell ref="S1305:T1305"/>
    <mergeCell ref="U1305:W1305"/>
    <mergeCell ref="X1305:AA1305"/>
    <mergeCell ref="AB1305:AE1305"/>
    <mergeCell ref="AF1305:AI1305"/>
    <mergeCell ref="B1302:D1303"/>
    <mergeCell ref="E1302:G1303"/>
    <mergeCell ref="H1302:J1303"/>
    <mergeCell ref="K1302:N1302"/>
    <mergeCell ref="O1302:P1302"/>
    <mergeCell ref="Q1302:R1302"/>
    <mergeCell ref="S1302:T1302"/>
    <mergeCell ref="U1302:W1302"/>
    <mergeCell ref="X1302:AA1302"/>
    <mergeCell ref="AB1302:AE1302"/>
    <mergeCell ref="AF1302:AI1302"/>
    <mergeCell ref="K1303:N1303"/>
    <mergeCell ref="O1303:P1303"/>
    <mergeCell ref="Q1303:R1303"/>
    <mergeCell ref="S1303:T1303"/>
    <mergeCell ref="U1303:W1303"/>
    <mergeCell ref="X1303:AA1303"/>
    <mergeCell ref="AB1303:AE1303"/>
    <mergeCell ref="AF1303:AI1303"/>
    <mergeCell ref="AF1299:AI1299"/>
    <mergeCell ref="B1300:D1301"/>
    <mergeCell ref="E1300:G1301"/>
    <mergeCell ref="H1300:J1301"/>
    <mergeCell ref="K1300:N1300"/>
    <mergeCell ref="O1300:P1300"/>
    <mergeCell ref="Q1300:R1300"/>
    <mergeCell ref="S1300:T1300"/>
    <mergeCell ref="U1300:W1300"/>
    <mergeCell ref="X1300:AA1300"/>
    <mergeCell ref="AB1300:AE1300"/>
    <mergeCell ref="AF1300:AI1300"/>
    <mergeCell ref="K1301:N1301"/>
    <mergeCell ref="O1301:P1301"/>
    <mergeCell ref="Q1301:R1301"/>
    <mergeCell ref="S1301:T1301"/>
    <mergeCell ref="U1301:W1301"/>
    <mergeCell ref="X1301:AA1301"/>
    <mergeCell ref="AB1301:AE1301"/>
    <mergeCell ref="AF1301:AI1301"/>
    <mergeCell ref="X1291:AA1291"/>
    <mergeCell ref="AB1291:AE1291"/>
    <mergeCell ref="AF1291:AI1291"/>
    <mergeCell ref="B1296:D1297"/>
    <mergeCell ref="E1296:G1297"/>
    <mergeCell ref="H1296:J1297"/>
    <mergeCell ref="K1296:N1297"/>
    <mergeCell ref="O1296:T1296"/>
    <mergeCell ref="U1296:W1297"/>
    <mergeCell ref="X1296:AI1296"/>
    <mergeCell ref="O1297:P1297"/>
    <mergeCell ref="Q1297:R1297"/>
    <mergeCell ref="S1297:T1297"/>
    <mergeCell ref="X1297:AA1297"/>
    <mergeCell ref="AB1297:AE1297"/>
    <mergeCell ref="AF1297:AI1297"/>
    <mergeCell ref="B1298:D1299"/>
    <mergeCell ref="E1298:G1299"/>
    <mergeCell ref="H1298:J1299"/>
    <mergeCell ref="K1298:N1298"/>
    <mergeCell ref="O1298:P1298"/>
    <mergeCell ref="Q1298:R1298"/>
    <mergeCell ref="S1298:T1298"/>
    <mergeCell ref="U1298:W1298"/>
    <mergeCell ref="X1298:AA1298"/>
    <mergeCell ref="AB1298:AE1298"/>
    <mergeCell ref="AF1298:AI1298"/>
    <mergeCell ref="K1299:N1299"/>
    <mergeCell ref="O1299:P1299"/>
    <mergeCell ref="Q1299:R1299"/>
    <mergeCell ref="S1299:T1299"/>
    <mergeCell ref="U1299:W1299"/>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AF1272:AI1272"/>
    <mergeCell ref="X1273:AA1273"/>
    <mergeCell ref="AB1273:AE1273"/>
    <mergeCell ref="AF1273:AI1273"/>
    <mergeCell ref="X1274:AA1274"/>
    <mergeCell ref="AB1274:AE1274"/>
    <mergeCell ref="AF1274:AI1274"/>
    <mergeCell ref="X1275:AA1275"/>
    <mergeCell ref="AB1275:AE1275"/>
    <mergeCell ref="AF1275:AI1275"/>
    <mergeCell ref="X1276:AA1276"/>
    <mergeCell ref="AB1276:AE1276"/>
    <mergeCell ref="AF1276:AI1276"/>
    <mergeCell ref="X1277:AA1277"/>
    <mergeCell ref="AB1277:AE1277"/>
    <mergeCell ref="AF1277:AI1277"/>
    <mergeCell ref="X1278:AA1278"/>
    <mergeCell ref="AB1278:AE1278"/>
    <mergeCell ref="AF1278:AI1278"/>
    <mergeCell ref="AF1265:AI1265"/>
    <mergeCell ref="X1266:AA1266"/>
    <mergeCell ref="AB1266:AE1266"/>
    <mergeCell ref="AF1266:AI1266"/>
    <mergeCell ref="X1267:AA1267"/>
    <mergeCell ref="AB1267:AE1267"/>
    <mergeCell ref="AF1267:AI1267"/>
    <mergeCell ref="X1268:AA1268"/>
    <mergeCell ref="AB1268:AE1268"/>
    <mergeCell ref="AF1268:AI1268"/>
    <mergeCell ref="X1269:AA1269"/>
    <mergeCell ref="AB1269:AE1269"/>
    <mergeCell ref="AF1269:AI1269"/>
    <mergeCell ref="X1270:AA1270"/>
    <mergeCell ref="AB1270:AE1270"/>
    <mergeCell ref="AF1270:AI1270"/>
    <mergeCell ref="X1271:AA1271"/>
    <mergeCell ref="AB1271:AE1271"/>
    <mergeCell ref="AF1271:AI1271"/>
    <mergeCell ref="AF1261:AI1261"/>
    <mergeCell ref="X1260:AI1260"/>
    <mergeCell ref="X1262:AA1262"/>
    <mergeCell ref="X1263:AA1263"/>
    <mergeCell ref="X1261:AA1261"/>
    <mergeCell ref="AB1261:AE1261"/>
    <mergeCell ref="AB1262:AE1262"/>
    <mergeCell ref="AF1262:AI1262"/>
    <mergeCell ref="AB1263:AE1263"/>
    <mergeCell ref="AF1263:AI1263"/>
    <mergeCell ref="X1264:AA1264"/>
    <mergeCell ref="AB1264:AE1264"/>
    <mergeCell ref="AF1264:AI1264"/>
    <mergeCell ref="U1276:W1276"/>
    <mergeCell ref="U1277:W1277"/>
    <mergeCell ref="U1278:W1278"/>
    <mergeCell ref="U1279:W1279"/>
    <mergeCell ref="U1280:W1280"/>
    <mergeCell ref="U1281:W1281"/>
    <mergeCell ref="U1282:W1282"/>
    <mergeCell ref="U1283:W1283"/>
    <mergeCell ref="U1284:W1284"/>
    <mergeCell ref="U1285:W1285"/>
    <mergeCell ref="U1286:W1286"/>
    <mergeCell ref="U1287:W1287"/>
    <mergeCell ref="U1288:W1288"/>
    <mergeCell ref="U1289:W1289"/>
    <mergeCell ref="U1290:W1290"/>
    <mergeCell ref="U1291:W1291"/>
    <mergeCell ref="U1262:W1262"/>
    <mergeCell ref="U1260:W1261"/>
    <mergeCell ref="U1263:W1263"/>
    <mergeCell ref="U1264:W1264"/>
    <mergeCell ref="U1265:W1265"/>
    <mergeCell ref="U1266:W1266"/>
    <mergeCell ref="U1267:W1267"/>
    <mergeCell ref="U1268:W1268"/>
    <mergeCell ref="U1269:W1269"/>
    <mergeCell ref="U1270:W1270"/>
    <mergeCell ref="U1271:W1271"/>
    <mergeCell ref="U1272:W1272"/>
    <mergeCell ref="U1273:W1273"/>
    <mergeCell ref="U1274:W1274"/>
    <mergeCell ref="U1275:W1275"/>
    <mergeCell ref="X1265:AA1265"/>
    <mergeCell ref="AB1265:AE1265"/>
    <mergeCell ref="X1272:AA1272"/>
    <mergeCell ref="AB1272:AE1272"/>
    <mergeCell ref="X1299:AA1299"/>
    <mergeCell ref="AB1299:AE1299"/>
    <mergeCell ref="Q1285:R1285"/>
    <mergeCell ref="S1285:T1285"/>
    <mergeCell ref="O1286:P1286"/>
    <mergeCell ref="Q1286:R1286"/>
    <mergeCell ref="S1286:T1286"/>
    <mergeCell ref="O1287:P1287"/>
    <mergeCell ref="Q1287:R1287"/>
    <mergeCell ref="S1287:T1287"/>
    <mergeCell ref="O1288:P1288"/>
    <mergeCell ref="Q1288:R1288"/>
    <mergeCell ref="S1288:T1288"/>
    <mergeCell ref="O1289:P1289"/>
    <mergeCell ref="Q1289:R1289"/>
    <mergeCell ref="S1289:T1289"/>
    <mergeCell ref="O1290:P1290"/>
    <mergeCell ref="Q1290:R1290"/>
    <mergeCell ref="S1290:T1290"/>
    <mergeCell ref="Q1277:R1277"/>
    <mergeCell ref="S1277:T1277"/>
    <mergeCell ref="O1278:P1278"/>
    <mergeCell ref="Q1278:R1278"/>
    <mergeCell ref="S1278:T1278"/>
    <mergeCell ref="O1279:P1279"/>
    <mergeCell ref="Q1279:R1279"/>
    <mergeCell ref="S1279:T1279"/>
    <mergeCell ref="O1280:P1280"/>
    <mergeCell ref="Q1280:R1280"/>
    <mergeCell ref="S1280:T1280"/>
    <mergeCell ref="O1281:P1281"/>
    <mergeCell ref="Q1281:R1281"/>
    <mergeCell ref="S1281:T1281"/>
    <mergeCell ref="O1282:P1282"/>
    <mergeCell ref="Q1282:R1282"/>
    <mergeCell ref="S1282:T1282"/>
    <mergeCell ref="Q1270:R1270"/>
    <mergeCell ref="S1270:T1270"/>
    <mergeCell ref="O1271:P1271"/>
    <mergeCell ref="Q1271:R1271"/>
    <mergeCell ref="S1271:T1271"/>
    <mergeCell ref="O1272:P1272"/>
    <mergeCell ref="Q1272:R1272"/>
    <mergeCell ref="S1272:T1272"/>
    <mergeCell ref="O1273:P1273"/>
    <mergeCell ref="Q1273:R1273"/>
    <mergeCell ref="S1273:T1273"/>
    <mergeCell ref="O1274:P1274"/>
    <mergeCell ref="Q1274:R1274"/>
    <mergeCell ref="S1274:T1274"/>
    <mergeCell ref="O1275:P1275"/>
    <mergeCell ref="Q1275:R1275"/>
    <mergeCell ref="S1275:T1275"/>
    <mergeCell ref="AD1292:AF1292"/>
    <mergeCell ref="O1261:P1261"/>
    <mergeCell ref="Q1261:R1261"/>
    <mergeCell ref="S1261:T1261"/>
    <mergeCell ref="O1260:T1260"/>
    <mergeCell ref="O1262:P1262"/>
    <mergeCell ref="Q1262:R1262"/>
    <mergeCell ref="S1262:T1262"/>
    <mergeCell ref="O1263:P1263"/>
    <mergeCell ref="Q1263:R1263"/>
    <mergeCell ref="S1263:T1263"/>
    <mergeCell ref="O1264:P1264"/>
    <mergeCell ref="Q1264:R1264"/>
    <mergeCell ref="S1264:T1264"/>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AD1166:AF1166"/>
    <mergeCell ref="V1170:X1170"/>
    <mergeCell ref="Z1170:AB1170"/>
    <mergeCell ref="AD1170:AF1170"/>
    <mergeCell ref="R1167:S1167"/>
    <mergeCell ref="R1171:S1171"/>
    <mergeCell ref="S1168:U1168"/>
    <mergeCell ref="X1168:Y1168"/>
    <mergeCell ref="AA1168:AB1168"/>
    <mergeCell ref="AC1168:AD1168"/>
    <mergeCell ref="R1169:T1169"/>
    <mergeCell ref="S1172:U1172"/>
    <mergeCell ref="X1172:Y1172"/>
    <mergeCell ref="AA1172:AB1172"/>
    <mergeCell ref="AC1172:AD1172"/>
    <mergeCell ref="R1173:T1173"/>
    <mergeCell ref="B1288:D1289"/>
    <mergeCell ref="E1288:G1289"/>
    <mergeCell ref="H1288:J1289"/>
    <mergeCell ref="K1288:N1288"/>
    <mergeCell ref="K1289:N1289"/>
    <mergeCell ref="B1290:D1291"/>
    <mergeCell ref="E1290:G1291"/>
    <mergeCell ref="H1290:J1291"/>
    <mergeCell ref="K1290:N1290"/>
    <mergeCell ref="K1291:N1291"/>
    <mergeCell ref="O1291:P1291"/>
    <mergeCell ref="Q1291:R1291"/>
    <mergeCell ref="S1291:T1291"/>
    <mergeCell ref="B1284:D1285"/>
    <mergeCell ref="E1284:G1285"/>
    <mergeCell ref="H1284:J1285"/>
    <mergeCell ref="K1284:N1284"/>
    <mergeCell ref="K1285:N1285"/>
    <mergeCell ref="B1286:D1287"/>
    <mergeCell ref="E1286:G1287"/>
    <mergeCell ref="H1286:J1287"/>
    <mergeCell ref="K1286:N1286"/>
    <mergeCell ref="K1287:N1287"/>
    <mergeCell ref="O1284:P1284"/>
    <mergeCell ref="Q1284:R1284"/>
    <mergeCell ref="S1284:T1284"/>
    <mergeCell ref="O1285:P1285"/>
    <mergeCell ref="B1280:D1281"/>
    <mergeCell ref="E1280:G1281"/>
    <mergeCell ref="H1280:J1281"/>
    <mergeCell ref="K1280:N1280"/>
    <mergeCell ref="K1281:N1281"/>
    <mergeCell ref="B1282:D1283"/>
    <mergeCell ref="E1282:G1283"/>
    <mergeCell ref="H1282:J1283"/>
    <mergeCell ref="K1282:N1282"/>
    <mergeCell ref="K1283:N1283"/>
    <mergeCell ref="O1283:P1283"/>
    <mergeCell ref="Q1283:R1283"/>
    <mergeCell ref="S1283:T1283"/>
    <mergeCell ref="B1276:D1277"/>
    <mergeCell ref="E1276:G1277"/>
    <mergeCell ref="H1276:J1277"/>
    <mergeCell ref="K1276:N1276"/>
    <mergeCell ref="K1277:N1277"/>
    <mergeCell ref="B1278:D1279"/>
    <mergeCell ref="E1278:G1279"/>
    <mergeCell ref="H1278:J1279"/>
    <mergeCell ref="K1278:N1278"/>
    <mergeCell ref="K1279:N1279"/>
    <mergeCell ref="O1276:P1276"/>
    <mergeCell ref="Q1276:R1276"/>
    <mergeCell ref="S1276:T1276"/>
    <mergeCell ref="O1277:P1277"/>
    <mergeCell ref="B1272:D1273"/>
    <mergeCell ref="E1272:G1273"/>
    <mergeCell ref="H1272:J1273"/>
    <mergeCell ref="K1272:N1272"/>
    <mergeCell ref="K1273:N1273"/>
    <mergeCell ref="B1274:D1275"/>
    <mergeCell ref="E1274:G1275"/>
    <mergeCell ref="H1274:J1275"/>
    <mergeCell ref="K1274:N1274"/>
    <mergeCell ref="K1275:N1275"/>
    <mergeCell ref="B1268:D1269"/>
    <mergeCell ref="E1268:G1269"/>
    <mergeCell ref="H1268:J1269"/>
    <mergeCell ref="K1268:N1268"/>
    <mergeCell ref="K1269:N1269"/>
    <mergeCell ref="B1270:D1271"/>
    <mergeCell ref="E1270:G1271"/>
    <mergeCell ref="H1270:J1271"/>
    <mergeCell ref="K1270:N1270"/>
    <mergeCell ref="K1271:N1271"/>
    <mergeCell ref="O1269:P1269"/>
    <mergeCell ref="Q1269:R1269"/>
    <mergeCell ref="S1269:T1269"/>
    <mergeCell ref="O1270:P1270"/>
    <mergeCell ref="B1264:D1265"/>
    <mergeCell ref="E1264:G1265"/>
    <mergeCell ref="H1264:J1265"/>
    <mergeCell ref="K1264:N1264"/>
    <mergeCell ref="K1265:N1265"/>
    <mergeCell ref="B1266:D1267"/>
    <mergeCell ref="E1266:G1267"/>
    <mergeCell ref="H1266:J1267"/>
    <mergeCell ref="K1266:N1266"/>
    <mergeCell ref="K1267:N1267"/>
    <mergeCell ref="V1156:X1156"/>
    <mergeCell ref="Z1156:AB1156"/>
    <mergeCell ref="AD1156:AF1156"/>
    <mergeCell ref="V1157:X1157"/>
    <mergeCell ref="Z1157:AB1157"/>
    <mergeCell ref="AD1157:AF1157"/>
    <mergeCell ref="B1260:D1261"/>
    <mergeCell ref="E1260:G1261"/>
    <mergeCell ref="H1260:J1261"/>
    <mergeCell ref="K1260:N1261"/>
    <mergeCell ref="B1262:D1263"/>
    <mergeCell ref="E1262:G1263"/>
    <mergeCell ref="H1262:J1263"/>
    <mergeCell ref="K1262:N1262"/>
    <mergeCell ref="K1263:N1263"/>
    <mergeCell ref="V1166:X1166"/>
    <mergeCell ref="Z1166:AB1166"/>
    <mergeCell ref="X1150:AA1150"/>
    <mergeCell ref="X1151:AA1151"/>
    <mergeCell ref="X1152:AA1152"/>
    <mergeCell ref="X1153:AA1153"/>
    <mergeCell ref="X1154:AA1154"/>
    <mergeCell ref="X1155:AA1155"/>
    <mergeCell ref="AB1150:AE1150"/>
    <mergeCell ref="AF1150:AI1150"/>
    <mergeCell ref="X1149:AI1149"/>
    <mergeCell ref="AB1151:AE1151"/>
    <mergeCell ref="AB1152:AE1152"/>
    <mergeCell ref="AB1153:AE1153"/>
    <mergeCell ref="AB1154:AE1154"/>
    <mergeCell ref="AB1155:AE1155"/>
    <mergeCell ref="AF1151:AI1151"/>
    <mergeCell ref="AF1152:AI1152"/>
    <mergeCell ref="AF1153:AI1153"/>
    <mergeCell ref="AF1154:AI1154"/>
    <mergeCell ref="AF1155:AI1155"/>
    <mergeCell ref="K1151:P1153"/>
    <mergeCell ref="K1154:P1155"/>
    <mergeCell ref="Q1152:R1152"/>
    <mergeCell ref="V1152:W1152"/>
    <mergeCell ref="U1151:V1151"/>
    <mergeCell ref="R1153:S1153"/>
    <mergeCell ref="Q1149:W1150"/>
    <mergeCell ref="K1149:P1150"/>
    <mergeCell ref="R1151:S1151"/>
    <mergeCell ref="U1153:V1153"/>
    <mergeCell ref="R1154:S1154"/>
    <mergeCell ref="U1154:V1154"/>
    <mergeCell ref="R1155:S1155"/>
    <mergeCell ref="U1155:V1155"/>
    <mergeCell ref="Z1131:AB1131"/>
    <mergeCell ref="H1123:J1124"/>
    <mergeCell ref="K1123:P1124"/>
    <mergeCell ref="Q1123:S1124"/>
    <mergeCell ref="T1123:V1124"/>
    <mergeCell ref="W1123:Y1124"/>
    <mergeCell ref="Z1123:AB1124"/>
    <mergeCell ref="H1125:J1126"/>
    <mergeCell ref="K1125:P1125"/>
    <mergeCell ref="Q1125:S1125"/>
    <mergeCell ref="T1125:V1125"/>
    <mergeCell ref="W1125:Y1131"/>
    <mergeCell ref="Z1125:AB1125"/>
    <mergeCell ref="K1126:P1126"/>
    <mergeCell ref="Q1126:S1127"/>
    <mergeCell ref="T1126:V1126"/>
    <mergeCell ref="Z1126:AB1126"/>
    <mergeCell ref="H1127:J1127"/>
    <mergeCell ref="K1127:P1127"/>
    <mergeCell ref="T1127:V1127"/>
    <mergeCell ref="Z1127:AB1127"/>
    <mergeCell ref="H1128:J1129"/>
    <mergeCell ref="K1128:P1128"/>
    <mergeCell ref="Q1128:S1129"/>
    <mergeCell ref="T1128:V1128"/>
    <mergeCell ref="Z1128:AB1128"/>
    <mergeCell ref="K1129:P1129"/>
    <mergeCell ref="T1129:V1129"/>
    <mergeCell ref="X1104:Z1104"/>
    <mergeCell ref="AC1104:AE1104"/>
    <mergeCell ref="M1106:O1106"/>
    <mergeCell ref="M1105:N1105"/>
    <mergeCell ref="S1105:T1105"/>
    <mergeCell ref="X1105:Z1105"/>
    <mergeCell ref="AC1105:AE1105"/>
    <mergeCell ref="W1114:Y1120"/>
    <mergeCell ref="Q1115:S1116"/>
    <mergeCell ref="Q1114:S1114"/>
    <mergeCell ref="Q1119:S1119"/>
    <mergeCell ref="Q1120:S1120"/>
    <mergeCell ref="T1119:V1119"/>
    <mergeCell ref="T1120:V1120"/>
    <mergeCell ref="Z1119:AB1119"/>
    <mergeCell ref="Z1120:AB1120"/>
    <mergeCell ref="Z1130:AB1130"/>
    <mergeCell ref="E1089:F1089"/>
    <mergeCell ref="H1089:I1089"/>
    <mergeCell ref="K1089:M1089"/>
    <mergeCell ref="O1089:P1089"/>
    <mergeCell ref="R1089:T1089"/>
    <mergeCell ref="V1089:X1089"/>
    <mergeCell ref="E1090:F1090"/>
    <mergeCell ref="H1090:I1090"/>
    <mergeCell ref="K1090:M1090"/>
    <mergeCell ref="O1090:P1090"/>
    <mergeCell ref="R1090:T1090"/>
    <mergeCell ref="V1090:X1090"/>
    <mergeCell ref="AC1070:AE1070"/>
    <mergeCell ref="H1071:M1071"/>
    <mergeCell ref="Z1071:AB1071"/>
    <mergeCell ref="AC1071:AE1071"/>
    <mergeCell ref="E1072:G1073"/>
    <mergeCell ref="H1072:M1072"/>
    <mergeCell ref="Q1072:S1072"/>
    <mergeCell ref="T1072:V1072"/>
    <mergeCell ref="W1072:Y1072"/>
    <mergeCell ref="Z1072:AB1072"/>
    <mergeCell ref="AC1072:AE1072"/>
    <mergeCell ref="H1073:M1073"/>
    <mergeCell ref="Q1073:S1073"/>
    <mergeCell ref="T1073:V1073"/>
    <mergeCell ref="W1073:Y1073"/>
    <mergeCell ref="Z1073:AB1073"/>
    <mergeCell ref="AC1073:AE1073"/>
    <mergeCell ref="V1085:X1085"/>
    <mergeCell ref="AC1065:AE1066"/>
    <mergeCell ref="E1067:G1068"/>
    <mergeCell ref="H1067:M1067"/>
    <mergeCell ref="N1067:P1073"/>
    <mergeCell ref="W1067:Y1067"/>
    <mergeCell ref="Z1067:AB1067"/>
    <mergeCell ref="AC1067:AE1067"/>
    <mergeCell ref="H1068:M1068"/>
    <mergeCell ref="Q1068:S1069"/>
    <mergeCell ref="T1068:V1069"/>
    <mergeCell ref="W1068:Y1069"/>
    <mergeCell ref="Z1068:AB1068"/>
    <mergeCell ref="AC1068:AE1068"/>
    <mergeCell ref="E1069:G1069"/>
    <mergeCell ref="H1069:M1069"/>
    <mergeCell ref="Z1069:AB1069"/>
    <mergeCell ref="AC1069:AE1069"/>
    <mergeCell ref="E1070:G1071"/>
    <mergeCell ref="H1070:M1070"/>
    <mergeCell ref="Q1070:S1071"/>
    <mergeCell ref="T1070:V1071"/>
    <mergeCell ref="W1070:Y1071"/>
    <mergeCell ref="Z1070:AB1070"/>
    <mergeCell ref="E1027:F1027"/>
    <mergeCell ref="G1027:S1027"/>
    <mergeCell ref="T1027:U1027"/>
    <mergeCell ref="V1027:AH1027"/>
    <mergeCell ref="E1058:G1058"/>
    <mergeCell ref="E1061:G1062"/>
    <mergeCell ref="H1061:M1061"/>
    <mergeCell ref="Z1061:AB1061"/>
    <mergeCell ref="AC1061:AE1061"/>
    <mergeCell ref="H1062:M1062"/>
    <mergeCell ref="Z1062:AB1062"/>
    <mergeCell ref="AC1062:AE1062"/>
    <mergeCell ref="N1056:P1062"/>
    <mergeCell ref="W1056:Y1056"/>
    <mergeCell ref="Q1057:S1058"/>
    <mergeCell ref="T1057:V1058"/>
    <mergeCell ref="W1057:Y1058"/>
    <mergeCell ref="AD1028:AF1028"/>
    <mergeCell ref="H1059:M1059"/>
    <mergeCell ref="H1060:M1060"/>
    <mergeCell ref="AC1059:AE1059"/>
    <mergeCell ref="AC1060:AE1060"/>
    <mergeCell ref="Q1054:S1055"/>
    <mergeCell ref="T1054:V1055"/>
    <mergeCell ref="W1061:Y1061"/>
    <mergeCell ref="W1062:Y1062"/>
    <mergeCell ref="M1023:O1023"/>
    <mergeCell ref="P1023:S1023"/>
    <mergeCell ref="V1023:X1023"/>
    <mergeCell ref="Y1023:AA1023"/>
    <mergeCell ref="AB1023:AD1023"/>
    <mergeCell ref="AE1023:AH1023"/>
    <mergeCell ref="G1024:I1024"/>
    <mergeCell ref="J1024:L1024"/>
    <mergeCell ref="M1024:O1024"/>
    <mergeCell ref="P1024:S1024"/>
    <mergeCell ref="V1024:X1024"/>
    <mergeCell ref="Y1024:AA1024"/>
    <mergeCell ref="AB1024:AD1024"/>
    <mergeCell ref="AE1024:AH1024"/>
    <mergeCell ref="G1026:I1026"/>
    <mergeCell ref="J1026:L1026"/>
    <mergeCell ref="M1026:O1026"/>
    <mergeCell ref="P1026:S1026"/>
    <mergeCell ref="V1026:X1026"/>
    <mergeCell ref="Y1026:AA1026"/>
    <mergeCell ref="AB1026:AD1026"/>
    <mergeCell ref="AE1026:AH1026"/>
    <mergeCell ref="AE1014:AH1014"/>
    <mergeCell ref="G1015:I1015"/>
    <mergeCell ref="J1015:L1015"/>
    <mergeCell ref="M1015:O1015"/>
    <mergeCell ref="P1015:S1015"/>
    <mergeCell ref="V1015:X1015"/>
    <mergeCell ref="Y1015:AA1015"/>
    <mergeCell ref="AB1015:AD1015"/>
    <mergeCell ref="AE1015:AH1015"/>
    <mergeCell ref="G1017:I1017"/>
    <mergeCell ref="J1017:L1017"/>
    <mergeCell ref="M1017:O1017"/>
    <mergeCell ref="P1017:S1017"/>
    <mergeCell ref="V1017:X1017"/>
    <mergeCell ref="Y1017:AA1017"/>
    <mergeCell ref="AB1017:AD1017"/>
    <mergeCell ref="AE1017:AH1017"/>
    <mergeCell ref="G1002:I1002"/>
    <mergeCell ref="J1002:L1002"/>
    <mergeCell ref="M1002:O1002"/>
    <mergeCell ref="P1002:S1002"/>
    <mergeCell ref="V1002:X1002"/>
    <mergeCell ref="Y1002:AA1002"/>
    <mergeCell ref="AB1002:AD1002"/>
    <mergeCell ref="AE1002:AH1002"/>
    <mergeCell ref="E1003:F1003"/>
    <mergeCell ref="G1003:S1003"/>
    <mergeCell ref="T1003:U1003"/>
    <mergeCell ref="V1003:AH1003"/>
    <mergeCell ref="G1009:I1010"/>
    <mergeCell ref="J1009:L1010"/>
    <mergeCell ref="M1009:O1010"/>
    <mergeCell ref="P1009:S1010"/>
    <mergeCell ref="V1009:X1010"/>
    <mergeCell ref="Y1009:AA1010"/>
    <mergeCell ref="AB1009:AD1010"/>
    <mergeCell ref="AE1009:AH1010"/>
    <mergeCell ref="V998:X998"/>
    <mergeCell ref="Y998:AA998"/>
    <mergeCell ref="AB998:AD998"/>
    <mergeCell ref="AE998:AH998"/>
    <mergeCell ref="G999:I999"/>
    <mergeCell ref="J999:L999"/>
    <mergeCell ref="M999:O999"/>
    <mergeCell ref="P999:S999"/>
    <mergeCell ref="V999:X999"/>
    <mergeCell ref="Y999:AA999"/>
    <mergeCell ref="AB999:AD999"/>
    <mergeCell ref="AE999:AH999"/>
    <mergeCell ref="G1000:I1000"/>
    <mergeCell ref="J1000:L1000"/>
    <mergeCell ref="M1000:O1000"/>
    <mergeCell ref="P1000:S1000"/>
    <mergeCell ref="V1000:X1000"/>
    <mergeCell ref="Y1000:AA1000"/>
    <mergeCell ref="AB1000:AD1000"/>
    <mergeCell ref="AE1000:AH1000"/>
    <mergeCell ref="V993:X993"/>
    <mergeCell ref="Y993:AA993"/>
    <mergeCell ref="AB993:AD993"/>
    <mergeCell ref="AE993:AH993"/>
    <mergeCell ref="G994:I994"/>
    <mergeCell ref="J994:L994"/>
    <mergeCell ref="M994:O994"/>
    <mergeCell ref="P994:S994"/>
    <mergeCell ref="V994:X994"/>
    <mergeCell ref="Y994:AA994"/>
    <mergeCell ref="AB994:AD994"/>
    <mergeCell ref="AE994:AH994"/>
    <mergeCell ref="G995:I995"/>
    <mergeCell ref="J995:L995"/>
    <mergeCell ref="M995:O995"/>
    <mergeCell ref="P995:S995"/>
    <mergeCell ref="V995:X995"/>
    <mergeCell ref="Y995:AA995"/>
    <mergeCell ref="AB995:AD995"/>
    <mergeCell ref="AE995:AH995"/>
    <mergeCell ref="P989:S989"/>
    <mergeCell ref="V989:X989"/>
    <mergeCell ref="Y989:AA989"/>
    <mergeCell ref="AB989:AD989"/>
    <mergeCell ref="AE989:AH989"/>
    <mergeCell ref="G990:I990"/>
    <mergeCell ref="J990:L990"/>
    <mergeCell ref="M990:O990"/>
    <mergeCell ref="P990:S990"/>
    <mergeCell ref="V990:X990"/>
    <mergeCell ref="Y990:AA990"/>
    <mergeCell ref="AB990:AD990"/>
    <mergeCell ref="AE990:AH990"/>
    <mergeCell ref="G991:I991"/>
    <mergeCell ref="J991:L991"/>
    <mergeCell ref="M991:O991"/>
    <mergeCell ref="P991:S991"/>
    <mergeCell ref="V991:X991"/>
    <mergeCell ref="Y991:AA991"/>
    <mergeCell ref="AB991:AD991"/>
    <mergeCell ref="AE991:AH991"/>
    <mergeCell ref="G978:I978"/>
    <mergeCell ref="J978:L978"/>
    <mergeCell ref="M978:O978"/>
    <mergeCell ref="P978:S978"/>
    <mergeCell ref="V978:X978"/>
    <mergeCell ref="Y978:AA978"/>
    <mergeCell ref="AB978:AD978"/>
    <mergeCell ref="AE978:AH978"/>
    <mergeCell ref="E979:F979"/>
    <mergeCell ref="G979:S979"/>
    <mergeCell ref="T979:U979"/>
    <mergeCell ref="V979:AH979"/>
    <mergeCell ref="G985:I986"/>
    <mergeCell ref="J985:L986"/>
    <mergeCell ref="M985:O986"/>
    <mergeCell ref="P985:S986"/>
    <mergeCell ref="V985:X986"/>
    <mergeCell ref="Y985:AA986"/>
    <mergeCell ref="AB985:AD986"/>
    <mergeCell ref="AE985:AH986"/>
    <mergeCell ref="V974:X974"/>
    <mergeCell ref="Y974:AA974"/>
    <mergeCell ref="AB974:AD974"/>
    <mergeCell ref="AE974:AH974"/>
    <mergeCell ref="G975:I975"/>
    <mergeCell ref="J975:L975"/>
    <mergeCell ref="M975:O975"/>
    <mergeCell ref="P975:S975"/>
    <mergeCell ref="V975:X975"/>
    <mergeCell ref="Y975:AA975"/>
    <mergeCell ref="AB975:AD975"/>
    <mergeCell ref="AE975:AH975"/>
    <mergeCell ref="G976:I976"/>
    <mergeCell ref="J976:L976"/>
    <mergeCell ref="M976:O976"/>
    <mergeCell ref="P976:S976"/>
    <mergeCell ref="V976:X976"/>
    <mergeCell ref="Y976:AA976"/>
    <mergeCell ref="AB976:AD976"/>
    <mergeCell ref="AE976:AH976"/>
    <mergeCell ref="V969:X969"/>
    <mergeCell ref="Y969:AA969"/>
    <mergeCell ref="AB969:AD969"/>
    <mergeCell ref="AE969:AH969"/>
    <mergeCell ref="G970:I970"/>
    <mergeCell ref="J970:L970"/>
    <mergeCell ref="M970:O970"/>
    <mergeCell ref="P970:S970"/>
    <mergeCell ref="V970:X970"/>
    <mergeCell ref="Y970:AA970"/>
    <mergeCell ref="AB970:AD970"/>
    <mergeCell ref="AE970:AH970"/>
    <mergeCell ref="G971:I971"/>
    <mergeCell ref="J971:L971"/>
    <mergeCell ref="M971:O971"/>
    <mergeCell ref="P971:S971"/>
    <mergeCell ref="V971:X971"/>
    <mergeCell ref="Y971:AA971"/>
    <mergeCell ref="AB971:AD971"/>
    <mergeCell ref="AE971:AH971"/>
    <mergeCell ref="P965:S965"/>
    <mergeCell ref="V965:X965"/>
    <mergeCell ref="Y965:AA965"/>
    <mergeCell ref="AB965:AD965"/>
    <mergeCell ref="AE965:AH965"/>
    <mergeCell ref="G966:I966"/>
    <mergeCell ref="J966:L966"/>
    <mergeCell ref="M966:O966"/>
    <mergeCell ref="P966:S966"/>
    <mergeCell ref="V966:X966"/>
    <mergeCell ref="Y966:AA966"/>
    <mergeCell ref="AB966:AD966"/>
    <mergeCell ref="AE966:AH966"/>
    <mergeCell ref="G967:I967"/>
    <mergeCell ref="J967:L967"/>
    <mergeCell ref="M967:O967"/>
    <mergeCell ref="P967:S967"/>
    <mergeCell ref="V967:X967"/>
    <mergeCell ref="Y967:AA967"/>
    <mergeCell ref="AB967:AD967"/>
    <mergeCell ref="AE967:AH967"/>
    <mergeCell ref="G954:I954"/>
    <mergeCell ref="J954:L954"/>
    <mergeCell ref="M954:O954"/>
    <mergeCell ref="P954:S954"/>
    <mergeCell ref="V954:X954"/>
    <mergeCell ref="Y954:AA954"/>
    <mergeCell ref="AB954:AD954"/>
    <mergeCell ref="AE954:AH954"/>
    <mergeCell ref="E955:F955"/>
    <mergeCell ref="G955:S955"/>
    <mergeCell ref="T955:U955"/>
    <mergeCell ref="V955:AH955"/>
    <mergeCell ref="G961:I962"/>
    <mergeCell ref="J961:L962"/>
    <mergeCell ref="M961:O962"/>
    <mergeCell ref="P961:S962"/>
    <mergeCell ref="V961:X962"/>
    <mergeCell ref="Y961:AA962"/>
    <mergeCell ref="AB961:AD962"/>
    <mergeCell ref="AE961:AH962"/>
    <mergeCell ref="V950:X950"/>
    <mergeCell ref="Y950:AA950"/>
    <mergeCell ref="AB950:AD950"/>
    <mergeCell ref="AE950:AH950"/>
    <mergeCell ref="G951:I951"/>
    <mergeCell ref="J951:L951"/>
    <mergeCell ref="M951:O951"/>
    <mergeCell ref="P951:S951"/>
    <mergeCell ref="V951:X951"/>
    <mergeCell ref="Y951:AA951"/>
    <mergeCell ref="AB951:AD951"/>
    <mergeCell ref="AE951:AH951"/>
    <mergeCell ref="G952:I952"/>
    <mergeCell ref="J952:L952"/>
    <mergeCell ref="M952:O952"/>
    <mergeCell ref="P952:S952"/>
    <mergeCell ref="V952:X952"/>
    <mergeCell ref="Y952:AA952"/>
    <mergeCell ref="AB952:AD952"/>
    <mergeCell ref="AE952:AH952"/>
    <mergeCell ref="V945:X945"/>
    <mergeCell ref="Y945:AA945"/>
    <mergeCell ref="AB945:AD945"/>
    <mergeCell ref="AE945:AH945"/>
    <mergeCell ref="G946:I946"/>
    <mergeCell ref="J946:L946"/>
    <mergeCell ref="M946:O946"/>
    <mergeCell ref="P946:S946"/>
    <mergeCell ref="V946:X946"/>
    <mergeCell ref="Y946:AA946"/>
    <mergeCell ref="AB946:AD946"/>
    <mergeCell ref="AE946:AH946"/>
    <mergeCell ref="G947:I947"/>
    <mergeCell ref="J947:L947"/>
    <mergeCell ref="M947:O947"/>
    <mergeCell ref="P947:S947"/>
    <mergeCell ref="V947:X947"/>
    <mergeCell ref="Y947:AA947"/>
    <mergeCell ref="AB947:AD947"/>
    <mergeCell ref="AE947:AH947"/>
    <mergeCell ref="P941:S941"/>
    <mergeCell ref="V941:X941"/>
    <mergeCell ref="Y941:AA941"/>
    <mergeCell ref="AB941:AD941"/>
    <mergeCell ref="AE941:AH941"/>
    <mergeCell ref="G942:I942"/>
    <mergeCell ref="J942:L942"/>
    <mergeCell ref="M942:O942"/>
    <mergeCell ref="P942:S942"/>
    <mergeCell ref="V942:X942"/>
    <mergeCell ref="Y942:AA942"/>
    <mergeCell ref="AB942:AD942"/>
    <mergeCell ref="AE942:AH942"/>
    <mergeCell ref="G943:I943"/>
    <mergeCell ref="J943:L943"/>
    <mergeCell ref="M943:O943"/>
    <mergeCell ref="P943:S943"/>
    <mergeCell ref="V943:X943"/>
    <mergeCell ref="Y943:AA943"/>
    <mergeCell ref="AB943:AD943"/>
    <mergeCell ref="AE943:AH943"/>
    <mergeCell ref="G930:I930"/>
    <mergeCell ref="J930:L930"/>
    <mergeCell ref="M930:O930"/>
    <mergeCell ref="P930:S930"/>
    <mergeCell ref="V930:X930"/>
    <mergeCell ref="Y930:AA930"/>
    <mergeCell ref="AB930:AD930"/>
    <mergeCell ref="AE930:AH930"/>
    <mergeCell ref="E931:F931"/>
    <mergeCell ref="G931:S931"/>
    <mergeCell ref="T931:U931"/>
    <mergeCell ref="V931:AH931"/>
    <mergeCell ref="G937:I938"/>
    <mergeCell ref="J937:L938"/>
    <mergeCell ref="M937:O938"/>
    <mergeCell ref="P937:S938"/>
    <mergeCell ref="V937:X938"/>
    <mergeCell ref="Y937:AA938"/>
    <mergeCell ref="AB937:AD938"/>
    <mergeCell ref="AE937:AH938"/>
    <mergeCell ref="V926:X926"/>
    <mergeCell ref="Y926:AA926"/>
    <mergeCell ref="AB926:AD926"/>
    <mergeCell ref="AE926:AH926"/>
    <mergeCell ref="G927:I927"/>
    <mergeCell ref="J927:L927"/>
    <mergeCell ref="M927:O927"/>
    <mergeCell ref="P927:S927"/>
    <mergeCell ref="V927:X927"/>
    <mergeCell ref="Y927:AA927"/>
    <mergeCell ref="AB927:AD927"/>
    <mergeCell ref="AE927:AH927"/>
    <mergeCell ref="G928:I928"/>
    <mergeCell ref="J928:L928"/>
    <mergeCell ref="M928:O928"/>
    <mergeCell ref="P928:S928"/>
    <mergeCell ref="V928:X928"/>
    <mergeCell ref="Y928:AA928"/>
    <mergeCell ref="AB928:AD928"/>
    <mergeCell ref="AE928:AH928"/>
    <mergeCell ref="V921:X921"/>
    <mergeCell ref="Y921:AA921"/>
    <mergeCell ref="AB921:AD921"/>
    <mergeCell ref="AE921:AH921"/>
    <mergeCell ref="G922:I922"/>
    <mergeCell ref="J922:L922"/>
    <mergeCell ref="M922:O922"/>
    <mergeCell ref="P922:S922"/>
    <mergeCell ref="V922:X922"/>
    <mergeCell ref="Y922:AA922"/>
    <mergeCell ref="AB922:AD922"/>
    <mergeCell ref="AE922:AH922"/>
    <mergeCell ref="G923:I923"/>
    <mergeCell ref="J923:L923"/>
    <mergeCell ref="M923:O923"/>
    <mergeCell ref="P923:S923"/>
    <mergeCell ref="V923:X923"/>
    <mergeCell ref="Y923:AA923"/>
    <mergeCell ref="AB923:AD923"/>
    <mergeCell ref="AE923:AH923"/>
    <mergeCell ref="P917:S917"/>
    <mergeCell ref="V917:X917"/>
    <mergeCell ref="Y917:AA917"/>
    <mergeCell ref="AB917:AD917"/>
    <mergeCell ref="AE917:AH917"/>
    <mergeCell ref="G918:I918"/>
    <mergeCell ref="J918:L918"/>
    <mergeCell ref="M918:O918"/>
    <mergeCell ref="P918:S918"/>
    <mergeCell ref="V918:X918"/>
    <mergeCell ref="Y918:AA918"/>
    <mergeCell ref="AB918:AD918"/>
    <mergeCell ref="AE918:AH918"/>
    <mergeCell ref="G919:I919"/>
    <mergeCell ref="J919:L919"/>
    <mergeCell ref="M919:O919"/>
    <mergeCell ref="P919:S919"/>
    <mergeCell ref="V919:X919"/>
    <mergeCell ref="Y919:AA919"/>
    <mergeCell ref="AB919:AD919"/>
    <mergeCell ref="AE919:AH919"/>
    <mergeCell ref="G906:I906"/>
    <mergeCell ref="J906:L906"/>
    <mergeCell ref="M906:O906"/>
    <mergeCell ref="P906:S906"/>
    <mergeCell ref="V906:X906"/>
    <mergeCell ref="Y906:AA906"/>
    <mergeCell ref="AB906:AD906"/>
    <mergeCell ref="AE906:AH906"/>
    <mergeCell ref="E907:F907"/>
    <mergeCell ref="G907:S907"/>
    <mergeCell ref="T907:U907"/>
    <mergeCell ref="V907:AH907"/>
    <mergeCell ref="G913:I914"/>
    <mergeCell ref="J913:L914"/>
    <mergeCell ref="M913:O914"/>
    <mergeCell ref="P913:S914"/>
    <mergeCell ref="V913:X914"/>
    <mergeCell ref="Y913:AA914"/>
    <mergeCell ref="AB913:AD914"/>
    <mergeCell ref="AE913:AH914"/>
    <mergeCell ref="V902:X902"/>
    <mergeCell ref="Y902:AA902"/>
    <mergeCell ref="AB902:AD902"/>
    <mergeCell ref="AE902:AH902"/>
    <mergeCell ref="G903:I903"/>
    <mergeCell ref="J903:L903"/>
    <mergeCell ref="M903:O903"/>
    <mergeCell ref="P903:S903"/>
    <mergeCell ref="V903:X903"/>
    <mergeCell ref="Y903:AA903"/>
    <mergeCell ref="AB903:AD903"/>
    <mergeCell ref="AE903:AH903"/>
    <mergeCell ref="G904:I904"/>
    <mergeCell ref="J904:L904"/>
    <mergeCell ref="M904:O904"/>
    <mergeCell ref="P904:S904"/>
    <mergeCell ref="V904:X904"/>
    <mergeCell ref="Y904:AA904"/>
    <mergeCell ref="AB904:AD904"/>
    <mergeCell ref="AE904:AH904"/>
    <mergeCell ref="V897:X897"/>
    <mergeCell ref="Y897:AA897"/>
    <mergeCell ref="AB897:AD897"/>
    <mergeCell ref="AE897:AH897"/>
    <mergeCell ref="G898:I898"/>
    <mergeCell ref="J898:L898"/>
    <mergeCell ref="M898:O898"/>
    <mergeCell ref="P898:S898"/>
    <mergeCell ref="V898:X898"/>
    <mergeCell ref="Y898:AA898"/>
    <mergeCell ref="AB898:AD898"/>
    <mergeCell ref="AE898:AH898"/>
    <mergeCell ref="G899:I899"/>
    <mergeCell ref="J899:L899"/>
    <mergeCell ref="M899:O899"/>
    <mergeCell ref="P899:S899"/>
    <mergeCell ref="V899:X899"/>
    <mergeCell ref="Y899:AA899"/>
    <mergeCell ref="AB899:AD899"/>
    <mergeCell ref="AE899:AH899"/>
    <mergeCell ref="P893:S893"/>
    <mergeCell ref="V893:X893"/>
    <mergeCell ref="Y893:AA893"/>
    <mergeCell ref="AB893:AD893"/>
    <mergeCell ref="AE893:AH893"/>
    <mergeCell ref="G894:I894"/>
    <mergeCell ref="J894:L894"/>
    <mergeCell ref="M894:O894"/>
    <mergeCell ref="P894:S894"/>
    <mergeCell ref="V894:X894"/>
    <mergeCell ref="Y894:AA894"/>
    <mergeCell ref="AB894:AD894"/>
    <mergeCell ref="AE894:AH894"/>
    <mergeCell ref="G895:I895"/>
    <mergeCell ref="J895:L895"/>
    <mergeCell ref="M895:O895"/>
    <mergeCell ref="P895:S895"/>
    <mergeCell ref="V895:X895"/>
    <mergeCell ref="Y895:AA895"/>
    <mergeCell ref="AB895:AD895"/>
    <mergeCell ref="AE895:AH895"/>
    <mergeCell ref="G882:I882"/>
    <mergeCell ref="J882:L882"/>
    <mergeCell ref="M882:O882"/>
    <mergeCell ref="P882:S882"/>
    <mergeCell ref="V882:X882"/>
    <mergeCell ref="Y882:AA882"/>
    <mergeCell ref="AB882:AD882"/>
    <mergeCell ref="AE882:AH882"/>
    <mergeCell ref="E883:F883"/>
    <mergeCell ref="G883:S883"/>
    <mergeCell ref="T883:U883"/>
    <mergeCell ref="V883:AH883"/>
    <mergeCell ref="G889:I890"/>
    <mergeCell ref="J889:L890"/>
    <mergeCell ref="M889:O890"/>
    <mergeCell ref="P889:S890"/>
    <mergeCell ref="V889:X890"/>
    <mergeCell ref="Y889:AA890"/>
    <mergeCell ref="AB889:AD890"/>
    <mergeCell ref="AE889:AH890"/>
    <mergeCell ref="V878:X878"/>
    <mergeCell ref="Y878:AA878"/>
    <mergeCell ref="AB878:AD878"/>
    <mergeCell ref="AE878:AH878"/>
    <mergeCell ref="G879:I879"/>
    <mergeCell ref="J879:L879"/>
    <mergeCell ref="M879:O879"/>
    <mergeCell ref="P879:S879"/>
    <mergeCell ref="V879:X879"/>
    <mergeCell ref="Y879:AA879"/>
    <mergeCell ref="AB879:AD879"/>
    <mergeCell ref="AE879:AH879"/>
    <mergeCell ref="G880:I880"/>
    <mergeCell ref="J880:L880"/>
    <mergeCell ref="M880:O880"/>
    <mergeCell ref="P880:S880"/>
    <mergeCell ref="V880:X880"/>
    <mergeCell ref="Y880:AA880"/>
    <mergeCell ref="AB880:AD880"/>
    <mergeCell ref="AE880:AH880"/>
    <mergeCell ref="V873:X873"/>
    <mergeCell ref="Y873:AA873"/>
    <mergeCell ref="AB873:AD873"/>
    <mergeCell ref="AE873:AH873"/>
    <mergeCell ref="G874:I874"/>
    <mergeCell ref="J874:L874"/>
    <mergeCell ref="M874:O874"/>
    <mergeCell ref="P874:S874"/>
    <mergeCell ref="V874:X874"/>
    <mergeCell ref="Y874:AA874"/>
    <mergeCell ref="AB874:AD874"/>
    <mergeCell ref="AE874:AH874"/>
    <mergeCell ref="G875:I875"/>
    <mergeCell ref="J875:L875"/>
    <mergeCell ref="M875:O875"/>
    <mergeCell ref="P875:S875"/>
    <mergeCell ref="V875:X875"/>
    <mergeCell ref="Y875:AA875"/>
    <mergeCell ref="AB875:AD875"/>
    <mergeCell ref="AE875:AH875"/>
    <mergeCell ref="V869:X869"/>
    <mergeCell ref="Y869:AA869"/>
    <mergeCell ref="AB869:AD869"/>
    <mergeCell ref="AE869:AH869"/>
    <mergeCell ref="G870:I870"/>
    <mergeCell ref="J870:L870"/>
    <mergeCell ref="M870:O870"/>
    <mergeCell ref="P870:S870"/>
    <mergeCell ref="V870:X870"/>
    <mergeCell ref="Y870:AA870"/>
    <mergeCell ref="AB870:AD870"/>
    <mergeCell ref="AE870:AH870"/>
    <mergeCell ref="G871:I871"/>
    <mergeCell ref="J871:L871"/>
    <mergeCell ref="M871:O871"/>
    <mergeCell ref="P871:S871"/>
    <mergeCell ref="V871:X871"/>
    <mergeCell ref="Y871:AA871"/>
    <mergeCell ref="AB871:AD871"/>
    <mergeCell ref="AE871:AH871"/>
    <mergeCell ref="V855:X855"/>
    <mergeCell ref="Y855:AA855"/>
    <mergeCell ref="AB855:AD855"/>
    <mergeCell ref="AE855:AH855"/>
    <mergeCell ref="V856:X856"/>
    <mergeCell ref="Y856:AA856"/>
    <mergeCell ref="AB856:AD856"/>
    <mergeCell ref="AE856:AH856"/>
    <mergeCell ref="V857:X857"/>
    <mergeCell ref="Y857:AA857"/>
    <mergeCell ref="AB857:AD857"/>
    <mergeCell ref="AE857:AH857"/>
    <mergeCell ref="V859:AH859"/>
    <mergeCell ref="G865:I866"/>
    <mergeCell ref="J865:L866"/>
    <mergeCell ref="M865:O866"/>
    <mergeCell ref="P865:S866"/>
    <mergeCell ref="V865:X866"/>
    <mergeCell ref="Y865:AA866"/>
    <mergeCell ref="AB865:AD866"/>
    <mergeCell ref="AE865:AH866"/>
    <mergeCell ref="J854:L854"/>
    <mergeCell ref="Y847:AA847"/>
    <mergeCell ref="AB847:AD847"/>
    <mergeCell ref="AE847:AH847"/>
    <mergeCell ref="V848:X848"/>
    <mergeCell ref="Y848:AA848"/>
    <mergeCell ref="AB848:AD848"/>
    <mergeCell ref="AE848:AH848"/>
    <mergeCell ref="V849:X849"/>
    <mergeCell ref="Y849:AA849"/>
    <mergeCell ref="AB849:AD849"/>
    <mergeCell ref="AE849:AH849"/>
    <mergeCell ref="V850:X850"/>
    <mergeCell ref="Y850:AA850"/>
    <mergeCell ref="AB850:AD850"/>
    <mergeCell ref="AE850:AH850"/>
    <mergeCell ref="V851:X851"/>
    <mergeCell ref="Y851:AA851"/>
    <mergeCell ref="AB851:AD851"/>
    <mergeCell ref="AE851:AH851"/>
    <mergeCell ref="Y853:AA853"/>
    <mergeCell ref="AB853:AD853"/>
    <mergeCell ref="AE853:AH853"/>
    <mergeCell ref="V854:X854"/>
    <mergeCell ref="Y854:AA854"/>
    <mergeCell ref="AB854:AD854"/>
    <mergeCell ref="AE854:AH854"/>
    <mergeCell ref="E1026:F1026"/>
    <mergeCell ref="T1026:U1026"/>
    <mergeCell ref="G1025:I1025"/>
    <mergeCell ref="J1025:L1025"/>
    <mergeCell ref="M1025:O1025"/>
    <mergeCell ref="P1025:S1025"/>
    <mergeCell ref="E1018:F1018"/>
    <mergeCell ref="T1018:U1018"/>
    <mergeCell ref="E1019:F1019"/>
    <mergeCell ref="T1019:U1019"/>
    <mergeCell ref="E1020:F1020"/>
    <mergeCell ref="T1020:U1020"/>
    <mergeCell ref="G1020:I1020"/>
    <mergeCell ref="J1020:L1020"/>
    <mergeCell ref="M1020:O1020"/>
    <mergeCell ref="P1020:S1020"/>
    <mergeCell ref="E1012:F1012"/>
    <mergeCell ref="T1012:U1012"/>
    <mergeCell ref="E1013:F1013"/>
    <mergeCell ref="T1013:U1013"/>
    <mergeCell ref="G1013:I1013"/>
    <mergeCell ref="J1013:L1013"/>
    <mergeCell ref="M1013:O1013"/>
    <mergeCell ref="P1013:S1013"/>
    <mergeCell ref="G1014:I1014"/>
    <mergeCell ref="J1014:L1014"/>
    <mergeCell ref="M1014:O1014"/>
    <mergeCell ref="P1014:S1014"/>
    <mergeCell ref="G1018:I1018"/>
    <mergeCell ref="J1018:L1018"/>
    <mergeCell ref="M1018:O1018"/>
    <mergeCell ref="P1018:S1018"/>
    <mergeCell ref="V1025:X1025"/>
    <mergeCell ref="Y1025:AA1025"/>
    <mergeCell ref="AB1025:AD1025"/>
    <mergeCell ref="AE1025:AH1025"/>
    <mergeCell ref="E1021:F1021"/>
    <mergeCell ref="T1021:U1021"/>
    <mergeCell ref="E1022:F1022"/>
    <mergeCell ref="T1022:U1022"/>
    <mergeCell ref="E1023:F1023"/>
    <mergeCell ref="T1023:U1023"/>
    <mergeCell ref="G1021:I1021"/>
    <mergeCell ref="J1021:L1021"/>
    <mergeCell ref="M1021:O1021"/>
    <mergeCell ref="P1021:S1021"/>
    <mergeCell ref="V1021:X1021"/>
    <mergeCell ref="Y1021:AA1021"/>
    <mergeCell ref="AB1021:AD1021"/>
    <mergeCell ref="AE1021:AH1021"/>
    <mergeCell ref="E1024:F1024"/>
    <mergeCell ref="T1024:U1024"/>
    <mergeCell ref="E1025:F1025"/>
    <mergeCell ref="T1025:U1025"/>
    <mergeCell ref="G1022:I1022"/>
    <mergeCell ref="J1022:L1022"/>
    <mergeCell ref="M1022:O1022"/>
    <mergeCell ref="P1022:S1022"/>
    <mergeCell ref="V1022:X1022"/>
    <mergeCell ref="Y1022:AA1022"/>
    <mergeCell ref="AB1022:AD1022"/>
    <mergeCell ref="AE1022:AH1022"/>
    <mergeCell ref="G1023:I1023"/>
    <mergeCell ref="J1023:L1023"/>
    <mergeCell ref="V1020:X1020"/>
    <mergeCell ref="Y1020:AA1020"/>
    <mergeCell ref="AB1020:AD1020"/>
    <mergeCell ref="AE1020:AH1020"/>
    <mergeCell ref="E1015:F1015"/>
    <mergeCell ref="T1015:U1015"/>
    <mergeCell ref="E1016:F1016"/>
    <mergeCell ref="T1016:U1016"/>
    <mergeCell ref="E1017:F1017"/>
    <mergeCell ref="T1017:U1017"/>
    <mergeCell ref="G1016:I1016"/>
    <mergeCell ref="J1016:L1016"/>
    <mergeCell ref="M1016:O1016"/>
    <mergeCell ref="P1016:S1016"/>
    <mergeCell ref="V1016:X1016"/>
    <mergeCell ref="Y1016:AA1016"/>
    <mergeCell ref="AB1016:AD1016"/>
    <mergeCell ref="AE1016:AH1016"/>
    <mergeCell ref="V1018:X1018"/>
    <mergeCell ref="Y1018:AA1018"/>
    <mergeCell ref="AB1018:AD1018"/>
    <mergeCell ref="AE1018:AH1018"/>
    <mergeCell ref="G1019:I1019"/>
    <mergeCell ref="J1019:L1019"/>
    <mergeCell ref="M1019:O1019"/>
    <mergeCell ref="P1019:S1019"/>
    <mergeCell ref="V1019:X1019"/>
    <mergeCell ref="Y1019:AA1019"/>
    <mergeCell ref="AB1019:AD1019"/>
    <mergeCell ref="AE1019:AH1019"/>
    <mergeCell ref="E1014:F1014"/>
    <mergeCell ref="T1014:U1014"/>
    <mergeCell ref="G1012:I1012"/>
    <mergeCell ref="J1012:L1012"/>
    <mergeCell ref="M1012:O1012"/>
    <mergeCell ref="P1012:S1012"/>
    <mergeCell ref="V1012:X1012"/>
    <mergeCell ref="Y1012:AA1012"/>
    <mergeCell ref="AB1012:AD1012"/>
    <mergeCell ref="AE1012:AH1012"/>
    <mergeCell ref="AD1004:AF1004"/>
    <mergeCell ref="E1008:S1008"/>
    <mergeCell ref="T1008:AH1008"/>
    <mergeCell ref="E1009:F1010"/>
    <mergeCell ref="T1009:U1010"/>
    <mergeCell ref="E1011:F1011"/>
    <mergeCell ref="T1011:U1011"/>
    <mergeCell ref="G1011:I1011"/>
    <mergeCell ref="J1011:L1011"/>
    <mergeCell ref="M1011:O1011"/>
    <mergeCell ref="P1011:S1011"/>
    <mergeCell ref="V1011:X1011"/>
    <mergeCell ref="Y1011:AA1011"/>
    <mergeCell ref="AB1011:AD1011"/>
    <mergeCell ref="AE1011:AH1011"/>
    <mergeCell ref="V1013:X1013"/>
    <mergeCell ref="Y1013:AA1013"/>
    <mergeCell ref="AB1013:AD1013"/>
    <mergeCell ref="AE1013:AH1013"/>
    <mergeCell ref="V1014:X1014"/>
    <mergeCell ref="Y1014:AA1014"/>
    <mergeCell ref="AB1014:AD1014"/>
    <mergeCell ref="E1000:F1000"/>
    <mergeCell ref="T1000:U1000"/>
    <mergeCell ref="E1001:F1001"/>
    <mergeCell ref="T1001:U1001"/>
    <mergeCell ref="E1002:F1002"/>
    <mergeCell ref="T1002:U1002"/>
    <mergeCell ref="G1001:I1001"/>
    <mergeCell ref="J1001:L1001"/>
    <mergeCell ref="M1001:O1001"/>
    <mergeCell ref="P1001:S1001"/>
    <mergeCell ref="V1001:X1001"/>
    <mergeCell ref="Y1001:AA1001"/>
    <mergeCell ref="AB1001:AD1001"/>
    <mergeCell ref="AE1001:AH1001"/>
    <mergeCell ref="E997:F997"/>
    <mergeCell ref="T997:U997"/>
    <mergeCell ref="E998:F998"/>
    <mergeCell ref="T998:U998"/>
    <mergeCell ref="E999:F999"/>
    <mergeCell ref="T999:U999"/>
    <mergeCell ref="G997:I997"/>
    <mergeCell ref="J997:L997"/>
    <mergeCell ref="M997:O997"/>
    <mergeCell ref="P997:S997"/>
    <mergeCell ref="V997:X997"/>
    <mergeCell ref="Y997:AA997"/>
    <mergeCell ref="AB997:AD997"/>
    <mergeCell ref="AE997:AH997"/>
    <mergeCell ref="G998:I998"/>
    <mergeCell ref="J998:L998"/>
    <mergeCell ref="M998:O998"/>
    <mergeCell ref="P998:S998"/>
    <mergeCell ref="E994:F994"/>
    <mergeCell ref="T994:U994"/>
    <mergeCell ref="E995:F995"/>
    <mergeCell ref="T995:U995"/>
    <mergeCell ref="E996:F996"/>
    <mergeCell ref="T996:U996"/>
    <mergeCell ref="G996:I996"/>
    <mergeCell ref="J996:L996"/>
    <mergeCell ref="M996:O996"/>
    <mergeCell ref="P996:S996"/>
    <mergeCell ref="V996:X996"/>
    <mergeCell ref="Y996:AA996"/>
    <mergeCell ref="AB996:AD996"/>
    <mergeCell ref="AE996:AH996"/>
    <mergeCell ref="E991:F991"/>
    <mergeCell ref="T991:U991"/>
    <mergeCell ref="E992:F992"/>
    <mergeCell ref="T992:U992"/>
    <mergeCell ref="E993:F993"/>
    <mergeCell ref="T993:U993"/>
    <mergeCell ref="G992:I992"/>
    <mergeCell ref="J992:L992"/>
    <mergeCell ref="M992:O992"/>
    <mergeCell ref="P992:S992"/>
    <mergeCell ref="V992:X992"/>
    <mergeCell ref="Y992:AA992"/>
    <mergeCell ref="AB992:AD992"/>
    <mergeCell ref="AE992:AH992"/>
    <mergeCell ref="G993:I993"/>
    <mergeCell ref="J993:L993"/>
    <mergeCell ref="M993:O993"/>
    <mergeCell ref="P993:S993"/>
    <mergeCell ref="E988:F988"/>
    <mergeCell ref="T988:U988"/>
    <mergeCell ref="E989:F989"/>
    <mergeCell ref="T989:U989"/>
    <mergeCell ref="E990:F990"/>
    <mergeCell ref="T990:U990"/>
    <mergeCell ref="G988:I988"/>
    <mergeCell ref="J988:L988"/>
    <mergeCell ref="M988:O988"/>
    <mergeCell ref="P988:S988"/>
    <mergeCell ref="V988:X988"/>
    <mergeCell ref="Y988:AA988"/>
    <mergeCell ref="AB988:AD988"/>
    <mergeCell ref="AE988:AH988"/>
    <mergeCell ref="AD980:AF980"/>
    <mergeCell ref="E984:S984"/>
    <mergeCell ref="T984:AH984"/>
    <mergeCell ref="E985:F986"/>
    <mergeCell ref="T985:U986"/>
    <mergeCell ref="E987:F987"/>
    <mergeCell ref="T987:U987"/>
    <mergeCell ref="G987:I987"/>
    <mergeCell ref="J987:L987"/>
    <mergeCell ref="M987:O987"/>
    <mergeCell ref="P987:S987"/>
    <mergeCell ref="V987:X987"/>
    <mergeCell ref="Y987:AA987"/>
    <mergeCell ref="AB987:AD987"/>
    <mergeCell ref="AE987:AH987"/>
    <mergeCell ref="G989:I989"/>
    <mergeCell ref="J989:L989"/>
    <mergeCell ref="M989:O989"/>
    <mergeCell ref="E976:F976"/>
    <mergeCell ref="T976:U976"/>
    <mergeCell ref="E977:F977"/>
    <mergeCell ref="T977:U977"/>
    <mergeCell ref="E978:F978"/>
    <mergeCell ref="T978:U978"/>
    <mergeCell ref="G977:I977"/>
    <mergeCell ref="J977:L977"/>
    <mergeCell ref="M977:O977"/>
    <mergeCell ref="P977:S977"/>
    <mergeCell ref="V977:X977"/>
    <mergeCell ref="Y977:AA977"/>
    <mergeCell ref="AB977:AD977"/>
    <mergeCell ref="AE977:AH977"/>
    <mergeCell ref="E973:F973"/>
    <mergeCell ref="T973:U973"/>
    <mergeCell ref="E974:F974"/>
    <mergeCell ref="T974:U974"/>
    <mergeCell ref="E975:F975"/>
    <mergeCell ref="T975:U975"/>
    <mergeCell ref="G973:I973"/>
    <mergeCell ref="J973:L973"/>
    <mergeCell ref="M973:O973"/>
    <mergeCell ref="P973:S973"/>
    <mergeCell ref="V973:X973"/>
    <mergeCell ref="Y973:AA973"/>
    <mergeCell ref="AB973:AD973"/>
    <mergeCell ref="AE973:AH973"/>
    <mergeCell ref="G974:I974"/>
    <mergeCell ref="J974:L974"/>
    <mergeCell ref="M974:O974"/>
    <mergeCell ref="P974:S974"/>
    <mergeCell ref="E970:F970"/>
    <mergeCell ref="T970:U970"/>
    <mergeCell ref="E971:F971"/>
    <mergeCell ref="T971:U971"/>
    <mergeCell ref="E972:F972"/>
    <mergeCell ref="T972:U972"/>
    <mergeCell ref="G972:I972"/>
    <mergeCell ref="J972:L972"/>
    <mergeCell ref="M972:O972"/>
    <mergeCell ref="P972:S972"/>
    <mergeCell ref="V972:X972"/>
    <mergeCell ref="Y972:AA972"/>
    <mergeCell ref="AB972:AD972"/>
    <mergeCell ref="AE972:AH972"/>
    <mergeCell ref="E967:F967"/>
    <mergeCell ref="T967:U967"/>
    <mergeCell ref="E968:F968"/>
    <mergeCell ref="T968:U968"/>
    <mergeCell ref="E969:F969"/>
    <mergeCell ref="T969:U969"/>
    <mergeCell ref="G968:I968"/>
    <mergeCell ref="J968:L968"/>
    <mergeCell ref="M968:O968"/>
    <mergeCell ref="P968:S968"/>
    <mergeCell ref="V968:X968"/>
    <mergeCell ref="Y968:AA968"/>
    <mergeCell ref="AB968:AD968"/>
    <mergeCell ref="AE968:AH968"/>
    <mergeCell ref="G969:I969"/>
    <mergeCell ref="J969:L969"/>
    <mergeCell ref="M969:O969"/>
    <mergeCell ref="P969:S969"/>
    <mergeCell ref="E964:F964"/>
    <mergeCell ref="T964:U964"/>
    <mergeCell ref="E965:F965"/>
    <mergeCell ref="T965:U965"/>
    <mergeCell ref="E966:F966"/>
    <mergeCell ref="T966:U966"/>
    <mergeCell ref="G964:I964"/>
    <mergeCell ref="J964:L964"/>
    <mergeCell ref="M964:O964"/>
    <mergeCell ref="P964:S964"/>
    <mergeCell ref="V964:X964"/>
    <mergeCell ref="Y964:AA964"/>
    <mergeCell ref="AB964:AD964"/>
    <mergeCell ref="AE964:AH964"/>
    <mergeCell ref="AD956:AF956"/>
    <mergeCell ref="E960:S960"/>
    <mergeCell ref="T960:AH960"/>
    <mergeCell ref="E961:F962"/>
    <mergeCell ref="T961:U962"/>
    <mergeCell ref="E963:F963"/>
    <mergeCell ref="T963:U963"/>
    <mergeCell ref="G963:I963"/>
    <mergeCell ref="J963:L963"/>
    <mergeCell ref="M963:O963"/>
    <mergeCell ref="P963:S963"/>
    <mergeCell ref="V963:X963"/>
    <mergeCell ref="Y963:AA963"/>
    <mergeCell ref="AB963:AD963"/>
    <mergeCell ref="AE963:AH963"/>
    <mergeCell ref="G965:I965"/>
    <mergeCell ref="J965:L965"/>
    <mergeCell ref="M965:O965"/>
    <mergeCell ref="E952:F952"/>
    <mergeCell ref="T952:U952"/>
    <mergeCell ref="E953:F953"/>
    <mergeCell ref="T953:U953"/>
    <mergeCell ref="E954:F954"/>
    <mergeCell ref="T954:U954"/>
    <mergeCell ref="G953:I953"/>
    <mergeCell ref="J953:L953"/>
    <mergeCell ref="M953:O953"/>
    <mergeCell ref="P953:S953"/>
    <mergeCell ref="V953:X953"/>
    <mergeCell ref="Y953:AA953"/>
    <mergeCell ref="AB953:AD953"/>
    <mergeCell ref="AE953:AH953"/>
    <mergeCell ref="E949:F949"/>
    <mergeCell ref="T949:U949"/>
    <mergeCell ref="E950:F950"/>
    <mergeCell ref="T950:U950"/>
    <mergeCell ref="E951:F951"/>
    <mergeCell ref="T951:U951"/>
    <mergeCell ref="G949:I949"/>
    <mergeCell ref="J949:L949"/>
    <mergeCell ref="M949:O949"/>
    <mergeCell ref="P949:S949"/>
    <mergeCell ref="V949:X949"/>
    <mergeCell ref="Y949:AA949"/>
    <mergeCell ref="AB949:AD949"/>
    <mergeCell ref="AE949:AH949"/>
    <mergeCell ref="G950:I950"/>
    <mergeCell ref="J950:L950"/>
    <mergeCell ref="M950:O950"/>
    <mergeCell ref="P950:S950"/>
    <mergeCell ref="E946:F946"/>
    <mergeCell ref="T946:U946"/>
    <mergeCell ref="E947:F947"/>
    <mergeCell ref="T947:U947"/>
    <mergeCell ref="E948:F948"/>
    <mergeCell ref="T948:U948"/>
    <mergeCell ref="G948:I948"/>
    <mergeCell ref="J948:L948"/>
    <mergeCell ref="M948:O948"/>
    <mergeCell ref="P948:S948"/>
    <mergeCell ref="V948:X948"/>
    <mergeCell ref="Y948:AA948"/>
    <mergeCell ref="AB948:AD948"/>
    <mergeCell ref="AE948:AH948"/>
    <mergeCell ref="E943:F943"/>
    <mergeCell ref="T943:U943"/>
    <mergeCell ref="E944:F944"/>
    <mergeCell ref="T944:U944"/>
    <mergeCell ref="E945:F945"/>
    <mergeCell ref="T945:U945"/>
    <mergeCell ref="G944:I944"/>
    <mergeCell ref="J944:L944"/>
    <mergeCell ref="M944:O944"/>
    <mergeCell ref="P944:S944"/>
    <mergeCell ref="V944:X944"/>
    <mergeCell ref="Y944:AA944"/>
    <mergeCell ref="AB944:AD944"/>
    <mergeCell ref="AE944:AH944"/>
    <mergeCell ref="G945:I945"/>
    <mergeCell ref="J945:L945"/>
    <mergeCell ref="M945:O945"/>
    <mergeCell ref="P945:S945"/>
    <mergeCell ref="E940:F940"/>
    <mergeCell ref="T940:U940"/>
    <mergeCell ref="E941:F941"/>
    <mergeCell ref="T941:U941"/>
    <mergeCell ref="E942:F942"/>
    <mergeCell ref="T942:U942"/>
    <mergeCell ref="G940:I940"/>
    <mergeCell ref="J940:L940"/>
    <mergeCell ref="M940:O940"/>
    <mergeCell ref="P940:S940"/>
    <mergeCell ref="V940:X940"/>
    <mergeCell ref="Y940:AA940"/>
    <mergeCell ref="AB940:AD940"/>
    <mergeCell ref="AE940:AH940"/>
    <mergeCell ref="AD932:AF932"/>
    <mergeCell ref="E936:S936"/>
    <mergeCell ref="T936:AH936"/>
    <mergeCell ref="E937:F938"/>
    <mergeCell ref="T937:U938"/>
    <mergeCell ref="E939:F939"/>
    <mergeCell ref="T939:U939"/>
    <mergeCell ref="G939:I939"/>
    <mergeCell ref="J939:L939"/>
    <mergeCell ref="M939:O939"/>
    <mergeCell ref="P939:S939"/>
    <mergeCell ref="V939:X939"/>
    <mergeCell ref="Y939:AA939"/>
    <mergeCell ref="AB939:AD939"/>
    <mergeCell ref="AE939:AH939"/>
    <mergeCell ref="G941:I941"/>
    <mergeCell ref="J941:L941"/>
    <mergeCell ref="M941:O941"/>
    <mergeCell ref="E928:F928"/>
    <mergeCell ref="T928:U928"/>
    <mergeCell ref="E929:F929"/>
    <mergeCell ref="T929:U929"/>
    <mergeCell ref="E930:F930"/>
    <mergeCell ref="T930:U930"/>
    <mergeCell ref="G929:I929"/>
    <mergeCell ref="J929:L929"/>
    <mergeCell ref="M929:O929"/>
    <mergeCell ref="P929:S929"/>
    <mergeCell ref="V929:X929"/>
    <mergeCell ref="Y929:AA929"/>
    <mergeCell ref="AB929:AD929"/>
    <mergeCell ref="AE929:AH929"/>
    <mergeCell ref="E925:F925"/>
    <mergeCell ref="T925:U925"/>
    <mergeCell ref="E926:F926"/>
    <mergeCell ref="T926:U926"/>
    <mergeCell ref="E927:F927"/>
    <mergeCell ref="T927:U927"/>
    <mergeCell ref="G925:I925"/>
    <mergeCell ref="J925:L925"/>
    <mergeCell ref="M925:O925"/>
    <mergeCell ref="P925:S925"/>
    <mergeCell ref="V925:X925"/>
    <mergeCell ref="Y925:AA925"/>
    <mergeCell ref="AB925:AD925"/>
    <mergeCell ref="AE925:AH925"/>
    <mergeCell ref="G926:I926"/>
    <mergeCell ref="J926:L926"/>
    <mergeCell ref="M926:O926"/>
    <mergeCell ref="P926:S926"/>
    <mergeCell ref="E922:F922"/>
    <mergeCell ref="T922:U922"/>
    <mergeCell ref="E923:F923"/>
    <mergeCell ref="T923:U923"/>
    <mergeCell ref="E924:F924"/>
    <mergeCell ref="T924:U924"/>
    <mergeCell ref="G924:I924"/>
    <mergeCell ref="J924:L924"/>
    <mergeCell ref="M924:O924"/>
    <mergeCell ref="P924:S924"/>
    <mergeCell ref="V924:X924"/>
    <mergeCell ref="Y924:AA924"/>
    <mergeCell ref="AB924:AD924"/>
    <mergeCell ref="AE924:AH924"/>
    <mergeCell ref="E919:F919"/>
    <mergeCell ref="T919:U919"/>
    <mergeCell ref="E920:F920"/>
    <mergeCell ref="T920:U920"/>
    <mergeCell ref="E921:F921"/>
    <mergeCell ref="T921:U921"/>
    <mergeCell ref="G920:I920"/>
    <mergeCell ref="J920:L920"/>
    <mergeCell ref="M920:O920"/>
    <mergeCell ref="P920:S920"/>
    <mergeCell ref="V920:X920"/>
    <mergeCell ref="Y920:AA920"/>
    <mergeCell ref="AB920:AD920"/>
    <mergeCell ref="AE920:AH920"/>
    <mergeCell ref="G921:I921"/>
    <mergeCell ref="J921:L921"/>
    <mergeCell ref="M921:O921"/>
    <mergeCell ref="P921:S921"/>
    <mergeCell ref="E916:F916"/>
    <mergeCell ref="T916:U916"/>
    <mergeCell ref="E917:F917"/>
    <mergeCell ref="T917:U917"/>
    <mergeCell ref="E918:F918"/>
    <mergeCell ref="T918:U918"/>
    <mergeCell ref="G916:I916"/>
    <mergeCell ref="J916:L916"/>
    <mergeCell ref="M916:O916"/>
    <mergeCell ref="P916:S916"/>
    <mergeCell ref="V916:X916"/>
    <mergeCell ref="Y916:AA916"/>
    <mergeCell ref="AB916:AD916"/>
    <mergeCell ref="AE916:AH916"/>
    <mergeCell ref="AD908:AF908"/>
    <mergeCell ref="E912:S912"/>
    <mergeCell ref="T912:AH912"/>
    <mergeCell ref="E913:F914"/>
    <mergeCell ref="T913:U914"/>
    <mergeCell ref="E915:F915"/>
    <mergeCell ref="T915:U915"/>
    <mergeCell ref="G915:I915"/>
    <mergeCell ref="J915:L915"/>
    <mergeCell ref="M915:O915"/>
    <mergeCell ref="P915:S915"/>
    <mergeCell ref="V915:X915"/>
    <mergeCell ref="Y915:AA915"/>
    <mergeCell ref="AB915:AD915"/>
    <mergeCell ref="AE915:AH915"/>
    <mergeCell ref="G917:I917"/>
    <mergeCell ref="J917:L917"/>
    <mergeCell ref="M917:O917"/>
    <mergeCell ref="E904:F904"/>
    <mergeCell ref="T904:U904"/>
    <mergeCell ref="E905:F905"/>
    <mergeCell ref="T905:U905"/>
    <mergeCell ref="E906:F906"/>
    <mergeCell ref="T906:U906"/>
    <mergeCell ref="G905:I905"/>
    <mergeCell ref="J905:L905"/>
    <mergeCell ref="M905:O905"/>
    <mergeCell ref="P905:S905"/>
    <mergeCell ref="V905:X905"/>
    <mergeCell ref="Y905:AA905"/>
    <mergeCell ref="AB905:AD905"/>
    <mergeCell ref="AE905:AH905"/>
    <mergeCell ref="E901:F901"/>
    <mergeCell ref="T901:U901"/>
    <mergeCell ref="E902:F902"/>
    <mergeCell ref="T902:U902"/>
    <mergeCell ref="E903:F903"/>
    <mergeCell ref="T903:U903"/>
    <mergeCell ref="G901:I901"/>
    <mergeCell ref="J901:L901"/>
    <mergeCell ref="M901:O901"/>
    <mergeCell ref="P901:S901"/>
    <mergeCell ref="V901:X901"/>
    <mergeCell ref="Y901:AA901"/>
    <mergeCell ref="AB901:AD901"/>
    <mergeCell ref="AE901:AH901"/>
    <mergeCell ref="G902:I902"/>
    <mergeCell ref="J902:L902"/>
    <mergeCell ref="M902:O902"/>
    <mergeCell ref="P902:S902"/>
    <mergeCell ref="E898:F898"/>
    <mergeCell ref="T898:U898"/>
    <mergeCell ref="E899:F899"/>
    <mergeCell ref="T899:U899"/>
    <mergeCell ref="E900:F900"/>
    <mergeCell ref="T900:U900"/>
    <mergeCell ref="G900:I900"/>
    <mergeCell ref="J900:L900"/>
    <mergeCell ref="M900:O900"/>
    <mergeCell ref="P900:S900"/>
    <mergeCell ref="V900:X900"/>
    <mergeCell ref="Y900:AA900"/>
    <mergeCell ref="AB900:AD900"/>
    <mergeCell ref="AE900:AH900"/>
    <mergeCell ref="E895:F895"/>
    <mergeCell ref="T895:U895"/>
    <mergeCell ref="E896:F896"/>
    <mergeCell ref="T896:U896"/>
    <mergeCell ref="E897:F897"/>
    <mergeCell ref="T897:U897"/>
    <mergeCell ref="G896:I896"/>
    <mergeCell ref="J896:L896"/>
    <mergeCell ref="M896:O896"/>
    <mergeCell ref="P896:S896"/>
    <mergeCell ref="V896:X896"/>
    <mergeCell ref="Y896:AA896"/>
    <mergeCell ref="AB896:AD896"/>
    <mergeCell ref="AE896:AH896"/>
    <mergeCell ref="G897:I897"/>
    <mergeCell ref="J897:L897"/>
    <mergeCell ref="M897:O897"/>
    <mergeCell ref="P897:S897"/>
    <mergeCell ref="E892:F892"/>
    <mergeCell ref="T892:U892"/>
    <mergeCell ref="E893:F893"/>
    <mergeCell ref="T893:U893"/>
    <mergeCell ref="E894:F894"/>
    <mergeCell ref="T894:U894"/>
    <mergeCell ref="G892:I892"/>
    <mergeCell ref="J892:L892"/>
    <mergeCell ref="M892:O892"/>
    <mergeCell ref="P892:S892"/>
    <mergeCell ref="V892:X892"/>
    <mergeCell ref="Y892:AA892"/>
    <mergeCell ref="AB892:AD892"/>
    <mergeCell ref="AE892:AH892"/>
    <mergeCell ref="AD884:AF884"/>
    <mergeCell ref="E888:S888"/>
    <mergeCell ref="T888:AH888"/>
    <mergeCell ref="E889:F890"/>
    <mergeCell ref="T889:U890"/>
    <mergeCell ref="E891:F891"/>
    <mergeCell ref="T891:U891"/>
    <mergeCell ref="G891:I891"/>
    <mergeCell ref="J891:L891"/>
    <mergeCell ref="M891:O891"/>
    <mergeCell ref="P891:S891"/>
    <mergeCell ref="V891:X891"/>
    <mergeCell ref="Y891:AA891"/>
    <mergeCell ref="AB891:AD891"/>
    <mergeCell ref="AE891:AH891"/>
    <mergeCell ref="G893:I893"/>
    <mergeCell ref="J893:L893"/>
    <mergeCell ref="M893:O893"/>
    <mergeCell ref="E880:F880"/>
    <mergeCell ref="T880:U880"/>
    <mergeCell ref="E881:F881"/>
    <mergeCell ref="T881:U881"/>
    <mergeCell ref="E882:F882"/>
    <mergeCell ref="T882:U882"/>
    <mergeCell ref="G881:I881"/>
    <mergeCell ref="J881:L881"/>
    <mergeCell ref="M881:O881"/>
    <mergeCell ref="P881:S881"/>
    <mergeCell ref="V881:X881"/>
    <mergeCell ref="Y881:AA881"/>
    <mergeCell ref="AB881:AD881"/>
    <mergeCell ref="AE881:AH881"/>
    <mergeCell ref="E877:F877"/>
    <mergeCell ref="T877:U877"/>
    <mergeCell ref="E878:F878"/>
    <mergeCell ref="T878:U878"/>
    <mergeCell ref="E879:F879"/>
    <mergeCell ref="T879:U879"/>
    <mergeCell ref="G877:I877"/>
    <mergeCell ref="J877:L877"/>
    <mergeCell ref="M877:O877"/>
    <mergeCell ref="P877:S877"/>
    <mergeCell ref="V877:X877"/>
    <mergeCell ref="Y877:AA877"/>
    <mergeCell ref="AB877:AD877"/>
    <mergeCell ref="AE877:AH877"/>
    <mergeCell ref="G878:I878"/>
    <mergeCell ref="J878:L878"/>
    <mergeCell ref="M878:O878"/>
    <mergeCell ref="P878:S878"/>
    <mergeCell ref="E874:F874"/>
    <mergeCell ref="T874:U874"/>
    <mergeCell ref="E875:F875"/>
    <mergeCell ref="T875:U875"/>
    <mergeCell ref="E876:F876"/>
    <mergeCell ref="T876:U876"/>
    <mergeCell ref="G876:I876"/>
    <mergeCell ref="J876:L876"/>
    <mergeCell ref="M876:O876"/>
    <mergeCell ref="P876:S876"/>
    <mergeCell ref="V876:X876"/>
    <mergeCell ref="Y876:AA876"/>
    <mergeCell ref="AB876:AD876"/>
    <mergeCell ref="AE876:AH876"/>
    <mergeCell ref="E871:F871"/>
    <mergeCell ref="T871:U871"/>
    <mergeCell ref="E872:F872"/>
    <mergeCell ref="T872:U872"/>
    <mergeCell ref="E873:F873"/>
    <mergeCell ref="T873:U873"/>
    <mergeCell ref="G872:I872"/>
    <mergeCell ref="J872:L872"/>
    <mergeCell ref="M872:O872"/>
    <mergeCell ref="P872:S872"/>
    <mergeCell ref="V872:X872"/>
    <mergeCell ref="Y872:AA872"/>
    <mergeCell ref="AB872:AD872"/>
    <mergeCell ref="AE872:AH872"/>
    <mergeCell ref="G873:I873"/>
    <mergeCell ref="J873:L873"/>
    <mergeCell ref="M873:O873"/>
    <mergeCell ref="P873:S873"/>
    <mergeCell ref="E868:F868"/>
    <mergeCell ref="T868:U868"/>
    <mergeCell ref="E869:F869"/>
    <mergeCell ref="T869:U869"/>
    <mergeCell ref="E870:F870"/>
    <mergeCell ref="T870:U870"/>
    <mergeCell ref="G868:I868"/>
    <mergeCell ref="J868:L868"/>
    <mergeCell ref="M868:O868"/>
    <mergeCell ref="P868:S868"/>
    <mergeCell ref="V868:X868"/>
    <mergeCell ref="Y868:AA868"/>
    <mergeCell ref="AB868:AD868"/>
    <mergeCell ref="AE868:AH868"/>
    <mergeCell ref="E864:S864"/>
    <mergeCell ref="T864:AH864"/>
    <mergeCell ref="E865:F866"/>
    <mergeCell ref="T865:U866"/>
    <mergeCell ref="E867:F867"/>
    <mergeCell ref="T867:U867"/>
    <mergeCell ref="G867:I867"/>
    <mergeCell ref="J867:L867"/>
    <mergeCell ref="M867:O867"/>
    <mergeCell ref="P867:S867"/>
    <mergeCell ref="V867:X867"/>
    <mergeCell ref="Y867:AA867"/>
    <mergeCell ref="AB867:AD867"/>
    <mergeCell ref="AE867:AH867"/>
    <mergeCell ref="G869:I869"/>
    <mergeCell ref="J869:L869"/>
    <mergeCell ref="M869:O869"/>
    <mergeCell ref="P869:S869"/>
    <mergeCell ref="E857:F857"/>
    <mergeCell ref="G857:I857"/>
    <mergeCell ref="T857:U857"/>
    <mergeCell ref="E858:F858"/>
    <mergeCell ref="G858:I858"/>
    <mergeCell ref="T858:U858"/>
    <mergeCell ref="AD860:AF860"/>
    <mergeCell ref="M857:O857"/>
    <mergeCell ref="M858:O858"/>
    <mergeCell ref="P857:S857"/>
    <mergeCell ref="P858:S858"/>
    <mergeCell ref="V858:X858"/>
    <mergeCell ref="Y858:AA858"/>
    <mergeCell ref="AB858:AD858"/>
    <mergeCell ref="AE858:AH858"/>
    <mergeCell ref="E859:F859"/>
    <mergeCell ref="G859:S859"/>
    <mergeCell ref="T859:U859"/>
    <mergeCell ref="J857:L857"/>
    <mergeCell ref="J858:L858"/>
    <mergeCell ref="E854:F854"/>
    <mergeCell ref="G854:I854"/>
    <mergeCell ref="T854:U854"/>
    <mergeCell ref="E855:F855"/>
    <mergeCell ref="G855:I855"/>
    <mergeCell ref="T855:U855"/>
    <mergeCell ref="E856:F856"/>
    <mergeCell ref="G856:I856"/>
    <mergeCell ref="T856:U856"/>
    <mergeCell ref="M854:O854"/>
    <mergeCell ref="M855:O855"/>
    <mergeCell ref="M856:O856"/>
    <mergeCell ref="P854:S854"/>
    <mergeCell ref="P855:S855"/>
    <mergeCell ref="P856:S856"/>
    <mergeCell ref="T851:U851"/>
    <mergeCell ref="E852:F852"/>
    <mergeCell ref="G852:I852"/>
    <mergeCell ref="T852:U852"/>
    <mergeCell ref="E853:F853"/>
    <mergeCell ref="G853:I853"/>
    <mergeCell ref="T853:U853"/>
    <mergeCell ref="M851:O851"/>
    <mergeCell ref="M852:O852"/>
    <mergeCell ref="M853:O853"/>
    <mergeCell ref="P851:S851"/>
    <mergeCell ref="P852:S852"/>
    <mergeCell ref="P853:S853"/>
    <mergeCell ref="J855:L855"/>
    <mergeCell ref="J856:L856"/>
    <mergeCell ref="J851:L851"/>
    <mergeCell ref="J852:L852"/>
    <mergeCell ref="V852:X852"/>
    <mergeCell ref="Y852:AA852"/>
    <mergeCell ref="AB852:AD852"/>
    <mergeCell ref="AE852:AH852"/>
    <mergeCell ref="V853:X853"/>
    <mergeCell ref="T848:U848"/>
    <mergeCell ref="E849:F849"/>
    <mergeCell ref="G849:I849"/>
    <mergeCell ref="T849:U849"/>
    <mergeCell ref="E850:F850"/>
    <mergeCell ref="G850:I850"/>
    <mergeCell ref="T850:U850"/>
    <mergeCell ref="M848:O848"/>
    <mergeCell ref="M849:O849"/>
    <mergeCell ref="M850:O850"/>
    <mergeCell ref="P848:S848"/>
    <mergeCell ref="P849:S849"/>
    <mergeCell ref="P850:S850"/>
    <mergeCell ref="E851:F851"/>
    <mergeCell ref="J848:L848"/>
    <mergeCell ref="J849:L849"/>
    <mergeCell ref="J850:L850"/>
    <mergeCell ref="J853:L853"/>
    <mergeCell ref="T845:U845"/>
    <mergeCell ref="E846:F846"/>
    <mergeCell ref="G846:I846"/>
    <mergeCell ref="T846:U846"/>
    <mergeCell ref="E847:F847"/>
    <mergeCell ref="G847:I847"/>
    <mergeCell ref="T847:U847"/>
    <mergeCell ref="P845:S845"/>
    <mergeCell ref="P846:S846"/>
    <mergeCell ref="P847:S847"/>
    <mergeCell ref="V845:X845"/>
    <mergeCell ref="Y845:AA845"/>
    <mergeCell ref="AB845:AD845"/>
    <mergeCell ref="AE845:AH845"/>
    <mergeCell ref="V846:X846"/>
    <mergeCell ref="Y846:AA846"/>
    <mergeCell ref="AB846:AD846"/>
    <mergeCell ref="AE846:AH846"/>
    <mergeCell ref="V847:X847"/>
    <mergeCell ref="M845:O845"/>
    <mergeCell ref="M846:O846"/>
    <mergeCell ref="M847:O847"/>
    <mergeCell ref="J845:L845"/>
    <mergeCell ref="J846:L846"/>
    <mergeCell ref="J847:L847"/>
    <mergeCell ref="E843:F843"/>
    <mergeCell ref="G843:I843"/>
    <mergeCell ref="T843:U843"/>
    <mergeCell ref="E844:F844"/>
    <mergeCell ref="G844:I844"/>
    <mergeCell ref="T844:U844"/>
    <mergeCell ref="P844:S844"/>
    <mergeCell ref="V841:X842"/>
    <mergeCell ref="Y841:AA842"/>
    <mergeCell ref="AB841:AD842"/>
    <mergeCell ref="AE841:AH842"/>
    <mergeCell ref="V843:X843"/>
    <mergeCell ref="Y843:AA843"/>
    <mergeCell ref="AB843:AD843"/>
    <mergeCell ref="AE843:AH843"/>
    <mergeCell ref="V844:X844"/>
    <mergeCell ref="Y844:AA844"/>
    <mergeCell ref="AB844:AD844"/>
    <mergeCell ref="AE844:AH844"/>
    <mergeCell ref="M844:O844"/>
    <mergeCell ref="J841:L842"/>
    <mergeCell ref="J843:L843"/>
    <mergeCell ref="M843:O843"/>
    <mergeCell ref="P841:S842"/>
    <mergeCell ref="M841:O842"/>
    <mergeCell ref="P843:S843"/>
    <mergeCell ref="J844:L844"/>
    <mergeCell ref="E780:G780"/>
    <mergeCell ref="H780:K780"/>
    <mergeCell ref="L780:N780"/>
    <mergeCell ref="O780:S780"/>
    <mergeCell ref="T780:V780"/>
    <mergeCell ref="W780:Z780"/>
    <mergeCell ref="AA780:AC780"/>
    <mergeCell ref="AD780:AH780"/>
    <mergeCell ref="AD781:AF781"/>
    <mergeCell ref="O812:P812"/>
    <mergeCell ref="H814:I814"/>
    <mergeCell ref="L830:T830"/>
    <mergeCell ref="Z830:AA830"/>
    <mergeCell ref="T831:U831"/>
    <mergeCell ref="V831:W831"/>
    <mergeCell ref="AC831:AD831"/>
    <mergeCell ref="E777:G777"/>
    <mergeCell ref="H777:K777"/>
    <mergeCell ref="L777:N777"/>
    <mergeCell ref="O777:S777"/>
    <mergeCell ref="T777:V777"/>
    <mergeCell ref="W777:Z777"/>
    <mergeCell ref="AA777:AC777"/>
    <mergeCell ref="AD777:AH777"/>
    <mergeCell ref="E778:G778"/>
    <mergeCell ref="H778:K778"/>
    <mergeCell ref="L778:N778"/>
    <mergeCell ref="O778:S778"/>
    <mergeCell ref="T778:V778"/>
    <mergeCell ref="W778:Z778"/>
    <mergeCell ref="AA778:AC778"/>
    <mergeCell ref="AD778:AH778"/>
    <mergeCell ref="E779:G779"/>
    <mergeCell ref="H779:K779"/>
    <mergeCell ref="L779:N779"/>
    <mergeCell ref="O779:S779"/>
    <mergeCell ref="T779:V779"/>
    <mergeCell ref="W779:Z779"/>
    <mergeCell ref="AA779:AC779"/>
    <mergeCell ref="AD779:AH779"/>
    <mergeCell ref="E774:G774"/>
    <mergeCell ref="H774:K774"/>
    <mergeCell ref="L774:N774"/>
    <mergeCell ref="O774:S774"/>
    <mergeCell ref="T774:V774"/>
    <mergeCell ref="W774:Z774"/>
    <mergeCell ref="AA774:AC774"/>
    <mergeCell ref="AD774:AH774"/>
    <mergeCell ref="E775:G775"/>
    <mergeCell ref="H775:K775"/>
    <mergeCell ref="L775:N775"/>
    <mergeCell ref="O775:S775"/>
    <mergeCell ref="T775:V775"/>
    <mergeCell ref="W775:Z775"/>
    <mergeCell ref="AA775:AC775"/>
    <mergeCell ref="AD775:AH775"/>
    <mergeCell ref="E776:G776"/>
    <mergeCell ref="H776:K776"/>
    <mergeCell ref="L776:N776"/>
    <mergeCell ref="O776:S776"/>
    <mergeCell ref="T776:V776"/>
    <mergeCell ref="W776:Z776"/>
    <mergeCell ref="AA776:AC776"/>
    <mergeCell ref="AD776:AH776"/>
    <mergeCell ref="E771:G771"/>
    <mergeCell ref="H771:K771"/>
    <mergeCell ref="L771:N771"/>
    <mergeCell ref="O771:S771"/>
    <mergeCell ref="T771:V771"/>
    <mergeCell ref="W771:Z771"/>
    <mergeCell ref="AA771:AC771"/>
    <mergeCell ref="AD771:AH771"/>
    <mergeCell ref="E772:G772"/>
    <mergeCell ref="H772:K772"/>
    <mergeCell ref="L772:N772"/>
    <mergeCell ref="O772:S772"/>
    <mergeCell ref="T772:V772"/>
    <mergeCell ref="W772:Z772"/>
    <mergeCell ref="AA772:AC772"/>
    <mergeCell ref="AD772:AH772"/>
    <mergeCell ref="E773:G773"/>
    <mergeCell ref="H773:K773"/>
    <mergeCell ref="L773:N773"/>
    <mergeCell ref="O773:S773"/>
    <mergeCell ref="T773:V773"/>
    <mergeCell ref="W773:Z773"/>
    <mergeCell ref="AA773:AC773"/>
    <mergeCell ref="AD773:AH773"/>
    <mergeCell ref="E768:G768"/>
    <mergeCell ref="H768:K768"/>
    <mergeCell ref="L768:N768"/>
    <mergeCell ref="O768:S768"/>
    <mergeCell ref="T768:V768"/>
    <mergeCell ref="W768:Z768"/>
    <mergeCell ref="AA768:AC768"/>
    <mergeCell ref="AD768:AH768"/>
    <mergeCell ref="E769:G769"/>
    <mergeCell ref="H769:K769"/>
    <mergeCell ref="L769:N769"/>
    <mergeCell ref="O769:S769"/>
    <mergeCell ref="T769:V769"/>
    <mergeCell ref="W769:Z769"/>
    <mergeCell ref="AA769:AC769"/>
    <mergeCell ref="AD769:AH769"/>
    <mergeCell ref="E770:G770"/>
    <mergeCell ref="H770:K770"/>
    <mergeCell ref="L770:N770"/>
    <mergeCell ref="O770:S770"/>
    <mergeCell ref="T770:V770"/>
    <mergeCell ref="W770:Z770"/>
    <mergeCell ref="AA770:AC770"/>
    <mergeCell ref="AD770:AH770"/>
    <mergeCell ref="E765:G765"/>
    <mergeCell ref="H765:K765"/>
    <mergeCell ref="L765:N765"/>
    <mergeCell ref="O765:S765"/>
    <mergeCell ref="T765:V765"/>
    <mergeCell ref="W765:Z765"/>
    <mergeCell ref="AA765:AC765"/>
    <mergeCell ref="AD765:AH765"/>
    <mergeCell ref="E766:G766"/>
    <mergeCell ref="H766:K766"/>
    <mergeCell ref="L766:N766"/>
    <mergeCell ref="O766:S766"/>
    <mergeCell ref="T766:V766"/>
    <mergeCell ref="W766:Z766"/>
    <mergeCell ref="AA766:AC766"/>
    <mergeCell ref="AD766:AH766"/>
    <mergeCell ref="E767:G767"/>
    <mergeCell ref="H767:K767"/>
    <mergeCell ref="L767:N767"/>
    <mergeCell ref="O767:S767"/>
    <mergeCell ref="T767:V767"/>
    <mergeCell ref="W767:Z767"/>
    <mergeCell ref="AA767:AC767"/>
    <mergeCell ref="AD767:AH767"/>
    <mergeCell ref="E757:G757"/>
    <mergeCell ref="H757:K757"/>
    <mergeCell ref="L757:N757"/>
    <mergeCell ref="O757:S757"/>
    <mergeCell ref="T757:V757"/>
    <mergeCell ref="W757:Z757"/>
    <mergeCell ref="AA757:AC757"/>
    <mergeCell ref="AD757:AH757"/>
    <mergeCell ref="AD758:AF758"/>
    <mergeCell ref="E762:S762"/>
    <mergeCell ref="T762:AH762"/>
    <mergeCell ref="E763:G764"/>
    <mergeCell ref="H763:K764"/>
    <mergeCell ref="L763:N764"/>
    <mergeCell ref="O763:S764"/>
    <mergeCell ref="T763:V764"/>
    <mergeCell ref="W763:Z764"/>
    <mergeCell ref="AA763:AC764"/>
    <mergeCell ref="AD763:AH764"/>
    <mergeCell ref="E754:G754"/>
    <mergeCell ref="H754:K754"/>
    <mergeCell ref="L754:N754"/>
    <mergeCell ref="O754:S754"/>
    <mergeCell ref="T754:V754"/>
    <mergeCell ref="W754:Z754"/>
    <mergeCell ref="AA754:AC754"/>
    <mergeCell ref="AD754:AH754"/>
    <mergeCell ref="E755:G755"/>
    <mergeCell ref="H755:K755"/>
    <mergeCell ref="L755:N755"/>
    <mergeCell ref="O755:S755"/>
    <mergeCell ref="T755:V755"/>
    <mergeCell ref="W755:Z755"/>
    <mergeCell ref="AA755:AC755"/>
    <mergeCell ref="AD755:AH755"/>
    <mergeCell ref="E756:G756"/>
    <mergeCell ref="H756:K756"/>
    <mergeCell ref="L756:N756"/>
    <mergeCell ref="O756:S756"/>
    <mergeCell ref="T756:V756"/>
    <mergeCell ref="W756:Z756"/>
    <mergeCell ref="AA756:AC756"/>
    <mergeCell ref="AD756:AH756"/>
    <mergeCell ref="E751:G751"/>
    <mergeCell ref="H751:K751"/>
    <mergeCell ref="L751:N751"/>
    <mergeCell ref="O751:S751"/>
    <mergeCell ref="T751:V751"/>
    <mergeCell ref="W751:Z751"/>
    <mergeCell ref="AA751:AC751"/>
    <mergeCell ref="AD751:AH751"/>
    <mergeCell ref="E752:G752"/>
    <mergeCell ref="H752:K752"/>
    <mergeCell ref="L752:N752"/>
    <mergeCell ref="O752:S752"/>
    <mergeCell ref="T752:V752"/>
    <mergeCell ref="W752:Z752"/>
    <mergeCell ref="AA752:AC752"/>
    <mergeCell ref="AD752:AH752"/>
    <mergeCell ref="E753:G753"/>
    <mergeCell ref="H753:K753"/>
    <mergeCell ref="L753:N753"/>
    <mergeCell ref="O753:S753"/>
    <mergeCell ref="T753:V753"/>
    <mergeCell ref="W753:Z753"/>
    <mergeCell ref="AA753:AC753"/>
    <mergeCell ref="AD753:AH753"/>
    <mergeCell ref="E748:G748"/>
    <mergeCell ref="H748:K748"/>
    <mergeCell ref="L748:N748"/>
    <mergeCell ref="O748:S748"/>
    <mergeCell ref="T748:V748"/>
    <mergeCell ref="W748:Z748"/>
    <mergeCell ref="AA748:AC748"/>
    <mergeCell ref="AD748:AH748"/>
    <mergeCell ref="E749:G749"/>
    <mergeCell ref="H749:K749"/>
    <mergeCell ref="L749:N749"/>
    <mergeCell ref="O749:S749"/>
    <mergeCell ref="T749:V749"/>
    <mergeCell ref="W749:Z749"/>
    <mergeCell ref="AA749:AC749"/>
    <mergeCell ref="AD749:AH749"/>
    <mergeCell ref="E750:G750"/>
    <mergeCell ref="H750:K750"/>
    <mergeCell ref="L750:N750"/>
    <mergeCell ref="O750:S750"/>
    <mergeCell ref="T750:V750"/>
    <mergeCell ref="W750:Z750"/>
    <mergeCell ref="AA750:AC750"/>
    <mergeCell ref="AD750:AH750"/>
    <mergeCell ref="E745:G745"/>
    <mergeCell ref="H745:K745"/>
    <mergeCell ref="L745:N745"/>
    <mergeCell ref="O745:S745"/>
    <mergeCell ref="T745:V745"/>
    <mergeCell ref="W745:Z745"/>
    <mergeCell ref="AA745:AC745"/>
    <mergeCell ref="AD745:AH745"/>
    <mergeCell ref="E746:G746"/>
    <mergeCell ref="H746:K746"/>
    <mergeCell ref="L746:N746"/>
    <mergeCell ref="O746:S746"/>
    <mergeCell ref="T746:V746"/>
    <mergeCell ref="W746:Z746"/>
    <mergeCell ref="AA746:AC746"/>
    <mergeCell ref="AD746:AH746"/>
    <mergeCell ref="E747:G747"/>
    <mergeCell ref="H747:K747"/>
    <mergeCell ref="L747:N747"/>
    <mergeCell ref="O747:S747"/>
    <mergeCell ref="T747:V747"/>
    <mergeCell ref="W747:Z747"/>
    <mergeCell ref="AA747:AC747"/>
    <mergeCell ref="AD747:AH747"/>
    <mergeCell ref="E742:G742"/>
    <mergeCell ref="H742:K742"/>
    <mergeCell ref="L742:N742"/>
    <mergeCell ref="O742:S742"/>
    <mergeCell ref="T742:V742"/>
    <mergeCell ref="W742:Z742"/>
    <mergeCell ref="AA742:AC742"/>
    <mergeCell ref="AD742:AH742"/>
    <mergeCell ref="E743:G743"/>
    <mergeCell ref="H743:K743"/>
    <mergeCell ref="L743:N743"/>
    <mergeCell ref="O743:S743"/>
    <mergeCell ref="T743:V743"/>
    <mergeCell ref="W743:Z743"/>
    <mergeCell ref="AA743:AC743"/>
    <mergeCell ref="AD743:AH743"/>
    <mergeCell ref="E744:G744"/>
    <mergeCell ref="H744:K744"/>
    <mergeCell ref="L744:N744"/>
    <mergeCell ref="O744:S744"/>
    <mergeCell ref="T744:V744"/>
    <mergeCell ref="W744:Z744"/>
    <mergeCell ref="AA744:AC744"/>
    <mergeCell ref="AD744:AH744"/>
    <mergeCell ref="E734:G734"/>
    <mergeCell ref="H734:K734"/>
    <mergeCell ref="L734:N734"/>
    <mergeCell ref="O734:S734"/>
    <mergeCell ref="T734:V734"/>
    <mergeCell ref="W734:Z734"/>
    <mergeCell ref="AA734:AC734"/>
    <mergeCell ref="AD734:AH734"/>
    <mergeCell ref="AD735:AF735"/>
    <mergeCell ref="E739:S739"/>
    <mergeCell ref="T739:AH739"/>
    <mergeCell ref="E740:G741"/>
    <mergeCell ref="H740:K741"/>
    <mergeCell ref="L740:N741"/>
    <mergeCell ref="O740:S741"/>
    <mergeCell ref="T740:V741"/>
    <mergeCell ref="W740:Z741"/>
    <mergeCell ref="AA740:AC741"/>
    <mergeCell ref="AD740:AH741"/>
    <mergeCell ref="E731:G731"/>
    <mergeCell ref="H731:K731"/>
    <mergeCell ref="L731:N731"/>
    <mergeCell ref="O731:S731"/>
    <mergeCell ref="T731:V731"/>
    <mergeCell ref="W731:Z731"/>
    <mergeCell ref="AA731:AC731"/>
    <mergeCell ref="AD731:AH731"/>
    <mergeCell ref="E732:G732"/>
    <mergeCell ref="H732:K732"/>
    <mergeCell ref="L732:N732"/>
    <mergeCell ref="O732:S732"/>
    <mergeCell ref="T732:V732"/>
    <mergeCell ref="W732:Z732"/>
    <mergeCell ref="AA732:AC732"/>
    <mergeCell ref="AD732:AH732"/>
    <mergeCell ref="E733:G733"/>
    <mergeCell ref="H733:K733"/>
    <mergeCell ref="L733:N733"/>
    <mergeCell ref="O733:S733"/>
    <mergeCell ref="T733:V733"/>
    <mergeCell ref="W733:Z733"/>
    <mergeCell ref="AA733:AC733"/>
    <mergeCell ref="AD733:AH733"/>
    <mergeCell ref="E728:G728"/>
    <mergeCell ref="H728:K728"/>
    <mergeCell ref="L728:N728"/>
    <mergeCell ref="O728:S728"/>
    <mergeCell ref="T728:V728"/>
    <mergeCell ref="W728:Z728"/>
    <mergeCell ref="AA728:AC728"/>
    <mergeCell ref="AD728:AH728"/>
    <mergeCell ref="E729:G729"/>
    <mergeCell ref="H729:K729"/>
    <mergeCell ref="L729:N729"/>
    <mergeCell ref="O729:S729"/>
    <mergeCell ref="T729:V729"/>
    <mergeCell ref="W729:Z729"/>
    <mergeCell ref="AA729:AC729"/>
    <mergeCell ref="AD729:AH729"/>
    <mergeCell ref="E730:G730"/>
    <mergeCell ref="H730:K730"/>
    <mergeCell ref="L730:N730"/>
    <mergeCell ref="O730:S730"/>
    <mergeCell ref="T730:V730"/>
    <mergeCell ref="W730:Z730"/>
    <mergeCell ref="AA730:AC730"/>
    <mergeCell ref="AD730:AH730"/>
    <mergeCell ref="E725:G725"/>
    <mergeCell ref="H725:K725"/>
    <mergeCell ref="L725:N725"/>
    <mergeCell ref="O725:S725"/>
    <mergeCell ref="T725:V725"/>
    <mergeCell ref="W725:Z725"/>
    <mergeCell ref="AA725:AC725"/>
    <mergeCell ref="AD725:AH725"/>
    <mergeCell ref="E726:G726"/>
    <mergeCell ref="H726:K726"/>
    <mergeCell ref="L726:N726"/>
    <mergeCell ref="O726:S726"/>
    <mergeCell ref="T726:V726"/>
    <mergeCell ref="W726:Z726"/>
    <mergeCell ref="AA726:AC726"/>
    <mergeCell ref="AD726:AH726"/>
    <mergeCell ref="E727:G727"/>
    <mergeCell ref="H727:K727"/>
    <mergeCell ref="L727:N727"/>
    <mergeCell ref="O727:S727"/>
    <mergeCell ref="T727:V727"/>
    <mergeCell ref="W727:Z727"/>
    <mergeCell ref="AA727:AC727"/>
    <mergeCell ref="AD727:AH727"/>
    <mergeCell ref="E722:G722"/>
    <mergeCell ref="H722:K722"/>
    <mergeCell ref="L722:N722"/>
    <mergeCell ref="O722:S722"/>
    <mergeCell ref="T722:V722"/>
    <mergeCell ref="W722:Z722"/>
    <mergeCell ref="AA722:AC722"/>
    <mergeCell ref="AD722:AH722"/>
    <mergeCell ref="E723:G723"/>
    <mergeCell ref="H723:K723"/>
    <mergeCell ref="L723:N723"/>
    <mergeCell ref="O723:S723"/>
    <mergeCell ref="T723:V723"/>
    <mergeCell ref="W723:Z723"/>
    <mergeCell ref="AA723:AC723"/>
    <mergeCell ref="AD723:AH723"/>
    <mergeCell ref="E724:G724"/>
    <mergeCell ref="H724:K724"/>
    <mergeCell ref="L724:N724"/>
    <mergeCell ref="O724:S724"/>
    <mergeCell ref="T724:V724"/>
    <mergeCell ref="W724:Z724"/>
    <mergeCell ref="AA724:AC724"/>
    <mergeCell ref="AD724:AH724"/>
    <mergeCell ref="E719:G719"/>
    <mergeCell ref="H719:K719"/>
    <mergeCell ref="L719:N719"/>
    <mergeCell ref="O719:S719"/>
    <mergeCell ref="T719:V719"/>
    <mergeCell ref="W719:Z719"/>
    <mergeCell ref="AA719:AC719"/>
    <mergeCell ref="AD719:AH719"/>
    <mergeCell ref="E720:G720"/>
    <mergeCell ref="H720:K720"/>
    <mergeCell ref="L720:N720"/>
    <mergeCell ref="O720:S720"/>
    <mergeCell ref="T720:V720"/>
    <mergeCell ref="W720:Z720"/>
    <mergeCell ref="AA720:AC720"/>
    <mergeCell ref="AD720:AH720"/>
    <mergeCell ref="E721:G721"/>
    <mergeCell ref="H721:K721"/>
    <mergeCell ref="L721:N721"/>
    <mergeCell ref="O721:S721"/>
    <mergeCell ref="T721:V721"/>
    <mergeCell ref="W721:Z721"/>
    <mergeCell ref="AA721:AC721"/>
    <mergeCell ref="AD721:AH721"/>
    <mergeCell ref="E711:G711"/>
    <mergeCell ref="H711:K711"/>
    <mergeCell ref="L711:N711"/>
    <mergeCell ref="O711:S711"/>
    <mergeCell ref="T711:V711"/>
    <mergeCell ref="W711:Z711"/>
    <mergeCell ref="AA711:AC711"/>
    <mergeCell ref="AD711:AH711"/>
    <mergeCell ref="AD712:AF712"/>
    <mergeCell ref="E716:S716"/>
    <mergeCell ref="T716:AH716"/>
    <mergeCell ref="E717:G718"/>
    <mergeCell ref="H717:K718"/>
    <mergeCell ref="L717:N718"/>
    <mergeCell ref="O717:S718"/>
    <mergeCell ref="T717:V718"/>
    <mergeCell ref="W717:Z718"/>
    <mergeCell ref="AA717:AC718"/>
    <mergeCell ref="AD717:AH718"/>
    <mergeCell ref="E708:G708"/>
    <mergeCell ref="H708:K708"/>
    <mergeCell ref="L708:N708"/>
    <mergeCell ref="O708:S708"/>
    <mergeCell ref="T708:V708"/>
    <mergeCell ref="W708:Z708"/>
    <mergeCell ref="AA708:AC708"/>
    <mergeCell ref="AD708:AH708"/>
    <mergeCell ref="E709:G709"/>
    <mergeCell ref="H709:K709"/>
    <mergeCell ref="L709:N709"/>
    <mergeCell ref="O709:S709"/>
    <mergeCell ref="T709:V709"/>
    <mergeCell ref="W709:Z709"/>
    <mergeCell ref="AA709:AC709"/>
    <mergeCell ref="AD709:AH709"/>
    <mergeCell ref="E710:G710"/>
    <mergeCell ref="H710:K710"/>
    <mergeCell ref="L710:N710"/>
    <mergeCell ref="O710:S710"/>
    <mergeCell ref="T710:V710"/>
    <mergeCell ref="W710:Z710"/>
    <mergeCell ref="AA710:AC710"/>
    <mergeCell ref="AD710:AH710"/>
    <mergeCell ref="E705:G705"/>
    <mergeCell ref="H705:K705"/>
    <mergeCell ref="L705:N705"/>
    <mergeCell ref="O705:S705"/>
    <mergeCell ref="T705:V705"/>
    <mergeCell ref="W705:Z705"/>
    <mergeCell ref="AA705:AC705"/>
    <mergeCell ref="AD705:AH705"/>
    <mergeCell ref="E706:G706"/>
    <mergeCell ref="H706:K706"/>
    <mergeCell ref="L706:N706"/>
    <mergeCell ref="O706:S706"/>
    <mergeCell ref="T706:V706"/>
    <mergeCell ref="W706:Z706"/>
    <mergeCell ref="AA706:AC706"/>
    <mergeCell ref="AD706:AH706"/>
    <mergeCell ref="E707:G707"/>
    <mergeCell ref="H707:K707"/>
    <mergeCell ref="L707:N707"/>
    <mergeCell ref="O707:S707"/>
    <mergeCell ref="T707:V707"/>
    <mergeCell ref="W707:Z707"/>
    <mergeCell ref="AA707:AC707"/>
    <mergeCell ref="AD707:AH707"/>
    <mergeCell ref="E702:G702"/>
    <mergeCell ref="H702:K702"/>
    <mergeCell ref="L702:N702"/>
    <mergeCell ref="O702:S702"/>
    <mergeCell ref="T702:V702"/>
    <mergeCell ref="W702:Z702"/>
    <mergeCell ref="AA702:AC702"/>
    <mergeCell ref="AD702:AH702"/>
    <mergeCell ref="E703:G703"/>
    <mergeCell ref="H703:K703"/>
    <mergeCell ref="L703:N703"/>
    <mergeCell ref="O703:S703"/>
    <mergeCell ref="T703:V703"/>
    <mergeCell ref="W703:Z703"/>
    <mergeCell ref="AA703:AC703"/>
    <mergeCell ref="AD703:AH703"/>
    <mergeCell ref="E704:G704"/>
    <mergeCell ref="H704:K704"/>
    <mergeCell ref="L704:N704"/>
    <mergeCell ref="O704:S704"/>
    <mergeCell ref="T704:V704"/>
    <mergeCell ref="W704:Z704"/>
    <mergeCell ref="AA704:AC704"/>
    <mergeCell ref="AD704:AH704"/>
    <mergeCell ref="E699:G699"/>
    <mergeCell ref="H699:K699"/>
    <mergeCell ref="L699:N699"/>
    <mergeCell ref="O699:S699"/>
    <mergeCell ref="T699:V699"/>
    <mergeCell ref="W699:Z699"/>
    <mergeCell ref="AA699:AC699"/>
    <mergeCell ref="AD699:AH699"/>
    <mergeCell ref="E700:G700"/>
    <mergeCell ref="H700:K700"/>
    <mergeCell ref="L700:N700"/>
    <mergeCell ref="O700:S700"/>
    <mergeCell ref="T700:V700"/>
    <mergeCell ref="W700:Z700"/>
    <mergeCell ref="AA700:AC700"/>
    <mergeCell ref="AD700:AH700"/>
    <mergeCell ref="E701:G701"/>
    <mergeCell ref="H701:K701"/>
    <mergeCell ref="L701:N701"/>
    <mergeCell ref="O701:S701"/>
    <mergeCell ref="T701:V701"/>
    <mergeCell ref="W701:Z701"/>
    <mergeCell ref="AA701:AC701"/>
    <mergeCell ref="AD701:AH701"/>
    <mergeCell ref="E696:G696"/>
    <mergeCell ref="H696:K696"/>
    <mergeCell ref="L696:N696"/>
    <mergeCell ref="O696:S696"/>
    <mergeCell ref="T696:V696"/>
    <mergeCell ref="W696:Z696"/>
    <mergeCell ref="AA696:AC696"/>
    <mergeCell ref="AD696:AH696"/>
    <mergeCell ref="E697:G697"/>
    <mergeCell ref="H697:K697"/>
    <mergeCell ref="L697:N697"/>
    <mergeCell ref="O697:S697"/>
    <mergeCell ref="T697:V697"/>
    <mergeCell ref="W697:Z697"/>
    <mergeCell ref="AA697:AC697"/>
    <mergeCell ref="AD697:AH697"/>
    <mergeCell ref="E698:G698"/>
    <mergeCell ref="H698:K698"/>
    <mergeCell ref="L698:N698"/>
    <mergeCell ref="O698:S698"/>
    <mergeCell ref="T698:V698"/>
    <mergeCell ref="W698:Z698"/>
    <mergeCell ref="AA698:AC698"/>
    <mergeCell ref="AD698:AH698"/>
    <mergeCell ref="E688:G688"/>
    <mergeCell ref="H688:K688"/>
    <mergeCell ref="L688:N688"/>
    <mergeCell ref="O688:S688"/>
    <mergeCell ref="T688:V688"/>
    <mergeCell ref="W688:Z688"/>
    <mergeCell ref="AA688:AC688"/>
    <mergeCell ref="AD688:AH688"/>
    <mergeCell ref="AD689:AF689"/>
    <mergeCell ref="E693:S693"/>
    <mergeCell ref="T693:AH693"/>
    <mergeCell ref="E694:G695"/>
    <mergeCell ref="H694:K695"/>
    <mergeCell ref="L694:N695"/>
    <mergeCell ref="O694:S695"/>
    <mergeCell ref="T694:V695"/>
    <mergeCell ref="W694:Z695"/>
    <mergeCell ref="AA694:AC695"/>
    <mergeCell ref="AD694:AH695"/>
    <mergeCell ref="E685:G685"/>
    <mergeCell ref="H685:K685"/>
    <mergeCell ref="L685:N685"/>
    <mergeCell ref="O685:S685"/>
    <mergeCell ref="T685:V685"/>
    <mergeCell ref="W685:Z685"/>
    <mergeCell ref="AA685:AC685"/>
    <mergeCell ref="AD685:AH685"/>
    <mergeCell ref="E686:G686"/>
    <mergeCell ref="H686:K686"/>
    <mergeCell ref="L686:N686"/>
    <mergeCell ref="O686:S686"/>
    <mergeCell ref="T686:V686"/>
    <mergeCell ref="W686:Z686"/>
    <mergeCell ref="AA686:AC686"/>
    <mergeCell ref="AD686:AH686"/>
    <mergeCell ref="E687:G687"/>
    <mergeCell ref="H687:K687"/>
    <mergeCell ref="L687:N687"/>
    <mergeCell ref="O687:S687"/>
    <mergeCell ref="T687:V687"/>
    <mergeCell ref="W687:Z687"/>
    <mergeCell ref="AA687:AC687"/>
    <mergeCell ref="AD687:AH687"/>
    <mergeCell ref="E682:G682"/>
    <mergeCell ref="H682:K682"/>
    <mergeCell ref="L682:N682"/>
    <mergeCell ref="O682:S682"/>
    <mergeCell ref="T682:V682"/>
    <mergeCell ref="W682:Z682"/>
    <mergeCell ref="AA682:AC682"/>
    <mergeCell ref="AD682:AH682"/>
    <mergeCell ref="E683:G683"/>
    <mergeCell ref="H683:K683"/>
    <mergeCell ref="L683:N683"/>
    <mergeCell ref="O683:S683"/>
    <mergeCell ref="T683:V683"/>
    <mergeCell ref="W683:Z683"/>
    <mergeCell ref="AA683:AC683"/>
    <mergeCell ref="AD683:AH683"/>
    <mergeCell ref="E684:G684"/>
    <mergeCell ref="H684:K684"/>
    <mergeCell ref="L684:N684"/>
    <mergeCell ref="O684:S684"/>
    <mergeCell ref="T684:V684"/>
    <mergeCell ref="W684:Z684"/>
    <mergeCell ref="AA684:AC684"/>
    <mergeCell ref="AD684:AH684"/>
    <mergeCell ref="E679:G679"/>
    <mergeCell ref="H679:K679"/>
    <mergeCell ref="L679:N679"/>
    <mergeCell ref="O679:S679"/>
    <mergeCell ref="T679:V679"/>
    <mergeCell ref="W679:Z679"/>
    <mergeCell ref="AA679:AC679"/>
    <mergeCell ref="AD679:AH679"/>
    <mergeCell ref="E680:G680"/>
    <mergeCell ref="H680:K680"/>
    <mergeCell ref="L680:N680"/>
    <mergeCell ref="O680:S680"/>
    <mergeCell ref="T680:V680"/>
    <mergeCell ref="W680:Z680"/>
    <mergeCell ref="AA680:AC680"/>
    <mergeCell ref="AD680:AH680"/>
    <mergeCell ref="E681:G681"/>
    <mergeCell ref="H681:K681"/>
    <mergeCell ref="L681:N681"/>
    <mergeCell ref="O681:S681"/>
    <mergeCell ref="T681:V681"/>
    <mergeCell ref="W681:Z681"/>
    <mergeCell ref="AA681:AC681"/>
    <mergeCell ref="AD681:AH681"/>
    <mergeCell ref="E676:G676"/>
    <mergeCell ref="H676:K676"/>
    <mergeCell ref="L676:N676"/>
    <mergeCell ref="O676:S676"/>
    <mergeCell ref="T676:V676"/>
    <mergeCell ref="W676:Z676"/>
    <mergeCell ref="AA676:AC676"/>
    <mergeCell ref="AD676:AH676"/>
    <mergeCell ref="E677:G677"/>
    <mergeCell ref="H677:K677"/>
    <mergeCell ref="L677:N677"/>
    <mergeCell ref="O677:S677"/>
    <mergeCell ref="T677:V677"/>
    <mergeCell ref="W677:Z677"/>
    <mergeCell ref="AA677:AC677"/>
    <mergeCell ref="AD677:AH677"/>
    <mergeCell ref="E678:G678"/>
    <mergeCell ref="H678:K678"/>
    <mergeCell ref="L678:N678"/>
    <mergeCell ref="O678:S678"/>
    <mergeCell ref="T678:V678"/>
    <mergeCell ref="W678:Z678"/>
    <mergeCell ref="AA678:AC678"/>
    <mergeCell ref="AD678:AH678"/>
    <mergeCell ref="E673:G673"/>
    <mergeCell ref="H673:K673"/>
    <mergeCell ref="L673:N673"/>
    <mergeCell ref="O673:S673"/>
    <mergeCell ref="T673:V673"/>
    <mergeCell ref="W673:Z673"/>
    <mergeCell ref="AA673:AC673"/>
    <mergeCell ref="AD673:AH673"/>
    <mergeCell ref="E674:G674"/>
    <mergeCell ref="H674:K674"/>
    <mergeCell ref="L674:N674"/>
    <mergeCell ref="O674:S674"/>
    <mergeCell ref="T674:V674"/>
    <mergeCell ref="W674:Z674"/>
    <mergeCell ref="AA674:AC674"/>
    <mergeCell ref="AD674:AH674"/>
    <mergeCell ref="E675:G675"/>
    <mergeCell ref="H675:K675"/>
    <mergeCell ref="L675:N675"/>
    <mergeCell ref="O675:S675"/>
    <mergeCell ref="T675:V675"/>
    <mergeCell ref="W675:Z675"/>
    <mergeCell ref="AA675:AC675"/>
    <mergeCell ref="AD675:AH675"/>
    <mergeCell ref="E664:G664"/>
    <mergeCell ref="H664:K664"/>
    <mergeCell ref="L664:N664"/>
    <mergeCell ref="O664:S664"/>
    <mergeCell ref="AD664:AH664"/>
    <mergeCell ref="E665:G665"/>
    <mergeCell ref="H665:K665"/>
    <mergeCell ref="L665:N665"/>
    <mergeCell ref="O665:S665"/>
    <mergeCell ref="AD665:AH665"/>
    <mergeCell ref="AD666:AF666"/>
    <mergeCell ref="E670:S670"/>
    <mergeCell ref="T670:AH670"/>
    <mergeCell ref="E671:G672"/>
    <mergeCell ref="H671:K672"/>
    <mergeCell ref="L671:N672"/>
    <mergeCell ref="O671:S672"/>
    <mergeCell ref="T671:V672"/>
    <mergeCell ref="W671:Z672"/>
    <mergeCell ref="AA671:AC672"/>
    <mergeCell ref="AD671:AH672"/>
    <mergeCell ref="T664:V664"/>
    <mergeCell ref="T665:V665"/>
    <mergeCell ref="W664:Z664"/>
    <mergeCell ref="W665:Z665"/>
    <mergeCell ref="AA664:AC664"/>
    <mergeCell ref="AA665:AC665"/>
    <mergeCell ref="E660:G660"/>
    <mergeCell ref="H660:K660"/>
    <mergeCell ref="L660:N660"/>
    <mergeCell ref="O660:S660"/>
    <mergeCell ref="AD660:AH660"/>
    <mergeCell ref="E661:G661"/>
    <mergeCell ref="H661:K661"/>
    <mergeCell ref="L661:N661"/>
    <mergeCell ref="O661:S661"/>
    <mergeCell ref="AD661:AH661"/>
    <mergeCell ref="E662:G662"/>
    <mergeCell ref="H662:K662"/>
    <mergeCell ref="L662:N662"/>
    <mergeCell ref="O662:S662"/>
    <mergeCell ref="AD662:AH662"/>
    <mergeCell ref="E663:G663"/>
    <mergeCell ref="H663:K663"/>
    <mergeCell ref="L663:N663"/>
    <mergeCell ref="O663:S663"/>
    <mergeCell ref="AD663:AH663"/>
    <mergeCell ref="AA661:AC661"/>
    <mergeCell ref="T660:V660"/>
    <mergeCell ref="T661:V661"/>
    <mergeCell ref="T662:V662"/>
    <mergeCell ref="T663:V663"/>
    <mergeCell ref="W660:Z660"/>
    <mergeCell ref="W661:Z661"/>
    <mergeCell ref="W662:Z662"/>
    <mergeCell ref="W663:Z663"/>
    <mergeCell ref="AA662:AC662"/>
    <mergeCell ref="AA663:AC663"/>
    <mergeCell ref="AA660:AC660"/>
    <mergeCell ref="E656:G656"/>
    <mergeCell ref="H656:K656"/>
    <mergeCell ref="L656:N656"/>
    <mergeCell ref="O656:S656"/>
    <mergeCell ref="AD656:AH656"/>
    <mergeCell ref="E657:G657"/>
    <mergeCell ref="H657:K657"/>
    <mergeCell ref="L657:N657"/>
    <mergeCell ref="O657:S657"/>
    <mergeCell ref="AD657:AH657"/>
    <mergeCell ref="E658:G658"/>
    <mergeCell ref="H658:K658"/>
    <mergeCell ref="L658:N658"/>
    <mergeCell ref="O658:S658"/>
    <mergeCell ref="AD658:AH658"/>
    <mergeCell ref="E659:G659"/>
    <mergeCell ref="H659:K659"/>
    <mergeCell ref="L659:N659"/>
    <mergeCell ref="O659:S659"/>
    <mergeCell ref="AD659:AH659"/>
    <mergeCell ref="T656:V656"/>
    <mergeCell ref="T657:V657"/>
    <mergeCell ref="T658:V658"/>
    <mergeCell ref="T659:V659"/>
    <mergeCell ref="W656:Z656"/>
    <mergeCell ref="W657:Z657"/>
    <mergeCell ref="W658:Z658"/>
    <mergeCell ref="W659:Z659"/>
    <mergeCell ref="AA656:AC656"/>
    <mergeCell ref="AA657:AC657"/>
    <mergeCell ref="AA658:AC658"/>
    <mergeCell ref="AA659:AC659"/>
    <mergeCell ref="E652:G652"/>
    <mergeCell ref="H652:K652"/>
    <mergeCell ref="L652:N652"/>
    <mergeCell ref="O652:S652"/>
    <mergeCell ref="AD652:AH652"/>
    <mergeCell ref="E653:G653"/>
    <mergeCell ref="H653:K653"/>
    <mergeCell ref="L653:N653"/>
    <mergeCell ref="O653:S653"/>
    <mergeCell ref="AD653:AH653"/>
    <mergeCell ref="E654:G654"/>
    <mergeCell ref="H654:K654"/>
    <mergeCell ref="L654:N654"/>
    <mergeCell ref="O654:S654"/>
    <mergeCell ref="AD654:AH654"/>
    <mergeCell ref="E655:G655"/>
    <mergeCell ref="H655:K655"/>
    <mergeCell ref="L655:N655"/>
    <mergeCell ref="O655:S655"/>
    <mergeCell ref="AD655:AH655"/>
    <mergeCell ref="T653:V653"/>
    <mergeCell ref="T654:V654"/>
    <mergeCell ref="T655:V655"/>
    <mergeCell ref="W652:Z652"/>
    <mergeCell ref="W653:Z653"/>
    <mergeCell ref="W654:Z654"/>
    <mergeCell ref="W655:Z655"/>
    <mergeCell ref="T652:V652"/>
    <mergeCell ref="AA652:AC652"/>
    <mergeCell ref="AA653:AC653"/>
    <mergeCell ref="AA654:AC654"/>
    <mergeCell ref="AA655:AC655"/>
    <mergeCell ref="AD643:AF643"/>
    <mergeCell ref="E647:S647"/>
    <mergeCell ref="T647:AH647"/>
    <mergeCell ref="E648:G649"/>
    <mergeCell ref="H648:K649"/>
    <mergeCell ref="L648:N649"/>
    <mergeCell ref="O648:S649"/>
    <mergeCell ref="T648:V649"/>
    <mergeCell ref="W648:Z649"/>
    <mergeCell ref="AD648:AH649"/>
    <mergeCell ref="E650:G650"/>
    <mergeCell ref="H650:K650"/>
    <mergeCell ref="L650:N650"/>
    <mergeCell ref="O650:S650"/>
    <mergeCell ref="W650:Z650"/>
    <mergeCell ref="AD650:AH650"/>
    <mergeCell ref="E651:G651"/>
    <mergeCell ref="H651:K651"/>
    <mergeCell ref="L651:N651"/>
    <mergeCell ref="O651:S651"/>
    <mergeCell ref="AD651:AH651"/>
    <mergeCell ref="T650:V650"/>
    <mergeCell ref="T651:V651"/>
    <mergeCell ref="W651:Z651"/>
    <mergeCell ref="AA648:AC649"/>
    <mergeCell ref="AA650:AC650"/>
    <mergeCell ref="AA651:AC651"/>
    <mergeCell ref="E640:G640"/>
    <mergeCell ref="H640:K640"/>
    <mergeCell ref="L640:N640"/>
    <mergeCell ref="O640:S640"/>
    <mergeCell ref="T640:V640"/>
    <mergeCell ref="W640:Z640"/>
    <mergeCell ref="AA640:AC640"/>
    <mergeCell ref="AD640:AH640"/>
    <mergeCell ref="E641:G641"/>
    <mergeCell ref="H641:K641"/>
    <mergeCell ref="L641:N641"/>
    <mergeCell ref="O641:S641"/>
    <mergeCell ref="T641:V641"/>
    <mergeCell ref="W641:Z641"/>
    <mergeCell ref="AA641:AC641"/>
    <mergeCell ref="AD641:AH641"/>
    <mergeCell ref="E642:G642"/>
    <mergeCell ref="H642:K642"/>
    <mergeCell ref="L642:N642"/>
    <mergeCell ref="O642:S642"/>
    <mergeCell ref="T642:V642"/>
    <mergeCell ref="W642:Z642"/>
    <mergeCell ref="AA642:AC642"/>
    <mergeCell ref="AD642:AH642"/>
    <mergeCell ref="E637:G637"/>
    <mergeCell ref="H637:K637"/>
    <mergeCell ref="L637:N637"/>
    <mergeCell ref="O637:S637"/>
    <mergeCell ref="T637:V637"/>
    <mergeCell ref="W637:Z637"/>
    <mergeCell ref="AA637:AC637"/>
    <mergeCell ref="AD637:AH637"/>
    <mergeCell ref="E638:G638"/>
    <mergeCell ref="H638:K638"/>
    <mergeCell ref="L638:N638"/>
    <mergeCell ref="O638:S638"/>
    <mergeCell ref="T638:V638"/>
    <mergeCell ref="W638:Z638"/>
    <mergeCell ref="AA638:AC638"/>
    <mergeCell ref="AD638:AH638"/>
    <mergeCell ref="E639:G639"/>
    <mergeCell ref="H639:K639"/>
    <mergeCell ref="L639:N639"/>
    <mergeCell ref="O639:S639"/>
    <mergeCell ref="T639:V639"/>
    <mergeCell ref="W639:Z639"/>
    <mergeCell ref="AA639:AC639"/>
    <mergeCell ref="AD639:AH639"/>
    <mergeCell ref="E634:G634"/>
    <mergeCell ref="H634:K634"/>
    <mergeCell ref="L634:N634"/>
    <mergeCell ref="O634:S634"/>
    <mergeCell ref="T634:V634"/>
    <mergeCell ref="W634:Z634"/>
    <mergeCell ref="AA634:AC634"/>
    <mergeCell ref="AD634:AH634"/>
    <mergeCell ref="E635:G635"/>
    <mergeCell ref="H635:K635"/>
    <mergeCell ref="L635:N635"/>
    <mergeCell ref="O635:S635"/>
    <mergeCell ref="T635:V635"/>
    <mergeCell ref="W635:Z635"/>
    <mergeCell ref="AA635:AC635"/>
    <mergeCell ref="AD635:AH635"/>
    <mergeCell ref="E636:G636"/>
    <mergeCell ref="H636:K636"/>
    <mergeCell ref="L636:N636"/>
    <mergeCell ref="O636:S636"/>
    <mergeCell ref="T636:V636"/>
    <mergeCell ref="W636:Z636"/>
    <mergeCell ref="AA636:AC636"/>
    <mergeCell ref="AD636:AH636"/>
    <mergeCell ref="E631:G631"/>
    <mergeCell ref="H631:K631"/>
    <mergeCell ref="L631:N631"/>
    <mergeCell ref="O631:S631"/>
    <mergeCell ref="T631:V631"/>
    <mergeCell ref="W631:Z631"/>
    <mergeCell ref="AA631:AC631"/>
    <mergeCell ref="AD631:AH631"/>
    <mergeCell ref="E632:G632"/>
    <mergeCell ref="H632:K632"/>
    <mergeCell ref="L632:N632"/>
    <mergeCell ref="O632:S632"/>
    <mergeCell ref="T632:V632"/>
    <mergeCell ref="W632:Z632"/>
    <mergeCell ref="AA632:AC632"/>
    <mergeCell ref="AD632:AH632"/>
    <mergeCell ref="E633:G633"/>
    <mergeCell ref="H633:K633"/>
    <mergeCell ref="L633:N633"/>
    <mergeCell ref="O633:S633"/>
    <mergeCell ref="T633:V633"/>
    <mergeCell ref="W633:Z633"/>
    <mergeCell ref="AA633:AC633"/>
    <mergeCell ref="AD633:AH633"/>
    <mergeCell ref="E628:G628"/>
    <mergeCell ref="H628:K628"/>
    <mergeCell ref="L628:N628"/>
    <mergeCell ref="O628:S628"/>
    <mergeCell ref="T628:V628"/>
    <mergeCell ref="W628:Z628"/>
    <mergeCell ref="AA628:AC628"/>
    <mergeCell ref="AD628:AH628"/>
    <mergeCell ref="E629:G629"/>
    <mergeCell ref="H629:K629"/>
    <mergeCell ref="L629:N629"/>
    <mergeCell ref="O629:S629"/>
    <mergeCell ref="T629:V629"/>
    <mergeCell ref="W629:Z629"/>
    <mergeCell ref="AA629:AC629"/>
    <mergeCell ref="AD629:AH629"/>
    <mergeCell ref="E630:G630"/>
    <mergeCell ref="H630:K630"/>
    <mergeCell ref="L630:N630"/>
    <mergeCell ref="O630:S630"/>
    <mergeCell ref="T630:V630"/>
    <mergeCell ref="W630:Z630"/>
    <mergeCell ref="AA630:AC630"/>
    <mergeCell ref="AD630:AH630"/>
    <mergeCell ref="E624:S624"/>
    <mergeCell ref="T624:AH624"/>
    <mergeCell ref="E625:G626"/>
    <mergeCell ref="H625:K626"/>
    <mergeCell ref="L625:N626"/>
    <mergeCell ref="O625:S626"/>
    <mergeCell ref="T625:V626"/>
    <mergeCell ref="W625:Z626"/>
    <mergeCell ref="AA625:AC626"/>
    <mergeCell ref="AD625:AH626"/>
    <mergeCell ref="E627:G627"/>
    <mergeCell ref="H627:K627"/>
    <mergeCell ref="L627:N627"/>
    <mergeCell ref="O627:S627"/>
    <mergeCell ref="T627:V627"/>
    <mergeCell ref="W627:Z627"/>
    <mergeCell ref="AA627:AC627"/>
    <mergeCell ref="AD627:AH627"/>
    <mergeCell ref="W618:Z618"/>
    <mergeCell ref="W619:Z619"/>
    <mergeCell ref="AD605:AH605"/>
    <mergeCell ref="AD606:AH606"/>
    <mergeCell ref="AD607:AH607"/>
    <mergeCell ref="AD608:AH608"/>
    <mergeCell ref="AD609:AH609"/>
    <mergeCell ref="AD610:AH610"/>
    <mergeCell ref="AD611:AH611"/>
    <mergeCell ref="AD612:AH612"/>
    <mergeCell ref="AD613:AH613"/>
    <mergeCell ref="AD614:AH614"/>
    <mergeCell ref="AD615:AH615"/>
    <mergeCell ref="AD616:AH616"/>
    <mergeCell ref="AD617:AH617"/>
    <mergeCell ref="AD618:AH618"/>
    <mergeCell ref="AD619:AH619"/>
    <mergeCell ref="AA618:AC618"/>
    <mergeCell ref="AA619:AC619"/>
    <mergeCell ref="W606:Z606"/>
    <mergeCell ref="W607:Z607"/>
    <mergeCell ref="W608:Z608"/>
    <mergeCell ref="W609:Z609"/>
    <mergeCell ref="W610:Z610"/>
    <mergeCell ref="W611:Z611"/>
    <mergeCell ref="W612:Z612"/>
    <mergeCell ref="W613:Z613"/>
    <mergeCell ref="H608:K608"/>
    <mergeCell ref="H609:K609"/>
    <mergeCell ref="H610:K610"/>
    <mergeCell ref="H611:K611"/>
    <mergeCell ref="H612:K612"/>
    <mergeCell ref="H613:K613"/>
    <mergeCell ref="H614:K614"/>
    <mergeCell ref="H615:K615"/>
    <mergeCell ref="H616:K616"/>
    <mergeCell ref="H617:K617"/>
    <mergeCell ref="W605:Z605"/>
    <mergeCell ref="H618:K618"/>
    <mergeCell ref="H619:K619"/>
    <mergeCell ref="O605:S605"/>
    <mergeCell ref="O606:S606"/>
    <mergeCell ref="O607:S607"/>
    <mergeCell ref="O608:S608"/>
    <mergeCell ref="O609:S609"/>
    <mergeCell ref="O610:S610"/>
    <mergeCell ref="O611:S611"/>
    <mergeCell ref="O612:S612"/>
    <mergeCell ref="O613:S613"/>
    <mergeCell ref="O614:S614"/>
    <mergeCell ref="O615:S615"/>
    <mergeCell ref="O616:S616"/>
    <mergeCell ref="O617:S617"/>
    <mergeCell ref="O618:S618"/>
    <mergeCell ref="O619:S619"/>
    <mergeCell ref="W614:Z614"/>
    <mergeCell ref="W615:Z615"/>
    <mergeCell ref="W616:Z616"/>
    <mergeCell ref="W617:Z617"/>
    <mergeCell ref="T608:V608"/>
    <mergeCell ref="T609:V609"/>
    <mergeCell ref="T610:V610"/>
    <mergeCell ref="T611:V611"/>
    <mergeCell ref="T612:V612"/>
    <mergeCell ref="T613:V613"/>
    <mergeCell ref="T614:V614"/>
    <mergeCell ref="T615:V615"/>
    <mergeCell ref="T616:V616"/>
    <mergeCell ref="T617:V617"/>
    <mergeCell ref="T618:V618"/>
    <mergeCell ref="T619:V619"/>
    <mergeCell ref="H604:K604"/>
    <mergeCell ref="O604:S604"/>
    <mergeCell ref="AD604:AH604"/>
    <mergeCell ref="AA604:AC604"/>
    <mergeCell ref="AA605:AC605"/>
    <mergeCell ref="AA606:AC606"/>
    <mergeCell ref="AA607:AC607"/>
    <mergeCell ref="AA608:AC608"/>
    <mergeCell ref="AA609:AC609"/>
    <mergeCell ref="AA610:AC610"/>
    <mergeCell ref="AA611:AC611"/>
    <mergeCell ref="AA612:AC612"/>
    <mergeCell ref="AA613:AC613"/>
    <mergeCell ref="AA614:AC614"/>
    <mergeCell ref="AA615:AC615"/>
    <mergeCell ref="AA616:AC616"/>
    <mergeCell ref="AA617:AC617"/>
    <mergeCell ref="W604:Z604"/>
    <mergeCell ref="H605:K605"/>
    <mergeCell ref="H606:K606"/>
    <mergeCell ref="U590:V590"/>
    <mergeCell ref="X590:AB590"/>
    <mergeCell ref="AC590:AD590"/>
    <mergeCell ref="E593:F593"/>
    <mergeCell ref="H593:J593"/>
    <mergeCell ref="O602:S603"/>
    <mergeCell ref="AD602:AH603"/>
    <mergeCell ref="AA602:AC603"/>
    <mergeCell ref="W602:Z603"/>
    <mergeCell ref="H602:K603"/>
    <mergeCell ref="E601:S601"/>
    <mergeCell ref="T601:AH601"/>
    <mergeCell ref="T602:V603"/>
    <mergeCell ref="T604:V604"/>
    <mergeCell ref="T605:V605"/>
    <mergeCell ref="T606:V606"/>
    <mergeCell ref="T607:V607"/>
    <mergeCell ref="H607:K607"/>
    <mergeCell ref="E587:G587"/>
    <mergeCell ref="H587:J587"/>
    <mergeCell ref="K587:N587"/>
    <mergeCell ref="O587:S587"/>
    <mergeCell ref="T587:W587"/>
    <mergeCell ref="X587:AA587"/>
    <mergeCell ref="AB587:AE587"/>
    <mergeCell ref="E588:G588"/>
    <mergeCell ref="H588:J588"/>
    <mergeCell ref="K588:N588"/>
    <mergeCell ref="O588:S588"/>
    <mergeCell ref="T588:W588"/>
    <mergeCell ref="X588:AA588"/>
    <mergeCell ref="AB588:AE588"/>
    <mergeCell ref="E589:G589"/>
    <mergeCell ref="H589:J589"/>
    <mergeCell ref="K589:N589"/>
    <mergeCell ref="O589:S589"/>
    <mergeCell ref="T589:W589"/>
    <mergeCell ref="X589:AA589"/>
    <mergeCell ref="AB589:AE589"/>
    <mergeCell ref="E584:G584"/>
    <mergeCell ref="H584:J584"/>
    <mergeCell ref="K584:N584"/>
    <mergeCell ref="O584:S584"/>
    <mergeCell ref="T584:W584"/>
    <mergeCell ref="X584:AA584"/>
    <mergeCell ref="AB584:AE584"/>
    <mergeCell ref="E585:G585"/>
    <mergeCell ref="H585:J585"/>
    <mergeCell ref="K585:N585"/>
    <mergeCell ref="O585:S585"/>
    <mergeCell ref="T585:W585"/>
    <mergeCell ref="X585:AA585"/>
    <mergeCell ref="AB585:AE585"/>
    <mergeCell ref="E586:G586"/>
    <mergeCell ref="H586:J586"/>
    <mergeCell ref="K586:N586"/>
    <mergeCell ref="O586:S586"/>
    <mergeCell ref="T586:W586"/>
    <mergeCell ref="X586:AA586"/>
    <mergeCell ref="AB586:AE586"/>
    <mergeCell ref="E581:G581"/>
    <mergeCell ref="H581:J581"/>
    <mergeCell ref="K581:N581"/>
    <mergeCell ref="O581:S581"/>
    <mergeCell ref="T581:W581"/>
    <mergeCell ref="X581:AA581"/>
    <mergeCell ref="AB581:AE581"/>
    <mergeCell ref="E582:G582"/>
    <mergeCell ref="H582:J582"/>
    <mergeCell ref="K582:N582"/>
    <mergeCell ref="O582:S582"/>
    <mergeCell ref="T582:W582"/>
    <mergeCell ref="X582:AA582"/>
    <mergeCell ref="AB582:AE582"/>
    <mergeCell ref="E583:G583"/>
    <mergeCell ref="H583:J583"/>
    <mergeCell ref="K583:N583"/>
    <mergeCell ref="O583:S583"/>
    <mergeCell ref="T583:W583"/>
    <mergeCell ref="X583:AA583"/>
    <mergeCell ref="AB583:AE583"/>
    <mergeCell ref="E578:G578"/>
    <mergeCell ref="H578:J578"/>
    <mergeCell ref="K578:N578"/>
    <mergeCell ref="O578:S578"/>
    <mergeCell ref="T578:W578"/>
    <mergeCell ref="X578:AA578"/>
    <mergeCell ref="AB578:AE578"/>
    <mergeCell ref="E579:G579"/>
    <mergeCell ref="H579:J579"/>
    <mergeCell ref="K579:N579"/>
    <mergeCell ref="O579:S579"/>
    <mergeCell ref="T579:W579"/>
    <mergeCell ref="X579:AA579"/>
    <mergeCell ref="AB579:AE579"/>
    <mergeCell ref="E580:G580"/>
    <mergeCell ref="H580:J580"/>
    <mergeCell ref="K580:N580"/>
    <mergeCell ref="O580:S580"/>
    <mergeCell ref="T580:W580"/>
    <mergeCell ref="X580:AA580"/>
    <mergeCell ref="AB580:AE580"/>
    <mergeCell ref="E575:G575"/>
    <mergeCell ref="H575:J575"/>
    <mergeCell ref="K575:N575"/>
    <mergeCell ref="O575:S575"/>
    <mergeCell ref="T575:W575"/>
    <mergeCell ref="X575:AA575"/>
    <mergeCell ref="AB575:AE575"/>
    <mergeCell ref="E576:G576"/>
    <mergeCell ref="H576:J576"/>
    <mergeCell ref="K576:N576"/>
    <mergeCell ref="O576:S576"/>
    <mergeCell ref="T576:W576"/>
    <mergeCell ref="X576:AA576"/>
    <mergeCell ref="AB576:AE576"/>
    <mergeCell ref="E577:G577"/>
    <mergeCell ref="H577:J577"/>
    <mergeCell ref="K577:N577"/>
    <mergeCell ref="O577:S577"/>
    <mergeCell ref="T577:W577"/>
    <mergeCell ref="X577:AA577"/>
    <mergeCell ref="AB577:AE577"/>
    <mergeCell ref="E568:F568"/>
    <mergeCell ref="H568:J568"/>
    <mergeCell ref="E572:G573"/>
    <mergeCell ref="H572:J573"/>
    <mergeCell ref="K572:N573"/>
    <mergeCell ref="O572:S573"/>
    <mergeCell ref="T572:W573"/>
    <mergeCell ref="X572:AA573"/>
    <mergeCell ref="AB572:AE573"/>
    <mergeCell ref="E574:G574"/>
    <mergeCell ref="H574:J574"/>
    <mergeCell ref="K574:N574"/>
    <mergeCell ref="O574:S574"/>
    <mergeCell ref="T574:W574"/>
    <mergeCell ref="X574:AA574"/>
    <mergeCell ref="AB574:AE574"/>
    <mergeCell ref="E563:G563"/>
    <mergeCell ref="H563:J563"/>
    <mergeCell ref="K563:N563"/>
    <mergeCell ref="O563:S563"/>
    <mergeCell ref="T563:W563"/>
    <mergeCell ref="X563:AA563"/>
    <mergeCell ref="AB563:AE563"/>
    <mergeCell ref="E564:G564"/>
    <mergeCell ref="H564:J564"/>
    <mergeCell ref="K564:N564"/>
    <mergeCell ref="O564:S564"/>
    <mergeCell ref="T564:W564"/>
    <mergeCell ref="X564:AA564"/>
    <mergeCell ref="AB564:AE564"/>
    <mergeCell ref="U565:V565"/>
    <mergeCell ref="X565:AB565"/>
    <mergeCell ref="AC565:AD565"/>
    <mergeCell ref="E560:G560"/>
    <mergeCell ref="H560:J560"/>
    <mergeCell ref="K560:N560"/>
    <mergeCell ref="O560:S560"/>
    <mergeCell ref="T560:W560"/>
    <mergeCell ref="X560:AA560"/>
    <mergeCell ref="AB560:AE560"/>
    <mergeCell ref="E561:G561"/>
    <mergeCell ref="H561:J561"/>
    <mergeCell ref="K561:N561"/>
    <mergeCell ref="O561:S561"/>
    <mergeCell ref="T561:W561"/>
    <mergeCell ref="X561:AA561"/>
    <mergeCell ref="AB561:AE561"/>
    <mergeCell ref="E562:G562"/>
    <mergeCell ref="H562:J562"/>
    <mergeCell ref="K562:N562"/>
    <mergeCell ref="O562:S562"/>
    <mergeCell ref="T562:W562"/>
    <mergeCell ref="X562:AA562"/>
    <mergeCell ref="AB562:AE562"/>
    <mergeCell ref="E557:G557"/>
    <mergeCell ref="H557:J557"/>
    <mergeCell ref="K557:N557"/>
    <mergeCell ref="O557:S557"/>
    <mergeCell ref="T557:W557"/>
    <mergeCell ref="X557:AA557"/>
    <mergeCell ref="AB557:AE557"/>
    <mergeCell ref="E558:G558"/>
    <mergeCell ref="H558:J558"/>
    <mergeCell ref="K558:N558"/>
    <mergeCell ref="O558:S558"/>
    <mergeCell ref="T558:W558"/>
    <mergeCell ref="X558:AA558"/>
    <mergeCell ref="AB558:AE558"/>
    <mergeCell ref="E559:G559"/>
    <mergeCell ref="H559:J559"/>
    <mergeCell ref="K559:N559"/>
    <mergeCell ref="O559:S559"/>
    <mergeCell ref="T559:W559"/>
    <mergeCell ref="X559:AA559"/>
    <mergeCell ref="AB559:AE559"/>
    <mergeCell ref="E554:G554"/>
    <mergeCell ref="H554:J554"/>
    <mergeCell ref="K554:N554"/>
    <mergeCell ref="O554:S554"/>
    <mergeCell ref="T554:W554"/>
    <mergeCell ref="X554:AA554"/>
    <mergeCell ref="AB554:AE554"/>
    <mergeCell ref="E555:G555"/>
    <mergeCell ref="H555:J555"/>
    <mergeCell ref="K555:N555"/>
    <mergeCell ref="O555:S555"/>
    <mergeCell ref="T555:W555"/>
    <mergeCell ref="X555:AA555"/>
    <mergeCell ref="AB555:AE555"/>
    <mergeCell ref="E556:G556"/>
    <mergeCell ref="H556:J556"/>
    <mergeCell ref="K556:N556"/>
    <mergeCell ref="O556:S556"/>
    <mergeCell ref="T556:W556"/>
    <mergeCell ref="X556:AA556"/>
    <mergeCell ref="AB556:AE556"/>
    <mergeCell ref="E551:G551"/>
    <mergeCell ref="H551:J551"/>
    <mergeCell ref="K551:N551"/>
    <mergeCell ref="O551:S551"/>
    <mergeCell ref="T551:W551"/>
    <mergeCell ref="X551:AA551"/>
    <mergeCell ref="AB551:AE551"/>
    <mergeCell ref="E552:G552"/>
    <mergeCell ref="H552:J552"/>
    <mergeCell ref="K552:N552"/>
    <mergeCell ref="O552:S552"/>
    <mergeCell ref="T552:W552"/>
    <mergeCell ref="X552:AA552"/>
    <mergeCell ref="AB552:AE552"/>
    <mergeCell ref="E553:G553"/>
    <mergeCell ref="H553:J553"/>
    <mergeCell ref="K553:N553"/>
    <mergeCell ref="O553:S553"/>
    <mergeCell ref="T553:W553"/>
    <mergeCell ref="X553:AA553"/>
    <mergeCell ref="AB553:AE553"/>
    <mergeCell ref="E547:G548"/>
    <mergeCell ref="H547:J548"/>
    <mergeCell ref="K547:N548"/>
    <mergeCell ref="O547:S548"/>
    <mergeCell ref="T547:W548"/>
    <mergeCell ref="X547:AA548"/>
    <mergeCell ref="AB547:AE548"/>
    <mergeCell ref="E549:G549"/>
    <mergeCell ref="H549:J549"/>
    <mergeCell ref="K549:N549"/>
    <mergeCell ref="O549:S549"/>
    <mergeCell ref="T549:W549"/>
    <mergeCell ref="X549:AA549"/>
    <mergeCell ref="AB549:AE549"/>
    <mergeCell ref="E550:G550"/>
    <mergeCell ref="H550:J550"/>
    <mergeCell ref="K550:N550"/>
    <mergeCell ref="O550:S550"/>
    <mergeCell ref="T550:W550"/>
    <mergeCell ref="X550:AA550"/>
    <mergeCell ref="AB550:AE550"/>
    <mergeCell ref="E539:G539"/>
    <mergeCell ref="H539:J539"/>
    <mergeCell ref="K539:N539"/>
    <mergeCell ref="O539:S539"/>
    <mergeCell ref="T539:W539"/>
    <mergeCell ref="X539:AA539"/>
    <mergeCell ref="AB539:AE539"/>
    <mergeCell ref="U540:V540"/>
    <mergeCell ref="X540:AB540"/>
    <mergeCell ref="AC540:AD540"/>
    <mergeCell ref="E543:F543"/>
    <mergeCell ref="H543:J543"/>
    <mergeCell ref="E536:G536"/>
    <mergeCell ref="H536:J536"/>
    <mergeCell ref="K536:N536"/>
    <mergeCell ref="O536:S536"/>
    <mergeCell ref="T536:W536"/>
    <mergeCell ref="X536:AA536"/>
    <mergeCell ref="AB536:AE536"/>
    <mergeCell ref="E537:G537"/>
    <mergeCell ref="H537:J537"/>
    <mergeCell ref="K537:N537"/>
    <mergeCell ref="O537:S537"/>
    <mergeCell ref="T537:W537"/>
    <mergeCell ref="X537:AA537"/>
    <mergeCell ref="AB537:AE537"/>
    <mergeCell ref="E538:G538"/>
    <mergeCell ref="H538:J538"/>
    <mergeCell ref="K538:N538"/>
    <mergeCell ref="O538:S538"/>
    <mergeCell ref="T538:W538"/>
    <mergeCell ref="X538:AA538"/>
    <mergeCell ref="AB538:AE538"/>
    <mergeCell ref="E533:G533"/>
    <mergeCell ref="H533:J533"/>
    <mergeCell ref="K533:N533"/>
    <mergeCell ref="O533:S533"/>
    <mergeCell ref="T533:W533"/>
    <mergeCell ref="X533:AA533"/>
    <mergeCell ref="AB533:AE533"/>
    <mergeCell ref="E534:G534"/>
    <mergeCell ref="H534:J534"/>
    <mergeCell ref="K534:N534"/>
    <mergeCell ref="O534:S534"/>
    <mergeCell ref="T534:W534"/>
    <mergeCell ref="X534:AA534"/>
    <mergeCell ref="AB534:AE534"/>
    <mergeCell ref="E535:G535"/>
    <mergeCell ref="H535:J535"/>
    <mergeCell ref="K535:N535"/>
    <mergeCell ref="O535:S535"/>
    <mergeCell ref="T535:W535"/>
    <mergeCell ref="X535:AA535"/>
    <mergeCell ref="AB535:AE535"/>
    <mergeCell ref="E530:G530"/>
    <mergeCell ref="H530:J530"/>
    <mergeCell ref="K530:N530"/>
    <mergeCell ref="O530:S530"/>
    <mergeCell ref="T530:W530"/>
    <mergeCell ref="X530:AA530"/>
    <mergeCell ref="AB530:AE530"/>
    <mergeCell ref="E531:G531"/>
    <mergeCell ref="H531:J531"/>
    <mergeCell ref="K531:N531"/>
    <mergeCell ref="O531:S531"/>
    <mergeCell ref="T531:W531"/>
    <mergeCell ref="X531:AA531"/>
    <mergeCell ref="AB531:AE531"/>
    <mergeCell ref="E532:G532"/>
    <mergeCell ref="H532:J532"/>
    <mergeCell ref="K532:N532"/>
    <mergeCell ref="O532:S532"/>
    <mergeCell ref="T532:W532"/>
    <mergeCell ref="X532:AA532"/>
    <mergeCell ref="AB532:AE532"/>
    <mergeCell ref="E527:G527"/>
    <mergeCell ref="H527:J527"/>
    <mergeCell ref="K527:N527"/>
    <mergeCell ref="O527:S527"/>
    <mergeCell ref="T527:W527"/>
    <mergeCell ref="X527:AA527"/>
    <mergeCell ref="AB527:AE527"/>
    <mergeCell ref="E528:G528"/>
    <mergeCell ref="H528:J528"/>
    <mergeCell ref="K528:N528"/>
    <mergeCell ref="O528:S528"/>
    <mergeCell ref="T528:W528"/>
    <mergeCell ref="X528:AA528"/>
    <mergeCell ref="AB528:AE528"/>
    <mergeCell ref="E529:G529"/>
    <mergeCell ref="H529:J529"/>
    <mergeCell ref="K529:N529"/>
    <mergeCell ref="O529:S529"/>
    <mergeCell ref="T529:W529"/>
    <mergeCell ref="X529:AA529"/>
    <mergeCell ref="AB529:AE529"/>
    <mergeCell ref="E524:G524"/>
    <mergeCell ref="H524:J524"/>
    <mergeCell ref="K524:N524"/>
    <mergeCell ref="O524:S524"/>
    <mergeCell ref="T524:W524"/>
    <mergeCell ref="X524:AA524"/>
    <mergeCell ref="AB524:AE524"/>
    <mergeCell ref="E525:G525"/>
    <mergeCell ref="H525:J525"/>
    <mergeCell ref="K525:N525"/>
    <mergeCell ref="O525:S525"/>
    <mergeCell ref="T525:W525"/>
    <mergeCell ref="X525:AA525"/>
    <mergeCell ref="AB525:AE525"/>
    <mergeCell ref="E526:G526"/>
    <mergeCell ref="H526:J526"/>
    <mergeCell ref="K526:N526"/>
    <mergeCell ref="O526:S526"/>
    <mergeCell ref="T526:W526"/>
    <mergeCell ref="X526:AA526"/>
    <mergeCell ref="AB526:AE526"/>
    <mergeCell ref="U404:Y404"/>
    <mergeCell ref="Z404:AD404"/>
    <mergeCell ref="F402:H402"/>
    <mergeCell ref="I402:L402"/>
    <mergeCell ref="M402:P402"/>
    <mergeCell ref="F403:H403"/>
    <mergeCell ref="I403:L403"/>
    <mergeCell ref="M403:P403"/>
    <mergeCell ref="F400:H400"/>
    <mergeCell ref="I400:L400"/>
    <mergeCell ref="M400:P400"/>
    <mergeCell ref="F401:H401"/>
    <mergeCell ref="I401:L401"/>
    <mergeCell ref="M401:P401"/>
    <mergeCell ref="U402:Y402"/>
    <mergeCell ref="Z402:AD402"/>
    <mergeCell ref="E522:G523"/>
    <mergeCell ref="H522:J523"/>
    <mergeCell ref="K522:N523"/>
    <mergeCell ref="O522:S523"/>
    <mergeCell ref="T522:W523"/>
    <mergeCell ref="X522:AA523"/>
    <mergeCell ref="AB522:AE523"/>
    <mergeCell ref="F399:H399"/>
    <mergeCell ref="I399:L399"/>
    <mergeCell ref="M399:P399"/>
    <mergeCell ref="F396:H396"/>
    <mergeCell ref="I396:L396"/>
    <mergeCell ref="M396:P396"/>
    <mergeCell ref="F397:H397"/>
    <mergeCell ref="I397:L397"/>
    <mergeCell ref="M397:P397"/>
    <mergeCell ref="F394:H394"/>
    <mergeCell ref="I394:L394"/>
    <mergeCell ref="M394:P394"/>
    <mergeCell ref="F395:H395"/>
    <mergeCell ref="I395:L395"/>
    <mergeCell ref="M395:P395"/>
    <mergeCell ref="F404:H404"/>
    <mergeCell ref="I404:L404"/>
    <mergeCell ref="M404:P404"/>
    <mergeCell ref="M320:P320"/>
    <mergeCell ref="F321:H321"/>
    <mergeCell ref="I321:L321"/>
    <mergeCell ref="M321:P321"/>
    <mergeCell ref="F332:H332"/>
    <mergeCell ref="I332:L332"/>
    <mergeCell ref="M332:P332"/>
    <mergeCell ref="F330:H330"/>
    <mergeCell ref="I330:L330"/>
    <mergeCell ref="M330:P330"/>
    <mergeCell ref="F331:H331"/>
    <mergeCell ref="I331:L331"/>
    <mergeCell ref="M331:P331"/>
    <mergeCell ref="F328:H328"/>
    <mergeCell ref="I328:L328"/>
    <mergeCell ref="M328:P328"/>
    <mergeCell ref="F329:H329"/>
    <mergeCell ref="I329:L329"/>
    <mergeCell ref="M329:P329"/>
    <mergeCell ref="F326:H326"/>
    <mergeCell ref="I326:L326"/>
    <mergeCell ref="M326:P326"/>
    <mergeCell ref="F327:H327"/>
    <mergeCell ref="I327:L327"/>
    <mergeCell ref="M327:P327"/>
    <mergeCell ref="E514:G514"/>
    <mergeCell ref="H514:J514"/>
    <mergeCell ref="K514:N514"/>
    <mergeCell ref="O514:S514"/>
    <mergeCell ref="T514:W514"/>
    <mergeCell ref="X514:AA514"/>
    <mergeCell ref="AB514:AE514"/>
    <mergeCell ref="U515:V515"/>
    <mergeCell ref="X515:AB515"/>
    <mergeCell ref="AC515:AD515"/>
    <mergeCell ref="E518:F518"/>
    <mergeCell ref="H518:J518"/>
    <mergeCell ref="F314:H316"/>
    <mergeCell ref="I314:L316"/>
    <mergeCell ref="M314:P316"/>
    <mergeCell ref="F317:H317"/>
    <mergeCell ref="I317:L317"/>
    <mergeCell ref="M317:P317"/>
    <mergeCell ref="E511:G511"/>
    <mergeCell ref="H511:J511"/>
    <mergeCell ref="K511:N511"/>
    <mergeCell ref="O511:S511"/>
    <mergeCell ref="T511:W511"/>
    <mergeCell ref="X511:AA511"/>
    <mergeCell ref="AB511:AE511"/>
    <mergeCell ref="E512:G512"/>
    <mergeCell ref="H512:J512"/>
    <mergeCell ref="K512:N512"/>
    <mergeCell ref="O512:S512"/>
    <mergeCell ref="T512:W512"/>
    <mergeCell ref="X512:AA512"/>
    <mergeCell ref="AB512:AE512"/>
    <mergeCell ref="E513:G513"/>
    <mergeCell ref="H513:J513"/>
    <mergeCell ref="K513:N513"/>
    <mergeCell ref="O513:S513"/>
    <mergeCell ref="T513:W513"/>
    <mergeCell ref="X513:AA513"/>
    <mergeCell ref="AB513:AE513"/>
    <mergeCell ref="E508:G508"/>
    <mergeCell ref="H508:J508"/>
    <mergeCell ref="K508:N508"/>
    <mergeCell ref="O508:S508"/>
    <mergeCell ref="T508:W508"/>
    <mergeCell ref="X508:AA508"/>
    <mergeCell ref="AB508:AE508"/>
    <mergeCell ref="E509:G509"/>
    <mergeCell ref="H509:J509"/>
    <mergeCell ref="K509:N509"/>
    <mergeCell ref="O509:S509"/>
    <mergeCell ref="T509:W509"/>
    <mergeCell ref="X509:AA509"/>
    <mergeCell ref="AB509:AE509"/>
    <mergeCell ref="E510:G510"/>
    <mergeCell ref="H510:J510"/>
    <mergeCell ref="K510:N510"/>
    <mergeCell ref="O510:S510"/>
    <mergeCell ref="T510:W510"/>
    <mergeCell ref="X510:AA510"/>
    <mergeCell ref="AB510:AE510"/>
    <mergeCell ref="E505:G505"/>
    <mergeCell ref="H505:J505"/>
    <mergeCell ref="K505:N505"/>
    <mergeCell ref="O505:S505"/>
    <mergeCell ref="T505:W505"/>
    <mergeCell ref="X505:AA505"/>
    <mergeCell ref="AB505:AE505"/>
    <mergeCell ref="E506:G506"/>
    <mergeCell ref="H506:J506"/>
    <mergeCell ref="K506:N506"/>
    <mergeCell ref="O506:S506"/>
    <mergeCell ref="T506:W506"/>
    <mergeCell ref="X506:AA506"/>
    <mergeCell ref="AB506:AE506"/>
    <mergeCell ref="E507:G507"/>
    <mergeCell ref="H507:J507"/>
    <mergeCell ref="K507:N507"/>
    <mergeCell ref="O507:S507"/>
    <mergeCell ref="T507:W507"/>
    <mergeCell ref="X507:AA507"/>
    <mergeCell ref="AB507:AE507"/>
    <mergeCell ref="E502:G502"/>
    <mergeCell ref="H502:J502"/>
    <mergeCell ref="K502:N502"/>
    <mergeCell ref="O502:S502"/>
    <mergeCell ref="T502:W502"/>
    <mergeCell ref="X502:AA502"/>
    <mergeCell ref="AB502:AE502"/>
    <mergeCell ref="E503:G503"/>
    <mergeCell ref="H503:J503"/>
    <mergeCell ref="K503:N503"/>
    <mergeCell ref="O503:S503"/>
    <mergeCell ref="T503:W503"/>
    <mergeCell ref="X503:AA503"/>
    <mergeCell ref="AB503:AE503"/>
    <mergeCell ref="E504:G504"/>
    <mergeCell ref="H504:J504"/>
    <mergeCell ref="K504:N504"/>
    <mergeCell ref="O504:S504"/>
    <mergeCell ref="T504:W504"/>
    <mergeCell ref="X504:AA504"/>
    <mergeCell ref="AB504:AE504"/>
    <mergeCell ref="E499:G499"/>
    <mergeCell ref="H499:J499"/>
    <mergeCell ref="K499:N499"/>
    <mergeCell ref="O499:S499"/>
    <mergeCell ref="T499:W499"/>
    <mergeCell ref="X499:AA499"/>
    <mergeCell ref="AB499:AE499"/>
    <mergeCell ref="E500:G500"/>
    <mergeCell ref="H500:J500"/>
    <mergeCell ref="K500:N500"/>
    <mergeCell ref="O500:S500"/>
    <mergeCell ref="T500:W500"/>
    <mergeCell ref="X500:AA500"/>
    <mergeCell ref="AB500:AE500"/>
    <mergeCell ref="E501:G501"/>
    <mergeCell ref="H501:J501"/>
    <mergeCell ref="K501:N501"/>
    <mergeCell ref="O501:S501"/>
    <mergeCell ref="T501:W501"/>
    <mergeCell ref="X501:AA501"/>
    <mergeCell ref="AB501:AE501"/>
    <mergeCell ref="E493:F493"/>
    <mergeCell ref="H493:J493"/>
    <mergeCell ref="E468:F468"/>
    <mergeCell ref="H468:J468"/>
    <mergeCell ref="E497:G498"/>
    <mergeCell ref="H497:J498"/>
    <mergeCell ref="K497:N498"/>
    <mergeCell ref="O497:S498"/>
    <mergeCell ref="T497:W498"/>
    <mergeCell ref="X497:AA498"/>
    <mergeCell ref="AB497:AE498"/>
    <mergeCell ref="E488:G488"/>
    <mergeCell ref="H488:J488"/>
    <mergeCell ref="K488:N488"/>
    <mergeCell ref="O488:S488"/>
    <mergeCell ref="T488:W488"/>
    <mergeCell ref="X488:AA488"/>
    <mergeCell ref="AB488:AE488"/>
    <mergeCell ref="E489:G489"/>
    <mergeCell ref="H489:J489"/>
    <mergeCell ref="K489:N489"/>
    <mergeCell ref="O489:S489"/>
    <mergeCell ref="T489:W489"/>
    <mergeCell ref="X489:AA489"/>
    <mergeCell ref="AB489:AE489"/>
    <mergeCell ref="U490:V490"/>
    <mergeCell ref="X490:AB490"/>
    <mergeCell ref="AC490:AD490"/>
    <mergeCell ref="E485:G485"/>
    <mergeCell ref="H485:J485"/>
    <mergeCell ref="K485:N485"/>
    <mergeCell ref="O485:S485"/>
    <mergeCell ref="T485:W485"/>
    <mergeCell ref="X485:AA485"/>
    <mergeCell ref="AB485:AE485"/>
    <mergeCell ref="E486:G486"/>
    <mergeCell ref="H486:J486"/>
    <mergeCell ref="K486:N486"/>
    <mergeCell ref="O486:S486"/>
    <mergeCell ref="T486:W486"/>
    <mergeCell ref="X486:AA486"/>
    <mergeCell ref="AB486:AE486"/>
    <mergeCell ref="E487:G487"/>
    <mergeCell ref="H487:J487"/>
    <mergeCell ref="K487:N487"/>
    <mergeCell ref="O487:S487"/>
    <mergeCell ref="T487:W487"/>
    <mergeCell ref="X487:AA487"/>
    <mergeCell ref="AB487:AE487"/>
    <mergeCell ref="E482:G482"/>
    <mergeCell ref="H482:J482"/>
    <mergeCell ref="K482:N482"/>
    <mergeCell ref="O482:S482"/>
    <mergeCell ref="T482:W482"/>
    <mergeCell ref="X482:AA482"/>
    <mergeCell ref="AB482:AE482"/>
    <mergeCell ref="E483:G483"/>
    <mergeCell ref="H483:J483"/>
    <mergeCell ref="K483:N483"/>
    <mergeCell ref="O483:S483"/>
    <mergeCell ref="T483:W483"/>
    <mergeCell ref="X483:AA483"/>
    <mergeCell ref="AB483:AE483"/>
    <mergeCell ref="E484:G484"/>
    <mergeCell ref="H484:J484"/>
    <mergeCell ref="K484:N484"/>
    <mergeCell ref="O484:S484"/>
    <mergeCell ref="T484:W484"/>
    <mergeCell ref="X484:AA484"/>
    <mergeCell ref="AB484:AE484"/>
    <mergeCell ref="E479:G479"/>
    <mergeCell ref="H479:J479"/>
    <mergeCell ref="K479:N479"/>
    <mergeCell ref="O479:S479"/>
    <mergeCell ref="T479:W479"/>
    <mergeCell ref="X479:AA479"/>
    <mergeCell ref="AB479:AE479"/>
    <mergeCell ref="E480:G480"/>
    <mergeCell ref="H480:J480"/>
    <mergeCell ref="K480:N480"/>
    <mergeCell ref="O480:S480"/>
    <mergeCell ref="T480:W480"/>
    <mergeCell ref="X480:AA480"/>
    <mergeCell ref="AB480:AE480"/>
    <mergeCell ref="E481:G481"/>
    <mergeCell ref="H481:J481"/>
    <mergeCell ref="K481:N481"/>
    <mergeCell ref="O481:S481"/>
    <mergeCell ref="T481:W481"/>
    <mergeCell ref="X481:AA481"/>
    <mergeCell ref="AB481:AE481"/>
    <mergeCell ref="H476:J476"/>
    <mergeCell ref="K476:N476"/>
    <mergeCell ref="O476:S476"/>
    <mergeCell ref="T476:W476"/>
    <mergeCell ref="X476:AA476"/>
    <mergeCell ref="AB476:AE476"/>
    <mergeCell ref="E477:G477"/>
    <mergeCell ref="H477:J477"/>
    <mergeCell ref="K477:N477"/>
    <mergeCell ref="O477:S477"/>
    <mergeCell ref="T477:W477"/>
    <mergeCell ref="X477:AA477"/>
    <mergeCell ref="AB477:AE477"/>
    <mergeCell ref="E478:G478"/>
    <mergeCell ref="H478:J478"/>
    <mergeCell ref="K478:N478"/>
    <mergeCell ref="O478:S478"/>
    <mergeCell ref="T478:W478"/>
    <mergeCell ref="X478:AA478"/>
    <mergeCell ref="AB478:AE478"/>
    <mergeCell ref="O472:S473"/>
    <mergeCell ref="T472:W473"/>
    <mergeCell ref="X472:AA473"/>
    <mergeCell ref="AB472:AE473"/>
    <mergeCell ref="E474:G474"/>
    <mergeCell ref="H474:J474"/>
    <mergeCell ref="K474:N474"/>
    <mergeCell ref="O474:S474"/>
    <mergeCell ref="T474:W474"/>
    <mergeCell ref="X474:AA474"/>
    <mergeCell ref="AB474:AE474"/>
    <mergeCell ref="E475:G475"/>
    <mergeCell ref="H475:J475"/>
    <mergeCell ref="K475:N475"/>
    <mergeCell ref="O475:S475"/>
    <mergeCell ref="T475:W475"/>
    <mergeCell ref="X475:AA475"/>
    <mergeCell ref="AB475:AE475"/>
    <mergeCell ref="Q403:T403"/>
    <mergeCell ref="U403:Y403"/>
    <mergeCell ref="Z403:AD403"/>
    <mergeCell ref="F382:H382"/>
    <mergeCell ref="I382:L382"/>
    <mergeCell ref="M382:P382"/>
    <mergeCell ref="Q382:T382"/>
    <mergeCell ref="U382:Y382"/>
    <mergeCell ref="Z382:AD382"/>
    <mergeCell ref="Q404:T404"/>
    <mergeCell ref="F379:H379"/>
    <mergeCell ref="I379:L379"/>
    <mergeCell ref="M379:P379"/>
    <mergeCell ref="Q379:T379"/>
    <mergeCell ref="U379:Y379"/>
    <mergeCell ref="Z379:AD379"/>
    <mergeCell ref="Q401:T401"/>
    <mergeCell ref="U401:Y401"/>
    <mergeCell ref="Z401:AD401"/>
    <mergeCell ref="F380:H380"/>
    <mergeCell ref="I380:L380"/>
    <mergeCell ref="M380:P380"/>
    <mergeCell ref="Q380:T380"/>
    <mergeCell ref="U380:Y380"/>
    <mergeCell ref="Z380:AD380"/>
    <mergeCell ref="Q402:T402"/>
    <mergeCell ref="F392:H392"/>
    <mergeCell ref="I392:L392"/>
    <mergeCell ref="M392:P392"/>
    <mergeCell ref="F393:H393"/>
    <mergeCell ref="I393:L393"/>
    <mergeCell ref="M393:P393"/>
    <mergeCell ref="Q399:T399"/>
    <mergeCell ref="U399:Y399"/>
    <mergeCell ref="Z399:AD399"/>
    <mergeCell ref="F378:H378"/>
    <mergeCell ref="I378:L378"/>
    <mergeCell ref="M378:P378"/>
    <mergeCell ref="Q378:T378"/>
    <mergeCell ref="U378:Y378"/>
    <mergeCell ref="Z378:AD378"/>
    <mergeCell ref="Q400:T400"/>
    <mergeCell ref="U400:Y400"/>
    <mergeCell ref="Z400:AD400"/>
    <mergeCell ref="F381:H381"/>
    <mergeCell ref="I381:L381"/>
    <mergeCell ref="M381:P381"/>
    <mergeCell ref="Q381:T381"/>
    <mergeCell ref="U381:Y381"/>
    <mergeCell ref="Z381:AD381"/>
    <mergeCell ref="F390:H390"/>
    <mergeCell ref="I390:L390"/>
    <mergeCell ref="M390:P390"/>
    <mergeCell ref="F391:H391"/>
    <mergeCell ref="I391:L391"/>
    <mergeCell ref="M391:P391"/>
    <mergeCell ref="F386:H388"/>
    <mergeCell ref="I386:L388"/>
    <mergeCell ref="M386:P388"/>
    <mergeCell ref="F389:H389"/>
    <mergeCell ref="I389:L389"/>
    <mergeCell ref="M389:P389"/>
    <mergeCell ref="F398:H398"/>
    <mergeCell ref="I398:L398"/>
    <mergeCell ref="Q397:T397"/>
    <mergeCell ref="U397:Y397"/>
    <mergeCell ref="Z397:AD397"/>
    <mergeCell ref="F376:H376"/>
    <mergeCell ref="I376:L376"/>
    <mergeCell ref="M376:P376"/>
    <mergeCell ref="Q376:T376"/>
    <mergeCell ref="U376:Y376"/>
    <mergeCell ref="Z376:AD376"/>
    <mergeCell ref="Q398:T398"/>
    <mergeCell ref="U398:Y398"/>
    <mergeCell ref="Z398:AD398"/>
    <mergeCell ref="F377:H377"/>
    <mergeCell ref="I377:L377"/>
    <mergeCell ref="M377:P377"/>
    <mergeCell ref="Q377:T377"/>
    <mergeCell ref="U377:Y377"/>
    <mergeCell ref="Z377:AD377"/>
    <mergeCell ref="M398:P398"/>
    <mergeCell ref="Q395:T395"/>
    <mergeCell ref="U395:Y395"/>
    <mergeCell ref="Z395:AD395"/>
    <mergeCell ref="F374:H374"/>
    <mergeCell ref="I374:L374"/>
    <mergeCell ref="M374:P374"/>
    <mergeCell ref="Q374:T374"/>
    <mergeCell ref="U374:Y374"/>
    <mergeCell ref="Z374:AD374"/>
    <mergeCell ref="Q396:T396"/>
    <mergeCell ref="U396:Y396"/>
    <mergeCell ref="Z396:AD396"/>
    <mergeCell ref="F375:H375"/>
    <mergeCell ref="I375:L375"/>
    <mergeCell ref="M375:P375"/>
    <mergeCell ref="Q375:T375"/>
    <mergeCell ref="U375:Y375"/>
    <mergeCell ref="Z375:AD375"/>
    <mergeCell ref="Q393:T393"/>
    <mergeCell ref="U393:Y393"/>
    <mergeCell ref="Z393:AD393"/>
    <mergeCell ref="F372:H372"/>
    <mergeCell ref="I372:L372"/>
    <mergeCell ref="M372:P372"/>
    <mergeCell ref="Q372:T372"/>
    <mergeCell ref="U372:Y372"/>
    <mergeCell ref="Z372:AD372"/>
    <mergeCell ref="Q394:T394"/>
    <mergeCell ref="U394:Y394"/>
    <mergeCell ref="Z394:AD394"/>
    <mergeCell ref="F373:H373"/>
    <mergeCell ref="I373:L373"/>
    <mergeCell ref="M373:P373"/>
    <mergeCell ref="Q373:T373"/>
    <mergeCell ref="U373:Y373"/>
    <mergeCell ref="Z373:AD373"/>
    <mergeCell ref="Q391:T391"/>
    <mergeCell ref="U391:Y391"/>
    <mergeCell ref="Z391:AD391"/>
    <mergeCell ref="F370:H370"/>
    <mergeCell ref="I370:L370"/>
    <mergeCell ref="M370:P370"/>
    <mergeCell ref="Q370:T370"/>
    <mergeCell ref="U370:Y370"/>
    <mergeCell ref="Z370:AD370"/>
    <mergeCell ref="Q392:T392"/>
    <mergeCell ref="U392:Y392"/>
    <mergeCell ref="Z392:AD392"/>
    <mergeCell ref="F371:H371"/>
    <mergeCell ref="I371:L371"/>
    <mergeCell ref="M371:P371"/>
    <mergeCell ref="Q371:T371"/>
    <mergeCell ref="U371:Y371"/>
    <mergeCell ref="Z371:AD371"/>
    <mergeCell ref="Q367:T367"/>
    <mergeCell ref="U367:Y367"/>
    <mergeCell ref="Z367:AD367"/>
    <mergeCell ref="Q389:T389"/>
    <mergeCell ref="U389:Y389"/>
    <mergeCell ref="Z389:AD389"/>
    <mergeCell ref="F368:H368"/>
    <mergeCell ref="I368:L368"/>
    <mergeCell ref="M368:P368"/>
    <mergeCell ref="Q368:T368"/>
    <mergeCell ref="U368:Y368"/>
    <mergeCell ref="Z368:AD368"/>
    <mergeCell ref="Q390:T390"/>
    <mergeCell ref="U390:Y390"/>
    <mergeCell ref="Z390:AD390"/>
    <mergeCell ref="F369:H369"/>
    <mergeCell ref="I369:L369"/>
    <mergeCell ref="M369:P369"/>
    <mergeCell ref="Q369:T369"/>
    <mergeCell ref="U369:Y369"/>
    <mergeCell ref="Z369:AD369"/>
    <mergeCell ref="Q332:T332"/>
    <mergeCell ref="U332:Y332"/>
    <mergeCell ref="Z332:AD332"/>
    <mergeCell ref="F364:H366"/>
    <mergeCell ref="I364:L366"/>
    <mergeCell ref="M364:P366"/>
    <mergeCell ref="Q364:AD364"/>
    <mergeCell ref="Q386:AD386"/>
    <mergeCell ref="Q365:T366"/>
    <mergeCell ref="U365:Y366"/>
    <mergeCell ref="Z365:AD366"/>
    <mergeCell ref="Q387:T388"/>
    <mergeCell ref="U387:Y388"/>
    <mergeCell ref="Z387:AD388"/>
    <mergeCell ref="F353:H353"/>
    <mergeCell ref="I353:L353"/>
    <mergeCell ref="M353:P353"/>
    <mergeCell ref="Q353:T353"/>
    <mergeCell ref="U353:Y353"/>
    <mergeCell ref="Z353:AD353"/>
    <mergeCell ref="F354:H354"/>
    <mergeCell ref="I354:L354"/>
    <mergeCell ref="M354:P354"/>
    <mergeCell ref="Q354:T354"/>
    <mergeCell ref="U354:Y354"/>
    <mergeCell ref="Z354:AD354"/>
    <mergeCell ref="F350:H350"/>
    <mergeCell ref="I350:L350"/>
    <mergeCell ref="M350:P350"/>
    <mergeCell ref="F367:H367"/>
    <mergeCell ref="I367:L367"/>
    <mergeCell ref="M367:P367"/>
    <mergeCell ref="F319:H319"/>
    <mergeCell ref="I319:L319"/>
    <mergeCell ref="M319:P319"/>
    <mergeCell ref="Q325:T325"/>
    <mergeCell ref="U325:Y325"/>
    <mergeCell ref="Z325:AD325"/>
    <mergeCell ref="Q326:T326"/>
    <mergeCell ref="U326:Y326"/>
    <mergeCell ref="Z326:AD326"/>
    <mergeCell ref="Q327:T327"/>
    <mergeCell ref="U327:Y327"/>
    <mergeCell ref="Z327:AD327"/>
    <mergeCell ref="Q328:T328"/>
    <mergeCell ref="U328:Y328"/>
    <mergeCell ref="Z328:AD328"/>
    <mergeCell ref="Q331:T331"/>
    <mergeCell ref="U331:Y331"/>
    <mergeCell ref="Z331:AD331"/>
    <mergeCell ref="F324:H324"/>
    <mergeCell ref="I324:L324"/>
    <mergeCell ref="M324:P324"/>
    <mergeCell ref="F325:H325"/>
    <mergeCell ref="I325:L325"/>
    <mergeCell ref="M325:P325"/>
    <mergeCell ref="F322:H322"/>
    <mergeCell ref="I322:L322"/>
    <mergeCell ref="M322:P322"/>
    <mergeCell ref="F323:H323"/>
    <mergeCell ref="I323:L323"/>
    <mergeCell ref="M323:P323"/>
    <mergeCell ref="F320:H320"/>
    <mergeCell ref="I320:L320"/>
    <mergeCell ref="Q329:T329"/>
    <mergeCell ref="U329:Y329"/>
    <mergeCell ref="Z329:AD329"/>
    <mergeCell ref="Q330:T330"/>
    <mergeCell ref="U330:Y330"/>
    <mergeCell ref="Z330:AD330"/>
    <mergeCell ref="Q319:T319"/>
    <mergeCell ref="U319:Y319"/>
    <mergeCell ref="Z319:AD319"/>
    <mergeCell ref="Q320:T320"/>
    <mergeCell ref="U320:Y320"/>
    <mergeCell ref="Z320:AD320"/>
    <mergeCell ref="Q321:T321"/>
    <mergeCell ref="U321:Y321"/>
    <mergeCell ref="Z321:AD321"/>
    <mergeCell ref="Q322:T322"/>
    <mergeCell ref="U322:Y322"/>
    <mergeCell ref="Z322:AD322"/>
    <mergeCell ref="Q323:T323"/>
    <mergeCell ref="U323:Y323"/>
    <mergeCell ref="Z323:AD323"/>
    <mergeCell ref="Q324:T324"/>
    <mergeCell ref="U324:Y324"/>
    <mergeCell ref="Z324:AD324"/>
    <mergeCell ref="Q315:T316"/>
    <mergeCell ref="U315:Y316"/>
    <mergeCell ref="Z315:AD316"/>
    <mergeCell ref="Q317:T317"/>
    <mergeCell ref="U317:Y317"/>
    <mergeCell ref="Z317:AD317"/>
    <mergeCell ref="Q318:T318"/>
    <mergeCell ref="U318:Y318"/>
    <mergeCell ref="Z318:AD318"/>
    <mergeCell ref="F308:H308"/>
    <mergeCell ref="I308:L308"/>
    <mergeCell ref="M308:P308"/>
    <mergeCell ref="Q308:T308"/>
    <mergeCell ref="U308:Y308"/>
    <mergeCell ref="Z308:AD308"/>
    <mergeCell ref="F309:H309"/>
    <mergeCell ref="I309:L309"/>
    <mergeCell ref="M309:P309"/>
    <mergeCell ref="Q309:T309"/>
    <mergeCell ref="U309:Y309"/>
    <mergeCell ref="Z309:AD309"/>
    <mergeCell ref="F310:H310"/>
    <mergeCell ref="I310:L310"/>
    <mergeCell ref="M310:P310"/>
    <mergeCell ref="Q310:T310"/>
    <mergeCell ref="U310:Y310"/>
    <mergeCell ref="Z310:AD310"/>
    <mergeCell ref="F318:H318"/>
    <mergeCell ref="I318:L318"/>
    <mergeCell ref="M318:P318"/>
    <mergeCell ref="F306:H306"/>
    <mergeCell ref="I306:L306"/>
    <mergeCell ref="M306:P306"/>
    <mergeCell ref="Q306:T306"/>
    <mergeCell ref="U306:Y306"/>
    <mergeCell ref="Z306:AD306"/>
    <mergeCell ref="F307:H307"/>
    <mergeCell ref="I307:L307"/>
    <mergeCell ref="M307:P307"/>
    <mergeCell ref="Q307:T307"/>
    <mergeCell ref="U307:Y307"/>
    <mergeCell ref="Z307:AD307"/>
    <mergeCell ref="Q293:T294"/>
    <mergeCell ref="U293:Y294"/>
    <mergeCell ref="Z293:AD294"/>
    <mergeCell ref="Q292:AD292"/>
    <mergeCell ref="Q314:AD314"/>
    <mergeCell ref="F303:H303"/>
    <mergeCell ref="I303:L303"/>
    <mergeCell ref="M303:P303"/>
    <mergeCell ref="Q303:T303"/>
    <mergeCell ref="U303:Y303"/>
    <mergeCell ref="Z303:AD303"/>
    <mergeCell ref="F304:H304"/>
    <mergeCell ref="I304:L304"/>
    <mergeCell ref="M304:P304"/>
    <mergeCell ref="Q304:T304"/>
    <mergeCell ref="U304:Y304"/>
    <mergeCell ref="Z304:AD304"/>
    <mergeCell ref="F305:H305"/>
    <mergeCell ref="I305:L305"/>
    <mergeCell ref="M305:P305"/>
    <mergeCell ref="Q305:T305"/>
    <mergeCell ref="U305:Y305"/>
    <mergeCell ref="Z305:AD305"/>
    <mergeCell ref="Z299:AD299"/>
    <mergeCell ref="F300:H300"/>
    <mergeCell ref="I300:L300"/>
    <mergeCell ref="M300:P300"/>
    <mergeCell ref="Q300:T300"/>
    <mergeCell ref="U300:Y300"/>
    <mergeCell ref="Z300:AD300"/>
    <mergeCell ref="F301:H301"/>
    <mergeCell ref="I301:L301"/>
    <mergeCell ref="M301:P301"/>
    <mergeCell ref="Q301:T301"/>
    <mergeCell ref="U301:Y301"/>
    <mergeCell ref="Z301:AD301"/>
    <mergeCell ref="F298:H298"/>
    <mergeCell ref="I298:L298"/>
    <mergeCell ref="F302:H302"/>
    <mergeCell ref="I302:L302"/>
    <mergeCell ref="M302:P302"/>
    <mergeCell ref="Q302:T302"/>
    <mergeCell ref="U302:Y302"/>
    <mergeCell ref="Z302:AD302"/>
    <mergeCell ref="Q349:T349"/>
    <mergeCell ref="U349:Y349"/>
    <mergeCell ref="F292:H294"/>
    <mergeCell ref="I292:L294"/>
    <mergeCell ref="M292:P294"/>
    <mergeCell ref="F295:H295"/>
    <mergeCell ref="I295:L295"/>
    <mergeCell ref="M295:P295"/>
    <mergeCell ref="Q295:T295"/>
    <mergeCell ref="U295:Y295"/>
    <mergeCell ref="Z295:AD295"/>
    <mergeCell ref="F296:H296"/>
    <mergeCell ref="I296:L296"/>
    <mergeCell ref="M296:P296"/>
    <mergeCell ref="Q296:T296"/>
    <mergeCell ref="U296:Y296"/>
    <mergeCell ref="Z296:AD296"/>
    <mergeCell ref="F297:H297"/>
    <mergeCell ref="I297:L297"/>
    <mergeCell ref="M297:P297"/>
    <mergeCell ref="Q297:T297"/>
    <mergeCell ref="U297:Y297"/>
    <mergeCell ref="Z297:AD297"/>
    <mergeCell ref="M298:P298"/>
    <mergeCell ref="Q298:T298"/>
    <mergeCell ref="U298:Y298"/>
    <mergeCell ref="Z298:AD298"/>
    <mergeCell ref="F299:H299"/>
    <mergeCell ref="I299:L299"/>
    <mergeCell ref="M299:P299"/>
    <mergeCell ref="Q299:T299"/>
    <mergeCell ref="U299:Y299"/>
    <mergeCell ref="M344:P344"/>
    <mergeCell ref="AB449:AE449"/>
    <mergeCell ref="Q350:T350"/>
    <mergeCell ref="U350:Y350"/>
    <mergeCell ref="Z350:AD350"/>
    <mergeCell ref="F351:H351"/>
    <mergeCell ref="I351:L351"/>
    <mergeCell ref="M351:P351"/>
    <mergeCell ref="Q351:T351"/>
    <mergeCell ref="U351:Y351"/>
    <mergeCell ref="Z351:AD351"/>
    <mergeCell ref="F352:H352"/>
    <mergeCell ref="I352:L352"/>
    <mergeCell ref="M352:P352"/>
    <mergeCell ref="Q352:T352"/>
    <mergeCell ref="U352:Y352"/>
    <mergeCell ref="Z352:AD352"/>
    <mergeCell ref="F347:H347"/>
    <mergeCell ref="I347:L347"/>
    <mergeCell ref="M347:P347"/>
    <mergeCell ref="Q347:T347"/>
    <mergeCell ref="U347:Y347"/>
    <mergeCell ref="Z347:AD347"/>
    <mergeCell ref="F348:H348"/>
    <mergeCell ref="I348:L348"/>
    <mergeCell ref="M348:P348"/>
    <mergeCell ref="Q348:T348"/>
    <mergeCell ref="U348:Y348"/>
    <mergeCell ref="Z348:AD348"/>
    <mergeCell ref="F349:H349"/>
    <mergeCell ref="I349:L349"/>
    <mergeCell ref="M349:P349"/>
    <mergeCell ref="X459:AA459"/>
    <mergeCell ref="X460:AA460"/>
    <mergeCell ref="X462:AA462"/>
    <mergeCell ref="X463:AA463"/>
    <mergeCell ref="X464:AA464"/>
    <mergeCell ref="T450:W450"/>
    <mergeCell ref="Z349:AD349"/>
    <mergeCell ref="Q344:T344"/>
    <mergeCell ref="U344:Y344"/>
    <mergeCell ref="Z344:AD344"/>
    <mergeCell ref="F345:H345"/>
    <mergeCell ref="I345:L345"/>
    <mergeCell ref="M345:P345"/>
    <mergeCell ref="Q345:T345"/>
    <mergeCell ref="U345:Y345"/>
    <mergeCell ref="Z345:AD345"/>
    <mergeCell ref="F346:H346"/>
    <mergeCell ref="I346:L346"/>
    <mergeCell ref="M346:P346"/>
    <mergeCell ref="Q346:T346"/>
    <mergeCell ref="U346:Y346"/>
    <mergeCell ref="Z346:AD346"/>
    <mergeCell ref="AB462:AE462"/>
    <mergeCell ref="T451:W451"/>
    <mergeCell ref="T452:W452"/>
    <mergeCell ref="T453:W453"/>
    <mergeCell ref="T454:W454"/>
    <mergeCell ref="T455:W455"/>
    <mergeCell ref="T456:W456"/>
    <mergeCell ref="T457:W457"/>
    <mergeCell ref="T458:W458"/>
    <mergeCell ref="K461:N461"/>
    <mergeCell ref="O459:S459"/>
    <mergeCell ref="O460:S460"/>
    <mergeCell ref="O461:S461"/>
    <mergeCell ref="O462:S462"/>
    <mergeCell ref="O463:S463"/>
    <mergeCell ref="O464:S464"/>
    <mergeCell ref="AB463:AE463"/>
    <mergeCell ref="AB464:AE464"/>
    <mergeCell ref="AB450:AE450"/>
    <mergeCell ref="AB451:AE451"/>
    <mergeCell ref="AB452:AE452"/>
    <mergeCell ref="AB453:AE453"/>
    <mergeCell ref="AB454:AE454"/>
    <mergeCell ref="AB455:AE455"/>
    <mergeCell ref="AB456:AE456"/>
    <mergeCell ref="AB457:AE457"/>
    <mergeCell ref="AB458:AE458"/>
    <mergeCell ref="T459:W459"/>
    <mergeCell ref="T460:W460"/>
    <mergeCell ref="T461:W461"/>
    <mergeCell ref="T462:W462"/>
    <mergeCell ref="T463:W463"/>
    <mergeCell ref="T464:W464"/>
    <mergeCell ref="X450:AA450"/>
    <mergeCell ref="X451:AA451"/>
    <mergeCell ref="X452:AA452"/>
    <mergeCell ref="X453:AA453"/>
    <mergeCell ref="X454:AA454"/>
    <mergeCell ref="X455:AA455"/>
    <mergeCell ref="X456:AA456"/>
    <mergeCell ref="X457:AA457"/>
    <mergeCell ref="X458:AA458"/>
    <mergeCell ref="Q336:T338"/>
    <mergeCell ref="U336:Y338"/>
    <mergeCell ref="Z336:AD338"/>
    <mergeCell ref="M339:P339"/>
    <mergeCell ref="Q339:T339"/>
    <mergeCell ref="U339:Y339"/>
    <mergeCell ref="Z339:AD339"/>
    <mergeCell ref="M340:P340"/>
    <mergeCell ref="Q340:T340"/>
    <mergeCell ref="U340:Y340"/>
    <mergeCell ref="Z340:AD340"/>
    <mergeCell ref="M341:P341"/>
    <mergeCell ref="Q341:T341"/>
    <mergeCell ref="E458:G458"/>
    <mergeCell ref="E459:G459"/>
    <mergeCell ref="E460:G460"/>
    <mergeCell ref="E461:G461"/>
    <mergeCell ref="X461:AA461"/>
    <mergeCell ref="AB459:AE459"/>
    <mergeCell ref="AB460:AE460"/>
    <mergeCell ref="AB461:AE461"/>
    <mergeCell ref="F343:H343"/>
    <mergeCell ref="I343:L343"/>
    <mergeCell ref="M343:P343"/>
    <mergeCell ref="Q343:T343"/>
    <mergeCell ref="U343:Y343"/>
    <mergeCell ref="Z343:AD343"/>
    <mergeCell ref="F344:H344"/>
    <mergeCell ref="I344:L344"/>
    <mergeCell ref="O450:S450"/>
    <mergeCell ref="O451:S451"/>
    <mergeCell ref="O452:S452"/>
    <mergeCell ref="X167:AC167"/>
    <mergeCell ref="AD167:AI167"/>
    <mergeCell ref="X168:AC168"/>
    <mergeCell ref="AD168:AI168"/>
    <mergeCell ref="X169:AC169"/>
    <mergeCell ref="AD169:AI169"/>
    <mergeCell ref="X170:AC170"/>
    <mergeCell ref="AD170:AI170"/>
    <mergeCell ref="X161:AC161"/>
    <mergeCell ref="AD161:AI161"/>
    <mergeCell ref="X162:AC162"/>
    <mergeCell ref="AD162:AI162"/>
    <mergeCell ref="AD163:AI163"/>
    <mergeCell ref="X164:AC164"/>
    <mergeCell ref="AD164:AI164"/>
    <mergeCell ref="X165:AC165"/>
    <mergeCell ref="AD165:AI165"/>
    <mergeCell ref="U170:W170"/>
    <mergeCell ref="Q156:T156"/>
    <mergeCell ref="Q157:T157"/>
    <mergeCell ref="Q158:T158"/>
    <mergeCell ref="Q159:T159"/>
    <mergeCell ref="Q160:T160"/>
    <mergeCell ref="Q161:T161"/>
    <mergeCell ref="Q162:T162"/>
    <mergeCell ref="Q163:T163"/>
    <mergeCell ref="Q164:T164"/>
    <mergeCell ref="Q165:T165"/>
    <mergeCell ref="Q166:T166"/>
    <mergeCell ref="Q167:T167"/>
    <mergeCell ref="Q168:T168"/>
    <mergeCell ref="Q169:T169"/>
    <mergeCell ref="Q170:T170"/>
    <mergeCell ref="U161:W161"/>
    <mergeCell ref="U162:W162"/>
    <mergeCell ref="U163:W163"/>
    <mergeCell ref="U164:W164"/>
    <mergeCell ref="U165:W165"/>
    <mergeCell ref="U166:W166"/>
    <mergeCell ref="N164:P164"/>
    <mergeCell ref="N165:P165"/>
    <mergeCell ref="N166:P166"/>
    <mergeCell ref="G164:I164"/>
    <mergeCell ref="J164:M164"/>
    <mergeCell ref="G165:I165"/>
    <mergeCell ref="J165:M165"/>
    <mergeCell ref="G166:I166"/>
    <mergeCell ref="J166:M166"/>
    <mergeCell ref="X156:AC156"/>
    <mergeCell ref="AD156:AI156"/>
    <mergeCell ref="X157:AC157"/>
    <mergeCell ref="AD157:AI157"/>
    <mergeCell ref="X158:AC158"/>
    <mergeCell ref="AD158:AI158"/>
    <mergeCell ref="X159:AC159"/>
    <mergeCell ref="AD159:AI159"/>
    <mergeCell ref="X160:AC160"/>
    <mergeCell ref="AD160:AI160"/>
    <mergeCell ref="X166:AC166"/>
    <mergeCell ref="AD166:AI166"/>
    <mergeCell ref="G162:I162"/>
    <mergeCell ref="J162:M162"/>
    <mergeCell ref="G163:I163"/>
    <mergeCell ref="J163:M163"/>
    <mergeCell ref="G155:I155"/>
    <mergeCell ref="G156:I156"/>
    <mergeCell ref="J156:M156"/>
    <mergeCell ref="G157:I157"/>
    <mergeCell ref="J157:M157"/>
    <mergeCell ref="G158:I158"/>
    <mergeCell ref="J158:M158"/>
    <mergeCell ref="N151:T151"/>
    <mergeCell ref="U151:AI151"/>
    <mergeCell ref="Q152:T154"/>
    <mergeCell ref="N152:P154"/>
    <mergeCell ref="U152:W154"/>
    <mergeCell ref="J151:M154"/>
    <mergeCell ref="G151:I154"/>
    <mergeCell ref="N156:P156"/>
    <mergeCell ref="N157:P157"/>
    <mergeCell ref="N158:P158"/>
    <mergeCell ref="N159:P159"/>
    <mergeCell ref="N160:P160"/>
    <mergeCell ref="N161:P161"/>
    <mergeCell ref="N162:P162"/>
    <mergeCell ref="N163:P163"/>
    <mergeCell ref="Z122:AB122"/>
    <mergeCell ref="Z123:AB123"/>
    <mergeCell ref="H122:J122"/>
    <mergeCell ref="AC114:AH114"/>
    <mergeCell ref="AC115:AH115"/>
    <mergeCell ref="AC116:AH116"/>
    <mergeCell ref="AC117:AH117"/>
    <mergeCell ref="AC118:AH118"/>
    <mergeCell ref="AC119:AH119"/>
    <mergeCell ref="AC120:AH120"/>
    <mergeCell ref="AC121:AH121"/>
    <mergeCell ref="Z113:AB113"/>
    <mergeCell ref="Z114:AB114"/>
    <mergeCell ref="Z115:AB115"/>
    <mergeCell ref="Z116:AB116"/>
    <mergeCell ref="Z117:AB117"/>
    <mergeCell ref="Z118:AB118"/>
    <mergeCell ref="Z119:AB119"/>
    <mergeCell ref="Z120:AB120"/>
    <mergeCell ref="Z121:AB121"/>
    <mergeCell ref="V1235:X1235"/>
    <mergeCell ref="S1235:U1235"/>
    <mergeCell ref="J1240:L1241"/>
    <mergeCell ref="V1240:X1240"/>
    <mergeCell ref="H119:J119"/>
    <mergeCell ref="Q119:S119"/>
    <mergeCell ref="K119:P119"/>
    <mergeCell ref="T119:Y119"/>
    <mergeCell ref="Z124:AB124"/>
    <mergeCell ref="Z125:AB125"/>
    <mergeCell ref="Z126:AB126"/>
    <mergeCell ref="Z127:AB127"/>
    <mergeCell ref="T148:V148"/>
    <mergeCell ref="H126:J126"/>
    <mergeCell ref="Q126:S126"/>
    <mergeCell ref="K126:P126"/>
    <mergeCell ref="T126:Y126"/>
    <mergeCell ref="H127:J127"/>
    <mergeCell ref="Q127:S127"/>
    <mergeCell ref="K127:P127"/>
    <mergeCell ref="T127:Y127"/>
    <mergeCell ref="H123:J123"/>
    <mergeCell ref="Q123:S123"/>
    <mergeCell ref="K123:P123"/>
    <mergeCell ref="K124:P124"/>
    <mergeCell ref="T124:Y124"/>
    <mergeCell ref="H125:J125"/>
    <mergeCell ref="Q125:S125"/>
    <mergeCell ref="K125:P125"/>
    <mergeCell ref="T125:Y125"/>
    <mergeCell ref="K114:P114"/>
    <mergeCell ref="T114:Y114"/>
    <mergeCell ref="H115:J115"/>
    <mergeCell ref="Q115:S115"/>
    <mergeCell ref="K115:P115"/>
    <mergeCell ref="T115:Y115"/>
    <mergeCell ref="H116:J116"/>
    <mergeCell ref="Q116:S116"/>
    <mergeCell ref="K116:P116"/>
    <mergeCell ref="T116:Y116"/>
    <mergeCell ref="H120:J120"/>
    <mergeCell ref="Q120:S120"/>
    <mergeCell ref="K120:P120"/>
    <mergeCell ref="T120:Y120"/>
    <mergeCell ref="H121:J121"/>
    <mergeCell ref="Q121:S121"/>
    <mergeCell ref="K121:P121"/>
    <mergeCell ref="T121:Y121"/>
    <mergeCell ref="I1554:J1554"/>
    <mergeCell ref="I1578:J1578"/>
    <mergeCell ref="I1579:J1579"/>
    <mergeCell ref="I1577:J1577"/>
    <mergeCell ref="E1627:S1627"/>
    <mergeCell ref="T1627:AH1627"/>
    <mergeCell ref="E1628:F1629"/>
    <mergeCell ref="G1628:I1629"/>
    <mergeCell ref="J1628:M1629"/>
    <mergeCell ref="N1628:P1629"/>
    <mergeCell ref="Q1628:S1629"/>
    <mergeCell ref="T1628:U1629"/>
    <mergeCell ref="V1628:X1629"/>
    <mergeCell ref="Y1628:AB1629"/>
    <mergeCell ref="AC1628:AE1629"/>
    <mergeCell ref="AF1628:AH1629"/>
    <mergeCell ref="E1630:F1630"/>
    <mergeCell ref="G1630:I1630"/>
    <mergeCell ref="J1630:M1630"/>
    <mergeCell ref="I1555:J1555"/>
    <mergeCell ref="I1556:J1556"/>
    <mergeCell ref="Y1594:AB1594"/>
    <mergeCell ref="H1558:I1558"/>
    <mergeCell ref="K1558:L1558"/>
    <mergeCell ref="K1562:L1562"/>
    <mergeCell ref="H1563:I1563"/>
    <mergeCell ref="K1563:M1563"/>
    <mergeCell ref="H1559:I1559"/>
    <mergeCell ref="K1559:M1559"/>
    <mergeCell ref="N1630:P1630"/>
    <mergeCell ref="Q1630:S1630"/>
    <mergeCell ref="T1630:U1630"/>
    <mergeCell ref="AF1222:AI1222"/>
    <mergeCell ref="AF1223:AI1223"/>
    <mergeCell ref="P1222:R1223"/>
    <mergeCell ref="S1222:U1222"/>
    <mergeCell ref="S1223:U1223"/>
    <mergeCell ref="M1222:O1223"/>
    <mergeCell ref="AC1222:AE1223"/>
    <mergeCell ref="P1220:R1221"/>
    <mergeCell ref="AC1220:AE1221"/>
    <mergeCell ref="M1220:O1221"/>
    <mergeCell ref="AF1220:AI1221"/>
    <mergeCell ref="S1220:U1221"/>
    <mergeCell ref="Y1222:AB1222"/>
    <mergeCell ref="Y1223:AB1223"/>
    <mergeCell ref="V1220:X1221"/>
    <mergeCell ref="J1220:L1221"/>
    <mergeCell ref="J1222:L1223"/>
    <mergeCell ref="V1222:X1222"/>
    <mergeCell ref="V1223:X1223"/>
    <mergeCell ref="J1224:L1225"/>
    <mergeCell ref="V1224:X1224"/>
    <mergeCell ref="J1230:L1231"/>
    <mergeCell ref="V1230:X1230"/>
    <mergeCell ref="M1230:O1231"/>
    <mergeCell ref="P1230:R1231"/>
    <mergeCell ref="S1230:U1230"/>
    <mergeCell ref="E1191:F1191"/>
    <mergeCell ref="H1191:I1191"/>
    <mergeCell ref="K1191:L1191"/>
    <mergeCell ref="I1575:J1575"/>
    <mergeCell ref="I1576:J1576"/>
    <mergeCell ref="H1564:J1564"/>
    <mergeCell ref="E1572:F1572"/>
    <mergeCell ref="H1572:I1572"/>
    <mergeCell ref="I1193:J1193"/>
    <mergeCell ref="I1194:J1194"/>
    <mergeCell ref="I1195:J1195"/>
    <mergeCell ref="D1220:F1221"/>
    <mergeCell ref="K1572:L1572"/>
    <mergeCell ref="E1573:F1573"/>
    <mergeCell ref="H1573:I1573"/>
    <mergeCell ref="K1573:L1573"/>
    <mergeCell ref="G1220:I1221"/>
    <mergeCell ref="G1222:I1223"/>
    <mergeCell ref="D1222:F1223"/>
    <mergeCell ref="H1560:J1560"/>
    <mergeCell ref="E1562:F1562"/>
    <mergeCell ref="H1562:I1562"/>
    <mergeCell ref="D1224:F1225"/>
    <mergeCell ref="G1224:I1225"/>
    <mergeCell ref="D1230:F1231"/>
    <mergeCell ref="G1230:I1231"/>
    <mergeCell ref="D1240:F1241"/>
    <mergeCell ref="G1240:I1241"/>
    <mergeCell ref="D1244:F1245"/>
    <mergeCell ref="G1244:I1245"/>
    <mergeCell ref="E1558:F1558"/>
    <mergeCell ref="I1553:J1553"/>
    <mergeCell ref="Z1115:AB1115"/>
    <mergeCell ref="H1116:J1116"/>
    <mergeCell ref="H1114:J1115"/>
    <mergeCell ref="K1114:P1114"/>
    <mergeCell ref="T1114:V1114"/>
    <mergeCell ref="Z1114:AB1114"/>
    <mergeCell ref="K1115:P1115"/>
    <mergeCell ref="H1142:I1142"/>
    <mergeCell ref="K1142:L1142"/>
    <mergeCell ref="I1144:J1144"/>
    <mergeCell ref="I1145:J1145"/>
    <mergeCell ref="N1142:O1142"/>
    <mergeCell ref="Q1142:R1142"/>
    <mergeCell ref="J1146:L1146"/>
    <mergeCell ref="W1112:Y1113"/>
    <mergeCell ref="T1112:V1113"/>
    <mergeCell ref="Z1112:AB1113"/>
    <mergeCell ref="T1117:V1117"/>
    <mergeCell ref="Z1117:AB1117"/>
    <mergeCell ref="T1118:V1118"/>
    <mergeCell ref="Z1118:AB1118"/>
    <mergeCell ref="T1116:V1116"/>
    <mergeCell ref="Z1116:AB1116"/>
    <mergeCell ref="Z1129:AB1129"/>
    <mergeCell ref="H1130:J1131"/>
    <mergeCell ref="K1130:P1130"/>
    <mergeCell ref="Q1130:S1130"/>
    <mergeCell ref="T1130:V1130"/>
    <mergeCell ref="H1119:J1120"/>
    <mergeCell ref="K1119:P1119"/>
    <mergeCell ref="K1120:P1120"/>
    <mergeCell ref="K1131:P1131"/>
    <mergeCell ref="I1101:J1101"/>
    <mergeCell ref="I1102:J1102"/>
    <mergeCell ref="I1103:J1103"/>
    <mergeCell ref="J1104:K1104"/>
    <mergeCell ref="H1112:J1113"/>
    <mergeCell ref="K1112:P1113"/>
    <mergeCell ref="Q1112:S1113"/>
    <mergeCell ref="I1162:J1162"/>
    <mergeCell ref="E1142:F1142"/>
    <mergeCell ref="J1159:L1159"/>
    <mergeCell ref="H1117:J1118"/>
    <mergeCell ref="K1117:P1117"/>
    <mergeCell ref="Q1117:S1118"/>
    <mergeCell ref="K1118:P1118"/>
    <mergeCell ref="K1116:P1116"/>
    <mergeCell ref="S1179:T1179"/>
    <mergeCell ref="T1115:V1115"/>
    <mergeCell ref="J1163:L1163"/>
    <mergeCell ref="J1175:L1175"/>
    <mergeCell ref="I1177:J1177"/>
    <mergeCell ref="S1178:T1178"/>
    <mergeCell ref="M1104:N1104"/>
    <mergeCell ref="S1104:T1104"/>
    <mergeCell ref="Q1131:S1131"/>
    <mergeCell ref="T1131:V1131"/>
    <mergeCell ref="K1038:L1038"/>
    <mergeCell ref="H1039:I1039"/>
    <mergeCell ref="E1086:F1086"/>
    <mergeCell ref="H1086:I1086"/>
    <mergeCell ref="K1086:M1086"/>
    <mergeCell ref="O1086:P1086"/>
    <mergeCell ref="R1086:T1086"/>
    <mergeCell ref="I1081:J1081"/>
    <mergeCell ref="I1082:J1082"/>
    <mergeCell ref="I1083:J1083"/>
    <mergeCell ref="I1080:J1080"/>
    <mergeCell ref="E1085:F1085"/>
    <mergeCell ref="H1085:I1085"/>
    <mergeCell ref="K1085:M1085"/>
    <mergeCell ref="O1085:P1085"/>
    <mergeCell ref="R1085:T1085"/>
    <mergeCell ref="Z1057:AB1057"/>
    <mergeCell ref="E1059:G1060"/>
    <mergeCell ref="E1078:F1078"/>
    <mergeCell ref="H1078:I1078"/>
    <mergeCell ref="K1078:L1078"/>
    <mergeCell ref="V1086:X1086"/>
    <mergeCell ref="E1065:G1066"/>
    <mergeCell ref="H1065:M1066"/>
    <mergeCell ref="N1065:P1066"/>
    <mergeCell ref="Q1065:S1066"/>
    <mergeCell ref="T1065:V1066"/>
    <mergeCell ref="W1065:Y1066"/>
    <mergeCell ref="Z1065:AB1066"/>
    <mergeCell ref="Q1056:S1056"/>
    <mergeCell ref="T1056:V1056"/>
    <mergeCell ref="H1054:M1055"/>
    <mergeCell ref="Z1059:AB1059"/>
    <mergeCell ref="Z1060:AB1060"/>
    <mergeCell ref="I1043:J1043"/>
    <mergeCell ref="AE831:AF831"/>
    <mergeCell ref="Z831:AA831"/>
    <mergeCell ref="L831:P831"/>
    <mergeCell ref="H1058:M1058"/>
    <mergeCell ref="H1056:M1056"/>
    <mergeCell ref="H1057:M1057"/>
    <mergeCell ref="X831:Y831"/>
    <mergeCell ref="W1054:Y1055"/>
    <mergeCell ref="AC1054:AE1055"/>
    <mergeCell ref="AC1056:AE1056"/>
    <mergeCell ref="AC1057:AE1057"/>
    <mergeCell ref="Z1056:AB1056"/>
    <mergeCell ref="I1044:J1044"/>
    <mergeCell ref="I1045:J1045"/>
    <mergeCell ref="Z1054:AB1055"/>
    <mergeCell ref="G851:I851"/>
    <mergeCell ref="Z1058:AB1058"/>
    <mergeCell ref="AC1058:AE1058"/>
    <mergeCell ref="Q1059:S1060"/>
    <mergeCell ref="T1059:V1060"/>
    <mergeCell ref="W1059:Y1060"/>
    <mergeCell ref="E1054:G1055"/>
    <mergeCell ref="E1056:G1057"/>
    <mergeCell ref="N1054:P1055"/>
    <mergeCell ref="E1038:F1038"/>
    <mergeCell ref="H1038:I1038"/>
    <mergeCell ref="AB830:AC830"/>
    <mergeCell ref="R831:S831"/>
    <mergeCell ref="V830:W830"/>
    <mergeCell ref="X830:Y830"/>
    <mergeCell ref="I1041:J1041"/>
    <mergeCell ref="I1042:J1042"/>
    <mergeCell ref="E825:F825"/>
    <mergeCell ref="H825:I825"/>
    <mergeCell ref="K825:L825"/>
    <mergeCell ref="I827:J827"/>
    <mergeCell ref="K811:L811"/>
    <mergeCell ref="I828:J828"/>
    <mergeCell ref="Y804:Z804"/>
    <mergeCell ref="E814:F814"/>
    <mergeCell ref="E810:F810"/>
    <mergeCell ref="K814:L814"/>
    <mergeCell ref="H810:I810"/>
    <mergeCell ref="L815:M815"/>
    <mergeCell ref="Q815:S815"/>
    <mergeCell ref="E840:S840"/>
    <mergeCell ref="T840:AH840"/>
    <mergeCell ref="E841:F842"/>
    <mergeCell ref="G841:I842"/>
    <mergeCell ref="T841:U842"/>
    <mergeCell ref="H815:J815"/>
    <mergeCell ref="H812:J812"/>
    <mergeCell ref="H811:I811"/>
    <mergeCell ref="H816:J816"/>
    <mergeCell ref="E845:F845"/>
    <mergeCell ref="G845:I845"/>
    <mergeCell ref="E848:F848"/>
    <mergeCell ref="G848:I848"/>
    <mergeCell ref="E789:F789"/>
    <mergeCell ref="H789:I789"/>
    <mergeCell ref="K789:L789"/>
    <mergeCell ref="Q249:S249"/>
    <mergeCell ref="T249:X249"/>
    <mergeCell ref="T270:X272"/>
    <mergeCell ref="T273:X273"/>
    <mergeCell ref="I791:J791"/>
    <mergeCell ref="I792:J792"/>
    <mergeCell ref="I793:J793"/>
    <mergeCell ref="E798:F798"/>
    <mergeCell ref="H798:I798"/>
    <mergeCell ref="K798:L798"/>
    <mergeCell ref="I800:J800"/>
    <mergeCell ref="I801:J801"/>
    <mergeCell ref="I806:J806"/>
    <mergeCell ref="S803:T803"/>
    <mergeCell ref="S804:T804"/>
    <mergeCell ref="V803:W803"/>
    <mergeCell ref="V804:W804"/>
    <mergeCell ref="H462:J462"/>
    <mergeCell ref="H463:J463"/>
    <mergeCell ref="H464:J464"/>
    <mergeCell ref="E604:G604"/>
    <mergeCell ref="E605:G605"/>
    <mergeCell ref="E606:G606"/>
    <mergeCell ref="E607:G607"/>
    <mergeCell ref="E608:G608"/>
    <mergeCell ref="E609:G609"/>
    <mergeCell ref="E610:G610"/>
    <mergeCell ref="E611:G611"/>
    <mergeCell ref="E612:G612"/>
    <mergeCell ref="Y803:Z803"/>
    <mergeCell ref="I249:L249"/>
    <mergeCell ref="Y246:AC248"/>
    <mergeCell ref="Y249:AC249"/>
    <mergeCell ref="F270:H272"/>
    <mergeCell ref="F273:H273"/>
    <mergeCell ref="Q270:S272"/>
    <mergeCell ref="Q273:S273"/>
    <mergeCell ref="M270:P272"/>
    <mergeCell ref="M273:P273"/>
    <mergeCell ref="Y270:AC272"/>
    <mergeCell ref="Y273:AC273"/>
    <mergeCell ref="I273:L273"/>
    <mergeCell ref="F261:H261"/>
    <mergeCell ref="F262:H262"/>
    <mergeCell ref="F263:H263"/>
    <mergeCell ref="F264:H264"/>
    <mergeCell ref="I270:L272"/>
    <mergeCell ref="I251:L251"/>
    <mergeCell ref="I252:L252"/>
    <mergeCell ref="I253:L253"/>
    <mergeCell ref="I254:L254"/>
    <mergeCell ref="I255:L255"/>
    <mergeCell ref="I256:L256"/>
    <mergeCell ref="I257:L257"/>
    <mergeCell ref="I258:L258"/>
    <mergeCell ref="I259:L259"/>
    <mergeCell ref="I260:L260"/>
    <mergeCell ref="I261:L261"/>
    <mergeCell ref="Q246:S248"/>
    <mergeCell ref="J240:K240"/>
    <mergeCell ref="J241:K241"/>
    <mergeCell ref="J242:K242"/>
    <mergeCell ref="J243:K243"/>
    <mergeCell ref="F246:H248"/>
    <mergeCell ref="I246:L248"/>
    <mergeCell ref="M246:P248"/>
    <mergeCell ref="F336:H338"/>
    <mergeCell ref="I336:L338"/>
    <mergeCell ref="F339:H339"/>
    <mergeCell ref="I339:L339"/>
    <mergeCell ref="F340:H340"/>
    <mergeCell ref="J418:K418"/>
    <mergeCell ref="O435:P435"/>
    <mergeCell ref="J437:K437"/>
    <mergeCell ref="T246:X248"/>
    <mergeCell ref="R439:T439"/>
    <mergeCell ref="R242:T242"/>
    <mergeCell ref="M336:P338"/>
    <mergeCell ref="Q260:S260"/>
    <mergeCell ref="Q261:S261"/>
    <mergeCell ref="Q262:S262"/>
    <mergeCell ref="Q263:S263"/>
    <mergeCell ref="T253:X253"/>
    <mergeCell ref="T254:X254"/>
    <mergeCell ref="T255:X255"/>
    <mergeCell ref="T256:X256"/>
    <mergeCell ref="T257:X257"/>
    <mergeCell ref="T258:X258"/>
    <mergeCell ref="T259:X259"/>
    <mergeCell ref="T260:X260"/>
    <mergeCell ref="T261:X261"/>
    <mergeCell ref="J184:K184"/>
    <mergeCell ref="U201:W201"/>
    <mergeCell ref="J195:K195"/>
    <mergeCell ref="O192:O193"/>
    <mergeCell ref="J185:K185"/>
    <mergeCell ref="J186:K186"/>
    <mergeCell ref="J196:K196"/>
    <mergeCell ref="M189:N189"/>
    <mergeCell ref="J190:K190"/>
    <mergeCell ref="J191:K191"/>
    <mergeCell ref="X152:AC154"/>
    <mergeCell ref="U156:W156"/>
    <mergeCell ref="U157:W157"/>
    <mergeCell ref="U158:W158"/>
    <mergeCell ref="U159:W159"/>
    <mergeCell ref="U160:W160"/>
    <mergeCell ref="M192:N193"/>
    <mergeCell ref="J194:K194"/>
    <mergeCell ref="O203:Q203"/>
    <mergeCell ref="X201:Z201"/>
    <mergeCell ref="AA201:AC201"/>
    <mergeCell ref="J167:M167"/>
    <mergeCell ref="U167:W167"/>
    <mergeCell ref="U168:W168"/>
    <mergeCell ref="U169:W169"/>
    <mergeCell ref="H451:J451"/>
    <mergeCell ref="H452:J452"/>
    <mergeCell ref="H453:J453"/>
    <mergeCell ref="H454:J454"/>
    <mergeCell ref="AF14:AI14"/>
    <mergeCell ref="AF15:AI15"/>
    <mergeCell ref="AF26:AI26"/>
    <mergeCell ref="AE17:AF17"/>
    <mergeCell ref="AB14:AE14"/>
    <mergeCell ref="AB15:AE15"/>
    <mergeCell ref="Y27:Z27"/>
    <mergeCell ref="AB27:AC27"/>
    <mergeCell ref="AE27:AF27"/>
    <mergeCell ref="U25:AA25"/>
    <mergeCell ref="AB25:AE25"/>
    <mergeCell ref="AF25:AI25"/>
    <mergeCell ref="U14:AA14"/>
    <mergeCell ref="U26:AA26"/>
    <mergeCell ref="AD152:AI154"/>
    <mergeCell ref="X155:AC155"/>
    <mergeCell ref="AD155:AI155"/>
    <mergeCell ref="U155:W155"/>
    <mergeCell ref="X163:AC163"/>
    <mergeCell ref="AD203:AF203"/>
    <mergeCell ref="T117:Y117"/>
    <mergeCell ref="T118:Y118"/>
    <mergeCell ref="AC122:AH122"/>
    <mergeCell ref="AC123:AH123"/>
    <mergeCell ref="AC124:AH124"/>
    <mergeCell ref="AC125:AH125"/>
    <mergeCell ref="AC126:AH126"/>
    <mergeCell ref="AC127:AH127"/>
    <mergeCell ref="T111:Y111"/>
    <mergeCell ref="Q110:Y110"/>
    <mergeCell ref="AB26:AE26"/>
    <mergeCell ref="U15:AA15"/>
    <mergeCell ref="W18:X18"/>
    <mergeCell ref="AE16:AF16"/>
    <mergeCell ref="Y28:Z28"/>
    <mergeCell ref="AB28:AC28"/>
    <mergeCell ref="AE28:AF28"/>
    <mergeCell ref="W29:X29"/>
    <mergeCell ref="E32:T32"/>
    <mergeCell ref="E21:T21"/>
    <mergeCell ref="E43:T43"/>
    <mergeCell ref="D56:G57"/>
    <mergeCell ref="D54:G55"/>
    <mergeCell ref="H54:P55"/>
    <mergeCell ref="Q54:Y55"/>
    <mergeCell ref="H56:P57"/>
    <mergeCell ref="Q56:Y57"/>
    <mergeCell ref="Z54:AH55"/>
    <mergeCell ref="Z56:AH57"/>
    <mergeCell ref="Y16:Z16"/>
    <mergeCell ref="Y17:Z17"/>
    <mergeCell ref="AB16:AC16"/>
    <mergeCell ref="AB17:AC17"/>
    <mergeCell ref="L72:S72"/>
    <mergeCell ref="T72:AG72"/>
    <mergeCell ref="F83:G83"/>
    <mergeCell ref="I83:J83"/>
    <mergeCell ref="K83:L83"/>
    <mergeCell ref="M83:N83"/>
    <mergeCell ref="P83:Q83"/>
    <mergeCell ref="D58:G61"/>
    <mergeCell ref="H58:P59"/>
    <mergeCell ref="H60:P61"/>
    <mergeCell ref="Q58:Y59"/>
    <mergeCell ref="Q60:Y61"/>
    <mergeCell ref="Z58:AH59"/>
    <mergeCell ref="F72:K72"/>
    <mergeCell ref="F73:K73"/>
    <mergeCell ref="F74:K74"/>
    <mergeCell ref="H113:J113"/>
    <mergeCell ref="Q113:S113"/>
    <mergeCell ref="J86:K86"/>
    <mergeCell ref="J88:K88"/>
    <mergeCell ref="J85:K85"/>
    <mergeCell ref="J87:K87"/>
    <mergeCell ref="L73:S73"/>
    <mergeCell ref="L74:S74"/>
    <mergeCell ref="Z60:AH61"/>
    <mergeCell ref="T73:AG73"/>
    <mergeCell ref="Q111:S111"/>
    <mergeCell ref="Z110:AH110"/>
    <mergeCell ref="Z111:AB111"/>
    <mergeCell ref="AC111:AH111"/>
    <mergeCell ref="AC113:AH113"/>
    <mergeCell ref="Q91:V91"/>
    <mergeCell ref="H92:J92"/>
    <mergeCell ref="W91:AB91"/>
    <mergeCell ref="K92:P92"/>
    <mergeCell ref="Q92:V92"/>
    <mergeCell ref="W92:AB92"/>
    <mergeCell ref="H95:J95"/>
    <mergeCell ref="K95:P95"/>
    <mergeCell ref="Q95:V95"/>
    <mergeCell ref="W95:AB95"/>
    <mergeCell ref="H91:J91"/>
    <mergeCell ref="K91:P91"/>
    <mergeCell ref="H96:J96"/>
    <mergeCell ref="K96:P96"/>
    <mergeCell ref="Q96:V96"/>
    <mergeCell ref="W96:AB96"/>
    <mergeCell ref="T74:AG74"/>
    <mergeCell ref="F103:G103"/>
    <mergeCell ref="I103:J103"/>
    <mergeCell ref="K103:L103"/>
    <mergeCell ref="M103:N103"/>
    <mergeCell ref="J105:K105"/>
    <mergeCell ref="J106:K106"/>
    <mergeCell ref="J107:K107"/>
    <mergeCell ref="K112:P112"/>
    <mergeCell ref="T112:Y112"/>
    <mergeCell ref="Z112:AB112"/>
    <mergeCell ref="H110:J111"/>
    <mergeCell ref="K110:P111"/>
    <mergeCell ref="H112:J112"/>
    <mergeCell ref="Q112:S112"/>
    <mergeCell ref="AC112:AH112"/>
    <mergeCell ref="K113:P113"/>
    <mergeCell ref="T113:Y113"/>
    <mergeCell ref="H114:J114"/>
    <mergeCell ref="Q114:S114"/>
    <mergeCell ref="F143:G143"/>
    <mergeCell ref="I143:J143"/>
    <mergeCell ref="K143:L143"/>
    <mergeCell ref="M143:N143"/>
    <mergeCell ref="P143:Q143"/>
    <mergeCell ref="H117:J117"/>
    <mergeCell ref="Q117:S117"/>
    <mergeCell ref="K117:P117"/>
    <mergeCell ref="H118:J118"/>
    <mergeCell ref="Q118:S118"/>
    <mergeCell ref="K118:P118"/>
    <mergeCell ref="Q122:S122"/>
    <mergeCell ref="K122:P122"/>
    <mergeCell ref="T122:Y122"/>
    <mergeCell ref="T123:Y123"/>
    <mergeCell ref="H124:J124"/>
    <mergeCell ref="Q124:S124"/>
    <mergeCell ref="J145:K145"/>
    <mergeCell ref="F140:G140"/>
    <mergeCell ref="I140:J140"/>
    <mergeCell ref="K140:L140"/>
    <mergeCell ref="M140:N140"/>
    <mergeCell ref="P140:Q140"/>
    <mergeCell ref="Q155:T155"/>
    <mergeCell ref="F182:G182"/>
    <mergeCell ref="I182:J182"/>
    <mergeCell ref="L182:M182"/>
    <mergeCell ref="J146:K146"/>
    <mergeCell ref="J147:K147"/>
    <mergeCell ref="J148:K148"/>
    <mergeCell ref="N167:P167"/>
    <mergeCell ref="N168:P168"/>
    <mergeCell ref="N169:P169"/>
    <mergeCell ref="N170:P170"/>
    <mergeCell ref="N155:P155"/>
    <mergeCell ref="J155:M155"/>
    <mergeCell ref="G169:I169"/>
    <mergeCell ref="J169:M169"/>
    <mergeCell ref="G170:I170"/>
    <mergeCell ref="J170:M170"/>
    <mergeCell ref="G167:I167"/>
    <mergeCell ref="G168:I168"/>
    <mergeCell ref="J168:M168"/>
    <mergeCell ref="G159:I159"/>
    <mergeCell ref="J159:M159"/>
    <mergeCell ref="G160:I160"/>
    <mergeCell ref="J160:M160"/>
    <mergeCell ref="G161:I161"/>
    <mergeCell ref="J161:M161"/>
    <mergeCell ref="P192:Q192"/>
    <mergeCell ref="S192:T192"/>
    <mergeCell ref="Q193:T193"/>
    <mergeCell ref="O201:Q201"/>
    <mergeCell ref="R201:T201"/>
    <mergeCell ref="J197:K197"/>
    <mergeCell ref="J198:K198"/>
    <mergeCell ref="AD201:AF201"/>
    <mergeCell ref="AG201:AI201"/>
    <mergeCell ref="O202:Q202"/>
    <mergeCell ref="AG202:AI202"/>
    <mergeCell ref="R202:T202"/>
    <mergeCell ref="U202:W202"/>
    <mergeCell ref="X202:Z202"/>
    <mergeCell ref="AD202:AF202"/>
    <mergeCell ref="G203:K203"/>
    <mergeCell ref="G202:K202"/>
    <mergeCell ref="G201:K201"/>
    <mergeCell ref="L201:N201"/>
    <mergeCell ref="L202:N203"/>
    <mergeCell ref="AG203:AI203"/>
    <mergeCell ref="AA202:AC203"/>
    <mergeCell ref="R203:T203"/>
    <mergeCell ref="U203:W203"/>
    <mergeCell ref="X203:Z203"/>
    <mergeCell ref="F213:G213"/>
    <mergeCell ref="I213:J213"/>
    <mergeCell ref="L213:M213"/>
    <mergeCell ref="J215:K215"/>
    <mergeCell ref="J216:K216"/>
    <mergeCell ref="J220:K220"/>
    <mergeCell ref="I412:J412"/>
    <mergeCell ref="J414:K414"/>
    <mergeCell ref="J217:K217"/>
    <mergeCell ref="M218:N218"/>
    <mergeCell ref="N412:O412"/>
    <mergeCell ref="P218:Q218"/>
    <mergeCell ref="P219:Q219"/>
    <mergeCell ref="J228:O228"/>
    <mergeCell ref="P228:U228"/>
    <mergeCell ref="H460:J460"/>
    <mergeCell ref="H461:J461"/>
    <mergeCell ref="K457:N457"/>
    <mergeCell ref="Q342:T342"/>
    <mergeCell ref="K456:N456"/>
    <mergeCell ref="E457:G457"/>
    <mergeCell ref="S417:U417"/>
    <mergeCell ref="Q264:S264"/>
    <mergeCell ref="I250:L250"/>
    <mergeCell ref="F238:G238"/>
    <mergeCell ref="I238:J238"/>
    <mergeCell ref="M249:P249"/>
    <mergeCell ref="F260:H260"/>
    <mergeCell ref="M250:P250"/>
    <mergeCell ref="M251:P251"/>
    <mergeCell ref="M252:P252"/>
    <mergeCell ref="M253:P253"/>
    <mergeCell ref="V228:AA228"/>
    <mergeCell ref="E449:G449"/>
    <mergeCell ref="E450:G450"/>
    <mergeCell ref="E451:G451"/>
    <mergeCell ref="E452:G452"/>
    <mergeCell ref="E453:G453"/>
    <mergeCell ref="E454:G454"/>
    <mergeCell ref="E455:G455"/>
    <mergeCell ref="E456:G456"/>
    <mergeCell ref="J438:K438"/>
    <mergeCell ref="J439:K439"/>
    <mergeCell ref="U465:V465"/>
    <mergeCell ref="E602:G603"/>
    <mergeCell ref="L602:N603"/>
    <mergeCell ref="H457:J457"/>
    <mergeCell ref="H458:J458"/>
    <mergeCell ref="H459:J459"/>
    <mergeCell ref="T449:W449"/>
    <mergeCell ref="X449:AA449"/>
    <mergeCell ref="T447:W448"/>
    <mergeCell ref="F412:G412"/>
    <mergeCell ref="F249:H249"/>
    <mergeCell ref="F250:H250"/>
    <mergeCell ref="F251:H251"/>
    <mergeCell ref="F252:H252"/>
    <mergeCell ref="F253:H253"/>
    <mergeCell ref="F254:H254"/>
    <mergeCell ref="F255:H255"/>
    <mergeCell ref="F256:H256"/>
    <mergeCell ref="F257:H257"/>
    <mergeCell ref="F258:H258"/>
    <mergeCell ref="F259:H259"/>
    <mergeCell ref="AD620:AF620"/>
    <mergeCell ref="J227:O227"/>
    <mergeCell ref="P227:U227"/>
    <mergeCell ref="V227:AA227"/>
    <mergeCell ref="Z219:AB219"/>
    <mergeCell ref="J223:O223"/>
    <mergeCell ref="P223:U223"/>
    <mergeCell ref="V223:AA223"/>
    <mergeCell ref="J224:O224"/>
    <mergeCell ref="P224:U224"/>
    <mergeCell ref="V224:AA224"/>
    <mergeCell ref="U220:W220"/>
    <mergeCell ref="U219:W219"/>
    <mergeCell ref="E447:G448"/>
    <mergeCell ref="H447:J448"/>
    <mergeCell ref="H449:J449"/>
    <mergeCell ref="K447:N448"/>
    <mergeCell ref="O447:S448"/>
    <mergeCell ref="I340:L340"/>
    <mergeCell ref="F341:H341"/>
    <mergeCell ref="I341:L341"/>
    <mergeCell ref="U341:Y341"/>
    <mergeCell ref="Z341:AD341"/>
    <mergeCell ref="F342:H342"/>
    <mergeCell ref="I342:L342"/>
    <mergeCell ref="M342:P342"/>
    <mergeCell ref="U342:Y342"/>
    <mergeCell ref="Z342:AD342"/>
    <mergeCell ref="X465:AB465"/>
    <mergeCell ref="AB447:AE448"/>
    <mergeCell ref="K449:N449"/>
    <mergeCell ref="O449:S449"/>
    <mergeCell ref="AC465:AD465"/>
    <mergeCell ref="J440:K440"/>
    <mergeCell ref="J441:K441"/>
    <mergeCell ref="J442:K442"/>
    <mergeCell ref="J416:K416"/>
    <mergeCell ref="F435:G435"/>
    <mergeCell ref="J435:K435"/>
    <mergeCell ref="J417:K417"/>
    <mergeCell ref="J415:K415"/>
    <mergeCell ref="AB441:AC441"/>
    <mergeCell ref="V441:W441"/>
    <mergeCell ref="X447:AA448"/>
    <mergeCell ref="AD442:AG442"/>
    <mergeCell ref="H455:J455"/>
    <mergeCell ref="H456:J456"/>
    <mergeCell ref="K450:N450"/>
    <mergeCell ref="K451:N451"/>
    <mergeCell ref="K452:N452"/>
    <mergeCell ref="K453:N453"/>
    <mergeCell ref="K454:N454"/>
    <mergeCell ref="K455:N455"/>
    <mergeCell ref="E463:G463"/>
    <mergeCell ref="E464:G464"/>
    <mergeCell ref="H450:J450"/>
    <mergeCell ref="K463:N463"/>
    <mergeCell ref="K464:N464"/>
    <mergeCell ref="O453:S453"/>
    <mergeCell ref="O454:S454"/>
    <mergeCell ref="O455:S455"/>
    <mergeCell ref="O456:S456"/>
    <mergeCell ref="O457:S457"/>
    <mergeCell ref="O458:S458"/>
    <mergeCell ref="E613:G613"/>
    <mergeCell ref="E614:G614"/>
    <mergeCell ref="E615:G615"/>
    <mergeCell ref="E616:G616"/>
    <mergeCell ref="E617:G617"/>
    <mergeCell ref="E618:G618"/>
    <mergeCell ref="E619:G619"/>
    <mergeCell ref="K458:N458"/>
    <mergeCell ref="K459:N459"/>
    <mergeCell ref="K460:N460"/>
    <mergeCell ref="L612:N612"/>
    <mergeCell ref="L613:N613"/>
    <mergeCell ref="L614:N614"/>
    <mergeCell ref="L615:N615"/>
    <mergeCell ref="L616:N616"/>
    <mergeCell ref="L617:N617"/>
    <mergeCell ref="L618:N618"/>
    <mergeCell ref="L619:N619"/>
    <mergeCell ref="L604:N604"/>
    <mergeCell ref="L605:N605"/>
    <mergeCell ref="L606:N606"/>
    <mergeCell ref="L607:N607"/>
    <mergeCell ref="L608:N608"/>
    <mergeCell ref="L609:N609"/>
    <mergeCell ref="L610:N610"/>
    <mergeCell ref="L611:N611"/>
    <mergeCell ref="K462:N462"/>
    <mergeCell ref="E462:G462"/>
    <mergeCell ref="E472:G473"/>
    <mergeCell ref="H472:J473"/>
    <mergeCell ref="K472:N473"/>
    <mergeCell ref="E476:G476"/>
    <mergeCell ref="Y250:AC250"/>
    <mergeCell ref="Y251:AC251"/>
    <mergeCell ref="Y252:AC252"/>
    <mergeCell ref="Y253:AC253"/>
    <mergeCell ref="Y254:AC254"/>
    <mergeCell ref="Y255:AC255"/>
    <mergeCell ref="Y256:AC256"/>
    <mergeCell ref="Y257:AC257"/>
    <mergeCell ref="Y258:AC258"/>
    <mergeCell ref="Y259:AC259"/>
    <mergeCell ref="Y260:AC260"/>
    <mergeCell ref="Y261:AC261"/>
    <mergeCell ref="Y262:AC262"/>
    <mergeCell ref="Y263:AC263"/>
    <mergeCell ref="Y264:AC264"/>
    <mergeCell ref="M254:P254"/>
    <mergeCell ref="M255:P255"/>
    <mergeCell ref="M256:P256"/>
    <mergeCell ref="M257:P257"/>
    <mergeCell ref="M258:P258"/>
    <mergeCell ref="M259:P259"/>
    <mergeCell ref="M260:P260"/>
    <mergeCell ref="M261:P261"/>
    <mergeCell ref="M262:P262"/>
    <mergeCell ref="M263:P263"/>
    <mergeCell ref="M264:P264"/>
    <mergeCell ref="Q250:S250"/>
    <mergeCell ref="Q251:S251"/>
    <mergeCell ref="Q252:S252"/>
    <mergeCell ref="T250:X250"/>
    <mergeCell ref="T251:X251"/>
    <mergeCell ref="T252:X252"/>
    <mergeCell ref="Q256:S256"/>
    <mergeCell ref="I262:L262"/>
    <mergeCell ref="I263:L263"/>
    <mergeCell ref="I264:L264"/>
    <mergeCell ref="Q253:S253"/>
    <mergeCell ref="Q254:S254"/>
    <mergeCell ref="Q255:S255"/>
    <mergeCell ref="F277:H277"/>
    <mergeCell ref="F278:H278"/>
    <mergeCell ref="F279:H279"/>
    <mergeCell ref="F280:H280"/>
    <mergeCell ref="F281:H281"/>
    <mergeCell ref="F282:H282"/>
    <mergeCell ref="M287:P287"/>
    <mergeCell ref="Q257:S257"/>
    <mergeCell ref="Q258:S258"/>
    <mergeCell ref="Q259:S259"/>
    <mergeCell ref="F283:H283"/>
    <mergeCell ref="F284:H284"/>
    <mergeCell ref="F285:H285"/>
    <mergeCell ref="F286:H286"/>
    <mergeCell ref="F287:H287"/>
    <mergeCell ref="I276:L276"/>
    <mergeCell ref="I277:L277"/>
    <mergeCell ref="I278:L278"/>
    <mergeCell ref="I279:L279"/>
    <mergeCell ref="I280:L280"/>
    <mergeCell ref="I281:L281"/>
    <mergeCell ref="I282:L282"/>
    <mergeCell ref="I283:L283"/>
    <mergeCell ref="I284:L284"/>
    <mergeCell ref="I285:L285"/>
    <mergeCell ref="I286:L286"/>
    <mergeCell ref="I287:L287"/>
    <mergeCell ref="I288:L288"/>
    <mergeCell ref="F274:H274"/>
    <mergeCell ref="T262:X262"/>
    <mergeCell ref="T263:X263"/>
    <mergeCell ref="T264:X264"/>
    <mergeCell ref="T275:X275"/>
    <mergeCell ref="T276:X276"/>
    <mergeCell ref="T277:X277"/>
    <mergeCell ref="T278:X278"/>
    <mergeCell ref="T279:X279"/>
    <mergeCell ref="T280:X280"/>
    <mergeCell ref="T281:X281"/>
    <mergeCell ref="T282:X282"/>
    <mergeCell ref="T283:X283"/>
    <mergeCell ref="T284:X284"/>
    <mergeCell ref="T285:X285"/>
    <mergeCell ref="T286:X286"/>
    <mergeCell ref="T287:X287"/>
    <mergeCell ref="T288:X288"/>
    <mergeCell ref="F275:H275"/>
    <mergeCell ref="F276:H276"/>
    <mergeCell ref="M274:P274"/>
    <mergeCell ref="M275:P275"/>
    <mergeCell ref="M276:P276"/>
    <mergeCell ref="M277:P277"/>
    <mergeCell ref="M278:P278"/>
    <mergeCell ref="M279:P279"/>
    <mergeCell ref="M280:P280"/>
    <mergeCell ref="M281:P281"/>
    <mergeCell ref="M282:P282"/>
    <mergeCell ref="M283:P283"/>
    <mergeCell ref="M284:P284"/>
    <mergeCell ref="M285:P285"/>
    <mergeCell ref="M286:P286"/>
    <mergeCell ref="F288:H288"/>
    <mergeCell ref="I274:L274"/>
    <mergeCell ref="I275:L275"/>
    <mergeCell ref="Y274:AC274"/>
    <mergeCell ref="Y275:AC275"/>
    <mergeCell ref="Y276:AC276"/>
    <mergeCell ref="Y277:AC277"/>
    <mergeCell ref="Y278:AC278"/>
    <mergeCell ref="Y279:AC279"/>
    <mergeCell ref="Y280:AC280"/>
    <mergeCell ref="Y281:AC281"/>
    <mergeCell ref="Y282:AC282"/>
    <mergeCell ref="Y283:AC283"/>
    <mergeCell ref="Y284:AC284"/>
    <mergeCell ref="Y285:AC285"/>
    <mergeCell ref="Y286:AC286"/>
    <mergeCell ref="Y287:AC287"/>
    <mergeCell ref="Y288:AC288"/>
    <mergeCell ref="M288:P288"/>
    <mergeCell ref="Q274:S274"/>
    <mergeCell ref="Q275:S275"/>
    <mergeCell ref="Q276:S276"/>
    <mergeCell ref="Q277:S277"/>
    <mergeCell ref="Q278:S278"/>
    <mergeCell ref="Q279:S279"/>
    <mergeCell ref="Q280:S280"/>
    <mergeCell ref="Q281:S281"/>
    <mergeCell ref="Q282:S282"/>
    <mergeCell ref="Q283:S283"/>
    <mergeCell ref="Q284:S284"/>
    <mergeCell ref="Q285:S285"/>
    <mergeCell ref="Q286:S286"/>
    <mergeCell ref="Q287:S287"/>
    <mergeCell ref="Q288:S288"/>
    <mergeCell ref="T274:X274"/>
    <mergeCell ref="Q1061:S1061"/>
    <mergeCell ref="Q1062:S1062"/>
    <mergeCell ref="Q1067:S1067"/>
    <mergeCell ref="T1061:V1061"/>
    <mergeCell ref="T1062:V1062"/>
    <mergeCell ref="T1067:V1067"/>
    <mergeCell ref="AF1224:AI1224"/>
    <mergeCell ref="V1225:X1225"/>
    <mergeCell ref="S1225:U1225"/>
    <mergeCell ref="AF1225:AI1225"/>
    <mergeCell ref="D1226:F1227"/>
    <mergeCell ref="G1226:I1227"/>
    <mergeCell ref="J1226:L1227"/>
    <mergeCell ref="V1226:X1226"/>
    <mergeCell ref="M1226:O1227"/>
    <mergeCell ref="P1226:R1227"/>
    <mergeCell ref="S1226:U1226"/>
    <mergeCell ref="AC1226:AE1227"/>
    <mergeCell ref="AF1226:AI1226"/>
    <mergeCell ref="V1227:X1227"/>
    <mergeCell ref="S1227:U1227"/>
    <mergeCell ref="AF1227:AI1227"/>
    <mergeCell ref="D1199:F1200"/>
    <mergeCell ref="G1199:I1200"/>
    <mergeCell ref="J1199:L1200"/>
    <mergeCell ref="P1199:R1200"/>
    <mergeCell ref="M1199:O1200"/>
    <mergeCell ref="D1201:F1201"/>
    <mergeCell ref="E1098:F1098"/>
    <mergeCell ref="H1098:I1098"/>
    <mergeCell ref="K1098:L1098"/>
    <mergeCell ref="I1100:J1100"/>
    <mergeCell ref="D1228:F1229"/>
    <mergeCell ref="G1228:I1229"/>
    <mergeCell ref="J1228:L1229"/>
    <mergeCell ref="V1228:X1228"/>
    <mergeCell ref="M1228:O1229"/>
    <mergeCell ref="P1228:R1229"/>
    <mergeCell ref="S1228:U1228"/>
    <mergeCell ref="AC1228:AE1229"/>
    <mergeCell ref="AF1228:AI1228"/>
    <mergeCell ref="V1229:X1229"/>
    <mergeCell ref="S1229:U1229"/>
    <mergeCell ref="AF1229:AI1229"/>
    <mergeCell ref="M1224:O1225"/>
    <mergeCell ref="P1224:R1225"/>
    <mergeCell ref="S1224:U1224"/>
    <mergeCell ref="AC1224:AE1225"/>
    <mergeCell ref="AF1230:AI1230"/>
    <mergeCell ref="Y1224:AB1224"/>
    <mergeCell ref="Y1225:AB1225"/>
    <mergeCell ref="Y1226:AB1226"/>
    <mergeCell ref="Y1227:AB1227"/>
    <mergeCell ref="Y1228:AB1228"/>
    <mergeCell ref="Y1229:AB1229"/>
    <mergeCell ref="Y1230:AB1230"/>
    <mergeCell ref="AC1230:AE1231"/>
    <mergeCell ref="V1231:X1231"/>
    <mergeCell ref="S1231:U1231"/>
    <mergeCell ref="AF1231:AI1231"/>
    <mergeCell ref="I1552:J1552"/>
    <mergeCell ref="K1550:L1550"/>
    <mergeCell ref="H1550:I1550"/>
    <mergeCell ref="E1550:F1550"/>
    <mergeCell ref="K1549:L1549"/>
    <mergeCell ref="H1549:I1549"/>
    <mergeCell ref="E1549:F1549"/>
    <mergeCell ref="D1232:F1233"/>
    <mergeCell ref="G1232:I1233"/>
    <mergeCell ref="J1232:L1233"/>
    <mergeCell ref="V1232:X1232"/>
    <mergeCell ref="M1232:O1233"/>
    <mergeCell ref="P1232:R1233"/>
    <mergeCell ref="S1232:U1232"/>
    <mergeCell ref="AC1232:AE1233"/>
    <mergeCell ref="AF1232:AI1232"/>
    <mergeCell ref="V1233:X1233"/>
    <mergeCell ref="S1233:U1233"/>
    <mergeCell ref="AF1233:AI1233"/>
    <mergeCell ref="D1234:F1235"/>
    <mergeCell ref="G1234:I1235"/>
    <mergeCell ref="J1234:L1235"/>
    <mergeCell ref="V1234:X1234"/>
    <mergeCell ref="M1234:O1235"/>
    <mergeCell ref="P1234:R1235"/>
    <mergeCell ref="S1234:U1234"/>
    <mergeCell ref="AC1234:AE1235"/>
    <mergeCell ref="AF1234:AI1234"/>
    <mergeCell ref="AF1235:AI1235"/>
    <mergeCell ref="D1236:F1237"/>
    <mergeCell ref="G1236:I1237"/>
    <mergeCell ref="J1236:L1237"/>
    <mergeCell ref="V1236:X1236"/>
    <mergeCell ref="M1236:O1237"/>
    <mergeCell ref="P1236:R1237"/>
    <mergeCell ref="S1236:U1236"/>
    <mergeCell ref="AC1236:AE1237"/>
    <mergeCell ref="AF1236:AI1236"/>
    <mergeCell ref="V1237:X1237"/>
    <mergeCell ref="S1237:U1237"/>
    <mergeCell ref="AF1237:AI1237"/>
    <mergeCell ref="D1238:F1239"/>
    <mergeCell ref="G1238:I1239"/>
    <mergeCell ref="J1238:L1239"/>
    <mergeCell ref="V1238:X1238"/>
    <mergeCell ref="M1238:O1239"/>
    <mergeCell ref="P1238:R1239"/>
    <mergeCell ref="S1238:U1238"/>
    <mergeCell ref="AC1238:AE1239"/>
    <mergeCell ref="AF1238:AI1238"/>
    <mergeCell ref="V1239:X1239"/>
    <mergeCell ref="S1239:U1239"/>
    <mergeCell ref="AF1239:AI1239"/>
    <mergeCell ref="M1240:O1241"/>
    <mergeCell ref="P1240:R1241"/>
    <mergeCell ref="S1240:U1240"/>
    <mergeCell ref="AC1240:AE1241"/>
    <mergeCell ref="AF1240:AI1240"/>
    <mergeCell ref="V1241:X1241"/>
    <mergeCell ref="S1241:U1241"/>
    <mergeCell ref="AF1241:AI1241"/>
    <mergeCell ref="D1242:F1243"/>
    <mergeCell ref="G1242:I1243"/>
    <mergeCell ref="J1242:L1243"/>
    <mergeCell ref="V1242:X1242"/>
    <mergeCell ref="M1242:O1243"/>
    <mergeCell ref="P1242:R1243"/>
    <mergeCell ref="S1242:U1242"/>
    <mergeCell ref="AC1242:AE1243"/>
    <mergeCell ref="AF1242:AI1242"/>
    <mergeCell ref="V1243:X1243"/>
    <mergeCell ref="S1243:U1243"/>
    <mergeCell ref="AF1243:AI1243"/>
    <mergeCell ref="J1244:L1245"/>
    <mergeCell ref="V1244:X1244"/>
    <mergeCell ref="M1244:O1245"/>
    <mergeCell ref="P1244:R1245"/>
    <mergeCell ref="S1244:U1244"/>
    <mergeCell ref="AC1244:AE1245"/>
    <mergeCell ref="AF1244:AI1244"/>
    <mergeCell ref="V1245:X1245"/>
    <mergeCell ref="S1245:U1245"/>
    <mergeCell ref="AF1245:AI1245"/>
    <mergeCell ref="D1246:F1247"/>
    <mergeCell ref="G1246:I1247"/>
    <mergeCell ref="J1246:L1247"/>
    <mergeCell ref="V1246:X1246"/>
    <mergeCell ref="M1246:O1247"/>
    <mergeCell ref="P1246:R1247"/>
    <mergeCell ref="S1246:U1246"/>
    <mergeCell ref="AC1246:AE1247"/>
    <mergeCell ref="AF1246:AI1246"/>
    <mergeCell ref="V1247:X1247"/>
    <mergeCell ref="S1247:U1247"/>
    <mergeCell ref="AF1247:AI1247"/>
    <mergeCell ref="D1248:F1249"/>
    <mergeCell ref="G1248:I1249"/>
    <mergeCell ref="J1248:L1249"/>
    <mergeCell ref="V1248:X1248"/>
    <mergeCell ref="M1248:O1249"/>
    <mergeCell ref="P1248:R1249"/>
    <mergeCell ref="S1248:U1248"/>
    <mergeCell ref="AC1248:AE1249"/>
    <mergeCell ref="AF1248:AI1248"/>
    <mergeCell ref="V1249:X1249"/>
    <mergeCell ref="S1249:U1249"/>
    <mergeCell ref="AF1249:AI1249"/>
    <mergeCell ref="D1250:F1251"/>
    <mergeCell ref="G1250:I1251"/>
    <mergeCell ref="J1250:L1251"/>
    <mergeCell ref="V1250:X1250"/>
    <mergeCell ref="M1250:O1251"/>
    <mergeCell ref="P1250:R1251"/>
    <mergeCell ref="S1250:U1250"/>
    <mergeCell ref="AC1250:AE1251"/>
    <mergeCell ref="AF1250:AI1250"/>
    <mergeCell ref="V1251:X1251"/>
    <mergeCell ref="S1251:U1251"/>
    <mergeCell ref="AF1251:AI1251"/>
    <mergeCell ref="Y1248:AB1248"/>
    <mergeCell ref="Y1249:AB1249"/>
    <mergeCell ref="Y1250:AB1250"/>
    <mergeCell ref="Y1251:AB1251"/>
    <mergeCell ref="G1201:I1201"/>
    <mergeCell ref="J1201:L1201"/>
    <mergeCell ref="P1201:R1201"/>
    <mergeCell ref="M1201:O1201"/>
    <mergeCell ref="P1202:R1202"/>
    <mergeCell ref="M1202:O1202"/>
    <mergeCell ref="D1202:F1202"/>
    <mergeCell ref="D1203:F1203"/>
    <mergeCell ref="D1204:F1204"/>
    <mergeCell ref="D1205:F1205"/>
    <mergeCell ref="D1206:F1206"/>
    <mergeCell ref="D1207:F1207"/>
    <mergeCell ref="M1205:O1205"/>
    <mergeCell ref="G1206:I1206"/>
    <mergeCell ref="J1206:L1206"/>
    <mergeCell ref="P1206:R1206"/>
    <mergeCell ref="M1206:O1206"/>
    <mergeCell ref="G1207:I1207"/>
    <mergeCell ref="D1208:F1208"/>
    <mergeCell ref="D1209:F1209"/>
    <mergeCell ref="D1210:F1210"/>
    <mergeCell ref="D1211:F1211"/>
    <mergeCell ref="D1212:F1212"/>
    <mergeCell ref="D1213:F1213"/>
    <mergeCell ref="D1214:F1214"/>
    <mergeCell ref="D1215:F1215"/>
    <mergeCell ref="D1216:F1216"/>
    <mergeCell ref="G1202:I1202"/>
    <mergeCell ref="J1202:L1202"/>
    <mergeCell ref="G1203:I1203"/>
    <mergeCell ref="J1203:L1203"/>
    <mergeCell ref="P1203:R1203"/>
    <mergeCell ref="M1203:O1203"/>
    <mergeCell ref="G1204:I1204"/>
    <mergeCell ref="J1204:L1204"/>
    <mergeCell ref="P1204:R1204"/>
    <mergeCell ref="M1204:O1204"/>
    <mergeCell ref="G1205:I1205"/>
    <mergeCell ref="J1205:L1205"/>
    <mergeCell ref="P1205:R1205"/>
    <mergeCell ref="G1210:I1210"/>
    <mergeCell ref="J1210:L1210"/>
    <mergeCell ref="P1210:R1210"/>
    <mergeCell ref="M1210:O1210"/>
    <mergeCell ref="G1211:I1211"/>
    <mergeCell ref="J1211:L1211"/>
    <mergeCell ref="P1211:R1211"/>
    <mergeCell ref="M1211:O1211"/>
    <mergeCell ref="G1212:I1212"/>
    <mergeCell ref="J1212:L1212"/>
    <mergeCell ref="P1212:R1212"/>
    <mergeCell ref="M1212:O1212"/>
    <mergeCell ref="J1207:L1207"/>
    <mergeCell ref="P1207:R1207"/>
    <mergeCell ref="M1207:O1207"/>
    <mergeCell ref="G1208:I1208"/>
    <mergeCell ref="J1208:L1208"/>
    <mergeCell ref="P1208:R1208"/>
    <mergeCell ref="M1208:O1208"/>
    <mergeCell ref="G1209:I1209"/>
    <mergeCell ref="J1209:L1209"/>
    <mergeCell ref="P1209:R1209"/>
    <mergeCell ref="M1209:O1209"/>
    <mergeCell ref="G1216:I1216"/>
    <mergeCell ref="J1216:L1216"/>
    <mergeCell ref="P1216:R1216"/>
    <mergeCell ref="M1216:O1216"/>
    <mergeCell ref="Y1220:AB1221"/>
    <mergeCell ref="G1213:I1213"/>
    <mergeCell ref="J1213:L1213"/>
    <mergeCell ref="P1213:R1213"/>
    <mergeCell ref="M1213:O1213"/>
    <mergeCell ref="G1214:I1214"/>
    <mergeCell ref="J1214:L1214"/>
    <mergeCell ref="P1214:R1214"/>
    <mergeCell ref="M1214:O1214"/>
    <mergeCell ref="G1215:I1215"/>
    <mergeCell ref="J1215:L1215"/>
    <mergeCell ref="P1215:R1215"/>
    <mergeCell ref="M1215:O1215"/>
    <mergeCell ref="S1199:V1200"/>
    <mergeCell ref="S1201:V1201"/>
    <mergeCell ref="S1202:V1202"/>
    <mergeCell ref="S1203:V1203"/>
    <mergeCell ref="S1204:V1204"/>
    <mergeCell ref="S1205:V1205"/>
    <mergeCell ref="S1206:V1206"/>
    <mergeCell ref="S1207:V1207"/>
    <mergeCell ref="S1208:V1208"/>
    <mergeCell ref="S1209:V1209"/>
    <mergeCell ref="S1210:V1210"/>
    <mergeCell ref="S1211:V1211"/>
    <mergeCell ref="S1212:V1212"/>
    <mergeCell ref="S1213:V1213"/>
    <mergeCell ref="S1214:V1214"/>
    <mergeCell ref="S1215:V1215"/>
    <mergeCell ref="S1216:V1216"/>
    <mergeCell ref="Y1231:AB1231"/>
    <mergeCell ref="Y1232:AB1232"/>
    <mergeCell ref="Y1233:AB1233"/>
    <mergeCell ref="Y1234:AB1234"/>
    <mergeCell ref="Y1235:AB1235"/>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Y1247:AB1247"/>
  </mergeCells>
  <phoneticPr fontId="1"/>
  <pageMargins left="0.74803149606299213" right="0.74803149606299213" top="0.98425196850393704" bottom="0.98425196850393704" header="0.51181102362204722" footer="0.51181102362204722"/>
  <pageSetup paperSize="9" scale="97" fitToHeight="0" orientation="portrait" blackAndWhite="1" r:id="rId1"/>
  <headerFooter alignWithMargins="0"/>
  <rowBreaks count="18" manualBreakCount="18">
    <brk id="46" max="16383" man="1"/>
    <brk id="96" max="16383" man="1"/>
    <brk id="130" max="16383" man="1"/>
    <brk id="175" max="16383" man="1"/>
    <brk id="204" max="16383" man="1"/>
    <brk id="231" max="16383" man="1"/>
    <brk id="267" max="16383" man="1"/>
    <brk id="406" max="16383" man="1"/>
    <brk id="444" max="16383" man="1"/>
    <brk id="782" max="16383" man="1"/>
    <brk id="820" max="16383" man="1"/>
    <brk id="1030" max="16383" man="1"/>
    <brk id="1074" max="16383" man="1"/>
    <brk id="1092" max="16383" man="1"/>
    <brk id="1136" max="16383" man="1"/>
    <brk id="1186" max="16383" man="1"/>
    <brk id="1543" max="16383" man="1"/>
    <brk id="1565" max="16383"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13"/>
  <sheetViews>
    <sheetView topLeftCell="A85" zoomScaleNormal="100" workbookViewId="0">
      <selection activeCell="B30" sqref="B30"/>
    </sheetView>
  </sheetViews>
  <sheetFormatPr defaultRowHeight="13.5"/>
  <cols>
    <col min="1" max="1" width="27.25" style="35" bestFit="1" customWidth="1"/>
    <col min="2" max="2" width="28.125" style="35" bestFit="1" customWidth="1"/>
    <col min="3" max="3" width="23.875" style="35" bestFit="1" customWidth="1"/>
    <col min="4" max="4" width="20" style="35" bestFit="1" customWidth="1"/>
    <col min="5" max="5" width="24.375" style="35" bestFit="1" customWidth="1"/>
    <col min="6" max="6" width="25.625" style="35" bestFit="1" customWidth="1"/>
    <col min="7" max="8" width="25.625" style="35" customWidth="1"/>
    <col min="9" max="256" width="9" style="35"/>
    <col min="257" max="257" width="27.25" style="35" bestFit="1" customWidth="1"/>
    <col min="258" max="258" width="28.125" style="35" bestFit="1" customWidth="1"/>
    <col min="259" max="259" width="23.875" style="35" bestFit="1" customWidth="1"/>
    <col min="260" max="260" width="20" style="35" bestFit="1" customWidth="1"/>
    <col min="261" max="261" width="24.375" style="35" bestFit="1" customWidth="1"/>
    <col min="262" max="262" width="25.625" style="35" bestFit="1" customWidth="1"/>
    <col min="263" max="264" width="25.625" style="35" customWidth="1"/>
    <col min="265" max="512" width="9" style="35"/>
    <col min="513" max="513" width="27.25" style="35" bestFit="1" customWidth="1"/>
    <col min="514" max="514" width="28.125" style="35" bestFit="1" customWidth="1"/>
    <col min="515" max="515" width="23.875" style="35" bestFit="1" customWidth="1"/>
    <col min="516" max="516" width="20" style="35" bestFit="1" customWidth="1"/>
    <col min="517" max="517" width="24.375" style="35" bestFit="1" customWidth="1"/>
    <col min="518" max="518" width="25.625" style="35" bestFit="1" customWidth="1"/>
    <col min="519" max="520" width="25.625" style="35" customWidth="1"/>
    <col min="521" max="768" width="9" style="35"/>
    <col min="769" max="769" width="27.25" style="35" bestFit="1" customWidth="1"/>
    <col min="770" max="770" width="28.125" style="35" bestFit="1" customWidth="1"/>
    <col min="771" max="771" width="23.875" style="35" bestFit="1" customWidth="1"/>
    <col min="772" max="772" width="20" style="35" bestFit="1" customWidth="1"/>
    <col min="773" max="773" width="24.375" style="35" bestFit="1" customWidth="1"/>
    <col min="774" max="774" width="25.625" style="35" bestFit="1" customWidth="1"/>
    <col min="775" max="776" width="25.625" style="35" customWidth="1"/>
    <col min="777" max="1024" width="9" style="35"/>
    <col min="1025" max="1025" width="27.25" style="35" bestFit="1" customWidth="1"/>
    <col min="1026" max="1026" width="28.125" style="35" bestFit="1" customWidth="1"/>
    <col min="1027" max="1027" width="23.875" style="35" bestFit="1" customWidth="1"/>
    <col min="1028" max="1028" width="20" style="35" bestFit="1" customWidth="1"/>
    <col min="1029" max="1029" width="24.375" style="35" bestFit="1" customWidth="1"/>
    <col min="1030" max="1030" width="25.625" style="35" bestFit="1" customWidth="1"/>
    <col min="1031" max="1032" width="25.625" style="35" customWidth="1"/>
    <col min="1033" max="1280" width="9" style="35"/>
    <col min="1281" max="1281" width="27.25" style="35" bestFit="1" customWidth="1"/>
    <col min="1282" max="1282" width="28.125" style="35" bestFit="1" customWidth="1"/>
    <col min="1283" max="1283" width="23.875" style="35" bestFit="1" customWidth="1"/>
    <col min="1284" max="1284" width="20" style="35" bestFit="1" customWidth="1"/>
    <col min="1285" max="1285" width="24.375" style="35" bestFit="1" customWidth="1"/>
    <col min="1286" max="1286" width="25.625" style="35" bestFit="1" customWidth="1"/>
    <col min="1287" max="1288" width="25.625" style="35" customWidth="1"/>
    <col min="1289" max="1536" width="9" style="35"/>
    <col min="1537" max="1537" width="27.25" style="35" bestFit="1" customWidth="1"/>
    <col min="1538" max="1538" width="28.125" style="35" bestFit="1" customWidth="1"/>
    <col min="1539" max="1539" width="23.875" style="35" bestFit="1" customWidth="1"/>
    <col min="1540" max="1540" width="20" style="35" bestFit="1" customWidth="1"/>
    <col min="1541" max="1541" width="24.375" style="35" bestFit="1" customWidth="1"/>
    <col min="1542" max="1542" width="25.625" style="35" bestFit="1" customWidth="1"/>
    <col min="1543" max="1544" width="25.625" style="35" customWidth="1"/>
    <col min="1545" max="1792" width="9" style="35"/>
    <col min="1793" max="1793" width="27.25" style="35" bestFit="1" customWidth="1"/>
    <col min="1794" max="1794" width="28.125" style="35" bestFit="1" customWidth="1"/>
    <col min="1795" max="1795" width="23.875" style="35" bestFit="1" customWidth="1"/>
    <col min="1796" max="1796" width="20" style="35" bestFit="1" customWidth="1"/>
    <col min="1797" max="1797" width="24.375" style="35" bestFit="1" customWidth="1"/>
    <col min="1798" max="1798" width="25.625" style="35" bestFit="1" customWidth="1"/>
    <col min="1799" max="1800" width="25.625" style="35" customWidth="1"/>
    <col min="1801" max="2048" width="9" style="35"/>
    <col min="2049" max="2049" width="27.25" style="35" bestFit="1" customWidth="1"/>
    <col min="2050" max="2050" width="28.125" style="35" bestFit="1" customWidth="1"/>
    <col min="2051" max="2051" width="23.875" style="35" bestFit="1" customWidth="1"/>
    <col min="2052" max="2052" width="20" style="35" bestFit="1" customWidth="1"/>
    <col min="2053" max="2053" width="24.375" style="35" bestFit="1" customWidth="1"/>
    <col min="2054" max="2054" width="25.625" style="35" bestFit="1" customWidth="1"/>
    <col min="2055" max="2056" width="25.625" style="35" customWidth="1"/>
    <col min="2057" max="2304" width="9" style="35"/>
    <col min="2305" max="2305" width="27.25" style="35" bestFit="1" customWidth="1"/>
    <col min="2306" max="2306" width="28.125" style="35" bestFit="1" customWidth="1"/>
    <col min="2307" max="2307" width="23.875" style="35" bestFit="1" customWidth="1"/>
    <col min="2308" max="2308" width="20" style="35" bestFit="1" customWidth="1"/>
    <col min="2309" max="2309" width="24.375" style="35" bestFit="1" customWidth="1"/>
    <col min="2310" max="2310" width="25.625" style="35" bestFit="1" customWidth="1"/>
    <col min="2311" max="2312" width="25.625" style="35" customWidth="1"/>
    <col min="2313" max="2560" width="9" style="35"/>
    <col min="2561" max="2561" width="27.25" style="35" bestFit="1" customWidth="1"/>
    <col min="2562" max="2562" width="28.125" style="35" bestFit="1" customWidth="1"/>
    <col min="2563" max="2563" width="23.875" style="35" bestFit="1" customWidth="1"/>
    <col min="2564" max="2564" width="20" style="35" bestFit="1" customWidth="1"/>
    <col min="2565" max="2565" width="24.375" style="35" bestFit="1" customWidth="1"/>
    <col min="2566" max="2566" width="25.625" style="35" bestFit="1" customWidth="1"/>
    <col min="2567" max="2568" width="25.625" style="35" customWidth="1"/>
    <col min="2569" max="2816" width="9" style="35"/>
    <col min="2817" max="2817" width="27.25" style="35" bestFit="1" customWidth="1"/>
    <col min="2818" max="2818" width="28.125" style="35" bestFit="1" customWidth="1"/>
    <col min="2819" max="2819" width="23.875" style="35" bestFit="1" customWidth="1"/>
    <col min="2820" max="2820" width="20" style="35" bestFit="1" customWidth="1"/>
    <col min="2821" max="2821" width="24.375" style="35" bestFit="1" customWidth="1"/>
    <col min="2822" max="2822" width="25.625" style="35" bestFit="1" customWidth="1"/>
    <col min="2823" max="2824" width="25.625" style="35" customWidth="1"/>
    <col min="2825" max="3072" width="9" style="35"/>
    <col min="3073" max="3073" width="27.25" style="35" bestFit="1" customWidth="1"/>
    <col min="3074" max="3074" width="28.125" style="35" bestFit="1" customWidth="1"/>
    <col min="3075" max="3075" width="23.875" style="35" bestFit="1" customWidth="1"/>
    <col min="3076" max="3076" width="20" style="35" bestFit="1" customWidth="1"/>
    <col min="3077" max="3077" width="24.375" style="35" bestFit="1" customWidth="1"/>
    <col min="3078" max="3078" width="25.625" style="35" bestFit="1" customWidth="1"/>
    <col min="3079" max="3080" width="25.625" style="35" customWidth="1"/>
    <col min="3081" max="3328" width="9" style="35"/>
    <col min="3329" max="3329" width="27.25" style="35" bestFit="1" customWidth="1"/>
    <col min="3330" max="3330" width="28.125" style="35" bestFit="1" customWidth="1"/>
    <col min="3331" max="3331" width="23.875" style="35" bestFit="1" customWidth="1"/>
    <col min="3332" max="3332" width="20" style="35" bestFit="1" customWidth="1"/>
    <col min="3333" max="3333" width="24.375" style="35" bestFit="1" customWidth="1"/>
    <col min="3334" max="3334" width="25.625" style="35" bestFit="1" customWidth="1"/>
    <col min="3335" max="3336" width="25.625" style="35" customWidth="1"/>
    <col min="3337" max="3584" width="9" style="35"/>
    <col min="3585" max="3585" width="27.25" style="35" bestFit="1" customWidth="1"/>
    <col min="3586" max="3586" width="28.125" style="35" bestFit="1" customWidth="1"/>
    <col min="3587" max="3587" width="23.875" style="35" bestFit="1" customWidth="1"/>
    <col min="3588" max="3588" width="20" style="35" bestFit="1" customWidth="1"/>
    <col min="3589" max="3589" width="24.375" style="35" bestFit="1" customWidth="1"/>
    <col min="3590" max="3590" width="25.625" style="35" bestFit="1" customWidth="1"/>
    <col min="3591" max="3592" width="25.625" style="35" customWidth="1"/>
    <col min="3593" max="3840" width="9" style="35"/>
    <col min="3841" max="3841" width="27.25" style="35" bestFit="1" customWidth="1"/>
    <col min="3842" max="3842" width="28.125" style="35" bestFit="1" customWidth="1"/>
    <col min="3843" max="3843" width="23.875" style="35" bestFit="1" customWidth="1"/>
    <col min="3844" max="3844" width="20" style="35" bestFit="1" customWidth="1"/>
    <col min="3845" max="3845" width="24.375" style="35" bestFit="1" customWidth="1"/>
    <col min="3846" max="3846" width="25.625" style="35" bestFit="1" customWidth="1"/>
    <col min="3847" max="3848" width="25.625" style="35" customWidth="1"/>
    <col min="3849" max="4096" width="9" style="35"/>
    <col min="4097" max="4097" width="27.25" style="35" bestFit="1" customWidth="1"/>
    <col min="4098" max="4098" width="28.125" style="35" bestFit="1" customWidth="1"/>
    <col min="4099" max="4099" width="23.875" style="35" bestFit="1" customWidth="1"/>
    <col min="4100" max="4100" width="20" style="35" bestFit="1" customWidth="1"/>
    <col min="4101" max="4101" width="24.375" style="35" bestFit="1" customWidth="1"/>
    <col min="4102" max="4102" width="25.625" style="35" bestFit="1" customWidth="1"/>
    <col min="4103" max="4104" width="25.625" style="35" customWidth="1"/>
    <col min="4105" max="4352" width="9" style="35"/>
    <col min="4353" max="4353" width="27.25" style="35" bestFit="1" customWidth="1"/>
    <col min="4354" max="4354" width="28.125" style="35" bestFit="1" customWidth="1"/>
    <col min="4355" max="4355" width="23.875" style="35" bestFit="1" customWidth="1"/>
    <col min="4356" max="4356" width="20" style="35" bestFit="1" customWidth="1"/>
    <col min="4357" max="4357" width="24.375" style="35" bestFit="1" customWidth="1"/>
    <col min="4358" max="4358" width="25.625" style="35" bestFit="1" customWidth="1"/>
    <col min="4359" max="4360" width="25.625" style="35" customWidth="1"/>
    <col min="4361" max="4608" width="9" style="35"/>
    <col min="4609" max="4609" width="27.25" style="35" bestFit="1" customWidth="1"/>
    <col min="4610" max="4610" width="28.125" style="35" bestFit="1" customWidth="1"/>
    <col min="4611" max="4611" width="23.875" style="35" bestFit="1" customWidth="1"/>
    <col min="4612" max="4612" width="20" style="35" bestFit="1" customWidth="1"/>
    <col min="4613" max="4613" width="24.375" style="35" bestFit="1" customWidth="1"/>
    <col min="4614" max="4614" width="25.625" style="35" bestFit="1" customWidth="1"/>
    <col min="4615" max="4616" width="25.625" style="35" customWidth="1"/>
    <col min="4617" max="4864" width="9" style="35"/>
    <col min="4865" max="4865" width="27.25" style="35" bestFit="1" customWidth="1"/>
    <col min="4866" max="4866" width="28.125" style="35" bestFit="1" customWidth="1"/>
    <col min="4867" max="4867" width="23.875" style="35" bestFit="1" customWidth="1"/>
    <col min="4868" max="4868" width="20" style="35" bestFit="1" customWidth="1"/>
    <col min="4869" max="4869" width="24.375" style="35" bestFit="1" customWidth="1"/>
    <col min="4870" max="4870" width="25.625" style="35" bestFit="1" customWidth="1"/>
    <col min="4871" max="4872" width="25.625" style="35" customWidth="1"/>
    <col min="4873" max="5120" width="9" style="35"/>
    <col min="5121" max="5121" width="27.25" style="35" bestFit="1" customWidth="1"/>
    <col min="5122" max="5122" width="28.125" style="35" bestFit="1" customWidth="1"/>
    <col min="5123" max="5123" width="23.875" style="35" bestFit="1" customWidth="1"/>
    <col min="5124" max="5124" width="20" style="35" bestFit="1" customWidth="1"/>
    <col min="5125" max="5125" width="24.375" style="35" bestFit="1" customWidth="1"/>
    <col min="5126" max="5126" width="25.625" style="35" bestFit="1" customWidth="1"/>
    <col min="5127" max="5128" width="25.625" style="35" customWidth="1"/>
    <col min="5129" max="5376" width="9" style="35"/>
    <col min="5377" max="5377" width="27.25" style="35" bestFit="1" customWidth="1"/>
    <col min="5378" max="5378" width="28.125" style="35" bestFit="1" customWidth="1"/>
    <col min="5379" max="5379" width="23.875" style="35" bestFit="1" customWidth="1"/>
    <col min="5380" max="5380" width="20" style="35" bestFit="1" customWidth="1"/>
    <col min="5381" max="5381" width="24.375" style="35" bestFit="1" customWidth="1"/>
    <col min="5382" max="5382" width="25.625" style="35" bestFit="1" customWidth="1"/>
    <col min="5383" max="5384" width="25.625" style="35" customWidth="1"/>
    <col min="5385" max="5632" width="9" style="35"/>
    <col min="5633" max="5633" width="27.25" style="35" bestFit="1" customWidth="1"/>
    <col min="5634" max="5634" width="28.125" style="35" bestFit="1" customWidth="1"/>
    <col min="5635" max="5635" width="23.875" style="35" bestFit="1" customWidth="1"/>
    <col min="5636" max="5636" width="20" style="35" bestFit="1" customWidth="1"/>
    <col min="5637" max="5637" width="24.375" style="35" bestFit="1" customWidth="1"/>
    <col min="5638" max="5638" width="25.625" style="35" bestFit="1" customWidth="1"/>
    <col min="5639" max="5640" width="25.625" style="35" customWidth="1"/>
    <col min="5641" max="5888" width="9" style="35"/>
    <col min="5889" max="5889" width="27.25" style="35" bestFit="1" customWidth="1"/>
    <col min="5890" max="5890" width="28.125" style="35" bestFit="1" customWidth="1"/>
    <col min="5891" max="5891" width="23.875" style="35" bestFit="1" customWidth="1"/>
    <col min="5892" max="5892" width="20" style="35" bestFit="1" customWidth="1"/>
    <col min="5893" max="5893" width="24.375" style="35" bestFit="1" customWidth="1"/>
    <col min="5894" max="5894" width="25.625" style="35" bestFit="1" customWidth="1"/>
    <col min="5895" max="5896" width="25.625" style="35" customWidth="1"/>
    <col min="5897" max="6144" width="9" style="35"/>
    <col min="6145" max="6145" width="27.25" style="35" bestFit="1" customWidth="1"/>
    <col min="6146" max="6146" width="28.125" style="35" bestFit="1" customWidth="1"/>
    <col min="6147" max="6147" width="23.875" style="35" bestFit="1" customWidth="1"/>
    <col min="6148" max="6148" width="20" style="35" bestFit="1" customWidth="1"/>
    <col min="6149" max="6149" width="24.375" style="35" bestFit="1" customWidth="1"/>
    <col min="6150" max="6150" width="25.625" style="35" bestFit="1" customWidth="1"/>
    <col min="6151" max="6152" width="25.625" style="35" customWidth="1"/>
    <col min="6153" max="6400" width="9" style="35"/>
    <col min="6401" max="6401" width="27.25" style="35" bestFit="1" customWidth="1"/>
    <col min="6402" max="6402" width="28.125" style="35" bestFit="1" customWidth="1"/>
    <col min="6403" max="6403" width="23.875" style="35" bestFit="1" customWidth="1"/>
    <col min="6404" max="6404" width="20" style="35" bestFit="1" customWidth="1"/>
    <col min="6405" max="6405" width="24.375" style="35" bestFit="1" customWidth="1"/>
    <col min="6406" max="6406" width="25.625" style="35" bestFit="1" customWidth="1"/>
    <col min="6407" max="6408" width="25.625" style="35" customWidth="1"/>
    <col min="6409" max="6656" width="9" style="35"/>
    <col min="6657" max="6657" width="27.25" style="35" bestFit="1" customWidth="1"/>
    <col min="6658" max="6658" width="28.125" style="35" bestFit="1" customWidth="1"/>
    <col min="6659" max="6659" width="23.875" style="35" bestFit="1" customWidth="1"/>
    <col min="6660" max="6660" width="20" style="35" bestFit="1" customWidth="1"/>
    <col min="6661" max="6661" width="24.375" style="35" bestFit="1" customWidth="1"/>
    <col min="6662" max="6662" width="25.625" style="35" bestFit="1" customWidth="1"/>
    <col min="6663" max="6664" width="25.625" style="35" customWidth="1"/>
    <col min="6665" max="6912" width="9" style="35"/>
    <col min="6913" max="6913" width="27.25" style="35" bestFit="1" customWidth="1"/>
    <col min="6914" max="6914" width="28.125" style="35" bestFit="1" customWidth="1"/>
    <col min="6915" max="6915" width="23.875" style="35" bestFit="1" customWidth="1"/>
    <col min="6916" max="6916" width="20" style="35" bestFit="1" customWidth="1"/>
    <col min="6917" max="6917" width="24.375" style="35" bestFit="1" customWidth="1"/>
    <col min="6918" max="6918" width="25.625" style="35" bestFit="1" customWidth="1"/>
    <col min="6919" max="6920" width="25.625" style="35" customWidth="1"/>
    <col min="6921" max="7168" width="9" style="35"/>
    <col min="7169" max="7169" width="27.25" style="35" bestFit="1" customWidth="1"/>
    <col min="7170" max="7170" width="28.125" style="35" bestFit="1" customWidth="1"/>
    <col min="7171" max="7171" width="23.875" style="35" bestFit="1" customWidth="1"/>
    <col min="7172" max="7172" width="20" style="35" bestFit="1" customWidth="1"/>
    <col min="7173" max="7173" width="24.375" style="35" bestFit="1" customWidth="1"/>
    <col min="7174" max="7174" width="25.625" style="35" bestFit="1" customWidth="1"/>
    <col min="7175" max="7176" width="25.625" style="35" customWidth="1"/>
    <col min="7177" max="7424" width="9" style="35"/>
    <col min="7425" max="7425" width="27.25" style="35" bestFit="1" customWidth="1"/>
    <col min="7426" max="7426" width="28.125" style="35" bestFit="1" customWidth="1"/>
    <col min="7427" max="7427" width="23.875" style="35" bestFit="1" customWidth="1"/>
    <col min="7428" max="7428" width="20" style="35" bestFit="1" customWidth="1"/>
    <col min="7429" max="7429" width="24.375" style="35" bestFit="1" customWidth="1"/>
    <col min="7430" max="7430" width="25.625" style="35" bestFit="1" customWidth="1"/>
    <col min="7431" max="7432" width="25.625" style="35" customWidth="1"/>
    <col min="7433" max="7680" width="9" style="35"/>
    <col min="7681" max="7681" width="27.25" style="35" bestFit="1" customWidth="1"/>
    <col min="7682" max="7682" width="28.125" style="35" bestFit="1" customWidth="1"/>
    <col min="7683" max="7683" width="23.875" style="35" bestFit="1" customWidth="1"/>
    <col min="7684" max="7684" width="20" style="35" bestFit="1" customWidth="1"/>
    <col min="7685" max="7685" width="24.375" style="35" bestFit="1" customWidth="1"/>
    <col min="7686" max="7686" width="25.625" style="35" bestFit="1" customWidth="1"/>
    <col min="7687" max="7688" width="25.625" style="35" customWidth="1"/>
    <col min="7689" max="7936" width="9" style="35"/>
    <col min="7937" max="7937" width="27.25" style="35" bestFit="1" customWidth="1"/>
    <col min="7938" max="7938" width="28.125" style="35" bestFit="1" customWidth="1"/>
    <col min="7939" max="7939" width="23.875" style="35" bestFit="1" customWidth="1"/>
    <col min="7940" max="7940" width="20" style="35" bestFit="1" customWidth="1"/>
    <col min="7941" max="7941" width="24.375" style="35" bestFit="1" customWidth="1"/>
    <col min="7942" max="7942" width="25.625" style="35" bestFit="1" customWidth="1"/>
    <col min="7943" max="7944" width="25.625" style="35" customWidth="1"/>
    <col min="7945" max="8192" width="9" style="35"/>
    <col min="8193" max="8193" width="27.25" style="35" bestFit="1" customWidth="1"/>
    <col min="8194" max="8194" width="28.125" style="35" bestFit="1" customWidth="1"/>
    <col min="8195" max="8195" width="23.875" style="35" bestFit="1" customWidth="1"/>
    <col min="8196" max="8196" width="20" style="35" bestFit="1" customWidth="1"/>
    <col min="8197" max="8197" width="24.375" style="35" bestFit="1" customWidth="1"/>
    <col min="8198" max="8198" width="25.625" style="35" bestFit="1" customWidth="1"/>
    <col min="8199" max="8200" width="25.625" style="35" customWidth="1"/>
    <col min="8201" max="8448" width="9" style="35"/>
    <col min="8449" max="8449" width="27.25" style="35" bestFit="1" customWidth="1"/>
    <col min="8450" max="8450" width="28.125" style="35" bestFit="1" customWidth="1"/>
    <col min="8451" max="8451" width="23.875" style="35" bestFit="1" customWidth="1"/>
    <col min="8452" max="8452" width="20" style="35" bestFit="1" customWidth="1"/>
    <col min="8453" max="8453" width="24.375" style="35" bestFit="1" customWidth="1"/>
    <col min="8454" max="8454" width="25.625" style="35" bestFit="1" customWidth="1"/>
    <col min="8455" max="8456" width="25.625" style="35" customWidth="1"/>
    <col min="8457" max="8704" width="9" style="35"/>
    <col min="8705" max="8705" width="27.25" style="35" bestFit="1" customWidth="1"/>
    <col min="8706" max="8706" width="28.125" style="35" bestFit="1" customWidth="1"/>
    <col min="8707" max="8707" width="23.875" style="35" bestFit="1" customWidth="1"/>
    <col min="8708" max="8708" width="20" style="35" bestFit="1" customWidth="1"/>
    <col min="8709" max="8709" width="24.375" style="35" bestFit="1" customWidth="1"/>
    <col min="8710" max="8710" width="25.625" style="35" bestFit="1" customWidth="1"/>
    <col min="8711" max="8712" width="25.625" style="35" customWidth="1"/>
    <col min="8713" max="8960" width="9" style="35"/>
    <col min="8961" max="8961" width="27.25" style="35" bestFit="1" customWidth="1"/>
    <col min="8962" max="8962" width="28.125" style="35" bestFit="1" customWidth="1"/>
    <col min="8963" max="8963" width="23.875" style="35" bestFit="1" customWidth="1"/>
    <col min="8964" max="8964" width="20" style="35" bestFit="1" customWidth="1"/>
    <col min="8965" max="8965" width="24.375" style="35" bestFit="1" customWidth="1"/>
    <col min="8966" max="8966" width="25.625" style="35" bestFit="1" customWidth="1"/>
    <col min="8967" max="8968" width="25.625" style="35" customWidth="1"/>
    <col min="8969" max="9216" width="9" style="35"/>
    <col min="9217" max="9217" width="27.25" style="35" bestFit="1" customWidth="1"/>
    <col min="9218" max="9218" width="28.125" style="35" bestFit="1" customWidth="1"/>
    <col min="9219" max="9219" width="23.875" style="35" bestFit="1" customWidth="1"/>
    <col min="9220" max="9220" width="20" style="35" bestFit="1" customWidth="1"/>
    <col min="9221" max="9221" width="24.375" style="35" bestFit="1" customWidth="1"/>
    <col min="9222" max="9222" width="25.625" style="35" bestFit="1" customWidth="1"/>
    <col min="9223" max="9224" width="25.625" style="35" customWidth="1"/>
    <col min="9225" max="9472" width="9" style="35"/>
    <col min="9473" max="9473" width="27.25" style="35" bestFit="1" customWidth="1"/>
    <col min="9474" max="9474" width="28.125" style="35" bestFit="1" customWidth="1"/>
    <col min="9475" max="9475" width="23.875" style="35" bestFit="1" customWidth="1"/>
    <col min="9476" max="9476" width="20" style="35" bestFit="1" customWidth="1"/>
    <col min="9477" max="9477" width="24.375" style="35" bestFit="1" customWidth="1"/>
    <col min="9478" max="9478" width="25.625" style="35" bestFit="1" customWidth="1"/>
    <col min="9479" max="9480" width="25.625" style="35" customWidth="1"/>
    <col min="9481" max="9728" width="9" style="35"/>
    <col min="9729" max="9729" width="27.25" style="35" bestFit="1" customWidth="1"/>
    <col min="9730" max="9730" width="28.125" style="35" bestFit="1" customWidth="1"/>
    <col min="9731" max="9731" width="23.875" style="35" bestFit="1" customWidth="1"/>
    <col min="9732" max="9732" width="20" style="35" bestFit="1" customWidth="1"/>
    <col min="9733" max="9733" width="24.375" style="35" bestFit="1" customWidth="1"/>
    <col min="9734" max="9734" width="25.625" style="35" bestFit="1" customWidth="1"/>
    <col min="9735" max="9736" width="25.625" style="35" customWidth="1"/>
    <col min="9737" max="9984" width="9" style="35"/>
    <col min="9985" max="9985" width="27.25" style="35" bestFit="1" customWidth="1"/>
    <col min="9986" max="9986" width="28.125" style="35" bestFit="1" customWidth="1"/>
    <col min="9987" max="9987" width="23.875" style="35" bestFit="1" customWidth="1"/>
    <col min="9988" max="9988" width="20" style="35" bestFit="1" customWidth="1"/>
    <col min="9989" max="9989" width="24.375" style="35" bestFit="1" customWidth="1"/>
    <col min="9990" max="9990" width="25.625" style="35" bestFit="1" customWidth="1"/>
    <col min="9991" max="9992" width="25.625" style="35" customWidth="1"/>
    <col min="9993" max="10240" width="9" style="35"/>
    <col min="10241" max="10241" width="27.25" style="35" bestFit="1" customWidth="1"/>
    <col min="10242" max="10242" width="28.125" style="35" bestFit="1" customWidth="1"/>
    <col min="10243" max="10243" width="23.875" style="35" bestFit="1" customWidth="1"/>
    <col min="10244" max="10244" width="20" style="35" bestFit="1" customWidth="1"/>
    <col min="10245" max="10245" width="24.375" style="35" bestFit="1" customWidth="1"/>
    <col min="10246" max="10246" width="25.625" style="35" bestFit="1" customWidth="1"/>
    <col min="10247" max="10248" width="25.625" style="35" customWidth="1"/>
    <col min="10249" max="10496" width="9" style="35"/>
    <col min="10497" max="10497" width="27.25" style="35" bestFit="1" customWidth="1"/>
    <col min="10498" max="10498" width="28.125" style="35" bestFit="1" customWidth="1"/>
    <col min="10499" max="10499" width="23.875" style="35" bestFit="1" customWidth="1"/>
    <col min="10500" max="10500" width="20" style="35" bestFit="1" customWidth="1"/>
    <col min="10501" max="10501" width="24.375" style="35" bestFit="1" customWidth="1"/>
    <col min="10502" max="10502" width="25.625" style="35" bestFit="1" customWidth="1"/>
    <col min="10503" max="10504" width="25.625" style="35" customWidth="1"/>
    <col min="10505" max="10752" width="9" style="35"/>
    <col min="10753" max="10753" width="27.25" style="35" bestFit="1" customWidth="1"/>
    <col min="10754" max="10754" width="28.125" style="35" bestFit="1" customWidth="1"/>
    <col min="10755" max="10755" width="23.875" style="35" bestFit="1" customWidth="1"/>
    <col min="10756" max="10756" width="20" style="35" bestFit="1" customWidth="1"/>
    <col min="10757" max="10757" width="24.375" style="35" bestFit="1" customWidth="1"/>
    <col min="10758" max="10758" width="25.625" style="35" bestFit="1" customWidth="1"/>
    <col min="10759" max="10760" width="25.625" style="35" customWidth="1"/>
    <col min="10761" max="11008" width="9" style="35"/>
    <col min="11009" max="11009" width="27.25" style="35" bestFit="1" customWidth="1"/>
    <col min="11010" max="11010" width="28.125" style="35" bestFit="1" customWidth="1"/>
    <col min="11011" max="11011" width="23.875" style="35" bestFit="1" customWidth="1"/>
    <col min="11012" max="11012" width="20" style="35" bestFit="1" customWidth="1"/>
    <col min="11013" max="11013" width="24.375" style="35" bestFit="1" customWidth="1"/>
    <col min="11014" max="11014" width="25.625" style="35" bestFit="1" customWidth="1"/>
    <col min="11015" max="11016" width="25.625" style="35" customWidth="1"/>
    <col min="11017" max="11264" width="9" style="35"/>
    <col min="11265" max="11265" width="27.25" style="35" bestFit="1" customWidth="1"/>
    <col min="11266" max="11266" width="28.125" style="35" bestFit="1" customWidth="1"/>
    <col min="11267" max="11267" width="23.875" style="35" bestFit="1" customWidth="1"/>
    <col min="11268" max="11268" width="20" style="35" bestFit="1" customWidth="1"/>
    <col min="11269" max="11269" width="24.375" style="35" bestFit="1" customWidth="1"/>
    <col min="11270" max="11270" width="25.625" style="35" bestFit="1" customWidth="1"/>
    <col min="11271" max="11272" width="25.625" style="35" customWidth="1"/>
    <col min="11273" max="11520" width="9" style="35"/>
    <col min="11521" max="11521" width="27.25" style="35" bestFit="1" customWidth="1"/>
    <col min="11522" max="11522" width="28.125" style="35" bestFit="1" customWidth="1"/>
    <col min="11523" max="11523" width="23.875" style="35" bestFit="1" customWidth="1"/>
    <col min="11524" max="11524" width="20" style="35" bestFit="1" customWidth="1"/>
    <col min="11525" max="11525" width="24.375" style="35" bestFit="1" customWidth="1"/>
    <col min="11526" max="11526" width="25.625" style="35" bestFit="1" customWidth="1"/>
    <col min="11527" max="11528" width="25.625" style="35" customWidth="1"/>
    <col min="11529" max="11776" width="9" style="35"/>
    <col min="11777" max="11777" width="27.25" style="35" bestFit="1" customWidth="1"/>
    <col min="11778" max="11778" width="28.125" style="35" bestFit="1" customWidth="1"/>
    <col min="11779" max="11779" width="23.875" style="35" bestFit="1" customWidth="1"/>
    <col min="11780" max="11780" width="20" style="35" bestFit="1" customWidth="1"/>
    <col min="11781" max="11781" width="24.375" style="35" bestFit="1" customWidth="1"/>
    <col min="11782" max="11782" width="25.625" style="35" bestFit="1" customWidth="1"/>
    <col min="11783" max="11784" width="25.625" style="35" customWidth="1"/>
    <col min="11785" max="12032" width="9" style="35"/>
    <col min="12033" max="12033" width="27.25" style="35" bestFit="1" customWidth="1"/>
    <col min="12034" max="12034" width="28.125" style="35" bestFit="1" customWidth="1"/>
    <col min="12035" max="12035" width="23.875" style="35" bestFit="1" customWidth="1"/>
    <col min="12036" max="12036" width="20" style="35" bestFit="1" customWidth="1"/>
    <col min="12037" max="12037" width="24.375" style="35" bestFit="1" customWidth="1"/>
    <col min="12038" max="12038" width="25.625" style="35" bestFit="1" customWidth="1"/>
    <col min="12039" max="12040" width="25.625" style="35" customWidth="1"/>
    <col min="12041" max="12288" width="9" style="35"/>
    <col min="12289" max="12289" width="27.25" style="35" bestFit="1" customWidth="1"/>
    <col min="12290" max="12290" width="28.125" style="35" bestFit="1" customWidth="1"/>
    <col min="12291" max="12291" width="23.875" style="35" bestFit="1" customWidth="1"/>
    <col min="12292" max="12292" width="20" style="35" bestFit="1" customWidth="1"/>
    <col min="12293" max="12293" width="24.375" style="35" bestFit="1" customWidth="1"/>
    <col min="12294" max="12294" width="25.625" style="35" bestFit="1" customWidth="1"/>
    <col min="12295" max="12296" width="25.625" style="35" customWidth="1"/>
    <col min="12297" max="12544" width="9" style="35"/>
    <col min="12545" max="12545" width="27.25" style="35" bestFit="1" customWidth="1"/>
    <col min="12546" max="12546" width="28.125" style="35" bestFit="1" customWidth="1"/>
    <col min="12547" max="12547" width="23.875" style="35" bestFit="1" customWidth="1"/>
    <col min="12548" max="12548" width="20" style="35" bestFit="1" customWidth="1"/>
    <col min="12549" max="12549" width="24.375" style="35" bestFit="1" customWidth="1"/>
    <col min="12550" max="12550" width="25.625" style="35" bestFit="1" customWidth="1"/>
    <col min="12551" max="12552" width="25.625" style="35" customWidth="1"/>
    <col min="12553" max="12800" width="9" style="35"/>
    <col min="12801" max="12801" width="27.25" style="35" bestFit="1" customWidth="1"/>
    <col min="12802" max="12802" width="28.125" style="35" bestFit="1" customWidth="1"/>
    <col min="12803" max="12803" width="23.875" style="35" bestFit="1" customWidth="1"/>
    <col min="12804" max="12804" width="20" style="35" bestFit="1" customWidth="1"/>
    <col min="12805" max="12805" width="24.375" style="35" bestFit="1" customWidth="1"/>
    <col min="12806" max="12806" width="25.625" style="35" bestFit="1" customWidth="1"/>
    <col min="12807" max="12808" width="25.625" style="35" customWidth="1"/>
    <col min="12809" max="13056" width="9" style="35"/>
    <col min="13057" max="13057" width="27.25" style="35" bestFit="1" customWidth="1"/>
    <col min="13058" max="13058" width="28.125" style="35" bestFit="1" customWidth="1"/>
    <col min="13059" max="13059" width="23.875" style="35" bestFit="1" customWidth="1"/>
    <col min="13060" max="13060" width="20" style="35" bestFit="1" customWidth="1"/>
    <col min="13061" max="13061" width="24.375" style="35" bestFit="1" customWidth="1"/>
    <col min="13062" max="13062" width="25.625" style="35" bestFit="1" customWidth="1"/>
    <col min="13063" max="13064" width="25.625" style="35" customWidth="1"/>
    <col min="13065" max="13312" width="9" style="35"/>
    <col min="13313" max="13313" width="27.25" style="35" bestFit="1" customWidth="1"/>
    <col min="13314" max="13314" width="28.125" style="35" bestFit="1" customWidth="1"/>
    <col min="13315" max="13315" width="23.875" style="35" bestFit="1" customWidth="1"/>
    <col min="13316" max="13316" width="20" style="35" bestFit="1" customWidth="1"/>
    <col min="13317" max="13317" width="24.375" style="35" bestFit="1" customWidth="1"/>
    <col min="13318" max="13318" width="25.625" style="35" bestFit="1" customWidth="1"/>
    <col min="13319" max="13320" width="25.625" style="35" customWidth="1"/>
    <col min="13321" max="13568" width="9" style="35"/>
    <col min="13569" max="13569" width="27.25" style="35" bestFit="1" customWidth="1"/>
    <col min="13570" max="13570" width="28.125" style="35" bestFit="1" customWidth="1"/>
    <col min="13571" max="13571" width="23.875" style="35" bestFit="1" customWidth="1"/>
    <col min="13572" max="13572" width="20" style="35" bestFit="1" customWidth="1"/>
    <col min="13573" max="13573" width="24.375" style="35" bestFit="1" customWidth="1"/>
    <col min="13574" max="13574" width="25.625" style="35" bestFit="1" customWidth="1"/>
    <col min="13575" max="13576" width="25.625" style="35" customWidth="1"/>
    <col min="13577" max="13824" width="9" style="35"/>
    <col min="13825" max="13825" width="27.25" style="35" bestFit="1" customWidth="1"/>
    <col min="13826" max="13826" width="28.125" style="35" bestFit="1" customWidth="1"/>
    <col min="13827" max="13827" width="23.875" style="35" bestFit="1" customWidth="1"/>
    <col min="13828" max="13828" width="20" style="35" bestFit="1" customWidth="1"/>
    <col min="13829" max="13829" width="24.375" style="35" bestFit="1" customWidth="1"/>
    <col min="13830" max="13830" width="25.625" style="35" bestFit="1" customWidth="1"/>
    <col min="13831" max="13832" width="25.625" style="35" customWidth="1"/>
    <col min="13833" max="14080" width="9" style="35"/>
    <col min="14081" max="14081" width="27.25" style="35" bestFit="1" customWidth="1"/>
    <col min="14082" max="14082" width="28.125" style="35" bestFit="1" customWidth="1"/>
    <col min="14083" max="14083" width="23.875" style="35" bestFit="1" customWidth="1"/>
    <col min="14084" max="14084" width="20" style="35" bestFit="1" customWidth="1"/>
    <col min="14085" max="14085" width="24.375" style="35" bestFit="1" customWidth="1"/>
    <col min="14086" max="14086" width="25.625" style="35" bestFit="1" customWidth="1"/>
    <col min="14087" max="14088" width="25.625" style="35" customWidth="1"/>
    <col min="14089" max="14336" width="9" style="35"/>
    <col min="14337" max="14337" width="27.25" style="35" bestFit="1" customWidth="1"/>
    <col min="14338" max="14338" width="28.125" style="35" bestFit="1" customWidth="1"/>
    <col min="14339" max="14339" width="23.875" style="35" bestFit="1" customWidth="1"/>
    <col min="14340" max="14340" width="20" style="35" bestFit="1" customWidth="1"/>
    <col min="14341" max="14341" width="24.375" style="35" bestFit="1" customWidth="1"/>
    <col min="14342" max="14342" width="25.625" style="35" bestFit="1" customWidth="1"/>
    <col min="14343" max="14344" width="25.625" style="35" customWidth="1"/>
    <col min="14345" max="14592" width="9" style="35"/>
    <col min="14593" max="14593" width="27.25" style="35" bestFit="1" customWidth="1"/>
    <col min="14594" max="14594" width="28.125" style="35" bestFit="1" customWidth="1"/>
    <col min="14595" max="14595" width="23.875" style="35" bestFit="1" customWidth="1"/>
    <col min="14596" max="14596" width="20" style="35" bestFit="1" customWidth="1"/>
    <col min="14597" max="14597" width="24.375" style="35" bestFit="1" customWidth="1"/>
    <col min="14598" max="14598" width="25.625" style="35" bestFit="1" customWidth="1"/>
    <col min="14599" max="14600" width="25.625" style="35" customWidth="1"/>
    <col min="14601" max="14848" width="9" style="35"/>
    <col min="14849" max="14849" width="27.25" style="35" bestFit="1" customWidth="1"/>
    <col min="14850" max="14850" width="28.125" style="35" bestFit="1" customWidth="1"/>
    <col min="14851" max="14851" width="23.875" style="35" bestFit="1" customWidth="1"/>
    <col min="14852" max="14852" width="20" style="35" bestFit="1" customWidth="1"/>
    <col min="14853" max="14853" width="24.375" style="35" bestFit="1" customWidth="1"/>
    <col min="14854" max="14854" width="25.625" style="35" bestFit="1" customWidth="1"/>
    <col min="14855" max="14856" width="25.625" style="35" customWidth="1"/>
    <col min="14857" max="15104" width="9" style="35"/>
    <col min="15105" max="15105" width="27.25" style="35" bestFit="1" customWidth="1"/>
    <col min="15106" max="15106" width="28.125" style="35" bestFit="1" customWidth="1"/>
    <col min="15107" max="15107" width="23.875" style="35" bestFit="1" customWidth="1"/>
    <col min="15108" max="15108" width="20" style="35" bestFit="1" customWidth="1"/>
    <col min="15109" max="15109" width="24.375" style="35" bestFit="1" customWidth="1"/>
    <col min="15110" max="15110" width="25.625" style="35" bestFit="1" customWidth="1"/>
    <col min="15111" max="15112" width="25.625" style="35" customWidth="1"/>
    <col min="15113" max="15360" width="9" style="35"/>
    <col min="15361" max="15361" width="27.25" style="35" bestFit="1" customWidth="1"/>
    <col min="15362" max="15362" width="28.125" style="35" bestFit="1" customWidth="1"/>
    <col min="15363" max="15363" width="23.875" style="35" bestFit="1" customWidth="1"/>
    <col min="15364" max="15364" width="20" style="35" bestFit="1" customWidth="1"/>
    <col min="15365" max="15365" width="24.375" style="35" bestFit="1" customWidth="1"/>
    <col min="15366" max="15366" width="25.625" style="35" bestFit="1" customWidth="1"/>
    <col min="15367" max="15368" width="25.625" style="35" customWidth="1"/>
    <col min="15369" max="15616" width="9" style="35"/>
    <col min="15617" max="15617" width="27.25" style="35" bestFit="1" customWidth="1"/>
    <col min="15618" max="15618" width="28.125" style="35" bestFit="1" customWidth="1"/>
    <col min="15619" max="15619" width="23.875" style="35" bestFit="1" customWidth="1"/>
    <col min="15620" max="15620" width="20" style="35" bestFit="1" customWidth="1"/>
    <col min="15621" max="15621" width="24.375" style="35" bestFit="1" customWidth="1"/>
    <col min="15622" max="15622" width="25.625" style="35" bestFit="1" customWidth="1"/>
    <col min="15623" max="15624" width="25.625" style="35" customWidth="1"/>
    <col min="15625" max="15872" width="9" style="35"/>
    <col min="15873" max="15873" width="27.25" style="35" bestFit="1" customWidth="1"/>
    <col min="15874" max="15874" width="28.125" style="35" bestFit="1" customWidth="1"/>
    <col min="15875" max="15875" width="23.875" style="35" bestFit="1" customWidth="1"/>
    <col min="15876" max="15876" width="20" style="35" bestFit="1" customWidth="1"/>
    <col min="15877" max="15877" width="24.375" style="35" bestFit="1" customWidth="1"/>
    <col min="15878" max="15878" width="25.625" style="35" bestFit="1" customWidth="1"/>
    <col min="15879" max="15880" width="25.625" style="35" customWidth="1"/>
    <col min="15881" max="16128" width="9" style="35"/>
    <col min="16129" max="16129" width="27.25" style="35" bestFit="1" customWidth="1"/>
    <col min="16130" max="16130" width="28.125" style="35" bestFit="1" customWidth="1"/>
    <col min="16131" max="16131" width="23.875" style="35" bestFit="1" customWidth="1"/>
    <col min="16132" max="16132" width="20" style="35" bestFit="1" customWidth="1"/>
    <col min="16133" max="16133" width="24.375" style="35" bestFit="1" customWidth="1"/>
    <col min="16134" max="16134" width="25.625" style="35" bestFit="1" customWidth="1"/>
    <col min="16135" max="16136" width="25.625" style="35" customWidth="1"/>
    <col min="16137" max="16384" width="9" style="35"/>
  </cols>
  <sheetData>
    <row r="1" spans="1:8">
      <c r="A1" s="34" t="s">
        <v>399</v>
      </c>
    </row>
    <row r="2" spans="1:8">
      <c r="A2" s="36" t="s">
        <v>400</v>
      </c>
    </row>
    <row r="3" spans="1:8">
      <c r="A3" s="34" t="s">
        <v>401</v>
      </c>
      <c r="B3" s="34" t="s">
        <v>402</v>
      </c>
      <c r="C3" s="34" t="s">
        <v>403</v>
      </c>
      <c r="D3" s="34" t="s">
        <v>404</v>
      </c>
      <c r="E3" s="34" t="s">
        <v>405</v>
      </c>
      <c r="F3" s="34" t="s">
        <v>406</v>
      </c>
      <c r="G3" s="34" t="s">
        <v>407</v>
      </c>
      <c r="H3" s="34" t="s">
        <v>408</v>
      </c>
    </row>
    <row r="4" spans="1:8">
      <c r="A4" s="36">
        <v>2</v>
      </c>
      <c r="B4" s="36">
        <v>1</v>
      </c>
      <c r="C4" s="36">
        <v>21</v>
      </c>
      <c r="D4" s="36">
        <v>1</v>
      </c>
      <c r="E4" s="36">
        <v>6</v>
      </c>
      <c r="F4" s="36">
        <v>2</v>
      </c>
      <c r="G4" s="36">
        <v>9.5649999999999995</v>
      </c>
      <c r="H4" s="36">
        <v>5</v>
      </c>
    </row>
    <row r="5" spans="1:8">
      <c r="A5" s="34" t="s">
        <v>409</v>
      </c>
    </row>
    <row r="6" spans="1:8">
      <c r="A6" s="34" t="s">
        <v>410</v>
      </c>
      <c r="B6" s="37" t="s">
        <v>411</v>
      </c>
    </row>
    <row r="7" spans="1:8">
      <c r="A7" s="34" t="s">
        <v>412</v>
      </c>
      <c r="B7" s="34" t="s">
        <v>413</v>
      </c>
      <c r="C7" s="34" t="s">
        <v>414</v>
      </c>
      <c r="D7" s="37" t="s">
        <v>411</v>
      </c>
    </row>
    <row r="8" spans="1:8">
      <c r="A8" s="36">
        <v>1</v>
      </c>
      <c r="B8" s="36"/>
      <c r="C8" s="36"/>
      <c r="D8" s="37" t="s">
        <v>411</v>
      </c>
    </row>
    <row r="9" spans="1:8">
      <c r="A9" s="36">
        <v>2</v>
      </c>
      <c r="B9" s="36"/>
      <c r="C9" s="36"/>
      <c r="D9" s="37" t="s">
        <v>411</v>
      </c>
    </row>
    <row r="10" spans="1:8">
      <c r="A10" s="36">
        <v>3</v>
      </c>
      <c r="B10" s="36"/>
      <c r="C10" s="36"/>
      <c r="D10" s="37" t="s">
        <v>411</v>
      </c>
    </row>
    <row r="11" spans="1:8">
      <c r="A11" s="36">
        <v>4</v>
      </c>
      <c r="B11" s="36"/>
      <c r="C11" s="36"/>
      <c r="D11" s="37" t="s">
        <v>411</v>
      </c>
    </row>
    <row r="12" spans="1:8">
      <c r="A12" s="36">
        <v>5</v>
      </c>
      <c r="B12" s="36"/>
      <c r="C12" s="36"/>
      <c r="D12" s="37" t="s">
        <v>411</v>
      </c>
    </row>
    <row r="13" spans="1:8">
      <c r="A13" s="36">
        <v>6</v>
      </c>
      <c r="B13" s="36"/>
      <c r="C13" s="36"/>
      <c r="D13" s="37" t="s">
        <v>411</v>
      </c>
    </row>
    <row r="15" spans="1:8">
      <c r="A15" s="34" t="s">
        <v>415</v>
      </c>
    </row>
    <row r="16" spans="1:8">
      <c r="A16" s="34" t="s">
        <v>416</v>
      </c>
    </row>
    <row r="17" spans="1:7">
      <c r="A17" s="34" t="s">
        <v>417</v>
      </c>
      <c r="B17" s="34" t="s">
        <v>418</v>
      </c>
      <c r="C17" s="34" t="s">
        <v>419</v>
      </c>
      <c r="D17" s="34" t="s">
        <v>420</v>
      </c>
      <c r="E17" s="34" t="s">
        <v>421</v>
      </c>
      <c r="F17" s="34" t="s">
        <v>422</v>
      </c>
      <c r="G17" s="34" t="s">
        <v>423</v>
      </c>
    </row>
    <row r="18" spans="1:7">
      <c r="A18" s="34" t="s">
        <v>424</v>
      </c>
      <c r="B18" s="36"/>
      <c r="C18" s="36"/>
      <c r="D18" s="36"/>
      <c r="E18" s="36"/>
      <c r="F18" s="36"/>
      <c r="G18" s="36"/>
    </row>
    <row r="19" spans="1:7">
      <c r="A19" s="34" t="s">
        <v>425</v>
      </c>
      <c r="B19" s="36"/>
      <c r="C19" s="36"/>
      <c r="D19" s="36"/>
      <c r="E19" s="36"/>
      <c r="F19" s="36"/>
      <c r="G19" s="36"/>
    </row>
    <row r="20" spans="1:7">
      <c r="A20" s="34" t="s">
        <v>426</v>
      </c>
      <c r="B20" s="36"/>
      <c r="C20" s="36"/>
      <c r="D20" s="36"/>
      <c r="E20" s="36"/>
      <c r="F20" s="36"/>
      <c r="G20" s="36"/>
    </row>
    <row r="21" spans="1:7">
      <c r="A21" s="34" t="s">
        <v>427</v>
      </c>
      <c r="B21" s="36"/>
      <c r="C21" s="36"/>
      <c r="D21" s="36"/>
      <c r="E21" s="36"/>
      <c r="F21" s="36"/>
      <c r="G21" s="36"/>
    </row>
    <row r="22" spans="1:7">
      <c r="A22" s="34" t="s">
        <v>428</v>
      </c>
      <c r="B22" s="36"/>
      <c r="C22" s="36"/>
      <c r="D22" s="36"/>
      <c r="E22" s="36"/>
      <c r="F22" s="36"/>
      <c r="G22" s="36"/>
    </row>
    <row r="23" spans="1:7">
      <c r="A23" s="38"/>
    </row>
    <row r="24" spans="1:7">
      <c r="A24" s="34" t="s">
        <v>429</v>
      </c>
    </row>
    <row r="25" spans="1:7">
      <c r="A25" s="34" t="s">
        <v>417</v>
      </c>
      <c r="B25" s="34" t="s">
        <v>419</v>
      </c>
      <c r="C25" s="34" t="s">
        <v>430</v>
      </c>
      <c r="D25" s="34" t="s">
        <v>422</v>
      </c>
      <c r="E25" s="34" t="s">
        <v>431</v>
      </c>
    </row>
    <row r="26" spans="1:7">
      <c r="A26" s="34" t="s">
        <v>424</v>
      </c>
      <c r="B26" s="36"/>
      <c r="C26" s="36"/>
      <c r="D26" s="36"/>
      <c r="E26" s="36"/>
    </row>
    <row r="27" spans="1:7">
      <c r="A27" s="34" t="s">
        <v>425</v>
      </c>
      <c r="B27" s="36"/>
      <c r="C27" s="36"/>
      <c r="D27" s="36"/>
      <c r="E27" s="36"/>
    </row>
    <row r="28" spans="1:7">
      <c r="A28" s="34" t="s">
        <v>426</v>
      </c>
      <c r="B28" s="36"/>
      <c r="C28" s="36"/>
      <c r="D28" s="36"/>
      <c r="E28" s="36"/>
    </row>
    <row r="29" spans="1:7">
      <c r="A29" s="34" t="s">
        <v>427</v>
      </c>
      <c r="B29" s="36"/>
      <c r="C29" s="36"/>
      <c r="D29" s="36"/>
      <c r="E29" s="36"/>
    </row>
    <row r="30" spans="1:7">
      <c r="A30" s="34" t="s">
        <v>428</v>
      </c>
      <c r="B30" s="36"/>
      <c r="C30" s="36"/>
      <c r="D30" s="36"/>
      <c r="E30" s="36"/>
    </row>
    <row r="32" spans="1:7">
      <c r="A32" s="34" t="s">
        <v>432</v>
      </c>
    </row>
    <row r="33" spans="1:4">
      <c r="A33" s="34" t="s">
        <v>417</v>
      </c>
      <c r="B33" s="34" t="s">
        <v>433</v>
      </c>
      <c r="C33" s="34" t="s">
        <v>434</v>
      </c>
      <c r="D33" s="34" t="s">
        <v>435</v>
      </c>
    </row>
    <row r="34" spans="1:4">
      <c r="A34" s="34" t="s">
        <v>424</v>
      </c>
      <c r="B34" s="36"/>
      <c r="C34" s="36"/>
      <c r="D34" s="36"/>
    </row>
    <row r="35" spans="1:4">
      <c r="A35" s="34" t="s">
        <v>425</v>
      </c>
      <c r="B35" s="36"/>
      <c r="C35" s="36"/>
      <c r="D35" s="36"/>
    </row>
    <row r="36" spans="1:4">
      <c r="A36" s="34" t="s">
        <v>426</v>
      </c>
      <c r="B36" s="36"/>
      <c r="C36" s="36"/>
      <c r="D36" s="36"/>
    </row>
    <row r="37" spans="1:4">
      <c r="A37" s="34" t="s">
        <v>427</v>
      </c>
      <c r="B37" s="36"/>
      <c r="C37" s="36"/>
      <c r="D37" s="36"/>
    </row>
    <row r="38" spans="1:4">
      <c r="A38" s="34" t="s">
        <v>428</v>
      </c>
      <c r="B38" s="36"/>
      <c r="C38" s="36"/>
      <c r="D38" s="36"/>
    </row>
    <row r="39" spans="1:4">
      <c r="A39" s="38"/>
    </row>
    <row r="40" spans="1:4">
      <c r="A40" s="34" t="s">
        <v>436</v>
      </c>
    </row>
    <row r="41" spans="1:4">
      <c r="A41" s="34" t="s">
        <v>417</v>
      </c>
      <c r="B41" s="34" t="s">
        <v>437</v>
      </c>
    </row>
    <row r="42" spans="1:4">
      <c r="A42" s="34" t="s">
        <v>424</v>
      </c>
      <c r="B42" s="36"/>
    </row>
    <row r="43" spans="1:4">
      <c r="A43" s="34" t="s">
        <v>425</v>
      </c>
      <c r="B43" s="36"/>
    </row>
    <row r="44" spans="1:4">
      <c r="A44" s="34" t="s">
        <v>426</v>
      </c>
      <c r="B44" s="36"/>
    </row>
    <row r="45" spans="1:4">
      <c r="A45" s="34" t="s">
        <v>427</v>
      </c>
      <c r="B45" s="36"/>
    </row>
    <row r="46" spans="1:4">
      <c r="A46" s="34" t="s">
        <v>428</v>
      </c>
      <c r="B46" s="36"/>
    </row>
    <row r="48" spans="1:4">
      <c r="A48" s="34" t="s">
        <v>438</v>
      </c>
    </row>
    <row r="49" spans="1:7">
      <c r="A49" s="39" t="s">
        <v>416</v>
      </c>
    </row>
    <row r="50" spans="1:7">
      <c r="A50" s="34" t="s">
        <v>439</v>
      </c>
      <c r="B50" s="34"/>
      <c r="C50" s="34"/>
      <c r="D50" s="34" t="s">
        <v>440</v>
      </c>
      <c r="E50" s="34"/>
      <c r="F50" s="34"/>
      <c r="G50" s="34" t="s">
        <v>441</v>
      </c>
    </row>
    <row r="51" spans="1:7">
      <c r="A51" s="34" t="s">
        <v>442</v>
      </c>
      <c r="B51" s="34" t="s">
        <v>418</v>
      </c>
      <c r="C51" s="34" t="s">
        <v>443</v>
      </c>
      <c r="D51" s="34" t="s">
        <v>444</v>
      </c>
      <c r="E51" s="34" t="s">
        <v>445</v>
      </c>
      <c r="F51" s="34" t="s">
        <v>446</v>
      </c>
      <c r="G51" s="34"/>
    </row>
    <row r="52" spans="1:7">
      <c r="A52" s="36"/>
      <c r="B52" s="36"/>
      <c r="C52" s="36"/>
      <c r="D52" s="36"/>
      <c r="E52" s="36"/>
      <c r="F52" s="36"/>
      <c r="G52" s="36"/>
    </row>
    <row r="53" spans="1:7">
      <c r="A53" s="38"/>
    </row>
    <row r="54" spans="1:7">
      <c r="A54" s="34" t="s">
        <v>432</v>
      </c>
    </row>
    <row r="55" spans="1:7">
      <c r="A55" s="34" t="s">
        <v>433</v>
      </c>
      <c r="B55" s="34" t="s">
        <v>434</v>
      </c>
      <c r="C55" s="34" t="s">
        <v>435</v>
      </c>
    </row>
    <row r="56" spans="1:7">
      <c r="A56" s="36"/>
      <c r="B56" s="36"/>
      <c r="C56" s="36"/>
    </row>
    <row r="57" spans="1:7">
      <c r="A57" s="38"/>
    </row>
    <row r="58" spans="1:7">
      <c r="A58" s="34" t="s">
        <v>436</v>
      </c>
    </row>
    <row r="59" spans="1:7">
      <c r="A59" s="34" t="s">
        <v>437</v>
      </c>
    </row>
    <row r="60" spans="1:7">
      <c r="A60" s="36"/>
    </row>
    <row r="62" spans="1:7">
      <c r="A62" s="34" t="s">
        <v>447</v>
      </c>
    </row>
    <row r="63" spans="1:7">
      <c r="A63" s="34" t="s">
        <v>410</v>
      </c>
      <c r="B63" s="37" t="s">
        <v>411</v>
      </c>
    </row>
    <row r="64" spans="1:7">
      <c r="A64" s="34" t="s">
        <v>412</v>
      </c>
      <c r="B64" s="34" t="s">
        <v>413</v>
      </c>
      <c r="C64" s="34" t="s">
        <v>414</v>
      </c>
      <c r="D64" s="37" t="s">
        <v>411</v>
      </c>
    </row>
    <row r="65" spans="1:7">
      <c r="A65" s="36">
        <v>1</v>
      </c>
      <c r="B65" s="36">
        <v>0</v>
      </c>
      <c r="C65" s="36">
        <v>6</v>
      </c>
      <c r="D65" s="37" t="s">
        <v>411</v>
      </c>
    </row>
    <row r="66" spans="1:7">
      <c r="A66" s="36">
        <v>2</v>
      </c>
      <c r="B66" s="36">
        <v>5</v>
      </c>
      <c r="C66" s="36">
        <v>6</v>
      </c>
      <c r="D66" s="37" t="s">
        <v>411</v>
      </c>
    </row>
    <row r="68" spans="1:7">
      <c r="A68" s="34" t="s">
        <v>415</v>
      </c>
    </row>
    <row r="69" spans="1:7">
      <c r="A69" s="34" t="s">
        <v>416</v>
      </c>
    </row>
    <row r="70" spans="1:7">
      <c r="A70" s="34" t="s">
        <v>417</v>
      </c>
      <c r="B70" s="34" t="s">
        <v>418</v>
      </c>
      <c r="C70" s="34" t="s">
        <v>419</v>
      </c>
      <c r="D70" s="34" t="s">
        <v>420</v>
      </c>
      <c r="E70" s="34" t="s">
        <v>421</v>
      </c>
      <c r="F70" s="34" t="s">
        <v>422</v>
      </c>
      <c r="G70" s="34" t="s">
        <v>423</v>
      </c>
    </row>
    <row r="71" spans="1:7">
      <c r="A71" s="34" t="s">
        <v>424</v>
      </c>
      <c r="B71" s="36"/>
      <c r="C71" s="36"/>
      <c r="D71" s="36"/>
      <c r="E71" s="36"/>
      <c r="F71" s="36"/>
      <c r="G71" s="36"/>
    </row>
    <row r="72" spans="1:7">
      <c r="A72" s="34" t="s">
        <v>425</v>
      </c>
      <c r="B72" s="36"/>
      <c r="C72" s="36"/>
      <c r="D72" s="36"/>
      <c r="E72" s="36"/>
      <c r="F72" s="36"/>
      <c r="G72" s="36"/>
    </row>
    <row r="73" spans="1:7">
      <c r="A73" s="34" t="s">
        <v>426</v>
      </c>
      <c r="B73" s="36"/>
      <c r="C73" s="36"/>
      <c r="D73" s="36"/>
      <c r="E73" s="36"/>
      <c r="F73" s="36"/>
      <c r="G73" s="36"/>
    </row>
    <row r="74" spans="1:7">
      <c r="A74" s="34" t="s">
        <v>427</v>
      </c>
      <c r="B74" s="36"/>
      <c r="C74" s="36"/>
      <c r="D74" s="36"/>
      <c r="E74" s="36"/>
      <c r="F74" s="36"/>
      <c r="G74" s="36"/>
    </row>
    <row r="75" spans="1:7">
      <c r="A75" s="34" t="s">
        <v>428</v>
      </c>
      <c r="B75" s="36"/>
      <c r="C75" s="36"/>
      <c r="D75" s="36"/>
      <c r="E75" s="36"/>
      <c r="F75" s="36"/>
      <c r="G75" s="36"/>
    </row>
    <row r="77" spans="1:7">
      <c r="A77" s="34" t="s">
        <v>429</v>
      </c>
    </row>
    <row r="78" spans="1:7">
      <c r="A78" s="34" t="s">
        <v>417</v>
      </c>
      <c r="B78" s="34" t="s">
        <v>419</v>
      </c>
      <c r="C78" s="34" t="s">
        <v>430</v>
      </c>
      <c r="D78" s="34" t="s">
        <v>422</v>
      </c>
      <c r="E78" s="34" t="s">
        <v>431</v>
      </c>
    </row>
    <row r="79" spans="1:7">
      <c r="A79" s="34" t="s">
        <v>424</v>
      </c>
      <c r="B79" s="36"/>
      <c r="C79" s="36"/>
      <c r="D79" s="36"/>
      <c r="E79" s="36"/>
    </row>
    <row r="80" spans="1:7">
      <c r="A80" s="34" t="s">
        <v>425</v>
      </c>
      <c r="B80" s="36"/>
      <c r="C80" s="36"/>
      <c r="D80" s="36"/>
      <c r="E80" s="36"/>
    </row>
    <row r="81" spans="1:5">
      <c r="A81" s="34" t="s">
        <v>426</v>
      </c>
      <c r="B81" s="36"/>
      <c r="C81" s="36"/>
      <c r="D81" s="36"/>
      <c r="E81" s="36"/>
    </row>
    <row r="82" spans="1:5">
      <c r="A82" s="34" t="s">
        <v>427</v>
      </c>
      <c r="B82" s="36"/>
      <c r="C82" s="36"/>
      <c r="D82" s="36"/>
      <c r="E82" s="36"/>
    </row>
    <row r="83" spans="1:5">
      <c r="A83" s="34" t="s">
        <v>428</v>
      </c>
      <c r="B83" s="36"/>
      <c r="C83" s="36"/>
      <c r="D83" s="36"/>
      <c r="E83" s="36"/>
    </row>
    <row r="85" spans="1:5">
      <c r="A85" s="34" t="s">
        <v>432</v>
      </c>
    </row>
    <row r="86" spans="1:5">
      <c r="A86" s="34" t="s">
        <v>417</v>
      </c>
      <c r="B86" s="34" t="s">
        <v>433</v>
      </c>
      <c r="C86" s="34" t="s">
        <v>434</v>
      </c>
      <c r="D86" s="34" t="s">
        <v>435</v>
      </c>
    </row>
    <row r="87" spans="1:5">
      <c r="A87" s="34" t="s">
        <v>424</v>
      </c>
      <c r="B87" s="36"/>
      <c r="C87" s="36"/>
      <c r="D87" s="36"/>
    </row>
    <row r="88" spans="1:5">
      <c r="A88" s="34" t="s">
        <v>425</v>
      </c>
      <c r="B88" s="36"/>
      <c r="C88" s="36"/>
      <c r="D88" s="36"/>
    </row>
    <row r="89" spans="1:5">
      <c r="A89" s="34" t="s">
        <v>426</v>
      </c>
      <c r="B89" s="36"/>
      <c r="C89" s="36"/>
      <c r="D89" s="36"/>
    </row>
    <row r="90" spans="1:5">
      <c r="A90" s="34" t="s">
        <v>427</v>
      </c>
      <c r="B90" s="36"/>
      <c r="C90" s="36"/>
      <c r="D90" s="36"/>
    </row>
    <row r="91" spans="1:5">
      <c r="A91" s="34" t="s">
        <v>428</v>
      </c>
      <c r="B91" s="36"/>
      <c r="C91" s="36"/>
      <c r="D91" s="36"/>
    </row>
    <row r="93" spans="1:5">
      <c r="A93" s="34" t="s">
        <v>436</v>
      </c>
    </row>
    <row r="94" spans="1:5">
      <c r="A94" s="34" t="s">
        <v>417</v>
      </c>
      <c r="B94" s="34" t="s">
        <v>437</v>
      </c>
    </row>
    <row r="95" spans="1:5">
      <c r="A95" s="34" t="s">
        <v>424</v>
      </c>
      <c r="B95" s="36"/>
    </row>
    <row r="96" spans="1:5">
      <c r="A96" s="34" t="s">
        <v>425</v>
      </c>
      <c r="B96" s="36"/>
    </row>
    <row r="97" spans="1:7">
      <c r="A97" s="34" t="s">
        <v>426</v>
      </c>
      <c r="B97" s="36"/>
    </row>
    <row r="98" spans="1:7">
      <c r="A98" s="34" t="s">
        <v>427</v>
      </c>
      <c r="B98" s="36"/>
    </row>
    <row r="99" spans="1:7">
      <c r="A99" s="34" t="s">
        <v>428</v>
      </c>
      <c r="B99" s="36"/>
    </row>
    <row r="101" spans="1:7">
      <c r="A101" s="34" t="s">
        <v>438</v>
      </c>
    </row>
    <row r="102" spans="1:7">
      <c r="A102" s="39" t="s">
        <v>416</v>
      </c>
    </row>
    <row r="103" spans="1:7">
      <c r="A103" s="34" t="s">
        <v>439</v>
      </c>
      <c r="B103" s="34"/>
      <c r="C103" s="34"/>
      <c r="D103" s="34" t="s">
        <v>440</v>
      </c>
      <c r="E103" s="34"/>
      <c r="F103" s="34"/>
      <c r="G103" s="34" t="s">
        <v>441</v>
      </c>
    </row>
    <row r="104" spans="1:7">
      <c r="A104" s="34" t="s">
        <v>442</v>
      </c>
      <c r="B104" s="34" t="s">
        <v>418</v>
      </c>
      <c r="C104" s="34" t="s">
        <v>443</v>
      </c>
      <c r="D104" s="34" t="s">
        <v>444</v>
      </c>
      <c r="E104" s="34" t="s">
        <v>445</v>
      </c>
      <c r="F104" s="34" t="s">
        <v>446</v>
      </c>
      <c r="G104" s="34"/>
    </row>
    <row r="105" spans="1:7">
      <c r="A105" s="36"/>
      <c r="B105" s="36"/>
      <c r="C105" s="36"/>
      <c r="D105" s="36"/>
      <c r="E105" s="36"/>
      <c r="F105" s="36"/>
      <c r="G105" s="36"/>
    </row>
    <row r="106" spans="1:7">
      <c r="A106" s="38"/>
    </row>
    <row r="107" spans="1:7">
      <c r="A107" s="34" t="s">
        <v>432</v>
      </c>
    </row>
    <row r="108" spans="1:7">
      <c r="A108" s="34" t="s">
        <v>433</v>
      </c>
      <c r="B108" s="34" t="s">
        <v>434</v>
      </c>
      <c r="C108" s="34" t="s">
        <v>435</v>
      </c>
    </row>
    <row r="109" spans="1:7">
      <c r="A109" s="36"/>
      <c r="B109" s="36"/>
      <c r="C109" s="36"/>
    </row>
    <row r="110" spans="1:7">
      <c r="A110" s="38"/>
    </row>
    <row r="111" spans="1:7">
      <c r="A111" s="34" t="s">
        <v>436</v>
      </c>
    </row>
    <row r="112" spans="1:7">
      <c r="A112" s="34" t="s">
        <v>437</v>
      </c>
    </row>
    <row r="113" spans="1:1">
      <c r="A113" s="36"/>
    </row>
  </sheetData>
  <phoneticPr fontId="1"/>
  <pageMargins left="0.7" right="0.7" top="0.75" bottom="0.75" header="0.3" footer="0.3"/>
  <pageSetup paperSize="9" scale="4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23"/>
  <sheetViews>
    <sheetView topLeftCell="A19" zoomScaleNormal="100" workbookViewId="0">
      <selection activeCell="B30" sqref="B30"/>
    </sheetView>
  </sheetViews>
  <sheetFormatPr defaultRowHeight="13.5"/>
  <cols>
    <col min="1" max="1" width="27.25" style="35" bestFit="1" customWidth="1"/>
    <col min="2" max="2" width="28.125" style="35" bestFit="1" customWidth="1"/>
    <col min="3" max="3" width="23.875" style="35" bestFit="1" customWidth="1"/>
    <col min="4" max="4" width="20" style="35" bestFit="1" customWidth="1"/>
    <col min="5" max="5" width="24.375" style="35" bestFit="1" customWidth="1"/>
    <col min="6" max="6" width="25.625" style="35" bestFit="1" customWidth="1"/>
    <col min="7" max="8" width="25.625" style="35" customWidth="1"/>
    <col min="9" max="256" width="9" style="35"/>
    <col min="257" max="257" width="27.25" style="35" bestFit="1" customWidth="1"/>
    <col min="258" max="258" width="28.125" style="35" bestFit="1" customWidth="1"/>
    <col min="259" max="259" width="23.875" style="35" bestFit="1" customWidth="1"/>
    <col min="260" max="260" width="20" style="35" bestFit="1" customWidth="1"/>
    <col min="261" max="261" width="24.375" style="35" bestFit="1" customWidth="1"/>
    <col min="262" max="262" width="25.625" style="35" bestFit="1" customWidth="1"/>
    <col min="263" max="264" width="25.625" style="35" customWidth="1"/>
    <col min="265" max="512" width="9" style="35"/>
    <col min="513" max="513" width="27.25" style="35" bestFit="1" customWidth="1"/>
    <col min="514" max="514" width="28.125" style="35" bestFit="1" customWidth="1"/>
    <col min="515" max="515" width="23.875" style="35" bestFit="1" customWidth="1"/>
    <col min="516" max="516" width="20" style="35" bestFit="1" customWidth="1"/>
    <col min="517" max="517" width="24.375" style="35" bestFit="1" customWidth="1"/>
    <col min="518" max="518" width="25.625" style="35" bestFit="1" customWidth="1"/>
    <col min="519" max="520" width="25.625" style="35" customWidth="1"/>
    <col min="521" max="768" width="9" style="35"/>
    <col min="769" max="769" width="27.25" style="35" bestFit="1" customWidth="1"/>
    <col min="770" max="770" width="28.125" style="35" bestFit="1" customWidth="1"/>
    <col min="771" max="771" width="23.875" style="35" bestFit="1" customWidth="1"/>
    <col min="772" max="772" width="20" style="35" bestFit="1" customWidth="1"/>
    <col min="773" max="773" width="24.375" style="35" bestFit="1" customWidth="1"/>
    <col min="774" max="774" width="25.625" style="35" bestFit="1" customWidth="1"/>
    <col min="775" max="776" width="25.625" style="35" customWidth="1"/>
    <col min="777" max="1024" width="9" style="35"/>
    <col min="1025" max="1025" width="27.25" style="35" bestFit="1" customWidth="1"/>
    <col min="1026" max="1026" width="28.125" style="35" bestFit="1" customWidth="1"/>
    <col min="1027" max="1027" width="23.875" style="35" bestFit="1" customWidth="1"/>
    <col min="1028" max="1028" width="20" style="35" bestFit="1" customWidth="1"/>
    <col min="1029" max="1029" width="24.375" style="35" bestFit="1" customWidth="1"/>
    <col min="1030" max="1030" width="25.625" style="35" bestFit="1" customWidth="1"/>
    <col min="1031" max="1032" width="25.625" style="35" customWidth="1"/>
    <col min="1033" max="1280" width="9" style="35"/>
    <col min="1281" max="1281" width="27.25" style="35" bestFit="1" customWidth="1"/>
    <col min="1282" max="1282" width="28.125" style="35" bestFit="1" customWidth="1"/>
    <col min="1283" max="1283" width="23.875" style="35" bestFit="1" customWidth="1"/>
    <col min="1284" max="1284" width="20" style="35" bestFit="1" customWidth="1"/>
    <col min="1285" max="1285" width="24.375" style="35" bestFit="1" customWidth="1"/>
    <col min="1286" max="1286" width="25.625" style="35" bestFit="1" customWidth="1"/>
    <col min="1287" max="1288" width="25.625" style="35" customWidth="1"/>
    <col min="1289" max="1536" width="9" style="35"/>
    <col min="1537" max="1537" width="27.25" style="35" bestFit="1" customWidth="1"/>
    <col min="1538" max="1538" width="28.125" style="35" bestFit="1" customWidth="1"/>
    <col min="1539" max="1539" width="23.875" style="35" bestFit="1" customWidth="1"/>
    <col min="1540" max="1540" width="20" style="35" bestFit="1" customWidth="1"/>
    <col min="1541" max="1541" width="24.375" style="35" bestFit="1" customWidth="1"/>
    <col min="1542" max="1542" width="25.625" style="35" bestFit="1" customWidth="1"/>
    <col min="1543" max="1544" width="25.625" style="35" customWidth="1"/>
    <col min="1545" max="1792" width="9" style="35"/>
    <col min="1793" max="1793" width="27.25" style="35" bestFit="1" customWidth="1"/>
    <col min="1794" max="1794" width="28.125" style="35" bestFit="1" customWidth="1"/>
    <col min="1795" max="1795" width="23.875" style="35" bestFit="1" customWidth="1"/>
    <col min="1796" max="1796" width="20" style="35" bestFit="1" customWidth="1"/>
    <col min="1797" max="1797" width="24.375" style="35" bestFit="1" customWidth="1"/>
    <col min="1798" max="1798" width="25.625" style="35" bestFit="1" customWidth="1"/>
    <col min="1799" max="1800" width="25.625" style="35" customWidth="1"/>
    <col min="1801" max="2048" width="9" style="35"/>
    <col min="2049" max="2049" width="27.25" style="35" bestFit="1" customWidth="1"/>
    <col min="2050" max="2050" width="28.125" style="35" bestFit="1" customWidth="1"/>
    <col min="2051" max="2051" width="23.875" style="35" bestFit="1" customWidth="1"/>
    <col min="2052" max="2052" width="20" style="35" bestFit="1" customWidth="1"/>
    <col min="2053" max="2053" width="24.375" style="35" bestFit="1" customWidth="1"/>
    <col min="2054" max="2054" width="25.625" style="35" bestFit="1" customWidth="1"/>
    <col min="2055" max="2056" width="25.625" style="35" customWidth="1"/>
    <col min="2057" max="2304" width="9" style="35"/>
    <col min="2305" max="2305" width="27.25" style="35" bestFit="1" customWidth="1"/>
    <col min="2306" max="2306" width="28.125" style="35" bestFit="1" customWidth="1"/>
    <col min="2307" max="2307" width="23.875" style="35" bestFit="1" customWidth="1"/>
    <col min="2308" max="2308" width="20" style="35" bestFit="1" customWidth="1"/>
    <col min="2309" max="2309" width="24.375" style="35" bestFit="1" customWidth="1"/>
    <col min="2310" max="2310" width="25.625" style="35" bestFit="1" customWidth="1"/>
    <col min="2311" max="2312" width="25.625" style="35" customWidth="1"/>
    <col min="2313" max="2560" width="9" style="35"/>
    <col min="2561" max="2561" width="27.25" style="35" bestFit="1" customWidth="1"/>
    <col min="2562" max="2562" width="28.125" style="35" bestFit="1" customWidth="1"/>
    <col min="2563" max="2563" width="23.875" style="35" bestFit="1" customWidth="1"/>
    <col min="2564" max="2564" width="20" style="35" bestFit="1" customWidth="1"/>
    <col min="2565" max="2565" width="24.375" style="35" bestFit="1" customWidth="1"/>
    <col min="2566" max="2566" width="25.625" style="35" bestFit="1" customWidth="1"/>
    <col min="2567" max="2568" width="25.625" style="35" customWidth="1"/>
    <col min="2569" max="2816" width="9" style="35"/>
    <col min="2817" max="2817" width="27.25" style="35" bestFit="1" customWidth="1"/>
    <col min="2818" max="2818" width="28.125" style="35" bestFit="1" customWidth="1"/>
    <col min="2819" max="2819" width="23.875" style="35" bestFit="1" customWidth="1"/>
    <col min="2820" max="2820" width="20" style="35" bestFit="1" customWidth="1"/>
    <col min="2821" max="2821" width="24.375" style="35" bestFit="1" customWidth="1"/>
    <col min="2822" max="2822" width="25.625" style="35" bestFit="1" customWidth="1"/>
    <col min="2823" max="2824" width="25.625" style="35" customWidth="1"/>
    <col min="2825" max="3072" width="9" style="35"/>
    <col min="3073" max="3073" width="27.25" style="35" bestFit="1" customWidth="1"/>
    <col min="3074" max="3074" width="28.125" style="35" bestFit="1" customWidth="1"/>
    <col min="3075" max="3075" width="23.875" style="35" bestFit="1" customWidth="1"/>
    <col min="3076" max="3076" width="20" style="35" bestFit="1" customWidth="1"/>
    <col min="3077" max="3077" width="24.375" style="35" bestFit="1" customWidth="1"/>
    <col min="3078" max="3078" width="25.625" style="35" bestFit="1" customWidth="1"/>
    <col min="3079" max="3080" width="25.625" style="35" customWidth="1"/>
    <col min="3081" max="3328" width="9" style="35"/>
    <col min="3329" max="3329" width="27.25" style="35" bestFit="1" customWidth="1"/>
    <col min="3330" max="3330" width="28.125" style="35" bestFit="1" customWidth="1"/>
    <col min="3331" max="3331" width="23.875" style="35" bestFit="1" customWidth="1"/>
    <col min="3332" max="3332" width="20" style="35" bestFit="1" customWidth="1"/>
    <col min="3333" max="3333" width="24.375" style="35" bestFit="1" customWidth="1"/>
    <col min="3334" max="3334" width="25.625" style="35" bestFit="1" customWidth="1"/>
    <col min="3335" max="3336" width="25.625" style="35" customWidth="1"/>
    <col min="3337" max="3584" width="9" style="35"/>
    <col min="3585" max="3585" width="27.25" style="35" bestFit="1" customWidth="1"/>
    <col min="3586" max="3586" width="28.125" style="35" bestFit="1" customWidth="1"/>
    <col min="3587" max="3587" width="23.875" style="35" bestFit="1" customWidth="1"/>
    <col min="3588" max="3588" width="20" style="35" bestFit="1" customWidth="1"/>
    <col min="3589" max="3589" width="24.375" style="35" bestFit="1" customWidth="1"/>
    <col min="3590" max="3590" width="25.625" style="35" bestFit="1" customWidth="1"/>
    <col min="3591" max="3592" width="25.625" style="35" customWidth="1"/>
    <col min="3593" max="3840" width="9" style="35"/>
    <col min="3841" max="3841" width="27.25" style="35" bestFit="1" customWidth="1"/>
    <col min="3842" max="3842" width="28.125" style="35" bestFit="1" customWidth="1"/>
    <col min="3843" max="3843" width="23.875" style="35" bestFit="1" customWidth="1"/>
    <col min="3844" max="3844" width="20" style="35" bestFit="1" customWidth="1"/>
    <col min="3845" max="3845" width="24.375" style="35" bestFit="1" customWidth="1"/>
    <col min="3846" max="3846" width="25.625" style="35" bestFit="1" customWidth="1"/>
    <col min="3847" max="3848" width="25.625" style="35" customWidth="1"/>
    <col min="3849" max="4096" width="9" style="35"/>
    <col min="4097" max="4097" width="27.25" style="35" bestFit="1" customWidth="1"/>
    <col min="4098" max="4098" width="28.125" style="35" bestFit="1" customWidth="1"/>
    <col min="4099" max="4099" width="23.875" style="35" bestFit="1" customWidth="1"/>
    <col min="4100" max="4100" width="20" style="35" bestFit="1" customWidth="1"/>
    <col min="4101" max="4101" width="24.375" style="35" bestFit="1" customWidth="1"/>
    <col min="4102" max="4102" width="25.625" style="35" bestFit="1" customWidth="1"/>
    <col min="4103" max="4104" width="25.625" style="35" customWidth="1"/>
    <col min="4105" max="4352" width="9" style="35"/>
    <col min="4353" max="4353" width="27.25" style="35" bestFit="1" customWidth="1"/>
    <col min="4354" max="4354" width="28.125" style="35" bestFit="1" customWidth="1"/>
    <col min="4355" max="4355" width="23.875" style="35" bestFit="1" customWidth="1"/>
    <col min="4356" max="4356" width="20" style="35" bestFit="1" customWidth="1"/>
    <col min="4357" max="4357" width="24.375" style="35" bestFit="1" customWidth="1"/>
    <col min="4358" max="4358" width="25.625" style="35" bestFit="1" customWidth="1"/>
    <col min="4359" max="4360" width="25.625" style="35" customWidth="1"/>
    <col min="4361" max="4608" width="9" style="35"/>
    <col min="4609" max="4609" width="27.25" style="35" bestFit="1" customWidth="1"/>
    <col min="4610" max="4610" width="28.125" style="35" bestFit="1" customWidth="1"/>
    <col min="4611" max="4611" width="23.875" style="35" bestFit="1" customWidth="1"/>
    <col min="4612" max="4612" width="20" style="35" bestFit="1" customWidth="1"/>
    <col min="4613" max="4613" width="24.375" style="35" bestFit="1" customWidth="1"/>
    <col min="4614" max="4614" width="25.625" style="35" bestFit="1" customWidth="1"/>
    <col min="4615" max="4616" width="25.625" style="35" customWidth="1"/>
    <col min="4617" max="4864" width="9" style="35"/>
    <col min="4865" max="4865" width="27.25" style="35" bestFit="1" customWidth="1"/>
    <col min="4866" max="4866" width="28.125" style="35" bestFit="1" customWidth="1"/>
    <col min="4867" max="4867" width="23.875" style="35" bestFit="1" customWidth="1"/>
    <col min="4868" max="4868" width="20" style="35" bestFit="1" customWidth="1"/>
    <col min="4869" max="4869" width="24.375" style="35" bestFit="1" customWidth="1"/>
    <col min="4870" max="4870" width="25.625" style="35" bestFit="1" customWidth="1"/>
    <col min="4871" max="4872" width="25.625" style="35" customWidth="1"/>
    <col min="4873" max="5120" width="9" style="35"/>
    <col min="5121" max="5121" width="27.25" style="35" bestFit="1" customWidth="1"/>
    <col min="5122" max="5122" width="28.125" style="35" bestFit="1" customWidth="1"/>
    <col min="5123" max="5123" width="23.875" style="35" bestFit="1" customWidth="1"/>
    <col min="5124" max="5124" width="20" style="35" bestFit="1" customWidth="1"/>
    <col min="5125" max="5125" width="24.375" style="35" bestFit="1" customWidth="1"/>
    <col min="5126" max="5126" width="25.625" style="35" bestFit="1" customWidth="1"/>
    <col min="5127" max="5128" width="25.625" style="35" customWidth="1"/>
    <col min="5129" max="5376" width="9" style="35"/>
    <col min="5377" max="5377" width="27.25" style="35" bestFit="1" customWidth="1"/>
    <col min="5378" max="5378" width="28.125" style="35" bestFit="1" customWidth="1"/>
    <col min="5379" max="5379" width="23.875" style="35" bestFit="1" customWidth="1"/>
    <col min="5380" max="5380" width="20" style="35" bestFit="1" customWidth="1"/>
    <col min="5381" max="5381" width="24.375" style="35" bestFit="1" customWidth="1"/>
    <col min="5382" max="5382" width="25.625" style="35" bestFit="1" customWidth="1"/>
    <col min="5383" max="5384" width="25.625" style="35" customWidth="1"/>
    <col min="5385" max="5632" width="9" style="35"/>
    <col min="5633" max="5633" width="27.25" style="35" bestFit="1" customWidth="1"/>
    <col min="5634" max="5634" width="28.125" style="35" bestFit="1" customWidth="1"/>
    <col min="5635" max="5635" width="23.875" style="35" bestFit="1" customWidth="1"/>
    <col min="5636" max="5636" width="20" style="35" bestFit="1" customWidth="1"/>
    <col min="5637" max="5637" width="24.375" style="35" bestFit="1" customWidth="1"/>
    <col min="5638" max="5638" width="25.625" style="35" bestFit="1" customWidth="1"/>
    <col min="5639" max="5640" width="25.625" style="35" customWidth="1"/>
    <col min="5641" max="5888" width="9" style="35"/>
    <col min="5889" max="5889" width="27.25" style="35" bestFit="1" customWidth="1"/>
    <col min="5890" max="5890" width="28.125" style="35" bestFit="1" customWidth="1"/>
    <col min="5891" max="5891" width="23.875" style="35" bestFit="1" customWidth="1"/>
    <col min="5892" max="5892" width="20" style="35" bestFit="1" customWidth="1"/>
    <col min="5893" max="5893" width="24.375" style="35" bestFit="1" customWidth="1"/>
    <col min="5894" max="5894" width="25.625" style="35" bestFit="1" customWidth="1"/>
    <col min="5895" max="5896" width="25.625" style="35" customWidth="1"/>
    <col min="5897" max="6144" width="9" style="35"/>
    <col min="6145" max="6145" width="27.25" style="35" bestFit="1" customWidth="1"/>
    <col min="6146" max="6146" width="28.125" style="35" bestFit="1" customWidth="1"/>
    <col min="6147" max="6147" width="23.875" style="35" bestFit="1" customWidth="1"/>
    <col min="6148" max="6148" width="20" style="35" bestFit="1" customWidth="1"/>
    <col min="6149" max="6149" width="24.375" style="35" bestFit="1" customWidth="1"/>
    <col min="6150" max="6150" width="25.625" style="35" bestFit="1" customWidth="1"/>
    <col min="6151" max="6152" width="25.625" style="35" customWidth="1"/>
    <col min="6153" max="6400" width="9" style="35"/>
    <col min="6401" max="6401" width="27.25" style="35" bestFit="1" customWidth="1"/>
    <col min="6402" max="6402" width="28.125" style="35" bestFit="1" customWidth="1"/>
    <col min="6403" max="6403" width="23.875" style="35" bestFit="1" customWidth="1"/>
    <col min="6404" max="6404" width="20" style="35" bestFit="1" customWidth="1"/>
    <col min="6405" max="6405" width="24.375" style="35" bestFit="1" customWidth="1"/>
    <col min="6406" max="6406" width="25.625" style="35" bestFit="1" customWidth="1"/>
    <col min="6407" max="6408" width="25.625" style="35" customWidth="1"/>
    <col min="6409" max="6656" width="9" style="35"/>
    <col min="6657" max="6657" width="27.25" style="35" bestFit="1" customWidth="1"/>
    <col min="6658" max="6658" width="28.125" style="35" bestFit="1" customWidth="1"/>
    <col min="6659" max="6659" width="23.875" style="35" bestFit="1" customWidth="1"/>
    <col min="6660" max="6660" width="20" style="35" bestFit="1" customWidth="1"/>
    <col min="6661" max="6661" width="24.375" style="35" bestFit="1" customWidth="1"/>
    <col min="6662" max="6662" width="25.625" style="35" bestFit="1" customWidth="1"/>
    <col min="6663" max="6664" width="25.625" style="35" customWidth="1"/>
    <col min="6665" max="6912" width="9" style="35"/>
    <col min="6913" max="6913" width="27.25" style="35" bestFit="1" customWidth="1"/>
    <col min="6914" max="6914" width="28.125" style="35" bestFit="1" customWidth="1"/>
    <col min="6915" max="6915" width="23.875" style="35" bestFit="1" customWidth="1"/>
    <col min="6916" max="6916" width="20" style="35" bestFit="1" customWidth="1"/>
    <col min="6917" max="6917" width="24.375" style="35" bestFit="1" customWidth="1"/>
    <col min="6918" max="6918" width="25.625" style="35" bestFit="1" customWidth="1"/>
    <col min="6919" max="6920" width="25.625" style="35" customWidth="1"/>
    <col min="6921" max="7168" width="9" style="35"/>
    <col min="7169" max="7169" width="27.25" style="35" bestFit="1" customWidth="1"/>
    <col min="7170" max="7170" width="28.125" style="35" bestFit="1" customWidth="1"/>
    <col min="7171" max="7171" width="23.875" style="35" bestFit="1" customWidth="1"/>
    <col min="7172" max="7172" width="20" style="35" bestFit="1" customWidth="1"/>
    <col min="7173" max="7173" width="24.375" style="35" bestFit="1" customWidth="1"/>
    <col min="7174" max="7174" width="25.625" style="35" bestFit="1" customWidth="1"/>
    <col min="7175" max="7176" width="25.625" style="35" customWidth="1"/>
    <col min="7177" max="7424" width="9" style="35"/>
    <col min="7425" max="7425" width="27.25" style="35" bestFit="1" customWidth="1"/>
    <col min="7426" max="7426" width="28.125" style="35" bestFit="1" customWidth="1"/>
    <col min="7427" max="7427" width="23.875" style="35" bestFit="1" customWidth="1"/>
    <col min="7428" max="7428" width="20" style="35" bestFit="1" customWidth="1"/>
    <col min="7429" max="7429" width="24.375" style="35" bestFit="1" customWidth="1"/>
    <col min="7430" max="7430" width="25.625" style="35" bestFit="1" customWidth="1"/>
    <col min="7431" max="7432" width="25.625" style="35" customWidth="1"/>
    <col min="7433" max="7680" width="9" style="35"/>
    <col min="7681" max="7681" width="27.25" style="35" bestFit="1" customWidth="1"/>
    <col min="7682" max="7682" width="28.125" style="35" bestFit="1" customWidth="1"/>
    <col min="7683" max="7683" width="23.875" style="35" bestFit="1" customWidth="1"/>
    <col min="7684" max="7684" width="20" style="35" bestFit="1" customWidth="1"/>
    <col min="7685" max="7685" width="24.375" style="35" bestFit="1" customWidth="1"/>
    <col min="7686" max="7686" width="25.625" style="35" bestFit="1" customWidth="1"/>
    <col min="7687" max="7688" width="25.625" style="35" customWidth="1"/>
    <col min="7689" max="7936" width="9" style="35"/>
    <col min="7937" max="7937" width="27.25" style="35" bestFit="1" customWidth="1"/>
    <col min="7938" max="7938" width="28.125" style="35" bestFit="1" customWidth="1"/>
    <col min="7939" max="7939" width="23.875" style="35" bestFit="1" customWidth="1"/>
    <col min="7940" max="7940" width="20" style="35" bestFit="1" customWidth="1"/>
    <col min="7941" max="7941" width="24.375" style="35" bestFit="1" customWidth="1"/>
    <col min="7942" max="7942" width="25.625" style="35" bestFit="1" customWidth="1"/>
    <col min="7943" max="7944" width="25.625" style="35" customWidth="1"/>
    <col min="7945" max="8192" width="9" style="35"/>
    <col min="8193" max="8193" width="27.25" style="35" bestFit="1" customWidth="1"/>
    <col min="8194" max="8194" width="28.125" style="35" bestFit="1" customWidth="1"/>
    <col min="8195" max="8195" width="23.875" style="35" bestFit="1" customWidth="1"/>
    <col min="8196" max="8196" width="20" style="35" bestFit="1" customWidth="1"/>
    <col min="8197" max="8197" width="24.375" style="35" bestFit="1" customWidth="1"/>
    <col min="8198" max="8198" width="25.625" style="35" bestFit="1" customWidth="1"/>
    <col min="8199" max="8200" width="25.625" style="35" customWidth="1"/>
    <col min="8201" max="8448" width="9" style="35"/>
    <col min="8449" max="8449" width="27.25" style="35" bestFit="1" customWidth="1"/>
    <col min="8450" max="8450" width="28.125" style="35" bestFit="1" customWidth="1"/>
    <col min="8451" max="8451" width="23.875" style="35" bestFit="1" customWidth="1"/>
    <col min="8452" max="8452" width="20" style="35" bestFit="1" customWidth="1"/>
    <col min="8453" max="8453" width="24.375" style="35" bestFit="1" customWidth="1"/>
    <col min="8454" max="8454" width="25.625" style="35" bestFit="1" customWidth="1"/>
    <col min="8455" max="8456" width="25.625" style="35" customWidth="1"/>
    <col min="8457" max="8704" width="9" style="35"/>
    <col min="8705" max="8705" width="27.25" style="35" bestFit="1" customWidth="1"/>
    <col min="8706" max="8706" width="28.125" style="35" bestFit="1" customWidth="1"/>
    <col min="8707" max="8707" width="23.875" style="35" bestFit="1" customWidth="1"/>
    <col min="8708" max="8708" width="20" style="35" bestFit="1" customWidth="1"/>
    <col min="8709" max="8709" width="24.375" style="35" bestFit="1" customWidth="1"/>
    <col min="8710" max="8710" width="25.625" style="35" bestFit="1" customWidth="1"/>
    <col min="8711" max="8712" width="25.625" style="35" customWidth="1"/>
    <col min="8713" max="8960" width="9" style="35"/>
    <col min="8961" max="8961" width="27.25" style="35" bestFit="1" customWidth="1"/>
    <col min="8962" max="8962" width="28.125" style="35" bestFit="1" customWidth="1"/>
    <col min="8963" max="8963" width="23.875" style="35" bestFit="1" customWidth="1"/>
    <col min="8964" max="8964" width="20" style="35" bestFit="1" customWidth="1"/>
    <col min="8965" max="8965" width="24.375" style="35" bestFit="1" customWidth="1"/>
    <col min="8966" max="8966" width="25.625" style="35" bestFit="1" customWidth="1"/>
    <col min="8967" max="8968" width="25.625" style="35" customWidth="1"/>
    <col min="8969" max="9216" width="9" style="35"/>
    <col min="9217" max="9217" width="27.25" style="35" bestFit="1" customWidth="1"/>
    <col min="9218" max="9218" width="28.125" style="35" bestFit="1" customWidth="1"/>
    <col min="9219" max="9219" width="23.875" style="35" bestFit="1" customWidth="1"/>
    <col min="9220" max="9220" width="20" style="35" bestFit="1" customWidth="1"/>
    <col min="9221" max="9221" width="24.375" style="35" bestFit="1" customWidth="1"/>
    <col min="9222" max="9222" width="25.625" style="35" bestFit="1" customWidth="1"/>
    <col min="9223" max="9224" width="25.625" style="35" customWidth="1"/>
    <col min="9225" max="9472" width="9" style="35"/>
    <col min="9473" max="9473" width="27.25" style="35" bestFit="1" customWidth="1"/>
    <col min="9474" max="9474" width="28.125" style="35" bestFit="1" customWidth="1"/>
    <col min="9475" max="9475" width="23.875" style="35" bestFit="1" customWidth="1"/>
    <col min="9476" max="9476" width="20" style="35" bestFit="1" customWidth="1"/>
    <col min="9477" max="9477" width="24.375" style="35" bestFit="1" customWidth="1"/>
    <col min="9478" max="9478" width="25.625" style="35" bestFit="1" customWidth="1"/>
    <col min="9479" max="9480" width="25.625" style="35" customWidth="1"/>
    <col min="9481" max="9728" width="9" style="35"/>
    <col min="9729" max="9729" width="27.25" style="35" bestFit="1" customWidth="1"/>
    <col min="9730" max="9730" width="28.125" style="35" bestFit="1" customWidth="1"/>
    <col min="9731" max="9731" width="23.875" style="35" bestFit="1" customWidth="1"/>
    <col min="9732" max="9732" width="20" style="35" bestFit="1" customWidth="1"/>
    <col min="9733" max="9733" width="24.375" style="35" bestFit="1" customWidth="1"/>
    <col min="9734" max="9734" width="25.625" style="35" bestFit="1" customWidth="1"/>
    <col min="9735" max="9736" width="25.625" style="35" customWidth="1"/>
    <col min="9737" max="9984" width="9" style="35"/>
    <col min="9985" max="9985" width="27.25" style="35" bestFit="1" customWidth="1"/>
    <col min="9986" max="9986" width="28.125" style="35" bestFit="1" customWidth="1"/>
    <col min="9987" max="9987" width="23.875" style="35" bestFit="1" customWidth="1"/>
    <col min="9988" max="9988" width="20" style="35" bestFit="1" customWidth="1"/>
    <col min="9989" max="9989" width="24.375" style="35" bestFit="1" customWidth="1"/>
    <col min="9990" max="9990" width="25.625" style="35" bestFit="1" customWidth="1"/>
    <col min="9991" max="9992" width="25.625" style="35" customWidth="1"/>
    <col min="9993" max="10240" width="9" style="35"/>
    <col min="10241" max="10241" width="27.25" style="35" bestFit="1" customWidth="1"/>
    <col min="10242" max="10242" width="28.125" style="35" bestFit="1" customWidth="1"/>
    <col min="10243" max="10243" width="23.875" style="35" bestFit="1" customWidth="1"/>
    <col min="10244" max="10244" width="20" style="35" bestFit="1" customWidth="1"/>
    <col min="10245" max="10245" width="24.375" style="35" bestFit="1" customWidth="1"/>
    <col min="10246" max="10246" width="25.625" style="35" bestFit="1" customWidth="1"/>
    <col min="10247" max="10248" width="25.625" style="35" customWidth="1"/>
    <col min="10249" max="10496" width="9" style="35"/>
    <col min="10497" max="10497" width="27.25" style="35" bestFit="1" customWidth="1"/>
    <col min="10498" max="10498" width="28.125" style="35" bestFit="1" customWidth="1"/>
    <col min="10499" max="10499" width="23.875" style="35" bestFit="1" customWidth="1"/>
    <col min="10500" max="10500" width="20" style="35" bestFit="1" customWidth="1"/>
    <col min="10501" max="10501" width="24.375" style="35" bestFit="1" customWidth="1"/>
    <col min="10502" max="10502" width="25.625" style="35" bestFit="1" customWidth="1"/>
    <col min="10503" max="10504" width="25.625" style="35" customWidth="1"/>
    <col min="10505" max="10752" width="9" style="35"/>
    <col min="10753" max="10753" width="27.25" style="35" bestFit="1" customWidth="1"/>
    <col min="10754" max="10754" width="28.125" style="35" bestFit="1" customWidth="1"/>
    <col min="10755" max="10755" width="23.875" style="35" bestFit="1" customWidth="1"/>
    <col min="10756" max="10756" width="20" style="35" bestFit="1" customWidth="1"/>
    <col min="10757" max="10757" width="24.375" style="35" bestFit="1" customWidth="1"/>
    <col min="10758" max="10758" width="25.625" style="35" bestFit="1" customWidth="1"/>
    <col min="10759" max="10760" width="25.625" style="35" customWidth="1"/>
    <col min="10761" max="11008" width="9" style="35"/>
    <col min="11009" max="11009" width="27.25" style="35" bestFit="1" customWidth="1"/>
    <col min="11010" max="11010" width="28.125" style="35" bestFit="1" customWidth="1"/>
    <col min="11011" max="11011" width="23.875" style="35" bestFit="1" customWidth="1"/>
    <col min="11012" max="11012" width="20" style="35" bestFit="1" customWidth="1"/>
    <col min="11013" max="11013" width="24.375" style="35" bestFit="1" customWidth="1"/>
    <col min="11014" max="11014" width="25.625" style="35" bestFit="1" customWidth="1"/>
    <col min="11015" max="11016" width="25.625" style="35" customWidth="1"/>
    <col min="11017" max="11264" width="9" style="35"/>
    <col min="11265" max="11265" width="27.25" style="35" bestFit="1" customWidth="1"/>
    <col min="11266" max="11266" width="28.125" style="35" bestFit="1" customWidth="1"/>
    <col min="11267" max="11267" width="23.875" style="35" bestFit="1" customWidth="1"/>
    <col min="11268" max="11268" width="20" style="35" bestFit="1" customWidth="1"/>
    <col min="11269" max="11269" width="24.375" style="35" bestFit="1" customWidth="1"/>
    <col min="11270" max="11270" width="25.625" style="35" bestFit="1" customWidth="1"/>
    <col min="11271" max="11272" width="25.625" style="35" customWidth="1"/>
    <col min="11273" max="11520" width="9" style="35"/>
    <col min="11521" max="11521" width="27.25" style="35" bestFit="1" customWidth="1"/>
    <col min="11522" max="11522" width="28.125" style="35" bestFit="1" customWidth="1"/>
    <col min="11523" max="11523" width="23.875" style="35" bestFit="1" customWidth="1"/>
    <col min="11524" max="11524" width="20" style="35" bestFit="1" customWidth="1"/>
    <col min="11525" max="11525" width="24.375" style="35" bestFit="1" customWidth="1"/>
    <col min="11526" max="11526" width="25.625" style="35" bestFit="1" customWidth="1"/>
    <col min="11527" max="11528" width="25.625" style="35" customWidth="1"/>
    <col min="11529" max="11776" width="9" style="35"/>
    <col min="11777" max="11777" width="27.25" style="35" bestFit="1" customWidth="1"/>
    <col min="11778" max="11778" width="28.125" style="35" bestFit="1" customWidth="1"/>
    <col min="11779" max="11779" width="23.875" style="35" bestFit="1" customWidth="1"/>
    <col min="11780" max="11780" width="20" style="35" bestFit="1" customWidth="1"/>
    <col min="11781" max="11781" width="24.375" style="35" bestFit="1" customWidth="1"/>
    <col min="11782" max="11782" width="25.625" style="35" bestFit="1" customWidth="1"/>
    <col min="11783" max="11784" width="25.625" style="35" customWidth="1"/>
    <col min="11785" max="12032" width="9" style="35"/>
    <col min="12033" max="12033" width="27.25" style="35" bestFit="1" customWidth="1"/>
    <col min="12034" max="12034" width="28.125" style="35" bestFit="1" customWidth="1"/>
    <col min="12035" max="12035" width="23.875" style="35" bestFit="1" customWidth="1"/>
    <col min="12036" max="12036" width="20" style="35" bestFit="1" customWidth="1"/>
    <col min="12037" max="12037" width="24.375" style="35" bestFit="1" customWidth="1"/>
    <col min="12038" max="12038" width="25.625" style="35" bestFit="1" customWidth="1"/>
    <col min="12039" max="12040" width="25.625" style="35" customWidth="1"/>
    <col min="12041" max="12288" width="9" style="35"/>
    <col min="12289" max="12289" width="27.25" style="35" bestFit="1" customWidth="1"/>
    <col min="12290" max="12290" width="28.125" style="35" bestFit="1" customWidth="1"/>
    <col min="12291" max="12291" width="23.875" style="35" bestFit="1" customWidth="1"/>
    <col min="12292" max="12292" width="20" style="35" bestFit="1" customWidth="1"/>
    <col min="12293" max="12293" width="24.375" style="35" bestFit="1" customWidth="1"/>
    <col min="12294" max="12294" width="25.625" style="35" bestFit="1" customWidth="1"/>
    <col min="12295" max="12296" width="25.625" style="35" customWidth="1"/>
    <col min="12297" max="12544" width="9" style="35"/>
    <col min="12545" max="12545" width="27.25" style="35" bestFit="1" customWidth="1"/>
    <col min="12546" max="12546" width="28.125" style="35" bestFit="1" customWidth="1"/>
    <col min="12547" max="12547" width="23.875" style="35" bestFit="1" customWidth="1"/>
    <col min="12548" max="12548" width="20" style="35" bestFit="1" customWidth="1"/>
    <col min="12549" max="12549" width="24.375" style="35" bestFit="1" customWidth="1"/>
    <col min="12550" max="12550" width="25.625" style="35" bestFit="1" customWidth="1"/>
    <col min="12551" max="12552" width="25.625" style="35" customWidth="1"/>
    <col min="12553" max="12800" width="9" style="35"/>
    <col min="12801" max="12801" width="27.25" style="35" bestFit="1" customWidth="1"/>
    <col min="12802" max="12802" width="28.125" style="35" bestFit="1" customWidth="1"/>
    <col min="12803" max="12803" width="23.875" style="35" bestFit="1" customWidth="1"/>
    <col min="12804" max="12804" width="20" style="35" bestFit="1" customWidth="1"/>
    <col min="12805" max="12805" width="24.375" style="35" bestFit="1" customWidth="1"/>
    <col min="12806" max="12806" width="25.625" style="35" bestFit="1" customWidth="1"/>
    <col min="12807" max="12808" width="25.625" style="35" customWidth="1"/>
    <col min="12809" max="13056" width="9" style="35"/>
    <col min="13057" max="13057" width="27.25" style="35" bestFit="1" customWidth="1"/>
    <col min="13058" max="13058" width="28.125" style="35" bestFit="1" customWidth="1"/>
    <col min="13059" max="13059" width="23.875" style="35" bestFit="1" customWidth="1"/>
    <col min="13060" max="13060" width="20" style="35" bestFit="1" customWidth="1"/>
    <col min="13061" max="13061" width="24.375" style="35" bestFit="1" customWidth="1"/>
    <col min="13062" max="13062" width="25.625" style="35" bestFit="1" customWidth="1"/>
    <col min="13063" max="13064" width="25.625" style="35" customWidth="1"/>
    <col min="13065" max="13312" width="9" style="35"/>
    <col min="13313" max="13313" width="27.25" style="35" bestFit="1" customWidth="1"/>
    <col min="13314" max="13314" width="28.125" style="35" bestFit="1" customWidth="1"/>
    <col min="13315" max="13315" width="23.875" style="35" bestFit="1" customWidth="1"/>
    <col min="13316" max="13316" width="20" style="35" bestFit="1" customWidth="1"/>
    <col min="13317" max="13317" width="24.375" style="35" bestFit="1" customWidth="1"/>
    <col min="13318" max="13318" width="25.625" style="35" bestFit="1" customWidth="1"/>
    <col min="13319" max="13320" width="25.625" style="35" customWidth="1"/>
    <col min="13321" max="13568" width="9" style="35"/>
    <col min="13569" max="13569" width="27.25" style="35" bestFit="1" customWidth="1"/>
    <col min="13570" max="13570" width="28.125" style="35" bestFit="1" customWidth="1"/>
    <col min="13571" max="13571" width="23.875" style="35" bestFit="1" customWidth="1"/>
    <col min="13572" max="13572" width="20" style="35" bestFit="1" customWidth="1"/>
    <col min="13573" max="13573" width="24.375" style="35" bestFit="1" customWidth="1"/>
    <col min="13574" max="13574" width="25.625" style="35" bestFit="1" customWidth="1"/>
    <col min="13575" max="13576" width="25.625" style="35" customWidth="1"/>
    <col min="13577" max="13824" width="9" style="35"/>
    <col min="13825" max="13825" width="27.25" style="35" bestFit="1" customWidth="1"/>
    <col min="13826" max="13826" width="28.125" style="35" bestFit="1" customWidth="1"/>
    <col min="13827" max="13827" width="23.875" style="35" bestFit="1" customWidth="1"/>
    <col min="13828" max="13828" width="20" style="35" bestFit="1" customWidth="1"/>
    <col min="13829" max="13829" width="24.375" style="35" bestFit="1" customWidth="1"/>
    <col min="13830" max="13830" width="25.625" style="35" bestFit="1" customWidth="1"/>
    <col min="13831" max="13832" width="25.625" style="35" customWidth="1"/>
    <col min="13833" max="14080" width="9" style="35"/>
    <col min="14081" max="14081" width="27.25" style="35" bestFit="1" customWidth="1"/>
    <col min="14082" max="14082" width="28.125" style="35" bestFit="1" customWidth="1"/>
    <col min="14083" max="14083" width="23.875" style="35" bestFit="1" customWidth="1"/>
    <col min="14084" max="14084" width="20" style="35" bestFit="1" customWidth="1"/>
    <col min="14085" max="14085" width="24.375" style="35" bestFit="1" customWidth="1"/>
    <col min="14086" max="14086" width="25.625" style="35" bestFit="1" customWidth="1"/>
    <col min="14087" max="14088" width="25.625" style="35" customWidth="1"/>
    <col min="14089" max="14336" width="9" style="35"/>
    <col min="14337" max="14337" width="27.25" style="35" bestFit="1" customWidth="1"/>
    <col min="14338" max="14338" width="28.125" style="35" bestFit="1" customWidth="1"/>
    <col min="14339" max="14339" width="23.875" style="35" bestFit="1" customWidth="1"/>
    <col min="14340" max="14340" width="20" style="35" bestFit="1" customWidth="1"/>
    <col min="14341" max="14341" width="24.375" style="35" bestFit="1" customWidth="1"/>
    <col min="14342" max="14342" width="25.625" style="35" bestFit="1" customWidth="1"/>
    <col min="14343" max="14344" width="25.625" style="35" customWidth="1"/>
    <col min="14345" max="14592" width="9" style="35"/>
    <col min="14593" max="14593" width="27.25" style="35" bestFit="1" customWidth="1"/>
    <col min="14594" max="14594" width="28.125" style="35" bestFit="1" customWidth="1"/>
    <col min="14595" max="14595" width="23.875" style="35" bestFit="1" customWidth="1"/>
    <col min="14596" max="14596" width="20" style="35" bestFit="1" customWidth="1"/>
    <col min="14597" max="14597" width="24.375" style="35" bestFit="1" customWidth="1"/>
    <col min="14598" max="14598" width="25.625" style="35" bestFit="1" customWidth="1"/>
    <col min="14599" max="14600" width="25.625" style="35" customWidth="1"/>
    <col min="14601" max="14848" width="9" style="35"/>
    <col min="14849" max="14849" width="27.25" style="35" bestFit="1" customWidth="1"/>
    <col min="14850" max="14850" width="28.125" style="35" bestFit="1" customWidth="1"/>
    <col min="14851" max="14851" width="23.875" style="35" bestFit="1" customWidth="1"/>
    <col min="14852" max="14852" width="20" style="35" bestFit="1" customWidth="1"/>
    <col min="14853" max="14853" width="24.375" style="35" bestFit="1" customWidth="1"/>
    <col min="14854" max="14854" width="25.625" style="35" bestFit="1" customWidth="1"/>
    <col min="14855" max="14856" width="25.625" style="35" customWidth="1"/>
    <col min="14857" max="15104" width="9" style="35"/>
    <col min="15105" max="15105" width="27.25" style="35" bestFit="1" customWidth="1"/>
    <col min="15106" max="15106" width="28.125" style="35" bestFit="1" customWidth="1"/>
    <col min="15107" max="15107" width="23.875" style="35" bestFit="1" customWidth="1"/>
    <col min="15108" max="15108" width="20" style="35" bestFit="1" customWidth="1"/>
    <col min="15109" max="15109" width="24.375" style="35" bestFit="1" customWidth="1"/>
    <col min="15110" max="15110" width="25.625" style="35" bestFit="1" customWidth="1"/>
    <col min="15111" max="15112" width="25.625" style="35" customWidth="1"/>
    <col min="15113" max="15360" width="9" style="35"/>
    <col min="15361" max="15361" width="27.25" style="35" bestFit="1" customWidth="1"/>
    <col min="15362" max="15362" width="28.125" style="35" bestFit="1" customWidth="1"/>
    <col min="15363" max="15363" width="23.875" style="35" bestFit="1" customWidth="1"/>
    <col min="15364" max="15364" width="20" style="35" bestFit="1" customWidth="1"/>
    <col min="15365" max="15365" width="24.375" style="35" bestFit="1" customWidth="1"/>
    <col min="15366" max="15366" width="25.625" style="35" bestFit="1" customWidth="1"/>
    <col min="15367" max="15368" width="25.625" style="35" customWidth="1"/>
    <col min="15369" max="15616" width="9" style="35"/>
    <col min="15617" max="15617" width="27.25" style="35" bestFit="1" customWidth="1"/>
    <col min="15618" max="15618" width="28.125" style="35" bestFit="1" customWidth="1"/>
    <col min="15619" max="15619" width="23.875" style="35" bestFit="1" customWidth="1"/>
    <col min="15620" max="15620" width="20" style="35" bestFit="1" customWidth="1"/>
    <col min="15621" max="15621" width="24.375" style="35" bestFit="1" customWidth="1"/>
    <col min="15622" max="15622" width="25.625" style="35" bestFit="1" customWidth="1"/>
    <col min="15623" max="15624" width="25.625" style="35" customWidth="1"/>
    <col min="15625" max="15872" width="9" style="35"/>
    <col min="15873" max="15873" width="27.25" style="35" bestFit="1" customWidth="1"/>
    <col min="15874" max="15874" width="28.125" style="35" bestFit="1" customWidth="1"/>
    <col min="15875" max="15875" width="23.875" style="35" bestFit="1" customWidth="1"/>
    <col min="15876" max="15876" width="20" style="35" bestFit="1" customWidth="1"/>
    <col min="15877" max="15877" width="24.375" style="35" bestFit="1" customWidth="1"/>
    <col min="15878" max="15878" width="25.625" style="35" bestFit="1" customWidth="1"/>
    <col min="15879" max="15880" width="25.625" style="35" customWidth="1"/>
    <col min="15881" max="16128" width="9" style="35"/>
    <col min="16129" max="16129" width="27.25" style="35" bestFit="1" customWidth="1"/>
    <col min="16130" max="16130" width="28.125" style="35" bestFit="1" customWidth="1"/>
    <col min="16131" max="16131" width="23.875" style="35" bestFit="1" customWidth="1"/>
    <col min="16132" max="16132" width="20" style="35" bestFit="1" customWidth="1"/>
    <col min="16133" max="16133" width="24.375" style="35" bestFit="1" customWidth="1"/>
    <col min="16134" max="16134" width="25.625" style="35" bestFit="1" customWidth="1"/>
    <col min="16135" max="16136" width="25.625" style="35" customWidth="1"/>
    <col min="16137" max="16384" width="9" style="35"/>
  </cols>
  <sheetData>
    <row r="1" spans="1:8">
      <c r="A1" s="34" t="s">
        <v>399</v>
      </c>
    </row>
    <row r="2" spans="1:8">
      <c r="A2" s="36" t="s">
        <v>400</v>
      </c>
    </row>
    <row r="3" spans="1:8">
      <c r="A3" s="34" t="s">
        <v>401</v>
      </c>
      <c r="B3" s="34" t="s">
        <v>402</v>
      </c>
      <c r="C3" s="34" t="s">
        <v>403</v>
      </c>
      <c r="D3" s="34" t="s">
        <v>404</v>
      </c>
      <c r="E3" s="34" t="s">
        <v>405</v>
      </c>
      <c r="F3" s="34" t="s">
        <v>406</v>
      </c>
      <c r="G3" s="34" t="s">
        <v>407</v>
      </c>
      <c r="H3" s="34" t="s">
        <v>408</v>
      </c>
    </row>
    <row r="4" spans="1:8">
      <c r="A4" s="36">
        <v>2</v>
      </c>
      <c r="B4" s="36">
        <v>1</v>
      </c>
      <c r="C4" s="36">
        <v>21</v>
      </c>
      <c r="D4" s="36">
        <v>1</v>
      </c>
      <c r="E4" s="36">
        <v>6</v>
      </c>
      <c r="F4" s="36">
        <v>2</v>
      </c>
      <c r="G4" s="36">
        <v>9.5649999999999995</v>
      </c>
      <c r="H4" s="36">
        <v>5</v>
      </c>
    </row>
    <row r="5" spans="1:8">
      <c r="A5" s="34" t="s">
        <v>409</v>
      </c>
    </row>
    <row r="6" spans="1:8">
      <c r="A6" s="34" t="s">
        <v>410</v>
      </c>
      <c r="B6" s="37" t="s">
        <v>411</v>
      </c>
    </row>
    <row r="7" spans="1:8">
      <c r="A7" s="34" t="s">
        <v>412</v>
      </c>
      <c r="B7" s="34" t="s">
        <v>413</v>
      </c>
      <c r="C7" s="34" t="s">
        <v>414</v>
      </c>
      <c r="D7" s="37" t="s">
        <v>411</v>
      </c>
      <c r="E7" s="37"/>
    </row>
    <row r="8" spans="1:8">
      <c r="A8" s="36">
        <v>1</v>
      </c>
      <c r="B8" s="36"/>
      <c r="C8" s="36"/>
      <c r="D8" s="37" t="s">
        <v>411</v>
      </c>
    </row>
    <row r="9" spans="1:8">
      <c r="A9" s="36">
        <v>2</v>
      </c>
      <c r="B9" s="36"/>
      <c r="C9" s="36"/>
      <c r="D9" s="37" t="s">
        <v>411</v>
      </c>
    </row>
    <row r="10" spans="1:8">
      <c r="A10" s="36">
        <v>3</v>
      </c>
      <c r="B10" s="36"/>
      <c r="C10" s="36"/>
      <c r="D10" s="37" t="s">
        <v>411</v>
      </c>
    </row>
    <row r="11" spans="1:8">
      <c r="A11" s="36">
        <v>4</v>
      </c>
      <c r="B11" s="36"/>
      <c r="C11" s="36"/>
      <c r="D11" s="37" t="s">
        <v>411</v>
      </c>
    </row>
    <row r="12" spans="1:8">
      <c r="A12" s="36">
        <v>5</v>
      </c>
      <c r="B12" s="36"/>
      <c r="C12" s="36"/>
      <c r="D12" s="37" t="s">
        <v>411</v>
      </c>
    </row>
    <row r="13" spans="1:8">
      <c r="A13" s="36">
        <v>6</v>
      </c>
      <c r="B13" s="36"/>
      <c r="C13" s="36"/>
      <c r="D13" s="37" t="s">
        <v>411</v>
      </c>
    </row>
    <row r="15" spans="1:8">
      <c r="A15" s="34" t="s">
        <v>415</v>
      </c>
    </row>
    <row r="16" spans="1:8">
      <c r="A16" s="34" t="s">
        <v>416</v>
      </c>
    </row>
    <row r="17" spans="1:7">
      <c r="A17" s="34" t="s">
        <v>417</v>
      </c>
      <c r="B17" s="34" t="s">
        <v>418</v>
      </c>
      <c r="C17" s="34" t="s">
        <v>419</v>
      </c>
      <c r="D17" s="34" t="s">
        <v>420</v>
      </c>
      <c r="E17" s="34" t="s">
        <v>421</v>
      </c>
      <c r="F17" s="34" t="s">
        <v>422</v>
      </c>
      <c r="G17" s="34" t="s">
        <v>423</v>
      </c>
    </row>
    <row r="18" spans="1:7">
      <c r="A18" s="34" t="s">
        <v>424</v>
      </c>
      <c r="B18" s="36"/>
      <c r="C18" s="36"/>
      <c r="D18" s="36"/>
      <c r="E18" s="36"/>
      <c r="F18" s="36"/>
      <c r="G18" s="36"/>
    </row>
    <row r="19" spans="1:7">
      <c r="A19" s="34" t="s">
        <v>425</v>
      </c>
      <c r="B19" s="36"/>
      <c r="C19" s="36"/>
      <c r="D19" s="36"/>
      <c r="E19" s="36"/>
      <c r="F19" s="36"/>
      <c r="G19" s="36"/>
    </row>
    <row r="20" spans="1:7">
      <c r="A20" s="34" t="s">
        <v>426</v>
      </c>
      <c r="B20" s="36"/>
      <c r="C20" s="36"/>
      <c r="D20" s="36"/>
      <c r="E20" s="36"/>
      <c r="F20" s="36"/>
      <c r="G20" s="36"/>
    </row>
    <row r="21" spans="1:7">
      <c r="A21" s="34" t="s">
        <v>427</v>
      </c>
      <c r="B21" s="36"/>
      <c r="C21" s="36"/>
      <c r="D21" s="36"/>
      <c r="E21" s="36"/>
      <c r="F21" s="36"/>
      <c r="G21" s="36"/>
    </row>
    <row r="22" spans="1:7">
      <c r="A22" s="34" t="s">
        <v>428</v>
      </c>
      <c r="B22" s="36"/>
      <c r="C22" s="36"/>
      <c r="D22" s="36"/>
      <c r="E22" s="36"/>
      <c r="F22" s="36"/>
      <c r="G22" s="36"/>
    </row>
    <row r="23" spans="1:7">
      <c r="A23" s="38"/>
    </row>
    <row r="24" spans="1:7">
      <c r="A24" s="34" t="s">
        <v>429</v>
      </c>
    </row>
    <row r="25" spans="1:7">
      <c r="A25" s="34" t="s">
        <v>417</v>
      </c>
      <c r="B25" s="34" t="s">
        <v>448</v>
      </c>
      <c r="C25" s="34" t="s">
        <v>419</v>
      </c>
      <c r="D25" s="34" t="s">
        <v>430</v>
      </c>
      <c r="E25" s="34" t="s">
        <v>422</v>
      </c>
      <c r="F25" s="34" t="s">
        <v>449</v>
      </c>
      <c r="G25" s="40" t="s">
        <v>450</v>
      </c>
    </row>
    <row r="26" spans="1:7">
      <c r="A26" s="34" t="s">
        <v>424</v>
      </c>
      <c r="B26" s="36"/>
      <c r="C26" s="36"/>
      <c r="D26" s="36"/>
      <c r="E26" s="36"/>
      <c r="F26" s="36"/>
    </row>
    <row r="27" spans="1:7">
      <c r="A27" s="34" t="s">
        <v>425</v>
      </c>
      <c r="B27" s="36"/>
      <c r="C27" s="36"/>
      <c r="D27" s="36"/>
      <c r="E27" s="36"/>
      <c r="F27" s="36"/>
    </row>
    <row r="28" spans="1:7">
      <c r="A28" s="34" t="s">
        <v>426</v>
      </c>
      <c r="B28" s="36"/>
      <c r="C28" s="36"/>
      <c r="D28" s="36"/>
      <c r="E28" s="36"/>
      <c r="F28" s="36"/>
    </row>
    <row r="29" spans="1:7">
      <c r="A29" s="34" t="s">
        <v>427</v>
      </c>
      <c r="B29" s="36"/>
      <c r="C29" s="36"/>
      <c r="D29" s="36"/>
      <c r="E29" s="36"/>
      <c r="F29" s="36"/>
    </row>
    <row r="30" spans="1:7">
      <c r="A30" s="34" t="s">
        <v>428</v>
      </c>
      <c r="B30" s="36"/>
      <c r="C30" s="36"/>
      <c r="D30" s="36"/>
      <c r="E30" s="36"/>
      <c r="F30" s="36"/>
    </row>
    <row r="32" spans="1:7">
      <c r="A32" s="34" t="s">
        <v>432</v>
      </c>
    </row>
    <row r="33" spans="1:4">
      <c r="A33" s="34" t="s">
        <v>417</v>
      </c>
      <c r="B33" s="34" t="s">
        <v>433</v>
      </c>
      <c r="C33" s="34" t="s">
        <v>434</v>
      </c>
      <c r="D33" s="34" t="s">
        <v>435</v>
      </c>
    </row>
    <row r="34" spans="1:4">
      <c r="A34" s="34" t="s">
        <v>424</v>
      </c>
      <c r="B34" s="36"/>
      <c r="C34" s="36"/>
      <c r="D34" s="36"/>
    </row>
    <row r="35" spans="1:4">
      <c r="A35" s="34" t="s">
        <v>425</v>
      </c>
      <c r="B35" s="36"/>
      <c r="C35" s="36"/>
      <c r="D35" s="36"/>
    </row>
    <row r="36" spans="1:4">
      <c r="A36" s="34" t="s">
        <v>426</v>
      </c>
      <c r="B36" s="36"/>
      <c r="C36" s="36"/>
      <c r="D36" s="36"/>
    </row>
    <row r="37" spans="1:4">
      <c r="A37" s="34" t="s">
        <v>427</v>
      </c>
      <c r="B37" s="36"/>
      <c r="C37" s="36"/>
      <c r="D37" s="36"/>
    </row>
    <row r="38" spans="1:4">
      <c r="A38" s="34" t="s">
        <v>428</v>
      </c>
      <c r="B38" s="36"/>
      <c r="C38" s="36"/>
      <c r="D38" s="36"/>
    </row>
    <row r="39" spans="1:4">
      <c r="A39" s="38"/>
    </row>
    <row r="40" spans="1:4">
      <c r="A40" s="34" t="s">
        <v>436</v>
      </c>
    </row>
    <row r="41" spans="1:4">
      <c r="A41" s="34" t="s">
        <v>417</v>
      </c>
      <c r="B41" s="34" t="s">
        <v>437</v>
      </c>
    </row>
    <row r="42" spans="1:4">
      <c r="A42" s="34" t="s">
        <v>424</v>
      </c>
      <c r="B42" s="36"/>
    </row>
    <row r="43" spans="1:4">
      <c r="A43" s="34" t="s">
        <v>425</v>
      </c>
      <c r="B43" s="36"/>
    </row>
    <row r="44" spans="1:4">
      <c r="A44" s="34" t="s">
        <v>426</v>
      </c>
      <c r="B44" s="36"/>
    </row>
    <row r="45" spans="1:4">
      <c r="A45" s="34" t="s">
        <v>427</v>
      </c>
      <c r="B45" s="36"/>
    </row>
    <row r="46" spans="1:4">
      <c r="A46" s="34" t="s">
        <v>428</v>
      </c>
      <c r="B46" s="36"/>
    </row>
    <row r="48" spans="1:4">
      <c r="A48" s="34" t="s">
        <v>438</v>
      </c>
    </row>
    <row r="49" spans="1:7">
      <c r="A49" s="39" t="s">
        <v>416</v>
      </c>
    </row>
    <row r="50" spans="1:7">
      <c r="A50" s="39" t="s">
        <v>451</v>
      </c>
      <c r="B50" s="40" t="s">
        <v>452</v>
      </c>
    </row>
    <row r="51" spans="1:7">
      <c r="A51" s="34" t="s">
        <v>439</v>
      </c>
      <c r="B51" s="34"/>
      <c r="C51" s="34"/>
      <c r="D51" s="34" t="s">
        <v>440</v>
      </c>
      <c r="E51" s="34"/>
      <c r="F51" s="34"/>
      <c r="G51" s="34" t="s">
        <v>441</v>
      </c>
    </row>
    <row r="52" spans="1:7">
      <c r="A52" s="34" t="s">
        <v>442</v>
      </c>
      <c r="B52" s="34" t="s">
        <v>418</v>
      </c>
      <c r="C52" s="34" t="s">
        <v>443</v>
      </c>
      <c r="D52" s="34" t="s">
        <v>444</v>
      </c>
      <c r="E52" s="34" t="s">
        <v>445</v>
      </c>
      <c r="F52" s="34" t="s">
        <v>446</v>
      </c>
      <c r="G52" s="34"/>
    </row>
    <row r="53" spans="1:7">
      <c r="A53" s="36"/>
      <c r="B53" s="36"/>
      <c r="C53" s="36"/>
      <c r="D53" s="36"/>
      <c r="E53" s="36"/>
      <c r="F53" s="36"/>
      <c r="G53" s="36"/>
    </row>
    <row r="54" spans="1:7">
      <c r="A54" s="39" t="s">
        <v>453</v>
      </c>
      <c r="B54" s="40" t="s">
        <v>452</v>
      </c>
    </row>
    <row r="55" spans="1:7">
      <c r="A55" s="34" t="s">
        <v>439</v>
      </c>
      <c r="B55" s="34"/>
      <c r="C55" s="34"/>
      <c r="D55" s="34" t="s">
        <v>440</v>
      </c>
      <c r="E55" s="34"/>
      <c r="F55" s="34"/>
      <c r="G55" s="34" t="s">
        <v>441</v>
      </c>
    </row>
    <row r="56" spans="1:7">
      <c r="A56" s="34" t="s">
        <v>442</v>
      </c>
      <c r="B56" s="34" t="s">
        <v>454</v>
      </c>
      <c r="C56" s="34" t="s">
        <v>443</v>
      </c>
      <c r="D56" s="34" t="s">
        <v>444</v>
      </c>
      <c r="E56" s="34" t="s">
        <v>445</v>
      </c>
      <c r="F56" s="34" t="s">
        <v>446</v>
      </c>
      <c r="G56" s="34"/>
    </row>
    <row r="57" spans="1:7">
      <c r="A57" s="36"/>
      <c r="B57" s="36"/>
      <c r="C57" s="36"/>
      <c r="D57" s="36"/>
      <c r="E57" s="36"/>
      <c r="F57" s="36"/>
      <c r="G57" s="36"/>
    </row>
    <row r="58" spans="1:7">
      <c r="A58" s="41"/>
    </row>
    <row r="59" spans="1:7">
      <c r="A59" s="34" t="s">
        <v>432</v>
      </c>
    </row>
    <row r="60" spans="1:7">
      <c r="A60" s="34" t="s">
        <v>433</v>
      </c>
      <c r="B60" s="34" t="s">
        <v>434</v>
      </c>
      <c r="C60" s="34" t="s">
        <v>435</v>
      </c>
    </row>
    <row r="61" spans="1:7">
      <c r="A61" s="36"/>
      <c r="B61" s="36"/>
      <c r="C61" s="36"/>
    </row>
    <row r="62" spans="1:7">
      <c r="A62" s="38"/>
    </row>
    <row r="63" spans="1:7">
      <c r="A63" s="34" t="s">
        <v>436</v>
      </c>
    </row>
    <row r="64" spans="1:7">
      <c r="A64" s="34" t="s">
        <v>437</v>
      </c>
    </row>
    <row r="65" spans="1:7">
      <c r="A65" s="36"/>
    </row>
    <row r="67" spans="1:7">
      <c r="A67" s="34" t="s">
        <v>447</v>
      </c>
    </row>
    <row r="68" spans="1:7">
      <c r="A68" s="39" t="s">
        <v>410</v>
      </c>
      <c r="B68" s="37" t="s">
        <v>411</v>
      </c>
    </row>
    <row r="69" spans="1:7">
      <c r="A69" s="34" t="s">
        <v>412</v>
      </c>
      <c r="B69" s="34" t="s">
        <v>413</v>
      </c>
      <c r="C69" s="34" t="s">
        <v>414</v>
      </c>
      <c r="D69" s="37" t="s">
        <v>411</v>
      </c>
    </row>
    <row r="70" spans="1:7">
      <c r="A70" s="36">
        <v>1</v>
      </c>
      <c r="B70" s="36">
        <v>0</v>
      </c>
      <c r="C70" s="36">
        <v>6</v>
      </c>
      <c r="D70" s="37" t="s">
        <v>411</v>
      </c>
    </row>
    <row r="71" spans="1:7">
      <c r="A71" s="36">
        <v>2</v>
      </c>
      <c r="B71" s="36">
        <v>5</v>
      </c>
      <c r="C71" s="36">
        <v>6</v>
      </c>
      <c r="D71" s="37" t="s">
        <v>411</v>
      </c>
    </row>
    <row r="73" spans="1:7">
      <c r="A73" s="34" t="s">
        <v>415</v>
      </c>
    </row>
    <row r="74" spans="1:7">
      <c r="A74" s="34" t="s">
        <v>416</v>
      </c>
    </row>
    <row r="75" spans="1:7">
      <c r="A75" s="34" t="s">
        <v>417</v>
      </c>
      <c r="B75" s="34" t="s">
        <v>418</v>
      </c>
      <c r="C75" s="34" t="s">
        <v>419</v>
      </c>
      <c r="D75" s="34" t="s">
        <v>420</v>
      </c>
      <c r="E75" s="34" t="s">
        <v>421</v>
      </c>
      <c r="F75" s="34" t="s">
        <v>422</v>
      </c>
      <c r="G75" s="34" t="s">
        <v>423</v>
      </c>
    </row>
    <row r="76" spans="1:7">
      <c r="A76" s="34" t="s">
        <v>424</v>
      </c>
      <c r="B76" s="36"/>
      <c r="C76" s="36"/>
      <c r="D76" s="36"/>
      <c r="E76" s="36"/>
      <c r="F76" s="36"/>
      <c r="G76" s="36"/>
    </row>
    <row r="77" spans="1:7">
      <c r="A77" s="34" t="s">
        <v>425</v>
      </c>
      <c r="B77" s="36"/>
      <c r="C77" s="36"/>
      <c r="D77" s="36"/>
      <c r="E77" s="36"/>
      <c r="F77" s="36"/>
      <c r="G77" s="36"/>
    </row>
    <row r="78" spans="1:7">
      <c r="A78" s="34" t="s">
        <v>426</v>
      </c>
      <c r="B78" s="36"/>
      <c r="C78" s="36"/>
      <c r="D78" s="36"/>
      <c r="E78" s="36"/>
      <c r="F78" s="36"/>
      <c r="G78" s="36"/>
    </row>
    <row r="79" spans="1:7">
      <c r="A79" s="34" t="s">
        <v>427</v>
      </c>
      <c r="B79" s="36"/>
      <c r="C79" s="36"/>
      <c r="D79" s="36"/>
      <c r="E79" s="36"/>
      <c r="F79" s="36"/>
      <c r="G79" s="36"/>
    </row>
    <row r="80" spans="1:7">
      <c r="A80" s="34" t="s">
        <v>428</v>
      </c>
      <c r="B80" s="36"/>
      <c r="C80" s="36"/>
      <c r="D80" s="36"/>
      <c r="E80" s="36"/>
      <c r="F80" s="36"/>
      <c r="G80" s="36"/>
    </row>
    <row r="81" spans="1:7">
      <c r="A81" s="38"/>
    </row>
    <row r="82" spans="1:7">
      <c r="A82" s="34" t="s">
        <v>429</v>
      </c>
    </row>
    <row r="83" spans="1:7">
      <c r="A83" s="34" t="s">
        <v>417</v>
      </c>
      <c r="B83" s="34" t="s">
        <v>448</v>
      </c>
      <c r="C83" s="34" t="s">
        <v>419</v>
      </c>
      <c r="D83" s="34" t="s">
        <v>430</v>
      </c>
      <c r="E83" s="34" t="s">
        <v>422</v>
      </c>
      <c r="F83" s="34" t="s">
        <v>449</v>
      </c>
      <c r="G83" s="40" t="s">
        <v>450</v>
      </c>
    </row>
    <row r="84" spans="1:7">
      <c r="A84" s="34" t="s">
        <v>424</v>
      </c>
      <c r="B84" s="36"/>
      <c r="C84" s="36"/>
      <c r="D84" s="36"/>
      <c r="E84" s="36"/>
      <c r="F84" s="36"/>
    </row>
    <row r="85" spans="1:7">
      <c r="A85" s="34" t="s">
        <v>425</v>
      </c>
      <c r="B85" s="36"/>
      <c r="C85" s="36"/>
      <c r="D85" s="36"/>
      <c r="E85" s="36"/>
      <c r="F85" s="36"/>
    </row>
    <row r="86" spans="1:7">
      <c r="A86" s="34" t="s">
        <v>426</v>
      </c>
      <c r="B86" s="36"/>
      <c r="C86" s="36"/>
      <c r="D86" s="36"/>
      <c r="E86" s="36"/>
      <c r="F86" s="36"/>
    </row>
    <row r="87" spans="1:7">
      <c r="A87" s="34" t="s">
        <v>427</v>
      </c>
      <c r="B87" s="36"/>
      <c r="C87" s="36"/>
      <c r="D87" s="36"/>
      <c r="E87" s="36"/>
      <c r="F87" s="36"/>
    </row>
    <row r="88" spans="1:7">
      <c r="A88" s="34" t="s">
        <v>428</v>
      </c>
      <c r="B88" s="36"/>
      <c r="C88" s="36"/>
      <c r="D88" s="36"/>
      <c r="E88" s="36"/>
      <c r="F88" s="36"/>
    </row>
    <row r="90" spans="1:7">
      <c r="A90" s="34" t="s">
        <v>432</v>
      </c>
    </row>
    <row r="91" spans="1:7">
      <c r="A91" s="34" t="s">
        <v>417</v>
      </c>
      <c r="B91" s="34" t="s">
        <v>433</v>
      </c>
      <c r="C91" s="34" t="s">
        <v>434</v>
      </c>
      <c r="D91" s="34" t="s">
        <v>435</v>
      </c>
    </row>
    <row r="92" spans="1:7">
      <c r="A92" s="34" t="s">
        <v>424</v>
      </c>
      <c r="B92" s="36"/>
      <c r="C92" s="36"/>
      <c r="D92" s="36"/>
    </row>
    <row r="93" spans="1:7">
      <c r="A93" s="34" t="s">
        <v>425</v>
      </c>
      <c r="B93" s="36"/>
      <c r="C93" s="36"/>
      <c r="D93" s="36"/>
    </row>
    <row r="94" spans="1:7">
      <c r="A94" s="34" t="s">
        <v>426</v>
      </c>
      <c r="B94" s="36"/>
      <c r="C94" s="36"/>
      <c r="D94" s="36"/>
    </row>
    <row r="95" spans="1:7">
      <c r="A95" s="34" t="s">
        <v>427</v>
      </c>
      <c r="B95" s="36"/>
      <c r="C95" s="36"/>
      <c r="D95" s="36"/>
    </row>
    <row r="96" spans="1:7">
      <c r="A96" s="34" t="s">
        <v>428</v>
      </c>
      <c r="B96" s="36"/>
      <c r="C96" s="36"/>
      <c r="D96" s="36"/>
    </row>
    <row r="97" spans="1:7">
      <c r="A97" s="38"/>
    </row>
    <row r="98" spans="1:7">
      <c r="A98" s="34" t="s">
        <v>436</v>
      </c>
    </row>
    <row r="99" spans="1:7">
      <c r="A99" s="34" t="s">
        <v>417</v>
      </c>
      <c r="B99" s="34" t="s">
        <v>437</v>
      </c>
    </row>
    <row r="100" spans="1:7">
      <c r="A100" s="34" t="s">
        <v>424</v>
      </c>
      <c r="B100" s="36"/>
    </row>
    <row r="101" spans="1:7">
      <c r="A101" s="34" t="s">
        <v>425</v>
      </c>
      <c r="B101" s="36"/>
    </row>
    <row r="102" spans="1:7">
      <c r="A102" s="34" t="s">
        <v>426</v>
      </c>
      <c r="B102" s="36"/>
    </row>
    <row r="103" spans="1:7">
      <c r="A103" s="34" t="s">
        <v>427</v>
      </c>
      <c r="B103" s="36"/>
    </row>
    <row r="104" spans="1:7">
      <c r="A104" s="34" t="s">
        <v>428</v>
      </c>
      <c r="B104" s="36"/>
    </row>
    <row r="106" spans="1:7">
      <c r="A106" s="34" t="s">
        <v>438</v>
      </c>
    </row>
    <row r="107" spans="1:7">
      <c r="A107" s="39" t="s">
        <v>416</v>
      </c>
    </row>
    <row r="108" spans="1:7">
      <c r="A108" s="39" t="s">
        <v>451</v>
      </c>
      <c r="B108" s="40" t="s">
        <v>452</v>
      </c>
    </row>
    <row r="109" spans="1:7">
      <c r="A109" s="34" t="s">
        <v>439</v>
      </c>
      <c r="B109" s="34"/>
      <c r="C109" s="34"/>
      <c r="D109" s="34" t="s">
        <v>440</v>
      </c>
      <c r="E109" s="34"/>
      <c r="F109" s="34"/>
      <c r="G109" s="34" t="s">
        <v>441</v>
      </c>
    </row>
    <row r="110" spans="1:7">
      <c r="A110" s="34" t="s">
        <v>442</v>
      </c>
      <c r="B110" s="34" t="s">
        <v>418</v>
      </c>
      <c r="C110" s="34" t="s">
        <v>443</v>
      </c>
      <c r="D110" s="34" t="s">
        <v>444</v>
      </c>
      <c r="E110" s="34" t="s">
        <v>445</v>
      </c>
      <c r="F110" s="34" t="s">
        <v>446</v>
      </c>
      <c r="G110" s="34"/>
    </row>
    <row r="111" spans="1:7">
      <c r="A111" s="36"/>
      <c r="B111" s="36"/>
      <c r="C111" s="36"/>
      <c r="D111" s="36"/>
      <c r="E111" s="36"/>
      <c r="F111" s="36"/>
      <c r="G111" s="36"/>
    </row>
    <row r="112" spans="1:7">
      <c r="A112" s="39" t="s">
        <v>453</v>
      </c>
      <c r="B112" s="40" t="s">
        <v>452</v>
      </c>
    </row>
    <row r="113" spans="1:7">
      <c r="A113" s="34" t="s">
        <v>439</v>
      </c>
      <c r="B113" s="34"/>
      <c r="C113" s="34"/>
      <c r="D113" s="34" t="s">
        <v>440</v>
      </c>
      <c r="E113" s="34"/>
      <c r="F113" s="34"/>
      <c r="G113" s="34" t="s">
        <v>441</v>
      </c>
    </row>
    <row r="114" spans="1:7">
      <c r="A114" s="34" t="s">
        <v>442</v>
      </c>
      <c r="B114" s="34" t="s">
        <v>454</v>
      </c>
      <c r="C114" s="34" t="s">
        <v>443</v>
      </c>
      <c r="D114" s="34" t="s">
        <v>444</v>
      </c>
      <c r="E114" s="34" t="s">
        <v>445</v>
      </c>
      <c r="F114" s="34" t="s">
        <v>446</v>
      </c>
      <c r="G114" s="34"/>
    </row>
    <row r="115" spans="1:7">
      <c r="A115" s="36"/>
      <c r="B115" s="36"/>
      <c r="C115" s="36"/>
      <c r="D115" s="36"/>
      <c r="E115" s="36"/>
      <c r="F115" s="36"/>
      <c r="G115" s="36"/>
    </row>
    <row r="116" spans="1:7">
      <c r="A116" s="41"/>
    </row>
    <row r="117" spans="1:7">
      <c r="A117" s="34" t="s">
        <v>432</v>
      </c>
    </row>
    <row r="118" spans="1:7">
      <c r="A118" s="34" t="s">
        <v>433</v>
      </c>
      <c r="B118" s="34" t="s">
        <v>434</v>
      </c>
      <c r="C118" s="34" t="s">
        <v>435</v>
      </c>
    </row>
    <row r="119" spans="1:7">
      <c r="A119" s="36"/>
      <c r="B119" s="36"/>
      <c r="C119" s="36"/>
    </row>
    <row r="120" spans="1:7">
      <c r="A120" s="38"/>
    </row>
    <row r="121" spans="1:7">
      <c r="A121" s="34" t="s">
        <v>436</v>
      </c>
    </row>
    <row r="122" spans="1:7">
      <c r="A122" s="34" t="s">
        <v>437</v>
      </c>
    </row>
    <row r="123" spans="1:7">
      <c r="A123" s="36"/>
    </row>
  </sheetData>
  <phoneticPr fontId="1"/>
  <pageMargins left="0.7" right="0.7" top="0.75" bottom="0.75" header="0.3" footer="0.3"/>
  <pageSetup paperSize="9" scale="44"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C33D6702-8C08-407C-AC1B-6AD826B49447}">
  <ds:schemaRefs>
    <ds:schemaRef ds:uri="http://schemas.microsoft.com/SolverFoundationForExcel/Version"/>
  </ds:schemaRefs>
</ds:datastoreItem>
</file>

<file path=customXml/itemProps2.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97</vt:i4>
      </vt:variant>
    </vt:vector>
  </HeadingPairs>
  <TitlesOfParts>
    <vt:vector size="102" baseType="lpstr">
      <vt:lpstr>ご利用方法</vt:lpstr>
      <vt:lpstr>入力</vt:lpstr>
      <vt:lpstr>場所打ち杭</vt:lpstr>
      <vt:lpstr>標準</vt:lpstr>
      <vt:lpstr>回転杭</vt:lpstr>
      <vt:lpstr>入力!DF</vt:lpstr>
      <vt:lpstr>入力!N値</vt:lpstr>
      <vt:lpstr>場所打ち杭!Print_Area</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入力!杭長</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場所打ち杭!水平有効抵抗土圧Table</vt:lpstr>
      <vt:lpstr>場所打ち杭!先端N</vt:lpstr>
      <vt:lpstr>場所打ち杭!先端qtk</vt:lpstr>
      <vt:lpstr>場所打ち杭!先端qtk式</vt:lpstr>
      <vt:lpstr>場所打ち杭!先端qtk上限</vt:lpstr>
      <vt:lpstr>入力!線路_Lm</vt:lpstr>
      <vt:lpstr>入力!線路_Ln</vt:lpstr>
      <vt:lpstr>入力!線路_m</vt:lpstr>
      <vt:lpstr>入力!線路_n</vt:lpstr>
      <vt:lpstr>入力!層厚</vt:lpstr>
      <vt:lpstr>入力!層番</vt:lpstr>
      <vt:lpstr>入力!単位体積重量</vt:lpstr>
      <vt:lpstr>場所打ち杭!短期せん断地盤係数</vt:lpstr>
      <vt:lpstr>入力!弾性係数</vt:lpstr>
      <vt:lpstr>場所打ち杭!長期せん断地盤係数</vt:lpstr>
      <vt:lpstr>入力!直角_Lm</vt:lpstr>
      <vt:lpstr>入力!直角_Ln</vt:lpstr>
      <vt:lpstr>入力!直角_m</vt:lpstr>
      <vt:lpstr>入力!直角_n</vt:lpstr>
      <vt:lpstr>入力!土質区分</vt:lpstr>
      <vt:lpstr>入力!内部摩擦角</vt:lpstr>
      <vt:lpstr>入力!粘着力</vt:lpstr>
      <vt:lpstr>場所打ち杭!表層地盤Table</vt:lpstr>
      <vt:lpstr>入力!変形係数</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2017-07-13T12:33:46Z</cp:lastPrinted>
  <dcterms:created xsi:type="dcterms:W3CDTF">1997-12-09T00:45:52Z</dcterms:created>
  <dcterms:modified xsi:type="dcterms:W3CDTF">2017-07-14T05:30:54Z</dcterms:modified>
</cp:coreProperties>
</file>