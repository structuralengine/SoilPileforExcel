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8800" windowHeight="12450" tabRatio="818" activeTab="2"/>
  </bookViews>
  <sheets>
    <sheet name="ご利用方法" sheetId="48" r:id="rId1"/>
    <sheet name="入力" sheetId="44" r:id="rId2"/>
    <sheet name="場所打ち杭" sheetId="47" r:id="rId3"/>
    <sheet name="場所打ち杭 (2)" sheetId="60" r:id="rId4"/>
    <sheet name="標準" sheetId="49" state="hidden" r:id="rId5"/>
    <sheet name="回転杭" sheetId="50" state="hidden" r:id="rId6"/>
  </sheets>
  <externalReferences>
    <externalReference r:id="rId7"/>
    <externalReference r:id="rId8"/>
    <externalReference r:id="rId9"/>
  </externalReferences>
  <definedNames>
    <definedName name="_1__123Graph_Aｸﾞﾗﾌ_1" localSheetId="3" hidden="1">#REF!</definedName>
    <definedName name="_1__123Graph_Aｸﾞﾗﾌ_1" hidden="1">#REF!</definedName>
    <definedName name="_10__123Graph_Cｸﾞﾗﾌ_4" localSheetId="3" hidden="1">#REF!</definedName>
    <definedName name="_10__123Graph_Cｸﾞﾗﾌ_4" hidden="1">#REF!</definedName>
    <definedName name="_11__123Graph_Dｸﾞﾗﾌ_1" hidden="1">[1]躯体の設計!$AO$1064:$AO$1065</definedName>
    <definedName name="_12__123Graph_Dｸﾞﾗﾌ_4" localSheetId="3" hidden="1">#REF!</definedName>
    <definedName name="_12__123Graph_Dｸﾞﾗﾌ_4" hidden="1">#REF!</definedName>
    <definedName name="_13__123Graph_Xｸﾞﾗﾌ_1" hidden="1">[1]躯体の設計!$AJ$1064:$AJ$1065</definedName>
    <definedName name="_14__123Graph_Xｸﾞﾗﾌ_2" localSheetId="3" hidden="1">#REF!</definedName>
    <definedName name="_14__123Graph_Xｸﾞﾗﾌ_2" hidden="1">#REF!</definedName>
    <definedName name="_15__123Graph_Xｸﾞﾗﾌ_3" localSheetId="3" hidden="1">#REF!</definedName>
    <definedName name="_15__123Graph_Xｸﾞﾗﾌ_3" hidden="1">#REF!</definedName>
    <definedName name="_2__123Graph_Aｸﾞﾗﾌ_2" localSheetId="3" hidden="1">#REF!</definedName>
    <definedName name="_2__123Graph_Aｸﾞﾗﾌ_2" hidden="1">#REF!</definedName>
    <definedName name="_3__123Graph_Aｸﾞﾗﾌ_3" localSheetId="3" hidden="1">#REF!</definedName>
    <definedName name="_3__123Graph_Aｸﾞﾗﾌ_3" hidden="1">#REF!</definedName>
    <definedName name="_4__123Graph_Aｸﾞﾗﾌ_4" localSheetId="3" hidden="1">#REF!</definedName>
    <definedName name="_4__123Graph_Aｸﾞﾗﾌ_4" hidden="1">#REF!</definedName>
    <definedName name="_5__123Graph_Bｸﾞﾗﾌ_1" localSheetId="3" hidden="1">#REF!</definedName>
    <definedName name="_5__123Graph_Bｸﾞﾗﾌ_1" hidden="1">#REF!</definedName>
    <definedName name="_6__123Graph_Bｸﾞﾗﾌ_2" localSheetId="3" hidden="1">#REF!</definedName>
    <definedName name="_6__123Graph_Bｸﾞﾗﾌ_2" hidden="1">#REF!</definedName>
    <definedName name="_7__123Graph_Bｸﾞﾗﾌ_3" localSheetId="3" hidden="1">#REF!</definedName>
    <definedName name="_7__123Graph_Bｸﾞﾗﾌ_3" hidden="1">#REF!</definedName>
    <definedName name="_8__123Graph_Bｸﾞﾗﾌ_4" localSheetId="3" hidden="1">#REF!</definedName>
    <definedName name="_8__123Graph_Bｸﾞﾗﾌ_4" hidden="1">#REF!</definedName>
    <definedName name="_9__123Graph_Cｸﾞﾗﾌ_1" hidden="1">[1]躯体の設計!$AN$1064:$AN$1065</definedName>
    <definedName name="_DEL2" localSheetId="3" hidden="1">#REF!</definedName>
    <definedName name="_DEL2" hidden="1">#REF!</definedName>
    <definedName name="_Fill" localSheetId="3" hidden="1">#REF!</definedName>
    <definedName name="_Fill" hidden="1">#REF!</definedName>
    <definedName name="_xlnm._FilterDatabase" localSheetId="2" hidden="1">場所打ち杭!#REF!</definedName>
    <definedName name="_xlnm._FilterDatabase" localSheetId="3" hidden="1">'場所打ち杭 (2)'!#REF!</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localSheetId="3" hidden="1">#REF!</definedName>
    <definedName name="DEL" hidden="1">#REF!</definedName>
    <definedName name="DF" localSheetId="1">入力!$G$29</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入力!$E$4:$E$19</definedName>
    <definedName name="_xlnm.Print_Area" localSheetId="2">場所打ち杭!$B$1:$AI$1302</definedName>
    <definedName name="_xlnm.Print_Area" localSheetId="3">'場所打ち杭 (2)'!$B$1:$AI$1316</definedName>
    <definedName name="β1_線路" localSheetId="2">場所打ち杭!$H$467</definedName>
    <definedName name="β1_線路" localSheetId="3">'場所打ち杭 (2)'!$H$467</definedName>
    <definedName name="β1_線路液状L1" localSheetId="2">場所打ち杭!$H$501</definedName>
    <definedName name="β1_線路液状L1" localSheetId="3">'場所打ち杭 (2)'!$H$501</definedName>
    <definedName name="β1_線路液状L2" localSheetId="2">場所打ち杭!$H$535</definedName>
    <definedName name="β1_線路液状L2" localSheetId="3">'場所打ち杭 (2)'!$H$535</definedName>
    <definedName name="β1_直角" localSheetId="2">場所打ち杭!$H$560</definedName>
    <definedName name="β1_直角" localSheetId="3">'場所打ち杭 (2)'!$H$560</definedName>
    <definedName name="β1_直角液状L1" localSheetId="2">場所打ち杭!$H$594</definedName>
    <definedName name="β1_直角液状L1" localSheetId="3">'場所打ち杭 (2)'!$H$594</definedName>
    <definedName name="β1_直角液状L2" localSheetId="2">場所打ち杭!$H$628</definedName>
    <definedName name="β1_直角液状L2" localSheetId="3">'場所打ち杭 (2)'!$H$628</definedName>
    <definedName name="βL_線路" localSheetId="2">場所打ち杭!$AB$448:$AE$463</definedName>
    <definedName name="βL_線路" localSheetId="3">'場所打ち杭 (2)'!$AB$448:$AE$463</definedName>
    <definedName name="βL_線路液状L1" localSheetId="2">場所打ち杭!$AB$482:$AE$497</definedName>
    <definedName name="βL_線路液状L1" localSheetId="3">'場所打ち杭 (2)'!$AB$482:$AE$497</definedName>
    <definedName name="βL_線路液状L2" localSheetId="2">場所打ち杭!$AB$516:$AE$531</definedName>
    <definedName name="βL_線路液状L2" localSheetId="3">'場所打ち杭 (2)'!$AB$516:$AE$531</definedName>
    <definedName name="βL_直角" localSheetId="2">場所打ち杭!$AB$541:$AE$556</definedName>
    <definedName name="βL_直角" localSheetId="3">'場所打ち杭 (2)'!$AB$541:$AE$556</definedName>
    <definedName name="βL_直角液状L1" localSheetId="2">場所打ち杭!$AB$575:$AE$590</definedName>
    <definedName name="βL_直角液状L1" localSheetId="3">'場所打ち杭 (2)'!$AB$575:$AE$590</definedName>
    <definedName name="βL_直角液状L2" localSheetId="2">場所打ち杭!$AB$609:$AE$624</definedName>
    <definedName name="βL_直角液状L2" localSheetId="3">'場所打ち杭 (2)'!$AB$609:$AE$624</definedName>
    <definedName name="ええ" hidden="1">{"'表紙・目次 '!$A$8:$K$8"}</definedName>
    <definedName name="せん断バネTable線路_引" localSheetId="2">場所打ち杭!$T$685:$AC$700</definedName>
    <definedName name="せん断バネTable線路_引" localSheetId="3">'場所打ち杭 (2)'!$T$685:$AC$700</definedName>
    <definedName name="せん断バネTable線路_押" localSheetId="2">場所打ち杭!$E$685:$N$700</definedName>
    <definedName name="せん断バネTable線路_押" localSheetId="3">'場所打ち杭 (2)'!$E$685:$N$700</definedName>
    <definedName name="せん断バネTable線路液状L1_引" localSheetId="2">場所打ち杭!$T$708:$AC$723</definedName>
    <definedName name="せん断バネTable線路液状L1_引" localSheetId="3">'場所打ち杭 (2)'!$T$708:$AC$723</definedName>
    <definedName name="せん断バネTable線路液状L1_押" localSheetId="2">場所打ち杭!$E$708:$N$723</definedName>
    <definedName name="せん断バネTable線路液状L1_押" localSheetId="3">'場所打ち杭 (2)'!$E$708:$N$723</definedName>
    <definedName name="せん断バネTable線路液状L2_引" localSheetId="2">場所打ち杭!$T$731:$AC$746</definedName>
    <definedName name="せん断バネTable線路液状L2_引" localSheetId="3">'場所打ち杭 (2)'!$T$731:$AC$746</definedName>
    <definedName name="せん断バネTable線路液状L2_押" localSheetId="2">場所打ち杭!$E$731:$N$746</definedName>
    <definedName name="せん断バネTable線路液状L2_押" localSheetId="3">'場所打ち杭 (2)'!$E$731:$N$746</definedName>
    <definedName name="せん断バネTable短期_引" localSheetId="2">場所打ち杭!$T$662:$AC$677</definedName>
    <definedName name="せん断バネTable短期_引" localSheetId="3">'場所打ち杭 (2)'!$T$662:$AC$677</definedName>
    <definedName name="せん断バネTable短期_押" localSheetId="2">場所打ち杭!$E$662:$N$677</definedName>
    <definedName name="せん断バネTable短期_押" localSheetId="3">'場所打ち杭 (2)'!$E$662:$N$677</definedName>
    <definedName name="せん断バネTable長期_引" localSheetId="2">場所打ち杭!$T$639:$AC$654</definedName>
    <definedName name="せん断バネTable長期_引" localSheetId="3">'場所打ち杭 (2)'!$T$639:$AC$654</definedName>
    <definedName name="せん断バネTable長期_押" localSheetId="2">場所打ち杭!$E$639:$N$654</definedName>
    <definedName name="せん断バネTable長期_押" localSheetId="3">'場所打ち杭 (2)'!$E$639:$N$654</definedName>
    <definedName name="せん断バネTable直角_引" localSheetId="2">場所打ち杭!$T$754:$AC$769</definedName>
    <definedName name="せん断バネTable直角_引" localSheetId="3">'場所打ち杭 (2)'!$T$754:$AC$769</definedName>
    <definedName name="せん断バネTable直角_押" localSheetId="2">場所打ち杭!$E$754:$N$769</definedName>
    <definedName name="せん断バネTable直角_押" localSheetId="3">'場所打ち杭 (2)'!$E$754:$N$769</definedName>
    <definedName name="せん断バネTable直角液状L1_引" localSheetId="2">場所打ち杭!$T$777:$AC$792</definedName>
    <definedName name="せん断バネTable直角液状L1_引" localSheetId="3">'場所打ち杭 (2)'!$T$777:$AC$792</definedName>
    <definedName name="せん断バネTable直角液状L1_押" localSheetId="2">場所打ち杭!$E$777:$N$792</definedName>
    <definedName name="せん断バネTable直角液状L1_押" localSheetId="3">'場所打ち杭 (2)'!$E$777:$N$792</definedName>
    <definedName name="せん断バネTable直角液状L2_引" localSheetId="2">場所打ち杭!$T$800:$AC$815</definedName>
    <definedName name="せん断バネTable直角液状L2_引" localSheetId="3">'場所打ち杭 (2)'!$T$800:$AC$815</definedName>
    <definedName name="せん断バネTable直角液状L2_押" localSheetId="2">場所打ち杭!$E$800:$N$815</definedName>
    <definedName name="せん断バネTable直角液状L2_押" localSheetId="3">'場所打ち杭 (2)'!$E$800:$N$815</definedName>
    <definedName name="パスワード">ご利用方法!$B$16</definedName>
    <definedName name="ユーザー名">ご利用方法!$B$14</definedName>
    <definedName name="液状化DEL1" localSheetId="2">場所打ち杭!$Q$294:$T$309</definedName>
    <definedName name="液状化DEL1" localSheetId="3">'場所打ち杭 (2)'!$Q$294:$T$309</definedName>
    <definedName name="液状化DEL2" localSheetId="2">場所打ち杭!$Q$316:$T$331</definedName>
    <definedName name="液状化DEL2" localSheetId="3">'場所打ち杭 (2)'!$Q$316:$T$331</definedName>
    <definedName name="液状化L1の有無" localSheetId="2">場所打ち杭!$A$289</definedName>
    <definedName name="液状化L1の有無" localSheetId="3">'場所打ち杭 (2)'!$A$289</definedName>
    <definedName name="液状化L2の有無" localSheetId="2">場所打ち杭!$A$311</definedName>
    <definedName name="液状化L2の有無" localSheetId="3">'場所打ち杭 (2)'!$A$311</definedName>
    <definedName name="液状化低減係数" localSheetId="1">入力!$L$4:$M$19</definedName>
    <definedName name="杭径" localSheetId="1">入力!$G$23</definedName>
    <definedName name="杭種名称" localSheetId="1">入力!$J$23</definedName>
    <definedName name="杭周面の土層厚" localSheetId="2">場所打ち杭!$H$448:$J$463</definedName>
    <definedName name="杭周面の土層厚" localSheetId="3">'場所打ち杭 (2)'!$H$448:$J$463</definedName>
    <definedName name="杭周面の土層番号" localSheetId="2">場所打ち杭!$H$112:$J$127</definedName>
    <definedName name="杭周面の土層番号" localSheetId="3">'場所打ち杭 (2)'!$H$112:$J$127</definedName>
    <definedName name="杭周面の変形係数" localSheetId="2">場所打ち杭!$K$112:$P$127</definedName>
    <definedName name="杭周面の変形係数" localSheetId="3">'場所打ち杭 (2)'!$K$112:$P$127</definedName>
    <definedName name="杭先端Ed" localSheetId="2">場所打ち杭!$K$92</definedName>
    <definedName name="杭先端Ed" localSheetId="3">'場所打ち杭 (2)'!$K$92</definedName>
    <definedName name="杭先端径" localSheetId="2">場所打ち杭!$Q$92</definedName>
    <definedName name="杭先端径" localSheetId="3">'場所打ち杭 (2)'!$Q$92</definedName>
    <definedName name="杭長" localSheetId="1">入力!$G$26</definedName>
    <definedName name="施工条件" localSheetId="2">入力!$J$26</definedName>
    <definedName name="施工条件" localSheetId="3">入力!$J$26</definedName>
    <definedName name="施工条件" localSheetId="1">入力!$J$26</definedName>
    <definedName name="湿潤重量" localSheetId="1">入力!$F$4:$F$19</definedName>
    <definedName name="周面砂式" localSheetId="2">場所打ち杭!$X$865</definedName>
    <definedName name="周面砂式" localSheetId="3">'場所打ち杭 (2)'!$X$865</definedName>
    <definedName name="周面砂上限値" localSheetId="2">場所打ち杭!$AB$865</definedName>
    <definedName name="周面砂上限値" localSheetId="3">'場所打ち杭 (2)'!$AB$865</definedName>
    <definedName name="周面支持力Table線路_引" localSheetId="2">場所打ち杭!$T$926:$AD$941</definedName>
    <definedName name="周面支持力Table線路_引" localSheetId="3">'場所打ち杭 (2)'!$T$926:$AD$941</definedName>
    <definedName name="周面支持力Table線路_押" localSheetId="2">場所打ち杭!$E$926:$O$941</definedName>
    <definedName name="周面支持力Table線路_押" localSheetId="3">'場所打ち杭 (2)'!$E$926:$O$941</definedName>
    <definedName name="周面支持力Table線路液状L1_引" localSheetId="2">場所打ち杭!$T$950:$AD$965</definedName>
    <definedName name="周面支持力Table線路液状L1_引" localSheetId="3">'場所打ち杭 (2)'!$T$950:$AD$965</definedName>
    <definedName name="周面支持力Table線路液状L1_押" localSheetId="2">場所打ち杭!$E$950:$O$965</definedName>
    <definedName name="周面支持力Table線路液状L1_押" localSheetId="3">'場所打ち杭 (2)'!$E$950:$O$965</definedName>
    <definedName name="周面支持力Table線路液状L2_引" localSheetId="2">場所打ち杭!$T$974:$AD$989</definedName>
    <definedName name="周面支持力Table線路液状L2_引" localSheetId="3">'場所打ち杭 (2)'!$T$974:$AD$989</definedName>
    <definedName name="周面支持力Table線路液状L2_押" localSheetId="2">場所打ち杭!$E$974:$O$989</definedName>
    <definedName name="周面支持力Table線路液状L2_押" localSheetId="3">'場所打ち杭 (2)'!$E$974:$O$989</definedName>
    <definedName name="周面支持力Table短期_引" localSheetId="2">場所打ち杭!$T$902:$AD$917</definedName>
    <definedName name="周面支持力Table短期_引" localSheetId="3">'場所打ち杭 (2)'!$T$902:$AD$917</definedName>
    <definedName name="周面支持力Table短期_押" localSheetId="2">場所打ち杭!$E$902:$O$917</definedName>
    <definedName name="周面支持力Table短期_押" localSheetId="3">'場所打ち杭 (2)'!$E$902:$O$917</definedName>
    <definedName name="周面支持力Table長期_引" localSheetId="2">場所打ち杭!$T$878:$AD$893</definedName>
    <definedName name="周面支持力Table長期_引" localSheetId="3">'場所打ち杭 (2)'!$T$878:$AD$893</definedName>
    <definedName name="周面支持力Table長期_押" localSheetId="2">場所打ち杭!$E$878:$O$893</definedName>
    <definedName name="周面支持力Table長期_押" localSheetId="3">'場所打ち杭 (2)'!$E$878:$O$893</definedName>
    <definedName name="周面支持力Table直角_引" localSheetId="2">場所打ち杭!$T$998:$AD$1013</definedName>
    <definedName name="周面支持力Table直角_引" localSheetId="3">'場所打ち杭 (2)'!$T$998:$AD$1013</definedName>
    <definedName name="周面支持力Table直角_押" localSheetId="2">場所打ち杭!$E$998:$O$1013</definedName>
    <definedName name="周面支持力Table直角_押" localSheetId="3">'場所打ち杭 (2)'!$E$998:$O$1013</definedName>
    <definedName name="周面支持力Table直角液状L1_引" localSheetId="2">場所打ち杭!$T$1022:$AD$1037</definedName>
    <definedName name="周面支持力Table直角液状L1_引" localSheetId="3">'場所打ち杭 (2)'!$T$1022:$AD$1037</definedName>
    <definedName name="周面支持力Table直角液状L1_押" localSheetId="2">場所打ち杭!$E$1022:$O$1037</definedName>
    <definedName name="周面支持力Table直角液状L1_押" localSheetId="3">'場所打ち杭 (2)'!$E$1022:$O$1037</definedName>
    <definedName name="周面支持力Table直角液状L2_引" localSheetId="2">場所打ち杭!$T$1046:$AD$1061</definedName>
    <definedName name="周面支持力Table直角液状L2_引" localSheetId="3">'場所打ち杭 (2)'!$T$1046:$AD$1061</definedName>
    <definedName name="周面支持力Table直角液状L2_押" localSheetId="2">場所打ち杭!$E$1046:$O$1061</definedName>
    <definedName name="周面支持力Table直角液状L2_押" localSheetId="3">'場所打ち杭 (2)'!$E$1046:$O$1061</definedName>
    <definedName name="周面粘式c" localSheetId="2">場所打ち杭!$T$866</definedName>
    <definedName name="周面粘式c" localSheetId="3">'場所打ち杭 (2)'!$T$866</definedName>
    <definedName name="周面粘式c上限値" localSheetId="2">場所打ち杭!$X$866</definedName>
    <definedName name="周面粘式c上限値" localSheetId="3">'場所打ち杭 (2)'!$X$866</definedName>
    <definedName name="周面粘式N" localSheetId="2">場所打ち杭!$AB$866</definedName>
    <definedName name="周面粘式N" localSheetId="3">'場所打ち杭 (2)'!$AB$866</definedName>
    <definedName name="周面粘式N上限値" localSheetId="2">場所打ち杭!$AE$866</definedName>
    <definedName name="周面粘式N上限値" localSheetId="3">'場所打ち杭 (2)'!$AE$866</definedName>
    <definedName name="終局せん断" hidden="1">{"'表紙・目次 '!$A$8:$K$8"}</definedName>
    <definedName name="水位" localSheetId="1">入力!$G$32</definedName>
    <definedName name="水中重量" localSheetId="1">入力!$G$4:$G$19</definedName>
    <definedName name="設計条件" hidden="1">{"'表紙・目次 '!$A$8:$K$8"}</definedName>
    <definedName name="先端N" localSheetId="2">場所打ち杭!$K$846</definedName>
    <definedName name="先端N" localSheetId="3">'場所打ち杭 (2)'!$K$846</definedName>
    <definedName name="先端qtk" localSheetId="2">場所打ち杭!$H$845</definedName>
    <definedName name="先端qtk" localSheetId="3">'場所打ち杭 (2)'!$H$845</definedName>
    <definedName name="先端qtk式" localSheetId="2">場所打ち杭!$K$845</definedName>
    <definedName name="先端qtk式" localSheetId="3">'場所打ち杭 (2)'!$K$845</definedName>
    <definedName name="先端qtk上限" localSheetId="2">場所打ち杭!$O$847</definedName>
    <definedName name="先端qtk上限" localSheetId="3">'場所打ち杭 (2)'!$O$847</definedName>
    <definedName name="線路_Lm" localSheetId="1">入力!$N$24</definedName>
    <definedName name="線路_Ln" localSheetId="1">入力!$N$25</definedName>
    <definedName name="線路_m" localSheetId="1">入力!$P$24</definedName>
    <definedName name="線路_n" localSheetId="1">入力!$P$25</definedName>
    <definedName name="層厚" localSheetId="1">入力!$C$4:$C$19</definedName>
    <definedName name="層番" localSheetId="1">入力!$B$4:$B$19</definedName>
    <definedName name="単位体積重量" localSheetId="1">入力!$J$29</definedName>
    <definedName name="短期せん断地盤係数" localSheetId="2">場所打ち杭!$AC$112:$AH$127</definedName>
    <definedName name="短期せん断地盤係数" localSheetId="3">'場所打ち杭 (2)'!$AC$112:$AH$127</definedName>
    <definedName name="弾性係数" localSheetId="1">入力!$J$32</definedName>
    <definedName name="長期せん断地盤係数" localSheetId="2">場所打ち杭!$T$112:$Y$127</definedName>
    <definedName name="長期せん断地盤係数" localSheetId="3">'場所打ち杭 (2)'!$T$112:$Y$127</definedName>
    <definedName name="直角_Lm" localSheetId="1">入力!$N$27</definedName>
    <definedName name="直角_Ln" localSheetId="1">入力!$N$28</definedName>
    <definedName name="直角_m" localSheetId="1">入力!$P$27</definedName>
    <definedName name="直角_n" localSheetId="1">入力!$P$28</definedName>
    <definedName name="抵抗モーメント" hidden="1">[3]ｽｲﾍｲ!$C$22</definedName>
    <definedName name="土質区分" localSheetId="1">入力!$D$4:$D$19</definedName>
    <definedName name="内部摩擦角" localSheetId="1">入力!$H$4:$I$19</definedName>
    <definedName name="粘着力" localSheetId="1">入力!$J$4:$J$19</definedName>
    <definedName name="白紙" hidden="1">[2]ｽｲﾍｲ!$C$22</definedName>
    <definedName name="変形係数" localSheetId="1">入力!$K$4:$K$19</definedName>
  </definedNames>
  <calcPr calcId="152511"/>
</workbook>
</file>

<file path=xl/calcChain.xml><?xml version="1.0" encoding="utf-8"?>
<calcChain xmlns="http://schemas.openxmlformats.org/spreadsheetml/2006/main">
  <c r="A1166" i="47" l="1"/>
  <c r="A1165" i="47"/>
  <c r="P1314" i="60"/>
  <c r="N1314" i="60"/>
  <c r="P1315" i="60" s="1"/>
  <c r="W1313" i="60"/>
  <c r="O1228" i="60"/>
  <c r="O1229" i="60" s="1"/>
  <c r="Q1177" i="60"/>
  <c r="Z1174" i="60"/>
  <c r="Q1174" i="60"/>
  <c r="A1169" i="60"/>
  <c r="A1168" i="60"/>
  <c r="X1143" i="60"/>
  <c r="H1143" i="60"/>
  <c r="H1142" i="60" s="1"/>
  <c r="X1142" i="60"/>
  <c r="G1143" i="60" s="1"/>
  <c r="A1142" i="60"/>
  <c r="A1125" i="60"/>
  <c r="A1124" i="60"/>
  <c r="A1123" i="60"/>
  <c r="A1108" i="60"/>
  <c r="A1107" i="60"/>
  <c r="A1097" i="60"/>
  <c r="A1096" i="60"/>
  <c r="A1064" i="60"/>
  <c r="A1063" i="60"/>
  <c r="AE1061" i="60"/>
  <c r="P1061" i="60"/>
  <c r="A1061" i="60"/>
  <c r="AE1060" i="60"/>
  <c r="P1060" i="60"/>
  <c r="A1060" i="60"/>
  <c r="AE1059" i="60"/>
  <c r="P1059" i="60"/>
  <c r="A1059" i="60"/>
  <c r="AE1058" i="60"/>
  <c r="P1058" i="60"/>
  <c r="A1058" i="60"/>
  <c r="AE1057" i="60"/>
  <c r="P1057" i="60"/>
  <c r="A1057" i="60"/>
  <c r="AE1056" i="60"/>
  <c r="P1056" i="60"/>
  <c r="A1056" i="60"/>
  <c r="AE1055" i="60"/>
  <c r="P1055" i="60"/>
  <c r="A1055" i="60"/>
  <c r="AE1054" i="60"/>
  <c r="P1054" i="60"/>
  <c r="A1054" i="60"/>
  <c r="AE1053" i="60"/>
  <c r="P1053" i="60"/>
  <c r="A1053" i="60"/>
  <c r="AE1052" i="60"/>
  <c r="A1052" i="60"/>
  <c r="A1051" i="60"/>
  <c r="A1050" i="60"/>
  <c r="A1049" i="60"/>
  <c r="A1048" i="60"/>
  <c r="A1047" i="60"/>
  <c r="A1046" i="60"/>
  <c r="A1045" i="60"/>
  <c r="A1044" i="60"/>
  <c r="A1043" i="60"/>
  <c r="A1042" i="60"/>
  <c r="A1040" i="60"/>
  <c r="A1039" i="60"/>
  <c r="AE1037" i="60"/>
  <c r="P1037" i="60"/>
  <c r="A1037" i="60"/>
  <c r="AE1036" i="60"/>
  <c r="P1036" i="60"/>
  <c r="A1036" i="60"/>
  <c r="AE1035" i="60"/>
  <c r="P1035" i="60"/>
  <c r="A1035" i="60"/>
  <c r="AE1034" i="60"/>
  <c r="P1034" i="60"/>
  <c r="A1034" i="60"/>
  <c r="AE1033" i="60"/>
  <c r="P1033" i="60"/>
  <c r="A1033" i="60"/>
  <c r="AE1032" i="60"/>
  <c r="P1032" i="60"/>
  <c r="A1032" i="60"/>
  <c r="AE1031" i="60"/>
  <c r="P1031" i="60"/>
  <c r="A1031" i="60"/>
  <c r="AE1030" i="60"/>
  <c r="P1030" i="60"/>
  <c r="A1030" i="60"/>
  <c r="AE1029" i="60"/>
  <c r="P1029" i="60"/>
  <c r="A1029" i="60"/>
  <c r="AE1028" i="60"/>
  <c r="A1028" i="60"/>
  <c r="A1027" i="60"/>
  <c r="A1026" i="60"/>
  <c r="A1025" i="60"/>
  <c r="A1024" i="60"/>
  <c r="A1023" i="60"/>
  <c r="A1022" i="60"/>
  <c r="A1021" i="60"/>
  <c r="A1020" i="60"/>
  <c r="A1019" i="60"/>
  <c r="A1018" i="60"/>
  <c r="AE1013" i="60"/>
  <c r="P1013" i="60"/>
  <c r="A1013" i="60"/>
  <c r="AE1012" i="60"/>
  <c r="P1012" i="60"/>
  <c r="A1012" i="60"/>
  <c r="AE1011" i="60"/>
  <c r="P1011" i="60"/>
  <c r="A1011" i="60"/>
  <c r="AE1010" i="60"/>
  <c r="P1010" i="60"/>
  <c r="A1010" i="60"/>
  <c r="AE1009" i="60"/>
  <c r="P1009" i="60"/>
  <c r="A1009" i="60"/>
  <c r="AE1008" i="60"/>
  <c r="P1008" i="60"/>
  <c r="A1008" i="60"/>
  <c r="AE1007" i="60"/>
  <c r="P1007" i="60"/>
  <c r="A1007" i="60"/>
  <c r="AE1006" i="60"/>
  <c r="P1006" i="60"/>
  <c r="A1006" i="60"/>
  <c r="AE1005" i="60"/>
  <c r="P1005" i="60"/>
  <c r="A1005" i="60"/>
  <c r="AE1004" i="60"/>
  <c r="A1004" i="60"/>
  <c r="A1003" i="60"/>
  <c r="A1002" i="60"/>
  <c r="A1001" i="60"/>
  <c r="A1000" i="60"/>
  <c r="A999" i="60"/>
  <c r="A998" i="60"/>
  <c r="A992" i="60"/>
  <c r="A991" i="60"/>
  <c r="A990" i="60"/>
  <c r="AE989" i="60"/>
  <c r="P989" i="60"/>
  <c r="A989" i="60"/>
  <c r="AE988" i="60"/>
  <c r="P988" i="60"/>
  <c r="A988" i="60"/>
  <c r="AE987" i="60"/>
  <c r="P987" i="60"/>
  <c r="A987" i="60"/>
  <c r="AE986" i="60"/>
  <c r="P986" i="60"/>
  <c r="A986" i="60"/>
  <c r="AE985" i="60"/>
  <c r="P985" i="60"/>
  <c r="A985" i="60"/>
  <c r="AE984" i="60"/>
  <c r="P984" i="60"/>
  <c r="A984" i="60"/>
  <c r="AE983" i="60"/>
  <c r="P983" i="60"/>
  <c r="A983" i="60"/>
  <c r="AE982" i="60"/>
  <c r="P982" i="60"/>
  <c r="A982" i="60"/>
  <c r="AE981" i="60"/>
  <c r="P981" i="60"/>
  <c r="A981" i="60"/>
  <c r="AE980" i="60"/>
  <c r="A980" i="60"/>
  <c r="A979" i="60"/>
  <c r="A978" i="60"/>
  <c r="A977" i="60"/>
  <c r="A976" i="60"/>
  <c r="A975" i="60"/>
  <c r="A974" i="60"/>
  <c r="A973" i="60"/>
  <c r="A972" i="60"/>
  <c r="A971" i="60"/>
  <c r="A970" i="60"/>
  <c r="A968" i="60"/>
  <c r="A967" i="60"/>
  <c r="A966" i="60"/>
  <c r="AE965" i="60"/>
  <c r="P965" i="60"/>
  <c r="A965" i="60"/>
  <c r="AE964" i="60"/>
  <c r="P964" i="60"/>
  <c r="A964" i="60"/>
  <c r="AE963" i="60"/>
  <c r="P963" i="60"/>
  <c r="A963" i="60"/>
  <c r="AE962" i="60"/>
  <c r="P962" i="60"/>
  <c r="A962" i="60"/>
  <c r="AE961" i="60"/>
  <c r="P961" i="60"/>
  <c r="A961" i="60"/>
  <c r="AE960" i="60"/>
  <c r="P960" i="60"/>
  <c r="A960" i="60"/>
  <c r="AE959" i="60"/>
  <c r="P959" i="60"/>
  <c r="A959" i="60"/>
  <c r="AE958" i="60"/>
  <c r="P958" i="60"/>
  <c r="A958" i="60"/>
  <c r="AE957" i="60"/>
  <c r="P957" i="60"/>
  <c r="A957" i="60"/>
  <c r="AE956" i="60"/>
  <c r="A956" i="60"/>
  <c r="A955" i="60"/>
  <c r="A954" i="60"/>
  <c r="A953" i="60"/>
  <c r="A952" i="60"/>
  <c r="A951" i="60"/>
  <c r="A950" i="60"/>
  <c r="A949" i="60"/>
  <c r="A948" i="60"/>
  <c r="A947" i="60"/>
  <c r="A946" i="60"/>
  <c r="AE941" i="60"/>
  <c r="P941" i="60"/>
  <c r="A941" i="60"/>
  <c r="AE940" i="60"/>
  <c r="P940" i="60"/>
  <c r="A940" i="60"/>
  <c r="AE939" i="60"/>
  <c r="P939" i="60"/>
  <c r="A939" i="60"/>
  <c r="AE938" i="60"/>
  <c r="P938" i="60"/>
  <c r="A938" i="60"/>
  <c r="AE937" i="60"/>
  <c r="P937" i="60"/>
  <c r="A937" i="60"/>
  <c r="AE936" i="60"/>
  <c r="P936" i="60"/>
  <c r="A936" i="60"/>
  <c r="AE935" i="60"/>
  <c r="P935" i="60"/>
  <c r="A935" i="60"/>
  <c r="AE934" i="60"/>
  <c r="P934" i="60"/>
  <c r="A934" i="60"/>
  <c r="AE933" i="60"/>
  <c r="P933" i="60"/>
  <c r="A933" i="60"/>
  <c r="AE932" i="60"/>
  <c r="A932" i="60"/>
  <c r="A931" i="60"/>
  <c r="A930" i="60"/>
  <c r="A929" i="60"/>
  <c r="A928" i="60"/>
  <c r="A927" i="60"/>
  <c r="A926" i="60"/>
  <c r="AE917" i="60"/>
  <c r="P917" i="60"/>
  <c r="A917" i="60"/>
  <c r="AE916" i="60"/>
  <c r="P916" i="60"/>
  <c r="A916" i="60"/>
  <c r="AE915" i="60"/>
  <c r="P915" i="60"/>
  <c r="A915" i="60"/>
  <c r="AE914" i="60"/>
  <c r="P914" i="60"/>
  <c r="A914" i="60"/>
  <c r="AE913" i="60"/>
  <c r="P913" i="60"/>
  <c r="A913" i="60"/>
  <c r="AE912" i="60"/>
  <c r="P912" i="60"/>
  <c r="A912" i="60"/>
  <c r="AE911" i="60"/>
  <c r="P911" i="60"/>
  <c r="A911" i="60"/>
  <c r="AE910" i="60"/>
  <c r="P910" i="60"/>
  <c r="A910" i="60"/>
  <c r="AE909" i="60"/>
  <c r="P909" i="60"/>
  <c r="A909" i="60"/>
  <c r="AE908" i="60"/>
  <c r="P908" i="60"/>
  <c r="A908" i="60"/>
  <c r="AE907" i="60"/>
  <c r="A907" i="60"/>
  <c r="A906" i="60"/>
  <c r="A905" i="60"/>
  <c r="A904" i="60"/>
  <c r="A903" i="60"/>
  <c r="A902" i="60"/>
  <c r="AE893" i="60"/>
  <c r="P893" i="60"/>
  <c r="A893" i="60"/>
  <c r="AE892" i="60"/>
  <c r="P892" i="60"/>
  <c r="A892" i="60"/>
  <c r="AE891" i="60"/>
  <c r="P891" i="60"/>
  <c r="A891" i="60"/>
  <c r="AE890" i="60"/>
  <c r="P890" i="60"/>
  <c r="A890" i="60"/>
  <c r="AE889" i="60"/>
  <c r="P889" i="60"/>
  <c r="A889" i="60"/>
  <c r="AE888" i="60"/>
  <c r="P888" i="60"/>
  <c r="A888" i="60"/>
  <c r="AE887" i="60"/>
  <c r="P887" i="60"/>
  <c r="A887" i="60"/>
  <c r="AE886" i="60"/>
  <c r="P886" i="60"/>
  <c r="A886" i="60"/>
  <c r="AE885" i="60"/>
  <c r="P885" i="60"/>
  <c r="A885" i="60"/>
  <c r="AE884" i="60"/>
  <c r="P884" i="60"/>
  <c r="A884" i="60"/>
  <c r="AE883" i="60"/>
  <c r="A883" i="60"/>
  <c r="A882" i="60"/>
  <c r="A881" i="60"/>
  <c r="A880" i="60"/>
  <c r="A879" i="60"/>
  <c r="A878" i="60"/>
  <c r="Q850" i="60"/>
  <c r="H846" i="60"/>
  <c r="A817" i="60"/>
  <c r="A816" i="60"/>
  <c r="AD815" i="60"/>
  <c r="O815" i="60"/>
  <c r="A815" i="60"/>
  <c r="AD814" i="60"/>
  <c r="O814" i="60"/>
  <c r="A814" i="60"/>
  <c r="AD813" i="60"/>
  <c r="O813" i="60"/>
  <c r="A813" i="60"/>
  <c r="AD812" i="60"/>
  <c r="O812" i="60"/>
  <c r="A812" i="60"/>
  <c r="AD811" i="60"/>
  <c r="O811" i="60"/>
  <c r="A811" i="60"/>
  <c r="AD810" i="60"/>
  <c r="O810" i="60"/>
  <c r="A810" i="60"/>
  <c r="AD809" i="60"/>
  <c r="O809" i="60"/>
  <c r="A809" i="60"/>
  <c r="AD808" i="60"/>
  <c r="O808" i="60"/>
  <c r="A808" i="60"/>
  <c r="AD807" i="60"/>
  <c r="O807" i="60"/>
  <c r="A807" i="60"/>
  <c r="AD806" i="60"/>
  <c r="A806" i="60"/>
  <c r="A805" i="60"/>
  <c r="A804" i="60"/>
  <c r="A803" i="60"/>
  <c r="A802" i="60"/>
  <c r="A801" i="60"/>
  <c r="A800" i="60"/>
  <c r="A799" i="60"/>
  <c r="A798" i="60"/>
  <c r="A797" i="60"/>
  <c r="A796" i="60"/>
  <c r="A794" i="60"/>
  <c r="A793" i="60"/>
  <c r="AD792" i="60"/>
  <c r="O792" i="60"/>
  <c r="A792" i="60"/>
  <c r="AD791" i="60"/>
  <c r="O791" i="60"/>
  <c r="A791" i="60"/>
  <c r="AD790" i="60"/>
  <c r="O790" i="60"/>
  <c r="A790" i="60"/>
  <c r="AD789" i="60"/>
  <c r="O789" i="60"/>
  <c r="A789" i="60"/>
  <c r="AD788" i="60"/>
  <c r="O788" i="60"/>
  <c r="A788" i="60"/>
  <c r="AD787" i="60"/>
  <c r="O787" i="60"/>
  <c r="A787" i="60"/>
  <c r="AD786" i="60"/>
  <c r="O786" i="60"/>
  <c r="A786" i="60"/>
  <c r="AD785" i="60"/>
  <c r="O785" i="60"/>
  <c r="A785" i="60"/>
  <c r="AD784" i="60"/>
  <c r="O784" i="60"/>
  <c r="A784" i="60"/>
  <c r="AD783" i="60"/>
  <c r="A783" i="60"/>
  <c r="A782" i="60"/>
  <c r="A781" i="60"/>
  <c r="A780" i="60"/>
  <c r="A779" i="60"/>
  <c r="A778" i="60"/>
  <c r="A777" i="60"/>
  <c r="A776" i="60"/>
  <c r="A775" i="60"/>
  <c r="A774" i="60"/>
  <c r="A773" i="60"/>
  <c r="AD769" i="60"/>
  <c r="O769" i="60"/>
  <c r="A769" i="60"/>
  <c r="AD768" i="60"/>
  <c r="O768" i="60"/>
  <c r="A768" i="60"/>
  <c r="AD767" i="60"/>
  <c r="O767" i="60"/>
  <c r="A767" i="60"/>
  <c r="AD766" i="60"/>
  <c r="O766" i="60"/>
  <c r="A766" i="60"/>
  <c r="AD765" i="60"/>
  <c r="O765" i="60"/>
  <c r="A765" i="60"/>
  <c r="AD764" i="60"/>
  <c r="O764" i="60"/>
  <c r="A764" i="60"/>
  <c r="AD763" i="60"/>
  <c r="O763" i="60"/>
  <c r="A763" i="60"/>
  <c r="AD762" i="60"/>
  <c r="O762" i="60"/>
  <c r="A762" i="60"/>
  <c r="AD761" i="60"/>
  <c r="O761" i="60"/>
  <c r="A761" i="60"/>
  <c r="AD760" i="60"/>
  <c r="A760" i="60"/>
  <c r="A759" i="60"/>
  <c r="A758" i="60"/>
  <c r="A757" i="60"/>
  <c r="A756" i="60"/>
  <c r="A755" i="60"/>
  <c r="A754" i="60"/>
  <c r="A748" i="60"/>
  <c r="A747" i="60"/>
  <c r="AD746" i="60"/>
  <c r="O746" i="60"/>
  <c r="A746" i="60"/>
  <c r="AD745" i="60"/>
  <c r="O745" i="60"/>
  <c r="A745" i="60"/>
  <c r="AD744" i="60"/>
  <c r="O744" i="60"/>
  <c r="A744" i="60"/>
  <c r="AD743" i="60"/>
  <c r="O743" i="60"/>
  <c r="A743" i="60"/>
  <c r="AD742" i="60"/>
  <c r="O742" i="60"/>
  <c r="A742" i="60"/>
  <c r="AD741" i="60"/>
  <c r="O741" i="60"/>
  <c r="A741" i="60"/>
  <c r="AD740" i="60"/>
  <c r="O740" i="60"/>
  <c r="A740" i="60"/>
  <c r="AD739" i="60"/>
  <c r="O739" i="60"/>
  <c r="A739" i="60"/>
  <c r="AD738" i="60"/>
  <c r="O738" i="60"/>
  <c r="A738" i="60"/>
  <c r="AD737" i="60"/>
  <c r="A737" i="60"/>
  <c r="A736" i="60"/>
  <c r="A735" i="60"/>
  <c r="A734" i="60"/>
  <c r="A733" i="60"/>
  <c r="A732" i="60"/>
  <c r="A731" i="60"/>
  <c r="A730" i="60"/>
  <c r="A729" i="60"/>
  <c r="A728" i="60"/>
  <c r="A727" i="60"/>
  <c r="A725" i="60"/>
  <c r="A724" i="60"/>
  <c r="AD723" i="60"/>
  <c r="O723" i="60"/>
  <c r="A723" i="60"/>
  <c r="AD722" i="60"/>
  <c r="O722" i="60"/>
  <c r="A722" i="60"/>
  <c r="AD721" i="60"/>
  <c r="O721" i="60"/>
  <c r="A721" i="60"/>
  <c r="AD720" i="60"/>
  <c r="O720" i="60"/>
  <c r="A720" i="60"/>
  <c r="AD719" i="60"/>
  <c r="O719" i="60"/>
  <c r="A719" i="60"/>
  <c r="AD718" i="60"/>
  <c r="O718" i="60"/>
  <c r="A718" i="60"/>
  <c r="AD717" i="60"/>
  <c r="O717" i="60"/>
  <c r="A717" i="60"/>
  <c r="AD716" i="60"/>
  <c r="O716" i="60"/>
  <c r="A716" i="60"/>
  <c r="AD715" i="60"/>
  <c r="O715" i="60"/>
  <c r="A715" i="60"/>
  <c r="AD714" i="60"/>
  <c r="A714" i="60"/>
  <c r="A713" i="60"/>
  <c r="A712" i="60"/>
  <c r="A711" i="60"/>
  <c r="A710" i="60"/>
  <c r="A709" i="60"/>
  <c r="A708" i="60"/>
  <c r="A707" i="60"/>
  <c r="A706" i="60"/>
  <c r="A705" i="60"/>
  <c r="A704" i="60"/>
  <c r="AD700" i="60"/>
  <c r="O700" i="60"/>
  <c r="A700" i="60"/>
  <c r="AD699" i="60"/>
  <c r="O699" i="60"/>
  <c r="A699" i="60"/>
  <c r="AD698" i="60"/>
  <c r="O698" i="60"/>
  <c r="A698" i="60"/>
  <c r="AD697" i="60"/>
  <c r="O697" i="60"/>
  <c r="A697" i="60"/>
  <c r="AD696" i="60"/>
  <c r="O696" i="60"/>
  <c r="A696" i="60"/>
  <c r="AD695" i="60"/>
  <c r="O695" i="60"/>
  <c r="A695" i="60"/>
  <c r="AD694" i="60"/>
  <c r="O694" i="60"/>
  <c r="A694" i="60"/>
  <c r="AD693" i="60"/>
  <c r="O693" i="60"/>
  <c r="A693" i="60"/>
  <c r="AD692" i="60"/>
  <c r="O692" i="60"/>
  <c r="A692" i="60"/>
  <c r="AD691" i="60"/>
  <c r="A691" i="60"/>
  <c r="A690" i="60"/>
  <c r="A689" i="60"/>
  <c r="A688" i="60"/>
  <c r="A687" i="60"/>
  <c r="A686" i="60"/>
  <c r="A685" i="60"/>
  <c r="AD677" i="60"/>
  <c r="O677" i="60"/>
  <c r="A677" i="60"/>
  <c r="AD676" i="60"/>
  <c r="O676" i="60"/>
  <c r="A676" i="60"/>
  <c r="AD675" i="60"/>
  <c r="O675" i="60"/>
  <c r="A675" i="60"/>
  <c r="AD674" i="60"/>
  <c r="O674" i="60"/>
  <c r="A674" i="60"/>
  <c r="AD673" i="60"/>
  <c r="O673" i="60"/>
  <c r="A673" i="60"/>
  <c r="AD672" i="60"/>
  <c r="O672" i="60"/>
  <c r="A672" i="60"/>
  <c r="AD671" i="60"/>
  <c r="O671" i="60"/>
  <c r="A671" i="60"/>
  <c r="AD670" i="60"/>
  <c r="O670" i="60"/>
  <c r="A670" i="60"/>
  <c r="AD669" i="60"/>
  <c r="O669" i="60"/>
  <c r="A669" i="60"/>
  <c r="AD668" i="60"/>
  <c r="O668" i="60"/>
  <c r="A668" i="60"/>
  <c r="AD667" i="60"/>
  <c r="A667" i="60"/>
  <c r="AD666" i="60"/>
  <c r="O666" i="60"/>
  <c r="A666" i="60"/>
  <c r="A665" i="60"/>
  <c r="A664" i="60"/>
  <c r="AD663" i="60"/>
  <c r="O663" i="60"/>
  <c r="A663" i="60"/>
  <c r="AD662" i="60"/>
  <c r="A662" i="60"/>
  <c r="AD655" i="60"/>
  <c r="AD678" i="60" s="1"/>
  <c r="AD654" i="60"/>
  <c r="O654" i="60"/>
  <c r="A654" i="60"/>
  <c r="AD653" i="60"/>
  <c r="O653" i="60"/>
  <c r="A653" i="60"/>
  <c r="AD652" i="60"/>
  <c r="O652" i="60"/>
  <c r="A652" i="60"/>
  <c r="AD651" i="60"/>
  <c r="O651" i="60"/>
  <c r="A651" i="60"/>
  <c r="AD650" i="60"/>
  <c r="O650" i="60"/>
  <c r="A650" i="60"/>
  <c r="AD649" i="60"/>
  <c r="O649" i="60"/>
  <c r="A649" i="60"/>
  <c r="AD648" i="60"/>
  <c r="O648" i="60"/>
  <c r="A648" i="60"/>
  <c r="AD647" i="60"/>
  <c r="O647" i="60"/>
  <c r="A647" i="60"/>
  <c r="AD646" i="60"/>
  <c r="O646" i="60"/>
  <c r="A646" i="60"/>
  <c r="AD645" i="60"/>
  <c r="O645" i="60"/>
  <c r="A645" i="60"/>
  <c r="AD644" i="60"/>
  <c r="O644" i="60"/>
  <c r="A644" i="60"/>
  <c r="AD643" i="60"/>
  <c r="O643" i="60"/>
  <c r="A643" i="60"/>
  <c r="AD642" i="60"/>
  <c r="O642" i="60"/>
  <c r="A642" i="60"/>
  <c r="AD641" i="60"/>
  <c r="O641" i="60"/>
  <c r="A641" i="60"/>
  <c r="AD640" i="60"/>
  <c r="O640" i="60"/>
  <c r="A640" i="60"/>
  <c r="AD639" i="60"/>
  <c r="O639" i="60"/>
  <c r="A639" i="60"/>
  <c r="A628" i="60"/>
  <c r="A627" i="60"/>
  <c r="A626" i="60"/>
  <c r="A625" i="60"/>
  <c r="A624" i="60"/>
  <c r="H623" i="60"/>
  <c r="A623" i="60"/>
  <c r="A622" i="60"/>
  <c r="A621" i="60"/>
  <c r="A620" i="60"/>
  <c r="A619" i="60"/>
  <c r="A618" i="60"/>
  <c r="A617" i="60"/>
  <c r="A616" i="60"/>
  <c r="A615" i="60"/>
  <c r="A614" i="60"/>
  <c r="A613" i="60"/>
  <c r="H612" i="60"/>
  <c r="A612" i="60"/>
  <c r="A611" i="60"/>
  <c r="A610" i="60"/>
  <c r="A609" i="60"/>
  <c r="A608" i="60"/>
  <c r="A607" i="60"/>
  <c r="A606" i="60"/>
  <c r="Z601" i="60"/>
  <c r="Q601" i="60"/>
  <c r="A594" i="60"/>
  <c r="A593" i="60"/>
  <c r="A592" i="60"/>
  <c r="A591" i="60"/>
  <c r="H590" i="60"/>
  <c r="H624" i="60" s="1"/>
  <c r="A590" i="60"/>
  <c r="A589" i="60"/>
  <c r="A588" i="60"/>
  <c r="A587" i="60"/>
  <c r="A586" i="60"/>
  <c r="A585" i="60"/>
  <c r="A584" i="60"/>
  <c r="H583" i="60"/>
  <c r="H617" i="60" s="1"/>
  <c r="A583" i="60"/>
  <c r="A582" i="60"/>
  <c r="A581" i="60"/>
  <c r="A580" i="60"/>
  <c r="A579" i="60"/>
  <c r="A578" i="60"/>
  <c r="A577" i="60"/>
  <c r="A576" i="60"/>
  <c r="A575" i="60"/>
  <c r="A574" i="60"/>
  <c r="A573" i="60"/>
  <c r="A572" i="60"/>
  <c r="Z567" i="60"/>
  <c r="Q567" i="60"/>
  <c r="E556" i="60"/>
  <c r="E590" i="60" s="1"/>
  <c r="E624" i="60" s="1"/>
  <c r="A556" i="60"/>
  <c r="H555" i="60"/>
  <c r="H589" i="60" s="1"/>
  <c r="E554" i="60"/>
  <c r="E551" i="60"/>
  <c r="A550" i="60"/>
  <c r="H549" i="60"/>
  <c r="E542" i="60"/>
  <c r="E576" i="60" s="1"/>
  <c r="E610" i="60" s="1"/>
  <c r="A542" i="60"/>
  <c r="H541" i="60"/>
  <c r="H575" i="60" s="1"/>
  <c r="H609" i="60" s="1"/>
  <c r="A535" i="60"/>
  <c r="A534" i="60"/>
  <c r="A533" i="60"/>
  <c r="A532" i="60"/>
  <c r="A531" i="60"/>
  <c r="H530" i="60"/>
  <c r="A530" i="60"/>
  <c r="H529" i="60"/>
  <c r="H554" i="60" s="1"/>
  <c r="H588" i="60" s="1"/>
  <c r="H622" i="60" s="1"/>
  <c r="E529" i="60"/>
  <c r="A529" i="60"/>
  <c r="A528" i="60"/>
  <c r="H527" i="60"/>
  <c r="H552" i="60" s="1"/>
  <c r="H586" i="60" s="1"/>
  <c r="H620" i="60" s="1"/>
  <c r="A527" i="60"/>
  <c r="A526" i="60"/>
  <c r="H525" i="60"/>
  <c r="H550" i="60" s="1"/>
  <c r="H584" i="60" s="1"/>
  <c r="H618" i="60" s="1"/>
  <c r="A525" i="60"/>
  <c r="A524" i="60"/>
  <c r="A523" i="60"/>
  <c r="H522" i="60"/>
  <c r="H547" i="60" s="1"/>
  <c r="H581" i="60" s="1"/>
  <c r="H615" i="60" s="1"/>
  <c r="A522" i="60"/>
  <c r="H521" i="60"/>
  <c r="H546" i="60" s="1"/>
  <c r="H580" i="60" s="1"/>
  <c r="H614" i="60" s="1"/>
  <c r="A521" i="60"/>
  <c r="H520" i="60"/>
  <c r="H545" i="60" s="1"/>
  <c r="H579" i="60" s="1"/>
  <c r="H613" i="60" s="1"/>
  <c r="A520" i="60"/>
  <c r="H519" i="60"/>
  <c r="H544" i="60" s="1"/>
  <c r="H578" i="60" s="1"/>
  <c r="A519" i="60"/>
  <c r="A518" i="60"/>
  <c r="H517" i="60"/>
  <c r="H542" i="60" s="1"/>
  <c r="H576" i="60" s="1"/>
  <c r="H610" i="60" s="1"/>
  <c r="A517" i="60"/>
  <c r="A516" i="60"/>
  <c r="A515" i="60"/>
  <c r="A514" i="60"/>
  <c r="A513" i="60"/>
  <c r="Z508" i="60"/>
  <c r="Q508" i="60"/>
  <c r="A501" i="60"/>
  <c r="A500" i="60"/>
  <c r="A499" i="60"/>
  <c r="A498" i="60"/>
  <c r="H497" i="60"/>
  <c r="H531" i="60" s="1"/>
  <c r="H556" i="60" s="1"/>
  <c r="A497" i="60"/>
  <c r="H496" i="60"/>
  <c r="A496" i="60"/>
  <c r="H495" i="60"/>
  <c r="A495" i="60"/>
  <c r="H494" i="60"/>
  <c r="H528" i="60" s="1"/>
  <c r="H553" i="60" s="1"/>
  <c r="H587" i="60" s="1"/>
  <c r="H621" i="60" s="1"/>
  <c r="A494" i="60"/>
  <c r="H493" i="60"/>
  <c r="A493" i="60"/>
  <c r="H492" i="60"/>
  <c r="H526" i="60" s="1"/>
  <c r="H551" i="60" s="1"/>
  <c r="H585" i="60" s="1"/>
  <c r="H619" i="60" s="1"/>
  <c r="A492" i="60"/>
  <c r="H491" i="60"/>
  <c r="A491" i="60"/>
  <c r="H490" i="60"/>
  <c r="H524" i="60" s="1"/>
  <c r="A490" i="60"/>
  <c r="H489" i="60"/>
  <c r="H523" i="60" s="1"/>
  <c r="H548" i="60" s="1"/>
  <c r="H582" i="60" s="1"/>
  <c r="H616" i="60" s="1"/>
  <c r="A489" i="60"/>
  <c r="H488" i="60"/>
  <c r="A488" i="60"/>
  <c r="H487" i="60"/>
  <c r="A487" i="60"/>
  <c r="H486" i="60"/>
  <c r="A486" i="60"/>
  <c r="H485" i="60"/>
  <c r="A485" i="60"/>
  <c r="H484" i="60"/>
  <c r="H518" i="60" s="1"/>
  <c r="H543" i="60" s="1"/>
  <c r="H577" i="60" s="1"/>
  <c r="H611" i="60" s="1"/>
  <c r="A484" i="60"/>
  <c r="H483" i="60"/>
  <c r="A483" i="60"/>
  <c r="H482" i="60"/>
  <c r="H516" i="60" s="1"/>
  <c r="A482" i="60"/>
  <c r="A481" i="60"/>
  <c r="A480" i="60"/>
  <c r="A479" i="60"/>
  <c r="Z474" i="60"/>
  <c r="Q474" i="60"/>
  <c r="A463" i="60"/>
  <c r="A462" i="60"/>
  <c r="A461" i="60"/>
  <c r="A460" i="60"/>
  <c r="A459" i="60"/>
  <c r="A458" i="60"/>
  <c r="E457" i="60"/>
  <c r="E491" i="60" s="1"/>
  <c r="E525" i="60" s="1"/>
  <c r="A457" i="60"/>
  <c r="A456" i="60"/>
  <c r="A455" i="60"/>
  <c r="A454" i="60"/>
  <c r="A453" i="60"/>
  <c r="A452" i="60"/>
  <c r="A451" i="60"/>
  <c r="A450" i="60"/>
  <c r="E449" i="60"/>
  <c r="E483" i="60" s="1"/>
  <c r="E517" i="60" s="1"/>
  <c r="A449" i="60"/>
  <c r="E448" i="60"/>
  <c r="E482" i="60" s="1"/>
  <c r="E516" i="60" s="1"/>
  <c r="A448" i="60"/>
  <c r="AD441" i="60"/>
  <c r="AB440" i="60"/>
  <c r="X557" i="60" s="1"/>
  <c r="X591" i="60" s="1"/>
  <c r="X625" i="60" s="1"/>
  <c r="V440" i="60"/>
  <c r="R438" i="60"/>
  <c r="S416" i="60"/>
  <c r="A405" i="60"/>
  <c r="A404" i="60"/>
  <c r="Q403" i="60"/>
  <c r="A403" i="60"/>
  <c r="Q402" i="60"/>
  <c r="A402" i="60"/>
  <c r="Q401" i="60"/>
  <c r="A401" i="60"/>
  <c r="Q400" i="60"/>
  <c r="A400" i="60"/>
  <c r="Q399" i="60"/>
  <c r="A399" i="60"/>
  <c r="Q398" i="60"/>
  <c r="A398" i="60"/>
  <c r="Q397" i="60"/>
  <c r="A397" i="60"/>
  <c r="Q396" i="60"/>
  <c r="A396" i="60"/>
  <c r="Q395" i="60"/>
  <c r="A395" i="60"/>
  <c r="Q394" i="60"/>
  <c r="A394" i="60"/>
  <c r="Q393" i="60"/>
  <c r="A393" i="60"/>
  <c r="Q392" i="60"/>
  <c r="A392" i="60"/>
  <c r="Q391" i="60"/>
  <c r="A391" i="60"/>
  <c r="Q390" i="60"/>
  <c r="A390" i="60"/>
  <c r="Q389" i="60"/>
  <c r="A389" i="60"/>
  <c r="Q388" i="60"/>
  <c r="F388" i="60"/>
  <c r="A388" i="60"/>
  <c r="A387" i="60"/>
  <c r="A386" i="60"/>
  <c r="A385" i="60"/>
  <c r="A384" i="60"/>
  <c r="A383" i="60"/>
  <c r="A382" i="60"/>
  <c r="Q381" i="60"/>
  <c r="A381" i="60"/>
  <c r="Q380" i="60"/>
  <c r="A380" i="60"/>
  <c r="Q379" i="60"/>
  <c r="A379" i="60"/>
  <c r="Q378" i="60"/>
  <c r="A378" i="60"/>
  <c r="Q377" i="60"/>
  <c r="A377" i="60"/>
  <c r="Q376" i="60"/>
  <c r="A376" i="60"/>
  <c r="Q375" i="60"/>
  <c r="A375" i="60"/>
  <c r="Q374" i="60"/>
  <c r="F374" i="60"/>
  <c r="A374" i="60"/>
  <c r="Q373" i="60"/>
  <c r="A373" i="60"/>
  <c r="Q372" i="60"/>
  <c r="A372" i="60"/>
  <c r="Q371" i="60"/>
  <c r="A371" i="60"/>
  <c r="Q370" i="60"/>
  <c r="A370" i="60"/>
  <c r="Q369" i="60"/>
  <c r="A369" i="60"/>
  <c r="Q368" i="60"/>
  <c r="A368" i="60"/>
  <c r="Q367" i="60"/>
  <c r="A367" i="60"/>
  <c r="Q366" i="60"/>
  <c r="A366" i="60"/>
  <c r="A365" i="60"/>
  <c r="A364" i="60"/>
  <c r="A363" i="60"/>
  <c r="A362" i="60"/>
  <c r="A361" i="60"/>
  <c r="I352" i="60"/>
  <c r="M348" i="60"/>
  <c r="M398" i="60" s="1"/>
  <c r="Z398" i="60" s="1"/>
  <c r="F338" i="60"/>
  <c r="A333" i="60"/>
  <c r="A332" i="60"/>
  <c r="F331" i="60"/>
  <c r="A331" i="60"/>
  <c r="A330" i="60"/>
  <c r="A329" i="60"/>
  <c r="A328" i="60"/>
  <c r="A327" i="60"/>
  <c r="A326" i="60"/>
  <c r="A325" i="60"/>
  <c r="A324" i="60"/>
  <c r="A323" i="60"/>
  <c r="A322" i="60"/>
  <c r="A321" i="60"/>
  <c r="A320" i="60"/>
  <c r="A319" i="60"/>
  <c r="A318" i="60"/>
  <c r="A317" i="60"/>
  <c r="A316" i="60"/>
  <c r="A315" i="60"/>
  <c r="A314" i="60"/>
  <c r="A313" i="60"/>
  <c r="A312" i="60"/>
  <c r="A310" i="60"/>
  <c r="F309" i="60"/>
  <c r="A309" i="60"/>
  <c r="A308" i="60"/>
  <c r="F307" i="60"/>
  <c r="F329" i="60" s="1"/>
  <c r="A307" i="60"/>
  <c r="A306" i="60"/>
  <c r="A305" i="60"/>
  <c r="A304" i="60"/>
  <c r="A303" i="60"/>
  <c r="F302" i="60"/>
  <c r="F324" i="60" s="1"/>
  <c r="A302" i="60"/>
  <c r="A301" i="60"/>
  <c r="A300" i="60"/>
  <c r="A299" i="60"/>
  <c r="A298" i="60"/>
  <c r="A297" i="60"/>
  <c r="A296" i="60"/>
  <c r="A295" i="60"/>
  <c r="F294" i="60"/>
  <c r="F316" i="60" s="1"/>
  <c r="A294" i="60"/>
  <c r="A293" i="60"/>
  <c r="A292" i="60"/>
  <c r="A291" i="60"/>
  <c r="A290" i="60"/>
  <c r="F287" i="60"/>
  <c r="M284" i="60"/>
  <c r="Y284" i="60" s="1"/>
  <c r="I284" i="60"/>
  <c r="T284" i="60" s="1"/>
  <c r="F284" i="60"/>
  <c r="M281" i="60"/>
  <c r="Y281" i="60" s="1"/>
  <c r="M280" i="60"/>
  <c r="Y280" i="60" s="1"/>
  <c r="M302" i="60" s="1"/>
  <c r="A280" i="60"/>
  <c r="F279" i="60"/>
  <c r="A278" i="60"/>
  <c r="M277" i="60"/>
  <c r="Y277" i="60" s="1"/>
  <c r="F276" i="60"/>
  <c r="F275" i="60"/>
  <c r="F341" i="60" s="1"/>
  <c r="A275" i="60"/>
  <c r="Q272" i="60"/>
  <c r="Q273" i="60" s="1"/>
  <c r="Q274" i="60" s="1"/>
  <c r="Q275" i="60" s="1"/>
  <c r="Q276" i="60" s="1"/>
  <c r="Q277" i="60" s="1"/>
  <c r="Q278" i="60" s="1"/>
  <c r="Q279" i="60" s="1"/>
  <c r="Q280" i="60" s="1"/>
  <c r="Q281" i="60" s="1"/>
  <c r="Q282" i="60" s="1"/>
  <c r="Q283" i="60" s="1"/>
  <c r="Q284" i="60" s="1"/>
  <c r="Q285" i="60" s="1"/>
  <c r="Q286" i="60" s="1"/>
  <c r="Q287" i="60" s="1"/>
  <c r="A272" i="60"/>
  <c r="M264" i="60"/>
  <c r="Y264" i="60" s="1"/>
  <c r="I264" i="60"/>
  <c r="T264" i="60" s="1"/>
  <c r="F264" i="60"/>
  <c r="A264" i="60" s="1"/>
  <c r="M263" i="60"/>
  <c r="Y263" i="60" s="1"/>
  <c r="F263" i="60"/>
  <c r="F286" i="60" s="1"/>
  <c r="A286" i="60" s="1"/>
  <c r="T262" i="60"/>
  <c r="I262" i="60"/>
  <c r="F262" i="60"/>
  <c r="F285" i="60" s="1"/>
  <c r="F351" i="60" s="1"/>
  <c r="A351" i="60" s="1"/>
  <c r="M261" i="60"/>
  <c r="Y261" i="60" s="1"/>
  <c r="I261" i="60"/>
  <c r="T261" i="60" s="1"/>
  <c r="F261" i="60"/>
  <c r="A261" i="60"/>
  <c r="M260" i="60"/>
  <c r="Y260" i="60" s="1"/>
  <c r="I260" i="60"/>
  <c r="T260" i="60" s="1"/>
  <c r="F260" i="60"/>
  <c r="F283" i="60" s="1"/>
  <c r="A260" i="60"/>
  <c r="F259" i="60"/>
  <c r="F282" i="60" s="1"/>
  <c r="M258" i="60"/>
  <c r="Y258" i="60" s="1"/>
  <c r="F258" i="60"/>
  <c r="F281" i="60" s="1"/>
  <c r="T257" i="60"/>
  <c r="M257" i="60"/>
  <c r="Y257" i="60" s="1"/>
  <c r="F257" i="60"/>
  <c r="F280" i="60" s="1"/>
  <c r="F346" i="60" s="1"/>
  <c r="A257" i="60"/>
  <c r="M256" i="60"/>
  <c r="Y256" i="60" s="1"/>
  <c r="I256" i="60"/>
  <c r="T256" i="60" s="1"/>
  <c r="F256" i="60"/>
  <c r="A256" i="60" s="1"/>
  <c r="M255" i="60"/>
  <c r="Y255" i="60" s="1"/>
  <c r="I255" i="60"/>
  <c r="T255" i="60" s="1"/>
  <c r="F255" i="60"/>
  <c r="F278" i="60" s="1"/>
  <c r="F300" i="60" s="1"/>
  <c r="F322" i="60" s="1"/>
  <c r="A255" i="60"/>
  <c r="M254" i="60"/>
  <c r="Y254" i="60" s="1"/>
  <c r="F254" i="60"/>
  <c r="F277" i="60" s="1"/>
  <c r="A254" i="60"/>
  <c r="F253" i="60"/>
  <c r="A253" i="60" s="1"/>
  <c r="F252" i="60"/>
  <c r="A252" i="60"/>
  <c r="Q251" i="60"/>
  <c r="Q252" i="60" s="1"/>
  <c r="Q253" i="60" s="1"/>
  <c r="Q254" i="60" s="1"/>
  <c r="Q255" i="60" s="1"/>
  <c r="Q256" i="60" s="1"/>
  <c r="Q257" i="60" s="1"/>
  <c r="Q258" i="60" s="1"/>
  <c r="Q259" i="60" s="1"/>
  <c r="Q260" i="60" s="1"/>
  <c r="Q261" i="60" s="1"/>
  <c r="Q262" i="60" s="1"/>
  <c r="Q263" i="60" s="1"/>
  <c r="Q264" i="60" s="1"/>
  <c r="F251" i="60"/>
  <c r="F274" i="60" s="1"/>
  <c r="A251" i="60"/>
  <c r="F250" i="60"/>
  <c r="F273" i="60" s="1"/>
  <c r="A250" i="60"/>
  <c r="F249" i="60"/>
  <c r="F272" i="60" s="1"/>
  <c r="A249" i="60"/>
  <c r="R242" i="60"/>
  <c r="Q249" i="60" s="1"/>
  <c r="Q250" i="60" s="1"/>
  <c r="U220" i="60"/>
  <c r="Z219" i="60"/>
  <c r="P228" i="60" s="1"/>
  <c r="X219" i="60"/>
  <c r="U219" i="60"/>
  <c r="P219" i="60"/>
  <c r="X203" i="60"/>
  <c r="U203" i="60"/>
  <c r="R203" i="60"/>
  <c r="O203" i="60"/>
  <c r="AA202" i="60"/>
  <c r="X202" i="60"/>
  <c r="U202" i="60"/>
  <c r="R202" i="60"/>
  <c r="O202" i="60"/>
  <c r="AD202" i="60" s="1"/>
  <c r="AG202" i="60" s="1"/>
  <c r="AD170" i="60"/>
  <c r="X170" i="60"/>
  <c r="M287" i="60" s="1"/>
  <c r="Y287" i="60" s="1"/>
  <c r="M309" i="60" s="1"/>
  <c r="Q170" i="60"/>
  <c r="J170" i="60"/>
  <c r="G170" i="60"/>
  <c r="E463" i="60" s="1"/>
  <c r="E497" i="60" s="1"/>
  <c r="E531" i="60" s="1"/>
  <c r="A170" i="60"/>
  <c r="AD169" i="60"/>
  <c r="M352" i="60" s="1"/>
  <c r="M402" i="60" s="1"/>
  <c r="Z402" i="60" s="1"/>
  <c r="X169" i="60"/>
  <c r="Q169" i="60"/>
  <c r="I263" i="60" s="1"/>
  <c r="T263" i="60" s="1"/>
  <c r="J169" i="60"/>
  <c r="G169" i="60"/>
  <c r="A169" i="60"/>
  <c r="AD168" i="60"/>
  <c r="X168" i="60"/>
  <c r="Q168" i="60"/>
  <c r="M262" i="60" s="1"/>
  <c r="Y262" i="60" s="1"/>
  <c r="J168" i="60"/>
  <c r="G168" i="60"/>
  <c r="E461" i="60" s="1"/>
  <c r="E495" i="60" s="1"/>
  <c r="A168" i="60"/>
  <c r="AD167" i="60"/>
  <c r="M350" i="60" s="1"/>
  <c r="X167" i="60"/>
  <c r="Q167" i="60"/>
  <c r="J167" i="60"/>
  <c r="G167" i="60"/>
  <c r="A167" i="60"/>
  <c r="AD166" i="60"/>
  <c r="X166" i="60"/>
  <c r="Q166" i="60"/>
  <c r="J166" i="60"/>
  <c r="G166" i="60"/>
  <c r="A166" i="60"/>
  <c r="AD165" i="60"/>
  <c r="I348" i="60" s="1"/>
  <c r="I398" i="60" s="1"/>
  <c r="U398" i="60" s="1"/>
  <c r="X165" i="60"/>
  <c r="Q165" i="60"/>
  <c r="M259" i="60" s="1"/>
  <c r="Y259" i="60" s="1"/>
  <c r="J165" i="60"/>
  <c r="G165" i="60"/>
  <c r="E458" i="60" s="1"/>
  <c r="E492" i="60" s="1"/>
  <c r="E526" i="60" s="1"/>
  <c r="A165" i="60"/>
  <c r="AD164" i="60"/>
  <c r="X164" i="60"/>
  <c r="I281" i="60" s="1"/>
  <c r="T281" i="60" s="1"/>
  <c r="Q164" i="60"/>
  <c r="I258" i="60" s="1"/>
  <c r="T258" i="60" s="1"/>
  <c r="J164" i="60"/>
  <c r="G164" i="60"/>
  <c r="E550" i="60" s="1"/>
  <c r="E584" i="60" s="1"/>
  <c r="E618" i="60" s="1"/>
  <c r="A164" i="60"/>
  <c r="AD163" i="60"/>
  <c r="I346" i="60" s="1"/>
  <c r="X163" i="60"/>
  <c r="I280" i="60" s="1"/>
  <c r="T280" i="60" s="1"/>
  <c r="Q163" i="60"/>
  <c r="I257" i="60" s="1"/>
  <c r="J163" i="60"/>
  <c r="G163" i="60"/>
  <c r="E456" i="60" s="1"/>
  <c r="E490" i="60" s="1"/>
  <c r="E524" i="60" s="1"/>
  <c r="A163" i="60"/>
  <c r="AD162" i="60"/>
  <c r="X162" i="60"/>
  <c r="Q162" i="60"/>
  <c r="J162" i="60"/>
  <c r="G162" i="60"/>
  <c r="A162" i="60"/>
  <c r="AD161" i="60"/>
  <c r="X161" i="60"/>
  <c r="Q161" i="60"/>
  <c r="J161" i="60"/>
  <c r="G161" i="60"/>
  <c r="A161" i="60"/>
  <c r="AD160" i="60"/>
  <c r="X160" i="60"/>
  <c r="I277" i="60" s="1"/>
  <c r="T277" i="60" s="1"/>
  <c r="Q160" i="60"/>
  <c r="I254" i="60" s="1"/>
  <c r="T254" i="60" s="1"/>
  <c r="J160" i="60"/>
  <c r="G160" i="60"/>
  <c r="E453" i="60" s="1"/>
  <c r="E487" i="60" s="1"/>
  <c r="E521" i="60" s="1"/>
  <c r="A160" i="60"/>
  <c r="J159" i="60"/>
  <c r="G159" i="60"/>
  <c r="A159" i="60"/>
  <c r="J158" i="60"/>
  <c r="G158" i="60"/>
  <c r="A158" i="60"/>
  <c r="J157" i="60"/>
  <c r="A157" i="60" s="1"/>
  <c r="G157" i="60"/>
  <c r="E543" i="60" s="1"/>
  <c r="J156" i="60"/>
  <c r="G156" i="60"/>
  <c r="J155" i="60"/>
  <c r="G155" i="60"/>
  <c r="E541" i="60" s="1"/>
  <c r="A155" i="60"/>
  <c r="T148" i="60"/>
  <c r="A127" i="60"/>
  <c r="A126" i="60"/>
  <c r="A125" i="60"/>
  <c r="A124" i="60"/>
  <c r="A123" i="60"/>
  <c r="A122" i="60"/>
  <c r="A121" i="60"/>
  <c r="A120" i="60"/>
  <c r="A119" i="60"/>
  <c r="A118" i="60"/>
  <c r="A117" i="60"/>
  <c r="A116" i="60"/>
  <c r="A115" i="60"/>
  <c r="A114" i="60"/>
  <c r="A113" i="60"/>
  <c r="Z112" i="60"/>
  <c r="U155" i="60" s="1"/>
  <c r="Q112" i="60"/>
  <c r="A112" i="60"/>
  <c r="Q96" i="60"/>
  <c r="W96" i="60" s="1"/>
  <c r="J228" i="60" s="1"/>
  <c r="K96" i="60"/>
  <c r="W92" i="60"/>
  <c r="J224" i="60" s="1"/>
  <c r="AC1139" i="47"/>
  <c r="AC1140" i="47" s="1"/>
  <c r="M1140" i="47"/>
  <c r="M1139" i="47" s="1"/>
  <c r="A1155" i="47"/>
  <c r="A1154" i="47"/>
  <c r="A1123" i="47"/>
  <c r="A1125" i="47"/>
  <c r="A1124" i="47"/>
  <c r="A1108" i="47"/>
  <c r="A1097" i="47"/>
  <c r="A1096" i="47"/>
  <c r="A1107" i="47"/>
  <c r="AE1052" i="47"/>
  <c r="AE1053" i="47"/>
  <c r="AE1054" i="47"/>
  <c r="AE1055" i="47"/>
  <c r="AE1056" i="47"/>
  <c r="AE1057" i="47"/>
  <c r="AE1058" i="47"/>
  <c r="AE1059" i="47"/>
  <c r="AE1060" i="47"/>
  <c r="AE1061" i="47"/>
  <c r="P1053" i="47"/>
  <c r="P1054" i="47"/>
  <c r="P1055" i="47"/>
  <c r="P1056" i="47"/>
  <c r="P1057" i="47"/>
  <c r="P1058" i="47"/>
  <c r="P1059" i="47"/>
  <c r="P1060" i="47"/>
  <c r="P1061" i="47"/>
  <c r="AE1028" i="47"/>
  <c r="AE1029" i="47"/>
  <c r="AE1030" i="47"/>
  <c r="AE1031" i="47"/>
  <c r="AE1032" i="47"/>
  <c r="AE1033" i="47"/>
  <c r="AE1034" i="47"/>
  <c r="AE1035" i="47"/>
  <c r="AE1036" i="47"/>
  <c r="AE1037" i="47"/>
  <c r="P1029" i="47"/>
  <c r="P1030" i="47"/>
  <c r="P1031" i="47"/>
  <c r="P1032" i="47"/>
  <c r="P1033" i="47"/>
  <c r="P1034" i="47"/>
  <c r="P1035" i="47"/>
  <c r="P1036" i="47"/>
  <c r="P1037" i="47"/>
  <c r="AE1004" i="47"/>
  <c r="AE1005" i="47"/>
  <c r="AE1006" i="47"/>
  <c r="AE1007" i="47"/>
  <c r="AE1008" i="47"/>
  <c r="AE1009" i="47"/>
  <c r="AE1010" i="47"/>
  <c r="AE1011" i="47"/>
  <c r="AE1012" i="47"/>
  <c r="AE1013" i="47"/>
  <c r="P1005" i="47"/>
  <c r="P1006" i="47"/>
  <c r="P1007" i="47"/>
  <c r="P1008" i="47"/>
  <c r="P1009" i="47"/>
  <c r="P1010" i="47"/>
  <c r="P1011" i="47"/>
  <c r="P1012" i="47"/>
  <c r="P1013" i="47"/>
  <c r="AE980" i="47"/>
  <c r="AE981" i="47"/>
  <c r="AE982" i="47"/>
  <c r="AE983" i="47"/>
  <c r="AE984" i="47"/>
  <c r="AE985" i="47"/>
  <c r="AE986" i="47"/>
  <c r="AE987" i="47"/>
  <c r="AE988" i="47"/>
  <c r="AE989" i="47"/>
  <c r="P981" i="47"/>
  <c r="P982" i="47"/>
  <c r="P983" i="47"/>
  <c r="P984" i="47"/>
  <c r="P985" i="47"/>
  <c r="P986" i="47"/>
  <c r="P987" i="47"/>
  <c r="P988" i="47"/>
  <c r="P989" i="47"/>
  <c r="A990" i="47"/>
  <c r="A966" i="47"/>
  <c r="AE956" i="47"/>
  <c r="AE957" i="47"/>
  <c r="AE958" i="47"/>
  <c r="AE959" i="47"/>
  <c r="AE960" i="47"/>
  <c r="AE961" i="47"/>
  <c r="AE962" i="47"/>
  <c r="AE963" i="47"/>
  <c r="AE964" i="47"/>
  <c r="AE965" i="47"/>
  <c r="P957" i="47"/>
  <c r="P958" i="47"/>
  <c r="P959" i="47"/>
  <c r="P960" i="47"/>
  <c r="P961" i="47"/>
  <c r="P962" i="47"/>
  <c r="P963" i="47"/>
  <c r="P964" i="47"/>
  <c r="P965" i="47"/>
  <c r="P933" i="47"/>
  <c r="P934" i="47"/>
  <c r="P935" i="47"/>
  <c r="P936" i="47"/>
  <c r="P937" i="47"/>
  <c r="P938" i="47"/>
  <c r="P939" i="47"/>
  <c r="P940" i="47"/>
  <c r="P941" i="47"/>
  <c r="AE932" i="47"/>
  <c r="AE933" i="47"/>
  <c r="AE934" i="47"/>
  <c r="AE935" i="47"/>
  <c r="AE936" i="47"/>
  <c r="AE937" i="47"/>
  <c r="AE938" i="47"/>
  <c r="AE939" i="47"/>
  <c r="AE940" i="47"/>
  <c r="AE941" i="47"/>
  <c r="AE907" i="47"/>
  <c r="AE908" i="47"/>
  <c r="AE909" i="47"/>
  <c r="AE910" i="47"/>
  <c r="AE911" i="47"/>
  <c r="AE912" i="47"/>
  <c r="AE913" i="47"/>
  <c r="AE914" i="47"/>
  <c r="AE915" i="47"/>
  <c r="AE916" i="47"/>
  <c r="AE917" i="47"/>
  <c r="P908" i="47"/>
  <c r="P909" i="47"/>
  <c r="P910" i="47"/>
  <c r="P911" i="47"/>
  <c r="P912" i="47"/>
  <c r="P913" i="47"/>
  <c r="P914" i="47"/>
  <c r="P915" i="47"/>
  <c r="P916" i="47"/>
  <c r="P917" i="47"/>
  <c r="A879" i="47"/>
  <c r="A878" i="47"/>
  <c r="AE893" i="47"/>
  <c r="AE892" i="47"/>
  <c r="AE891" i="47"/>
  <c r="AE890" i="47"/>
  <c r="AE889" i="47"/>
  <c r="AE888" i="47"/>
  <c r="AE887" i="47"/>
  <c r="AE886" i="47"/>
  <c r="AE885" i="47"/>
  <c r="AE884" i="47"/>
  <c r="AE883" i="47"/>
  <c r="P893" i="47"/>
  <c r="P884" i="47"/>
  <c r="P885" i="47"/>
  <c r="P886" i="47"/>
  <c r="P887" i="47"/>
  <c r="P888" i="47"/>
  <c r="P889" i="47"/>
  <c r="P890" i="47"/>
  <c r="P891" i="47"/>
  <c r="P892" i="47"/>
  <c r="A1064" i="47"/>
  <c r="A1063" i="47"/>
  <c r="A1061" i="47"/>
  <c r="A1060" i="47"/>
  <c r="A1059" i="47"/>
  <c r="A1058" i="47"/>
  <c r="A1057" i="47"/>
  <c r="A1056" i="47"/>
  <c r="A1055" i="47"/>
  <c r="A1054" i="47"/>
  <c r="A1053" i="47"/>
  <c r="A1052" i="47"/>
  <c r="A1051" i="47"/>
  <c r="A1050" i="47"/>
  <c r="A1049" i="47"/>
  <c r="A1048" i="47"/>
  <c r="A1047" i="47"/>
  <c r="A1046" i="47"/>
  <c r="A1045" i="47"/>
  <c r="A1044" i="47"/>
  <c r="A1043" i="47"/>
  <c r="A1042" i="47"/>
  <c r="A1040" i="47"/>
  <c r="A1039" i="47"/>
  <c r="A1037" i="47"/>
  <c r="A1036" i="47"/>
  <c r="A1035" i="47"/>
  <c r="A1034" i="47"/>
  <c r="A1033" i="47"/>
  <c r="A1032" i="47"/>
  <c r="A1031" i="47"/>
  <c r="A1030" i="47"/>
  <c r="A1029" i="47"/>
  <c r="A1028" i="47"/>
  <c r="A1027" i="47"/>
  <c r="A1026" i="47"/>
  <c r="A1025" i="47"/>
  <c r="A1024" i="47"/>
  <c r="A1023" i="47"/>
  <c r="A1022" i="47"/>
  <c r="A1021" i="47"/>
  <c r="A1020" i="47"/>
  <c r="A1019" i="47"/>
  <c r="A1018" i="47"/>
  <c r="A1013" i="47"/>
  <c r="A1012" i="47"/>
  <c r="A1011" i="47"/>
  <c r="A1010" i="47"/>
  <c r="A1009" i="47"/>
  <c r="A1008" i="47"/>
  <c r="A1007" i="47"/>
  <c r="A1006" i="47"/>
  <c r="A1005" i="47"/>
  <c r="A1004" i="47"/>
  <c r="A1003" i="47"/>
  <c r="A1002" i="47"/>
  <c r="A1001" i="47"/>
  <c r="A1000" i="47"/>
  <c r="A999" i="47"/>
  <c r="A998" i="47"/>
  <c r="A992" i="47"/>
  <c r="A991" i="47"/>
  <c r="A989" i="47"/>
  <c r="A988" i="47"/>
  <c r="A987" i="47"/>
  <c r="A986" i="47"/>
  <c r="A985" i="47"/>
  <c r="A984" i="47"/>
  <c r="A983" i="47"/>
  <c r="A982" i="47"/>
  <c r="A981" i="47"/>
  <c r="A980" i="47"/>
  <c r="A979" i="47"/>
  <c r="A978" i="47"/>
  <c r="A977" i="47"/>
  <c r="A976" i="47"/>
  <c r="A975" i="47"/>
  <c r="A974" i="47"/>
  <c r="A973" i="47"/>
  <c r="A972" i="47"/>
  <c r="A971" i="47"/>
  <c r="A970" i="47"/>
  <c r="A968" i="47"/>
  <c r="A967" i="47"/>
  <c r="A965" i="47"/>
  <c r="A964" i="47"/>
  <c r="A963" i="47"/>
  <c r="A962" i="47"/>
  <c r="A961" i="47"/>
  <c r="A960" i="47"/>
  <c r="A959" i="47"/>
  <c r="A958" i="47"/>
  <c r="A957" i="47"/>
  <c r="A956" i="47"/>
  <c r="A955" i="47"/>
  <c r="A954" i="47"/>
  <c r="A953" i="47"/>
  <c r="A952" i="47"/>
  <c r="A951" i="47"/>
  <c r="A950" i="47"/>
  <c r="A949" i="47"/>
  <c r="A948" i="47"/>
  <c r="A947" i="47"/>
  <c r="A946" i="47"/>
  <c r="A941" i="47"/>
  <c r="A940" i="47"/>
  <c r="A939" i="47"/>
  <c r="A938" i="47"/>
  <c r="A937" i="47"/>
  <c r="A936" i="47"/>
  <c r="A935" i="47"/>
  <c r="A934" i="47"/>
  <c r="A933" i="47"/>
  <c r="A932" i="47"/>
  <c r="A931" i="47"/>
  <c r="A930" i="47"/>
  <c r="A929" i="47"/>
  <c r="A928" i="47"/>
  <c r="A927" i="47"/>
  <c r="A926" i="47"/>
  <c r="A917" i="47"/>
  <c r="A916" i="47"/>
  <c r="A915" i="47"/>
  <c r="A914" i="47"/>
  <c r="A913" i="47"/>
  <c r="A912" i="47"/>
  <c r="A911" i="47"/>
  <c r="A910" i="47"/>
  <c r="A909" i="47"/>
  <c r="A908" i="47"/>
  <c r="A907" i="47"/>
  <c r="A906" i="47"/>
  <c r="A905" i="47"/>
  <c r="A904" i="47"/>
  <c r="A903" i="47"/>
  <c r="A902" i="47"/>
  <c r="A893" i="47"/>
  <c r="A892" i="47"/>
  <c r="A891" i="47"/>
  <c r="A890" i="47"/>
  <c r="A889" i="47"/>
  <c r="A888" i="47"/>
  <c r="A887" i="47"/>
  <c r="A886" i="47"/>
  <c r="A885" i="47"/>
  <c r="A884" i="47"/>
  <c r="A883" i="47"/>
  <c r="A882" i="47"/>
  <c r="A881" i="47"/>
  <c r="A880" i="47"/>
  <c r="H846" i="47"/>
  <c r="A817" i="47"/>
  <c r="A816" i="47"/>
  <c r="AD815" i="47"/>
  <c r="O815" i="47"/>
  <c r="A815" i="47"/>
  <c r="AD814" i="47"/>
  <c r="O814" i="47"/>
  <c r="A814" i="47"/>
  <c r="AD813" i="47"/>
  <c r="O813" i="47"/>
  <c r="A813" i="47"/>
  <c r="AD812" i="47"/>
  <c r="O812" i="47"/>
  <c r="A812" i="47"/>
  <c r="AD811" i="47"/>
  <c r="O811" i="47"/>
  <c r="A811" i="47"/>
  <c r="AD810" i="47"/>
  <c r="O810" i="47"/>
  <c r="A810" i="47"/>
  <c r="AD809" i="47"/>
  <c r="O809" i="47"/>
  <c r="A809" i="47"/>
  <c r="AD808" i="47"/>
  <c r="O808" i="47"/>
  <c r="A808" i="47"/>
  <c r="AD807" i="47"/>
  <c r="O807" i="47"/>
  <c r="A807" i="47"/>
  <c r="A806" i="47"/>
  <c r="A805" i="47"/>
  <c r="A804" i="47"/>
  <c r="A803" i="47"/>
  <c r="A802" i="47"/>
  <c r="A801" i="47"/>
  <c r="A800" i="47"/>
  <c r="A799" i="47"/>
  <c r="A798" i="47"/>
  <c r="A797" i="47"/>
  <c r="A796" i="47"/>
  <c r="A794" i="47"/>
  <c r="A793" i="47"/>
  <c r="AD792" i="47"/>
  <c r="O792" i="47"/>
  <c r="A792" i="47"/>
  <c r="AD791" i="47"/>
  <c r="O791" i="47"/>
  <c r="A791" i="47"/>
  <c r="AD790" i="47"/>
  <c r="O790" i="47"/>
  <c r="A790" i="47"/>
  <c r="AD789" i="47"/>
  <c r="O789" i="47"/>
  <c r="A789" i="47"/>
  <c r="AD788" i="47"/>
  <c r="O788" i="47"/>
  <c r="A788" i="47"/>
  <c r="AD787" i="47"/>
  <c r="O787" i="47"/>
  <c r="A787" i="47"/>
  <c r="AD786" i="47"/>
  <c r="O786" i="47"/>
  <c r="A786" i="47"/>
  <c r="AD785" i="47"/>
  <c r="O785" i="47"/>
  <c r="A785" i="47"/>
  <c r="AD784" i="47"/>
  <c r="O784" i="47"/>
  <c r="A784" i="47"/>
  <c r="A783" i="47"/>
  <c r="A782" i="47"/>
  <c r="A781" i="47"/>
  <c r="A780" i="47"/>
  <c r="A779" i="47"/>
  <c r="A778" i="47"/>
  <c r="A777" i="47"/>
  <c r="A776" i="47"/>
  <c r="A775" i="47"/>
  <c r="A774" i="47"/>
  <c r="A773" i="47"/>
  <c r="AD769" i="47"/>
  <c r="O769" i="47"/>
  <c r="A769" i="47"/>
  <c r="AD768" i="47"/>
  <c r="O768" i="47"/>
  <c r="A768" i="47"/>
  <c r="AD767" i="47"/>
  <c r="O767" i="47"/>
  <c r="A767" i="47"/>
  <c r="AD766" i="47"/>
  <c r="O766" i="47"/>
  <c r="A766" i="47"/>
  <c r="AD765" i="47"/>
  <c r="O765" i="47"/>
  <c r="A765" i="47"/>
  <c r="AD764" i="47"/>
  <c r="O764" i="47"/>
  <c r="A764" i="47"/>
  <c r="AD763" i="47"/>
  <c r="O763" i="47"/>
  <c r="A763" i="47"/>
  <c r="AD762" i="47"/>
  <c r="O762" i="47"/>
  <c r="A762" i="47"/>
  <c r="AD761" i="47"/>
  <c r="O761" i="47"/>
  <c r="A761" i="47"/>
  <c r="A760" i="47"/>
  <c r="A759" i="47"/>
  <c r="A758" i="47"/>
  <c r="A757" i="47"/>
  <c r="A756" i="47"/>
  <c r="A755" i="47"/>
  <c r="A754" i="47"/>
  <c r="O738" i="47"/>
  <c r="O739" i="47"/>
  <c r="O740" i="47"/>
  <c r="O741" i="47"/>
  <c r="O742" i="47"/>
  <c r="O743" i="47"/>
  <c r="O744" i="47"/>
  <c r="O745" i="47"/>
  <c r="O746" i="47"/>
  <c r="AD738" i="47"/>
  <c r="AD739" i="47"/>
  <c r="AD740" i="47"/>
  <c r="AD741" i="47"/>
  <c r="AD742" i="47"/>
  <c r="AD743" i="47"/>
  <c r="AD744" i="47"/>
  <c r="AD745" i="47"/>
  <c r="AD746" i="47"/>
  <c r="A732" i="47"/>
  <c r="A733" i="47"/>
  <c r="A734" i="47"/>
  <c r="A735" i="47"/>
  <c r="A736" i="47"/>
  <c r="A737" i="47"/>
  <c r="A738" i="47"/>
  <c r="A739" i="47"/>
  <c r="A740" i="47"/>
  <c r="A741" i="47"/>
  <c r="A742" i="47"/>
  <c r="A743" i="47"/>
  <c r="A744" i="47"/>
  <c r="A745" i="47"/>
  <c r="A746" i="47"/>
  <c r="A731" i="47"/>
  <c r="A747" i="47"/>
  <c r="A748" i="47"/>
  <c r="A730" i="47"/>
  <c r="A729" i="47"/>
  <c r="A728" i="47"/>
  <c r="A727" i="47"/>
  <c r="A725" i="47"/>
  <c r="A724" i="47"/>
  <c r="A709" i="47"/>
  <c r="A710" i="47"/>
  <c r="A711" i="47"/>
  <c r="A712" i="47"/>
  <c r="A713" i="47"/>
  <c r="A714" i="47"/>
  <c r="A715" i="47"/>
  <c r="A716" i="47"/>
  <c r="A717" i="47"/>
  <c r="A718" i="47"/>
  <c r="A719" i="47"/>
  <c r="A720" i="47"/>
  <c r="A721" i="47"/>
  <c r="A722" i="47"/>
  <c r="A723" i="47"/>
  <c r="A708" i="47"/>
  <c r="A707" i="47"/>
  <c r="A706" i="47"/>
  <c r="A705" i="47"/>
  <c r="A704" i="47"/>
  <c r="AD715" i="47"/>
  <c r="AD716" i="47"/>
  <c r="AD717" i="47"/>
  <c r="AD718" i="47"/>
  <c r="AD719" i="47"/>
  <c r="AD720" i="47"/>
  <c r="AD721" i="47"/>
  <c r="AD722" i="47"/>
  <c r="AD723" i="47"/>
  <c r="O715" i="47"/>
  <c r="O716" i="47"/>
  <c r="O717" i="47"/>
  <c r="O718" i="47"/>
  <c r="O719" i="47"/>
  <c r="O720" i="47"/>
  <c r="O721" i="47"/>
  <c r="O722" i="47"/>
  <c r="O723" i="47"/>
  <c r="AD692" i="47"/>
  <c r="AD693" i="47"/>
  <c r="AD694" i="47"/>
  <c r="AD695" i="47"/>
  <c r="AD696" i="47"/>
  <c r="AD697" i="47"/>
  <c r="AD698" i="47"/>
  <c r="AD699" i="47"/>
  <c r="AD700" i="47"/>
  <c r="O692" i="47"/>
  <c r="O693" i="47"/>
  <c r="O694" i="47"/>
  <c r="O695" i="47"/>
  <c r="O696" i="47"/>
  <c r="O697" i="47"/>
  <c r="O698" i="47"/>
  <c r="O699" i="47"/>
  <c r="O700" i="47"/>
  <c r="A700" i="47"/>
  <c r="A699" i="47"/>
  <c r="A698" i="47"/>
  <c r="A697" i="47"/>
  <c r="A696" i="47"/>
  <c r="A695" i="47"/>
  <c r="A694" i="47"/>
  <c r="A693" i="47"/>
  <c r="A692" i="47"/>
  <c r="A691" i="47"/>
  <c r="A690" i="47"/>
  <c r="A689" i="47"/>
  <c r="A688" i="47"/>
  <c r="A687" i="47"/>
  <c r="A686" i="47"/>
  <c r="A685" i="47"/>
  <c r="O668" i="47"/>
  <c r="O669" i="47"/>
  <c r="O670" i="47"/>
  <c r="O671" i="47"/>
  <c r="O672" i="47"/>
  <c r="O673" i="47"/>
  <c r="O674" i="47"/>
  <c r="O675" i="47"/>
  <c r="O676" i="47"/>
  <c r="O677" i="47"/>
  <c r="AD668" i="47"/>
  <c r="AD669" i="47"/>
  <c r="AD670" i="47"/>
  <c r="AD671" i="47"/>
  <c r="AD672" i="47"/>
  <c r="AD673" i="47"/>
  <c r="AD674" i="47"/>
  <c r="AD675" i="47"/>
  <c r="AD676" i="47"/>
  <c r="AD677" i="47"/>
  <c r="O645" i="47"/>
  <c r="O646" i="47"/>
  <c r="O647" i="47"/>
  <c r="O648" i="47"/>
  <c r="O649" i="47"/>
  <c r="O650" i="47"/>
  <c r="O651" i="47"/>
  <c r="O652" i="47"/>
  <c r="O653" i="47"/>
  <c r="O654" i="47"/>
  <c r="AD645" i="47"/>
  <c r="AD646" i="47"/>
  <c r="AD647" i="47"/>
  <c r="AD648" i="47"/>
  <c r="AD649" i="47"/>
  <c r="AD650" i="47"/>
  <c r="AD651" i="47"/>
  <c r="AD652" i="47"/>
  <c r="AD653" i="47"/>
  <c r="AD654" i="47"/>
  <c r="A677" i="47"/>
  <c r="A676" i="47"/>
  <c r="A675" i="47"/>
  <c r="A674" i="47"/>
  <c r="A673" i="47"/>
  <c r="A672" i="47"/>
  <c r="A671" i="47"/>
  <c r="A670" i="47"/>
  <c r="A669" i="47"/>
  <c r="A668" i="47"/>
  <c r="A667" i="47"/>
  <c r="A666" i="47"/>
  <c r="A665" i="47"/>
  <c r="A664" i="47"/>
  <c r="A663" i="47"/>
  <c r="A662" i="47"/>
  <c r="A640" i="47"/>
  <c r="A641" i="47"/>
  <c r="A642" i="47"/>
  <c r="A643" i="47"/>
  <c r="A644" i="47"/>
  <c r="A645" i="47"/>
  <c r="A646" i="47"/>
  <c r="A647" i="47"/>
  <c r="A648" i="47"/>
  <c r="A649" i="47"/>
  <c r="A650" i="47"/>
  <c r="A651" i="47"/>
  <c r="A652" i="47"/>
  <c r="A653" i="47"/>
  <c r="A654" i="47"/>
  <c r="A639" i="47"/>
  <c r="A405" i="47"/>
  <c r="A383" i="47"/>
  <c r="A361" i="47"/>
  <c r="T1161" i="47"/>
  <c r="T1164" i="47"/>
  <c r="T1163" i="47"/>
  <c r="T1162" i="47"/>
  <c r="T1167" i="60"/>
  <c r="T1176" i="60"/>
  <c r="T1166" i="60"/>
  <c r="T1165" i="60"/>
  <c r="T1177" i="60"/>
  <c r="T1164" i="60"/>
  <c r="T1175" i="60"/>
  <c r="T1179" i="60"/>
  <c r="T1165" i="47" l="1"/>
  <c r="T1166" i="47"/>
  <c r="A1139" i="47"/>
  <c r="L1140" i="47"/>
  <c r="AD203" i="60"/>
  <c r="AG203" i="60" s="1"/>
  <c r="Z1179" i="60"/>
  <c r="Z1177" i="60"/>
  <c r="T1168" i="60"/>
  <c r="T1169" i="60"/>
  <c r="Z302" i="60"/>
  <c r="K583" i="60" s="1"/>
  <c r="O583" i="60" s="1"/>
  <c r="T583" i="60" s="1"/>
  <c r="X583" i="60" s="1"/>
  <c r="AB583" i="60" s="1"/>
  <c r="Z324" i="60"/>
  <c r="K617" i="60" s="1"/>
  <c r="O617" i="60" s="1"/>
  <c r="T617" i="60" s="1"/>
  <c r="X617" i="60" s="1"/>
  <c r="AB617" i="60" s="1"/>
  <c r="I303" i="60"/>
  <c r="K457" i="60"/>
  <c r="O457" i="60" s="1"/>
  <c r="T457" i="60" s="1"/>
  <c r="X457" i="60" s="1"/>
  <c r="AB457" i="60" s="1"/>
  <c r="I325" i="60"/>
  <c r="X155" i="60"/>
  <c r="K456" i="60"/>
  <c r="O456" i="60" s="1"/>
  <c r="T456" i="60" s="1"/>
  <c r="X456" i="60" s="1"/>
  <c r="AB456" i="60" s="1"/>
  <c r="I324" i="60"/>
  <c r="I302" i="60"/>
  <c r="AD158" i="60"/>
  <c r="X158" i="60"/>
  <c r="U156" i="60"/>
  <c r="U157" i="60" s="1"/>
  <c r="U158" i="60" s="1"/>
  <c r="U159" i="60" s="1"/>
  <c r="U160" i="60" s="1"/>
  <c r="U161" i="60" s="1"/>
  <c r="U162" i="60" s="1"/>
  <c r="U163" i="60" s="1"/>
  <c r="U164" i="60" s="1"/>
  <c r="U165" i="60" s="1"/>
  <c r="U166" i="60" s="1"/>
  <c r="U167" i="60" s="1"/>
  <c r="U168" i="60" s="1"/>
  <c r="U169" i="60" s="1"/>
  <c r="U170" i="60" s="1"/>
  <c r="AD157" i="60"/>
  <c r="X157" i="60"/>
  <c r="V228" i="60"/>
  <c r="AD159" i="60"/>
  <c r="I374" i="60"/>
  <c r="U374" i="60" s="1"/>
  <c r="I396" i="60"/>
  <c r="U396" i="60" s="1"/>
  <c r="U346" i="60"/>
  <c r="T127" i="60"/>
  <c r="T119" i="60"/>
  <c r="N155" i="60"/>
  <c r="N156" i="60" s="1"/>
  <c r="N157" i="60" s="1"/>
  <c r="N158" i="60" s="1"/>
  <c r="N159" i="60" s="1"/>
  <c r="N160" i="60" s="1"/>
  <c r="N161" i="60" s="1"/>
  <c r="N162" i="60" s="1"/>
  <c r="N163" i="60" s="1"/>
  <c r="N164" i="60" s="1"/>
  <c r="N165" i="60" s="1"/>
  <c r="N166" i="60" s="1"/>
  <c r="N167" i="60" s="1"/>
  <c r="N168" i="60" s="1"/>
  <c r="N169" i="60" s="1"/>
  <c r="N170" i="60" s="1"/>
  <c r="T122" i="60"/>
  <c r="T114" i="60"/>
  <c r="T120" i="60"/>
  <c r="T112" i="60"/>
  <c r="T121" i="60"/>
  <c r="T123" i="60"/>
  <c r="Q156" i="60"/>
  <c r="M347" i="60"/>
  <c r="I347" i="60"/>
  <c r="A259" i="60"/>
  <c r="A263" i="60"/>
  <c r="K546" i="60"/>
  <c r="O546" i="60" s="1"/>
  <c r="T546" i="60" s="1"/>
  <c r="X546" i="60" s="1"/>
  <c r="AB546" i="60" s="1"/>
  <c r="M321" i="60"/>
  <c r="M299" i="60"/>
  <c r="A284" i="60"/>
  <c r="F306" i="60"/>
  <c r="F328" i="60" s="1"/>
  <c r="K556" i="60"/>
  <c r="O556" i="60" s="1"/>
  <c r="T556" i="60" s="1"/>
  <c r="X556" i="60" s="1"/>
  <c r="AB556" i="60" s="1"/>
  <c r="AC116" i="60"/>
  <c r="AC123" i="60"/>
  <c r="Z331" i="60"/>
  <c r="K624" i="60" s="1"/>
  <c r="O624" i="60" s="1"/>
  <c r="T624" i="60" s="1"/>
  <c r="X624" i="60" s="1"/>
  <c r="AB624" i="60" s="1"/>
  <c r="Z309" i="60"/>
  <c r="K590" i="60" s="1"/>
  <c r="O590" i="60" s="1"/>
  <c r="T590" i="60" s="1"/>
  <c r="X590" i="60" s="1"/>
  <c r="AB590" i="60" s="1"/>
  <c r="F348" i="60"/>
  <c r="F304" i="60"/>
  <c r="F326" i="60" s="1"/>
  <c r="A282" i="60"/>
  <c r="I328" i="60"/>
  <c r="I306" i="60"/>
  <c r="M331" i="60"/>
  <c r="M325" i="60"/>
  <c r="M303" i="60"/>
  <c r="M346" i="60"/>
  <c r="Q113" i="60"/>
  <c r="Q114" i="60" s="1"/>
  <c r="Q115" i="60" s="1"/>
  <c r="Q116" i="60" s="1"/>
  <c r="Q117" i="60" s="1"/>
  <c r="Q118" i="60" s="1"/>
  <c r="Q119" i="60" s="1"/>
  <c r="Q120" i="60" s="1"/>
  <c r="Q121" i="60" s="1"/>
  <c r="Q122" i="60" s="1"/>
  <c r="Q123" i="60" s="1"/>
  <c r="Q124" i="60" s="1"/>
  <c r="Q125" i="60" s="1"/>
  <c r="Q126" i="60" s="1"/>
  <c r="Q127" i="60" s="1"/>
  <c r="T117" i="60"/>
  <c r="T124" i="60"/>
  <c r="AD156" i="60"/>
  <c r="I344" i="60"/>
  <c r="M344" i="60"/>
  <c r="M285" i="60"/>
  <c r="Y285" i="60" s="1"/>
  <c r="I285" i="60"/>
  <c r="T285" i="60" s="1"/>
  <c r="P224" i="60"/>
  <c r="V224" i="60" s="1"/>
  <c r="F343" i="60"/>
  <c r="A277" i="60"/>
  <c r="F349" i="60"/>
  <c r="F305" i="60"/>
  <c r="F327" i="60" s="1"/>
  <c r="F299" i="60"/>
  <c r="F321" i="60" s="1"/>
  <c r="Z352" i="60"/>
  <c r="T113" i="60"/>
  <c r="T115" i="60"/>
  <c r="Q158" i="60"/>
  <c r="X159" i="60"/>
  <c r="M343" i="60"/>
  <c r="I343" i="60"/>
  <c r="I351" i="60"/>
  <c r="M351" i="60"/>
  <c r="F339" i="60"/>
  <c r="F295" i="60"/>
  <c r="F317" i="60" s="1"/>
  <c r="A273" i="60"/>
  <c r="F303" i="60"/>
  <c r="F325" i="60" s="1"/>
  <c r="A281" i="60"/>
  <c r="F347" i="60"/>
  <c r="F342" i="60"/>
  <c r="A276" i="60"/>
  <c r="F298" i="60"/>
  <c r="F320" i="60" s="1"/>
  <c r="A338" i="60"/>
  <c r="F366" i="60"/>
  <c r="M380" i="60"/>
  <c r="Z380" i="60" s="1"/>
  <c r="AC125" i="60"/>
  <c r="AC117" i="60"/>
  <c r="AC120" i="60"/>
  <c r="AC112" i="60"/>
  <c r="AC126" i="60"/>
  <c r="AC118" i="60"/>
  <c r="M279" i="60"/>
  <c r="Y279" i="60" s="1"/>
  <c r="I279" i="60"/>
  <c r="T279" i="60" s="1"/>
  <c r="AC121" i="60"/>
  <c r="T126" i="60"/>
  <c r="M353" i="60"/>
  <c r="I353" i="60"/>
  <c r="F391" i="60"/>
  <c r="A341" i="60"/>
  <c r="F369" i="60"/>
  <c r="K453" i="60"/>
  <c r="O453" i="60" s="1"/>
  <c r="T453" i="60" s="1"/>
  <c r="X453" i="60" s="1"/>
  <c r="AB453" i="60" s="1"/>
  <c r="I299" i="60"/>
  <c r="I321" i="60"/>
  <c r="AC115" i="60"/>
  <c r="AC122" i="60"/>
  <c r="M283" i="60"/>
  <c r="Y283" i="60" s="1"/>
  <c r="I283" i="60"/>
  <c r="T283" i="60" s="1"/>
  <c r="F297" i="60"/>
  <c r="F319" i="60" s="1"/>
  <c r="M376" i="60"/>
  <c r="Z376" i="60" s="1"/>
  <c r="Z348" i="60"/>
  <c r="AC113" i="60"/>
  <c r="Q157" i="60"/>
  <c r="I349" i="60"/>
  <c r="M349" i="60"/>
  <c r="F340" i="60"/>
  <c r="F296" i="60"/>
  <c r="F318" i="60" s="1"/>
  <c r="A287" i="60"/>
  <c r="F353" i="60"/>
  <c r="Q338" i="60"/>
  <c r="Q339" i="60" s="1"/>
  <c r="Q340" i="60" s="1"/>
  <c r="Q341" i="60" s="1"/>
  <c r="Q342" i="60" s="1"/>
  <c r="Q343" i="60" s="1"/>
  <c r="Q344" i="60" s="1"/>
  <c r="Q345" i="60" s="1"/>
  <c r="Q346" i="60" s="1"/>
  <c r="Q347" i="60" s="1"/>
  <c r="Q348" i="60" s="1"/>
  <c r="Q349" i="60" s="1"/>
  <c r="Q350" i="60" s="1"/>
  <c r="Q351" i="60" s="1"/>
  <c r="Q352" i="60" s="1"/>
  <c r="Q353" i="60" s="1"/>
  <c r="F350" i="60"/>
  <c r="K550" i="60"/>
  <c r="O550" i="60" s="1"/>
  <c r="T550" i="60" s="1"/>
  <c r="X550" i="60" s="1"/>
  <c r="AB550" i="60" s="1"/>
  <c r="AC114" i="60"/>
  <c r="F352" i="60"/>
  <c r="F308" i="60"/>
  <c r="F330" i="60" s="1"/>
  <c r="K549" i="60"/>
  <c r="O549" i="60" s="1"/>
  <c r="T549" i="60" s="1"/>
  <c r="X549" i="60" s="1"/>
  <c r="AB549" i="60" s="1"/>
  <c r="M324" i="60"/>
  <c r="K460" i="60"/>
  <c r="O460" i="60" s="1"/>
  <c r="T460" i="60" s="1"/>
  <c r="X460" i="60" s="1"/>
  <c r="AB460" i="60" s="1"/>
  <c r="AC119" i="60"/>
  <c r="Q155" i="60"/>
  <c r="X156" i="60"/>
  <c r="Q159" i="60"/>
  <c r="M278" i="60"/>
  <c r="Y278" i="60" s="1"/>
  <c r="I278" i="60"/>
  <c r="T278" i="60" s="1"/>
  <c r="M345" i="60"/>
  <c r="I345" i="60"/>
  <c r="I286" i="60"/>
  <c r="T286" i="60" s="1"/>
  <c r="M286" i="60"/>
  <c r="Y286" i="60" s="1"/>
  <c r="K553" i="60"/>
  <c r="O553" i="60" s="1"/>
  <c r="T553" i="60" s="1"/>
  <c r="X553" i="60" s="1"/>
  <c r="AB553" i="60" s="1"/>
  <c r="M306" i="60"/>
  <c r="M328" i="60"/>
  <c r="I402" i="60"/>
  <c r="U402" i="60" s="1"/>
  <c r="U352" i="60"/>
  <c r="I380" i="60"/>
  <c r="U380" i="60" s="1"/>
  <c r="Z113" i="60"/>
  <c r="Z114" i="60" s="1"/>
  <c r="Z115" i="60" s="1"/>
  <c r="Z116" i="60" s="1"/>
  <c r="Z117" i="60" s="1"/>
  <c r="Z118" i="60" s="1"/>
  <c r="Z119" i="60" s="1"/>
  <c r="Z120" i="60" s="1"/>
  <c r="Z121" i="60" s="1"/>
  <c r="Z122" i="60" s="1"/>
  <c r="Z123" i="60" s="1"/>
  <c r="Z124" i="60" s="1"/>
  <c r="Z125" i="60" s="1"/>
  <c r="Z126" i="60" s="1"/>
  <c r="Z127" i="60" s="1"/>
  <c r="AC124" i="60"/>
  <c r="AD155" i="60"/>
  <c r="M400" i="60"/>
  <c r="Z400" i="60" s="1"/>
  <c r="Z350" i="60"/>
  <c r="M378" i="60"/>
  <c r="Z378" i="60" s="1"/>
  <c r="T118" i="60"/>
  <c r="AC127" i="60"/>
  <c r="A156" i="60"/>
  <c r="M282" i="60"/>
  <c r="Y282" i="60" s="1"/>
  <c r="I282" i="60"/>
  <c r="T282" i="60" s="1"/>
  <c r="A279" i="60"/>
  <c r="F345" i="60"/>
  <c r="F301" i="60"/>
  <c r="F323" i="60" s="1"/>
  <c r="T116" i="60"/>
  <c r="T125" i="60"/>
  <c r="U348" i="60"/>
  <c r="I376" i="60"/>
  <c r="U376" i="60" s="1"/>
  <c r="A274" i="60"/>
  <c r="A283" i="60"/>
  <c r="I287" i="60"/>
  <c r="T287" i="60" s="1"/>
  <c r="F344" i="60"/>
  <c r="I350" i="60"/>
  <c r="E585" i="60"/>
  <c r="E619" i="60" s="1"/>
  <c r="A551" i="60"/>
  <c r="E588" i="60"/>
  <c r="E622" i="60" s="1"/>
  <c r="A554" i="60"/>
  <c r="O1230" i="60"/>
  <c r="AC1229" i="60"/>
  <c r="T1314" i="60" s="1"/>
  <c r="Y1314" i="60" s="1"/>
  <c r="A541" i="60"/>
  <c r="E575" i="60"/>
  <c r="E609" i="60" s="1"/>
  <c r="E577" i="60"/>
  <c r="E611" i="60" s="1"/>
  <c r="A543" i="60"/>
  <c r="E544" i="60"/>
  <c r="E451" i="60"/>
  <c r="E485" i="60" s="1"/>
  <c r="E519" i="60" s="1"/>
  <c r="E452" i="60"/>
  <c r="E486" i="60" s="1"/>
  <c r="E520" i="60" s="1"/>
  <c r="E545" i="60"/>
  <c r="E547" i="60"/>
  <c r="E454" i="60"/>
  <c r="E488" i="60" s="1"/>
  <c r="E522" i="60" s="1"/>
  <c r="E455" i="60"/>
  <c r="E489" i="60" s="1"/>
  <c r="E523" i="60" s="1"/>
  <c r="E548" i="60"/>
  <c r="E552" i="60"/>
  <c r="E459" i="60"/>
  <c r="E493" i="60" s="1"/>
  <c r="E527" i="60" s="1"/>
  <c r="E460" i="60"/>
  <c r="E494" i="60" s="1"/>
  <c r="E528" i="60" s="1"/>
  <c r="E553" i="60"/>
  <c r="E555" i="60"/>
  <c r="E462" i="60"/>
  <c r="E496" i="60" s="1"/>
  <c r="E530" i="60" s="1"/>
  <c r="A258" i="60"/>
  <c r="I259" i="60"/>
  <c r="T259" i="60" s="1"/>
  <c r="A262" i="60"/>
  <c r="F401" i="60"/>
  <c r="F379" i="60"/>
  <c r="A285" i="60"/>
  <c r="A346" i="60"/>
  <c r="F396" i="60"/>
  <c r="E546" i="60"/>
  <c r="E549" i="60"/>
  <c r="E450" i="60"/>
  <c r="E484" i="60" s="1"/>
  <c r="E518" i="60" s="1"/>
  <c r="X464" i="60"/>
  <c r="X498" i="60" s="1"/>
  <c r="X532" i="60" s="1"/>
  <c r="AD701" i="60"/>
  <c r="O662" i="60"/>
  <c r="O667" i="60"/>
  <c r="AD664" i="60"/>
  <c r="O664" i="60"/>
  <c r="AD665" i="60"/>
  <c r="O665" i="60"/>
  <c r="H847" i="60"/>
  <c r="S1142" i="60"/>
  <c r="A628" i="47"/>
  <c r="A627" i="47"/>
  <c r="A626" i="47"/>
  <c r="A625" i="47"/>
  <c r="A608" i="47"/>
  <c r="A607" i="47"/>
  <c r="A606" i="47"/>
  <c r="Z601" i="47"/>
  <c r="Q601" i="47"/>
  <c r="A594" i="47"/>
  <c r="A593" i="47"/>
  <c r="A592" i="47"/>
  <c r="A591" i="47"/>
  <c r="A574" i="47"/>
  <c r="A573" i="47"/>
  <c r="A572" i="47"/>
  <c r="Z567" i="47"/>
  <c r="Q567" i="47"/>
  <c r="A535" i="47"/>
  <c r="A534" i="47"/>
  <c r="A533" i="47"/>
  <c r="A532" i="47"/>
  <c r="A515" i="47"/>
  <c r="A514" i="47"/>
  <c r="A513" i="47"/>
  <c r="A404" i="47"/>
  <c r="A387" i="47"/>
  <c r="A386" i="47"/>
  <c r="A385" i="47"/>
  <c r="A384" i="47"/>
  <c r="A333" i="47"/>
  <c r="A332" i="47"/>
  <c r="A313" i="47"/>
  <c r="A314" i="47"/>
  <c r="A315" i="47"/>
  <c r="A312" i="47"/>
  <c r="Z508" i="47"/>
  <c r="Q508" i="47"/>
  <c r="A501" i="47"/>
  <c r="A500" i="47"/>
  <c r="A499" i="47"/>
  <c r="H483" i="47"/>
  <c r="H484" i="47"/>
  <c r="H485" i="47"/>
  <c r="H486" i="47"/>
  <c r="H487" i="47"/>
  <c r="H488" i="47"/>
  <c r="H489" i="47"/>
  <c r="H490" i="47"/>
  <c r="H491" i="47"/>
  <c r="H492" i="47"/>
  <c r="H493" i="47"/>
  <c r="H494" i="47"/>
  <c r="H495" i="47"/>
  <c r="H496" i="47"/>
  <c r="H497" i="47"/>
  <c r="H482" i="47"/>
  <c r="A498" i="47"/>
  <c r="A481" i="47"/>
  <c r="A480" i="47"/>
  <c r="A479" i="47"/>
  <c r="A382" i="47"/>
  <c r="A363" i="47"/>
  <c r="A364" i="47"/>
  <c r="A365" i="47"/>
  <c r="A362" i="47"/>
  <c r="A290" i="47"/>
  <c r="A310" i="47"/>
  <c r="A291" i="47"/>
  <c r="A292" i="47"/>
  <c r="A293" i="47"/>
  <c r="Q389" i="47"/>
  <c r="Q390" i="47"/>
  <c r="Q391" i="47"/>
  <c r="Q392" i="47"/>
  <c r="Q393" i="47"/>
  <c r="Q394" i="47"/>
  <c r="Q395" i="47"/>
  <c r="Q396" i="47"/>
  <c r="Q397" i="47"/>
  <c r="Q398" i="47"/>
  <c r="Q399" i="47"/>
  <c r="Q400" i="47"/>
  <c r="Q401" i="47"/>
  <c r="Q402" i="47"/>
  <c r="Q403" i="47"/>
  <c r="Q388" i="47"/>
  <c r="Q367" i="47"/>
  <c r="Q368" i="47"/>
  <c r="Q369" i="47"/>
  <c r="Q370" i="47"/>
  <c r="Q371" i="47"/>
  <c r="Q372" i="47"/>
  <c r="Q373" i="47"/>
  <c r="Q374" i="47"/>
  <c r="Q375" i="47"/>
  <c r="Q376" i="47"/>
  <c r="Q377" i="47"/>
  <c r="Q378" i="47"/>
  <c r="Q379" i="47"/>
  <c r="Q380" i="47"/>
  <c r="Q381" i="47"/>
  <c r="Q366" i="47"/>
  <c r="K555" i="60" l="1"/>
  <c r="O555" i="60" s="1"/>
  <c r="T555" i="60" s="1"/>
  <c r="X555" i="60" s="1"/>
  <c r="AB555" i="60" s="1"/>
  <c r="M330" i="60"/>
  <c r="M308" i="60"/>
  <c r="I399" i="60"/>
  <c r="U399" i="60" s="1"/>
  <c r="I377" i="60"/>
  <c r="U377" i="60" s="1"/>
  <c r="U349" i="60"/>
  <c r="K554" i="60"/>
  <c r="O554" i="60" s="1"/>
  <c r="T554" i="60" s="1"/>
  <c r="X554" i="60" s="1"/>
  <c r="AB554" i="60" s="1"/>
  <c r="M329" i="60"/>
  <c r="M307" i="60"/>
  <c r="E582" i="60"/>
  <c r="E616" i="60" s="1"/>
  <c r="A548" i="60"/>
  <c r="M403" i="60"/>
  <c r="Z403" i="60" s="1"/>
  <c r="Z353" i="60"/>
  <c r="M381" i="60"/>
  <c r="Z381" i="60" s="1"/>
  <c r="U303" i="60"/>
  <c r="K491" i="60" s="1"/>
  <c r="O491" i="60" s="1"/>
  <c r="T491" i="60" s="1"/>
  <c r="X491" i="60" s="1"/>
  <c r="AB491" i="60" s="1"/>
  <c r="U325" i="60"/>
  <c r="K525" i="60" s="1"/>
  <c r="O525" i="60" s="1"/>
  <c r="T525" i="60" s="1"/>
  <c r="X525" i="60" s="1"/>
  <c r="AB525" i="60" s="1"/>
  <c r="A546" i="60"/>
  <c r="E580" i="60"/>
  <c r="E614" i="60" s="1"/>
  <c r="I378" i="60"/>
  <c r="U378" i="60" s="1"/>
  <c r="U350" i="60"/>
  <c r="I400" i="60"/>
  <c r="U400" i="60" s="1"/>
  <c r="M395" i="60"/>
  <c r="Z395" i="60" s="1"/>
  <c r="Z345" i="60"/>
  <c r="M373" i="60"/>
  <c r="Z373" i="60" s="1"/>
  <c r="M339" i="60"/>
  <c r="I339" i="60"/>
  <c r="U324" i="60"/>
  <c r="K524" i="60" s="1"/>
  <c r="O524" i="60" s="1"/>
  <c r="T524" i="60" s="1"/>
  <c r="X524" i="60" s="1"/>
  <c r="AB524" i="60" s="1"/>
  <c r="U302" i="60"/>
  <c r="K490" i="60" s="1"/>
  <c r="O490" i="60" s="1"/>
  <c r="T490" i="60" s="1"/>
  <c r="X490" i="60" s="1"/>
  <c r="AB490" i="60" s="1"/>
  <c r="H1144" i="60"/>
  <c r="W1163" i="60" s="1"/>
  <c r="S1143" i="60"/>
  <c r="E589" i="60"/>
  <c r="E623" i="60" s="1"/>
  <c r="A555" i="60"/>
  <c r="E581" i="60"/>
  <c r="E615" i="60" s="1"/>
  <c r="A547" i="60"/>
  <c r="F394" i="60"/>
  <c r="A344" i="60"/>
  <c r="F372" i="60"/>
  <c r="K454" i="60"/>
  <c r="O454" i="60" s="1"/>
  <c r="T454" i="60" s="1"/>
  <c r="X454" i="60" s="1"/>
  <c r="AB454" i="60" s="1"/>
  <c r="I300" i="60"/>
  <c r="I322" i="60"/>
  <c r="I301" i="60"/>
  <c r="K455" i="60"/>
  <c r="O455" i="60" s="1"/>
  <c r="T455" i="60" s="1"/>
  <c r="X455" i="60" s="1"/>
  <c r="AB455" i="60" s="1"/>
  <c r="I323" i="60"/>
  <c r="I276" i="60"/>
  <c r="T276" i="60" s="1"/>
  <c r="M276" i="60"/>
  <c r="Y276" i="60" s="1"/>
  <c r="U328" i="60"/>
  <c r="K528" i="60" s="1"/>
  <c r="O528" i="60" s="1"/>
  <c r="T528" i="60" s="1"/>
  <c r="X528" i="60" s="1"/>
  <c r="AB528" i="60" s="1"/>
  <c r="U306" i="60"/>
  <c r="K494" i="60" s="1"/>
  <c r="O494" i="60" s="1"/>
  <c r="T494" i="60" s="1"/>
  <c r="X494" i="60" s="1"/>
  <c r="AB494" i="60" s="1"/>
  <c r="M342" i="60"/>
  <c r="I342" i="60"/>
  <c r="M251" i="60"/>
  <c r="Y251" i="60" s="1"/>
  <c r="I251" i="60"/>
  <c r="T251" i="60" s="1"/>
  <c r="F370" i="60"/>
  <c r="A342" i="60"/>
  <c r="F392" i="60"/>
  <c r="Z344" i="60"/>
  <c r="M394" i="60"/>
  <c r="Z394" i="60" s="1"/>
  <c r="M372" i="60"/>
  <c r="Z372" i="60" s="1"/>
  <c r="I395" i="60"/>
  <c r="U395" i="60" s="1"/>
  <c r="I373" i="60"/>
  <c r="U373" i="60" s="1"/>
  <c r="U345" i="60"/>
  <c r="U343" i="60"/>
  <c r="I371" i="60"/>
  <c r="U371" i="60" s="1"/>
  <c r="I393" i="60"/>
  <c r="U393" i="60" s="1"/>
  <c r="H850" i="60"/>
  <c r="H851" i="60"/>
  <c r="O690" i="60"/>
  <c r="AD687" i="60"/>
  <c r="O687" i="60"/>
  <c r="AD724" i="60"/>
  <c r="AD689" i="60"/>
  <c r="O686" i="60"/>
  <c r="AD690" i="60"/>
  <c r="AD686" i="60"/>
  <c r="O689" i="60"/>
  <c r="AD685" i="60"/>
  <c r="O691" i="60"/>
  <c r="O685" i="60"/>
  <c r="AD688" i="60"/>
  <c r="O688" i="60"/>
  <c r="E587" i="60"/>
  <c r="E621" i="60" s="1"/>
  <c r="A553" i="60"/>
  <c r="E579" i="60"/>
  <c r="E613" i="60" s="1"/>
  <c r="A545" i="60"/>
  <c r="I331" i="60"/>
  <c r="I309" i="60"/>
  <c r="K463" i="60"/>
  <c r="O463" i="60" s="1"/>
  <c r="T463" i="60" s="1"/>
  <c r="X463" i="60" s="1"/>
  <c r="AB463" i="60" s="1"/>
  <c r="F373" i="60"/>
  <c r="F395" i="60"/>
  <c r="A345" i="60"/>
  <c r="K547" i="60"/>
  <c r="O547" i="60" s="1"/>
  <c r="T547" i="60" s="1"/>
  <c r="X547" i="60" s="1"/>
  <c r="AB547" i="60" s="1"/>
  <c r="M322" i="60"/>
  <c r="M300" i="60"/>
  <c r="K548" i="60"/>
  <c r="O548" i="60" s="1"/>
  <c r="T548" i="60" s="1"/>
  <c r="X548" i="60" s="1"/>
  <c r="AB548" i="60" s="1"/>
  <c r="M301" i="60"/>
  <c r="M323" i="60"/>
  <c r="M252" i="60"/>
  <c r="Y252" i="60" s="1"/>
  <c r="I252" i="60"/>
  <c r="T252" i="60" s="1"/>
  <c r="F393" i="60"/>
  <c r="F371" i="60"/>
  <c r="A343" i="60"/>
  <c r="I375" i="60"/>
  <c r="U375" i="60" s="1"/>
  <c r="I397" i="60"/>
  <c r="U397" i="60" s="1"/>
  <c r="U347" i="60"/>
  <c r="A544" i="60"/>
  <c r="E578" i="60"/>
  <c r="E612" i="60" s="1"/>
  <c r="K551" i="60"/>
  <c r="O551" i="60" s="1"/>
  <c r="T551" i="60" s="1"/>
  <c r="X551" i="60" s="1"/>
  <c r="AB551" i="60" s="1"/>
  <c r="M326" i="60"/>
  <c r="M304" i="60"/>
  <c r="I249" i="60"/>
  <c r="T249" i="60" s="1"/>
  <c r="M249" i="60"/>
  <c r="Y249" i="60" s="1"/>
  <c r="M401" i="60"/>
  <c r="Z401" i="60" s="1"/>
  <c r="Z351" i="60"/>
  <c r="M379" i="60"/>
  <c r="Z379" i="60" s="1"/>
  <c r="M396" i="60"/>
  <c r="Z396" i="60" s="1"/>
  <c r="Z346" i="60"/>
  <c r="M374" i="60"/>
  <c r="Z374" i="60" s="1"/>
  <c r="F376" i="60"/>
  <c r="A348" i="60"/>
  <c r="F398" i="60"/>
  <c r="Z299" i="60"/>
  <c r="K580" i="60" s="1"/>
  <c r="O580" i="60" s="1"/>
  <c r="T580" i="60" s="1"/>
  <c r="X580" i="60" s="1"/>
  <c r="AB580" i="60" s="1"/>
  <c r="Z321" i="60"/>
  <c r="K614" i="60" s="1"/>
  <c r="O614" i="60" s="1"/>
  <c r="T614" i="60" s="1"/>
  <c r="X614" i="60" s="1"/>
  <c r="AB614" i="60" s="1"/>
  <c r="E583" i="60"/>
  <c r="E617" i="60" s="1"/>
  <c r="A549" i="60"/>
  <c r="M275" i="60"/>
  <c r="Y275" i="60" s="1"/>
  <c r="I275" i="60"/>
  <c r="T275" i="60" s="1"/>
  <c r="I394" i="60"/>
  <c r="U394" i="60" s="1"/>
  <c r="U344" i="60"/>
  <c r="I372" i="60"/>
  <c r="U372" i="60" s="1"/>
  <c r="M371" i="60"/>
  <c r="Z371" i="60" s="1"/>
  <c r="Z343" i="60"/>
  <c r="M393" i="60"/>
  <c r="Z393" i="60" s="1"/>
  <c r="AC1230" i="60"/>
  <c r="T1315" i="60" s="1"/>
  <c r="Y1315" i="60" s="1"/>
  <c r="O1231" i="60"/>
  <c r="Z306" i="60"/>
  <c r="K587" i="60" s="1"/>
  <c r="O587" i="60" s="1"/>
  <c r="T587" i="60" s="1"/>
  <c r="X587" i="60" s="1"/>
  <c r="AB587" i="60" s="1"/>
  <c r="Z328" i="60"/>
  <c r="K621" i="60" s="1"/>
  <c r="O621" i="60" s="1"/>
  <c r="T621" i="60" s="1"/>
  <c r="X621" i="60" s="1"/>
  <c r="AB621" i="60" s="1"/>
  <c r="M253" i="60"/>
  <c r="Y253" i="60" s="1"/>
  <c r="I253" i="60"/>
  <c r="T253" i="60" s="1"/>
  <c r="F402" i="60"/>
  <c r="F380" i="60"/>
  <c r="A352" i="60"/>
  <c r="F390" i="60"/>
  <c r="F368" i="60"/>
  <c r="A340" i="60"/>
  <c r="I305" i="60"/>
  <c r="K459" i="60"/>
  <c r="O459" i="60" s="1"/>
  <c r="T459" i="60" s="1"/>
  <c r="X459" i="60" s="1"/>
  <c r="AB459" i="60" s="1"/>
  <c r="I327" i="60"/>
  <c r="M375" i="60"/>
  <c r="Z375" i="60" s="1"/>
  <c r="M397" i="60"/>
  <c r="Z397" i="60" s="1"/>
  <c r="Z347" i="60"/>
  <c r="M274" i="60"/>
  <c r="Y274" i="60" s="1"/>
  <c r="I274" i="60"/>
  <c r="T274" i="60" s="1"/>
  <c r="M272" i="60"/>
  <c r="Y272" i="60" s="1"/>
  <c r="I272" i="60"/>
  <c r="T272" i="60" s="1"/>
  <c r="E586" i="60"/>
  <c r="E620" i="60" s="1"/>
  <c r="A552" i="60"/>
  <c r="I403" i="60"/>
  <c r="U403" i="60" s="1"/>
  <c r="U353" i="60"/>
  <c r="I381" i="60"/>
  <c r="U381" i="60" s="1"/>
  <c r="K462" i="60"/>
  <c r="O462" i="60" s="1"/>
  <c r="T462" i="60" s="1"/>
  <c r="X462" i="60" s="1"/>
  <c r="AB462" i="60" s="1"/>
  <c r="I330" i="60"/>
  <c r="I308" i="60"/>
  <c r="A350" i="60"/>
  <c r="F400" i="60"/>
  <c r="F378" i="60"/>
  <c r="I401" i="60"/>
  <c r="U401" i="60" s="1"/>
  <c r="U351" i="60"/>
  <c r="I379" i="60"/>
  <c r="U379" i="60" s="1"/>
  <c r="Z325" i="60"/>
  <c r="K618" i="60" s="1"/>
  <c r="O618" i="60" s="1"/>
  <c r="T618" i="60" s="1"/>
  <c r="X618" i="60" s="1"/>
  <c r="AB618" i="60" s="1"/>
  <c r="Z303" i="60"/>
  <c r="K584" i="60" s="1"/>
  <c r="O584" i="60" s="1"/>
  <c r="T584" i="60" s="1"/>
  <c r="X584" i="60" s="1"/>
  <c r="AB584" i="60" s="1"/>
  <c r="A347" i="60"/>
  <c r="F375" i="60"/>
  <c r="F397" i="60"/>
  <c r="I341" i="60"/>
  <c r="M341" i="60"/>
  <c r="F381" i="60"/>
  <c r="F403" i="60"/>
  <c r="A353" i="60"/>
  <c r="U321" i="60"/>
  <c r="K521" i="60" s="1"/>
  <c r="O521" i="60" s="1"/>
  <c r="T521" i="60" s="1"/>
  <c r="X521" i="60" s="1"/>
  <c r="AB521" i="60" s="1"/>
  <c r="U299" i="60"/>
  <c r="K487" i="60" s="1"/>
  <c r="O487" i="60" s="1"/>
  <c r="T487" i="60" s="1"/>
  <c r="X487" i="60" s="1"/>
  <c r="AB487" i="60" s="1"/>
  <c r="F399" i="60"/>
  <c r="A349" i="60"/>
  <c r="F377" i="60"/>
  <c r="I326" i="60"/>
  <c r="I304" i="60"/>
  <c r="K458" i="60"/>
  <c r="O458" i="60" s="1"/>
  <c r="T458" i="60" s="1"/>
  <c r="X458" i="60" s="1"/>
  <c r="AB458" i="60" s="1"/>
  <c r="I338" i="60"/>
  <c r="M338" i="60"/>
  <c r="I273" i="60"/>
  <c r="T273" i="60" s="1"/>
  <c r="M273" i="60"/>
  <c r="Y273" i="60" s="1"/>
  <c r="Z349" i="60"/>
  <c r="M399" i="60"/>
  <c r="Z399" i="60" s="1"/>
  <c r="M377" i="60"/>
  <c r="Z377" i="60" s="1"/>
  <c r="M305" i="60"/>
  <c r="K552" i="60"/>
  <c r="O552" i="60" s="1"/>
  <c r="T552" i="60" s="1"/>
  <c r="X552" i="60" s="1"/>
  <c r="AB552" i="60" s="1"/>
  <c r="M327" i="60"/>
  <c r="A339" i="60"/>
  <c r="F389" i="60"/>
  <c r="F367" i="60"/>
  <c r="K461" i="60"/>
  <c r="O461" i="60" s="1"/>
  <c r="T461" i="60" s="1"/>
  <c r="X461" i="60" s="1"/>
  <c r="AB461" i="60" s="1"/>
  <c r="I307" i="60"/>
  <c r="I329" i="60"/>
  <c r="I250" i="60"/>
  <c r="T250" i="60" s="1"/>
  <c r="M250" i="60"/>
  <c r="Y250" i="60" s="1"/>
  <c r="M340" i="60"/>
  <c r="I340" i="60"/>
  <c r="H529" i="47"/>
  <c r="H530" i="47"/>
  <c r="H526" i="47"/>
  <c r="H518" i="47"/>
  <c r="H521" i="47"/>
  <c r="H522" i="47"/>
  <c r="H519" i="47"/>
  <c r="H523" i="47"/>
  <c r="H531" i="47"/>
  <c r="H516" i="47"/>
  <c r="H520" i="47"/>
  <c r="H524" i="47"/>
  <c r="H528" i="47"/>
  <c r="H527" i="47"/>
  <c r="H517" i="47"/>
  <c r="H525" i="47"/>
  <c r="F250" i="47"/>
  <c r="F251" i="47"/>
  <c r="F252" i="47"/>
  <c r="F253" i="47"/>
  <c r="F254" i="47"/>
  <c r="F255" i="47"/>
  <c r="F256" i="47"/>
  <c r="F257" i="47"/>
  <c r="F258" i="47"/>
  <c r="F259" i="47"/>
  <c r="F260" i="47"/>
  <c r="F261" i="47"/>
  <c r="F262" i="47"/>
  <c r="F263" i="47"/>
  <c r="F264" i="47"/>
  <c r="F249" i="47"/>
  <c r="R242" i="47"/>
  <c r="Q338" i="47" s="1"/>
  <c r="Q339" i="47" s="1"/>
  <c r="Q340" i="47" s="1"/>
  <c r="Q341" i="47" s="1"/>
  <c r="Q342" i="47" s="1"/>
  <c r="Q343" i="47" s="1"/>
  <c r="Q344" i="47" s="1"/>
  <c r="U329" i="60" l="1"/>
  <c r="K529" i="60" s="1"/>
  <c r="O529" i="60" s="1"/>
  <c r="T529" i="60" s="1"/>
  <c r="X529" i="60" s="1"/>
  <c r="AB529" i="60" s="1"/>
  <c r="U307" i="60"/>
  <c r="K495" i="60" s="1"/>
  <c r="O495" i="60" s="1"/>
  <c r="T495" i="60" s="1"/>
  <c r="X495" i="60" s="1"/>
  <c r="AB495" i="60" s="1"/>
  <c r="U300" i="60"/>
  <c r="K488" i="60" s="1"/>
  <c r="O488" i="60" s="1"/>
  <c r="T488" i="60" s="1"/>
  <c r="X488" i="60" s="1"/>
  <c r="AB488" i="60" s="1"/>
  <c r="U322" i="60"/>
  <c r="K522" i="60" s="1"/>
  <c r="O522" i="60" s="1"/>
  <c r="T522" i="60" s="1"/>
  <c r="X522" i="60" s="1"/>
  <c r="AB522" i="60" s="1"/>
  <c r="M391" i="60"/>
  <c r="M369" i="60"/>
  <c r="Z369" i="60" s="1"/>
  <c r="Z341" i="60"/>
  <c r="K543" i="60"/>
  <c r="O543" i="60" s="1"/>
  <c r="T543" i="60" s="1"/>
  <c r="X543" i="60" s="1"/>
  <c r="M318" i="60"/>
  <c r="M296" i="60"/>
  <c r="Z301" i="60"/>
  <c r="K582" i="60" s="1"/>
  <c r="O582" i="60" s="1"/>
  <c r="T582" i="60" s="1"/>
  <c r="X582" i="60" s="1"/>
  <c r="AB582" i="60" s="1"/>
  <c r="Z323" i="60"/>
  <c r="K616" i="60" s="1"/>
  <c r="O616" i="60" s="1"/>
  <c r="T616" i="60" s="1"/>
  <c r="X616" i="60" s="1"/>
  <c r="AB616" i="60" s="1"/>
  <c r="U327" i="60"/>
  <c r="K527" i="60" s="1"/>
  <c r="O527" i="60" s="1"/>
  <c r="T527" i="60" s="1"/>
  <c r="X527" i="60" s="1"/>
  <c r="AB527" i="60" s="1"/>
  <c r="U305" i="60"/>
  <c r="K493" i="60" s="1"/>
  <c r="O493" i="60" s="1"/>
  <c r="T493" i="60" s="1"/>
  <c r="X493" i="60" s="1"/>
  <c r="AB493" i="60" s="1"/>
  <c r="K542" i="60"/>
  <c r="O542" i="60" s="1"/>
  <c r="T542" i="60" s="1"/>
  <c r="X542" i="60" s="1"/>
  <c r="M317" i="60"/>
  <c r="M295" i="60"/>
  <c r="U341" i="60"/>
  <c r="I391" i="60"/>
  <c r="I369" i="60"/>
  <c r="U369" i="60" s="1"/>
  <c r="O1232" i="60"/>
  <c r="AC1231" i="60"/>
  <c r="Z340" i="60"/>
  <c r="M368" i="60"/>
  <c r="Z368" i="60" s="1"/>
  <c r="M390" i="60"/>
  <c r="Z322" i="60"/>
  <c r="K615" i="60" s="1"/>
  <c r="O615" i="60" s="1"/>
  <c r="T615" i="60" s="1"/>
  <c r="X615" i="60" s="1"/>
  <c r="AB615" i="60" s="1"/>
  <c r="Z300" i="60"/>
  <c r="K581" i="60" s="1"/>
  <c r="O581" i="60" s="1"/>
  <c r="T581" i="60" s="1"/>
  <c r="X581" i="60" s="1"/>
  <c r="AB581" i="60" s="1"/>
  <c r="M366" i="60"/>
  <c r="Z366" i="60" s="1"/>
  <c r="Z338" i="60"/>
  <c r="M388" i="60"/>
  <c r="Z388" i="60" s="1"/>
  <c r="Z330" i="60"/>
  <c r="K623" i="60" s="1"/>
  <c r="O623" i="60" s="1"/>
  <c r="T623" i="60" s="1"/>
  <c r="X623" i="60" s="1"/>
  <c r="AB623" i="60" s="1"/>
  <c r="Z308" i="60"/>
  <c r="K589" i="60" s="1"/>
  <c r="O589" i="60" s="1"/>
  <c r="T589" i="60" s="1"/>
  <c r="X589" i="60" s="1"/>
  <c r="AB589" i="60" s="1"/>
  <c r="M392" i="60"/>
  <c r="Z342" i="60"/>
  <c r="M370" i="60"/>
  <c r="Z370" i="60" s="1"/>
  <c r="I318" i="60"/>
  <c r="I296" i="60"/>
  <c r="K450" i="60"/>
  <c r="O450" i="60" s="1"/>
  <c r="T450" i="60" s="1"/>
  <c r="X450" i="60" s="1"/>
  <c r="I390" i="60"/>
  <c r="I368" i="60"/>
  <c r="U368" i="60" s="1"/>
  <c r="U340" i="60"/>
  <c r="K451" i="60"/>
  <c r="O451" i="60" s="1"/>
  <c r="T451" i="60" s="1"/>
  <c r="X451" i="60" s="1"/>
  <c r="I297" i="60"/>
  <c r="I319" i="60"/>
  <c r="U331" i="60"/>
  <c r="K531" i="60" s="1"/>
  <c r="O531" i="60" s="1"/>
  <c r="T531" i="60" s="1"/>
  <c r="X531" i="60" s="1"/>
  <c r="AB531" i="60" s="1"/>
  <c r="U309" i="60"/>
  <c r="K497" i="60" s="1"/>
  <c r="O497" i="60" s="1"/>
  <c r="T497" i="60" s="1"/>
  <c r="X497" i="60" s="1"/>
  <c r="AB497" i="60" s="1"/>
  <c r="O714" i="60"/>
  <c r="AD711" i="60"/>
  <c r="O711" i="60"/>
  <c r="AD708" i="60"/>
  <c r="AD713" i="60"/>
  <c r="O708" i="60"/>
  <c r="AD710" i="60"/>
  <c r="O710" i="60"/>
  <c r="AD747" i="60"/>
  <c r="O713" i="60"/>
  <c r="AD709" i="60"/>
  <c r="AD712" i="60"/>
  <c r="O712" i="60"/>
  <c r="O709" i="60"/>
  <c r="M320" i="60"/>
  <c r="M298" i="60"/>
  <c r="K545" i="60"/>
  <c r="O545" i="60" s="1"/>
  <c r="T545" i="60" s="1"/>
  <c r="X545" i="60" s="1"/>
  <c r="I366" i="60"/>
  <c r="U366" i="60" s="1"/>
  <c r="U338" i="60"/>
  <c r="I388" i="60"/>
  <c r="I367" i="60"/>
  <c r="U367" i="60" s="1"/>
  <c r="I389" i="60"/>
  <c r="U339" i="60"/>
  <c r="U326" i="60"/>
  <c r="K526" i="60" s="1"/>
  <c r="O526" i="60" s="1"/>
  <c r="T526" i="60" s="1"/>
  <c r="X526" i="60" s="1"/>
  <c r="AB526" i="60" s="1"/>
  <c r="U304" i="60"/>
  <c r="K492" i="60" s="1"/>
  <c r="O492" i="60" s="1"/>
  <c r="T492" i="60" s="1"/>
  <c r="X492" i="60" s="1"/>
  <c r="AB492" i="60" s="1"/>
  <c r="K541" i="60"/>
  <c r="O541" i="60" s="1"/>
  <c r="T541" i="60" s="1"/>
  <c r="X541" i="60" s="1"/>
  <c r="M316" i="60"/>
  <c r="M294" i="60"/>
  <c r="Z1163" i="60"/>
  <c r="Z1176" i="60"/>
  <c r="Z1175" i="60"/>
  <c r="I295" i="60"/>
  <c r="K449" i="60"/>
  <c r="O449" i="60" s="1"/>
  <c r="T449" i="60" s="1"/>
  <c r="X449" i="60" s="1"/>
  <c r="AB449" i="60" s="1"/>
  <c r="I317" i="60"/>
  <c r="M297" i="60"/>
  <c r="K544" i="60"/>
  <c r="O544" i="60" s="1"/>
  <c r="T544" i="60" s="1"/>
  <c r="X544" i="60" s="1"/>
  <c r="M319" i="60"/>
  <c r="Z326" i="60"/>
  <c r="K619" i="60" s="1"/>
  <c r="O619" i="60" s="1"/>
  <c r="T619" i="60" s="1"/>
  <c r="X619" i="60" s="1"/>
  <c r="AB619" i="60" s="1"/>
  <c r="Z304" i="60"/>
  <c r="K585" i="60" s="1"/>
  <c r="O585" i="60" s="1"/>
  <c r="T585" i="60" s="1"/>
  <c r="X585" i="60" s="1"/>
  <c r="AB585" i="60" s="1"/>
  <c r="K452" i="60"/>
  <c r="O452" i="60" s="1"/>
  <c r="T452" i="60" s="1"/>
  <c r="X452" i="60" s="1"/>
  <c r="I320" i="60"/>
  <c r="I298" i="60"/>
  <c r="Z327" i="60"/>
  <c r="K620" i="60" s="1"/>
  <c r="O620" i="60" s="1"/>
  <c r="T620" i="60" s="1"/>
  <c r="X620" i="60" s="1"/>
  <c r="AB620" i="60" s="1"/>
  <c r="Z305" i="60"/>
  <c r="K586" i="60" s="1"/>
  <c r="O586" i="60" s="1"/>
  <c r="T586" i="60" s="1"/>
  <c r="X586" i="60" s="1"/>
  <c r="AB586" i="60" s="1"/>
  <c r="U308" i="60"/>
  <c r="K496" i="60" s="1"/>
  <c r="O496" i="60" s="1"/>
  <c r="T496" i="60" s="1"/>
  <c r="X496" i="60" s="1"/>
  <c r="AB496" i="60" s="1"/>
  <c r="U330" i="60"/>
  <c r="K530" i="60" s="1"/>
  <c r="O530" i="60" s="1"/>
  <c r="T530" i="60" s="1"/>
  <c r="X530" i="60" s="1"/>
  <c r="AB530" i="60" s="1"/>
  <c r="K448" i="60"/>
  <c r="O448" i="60" s="1"/>
  <c r="T448" i="60" s="1"/>
  <c r="X448" i="60" s="1"/>
  <c r="I316" i="60"/>
  <c r="I294" i="60"/>
  <c r="N1102" i="60"/>
  <c r="N1091" i="60"/>
  <c r="I370" i="60"/>
  <c r="U370" i="60" s="1"/>
  <c r="I392" i="60"/>
  <c r="U342" i="60"/>
  <c r="U323" i="60"/>
  <c r="K523" i="60" s="1"/>
  <c r="O523" i="60" s="1"/>
  <c r="T523" i="60" s="1"/>
  <c r="X523" i="60" s="1"/>
  <c r="AB523" i="60" s="1"/>
  <c r="U301" i="60"/>
  <c r="K489" i="60" s="1"/>
  <c r="O489" i="60" s="1"/>
  <c r="T489" i="60" s="1"/>
  <c r="X489" i="60" s="1"/>
  <c r="AB489" i="60" s="1"/>
  <c r="M367" i="60"/>
  <c r="Z367" i="60" s="1"/>
  <c r="Z339" i="60"/>
  <c r="M389" i="60"/>
  <c r="Z329" i="60"/>
  <c r="K622" i="60" s="1"/>
  <c r="O622" i="60" s="1"/>
  <c r="T622" i="60" s="1"/>
  <c r="X622" i="60" s="1"/>
  <c r="AB622" i="60" s="1"/>
  <c r="Z307" i="60"/>
  <c r="K588" i="60" s="1"/>
  <c r="O588" i="60" s="1"/>
  <c r="T588" i="60" s="1"/>
  <c r="X588" i="60" s="1"/>
  <c r="AB588" i="60" s="1"/>
  <c r="H549" i="47"/>
  <c r="H543" i="47"/>
  <c r="H545" i="47"/>
  <c r="H551" i="47"/>
  <c r="H541" i="47"/>
  <c r="H555" i="47"/>
  <c r="H556" i="47"/>
  <c r="H554" i="47"/>
  <c r="H550" i="47"/>
  <c r="H548" i="47"/>
  <c r="H542" i="47"/>
  <c r="H544" i="47"/>
  <c r="H552" i="47"/>
  <c r="H547" i="47"/>
  <c r="H553" i="47"/>
  <c r="H546" i="47"/>
  <c r="Q345" i="47"/>
  <c r="F285" i="47"/>
  <c r="A262" i="47"/>
  <c r="F276" i="47"/>
  <c r="A253" i="47"/>
  <c r="F275" i="47"/>
  <c r="A252" i="47"/>
  <c r="A259" i="47"/>
  <c r="F274" i="47"/>
  <c r="A251" i="47"/>
  <c r="F278" i="47"/>
  <c r="A255" i="47"/>
  <c r="F284" i="47"/>
  <c r="A261" i="47"/>
  <c r="A258" i="47"/>
  <c r="A249" i="47"/>
  <c r="F280" i="47"/>
  <c r="A257" i="47"/>
  <c r="F286" i="47"/>
  <c r="A263" i="47"/>
  <c r="F277" i="47"/>
  <c r="A254" i="47"/>
  <c r="F283" i="47"/>
  <c r="A260" i="47"/>
  <c r="A250" i="47"/>
  <c r="F287" i="47"/>
  <c r="F309" i="47" s="1"/>
  <c r="A264" i="47"/>
  <c r="F279" i="47"/>
  <c r="A256" i="47"/>
  <c r="F272" i="47"/>
  <c r="F282" i="47"/>
  <c r="F281" i="47"/>
  <c r="F273" i="47"/>
  <c r="U220" i="47"/>
  <c r="W1299" i="47"/>
  <c r="Q850" i="47"/>
  <c r="X1139" i="47" s="1"/>
  <c r="AD655" i="47"/>
  <c r="O644" i="47" s="1"/>
  <c r="R438" i="47"/>
  <c r="S416" i="47"/>
  <c r="AA202" i="47"/>
  <c r="T148" i="47"/>
  <c r="W92" i="47"/>
  <c r="X1140" i="47" l="1"/>
  <c r="M1141" i="47" s="1"/>
  <c r="U392" i="60"/>
  <c r="AB450" i="60"/>
  <c r="U296" i="60"/>
  <c r="K484" i="60" s="1"/>
  <c r="O484" i="60" s="1"/>
  <c r="T484" i="60" s="1"/>
  <c r="X484" i="60" s="1"/>
  <c r="U318" i="60"/>
  <c r="K518" i="60" s="1"/>
  <c r="O518" i="60" s="1"/>
  <c r="T518" i="60" s="1"/>
  <c r="X518" i="60" s="1"/>
  <c r="Z391" i="60"/>
  <c r="U389" i="60"/>
  <c r="L474" i="60"/>
  <c r="U474" i="60" s="1"/>
  <c r="K478" i="60" s="1"/>
  <c r="N478" i="60" s="1"/>
  <c r="AB448" i="60"/>
  <c r="U319" i="60"/>
  <c r="K519" i="60" s="1"/>
  <c r="O519" i="60" s="1"/>
  <c r="T519" i="60" s="1"/>
  <c r="X519" i="60" s="1"/>
  <c r="U297" i="60"/>
  <c r="K485" i="60" s="1"/>
  <c r="O485" i="60" s="1"/>
  <c r="T485" i="60" s="1"/>
  <c r="X485" i="60" s="1"/>
  <c r="U391" i="60"/>
  <c r="AB541" i="60"/>
  <c r="L567" i="60"/>
  <c r="U567" i="60" s="1"/>
  <c r="K571" i="60" s="1"/>
  <c r="N571" i="60" s="1"/>
  <c r="AB545" i="60"/>
  <c r="O732" i="60"/>
  <c r="AD770" i="60"/>
  <c r="O737" i="60"/>
  <c r="AD734" i="60"/>
  <c r="O734" i="60"/>
  <c r="AD731" i="60"/>
  <c r="AD733" i="60"/>
  <c r="AD736" i="60"/>
  <c r="O733" i="60"/>
  <c r="O736" i="60"/>
  <c r="O731" i="60"/>
  <c r="AD735" i="60"/>
  <c r="AD732" i="60"/>
  <c r="O735" i="60"/>
  <c r="U390" i="60"/>
  <c r="AB452" i="60"/>
  <c r="U295" i="60"/>
  <c r="K483" i="60" s="1"/>
  <c r="O483" i="60" s="1"/>
  <c r="T483" i="60" s="1"/>
  <c r="X483" i="60" s="1"/>
  <c r="U317" i="60"/>
  <c r="K517" i="60" s="1"/>
  <c r="O517" i="60" s="1"/>
  <c r="T517" i="60" s="1"/>
  <c r="X517" i="60" s="1"/>
  <c r="O1233" i="60"/>
  <c r="AC1232" i="60"/>
  <c r="AB544" i="60"/>
  <c r="Z294" i="60"/>
  <c r="K575" i="60" s="1"/>
  <c r="O575" i="60" s="1"/>
  <c r="T575" i="60" s="1"/>
  <c r="X575" i="60" s="1"/>
  <c r="Z316" i="60"/>
  <c r="K609" i="60" s="1"/>
  <c r="O609" i="60" s="1"/>
  <c r="T609" i="60" s="1"/>
  <c r="X609" i="60" s="1"/>
  <c r="AB609" i="60" s="1"/>
  <c r="U388" i="60"/>
  <c r="AB451" i="60"/>
  <c r="Z318" i="60"/>
  <c r="K611" i="60" s="1"/>
  <c r="O611" i="60" s="1"/>
  <c r="T611" i="60" s="1"/>
  <c r="X611" i="60" s="1"/>
  <c r="AB611" i="60" s="1"/>
  <c r="Z296" i="60"/>
  <c r="K577" i="60" s="1"/>
  <c r="O577" i="60" s="1"/>
  <c r="T577" i="60" s="1"/>
  <c r="X577" i="60" s="1"/>
  <c r="AB577" i="60" s="1"/>
  <c r="K1121" i="60"/>
  <c r="U320" i="60"/>
  <c r="K520" i="60" s="1"/>
  <c r="O520" i="60" s="1"/>
  <c r="T520" i="60" s="1"/>
  <c r="X520" i="60" s="1"/>
  <c r="U298" i="60"/>
  <c r="K486" i="60" s="1"/>
  <c r="O486" i="60" s="1"/>
  <c r="T486" i="60" s="1"/>
  <c r="X486" i="60" s="1"/>
  <c r="AB543" i="60"/>
  <c r="U316" i="60"/>
  <c r="K516" i="60" s="1"/>
  <c r="O516" i="60" s="1"/>
  <c r="T516" i="60" s="1"/>
  <c r="X516" i="60" s="1"/>
  <c r="AB516" i="60" s="1"/>
  <c r="U294" i="60"/>
  <c r="K482" i="60" s="1"/>
  <c r="O482" i="60" s="1"/>
  <c r="T482" i="60" s="1"/>
  <c r="X482" i="60" s="1"/>
  <c r="AB542" i="60"/>
  <c r="Z298" i="60"/>
  <c r="K579" i="60" s="1"/>
  <c r="O579" i="60" s="1"/>
  <c r="T579" i="60" s="1"/>
  <c r="X579" i="60" s="1"/>
  <c r="Z320" i="60"/>
  <c r="K613" i="60" s="1"/>
  <c r="O613" i="60" s="1"/>
  <c r="T613" i="60" s="1"/>
  <c r="X613" i="60" s="1"/>
  <c r="Z389" i="60"/>
  <c r="K1277" i="60"/>
  <c r="H1278" i="60" s="1"/>
  <c r="K1120" i="60"/>
  <c r="K1281" i="60"/>
  <c r="H1282" i="60" s="1"/>
  <c r="Z319" i="60"/>
  <c r="K612" i="60" s="1"/>
  <c r="O612" i="60" s="1"/>
  <c r="T612" i="60" s="1"/>
  <c r="X612" i="60" s="1"/>
  <c r="Z297" i="60"/>
  <c r="K578" i="60" s="1"/>
  <c r="O578" i="60" s="1"/>
  <c r="T578" i="60" s="1"/>
  <c r="X578" i="60" s="1"/>
  <c r="Z392" i="60"/>
  <c r="Z390" i="60"/>
  <c r="Z317" i="60"/>
  <c r="K610" i="60" s="1"/>
  <c r="O610" i="60" s="1"/>
  <c r="T610" i="60" s="1"/>
  <c r="X610" i="60" s="1"/>
  <c r="Z295" i="60"/>
  <c r="K576" i="60" s="1"/>
  <c r="O576" i="60" s="1"/>
  <c r="T576" i="60" s="1"/>
  <c r="X576" i="60" s="1"/>
  <c r="AB576" i="60" s="1"/>
  <c r="AD639" i="47"/>
  <c r="AD643" i="47"/>
  <c r="AD642" i="47"/>
  <c r="AD644" i="47"/>
  <c r="AD640" i="47"/>
  <c r="AD641" i="47"/>
  <c r="AD678" i="47"/>
  <c r="O667" i="47" s="1"/>
  <c r="O640" i="47"/>
  <c r="O641" i="47"/>
  <c r="O642" i="47"/>
  <c r="O643" i="47"/>
  <c r="O639" i="47"/>
  <c r="H580" i="47"/>
  <c r="H578" i="47"/>
  <c r="H588" i="47"/>
  <c r="H585" i="47"/>
  <c r="H590" i="47"/>
  <c r="H579" i="47"/>
  <c r="H587" i="47"/>
  <c r="H576" i="47"/>
  <c r="H581" i="47"/>
  <c r="H577" i="47"/>
  <c r="H582" i="47"/>
  <c r="H589" i="47"/>
  <c r="H586" i="47"/>
  <c r="H584" i="47"/>
  <c r="H575" i="47"/>
  <c r="H583" i="47"/>
  <c r="A309" i="47"/>
  <c r="F331" i="47"/>
  <c r="A331" i="47" s="1"/>
  <c r="Q346" i="47"/>
  <c r="F303" i="47"/>
  <c r="F304" i="47"/>
  <c r="F305" i="47"/>
  <c r="F294" i="47"/>
  <c r="F297" i="47"/>
  <c r="F299" i="47"/>
  <c r="F306" i="47"/>
  <c r="F295" i="47"/>
  <c r="F296" i="47"/>
  <c r="F301" i="47"/>
  <c r="F298" i="47"/>
  <c r="F308" i="47"/>
  <c r="F300" i="47"/>
  <c r="F302" i="47"/>
  <c r="F307" i="47"/>
  <c r="F339" i="47"/>
  <c r="F389" i="47" s="1"/>
  <c r="A389" i="47" s="1"/>
  <c r="A273" i="47"/>
  <c r="F346" i="47"/>
  <c r="F396" i="47" s="1"/>
  <c r="A396" i="47" s="1"/>
  <c r="A280" i="47"/>
  <c r="F347" i="47"/>
  <c r="F397" i="47" s="1"/>
  <c r="A397" i="47" s="1"/>
  <c r="A281" i="47"/>
  <c r="A282" i="47"/>
  <c r="F348" i="47"/>
  <c r="F398" i="47" s="1"/>
  <c r="A398" i="47" s="1"/>
  <c r="A283" i="47"/>
  <c r="F349" i="47"/>
  <c r="F399" i="47" s="1"/>
  <c r="A399" i="47" s="1"/>
  <c r="A274" i="47"/>
  <c r="F340" i="47"/>
  <c r="F390" i="47" s="1"/>
  <c r="A390" i="47" s="1"/>
  <c r="F338" i="47"/>
  <c r="F388" i="47" s="1"/>
  <c r="A388" i="47" s="1"/>
  <c r="A272" i="47"/>
  <c r="A275" i="47"/>
  <c r="F341" i="47"/>
  <c r="F391" i="47" s="1"/>
  <c r="A391" i="47" s="1"/>
  <c r="A279" i="47"/>
  <c r="F345" i="47"/>
  <c r="F395" i="47" s="1"/>
  <c r="A395" i="47" s="1"/>
  <c r="A276" i="47"/>
  <c r="F342" i="47"/>
  <c r="F392" i="47" s="1"/>
  <c r="A392" i="47" s="1"/>
  <c r="F352" i="47"/>
  <c r="F402" i="47" s="1"/>
  <c r="A402" i="47" s="1"/>
  <c r="A286" i="47"/>
  <c r="F344" i="47"/>
  <c r="F394" i="47" s="1"/>
  <c r="A394" i="47" s="1"/>
  <c r="A278" i="47"/>
  <c r="A277" i="47"/>
  <c r="F343" i="47"/>
  <c r="F393" i="47" s="1"/>
  <c r="A393" i="47" s="1"/>
  <c r="A284" i="47"/>
  <c r="F350" i="47"/>
  <c r="F400" i="47" s="1"/>
  <c r="A400" i="47" s="1"/>
  <c r="F353" i="47"/>
  <c r="F403" i="47" s="1"/>
  <c r="A403" i="47" s="1"/>
  <c r="A287" i="47"/>
  <c r="F351" i="47"/>
  <c r="F401" i="47" s="1"/>
  <c r="A401" i="47" s="1"/>
  <c r="A285" i="47"/>
  <c r="U219" i="47"/>
  <c r="Q249" i="47"/>
  <c r="A449" i="47"/>
  <c r="A450" i="47"/>
  <c r="A451" i="47"/>
  <c r="A452" i="47"/>
  <c r="A453" i="47"/>
  <c r="A454" i="47"/>
  <c r="A455" i="47"/>
  <c r="A456" i="47"/>
  <c r="A457" i="47"/>
  <c r="A458" i="47"/>
  <c r="A459" i="47"/>
  <c r="A460" i="47"/>
  <c r="A461" i="47"/>
  <c r="A462" i="47"/>
  <c r="A463" i="47"/>
  <c r="A448" i="47"/>
  <c r="J155" i="47"/>
  <c r="V440" i="47"/>
  <c r="X203" i="47"/>
  <c r="U203" i="47"/>
  <c r="R203" i="47"/>
  <c r="O203" i="47"/>
  <c r="X202" i="47"/>
  <c r="U202" i="47"/>
  <c r="R202" i="47"/>
  <c r="O202" i="47"/>
  <c r="G156" i="47"/>
  <c r="G157" i="47"/>
  <c r="G158" i="47"/>
  <c r="G159" i="47"/>
  <c r="G160" i="47"/>
  <c r="G161" i="47"/>
  <c r="G162" i="47"/>
  <c r="G163" i="47"/>
  <c r="G164" i="47"/>
  <c r="G165" i="47"/>
  <c r="E551" i="47" s="1"/>
  <c r="G166" i="47"/>
  <c r="E552" i="47" s="1"/>
  <c r="G167" i="47"/>
  <c r="E553" i="47" s="1"/>
  <c r="G168" i="47"/>
  <c r="E554" i="47" s="1"/>
  <c r="G169" i="47"/>
  <c r="E555" i="47" s="1"/>
  <c r="G170" i="47"/>
  <c r="E556" i="47" s="1"/>
  <c r="G155" i="47"/>
  <c r="E541" i="47" s="1"/>
  <c r="A541" i="47" s="1"/>
  <c r="J156" i="47"/>
  <c r="J157" i="47"/>
  <c r="J158" i="47"/>
  <c r="A158" i="47" s="1"/>
  <c r="J159" i="47"/>
  <c r="J160" i="47"/>
  <c r="J161" i="47"/>
  <c r="X161" i="47" s="1"/>
  <c r="J162" i="47"/>
  <c r="X162" i="47" s="1"/>
  <c r="J163" i="47"/>
  <c r="A163" i="47" s="1"/>
  <c r="J164" i="47"/>
  <c r="A164" i="47" s="1"/>
  <c r="J165" i="47"/>
  <c r="X165" i="47" s="1"/>
  <c r="J166" i="47"/>
  <c r="Q166" i="47" s="1"/>
  <c r="J167" i="47"/>
  <c r="A167" i="47" s="1"/>
  <c r="J168" i="47"/>
  <c r="A168" i="47" s="1"/>
  <c r="J169" i="47"/>
  <c r="X169" i="47" s="1"/>
  <c r="J170" i="47"/>
  <c r="AD170" i="47" s="1"/>
  <c r="A113" i="47"/>
  <c r="A114" i="47"/>
  <c r="A115" i="47"/>
  <c r="A116" i="47"/>
  <c r="A117" i="47"/>
  <c r="A118" i="47"/>
  <c r="A119" i="47"/>
  <c r="A120" i="47"/>
  <c r="A121" i="47"/>
  <c r="A122" i="47"/>
  <c r="A123" i="47"/>
  <c r="A124" i="47"/>
  <c r="A125" i="47"/>
  <c r="A126" i="47"/>
  <c r="A127" i="47"/>
  <c r="A112" i="47"/>
  <c r="W1149" i="47" l="1"/>
  <c r="Z1149" i="47" s="1"/>
  <c r="W1160" i="47"/>
  <c r="Z1160" i="47" s="1"/>
  <c r="AB519" i="60"/>
  <c r="AB517" i="60"/>
  <c r="AD759" i="60"/>
  <c r="O754" i="60"/>
  <c r="O759" i="60"/>
  <c r="AD756" i="60"/>
  <c r="O756" i="60"/>
  <c r="AD757" i="60"/>
  <c r="O757" i="60"/>
  <c r="O760" i="60"/>
  <c r="O758" i="60"/>
  <c r="AD755" i="60"/>
  <c r="AD793" i="60"/>
  <c r="O755" i="60"/>
  <c r="AD754" i="60"/>
  <c r="AD758" i="60"/>
  <c r="AB610" i="60"/>
  <c r="AB483" i="60"/>
  <c r="L508" i="60"/>
  <c r="U508" i="60" s="1"/>
  <c r="K512" i="60" s="1"/>
  <c r="N512" i="60" s="1"/>
  <c r="AB482" i="60"/>
  <c r="O1234" i="60"/>
  <c r="AC1233" i="60"/>
  <c r="AB520" i="60"/>
  <c r="AB578" i="60"/>
  <c r="AB613" i="60"/>
  <c r="L601" i="60"/>
  <c r="U601" i="60" s="1"/>
  <c r="K605" i="60" s="1"/>
  <c r="N605" i="60" s="1"/>
  <c r="AB575" i="60"/>
  <c r="AB518" i="60"/>
  <c r="K1124" i="60"/>
  <c r="AB612" i="60"/>
  <c r="AB579" i="60"/>
  <c r="AB484" i="60"/>
  <c r="AB486" i="60"/>
  <c r="K1125" i="60"/>
  <c r="AB485" i="60"/>
  <c r="AD701" i="47"/>
  <c r="O691" i="47" s="1"/>
  <c r="O666" i="47"/>
  <c r="AD663" i="47"/>
  <c r="O665" i="47"/>
  <c r="O663" i="47"/>
  <c r="AD664" i="47"/>
  <c r="AD666" i="47"/>
  <c r="O662" i="47"/>
  <c r="AD662" i="47"/>
  <c r="O664" i="47"/>
  <c r="AD665" i="47"/>
  <c r="AD667" i="47"/>
  <c r="E589" i="47"/>
  <c r="A555" i="47"/>
  <c r="E585" i="47"/>
  <c r="A551" i="47"/>
  <c r="E590" i="47"/>
  <c r="A556" i="47"/>
  <c r="E588" i="47"/>
  <c r="A554" i="47"/>
  <c r="E587" i="47"/>
  <c r="A553" i="47"/>
  <c r="E586" i="47"/>
  <c r="A552" i="47"/>
  <c r="H617" i="47"/>
  <c r="H623" i="47"/>
  <c r="H610" i="47"/>
  <c r="H619" i="47"/>
  <c r="H616" i="47"/>
  <c r="H621" i="47"/>
  <c r="H609" i="47"/>
  <c r="H622" i="47"/>
  <c r="H611" i="47"/>
  <c r="H613" i="47"/>
  <c r="H612" i="47"/>
  <c r="H618" i="47"/>
  <c r="H615" i="47"/>
  <c r="H614" i="47"/>
  <c r="H620" i="47"/>
  <c r="H624" i="47"/>
  <c r="E452" i="47"/>
  <c r="E486" i="47" s="1"/>
  <c r="E545" i="47"/>
  <c r="E451" i="47"/>
  <c r="E485" i="47" s="1"/>
  <c r="E544" i="47"/>
  <c r="E450" i="47"/>
  <c r="E484" i="47" s="1"/>
  <c r="E543" i="47"/>
  <c r="E448" i="47"/>
  <c r="E482" i="47" s="1"/>
  <c r="E575" i="47"/>
  <c r="E456" i="47"/>
  <c r="E490" i="47" s="1"/>
  <c r="E549" i="47"/>
  <c r="E455" i="47"/>
  <c r="E489" i="47" s="1"/>
  <c r="E548" i="47"/>
  <c r="E457" i="47"/>
  <c r="E491" i="47" s="1"/>
  <c r="E550" i="47"/>
  <c r="E454" i="47"/>
  <c r="E488" i="47" s="1"/>
  <c r="E547" i="47"/>
  <c r="E453" i="47"/>
  <c r="E487" i="47" s="1"/>
  <c r="E546" i="47"/>
  <c r="E449" i="47"/>
  <c r="E483" i="47" s="1"/>
  <c r="E542" i="47"/>
  <c r="A297" i="47"/>
  <c r="F319" i="47"/>
  <c r="A319" i="47" s="1"/>
  <c r="A308" i="47"/>
  <c r="F330" i="47"/>
  <c r="A330" i="47" s="1"/>
  <c r="A305" i="47"/>
  <c r="F327" i="47"/>
  <c r="A327" i="47" s="1"/>
  <c r="A301" i="47"/>
  <c r="F323" i="47"/>
  <c r="A323" i="47" s="1"/>
  <c r="A304" i="47"/>
  <c r="F326" i="47"/>
  <c r="A326" i="47" s="1"/>
  <c r="A294" i="47"/>
  <c r="F316" i="47"/>
  <c r="A316" i="47" s="1"/>
  <c r="A298" i="47"/>
  <c r="F320" i="47"/>
  <c r="A320" i="47" s="1"/>
  <c r="A296" i="47"/>
  <c r="F318" i="47"/>
  <c r="A318" i="47" s="1"/>
  <c r="A303" i="47"/>
  <c r="F325" i="47"/>
  <c r="A325" i="47" s="1"/>
  <c r="A300" i="47"/>
  <c r="F322" i="47"/>
  <c r="A322" i="47" s="1"/>
  <c r="A307" i="47"/>
  <c r="F329" i="47"/>
  <c r="A329" i="47" s="1"/>
  <c r="A306" i="47"/>
  <c r="F328" i="47"/>
  <c r="A328" i="47" s="1"/>
  <c r="A295" i="47"/>
  <c r="F317" i="47"/>
  <c r="A317" i="47" s="1"/>
  <c r="A302" i="47"/>
  <c r="F324" i="47"/>
  <c r="A324" i="47" s="1"/>
  <c r="A299" i="47"/>
  <c r="F321" i="47"/>
  <c r="A321" i="47" s="1"/>
  <c r="Q347" i="47"/>
  <c r="E459" i="47"/>
  <c r="E493" i="47" s="1"/>
  <c r="E458" i="47"/>
  <c r="E492" i="47" s="1"/>
  <c r="E462" i="47"/>
  <c r="E496" i="47" s="1"/>
  <c r="E461" i="47"/>
  <c r="E495" i="47" s="1"/>
  <c r="E460" i="47"/>
  <c r="E494" i="47" s="1"/>
  <c r="E463" i="47"/>
  <c r="E497" i="47" s="1"/>
  <c r="A338" i="47"/>
  <c r="F366" i="47"/>
  <c r="A366" i="47" s="1"/>
  <c r="A339" i="47"/>
  <c r="F367" i="47"/>
  <c r="A367" i="47" s="1"/>
  <c r="A341" i="47"/>
  <c r="F369" i="47"/>
  <c r="A369" i="47" s="1"/>
  <c r="A353" i="47"/>
  <c r="F381" i="47"/>
  <c r="A381" i="47" s="1"/>
  <c r="A352" i="47"/>
  <c r="F380" i="47"/>
  <c r="A380" i="47" s="1"/>
  <c r="A347" i="47"/>
  <c r="F375" i="47"/>
  <c r="A375" i="47" s="1"/>
  <c r="A342" i="47"/>
  <c r="F370" i="47"/>
  <c r="A370" i="47" s="1"/>
  <c r="A340" i="47"/>
  <c r="F368" i="47"/>
  <c r="A368" i="47" s="1"/>
  <c r="A346" i="47"/>
  <c r="F374" i="47"/>
  <c r="A374" i="47" s="1"/>
  <c r="A348" i="47"/>
  <c r="F376" i="47"/>
  <c r="A376" i="47" s="1"/>
  <c r="A351" i="47"/>
  <c r="F379" i="47"/>
  <c r="A379" i="47" s="1"/>
  <c r="A344" i="47"/>
  <c r="F372" i="47"/>
  <c r="A372" i="47" s="1"/>
  <c r="A350" i="47"/>
  <c r="F378" i="47"/>
  <c r="A378" i="47" s="1"/>
  <c r="A343" i="47"/>
  <c r="F371" i="47"/>
  <c r="A371" i="47" s="1"/>
  <c r="A345" i="47"/>
  <c r="F373" i="47"/>
  <c r="A373" i="47" s="1"/>
  <c r="A349" i="47"/>
  <c r="F377" i="47"/>
  <c r="A377" i="47" s="1"/>
  <c r="I260" i="47"/>
  <c r="T260" i="47" s="1"/>
  <c r="M260" i="47"/>
  <c r="Y260" i="47" s="1"/>
  <c r="I353" i="47"/>
  <c r="I403" i="47" s="1"/>
  <c r="U403" i="47" s="1"/>
  <c r="M353" i="47"/>
  <c r="M403" i="47" s="1"/>
  <c r="Z403" i="47" s="1"/>
  <c r="I282" i="47"/>
  <c r="T282" i="47" s="1"/>
  <c r="M282" i="47"/>
  <c r="Y282" i="47" s="1"/>
  <c r="M286" i="47"/>
  <c r="Y286" i="47" s="1"/>
  <c r="I286" i="47"/>
  <c r="T286" i="47" s="1"/>
  <c r="M278" i="47"/>
  <c r="Y278" i="47" s="1"/>
  <c r="I278" i="47"/>
  <c r="T278" i="47" s="1"/>
  <c r="M279" i="47"/>
  <c r="Y279" i="47" s="1"/>
  <c r="I279" i="47"/>
  <c r="T279" i="47" s="1"/>
  <c r="A155" i="47"/>
  <c r="A157" i="47"/>
  <c r="A165" i="47"/>
  <c r="AD166" i="47"/>
  <c r="X166" i="47"/>
  <c r="Q165" i="47"/>
  <c r="AD168" i="47"/>
  <c r="X168" i="47"/>
  <c r="AD167" i="47"/>
  <c r="A166" i="47"/>
  <c r="X167" i="47"/>
  <c r="AD164" i="47"/>
  <c r="Q164" i="47"/>
  <c r="Q162" i="47"/>
  <c r="Q169" i="47"/>
  <c r="A160" i="47"/>
  <c r="Q168" i="47"/>
  <c r="X170" i="47"/>
  <c r="A159" i="47"/>
  <c r="Q167" i="47"/>
  <c r="AD169" i="47"/>
  <c r="AD165" i="47"/>
  <c r="AD161" i="47"/>
  <c r="A156" i="47"/>
  <c r="X164" i="47"/>
  <c r="Q163" i="47"/>
  <c r="AD163" i="47"/>
  <c r="A162" i="47"/>
  <c r="Q170" i="47"/>
  <c r="X163" i="47"/>
  <c r="A170" i="47"/>
  <c r="A161" i="47"/>
  <c r="Q161" i="47"/>
  <c r="AD162" i="47"/>
  <c r="A169" i="47"/>
  <c r="O778" i="60" l="1"/>
  <c r="O783" i="60"/>
  <c r="AD780" i="60"/>
  <c r="O780" i="60"/>
  <c r="AD777" i="60"/>
  <c r="O781" i="60"/>
  <c r="O777" i="60"/>
  <c r="O779" i="60"/>
  <c r="AD782" i="60"/>
  <c r="AD816" i="60"/>
  <c r="O782" i="60"/>
  <c r="AD781" i="60"/>
  <c r="AD779" i="60"/>
  <c r="AD778" i="60"/>
  <c r="O1235" i="60"/>
  <c r="AC1234" i="60"/>
  <c r="AD724" i="47"/>
  <c r="O714" i="47" s="1"/>
  <c r="O686" i="47"/>
  <c r="AD689" i="47"/>
  <c r="O690" i="47"/>
  <c r="AD690" i="47"/>
  <c r="AD691" i="47"/>
  <c r="AD686" i="47"/>
  <c r="O687" i="47"/>
  <c r="AD688" i="47"/>
  <c r="AD685" i="47"/>
  <c r="O685" i="47"/>
  <c r="AD687" i="47"/>
  <c r="O688" i="47"/>
  <c r="O689" i="47"/>
  <c r="E576" i="47"/>
  <c r="A542" i="47"/>
  <c r="E622" i="47"/>
  <c r="A622" i="47" s="1"/>
  <c r="A588" i="47"/>
  <c r="E579" i="47"/>
  <c r="A545" i="47"/>
  <c r="E521" i="47"/>
  <c r="A521" i="47" s="1"/>
  <c r="A487" i="47"/>
  <c r="E520" i="47"/>
  <c r="A520" i="47" s="1"/>
  <c r="A486" i="47"/>
  <c r="E624" i="47"/>
  <c r="A624" i="47" s="1"/>
  <c r="A590" i="47"/>
  <c r="E528" i="47"/>
  <c r="A528" i="47" s="1"/>
  <c r="A494" i="47"/>
  <c r="E581" i="47"/>
  <c r="A547" i="47"/>
  <c r="E609" i="47"/>
  <c r="A609" i="47" s="1"/>
  <c r="A575" i="47"/>
  <c r="E578" i="47"/>
  <c r="A544" i="47"/>
  <c r="E523" i="47"/>
  <c r="A523" i="47" s="1"/>
  <c r="A489" i="47"/>
  <c r="E524" i="47"/>
  <c r="A524" i="47" s="1"/>
  <c r="A490" i="47"/>
  <c r="E529" i="47"/>
  <c r="A529" i="47" s="1"/>
  <c r="A495" i="47"/>
  <c r="E522" i="47"/>
  <c r="A522" i="47" s="1"/>
  <c r="A488" i="47"/>
  <c r="E516" i="47"/>
  <c r="A516" i="47" s="1"/>
  <c r="A482" i="47"/>
  <c r="E620" i="47"/>
  <c r="A620" i="47" s="1"/>
  <c r="A586" i="47"/>
  <c r="E619" i="47"/>
  <c r="A619" i="47" s="1"/>
  <c r="A585" i="47"/>
  <c r="E527" i="47"/>
  <c r="A527" i="47" s="1"/>
  <c r="A493" i="47"/>
  <c r="E582" i="47"/>
  <c r="A548" i="47"/>
  <c r="E519" i="47"/>
  <c r="A519" i="47" s="1"/>
  <c r="A485" i="47"/>
  <c r="E583" i="47"/>
  <c r="A549" i="47"/>
  <c r="E530" i="47"/>
  <c r="A530" i="47" s="1"/>
  <c r="A496" i="47"/>
  <c r="E584" i="47"/>
  <c r="A550" i="47"/>
  <c r="E577" i="47"/>
  <c r="A543" i="47"/>
  <c r="E517" i="47"/>
  <c r="A517" i="47" s="1"/>
  <c r="A483" i="47"/>
  <c r="E580" i="47"/>
  <c r="A546" i="47"/>
  <c r="E531" i="47"/>
  <c r="A531" i="47" s="1"/>
  <c r="A497" i="47"/>
  <c r="E526" i="47"/>
  <c r="A526" i="47" s="1"/>
  <c r="A492" i="47"/>
  <c r="E525" i="47"/>
  <c r="A525" i="47" s="1"/>
  <c r="A491" i="47"/>
  <c r="E518" i="47"/>
  <c r="A518" i="47" s="1"/>
  <c r="A484" i="47"/>
  <c r="E621" i="47"/>
  <c r="A621" i="47" s="1"/>
  <c r="A587" i="47"/>
  <c r="E623" i="47"/>
  <c r="A623" i="47" s="1"/>
  <c r="A589" i="47"/>
  <c r="M326" i="47"/>
  <c r="K551" i="47"/>
  <c r="O551" i="47" s="1"/>
  <c r="T551" i="47" s="1"/>
  <c r="X551" i="47" s="1"/>
  <c r="AB551" i="47" s="1"/>
  <c r="M323" i="47"/>
  <c r="K548" i="47"/>
  <c r="O548" i="47" s="1"/>
  <c r="T548" i="47" s="1"/>
  <c r="X548" i="47" s="1"/>
  <c r="AB548" i="47" s="1"/>
  <c r="M330" i="47"/>
  <c r="K555" i="47"/>
  <c r="O555" i="47" s="1"/>
  <c r="T555" i="47" s="1"/>
  <c r="X555" i="47" s="1"/>
  <c r="AB555" i="47" s="1"/>
  <c r="M322" i="47"/>
  <c r="K547" i="47"/>
  <c r="O547" i="47" s="1"/>
  <c r="T547" i="47" s="1"/>
  <c r="X547" i="47" s="1"/>
  <c r="AB547" i="47" s="1"/>
  <c r="K454" i="47"/>
  <c r="O454" i="47" s="1"/>
  <c r="T454" i="47" s="1"/>
  <c r="X454" i="47" s="1"/>
  <c r="AB454" i="47" s="1"/>
  <c r="I322" i="47"/>
  <c r="K462" i="47"/>
  <c r="O462" i="47" s="1"/>
  <c r="T462" i="47" s="1"/>
  <c r="X462" i="47" s="1"/>
  <c r="AB462" i="47" s="1"/>
  <c r="I330" i="47"/>
  <c r="K458" i="47"/>
  <c r="O458" i="47" s="1"/>
  <c r="T458" i="47" s="1"/>
  <c r="X458" i="47" s="1"/>
  <c r="AB458" i="47" s="1"/>
  <c r="I326" i="47"/>
  <c r="K455" i="47"/>
  <c r="O455" i="47" s="1"/>
  <c r="T455" i="47" s="1"/>
  <c r="X455" i="47" s="1"/>
  <c r="AB455" i="47" s="1"/>
  <c r="I323" i="47"/>
  <c r="Q348" i="47"/>
  <c r="Z353" i="47"/>
  <c r="M381" i="47"/>
  <c r="U353" i="47"/>
  <c r="I381" i="47"/>
  <c r="I300" i="47"/>
  <c r="U322" i="47" s="1"/>
  <c r="I304" i="47"/>
  <c r="U326" i="47" s="1"/>
  <c r="I301" i="47"/>
  <c r="U323" i="47" s="1"/>
  <c r="M301" i="47"/>
  <c r="Z323" i="47" s="1"/>
  <c r="K616" i="47" s="1"/>
  <c r="M300" i="47"/>
  <c r="Z322" i="47" s="1"/>
  <c r="K615" i="47" s="1"/>
  <c r="I308" i="47"/>
  <c r="U330" i="47" s="1"/>
  <c r="M308" i="47"/>
  <c r="Z330" i="47" s="1"/>
  <c r="K623" i="47" s="1"/>
  <c r="M304" i="47"/>
  <c r="Z326" i="47" s="1"/>
  <c r="K619" i="47" s="1"/>
  <c r="I257" i="47"/>
  <c r="T257" i="47" s="1"/>
  <c r="M257" i="47"/>
  <c r="Y257" i="47" s="1"/>
  <c r="M255" i="47"/>
  <c r="Y255" i="47" s="1"/>
  <c r="I255" i="47"/>
  <c r="T255" i="47" s="1"/>
  <c r="M262" i="47"/>
  <c r="Y262" i="47" s="1"/>
  <c r="I262" i="47"/>
  <c r="T262" i="47" s="1"/>
  <c r="I263" i="47"/>
  <c r="T263" i="47" s="1"/>
  <c r="M263" i="47"/>
  <c r="Y263" i="47" s="1"/>
  <c r="I256" i="47"/>
  <c r="T256" i="47" s="1"/>
  <c r="M256" i="47"/>
  <c r="Y256" i="47" s="1"/>
  <c r="I259" i="47"/>
  <c r="T259" i="47" s="1"/>
  <c r="M259" i="47"/>
  <c r="Y259" i="47" s="1"/>
  <c r="I264" i="47"/>
  <c r="T264" i="47" s="1"/>
  <c r="M264" i="47"/>
  <c r="Y264" i="47" s="1"/>
  <c r="M258" i="47"/>
  <c r="Y258" i="47" s="1"/>
  <c r="I258" i="47"/>
  <c r="T258" i="47" s="1"/>
  <c r="I261" i="47"/>
  <c r="T261" i="47" s="1"/>
  <c r="M261" i="47"/>
  <c r="Y261" i="47" s="1"/>
  <c r="I347" i="47"/>
  <c r="I397" i="47" s="1"/>
  <c r="U397" i="47" s="1"/>
  <c r="M347" i="47"/>
  <c r="M397" i="47" s="1"/>
  <c r="Z397" i="47" s="1"/>
  <c r="I346" i="47"/>
  <c r="I396" i="47" s="1"/>
  <c r="U396" i="47" s="1"/>
  <c r="M346" i="47"/>
  <c r="M396" i="47" s="1"/>
  <c r="Z396" i="47" s="1"/>
  <c r="I345" i="47"/>
  <c r="I395" i="47" s="1"/>
  <c r="U395" i="47" s="1"/>
  <c r="M345" i="47"/>
  <c r="M395" i="47" s="1"/>
  <c r="Z395" i="47" s="1"/>
  <c r="I350" i="47"/>
  <c r="I400" i="47" s="1"/>
  <c r="U400" i="47" s="1"/>
  <c r="M350" i="47"/>
  <c r="M400" i="47" s="1"/>
  <c r="Z400" i="47" s="1"/>
  <c r="I344" i="47"/>
  <c r="I394" i="47" s="1"/>
  <c r="U394" i="47" s="1"/>
  <c r="M344" i="47"/>
  <c r="M394" i="47" s="1"/>
  <c r="Z394" i="47" s="1"/>
  <c r="I351" i="47"/>
  <c r="I401" i="47" s="1"/>
  <c r="U401" i="47" s="1"/>
  <c r="M351" i="47"/>
  <c r="M401" i="47" s="1"/>
  <c r="Z401" i="47" s="1"/>
  <c r="M348" i="47"/>
  <c r="M398" i="47" s="1"/>
  <c r="Z398" i="47" s="1"/>
  <c r="I348" i="47"/>
  <c r="I398" i="47" s="1"/>
  <c r="U398" i="47" s="1"/>
  <c r="I352" i="47"/>
  <c r="I402" i="47" s="1"/>
  <c r="U402" i="47" s="1"/>
  <c r="M352" i="47"/>
  <c r="M402" i="47" s="1"/>
  <c r="Z402" i="47" s="1"/>
  <c r="I349" i="47"/>
  <c r="I399" i="47" s="1"/>
  <c r="U399" i="47" s="1"/>
  <c r="M349" i="47"/>
  <c r="M399" i="47" s="1"/>
  <c r="Z399" i="47" s="1"/>
  <c r="M281" i="47"/>
  <c r="Y281" i="47" s="1"/>
  <c r="I281" i="47"/>
  <c r="T281" i="47" s="1"/>
  <c r="M280" i="47"/>
  <c r="Y280" i="47" s="1"/>
  <c r="I280" i="47"/>
  <c r="T280" i="47" s="1"/>
  <c r="M284" i="47"/>
  <c r="Y284" i="47" s="1"/>
  <c r="I284" i="47"/>
  <c r="T284" i="47" s="1"/>
  <c r="M283" i="47"/>
  <c r="Y283" i="47" s="1"/>
  <c r="I283" i="47"/>
  <c r="T283" i="47" s="1"/>
  <c r="M287" i="47"/>
  <c r="Y287" i="47" s="1"/>
  <c r="I287" i="47"/>
  <c r="T287" i="47" s="1"/>
  <c r="M285" i="47"/>
  <c r="Y285" i="47" s="1"/>
  <c r="I285" i="47"/>
  <c r="T285" i="47" s="1"/>
  <c r="N1300" i="47"/>
  <c r="H847" i="47"/>
  <c r="H850" i="47" s="1"/>
  <c r="Q272" i="47"/>
  <c r="Q273" i="47" s="1"/>
  <c r="Q274" i="47" s="1"/>
  <c r="Q275" i="47" s="1"/>
  <c r="Q276" i="47" s="1"/>
  <c r="Q277" i="47" s="1"/>
  <c r="Q278" i="47" s="1"/>
  <c r="Q279" i="47" s="1"/>
  <c r="Q280" i="47" s="1"/>
  <c r="Q281" i="47" s="1"/>
  <c r="Q282" i="47" s="1"/>
  <c r="Q283" i="47" s="1"/>
  <c r="Q284" i="47" s="1"/>
  <c r="Q285" i="47" s="1"/>
  <c r="Q286" i="47" s="1"/>
  <c r="Q287" i="47" s="1"/>
  <c r="AD441" i="47"/>
  <c r="Q96" i="47"/>
  <c r="P1300" i="47"/>
  <c r="O1214" i="47"/>
  <c r="O1215" i="47" s="1"/>
  <c r="Q250" i="47"/>
  <c r="Q251" i="47" s="1"/>
  <c r="Q252" i="47" s="1"/>
  <c r="Q253" i="47" s="1"/>
  <c r="Q254" i="47" s="1"/>
  <c r="Q255" i="47" s="1"/>
  <c r="Q256" i="47" s="1"/>
  <c r="Q257" i="47" s="1"/>
  <c r="Q258" i="47" s="1"/>
  <c r="Q259" i="47" s="1"/>
  <c r="Q260" i="47" s="1"/>
  <c r="Q261" i="47" s="1"/>
  <c r="Q262" i="47" s="1"/>
  <c r="Q263" i="47" s="1"/>
  <c r="Q264" i="47" s="1"/>
  <c r="Z474" i="47"/>
  <c r="AB440" i="47"/>
  <c r="X219" i="47"/>
  <c r="P219" i="47"/>
  <c r="Z112" i="47"/>
  <c r="Q112" i="47"/>
  <c r="Q474" i="47"/>
  <c r="T1151" i="47"/>
  <c r="T1153" i="47"/>
  <c r="T1150" i="47"/>
  <c r="T1152" i="47"/>
  <c r="T1154" i="47" l="1"/>
  <c r="T1155" i="47"/>
  <c r="O804" i="60"/>
  <c r="AD801" i="60"/>
  <c r="O801" i="60"/>
  <c r="O806" i="60"/>
  <c r="AD803" i="60"/>
  <c r="AD895" i="60"/>
  <c r="AD802" i="60"/>
  <c r="AD805" i="60"/>
  <c r="O802" i="60"/>
  <c r="O800" i="60"/>
  <c r="O803" i="60"/>
  <c r="O805" i="60"/>
  <c r="AD800" i="60"/>
  <c r="AD804" i="60"/>
  <c r="AC1235" i="60"/>
  <c r="O1236" i="60"/>
  <c r="H851" i="47"/>
  <c r="N1102" i="47" s="1"/>
  <c r="K1121" i="47" s="1"/>
  <c r="K1125" i="47" s="1"/>
  <c r="AD747" i="47"/>
  <c r="O737" i="47" s="1"/>
  <c r="AD714" i="47"/>
  <c r="AD709" i="47"/>
  <c r="AD710" i="47"/>
  <c r="AD711" i="47"/>
  <c r="AD712" i="47"/>
  <c r="O710" i="47"/>
  <c r="O708" i="47"/>
  <c r="O712" i="47"/>
  <c r="O713" i="47"/>
  <c r="AD713" i="47"/>
  <c r="O709" i="47"/>
  <c r="AD708" i="47"/>
  <c r="O711" i="47"/>
  <c r="E611" i="47"/>
  <c r="A611" i="47" s="1"/>
  <c r="A577" i="47"/>
  <c r="E615" i="47"/>
  <c r="A615" i="47" s="1"/>
  <c r="A581" i="47"/>
  <c r="E616" i="47"/>
  <c r="A616" i="47" s="1"/>
  <c r="A582" i="47"/>
  <c r="E614" i="47"/>
  <c r="A614" i="47" s="1"/>
  <c r="A580" i="47"/>
  <c r="E612" i="47"/>
  <c r="A612" i="47" s="1"/>
  <c r="A578" i="47"/>
  <c r="E618" i="47"/>
  <c r="A618" i="47" s="1"/>
  <c r="A584" i="47"/>
  <c r="E613" i="47"/>
  <c r="A613" i="47" s="1"/>
  <c r="A579" i="47"/>
  <c r="E617" i="47"/>
  <c r="A617" i="47" s="1"/>
  <c r="A583" i="47"/>
  <c r="E610" i="47"/>
  <c r="A610" i="47" s="1"/>
  <c r="A576" i="47"/>
  <c r="O619" i="47"/>
  <c r="T619" i="47" s="1"/>
  <c r="X619" i="47" s="1"/>
  <c r="AB619" i="47" s="1"/>
  <c r="M324" i="47"/>
  <c r="K549" i="47"/>
  <c r="O549" i="47" s="1"/>
  <c r="T549" i="47" s="1"/>
  <c r="X549" i="47" s="1"/>
  <c r="AB549" i="47" s="1"/>
  <c r="X557" i="47"/>
  <c r="X591" i="47" s="1"/>
  <c r="X625" i="47" s="1"/>
  <c r="M325" i="47"/>
  <c r="K550" i="47"/>
  <c r="O550" i="47" s="1"/>
  <c r="T550" i="47" s="1"/>
  <c r="X550" i="47" s="1"/>
  <c r="AB550" i="47" s="1"/>
  <c r="M327" i="47"/>
  <c r="K552" i="47"/>
  <c r="O552" i="47" s="1"/>
  <c r="T552" i="47" s="1"/>
  <c r="X552" i="47" s="1"/>
  <c r="AB552" i="47" s="1"/>
  <c r="M329" i="47"/>
  <c r="K554" i="47"/>
  <c r="O554" i="47" s="1"/>
  <c r="T554" i="47" s="1"/>
  <c r="X554" i="47" s="1"/>
  <c r="AB554" i="47" s="1"/>
  <c r="M331" i="47"/>
  <c r="K556" i="47"/>
  <c r="O556" i="47" s="1"/>
  <c r="T556" i="47" s="1"/>
  <c r="X556" i="47" s="1"/>
  <c r="AB556" i="47" s="1"/>
  <c r="M328" i="47"/>
  <c r="K553" i="47"/>
  <c r="O553" i="47" s="1"/>
  <c r="T553" i="47" s="1"/>
  <c r="X553" i="47" s="1"/>
  <c r="AB553" i="47" s="1"/>
  <c r="O615" i="47"/>
  <c r="T615" i="47" s="1"/>
  <c r="X615" i="47" s="1"/>
  <c r="AB615" i="47" s="1"/>
  <c r="O616" i="47"/>
  <c r="T616" i="47" s="1"/>
  <c r="X616" i="47" s="1"/>
  <c r="AB616" i="47" s="1"/>
  <c r="O623" i="47"/>
  <c r="T623" i="47" s="1"/>
  <c r="X623" i="47" s="1"/>
  <c r="AB623" i="47" s="1"/>
  <c r="K460" i="47"/>
  <c r="O460" i="47" s="1"/>
  <c r="T460" i="47" s="1"/>
  <c r="X460" i="47" s="1"/>
  <c r="AB460" i="47" s="1"/>
  <c r="I328" i="47"/>
  <c r="K461" i="47"/>
  <c r="O461" i="47" s="1"/>
  <c r="T461" i="47" s="1"/>
  <c r="X461" i="47" s="1"/>
  <c r="AB461" i="47" s="1"/>
  <c r="I329" i="47"/>
  <c r="K456" i="47"/>
  <c r="O456" i="47" s="1"/>
  <c r="T456" i="47" s="1"/>
  <c r="X456" i="47" s="1"/>
  <c r="AB456" i="47" s="1"/>
  <c r="I324" i="47"/>
  <c r="K463" i="47"/>
  <c r="O463" i="47" s="1"/>
  <c r="T463" i="47" s="1"/>
  <c r="X463" i="47" s="1"/>
  <c r="AB463" i="47" s="1"/>
  <c r="I331" i="47"/>
  <c r="K457" i="47"/>
  <c r="O457" i="47" s="1"/>
  <c r="T457" i="47" s="1"/>
  <c r="X457" i="47" s="1"/>
  <c r="AB457" i="47" s="1"/>
  <c r="I325" i="47"/>
  <c r="K459" i="47"/>
  <c r="O459" i="47" s="1"/>
  <c r="T459" i="47" s="1"/>
  <c r="X459" i="47" s="1"/>
  <c r="AB459" i="47" s="1"/>
  <c r="I327" i="47"/>
  <c r="Q349" i="47"/>
  <c r="U344" i="47"/>
  <c r="I372" i="47"/>
  <c r="Z352" i="47"/>
  <c r="M380" i="47"/>
  <c r="Z350" i="47"/>
  <c r="M378" i="47"/>
  <c r="U352" i="47"/>
  <c r="I380" i="47"/>
  <c r="U350" i="47"/>
  <c r="I378" i="47"/>
  <c r="Z349" i="47"/>
  <c r="M377" i="47"/>
  <c r="Z347" i="47"/>
  <c r="M375" i="47"/>
  <c r="U349" i="47"/>
  <c r="I377" i="47"/>
  <c r="U347" i="47"/>
  <c r="I375" i="47"/>
  <c r="U348" i="47"/>
  <c r="I376" i="47"/>
  <c r="U376" i="47" s="1"/>
  <c r="Z345" i="47"/>
  <c r="M373" i="47"/>
  <c r="Z373" i="47" s="1"/>
  <c r="Z348" i="47"/>
  <c r="M376" i="47"/>
  <c r="U345" i="47"/>
  <c r="I373" i="47"/>
  <c r="Z351" i="47"/>
  <c r="M379" i="47"/>
  <c r="Z346" i="47"/>
  <c r="M374" i="47"/>
  <c r="Z344" i="47"/>
  <c r="M372" i="47"/>
  <c r="U351" i="47"/>
  <c r="I379" i="47"/>
  <c r="U346" i="47"/>
  <c r="I374" i="47"/>
  <c r="I306" i="47"/>
  <c r="U328" i="47" s="1"/>
  <c r="Z304" i="47"/>
  <c r="K585" i="47" s="1"/>
  <c r="M306" i="47"/>
  <c r="Z328" i="47" s="1"/>
  <c r="K621" i="47" s="1"/>
  <c r="I307" i="47"/>
  <c r="U329" i="47" s="1"/>
  <c r="I302" i="47"/>
  <c r="U324" i="47" s="1"/>
  <c r="Z308" i="47"/>
  <c r="K589" i="47" s="1"/>
  <c r="U301" i="47"/>
  <c r="K523" i="47"/>
  <c r="O523" i="47" s="1"/>
  <c r="M305" i="47"/>
  <c r="Z327" i="47" s="1"/>
  <c r="K620" i="47" s="1"/>
  <c r="Z301" i="47"/>
  <c r="K582" i="47" s="1"/>
  <c r="M307" i="47"/>
  <c r="Z329" i="47" s="1"/>
  <c r="K622" i="47" s="1"/>
  <c r="M302" i="47"/>
  <c r="Z324" i="47" s="1"/>
  <c r="K617" i="47" s="1"/>
  <c r="I309" i="47"/>
  <c r="U331" i="47" s="1"/>
  <c r="U308" i="47"/>
  <c r="K530" i="47"/>
  <c r="O530" i="47" s="1"/>
  <c r="M309" i="47"/>
  <c r="Z331" i="47" s="1"/>
  <c r="K624" i="47" s="1"/>
  <c r="M303" i="47"/>
  <c r="Z325" i="47" s="1"/>
  <c r="K618" i="47" s="1"/>
  <c r="I303" i="47"/>
  <c r="U325" i="47" s="1"/>
  <c r="U304" i="47"/>
  <c r="K526" i="47"/>
  <c r="O526" i="47" s="1"/>
  <c r="I305" i="47"/>
  <c r="U327" i="47" s="1"/>
  <c r="Z300" i="47"/>
  <c r="K581" i="47" s="1"/>
  <c r="U300" i="47"/>
  <c r="K522" i="47"/>
  <c r="O522" i="47" s="1"/>
  <c r="AD203" i="47"/>
  <c r="AG203" i="47" s="1"/>
  <c r="Q113" i="47"/>
  <c r="Q114" i="47" s="1"/>
  <c r="Q115" i="47" s="1"/>
  <c r="Q116" i="47" s="1"/>
  <c r="Q117" i="47" s="1"/>
  <c r="Q118" i="47" s="1"/>
  <c r="Q119" i="47" s="1"/>
  <c r="Q120" i="47" s="1"/>
  <c r="Q121" i="47" s="1"/>
  <c r="Q122" i="47" s="1"/>
  <c r="Q123" i="47" s="1"/>
  <c r="Q124" i="47" s="1"/>
  <c r="Q125" i="47" s="1"/>
  <c r="Q126" i="47" s="1"/>
  <c r="Q127" i="47" s="1"/>
  <c r="T120" i="47"/>
  <c r="T126" i="47"/>
  <c r="T113" i="47"/>
  <c r="T125" i="47"/>
  <c r="T127" i="47"/>
  <c r="T114" i="47"/>
  <c r="T122" i="47"/>
  <c r="T117" i="47"/>
  <c r="T124" i="47"/>
  <c r="T121" i="47"/>
  <c r="T115" i="47"/>
  <c r="T116" i="47"/>
  <c r="T123" i="47"/>
  <c r="T118" i="47"/>
  <c r="T119" i="47"/>
  <c r="U155" i="47"/>
  <c r="AC113" i="47"/>
  <c r="AC121" i="47"/>
  <c r="AC112" i="47"/>
  <c r="AC114" i="47"/>
  <c r="AC122" i="47"/>
  <c r="AC120" i="47"/>
  <c r="AC115" i="47"/>
  <c r="AC123" i="47"/>
  <c r="AC126" i="47"/>
  <c r="AC116" i="47"/>
  <c r="AC124" i="47"/>
  <c r="AC117" i="47"/>
  <c r="AC125" i="47"/>
  <c r="AC118" i="47"/>
  <c r="AC127" i="47"/>
  <c r="AC119" i="47"/>
  <c r="Z113" i="47"/>
  <c r="Z114" i="47" s="1"/>
  <c r="Z115" i="47" s="1"/>
  <c r="Z116" i="47" s="1"/>
  <c r="Z117" i="47" s="1"/>
  <c r="Z118" i="47" s="1"/>
  <c r="Z119" i="47" s="1"/>
  <c r="Z120" i="47" s="1"/>
  <c r="Z121" i="47" s="1"/>
  <c r="Z122" i="47" s="1"/>
  <c r="Z123" i="47" s="1"/>
  <c r="Z124" i="47" s="1"/>
  <c r="Z125" i="47" s="1"/>
  <c r="Z126" i="47" s="1"/>
  <c r="Z127" i="47" s="1"/>
  <c r="K96" i="47"/>
  <c r="W96" i="47" s="1"/>
  <c r="J228" i="47" s="1"/>
  <c r="J224" i="47"/>
  <c r="P1301" i="47"/>
  <c r="X464" i="47"/>
  <c r="X498" i="47" s="1"/>
  <c r="T112" i="47"/>
  <c r="O1216" i="47"/>
  <c r="AC1215" i="47"/>
  <c r="T1300" i="47" s="1"/>
  <c r="Y1300" i="47" s="1"/>
  <c r="Z219" i="47"/>
  <c r="P228" i="47" s="1"/>
  <c r="AD202" i="47"/>
  <c r="AG202" i="47" s="1"/>
  <c r="N155" i="47"/>
  <c r="O1237" i="60" l="1"/>
  <c r="AC1236" i="60"/>
  <c r="AD919" i="60"/>
  <c r="P882" i="60"/>
  <c r="AE879" i="60"/>
  <c r="P879" i="60"/>
  <c r="AE881" i="60"/>
  <c r="AE880" i="60"/>
  <c r="P880" i="60"/>
  <c r="P883" i="60"/>
  <c r="P881" i="60"/>
  <c r="AE882" i="60"/>
  <c r="AE878" i="60"/>
  <c r="P878" i="60"/>
  <c r="G894" i="60" s="1"/>
  <c r="AD770" i="47"/>
  <c r="O760" i="47" s="1"/>
  <c r="O736" i="47"/>
  <c r="AD736" i="47"/>
  <c r="O733" i="47"/>
  <c r="O734" i="47"/>
  <c r="AD737" i="47"/>
  <c r="O732" i="47"/>
  <c r="AD733" i="47"/>
  <c r="AD734" i="47"/>
  <c r="O735" i="47"/>
  <c r="AD735" i="47"/>
  <c r="O731" i="47"/>
  <c r="AD731" i="47"/>
  <c r="AD732" i="47"/>
  <c r="O617" i="47"/>
  <c r="T617" i="47" s="1"/>
  <c r="X617" i="47" s="1"/>
  <c r="AB617" i="47" s="1"/>
  <c r="O622" i="47"/>
  <c r="T622" i="47" s="1"/>
  <c r="X622" i="47" s="1"/>
  <c r="AB622" i="47" s="1"/>
  <c r="O620" i="47"/>
  <c r="T620" i="47" s="1"/>
  <c r="X620" i="47" s="1"/>
  <c r="AB620" i="47" s="1"/>
  <c r="O618" i="47"/>
  <c r="T618" i="47" s="1"/>
  <c r="X618" i="47" s="1"/>
  <c r="AB618" i="47" s="1"/>
  <c r="O624" i="47"/>
  <c r="T624" i="47" s="1"/>
  <c r="X624" i="47" s="1"/>
  <c r="AB624" i="47" s="1"/>
  <c r="O621" i="47"/>
  <c r="T621" i="47" s="1"/>
  <c r="X621" i="47" s="1"/>
  <c r="AB621" i="47" s="1"/>
  <c r="K488" i="47"/>
  <c r="O488" i="47" s="1"/>
  <c r="O581" i="47"/>
  <c r="T581" i="47" s="1"/>
  <c r="X581" i="47" s="1"/>
  <c r="AB581" i="47" s="1"/>
  <c r="K489" i="47"/>
  <c r="O489" i="47" s="1"/>
  <c r="O582" i="47"/>
  <c r="T582" i="47" s="1"/>
  <c r="X582" i="47" s="1"/>
  <c r="AB582" i="47" s="1"/>
  <c r="K496" i="47"/>
  <c r="O496" i="47" s="1"/>
  <c r="O589" i="47"/>
  <c r="T589" i="47" s="1"/>
  <c r="X589" i="47" s="1"/>
  <c r="AB589" i="47" s="1"/>
  <c r="K492" i="47"/>
  <c r="O492" i="47" s="1"/>
  <c r="O585" i="47"/>
  <c r="T585" i="47" s="1"/>
  <c r="X585" i="47" s="1"/>
  <c r="AB585" i="47" s="1"/>
  <c r="X532" i="47"/>
  <c r="T530" i="47"/>
  <c r="X530" i="47" s="1"/>
  <c r="AB530" i="47" s="1"/>
  <c r="T526" i="47"/>
  <c r="X526" i="47" s="1"/>
  <c r="AB526" i="47" s="1"/>
  <c r="Q350" i="47"/>
  <c r="U373" i="47"/>
  <c r="Z380" i="47"/>
  <c r="U372" i="47"/>
  <c r="Z376" i="47"/>
  <c r="U380" i="47"/>
  <c r="Z372" i="47"/>
  <c r="Z307" i="47"/>
  <c r="K588" i="47" s="1"/>
  <c r="U375" i="47"/>
  <c r="Z378" i="47"/>
  <c r="Z303" i="47"/>
  <c r="K584" i="47" s="1"/>
  <c r="U302" i="47"/>
  <c r="K524" i="47"/>
  <c r="O524" i="47" s="1"/>
  <c r="Z381" i="47"/>
  <c r="Z377" i="47"/>
  <c r="U379" i="47"/>
  <c r="Z309" i="47"/>
  <c r="K590" i="47" s="1"/>
  <c r="Z305" i="47"/>
  <c r="K586" i="47" s="1"/>
  <c r="U307" i="47"/>
  <c r="K529" i="47"/>
  <c r="O529" i="47" s="1"/>
  <c r="T529" i="47" s="1"/>
  <c r="X529" i="47" s="1"/>
  <c r="AB529" i="47" s="1"/>
  <c r="U309" i="47"/>
  <c r="K531" i="47"/>
  <c r="O531" i="47" s="1"/>
  <c r="T531" i="47" s="1"/>
  <c r="X531" i="47" s="1"/>
  <c r="AB531" i="47" s="1"/>
  <c r="Z375" i="47"/>
  <c r="U303" i="47"/>
  <c r="K525" i="47"/>
  <c r="O525" i="47" s="1"/>
  <c r="Z306" i="47"/>
  <c r="K587" i="47" s="1"/>
  <c r="U377" i="47"/>
  <c r="U378" i="47"/>
  <c r="U305" i="47"/>
  <c r="K527" i="47"/>
  <c r="O527" i="47" s="1"/>
  <c r="T527" i="47" s="1"/>
  <c r="X527" i="47" s="1"/>
  <c r="AB527" i="47" s="1"/>
  <c r="Z302" i="47"/>
  <c r="K583" i="47" s="1"/>
  <c r="U306" i="47"/>
  <c r="K528" i="47"/>
  <c r="O528" i="47" s="1"/>
  <c r="T528" i="47" s="1"/>
  <c r="X528" i="47" s="1"/>
  <c r="AB528" i="47" s="1"/>
  <c r="U374" i="47"/>
  <c r="Z374" i="47"/>
  <c r="U381" i="47"/>
  <c r="Z379" i="47"/>
  <c r="AD159" i="47"/>
  <c r="X156" i="47"/>
  <c r="X159" i="47"/>
  <c r="AD157" i="47"/>
  <c r="X157" i="47"/>
  <c r="AD158" i="47"/>
  <c r="X160" i="47"/>
  <c r="AD160" i="47"/>
  <c r="AD155" i="47"/>
  <c r="X155" i="47"/>
  <c r="X158" i="47"/>
  <c r="AD156" i="47"/>
  <c r="Q159" i="47"/>
  <c r="Q158" i="47"/>
  <c r="Q156" i="47"/>
  <c r="Q155" i="47"/>
  <c r="Q160" i="47"/>
  <c r="Q157" i="47"/>
  <c r="AC1216" i="47"/>
  <c r="T1301" i="47" s="1"/>
  <c r="Y1301" i="47" s="1"/>
  <c r="O1217" i="47"/>
  <c r="N156" i="47"/>
  <c r="N157" i="47" s="1"/>
  <c r="N158" i="47" s="1"/>
  <c r="N159" i="47" s="1"/>
  <c r="N160" i="47" s="1"/>
  <c r="N161" i="47" s="1"/>
  <c r="N162" i="47" s="1"/>
  <c r="N163" i="47" s="1"/>
  <c r="N164" i="47" s="1"/>
  <c r="N165" i="47" s="1"/>
  <c r="N166" i="47" s="1"/>
  <c r="N167" i="47" s="1"/>
  <c r="N168" i="47" s="1"/>
  <c r="N169" i="47" s="1"/>
  <c r="N170" i="47" s="1"/>
  <c r="U156" i="47"/>
  <c r="U157" i="47" s="1"/>
  <c r="U158" i="47" s="1"/>
  <c r="U159" i="47" s="1"/>
  <c r="U160" i="47" s="1"/>
  <c r="U161" i="47" s="1"/>
  <c r="U162" i="47" s="1"/>
  <c r="U163" i="47" s="1"/>
  <c r="U164" i="47" s="1"/>
  <c r="U165" i="47" s="1"/>
  <c r="U166" i="47" s="1"/>
  <c r="U167" i="47" s="1"/>
  <c r="U168" i="47" s="1"/>
  <c r="U169" i="47" s="1"/>
  <c r="U170" i="47" s="1"/>
  <c r="V228" i="47"/>
  <c r="N1091" i="47"/>
  <c r="K1120" i="47" s="1"/>
  <c r="K1124" i="47" s="1"/>
  <c r="P224" i="47"/>
  <c r="V224" i="47" s="1"/>
  <c r="V894" i="60" l="1"/>
  <c r="Q1163" i="60" s="1"/>
  <c r="Q1102" i="60"/>
  <c r="T1102" i="60" s="1"/>
  <c r="W1102" i="60" s="1"/>
  <c r="Q1091" i="60"/>
  <c r="T1091" i="60" s="1"/>
  <c r="W1091" i="60" s="1"/>
  <c r="P905" i="60"/>
  <c r="AE902" i="60"/>
  <c r="P902" i="60"/>
  <c r="P907" i="60"/>
  <c r="AE904" i="60"/>
  <c r="AE905" i="60"/>
  <c r="P904" i="60"/>
  <c r="P903" i="60"/>
  <c r="AE906" i="60"/>
  <c r="AD943" i="60"/>
  <c r="P906" i="60"/>
  <c r="AE903" i="60"/>
  <c r="O1238" i="60"/>
  <c r="AC1237" i="60"/>
  <c r="AD793" i="47"/>
  <c r="O783" i="47" s="1"/>
  <c r="AD757" i="47"/>
  <c r="O759" i="47"/>
  <c r="O757" i="47"/>
  <c r="AD754" i="47"/>
  <c r="O754" i="47"/>
  <c r="O758" i="47"/>
  <c r="AD755" i="47"/>
  <c r="AD760" i="47"/>
  <c r="O755" i="47"/>
  <c r="AD759" i="47"/>
  <c r="AD756" i="47"/>
  <c r="O756" i="47"/>
  <c r="AD758" i="47"/>
  <c r="K494" i="47"/>
  <c r="O494" i="47" s="1"/>
  <c r="O587" i="47"/>
  <c r="T587" i="47" s="1"/>
  <c r="X587" i="47" s="1"/>
  <c r="AB587" i="47" s="1"/>
  <c r="K495" i="47"/>
  <c r="O495" i="47" s="1"/>
  <c r="O588" i="47"/>
  <c r="T588" i="47" s="1"/>
  <c r="X588" i="47" s="1"/>
  <c r="AB588" i="47" s="1"/>
  <c r="K493" i="47"/>
  <c r="O493" i="47" s="1"/>
  <c r="O586" i="47"/>
  <c r="T586" i="47" s="1"/>
  <c r="X586" i="47" s="1"/>
  <c r="AB586" i="47" s="1"/>
  <c r="K497" i="47"/>
  <c r="O497" i="47" s="1"/>
  <c r="O590" i="47"/>
  <c r="T590" i="47" s="1"/>
  <c r="X590" i="47" s="1"/>
  <c r="AB590" i="47" s="1"/>
  <c r="K491" i="47"/>
  <c r="O491" i="47" s="1"/>
  <c r="O584" i="47"/>
  <c r="T584" i="47" s="1"/>
  <c r="X584" i="47" s="1"/>
  <c r="AB584" i="47" s="1"/>
  <c r="K490" i="47"/>
  <c r="O490" i="47" s="1"/>
  <c r="O583" i="47"/>
  <c r="T583" i="47" s="1"/>
  <c r="X583" i="47" s="1"/>
  <c r="AB583" i="47" s="1"/>
  <c r="Q351" i="47"/>
  <c r="T522" i="47"/>
  <c r="X522" i="47" s="1"/>
  <c r="AB522" i="47" s="1"/>
  <c r="I253" i="47"/>
  <c r="T253" i="47" s="1"/>
  <c r="M253" i="47"/>
  <c r="Y253" i="47" s="1"/>
  <c r="I254" i="47"/>
  <c r="T254" i="47" s="1"/>
  <c r="M254" i="47"/>
  <c r="Y254" i="47" s="1"/>
  <c r="M252" i="47"/>
  <c r="Y252" i="47" s="1"/>
  <c r="I252" i="47"/>
  <c r="T252" i="47" s="1"/>
  <c r="M251" i="47"/>
  <c r="Y251" i="47" s="1"/>
  <c r="I251" i="47"/>
  <c r="T251" i="47" s="1"/>
  <c r="I338" i="47"/>
  <c r="I388" i="47" s="1"/>
  <c r="M249" i="47"/>
  <c r="Y249" i="47" s="1"/>
  <c r="I249" i="47"/>
  <c r="T249" i="47" s="1"/>
  <c r="M250" i="47"/>
  <c r="Y250" i="47" s="1"/>
  <c r="I250" i="47"/>
  <c r="T250" i="47" s="1"/>
  <c r="I343" i="47"/>
  <c r="I393" i="47" s="1"/>
  <c r="U393" i="47" s="1"/>
  <c r="M343" i="47"/>
  <c r="M393" i="47" s="1"/>
  <c r="Z393" i="47" s="1"/>
  <c r="I341" i="47"/>
  <c r="I391" i="47" s="1"/>
  <c r="M341" i="47"/>
  <c r="M391" i="47" s="1"/>
  <c r="I339" i="47"/>
  <c r="I389" i="47" s="1"/>
  <c r="M339" i="47"/>
  <c r="M389" i="47" s="1"/>
  <c r="M340" i="47"/>
  <c r="M390" i="47" s="1"/>
  <c r="I340" i="47"/>
  <c r="I390" i="47" s="1"/>
  <c r="M338" i="47"/>
  <c r="M388" i="47" s="1"/>
  <c r="I342" i="47"/>
  <c r="I392" i="47" s="1"/>
  <c r="M342" i="47"/>
  <c r="M392" i="47" s="1"/>
  <c r="M277" i="47"/>
  <c r="Y277" i="47" s="1"/>
  <c r="I277" i="47"/>
  <c r="T277" i="47" s="1"/>
  <c r="I274" i="47"/>
  <c r="T274" i="47" s="1"/>
  <c r="M274" i="47"/>
  <c r="Y274" i="47" s="1"/>
  <c r="M275" i="47"/>
  <c r="Y275" i="47" s="1"/>
  <c r="I275" i="47"/>
  <c r="T275" i="47" s="1"/>
  <c r="M276" i="47"/>
  <c r="Y276" i="47" s="1"/>
  <c r="I276" i="47"/>
  <c r="T276" i="47" s="1"/>
  <c r="M272" i="47"/>
  <c r="Y272" i="47" s="1"/>
  <c r="I272" i="47"/>
  <c r="T272" i="47" s="1"/>
  <c r="M273" i="47"/>
  <c r="Y273" i="47" s="1"/>
  <c r="I273" i="47"/>
  <c r="T273" i="47" s="1"/>
  <c r="O1218" i="47"/>
  <c r="AC1217" i="47"/>
  <c r="K1263" i="47"/>
  <c r="H1264" i="47" s="1"/>
  <c r="K1267" i="47"/>
  <c r="H1268" i="47" s="1"/>
  <c r="Z1102" i="60"/>
  <c r="Z1091" i="60"/>
  <c r="AC1091" i="60" l="1"/>
  <c r="AC1102" i="60"/>
  <c r="P928" i="60"/>
  <c r="AE930" i="60"/>
  <c r="P930" i="60"/>
  <c r="AE927" i="60"/>
  <c r="P931" i="60"/>
  <c r="P927" i="60"/>
  <c r="AD967" i="60"/>
  <c r="AE926" i="60"/>
  <c r="P932" i="60"/>
  <c r="AE928" i="60"/>
  <c r="P926" i="60"/>
  <c r="P929" i="60"/>
  <c r="AE929" i="60"/>
  <c r="AE931" i="60"/>
  <c r="V918" i="60"/>
  <c r="Q1164" i="60" s="1"/>
  <c r="O1239" i="60"/>
  <c r="AC1238" i="60"/>
  <c r="G918" i="60"/>
  <c r="Z1164" i="60"/>
  <c r="Z1165" i="60"/>
  <c r="AD816" i="47"/>
  <c r="AD895" i="47" s="1"/>
  <c r="O779" i="47"/>
  <c r="AD781" i="47"/>
  <c r="O781" i="47"/>
  <c r="AD778" i="47"/>
  <c r="O778" i="47"/>
  <c r="AD780" i="47"/>
  <c r="AD777" i="47"/>
  <c r="AD782" i="47"/>
  <c r="O777" i="47"/>
  <c r="O782" i="47"/>
  <c r="AD779" i="47"/>
  <c r="AD783" i="47"/>
  <c r="O780" i="47"/>
  <c r="M318" i="47"/>
  <c r="K543" i="47"/>
  <c r="O543" i="47" s="1"/>
  <c r="T543" i="47" s="1"/>
  <c r="X543" i="47" s="1"/>
  <c r="M316" i="47"/>
  <c r="K541" i="47"/>
  <c r="O541" i="47" s="1"/>
  <c r="T541" i="47" s="1"/>
  <c r="X541" i="47" s="1"/>
  <c r="AB541" i="47" s="1"/>
  <c r="M321" i="47"/>
  <c r="K546" i="47"/>
  <c r="O546" i="47" s="1"/>
  <c r="T546" i="47" s="1"/>
  <c r="X546" i="47" s="1"/>
  <c r="AB546" i="47" s="1"/>
  <c r="M317" i="47"/>
  <c r="K542" i="47"/>
  <c r="O542" i="47" s="1"/>
  <c r="T542" i="47" s="1"/>
  <c r="X542" i="47" s="1"/>
  <c r="M320" i="47"/>
  <c r="K545" i="47"/>
  <c r="O545" i="47" s="1"/>
  <c r="T545" i="47" s="1"/>
  <c r="X545" i="47" s="1"/>
  <c r="M319" i="47"/>
  <c r="K544" i="47"/>
  <c r="O544" i="47" s="1"/>
  <c r="T544" i="47" s="1"/>
  <c r="X544" i="47" s="1"/>
  <c r="K452" i="47"/>
  <c r="O452" i="47" s="1"/>
  <c r="T452" i="47" s="1"/>
  <c r="X452" i="47" s="1"/>
  <c r="I320" i="47"/>
  <c r="K451" i="47"/>
  <c r="O451" i="47" s="1"/>
  <c r="T451" i="47" s="1"/>
  <c r="X451" i="47" s="1"/>
  <c r="I319" i="47"/>
  <c r="K449" i="47"/>
  <c r="O449" i="47" s="1"/>
  <c r="T449" i="47" s="1"/>
  <c r="X449" i="47" s="1"/>
  <c r="I317" i="47"/>
  <c r="K450" i="47"/>
  <c r="O450" i="47" s="1"/>
  <c r="T450" i="47" s="1"/>
  <c r="X450" i="47" s="1"/>
  <c r="I318" i="47"/>
  <c r="K448" i="47"/>
  <c r="O448" i="47" s="1"/>
  <c r="T448" i="47" s="1"/>
  <c r="X448" i="47" s="1"/>
  <c r="AB448" i="47" s="1"/>
  <c r="I316" i="47"/>
  <c r="K453" i="47"/>
  <c r="O453" i="47" s="1"/>
  <c r="T453" i="47" s="1"/>
  <c r="X453" i="47" s="1"/>
  <c r="AB453" i="47" s="1"/>
  <c r="I321" i="47"/>
  <c r="Q352" i="47"/>
  <c r="T523" i="47"/>
  <c r="X523" i="47" s="1"/>
  <c r="AB523" i="47" s="1"/>
  <c r="Z340" i="47"/>
  <c r="M368" i="47"/>
  <c r="Z390" i="47" s="1"/>
  <c r="Z339" i="47"/>
  <c r="M367" i="47"/>
  <c r="Z389" i="47" s="1"/>
  <c r="U342" i="47"/>
  <c r="I370" i="47"/>
  <c r="U392" i="47" s="1"/>
  <c r="Z343" i="47"/>
  <c r="M371" i="47"/>
  <c r="Z338" i="47"/>
  <c r="M366" i="47"/>
  <c r="Z388" i="47" s="1"/>
  <c r="U343" i="47"/>
  <c r="I371" i="47"/>
  <c r="U339" i="47"/>
  <c r="I367" i="47"/>
  <c r="U389" i="47" s="1"/>
  <c r="Z341" i="47"/>
  <c r="M369" i="47"/>
  <c r="Z391" i="47" s="1"/>
  <c r="U340" i="47"/>
  <c r="I368" i="47"/>
  <c r="U390" i="47" s="1"/>
  <c r="Z342" i="47"/>
  <c r="M370" i="47"/>
  <c r="Z392" i="47" s="1"/>
  <c r="U341" i="47"/>
  <c r="I369" i="47"/>
  <c r="U391" i="47" s="1"/>
  <c r="U338" i="47"/>
  <c r="I366" i="47"/>
  <c r="U388" i="47" s="1"/>
  <c r="I298" i="47"/>
  <c r="U320" i="47" s="1"/>
  <c r="I299" i="47"/>
  <c r="U321" i="47" s="1"/>
  <c r="I297" i="47"/>
  <c r="U319" i="47" s="1"/>
  <c r="M299" i="47"/>
  <c r="Z321" i="47" s="1"/>
  <c r="K614" i="47" s="1"/>
  <c r="I295" i="47"/>
  <c r="U317" i="47" s="1"/>
  <c r="M297" i="47"/>
  <c r="Z319" i="47" s="1"/>
  <c r="K612" i="47" s="1"/>
  <c r="M298" i="47"/>
  <c r="Z320" i="47" s="1"/>
  <c r="K613" i="47" s="1"/>
  <c r="M295" i="47"/>
  <c r="Z317" i="47" s="1"/>
  <c r="K610" i="47" s="1"/>
  <c r="M296" i="47"/>
  <c r="Z318" i="47" s="1"/>
  <c r="K611" i="47" s="1"/>
  <c r="I296" i="47"/>
  <c r="U318" i="47" s="1"/>
  <c r="M294" i="47"/>
  <c r="Z316" i="47" s="1"/>
  <c r="K609" i="47" s="1"/>
  <c r="I294" i="47"/>
  <c r="U316" i="47" s="1"/>
  <c r="AC1218" i="47"/>
  <c r="O1219" i="47"/>
  <c r="Q1092" i="60" l="1"/>
  <c r="T1092" i="60" s="1"/>
  <c r="W1092" i="60" s="1"/>
  <c r="Q1103" i="60"/>
  <c r="T1103" i="60" s="1"/>
  <c r="W1103" i="60" s="1"/>
  <c r="AC1239" i="60"/>
  <c r="O1240" i="60"/>
  <c r="V942" i="60"/>
  <c r="Q1166" i="60" s="1"/>
  <c r="G942" i="60"/>
  <c r="Q1094" i="60" s="1"/>
  <c r="P955" i="60"/>
  <c r="AE952" i="60"/>
  <c r="P952" i="60"/>
  <c r="AD991" i="60"/>
  <c r="AE954" i="60"/>
  <c r="AE953" i="60"/>
  <c r="P950" i="60"/>
  <c r="P953" i="60"/>
  <c r="P956" i="60"/>
  <c r="AE951" i="60"/>
  <c r="AE955" i="60"/>
  <c r="P951" i="60"/>
  <c r="AE950" i="60"/>
  <c r="P954" i="60"/>
  <c r="P883" i="47"/>
  <c r="P881" i="47"/>
  <c r="AE878" i="47"/>
  <c r="P882" i="47"/>
  <c r="AE882" i="47"/>
  <c r="AE879" i="47"/>
  <c r="AE880" i="47"/>
  <c r="AE881" i="47"/>
  <c r="AD919" i="47"/>
  <c r="P878" i="47"/>
  <c r="P879" i="47"/>
  <c r="P880" i="47"/>
  <c r="O806" i="47"/>
  <c r="AD804" i="47"/>
  <c r="AD805" i="47"/>
  <c r="O800" i="47"/>
  <c r="O804" i="47"/>
  <c r="AD806" i="47"/>
  <c r="O801" i="47"/>
  <c r="O805" i="47"/>
  <c r="AD802" i="47"/>
  <c r="O803" i="47"/>
  <c r="AD800" i="47"/>
  <c r="O802" i="47"/>
  <c r="AD801" i="47"/>
  <c r="AD803" i="47"/>
  <c r="AB542" i="47"/>
  <c r="AB451" i="47"/>
  <c r="AB452" i="47"/>
  <c r="AB544" i="47"/>
  <c r="AB450" i="47"/>
  <c r="AB545" i="47"/>
  <c r="AB543" i="47"/>
  <c r="AB449" i="47"/>
  <c r="O611" i="47"/>
  <c r="T611" i="47" s="1"/>
  <c r="X611" i="47" s="1"/>
  <c r="O609" i="47"/>
  <c r="T609" i="47" s="1"/>
  <c r="X609" i="47" s="1"/>
  <c r="AB609" i="47" s="1"/>
  <c r="L567" i="47"/>
  <c r="U567" i="47" s="1"/>
  <c r="K571" i="47" s="1"/>
  <c r="N571" i="47" s="1"/>
  <c r="O614" i="47"/>
  <c r="T614" i="47" s="1"/>
  <c r="X614" i="47" s="1"/>
  <c r="AB614" i="47" s="1"/>
  <c r="O613" i="47"/>
  <c r="T613" i="47" s="1"/>
  <c r="X613" i="47" s="1"/>
  <c r="O610" i="47"/>
  <c r="T610" i="47" s="1"/>
  <c r="X610" i="47" s="1"/>
  <c r="O612" i="47"/>
  <c r="T612" i="47" s="1"/>
  <c r="X612" i="47" s="1"/>
  <c r="L474" i="47"/>
  <c r="U474" i="47" s="1"/>
  <c r="K478" i="47" s="1"/>
  <c r="N478" i="47" s="1"/>
  <c r="Q353" i="47"/>
  <c r="T525" i="47" s="1"/>
  <c r="X525" i="47" s="1"/>
  <c r="AB525" i="47" s="1"/>
  <c r="T524" i="47"/>
  <c r="X524" i="47" s="1"/>
  <c r="AB524" i="47" s="1"/>
  <c r="U366" i="47"/>
  <c r="Z366" i="47"/>
  <c r="Z370" i="47"/>
  <c r="Z369" i="47"/>
  <c r="U371" i="47"/>
  <c r="Z371" i="47"/>
  <c r="U368" i="47"/>
  <c r="Z297" i="47"/>
  <c r="K578" i="47" s="1"/>
  <c r="U299" i="47"/>
  <c r="K521" i="47"/>
  <c r="O521" i="47" s="1"/>
  <c r="T521" i="47" s="1"/>
  <c r="X521" i="47" s="1"/>
  <c r="AB521" i="47" s="1"/>
  <c r="Z299" i="47"/>
  <c r="K580" i="47" s="1"/>
  <c r="U294" i="47"/>
  <c r="K482" i="47" s="1"/>
  <c r="K516" i="47"/>
  <c r="O516" i="47" s="1"/>
  <c r="T516" i="47" s="1"/>
  <c r="X516" i="47" s="1"/>
  <c r="AB516" i="47" s="1"/>
  <c r="U369" i="47"/>
  <c r="Z298" i="47"/>
  <c r="K579" i="47" s="1"/>
  <c r="U297" i="47"/>
  <c r="K519" i="47"/>
  <c r="O519" i="47" s="1"/>
  <c r="T519" i="47" s="1"/>
  <c r="X519" i="47" s="1"/>
  <c r="Z368" i="47"/>
  <c r="U367" i="47"/>
  <c r="U370" i="47"/>
  <c r="Z367" i="47"/>
  <c r="Z294" i="47"/>
  <c r="K575" i="47" s="1"/>
  <c r="Z295" i="47"/>
  <c r="K576" i="47" s="1"/>
  <c r="U296" i="47"/>
  <c r="K518" i="47"/>
  <c r="O518" i="47" s="1"/>
  <c r="T518" i="47" s="1"/>
  <c r="X518" i="47" s="1"/>
  <c r="Z296" i="47"/>
  <c r="K577" i="47" s="1"/>
  <c r="U295" i="47"/>
  <c r="K517" i="47"/>
  <c r="O517" i="47" s="1"/>
  <c r="T517" i="47" s="1"/>
  <c r="X517" i="47" s="1"/>
  <c r="U298" i="47"/>
  <c r="K520" i="47"/>
  <c r="O520" i="47" s="1"/>
  <c r="T520" i="47" s="1"/>
  <c r="X520" i="47" s="1"/>
  <c r="O1220" i="47"/>
  <c r="AC1219" i="47"/>
  <c r="Z1092" i="60"/>
  <c r="Z1093" i="60"/>
  <c r="Z1103" i="60"/>
  <c r="Z1104" i="60"/>
  <c r="AC1104" i="60" l="1"/>
  <c r="AC1103" i="60"/>
  <c r="AC1093" i="60"/>
  <c r="AC1092" i="60"/>
  <c r="Z1166" i="60"/>
  <c r="Z1167" i="60"/>
  <c r="O1241" i="60"/>
  <c r="AC1240" i="60"/>
  <c r="G966" i="60"/>
  <c r="Q1096" i="60" s="1"/>
  <c r="T1096" i="60" s="1"/>
  <c r="W1096" i="60" s="1"/>
  <c r="AE978" i="60"/>
  <c r="P978" i="60"/>
  <c r="AE975" i="60"/>
  <c r="P975" i="60"/>
  <c r="AE974" i="60"/>
  <c r="V990" i="60" s="1"/>
  <c r="Q1169" i="60" s="1"/>
  <c r="AE977" i="60"/>
  <c r="P974" i="60"/>
  <c r="G990" i="60" s="1"/>
  <c r="Q1097" i="60" s="1"/>
  <c r="P980" i="60"/>
  <c r="AE976" i="60"/>
  <c r="P976" i="60"/>
  <c r="P979" i="60"/>
  <c r="AD1015" i="60"/>
  <c r="AE979" i="60"/>
  <c r="P977" i="60"/>
  <c r="L1302" i="60"/>
  <c r="R1120" i="60"/>
  <c r="V1120" i="60" s="1"/>
  <c r="T1094" i="60"/>
  <c r="W1094" i="60" s="1"/>
  <c r="V966" i="60"/>
  <c r="Q1168" i="60" s="1"/>
  <c r="V894" i="47"/>
  <c r="Q1160" i="47" s="1"/>
  <c r="G894" i="47"/>
  <c r="AD943" i="47"/>
  <c r="AE902" i="47"/>
  <c r="AE905" i="47"/>
  <c r="P903" i="47"/>
  <c r="P902" i="47"/>
  <c r="P906" i="47"/>
  <c r="AE906" i="47"/>
  <c r="AE903" i="47"/>
  <c r="P904" i="47"/>
  <c r="AE904" i="47"/>
  <c r="P905" i="47"/>
  <c r="P907" i="47"/>
  <c r="AB520" i="47"/>
  <c r="AB612" i="47"/>
  <c r="AB610" i="47"/>
  <c r="AB613" i="47"/>
  <c r="AB518" i="47"/>
  <c r="AB519" i="47"/>
  <c r="AB517" i="47"/>
  <c r="AB611" i="47"/>
  <c r="K487" i="47"/>
  <c r="O487" i="47" s="1"/>
  <c r="T487" i="47" s="1"/>
  <c r="X487" i="47" s="1"/>
  <c r="AB487" i="47" s="1"/>
  <c r="O580" i="47"/>
  <c r="T580" i="47" s="1"/>
  <c r="X580" i="47" s="1"/>
  <c r="AB580" i="47" s="1"/>
  <c r="K484" i="47"/>
  <c r="O484" i="47" s="1"/>
  <c r="O577" i="47"/>
  <c r="T577" i="47" s="1"/>
  <c r="X577" i="47" s="1"/>
  <c r="K485" i="47"/>
  <c r="O485" i="47" s="1"/>
  <c r="O578" i="47"/>
  <c r="T578" i="47" s="1"/>
  <c r="X578" i="47" s="1"/>
  <c r="O482" i="47"/>
  <c r="O575" i="47"/>
  <c r="T575" i="47" s="1"/>
  <c r="X575" i="47" s="1"/>
  <c r="AB575" i="47" s="1"/>
  <c r="K483" i="47"/>
  <c r="O483" i="47" s="1"/>
  <c r="O576" i="47"/>
  <c r="T576" i="47" s="1"/>
  <c r="X576" i="47" s="1"/>
  <c r="K486" i="47"/>
  <c r="O486" i="47" s="1"/>
  <c r="O579" i="47"/>
  <c r="T579" i="47" s="1"/>
  <c r="X579" i="47" s="1"/>
  <c r="AC1220" i="47"/>
  <c r="O1221" i="47"/>
  <c r="Z1096" i="60"/>
  <c r="Z1094" i="60"/>
  <c r="Z1095" i="60"/>
  <c r="Q1149" i="47" l="1"/>
  <c r="AC1095" i="60"/>
  <c r="AC1094" i="60"/>
  <c r="AC1096" i="60"/>
  <c r="Y1302" i="60"/>
  <c r="U1302" i="60"/>
  <c r="Z1168" i="60"/>
  <c r="Z1169" i="60"/>
  <c r="O1242" i="60"/>
  <c r="AC1241" i="60"/>
  <c r="R1124" i="60"/>
  <c r="V1124" i="60" s="1"/>
  <c r="T1097" i="60"/>
  <c r="W1097" i="60" s="1"/>
  <c r="P1003" i="60"/>
  <c r="AE1000" i="60"/>
  <c r="P1000" i="60"/>
  <c r="AE1002" i="60"/>
  <c r="AE998" i="60"/>
  <c r="AE1001" i="60"/>
  <c r="P998" i="60"/>
  <c r="P1001" i="60"/>
  <c r="P1004" i="60"/>
  <c r="AE999" i="60"/>
  <c r="AD1039" i="60"/>
  <c r="P999" i="60"/>
  <c r="AE1003" i="60"/>
  <c r="P1002" i="60"/>
  <c r="Q1091" i="47"/>
  <c r="T1091" i="47" s="1"/>
  <c r="W1091" i="47" s="1"/>
  <c r="Q1102" i="47"/>
  <c r="T1102" i="47" s="1"/>
  <c r="W1102" i="47" s="1"/>
  <c r="V918" i="47"/>
  <c r="G918" i="47"/>
  <c r="AD967" i="47"/>
  <c r="P932" i="47"/>
  <c r="P929" i="47"/>
  <c r="P930" i="47"/>
  <c r="AE931" i="47"/>
  <c r="AE926" i="47"/>
  <c r="AE927" i="47"/>
  <c r="P926" i="47"/>
  <c r="AE929" i="47"/>
  <c r="P927" i="47"/>
  <c r="AE928" i="47"/>
  <c r="P928" i="47"/>
  <c r="AE930" i="47"/>
  <c r="P931" i="47"/>
  <c r="AB578" i="47"/>
  <c r="AB577" i="47"/>
  <c r="AB579" i="47"/>
  <c r="AB576" i="47"/>
  <c r="L601" i="47"/>
  <c r="U601" i="47" s="1"/>
  <c r="K605" i="47" s="1"/>
  <c r="N605" i="47" s="1"/>
  <c r="O1222" i="47"/>
  <c r="AC1221" i="47"/>
  <c r="Z1097" i="60"/>
  <c r="Z1091" i="47"/>
  <c r="Z1102" i="47"/>
  <c r="Q1150" i="47" l="1"/>
  <c r="Q1161" i="47"/>
  <c r="AC1097" i="60"/>
  <c r="AE1027" i="60"/>
  <c r="P1022" i="60"/>
  <c r="P1027" i="60"/>
  <c r="AE1024" i="60"/>
  <c r="P1024" i="60"/>
  <c r="AD1063" i="60"/>
  <c r="AE1025" i="60"/>
  <c r="P1025" i="60"/>
  <c r="P1028" i="60"/>
  <c r="P1026" i="60"/>
  <c r="AE1022" i="60"/>
  <c r="AE1026" i="60"/>
  <c r="AE1023" i="60"/>
  <c r="P1023" i="60"/>
  <c r="V1014" i="60"/>
  <c r="G1014" i="60"/>
  <c r="Q1105" i="60" s="1"/>
  <c r="O1243" i="60"/>
  <c r="AC1242" i="60"/>
  <c r="AC1102" i="47"/>
  <c r="AC1091" i="47"/>
  <c r="Q1092" i="47"/>
  <c r="T1092" i="47" s="1"/>
  <c r="W1092" i="47" s="1"/>
  <c r="Q1103" i="47"/>
  <c r="T1103" i="47" s="1"/>
  <c r="W1103" i="47" s="1"/>
  <c r="V942" i="47"/>
  <c r="AD991" i="47"/>
  <c r="AE953" i="47"/>
  <c r="AE954" i="47"/>
  <c r="P950" i="47"/>
  <c r="P956" i="47"/>
  <c r="P951" i="47"/>
  <c r="AE950" i="47"/>
  <c r="AE952" i="47"/>
  <c r="P954" i="47"/>
  <c r="AE951" i="47"/>
  <c r="P952" i="47"/>
  <c r="P953" i="47"/>
  <c r="P955" i="47"/>
  <c r="AE955" i="47"/>
  <c r="G942" i="47"/>
  <c r="AC1222" i="47"/>
  <c r="O1223" i="47"/>
  <c r="Z1093" i="47"/>
  <c r="Z1092" i="47"/>
  <c r="Z1104" i="47"/>
  <c r="Z1103" i="47"/>
  <c r="Z1151" i="47" l="1"/>
  <c r="Z1150" i="47"/>
  <c r="Z1162" i="47"/>
  <c r="Z1161" i="47"/>
  <c r="Q1152" i="47"/>
  <c r="V1038" i="60"/>
  <c r="G1038" i="60"/>
  <c r="Q1107" i="60" s="1"/>
  <c r="T1107" i="60" s="1"/>
  <c r="W1107" i="60" s="1"/>
  <c r="O1244" i="60"/>
  <c r="AC1243" i="60"/>
  <c r="P1051" i="60"/>
  <c r="AE1048" i="60"/>
  <c r="P1048" i="60"/>
  <c r="AE1050" i="60"/>
  <c r="AE1051" i="60"/>
  <c r="AE1047" i="60"/>
  <c r="P1047" i="60"/>
  <c r="P1050" i="60"/>
  <c r="P1046" i="60"/>
  <c r="P1049" i="60"/>
  <c r="P1052" i="60"/>
  <c r="AE1046" i="60"/>
  <c r="AE1049" i="60"/>
  <c r="R1121" i="60"/>
  <c r="V1121" i="60" s="1"/>
  <c r="T1105" i="60"/>
  <c r="W1105" i="60" s="1"/>
  <c r="AC1103" i="47"/>
  <c r="AC1104" i="47"/>
  <c r="AC1092" i="47"/>
  <c r="AC1093" i="47"/>
  <c r="Q1094" i="47"/>
  <c r="R1120" i="47" s="1"/>
  <c r="V966" i="47"/>
  <c r="G966" i="47"/>
  <c r="AD1015" i="47"/>
  <c r="P975" i="47"/>
  <c r="P974" i="47"/>
  <c r="AE975" i="47"/>
  <c r="P976" i="47"/>
  <c r="AE974" i="47"/>
  <c r="AE976" i="47"/>
  <c r="P977" i="47"/>
  <c r="AE978" i="47"/>
  <c r="AE977" i="47"/>
  <c r="P978" i="47"/>
  <c r="P979" i="47"/>
  <c r="AE979" i="47"/>
  <c r="P980" i="47"/>
  <c r="AC1223" i="47"/>
  <c r="O1224" i="47"/>
  <c r="Z1107" i="60"/>
  <c r="Z1105" i="60"/>
  <c r="Z1106" i="60"/>
  <c r="Z1152" i="47" l="1"/>
  <c r="Z1153" i="47"/>
  <c r="Q1154" i="47"/>
  <c r="Z1154" i="47" s="1"/>
  <c r="AC1106" i="60"/>
  <c r="AC1105" i="60"/>
  <c r="AC1107" i="60"/>
  <c r="V1062" i="60"/>
  <c r="G1062" i="60"/>
  <c r="Q1108" i="60" s="1"/>
  <c r="O1245" i="60"/>
  <c r="AC1244" i="60"/>
  <c r="Q1096" i="47"/>
  <c r="T1096" i="47" s="1"/>
  <c r="W1096" i="47" s="1"/>
  <c r="T1094" i="47"/>
  <c r="W1094" i="47" s="1"/>
  <c r="V1120" i="47"/>
  <c r="L1288" i="47"/>
  <c r="V990" i="47"/>
  <c r="G990" i="47"/>
  <c r="AD1039" i="47"/>
  <c r="P999" i="47"/>
  <c r="P998" i="47"/>
  <c r="AE1003" i="47"/>
  <c r="AE999" i="47"/>
  <c r="P1000" i="47"/>
  <c r="AE1000" i="47"/>
  <c r="P1001" i="47"/>
  <c r="AE1002" i="47"/>
  <c r="P1003" i="47"/>
  <c r="P1004" i="47"/>
  <c r="AE1001" i="47"/>
  <c r="P1002" i="47"/>
  <c r="AE998" i="47"/>
  <c r="AC1224" i="47"/>
  <c r="O1225" i="47"/>
  <c r="Z1096" i="47"/>
  <c r="Z1094" i="47"/>
  <c r="Z1095" i="47"/>
  <c r="Q1155" i="47" l="1"/>
  <c r="Z1155" i="47" s="1"/>
  <c r="R1125" i="60"/>
  <c r="V1125" i="60" s="1"/>
  <c r="T1108" i="60"/>
  <c r="W1108" i="60" s="1"/>
  <c r="O1246" i="60"/>
  <c r="AC1245" i="60"/>
  <c r="AC1095" i="47"/>
  <c r="AC1094" i="47"/>
  <c r="AC1096" i="47"/>
  <c r="Y1288" i="47"/>
  <c r="U1288" i="47"/>
  <c r="Q1097" i="47"/>
  <c r="V1014" i="47"/>
  <c r="Q1163" i="47" s="1"/>
  <c r="G1014" i="47"/>
  <c r="Q1105" i="47" s="1"/>
  <c r="AD1063" i="47"/>
  <c r="P1023" i="47"/>
  <c r="P1022" i="47"/>
  <c r="P1028" i="47"/>
  <c r="AE1023" i="47"/>
  <c r="P1024" i="47"/>
  <c r="AE1027" i="47"/>
  <c r="AE1022" i="47"/>
  <c r="AE1024" i="47"/>
  <c r="P1025" i="47"/>
  <c r="AE1026" i="47"/>
  <c r="P1027" i="47"/>
  <c r="AE1025" i="47"/>
  <c r="P1026" i="47"/>
  <c r="O1226" i="47"/>
  <c r="AC1225" i="47"/>
  <c r="Z1108" i="60"/>
  <c r="Z1163" i="47" l="1"/>
  <c r="Z1164" i="47"/>
  <c r="AC1108" i="60"/>
  <c r="AC1246" i="60"/>
  <c r="O1247" i="60"/>
  <c r="T1097" i="47"/>
  <c r="W1097" i="47" s="1"/>
  <c r="R1124" i="47"/>
  <c r="V1124" i="47" s="1"/>
  <c r="T1105" i="47"/>
  <c r="W1105" i="47" s="1"/>
  <c r="R1121" i="47"/>
  <c r="V1121" i="47" s="1"/>
  <c r="V1038" i="47"/>
  <c r="Q1165" i="47" s="1"/>
  <c r="Z1165" i="47" s="1"/>
  <c r="G1038" i="47"/>
  <c r="Q1107" i="47" s="1"/>
  <c r="T1107" i="47" s="1"/>
  <c r="W1107" i="47" s="1"/>
  <c r="P1047" i="47"/>
  <c r="P1046" i="47"/>
  <c r="P1051" i="47"/>
  <c r="AE1047" i="47"/>
  <c r="P1048" i="47"/>
  <c r="AE1051" i="47"/>
  <c r="AE1046" i="47"/>
  <c r="AE1048" i="47"/>
  <c r="P1049" i="47"/>
  <c r="AE1050" i="47"/>
  <c r="AE1049" i="47"/>
  <c r="P1050" i="47"/>
  <c r="P1052" i="47"/>
  <c r="AC1226" i="47"/>
  <c r="O1227" i="47"/>
  <c r="Z1097" i="47"/>
  <c r="Z1106" i="47"/>
  <c r="Z1105" i="47"/>
  <c r="Z1107" i="47"/>
  <c r="O1248" i="60" l="1"/>
  <c r="AC1247" i="60"/>
  <c r="AC1097" i="47"/>
  <c r="AC1105" i="47"/>
  <c r="AC1106" i="47"/>
  <c r="AC1107" i="47"/>
  <c r="V1062" i="47"/>
  <c r="Q1166" i="47" s="1"/>
  <c r="Z1166" i="47" s="1"/>
  <c r="G1062" i="47"/>
  <c r="Q1108" i="47" s="1"/>
  <c r="O1228" i="47"/>
  <c r="AC1227" i="47"/>
  <c r="O1249" i="60" l="1"/>
  <c r="AC1248" i="60"/>
  <c r="T1108" i="47"/>
  <c r="W1108" i="47" s="1"/>
  <c r="R1125" i="47"/>
  <c r="V1125" i="47" s="1"/>
  <c r="AC1228" i="47"/>
  <c r="O1229" i="47"/>
  <c r="Z1108" i="47"/>
  <c r="O1250" i="60" l="1"/>
  <c r="AC1249" i="60"/>
  <c r="AC1108" i="47"/>
  <c r="O1230" i="47"/>
  <c r="AC1229" i="47"/>
  <c r="O1251" i="60" l="1"/>
  <c r="AC1250" i="60"/>
  <c r="AC1230" i="47"/>
  <c r="O1231" i="47"/>
  <c r="O1252" i="60" l="1"/>
  <c r="AC1251" i="60"/>
  <c r="AC1231" i="47"/>
  <c r="O1232" i="47"/>
  <c r="O1253" i="60" l="1"/>
  <c r="AC1252" i="60"/>
  <c r="AC1232" i="47"/>
  <c r="O1233" i="47"/>
  <c r="O1254" i="60" l="1"/>
  <c r="AC1253" i="60"/>
  <c r="O1234" i="47"/>
  <c r="AC1233" i="47"/>
  <c r="O1255" i="60" l="1"/>
  <c r="AC1254" i="60"/>
  <c r="AC1234" i="47"/>
  <c r="O1235" i="47"/>
  <c r="O1256" i="60" l="1"/>
  <c r="AC1255" i="60"/>
  <c r="O1236" i="47"/>
  <c r="AC1235" i="47"/>
  <c r="O1257" i="60" l="1"/>
  <c r="AC1256" i="60"/>
  <c r="AC1236" i="47"/>
  <c r="O1237" i="47"/>
  <c r="O1258" i="60" l="1"/>
  <c r="AC1258" i="60" s="1"/>
  <c r="AC1257" i="60"/>
  <c r="AC1237" i="47"/>
  <c r="O1238" i="47"/>
  <c r="AC1238" i="47" l="1"/>
  <c r="O1239" i="47"/>
  <c r="O1240" i="47" l="1"/>
  <c r="AC1239" i="47"/>
  <c r="AC1240" i="47" l="1"/>
  <c r="O1241" i="47"/>
  <c r="AC1241" i="47" l="1"/>
  <c r="O1242" i="47"/>
  <c r="AC1242" i="47" l="1"/>
  <c r="O1243" i="47"/>
  <c r="AC1243" i="47" l="1"/>
  <c r="O1244" i="47"/>
  <c r="AC1244" i="47" s="1"/>
  <c r="T491" i="47" l="1"/>
  <c r="X491" i="47" s="1"/>
  <c r="AB491" i="47" s="1"/>
  <c r="T490" i="47"/>
  <c r="X490" i="47" s="1"/>
  <c r="AB490" i="47" s="1"/>
  <c r="T493" i="47"/>
  <c r="X493" i="47" s="1"/>
  <c r="AB493" i="47" s="1"/>
  <c r="T496" i="47"/>
  <c r="X496" i="47" s="1"/>
  <c r="AB496" i="47" s="1"/>
  <c r="T489" i="47"/>
  <c r="X489" i="47" s="1"/>
  <c r="AB489" i="47" s="1"/>
  <c r="T494" i="47"/>
  <c r="X494" i="47" s="1"/>
  <c r="AB494" i="47" s="1"/>
  <c r="T492" i="47"/>
  <c r="X492" i="47" s="1"/>
  <c r="AB492" i="47" s="1"/>
  <c r="T495" i="47"/>
  <c r="X495" i="47" s="1"/>
  <c r="AB495" i="47" s="1"/>
  <c r="T488" i="47"/>
  <c r="X488" i="47" s="1"/>
  <c r="AB488" i="47" s="1"/>
  <c r="T497" i="47"/>
  <c r="X497" i="47" s="1"/>
  <c r="AB497" i="47" s="1"/>
  <c r="T483" i="47" l="1"/>
  <c r="X483" i="47" s="1"/>
  <c r="T485" i="47"/>
  <c r="X485" i="47" s="1"/>
  <c r="T486" i="47"/>
  <c r="X486" i="47" s="1"/>
  <c r="T482" i="47"/>
  <c r="X482" i="47" s="1"/>
  <c r="AB482" i="47" s="1"/>
  <c r="T484" i="47"/>
  <c r="X484" i="47" s="1"/>
  <c r="AB484" i="47" l="1"/>
  <c r="AB486" i="47"/>
  <c r="AB485" i="47"/>
  <c r="AB483" i="47"/>
  <c r="L508" i="47"/>
  <c r="U508" i="47" s="1"/>
  <c r="K512" i="47" s="1"/>
  <c r="N512" i="47" s="1"/>
</calcChain>
</file>

<file path=xl/comments1.xml><?xml version="1.0" encoding="utf-8"?>
<comments xmlns="http://schemas.openxmlformats.org/spreadsheetml/2006/main">
  <authors>
    <author>sasaco</author>
  </authors>
  <commentList>
    <comment ref="A289" authorId="0" shapeId="0">
      <text>
        <r>
          <rPr>
            <b/>
            <sz val="9"/>
            <color indexed="81"/>
            <rFont val="ＭＳ Ｐゴシック"/>
            <family val="3"/>
            <charset val="128"/>
          </rPr>
          <t>液状化L1がない場合はここに ×印</t>
        </r>
      </text>
    </comment>
    <comment ref="A31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A289" authorId="0" shapeId="0">
      <text>
        <r>
          <rPr>
            <b/>
            <sz val="9"/>
            <color indexed="81"/>
            <rFont val="ＭＳ Ｐゴシック"/>
            <family val="3"/>
            <charset val="128"/>
          </rPr>
          <t>液状化L1がない場合はここに ×印</t>
        </r>
      </text>
    </comment>
    <comment ref="A31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<sst xmlns="http://schemas.openxmlformats.org/spreadsheetml/2006/main" count="3570" uniqueCount="610">
  <si>
    <t>変形係数</t>
    <rPh sb="0" eb="2">
      <t>ヘンケイ</t>
    </rPh>
    <rPh sb="2" eb="4">
      <t>ケイスウ</t>
    </rPh>
    <phoneticPr fontId="1"/>
  </si>
  <si>
    <t>×</t>
    <phoneticPr fontId="1"/>
  </si>
  <si>
    <t>：</t>
    <phoneticPr fontId="1"/>
  </si>
  <si>
    <t>ここに、</t>
    <phoneticPr fontId="1"/>
  </si>
  <si>
    <t>φ</t>
    <phoneticPr fontId="1"/>
  </si>
  <si>
    <t>β</t>
    <phoneticPr fontId="1"/>
  </si>
  <si>
    <t>＋</t>
    <phoneticPr fontId="1"/>
  </si>
  <si>
    <t>／</t>
    <phoneticPr fontId="1"/>
  </si>
  <si>
    <t>層番</t>
    <rPh sb="0" eb="1">
      <t>ソウ</t>
    </rPh>
    <rPh sb="1" eb="2">
      <t>バン</t>
    </rPh>
    <phoneticPr fontId="1"/>
  </si>
  <si>
    <t>層厚
(m)</t>
    <rPh sb="0" eb="1">
      <t>ソウ</t>
    </rPh>
    <rPh sb="1" eb="2">
      <t>アツ</t>
    </rPh>
    <phoneticPr fontId="1"/>
  </si>
  <si>
    <t>土質区分</t>
    <rPh sb="0" eb="2">
      <t>ドシツ</t>
    </rPh>
    <rPh sb="2" eb="4">
      <t>クブン</t>
    </rPh>
    <phoneticPr fontId="1"/>
  </si>
  <si>
    <t>Ｎ値</t>
    <rPh sb="1" eb="2">
      <t>アタイ</t>
    </rPh>
    <phoneticPr fontId="1"/>
  </si>
  <si>
    <t>単位体積重量</t>
    <rPh sb="0" eb="2">
      <t>タンイ</t>
    </rPh>
    <rPh sb="2" eb="4">
      <t>タイセキ</t>
    </rPh>
    <rPh sb="4" eb="6">
      <t>ジュウリョウ</t>
    </rPh>
    <phoneticPr fontId="1"/>
  </si>
  <si>
    <t>内部摩擦角</t>
    <rPh sb="0" eb="2">
      <t>ナイブ</t>
    </rPh>
    <rPh sb="2" eb="4">
      <t>マサツ</t>
    </rPh>
    <rPh sb="4" eb="5">
      <t>カク</t>
    </rPh>
    <phoneticPr fontId="1"/>
  </si>
  <si>
    <t>湿潤</t>
    <rPh sb="0" eb="2">
      <t>シツジュン</t>
    </rPh>
    <phoneticPr fontId="1"/>
  </si>
  <si>
    <t>水中</t>
    <rPh sb="0" eb="2">
      <t>スイチュウ</t>
    </rPh>
    <phoneticPr fontId="1"/>
  </si>
  <si>
    <t>φd(°)</t>
    <phoneticPr fontId="1"/>
  </si>
  <si>
    <r>
      <t>Ed(kN/m</t>
    </r>
    <r>
      <rPr>
        <vertAlign val="superscript"/>
        <sz val="10"/>
        <rFont val="ＭＳ ゴシック"/>
        <family val="3"/>
        <charset val="128"/>
      </rPr>
      <t>2</t>
    </r>
    <r>
      <rPr>
        <sz val="10"/>
        <rFont val="ＭＳ ゴシック"/>
        <family val="3"/>
        <charset val="128"/>
      </rPr>
      <t>)</t>
    </r>
    <phoneticPr fontId="1"/>
  </si>
  <si>
    <t>1.1.2　地盤のモデル化</t>
    <rPh sb="6" eb="8">
      <t>ジバン</t>
    </rPh>
    <rPh sb="12" eb="13">
      <t>カ</t>
    </rPh>
    <phoneticPr fontId="1"/>
  </si>
  <si>
    <t>ここでは、地震時も含めた地盤のモデル化を行う。</t>
    <rPh sb="5" eb="8">
      <t>ジシンジ</t>
    </rPh>
    <rPh sb="9" eb="10">
      <t>フク</t>
    </rPh>
    <rPh sb="12" eb="14">
      <t>ジバン</t>
    </rPh>
    <rPh sb="18" eb="19">
      <t>カ</t>
    </rPh>
    <rPh sb="20" eb="21">
      <t>オコナ</t>
    </rPh>
    <phoneticPr fontId="1"/>
  </si>
  <si>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1"/>
  </si>
  <si>
    <t>(a) 地盤抵抗のモデル化</t>
    <rPh sb="4" eb="6">
      <t>ジバン</t>
    </rPh>
    <rPh sb="6" eb="8">
      <t>テイコウ</t>
    </rPh>
    <rPh sb="12" eb="13">
      <t>カ</t>
    </rPh>
    <phoneticPr fontId="1"/>
  </si>
  <si>
    <t>【基礎標準 第Ⅱ編 15.2.2.5】</t>
    <rPh sb="1" eb="3">
      <t>キソ</t>
    </rPh>
    <rPh sb="3" eb="5">
      <t>ヒョウジュン</t>
    </rPh>
    <rPh sb="6" eb="7">
      <t>ダイ</t>
    </rPh>
    <rPh sb="8" eb="9">
      <t>ヘン</t>
    </rPh>
    <phoneticPr fontId="1"/>
  </si>
  <si>
    <t>モデル化する。</t>
    <phoneticPr fontId="1"/>
  </si>
  <si>
    <t>杭工法</t>
    <rPh sb="0" eb="1">
      <t>クイ</t>
    </rPh>
    <rPh sb="1" eb="3">
      <t>コウホウ</t>
    </rPh>
    <phoneticPr fontId="1"/>
  </si>
  <si>
    <r>
      <t>降伏 ρ</t>
    </r>
    <r>
      <rPr>
        <vertAlign val="subscript"/>
        <sz val="10"/>
        <rFont val="ＭＳ 明朝"/>
        <family val="1"/>
        <charset val="128"/>
      </rPr>
      <t>gty</t>
    </r>
    <rPh sb="0" eb="2">
      <t>コウフク</t>
    </rPh>
    <phoneticPr fontId="1"/>
  </si>
  <si>
    <r>
      <t>終局 ρ</t>
    </r>
    <r>
      <rPr>
        <vertAlign val="subscript"/>
        <sz val="10"/>
        <rFont val="ＭＳ 明朝"/>
        <family val="1"/>
        <charset val="128"/>
      </rPr>
      <t>gtu</t>
    </r>
    <rPh sb="0" eb="2">
      <t>シュウキョク</t>
    </rPh>
    <phoneticPr fontId="1"/>
  </si>
  <si>
    <t>＝</t>
    <phoneticPr fontId="1"/>
  </si>
  <si>
    <t>基準先端支持力（kN）</t>
    <rPh sb="0" eb="2">
      <t>キジュン</t>
    </rPh>
    <rPh sb="2" eb="4">
      <t>センタン</t>
    </rPh>
    <rPh sb="4" eb="7">
      <t>シジリョク</t>
    </rPh>
    <phoneticPr fontId="1"/>
  </si>
  <si>
    <r>
      <t>降伏 ρ</t>
    </r>
    <r>
      <rPr>
        <vertAlign val="subscript"/>
        <sz val="10"/>
        <rFont val="ＭＳ 明朝"/>
        <family val="1"/>
        <charset val="128"/>
      </rPr>
      <t>gfy</t>
    </r>
    <rPh sb="0" eb="2">
      <t>コウフク</t>
    </rPh>
    <phoneticPr fontId="1"/>
  </si>
  <si>
    <r>
      <t>終局 ρ</t>
    </r>
    <r>
      <rPr>
        <vertAlign val="subscript"/>
        <sz val="10"/>
        <rFont val="ＭＳ 明朝"/>
        <family val="1"/>
        <charset val="128"/>
      </rPr>
      <t>gfu</t>
    </r>
    <rPh sb="0" eb="2">
      <t>シュウキョク</t>
    </rPh>
    <phoneticPr fontId="1"/>
  </si>
  <si>
    <t>各層での基準周面支持力（kN）</t>
    <rPh sb="0" eb="1">
      <t>カク</t>
    </rPh>
    <rPh sb="1" eb="2">
      <t>ソウ</t>
    </rPh>
    <rPh sb="4" eb="6">
      <t>キジュン</t>
    </rPh>
    <rPh sb="6" eb="8">
      <t>シュウメン</t>
    </rPh>
    <rPh sb="8" eb="11">
      <t>シジリョク</t>
    </rPh>
    <phoneticPr fontId="1"/>
  </si>
  <si>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1"/>
  </si>
  <si>
    <t>に示す。</t>
    <rPh sb="1" eb="2">
      <t>シメ</t>
    </rPh>
    <phoneticPr fontId="1"/>
  </si>
  <si>
    <t>水平方向</t>
    <rPh sb="0" eb="2">
      <t>スイヘイ</t>
    </rPh>
    <rPh sb="2" eb="4">
      <t>ホウコウ</t>
    </rPh>
    <phoneticPr fontId="1"/>
  </si>
  <si>
    <t>鉛直方向</t>
    <rPh sb="0" eb="2">
      <t>エンチョク</t>
    </rPh>
    <rPh sb="2" eb="4">
      <t>ホウコウ</t>
    </rPh>
    <phoneticPr fontId="1"/>
  </si>
  <si>
    <t>杭周面の水平地盤ばね定数</t>
    <rPh sb="0" eb="1">
      <t>クイ</t>
    </rPh>
    <rPh sb="1" eb="3">
      <t>シュウメン</t>
    </rPh>
    <rPh sb="4" eb="6">
      <t>スイヘイ</t>
    </rPh>
    <rPh sb="6" eb="8">
      <t>ジバン</t>
    </rPh>
    <rPh sb="10" eb="12">
      <t>テイスウ</t>
    </rPh>
    <phoneticPr fontId="1"/>
  </si>
  <si>
    <t>水平地盤抵抗</t>
    <rPh sb="0" eb="2">
      <t>スイヘイ</t>
    </rPh>
    <rPh sb="2" eb="4">
      <t>ジバン</t>
    </rPh>
    <rPh sb="4" eb="6">
      <t>テイコウ</t>
    </rPh>
    <phoneticPr fontId="1"/>
  </si>
  <si>
    <t>設計ばね定数の種類</t>
    <rPh sb="0" eb="2">
      <t>セッケイ</t>
    </rPh>
    <rPh sb="4" eb="6">
      <t>テイスウ</t>
    </rPh>
    <rPh sb="7" eb="9">
      <t>シュルイ</t>
    </rPh>
    <phoneticPr fontId="1"/>
  </si>
  <si>
    <t>地盤抵抗の種別</t>
    <rPh sb="0" eb="2">
      <t>ジバン</t>
    </rPh>
    <rPh sb="2" eb="4">
      <t>テイコウ</t>
    </rPh>
    <rPh sb="5" eb="7">
      <t>シュベツ</t>
    </rPh>
    <phoneticPr fontId="1"/>
  </si>
  <si>
    <t>杭周面の鉛直せん断
地盤ばね定数</t>
    <rPh sb="0" eb="1">
      <t>クイ</t>
    </rPh>
    <rPh sb="1" eb="3">
      <t>シュウメン</t>
    </rPh>
    <rPh sb="4" eb="6">
      <t>エンチョク</t>
    </rPh>
    <rPh sb="8" eb="9">
      <t>ダン</t>
    </rPh>
    <rPh sb="10" eb="12">
      <t>ジバン</t>
    </rPh>
    <rPh sb="14" eb="16">
      <t>テイスウ</t>
    </rPh>
    <phoneticPr fontId="1"/>
  </si>
  <si>
    <t>杭先端の鉛直
地盤ばね定数</t>
    <rPh sb="0" eb="1">
      <t>クイ</t>
    </rPh>
    <rPh sb="1" eb="3">
      <t>センタン</t>
    </rPh>
    <rPh sb="4" eb="6">
      <t>エンチョク</t>
    </rPh>
    <rPh sb="7" eb="9">
      <t>ジバン</t>
    </rPh>
    <rPh sb="11" eb="13">
      <t>テイスウ</t>
    </rPh>
    <phoneticPr fontId="1"/>
  </si>
  <si>
    <t>杭周面の鉛直せん断
地盤抵抗</t>
    <rPh sb="0" eb="1">
      <t>クイ</t>
    </rPh>
    <rPh sb="1" eb="3">
      <t>シュウメン</t>
    </rPh>
    <rPh sb="4" eb="6">
      <t>エンチョク</t>
    </rPh>
    <rPh sb="8" eb="9">
      <t>ダン</t>
    </rPh>
    <rPh sb="10" eb="12">
      <t>ジバン</t>
    </rPh>
    <rPh sb="12" eb="14">
      <t>テイコウ</t>
    </rPh>
    <phoneticPr fontId="1"/>
  </si>
  <si>
    <t>地盤反力の折れ曲がり点
または上限値</t>
    <rPh sb="0" eb="2">
      <t>ジバン</t>
    </rPh>
    <rPh sb="2" eb="4">
      <t>ハンリョク</t>
    </rPh>
    <rPh sb="5" eb="6">
      <t>オ</t>
    </rPh>
    <rPh sb="7" eb="8">
      <t>マ</t>
    </rPh>
    <rPh sb="10" eb="11">
      <t>テン</t>
    </rPh>
    <rPh sb="15" eb="18">
      <t>ジョウゲンチ</t>
    </rPh>
    <phoneticPr fontId="1"/>
  </si>
  <si>
    <t>杭先端の鉛直地盤抵抗</t>
    <rPh sb="0" eb="1">
      <t>クイ</t>
    </rPh>
    <rPh sb="1" eb="3">
      <t>センタン</t>
    </rPh>
    <rPh sb="4" eb="6">
      <t>エンチョク</t>
    </rPh>
    <rPh sb="6" eb="8">
      <t>ジバン</t>
    </rPh>
    <rPh sb="8" eb="10">
      <t>テイコウ</t>
    </rPh>
    <phoneticPr fontId="1"/>
  </si>
  <si>
    <t>降伏周面支持力
終局周面支持力</t>
    <rPh sb="0" eb="2">
      <t>コウフク</t>
    </rPh>
    <rPh sb="2" eb="4">
      <t>シュウメン</t>
    </rPh>
    <rPh sb="4" eb="7">
      <t>シジリョク</t>
    </rPh>
    <rPh sb="8" eb="10">
      <t>シュウキョク</t>
    </rPh>
    <rPh sb="10" eb="12">
      <t>シュウメン</t>
    </rPh>
    <rPh sb="12" eb="15">
      <t>シジリョク</t>
    </rPh>
    <phoneticPr fontId="1"/>
  </si>
  <si>
    <t>降伏先端支持力
終局先端支持力</t>
    <rPh sb="0" eb="2">
      <t>コウフク</t>
    </rPh>
    <rPh sb="2" eb="4">
      <t>センタン</t>
    </rPh>
    <rPh sb="4" eb="7">
      <t>シジリョク</t>
    </rPh>
    <rPh sb="8" eb="10">
      <t>シュウキョク</t>
    </rPh>
    <rPh sb="10" eb="12">
      <t>センタン</t>
    </rPh>
    <rPh sb="12" eb="15">
      <t>シジリョク</t>
    </rPh>
    <phoneticPr fontId="1"/>
  </si>
  <si>
    <t>方　向</t>
    <rPh sb="0" eb="1">
      <t>ホウ</t>
    </rPh>
    <rPh sb="2" eb="3">
      <t>ムケ</t>
    </rPh>
    <phoneticPr fontId="1"/>
  </si>
  <si>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1"/>
  </si>
  <si>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1"/>
  </si>
  <si>
    <t>作用の継続時間</t>
    <rPh sb="0" eb="2">
      <t>サヨウ</t>
    </rPh>
    <rPh sb="3" eb="5">
      <t>ケイゾク</t>
    </rPh>
    <rPh sb="5" eb="7">
      <t>ジカン</t>
    </rPh>
    <phoneticPr fontId="1"/>
  </si>
  <si>
    <t>短　期</t>
    <rPh sb="0" eb="1">
      <t>タン</t>
    </rPh>
    <rPh sb="2" eb="3">
      <t>キ</t>
    </rPh>
    <phoneticPr fontId="1"/>
  </si>
  <si>
    <t>長　期</t>
    <rPh sb="0" eb="1">
      <t>チョウ</t>
    </rPh>
    <rPh sb="2" eb="3">
      <t>キ</t>
    </rPh>
    <phoneticPr fontId="1"/>
  </si>
  <si>
    <t>変動作用、偶発作用</t>
    <rPh sb="0" eb="2">
      <t>ヘンドウ</t>
    </rPh>
    <rPh sb="2" eb="4">
      <t>サヨウ</t>
    </rPh>
    <rPh sb="5" eb="7">
      <t>グウハツ</t>
    </rPh>
    <rPh sb="7" eb="9">
      <t>サヨウ</t>
    </rPh>
    <phoneticPr fontId="1"/>
  </si>
  <si>
    <t>永久作用</t>
    <rPh sb="0" eb="2">
      <t>エイキュウ</t>
    </rPh>
    <rPh sb="2" eb="4">
      <t>サヨウ</t>
    </rPh>
    <phoneticPr fontId="1"/>
  </si>
  <si>
    <t>考慮する作用</t>
    <rPh sb="0" eb="2">
      <t>コウリョ</t>
    </rPh>
    <rPh sb="4" eb="6">
      <t>サヨウ</t>
    </rPh>
    <phoneticPr fontId="1"/>
  </si>
  <si>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1"/>
  </si>
  <si>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1"/>
  </si>
  <si>
    <t>＊群杭の場合には、その影響を考慮する。</t>
    <rPh sb="1" eb="2">
      <t>グン</t>
    </rPh>
    <rPh sb="2" eb="3">
      <t>クイ</t>
    </rPh>
    <rPh sb="4" eb="6">
      <t>バアイ</t>
    </rPh>
    <rPh sb="11" eb="13">
      <t>エイキョウ</t>
    </rPh>
    <rPh sb="14" eb="16">
      <t>コウリョ</t>
    </rPh>
    <phoneticPr fontId="1"/>
  </si>
  <si>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1"/>
  </si>
  <si>
    <t>である。</t>
    <phoneticPr fontId="1"/>
  </si>
  <si>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1"/>
  </si>
  <si>
    <r>
      <t>ｋ</t>
    </r>
    <r>
      <rPr>
        <vertAlign val="subscript"/>
        <sz val="10"/>
        <rFont val="ＭＳ 明朝"/>
        <family val="1"/>
        <charset val="128"/>
      </rPr>
      <t>tv</t>
    </r>
    <phoneticPr fontId="1"/>
  </si>
  <si>
    <r>
      <t>ρ</t>
    </r>
    <r>
      <rPr>
        <vertAlign val="subscript"/>
        <sz val="10"/>
        <rFont val="ＭＳ 明朝"/>
        <family val="1"/>
        <charset val="128"/>
      </rPr>
      <t>gk</t>
    </r>
    <phoneticPr fontId="1"/>
  </si>
  <si>
    <r>
      <t>Ｅ</t>
    </r>
    <r>
      <rPr>
        <vertAlign val="subscript"/>
        <sz val="10"/>
        <rFont val="ＭＳ 明朝"/>
        <family val="1"/>
        <charset val="128"/>
      </rPr>
      <t>d</t>
    </r>
    <phoneticPr fontId="1"/>
  </si>
  <si>
    <t>Ｄ</t>
    <phoneticPr fontId="1"/>
  </si>
  <si>
    <t>ここに、</t>
    <phoneticPr fontId="1"/>
  </si>
  <si>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1"/>
  </si>
  <si>
    <t>杭径（m）</t>
    <rPh sb="0" eb="1">
      <t>クイ</t>
    </rPh>
    <rPh sb="1" eb="2">
      <t>ケイ</t>
    </rPh>
    <phoneticPr fontId="1"/>
  </si>
  <si>
    <r>
      <t>ρ</t>
    </r>
    <r>
      <rPr>
        <vertAlign val="subscript"/>
        <sz val="10"/>
        <rFont val="ＭＳ 明朝"/>
        <family val="1"/>
        <charset val="128"/>
      </rPr>
      <t>k</t>
    </r>
    <phoneticPr fontId="1"/>
  </si>
  <si>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1"/>
  </si>
  <si>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</si>
  <si>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t>Ｄ（m）</t>
    <phoneticPr fontId="1"/>
  </si>
  <si>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</si>
  <si>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1"/>
  </si>
  <si>
    <t>とおりである。</t>
    <phoneticPr fontId="1"/>
  </si>
  <si>
    <r>
      <t>ｋ</t>
    </r>
    <r>
      <rPr>
        <vertAlign val="subscript"/>
        <sz val="10"/>
        <rFont val="ＭＳ 明朝"/>
        <family val="1"/>
        <charset val="128"/>
      </rPr>
      <t>fv</t>
    </r>
    <phoneticPr fontId="1"/>
  </si>
  <si>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1"/>
  </si>
  <si>
    <t>土層
番号</t>
    <rPh sb="0" eb="2">
      <t>ドソウ</t>
    </rPh>
    <rPh sb="3" eb="5">
      <t>バンゴウ</t>
    </rPh>
    <phoneticPr fontId="1"/>
  </si>
  <si>
    <t>②</t>
    <phoneticPr fontId="1"/>
  </si>
  <si>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1"/>
  </si>
  <si>
    <t>①</t>
    <phoneticPr fontId="1"/>
  </si>
  <si>
    <t>基本計算</t>
    <rPh sb="0" eb="2">
      <t>キホン</t>
    </rPh>
    <rPh sb="2" eb="4">
      <t>ケイサン</t>
    </rPh>
    <phoneticPr fontId="1"/>
  </si>
  <si>
    <t>である。</t>
    <phoneticPr fontId="1"/>
  </si>
  <si>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1"/>
  </si>
  <si>
    <r>
      <t>ｋ</t>
    </r>
    <r>
      <rPr>
        <vertAlign val="subscript"/>
        <sz val="10"/>
        <rFont val="ＭＳ 明朝"/>
        <family val="1"/>
        <charset val="128"/>
      </rPr>
      <t>h</t>
    </r>
    <phoneticPr fontId="1"/>
  </si>
  <si>
    <t>非設計解析（バイリニア型）の場合</t>
    <rPh sb="0" eb="1">
      <t>ヒ</t>
    </rPh>
    <rPh sb="1" eb="3">
      <t>セッケイ</t>
    </rPh>
    <rPh sb="3" eb="5">
      <t>カイセキ</t>
    </rPh>
    <rPh sb="11" eb="12">
      <t>カタ</t>
    </rPh>
    <rPh sb="14" eb="16">
      <t>バアイ</t>
    </rPh>
    <phoneticPr fontId="1"/>
  </si>
  <si>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1"/>
  </si>
  <si>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1"/>
  </si>
  <si>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1"/>
  </si>
  <si>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1"/>
  </si>
  <si>
    <r>
      <t>ｋ</t>
    </r>
    <r>
      <rPr>
        <vertAlign val="subscript"/>
        <sz val="10"/>
        <rFont val="ＭＳ 明朝"/>
        <family val="1"/>
        <charset val="128"/>
      </rPr>
      <t>hg</t>
    </r>
    <phoneticPr fontId="1"/>
  </si>
  <si>
    <r>
      <t>ｅ</t>
    </r>
    <r>
      <rPr>
        <vertAlign val="subscript"/>
        <sz val="10"/>
        <rFont val="ＭＳ 明朝"/>
        <family val="1"/>
        <charset val="128"/>
      </rPr>
      <t>g</t>
    </r>
    <phoneticPr fontId="1"/>
  </si>
  <si>
    <t>・</t>
    <phoneticPr fontId="1"/>
  </si>
  <si>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1"/>
  </si>
  <si>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1"/>
  </si>
  <si>
    <t>群杭の補正係数で、次式もしくは</t>
    <rPh sb="0" eb="1">
      <t>グン</t>
    </rPh>
    <rPh sb="1" eb="2">
      <t>クイ</t>
    </rPh>
    <rPh sb="3" eb="5">
      <t>ホセイ</t>
    </rPh>
    <rPh sb="5" eb="7">
      <t>ケイスウ</t>
    </rPh>
    <rPh sb="9" eb="11">
      <t>ジシキ</t>
    </rPh>
    <phoneticPr fontId="1"/>
  </si>
  <si>
    <t>用いて求める。</t>
    <rPh sb="0" eb="1">
      <t>モチ</t>
    </rPh>
    <rPh sb="3" eb="4">
      <t>モト</t>
    </rPh>
    <phoneticPr fontId="1"/>
  </si>
  <si>
    <t>ｋ</t>
    <phoneticPr fontId="1"/>
  </si>
  <si>
    <t>杭頭固定度（0.6とする）</t>
    <rPh sb="0" eb="2">
      <t>クイトウ</t>
    </rPh>
    <rPh sb="2" eb="4">
      <t>コテイ</t>
    </rPh>
    <rPh sb="4" eb="5">
      <t>ド</t>
    </rPh>
    <phoneticPr fontId="1"/>
  </si>
  <si>
    <t>ｄ</t>
  </si>
  <si>
    <t>ｄ</t>
    <phoneticPr fontId="1"/>
  </si>
  <si>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1"/>
  </si>
  <si>
    <r>
      <t>ｎＬ</t>
    </r>
    <r>
      <rPr>
        <vertAlign val="subscript"/>
        <sz val="10"/>
        <rFont val="ＭＳ 明朝"/>
        <family val="1"/>
        <charset val="128"/>
      </rPr>
      <t>n</t>
    </r>
    <phoneticPr fontId="1"/>
  </si>
  <si>
    <r>
      <t>ｍＬ</t>
    </r>
    <r>
      <rPr>
        <vertAlign val="subscript"/>
        <sz val="10"/>
        <rFont val="ＭＳ 明朝"/>
        <family val="1"/>
        <charset val="128"/>
      </rPr>
      <t>m</t>
    </r>
    <phoneticPr fontId="1"/>
  </si>
  <si>
    <t>（ｍ＋ｎ）</t>
    <phoneticPr fontId="1"/>
  </si>
  <si>
    <r>
      <t>Ｌ</t>
    </r>
    <r>
      <rPr>
        <vertAlign val="subscript"/>
        <sz val="10"/>
        <rFont val="ＭＳ 明朝"/>
        <family val="1"/>
        <charset val="128"/>
      </rPr>
      <t>m</t>
    </r>
    <phoneticPr fontId="1"/>
  </si>
  <si>
    <r>
      <t>Ｌ</t>
    </r>
    <r>
      <rPr>
        <vertAlign val="subscript"/>
        <sz val="10"/>
        <rFont val="ＭＳ 明朝"/>
        <family val="1"/>
        <charset val="128"/>
      </rPr>
      <t>n</t>
    </r>
    <phoneticPr fontId="1"/>
  </si>
  <si>
    <t>水平荷重の作用方向の杭本数</t>
    <rPh sb="0" eb="2">
      <t>スイヘイ</t>
    </rPh>
    <rPh sb="2" eb="4">
      <t>カジュウ</t>
    </rPh>
    <rPh sb="5" eb="7">
      <t>サヨウ</t>
    </rPh>
    <rPh sb="7" eb="9">
      <t>ホウコウ</t>
    </rPh>
    <rPh sb="10" eb="11">
      <t>クイ</t>
    </rPh>
    <rPh sb="11" eb="13">
      <t>ホンスウ</t>
    </rPh>
    <phoneticPr fontId="1"/>
  </si>
  <si>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1"/>
  </si>
  <si>
    <t>ｍ</t>
    <phoneticPr fontId="1"/>
  </si>
  <si>
    <t>ｎ</t>
    <phoneticPr fontId="1"/>
  </si>
  <si>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1"/>
  </si>
  <si>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1"/>
  </si>
  <si>
    <t>橋軸直角</t>
    <rPh sb="0" eb="2">
      <t>キョウジク</t>
    </rPh>
    <rPh sb="2" eb="4">
      <t>チョッカク</t>
    </rPh>
    <phoneticPr fontId="1"/>
  </si>
  <si>
    <t>橋　軸</t>
    <rPh sb="0" eb="1">
      <t>キョウ</t>
    </rPh>
    <rPh sb="2" eb="3">
      <t>ジク</t>
    </rPh>
    <phoneticPr fontId="1"/>
  </si>
  <si>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1"/>
  </si>
  <si>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1"/>
  </si>
  <si>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1"/>
  </si>
  <si>
    <r>
      <t>K</t>
    </r>
    <r>
      <rPr>
        <vertAlign val="subscript"/>
        <sz val="10"/>
        <rFont val="ＭＳ 明朝"/>
        <family val="1"/>
        <charset val="128"/>
      </rPr>
      <t>tv</t>
    </r>
    <phoneticPr fontId="1"/>
  </si>
  <si>
    <r>
      <t>Ａ</t>
    </r>
    <r>
      <rPr>
        <vertAlign val="subscript"/>
        <sz val="10"/>
        <rFont val="ＭＳ 明朝"/>
        <family val="1"/>
        <charset val="128"/>
      </rPr>
      <t>v</t>
    </r>
    <phoneticPr fontId="1"/>
  </si>
  <si>
    <t>杭先端の鉛直地盤ばね定数（kN/m）</t>
    <rPh sb="0" eb="1">
      <t>クイ</t>
    </rPh>
    <rPh sb="1" eb="3">
      <t>センタン</t>
    </rPh>
    <rPh sb="4" eb="6">
      <t>エンチョク</t>
    </rPh>
    <rPh sb="6" eb="8">
      <t>ジバン</t>
    </rPh>
    <rPh sb="10" eb="12">
      <t>テイスウ</t>
    </rPh>
    <phoneticPr fontId="1"/>
  </si>
  <si>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1"/>
  </si>
  <si>
    <t>π</t>
    <phoneticPr fontId="1"/>
  </si>
  <si>
    <t>×</t>
    <phoneticPr fontId="1"/>
  </si>
  <si>
    <r>
      <t>m</t>
    </r>
    <r>
      <rPr>
        <vertAlign val="superscript"/>
        <sz val="10"/>
        <rFont val="ＭＳ 明朝"/>
        <family val="1"/>
        <charset val="128"/>
      </rPr>
      <t>2</t>
    </r>
    <phoneticPr fontId="1"/>
  </si>
  <si>
    <t>杭先端の公称径</t>
    <rPh sb="0" eb="1">
      <t>クイ</t>
    </rPh>
    <rPh sb="1" eb="3">
      <t>センタン</t>
    </rPh>
    <rPh sb="4" eb="6">
      <t>コウショウ</t>
    </rPh>
    <rPh sb="6" eb="7">
      <t>ケイ</t>
    </rPh>
    <phoneticPr fontId="1"/>
  </si>
  <si>
    <t>（</t>
    <phoneticPr fontId="1"/>
  </si>
  <si>
    <t>m）</t>
    <phoneticPr fontId="1"/>
  </si>
  <si>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1"/>
  </si>
  <si>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1"/>
  </si>
  <si>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1"/>
  </si>
  <si>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1"/>
  </si>
  <si>
    <r>
      <t>K</t>
    </r>
    <r>
      <rPr>
        <vertAlign val="subscript"/>
        <sz val="10"/>
        <rFont val="ＭＳ 明朝"/>
        <family val="1"/>
        <charset val="128"/>
      </rPr>
      <t>fv</t>
    </r>
    <phoneticPr fontId="1"/>
  </si>
  <si>
    <t>Ｕ</t>
    <phoneticPr fontId="1"/>
  </si>
  <si>
    <t>杭周面の鉛直せん断地盤ばね定数（kN/m）</t>
    <rPh sb="0" eb="1">
      <t>クイ</t>
    </rPh>
    <rPh sb="1" eb="3">
      <t>シュウメン</t>
    </rPh>
    <rPh sb="4" eb="6">
      <t>エンチョク</t>
    </rPh>
    <rPh sb="8" eb="9">
      <t>ダン</t>
    </rPh>
    <rPh sb="9" eb="11">
      <t>ジバン</t>
    </rPh>
    <rPh sb="13" eb="15">
      <t>テイスウ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</si>
  <si>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1"/>
  </si>
  <si>
    <t>杭の直径</t>
    <rPh sb="0" eb="1">
      <t>クイ</t>
    </rPh>
    <rPh sb="2" eb="4">
      <t>チョッケイ</t>
    </rPh>
    <phoneticPr fontId="1"/>
  </si>
  <si>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1"/>
  </si>
  <si>
    <t>【基礎標準 第Ⅱ編 15.2.2.1】</t>
    <phoneticPr fontId="1"/>
  </si>
  <si>
    <t>1)</t>
    <phoneticPr fontId="1"/>
  </si>
  <si>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</si>
  <si>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</si>
  <si>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1"/>
  </si>
  <si>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1"/>
  </si>
  <si>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1"/>
  </si>
  <si>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1"/>
  </si>
  <si>
    <t>1/βの位置</t>
    <rPh sb="4" eb="6">
      <t>イチ</t>
    </rPh>
    <phoneticPr fontId="1"/>
  </si>
  <si>
    <t>βは、次式により求める。</t>
    <rPh sb="3" eb="5">
      <t>ジシキ</t>
    </rPh>
    <rPh sb="8" eb="9">
      <t>モト</t>
    </rPh>
    <phoneticPr fontId="1"/>
  </si>
  <si>
    <t>ＥＩ</t>
    <phoneticPr fontId="1"/>
  </si>
  <si>
    <t>Ｅ</t>
    <phoneticPr fontId="1"/>
  </si>
  <si>
    <t>Ｉ</t>
    <phoneticPr fontId="1"/>
  </si>
  <si>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1"/>
  </si>
  <si>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1"/>
  </si>
  <si>
    <r>
      <t>ヤング係数（kN/m</t>
    </r>
    <r>
      <rPr>
        <vertAlign val="superscript"/>
        <sz val="10"/>
        <rFont val="ＭＳ 明朝"/>
        <family val="1"/>
        <charset val="128"/>
      </rPr>
      <t>2</t>
    </r>
    <r>
      <rPr>
        <sz val="10"/>
        <rFont val="ＭＳ 明朝"/>
        <family val="1"/>
        <charset val="128"/>
      </rPr>
      <t>）</t>
    </r>
    <rPh sb="3" eb="5">
      <t>ケイスウ</t>
    </rPh>
    <phoneticPr fontId="1"/>
  </si>
  <si>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1"/>
  </si>
  <si>
    <r>
      <t>kN/mm</t>
    </r>
    <r>
      <rPr>
        <vertAlign val="superscript"/>
        <sz val="10"/>
        <rFont val="ＭＳ 明朝"/>
        <family val="1"/>
        <charset val="128"/>
      </rPr>
      <t>2</t>
    </r>
    <phoneticPr fontId="1"/>
  </si>
  <si>
    <r>
      <t>kN/m</t>
    </r>
    <r>
      <rPr>
        <vertAlign val="superscript"/>
        <sz val="10"/>
        <rFont val="ＭＳ 明朝"/>
        <family val="1"/>
        <charset val="128"/>
      </rPr>
      <t>2</t>
    </r>
    <r>
      <rPr>
        <sz val="10"/>
        <rFont val="ＭＳ 明朝"/>
        <family val="1"/>
        <charset val="128"/>
      </rPr>
      <t>）</t>
    </r>
    <phoneticPr fontId="1"/>
  </si>
  <si>
    <t>）</t>
    <phoneticPr fontId="1"/>
  </si>
  <si>
    <t>層厚
ｌ（m）</t>
    <rPh sb="0" eb="2">
      <t>ソウアツ</t>
    </rPh>
    <phoneticPr fontId="1"/>
  </si>
  <si>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</si>
  <si>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r>
      <t>β</t>
    </r>
    <r>
      <rPr>
        <vertAlign val="subscript"/>
        <sz val="10"/>
        <rFont val="ＭＳ 明朝"/>
        <family val="1"/>
        <charset val="128"/>
      </rPr>
      <t xml:space="preserve">
</t>
    </r>
    <r>
      <rPr>
        <sz val="10"/>
        <rFont val="ＭＳ 明朝"/>
        <family val="1"/>
        <charset val="128"/>
      </rPr>
      <t>（l/m）</t>
    </r>
    <phoneticPr fontId="1"/>
  </si>
  <si>
    <t>β･ｌ</t>
    <phoneticPr fontId="1"/>
  </si>
  <si>
    <t>Σ(β･ｌ)</t>
    <phoneticPr fontId="1"/>
  </si>
  <si>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1"/>
  </si>
  <si>
    <t>ＥＩ</t>
    <phoneticPr fontId="1"/>
  </si>
  <si>
    <r>
      <t>kN･m</t>
    </r>
    <r>
      <rPr>
        <vertAlign val="superscript"/>
        <sz val="10"/>
        <rFont val="ＭＳ 明朝"/>
        <family val="1"/>
        <charset val="128"/>
      </rPr>
      <t>2</t>
    </r>
    <phoneticPr fontId="1"/>
  </si>
  <si>
    <t>）</t>
    <phoneticPr fontId="1"/>
  </si>
  <si>
    <r>
      <rPr>
        <sz val="10"/>
        <rFont val="ＭＳ ゴシック"/>
        <family val="3"/>
        <charset val="128"/>
      </rPr>
      <t>【基礎標準 第Ⅱ編 15.2.2.2 解説図 15.2.2.2-1】</t>
    </r>
    <r>
      <rPr>
        <sz val="10"/>
        <rFont val="ＭＳ 明朝"/>
        <family val="1"/>
        <charset val="128"/>
      </rPr>
      <t>のノモグラムを</t>
    </r>
    <phoneticPr fontId="1"/>
  </si>
  <si>
    <r>
      <t>超えた第2層にあるもの想定して、β</t>
    </r>
    <r>
      <rPr>
        <vertAlign val="subscript"/>
        <sz val="10"/>
        <rFont val="ＭＳ 明朝"/>
        <family val="1"/>
        <charset val="128"/>
      </rPr>
      <t>1</t>
    </r>
    <r>
      <rPr>
        <sz val="10"/>
        <rFont val="ＭＳ 明朝"/>
        <family val="1"/>
        <charset val="128"/>
      </rPr>
      <t>ｌ</t>
    </r>
    <r>
      <rPr>
        <vertAlign val="subscript"/>
        <sz val="10"/>
        <rFont val="ＭＳ 明朝"/>
        <family val="1"/>
        <charset val="128"/>
      </rPr>
      <t>1</t>
    </r>
    <r>
      <rPr>
        <sz val="10"/>
        <rFont val="ＭＳ 明朝"/>
        <family val="1"/>
        <charset val="128"/>
      </rPr>
      <t>＋β</t>
    </r>
    <r>
      <rPr>
        <vertAlign val="subscript"/>
        <sz val="10"/>
        <rFont val="ＭＳ 明朝"/>
        <family val="1"/>
        <charset val="128"/>
      </rPr>
      <t>2</t>
    </r>
    <r>
      <rPr>
        <sz val="10"/>
        <rFont val="ＭＳ 明朝"/>
        <family val="1"/>
        <charset val="128"/>
      </rPr>
      <t>ｌ</t>
    </r>
    <r>
      <rPr>
        <vertAlign val="subscript"/>
        <sz val="10"/>
        <rFont val="ＭＳ 明朝"/>
        <family val="1"/>
        <charset val="128"/>
      </rPr>
      <t>2</t>
    </r>
    <r>
      <rPr>
        <sz val="10"/>
        <rFont val="ＭＳ 明朝"/>
        <family val="1"/>
        <charset val="128"/>
      </rPr>
      <t>＝1を満たすｌ</t>
    </r>
    <r>
      <rPr>
        <vertAlign val="subscript"/>
        <sz val="10"/>
        <rFont val="ＭＳ 明朝"/>
        <family val="1"/>
        <charset val="128"/>
      </rPr>
      <t>2</t>
    </r>
    <r>
      <rPr>
        <sz val="10"/>
        <rFont val="ＭＳ 明朝"/>
        <family val="1"/>
        <charset val="128"/>
      </rPr>
      <t>を求める。</t>
    </r>
    <rPh sb="0" eb="1">
      <t>コ</t>
    </rPh>
    <rPh sb="3" eb="4">
      <t>ダイ</t>
    </rPh>
    <rPh sb="5" eb="6">
      <t>ソウ</t>
    </rPh>
    <rPh sb="11" eb="13">
      <t>ソウテイ</t>
    </rPh>
    <rPh sb="28" eb="29">
      <t>ミ</t>
    </rPh>
    <rPh sb="34" eb="35">
      <t>モト</t>
    </rPh>
    <phoneticPr fontId="1"/>
  </si>
  <si>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1"/>
  </si>
  <si>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1"/>
  </si>
  <si>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1"/>
  </si>
  <si>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1"/>
  </si>
  <si>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1"/>
  </si>
  <si>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1"/>
  </si>
  <si>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1"/>
  </si>
  <si>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1"/>
  </si>
  <si>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1"/>
  </si>
  <si>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1"/>
  </si>
  <si>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1"/>
  </si>
  <si>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1"/>
  </si>
  <si>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1"/>
  </si>
  <si>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</si>
  <si>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1"/>
  </si>
  <si>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1"/>
  </si>
  <si>
    <t>表1.1.123 群杭に対する補正係数</t>
    <rPh sb="0" eb="1">
      <t>ヒョウ</t>
    </rPh>
    <rPh sb="9" eb="10">
      <t>グン</t>
    </rPh>
    <rPh sb="10" eb="11">
      <t>クイ</t>
    </rPh>
    <rPh sb="12" eb="13">
      <t>タイ</t>
    </rPh>
    <rPh sb="15" eb="17">
      <t>ホセイ</t>
    </rPh>
    <rPh sb="17" eb="19">
      <t>ケイスウ</t>
    </rPh>
    <phoneticPr fontId="1"/>
  </si>
  <si>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1"/>
  </si>
  <si>
    <r>
      <t>l</t>
    </r>
    <r>
      <rPr>
        <vertAlign val="subscript"/>
        <sz val="10"/>
        <rFont val="ＭＳ 明朝"/>
        <family val="1"/>
        <charset val="128"/>
      </rPr>
      <t>2</t>
    </r>
    <phoneticPr fontId="1"/>
  </si>
  <si>
    <r>
      <t>( 1-β</t>
    </r>
    <r>
      <rPr>
        <vertAlign val="subscript"/>
        <sz val="10"/>
        <rFont val="ＭＳ 明朝"/>
        <family val="1"/>
        <charset val="128"/>
      </rPr>
      <t>1</t>
    </r>
    <r>
      <rPr>
        <sz val="10"/>
        <rFont val="ＭＳ 明朝"/>
        <family val="1"/>
        <charset val="128"/>
      </rPr>
      <t>l</t>
    </r>
    <r>
      <rPr>
        <vertAlign val="subscript"/>
        <sz val="10"/>
        <rFont val="ＭＳ 明朝"/>
        <family val="1"/>
        <charset val="128"/>
      </rPr>
      <t>1</t>
    </r>
    <r>
      <rPr>
        <sz val="10"/>
        <rFont val="ＭＳ 明朝"/>
        <family val="1"/>
        <charset val="128"/>
      </rPr>
      <t>) / β</t>
    </r>
    <r>
      <rPr>
        <vertAlign val="subscript"/>
        <sz val="10"/>
        <rFont val="ＭＳ 明朝"/>
        <family val="1"/>
        <charset val="128"/>
      </rPr>
      <t>2</t>
    </r>
    <phoneticPr fontId="1"/>
  </si>
  <si>
    <t>-</t>
    <phoneticPr fontId="1"/>
  </si>
  <si>
    <t>－</t>
    <phoneticPr fontId="1"/>
  </si>
  <si>
    <t>)</t>
    <phoneticPr fontId="1"/>
  </si>
  <si>
    <t>/</t>
    <phoneticPr fontId="1"/>
  </si>
  <si>
    <r>
      <rPr>
        <sz val="10"/>
        <rFont val="ＭＳ ゴシック"/>
        <family val="3"/>
        <charset val="128"/>
      </rPr>
      <t>表1.1.15</t>
    </r>
    <r>
      <rPr>
        <sz val="10"/>
        <rFont val="ＭＳ 明朝"/>
        <family val="1"/>
        <charset val="128"/>
      </rPr>
      <t>より、β</t>
    </r>
    <r>
      <rPr>
        <vertAlign val="subscript"/>
        <sz val="10"/>
        <rFont val="ＭＳ 明朝"/>
        <family val="1"/>
        <charset val="128"/>
      </rPr>
      <t>1</t>
    </r>
    <r>
      <rPr>
        <sz val="10"/>
        <rFont val="ＭＳ 明朝"/>
        <family val="1"/>
        <charset val="128"/>
      </rPr>
      <t>ｌ</t>
    </r>
    <r>
      <rPr>
        <vertAlign val="subscript"/>
        <sz val="10"/>
        <rFont val="ＭＳ 明朝"/>
        <family val="1"/>
        <charset val="128"/>
      </rPr>
      <t>1</t>
    </r>
    <r>
      <rPr>
        <sz val="10"/>
        <rFont val="ＭＳ 明朝"/>
        <family val="1"/>
        <charset val="128"/>
      </rPr>
      <t>＝0.2748×3.00＝0.8244＜1となるため、1/βの深さは、第1層を</t>
    </r>
    <rPh sb="0" eb="1">
      <t>ヒョウ</t>
    </rPh>
    <rPh sb="45" eb="46">
      <t>フカ</t>
    </rPh>
    <rPh sb="49" eb="50">
      <t>ダイ</t>
    </rPh>
    <rPh sb="51" eb="52">
      <t>ソウ</t>
    </rPh>
    <phoneticPr fontId="1"/>
  </si>
  <si>
    <t>(m)</t>
    <phoneticPr fontId="1"/>
  </si>
  <si>
    <t xml:space="preserve">(m) ＜ </t>
    <phoneticPr fontId="1"/>
  </si>
  <si>
    <t>（第2層の層厚）</t>
    <rPh sb="1" eb="2">
      <t>ダイ</t>
    </rPh>
    <rPh sb="3" eb="4">
      <t>ソウ</t>
    </rPh>
    <rPh sb="5" eb="6">
      <t>ソウ</t>
    </rPh>
    <rPh sb="6" eb="7">
      <t>アツ</t>
    </rPh>
    <phoneticPr fontId="1"/>
  </si>
  <si>
    <t>以上より、杭周面の設計せん断地盤反力係数および周面支持力を考慮しない深さ位置1/βは、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3" eb="24">
      <t>シュウ</t>
    </rPh>
    <rPh sb="24" eb="25">
      <t>メン</t>
    </rPh>
    <rPh sb="25" eb="27">
      <t>シジ</t>
    </rPh>
    <rPh sb="27" eb="28">
      <t>リョク</t>
    </rPh>
    <rPh sb="29" eb="31">
      <t>コウリョ</t>
    </rPh>
    <rPh sb="34" eb="35">
      <t>フカ</t>
    </rPh>
    <rPh sb="36" eb="38">
      <t>イチ</t>
    </rPh>
    <phoneticPr fontId="1"/>
  </si>
  <si>
    <t>1/β</t>
    <phoneticPr fontId="1"/>
  </si>
  <si>
    <r>
      <t>l</t>
    </r>
    <r>
      <rPr>
        <vertAlign val="subscript"/>
        <sz val="10"/>
        <rFont val="ＭＳ 明朝"/>
        <family val="1"/>
        <charset val="128"/>
      </rPr>
      <t>1</t>
    </r>
    <phoneticPr fontId="1"/>
  </si>
  <si>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1"/>
  </si>
  <si>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1"/>
  </si>
  <si>
    <t>層厚
（m）</t>
    <rPh sb="0" eb="2">
      <t>ソウアツ</t>
    </rPh>
    <phoneticPr fontId="1"/>
  </si>
  <si>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</si>
  <si>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1"/>
  </si>
  <si>
    <r>
      <t>K</t>
    </r>
    <r>
      <rPr>
        <vertAlign val="subscript"/>
        <sz val="10"/>
        <rFont val="ＭＳ 明朝"/>
        <family val="1"/>
        <charset val="128"/>
      </rPr>
      <t>h</t>
    </r>
    <phoneticPr fontId="1"/>
  </si>
  <si>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1"/>
  </si>
  <si>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1"/>
  </si>
  <si>
    <t>Ｄ
（m）</t>
    <phoneticPr fontId="1"/>
  </si>
  <si>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1"/>
  </si>
  <si>
    <t>(a) 基準支持力 【基礎標準 第Ⅱ編 15.2.2.3】</t>
    <rPh sb="4" eb="6">
      <t>キジュン</t>
    </rPh>
    <rPh sb="6" eb="8">
      <t>シジ</t>
    </rPh>
    <rPh sb="8" eb="9">
      <t>リョク</t>
    </rPh>
    <phoneticPr fontId="1"/>
  </si>
  <si>
    <r>
      <t>R</t>
    </r>
    <r>
      <rPr>
        <vertAlign val="subscript"/>
        <sz val="10"/>
        <rFont val="ＭＳ 明朝"/>
        <family val="1"/>
        <charset val="128"/>
      </rPr>
      <t>k</t>
    </r>
    <phoneticPr fontId="1"/>
  </si>
  <si>
    <r>
      <t>R</t>
    </r>
    <r>
      <rPr>
        <vertAlign val="subscript"/>
        <sz val="10"/>
        <rFont val="ＭＳ 明朝"/>
        <family val="1"/>
        <charset val="128"/>
      </rPr>
      <t>tk</t>
    </r>
    <phoneticPr fontId="1"/>
  </si>
  <si>
    <r>
      <t>ΣR</t>
    </r>
    <r>
      <rPr>
        <vertAlign val="subscript"/>
        <sz val="10"/>
        <rFont val="ＭＳ 明朝"/>
        <family val="1"/>
        <charset val="128"/>
      </rPr>
      <t>fk</t>
    </r>
    <phoneticPr fontId="1"/>
  </si>
  <si>
    <r>
      <t>R</t>
    </r>
    <r>
      <rPr>
        <vertAlign val="subscript"/>
        <sz val="10"/>
        <rFont val="ＭＳ 明朝"/>
        <family val="1"/>
        <charset val="128"/>
      </rPr>
      <t>fk</t>
    </r>
    <phoneticPr fontId="1"/>
  </si>
  <si>
    <t>押込み側の基準支持力（kN）</t>
    <rPh sb="0" eb="2">
      <t>オシコ</t>
    </rPh>
    <rPh sb="3" eb="4">
      <t>ガワ</t>
    </rPh>
    <rPh sb="5" eb="7">
      <t>キジュン</t>
    </rPh>
    <rPh sb="7" eb="9">
      <t>シジ</t>
    </rPh>
    <rPh sb="9" eb="10">
      <t>リョク</t>
    </rPh>
    <phoneticPr fontId="1"/>
  </si>
  <si>
    <t>基準先端支持力（kN）（押込み側のみ）</t>
    <rPh sb="0" eb="2">
      <t>キジュン</t>
    </rPh>
    <rPh sb="2" eb="4">
      <t>センタン</t>
    </rPh>
    <rPh sb="4" eb="6">
      <t>シジ</t>
    </rPh>
    <rPh sb="6" eb="7">
      <t>リョク</t>
    </rPh>
    <rPh sb="12" eb="14">
      <t>オシコ</t>
    </rPh>
    <rPh sb="15" eb="16">
      <t>ガワ</t>
    </rPh>
    <phoneticPr fontId="1"/>
  </si>
  <si>
    <t>各層での基準周面支持力（kN）</t>
    <rPh sb="0" eb="2">
      <t>カクソウ</t>
    </rPh>
    <rPh sb="4" eb="6">
      <t>キジュン</t>
    </rPh>
    <rPh sb="6" eb="7">
      <t>シュウ</t>
    </rPh>
    <rPh sb="7" eb="8">
      <t>メン</t>
    </rPh>
    <rPh sb="8" eb="10">
      <t>シジ</t>
    </rPh>
    <rPh sb="10" eb="11">
      <t>リョク</t>
    </rPh>
    <phoneticPr fontId="1"/>
  </si>
  <si>
    <t>①基準先端支持力 【基礎標準 第Ⅱ編 15.2.2.3】</t>
    <rPh sb="1" eb="3">
      <t>キジュン</t>
    </rPh>
    <rPh sb="3" eb="5">
      <t>センタン</t>
    </rPh>
    <rPh sb="5" eb="7">
      <t>シジ</t>
    </rPh>
    <rPh sb="7" eb="8">
      <t>リョク</t>
    </rPh>
    <phoneticPr fontId="1"/>
  </si>
  <si>
    <t>基準先端支持力は、次式により求める。</t>
    <rPh sb="0" eb="2">
      <t>キジュン</t>
    </rPh>
    <rPh sb="2" eb="4">
      <t>センタン</t>
    </rPh>
    <rPh sb="4" eb="6">
      <t>シジ</t>
    </rPh>
    <rPh sb="6" eb="7">
      <t>リョク</t>
    </rPh>
    <rPh sb="9" eb="11">
      <t>ジシキ</t>
    </rPh>
    <rPh sb="14" eb="15">
      <t>モト</t>
    </rPh>
    <phoneticPr fontId="1"/>
  </si>
  <si>
    <r>
      <t>q</t>
    </r>
    <r>
      <rPr>
        <vertAlign val="subscript"/>
        <sz val="10"/>
        <rFont val="ＭＳ 明朝"/>
        <family val="1"/>
        <charset val="128"/>
      </rPr>
      <t>tk</t>
    </r>
    <phoneticPr fontId="1"/>
  </si>
  <si>
    <r>
      <t>A</t>
    </r>
    <r>
      <rPr>
        <vertAlign val="subscript"/>
        <sz val="10"/>
        <rFont val="ＭＳ 明朝"/>
        <family val="1"/>
        <charset val="128"/>
      </rPr>
      <t>t</t>
    </r>
    <phoneticPr fontId="1"/>
  </si>
  <si>
    <t>基準先端支持力（kN）</t>
    <rPh sb="0" eb="2">
      <t>キジュン</t>
    </rPh>
    <rPh sb="2" eb="4">
      <t>センタン</t>
    </rPh>
    <rPh sb="4" eb="6">
      <t>シジ</t>
    </rPh>
    <rPh sb="6" eb="7">
      <t>リョク</t>
    </rPh>
    <phoneticPr fontId="1"/>
  </si>
  <si>
    <t>砂質土の場合</t>
    <rPh sb="0" eb="1">
      <t>サ</t>
    </rPh>
    <rPh sb="1" eb="2">
      <t>シツ</t>
    </rPh>
    <rPh sb="2" eb="3">
      <t>ド</t>
    </rPh>
    <rPh sb="4" eb="6">
      <t>バアイ</t>
    </rPh>
    <phoneticPr fontId="1"/>
  </si>
  <si>
    <t>砂礫の場合</t>
    <rPh sb="0" eb="2">
      <t>サレキ</t>
    </rPh>
    <rPh sb="3" eb="5">
      <t>バアイ</t>
    </rPh>
    <phoneticPr fontId="1"/>
  </si>
  <si>
    <t>N</t>
    <phoneticPr fontId="1"/>
  </si>
  <si>
    <t>60N</t>
    <phoneticPr fontId="1"/>
  </si>
  <si>
    <t>≦</t>
    <phoneticPr fontId="1"/>
  </si>
  <si>
    <r>
      <t>(kN/m</t>
    </r>
    <r>
      <rPr>
        <vertAlign val="superscript"/>
        <sz val="10"/>
        <rFont val="ＭＳ 明朝"/>
        <family val="1"/>
        <charset val="128"/>
      </rPr>
      <t>2</t>
    </r>
    <r>
      <rPr>
        <sz val="10"/>
        <rFont val="ＭＳ 明朝"/>
        <family val="1"/>
        <charset val="128"/>
      </rPr>
      <t>)</t>
    </r>
    <phoneticPr fontId="1"/>
  </si>
  <si>
    <t>杭先端から下方3Dの区間の最小N値</t>
    <rPh sb="0" eb="1">
      <t>クイ</t>
    </rPh>
    <rPh sb="1" eb="3">
      <t>センタン</t>
    </rPh>
    <rPh sb="5" eb="7">
      <t>カホウ</t>
    </rPh>
    <rPh sb="10" eb="12">
      <t>クカン</t>
    </rPh>
    <rPh sb="13" eb="15">
      <t>サイショウ</t>
    </rPh>
    <rPh sb="16" eb="17">
      <t>チ</t>
    </rPh>
    <phoneticPr fontId="1"/>
  </si>
  <si>
    <t>π</t>
    <phoneticPr fontId="1"/>
  </si>
  <si>
    <r>
      <t xml:space="preserve"> </t>
    </r>
    <r>
      <rPr>
        <vertAlign val="superscript"/>
        <sz val="10"/>
        <rFont val="ＭＳ 明朝"/>
        <family val="1"/>
        <charset val="128"/>
      </rPr>
      <t>2</t>
    </r>
    <phoneticPr fontId="1"/>
  </si>
  <si>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1"/>
  </si>
  <si>
    <t>②各層での基準周面支持力 【基礎標準 第Ⅱ編 15.2.2.3】</t>
    <rPh sb="1" eb="3">
      <t>カクソウ</t>
    </rPh>
    <rPh sb="5" eb="7">
      <t>キジュン</t>
    </rPh>
    <rPh sb="7" eb="8">
      <t>シュウ</t>
    </rPh>
    <rPh sb="8" eb="9">
      <t>メン</t>
    </rPh>
    <rPh sb="9" eb="11">
      <t>シジ</t>
    </rPh>
    <rPh sb="11" eb="12">
      <t>リョク</t>
    </rPh>
    <phoneticPr fontId="1"/>
  </si>
  <si>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1"/>
  </si>
  <si>
    <r>
      <t>r</t>
    </r>
    <r>
      <rPr>
        <vertAlign val="subscript"/>
        <sz val="10"/>
        <rFont val="ＭＳ 明朝"/>
        <family val="1"/>
        <charset val="128"/>
      </rPr>
      <t>fk</t>
    </r>
    <phoneticPr fontId="1"/>
  </si>
  <si>
    <t>Ｕ</t>
    <phoneticPr fontId="1"/>
  </si>
  <si>
    <t>⊿l</t>
    <phoneticPr fontId="1"/>
  </si>
  <si>
    <t>杭の周長</t>
    <rPh sb="0" eb="1">
      <t>クイ</t>
    </rPh>
    <rPh sb="2" eb="3">
      <t>シュウ</t>
    </rPh>
    <rPh sb="3" eb="4">
      <t>チョウ</t>
    </rPh>
    <phoneticPr fontId="1"/>
  </si>
  <si>
    <t>砂質土または砂礫の場合</t>
    <rPh sb="0" eb="1">
      <t>サ</t>
    </rPh>
    <rPh sb="1" eb="2">
      <t>シツ</t>
    </rPh>
    <rPh sb="2" eb="3">
      <t>ド</t>
    </rPh>
    <rPh sb="6" eb="8">
      <t>サレキ</t>
    </rPh>
    <rPh sb="9" eb="11">
      <t>バアイ</t>
    </rPh>
    <phoneticPr fontId="1"/>
  </si>
  <si>
    <t>粘性土の場合</t>
    <rPh sb="0" eb="2">
      <t>ネンセイ</t>
    </rPh>
    <rPh sb="2" eb="3">
      <t>ド</t>
    </rPh>
    <rPh sb="4" eb="6">
      <t>バアイ</t>
    </rPh>
    <phoneticPr fontId="1"/>
  </si>
  <si>
    <t>または</t>
    <phoneticPr fontId="1"/>
  </si>
  <si>
    <t>標準貫入試験のN値</t>
    <rPh sb="0" eb="2">
      <t>ヒョウジュン</t>
    </rPh>
    <rPh sb="2" eb="3">
      <t>カン</t>
    </rPh>
    <rPh sb="3" eb="4">
      <t>ニュウ</t>
    </rPh>
    <rPh sb="4" eb="6">
      <t>シケン</t>
    </rPh>
    <rPh sb="8" eb="9">
      <t>チ</t>
    </rPh>
    <phoneticPr fontId="1"/>
  </si>
  <si>
    <t>c</t>
    <phoneticPr fontId="1"/>
  </si>
  <si>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1"/>
  </si>
  <si>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1"/>
  </si>
  <si>
    <t>土質</t>
    <rPh sb="0" eb="2">
      <t>ドシツ</t>
    </rPh>
    <phoneticPr fontId="1"/>
  </si>
  <si>
    <t>粘性土</t>
    <rPh sb="0" eb="2">
      <t>ネンセイ</t>
    </rPh>
    <rPh sb="2" eb="3">
      <t>ド</t>
    </rPh>
    <phoneticPr fontId="1"/>
  </si>
  <si>
    <t>砂質土</t>
    <rPh sb="0" eb="1">
      <t>サ</t>
    </rPh>
    <rPh sb="1" eb="2">
      <t>シツ</t>
    </rPh>
    <rPh sb="2" eb="3">
      <t>ド</t>
    </rPh>
    <phoneticPr fontId="1"/>
  </si>
  <si>
    <r>
      <t>R</t>
    </r>
    <r>
      <rPr>
        <vertAlign val="subscript"/>
        <sz val="10"/>
        <rFont val="ＭＳ 明朝"/>
        <family val="1"/>
        <charset val="128"/>
      </rPr>
      <t>fk</t>
    </r>
    <r>
      <rPr>
        <sz val="10"/>
        <rFont val="ＭＳ 明朝"/>
        <family val="1"/>
        <charset val="128"/>
      </rPr>
      <t xml:space="preserve">
（kN）</t>
    </r>
    <phoneticPr fontId="1"/>
  </si>
  <si>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1"/>
  </si>
  <si>
    <t>①設計鉛直支持力</t>
    <rPh sb="1" eb="3">
      <t>セッケイ</t>
    </rPh>
    <rPh sb="3" eb="5">
      <t>エンチョク</t>
    </rPh>
    <rPh sb="5" eb="7">
      <t>シジ</t>
    </rPh>
    <rPh sb="7" eb="8">
      <t>リョク</t>
    </rPh>
    <phoneticPr fontId="1"/>
  </si>
  <si>
    <r>
      <t>R</t>
    </r>
    <r>
      <rPr>
        <vertAlign val="subscript"/>
        <sz val="10"/>
        <rFont val="ＭＳ 明朝"/>
        <family val="1"/>
        <charset val="128"/>
      </rPr>
      <t>vd</t>
    </r>
    <phoneticPr fontId="1"/>
  </si>
  <si>
    <r>
      <t>f</t>
    </r>
    <r>
      <rPr>
        <vertAlign val="subscript"/>
        <sz val="10"/>
        <rFont val="ＭＳ 明朝"/>
        <family val="1"/>
        <charset val="128"/>
      </rPr>
      <t>r</t>
    </r>
    <phoneticPr fontId="1"/>
  </si>
  <si>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1"/>
  </si>
  <si>
    <t>設計鉛直支持力（kN）</t>
    <rPh sb="0" eb="2">
      <t>セッケイ</t>
    </rPh>
    <rPh sb="2" eb="4">
      <t>エンチョク</t>
    </rPh>
    <rPh sb="4" eb="6">
      <t>シジ</t>
    </rPh>
    <rPh sb="6" eb="7">
      <t>リョク</t>
    </rPh>
    <phoneticPr fontId="1"/>
  </si>
  <si>
    <t>基準支持力（kN）</t>
    <rPh sb="0" eb="2">
      <t>キジュン</t>
    </rPh>
    <rPh sb="2" eb="4">
      <t>シジ</t>
    </rPh>
    <rPh sb="4" eb="5">
      <t>リョク</t>
    </rPh>
    <phoneticPr fontId="1"/>
  </si>
  <si>
    <t>基準周面支持力（kN）</t>
    <rPh sb="0" eb="2">
      <t>キジュン</t>
    </rPh>
    <rPh sb="2" eb="3">
      <t>シュウ</t>
    </rPh>
    <rPh sb="3" eb="4">
      <t>メン</t>
    </rPh>
    <rPh sb="4" eb="6">
      <t>シジ</t>
    </rPh>
    <rPh sb="6" eb="7">
      <t>リョク</t>
    </rPh>
    <phoneticPr fontId="1"/>
  </si>
  <si>
    <t>解説図 15.3.4.2-1(残留鉛直変位)より算定する。</t>
    <phoneticPr fontId="1"/>
  </si>
  <si>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1"/>
  </si>
  <si>
    <t>支持力Rvdは、次式により算出する。</t>
    <rPh sb="8" eb="10">
      <t>ジシキ</t>
    </rPh>
    <rPh sb="13" eb="15">
      <t>サンシュツ</t>
    </rPh>
    <phoneticPr fontId="1"/>
  </si>
  <si>
    <t>(支持【基礎標準 第Ⅱ編15.3.2.2】性能)、【基礎標準 第Ⅱ編 15.3.4.2】</t>
    <rPh sb="21" eb="23">
      <t>セイノウ</t>
    </rPh>
    <rPh sb="26" eb="28">
      <t>キソ</t>
    </rPh>
    <rPh sb="28" eb="30">
      <t>ヒョウジュン</t>
    </rPh>
    <rPh sb="31" eb="32">
      <t>ダイ</t>
    </rPh>
    <rPh sb="33" eb="34">
      <t>ヘン</t>
    </rPh>
    <phoneticPr fontId="1"/>
  </si>
  <si>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1"/>
  </si>
  <si>
    <t>(安定)、【基礎標準 第Ⅱ編15.3.3.2】解説図 15.3.3.2-1</t>
    <rPh sb="6" eb="8">
      <t>キソ</t>
    </rPh>
    <rPh sb="8" eb="10">
      <t>ヒョウジュン</t>
    </rPh>
    <rPh sb="11" eb="12">
      <t>ダイ</t>
    </rPh>
    <rPh sb="13" eb="14">
      <t>ヘン</t>
    </rPh>
    <rPh sb="23" eb="25">
      <t>カイセツ</t>
    </rPh>
    <rPh sb="25" eb="26">
      <t>ズ</t>
    </rPh>
    <phoneticPr fontId="1"/>
  </si>
  <si>
    <t>要求性能</t>
    <rPh sb="0" eb="2">
      <t>ヨウキュウ</t>
    </rPh>
    <rPh sb="2" eb="4">
      <t>セイノウ</t>
    </rPh>
    <phoneticPr fontId="1"/>
  </si>
  <si>
    <t>安定（地震時以外）</t>
    <rPh sb="0" eb="2">
      <t>アンテイ</t>
    </rPh>
    <rPh sb="3" eb="5">
      <t>ジシン</t>
    </rPh>
    <rPh sb="5" eb="6">
      <t>ジ</t>
    </rPh>
    <rPh sb="6" eb="8">
      <t>イガイ</t>
    </rPh>
    <phoneticPr fontId="1"/>
  </si>
  <si>
    <t>性能項目</t>
    <rPh sb="0" eb="2">
      <t>セイノウ</t>
    </rPh>
    <rPh sb="2" eb="4">
      <t>コウモク</t>
    </rPh>
    <phoneticPr fontId="1"/>
  </si>
  <si>
    <r>
      <t>R</t>
    </r>
    <r>
      <rPr>
        <vertAlign val="subscript"/>
        <sz val="10"/>
        <rFont val="ＭＳ 明朝"/>
        <family val="1"/>
        <charset val="128"/>
      </rPr>
      <t>tk</t>
    </r>
    <r>
      <rPr>
        <sz val="10"/>
        <rFont val="ＭＳ 明朝"/>
        <family val="1"/>
        <charset val="128"/>
      </rPr>
      <t xml:space="preserve">
(kN)</t>
    </r>
    <phoneticPr fontId="1"/>
  </si>
  <si>
    <t>fr</t>
    <phoneticPr fontId="1"/>
  </si>
  <si>
    <r>
      <t>R</t>
    </r>
    <r>
      <rPr>
        <vertAlign val="subscript"/>
        <sz val="10"/>
        <rFont val="ＭＳ 明朝"/>
        <family val="1"/>
        <charset val="128"/>
      </rPr>
      <t>vd</t>
    </r>
    <r>
      <rPr>
        <sz val="10"/>
        <rFont val="ＭＳ 明朝"/>
        <family val="1"/>
        <charset val="128"/>
      </rPr>
      <t xml:space="preserve">
(kN)</t>
    </r>
    <phoneticPr fontId="1"/>
  </si>
  <si>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1"/>
  </si>
  <si>
    <r>
      <t>ΣR</t>
    </r>
    <r>
      <rPr>
        <vertAlign val="subscript"/>
        <sz val="10"/>
        <rFont val="ＭＳ 明朝"/>
        <family val="1"/>
        <charset val="128"/>
      </rPr>
      <t>fk</t>
    </r>
    <r>
      <rPr>
        <sz val="10"/>
        <rFont val="ＭＳ 明朝"/>
        <family val="1"/>
        <charset val="128"/>
      </rPr>
      <t xml:space="preserve">
(kN)</t>
    </r>
    <phoneticPr fontId="1"/>
  </si>
  <si>
    <r>
      <t>R</t>
    </r>
    <r>
      <rPr>
        <vertAlign val="subscript"/>
        <sz val="10"/>
        <rFont val="ＭＳ 明朝"/>
        <family val="1"/>
        <charset val="128"/>
      </rPr>
      <t>k</t>
    </r>
    <r>
      <rPr>
        <sz val="10"/>
        <rFont val="ＭＳ 明朝"/>
        <family val="1"/>
        <charset val="128"/>
      </rPr>
      <t xml:space="preserve">
(kN)</t>
    </r>
    <phoneticPr fontId="1"/>
  </si>
  <si>
    <t>長期支持性能</t>
    <rPh sb="0" eb="2">
      <t>チョウキ</t>
    </rPh>
    <rPh sb="2" eb="4">
      <t>シジ</t>
    </rPh>
    <rPh sb="4" eb="6">
      <t>セイノウ</t>
    </rPh>
    <phoneticPr fontId="1"/>
  </si>
  <si>
    <t>短期支持性能</t>
    <rPh sb="0" eb="2">
      <t>タンキ</t>
    </rPh>
    <rPh sb="2" eb="4">
      <t>シジ</t>
    </rPh>
    <rPh sb="4" eb="6">
      <t>セイノウ</t>
    </rPh>
    <phoneticPr fontId="1"/>
  </si>
  <si>
    <t>使用性</t>
    <rPh sb="0" eb="2">
      <t>シヨウ</t>
    </rPh>
    <rPh sb="2" eb="3">
      <t>セイ</t>
    </rPh>
    <phoneticPr fontId="1"/>
  </si>
  <si>
    <t>安全性</t>
    <rPh sb="0" eb="3">
      <t>アンゼンセイ</t>
    </rPh>
    <phoneticPr fontId="1"/>
  </si>
  <si>
    <t>復旧性</t>
    <rPh sb="0" eb="2">
      <t>フッキュウ</t>
    </rPh>
    <rPh sb="2" eb="3">
      <t>セイ</t>
    </rPh>
    <phoneticPr fontId="1"/>
  </si>
  <si>
    <t>残留鉛直変位
（性能レベル１）</t>
    <rPh sb="0" eb="2">
      <t>ザンリュウ</t>
    </rPh>
    <rPh sb="2" eb="4">
      <t>エンチョク</t>
    </rPh>
    <rPh sb="4" eb="6">
      <t>ヘンイ</t>
    </rPh>
    <rPh sb="8" eb="10">
      <t>セイノウ</t>
    </rPh>
    <phoneticPr fontId="1"/>
  </si>
  <si>
    <t>残留鉛直変位
（性能レベル２）</t>
    <rPh sb="0" eb="2">
      <t>ザンリュウ</t>
    </rPh>
    <rPh sb="2" eb="4">
      <t>エンチョク</t>
    </rPh>
    <rPh sb="4" eb="6">
      <t>ヘンイ</t>
    </rPh>
    <rPh sb="8" eb="10">
      <t>セイノウ</t>
    </rPh>
    <phoneticPr fontId="1"/>
  </si>
  <si>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1"/>
  </si>
  <si>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1"/>
  </si>
  <si>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1"/>
  </si>
  <si>
    <r>
      <t>f</t>
    </r>
    <r>
      <rPr>
        <vertAlign val="subscript"/>
        <sz val="10"/>
        <rFont val="ＭＳ 明朝"/>
        <family val="1"/>
        <charset val="128"/>
      </rPr>
      <t>rt</t>
    </r>
    <phoneticPr fontId="1"/>
  </si>
  <si>
    <r>
      <t>f</t>
    </r>
    <r>
      <rPr>
        <vertAlign val="subscript"/>
        <sz val="10"/>
        <rFont val="ＭＳ 明朝"/>
        <family val="1"/>
        <charset val="128"/>
      </rPr>
      <t>rf</t>
    </r>
    <phoneticPr fontId="1"/>
  </si>
  <si>
    <t>杭先端の地盤抵抗係数</t>
    <rPh sb="0" eb="1">
      <t>クイ</t>
    </rPh>
    <rPh sb="1" eb="3">
      <t>センタン</t>
    </rPh>
    <rPh sb="4" eb="6">
      <t>ジバン</t>
    </rPh>
    <rPh sb="6" eb="8">
      <t>テイコウ</t>
    </rPh>
    <rPh sb="8" eb="10">
      <t>ケイスウ</t>
    </rPh>
    <phoneticPr fontId="1"/>
  </si>
  <si>
    <t>杭周面の地盤抵抗係数</t>
    <rPh sb="0" eb="1">
      <t>クイ</t>
    </rPh>
    <rPh sb="1" eb="2">
      <t>シュウ</t>
    </rPh>
    <rPh sb="2" eb="3">
      <t>メン</t>
    </rPh>
    <rPh sb="4" eb="6">
      <t>ジバン</t>
    </rPh>
    <rPh sb="6" eb="8">
      <t>テイコウ</t>
    </rPh>
    <rPh sb="8" eb="10">
      <t>ケイスウ</t>
    </rPh>
    <phoneticPr fontId="1"/>
  </si>
  <si>
    <t>kN</t>
    <phoneticPr fontId="1"/>
  </si>
  <si>
    <t>②設計引抜き抵抗力</t>
    <rPh sb="1" eb="3">
      <t>セッケイ</t>
    </rPh>
    <rPh sb="3" eb="5">
      <t>ヒキヌ</t>
    </rPh>
    <rPh sb="6" eb="9">
      <t>テイコウリョク</t>
    </rPh>
    <phoneticPr fontId="1"/>
  </si>
  <si>
    <t>引抜き抵抗力は、次式により算出する。</t>
    <rPh sb="3" eb="6">
      <t>テイコウリョク</t>
    </rPh>
    <rPh sb="8" eb="10">
      <t>ジシキ</t>
    </rPh>
    <rPh sb="13" eb="15">
      <t>サンシュツ</t>
    </rPh>
    <phoneticPr fontId="1"/>
  </si>
  <si>
    <r>
      <t>R</t>
    </r>
    <r>
      <rPr>
        <vertAlign val="subscript"/>
        <sz val="10"/>
        <rFont val="ＭＳ 明朝"/>
        <family val="1"/>
        <charset val="128"/>
      </rPr>
      <t>ud</t>
    </r>
    <phoneticPr fontId="1"/>
  </si>
  <si>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1"/>
  </si>
  <si>
    <r>
      <t>W</t>
    </r>
    <r>
      <rPr>
        <vertAlign val="subscript"/>
        <sz val="10"/>
        <rFont val="ＭＳ 明朝"/>
        <family val="1"/>
        <charset val="128"/>
      </rPr>
      <t>p</t>
    </r>
    <phoneticPr fontId="1"/>
  </si>
  <si>
    <t>設計引抜き抵抗力（kN）</t>
    <rPh sb="0" eb="2">
      <t>セッケイ</t>
    </rPh>
    <rPh sb="2" eb="4">
      <t>ヒキヌ</t>
    </rPh>
    <rPh sb="5" eb="7">
      <t>テイコウ</t>
    </rPh>
    <rPh sb="7" eb="8">
      <t>リョク</t>
    </rPh>
    <phoneticPr fontId="1"/>
  </si>
  <si>
    <t>地盤抵抗係数</t>
    <rPh sb="0" eb="2">
      <t>ジバン</t>
    </rPh>
    <rPh sb="2" eb="4">
      <t>テイコウ</t>
    </rPh>
    <rPh sb="4" eb="6">
      <t>ケイスウ</t>
    </rPh>
    <phoneticPr fontId="1"/>
  </si>
  <si>
    <t>杭の有効自重（kN）</t>
    <rPh sb="0" eb="1">
      <t>クイ</t>
    </rPh>
    <rPh sb="2" eb="4">
      <t>ユウコウ</t>
    </rPh>
    <rPh sb="4" eb="6">
      <t>ジジュウ</t>
    </rPh>
    <phoneticPr fontId="1"/>
  </si>
  <si>
    <t>　長期支持性能の照査に用いる設計引抜き抵抗力は、次式により算定する。</t>
    <rPh sb="1" eb="3">
      <t>チョウキ</t>
    </rPh>
    <rPh sb="3" eb="5">
      <t>シジ</t>
    </rPh>
    <rPh sb="5" eb="7">
      <t>セイノウ</t>
    </rPh>
    <rPh sb="8" eb="10">
      <t>ショウサ</t>
    </rPh>
    <rPh sb="11" eb="12">
      <t>モチ</t>
    </rPh>
    <rPh sb="14" eb="16">
      <t>セッケイ</t>
    </rPh>
    <rPh sb="16" eb="18">
      <t>ヒキヌ</t>
    </rPh>
    <rPh sb="19" eb="21">
      <t>テイコウ</t>
    </rPh>
    <rPh sb="21" eb="22">
      <t>リョク</t>
    </rPh>
    <rPh sb="24" eb="26">
      <t>ジシキ</t>
    </rPh>
    <rPh sb="29" eb="31">
      <t>サンテイ</t>
    </rPh>
    <phoneticPr fontId="1"/>
  </si>
  <si>
    <r>
      <t>W</t>
    </r>
    <r>
      <rPr>
        <vertAlign val="subscript"/>
        <sz val="10"/>
        <rFont val="ＭＳ 明朝"/>
        <family val="1"/>
        <charset val="128"/>
      </rPr>
      <t>P</t>
    </r>
    <r>
      <rPr>
        <sz val="10"/>
        <rFont val="ＭＳ 明朝"/>
        <family val="1"/>
        <charset val="128"/>
      </rPr>
      <t xml:space="preserve">
(kN)</t>
    </r>
    <phoneticPr fontId="1"/>
  </si>
  <si>
    <t>　地震時以外の基礎の安定と短期支持性能、および残留鉛直変位(性能レベル1)に用いる設計</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rPh sb="41" eb="43">
      <t>セッケイ</t>
    </rPh>
    <phoneticPr fontId="1"/>
  </si>
  <si>
    <t>(c) 有効抵抗土圧力の計算 【基礎標準 第Ⅱ編 15.2.2.4】</t>
    <rPh sb="4" eb="6">
      <t>ユウコウ</t>
    </rPh>
    <rPh sb="6" eb="8">
      <t>テイコウ</t>
    </rPh>
    <rPh sb="8" eb="9">
      <t>ド</t>
    </rPh>
    <rPh sb="9" eb="10">
      <t>アツ</t>
    </rPh>
    <rPh sb="10" eb="11">
      <t>リョク</t>
    </rPh>
    <rPh sb="12" eb="14">
      <t>ケイサン</t>
    </rPh>
    <phoneticPr fontId="1"/>
  </si>
  <si>
    <r>
      <t>η</t>
    </r>
    <r>
      <rPr>
        <vertAlign val="subscript"/>
        <sz val="10"/>
        <rFont val="ＭＳ 明朝"/>
        <family val="1"/>
        <charset val="128"/>
      </rPr>
      <t>m</t>
    </r>
    <phoneticPr fontId="1"/>
  </si>
  <si>
    <t>・</t>
    <phoneticPr fontId="1"/>
  </si>
  <si>
    <r>
      <t>η</t>
    </r>
    <r>
      <rPr>
        <vertAlign val="subscript"/>
        <sz val="10"/>
        <rFont val="ＭＳ 明朝"/>
        <family val="1"/>
        <charset val="128"/>
      </rPr>
      <t>n</t>
    </r>
    <phoneticPr fontId="1"/>
  </si>
  <si>
    <r>
      <t>p</t>
    </r>
    <r>
      <rPr>
        <vertAlign val="subscript"/>
        <sz val="10"/>
        <rFont val="ＭＳ 明朝"/>
        <family val="1"/>
        <charset val="128"/>
      </rPr>
      <t>e</t>
    </r>
    <r>
      <rPr>
        <sz val="10"/>
        <rFont val="ＭＳ 明朝"/>
        <family val="1"/>
        <charset val="128"/>
      </rPr>
      <t>(z)</t>
    </r>
    <phoneticPr fontId="1"/>
  </si>
  <si>
    <r>
      <t>p</t>
    </r>
    <r>
      <rPr>
        <vertAlign val="subscript"/>
        <sz val="10"/>
        <rFont val="ＭＳ 明朝"/>
        <family val="1"/>
        <charset val="128"/>
      </rPr>
      <t>eg</t>
    </r>
    <r>
      <rPr>
        <sz val="10"/>
        <rFont val="ＭＳ 明朝"/>
        <family val="1"/>
        <charset val="128"/>
      </rPr>
      <t>(z)</t>
    </r>
    <phoneticPr fontId="1"/>
  </si>
  <si>
    <t>≦</t>
    <phoneticPr fontId="1"/>
  </si>
  <si>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1"/>
  </si>
  <si>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1"/>
  </si>
  <si>
    <t>【基礎標準 第Ⅱ編 15.2.2.4】解説表 15.2.2.4-1に示す値</t>
    <rPh sb="19" eb="21">
      <t>カイセツ</t>
    </rPh>
    <rPh sb="21" eb="22">
      <t>ヒョウ</t>
    </rPh>
    <rPh sb="34" eb="35">
      <t>シメ</t>
    </rPh>
    <rPh sb="36" eb="37">
      <t>アタイ</t>
    </rPh>
    <phoneticPr fontId="1"/>
  </si>
  <si>
    <r>
      <t>各列ともη</t>
    </r>
    <r>
      <rPr>
        <vertAlign val="subscript"/>
        <sz val="10"/>
        <rFont val="ＭＳ 明朝"/>
        <family val="1"/>
        <charset val="128"/>
      </rPr>
      <t>m</t>
    </r>
    <r>
      <rPr>
        <sz val="10"/>
        <rFont val="ＭＳ 明朝"/>
        <family val="1"/>
        <charset val="128"/>
      </rPr>
      <t>＝1.0</t>
    </r>
    <rPh sb="0" eb="2">
      <t>カクレツ</t>
    </rPh>
    <phoneticPr fontId="1"/>
  </si>
  <si>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1"/>
  </si>
  <si>
    <t>【基礎標準 第Ⅱ編 15.2.2.4】解説表 15.2.2.4-3に示す値</t>
    <rPh sb="19" eb="21">
      <t>カイセツ</t>
    </rPh>
    <rPh sb="21" eb="22">
      <t>ヒョウ</t>
    </rPh>
    <rPh sb="34" eb="35">
      <t>シメ</t>
    </rPh>
    <rPh sb="36" eb="37">
      <t>アタイ</t>
    </rPh>
    <phoneticPr fontId="1"/>
  </si>
  <si>
    <r>
      <t>η</t>
    </r>
    <r>
      <rPr>
        <vertAlign val="subscript"/>
        <sz val="10"/>
        <rFont val="ＭＳ 明朝"/>
        <family val="1"/>
        <charset val="128"/>
      </rPr>
      <t>n</t>
    </r>
    <r>
      <rPr>
        <sz val="10"/>
        <rFont val="ＭＳ 明朝"/>
        <family val="1"/>
        <charset val="128"/>
      </rPr>
      <t>＝1.0</t>
    </r>
    <phoneticPr fontId="1"/>
  </si>
  <si>
    <t>9c</t>
    <phoneticPr fontId="1"/>
  </si>
  <si>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1"/>
  </si>
  <si>
    <r>
      <t>(1＋z/2D)(γ</t>
    </r>
    <r>
      <rPr>
        <vertAlign val="subscript"/>
        <sz val="10"/>
        <rFont val="ＭＳ 明朝"/>
        <family val="1"/>
        <charset val="128"/>
      </rPr>
      <t>e</t>
    </r>
    <r>
      <rPr>
        <sz val="10"/>
        <rFont val="ＭＳ 明朝"/>
        <family val="1"/>
        <charset val="128"/>
      </rPr>
      <t>z＋2c)</t>
    </r>
    <phoneticPr fontId="1"/>
  </si>
  <si>
    <t>z</t>
    <phoneticPr fontId="1"/>
  </si>
  <si>
    <t>有効抵抗土圧力度を求める深さ（m）</t>
    <rPh sb="0" eb="2">
      <t>ユウコウ</t>
    </rPh>
    <rPh sb="2" eb="4">
      <t>テイコウ</t>
    </rPh>
    <rPh sb="4" eb="5">
      <t>ド</t>
    </rPh>
    <rPh sb="5" eb="7">
      <t>アツリョク</t>
    </rPh>
    <rPh sb="7" eb="8">
      <t>ド</t>
    </rPh>
    <rPh sb="9" eb="10">
      <t>モト</t>
    </rPh>
    <rPh sb="12" eb="13">
      <t>フカ</t>
    </rPh>
    <phoneticPr fontId="1"/>
  </si>
  <si>
    <r>
      <t>α</t>
    </r>
    <r>
      <rPr>
        <vertAlign val="subscript"/>
        <sz val="10"/>
        <rFont val="ＭＳ 明朝"/>
        <family val="1"/>
        <charset val="128"/>
      </rPr>
      <t>h</t>
    </r>
    <r>
      <rPr>
        <sz val="10"/>
        <rFont val="ＭＳ 明朝"/>
        <family val="1"/>
        <charset val="128"/>
      </rPr>
      <t/>
    </r>
    <phoneticPr fontId="1"/>
  </si>
  <si>
    <t>杭前面の形状係数(=3.0)</t>
    <rPh sb="0" eb="1">
      <t>クイ</t>
    </rPh>
    <rPh sb="1" eb="3">
      <t>ゼンメン</t>
    </rPh>
    <rPh sb="4" eb="6">
      <t>ケイジョウ</t>
    </rPh>
    <rPh sb="6" eb="8">
      <t>ケイスウ</t>
    </rPh>
    <phoneticPr fontId="1"/>
  </si>
  <si>
    <r>
      <t>γ</t>
    </r>
    <r>
      <rPr>
        <vertAlign val="subscript"/>
        <sz val="10"/>
        <rFont val="ＭＳ 明朝"/>
        <family val="1"/>
        <charset val="128"/>
      </rPr>
      <t>e</t>
    </r>
    <r>
      <rPr>
        <sz val="10"/>
        <rFont val="ＭＳ 明朝"/>
        <family val="1"/>
        <charset val="128"/>
      </rPr>
      <t/>
    </r>
    <phoneticPr fontId="1"/>
  </si>
  <si>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1"/>
  </si>
  <si>
    <r>
      <t>K</t>
    </r>
    <r>
      <rPr>
        <vertAlign val="subscript"/>
        <sz val="10"/>
        <rFont val="ＭＳ 明朝"/>
        <family val="1"/>
        <charset val="128"/>
      </rPr>
      <t>p</t>
    </r>
    <phoneticPr fontId="1"/>
  </si>
  <si>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1"/>
  </si>
  <si>
    <t>深さzの土の内部摩擦角(度）</t>
    <rPh sb="0" eb="1">
      <t>フカ</t>
    </rPh>
    <rPh sb="4" eb="5">
      <t>ツチ</t>
    </rPh>
    <rPh sb="6" eb="8">
      <t>ナイブ</t>
    </rPh>
    <rPh sb="8" eb="10">
      <t>マサツ</t>
    </rPh>
    <rPh sb="10" eb="11">
      <t>カク</t>
    </rPh>
    <rPh sb="12" eb="13">
      <t>ド</t>
    </rPh>
    <phoneticPr fontId="1"/>
  </si>
  <si>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1"/>
  </si>
  <si>
    <t>　なお、本設計計算例のおいて、郡杭の杭本数による抵抗補正係数ηmおよびηnは、設計水平</t>
    <rPh sb="4" eb="5">
      <t>ホン</t>
    </rPh>
    <rPh sb="5" eb="7">
      <t>セッケイ</t>
    </rPh>
    <rPh sb="7" eb="9">
      <t>ケイサン</t>
    </rPh>
    <rPh sb="9" eb="10">
      <t>レイ</t>
    </rPh>
    <rPh sb="15" eb="16">
      <t>グン</t>
    </rPh>
    <rPh sb="16" eb="17">
      <t>クイ</t>
    </rPh>
    <rPh sb="18" eb="19">
      <t>クイ</t>
    </rPh>
    <rPh sb="19" eb="21">
      <t>ホンスウ</t>
    </rPh>
    <rPh sb="24" eb="26">
      <t>テイコウ</t>
    </rPh>
    <rPh sb="26" eb="28">
      <t>ホセイ</t>
    </rPh>
    <rPh sb="28" eb="30">
      <t>ケイスウ</t>
    </rPh>
    <rPh sb="39" eb="41">
      <t>セッケイ</t>
    </rPh>
    <rPh sb="41" eb="43">
      <t>スイヘイ</t>
    </rPh>
    <phoneticPr fontId="1"/>
  </si>
  <si>
    <t>地盤反力係数の補正計算にもあったように、群杭の杭本数による影響が小さいものと判断されること</t>
    <rPh sb="7" eb="9">
      <t>ホセイ</t>
    </rPh>
    <rPh sb="9" eb="11">
      <t>ケイサン</t>
    </rPh>
    <rPh sb="20" eb="21">
      <t>グン</t>
    </rPh>
    <rPh sb="21" eb="22">
      <t>クイ</t>
    </rPh>
    <rPh sb="23" eb="24">
      <t>クイ</t>
    </rPh>
    <rPh sb="24" eb="26">
      <t>ホンスウ</t>
    </rPh>
    <rPh sb="29" eb="31">
      <t>エイキョウ</t>
    </rPh>
    <rPh sb="32" eb="33">
      <t>チイ</t>
    </rPh>
    <rPh sb="38" eb="40">
      <t>ハンダン</t>
    </rPh>
    <phoneticPr fontId="1"/>
  </si>
  <si>
    <t>から考慮しない。</t>
    <phoneticPr fontId="1"/>
  </si>
  <si>
    <t>　杭の有効抵抗土圧力について、有効抵抗土圧力度に抵抗面積を考慮した有効土圧は、次式により</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rPh sb="39" eb="41">
      <t>ジシキ</t>
    </rPh>
    <phoneticPr fontId="1"/>
  </si>
  <si>
    <t>算定する。</t>
  </si>
  <si>
    <r>
      <t>P</t>
    </r>
    <r>
      <rPr>
        <vertAlign val="subscript"/>
        <sz val="10"/>
        <rFont val="ＭＳ 明朝"/>
        <family val="1"/>
        <charset val="128"/>
      </rPr>
      <t>e</t>
    </r>
    <phoneticPr fontId="1"/>
  </si>
  <si>
    <r>
      <t>p</t>
    </r>
    <r>
      <rPr>
        <vertAlign val="subscript"/>
        <sz val="10"/>
        <rFont val="ＭＳ 明朝"/>
        <family val="1"/>
        <charset val="128"/>
      </rPr>
      <t>e</t>
    </r>
    <phoneticPr fontId="1"/>
  </si>
  <si>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1"/>
  </si>
  <si>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1"/>
  </si>
  <si>
    <t>有効抵抗土圧を算定する区間の長さ(m)</t>
    <rPh sb="0" eb="2">
      <t>ユウコウ</t>
    </rPh>
    <rPh sb="2" eb="4">
      <t>テイコウ</t>
    </rPh>
    <rPh sb="4" eb="5">
      <t>ツチ</t>
    </rPh>
    <rPh sb="5" eb="6">
      <t>アツ</t>
    </rPh>
    <rPh sb="7" eb="9">
      <t>サンテイ</t>
    </rPh>
    <rPh sb="11" eb="13">
      <t>クカン</t>
    </rPh>
    <rPh sb="14" eb="15">
      <t>ナガ</t>
    </rPh>
    <phoneticPr fontId="1"/>
  </si>
  <si>
    <t>②</t>
    <phoneticPr fontId="1"/>
  </si>
  <si>
    <t>Ｚ
（m）</t>
    <phoneticPr fontId="1"/>
  </si>
  <si>
    <t>位置</t>
    <rPh sb="0" eb="2">
      <t>イチ</t>
    </rPh>
    <phoneticPr fontId="1"/>
  </si>
  <si>
    <t>下面</t>
    <rPh sb="0" eb="1">
      <t>シタ</t>
    </rPh>
    <rPh sb="1" eb="2">
      <t>メン</t>
    </rPh>
    <phoneticPr fontId="1"/>
  </si>
  <si>
    <t>上面</t>
    <rPh sb="0" eb="1">
      <t>ウエ</t>
    </rPh>
    <rPh sb="1" eb="2">
      <t>メン</t>
    </rPh>
    <phoneticPr fontId="1"/>
  </si>
  <si>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1"/>
  </si>
  <si>
    <t>φ
（度）</t>
    <rPh sb="3" eb="4">
      <t>ド</t>
    </rPh>
    <phoneticPr fontId="1"/>
  </si>
  <si>
    <r>
      <t>c
(kN/m</t>
    </r>
    <r>
      <rPr>
        <vertAlign val="superscript"/>
        <sz val="10"/>
        <rFont val="ＭＳ 明朝"/>
        <family val="1"/>
        <charset val="128"/>
      </rPr>
      <t>2</t>
    </r>
    <r>
      <rPr>
        <sz val="10"/>
        <rFont val="ＭＳ 明朝"/>
        <family val="1"/>
        <charset val="128"/>
      </rPr>
      <t>)</t>
    </r>
    <phoneticPr fontId="1"/>
  </si>
  <si>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</si>
  <si>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1"/>
  </si>
  <si>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1"/>
  </si>
  <si>
    <r>
      <t>R</t>
    </r>
    <r>
      <rPr>
        <vertAlign val="subscript"/>
        <sz val="10"/>
        <rFont val="ＭＳ 明朝"/>
        <family val="1"/>
        <charset val="128"/>
      </rPr>
      <t>ty</t>
    </r>
    <phoneticPr fontId="1"/>
  </si>
  <si>
    <r>
      <t>R</t>
    </r>
    <r>
      <rPr>
        <vertAlign val="subscript"/>
        <sz val="10"/>
        <rFont val="ＭＳ 明朝"/>
        <family val="1"/>
        <charset val="128"/>
      </rPr>
      <t>tu</t>
    </r>
    <phoneticPr fontId="1"/>
  </si>
  <si>
    <t>降伏時先端支持力（kN）</t>
    <rPh sb="0" eb="2">
      <t>コウフク</t>
    </rPh>
    <rPh sb="2" eb="3">
      <t>ジ</t>
    </rPh>
    <rPh sb="3" eb="5">
      <t>センタン</t>
    </rPh>
    <rPh sb="5" eb="7">
      <t>シジ</t>
    </rPh>
    <rPh sb="7" eb="8">
      <t>リョク</t>
    </rPh>
    <phoneticPr fontId="1"/>
  </si>
  <si>
    <t>終局時先端支持力（kN）</t>
    <rPh sb="0" eb="2">
      <t>シュウキョク</t>
    </rPh>
    <rPh sb="2" eb="3">
      <t>ジ</t>
    </rPh>
    <rPh sb="3" eb="5">
      <t>センタン</t>
    </rPh>
    <rPh sb="5" eb="7">
      <t>シジ</t>
    </rPh>
    <rPh sb="7" eb="8">
      <t>リョク</t>
    </rPh>
    <phoneticPr fontId="1"/>
  </si>
  <si>
    <t>（kN）</t>
    <phoneticPr fontId="1"/>
  </si>
  <si>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1"/>
  </si>
  <si>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1"/>
  </si>
  <si>
    <r>
      <t>R</t>
    </r>
    <r>
      <rPr>
        <vertAlign val="subscript"/>
        <sz val="10"/>
        <rFont val="ＭＳ 明朝"/>
        <family val="1"/>
        <charset val="128"/>
      </rPr>
      <t>fy</t>
    </r>
    <phoneticPr fontId="1"/>
  </si>
  <si>
    <r>
      <t>R</t>
    </r>
    <r>
      <rPr>
        <vertAlign val="subscript"/>
        <sz val="10"/>
        <rFont val="ＭＳ 明朝"/>
        <family val="1"/>
        <charset val="128"/>
      </rPr>
      <t>fu</t>
    </r>
    <phoneticPr fontId="1"/>
  </si>
  <si>
    <t>降伏周面支持力（kN）</t>
    <rPh sb="0" eb="2">
      <t>コウフク</t>
    </rPh>
    <rPh sb="2" eb="3">
      <t>シュウ</t>
    </rPh>
    <rPh sb="3" eb="4">
      <t>メン</t>
    </rPh>
    <rPh sb="4" eb="6">
      <t>シジ</t>
    </rPh>
    <rPh sb="6" eb="7">
      <t>リョク</t>
    </rPh>
    <phoneticPr fontId="1"/>
  </si>
  <si>
    <t>終局周面支持力（kN）</t>
    <rPh sb="0" eb="2">
      <t>シュウキョク</t>
    </rPh>
    <rPh sb="2" eb="3">
      <t>シュウ</t>
    </rPh>
    <rPh sb="3" eb="4">
      <t>メン</t>
    </rPh>
    <rPh sb="4" eb="6">
      <t>シジ</t>
    </rPh>
    <rPh sb="6" eb="7">
      <t>リョク</t>
    </rPh>
    <phoneticPr fontId="1"/>
  </si>
  <si>
    <t>表1.1.24(1) 降伏周面支持力および終局周面支持力</t>
    <rPh sb="0" eb="1">
      <t>ヒョウ</t>
    </rPh>
    <rPh sb="11" eb="13">
      <t>コウフク</t>
    </rPh>
    <rPh sb="13" eb="14">
      <t>シュウ</t>
    </rPh>
    <rPh sb="14" eb="15">
      <t>メン</t>
    </rPh>
    <rPh sb="15" eb="17">
      <t>シジ</t>
    </rPh>
    <rPh sb="17" eb="18">
      <t>リョク</t>
    </rPh>
    <rPh sb="21" eb="23">
      <t>シュウキョク</t>
    </rPh>
    <rPh sb="23" eb="24">
      <t>シュウ</t>
    </rPh>
    <rPh sb="24" eb="25">
      <t>メン</t>
    </rPh>
    <rPh sb="25" eb="27">
      <t>シジ</t>
    </rPh>
    <rPh sb="27" eb="28">
      <t>リョク</t>
    </rPh>
    <phoneticPr fontId="1"/>
  </si>
  <si>
    <r>
      <t>R</t>
    </r>
    <r>
      <rPr>
        <vertAlign val="subscript"/>
        <sz val="10"/>
        <rFont val="ＭＳ 明朝"/>
        <family val="1"/>
        <charset val="128"/>
      </rPr>
      <t>fy</t>
    </r>
    <r>
      <rPr>
        <sz val="10"/>
        <rFont val="ＭＳ 明朝"/>
        <family val="1"/>
        <charset val="128"/>
      </rPr>
      <t xml:space="preserve">
（kN）</t>
    </r>
    <phoneticPr fontId="1"/>
  </si>
  <si>
    <r>
      <t>R</t>
    </r>
    <r>
      <rPr>
        <vertAlign val="subscript"/>
        <sz val="10"/>
        <rFont val="ＭＳ 明朝"/>
        <family val="1"/>
        <charset val="128"/>
      </rPr>
      <t>fu</t>
    </r>
    <r>
      <rPr>
        <sz val="10"/>
        <rFont val="ＭＳ 明朝"/>
        <family val="1"/>
        <charset val="128"/>
      </rPr>
      <t xml:space="preserve">
（kN）</t>
    </r>
    <phoneticPr fontId="1"/>
  </si>
  <si>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1"/>
  </si>
  <si>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1"/>
  </si>
  <si>
    <t>表1.1.24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1"/>
  </si>
  <si>
    <t>表1.1.25 杭周面の水平地盤抵抗の上限値</t>
    <rPh sb="0" eb="1">
      <t>ヒョウ</t>
    </rPh>
    <rPh sb="8" eb="9">
      <t>クイ</t>
    </rPh>
    <rPh sb="9" eb="10">
      <t>シュウ</t>
    </rPh>
    <rPh sb="10" eb="11">
      <t>メン</t>
    </rPh>
    <rPh sb="12" eb="14">
      <t>スイヘイ</t>
    </rPh>
    <rPh sb="14" eb="16">
      <t>ジバン</t>
    </rPh>
    <rPh sb="16" eb="18">
      <t>テイコウ</t>
    </rPh>
    <rPh sb="19" eb="22">
      <t>ジョウゲンチ</t>
    </rPh>
    <phoneticPr fontId="1"/>
  </si>
  <si>
    <t>D(m)</t>
    <phoneticPr fontId="1"/>
  </si>
  <si>
    <r>
      <t>D×P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</si>
  <si>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r>
      <t>ρ</t>
    </r>
    <r>
      <rPr>
        <vertAlign val="subscript"/>
        <sz val="10"/>
        <rFont val="ＭＳ 明朝"/>
        <family val="1"/>
        <charset val="128"/>
      </rPr>
      <t>gty</t>
    </r>
    <phoneticPr fontId="1"/>
  </si>
  <si>
    <r>
      <t>ρ</t>
    </r>
    <r>
      <rPr>
        <vertAlign val="subscript"/>
        <sz val="10"/>
        <rFont val="ＭＳ 明朝"/>
        <family val="1"/>
        <charset val="128"/>
      </rPr>
      <t>fy</t>
    </r>
    <r>
      <rPr>
        <sz val="10"/>
        <rFont val="ＭＳ 明朝"/>
        <family val="1"/>
        <charset val="128"/>
      </rPr>
      <t xml:space="preserve">
（m）</t>
    </r>
    <phoneticPr fontId="1"/>
  </si>
  <si>
    <r>
      <t>ρ</t>
    </r>
    <r>
      <rPr>
        <vertAlign val="subscript"/>
        <sz val="10"/>
        <rFont val="ＭＳ 明朝"/>
        <family val="1"/>
        <charset val="128"/>
      </rPr>
      <t>fu</t>
    </r>
    <r>
      <rPr>
        <sz val="10"/>
        <rFont val="ＭＳ 明朝"/>
        <family val="1"/>
        <charset val="128"/>
      </rPr>
      <t xml:space="preserve">
（m）</t>
    </r>
    <phoneticPr fontId="1"/>
  </si>
  <si>
    <r>
      <t>降伏周面支持力に関する地盤修正係数で、場所打ち杭工法の場合ρ</t>
    </r>
    <r>
      <rPr>
        <vertAlign val="subscript"/>
        <sz val="10"/>
        <rFont val="ＭＳ 明朝"/>
        <family val="1"/>
        <charset val="128"/>
      </rPr>
      <t>gfy</t>
    </r>
    <r>
      <rPr>
        <sz val="10"/>
        <rFont val="ＭＳ 明朝"/>
        <family val="1"/>
        <charset val="128"/>
      </rPr>
      <t>=1.2</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</si>
  <si>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終局周面支持力に関する地盤修正係数で、場所打ち杭工法の場合ρ</t>
    </r>
    <r>
      <rPr>
        <vertAlign val="subscript"/>
        <sz val="10"/>
        <rFont val="ＭＳ 明朝"/>
        <family val="1"/>
        <charset val="128"/>
      </rPr>
      <t>gfu</t>
    </r>
    <r>
      <rPr>
        <sz val="10"/>
        <rFont val="ＭＳ 明朝"/>
        <family val="1"/>
        <charset val="128"/>
      </rPr>
      <t>=1.4</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</si>
  <si>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降伏時先端支持力に関する地盤修正係数で、場所打ち杭工法の場合ρ</t>
    </r>
    <r>
      <rPr>
        <vertAlign val="subscript"/>
        <sz val="10"/>
        <rFont val="ＭＳ 明朝"/>
        <family val="1"/>
        <charset val="128"/>
      </rPr>
      <t>gty</t>
    </r>
    <r>
      <rPr>
        <sz val="10"/>
        <rFont val="ＭＳ 明朝"/>
        <family val="1"/>
        <charset val="128"/>
      </rPr>
      <t>=0.6</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</si>
  <si>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r>
      <t>終局時先端支持力に関する地盤修正係数で、場所打ち杭工法の場合ρ</t>
    </r>
    <r>
      <rPr>
        <vertAlign val="subscript"/>
        <sz val="10"/>
        <rFont val="ＭＳ 明朝"/>
        <family val="1"/>
        <charset val="128"/>
      </rPr>
      <t>gtu</t>
    </r>
    <r>
      <rPr>
        <sz val="10"/>
        <rFont val="ＭＳ 明朝"/>
        <family val="1"/>
        <charset val="128"/>
      </rPr>
      <t>=1.4</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</si>
  <si>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t>杭長</t>
    <rPh sb="0" eb="1">
      <t>クイ</t>
    </rPh>
    <rPh sb="1" eb="2">
      <t>チョウ</t>
    </rPh>
    <phoneticPr fontId="1"/>
  </si>
  <si>
    <t>杭径</t>
    <rPh sb="0" eb="1">
      <t>クイ</t>
    </rPh>
    <rPh sb="1" eb="2">
      <t>ケイ</t>
    </rPh>
    <phoneticPr fontId="1"/>
  </si>
  <si>
    <t>安定(地震時以外)</t>
    <rPh sb="0" eb="2">
      <t>アンテイ</t>
    </rPh>
    <rPh sb="3" eb="5">
      <t>ジシン</t>
    </rPh>
    <rPh sb="5" eb="6">
      <t>ジ</t>
    </rPh>
    <rPh sb="6" eb="8">
      <t>イガイ</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</si>
  <si>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</si>
  <si>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1"/>
  </si>
  <si>
    <t>【橋軸方向】</t>
    <rPh sb="1" eb="2">
      <t>ハシ</t>
    </rPh>
    <rPh sb="2" eb="5">
      <t>ジクホウコウ</t>
    </rPh>
    <phoneticPr fontId="1"/>
  </si>
  <si>
    <t>【直角方向】</t>
    <rPh sb="1" eb="3">
      <t>チョッカク</t>
    </rPh>
    <rPh sb="3" eb="5">
      <t>ホウコウ</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</si>
  <si>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</si>
  <si>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上載土</t>
    <rPh sb="0" eb="1">
      <t>ウエ</t>
    </rPh>
    <rPh sb="1" eb="2">
      <t>サイ</t>
    </rPh>
    <rPh sb="2" eb="3">
      <t>ド</t>
    </rPh>
    <phoneticPr fontId="1"/>
  </si>
  <si>
    <t>層種別</t>
    <rPh sb="0" eb="1">
      <t>ソウ</t>
    </rPh>
    <rPh sb="1" eb="3">
      <t>シュベツ</t>
    </rPh>
    <phoneticPr fontId="1"/>
  </si>
  <si>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1"/>
  </si>
  <si>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1"/>
  </si>
  <si>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1"/>
  </si>
  <si>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1"/>
  </si>
  <si>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1"/>
  </si>
  <si>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1"/>
  </si>
  <si>
    <t>のようになる。</t>
    <phoneticPr fontId="1"/>
  </si>
  <si>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1"/>
  </si>
  <si>
    <t>基準先端支持力度（kN/m2）で、場所打ち杭工法の場合、次式により算定さ</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rPh sb="33" eb="35">
      <t>サンテイ</t>
    </rPh>
    <phoneticPr fontId="1"/>
  </si>
  <si>
    <t>れる。</t>
    <phoneticPr fontId="1"/>
  </si>
  <si>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1"/>
  </si>
  <si>
    <t>面積とする。</t>
    <phoneticPr fontId="1"/>
  </si>
  <si>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1"/>
  </si>
  <si>
    <t>応じて継の各式より算定する。</t>
    <rPh sb="3" eb="4">
      <t>ツギ</t>
    </rPh>
    <rPh sb="5" eb="7">
      <t>カクシキ</t>
    </rPh>
    <rPh sb="9" eb="11">
      <t>サンテイ</t>
    </rPh>
    <phoneticPr fontId="1"/>
  </si>
  <si>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1"/>
  </si>
  <si>
    <t>押込み側の周面抵抗は考慮しないものとする。</t>
    <rPh sb="3" eb="4">
      <t>ガワ</t>
    </rPh>
    <rPh sb="10" eb="12">
      <t>コウリョ</t>
    </rPh>
    <phoneticPr fontId="1"/>
  </si>
  <si>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1"/>
  </si>
  <si>
    <t>ない。</t>
    <phoneticPr fontId="1"/>
  </si>
  <si>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1"/>
  </si>
  <si>
    <t>は じ め に</t>
    <phoneticPr fontId="1"/>
  </si>
  <si>
    <t>本ファイルを利用するには マクロを有効にしてください。</t>
    <rPh sb="0" eb="1">
      <t>ホン</t>
    </rPh>
    <rPh sb="6" eb="8">
      <t>リヨウ</t>
    </rPh>
    <rPh sb="17" eb="19">
      <t>ユウコウ</t>
    </rPh>
    <phoneticPr fontId="1"/>
  </si>
  <si>
    <t>Office ドキュメントのマクロを有効または無効にする</t>
    <phoneticPr fontId="1"/>
  </si>
  <si>
    <t>本ファイルを利用するには ユーザー名とパスワードを入力してください</t>
    <rPh sb="0" eb="1">
      <t>ホン</t>
    </rPh>
    <rPh sb="6" eb="8">
      <t>リヨウ</t>
    </rPh>
    <rPh sb="17" eb="18">
      <t>メイ</t>
    </rPh>
    <rPh sb="25" eb="27">
      <t>ニュウリョク</t>
    </rPh>
    <phoneticPr fontId="1"/>
  </si>
  <si>
    <t>ユーザー名またはメールアドレス</t>
    <phoneticPr fontId="1"/>
  </si>
  <si>
    <t>パスワード</t>
    <phoneticPr fontId="1"/>
  </si>
  <si>
    <t>※ユーザー名, パスワード を １行目に記したテキストファイルを それぞれ用意し</t>
    <rPh sb="5" eb="6">
      <t>メイ</t>
    </rPh>
    <rPh sb="17" eb="19">
      <t>ギョウメ</t>
    </rPh>
    <rPh sb="20" eb="21">
      <t>シル</t>
    </rPh>
    <rPh sb="37" eb="39">
      <t>ヨウイ</t>
    </rPh>
    <phoneticPr fontId="1"/>
  </si>
  <si>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1"/>
  </si>
  <si>
    <t>省略できます</t>
    <rPh sb="0" eb="2">
      <t>ショウリャク</t>
    </rPh>
    <phoneticPr fontId="1"/>
  </si>
  <si>
    <t>免責事項</t>
    <phoneticPr fontId="1"/>
  </si>
  <si>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</si>
  <si>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</si>
  <si>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</si>
  <si>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</si>
  <si>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</si>
  <si>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1"/>
  </si>
  <si>
    <t>データの送受信には json 形式の 文字列で通信します。</t>
    <rPh sb="4" eb="7">
      <t>ソウジュシン</t>
    </rPh>
    <rPh sb="15" eb="17">
      <t>ケイシキ</t>
    </rPh>
    <rPh sb="19" eb="22">
      <t>モジレツ</t>
    </rPh>
    <rPh sb="23" eb="25">
      <t>ツウシン</t>
    </rPh>
    <phoneticPr fontId="1"/>
  </si>
  <si>
    <t>ｖ</t>
    <phoneticPr fontId="1"/>
  </si>
  <si>
    <t>お問い合わせ</t>
    <rPh sb="1" eb="2">
      <t>ト</t>
    </rPh>
    <rPh sb="3" eb="4">
      <t>ア</t>
    </rPh>
    <phoneticPr fontId="1"/>
  </si>
  <si>
    <r>
      <rPr>
        <sz val="11"/>
        <rFont val="ＭＳ Ｐゴシック"/>
        <family val="3"/>
        <charset val="128"/>
      </rPr>
      <t>┃株式会社　ささこう</t>
    </r>
    <r>
      <rPr>
        <sz val="11"/>
        <rFont val="Courier New"/>
        <family val="3"/>
      </rPr>
      <t> </t>
    </r>
    <phoneticPr fontId="1"/>
  </si>
  <si>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1"/>
  </si>
  <si>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1"/>
  </si>
  <si>
    <r>
      <rPr>
        <sz val="11"/>
        <rFont val="ＭＳ Ｐゴシック"/>
        <family val="3"/>
        <charset val="128"/>
      </rPr>
      <t>┃　　　　　　　　　　エトワール石神井</t>
    </r>
    <r>
      <rPr>
        <sz val="11"/>
        <rFont val="Courier New"/>
        <family val="3"/>
      </rPr>
      <t>202</t>
    </r>
    <phoneticPr fontId="1"/>
  </si>
  <si>
    <r>
      <rPr>
        <sz val="11"/>
        <rFont val="ＭＳ Ｐゴシック"/>
        <family val="3"/>
        <charset val="128"/>
      </rPr>
      <t>┃　　ＴＥＬ：</t>
    </r>
    <r>
      <rPr>
        <sz val="11"/>
        <rFont val="ＭＳ Ｐゴシック"/>
        <family val="3"/>
        <charset val="128"/>
      </rPr>
      <t>050-5806-0301</t>
    </r>
    <phoneticPr fontId="1"/>
  </si>
  <si>
    <t>┃　　Ｍail ：sasaicco@gmail.com </t>
    <phoneticPr fontId="1"/>
  </si>
  <si>
    <r>
      <t>┃　　ＵＲＬ：http://structuralengine.</t>
    </r>
    <r>
      <rPr>
        <sz val="11"/>
        <rFont val="ＭＳ Ｐゴシック"/>
        <family val="3"/>
        <charset val="128"/>
      </rPr>
      <t>jp</t>
    </r>
    <phoneticPr fontId="1"/>
  </si>
  <si>
    <t>本システムは、「鉄道構造物等設計標準・同解説（基礎構造物）平成24年版」</t>
    <rPh sb="23" eb="25">
      <t>キソ</t>
    </rPh>
    <phoneticPr fontId="1"/>
  </si>
  <si>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1"/>
  </si>
  <si>
    <t>"SoilPile" --- 地盤抵抗係数算定プログラム</t>
    <rPh sb="15" eb="17">
      <t>ジバン</t>
    </rPh>
    <rPh sb="17" eb="19">
      <t>テイコウ</t>
    </rPh>
    <rPh sb="19" eb="21">
      <t>ケイスウ</t>
    </rPh>
    <rPh sb="21" eb="23">
      <t>サンテイ</t>
    </rPh>
    <phoneticPr fontId="1"/>
  </si>
  <si>
    <t>Ver.1.0.6</t>
  </si>
  <si>
    <t>ＲＣラーメン高架橋</t>
  </si>
  <si>
    <t>フーチング有無</t>
  </si>
  <si>
    <t>杭種</t>
  </si>
  <si>
    <t>杭長</t>
  </si>
  <si>
    <t>杭径</t>
  </si>
  <si>
    <t>橋軸杭本数</t>
  </si>
  <si>
    <t>直角杭本数</t>
  </si>
  <si>
    <t>橋軸杭間隔</t>
  </si>
  <si>
    <t>直角杭間隔</t>
  </si>
  <si>
    <t>(1)橋軸方向</t>
  </si>
  <si>
    <t>【杭配置情報】</t>
  </si>
  <si>
    <t>←杭配置情報がある場合、挿入される</t>
    <rPh sb="1" eb="2">
      <t>クイ</t>
    </rPh>
    <rPh sb="2" eb="4">
      <t>ハイチ</t>
    </rPh>
    <rPh sb="4" eb="6">
      <t>ジョウホウ</t>
    </rPh>
    <rPh sb="9" eb="11">
      <t>バアイ</t>
    </rPh>
    <rPh sb="12" eb="14">
      <t>ソウニュウ</t>
    </rPh>
    <phoneticPr fontId="1"/>
  </si>
  <si>
    <t>番号</t>
  </si>
  <si>
    <t>1列目からの距離</t>
  </si>
  <si>
    <t>杭本数</t>
  </si>
  <si>
    <t>地震時以外</t>
  </si>
  <si>
    <t>【設計鉛直支持力の算定】</t>
  </si>
  <si>
    <t>性能項目</t>
  </si>
  <si>
    <t>基準先端支持力Rtk(kN)</t>
  </si>
  <si>
    <t>基準周面支持力ΣRfk(kN)</t>
  </si>
  <si>
    <t>基準支持力Rk(kN)</t>
  </si>
  <si>
    <t>先端支持力比Pt</t>
  </si>
  <si>
    <t>地盤抵抗係数fr</t>
  </si>
  <si>
    <t>設計鉛直支持力Rvd(kN)</t>
  </si>
  <si>
    <t>長期支持性能</t>
  </si>
  <si>
    <t>短期支持性能</t>
  </si>
  <si>
    <t>安定(地震時以外)</t>
  </si>
  <si>
    <t>残留鉛直変位(L1)</t>
  </si>
  <si>
    <t>残留鉛直変位(L2)</t>
  </si>
  <si>
    <t>【設計引き抜き抵抗力の算定】</t>
  </si>
  <si>
    <t>杭の有効自重Wp(kN)</t>
  </si>
  <si>
    <t>設計引き抜き抵抗力vd(kN)</t>
  </si>
  <si>
    <t>【水平変位の照査】</t>
  </si>
  <si>
    <t>設計限界値δL(mm)</t>
  </si>
  <si>
    <t>設計限界値の指標</t>
  </si>
  <si>
    <t>抵抗幅</t>
  </si>
  <si>
    <t>【回転角の照査】</t>
  </si>
  <si>
    <t>設計限界値θL(mm)</t>
  </si>
  <si>
    <t>地震時</t>
  </si>
  <si>
    <t>杭先端支持力</t>
  </si>
  <si>
    <t>杭周面支持力</t>
  </si>
  <si>
    <t>鉛直支持力</t>
  </si>
  <si>
    <t>終局時修正係数ρgtu</t>
  </si>
  <si>
    <t>先端終局支持力Rtu(kN)</t>
  </si>
  <si>
    <t>終局時修正係数ρgfu</t>
  </si>
  <si>
    <t>基準周面支持力Rfk(kN)</t>
  </si>
  <si>
    <t>周面終局支持力Rfu(kN)</t>
  </si>
  <si>
    <t>(2)直角方向</t>
  </si>
  <si>
    <t>基準先端引抜き抵抗力Ruk(kN)</t>
  </si>
  <si>
    <t>設計引き抜き抵抗力Rvd(kN)</t>
  </si>
  <si>
    <t>←回転杭の場合、これに代わる</t>
    <rPh sb="1" eb="3">
      <t>カイテン</t>
    </rPh>
    <rPh sb="3" eb="4">
      <t>クイ</t>
    </rPh>
    <rPh sb="5" eb="7">
      <t>バアイ</t>
    </rPh>
    <rPh sb="11" eb="12">
      <t>カ</t>
    </rPh>
    <phoneticPr fontId="1"/>
  </si>
  <si>
    <t>【押込み側】</t>
    <phoneticPr fontId="1"/>
  </si>
  <si>
    <t>←回転杭の場合、これが入る</t>
    <rPh sb="1" eb="3">
      <t>カイテン</t>
    </rPh>
    <rPh sb="3" eb="4">
      <t>クイ</t>
    </rPh>
    <rPh sb="5" eb="7">
      <t>バアイ</t>
    </rPh>
    <rPh sb="11" eb="12">
      <t>ハイ</t>
    </rPh>
    <phoneticPr fontId="1"/>
  </si>
  <si>
    <t>【引抜き側】</t>
    <phoneticPr fontId="1"/>
  </si>
  <si>
    <t>基準先端引抜き抵抗Ruk(kN)</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</si>
  <si>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1"/>
  </si>
  <si>
    <t>Df</t>
    <phoneticPr fontId="1"/>
  </si>
  <si>
    <t>水位</t>
    <rPh sb="0" eb="2">
      <t>スイイ</t>
    </rPh>
    <phoneticPr fontId="1"/>
  </si>
  <si>
    <t>液状化低減係数DE</t>
    <rPh sb="0" eb="3">
      <t>エキジョウカ</t>
    </rPh>
    <rPh sb="3" eb="5">
      <t>テイゲン</t>
    </rPh>
    <rPh sb="5" eb="7">
      <t>ケイスウ</t>
    </rPh>
    <phoneticPr fontId="1"/>
  </si>
  <si>
    <t>L1地震動</t>
    <rPh sb="2" eb="4">
      <t>ジシン</t>
    </rPh>
    <rPh sb="4" eb="5">
      <t>ドウ</t>
    </rPh>
    <phoneticPr fontId="1"/>
  </si>
  <si>
    <t>L2地震動</t>
    <rPh sb="2" eb="4">
      <t>ジシン</t>
    </rPh>
    <rPh sb="4" eb="5">
      <t>ドウ</t>
    </rPh>
    <phoneticPr fontId="1"/>
  </si>
  <si>
    <t>杭種</t>
    <rPh sb="0" eb="1">
      <t>クイ</t>
    </rPh>
    <rPh sb="1" eb="2">
      <t>シュ</t>
    </rPh>
    <phoneticPr fontId="1"/>
  </si>
  <si>
    <t>群杭に対する補正係数</t>
    <rPh sb="0" eb="1">
      <t>グン</t>
    </rPh>
    <rPh sb="1" eb="2">
      <t>クイ</t>
    </rPh>
    <rPh sb="3" eb="4">
      <t>タイ</t>
    </rPh>
    <rPh sb="6" eb="8">
      <t>ホセイ</t>
    </rPh>
    <rPh sb="8" eb="10">
      <t>ケイスウ</t>
    </rPh>
    <phoneticPr fontId="1"/>
  </si>
  <si>
    <t>弾性係数</t>
    <rPh sb="0" eb="2">
      <t>ダンセイ</t>
    </rPh>
    <rPh sb="2" eb="4">
      <t>ケイスウ</t>
    </rPh>
    <phoneticPr fontId="1"/>
  </si>
  <si>
    <t>Lm ＝</t>
    <phoneticPr fontId="1"/>
  </si>
  <si>
    <t>m ＝</t>
    <phoneticPr fontId="1"/>
  </si>
  <si>
    <t>Ln ＝</t>
    <phoneticPr fontId="1"/>
  </si>
  <si>
    <t>n ＝</t>
    <phoneticPr fontId="1"/>
  </si>
  <si>
    <t>直角方向</t>
    <rPh sb="0" eb="2">
      <t>チョッカク</t>
    </rPh>
    <rPh sb="2" eb="4">
      <t>ホウコウ</t>
    </rPh>
    <phoneticPr fontId="1"/>
  </si>
  <si>
    <t>橋軸方向</t>
    <rPh sb="0" eb="1">
      <t>ハシ</t>
    </rPh>
    <rPh sb="1" eb="2">
      <t>ジク</t>
    </rPh>
    <rPh sb="2" eb="4">
      <t>ホウコウ</t>
    </rPh>
    <phoneticPr fontId="1"/>
  </si>
  <si>
    <t>場所打ち杭</t>
  </si>
  <si>
    <t>場所打ち杭</t>
    <phoneticPr fontId="1"/>
  </si>
  <si>
    <t>長期</t>
    <phoneticPr fontId="1"/>
  </si>
  <si>
    <t>短期</t>
    <rPh sb="0" eb="2">
      <t>タンキ</t>
    </rPh>
    <phoneticPr fontId="1"/>
  </si>
  <si>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1"/>
  </si>
  <si>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1"/>
  </si>
  <si>
    <t>ｍ(本)</t>
    <rPh sb="2" eb="3">
      <t>ホン</t>
    </rPh>
    <phoneticPr fontId="1"/>
  </si>
  <si>
    <t>ｎ(本)</t>
    <rPh sb="2" eb="3">
      <t>ホン</t>
    </rPh>
    <phoneticPr fontId="1"/>
  </si>
  <si>
    <r>
      <t>Ｌ</t>
    </r>
    <r>
      <rPr>
        <vertAlign val="subscript"/>
        <sz val="10"/>
        <rFont val="ＭＳ 明朝"/>
        <family val="1"/>
        <charset val="128"/>
      </rPr>
      <t>m</t>
    </r>
    <r>
      <rPr>
        <sz val="10"/>
        <rFont val="ＭＳ 明朝"/>
        <family val="1"/>
        <charset val="128"/>
      </rPr>
      <t>(本)</t>
    </r>
    <rPh sb="3" eb="4">
      <t>ホン</t>
    </rPh>
    <phoneticPr fontId="1"/>
  </si>
  <si>
    <r>
      <t>Ｌ</t>
    </r>
    <r>
      <rPr>
        <vertAlign val="subscript"/>
        <sz val="10"/>
        <rFont val="ＭＳ 明朝"/>
        <family val="1"/>
        <charset val="128"/>
      </rPr>
      <t>n</t>
    </r>
    <r>
      <rPr>
        <sz val="10"/>
        <rFont val="ＭＳ 明朝"/>
        <family val="1"/>
        <charset val="128"/>
      </rPr>
      <t>(本)</t>
    </r>
    <rPh sb="3" eb="4">
      <t>ホン</t>
    </rPh>
    <phoneticPr fontId="1"/>
  </si>
  <si>
    <t>Ｄ(m)</t>
    <phoneticPr fontId="1"/>
  </si>
  <si>
    <t>杭の載荷幅</t>
    <rPh sb="0" eb="1">
      <t>クイ</t>
    </rPh>
    <rPh sb="2" eb="4">
      <t>サイカ</t>
    </rPh>
    <rPh sb="4" eb="5">
      <t>ハバ</t>
    </rPh>
    <phoneticPr fontId="1"/>
  </si>
  <si>
    <t>砂質土</t>
  </si>
  <si>
    <t>砂礫</t>
  </si>
  <si>
    <t>粘着力</t>
    <rPh sb="0" eb="3">
      <t>ネンチャクリョク</t>
    </rPh>
    <phoneticPr fontId="1"/>
  </si>
  <si>
    <r>
      <t>c(kN/m</t>
    </r>
    <r>
      <rPr>
        <vertAlign val="superscript"/>
        <sz val="10"/>
        <rFont val="ＭＳ ゴシック"/>
        <family val="3"/>
        <charset val="128"/>
      </rPr>
      <t>2</t>
    </r>
    <r>
      <rPr>
        <sz val="10"/>
        <rFont val="ＭＳ ゴシック"/>
        <family val="3"/>
        <charset val="128"/>
      </rPr>
      <t>)</t>
    </r>
    <phoneticPr fontId="1"/>
  </si>
  <si>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</si>
  <si>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</si>
  <si>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(c) 杭周面の鉛直せん断地盤ばね定数</t>
    <rPh sb="4" eb="5">
      <t>クイ</t>
    </rPh>
    <rPh sb="5" eb="7">
      <t>シュウメン</t>
    </rPh>
    <rPh sb="8" eb="10">
      <t>エンチョク</t>
    </rPh>
    <rPh sb="12" eb="13">
      <t>ダン</t>
    </rPh>
    <rPh sb="13" eb="15">
      <t>ジバン</t>
    </rPh>
    <rPh sb="17" eb="19">
      <t>テイスウ</t>
    </rPh>
    <phoneticPr fontId="1"/>
  </si>
  <si>
    <t>(b) 杭周面の水平地盤ばね定数</t>
    <rPh sb="4" eb="5">
      <t>クイ</t>
    </rPh>
    <rPh sb="5" eb="7">
      <t>シュウメン</t>
    </rPh>
    <rPh sb="8" eb="10">
      <t>スイヘイ</t>
    </rPh>
    <rPh sb="10" eb="12">
      <t>ジバン</t>
    </rPh>
    <rPh sb="14" eb="16">
      <t>テイスウ</t>
    </rPh>
    <phoneticPr fontId="1"/>
  </si>
  <si>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1"/>
  </si>
  <si>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1"/>
  </si>
  <si>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1"/>
  </si>
  <si>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1"/>
  </si>
  <si>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1"/>
  </si>
  <si>
    <t>液状化低減係数</t>
    <rPh sb="0" eb="3">
      <t>エキジョウカ</t>
    </rPh>
    <rPh sb="3" eb="5">
      <t>テイゲン</t>
    </rPh>
    <rPh sb="5" eb="7">
      <t>ケイスウ</t>
    </rPh>
    <phoneticPr fontId="1"/>
  </si>
  <si>
    <t>ＤＥ</t>
    <phoneticPr fontId="1"/>
  </si>
  <si>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1"/>
  </si>
  <si>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1"/>
  </si>
  <si>
    <t>×</t>
  </si>
  <si>
    <r>
      <t>Kh(kN/m</t>
    </r>
    <r>
      <rPr>
        <vertAlign val="superscript"/>
        <sz val="10"/>
        <rFont val="ＭＳ 明朝"/>
        <family val="1"/>
        <charset val="128"/>
      </rPr>
      <t>2</t>
    </r>
    <r>
      <rPr>
        <sz val="10"/>
        <rFont val="ＭＳ 明朝"/>
        <family val="1"/>
        <charset val="128"/>
      </rPr>
      <t>)
直角方向</t>
    </r>
    <phoneticPr fontId="1"/>
  </si>
  <si>
    <r>
      <t>Kh(kN/m</t>
    </r>
    <r>
      <rPr>
        <vertAlign val="superscript"/>
        <sz val="10"/>
        <rFont val="ＭＳ 明朝"/>
        <family val="1"/>
        <charset val="128"/>
      </rPr>
      <t>2</t>
    </r>
    <r>
      <rPr>
        <sz val="10"/>
        <rFont val="ＭＳ 明朝"/>
        <family val="1"/>
        <charset val="128"/>
      </rPr>
      <t>)
橋軸方向</t>
    </r>
    <phoneticPr fontId="1"/>
  </si>
  <si>
    <t>L1地震動</t>
    <rPh sb="2" eb="4">
      <t>ジシン</t>
    </rPh>
    <rPh sb="4" eb="5">
      <t>ドウ</t>
    </rPh>
    <phoneticPr fontId="1"/>
  </si>
  <si>
    <t>低減係数
DE</t>
    <rPh sb="0" eb="2">
      <t>テイゲン</t>
    </rPh>
    <rPh sb="2" eb="4">
      <t>ケイスウ</t>
    </rPh>
    <phoneticPr fontId="1"/>
  </si>
  <si>
    <t>L2地震動</t>
    <rPh sb="2" eb="4">
      <t>ジシン</t>
    </rPh>
    <rPh sb="4" eb="5">
      <t>ドウ</t>
    </rPh>
    <phoneticPr fontId="1"/>
  </si>
  <si>
    <t>表1.1.17(2-2) 杭周面の水平地盤ばね定数（短期　特性値βの算定 液状化）</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1"/>
  </si>
  <si>
    <t>表1.1.17(3-2) 杭周面の水平地盤ばね定数（短期　非線形解析 液状化）</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1"/>
  </si>
  <si>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1"/>
  </si>
  <si>
    <t xml:space="preserve"> 1/β</t>
    <phoneticPr fontId="1"/>
  </si>
  <si>
    <t>＝</t>
    <phoneticPr fontId="1"/>
  </si>
  <si>
    <t>m</t>
    <phoneticPr fontId="1"/>
  </si>
  <si>
    <r>
      <t>K</t>
    </r>
    <r>
      <rPr>
        <vertAlign val="subscript"/>
        <sz val="10"/>
        <rFont val="ＭＳ 明朝"/>
        <family val="1"/>
        <charset val="128"/>
      </rPr>
      <t>fv</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</si>
  <si>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t>押込み杭</t>
    <phoneticPr fontId="1"/>
  </si>
  <si>
    <t>引抜き杭</t>
    <phoneticPr fontId="1"/>
  </si>
  <si>
    <t>U</t>
    <phoneticPr fontId="1"/>
  </si>
  <si>
    <t>m</t>
    <phoneticPr fontId="1"/>
  </si>
  <si>
    <t>ＤＥ</t>
  </si>
  <si>
    <t>表1.1.16(2) 杭周面の鉛直せん断地盤ばね定数（短期）</t>
    <phoneticPr fontId="1"/>
  </si>
  <si>
    <t>杭先端</t>
    <rPh sb="0" eb="1">
      <t>クイ</t>
    </rPh>
    <rPh sb="1" eb="3">
      <t>センタン</t>
    </rPh>
    <phoneticPr fontId="1"/>
  </si>
  <si>
    <t>・</t>
  </si>
  <si>
    <t>施工条件</t>
    <rPh sb="0" eb="2">
      <t>セコウ</t>
    </rPh>
    <rPh sb="2" eb="4">
      <t>ジョウケン</t>
    </rPh>
    <phoneticPr fontId="1"/>
  </si>
  <si>
    <t>自然泥水</t>
  </si>
  <si>
    <t>・N≦</t>
    <phoneticPr fontId="1"/>
  </si>
  <si>
    <t>c ≦</t>
    <phoneticPr fontId="1"/>
  </si>
  <si>
    <r>
      <t>r</t>
    </r>
    <r>
      <rPr>
        <vertAlign val="subscript"/>
        <sz val="10"/>
        <rFont val="ＭＳ 明朝"/>
        <family val="1"/>
        <charset val="128"/>
      </rPr>
      <t>fk</t>
    </r>
    <r>
      <rPr>
        <sz val="10"/>
        <rFont val="ＭＳ 明朝"/>
        <family val="1"/>
        <charset val="128"/>
      </rPr>
      <t>＝</t>
    </r>
    <phoneticPr fontId="1"/>
  </si>
  <si>
    <r>
      <t>Ｒ</t>
    </r>
    <r>
      <rPr>
        <vertAlign val="subscript"/>
        <sz val="10"/>
        <rFont val="ＭＳ 明朝"/>
        <family val="1"/>
        <charset val="128"/>
      </rPr>
      <t>ty</t>
    </r>
    <phoneticPr fontId="1"/>
  </si>
  <si>
    <r>
      <t>ρ</t>
    </r>
    <r>
      <rPr>
        <vertAlign val="subscript"/>
        <sz val="10"/>
        <rFont val="ＭＳ 明朝"/>
        <family val="1"/>
        <charset val="128"/>
      </rPr>
      <t>gty</t>
    </r>
    <phoneticPr fontId="1"/>
  </si>
  <si>
    <r>
      <t>Ｒ</t>
    </r>
    <r>
      <rPr>
        <vertAlign val="subscript"/>
        <sz val="10"/>
        <rFont val="ＭＳ 明朝"/>
        <family val="1"/>
        <charset val="128"/>
      </rPr>
      <t>tk</t>
    </r>
    <phoneticPr fontId="1"/>
  </si>
  <si>
    <r>
      <t>Ｒ</t>
    </r>
    <r>
      <rPr>
        <vertAlign val="subscript"/>
        <sz val="10"/>
        <rFont val="ＭＳ 明朝"/>
        <family val="1"/>
        <charset val="128"/>
      </rPr>
      <t>tu</t>
    </r>
    <phoneticPr fontId="1"/>
  </si>
  <si>
    <r>
      <t>ρ</t>
    </r>
    <r>
      <rPr>
        <vertAlign val="subscript"/>
        <sz val="10"/>
        <rFont val="ＭＳ 明朝"/>
        <family val="1"/>
        <charset val="128"/>
      </rPr>
      <t>gtu</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</si>
  <si>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1"/>
  </si>
  <si>
    <r>
      <t>Ｒ</t>
    </r>
    <r>
      <rPr>
        <vertAlign val="subscript"/>
        <sz val="10"/>
        <rFont val="ＭＳ 明朝"/>
        <family val="1"/>
        <charset val="128"/>
      </rPr>
      <t>fy</t>
    </r>
    <phoneticPr fontId="1"/>
  </si>
  <si>
    <r>
      <t>ρ</t>
    </r>
    <r>
      <rPr>
        <vertAlign val="subscript"/>
        <sz val="10"/>
        <rFont val="ＭＳ 明朝"/>
        <family val="1"/>
        <charset val="128"/>
      </rPr>
      <t>gfy</t>
    </r>
    <phoneticPr fontId="1"/>
  </si>
  <si>
    <r>
      <t>Ｒ</t>
    </r>
    <r>
      <rPr>
        <vertAlign val="subscript"/>
        <sz val="10"/>
        <rFont val="ＭＳ 明朝"/>
        <family val="1"/>
        <charset val="128"/>
      </rPr>
      <t>fk</t>
    </r>
    <phoneticPr fontId="1"/>
  </si>
  <si>
    <r>
      <t>Ｒ</t>
    </r>
    <r>
      <rPr>
        <vertAlign val="subscript"/>
        <sz val="10"/>
        <rFont val="ＭＳ 明朝"/>
        <family val="1"/>
        <charset val="128"/>
      </rPr>
      <t>fu</t>
    </r>
    <phoneticPr fontId="1"/>
  </si>
  <si>
    <r>
      <t>ρ</t>
    </r>
    <r>
      <rPr>
        <vertAlign val="subscript"/>
        <sz val="10"/>
        <rFont val="ＭＳ 明朝"/>
        <family val="1"/>
        <charset val="128"/>
      </rPr>
      <t>gfu</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</si>
  <si>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</si>
  <si>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1"/>
  </si>
  <si>
    <r>
      <t>Ｋ</t>
    </r>
    <r>
      <rPr>
        <vertAlign val="subscript"/>
        <sz val="10"/>
        <rFont val="ＭＳ 明朝"/>
        <family val="1"/>
        <charset val="128"/>
      </rPr>
      <t>tv</t>
    </r>
    <r>
      <rPr>
        <sz val="10"/>
        <rFont val="ＭＳ 明朝"/>
        <family val="1"/>
        <charset val="128"/>
      </rPr>
      <t>（kN/m）</t>
    </r>
    <phoneticPr fontId="1"/>
  </si>
  <si>
    <t>杭の周長（m）</t>
    <rPh sb="0" eb="1">
      <t>クイ</t>
    </rPh>
    <rPh sb="2" eb="4">
      <t>シュウチョウ</t>
    </rPh>
    <phoneticPr fontId="1"/>
  </si>
  <si>
    <t>(kN)</t>
    <phoneticPr fontId="1"/>
  </si>
  <si>
    <r>
      <t>ρ</t>
    </r>
    <r>
      <rPr>
        <vertAlign val="subscript"/>
        <sz val="10"/>
        <rFont val="ＭＳ 明朝"/>
        <family val="1"/>
        <charset val="128"/>
      </rPr>
      <t>gtu</t>
    </r>
    <phoneticPr fontId="1"/>
  </si>
  <si>
    <r>
      <t>ρ</t>
    </r>
    <r>
      <rPr>
        <vertAlign val="subscript"/>
        <sz val="10"/>
        <rFont val="ＭＳ 明朝"/>
        <family val="1"/>
        <charset val="128"/>
      </rPr>
      <t>gfy</t>
    </r>
    <phoneticPr fontId="1"/>
  </si>
  <si>
    <r>
      <t>ρ</t>
    </r>
    <r>
      <rPr>
        <vertAlign val="subscript"/>
        <sz val="10"/>
        <rFont val="ＭＳ 明朝"/>
        <family val="1"/>
        <charset val="128"/>
      </rPr>
      <t>gfu</t>
    </r>
    <phoneticPr fontId="1"/>
  </si>
  <si>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1"/>
  </si>
  <si>
    <t>表1.1.18(2) 各層での基準周面支持力（地震時以外）（短期）</t>
    <phoneticPr fontId="1"/>
  </si>
  <si>
    <r>
      <t>r</t>
    </r>
    <r>
      <rPr>
        <vertAlign val="subscript"/>
        <sz val="10"/>
        <rFont val="ＭＳ 明朝"/>
        <family val="1"/>
        <charset val="128"/>
      </rPr>
      <t xml:space="preserve">fk
</t>
    </r>
    <r>
      <rPr>
        <sz val="10"/>
        <rFont val="ＭＳ 明朝"/>
        <family val="1"/>
        <charset val="128"/>
      </rPr>
      <t>(kN)</t>
    </r>
    <phoneticPr fontId="1"/>
  </si>
  <si>
    <t>合計</t>
    <rPh sb="0" eb="2">
      <t>ゴウケイ</t>
    </rPh>
    <phoneticPr fontId="1"/>
  </si>
  <si>
    <t>粘性土</t>
  </si>
  <si>
    <t>地震時
液状化</t>
    <rPh sb="0" eb="2">
      <t>ジシン</t>
    </rPh>
    <rPh sb="2" eb="3">
      <t>ジ</t>
    </rPh>
    <rPh sb="4" eb="7">
      <t>エキジョウカ</t>
    </rPh>
    <phoneticPr fontId="1"/>
  </si>
  <si>
    <t>表1.1.2.10(1) 各層の杭の特性値β（橋軸方向）</t>
    <rPh sb="0" eb="1">
      <t>ヒョウ</t>
    </rPh>
    <rPh sb="13" eb="14">
      <t>カク</t>
    </rPh>
    <rPh sb="16" eb="17">
      <t>クイ</t>
    </rPh>
    <rPh sb="18" eb="21">
      <t>トクセイチ</t>
    </rPh>
    <phoneticPr fontId="1"/>
  </si>
  <si>
    <t>表1.1.2.10(1-2) 各層の杭の特性値β（橋軸方向 液状化 L1地震動）</t>
    <rPh sb="0" eb="1">
      <t>ヒョウ</t>
    </rPh>
    <rPh sb="15" eb="16">
      <t>カク</t>
    </rPh>
    <rPh sb="18" eb="19">
      <t>クイ</t>
    </rPh>
    <rPh sb="20" eb="23">
      <t>トクセイチ</t>
    </rPh>
    <rPh sb="30" eb="33">
      <t>エキジョウカ</t>
    </rPh>
    <rPh sb="36" eb="38">
      <t>ジシン</t>
    </rPh>
    <rPh sb="38" eb="39">
      <t>ドウ</t>
    </rPh>
    <phoneticPr fontId="1"/>
  </si>
  <si>
    <t>表1.1.2.10(1-3) 各層の杭の特性値β（橋軸方向 液状化 L2地震動）</t>
    <rPh sb="0" eb="1">
      <t>ヒョウ</t>
    </rPh>
    <rPh sb="15" eb="16">
      <t>カク</t>
    </rPh>
    <rPh sb="18" eb="19">
      <t>クイ</t>
    </rPh>
    <rPh sb="20" eb="23">
      <t>トクセイチ</t>
    </rPh>
    <rPh sb="30" eb="33">
      <t>エキジョウカ</t>
    </rPh>
    <rPh sb="36" eb="38">
      <t>ジシン</t>
    </rPh>
    <rPh sb="38" eb="39">
      <t>ドウ</t>
    </rPh>
    <phoneticPr fontId="1"/>
  </si>
  <si>
    <t>表1.1.16(3) 杭周面の鉛直せん断地盤ばね定数（地震時 橋軸方向）</t>
    <rPh sb="27" eb="29">
      <t>ジシン</t>
    </rPh>
    <rPh sb="29" eb="30">
      <t>ジ</t>
    </rPh>
    <phoneticPr fontId="1"/>
  </si>
  <si>
    <t>表1.1.16(3-2) 杭周面の鉛直せん断地盤ばね定数（地震時 橋軸方向 液状化 L1地震動）</t>
    <rPh sb="29" eb="31">
      <t>ジシン</t>
    </rPh>
    <rPh sb="31" eb="32">
      <t>ジ</t>
    </rPh>
    <rPh sb="38" eb="41">
      <t>エキジョウカ</t>
    </rPh>
    <rPh sb="44" eb="46">
      <t>ジシン</t>
    </rPh>
    <rPh sb="46" eb="47">
      <t>ドウ</t>
    </rPh>
    <phoneticPr fontId="1"/>
  </si>
  <si>
    <t>表1.1.16(3-3) 杭周面の鉛直せん断地盤ばね定数（地震時 橋軸方向 液状化 L2地震動）</t>
    <rPh sb="29" eb="31">
      <t>ジシン</t>
    </rPh>
    <rPh sb="31" eb="32">
      <t>ジ</t>
    </rPh>
    <rPh sb="38" eb="41">
      <t>エキジョウカ</t>
    </rPh>
    <rPh sb="44" eb="46">
      <t>ジシン</t>
    </rPh>
    <rPh sb="46" eb="47">
      <t>ドウ</t>
    </rPh>
    <phoneticPr fontId="1"/>
  </si>
  <si>
    <t>表1.1.18(3) 各層での基準周面支持力（地震時以外）（地震時 橋軸方向）</t>
    <rPh sb="30" eb="32">
      <t>ジシン</t>
    </rPh>
    <rPh sb="32" eb="33">
      <t>ジ</t>
    </rPh>
    <phoneticPr fontId="1"/>
  </si>
  <si>
    <t>表1.1.18(3-2) 各層での基準周面支持力（地震時以外）（地震時 橋軸方向 液状化 L1地震動）</t>
    <rPh sb="32" eb="34">
      <t>ジシン</t>
    </rPh>
    <rPh sb="34" eb="35">
      <t>ジ</t>
    </rPh>
    <rPh sb="41" eb="44">
      <t>エキジョウカ</t>
    </rPh>
    <rPh sb="47" eb="49">
      <t>ジシン</t>
    </rPh>
    <rPh sb="49" eb="50">
      <t>ドウ</t>
    </rPh>
    <phoneticPr fontId="1"/>
  </si>
  <si>
    <t>表1.1.18(3-3) 各層での基準周面支持力（地震時以外）（地震時 橋軸方向 液状化 L2地震動）</t>
    <rPh sb="32" eb="34">
      <t>ジシン</t>
    </rPh>
    <rPh sb="34" eb="35">
      <t>ジ</t>
    </rPh>
    <rPh sb="41" eb="44">
      <t>エキジョウカ</t>
    </rPh>
    <rPh sb="47" eb="49">
      <t>ジシン</t>
    </rPh>
    <rPh sb="49" eb="50">
      <t>ドウ</t>
    </rPh>
    <phoneticPr fontId="1"/>
  </si>
  <si>
    <t>表1.1.2.10(2) 各層の杭の特性値β（直角方向）</t>
    <rPh sb="0" eb="1">
      <t>ヒョウ</t>
    </rPh>
    <rPh sb="13" eb="14">
      <t>カク</t>
    </rPh>
    <rPh sb="16" eb="17">
      <t>クイ</t>
    </rPh>
    <rPh sb="18" eb="21">
      <t>トクセイチ</t>
    </rPh>
    <phoneticPr fontId="1"/>
  </si>
  <si>
    <t>表1.1.2.10(2-2) 各層の杭の特性値β（直角方向 液状化 L1地震動）</t>
    <rPh sb="0" eb="1">
      <t>ヒョウ</t>
    </rPh>
    <rPh sb="15" eb="16">
      <t>カク</t>
    </rPh>
    <rPh sb="18" eb="19">
      <t>クイ</t>
    </rPh>
    <rPh sb="20" eb="23">
      <t>トクセイチ</t>
    </rPh>
    <rPh sb="30" eb="33">
      <t>エキジョウカ</t>
    </rPh>
    <rPh sb="36" eb="38">
      <t>ジシン</t>
    </rPh>
    <rPh sb="38" eb="39">
      <t>ドウ</t>
    </rPh>
    <phoneticPr fontId="1"/>
  </si>
  <si>
    <t>表1.1.2.10(2-3) 各層の杭の特性値β（直角方向 液状化 L2地震動）</t>
    <rPh sb="0" eb="1">
      <t>ヒョウ</t>
    </rPh>
    <rPh sb="15" eb="16">
      <t>カク</t>
    </rPh>
    <rPh sb="18" eb="19">
      <t>クイ</t>
    </rPh>
    <rPh sb="20" eb="23">
      <t>トクセイチ</t>
    </rPh>
    <rPh sb="30" eb="33">
      <t>エキジョウカ</t>
    </rPh>
    <rPh sb="36" eb="38">
      <t>ジシン</t>
    </rPh>
    <rPh sb="38" eb="39">
      <t>ドウ</t>
    </rPh>
    <phoneticPr fontId="1"/>
  </si>
  <si>
    <t>表1.1.16(4) 杭周面の鉛直せん断地盤ばね定数（地震時 直角方向）</t>
    <rPh sb="27" eb="29">
      <t>ジシン</t>
    </rPh>
    <rPh sb="29" eb="30">
      <t>ジ</t>
    </rPh>
    <phoneticPr fontId="1"/>
  </si>
  <si>
    <t>表1.1.16(4-2) 杭周面の鉛直せん断地盤ばね定数（地震時 直角方向 液状化 L1地震動）</t>
    <rPh sb="29" eb="31">
      <t>ジシン</t>
    </rPh>
    <rPh sb="31" eb="32">
      <t>ジ</t>
    </rPh>
    <rPh sb="38" eb="41">
      <t>エキジョウカ</t>
    </rPh>
    <rPh sb="44" eb="46">
      <t>ジシン</t>
    </rPh>
    <rPh sb="46" eb="47">
      <t>ドウ</t>
    </rPh>
    <phoneticPr fontId="1"/>
  </si>
  <si>
    <t>表1.1.16(4-3) 杭周面の鉛直せん断地盤ばね定数（地震時 直角方向 液状化 L2地震動）</t>
    <rPh sb="29" eb="31">
      <t>ジシン</t>
    </rPh>
    <rPh sb="31" eb="32">
      <t>ジ</t>
    </rPh>
    <rPh sb="38" eb="41">
      <t>エキジョウカ</t>
    </rPh>
    <rPh sb="44" eb="46">
      <t>ジシン</t>
    </rPh>
    <rPh sb="46" eb="47">
      <t>ドウ</t>
    </rPh>
    <phoneticPr fontId="1"/>
  </si>
  <si>
    <t>表1.1.18(4) 各層での基準周面支持力（地震時以外）（地震時 直角方向）</t>
    <rPh sb="30" eb="32">
      <t>ジシン</t>
    </rPh>
    <rPh sb="32" eb="33">
      <t>ジ</t>
    </rPh>
    <phoneticPr fontId="1"/>
  </si>
  <si>
    <t>表1.1.18(4-2) 各層での基準周面支持力（地震時以外）（地震時 直角方向 液状化 L1地震動）</t>
    <rPh sb="32" eb="34">
      <t>ジシン</t>
    </rPh>
    <rPh sb="34" eb="35">
      <t>ジ</t>
    </rPh>
    <rPh sb="41" eb="44">
      <t>エキジョウカ</t>
    </rPh>
    <rPh sb="47" eb="49">
      <t>ジシン</t>
    </rPh>
    <rPh sb="49" eb="50">
      <t>ドウ</t>
    </rPh>
    <phoneticPr fontId="1"/>
  </si>
  <si>
    <t>表1.1.18(4-3) 各層での基準周面支持力（地震時以外）（地震時 直角方向 液状化 L2地震動）</t>
    <rPh sb="32" eb="34">
      <t>ジシン</t>
    </rPh>
    <rPh sb="34" eb="35">
      <t>ジ</t>
    </rPh>
    <rPh sb="41" eb="44">
      <t>エキジョウカ</t>
    </rPh>
    <rPh sb="47" eb="49">
      <t>ジシン</t>
    </rPh>
    <rPh sb="49" eb="50">
      <t>ドウ</t>
    </rPh>
    <phoneticPr fontId="1"/>
  </si>
  <si>
    <t>N</t>
    <phoneticPr fontId="1"/>
  </si>
  <si>
    <t>液状化 L2地震動</t>
    <rPh sb="0" eb="3">
      <t>エキジョウカ</t>
    </rPh>
    <rPh sb="6" eb="8">
      <t>ジシン</t>
    </rPh>
    <rPh sb="8" eb="9">
      <t>ドウ</t>
    </rPh>
    <phoneticPr fontId="1"/>
  </si>
  <si>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1"/>
  </si>
  <si>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1"/>
  </si>
  <si>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1"/>
  </si>
  <si>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1"/>
  </si>
  <si>
    <r>
      <t>(kN/m</t>
    </r>
    <r>
      <rPr>
        <vertAlign val="superscript"/>
        <sz val="10"/>
        <rFont val="ＭＳ 明朝"/>
        <family val="1"/>
        <charset val="128"/>
      </rPr>
      <t>3</t>
    </r>
    <r>
      <rPr>
        <sz val="10"/>
        <rFont val="ＭＳ 明朝"/>
        <family val="1"/>
        <charset val="128"/>
      </rPr>
      <t>)</t>
    </r>
    <phoneticPr fontId="1"/>
  </si>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</sst>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4" formatCode="0.00_ "/>
  </numFmts>
  <fonts count="28" x14ac:knownFonts="1">
    <font>
      <sz val="11"/>
      <name val="ＭＳ Ｐゴシック"/>
      <family val="3"/>
      <charset val="128"/>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1"/>
      <color rgb="FFFF0000"/>
      <name val="ＭＳ Ｐゴシック"/>
      <family val="3"/>
      <charset val="128"/>
      <scheme val="minor"/>
    </font>
    <font>
      <sz val="10"/>
      <color rgb="FFFF0000"/>
      <name val="ＭＳ 明朝"/>
      <family val="1"/>
      <charset val="128"/>
    </font>
    <font>
      <sz val="10"/>
      <color theme="4"/>
      <name val="ＭＳ 明朝"/>
      <family val="1"/>
      <charset val="128"/>
    </font>
    <font>
      <sz val="10"/>
      <color theme="1"/>
      <name val="ＭＳ 明朝"/>
      <family val="1"/>
      <charset val="128"/>
    </font>
    <font>
      <sz val="11"/>
      <color rgb="FF000000"/>
      <name val="ＭＳ Ｐゴシック"/>
      <family val="3"/>
      <charset val="128"/>
    </font>
    <font>
      <b/>
      <sz val="9"/>
      <color indexed="81"/>
      <name val="ＭＳ Ｐゴシック"/>
      <family val="3"/>
      <charset val="128"/>
    </font>
  </fonts>
  <fills count="7">
    <fill>
      <patternFill patternType="none"/>
    </fill>
    <fill>
      <patternFill patternType="gray125"/>
    </fill>
    <fill>
      <patternFill patternType="solid">
        <fgColor indexed="43"/>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s>
  <borders count="75">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style="thin">
        <color indexed="64"/>
      </right>
      <top style="hair">
        <color indexed="64"/>
      </top>
      <bottom/>
      <diagonal/>
    </border>
    <border>
      <left style="thin">
        <color indexed="64"/>
      </left>
      <right style="hair">
        <color indexed="64"/>
      </right>
      <top style="hair">
        <color indexed="64"/>
      </top>
      <bottom/>
      <diagonal/>
    </border>
  </borders>
  <cellStyleXfs count="4">
    <xf numFmtId="0" fontId="0" fillId="0" borderId="0"/>
    <xf numFmtId="0" fontId="17" fillId="0" borderId="0">
      <alignment vertical="center"/>
    </xf>
    <xf numFmtId="0" fontId="18" fillId="0" borderId="0" applyNumberFormat="0" applyFill="0" applyBorder="0" applyAlignment="0" applyProtection="0">
      <alignment vertical="top"/>
      <protection locked="0"/>
    </xf>
    <xf numFmtId="0" fontId="21" fillId="0" borderId="0">
      <alignment vertical="center"/>
    </xf>
  </cellStyleXfs>
  <cellXfs count="459">
    <xf numFmtId="0" fontId="0" fillId="0" borderId="0" xfId="0"/>
    <xf numFmtId="0" fontId="3" fillId="0" borderId="0" xfId="0" applyNumberFormat="1" applyFont="1" applyBorder="1" applyAlignment="1">
      <alignment vertical="center"/>
    </xf>
    <xf numFmtId="0" fontId="3" fillId="0" borderId="0" xfId="0" applyNumberFormat="1" applyFont="1" applyBorder="1" applyAlignment="1">
      <alignment horizontal="right" vertical="center"/>
    </xf>
    <xf numFmtId="0" fontId="6" fillId="0" borderId="0" xfId="0" applyNumberFormat="1" applyFont="1" applyBorder="1" applyAlignment="1">
      <alignment horizontal="left"/>
    </xf>
    <xf numFmtId="0" fontId="3" fillId="0" borderId="0" xfId="0" applyNumberFormat="1" applyFont="1" applyBorder="1" applyAlignment="1">
      <alignment horizontal="center"/>
    </xf>
    <xf numFmtId="0" fontId="3" fillId="0" borderId="0" xfId="0" applyNumberFormat="1" applyFont="1" applyBorder="1" applyAlignment="1"/>
    <xf numFmtId="0" fontId="3" fillId="0" borderId="0" xfId="0" applyNumberFormat="1" applyFont="1" applyBorder="1" applyAlignment="1">
      <alignment horizontal="left"/>
    </xf>
    <xf numFmtId="0" fontId="3" fillId="0" borderId="0" xfId="0" applyNumberFormat="1" applyFont="1" applyBorder="1" applyAlignment="1">
      <alignment vertical="center" shrinkToFit="1"/>
    </xf>
    <xf numFmtId="0" fontId="6" fillId="0" borderId="0" xfId="0" applyNumberFormat="1" applyFont="1" applyBorder="1" applyAlignment="1">
      <alignment vertical="center" shrinkToFit="1"/>
    </xf>
    <xf numFmtId="2" fontId="3" fillId="0" borderId="0" xfId="0" applyNumberFormat="1" applyFont="1" applyBorder="1" applyAlignment="1">
      <alignment horizontal="center" vertical="center"/>
    </xf>
    <xf numFmtId="0" fontId="6" fillId="0" borderId="0" xfId="0" applyNumberFormat="1" applyFont="1" applyBorder="1" applyAlignment="1">
      <alignment vertical="center"/>
    </xf>
    <xf numFmtId="178" fontId="3" fillId="0" borderId="0" xfId="0" applyNumberFormat="1" applyFont="1" applyBorder="1" applyAlignment="1">
      <alignment horizontal="center" vertical="center"/>
    </xf>
    <xf numFmtId="0" fontId="3" fillId="0" borderId="0" xfId="0" applyNumberFormat="1" applyFont="1" applyBorder="1" applyAlignment="1">
      <alignment horizontal="center"/>
    </xf>
    <xf numFmtId="0" fontId="3" fillId="0" borderId="6" xfId="0" applyNumberFormat="1" applyFont="1" applyBorder="1" applyAlignment="1">
      <alignment horizontal="center"/>
    </xf>
    <xf numFmtId="0" fontId="3" fillId="0" borderId="7" xfId="0" applyNumberFormat="1" applyFont="1" applyBorder="1" applyAlignment="1">
      <alignment horizontal="center"/>
    </xf>
    <xf numFmtId="0" fontId="3" fillId="0" borderId="10" xfId="0" applyNumberFormat="1" applyFont="1" applyBorder="1" applyAlignment="1">
      <alignment horizontal="center"/>
    </xf>
    <xf numFmtId="0" fontId="13" fillId="0" borderId="0" xfId="0" applyFont="1" applyFill="1" applyAlignment="1">
      <alignment horizontal="centerContinuous"/>
    </xf>
    <xf numFmtId="0" fontId="14" fillId="0" borderId="0" xfId="0" applyFont="1" applyFill="1" applyAlignment="1">
      <alignment horizontal="centerContinuous"/>
    </xf>
    <xf numFmtId="0" fontId="14" fillId="0" borderId="0" xfId="0" applyFont="1" applyFill="1"/>
    <xf numFmtId="0" fontId="3" fillId="0" borderId="0" xfId="0" applyFont="1" applyFill="1"/>
    <xf numFmtId="0" fontId="15" fillId="0" borderId="0" xfId="0" applyFont="1" applyFill="1"/>
    <xf numFmtId="0" fontId="16" fillId="0" borderId="0" xfId="0" applyFont="1" applyFill="1"/>
    <xf numFmtId="0" fontId="16" fillId="0" borderId="0" xfId="1" applyFont="1" applyFill="1" applyBorder="1">
      <alignment vertical="center"/>
    </xf>
    <xf numFmtId="0" fontId="16" fillId="0" borderId="0" xfId="1" applyFont="1" applyFill="1">
      <alignment vertical="center"/>
    </xf>
    <xf numFmtId="0" fontId="18" fillId="0" borderId="0" xfId="2" applyFill="1" applyAlignment="1" applyProtection="1">
      <alignment vertical="center"/>
    </xf>
    <xf numFmtId="0" fontId="8" fillId="0" borderId="0" xfId="1" applyFont="1" applyFill="1" applyBorder="1">
      <alignment vertical="center"/>
    </xf>
    <xf numFmtId="0" fontId="19" fillId="0" borderId="0" xfId="0" applyFont="1" applyFill="1"/>
    <xf numFmtId="0" fontId="8" fillId="0" borderId="0" xfId="1" applyFont="1" applyFill="1">
      <alignment vertical="center"/>
    </xf>
    <xf numFmtId="0" fontId="16" fillId="0" borderId="0" xfId="1" applyFont="1" applyFill="1" applyAlignment="1">
      <alignment horizontal="left" vertical="center" indent="1"/>
    </xf>
    <xf numFmtId="0" fontId="16" fillId="0" borderId="0" xfId="1" applyFont="1" applyFill="1" applyBorder="1" applyAlignment="1">
      <alignment horizontal="center" vertical="center"/>
    </xf>
    <xf numFmtId="0" fontId="20" fillId="0" borderId="0" xfId="0" applyFont="1" applyAlignment="1">
      <alignment horizontal="left"/>
    </xf>
    <xf numFmtId="0" fontId="0" fillId="0" borderId="0" xfId="0" applyFont="1" applyAlignment="1">
      <alignment horizontal="left"/>
    </xf>
    <xf numFmtId="0" fontId="2" fillId="0" borderId="0" xfId="0" applyFont="1"/>
    <xf numFmtId="0" fontId="0" fillId="0" borderId="0" xfId="0" applyFont="1"/>
    <xf numFmtId="0" fontId="21" fillId="3" borderId="10" xfId="3" applyFill="1" applyBorder="1">
      <alignment vertical="center"/>
    </xf>
    <xf numFmtId="0" fontId="21" fillId="0" borderId="0" xfId="3">
      <alignment vertical="center"/>
    </xf>
    <xf numFmtId="0" fontId="21" fillId="4" borderId="10" xfId="3" applyFill="1" applyBorder="1">
      <alignment vertical="center"/>
    </xf>
    <xf numFmtId="0" fontId="22" fillId="0" borderId="0" xfId="3" applyFont="1">
      <alignment vertical="center"/>
    </xf>
    <xf numFmtId="0" fontId="21" fillId="0" borderId="10" xfId="3" applyBorder="1">
      <alignment vertical="center"/>
    </xf>
    <xf numFmtId="0" fontId="21" fillId="3" borderId="13" xfId="3" applyFill="1" applyBorder="1">
      <alignment vertical="center"/>
    </xf>
    <xf numFmtId="0" fontId="22" fillId="0" borderId="14" xfId="3" applyFont="1" applyFill="1" applyBorder="1">
      <alignment vertical="center"/>
    </xf>
    <xf numFmtId="0" fontId="21" fillId="0" borderId="15" xfId="3" applyBorder="1">
      <alignment vertical="center"/>
    </xf>
    <xf numFmtId="0" fontId="6" fillId="2" borderId="10" xfId="0" applyFont="1" applyFill="1" applyBorder="1" applyAlignment="1">
      <alignment horizontal="center" vertical="center" shrinkToFit="1"/>
    </xf>
    <xf numFmtId="0" fontId="6" fillId="2" borderId="10" xfId="0" applyFont="1" applyFill="1" applyBorder="1" applyAlignment="1">
      <alignment horizontal="center"/>
    </xf>
    <xf numFmtId="0" fontId="6" fillId="2" borderId="10" xfId="0" applyFont="1" applyFill="1" applyBorder="1" applyAlignment="1">
      <alignment horizontal="center" vertical="center" wrapText="1"/>
    </xf>
    <xf numFmtId="0" fontId="23" fillId="0" borderId="10" xfId="0" applyNumberFormat="1" applyFont="1" applyBorder="1" applyAlignment="1">
      <alignment horizontal="center"/>
    </xf>
    <xf numFmtId="0" fontId="23" fillId="0" borderId="5" xfId="0" applyNumberFormat="1" applyFont="1" applyBorder="1" applyAlignment="1">
      <alignment horizontal="center"/>
    </xf>
    <xf numFmtId="0" fontId="23" fillId="0" borderId="5" xfId="0" applyNumberFormat="1" applyFont="1" applyBorder="1" applyAlignment="1"/>
    <xf numFmtId="0" fontId="23" fillId="0" borderId="7" xfId="0" applyNumberFormat="1" applyFont="1" applyBorder="1" applyAlignment="1"/>
    <xf numFmtId="0" fontId="23" fillId="0" borderId="10" xfId="0" applyNumberFormat="1" applyFont="1" applyBorder="1" applyAlignment="1">
      <alignment horizontal="right"/>
    </xf>
    <xf numFmtId="181" fontId="23" fillId="0" borderId="10" xfId="0" applyNumberFormat="1" applyFont="1" applyBorder="1" applyAlignment="1">
      <alignment horizontal="right"/>
    </xf>
    <xf numFmtId="176" fontId="23" fillId="0" borderId="10" xfId="0" applyNumberFormat="1" applyFont="1" applyBorder="1" applyAlignment="1">
      <alignment horizontal="right"/>
    </xf>
    <xf numFmtId="180" fontId="23" fillId="0" borderId="10" xfId="0" applyNumberFormat="1" applyFont="1" applyBorder="1" applyAlignment="1">
      <alignment horizontal="right"/>
    </xf>
    <xf numFmtId="184" fontId="23" fillId="0" borderId="10" xfId="0" applyNumberFormat="1" applyFont="1" applyBorder="1" applyAlignment="1">
      <alignment horizontal="center"/>
    </xf>
    <xf numFmtId="0" fontId="3" fillId="0" borderId="12" xfId="0" applyNumberFormat="1" applyFont="1" applyBorder="1" applyAlignment="1">
      <alignment horizontal="center"/>
    </xf>
    <xf numFmtId="0" fontId="3" fillId="0" borderId="11" xfId="0" applyNumberFormat="1" applyFont="1" applyBorder="1" applyAlignment="1">
      <alignment horizontal="center"/>
    </xf>
    <xf numFmtId="0" fontId="3" fillId="0" borderId="3" xfId="0" applyNumberFormat="1" applyFont="1" applyBorder="1" applyAlignment="1">
      <alignment horizontal="center"/>
    </xf>
    <xf numFmtId="0" fontId="3" fillId="0" borderId="4" xfId="0" applyNumberFormat="1" applyFont="1" applyBorder="1" applyAlignment="1">
      <alignment horizontal="center"/>
    </xf>
    <xf numFmtId="0" fontId="3" fillId="0" borderId="9" xfId="0" applyNumberFormat="1" applyFont="1" applyBorder="1" applyAlignment="1">
      <alignment horizontal="center"/>
    </xf>
    <xf numFmtId="0" fontId="3" fillId="0" borderId="5" xfId="0" applyNumberFormat="1" applyFont="1" applyBorder="1" applyAlignment="1">
      <alignment horizontal="left"/>
    </xf>
    <xf numFmtId="0" fontId="3" fillId="0" borderId="0" xfId="0" applyNumberFormat="1" applyFont="1" applyBorder="1" applyAlignment="1">
      <alignment horizontal="right"/>
    </xf>
    <xf numFmtId="0" fontId="6" fillId="0" borderId="0" xfId="0" applyNumberFormat="1" applyFont="1" applyBorder="1" applyAlignment="1">
      <alignment horizontal="centerContinuous" vertical="center"/>
    </xf>
    <xf numFmtId="0" fontId="6" fillId="0" borderId="0" xfId="0" applyNumberFormat="1" applyFont="1" applyBorder="1" applyAlignment="1">
      <alignment horizontal="centerContinuous" vertical="center" shrinkToFit="1"/>
    </xf>
    <xf numFmtId="180" fontId="23" fillId="0" borderId="10" xfId="0" applyNumberFormat="1" applyFont="1" applyBorder="1" applyAlignment="1">
      <alignment horizontal="center"/>
    </xf>
    <xf numFmtId="0" fontId="6" fillId="0" borderId="4" xfId="0" applyNumberFormat="1" applyFont="1" applyBorder="1" applyAlignment="1">
      <alignment horizontal="centerContinuous" vertical="center"/>
    </xf>
    <xf numFmtId="0" fontId="23" fillId="0" borderId="7" xfId="0" applyNumberFormat="1" applyFont="1" applyBorder="1" applyAlignment="1">
      <alignment horizontal="center"/>
    </xf>
    <xf numFmtId="184" fontId="23" fillId="0" borderId="0" xfId="0" applyNumberFormat="1" applyFont="1" applyBorder="1" applyAlignment="1">
      <alignment horizontal="left"/>
    </xf>
    <xf numFmtId="0" fontId="23" fillId="0" borderId="11" xfId="0" applyNumberFormat="1" applyFont="1" applyBorder="1" applyAlignment="1">
      <alignment horizontal="left"/>
    </xf>
    <xf numFmtId="0" fontId="3" fillId="0" borderId="11" xfId="0" applyNumberFormat="1" applyFont="1" applyBorder="1" applyAlignment="1">
      <alignment horizontal="left"/>
    </xf>
    <xf numFmtId="0" fontId="3" fillId="0" borderId="12" xfId="0" applyNumberFormat="1" applyFont="1" applyBorder="1" applyAlignment="1">
      <alignment horizontal="right"/>
    </xf>
    <xf numFmtId="0" fontId="25" fillId="0" borderId="0" xfId="0" applyNumberFormat="1" applyFont="1" applyBorder="1" applyAlignment="1">
      <alignment horizontal="center"/>
    </xf>
    <xf numFmtId="0" fontId="24" fillId="0" borderId="0" xfId="0" applyNumberFormat="1" applyFont="1" applyBorder="1" applyAlignment="1">
      <alignment horizontal="center"/>
    </xf>
    <xf numFmtId="0" fontId="3" fillId="0" borderId="10" xfId="0" applyNumberFormat="1" applyFont="1" applyBorder="1" applyAlignment="1">
      <alignment horizontal="center"/>
    </xf>
    <xf numFmtId="0" fontId="3" fillId="0" borderId="10" xfId="0" applyNumberFormat="1" applyFont="1" applyBorder="1" applyAlignment="1">
      <alignment horizontal="center" vertical="center"/>
    </xf>
    <xf numFmtId="0" fontId="3" fillId="0" borderId="1" xfId="0" applyNumberFormat="1" applyFont="1" applyBorder="1" applyAlignment="1">
      <alignment horizontal="center" vertical="center"/>
    </xf>
    <xf numFmtId="177" fontId="3" fillId="0" borderId="1" xfId="0" applyNumberFormat="1" applyFont="1" applyBorder="1" applyAlignment="1">
      <alignment horizontal="center" vertical="center"/>
    </xf>
    <xf numFmtId="0" fontId="3" fillId="0" borderId="0" xfId="0" applyNumberFormat="1" applyFont="1" applyBorder="1" applyAlignment="1">
      <alignment horizontal="center" vertical="center"/>
    </xf>
    <xf numFmtId="177" fontId="3" fillId="0" borderId="0" xfId="0" applyNumberFormat="1" applyFont="1" applyBorder="1" applyAlignment="1">
      <alignment horizontal="center" vertical="center"/>
    </xf>
    <xf numFmtId="0" fontId="3" fillId="0" borderId="0" xfId="0" applyNumberFormat="1" applyFont="1" applyBorder="1" applyAlignment="1">
      <alignment horizontal="center" vertical="center" shrinkToFit="1"/>
    </xf>
    <xf numFmtId="0" fontId="6" fillId="0" borderId="5" xfId="0" applyFont="1" applyFill="1" applyBorder="1" applyAlignment="1">
      <alignment horizontal="left" vertical="center"/>
    </xf>
    <xf numFmtId="0" fontId="6" fillId="0" borderId="6" xfId="0" applyFont="1" applyFill="1" applyBorder="1" applyAlignment="1">
      <alignment horizontal="left" vertical="center"/>
    </xf>
    <xf numFmtId="0" fontId="6" fillId="0" borderId="7" xfId="0" applyFont="1" applyFill="1" applyBorder="1" applyAlignment="1">
      <alignment horizontal="left" vertical="center"/>
    </xf>
    <xf numFmtId="0" fontId="8" fillId="0" borderId="5" xfId="1" applyFont="1" applyFill="1" applyBorder="1" applyAlignment="1">
      <alignment horizontal="left" vertical="center"/>
    </xf>
    <xf numFmtId="0" fontId="8" fillId="0" borderId="6" xfId="1" applyFont="1" applyFill="1" applyBorder="1" applyAlignment="1">
      <alignment horizontal="left" vertical="center"/>
    </xf>
    <xf numFmtId="0" fontId="8" fillId="0" borderId="7" xfId="1" applyFont="1" applyFill="1" applyBorder="1" applyAlignment="1">
      <alignment horizontal="left" vertical="center"/>
    </xf>
    <xf numFmtId="0" fontId="3" fillId="0" borderId="10" xfId="0" applyNumberFormat="1" applyFont="1" applyBorder="1" applyAlignment="1">
      <alignment horizontal="center"/>
    </xf>
    <xf numFmtId="176" fontId="23" fillId="0" borderId="10" xfId="0" applyNumberFormat="1" applyFont="1" applyBorder="1" applyAlignment="1">
      <alignment horizontal="center"/>
    </xf>
    <xf numFmtId="0" fontId="6" fillId="2" borderId="5" xfId="0" applyFont="1" applyFill="1" applyBorder="1" applyAlignment="1">
      <alignment horizontal="center" vertical="center" shrinkToFit="1"/>
    </xf>
    <xf numFmtId="0" fontId="6" fillId="2" borderId="7" xfId="0" applyFont="1" applyFill="1" applyBorder="1" applyAlignment="1">
      <alignment horizontal="center" vertical="center" shrinkToFit="1"/>
    </xf>
    <xf numFmtId="184" fontId="23" fillId="0" borderId="10" xfId="0" applyNumberFormat="1" applyFont="1" applyBorder="1" applyAlignment="1">
      <alignment horizontal="center"/>
    </xf>
    <xf numFmtId="0" fontId="6" fillId="2" borderId="10" xfId="0" applyFont="1" applyFill="1" applyBorder="1" applyAlignment="1">
      <alignment horizontal="center" vertical="center" wrapText="1"/>
    </xf>
    <xf numFmtId="0" fontId="6" fillId="2" borderId="10" xfId="0" applyFont="1" applyFill="1" applyBorder="1" applyAlignment="1">
      <alignment horizontal="center"/>
    </xf>
    <xf numFmtId="0" fontId="6" fillId="2" borderId="10" xfId="0" applyFont="1" applyFill="1" applyBorder="1" applyAlignment="1">
      <alignment horizontal="center" vertical="center" shrinkToFit="1"/>
    </xf>
    <xf numFmtId="0" fontId="3" fillId="0" borderId="37" xfId="0" applyNumberFormat="1" applyFont="1" applyBorder="1" applyAlignment="1">
      <alignment horizontal="center" vertical="center"/>
    </xf>
    <xf numFmtId="0" fontId="3" fillId="0" borderId="20" xfId="0" applyNumberFormat="1" applyFont="1" applyBorder="1" applyAlignment="1">
      <alignment horizontal="center" vertical="center"/>
    </xf>
    <xf numFmtId="2" fontId="3" fillId="0" borderId="20" xfId="0" applyNumberFormat="1" applyFont="1" applyBorder="1" applyAlignment="1">
      <alignment horizontal="center" vertical="center"/>
    </xf>
    <xf numFmtId="177" fontId="3" fillId="0" borderId="20" xfId="0" applyNumberFormat="1" applyFont="1" applyBorder="1" applyAlignment="1">
      <alignment horizontal="center" vertical="center"/>
    </xf>
    <xf numFmtId="178" fontId="3" fillId="0" borderId="20" xfId="0" applyNumberFormat="1" applyFont="1" applyBorder="1" applyAlignment="1">
      <alignment horizontal="center" vertical="center"/>
    </xf>
    <xf numFmtId="0" fontId="3" fillId="0" borderId="38" xfId="0" applyNumberFormat="1" applyFont="1" applyBorder="1" applyAlignment="1">
      <alignment horizontal="center" vertical="center"/>
    </xf>
    <xf numFmtId="0" fontId="3" fillId="0" borderId="23" xfId="0" applyNumberFormat="1" applyFont="1" applyBorder="1" applyAlignment="1">
      <alignment horizontal="center" vertical="center"/>
    </xf>
    <xf numFmtId="2" fontId="3" fillId="0" borderId="23" xfId="0" applyNumberFormat="1" applyFont="1" applyBorder="1" applyAlignment="1">
      <alignment horizontal="center" vertical="center"/>
    </xf>
    <xf numFmtId="177" fontId="3" fillId="0" borderId="23" xfId="0" applyNumberFormat="1" applyFont="1" applyBorder="1" applyAlignment="1">
      <alignment horizontal="center" vertical="center"/>
    </xf>
    <xf numFmtId="178" fontId="3" fillId="0" borderId="23" xfId="0" applyNumberFormat="1" applyFont="1" applyBorder="1" applyAlignment="1">
      <alignment horizontal="center" vertical="center"/>
    </xf>
    <xf numFmtId="2" fontId="3" fillId="5" borderId="20" xfId="0" applyNumberFormat="1" applyFont="1" applyFill="1" applyBorder="1" applyAlignment="1">
      <alignment horizontal="center" vertical="center"/>
    </xf>
    <xf numFmtId="2" fontId="3" fillId="5" borderId="23" xfId="0" applyNumberFormat="1" applyFont="1" applyFill="1" applyBorder="1" applyAlignment="1">
      <alignment horizontal="center" vertical="center"/>
    </xf>
    <xf numFmtId="0" fontId="3" fillId="0" borderId="17" xfId="0" applyNumberFormat="1" applyFont="1" applyBorder="1" applyAlignment="1">
      <alignment horizontal="center" vertical="center" wrapText="1"/>
    </xf>
    <xf numFmtId="0" fontId="3" fillId="0" borderId="23" xfId="0" applyNumberFormat="1" applyFont="1" applyBorder="1" applyAlignment="1">
      <alignment horizontal="center" vertical="center" wrapText="1"/>
    </xf>
    <xf numFmtId="2" fontId="3" fillId="0" borderId="19" xfId="0" applyNumberFormat="1" applyFont="1" applyBorder="1" applyAlignment="1">
      <alignment horizontal="center" vertical="center"/>
    </xf>
    <xf numFmtId="2" fontId="3" fillId="0" borderId="43" xfId="0" applyNumberFormat="1" applyFont="1" applyBorder="1" applyAlignment="1">
      <alignment horizontal="center" vertical="center"/>
    </xf>
    <xf numFmtId="2" fontId="3" fillId="0" borderId="22" xfId="0" applyNumberFormat="1" applyFont="1" applyBorder="1" applyAlignment="1">
      <alignment horizontal="center" vertical="center"/>
    </xf>
    <xf numFmtId="2" fontId="3" fillId="0" borderId="44" xfId="0" applyNumberFormat="1" applyFont="1" applyBorder="1" applyAlignment="1">
      <alignment horizontal="center" vertical="center"/>
    </xf>
    <xf numFmtId="0" fontId="3" fillId="0" borderId="39" xfId="0" applyNumberFormat="1" applyFont="1" applyFill="1" applyBorder="1" applyAlignment="1">
      <alignment horizontal="center" vertical="center"/>
    </xf>
    <xf numFmtId="0" fontId="3" fillId="0" borderId="40" xfId="0" applyNumberFormat="1" applyFont="1" applyFill="1" applyBorder="1" applyAlignment="1">
      <alignment horizontal="center" vertical="center"/>
    </xf>
    <xf numFmtId="2" fontId="3" fillId="0" borderId="20" xfId="0" applyNumberFormat="1" applyFont="1" applyFill="1" applyBorder="1" applyAlignment="1">
      <alignment horizontal="center" vertical="center"/>
    </xf>
    <xf numFmtId="0" fontId="3" fillId="0" borderId="51" xfId="0" applyNumberFormat="1" applyFont="1" applyFill="1" applyBorder="1" applyAlignment="1">
      <alignment horizontal="center" vertical="center"/>
    </xf>
    <xf numFmtId="0" fontId="3" fillId="0" borderId="52" xfId="0" applyNumberFormat="1" applyFont="1" applyFill="1" applyBorder="1" applyAlignment="1">
      <alignment horizontal="center" vertical="center"/>
    </xf>
    <xf numFmtId="2" fontId="3" fillId="0" borderId="23" xfId="0" applyNumberFormat="1" applyFont="1" applyFill="1" applyBorder="1" applyAlignment="1">
      <alignment horizontal="center" vertical="center"/>
    </xf>
    <xf numFmtId="0" fontId="3" fillId="0" borderId="36" xfId="0" applyNumberFormat="1" applyFont="1" applyFill="1" applyBorder="1" applyAlignment="1">
      <alignment horizontal="center" vertical="center"/>
    </xf>
    <xf numFmtId="0" fontId="3" fillId="0" borderId="17" xfId="0" applyNumberFormat="1" applyFont="1" applyFill="1" applyBorder="1" applyAlignment="1">
      <alignment horizontal="center" vertical="center"/>
    </xf>
    <xf numFmtId="0" fontId="3" fillId="0" borderId="37" xfId="0" applyNumberFormat="1" applyFont="1" applyFill="1" applyBorder="1" applyAlignment="1">
      <alignment horizontal="center" vertical="center"/>
    </xf>
    <xf numFmtId="0" fontId="3" fillId="0" borderId="20" xfId="0" applyNumberFormat="1" applyFont="1" applyFill="1" applyBorder="1" applyAlignment="1">
      <alignment horizontal="center" vertical="center"/>
    </xf>
    <xf numFmtId="0" fontId="3" fillId="0" borderId="23" xfId="0" applyNumberFormat="1" applyFont="1" applyBorder="1" applyAlignment="1">
      <alignment horizontal="center" vertical="center" shrinkToFit="1"/>
    </xf>
    <xf numFmtId="0" fontId="3" fillId="0" borderId="20" xfId="0" applyNumberFormat="1" applyFont="1" applyBorder="1" applyAlignment="1">
      <alignment horizontal="center" vertical="center" wrapText="1"/>
    </xf>
    <xf numFmtId="0" fontId="3" fillId="0" borderId="21" xfId="0" applyNumberFormat="1" applyFont="1" applyBorder="1" applyAlignment="1">
      <alignment horizontal="center" vertical="center" wrapText="1"/>
    </xf>
    <xf numFmtId="0" fontId="3" fillId="0" borderId="24" xfId="0" applyNumberFormat="1" applyFont="1" applyBorder="1" applyAlignment="1">
      <alignment horizontal="center" vertical="center" wrapText="1"/>
    </xf>
    <xf numFmtId="2" fontId="3" fillId="5" borderId="17" xfId="0" applyNumberFormat="1" applyFont="1" applyFill="1" applyBorder="1" applyAlignment="1">
      <alignment horizontal="center" vertical="center"/>
    </xf>
    <xf numFmtId="0" fontId="3" fillId="0" borderId="36" xfId="0" applyNumberFormat="1" applyFont="1" applyBorder="1" applyAlignment="1">
      <alignment horizontal="center" vertical="center" wrapText="1"/>
    </xf>
    <xf numFmtId="0" fontId="3" fillId="0" borderId="37" xfId="0" applyNumberFormat="1" applyFont="1" applyBorder="1" applyAlignment="1">
      <alignment horizontal="center" vertical="center" wrapText="1"/>
    </xf>
    <xf numFmtId="0" fontId="3" fillId="0" borderId="38" xfId="0" applyNumberFormat="1" applyFont="1" applyBorder="1" applyAlignment="1">
      <alignment horizontal="center" vertical="center" wrapText="1"/>
    </xf>
    <xf numFmtId="0" fontId="3" fillId="0" borderId="18" xfId="0" applyNumberFormat="1" applyFont="1" applyBorder="1" applyAlignment="1">
      <alignment horizontal="center" vertical="center" wrapText="1"/>
    </xf>
    <xf numFmtId="0" fontId="3" fillId="0" borderId="36" xfId="0" applyNumberFormat="1" applyFont="1" applyBorder="1" applyAlignment="1">
      <alignment horizontal="center" vertical="center"/>
    </xf>
    <xf numFmtId="0" fontId="3" fillId="0" borderId="17" xfId="0" applyNumberFormat="1" applyFont="1" applyBorder="1" applyAlignment="1">
      <alignment horizontal="center" vertical="center"/>
    </xf>
    <xf numFmtId="0" fontId="3" fillId="0" borderId="18" xfId="0" applyNumberFormat="1" applyFont="1" applyBorder="1" applyAlignment="1">
      <alignment horizontal="center" vertical="center"/>
    </xf>
    <xf numFmtId="0" fontId="3" fillId="0" borderId="24" xfId="0" applyNumberFormat="1" applyFont="1" applyBorder="1" applyAlignment="1">
      <alignment horizontal="center" vertical="center"/>
    </xf>
    <xf numFmtId="0" fontId="3" fillId="0" borderId="17" xfId="0" applyNumberFormat="1" applyFont="1" applyBorder="1" applyAlignment="1">
      <alignment horizontal="center" vertical="center" wrapText="1" shrinkToFit="1"/>
    </xf>
    <xf numFmtId="0" fontId="3" fillId="0" borderId="17" xfId="0" applyNumberFormat="1" applyFont="1" applyBorder="1" applyAlignment="1">
      <alignment horizontal="center" vertical="center" shrinkToFit="1"/>
    </xf>
    <xf numFmtId="0" fontId="3" fillId="0" borderId="1" xfId="0" applyNumberFormat="1" applyFont="1" applyBorder="1" applyAlignment="1">
      <alignment horizontal="center" vertical="center" wrapText="1"/>
    </xf>
    <xf numFmtId="0" fontId="3" fillId="0" borderId="8" xfId="0" applyNumberFormat="1" applyFont="1" applyBorder="1" applyAlignment="1">
      <alignment horizontal="center" vertical="center" wrapText="1"/>
    </xf>
    <xf numFmtId="0" fontId="3" fillId="0" borderId="0" xfId="0" applyNumberFormat="1" applyFont="1" applyBorder="1" applyAlignment="1">
      <alignment horizontal="center" vertical="center" wrapText="1"/>
    </xf>
    <xf numFmtId="0" fontId="3" fillId="0" borderId="11" xfId="0" applyNumberFormat="1" applyFont="1" applyBorder="1" applyAlignment="1">
      <alignment horizontal="center" vertical="center" wrapText="1"/>
    </xf>
    <xf numFmtId="0" fontId="3" fillId="0" borderId="4" xfId="0" applyNumberFormat="1" applyFont="1" applyBorder="1" applyAlignment="1">
      <alignment horizontal="center" vertical="center" wrapText="1"/>
    </xf>
    <xf numFmtId="0" fontId="3" fillId="0" borderId="9" xfId="0" applyNumberFormat="1" applyFont="1" applyBorder="1" applyAlignment="1">
      <alignment horizontal="center" vertical="center" wrapText="1"/>
    </xf>
    <xf numFmtId="0" fontId="3" fillId="0" borderId="10" xfId="0" applyNumberFormat="1" applyFont="1" applyBorder="1" applyAlignment="1">
      <alignment horizontal="center" vertical="center" wrapText="1"/>
    </xf>
    <xf numFmtId="0" fontId="3" fillId="0" borderId="10" xfId="0" applyNumberFormat="1" applyFont="1" applyBorder="1" applyAlignment="1">
      <alignment horizontal="center" vertical="center"/>
    </xf>
    <xf numFmtId="0" fontId="3" fillId="0" borderId="5" xfId="0" applyNumberFormat="1" applyFont="1" applyBorder="1" applyAlignment="1">
      <alignment horizontal="center" vertical="center"/>
    </xf>
    <xf numFmtId="0" fontId="3" fillId="0" borderId="2" xfId="0" applyNumberFormat="1" applyFont="1" applyBorder="1" applyAlignment="1">
      <alignment horizontal="center" vertical="center" wrapText="1" shrinkToFit="1"/>
    </xf>
    <xf numFmtId="0" fontId="3" fillId="0" borderId="1" xfId="0" applyNumberFormat="1" applyFont="1" applyBorder="1" applyAlignment="1">
      <alignment horizontal="center" vertical="center" shrinkToFit="1"/>
    </xf>
    <xf numFmtId="0" fontId="3" fillId="0" borderId="8" xfId="0" applyNumberFormat="1" applyFont="1" applyBorder="1" applyAlignment="1">
      <alignment horizontal="center" vertical="center" shrinkToFit="1"/>
    </xf>
    <xf numFmtId="0" fontId="3" fillId="0" borderId="0" xfId="0" applyNumberFormat="1" applyFont="1" applyBorder="1" applyAlignment="1">
      <alignment horizontal="center" vertical="center" shrinkToFit="1"/>
    </xf>
    <xf numFmtId="0" fontId="3" fillId="0" borderId="3" xfId="0" applyNumberFormat="1" applyFont="1" applyBorder="1" applyAlignment="1">
      <alignment horizontal="center" vertical="center" shrinkToFit="1"/>
    </xf>
    <xf numFmtId="0" fontId="3" fillId="0" borderId="4" xfId="0" applyNumberFormat="1" applyFont="1" applyBorder="1" applyAlignment="1">
      <alignment horizontal="center" vertical="center" shrinkToFit="1"/>
    </xf>
    <xf numFmtId="0" fontId="3" fillId="0" borderId="9" xfId="0" applyNumberFormat="1" applyFont="1" applyBorder="1" applyAlignment="1">
      <alignment horizontal="center" vertical="center" shrinkToFit="1"/>
    </xf>
    <xf numFmtId="0" fontId="3" fillId="0" borderId="5" xfId="0" applyNumberFormat="1" applyFont="1" applyBorder="1" applyAlignment="1">
      <alignment horizontal="center" vertical="center" wrapText="1"/>
    </xf>
    <xf numFmtId="0" fontId="3" fillId="0" borderId="7" xfId="0" applyNumberFormat="1" applyFont="1" applyBorder="1" applyAlignment="1">
      <alignment horizontal="center" vertical="center" wrapText="1"/>
    </xf>
    <xf numFmtId="0" fontId="3" fillId="0" borderId="7" xfId="0" applyNumberFormat="1" applyFont="1" applyBorder="1" applyAlignment="1">
      <alignment horizontal="center" vertical="center"/>
    </xf>
    <xf numFmtId="0" fontId="6" fillId="0" borderId="0" xfId="0" applyNumberFormat="1" applyFont="1" applyBorder="1" applyAlignment="1">
      <alignment horizontal="center" vertical="center" shrinkToFit="1"/>
    </xf>
    <xf numFmtId="0" fontId="3" fillId="0" borderId="47" xfId="0" applyNumberFormat="1" applyFont="1" applyBorder="1" applyAlignment="1">
      <alignment horizontal="center" vertical="center" wrapText="1"/>
    </xf>
    <xf numFmtId="0" fontId="3" fillId="0" borderId="49" xfId="0" applyNumberFormat="1" applyFont="1" applyBorder="1" applyAlignment="1">
      <alignment horizontal="center" vertical="center" wrapText="1"/>
    </xf>
    <xf numFmtId="0" fontId="3" fillId="0" borderId="50" xfId="0" applyNumberFormat="1" applyFont="1" applyBorder="1" applyAlignment="1">
      <alignment horizontal="center" vertical="center" wrapText="1"/>
    </xf>
    <xf numFmtId="0" fontId="3" fillId="0" borderId="51" xfId="0" applyNumberFormat="1" applyFont="1" applyBorder="1" applyAlignment="1">
      <alignment horizontal="center" vertical="center" wrapText="1"/>
    </xf>
    <xf numFmtId="0" fontId="3" fillId="0" borderId="52" xfId="0" applyNumberFormat="1" applyFont="1" applyBorder="1" applyAlignment="1">
      <alignment horizontal="center" vertical="center" wrapText="1"/>
    </xf>
    <xf numFmtId="0" fontId="3" fillId="0" borderId="52" xfId="0" applyNumberFormat="1" applyFont="1" applyBorder="1" applyAlignment="1">
      <alignment horizontal="center" vertical="center" shrinkToFit="1"/>
    </xf>
    <xf numFmtId="0" fontId="3" fillId="0" borderId="0" xfId="0" applyNumberFormat="1" applyFont="1" applyBorder="1" applyAlignment="1">
      <alignment horizontal="center" vertical="center"/>
    </xf>
    <xf numFmtId="0" fontId="3" fillId="0" borderId="47" xfId="0" applyNumberFormat="1" applyFont="1" applyBorder="1" applyAlignment="1">
      <alignment horizontal="center" vertical="center" shrinkToFit="1"/>
    </xf>
    <xf numFmtId="0" fontId="3" fillId="0" borderId="48" xfId="0" applyNumberFormat="1" applyFont="1" applyBorder="1" applyAlignment="1">
      <alignment horizontal="center" vertical="center" shrinkToFit="1"/>
    </xf>
    <xf numFmtId="0" fontId="3" fillId="0" borderId="40" xfId="0" applyNumberFormat="1" applyFont="1" applyBorder="1" applyAlignment="1">
      <alignment horizontal="center" vertical="center"/>
    </xf>
    <xf numFmtId="178" fontId="3" fillId="0" borderId="40" xfId="0" applyNumberFormat="1" applyFont="1" applyBorder="1" applyAlignment="1">
      <alignment horizontal="center" vertical="center"/>
    </xf>
    <xf numFmtId="178" fontId="3" fillId="0" borderId="41" xfId="0" applyNumberFormat="1" applyFont="1" applyBorder="1" applyAlignment="1">
      <alignment horizontal="center" vertical="center"/>
    </xf>
    <xf numFmtId="2" fontId="3" fillId="0" borderId="40" xfId="0" applyNumberFormat="1" applyFont="1" applyBorder="1" applyAlignment="1">
      <alignment horizontal="center" vertical="center"/>
    </xf>
    <xf numFmtId="0" fontId="3" fillId="0" borderId="39" xfId="0" applyNumberFormat="1" applyFont="1" applyBorder="1" applyAlignment="1">
      <alignment horizontal="center" vertical="center"/>
    </xf>
    <xf numFmtId="0" fontId="3" fillId="0" borderId="41" xfId="0" applyNumberFormat="1" applyFont="1" applyBorder="1" applyAlignment="1">
      <alignment horizontal="center" vertical="center"/>
    </xf>
    <xf numFmtId="0" fontId="3" fillId="0" borderId="46" xfId="0" applyNumberFormat="1" applyFont="1" applyBorder="1" applyAlignment="1">
      <alignment horizontal="center" vertical="center"/>
    </xf>
    <xf numFmtId="0" fontId="3" fillId="0" borderId="47" xfId="0" applyNumberFormat="1" applyFont="1" applyBorder="1" applyAlignment="1">
      <alignment horizontal="center" vertical="center"/>
    </xf>
    <xf numFmtId="0" fontId="3" fillId="0" borderId="48" xfId="0" applyNumberFormat="1" applyFont="1" applyBorder="1" applyAlignment="1">
      <alignment horizontal="center" vertical="center"/>
    </xf>
    <xf numFmtId="178" fontId="3" fillId="0" borderId="24" xfId="0" applyNumberFormat="1" applyFont="1" applyBorder="1" applyAlignment="1">
      <alignment horizontal="center" vertical="center"/>
    </xf>
    <xf numFmtId="0" fontId="3" fillId="0" borderId="18" xfId="0" applyNumberFormat="1" applyFont="1" applyFill="1" applyBorder="1" applyAlignment="1">
      <alignment horizontal="center" vertical="center"/>
    </xf>
    <xf numFmtId="177" fontId="3" fillId="0" borderId="37" xfId="0" applyNumberFormat="1" applyFont="1" applyFill="1" applyBorder="1" applyAlignment="1">
      <alignment horizontal="center" vertical="center"/>
    </xf>
    <xf numFmtId="177" fontId="3" fillId="0" borderId="20" xfId="0" applyNumberFormat="1" applyFont="1" applyFill="1" applyBorder="1" applyAlignment="1">
      <alignment horizontal="center" vertical="center"/>
    </xf>
    <xf numFmtId="177" fontId="3" fillId="0" borderId="38" xfId="0" applyNumberFormat="1" applyFont="1" applyFill="1" applyBorder="1" applyAlignment="1">
      <alignment horizontal="center" vertical="center"/>
    </xf>
    <xf numFmtId="177" fontId="3" fillId="0" borderId="23" xfId="0" applyNumberFormat="1" applyFont="1" applyFill="1" applyBorder="1" applyAlignment="1">
      <alignment horizontal="center" vertical="center"/>
    </xf>
    <xf numFmtId="177" fontId="3" fillId="0" borderId="36" xfId="0" applyNumberFormat="1" applyFont="1" applyFill="1" applyBorder="1" applyAlignment="1">
      <alignment horizontal="center" vertical="center"/>
    </xf>
    <xf numFmtId="177" fontId="3" fillId="0" borderId="17" xfId="0" applyNumberFormat="1" applyFont="1" applyFill="1" applyBorder="1" applyAlignment="1">
      <alignment horizontal="center" vertical="center"/>
    </xf>
    <xf numFmtId="0" fontId="3" fillId="0" borderId="42" xfId="0" applyNumberFormat="1" applyFont="1" applyFill="1" applyBorder="1" applyAlignment="1">
      <alignment horizontal="center" vertical="center"/>
    </xf>
    <xf numFmtId="177" fontId="3" fillId="0" borderId="16" xfId="0" applyNumberFormat="1" applyFont="1" applyBorder="1" applyAlignment="1">
      <alignment horizontal="center" vertical="center"/>
    </xf>
    <xf numFmtId="177" fontId="3" fillId="0" borderId="17" xfId="0" applyNumberFormat="1" applyFont="1" applyBorder="1" applyAlignment="1">
      <alignment horizontal="center" vertical="center"/>
    </xf>
    <xf numFmtId="0" fontId="3" fillId="0" borderId="8" xfId="0" applyNumberFormat="1" applyFont="1" applyBorder="1" applyAlignment="1">
      <alignment horizontal="center" vertical="center"/>
    </xf>
    <xf numFmtId="0" fontId="3" fillId="0" borderId="13" xfId="0" applyNumberFormat="1" applyFont="1" applyBorder="1" applyAlignment="1">
      <alignment horizontal="center" vertical="center"/>
    </xf>
    <xf numFmtId="0" fontId="3" fillId="0" borderId="2" xfId="0" applyNumberFormat="1" applyFont="1" applyBorder="1" applyAlignment="1">
      <alignment horizontal="center" vertical="center"/>
    </xf>
    <xf numFmtId="0" fontId="3" fillId="0" borderId="64" xfId="0" applyNumberFormat="1" applyFont="1" applyBorder="1" applyAlignment="1">
      <alignment horizontal="center" vertical="center"/>
    </xf>
    <xf numFmtId="0" fontId="3" fillId="0" borderId="60" xfId="0" applyNumberFormat="1" applyFont="1" applyBorder="1" applyAlignment="1">
      <alignment horizontal="center" vertical="center"/>
    </xf>
    <xf numFmtId="0" fontId="3" fillId="0" borderId="21" xfId="0" applyNumberFormat="1" applyFont="1" applyBorder="1" applyAlignment="1">
      <alignment horizontal="center" vertical="center"/>
    </xf>
    <xf numFmtId="177" fontId="3" fillId="0" borderId="19" xfId="0" applyNumberFormat="1" applyFont="1" applyBorder="1" applyAlignment="1">
      <alignment horizontal="center" vertical="center"/>
    </xf>
    <xf numFmtId="177" fontId="3" fillId="0" borderId="7" xfId="0" applyNumberFormat="1" applyFont="1" applyBorder="1" applyAlignment="1">
      <alignment horizontal="center" vertical="center"/>
    </xf>
    <xf numFmtId="177" fontId="3" fillId="0" borderId="10" xfId="0" applyNumberFormat="1" applyFont="1" applyBorder="1" applyAlignment="1">
      <alignment horizontal="center" vertical="center"/>
    </xf>
    <xf numFmtId="0" fontId="3" fillId="0" borderId="10" xfId="0" applyNumberFormat="1" applyFont="1" applyFill="1" applyBorder="1" applyAlignment="1">
      <alignment horizontal="center" vertical="center"/>
    </xf>
    <xf numFmtId="2" fontId="3" fillId="0" borderId="10" xfId="0" applyNumberFormat="1" applyFont="1" applyBorder="1" applyAlignment="1">
      <alignment horizontal="center" vertical="center"/>
    </xf>
    <xf numFmtId="177" fontId="3" fillId="0" borderId="5" xfId="0" applyNumberFormat="1" applyFont="1" applyBorder="1" applyAlignment="1">
      <alignment horizontal="center" vertical="center"/>
    </xf>
    <xf numFmtId="0" fontId="3" fillId="0" borderId="32" xfId="0" applyNumberFormat="1" applyFont="1" applyBorder="1" applyAlignment="1">
      <alignment horizontal="center" vertical="center"/>
    </xf>
    <xf numFmtId="0" fontId="3" fillId="0" borderId="33" xfId="0" applyNumberFormat="1" applyFont="1" applyBorder="1" applyAlignment="1">
      <alignment horizontal="center" vertical="center"/>
    </xf>
    <xf numFmtId="0" fontId="3" fillId="0" borderId="31" xfId="0" applyNumberFormat="1" applyFont="1" applyBorder="1" applyAlignment="1">
      <alignment horizontal="center" vertical="center"/>
    </xf>
    <xf numFmtId="0" fontId="3" fillId="0" borderId="35" xfId="0" applyNumberFormat="1" applyFont="1" applyBorder="1" applyAlignment="1">
      <alignment horizontal="center" vertical="center"/>
    </xf>
    <xf numFmtId="0" fontId="3" fillId="0" borderId="34" xfId="0" applyNumberFormat="1" applyFont="1" applyBorder="1" applyAlignment="1">
      <alignment horizontal="center" vertical="center"/>
    </xf>
    <xf numFmtId="0" fontId="3" fillId="0" borderId="10" xfId="0" applyNumberFormat="1" applyFont="1" applyBorder="1" applyAlignment="1">
      <alignment horizontal="center" vertical="center" shrinkToFit="1"/>
    </xf>
    <xf numFmtId="0" fontId="3" fillId="0" borderId="10" xfId="0" applyNumberFormat="1" applyFont="1" applyBorder="1" applyAlignment="1">
      <alignment horizontal="center" vertical="center" wrapText="1" shrinkToFit="1"/>
    </xf>
    <xf numFmtId="0" fontId="3" fillId="0" borderId="5" xfId="0" applyNumberFormat="1" applyFont="1" applyBorder="1" applyAlignment="1">
      <alignment horizontal="center" vertical="center" wrapText="1" shrinkToFit="1"/>
    </xf>
    <xf numFmtId="177" fontId="3" fillId="0" borderId="16" xfId="0" applyNumberFormat="1" applyFont="1" applyFill="1" applyBorder="1" applyAlignment="1">
      <alignment horizontal="center" vertical="center"/>
    </xf>
    <xf numFmtId="177" fontId="3" fillId="0" borderId="19" xfId="0" applyNumberFormat="1" applyFont="1" applyFill="1" applyBorder="1" applyAlignment="1">
      <alignment horizontal="center" vertical="center"/>
    </xf>
    <xf numFmtId="0" fontId="3" fillId="0" borderId="43" xfId="0" applyNumberFormat="1" applyFont="1" applyFill="1" applyBorder="1" applyAlignment="1">
      <alignment horizontal="center" vertical="center"/>
    </xf>
    <xf numFmtId="0" fontId="3" fillId="0" borderId="59" xfId="0" applyNumberFormat="1" applyFont="1" applyBorder="1" applyAlignment="1">
      <alignment horizontal="center" vertical="center" wrapText="1"/>
    </xf>
    <xf numFmtId="0" fontId="3" fillId="0" borderId="60" xfId="0" applyNumberFormat="1" applyFont="1" applyBorder="1" applyAlignment="1">
      <alignment horizontal="center" vertical="center" wrapText="1"/>
    </xf>
    <xf numFmtId="0" fontId="3" fillId="0" borderId="32" xfId="0" applyNumberFormat="1" applyFont="1" applyBorder="1" applyAlignment="1">
      <alignment horizontal="center" vertical="center" wrapText="1"/>
    </xf>
    <xf numFmtId="0" fontId="3" fillId="0" borderId="33" xfId="0" applyNumberFormat="1" applyFont="1" applyBorder="1" applyAlignment="1">
      <alignment horizontal="center" vertical="center" wrapText="1"/>
    </xf>
    <xf numFmtId="0" fontId="3" fillId="0" borderId="61" xfId="0" applyNumberFormat="1" applyFont="1" applyBorder="1" applyAlignment="1">
      <alignment horizontal="center" vertical="center" wrapText="1"/>
    </xf>
    <xf numFmtId="0" fontId="3" fillId="0" borderId="62" xfId="0" applyNumberFormat="1" applyFont="1" applyBorder="1" applyAlignment="1">
      <alignment horizontal="center" vertical="center" wrapText="1"/>
    </xf>
    <xf numFmtId="0" fontId="3" fillId="0" borderId="63" xfId="0" applyNumberFormat="1" applyFont="1" applyBorder="1" applyAlignment="1">
      <alignment horizontal="center" vertical="center" wrapText="1"/>
    </xf>
    <xf numFmtId="0" fontId="3" fillId="0" borderId="57" xfId="0" applyNumberFormat="1" applyFont="1" applyBorder="1" applyAlignment="1">
      <alignment horizontal="center" vertical="center" wrapText="1"/>
    </xf>
    <xf numFmtId="0" fontId="3" fillId="0" borderId="23" xfId="0" applyNumberFormat="1" applyFont="1" applyBorder="1" applyAlignment="1">
      <alignment horizontal="center" vertical="center" wrapText="1" shrinkToFit="1"/>
    </xf>
    <xf numFmtId="0" fontId="3" fillId="0" borderId="16" xfId="0" applyNumberFormat="1" applyFont="1" applyBorder="1" applyAlignment="1">
      <alignment horizontal="center" vertical="center" wrapText="1"/>
    </xf>
    <xf numFmtId="0" fontId="3" fillId="0" borderId="19" xfId="0" applyNumberFormat="1" applyFont="1" applyBorder="1" applyAlignment="1">
      <alignment horizontal="center" vertical="center" wrapText="1"/>
    </xf>
    <xf numFmtId="0" fontId="3" fillId="0" borderId="22" xfId="0" applyNumberFormat="1" applyFont="1" applyBorder="1" applyAlignment="1">
      <alignment horizontal="center" vertical="center"/>
    </xf>
    <xf numFmtId="2" fontId="3" fillId="0" borderId="17" xfId="0" applyNumberFormat="1" applyFont="1" applyFill="1" applyBorder="1" applyAlignment="1">
      <alignment horizontal="center" vertical="center"/>
    </xf>
    <xf numFmtId="0" fontId="3" fillId="0" borderId="56" xfId="0" applyNumberFormat="1" applyFont="1" applyBorder="1" applyAlignment="1">
      <alignment horizontal="center" vertical="center" wrapText="1"/>
    </xf>
    <xf numFmtId="0" fontId="3" fillId="0" borderId="34" xfId="0" applyNumberFormat="1" applyFont="1" applyBorder="1" applyAlignment="1">
      <alignment horizontal="center" vertical="center" wrapText="1"/>
    </xf>
    <xf numFmtId="0" fontId="3" fillId="0" borderId="58" xfId="0" applyNumberFormat="1" applyFont="1" applyBorder="1" applyAlignment="1">
      <alignment horizontal="center" vertical="center" wrapText="1"/>
    </xf>
    <xf numFmtId="0" fontId="3" fillId="0" borderId="42" xfId="0" applyNumberFormat="1" applyFont="1" applyBorder="1" applyAlignment="1">
      <alignment horizontal="center" vertical="center" wrapText="1"/>
    </xf>
    <xf numFmtId="0" fontId="3" fillId="0" borderId="43" xfId="0" applyNumberFormat="1" applyFont="1" applyBorder="1" applyAlignment="1">
      <alignment horizontal="center" vertical="center" wrapText="1"/>
    </xf>
    <xf numFmtId="0" fontId="3" fillId="0" borderId="22" xfId="0" applyNumberFormat="1" applyFont="1" applyBorder="1" applyAlignment="1">
      <alignment horizontal="center" vertical="center" wrapText="1"/>
    </xf>
    <xf numFmtId="0" fontId="3" fillId="0" borderId="44" xfId="0" applyNumberFormat="1" applyFont="1" applyBorder="1" applyAlignment="1">
      <alignment horizontal="center" vertical="center" wrapText="1"/>
    </xf>
    <xf numFmtId="2" fontId="3" fillId="0" borderId="45" xfId="0" applyNumberFormat="1" applyFont="1" applyBorder="1" applyAlignment="1">
      <alignment horizontal="center" vertical="center"/>
    </xf>
    <xf numFmtId="2" fontId="3" fillId="0" borderId="53" xfId="0" applyNumberFormat="1" applyFont="1" applyBorder="1" applyAlignment="1">
      <alignment horizontal="center" vertical="center"/>
    </xf>
    <xf numFmtId="0" fontId="3" fillId="0" borderId="42" xfId="0" applyNumberFormat="1" applyFont="1" applyBorder="1" applyAlignment="1">
      <alignment horizontal="center" vertical="center"/>
    </xf>
    <xf numFmtId="0" fontId="3" fillId="0" borderId="43" xfId="0" applyNumberFormat="1" applyFont="1" applyBorder="1" applyAlignment="1">
      <alignment horizontal="center" vertical="center"/>
    </xf>
    <xf numFmtId="0" fontId="3" fillId="0" borderId="44" xfId="0" applyNumberFormat="1" applyFont="1" applyBorder="1" applyAlignment="1">
      <alignment horizontal="center" vertical="center"/>
    </xf>
    <xf numFmtId="0" fontId="3" fillId="0" borderId="38"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177" fontId="3" fillId="0" borderId="2" xfId="0" applyNumberFormat="1" applyFont="1" applyBorder="1" applyAlignment="1">
      <alignment horizontal="center" vertical="center"/>
    </xf>
    <xf numFmtId="177" fontId="3" fillId="0" borderId="1" xfId="0" applyNumberFormat="1" applyFont="1" applyBorder="1" applyAlignment="1">
      <alignment horizontal="center" vertical="center"/>
    </xf>
    <xf numFmtId="177" fontId="3" fillId="0" borderId="3" xfId="0" applyNumberFormat="1" applyFont="1" applyBorder="1" applyAlignment="1">
      <alignment horizontal="center" vertical="center"/>
    </xf>
    <xf numFmtId="177" fontId="3" fillId="0" borderId="4" xfId="0" applyNumberFormat="1" applyFont="1" applyBorder="1" applyAlignment="1">
      <alignment horizontal="center" vertical="center"/>
    </xf>
    <xf numFmtId="2" fontId="3" fillId="0" borderId="16" xfId="0" applyNumberFormat="1" applyFont="1" applyBorder="1" applyAlignment="1">
      <alignment horizontal="center" vertical="center"/>
    </xf>
    <xf numFmtId="2" fontId="3" fillId="0" borderId="17" xfId="0" applyNumberFormat="1" applyFont="1" applyBorder="1" applyAlignment="1">
      <alignment horizontal="center" vertical="center"/>
    </xf>
    <xf numFmtId="2" fontId="3" fillId="0" borderId="42" xfId="0" applyNumberFormat="1" applyFont="1" applyBorder="1" applyAlignment="1">
      <alignment horizontal="center" vertical="center"/>
    </xf>
    <xf numFmtId="177" fontId="3" fillId="0" borderId="8" xfId="0" applyNumberFormat="1" applyFont="1" applyBorder="1" applyAlignment="1">
      <alignment horizontal="center" vertical="center"/>
    </xf>
    <xf numFmtId="177" fontId="3" fillId="0" borderId="12" xfId="0" applyNumberFormat="1" applyFont="1" applyBorder="1" applyAlignment="1">
      <alignment horizontal="center" vertical="center"/>
    </xf>
    <xf numFmtId="177" fontId="3" fillId="0" borderId="0" xfId="0" applyNumberFormat="1" applyFont="1" applyBorder="1" applyAlignment="1">
      <alignment horizontal="center" vertical="center"/>
    </xf>
    <xf numFmtId="177" fontId="3" fillId="0" borderId="11" xfId="0" applyNumberFormat="1" applyFont="1" applyBorder="1" applyAlignment="1">
      <alignment horizontal="center" vertical="center"/>
    </xf>
    <xf numFmtId="177" fontId="3" fillId="0" borderId="9" xfId="0" applyNumberFormat="1" applyFont="1" applyBorder="1" applyAlignment="1">
      <alignment horizontal="center" vertical="center"/>
    </xf>
    <xf numFmtId="0" fontId="3" fillId="0" borderId="1" xfId="0" applyNumberFormat="1" applyFont="1" applyBorder="1" applyAlignment="1">
      <alignment horizontal="center" vertical="center"/>
    </xf>
    <xf numFmtId="0" fontId="3" fillId="0" borderId="11" xfId="0" applyNumberFormat="1" applyFont="1" applyBorder="1" applyAlignment="1">
      <alignment horizontal="center" vertical="center"/>
    </xf>
    <xf numFmtId="0" fontId="3" fillId="0" borderId="4" xfId="0" applyNumberFormat="1" applyFont="1" applyBorder="1" applyAlignment="1">
      <alignment horizontal="center" vertical="center"/>
    </xf>
    <xf numFmtId="0" fontId="3" fillId="0" borderId="9" xfId="0" applyNumberFormat="1" applyFont="1" applyBorder="1" applyAlignment="1">
      <alignment horizontal="center" vertical="center"/>
    </xf>
    <xf numFmtId="0" fontId="3" fillId="0" borderId="2" xfId="0" applyNumberFormat="1" applyFont="1" applyBorder="1" applyAlignment="1">
      <alignment horizontal="center" vertical="center" wrapText="1"/>
    </xf>
    <xf numFmtId="0" fontId="3" fillId="0" borderId="3" xfId="0" applyNumberFormat="1" applyFont="1" applyBorder="1" applyAlignment="1">
      <alignment horizontal="center" vertical="center"/>
    </xf>
    <xf numFmtId="178" fontId="3" fillId="0" borderId="10" xfId="0" applyNumberFormat="1" applyFont="1" applyBorder="1" applyAlignment="1">
      <alignment horizontal="center" vertical="center"/>
    </xf>
    <xf numFmtId="177" fontId="3" fillId="0" borderId="40" xfId="0" applyNumberFormat="1" applyFont="1" applyBorder="1" applyAlignment="1">
      <alignment horizontal="center" vertical="center"/>
    </xf>
    <xf numFmtId="2" fontId="3" fillId="0" borderId="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3" fillId="0" borderId="3" xfId="0" applyNumberFormat="1" applyFont="1" applyBorder="1" applyAlignment="1">
      <alignment horizontal="center" vertical="center"/>
    </xf>
    <xf numFmtId="2" fontId="3" fillId="0" borderId="4" xfId="0" applyNumberFormat="1" applyFont="1" applyBorder="1" applyAlignment="1">
      <alignment horizontal="center" vertical="center"/>
    </xf>
    <xf numFmtId="0" fontId="3" fillId="0" borderId="6" xfId="0" applyNumberFormat="1" applyFont="1" applyBorder="1" applyAlignment="1">
      <alignment horizontal="center" vertical="center"/>
    </xf>
    <xf numFmtId="2" fontId="3" fillId="0" borderId="5" xfId="0" applyNumberFormat="1" applyFont="1" applyBorder="1" applyAlignment="1">
      <alignment horizontal="center" vertical="center"/>
    </xf>
    <xf numFmtId="2" fontId="3" fillId="0" borderId="6" xfId="0" applyNumberFormat="1" applyFont="1" applyBorder="1" applyAlignment="1">
      <alignment horizontal="center" vertical="center"/>
    </xf>
    <xf numFmtId="0" fontId="3" fillId="0" borderId="3" xfId="0" applyNumberFormat="1" applyFont="1" applyBorder="1" applyAlignment="1">
      <alignment horizontal="center" vertical="center" wrapText="1"/>
    </xf>
    <xf numFmtId="0" fontId="3" fillId="0" borderId="1" xfId="0" applyNumberFormat="1" applyFont="1" applyBorder="1" applyAlignment="1">
      <alignment horizontal="center" vertical="center" wrapText="1" shrinkToFit="1"/>
    </xf>
    <xf numFmtId="0" fontId="3" fillId="0" borderId="3" xfId="0" applyNumberFormat="1" applyFont="1" applyBorder="1" applyAlignment="1">
      <alignment horizontal="center" vertical="center" wrapText="1" shrinkToFit="1"/>
    </xf>
    <xf numFmtId="0" fontId="3" fillId="0" borderId="4" xfId="0" applyNumberFormat="1" applyFont="1" applyBorder="1" applyAlignment="1">
      <alignment horizontal="center" vertical="center" wrapText="1" shrinkToFit="1"/>
    </xf>
    <xf numFmtId="177" fontId="3" fillId="0" borderId="6" xfId="0" applyNumberFormat="1" applyFont="1" applyBorder="1" applyAlignment="1">
      <alignment horizontal="center" vertical="center"/>
    </xf>
    <xf numFmtId="0" fontId="3" fillId="0" borderId="48" xfId="0" applyNumberFormat="1" applyFont="1" applyBorder="1" applyAlignment="1">
      <alignment horizontal="center" vertical="center" wrapText="1"/>
    </xf>
    <xf numFmtId="0" fontId="6" fillId="0" borderId="4" xfId="0" applyNumberFormat="1" applyFont="1" applyBorder="1" applyAlignment="1">
      <alignment horizontal="center" vertical="center" shrinkToFit="1"/>
    </xf>
    <xf numFmtId="177" fontId="3" fillId="0" borderId="22" xfId="0" applyNumberFormat="1" applyFont="1" applyBorder="1" applyAlignment="1">
      <alignment horizontal="center" vertical="center"/>
    </xf>
    <xf numFmtId="0" fontId="3" fillId="0" borderId="21"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3" fillId="0" borderId="44" xfId="0" applyNumberFormat="1" applyFont="1" applyFill="1" applyBorder="1" applyAlignment="1">
      <alignment horizontal="center" vertical="center"/>
    </xf>
    <xf numFmtId="0" fontId="3" fillId="0" borderId="16" xfId="0" applyNumberFormat="1" applyFont="1" applyBorder="1" applyAlignment="1">
      <alignment horizontal="center" vertical="center"/>
    </xf>
    <xf numFmtId="0" fontId="3" fillId="0" borderId="19" xfId="0" applyNumberFormat="1" applyFont="1" applyBorder="1" applyAlignment="1">
      <alignment horizontal="center" vertical="center"/>
    </xf>
    <xf numFmtId="177" fontId="3" fillId="0" borderId="22" xfId="0" applyNumberFormat="1" applyFont="1" applyFill="1" applyBorder="1" applyAlignment="1">
      <alignment horizontal="center" vertical="center"/>
    </xf>
    <xf numFmtId="0" fontId="3" fillId="0" borderId="12" xfId="0" applyNumberFormat="1" applyFont="1" applyBorder="1" applyAlignment="1">
      <alignment horizontal="center" vertical="center" wrapText="1"/>
    </xf>
    <xf numFmtId="0" fontId="3" fillId="0" borderId="67" xfId="0" applyNumberFormat="1" applyFont="1" applyBorder="1" applyAlignment="1">
      <alignment horizontal="center" vertical="center" wrapText="1"/>
    </xf>
    <xf numFmtId="0" fontId="3" fillId="0" borderId="68" xfId="0" applyNumberFormat="1" applyFont="1" applyBorder="1" applyAlignment="1">
      <alignment horizontal="center" vertical="center" wrapText="1"/>
    </xf>
    <xf numFmtId="0" fontId="3" fillId="0" borderId="69" xfId="0" applyNumberFormat="1" applyFont="1" applyBorder="1" applyAlignment="1">
      <alignment horizontal="center" vertical="center" wrapText="1"/>
    </xf>
    <xf numFmtId="2" fontId="3" fillId="0" borderId="41"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4" xfId="0" applyNumberFormat="1" applyFont="1" applyBorder="1" applyAlignment="1">
      <alignment horizontal="center" vertical="center"/>
    </xf>
    <xf numFmtId="0" fontId="3" fillId="6" borderId="17" xfId="0" applyNumberFormat="1" applyFont="1" applyFill="1" applyBorder="1" applyAlignment="1">
      <alignment horizontal="center" vertical="center"/>
    </xf>
    <xf numFmtId="0" fontId="3" fillId="6" borderId="18" xfId="0" applyNumberFormat="1" applyFont="1" applyFill="1" applyBorder="1" applyAlignment="1">
      <alignment horizontal="center" vertical="center"/>
    </xf>
    <xf numFmtId="0" fontId="3" fillId="6" borderId="20" xfId="0" applyNumberFormat="1" applyFont="1" applyFill="1" applyBorder="1" applyAlignment="1">
      <alignment horizontal="center" vertical="center"/>
    </xf>
    <xf numFmtId="0" fontId="3" fillId="6" borderId="21" xfId="0" applyNumberFormat="1" applyFont="1" applyFill="1" applyBorder="1" applyAlignment="1">
      <alignment horizontal="center" vertical="center"/>
    </xf>
    <xf numFmtId="0" fontId="3" fillId="6" borderId="23" xfId="0" applyNumberFormat="1" applyFont="1" applyFill="1" applyBorder="1" applyAlignment="1">
      <alignment horizontal="center" vertical="center"/>
    </xf>
    <xf numFmtId="0" fontId="3" fillId="6" borderId="24" xfId="0" applyNumberFormat="1" applyFont="1" applyFill="1" applyBorder="1" applyAlignment="1">
      <alignment horizontal="center" vertical="center"/>
    </xf>
    <xf numFmtId="0" fontId="3" fillId="0" borderId="0" xfId="0" applyNumberFormat="1" applyFont="1" applyFill="1" applyBorder="1" applyAlignment="1">
      <alignment horizontal="center" vertical="center"/>
    </xf>
    <xf numFmtId="0" fontId="3" fillId="0" borderId="71" xfId="0" applyNumberFormat="1" applyFont="1" applyBorder="1" applyAlignment="1">
      <alignment horizontal="center" vertical="center" wrapText="1"/>
    </xf>
    <xf numFmtId="0" fontId="3" fillId="0" borderId="52" xfId="0" applyNumberFormat="1" applyFont="1" applyBorder="1" applyAlignment="1">
      <alignment horizontal="center" vertical="center" wrapText="1" shrinkToFit="1"/>
    </xf>
    <xf numFmtId="0" fontId="6" fillId="0" borderId="17" xfId="0" applyNumberFormat="1" applyFont="1" applyBorder="1" applyAlignment="1">
      <alignment horizontal="center" vertical="center" shrinkToFit="1"/>
    </xf>
    <xf numFmtId="0" fontId="6" fillId="0" borderId="42" xfId="0" applyNumberFormat="1" applyFont="1" applyBorder="1" applyAlignment="1">
      <alignment horizontal="center" vertical="center" shrinkToFit="1"/>
    </xf>
    <xf numFmtId="0" fontId="6" fillId="0" borderId="36" xfId="0" applyNumberFormat="1" applyFont="1" applyBorder="1" applyAlignment="1">
      <alignment horizontal="center" vertical="center" shrinkToFit="1"/>
    </xf>
    <xf numFmtId="0" fontId="3" fillId="0" borderId="46" xfId="0" applyNumberFormat="1" applyFont="1" applyBorder="1" applyAlignment="1">
      <alignment horizontal="center" vertical="center" wrapText="1"/>
    </xf>
    <xf numFmtId="0" fontId="6" fillId="0" borderId="18" xfId="0" applyNumberFormat="1" applyFont="1" applyBorder="1" applyAlignment="1">
      <alignment horizontal="center" vertical="center" shrinkToFit="1"/>
    </xf>
    <xf numFmtId="0" fontId="23" fillId="0" borderId="5" xfId="0" applyFont="1" applyBorder="1" applyAlignment="1">
      <alignment horizontal="center"/>
    </xf>
    <xf numFmtId="0" fontId="23" fillId="0" borderId="7" xfId="0" applyFont="1" applyBorder="1" applyAlignment="1">
      <alignment horizontal="center"/>
    </xf>
    <xf numFmtId="0" fontId="6" fillId="0" borderId="0" xfId="0" applyNumberFormat="1" applyFont="1" applyBorder="1" applyAlignment="1">
      <alignment horizontal="left" vertical="center"/>
    </xf>
    <xf numFmtId="0" fontId="9" fillId="0" borderId="0" xfId="0" applyNumberFormat="1" applyFont="1" applyBorder="1" applyAlignment="1">
      <alignment vertical="center"/>
    </xf>
    <xf numFmtId="182" fontId="5" fillId="0" borderId="0" xfId="0" applyNumberFormat="1" applyFont="1" applyBorder="1" applyAlignment="1">
      <alignment horizontal="left" vertical="center"/>
    </xf>
    <xf numFmtId="0" fontId="3" fillId="0" borderId="0" xfId="0" applyNumberFormat="1" applyFont="1" applyBorder="1" applyAlignment="1">
      <alignment horizontal="centerContinuous" vertical="center"/>
    </xf>
    <xf numFmtId="0" fontId="3" fillId="0" borderId="1" xfId="0" applyNumberFormat="1" applyFont="1" applyBorder="1" applyAlignment="1">
      <alignment vertical="center"/>
    </xf>
    <xf numFmtId="2" fontId="3" fillId="0" borderId="0" xfId="0" applyNumberFormat="1" applyFont="1" applyBorder="1" applyAlignment="1">
      <alignment horizontal="center" vertical="center"/>
    </xf>
    <xf numFmtId="182" fontId="3" fillId="0" borderId="0" xfId="0" applyNumberFormat="1" applyFont="1" applyBorder="1" applyAlignment="1">
      <alignment horizontal="right" vertical="center"/>
    </xf>
    <xf numFmtId="0" fontId="5" fillId="0" borderId="0" xfId="0" applyNumberFormat="1" applyFont="1" applyBorder="1" applyAlignment="1">
      <alignment horizontal="left" vertical="center"/>
    </xf>
    <xf numFmtId="0" fontId="3" fillId="0" borderId="0" xfId="0" applyNumberFormat="1" applyFont="1" applyBorder="1" applyAlignment="1">
      <alignment horizontal="left" vertical="center"/>
    </xf>
    <xf numFmtId="1" fontId="3" fillId="0" borderId="16"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3" fillId="0" borderId="42" xfId="0" applyNumberFormat="1" applyFont="1" applyBorder="1" applyAlignment="1">
      <alignment horizontal="center" vertical="center"/>
    </xf>
    <xf numFmtId="1" fontId="3" fillId="0" borderId="36" xfId="0" applyNumberFormat="1" applyFont="1" applyBorder="1" applyAlignment="1">
      <alignment horizontal="center" vertical="center"/>
    </xf>
    <xf numFmtId="1" fontId="3" fillId="0" borderId="18" xfId="0" applyNumberFormat="1" applyFont="1" applyBorder="1" applyAlignment="1">
      <alignment horizontal="center" vertical="center"/>
    </xf>
    <xf numFmtId="1" fontId="3" fillId="0" borderId="19" xfId="0" applyNumberFormat="1" applyFont="1" applyBorder="1" applyAlignment="1">
      <alignment horizontal="center" vertical="center"/>
    </xf>
    <xf numFmtId="1" fontId="3" fillId="0" borderId="20" xfId="0" applyNumberFormat="1" applyFont="1" applyBorder="1" applyAlignment="1">
      <alignment horizontal="center" vertical="center"/>
    </xf>
    <xf numFmtId="1" fontId="3" fillId="0" borderId="43" xfId="0" applyNumberFormat="1" applyFont="1" applyBorder="1" applyAlignment="1">
      <alignment horizontal="center" vertical="center"/>
    </xf>
    <xf numFmtId="1" fontId="3" fillId="0" borderId="37" xfId="0" applyNumberFormat="1" applyFont="1" applyBorder="1" applyAlignment="1">
      <alignment horizontal="center" vertical="center"/>
    </xf>
    <xf numFmtId="1" fontId="3" fillId="0" borderId="21" xfId="0" applyNumberFormat="1" applyFont="1" applyBorder="1" applyAlignment="1">
      <alignment horizontal="center" vertical="center"/>
    </xf>
    <xf numFmtId="1" fontId="3" fillId="0" borderId="22" xfId="0" applyNumberFormat="1" applyFont="1" applyBorder="1" applyAlignment="1">
      <alignment horizontal="center" vertical="center"/>
    </xf>
    <xf numFmtId="1" fontId="3" fillId="0" borderId="23" xfId="0" applyNumberFormat="1" applyFont="1" applyBorder="1" applyAlignment="1">
      <alignment horizontal="center" vertical="center"/>
    </xf>
    <xf numFmtId="1" fontId="3" fillId="0" borderId="44" xfId="0" applyNumberFormat="1" applyFont="1" applyBorder="1" applyAlignment="1">
      <alignment horizontal="center" vertical="center"/>
    </xf>
    <xf numFmtId="1" fontId="3" fillId="0" borderId="38" xfId="0" applyNumberFormat="1" applyFont="1" applyBorder="1" applyAlignment="1">
      <alignment horizontal="center" vertical="center"/>
    </xf>
    <xf numFmtId="1" fontId="3" fillId="0" borderId="24" xfId="0" applyNumberFormat="1" applyFont="1" applyBorder="1" applyAlignment="1">
      <alignment horizontal="center" vertical="center"/>
    </xf>
    <xf numFmtId="1" fontId="3" fillId="0" borderId="0" xfId="0" applyNumberFormat="1" applyFont="1" applyBorder="1" applyAlignment="1">
      <alignment horizontal="center" vertical="center"/>
    </xf>
    <xf numFmtId="0" fontId="3" fillId="0" borderId="65" xfId="0" applyNumberFormat="1" applyFont="1" applyBorder="1" applyAlignment="1">
      <alignment horizontal="center" vertical="center"/>
    </xf>
    <xf numFmtId="1" fontId="3" fillId="0" borderId="40" xfId="0" applyNumberFormat="1" applyFont="1" applyBorder="1" applyAlignment="1">
      <alignment horizontal="center" vertical="center"/>
    </xf>
    <xf numFmtId="1" fontId="3" fillId="0" borderId="41" xfId="0" applyNumberFormat="1" applyFont="1" applyBorder="1" applyAlignment="1">
      <alignment horizontal="center" vertical="center"/>
    </xf>
    <xf numFmtId="0" fontId="6" fillId="0" borderId="0" xfId="0" applyNumberFormat="1" applyFont="1" applyBorder="1" applyAlignment="1">
      <alignment horizontal="right" vertical="center"/>
    </xf>
    <xf numFmtId="0" fontId="3" fillId="0" borderId="0" xfId="0" quotePrefix="1" applyNumberFormat="1" applyFont="1" applyBorder="1" applyAlignment="1">
      <alignment vertical="center"/>
    </xf>
    <xf numFmtId="0" fontId="5" fillId="0" borderId="0" xfId="0" applyNumberFormat="1" applyFont="1" applyBorder="1" applyAlignment="1">
      <alignment horizontal="center" vertical="center"/>
    </xf>
    <xf numFmtId="179" fontId="3" fillId="0" borderId="17" xfId="0" applyNumberFormat="1" applyFont="1" applyBorder="1" applyAlignment="1">
      <alignment horizontal="center" vertical="center"/>
    </xf>
    <xf numFmtId="179" fontId="3" fillId="6" borderId="17" xfId="0" applyNumberFormat="1" applyFont="1" applyFill="1" applyBorder="1" applyAlignment="1">
      <alignment horizontal="center" vertical="center"/>
    </xf>
    <xf numFmtId="179" fontId="3" fillId="6" borderId="18" xfId="0" applyNumberFormat="1" applyFont="1" applyFill="1" applyBorder="1" applyAlignment="1">
      <alignment horizontal="center" vertical="center"/>
    </xf>
    <xf numFmtId="179" fontId="3" fillId="0" borderId="20" xfId="0" applyNumberFormat="1" applyFont="1" applyBorder="1" applyAlignment="1">
      <alignment horizontal="center" vertical="center"/>
    </xf>
    <xf numFmtId="179" fontId="3" fillId="6" borderId="20" xfId="0" applyNumberFormat="1" applyFont="1" applyFill="1" applyBorder="1" applyAlignment="1">
      <alignment horizontal="center" vertical="center"/>
    </xf>
    <xf numFmtId="179" fontId="3" fillId="6" borderId="21" xfId="0" applyNumberFormat="1" applyFont="1" applyFill="1" applyBorder="1" applyAlignment="1">
      <alignment horizontal="center" vertical="center"/>
    </xf>
    <xf numFmtId="1" fontId="3" fillId="0" borderId="52" xfId="0" applyNumberFormat="1" applyFont="1" applyBorder="1" applyAlignment="1">
      <alignment horizontal="center" vertical="center"/>
    </xf>
    <xf numFmtId="0" fontId="3" fillId="0" borderId="52" xfId="0" applyNumberFormat="1" applyFont="1" applyBorder="1" applyAlignment="1">
      <alignment horizontal="center" vertical="center"/>
    </xf>
    <xf numFmtId="179" fontId="3" fillId="0" borderId="23" xfId="0" applyNumberFormat="1" applyFont="1" applyBorder="1" applyAlignment="1">
      <alignment horizontal="center" vertical="center"/>
    </xf>
    <xf numFmtId="179" fontId="3" fillId="6" borderId="23" xfId="0" applyNumberFormat="1" applyFont="1" applyFill="1" applyBorder="1" applyAlignment="1">
      <alignment horizontal="center" vertical="center"/>
    </xf>
    <xf numFmtId="179" fontId="3" fillId="6" borderId="24" xfId="0" applyNumberFormat="1" applyFont="1" applyFill="1" applyBorder="1" applyAlignment="1">
      <alignment horizontal="center" vertical="center"/>
    </xf>
    <xf numFmtId="181" fontId="3" fillId="0" borderId="0" xfId="0" applyNumberFormat="1" applyFont="1" applyBorder="1" applyAlignment="1">
      <alignment horizontal="center" vertical="center"/>
    </xf>
    <xf numFmtId="181" fontId="3" fillId="0" borderId="0" xfId="0" applyNumberFormat="1" applyFont="1" applyBorder="1" applyAlignment="1">
      <alignment horizontal="center" vertical="center"/>
    </xf>
    <xf numFmtId="0" fontId="3" fillId="0" borderId="0" xfId="0" applyNumberFormat="1" applyFont="1" applyFill="1" applyBorder="1" applyAlignment="1">
      <alignment vertical="center"/>
    </xf>
    <xf numFmtId="0" fontId="3" fillId="0" borderId="0" xfId="0" applyNumberFormat="1" applyFont="1" applyFill="1" applyBorder="1" applyAlignment="1">
      <alignment horizontal="right" vertical="center"/>
    </xf>
    <xf numFmtId="181" fontId="3" fillId="0" borderId="0" xfId="0" applyNumberFormat="1" applyFont="1" applyFill="1" applyBorder="1" applyAlignment="1">
      <alignment horizontal="center" vertical="center"/>
    </xf>
    <xf numFmtId="0" fontId="3" fillId="0" borderId="0" xfId="0" applyNumberFormat="1" applyFont="1" applyFill="1" applyBorder="1" applyAlignment="1">
      <alignment horizontal="center" vertical="center" shrinkToFit="1"/>
    </xf>
    <xf numFmtId="179" fontId="3" fillId="0" borderId="0" xfId="0" applyNumberFormat="1" applyFont="1" applyBorder="1" applyAlignment="1">
      <alignment horizontal="center" vertical="center"/>
    </xf>
    <xf numFmtId="2" fontId="3" fillId="0" borderId="0" xfId="0" applyNumberFormat="1" applyFont="1" applyBorder="1" applyAlignment="1">
      <alignment vertical="center"/>
    </xf>
    <xf numFmtId="1" fontId="3" fillId="5" borderId="17" xfId="0" applyNumberFormat="1" applyFont="1" applyFill="1" applyBorder="1" applyAlignment="1">
      <alignment horizontal="center" vertical="center"/>
    </xf>
    <xf numFmtId="1" fontId="3" fillId="0" borderId="17" xfId="0" applyNumberFormat="1" applyFont="1" applyFill="1" applyBorder="1" applyAlignment="1">
      <alignment horizontal="center" vertical="center"/>
    </xf>
    <xf numFmtId="1" fontId="3" fillId="0" borderId="42" xfId="0" applyNumberFormat="1" applyFont="1" applyFill="1" applyBorder="1" applyAlignment="1">
      <alignment horizontal="center" vertical="center"/>
    </xf>
    <xf numFmtId="1" fontId="3" fillId="0" borderId="18" xfId="0" applyNumberFormat="1" applyFont="1" applyFill="1" applyBorder="1" applyAlignment="1">
      <alignment horizontal="center" vertical="center"/>
    </xf>
    <xf numFmtId="1" fontId="3" fillId="5" borderId="20" xfId="0" applyNumberFormat="1" applyFont="1" applyFill="1" applyBorder="1" applyAlignment="1">
      <alignment horizontal="center" vertical="center"/>
    </xf>
    <xf numFmtId="1" fontId="3" fillId="0" borderId="20" xfId="0" applyNumberFormat="1" applyFont="1" applyFill="1" applyBorder="1" applyAlignment="1">
      <alignment horizontal="center" vertical="center"/>
    </xf>
    <xf numFmtId="1" fontId="3" fillId="0" borderId="43" xfId="0" applyNumberFormat="1" applyFont="1" applyFill="1" applyBorder="1" applyAlignment="1">
      <alignment horizontal="center" vertical="center"/>
    </xf>
    <xf numFmtId="1" fontId="3" fillId="0" borderId="21" xfId="0" applyNumberFormat="1" applyFont="1" applyFill="1" applyBorder="1" applyAlignment="1">
      <alignment horizontal="center" vertical="center"/>
    </xf>
    <xf numFmtId="1" fontId="3" fillId="5" borderId="23" xfId="0" applyNumberFormat="1" applyFont="1" applyFill="1" applyBorder="1" applyAlignment="1">
      <alignment horizontal="center" vertical="center"/>
    </xf>
    <xf numFmtId="1" fontId="3" fillId="0" borderId="23" xfId="0" applyNumberFormat="1" applyFont="1" applyFill="1" applyBorder="1" applyAlignment="1">
      <alignment horizontal="center" vertical="center"/>
    </xf>
    <xf numFmtId="1" fontId="3" fillId="0" borderId="44" xfId="0" applyNumberFormat="1" applyFont="1" applyFill="1" applyBorder="1" applyAlignment="1">
      <alignment horizontal="center" vertical="center"/>
    </xf>
    <xf numFmtId="1" fontId="3" fillId="0" borderId="24" xfId="0" applyNumberFormat="1" applyFont="1" applyFill="1" applyBorder="1" applyAlignment="1">
      <alignment horizontal="center" vertical="center"/>
    </xf>
    <xf numFmtId="0" fontId="3" fillId="0" borderId="0" xfId="0" applyNumberFormat="1" applyFont="1" applyBorder="1" applyAlignment="1">
      <alignment horizontal="right" vertical="center"/>
    </xf>
    <xf numFmtId="0" fontId="3" fillId="5" borderId="0" xfId="0" applyNumberFormat="1" applyFont="1" applyFill="1" applyBorder="1" applyAlignment="1">
      <alignment horizontal="center" vertical="center"/>
    </xf>
    <xf numFmtId="0" fontId="3" fillId="5" borderId="0" xfId="0" applyNumberFormat="1" applyFont="1" applyFill="1" applyBorder="1" applyAlignment="1">
      <alignment horizontal="center" vertical="center"/>
    </xf>
    <xf numFmtId="0" fontId="3" fillId="0" borderId="0" xfId="0" quotePrefix="1" applyNumberFormat="1" applyFont="1" applyBorder="1" applyAlignment="1">
      <alignment horizontal="left" vertical="center"/>
    </xf>
    <xf numFmtId="12" fontId="3" fillId="0" borderId="0" xfId="0" applyNumberFormat="1" applyFont="1" applyBorder="1" applyAlignment="1">
      <alignment horizontal="center" vertical="center"/>
    </xf>
    <xf numFmtId="12" fontId="3" fillId="0" borderId="0" xfId="0" applyNumberFormat="1" applyFont="1" applyBorder="1" applyAlignment="1">
      <alignment horizontal="center" vertical="center"/>
    </xf>
    <xf numFmtId="178" fontId="3" fillId="0" borderId="0" xfId="0" applyNumberFormat="1" applyFont="1" applyBorder="1" applyAlignment="1">
      <alignment horizontal="center" vertical="center"/>
    </xf>
    <xf numFmtId="0" fontId="3" fillId="0" borderId="0" xfId="0" applyNumberFormat="1" applyFont="1" applyBorder="1" applyAlignment="1">
      <alignment horizontal="left" vertical="center"/>
    </xf>
    <xf numFmtId="0" fontId="3" fillId="0" borderId="0" xfId="0" applyNumberFormat="1" applyFont="1" applyBorder="1" applyAlignment="1">
      <alignment horizontal="left" vertical="center" shrinkToFit="1"/>
    </xf>
    <xf numFmtId="0" fontId="3" fillId="5" borderId="40" xfId="0" applyNumberFormat="1" applyFont="1" applyFill="1" applyBorder="1" applyAlignment="1">
      <alignment horizontal="center" vertical="center"/>
    </xf>
    <xf numFmtId="177" fontId="3" fillId="0" borderId="41" xfId="0" applyNumberFormat="1" applyFont="1" applyBorder="1" applyAlignment="1">
      <alignment horizontal="center" vertical="center"/>
    </xf>
    <xf numFmtId="0" fontId="3" fillId="5" borderId="20" xfId="0" applyNumberFormat="1" applyFont="1" applyFill="1" applyBorder="1" applyAlignment="1">
      <alignment horizontal="center" vertical="center"/>
    </xf>
    <xf numFmtId="0" fontId="3" fillId="5" borderId="23" xfId="0" applyNumberFormat="1" applyFont="1" applyFill="1" applyBorder="1" applyAlignment="1">
      <alignment horizontal="center" vertical="center"/>
    </xf>
    <xf numFmtId="177" fontId="3" fillId="0" borderId="21" xfId="0" applyNumberFormat="1" applyFont="1" applyBorder="1" applyAlignment="1">
      <alignment horizontal="center" vertical="center"/>
    </xf>
    <xf numFmtId="177" fontId="3" fillId="0" borderId="24" xfId="0" applyNumberFormat="1" applyFont="1" applyBorder="1" applyAlignment="1">
      <alignment horizontal="center" vertical="center"/>
    </xf>
    <xf numFmtId="178" fontId="3" fillId="0" borderId="21" xfId="0" applyNumberFormat="1" applyFont="1" applyBorder="1" applyAlignment="1">
      <alignment horizontal="center" vertical="center"/>
    </xf>
    <xf numFmtId="0" fontId="3" fillId="5" borderId="0" xfId="0" applyNumberFormat="1" applyFont="1" applyFill="1" applyBorder="1" applyAlignment="1">
      <alignment horizontal="right" vertical="center"/>
    </xf>
    <xf numFmtId="0" fontId="3" fillId="5" borderId="0" xfId="0" applyNumberFormat="1" applyFont="1" applyFill="1" applyBorder="1" applyAlignment="1">
      <alignment vertical="center"/>
    </xf>
    <xf numFmtId="0" fontId="0" fillId="0" borderId="0" xfId="0" applyFont="1" applyAlignment="1">
      <alignment vertical="center"/>
    </xf>
    <xf numFmtId="0" fontId="3" fillId="5" borderId="10" xfId="0" applyNumberFormat="1" applyFont="1" applyFill="1" applyBorder="1" applyAlignment="1">
      <alignment horizontal="center" vertical="center"/>
    </xf>
    <xf numFmtId="2" fontId="3" fillId="5" borderId="10" xfId="0" applyNumberFormat="1" applyFont="1" applyFill="1" applyBorder="1" applyAlignment="1">
      <alignment horizontal="center" vertical="center"/>
    </xf>
    <xf numFmtId="0" fontId="3" fillId="5" borderId="25" xfId="0" applyNumberFormat="1" applyFont="1" applyFill="1" applyBorder="1" applyAlignment="1">
      <alignment horizontal="center" vertical="center"/>
    </xf>
    <xf numFmtId="0" fontId="3" fillId="5" borderId="26" xfId="0" applyNumberFormat="1" applyFont="1" applyFill="1" applyBorder="1" applyAlignment="1">
      <alignment horizontal="center" vertical="center"/>
    </xf>
    <xf numFmtId="0" fontId="3" fillId="5" borderId="31" xfId="0" applyNumberFormat="1" applyFont="1" applyFill="1" applyBorder="1" applyAlignment="1">
      <alignment horizontal="center" vertical="center"/>
    </xf>
    <xf numFmtId="0" fontId="3" fillId="5" borderId="42" xfId="0" applyNumberFormat="1" applyFont="1" applyFill="1" applyBorder="1" applyAlignment="1">
      <alignment horizontal="center" vertical="center"/>
    </xf>
    <xf numFmtId="0" fontId="3" fillId="5" borderId="27" xfId="0" applyNumberFormat="1" applyFont="1" applyFill="1" applyBorder="1" applyAlignment="1">
      <alignment horizontal="center" vertical="center"/>
    </xf>
    <xf numFmtId="0" fontId="3" fillId="5" borderId="28" xfId="0" applyNumberFormat="1" applyFont="1" applyFill="1" applyBorder="1" applyAlignment="1">
      <alignment horizontal="center" vertical="center"/>
    </xf>
    <xf numFmtId="0" fontId="3" fillId="5" borderId="54" xfId="0" applyNumberFormat="1" applyFont="1" applyFill="1" applyBorder="1" applyAlignment="1">
      <alignment horizontal="center" vertical="center"/>
    </xf>
    <xf numFmtId="0" fontId="3" fillId="5" borderId="43" xfId="0" applyNumberFormat="1" applyFont="1" applyFill="1" applyBorder="1" applyAlignment="1">
      <alignment horizontal="center" vertical="center"/>
    </xf>
    <xf numFmtId="0" fontId="3" fillId="5" borderId="29" xfId="0" applyNumberFormat="1" applyFont="1" applyFill="1" applyBorder="1" applyAlignment="1">
      <alignment horizontal="center" vertical="center"/>
    </xf>
    <xf numFmtId="0" fontId="3" fillId="5" borderId="30" xfId="0" applyNumberFormat="1" applyFont="1" applyFill="1" applyBorder="1" applyAlignment="1">
      <alignment horizontal="center" vertical="center"/>
    </xf>
    <xf numFmtId="0" fontId="3" fillId="5" borderId="55" xfId="0" applyNumberFormat="1" applyFont="1" applyFill="1" applyBorder="1" applyAlignment="1">
      <alignment horizontal="center" vertical="center"/>
    </xf>
    <xf numFmtId="0" fontId="3" fillId="5" borderId="44" xfId="0" applyNumberFormat="1" applyFont="1" applyFill="1" applyBorder="1" applyAlignment="1">
      <alignment horizontal="center" vertical="center"/>
    </xf>
    <xf numFmtId="0" fontId="3" fillId="5" borderId="45" xfId="0" applyNumberFormat="1" applyFont="1" applyFill="1" applyBorder="1" applyAlignment="1">
      <alignment horizontal="center" vertical="center"/>
    </xf>
    <xf numFmtId="0" fontId="3" fillId="5" borderId="19" xfId="0" applyNumberFormat="1" applyFont="1" applyFill="1" applyBorder="1" applyAlignment="1">
      <alignment horizontal="center" vertical="center"/>
    </xf>
    <xf numFmtId="0" fontId="3" fillId="5" borderId="22" xfId="0" applyNumberFormat="1" applyFont="1" applyFill="1" applyBorder="1" applyAlignment="1">
      <alignment horizontal="center" vertical="center"/>
    </xf>
    <xf numFmtId="0" fontId="3" fillId="5" borderId="16" xfId="0" applyNumberFormat="1" applyFont="1" applyFill="1" applyBorder="1" applyAlignment="1">
      <alignment horizontal="center" vertical="center"/>
    </xf>
    <xf numFmtId="0" fontId="3" fillId="5" borderId="17" xfId="0" applyNumberFormat="1" applyFont="1" applyFill="1" applyBorder="1" applyAlignment="1">
      <alignment horizontal="center" vertical="center"/>
    </xf>
    <xf numFmtId="0" fontId="3" fillId="0" borderId="16" xfId="0" applyNumberFormat="1" applyFont="1" applyFill="1" applyBorder="1" applyAlignment="1">
      <alignment horizontal="center" vertical="center"/>
    </xf>
    <xf numFmtId="0" fontId="3" fillId="0" borderId="19" xfId="0" applyNumberFormat="1" applyFont="1" applyFill="1" applyBorder="1" applyAlignment="1">
      <alignment horizontal="center" vertical="center"/>
    </xf>
    <xf numFmtId="0" fontId="3" fillId="0" borderId="22"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0" fontId="0" fillId="0" borderId="0" xfId="0" applyFont="1" applyFill="1" applyAlignment="1">
      <alignment vertical="center"/>
    </xf>
    <xf numFmtId="179" fontId="3" fillId="0" borderId="17" xfId="0" applyNumberFormat="1" applyFont="1" applyFill="1" applyBorder="1" applyAlignment="1">
      <alignment horizontal="center" vertical="center"/>
    </xf>
    <xf numFmtId="2" fontId="3" fillId="0" borderId="40" xfId="0" applyNumberFormat="1" applyFont="1" applyFill="1" applyBorder="1" applyAlignment="1">
      <alignment horizontal="center" vertical="center"/>
    </xf>
    <xf numFmtId="1" fontId="3" fillId="0" borderId="40" xfId="0" applyNumberFormat="1" applyFont="1" applyFill="1" applyBorder="1" applyAlignment="1">
      <alignment horizontal="center" vertical="center"/>
    </xf>
    <xf numFmtId="179" fontId="3" fillId="0" borderId="20" xfId="0" applyNumberFormat="1" applyFont="1" applyFill="1" applyBorder="1" applyAlignment="1">
      <alignment horizontal="center" vertical="center"/>
    </xf>
    <xf numFmtId="2" fontId="3" fillId="0" borderId="52" xfId="0" applyNumberFormat="1" applyFont="1" applyFill="1" applyBorder="1" applyAlignment="1">
      <alignment horizontal="center" vertical="center"/>
    </xf>
    <xf numFmtId="1" fontId="3" fillId="0" borderId="52" xfId="0" applyNumberFormat="1" applyFont="1" applyFill="1" applyBorder="1" applyAlignment="1">
      <alignment horizontal="center" vertical="center"/>
    </xf>
    <xf numFmtId="179" fontId="3" fillId="0" borderId="23" xfId="0" applyNumberFormat="1" applyFont="1" applyFill="1" applyBorder="1" applyAlignment="1">
      <alignment horizontal="center" vertical="center"/>
    </xf>
    <xf numFmtId="0" fontId="3" fillId="5" borderId="36" xfId="0" applyNumberFormat="1" applyFont="1" applyFill="1" applyBorder="1" applyAlignment="1">
      <alignment horizontal="center" vertical="center"/>
    </xf>
    <xf numFmtId="0" fontId="3" fillId="5" borderId="37" xfId="0" applyNumberFormat="1" applyFont="1" applyFill="1" applyBorder="1" applyAlignment="1">
      <alignment horizontal="center" vertical="center"/>
    </xf>
    <xf numFmtId="0" fontId="3" fillId="5" borderId="38" xfId="0" applyNumberFormat="1" applyFont="1" applyFill="1" applyBorder="1" applyAlignment="1">
      <alignment horizontal="center" vertical="center"/>
    </xf>
    <xf numFmtId="178" fontId="3" fillId="0" borderId="6" xfId="0" applyNumberFormat="1" applyFont="1" applyBorder="1" applyAlignment="1">
      <alignment horizontal="center" vertical="center"/>
    </xf>
    <xf numFmtId="178" fontId="3" fillId="0" borderId="7" xfId="0" applyNumberFormat="1" applyFont="1" applyBorder="1" applyAlignment="1">
      <alignment horizontal="center" vertical="center"/>
    </xf>
    <xf numFmtId="178" fontId="3" fillId="0" borderId="2" xfId="0" applyNumberFormat="1" applyFont="1" applyBorder="1" applyAlignment="1">
      <alignment horizontal="center" vertical="center"/>
    </xf>
    <xf numFmtId="178" fontId="3" fillId="0" borderId="1" xfId="0" applyNumberFormat="1" applyFont="1" applyBorder="1" applyAlignment="1">
      <alignment horizontal="center" vertical="center"/>
    </xf>
    <xf numFmtId="178" fontId="3" fillId="0" borderId="8" xfId="0" applyNumberFormat="1" applyFont="1" applyBorder="1" applyAlignment="1">
      <alignment horizontal="center" vertical="center"/>
    </xf>
    <xf numFmtId="178" fontId="3" fillId="0" borderId="3" xfId="0" applyNumberFormat="1" applyFont="1" applyBorder="1" applyAlignment="1">
      <alignment horizontal="center" vertical="center"/>
    </xf>
    <xf numFmtId="178" fontId="3" fillId="0" borderId="4" xfId="0" applyNumberFormat="1" applyFont="1" applyBorder="1" applyAlignment="1">
      <alignment horizontal="center" vertical="center"/>
    </xf>
    <xf numFmtId="178" fontId="3" fillId="0" borderId="9" xfId="0" applyNumberFormat="1" applyFont="1" applyBorder="1" applyAlignment="1">
      <alignment horizontal="center" vertical="center"/>
    </xf>
    <xf numFmtId="0" fontId="3" fillId="5" borderId="18" xfId="0" applyNumberFormat="1" applyFont="1" applyFill="1" applyBorder="1" applyAlignment="1">
      <alignment horizontal="center" vertical="center"/>
    </xf>
    <xf numFmtId="0" fontId="3" fillId="5" borderId="35" xfId="0" applyNumberFormat="1" applyFont="1" applyFill="1" applyBorder="1" applyAlignment="1">
      <alignment horizontal="center" vertical="center"/>
    </xf>
    <xf numFmtId="177" fontId="3" fillId="0" borderId="18" xfId="0" applyNumberFormat="1" applyFont="1" applyBorder="1" applyAlignment="1">
      <alignment horizontal="center" vertical="center"/>
    </xf>
    <xf numFmtId="0" fontId="3" fillId="5" borderId="17" xfId="0" applyNumberFormat="1" applyFont="1" applyFill="1" applyBorder="1" applyAlignment="1">
      <alignment horizontal="center" vertical="center" shrinkToFit="1"/>
    </xf>
    <xf numFmtId="0" fontId="3" fillId="5" borderId="21" xfId="0" applyNumberFormat="1" applyFont="1" applyFill="1" applyBorder="1" applyAlignment="1">
      <alignment horizontal="center" vertical="center"/>
    </xf>
    <xf numFmtId="0" fontId="3" fillId="5" borderId="66" xfId="0" applyNumberFormat="1" applyFont="1" applyFill="1" applyBorder="1" applyAlignment="1">
      <alignment horizontal="center" vertical="center"/>
    </xf>
    <xf numFmtId="0" fontId="3" fillId="5" borderId="20" xfId="0" applyNumberFormat="1" applyFont="1" applyFill="1" applyBorder="1" applyAlignment="1">
      <alignment horizontal="center" vertical="center" shrinkToFit="1"/>
    </xf>
    <xf numFmtId="0" fontId="3" fillId="5" borderId="69" xfId="0" applyNumberFormat="1" applyFont="1" applyFill="1" applyBorder="1" applyAlignment="1">
      <alignment horizontal="center" vertical="center"/>
    </xf>
    <xf numFmtId="0" fontId="3" fillId="5" borderId="72" xfId="0" applyNumberFormat="1" applyFont="1" applyFill="1" applyBorder="1" applyAlignment="1">
      <alignment horizontal="center" vertical="center"/>
    </xf>
    <xf numFmtId="2" fontId="3" fillId="5" borderId="72" xfId="0" applyNumberFormat="1" applyFont="1" applyFill="1" applyBorder="1" applyAlignment="1">
      <alignment horizontal="center" vertical="center"/>
    </xf>
    <xf numFmtId="0" fontId="3" fillId="5" borderId="67" xfId="0" applyNumberFormat="1" applyFont="1" applyFill="1" applyBorder="1" applyAlignment="1">
      <alignment horizontal="center" vertical="center"/>
    </xf>
    <xf numFmtId="0" fontId="3" fillId="5" borderId="68" xfId="0" applyNumberFormat="1" applyFont="1" applyFill="1" applyBorder="1" applyAlignment="1">
      <alignment horizontal="center" vertical="center"/>
    </xf>
    <xf numFmtId="0" fontId="3" fillId="5" borderId="72" xfId="0" applyNumberFormat="1" applyFont="1" applyFill="1" applyBorder="1" applyAlignment="1">
      <alignment horizontal="center" vertical="center" shrinkToFit="1"/>
    </xf>
    <xf numFmtId="0" fontId="3" fillId="5" borderId="74" xfId="0" applyNumberFormat="1" applyFont="1" applyFill="1" applyBorder="1" applyAlignment="1">
      <alignment horizontal="center" vertical="center"/>
    </xf>
    <xf numFmtId="0" fontId="6" fillId="6" borderId="10" xfId="0" applyFont="1" applyFill="1" applyBorder="1" applyAlignment="1">
      <alignment horizontal="center" vertical="center" wrapText="1"/>
    </xf>
    <xf numFmtId="0" fontId="6" fillId="6" borderId="10" xfId="0" applyFont="1" applyFill="1" applyBorder="1" applyAlignment="1">
      <alignment horizontal="center" vertical="center"/>
    </xf>
    <xf numFmtId="0" fontId="3" fillId="6" borderId="10" xfId="0" applyNumberFormat="1" applyFont="1" applyFill="1" applyBorder="1" applyAlignment="1">
      <alignment horizontal="center"/>
    </xf>
    <xf numFmtId="0" fontId="3" fillId="6" borderId="10" xfId="0" applyFont="1" applyFill="1" applyBorder="1" applyAlignment="1">
      <alignment horizontal="center"/>
    </xf>
    <xf numFmtId="180" fontId="3" fillId="0" borderId="18" xfId="0" applyNumberFormat="1" applyFont="1" applyBorder="1" applyAlignment="1">
      <alignment horizontal="center" vertical="center" shrinkToFit="1"/>
    </xf>
    <xf numFmtId="180" fontId="3" fillId="0" borderId="35" xfId="0" applyNumberFormat="1" applyFont="1" applyBorder="1" applyAlignment="1">
      <alignment horizontal="center" vertical="center" shrinkToFit="1"/>
    </xf>
    <xf numFmtId="180" fontId="3" fillId="0" borderId="25" xfId="0" applyNumberFormat="1" applyFont="1" applyBorder="1" applyAlignment="1">
      <alignment horizontal="center" vertical="center" shrinkToFit="1"/>
    </xf>
    <xf numFmtId="180" fontId="3" fillId="0" borderId="21" xfId="0" applyNumberFormat="1" applyFont="1" applyBorder="1" applyAlignment="1">
      <alignment horizontal="center" vertical="center" shrinkToFit="1"/>
    </xf>
    <xf numFmtId="180" fontId="3" fillId="0" borderId="66" xfId="0" applyNumberFormat="1" applyFont="1" applyBorder="1" applyAlignment="1">
      <alignment horizontal="center" vertical="center" shrinkToFit="1"/>
    </xf>
    <xf numFmtId="180" fontId="3" fillId="0" borderId="27" xfId="0" applyNumberFormat="1" applyFont="1" applyBorder="1" applyAlignment="1">
      <alignment horizontal="center" vertical="center" shrinkToFit="1"/>
    </xf>
    <xf numFmtId="180" fontId="3" fillId="0" borderId="67" xfId="0" applyNumberFormat="1" applyFont="1" applyBorder="1" applyAlignment="1">
      <alignment horizontal="center" vertical="center" shrinkToFit="1"/>
    </xf>
    <xf numFmtId="180" fontId="3" fillId="0" borderId="68" xfId="0" applyNumberFormat="1" applyFont="1" applyBorder="1" applyAlignment="1">
      <alignment horizontal="center" vertical="center" shrinkToFit="1"/>
    </xf>
    <xf numFmtId="180" fontId="3" fillId="0" borderId="73" xfId="0" applyNumberFormat="1" applyFont="1" applyBorder="1" applyAlignment="1">
      <alignment horizontal="center" vertical="center" shrinkToFit="1"/>
    </xf>
    <xf numFmtId="180" fontId="3" fillId="0" borderId="24" xfId="0" applyNumberFormat="1" applyFont="1" applyBorder="1" applyAlignment="1">
      <alignment horizontal="right" vertical="center"/>
    </xf>
    <xf numFmtId="180" fontId="3" fillId="0" borderId="70" xfId="0" applyNumberFormat="1" applyFont="1" applyBorder="1" applyAlignment="1">
      <alignment horizontal="right" vertical="center"/>
    </xf>
    <xf numFmtId="180" fontId="3" fillId="0" borderId="29" xfId="0" applyNumberFormat="1" applyFont="1" applyBorder="1" applyAlignment="1">
      <alignment horizontal="right" vertical="center"/>
    </xf>
    <xf numFmtId="178" fontId="3" fillId="5" borderId="20" xfId="0" applyNumberFormat="1" applyFont="1" applyFill="1" applyBorder="1" applyAlignment="1">
      <alignment horizontal="center" vertical="center"/>
    </xf>
    <xf numFmtId="178" fontId="3" fillId="0" borderId="17" xfId="0" applyNumberFormat="1" applyFont="1" applyBorder="1" applyAlignment="1">
      <alignment horizontal="center" vertical="center"/>
    </xf>
    <xf numFmtId="178" fontId="3" fillId="5" borderId="17" xfId="0" applyNumberFormat="1" applyFont="1" applyFill="1" applyBorder="1" applyAlignment="1">
      <alignment horizontal="center" vertical="center"/>
    </xf>
    <xf numFmtId="177" fontId="3" fillId="0" borderId="52" xfId="0" applyNumberFormat="1" applyFont="1" applyBorder="1" applyAlignment="1">
      <alignment horizontal="center" vertical="center"/>
    </xf>
    <xf numFmtId="178" fontId="3" fillId="0" borderId="52" xfId="0" applyNumberFormat="1" applyFont="1" applyBorder="1" applyAlignment="1">
      <alignment horizontal="center" vertical="center"/>
    </xf>
    <xf numFmtId="178" fontId="3" fillId="5" borderId="23" xfId="0" applyNumberFormat="1" applyFont="1" applyFill="1" applyBorder="1" applyAlignment="1">
      <alignment horizontal="center" vertical="center"/>
    </xf>
  </cellXfs>
  <cellStyles count="4">
    <cellStyle name="ハイパーリンク" xfId="2" builtinId="8"/>
    <cellStyle name="標準" xfId="0" builtinId="0"/>
    <cellStyle name="標準 2" xfId="3"/>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{"Md":200.35,"Nd":1800,"Sections":[{"Height":800,"WTop":800,"WBottom":800,"ElasticID":"C"}],"SectionElastic":[{"fck":24,"rc":1.3,"Ec":25,"dmax":25,"rm":1,"ElasticID":"C","</a:t>
          </a:r>
          <a:r>
            <a:rPr lang="el-GR" altLang="ja-JP"/>
            <a:t>σ</a:t>
          </a:r>
          <a:r>
            <a:rPr lang="en-US" altLang="ja-JP"/>
            <a:t>cMode":0}],"Steels":[{"Depth":75,"i":"D32","n":8,"IsTensionBar":false,"ElasticID":"S"},{"Depth":167.857142857143,"i":"D32","n":2,"IsTensionBar":false,"ElasticID":"S"},{"Depth":260.714285714286,"i":"D32","n":2,"IsTensionBar":false,"ElasticID":"S"},{"Depth":353.571428571429,"i":"D32","n":2,"IsTensionBar":false,"ElasticID":"S"},{"Depth":446.428571428571,"i":"D32","n":2,"IsTensionBar":false,"ElasticID":"S"},{"Depth":539.285714285714,"i":"D32","n":2,"IsTensionBar":false,"ElasticID":"S"},{"Depth":632.142857142857,"i":"D32","n":2,"IsTensionBar":false,"ElasticID":"S"},{"Depth":725,"i":"D32","n":8,"IsTensionBar":true,"ElasticID":"S"}],"SteelElastic":[{"fsk":345,"rs":1,"Es":200,"rm":1,"c":92.9,"pw":0.1188,"kw":1,"ElasticID":"S"}]}</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Reactions":[],"ResultSigma":{"Md":200.35,"Nd":1800,"fi":1.7129529277503353E-07,"sc":[{"Depth":4.5454545454545459,"s":3.8942462749405329},{"Depth":13.636363636363637,"s":3.8553155265825705},{"Depth":22.72727272727273,"s":3.8163847782246085},{"Depth":31.81818181818182,"s":3.7774540298666461},{"Depth":40.909090909090914,"s":3.7385232815086846},{"Depth":50.000000000000007,"s":3.6995925331507218},{"Depth":59.090909090909093,"s":3.6606617847927594},{"Depth":68.181818181818187,"s":3.6217310364347974},{"Depth":77.27272727272728,"s":3.5828002880768355},{"Depth":86.363636363636374,"s":3.5438695397188735},{"Depth":95.454545454545467,"s":3.5049387913609107},{"Depth":104.54545454545456,"s":3.4660080430029487},{"Depth":113.63636363636364,"s":3.4270772946449868},{"Depth":122.72727272727273,"s":3.3881465462870244},{"Depth":131.81818181818181,"s":3.3492157979290633},{"Depth":140.90909090909091,"s":3.3102850495711005},{"Depth":150,"s":3.2713543012131385},{"Depth":159.09090909090909,"s":3.2324235528551757},{"Depth":168.18181818181819,"s":3.1934928044972137},{"Depth":177.27272727272728,"s":3.1545620561392518},{"Depth":186.36363636363637,"s":3.1156313077812894},{"Depth":195.45454545454547,"s":3.0767005594233274},{"Depth":204.54545454545456,"s":3.0377698110653655},{"Depth":213.63636363636365,"s":2.9988390627074031},{"Depth":222.72727272727272,"s":2.9599083143494407},{"Depth":231.81818181818181,"s":2.9209775659914787},{"Depth":240.90909090909091,"s":2.8820468176335163},{"Depth":250,"s":2.8431160692755544},{"Depth":259.09090909090912,"s":2.804185320917592},{"Depth":268.18181818181824,"s":2.7652545725596296},{"Depth":277.27272727272731,"s":2.7263238242016676},{"Depth":286.36363636363643,"s":2.6873930758437052},{"Depth":295.4545454545455,"s":2.6484623274857433},{"Depth":304.54545454545456,"s":2.6095315791277813},{"Depth":313.63636363636368,"s":2.5706008307698185},{"Depth":322.72727272727275,"s":2.531670082411857},{"Depth":331.81818181818187,"s":2.4927393340538946},{"Depth":340.90909090909093,"s":2.4538085856959322},{"Depth":350.00000000000006,"s":2.4148778373379702},{"Depth":359.09090909090912,"s":2.3759470889800078},{"Depth":368.18181818181824,"s":2.3370163406220459},{"Depth":377.27272727272731,"s":2.2980855922640844},{"Depth":386.36363636363643,"s":2.2591548439061215},{"Depth":395.4545454545455,"s":2.2202240955481596},{"Depth":404.54545454545462,"s":2.1812933471901972},{"Depth":413.63636363636368,"s":2.1423625988322352},{"Depth":422.7272727272728,"s":2.1034318504742728},{"Depth":431.81818181818187,"s":2.0645011021163109},{"Depth":440.90909090909093,"s":2.0255703537583489},{"Depth":450.00000000000006,"s":1.9866396054003861},{"Depth":459.09090909090912,"s":1.9477088570424244},{"Depth":468.18181818181824,"s":1.908778108684462},{"Depth":477.27272727272731,"s":1.8698473603265},{"Depth":486.36363636363643,"s":1.8309166119685376},{"Depth":495.4545454545455,"s":1.7919858636105757},{"Depth":504.54545454545462,"s":1.7530551152526135},{"Depth":513.63636363636363,"s":1.7141243668946513},{"Depth":522.72727272727275,"s":1.6751936185366894},{"Depth":531.81818181818187,"s":1.636262870178727},{"Depth":540.90909090909088,"s":1.597332121820765},{"Depth":550,"s":1.5584013734628026},{"Depth":559.09090909090912,"s":1.5194706251048404},{"Depth":568.18181818181824,"s":1.480539876746878},{"Depth":577.27272727272725,"s":1.4416091283889163},{"Depth":586.36363636363637,"s":1.4026783800309541},{"Depth":595.4545454545455,"s":1.3637476316729917},{"Depth":604.5454545454545,"s":1.32481688331503},{"Depth":613.63636363636363,"s":1.2858861349570676},{"Depth":622.72727272727275,"s":1.2469553865991052},{"Depth":631.81818181818187,"s":1.208024638241143},{"Depth":640.90909090909088,"s":1.1690938898831813},{"Depth":650,"s":1.1301631415252191},{"Depth":659.09090909090912,"s":1.0912323931672567},{"Depth":668.18181818181824,"s":1.0523016448092943},{"Depth":677.27272727272725,"s":1.0133708964513324},{"Depth":686.36363636363637,"s":0.97444014809337021},{"Depth":695.4545454545455,"s":0.93550939973540792},{"Depth":704.54545454545462,"s":0.89657865137744552},{"Depth":713.63636363636363,"s":0.8576479030194839},{"Depth":722.72727272727275,"s":0.81871715466152151},{"Depth":731.81818181818187,"s":0.77978640630355922},{"Depth":740.90909090909088,"s":0.74085565794559738},{"Depth":750,"s":0.70192490958763509},{"Depth":759.09090909090912,"s":0.66299416122967281},{"Depth":768.18181818181824,"s":0.62406341287171041},{"Depth":777.27272727272725,"s":0.58513266451374879},{"Depth":786.36363636363637,"s":0.54620191615578639},{"Depth":795.4545454545455,"s":0.50727116779782411}],"st":[{"Depth":75,"s":28.740263801330606},{"Depth":167.857142857143,"s":25.559065506937124},{"Depth":260.714285714286,"s":22.377867212543638},{"Depth":353.571428571429,"s":19.196668918150152},{"Depth":446.428571428571,"s":16.015470623756702},{"Depth":539.285714285714,"s":12.83427232936322},{"Depth":632.142857142857,"s":9.6530740349697339},{"Depth":725,"s":6.4718757405762481}],"x":913.909912109375}}</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21</xdr:row>
      <xdr:rowOff>88901</xdr:rowOff>
    </xdr:from>
    <xdr:to>
      <xdr:col>5</xdr:col>
      <xdr:colOff>123480</xdr:colOff>
      <xdr:row>31</xdr:row>
      <xdr:rowOff>78317</xdr:rowOff>
    </xdr:to>
    <xdr:grpSp>
      <xdr:nvGrpSpPr>
        <xdr:cNvPr id="46" name="グループ化 45"/>
        <xdr:cNvGrpSpPr/>
      </xdr:nvGrpSpPr>
      <xdr:grpSpPr>
        <a:xfrm>
          <a:off x="180975" y="4324725"/>
          <a:ext cx="2654329" cy="2006474"/>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323850</xdr:colOff>
          <xdr:row>1</xdr:row>
          <xdr:rowOff>57150</xdr:rowOff>
        </xdr:from>
        <xdr:to>
          <xdr:col>15</xdr:col>
          <xdr:colOff>200025</xdr:colOff>
          <xdr:row>4</xdr:row>
          <xdr:rowOff>95250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200025</xdr:colOff>
      <xdr:row>12</xdr:row>
      <xdr:rowOff>0</xdr:rowOff>
    </xdr:from>
    <xdr:to>
      <xdr:col>17</xdr:col>
      <xdr:colOff>47625</xdr:colOff>
      <xdr:row>19</xdr:row>
      <xdr:rowOff>57150</xdr:rowOff>
    </xdr:to>
    <xdr:grpSp>
      <xdr:nvGrpSpPr>
        <xdr:cNvPr id="73601" name="グループ化 68"/>
        <xdr:cNvGrpSpPr>
          <a:grpSpLocks/>
        </xdr:cNvGrpSpPr>
      </xdr:nvGrpSpPr>
      <xdr:grpSpPr bwMode="auto">
        <a:xfrm>
          <a:off x="1757643" y="2420471"/>
          <a:ext cx="2268070" cy="1469091"/>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0</xdr:colOff>
      <xdr:row>22</xdr:row>
      <xdr:rowOff>123825</xdr:rowOff>
    </xdr:from>
    <xdr:to>
      <xdr:col>17</xdr:col>
      <xdr:colOff>142875</xdr:colOff>
      <xdr:row>30</xdr:row>
      <xdr:rowOff>57150</xdr:rowOff>
    </xdr:to>
    <xdr:grpSp>
      <xdr:nvGrpSpPr>
        <xdr:cNvPr id="73602" name="グループ化 69"/>
        <xdr:cNvGrpSpPr>
          <a:grpSpLocks/>
        </xdr:cNvGrpSpPr>
      </xdr:nvGrpSpPr>
      <xdr:grpSpPr bwMode="auto">
        <a:xfrm>
          <a:off x="1759324" y="4561354"/>
          <a:ext cx="2361639" cy="1546972"/>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5</xdr:col>
      <xdr:colOff>200025</xdr:colOff>
      <xdr:row>34</xdr:row>
      <xdr:rowOff>0</xdr:rowOff>
    </xdr:from>
    <xdr:to>
      <xdr:col>17</xdr:col>
      <xdr:colOff>161925</xdr:colOff>
      <xdr:row>41</xdr:row>
      <xdr:rowOff>47625</xdr:rowOff>
    </xdr:to>
    <xdr:grpSp>
      <xdr:nvGrpSpPr>
        <xdr:cNvPr id="73603" name="グループ化 74"/>
        <xdr:cNvGrpSpPr>
          <a:grpSpLocks/>
        </xdr:cNvGrpSpPr>
      </xdr:nvGrpSpPr>
      <xdr:grpSpPr bwMode="auto">
        <a:xfrm>
          <a:off x="1757643" y="6858000"/>
          <a:ext cx="2382370" cy="1459566"/>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10</xdr:col>
      <xdr:colOff>9525</xdr:colOff>
      <xdr:row>36</xdr:row>
      <xdr:rowOff>9525</xdr:rowOff>
    </xdr:from>
    <xdr:to>
      <xdr:col>17</xdr:col>
      <xdr:colOff>0</xdr:colOff>
      <xdr:row>36</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26</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15</xdr:col>
      <xdr:colOff>9525</xdr:colOff>
      <xdr:row>192</xdr:row>
      <xdr:rowOff>0</xdr:rowOff>
    </xdr:from>
    <xdr:to>
      <xdr:col>20</xdr:col>
      <xdr:colOff>0</xdr:colOff>
      <xdr:row>192</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8</xdr:col>
      <xdr:colOff>123825</xdr:colOff>
      <xdr:row>433</xdr:row>
      <xdr:rowOff>9525</xdr:rowOff>
    </xdr:from>
    <xdr:to>
      <xdr:col>9</xdr:col>
      <xdr:colOff>28575</xdr:colOff>
      <xdr:row>433</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28575</xdr:colOff>
      <xdr:row>433</xdr:row>
      <xdr:rowOff>9525</xdr:rowOff>
    </xdr:from>
    <xdr:to>
      <xdr:col>16</xdr:col>
      <xdr:colOff>9525</xdr:colOff>
      <xdr:row>433</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1186</xdr:row>
      <xdr:rowOff>57150</xdr:rowOff>
    </xdr:from>
    <xdr:to>
      <xdr:col>22</xdr:col>
      <xdr:colOff>114300</xdr:colOff>
      <xdr:row>1186</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1187</xdr:row>
      <xdr:rowOff>47625</xdr:rowOff>
    </xdr:from>
    <xdr:to>
      <xdr:col>24</xdr:col>
      <xdr:colOff>171450</xdr:colOff>
      <xdr:row>1187</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57150</xdr:colOff>
      <xdr:row>1190</xdr:row>
      <xdr:rowOff>57150</xdr:rowOff>
    </xdr:from>
    <xdr:to>
      <xdr:col>9</xdr:col>
      <xdr:colOff>142875</xdr:colOff>
      <xdr:row>1190</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12</xdr:row>
      <xdr:rowOff>0</xdr:rowOff>
    </xdr:from>
    <xdr:to>
      <xdr:col>17</xdr:col>
      <xdr:colOff>47625</xdr:colOff>
      <xdr:row>19</xdr:row>
      <xdr:rowOff>57150</xdr:rowOff>
    </xdr:to>
    <xdr:grpSp>
      <xdr:nvGrpSpPr>
        <xdr:cNvPr id="2" name="グループ化 68"/>
        <xdr:cNvGrpSpPr>
          <a:grpSpLocks/>
        </xdr:cNvGrpSpPr>
      </xdr:nvGrpSpPr>
      <xdr:grpSpPr bwMode="auto">
        <a:xfrm>
          <a:off x="1752600" y="2400300"/>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0</xdr:colOff>
      <xdr:row>22</xdr:row>
      <xdr:rowOff>123825</xdr:rowOff>
    </xdr:from>
    <xdr:to>
      <xdr:col>17</xdr:col>
      <xdr:colOff>142875</xdr:colOff>
      <xdr:row>30</xdr:row>
      <xdr:rowOff>57150</xdr:rowOff>
    </xdr:to>
    <xdr:grpSp>
      <xdr:nvGrpSpPr>
        <xdr:cNvPr id="16" name="グループ化 69"/>
        <xdr:cNvGrpSpPr>
          <a:grpSpLocks/>
        </xdr:cNvGrpSpPr>
      </xdr:nvGrpSpPr>
      <xdr:grpSpPr bwMode="auto">
        <a:xfrm>
          <a:off x="1752600" y="4524375"/>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0</xdr:colOff>
      <xdr:row>34</xdr:row>
      <xdr:rowOff>0</xdr:rowOff>
    </xdr:from>
    <xdr:to>
      <xdr:col>17</xdr:col>
      <xdr:colOff>161925</xdr:colOff>
      <xdr:row>41</xdr:row>
      <xdr:rowOff>47625</xdr:rowOff>
    </xdr:to>
    <xdr:grpSp>
      <xdr:nvGrpSpPr>
        <xdr:cNvPr id="30" name="グループ化 74"/>
        <xdr:cNvGrpSpPr>
          <a:grpSpLocks/>
        </xdr:cNvGrpSpPr>
      </xdr:nvGrpSpPr>
      <xdr:grpSpPr bwMode="auto">
        <a:xfrm>
          <a:off x="1752600" y="6800850"/>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10</xdr:col>
      <xdr:colOff>9525</xdr:colOff>
      <xdr:row>36</xdr:row>
      <xdr:rowOff>9525</xdr:rowOff>
    </xdr:from>
    <xdr:to>
      <xdr:col>17</xdr:col>
      <xdr:colOff>0</xdr:colOff>
      <xdr:row>36</xdr:row>
      <xdr:rowOff>9525</xdr:rowOff>
    </xdr:to>
    <xdr:cxnSp macro="">
      <xdr:nvCxnSpPr>
        <xdr:cNvPr id="39"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26</xdr:col>
      <xdr:colOff>85725</xdr:colOff>
      <xdr:row>72</xdr:row>
      <xdr:rowOff>180975</xdr:rowOff>
    </xdr:from>
    <xdr:ext cx="254942" cy="264560"/>
    <xdr:sp macro="" textlink="">
      <xdr:nvSpPr>
        <xdr:cNvPr id="40" name="テキスト ボックス 39"/>
        <xdr:cNvSpPr txBox="1"/>
      </xdr:nvSpPr>
      <xdr:spPr>
        <a:xfrm>
          <a:off x="5838825"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15</xdr:col>
      <xdr:colOff>9525</xdr:colOff>
      <xdr:row>192</xdr:row>
      <xdr:rowOff>0</xdr:rowOff>
    </xdr:from>
    <xdr:to>
      <xdr:col>20</xdr:col>
      <xdr:colOff>0</xdr:colOff>
      <xdr:row>192</xdr:row>
      <xdr:rowOff>0</xdr:rowOff>
    </xdr:to>
    <xdr:cxnSp macro="">
      <xdr:nvCxnSpPr>
        <xdr:cNvPr id="41" name="直線コネクタ 2"/>
        <xdr:cNvCxnSpPr>
          <a:cxnSpLocks noChangeShapeType="1"/>
        </xdr:cNvCxnSpPr>
      </xdr:nvCxnSpPr>
      <xdr:spPr bwMode="auto">
        <a:xfrm>
          <a:off x="3562350" y="384048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8</xdr:col>
      <xdr:colOff>123825</xdr:colOff>
      <xdr:row>433</xdr:row>
      <xdr:rowOff>9525</xdr:rowOff>
    </xdr:from>
    <xdr:to>
      <xdr:col>9</xdr:col>
      <xdr:colOff>28575</xdr:colOff>
      <xdr:row>433</xdr:row>
      <xdr:rowOff>180975</xdr:rowOff>
    </xdr:to>
    <xdr:sp macro="" textlink="">
      <xdr:nvSpPr>
        <xdr:cNvPr id="42" name="フリーフォーム 7"/>
        <xdr:cNvSpPr>
          <a:spLocks/>
        </xdr:cNvSpPr>
      </xdr:nvSpPr>
      <xdr:spPr bwMode="auto">
        <a:xfrm>
          <a:off x="2276475" y="866203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28575</xdr:colOff>
      <xdr:row>433</xdr:row>
      <xdr:rowOff>9525</xdr:rowOff>
    </xdr:from>
    <xdr:to>
      <xdr:col>16</xdr:col>
      <xdr:colOff>9525</xdr:colOff>
      <xdr:row>433</xdr:row>
      <xdr:rowOff>9525</xdr:rowOff>
    </xdr:to>
    <xdr:cxnSp macro="">
      <xdr:nvCxnSpPr>
        <xdr:cNvPr id="43" name="直線コネクタ 9"/>
        <xdr:cNvCxnSpPr>
          <a:cxnSpLocks noChangeShapeType="1"/>
        </xdr:cNvCxnSpPr>
      </xdr:nvCxnSpPr>
      <xdr:spPr bwMode="auto">
        <a:xfrm>
          <a:off x="2381250" y="866203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1200</xdr:row>
      <xdr:rowOff>57150</xdr:rowOff>
    </xdr:from>
    <xdr:to>
      <xdr:col>22</xdr:col>
      <xdr:colOff>114300</xdr:colOff>
      <xdr:row>1200</xdr:row>
      <xdr:rowOff>57150</xdr:rowOff>
    </xdr:to>
    <xdr:cxnSp macro="">
      <xdr:nvCxnSpPr>
        <xdr:cNvPr id="44" name="直線コネクタ 3"/>
        <xdr:cNvCxnSpPr>
          <a:cxnSpLocks noChangeShapeType="1"/>
        </xdr:cNvCxnSpPr>
      </xdr:nvCxnSpPr>
      <xdr:spPr bwMode="auto">
        <a:xfrm flipV="1">
          <a:off x="4981575" y="2326290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1201</xdr:row>
      <xdr:rowOff>47625</xdr:rowOff>
    </xdr:from>
    <xdr:to>
      <xdr:col>24</xdr:col>
      <xdr:colOff>171450</xdr:colOff>
      <xdr:row>1201</xdr:row>
      <xdr:rowOff>47625</xdr:rowOff>
    </xdr:to>
    <xdr:cxnSp macro="">
      <xdr:nvCxnSpPr>
        <xdr:cNvPr id="45" name="直線コネクタ 53"/>
        <xdr:cNvCxnSpPr>
          <a:cxnSpLocks noChangeShapeType="1"/>
        </xdr:cNvCxnSpPr>
      </xdr:nvCxnSpPr>
      <xdr:spPr bwMode="auto">
        <a:xfrm flipV="1">
          <a:off x="5438775" y="2328195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57150</xdr:colOff>
      <xdr:row>1204</xdr:row>
      <xdr:rowOff>57150</xdr:rowOff>
    </xdr:from>
    <xdr:to>
      <xdr:col>9</xdr:col>
      <xdr:colOff>142875</xdr:colOff>
      <xdr:row>1204</xdr:row>
      <xdr:rowOff>57150</xdr:rowOff>
    </xdr:to>
    <xdr:cxnSp macro="">
      <xdr:nvCxnSpPr>
        <xdr:cNvPr id="46" name="直線コネクタ 54"/>
        <xdr:cNvCxnSpPr>
          <a:cxnSpLocks noChangeShapeType="1"/>
        </xdr:cNvCxnSpPr>
      </xdr:nvCxnSpPr>
      <xdr:spPr bwMode="auto">
        <a:xfrm flipV="1">
          <a:off x="2409825" y="2334291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16" zoomScale="85" zoomScaleNormal="85" workbookViewId="0">
      <selection activeCell="G78" sqref="G78"/>
    </sheetView>
  </sheetViews>
  <sheetFormatPr defaultColWidth="12.375" defaultRowHeight="14.25" customHeight="1" x14ac:dyDescent="0.15"/>
  <cols>
    <col min="1" max="1" width="3.5" style="22" customWidth="1"/>
    <col min="2" max="5" width="12.375" style="23" customWidth="1"/>
    <col min="6" max="6" width="12.375" style="22" customWidth="1"/>
    <col min="7" max="12" width="12.375" style="23" customWidth="1"/>
    <col min="13" max="13" width="12.375" style="22" customWidth="1"/>
    <col min="14" max="18" width="12.375" style="23" customWidth="1"/>
    <col min="19" max="19" width="12.375" style="22" customWidth="1"/>
    <col min="20" max="16384" width="12.375" style="23"/>
  </cols>
  <sheetData>
    <row r="1" spans="1:19" s="18" customFormat="1" ht="15.75" customHeight="1" x14ac:dyDescent="0.2">
      <c r="A1" s="16" t="s">
        <v>432</v>
      </c>
      <c r="B1" s="17"/>
      <c r="C1" s="17"/>
      <c r="D1" s="17"/>
      <c r="E1" s="17"/>
      <c r="F1" s="17"/>
      <c r="G1" s="17"/>
      <c r="H1" s="17"/>
      <c r="I1" s="17"/>
      <c r="J1" s="17"/>
    </row>
    <row r="3" spans="1:19" s="19" customFormat="1" ht="14.25" customHeight="1" x14ac:dyDescent="0.15">
      <c r="B3" s="20" t="s">
        <v>404</v>
      </c>
      <c r="K3" s="21"/>
    </row>
    <row r="4" spans="1:19" s="19" customFormat="1" ht="7.5" customHeight="1" x14ac:dyDescent="0.15"/>
    <row r="5" spans="1:19" s="19" customFormat="1" ht="14.25" customHeight="1" x14ac:dyDescent="0.15">
      <c r="B5" s="19" t="s">
        <v>430</v>
      </c>
    </row>
    <row r="6" spans="1:19" s="19" customFormat="1" ht="14.25" customHeight="1" x14ac:dyDescent="0.15">
      <c r="B6" s="19" t="s">
        <v>431</v>
      </c>
    </row>
    <row r="7" spans="1:19" s="19" customFormat="1" ht="14.25" customHeight="1" x14ac:dyDescent="0.15"/>
    <row r="8" spans="1:19" ht="14.25" customHeight="1" x14ac:dyDescent="0.15">
      <c r="B8" s="23" t="s">
        <v>405</v>
      </c>
    </row>
    <row r="9" spans="1:19" ht="14.25" customHeight="1" x14ac:dyDescent="0.15">
      <c r="B9" s="24" t="s">
        <v>406</v>
      </c>
    </row>
    <row r="11" spans="1:19" ht="14.25" customHeight="1" x14ac:dyDescent="0.15">
      <c r="B11" s="23" t="s">
        <v>407</v>
      </c>
    </row>
    <row r="13" spans="1:19" s="27" customFormat="1" ht="14.25" customHeight="1" x14ac:dyDescent="0.15">
      <c r="A13" s="25"/>
      <c r="B13" s="26" t="s">
        <v>408</v>
      </c>
      <c r="F13" s="25"/>
      <c r="M13" s="25"/>
      <c r="S13" s="25"/>
    </row>
    <row r="14" spans="1:19" s="27" customFormat="1" ht="14.25" customHeight="1" x14ac:dyDescent="0.15">
      <c r="A14" s="25"/>
      <c r="B14" s="79"/>
      <c r="C14" s="80"/>
      <c r="D14" s="80"/>
      <c r="E14" s="80"/>
      <c r="F14" s="80"/>
      <c r="G14" s="80"/>
      <c r="H14" s="81"/>
      <c r="M14" s="25"/>
      <c r="S14" s="25"/>
    </row>
    <row r="15" spans="1:19" s="27" customFormat="1" ht="14.25" customHeight="1" x14ac:dyDescent="0.15">
      <c r="A15" s="25"/>
      <c r="B15" s="26" t="s">
        <v>409</v>
      </c>
      <c r="F15" s="25"/>
      <c r="M15" s="25"/>
      <c r="S15" s="25"/>
    </row>
    <row r="16" spans="1:19" s="27" customFormat="1" ht="14.25" customHeight="1" x14ac:dyDescent="0.15">
      <c r="A16" s="25"/>
      <c r="B16" s="82"/>
      <c r="C16" s="83"/>
      <c r="D16" s="83"/>
      <c r="E16" s="83"/>
      <c r="F16" s="83"/>
      <c r="G16" s="83"/>
      <c r="H16" s="84"/>
      <c r="M16" s="25"/>
      <c r="S16" s="25"/>
    </row>
    <row r="18" spans="2:11" ht="14.25" customHeight="1" x14ac:dyDescent="0.15">
      <c r="B18" s="23" t="s">
        <v>410</v>
      </c>
    </row>
    <row r="19" spans="2:11" ht="14.25" customHeight="1" x14ac:dyDescent="0.15">
      <c r="B19" s="28" t="s">
        <v>411</v>
      </c>
    </row>
    <row r="20" spans="2:11" ht="14.25" customHeight="1" x14ac:dyDescent="0.15">
      <c r="B20" s="28" t="s">
        <v>412</v>
      </c>
    </row>
    <row r="23" spans="2:11" s="19" customFormat="1" ht="14.25" customHeight="1" x14ac:dyDescent="0.15">
      <c r="B23" s="20" t="s">
        <v>413</v>
      </c>
      <c r="K23" s="21"/>
    </row>
    <row r="24" spans="2:11" s="19" customFormat="1" ht="7.5" customHeight="1" x14ac:dyDescent="0.15"/>
    <row r="25" spans="2:11" ht="14.25" customHeight="1" x14ac:dyDescent="0.15">
      <c r="B25" s="23" t="s">
        <v>414</v>
      </c>
    </row>
    <row r="26" spans="2:11" ht="14.25" customHeight="1" x14ac:dyDescent="0.15">
      <c r="B26" s="23" t="s">
        <v>415</v>
      </c>
    </row>
    <row r="27" spans="2:11" ht="14.25" customHeight="1" x14ac:dyDescent="0.15">
      <c r="B27" s="23" t="s">
        <v>416</v>
      </c>
    </row>
    <row r="28" spans="2:11" ht="14.25" customHeight="1" x14ac:dyDescent="0.15">
      <c r="B28" s="23" t="s">
        <v>417</v>
      </c>
    </row>
    <row r="29" spans="2:11" ht="14.25" customHeight="1" x14ac:dyDescent="0.15">
      <c r="B29" s="23" t="s">
        <v>418</v>
      </c>
    </row>
    <row r="32" spans="2:11" s="19" customFormat="1" ht="14.25" customHeight="1" x14ac:dyDescent="0.15">
      <c r="B32" s="20" t="s">
        <v>419</v>
      </c>
      <c r="K32" s="21"/>
    </row>
    <row r="33" spans="2:21" s="19" customFormat="1" ht="7.5" customHeight="1" x14ac:dyDescent="0.15"/>
    <row r="34" spans="2:21" ht="14.25" customHeight="1" x14ac:dyDescent="0.15">
      <c r="B34" s="19" t="s">
        <v>489</v>
      </c>
    </row>
    <row r="35" spans="2:21" ht="14.25" customHeight="1" x14ac:dyDescent="0.15">
      <c r="B35" s="23" t="s">
        <v>420</v>
      </c>
    </row>
    <row r="37" spans="2:21" ht="14.25" customHeight="1" x14ac:dyDescent="0.15">
      <c r="U37"/>
    </row>
    <row r="42" spans="2:21" ht="14.25" customHeight="1" x14ac:dyDescent="0.15">
      <c r="N42"/>
    </row>
    <row r="43" spans="2:21" ht="14.25" customHeight="1" x14ac:dyDescent="0.15">
      <c r="N43" s="23" t="s">
        <v>421</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22" customFormat="1" ht="14.25" customHeight="1" x14ac:dyDescent="0.15">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row>
    <row r="60" spans="1:41" ht="14.25" customHeight="1" x14ac:dyDescent="0.15">
      <c r="N60"/>
    </row>
    <row r="92" spans="2:11" s="19" customFormat="1" ht="14.25" customHeight="1" x14ac:dyDescent="0.15">
      <c r="B92" s="20" t="s">
        <v>422</v>
      </c>
      <c r="K92" s="21"/>
    </row>
    <row r="93" spans="2:11" s="19" customFormat="1" ht="7.5" customHeight="1" x14ac:dyDescent="0.15"/>
    <row r="94" spans="2:11" ht="14.25" customHeight="1" x14ac:dyDescent="0.25">
      <c r="B94" s="30" t="s">
        <v>423</v>
      </c>
    </row>
    <row r="95" spans="2:11" ht="14.25" customHeight="1" x14ac:dyDescent="0.25">
      <c r="B95" s="30" t="s">
        <v>424</v>
      </c>
    </row>
    <row r="96" spans="2:11" ht="14.25" customHeight="1" x14ac:dyDescent="0.25">
      <c r="B96" s="30" t="s">
        <v>425</v>
      </c>
    </row>
    <row r="97" spans="2:2" ht="14.25" customHeight="1" x14ac:dyDescent="0.25">
      <c r="B97" s="30" t="s">
        <v>426</v>
      </c>
    </row>
    <row r="98" spans="2:2" ht="14.25" customHeight="1" x14ac:dyDescent="0.15">
      <c r="B98" s="31" t="s">
        <v>427</v>
      </c>
    </row>
    <row r="99" spans="2:2" ht="14.25" customHeight="1" x14ac:dyDescent="0.15">
      <c r="B99" s="32" t="s">
        <v>428</v>
      </c>
    </row>
    <row r="100" spans="2:2" ht="14.25" customHeight="1" x14ac:dyDescent="0.15">
      <c r="B100" s="33" t="s">
        <v>429</v>
      </c>
    </row>
  </sheetData>
  <mergeCells count="2">
    <mergeCell ref="B14:H14"/>
    <mergeCell ref="B16:H16"/>
  </mergeCells>
  <phoneticPr fontId="1"/>
  <hyperlinks>
    <hyperlink ref="B9" r:id="rId1"/>
  </hyperlinks>
  <pageMargins left="0.75" right="0.75" top="1" bottom="1" header="0.51200000000000001" footer="0.5120000000000000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2:P291"/>
  <sheetViews>
    <sheetView zoomScale="85" zoomScaleNormal="85" zoomScaleSheetLayoutView="85" workbookViewId="0">
      <selection activeCell="I13" sqref="I13"/>
    </sheetView>
  </sheetViews>
  <sheetFormatPr defaultColWidth="9.375" defaultRowHeight="15.75" customHeight="1" x14ac:dyDescent="0.15"/>
  <cols>
    <col min="1" max="1" width="9.375" style="12"/>
    <col min="2" max="2" width="5" style="4" bestFit="1" customWidth="1"/>
    <col min="3" max="3" width="7.625" style="5" bestFit="1" customWidth="1"/>
    <col min="4" max="4" width="8.5" style="4" bestFit="1" customWidth="1"/>
    <col min="5" max="5" width="5" style="4" bestFit="1" customWidth="1"/>
    <col min="6" max="9" width="6.125" style="4" customWidth="1"/>
    <col min="10" max="10" width="12.25" style="4" bestFit="1" customWidth="1"/>
    <col min="11" max="11" width="11.5" style="4" customWidth="1"/>
    <col min="12" max="13" width="8.5" style="4" bestFit="1" customWidth="1"/>
    <col min="14" max="14" width="9.375" style="4"/>
    <col min="15" max="15" width="5.25" style="4" bestFit="1" customWidth="1"/>
    <col min="16" max="16" width="5.5" style="4" customWidth="1"/>
    <col min="17" max="16384" width="9.375" style="4"/>
  </cols>
  <sheetData>
    <row r="2" spans="2:13" ht="15.75" customHeight="1" x14ac:dyDescent="0.15">
      <c r="B2" s="437" t="s">
        <v>8</v>
      </c>
      <c r="C2" s="90" t="s">
        <v>9</v>
      </c>
      <c r="D2" s="90" t="s">
        <v>10</v>
      </c>
      <c r="E2" s="90" t="s">
        <v>11</v>
      </c>
      <c r="F2" s="91" t="s">
        <v>12</v>
      </c>
      <c r="G2" s="91"/>
      <c r="H2" s="92" t="s">
        <v>13</v>
      </c>
      <c r="I2" s="92"/>
      <c r="J2" s="42" t="s">
        <v>518</v>
      </c>
      <c r="K2" s="42" t="s">
        <v>0</v>
      </c>
      <c r="L2" s="87" t="s">
        <v>492</v>
      </c>
      <c r="M2" s="88"/>
    </row>
    <row r="3" spans="2:13" ht="15.75" customHeight="1" x14ac:dyDescent="0.15">
      <c r="B3" s="438"/>
      <c r="C3" s="90"/>
      <c r="D3" s="90"/>
      <c r="E3" s="90"/>
      <c r="F3" s="43" t="s">
        <v>14</v>
      </c>
      <c r="G3" s="43" t="s">
        <v>15</v>
      </c>
      <c r="H3" s="90" t="s">
        <v>16</v>
      </c>
      <c r="I3" s="90"/>
      <c r="J3" s="44" t="s">
        <v>519</v>
      </c>
      <c r="K3" s="44" t="s">
        <v>17</v>
      </c>
      <c r="L3" s="44" t="s">
        <v>493</v>
      </c>
      <c r="M3" s="44" t="s">
        <v>494</v>
      </c>
    </row>
    <row r="4" spans="2:13" ht="15.75" customHeight="1" x14ac:dyDescent="0.15">
      <c r="B4" s="439">
        <v>1</v>
      </c>
      <c r="C4" s="51">
        <v>1</v>
      </c>
      <c r="D4" s="45" t="s">
        <v>516</v>
      </c>
      <c r="E4" s="45"/>
      <c r="F4" s="45">
        <v>18</v>
      </c>
      <c r="G4" s="45">
        <v>9</v>
      </c>
      <c r="H4" s="46"/>
      <c r="I4" s="65"/>
      <c r="J4" s="63"/>
      <c r="K4" s="45"/>
      <c r="L4" s="45"/>
      <c r="M4" s="45"/>
    </row>
    <row r="5" spans="2:13" ht="15.75" customHeight="1" x14ac:dyDescent="0.15">
      <c r="B5" s="439">
        <v>2</v>
      </c>
      <c r="C5" s="51">
        <v>0.9</v>
      </c>
      <c r="D5" s="45" t="s">
        <v>516</v>
      </c>
      <c r="E5" s="45"/>
      <c r="F5" s="45">
        <v>18</v>
      </c>
      <c r="G5" s="45">
        <v>9</v>
      </c>
      <c r="H5" s="46"/>
      <c r="I5" s="65"/>
      <c r="J5" s="63"/>
      <c r="K5" s="45">
        <v>13930</v>
      </c>
      <c r="L5" s="45"/>
      <c r="M5" s="45"/>
    </row>
    <row r="6" spans="2:13" ht="15.75" customHeight="1" x14ac:dyDescent="0.15">
      <c r="B6" s="440">
        <v>3</v>
      </c>
      <c r="C6" s="51">
        <v>3</v>
      </c>
      <c r="D6" s="45" t="s">
        <v>248</v>
      </c>
      <c r="E6" s="45">
        <v>5</v>
      </c>
      <c r="F6" s="45">
        <v>16</v>
      </c>
      <c r="G6" s="45">
        <v>6</v>
      </c>
      <c r="H6" s="46"/>
      <c r="I6" s="65"/>
      <c r="J6" s="63">
        <v>20</v>
      </c>
      <c r="K6" s="45">
        <v>13930</v>
      </c>
      <c r="L6" s="45"/>
      <c r="M6" s="45"/>
    </row>
    <row r="7" spans="2:13" ht="15.75" customHeight="1" x14ac:dyDescent="0.15">
      <c r="B7" s="440">
        <v>4</v>
      </c>
      <c r="C7" s="51">
        <v>5</v>
      </c>
      <c r="D7" s="45" t="s">
        <v>516</v>
      </c>
      <c r="E7" s="45">
        <v>15</v>
      </c>
      <c r="F7" s="45">
        <v>18</v>
      </c>
      <c r="G7" s="45">
        <v>9</v>
      </c>
      <c r="H7" s="46">
        <v>34.299999999999997</v>
      </c>
      <c r="I7" s="65"/>
      <c r="J7" s="63"/>
      <c r="K7" s="45">
        <v>28620</v>
      </c>
      <c r="L7" s="45"/>
      <c r="M7" s="45"/>
    </row>
    <row r="8" spans="2:13" ht="15.75" customHeight="1" x14ac:dyDescent="0.15">
      <c r="B8" s="440">
        <v>5</v>
      </c>
      <c r="C8" s="51">
        <v>8</v>
      </c>
      <c r="D8" s="45" t="s">
        <v>248</v>
      </c>
      <c r="E8" s="45">
        <v>10</v>
      </c>
      <c r="F8" s="45">
        <v>16</v>
      </c>
      <c r="G8" s="45">
        <v>7</v>
      </c>
      <c r="H8" s="46"/>
      <c r="I8" s="65"/>
      <c r="J8" s="63">
        <v>62.5</v>
      </c>
      <c r="K8" s="45">
        <v>32570</v>
      </c>
      <c r="L8" s="45"/>
      <c r="M8" s="45"/>
    </row>
    <row r="9" spans="2:13" ht="15.75" customHeight="1" x14ac:dyDescent="0.15">
      <c r="B9" s="440">
        <v>6</v>
      </c>
      <c r="C9" s="51">
        <v>4.5</v>
      </c>
      <c r="D9" s="45" t="s">
        <v>248</v>
      </c>
      <c r="E9" s="45">
        <v>20</v>
      </c>
      <c r="F9" s="45">
        <v>16</v>
      </c>
      <c r="G9" s="45">
        <v>7</v>
      </c>
      <c r="H9" s="46"/>
      <c r="I9" s="65"/>
      <c r="J9" s="63">
        <v>125</v>
      </c>
      <c r="K9" s="45">
        <v>46440</v>
      </c>
      <c r="L9" s="45"/>
      <c r="M9" s="45"/>
    </row>
    <row r="10" spans="2:13" s="12" customFormat="1" ht="15.75" customHeight="1" x14ac:dyDescent="0.15">
      <c r="B10" s="440">
        <v>7</v>
      </c>
      <c r="C10" s="51">
        <v>10</v>
      </c>
      <c r="D10" s="45" t="s">
        <v>517</v>
      </c>
      <c r="E10" s="45">
        <v>70</v>
      </c>
      <c r="F10" s="45">
        <v>19</v>
      </c>
      <c r="G10" s="45">
        <v>10</v>
      </c>
      <c r="H10" s="46">
        <v>37.1</v>
      </c>
      <c r="I10" s="65"/>
      <c r="J10" s="63"/>
      <c r="K10" s="45">
        <v>91760</v>
      </c>
      <c r="L10" s="45"/>
      <c r="M10" s="45"/>
    </row>
    <row r="11" spans="2:13" s="12" customFormat="1" ht="15.75" customHeight="1" x14ac:dyDescent="0.15">
      <c r="B11" s="440"/>
      <c r="C11" s="51"/>
      <c r="D11" s="45"/>
      <c r="E11" s="49"/>
      <c r="F11" s="52"/>
      <c r="G11" s="52"/>
      <c r="H11" s="47"/>
      <c r="I11" s="48"/>
      <c r="J11" s="63"/>
      <c r="K11" s="50"/>
      <c r="L11" s="45"/>
      <c r="M11" s="45"/>
    </row>
    <row r="12" spans="2:13" s="12" customFormat="1" ht="15.75" customHeight="1" x14ac:dyDescent="0.15">
      <c r="B12" s="440"/>
      <c r="C12" s="51"/>
      <c r="D12" s="45"/>
      <c r="E12" s="49"/>
      <c r="F12" s="52"/>
      <c r="G12" s="52"/>
      <c r="H12" s="47"/>
      <c r="I12" s="48"/>
      <c r="J12" s="63"/>
      <c r="K12" s="50"/>
      <c r="L12" s="45"/>
      <c r="M12" s="45"/>
    </row>
    <row r="13" spans="2:13" s="12" customFormat="1" ht="15.75" customHeight="1" x14ac:dyDescent="0.15">
      <c r="B13" s="440"/>
      <c r="C13" s="51"/>
      <c r="D13" s="45"/>
      <c r="E13" s="49"/>
      <c r="F13" s="52"/>
      <c r="G13" s="52"/>
      <c r="H13" s="47"/>
      <c r="I13" s="48"/>
      <c r="J13" s="63"/>
      <c r="K13" s="50"/>
      <c r="L13" s="45"/>
      <c r="M13" s="45"/>
    </row>
    <row r="14" spans="2:13" s="12" customFormat="1" ht="15.75" customHeight="1" x14ac:dyDescent="0.15">
      <c r="B14" s="440"/>
      <c r="C14" s="51"/>
      <c r="D14" s="45"/>
      <c r="E14" s="49"/>
      <c r="F14" s="52"/>
      <c r="G14" s="52"/>
      <c r="H14" s="47"/>
      <c r="I14" s="48"/>
      <c r="J14" s="63"/>
      <c r="K14" s="50"/>
      <c r="L14" s="45"/>
      <c r="M14" s="45"/>
    </row>
    <row r="15" spans="2:13" ht="15.75" customHeight="1" x14ac:dyDescent="0.15">
      <c r="B15" s="440"/>
      <c r="C15" s="51"/>
      <c r="D15" s="45"/>
      <c r="E15" s="49"/>
      <c r="F15" s="52"/>
      <c r="G15" s="52"/>
      <c r="H15" s="47"/>
      <c r="I15" s="48"/>
      <c r="J15" s="63"/>
      <c r="K15" s="50"/>
      <c r="L15" s="45"/>
      <c r="M15" s="45"/>
    </row>
    <row r="16" spans="2:13" ht="15.75" customHeight="1" x14ac:dyDescent="0.15">
      <c r="B16" s="440"/>
      <c r="C16" s="51"/>
      <c r="D16" s="45"/>
      <c r="E16" s="49"/>
      <c r="F16" s="52"/>
      <c r="G16" s="52"/>
      <c r="H16" s="47"/>
      <c r="I16" s="48"/>
      <c r="J16" s="63"/>
      <c r="K16" s="50"/>
      <c r="L16" s="45"/>
      <c r="M16" s="45"/>
    </row>
    <row r="17" spans="2:16" ht="15.75" customHeight="1" x14ac:dyDescent="0.15">
      <c r="B17" s="440"/>
      <c r="C17" s="51"/>
      <c r="D17" s="45"/>
      <c r="E17" s="49"/>
      <c r="F17" s="52"/>
      <c r="G17" s="52"/>
      <c r="H17" s="47"/>
      <c r="I17" s="48"/>
      <c r="J17" s="63"/>
      <c r="K17" s="50"/>
      <c r="L17" s="45"/>
      <c r="M17" s="45"/>
    </row>
    <row r="18" spans="2:16" ht="15.75" customHeight="1" x14ac:dyDescent="0.15">
      <c r="B18" s="440"/>
      <c r="C18" s="51"/>
      <c r="D18" s="45"/>
      <c r="E18" s="49"/>
      <c r="F18" s="52"/>
      <c r="G18" s="52"/>
      <c r="H18" s="47"/>
      <c r="I18" s="48"/>
      <c r="J18" s="63"/>
      <c r="K18" s="50"/>
      <c r="L18" s="45"/>
      <c r="M18" s="45"/>
    </row>
    <row r="19" spans="2:16" ht="15.75" customHeight="1" x14ac:dyDescent="0.15">
      <c r="B19" s="440"/>
      <c r="C19" s="51"/>
      <c r="D19" s="45"/>
      <c r="E19" s="49"/>
      <c r="F19" s="52"/>
      <c r="G19" s="52"/>
      <c r="H19" s="47"/>
      <c r="I19" s="48"/>
      <c r="J19" s="63"/>
      <c r="K19" s="50"/>
      <c r="L19" s="45"/>
      <c r="M19" s="45"/>
    </row>
    <row r="20" spans="2:16" s="12" customFormat="1" ht="15.75" customHeight="1" x14ac:dyDescent="0.15">
      <c r="B20" s="297" t="s">
        <v>552</v>
      </c>
      <c r="C20" s="298"/>
      <c r="D20" s="45" t="s">
        <v>517</v>
      </c>
      <c r="E20" s="45">
        <v>70</v>
      </c>
      <c r="F20" s="45">
        <v>19</v>
      </c>
      <c r="G20" s="45">
        <v>10</v>
      </c>
      <c r="H20" s="46">
        <v>37.1</v>
      </c>
      <c r="I20" s="65"/>
      <c r="J20" s="63"/>
      <c r="K20" s="45">
        <v>91760</v>
      </c>
    </row>
    <row r="21" spans="2:16" ht="15.75" customHeight="1" x14ac:dyDescent="0.15">
      <c r="B21" s="5"/>
      <c r="C21" s="3"/>
      <c r="D21" s="3"/>
      <c r="E21" s="3"/>
      <c r="F21" s="5"/>
      <c r="G21" s="5"/>
      <c r="H21" s="5"/>
      <c r="I21" s="5"/>
      <c r="J21" s="5"/>
      <c r="K21" s="5"/>
    </row>
    <row r="22" spans="2:16" ht="15.75" customHeight="1" x14ac:dyDescent="0.15">
      <c r="G22" s="85" t="s">
        <v>376</v>
      </c>
      <c r="H22" s="85"/>
      <c r="J22" s="15" t="s">
        <v>495</v>
      </c>
      <c r="L22" s="59" t="s">
        <v>496</v>
      </c>
      <c r="M22" s="13"/>
      <c r="N22" s="13"/>
      <c r="O22" s="13"/>
      <c r="P22" s="14"/>
    </row>
    <row r="23" spans="2:16" ht="15.75" customHeight="1" x14ac:dyDescent="0.15">
      <c r="C23" s="4"/>
      <c r="G23" s="89">
        <v>1</v>
      </c>
      <c r="H23" s="89"/>
      <c r="J23" s="53" t="s">
        <v>504</v>
      </c>
      <c r="L23" s="54"/>
      <c r="M23" s="12"/>
      <c r="N23" s="12"/>
      <c r="O23" s="12"/>
      <c r="P23" s="55"/>
    </row>
    <row r="24" spans="2:16" ht="15.75" customHeight="1" x14ac:dyDescent="0.15">
      <c r="C24" s="4"/>
      <c r="G24" s="5"/>
      <c r="H24" s="5"/>
      <c r="L24" s="69" t="s">
        <v>503</v>
      </c>
      <c r="M24" s="60" t="s">
        <v>498</v>
      </c>
      <c r="N24" s="66">
        <v>9.83</v>
      </c>
      <c r="O24" s="60" t="s">
        <v>499</v>
      </c>
      <c r="P24" s="67">
        <v>1</v>
      </c>
    </row>
    <row r="25" spans="2:16" ht="15.75" customHeight="1" x14ac:dyDescent="0.15">
      <c r="G25" s="85" t="s">
        <v>375</v>
      </c>
      <c r="H25" s="85"/>
      <c r="J25" s="72" t="s">
        <v>554</v>
      </c>
      <c r="L25" s="69"/>
      <c r="M25" s="60" t="s">
        <v>500</v>
      </c>
      <c r="N25" s="66">
        <v>5</v>
      </c>
      <c r="O25" s="60" t="s">
        <v>501</v>
      </c>
      <c r="P25" s="67">
        <v>2</v>
      </c>
    </row>
    <row r="26" spans="2:16" ht="15.75" customHeight="1" x14ac:dyDescent="0.15">
      <c r="G26" s="86">
        <v>21</v>
      </c>
      <c r="H26" s="86"/>
      <c r="J26" s="63" t="s">
        <v>555</v>
      </c>
      <c r="L26" s="69"/>
      <c r="M26" s="60"/>
      <c r="N26" s="6"/>
      <c r="O26" s="60"/>
      <c r="P26" s="68"/>
    </row>
    <row r="27" spans="2:16" ht="15.75" customHeight="1" x14ac:dyDescent="0.15">
      <c r="G27" s="5"/>
      <c r="H27" s="5"/>
      <c r="L27" s="69" t="s">
        <v>502</v>
      </c>
      <c r="M27" s="60" t="s">
        <v>498</v>
      </c>
      <c r="N27" s="66">
        <v>5</v>
      </c>
      <c r="O27" s="60" t="s">
        <v>499</v>
      </c>
      <c r="P27" s="67">
        <v>2</v>
      </c>
    </row>
    <row r="28" spans="2:16" ht="15.75" customHeight="1" x14ac:dyDescent="0.15">
      <c r="G28" s="85" t="s">
        <v>490</v>
      </c>
      <c r="H28" s="85"/>
      <c r="J28" s="15" t="s">
        <v>12</v>
      </c>
      <c r="L28" s="69"/>
      <c r="M28" s="60" t="s">
        <v>500</v>
      </c>
      <c r="N28" s="66">
        <v>9.83</v>
      </c>
      <c r="O28" s="60" t="s">
        <v>501</v>
      </c>
      <c r="P28" s="67">
        <v>1</v>
      </c>
    </row>
    <row r="29" spans="2:16" ht="15.75" customHeight="1" x14ac:dyDescent="0.15">
      <c r="G29" s="86">
        <v>1.9</v>
      </c>
      <c r="H29" s="86"/>
      <c r="J29" s="63">
        <v>24.5</v>
      </c>
      <c r="L29" s="56"/>
      <c r="M29" s="57"/>
      <c r="N29" s="57"/>
      <c r="O29" s="57"/>
      <c r="P29" s="58"/>
    </row>
    <row r="30" spans="2:16" ht="15.75" customHeight="1" x14ac:dyDescent="0.15">
      <c r="G30" s="5"/>
      <c r="H30" s="5"/>
    </row>
    <row r="31" spans="2:16" ht="15.75" customHeight="1" x14ac:dyDescent="0.15">
      <c r="G31" s="85" t="s">
        <v>491</v>
      </c>
      <c r="H31" s="85"/>
      <c r="J31" s="15" t="s">
        <v>497</v>
      </c>
    </row>
    <row r="32" spans="2:16" ht="15.75" customHeight="1" x14ac:dyDescent="0.15">
      <c r="G32" s="86">
        <v>2</v>
      </c>
      <c r="H32" s="86"/>
      <c r="J32" s="63">
        <v>22.4</v>
      </c>
    </row>
    <row r="276" spans="5:10" ht="15.75" customHeight="1" x14ac:dyDescent="0.15">
      <c r="E276" s="70"/>
      <c r="F276" s="70"/>
      <c r="G276" s="70"/>
      <c r="H276" s="71"/>
      <c r="I276" s="71"/>
      <c r="J276" s="71"/>
    </row>
    <row r="277" spans="5:10" ht="15.75" customHeight="1" x14ac:dyDescent="0.15">
      <c r="E277" s="70"/>
      <c r="F277" s="70"/>
      <c r="G277" s="70"/>
      <c r="H277" s="71"/>
      <c r="I277" s="71"/>
      <c r="J277" s="71"/>
    </row>
    <row r="278" spans="5:10" ht="15.75" customHeight="1" x14ac:dyDescent="0.15">
      <c r="E278" s="70"/>
      <c r="F278" s="70"/>
      <c r="G278" s="70"/>
      <c r="H278" s="71"/>
      <c r="I278" s="71"/>
      <c r="J278" s="71"/>
    </row>
    <row r="279" spans="5:10" ht="15.75" customHeight="1" x14ac:dyDescent="0.15">
      <c r="E279" s="70"/>
      <c r="F279" s="70"/>
      <c r="G279" s="70"/>
      <c r="H279" s="71"/>
      <c r="I279" s="71"/>
      <c r="J279" s="71"/>
    </row>
    <row r="280" spans="5:10" ht="15.75" customHeight="1" x14ac:dyDescent="0.15">
      <c r="E280" s="70"/>
      <c r="F280" s="70"/>
      <c r="G280" s="70"/>
      <c r="H280" s="71"/>
      <c r="I280" s="71"/>
      <c r="J280" s="71"/>
    </row>
    <row r="281" spans="5:10" ht="15.75" customHeight="1" x14ac:dyDescent="0.15">
      <c r="E281" s="70"/>
      <c r="F281" s="70"/>
      <c r="G281" s="70"/>
      <c r="H281" s="71"/>
      <c r="I281" s="71"/>
      <c r="J281" s="71"/>
    </row>
    <row r="282" spans="5:10" ht="15.75" customHeight="1" x14ac:dyDescent="0.15">
      <c r="E282" s="70"/>
      <c r="F282" s="70"/>
      <c r="G282" s="70"/>
      <c r="H282" s="71"/>
      <c r="I282" s="71"/>
      <c r="J282" s="71"/>
    </row>
    <row r="283" spans="5:10" ht="15.75" customHeight="1" x14ac:dyDescent="0.15">
      <c r="E283" s="70"/>
      <c r="F283" s="70"/>
      <c r="G283" s="70"/>
      <c r="H283" s="71"/>
      <c r="I283" s="71"/>
      <c r="J283" s="71"/>
    </row>
    <row r="284" spans="5:10" ht="15.75" customHeight="1" x14ac:dyDescent="0.15">
      <c r="E284" s="70"/>
      <c r="F284" s="70"/>
      <c r="G284" s="70"/>
      <c r="H284" s="71"/>
      <c r="I284" s="71"/>
      <c r="J284" s="71"/>
    </row>
    <row r="285" spans="5:10" ht="15.75" customHeight="1" x14ac:dyDescent="0.15">
      <c r="E285" s="70"/>
      <c r="F285" s="70"/>
      <c r="G285" s="70"/>
      <c r="H285" s="71"/>
      <c r="I285" s="71"/>
      <c r="J285" s="71"/>
    </row>
    <row r="286" spans="5:10" ht="15.75" customHeight="1" x14ac:dyDescent="0.15">
      <c r="E286" s="70"/>
      <c r="F286" s="70"/>
      <c r="G286" s="70"/>
      <c r="H286" s="71"/>
      <c r="I286" s="71"/>
      <c r="J286" s="71"/>
    </row>
    <row r="287" spans="5:10" ht="15.75" customHeight="1" x14ac:dyDescent="0.15">
      <c r="E287" s="70"/>
      <c r="F287" s="70"/>
      <c r="G287" s="70"/>
      <c r="H287" s="71"/>
      <c r="I287" s="71"/>
      <c r="J287" s="71"/>
    </row>
    <row r="288" spans="5:10" ht="15.75" customHeight="1" x14ac:dyDescent="0.15">
      <c r="E288" s="70"/>
      <c r="F288" s="70"/>
      <c r="G288" s="70"/>
      <c r="H288" s="71"/>
      <c r="I288" s="71"/>
      <c r="J288" s="71"/>
    </row>
    <row r="289" spans="5:10" ht="15.75" customHeight="1" x14ac:dyDescent="0.15">
      <c r="E289" s="70"/>
      <c r="F289" s="70"/>
      <c r="G289" s="70"/>
      <c r="H289" s="71"/>
      <c r="I289" s="71"/>
      <c r="J289" s="71"/>
    </row>
    <row r="290" spans="5:10" ht="15.75" customHeight="1" x14ac:dyDescent="0.15">
      <c r="E290" s="70"/>
      <c r="F290" s="70"/>
      <c r="G290" s="70"/>
      <c r="H290" s="71"/>
      <c r="I290" s="71"/>
      <c r="J290" s="71"/>
    </row>
    <row r="291" spans="5:10" ht="15.75" customHeight="1" x14ac:dyDescent="0.15">
      <c r="E291" s="70"/>
      <c r="F291" s="70"/>
      <c r="G291" s="70"/>
      <c r="H291" s="71"/>
      <c r="I291" s="71"/>
      <c r="J291" s="71"/>
    </row>
  </sheetData>
  <mergeCells count="17">
    <mergeCell ref="B20:C20"/>
    <mergeCell ref="B2:B3"/>
    <mergeCell ref="C2:C3"/>
    <mergeCell ref="D2:D3"/>
    <mergeCell ref="H3:I3"/>
    <mergeCell ref="E2:E3"/>
    <mergeCell ref="F2:G2"/>
    <mergeCell ref="H2:I2"/>
    <mergeCell ref="G31:H31"/>
    <mergeCell ref="G32:H32"/>
    <mergeCell ref="L2:M2"/>
    <mergeCell ref="G22:H22"/>
    <mergeCell ref="G23:H23"/>
    <mergeCell ref="G25:H25"/>
    <mergeCell ref="G26:H26"/>
    <mergeCell ref="G28:H28"/>
    <mergeCell ref="G29:H29"/>
  </mergeCells>
  <phoneticPr fontId="1"/>
  <dataValidations count="3">
    <dataValidation type="list" allowBlank="1" showInputMessage="1" showErrorMessage="1" sqref="J23">
      <formula1>"場所打ち杭"</formula1>
    </dataValidation>
    <dataValidation type="list" allowBlank="1" showInputMessage="1" showErrorMessage="1" sqref="D4:D20">
      <formula1>"粘性土,砂質土,砂礫"</formula1>
    </dataValidation>
    <dataValidation type="list" allowBlank="1" showInputMessage="1" showErrorMessage="1" sqref="J26">
      <formula1>"自然泥水,安定液"</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323850</xdr:colOff>
                    <xdr:row>1</xdr:row>
                    <xdr:rowOff>57150</xdr:rowOff>
                  </from>
                  <to>
                    <xdr:col>15</xdr:col>
                    <xdr:colOff>200025</xdr:colOff>
                    <xdr:row>4</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2:CG1825"/>
  <sheetViews>
    <sheetView tabSelected="1" view="pageBreakPreview" topLeftCell="A1020" zoomScale="85" zoomScaleNormal="90" zoomScaleSheetLayoutView="85" workbookViewId="0">
      <selection activeCell="AE1152" sqref="AE1152"/>
    </sheetView>
  </sheetViews>
  <sheetFormatPr defaultColWidth="2.625" defaultRowHeight="15.75" customHeight="1" x14ac:dyDescent="0.15"/>
  <cols>
    <col min="1" max="1" width="9.75" style="76" customWidth="1"/>
    <col min="2" max="2" width="2.75" style="76" customWidth="1"/>
    <col min="3" max="3" width="2.625" style="1" customWidth="1"/>
    <col min="4" max="4" width="2.625" style="76" customWidth="1"/>
    <col min="5" max="5" width="2.625" style="1" customWidth="1"/>
    <col min="6" max="10" width="2.625" style="76"/>
    <col min="11" max="11" width="2.625" style="76" customWidth="1"/>
    <col min="12" max="13" width="2.625" style="76"/>
    <col min="14" max="14" width="2.625" style="76" customWidth="1"/>
    <col min="15" max="15" width="2.625" style="76"/>
    <col min="16" max="16" width="2.625" style="76" customWidth="1"/>
    <col min="17" max="39" width="2.625" style="76"/>
    <col min="40" max="50" width="2.625" style="379"/>
    <col min="51" max="52" width="2.625" style="379" customWidth="1"/>
    <col min="53" max="58" width="2.625" style="379"/>
    <col min="59" max="74" width="2.625" style="76"/>
    <col min="75" max="76" width="2.625" style="76" customWidth="1"/>
    <col min="77" max="16384" width="2.625" style="76"/>
  </cols>
  <sheetData>
    <row r="2" spans="3:35" ht="15.75" customHeight="1" x14ac:dyDescent="0.15">
      <c r="C2" s="299" t="s">
        <v>18</v>
      </c>
    </row>
    <row r="3" spans="3:35" ht="15.75" customHeight="1" x14ac:dyDescent="0.15">
      <c r="E3" s="1" t="s">
        <v>19</v>
      </c>
    </row>
    <row r="5" spans="3:35" ht="15.75" customHeight="1" x14ac:dyDescent="0.15">
      <c r="D5" s="299" t="s">
        <v>20</v>
      </c>
    </row>
    <row r="7" spans="3:35" ht="15.75" customHeight="1" x14ac:dyDescent="0.15">
      <c r="D7" s="1" t="s">
        <v>21</v>
      </c>
      <c r="M7" s="10" t="s">
        <v>22</v>
      </c>
    </row>
    <row r="8" spans="3:35" ht="15.75" customHeight="1" x14ac:dyDescent="0.15">
      <c r="D8" s="1"/>
      <c r="M8" s="10"/>
    </row>
    <row r="9" spans="3:35" s="1" customFormat="1" ht="15.75" customHeight="1" x14ac:dyDescent="0.15">
      <c r="F9" s="1" t="s">
        <v>170</v>
      </c>
    </row>
    <row r="10" spans="3:35" s="1" customFormat="1" ht="15.75" customHeight="1" x14ac:dyDescent="0.15">
      <c r="F10" s="1" t="s">
        <v>23</v>
      </c>
    </row>
    <row r="11" spans="3:35" s="1" customFormat="1" ht="15.75" customHeight="1" x14ac:dyDescent="0.15"/>
    <row r="12" spans="3:35" s="1" customFormat="1" ht="15.75" customHeight="1" x14ac:dyDescent="0.15"/>
    <row r="13" spans="3:35" s="1" customFormat="1" ht="15.75" customHeight="1" x14ac:dyDescent="0.15">
      <c r="U13" s="64" t="s">
        <v>174</v>
      </c>
      <c r="V13" s="64"/>
      <c r="W13" s="64"/>
      <c r="X13" s="64"/>
      <c r="Y13" s="64"/>
      <c r="Z13" s="64"/>
      <c r="AA13" s="64"/>
      <c r="AB13" s="64"/>
      <c r="AC13" s="64"/>
      <c r="AD13" s="64"/>
      <c r="AE13" s="64"/>
      <c r="AF13" s="64"/>
      <c r="AG13" s="64"/>
      <c r="AH13" s="64"/>
      <c r="AI13" s="64"/>
    </row>
    <row r="14" spans="3:35" s="1" customFormat="1" ht="15.75" customHeight="1" x14ac:dyDescent="0.15">
      <c r="U14" s="143" t="s">
        <v>24</v>
      </c>
      <c r="V14" s="143"/>
      <c r="W14" s="143"/>
      <c r="X14" s="143"/>
      <c r="Y14" s="143"/>
      <c r="Z14" s="143"/>
      <c r="AA14" s="143"/>
      <c r="AB14" s="143" t="s">
        <v>25</v>
      </c>
      <c r="AC14" s="143"/>
      <c r="AD14" s="143"/>
      <c r="AE14" s="143"/>
      <c r="AF14" s="143" t="s">
        <v>26</v>
      </c>
      <c r="AG14" s="143"/>
      <c r="AH14" s="143"/>
      <c r="AI14" s="143"/>
    </row>
    <row r="15" spans="3:35" s="1" customFormat="1" ht="15.75" customHeight="1" x14ac:dyDescent="0.15">
      <c r="U15" s="143" t="s">
        <v>505</v>
      </c>
      <c r="V15" s="143"/>
      <c r="W15" s="143"/>
      <c r="X15" s="143"/>
      <c r="Y15" s="143"/>
      <c r="Z15" s="143"/>
      <c r="AA15" s="143"/>
      <c r="AB15" s="143">
        <v>0.6</v>
      </c>
      <c r="AC15" s="143"/>
      <c r="AD15" s="143"/>
      <c r="AE15" s="143"/>
      <c r="AF15" s="143">
        <v>1.4</v>
      </c>
      <c r="AG15" s="143"/>
      <c r="AH15" s="143"/>
      <c r="AI15" s="143"/>
    </row>
    <row r="16" spans="3:35" s="1" customFormat="1" ht="15.75" customHeight="1" x14ac:dyDescent="0.15">
      <c r="Y16" s="247" t="s">
        <v>559</v>
      </c>
      <c r="Z16" s="247"/>
      <c r="AA16" s="76" t="s">
        <v>27</v>
      </c>
      <c r="AB16" s="247" t="s">
        <v>560</v>
      </c>
      <c r="AC16" s="247"/>
      <c r="AD16" s="76" t="s">
        <v>1</v>
      </c>
      <c r="AE16" s="162" t="s">
        <v>561</v>
      </c>
      <c r="AF16" s="162"/>
    </row>
    <row r="17" spans="5:35" s="1" customFormat="1" ht="15.75" customHeight="1" x14ac:dyDescent="0.15">
      <c r="Y17" s="162" t="s">
        <v>562</v>
      </c>
      <c r="Z17" s="162"/>
      <c r="AA17" s="76" t="s">
        <v>27</v>
      </c>
      <c r="AB17" s="162" t="s">
        <v>563</v>
      </c>
      <c r="AC17" s="162"/>
      <c r="AD17" s="76" t="s">
        <v>1</v>
      </c>
      <c r="AE17" s="162" t="s">
        <v>561</v>
      </c>
      <c r="AF17" s="162"/>
    </row>
    <row r="18" spans="5:35" s="1" customFormat="1" ht="15.75" customHeight="1" x14ac:dyDescent="0.15">
      <c r="J18" s="300" t="s">
        <v>564</v>
      </c>
      <c r="W18" s="162" t="s">
        <v>561</v>
      </c>
      <c r="X18" s="162"/>
      <c r="Y18" s="76" t="s">
        <v>2</v>
      </c>
      <c r="Z18" s="1" t="s">
        <v>28</v>
      </c>
    </row>
    <row r="19" spans="5:35" s="1" customFormat="1" ht="15.75" customHeight="1" x14ac:dyDescent="0.15"/>
    <row r="20" spans="5:35" s="1" customFormat="1" ht="15.75" customHeight="1" x14ac:dyDescent="0.15"/>
    <row r="21" spans="5:35" s="1" customFormat="1" ht="15.75" customHeight="1" x14ac:dyDescent="0.15">
      <c r="E21" s="155" t="s">
        <v>171</v>
      </c>
      <c r="F21" s="155"/>
      <c r="G21" s="155"/>
      <c r="H21" s="155"/>
      <c r="I21" s="155"/>
      <c r="J21" s="155"/>
      <c r="K21" s="155"/>
      <c r="L21" s="155"/>
      <c r="M21" s="155"/>
      <c r="N21" s="155"/>
      <c r="O21" s="155"/>
      <c r="P21" s="155"/>
      <c r="Q21" s="155"/>
      <c r="R21" s="155"/>
      <c r="S21" s="155"/>
      <c r="T21" s="155"/>
    </row>
    <row r="22" spans="5:35" s="1" customFormat="1" ht="15.75" customHeight="1" x14ac:dyDescent="0.15"/>
    <row r="23" spans="5:35" s="1" customFormat="1" ht="15.75" customHeight="1" x14ac:dyDescent="0.15"/>
    <row r="24" spans="5:35" s="1" customFormat="1" ht="15.75" customHeight="1" x14ac:dyDescent="0.15">
      <c r="U24" s="64" t="s">
        <v>175</v>
      </c>
      <c r="V24" s="64"/>
      <c r="W24" s="64"/>
      <c r="X24" s="64"/>
      <c r="Y24" s="64"/>
      <c r="Z24" s="64"/>
      <c r="AA24" s="64"/>
      <c r="AB24" s="64"/>
      <c r="AC24" s="64"/>
      <c r="AD24" s="64"/>
      <c r="AE24" s="64"/>
      <c r="AF24" s="64"/>
      <c r="AG24" s="64"/>
      <c r="AH24" s="64"/>
      <c r="AI24" s="64"/>
    </row>
    <row r="25" spans="5:35" s="1" customFormat="1" ht="15.75" customHeight="1" x14ac:dyDescent="0.15">
      <c r="U25" s="143" t="s">
        <v>24</v>
      </c>
      <c r="V25" s="143"/>
      <c r="W25" s="143"/>
      <c r="X25" s="143"/>
      <c r="Y25" s="143"/>
      <c r="Z25" s="143"/>
      <c r="AA25" s="143"/>
      <c r="AB25" s="143" t="s">
        <v>29</v>
      </c>
      <c r="AC25" s="143"/>
      <c r="AD25" s="143"/>
      <c r="AE25" s="143"/>
      <c r="AF25" s="143" t="s">
        <v>30</v>
      </c>
      <c r="AG25" s="143"/>
      <c r="AH25" s="143"/>
      <c r="AI25" s="143"/>
    </row>
    <row r="26" spans="5:35" s="1" customFormat="1" ht="15.75" customHeight="1" x14ac:dyDescent="0.15">
      <c r="U26" s="143" t="s">
        <v>505</v>
      </c>
      <c r="V26" s="143"/>
      <c r="W26" s="143"/>
      <c r="X26" s="143"/>
      <c r="Y26" s="143"/>
      <c r="Z26" s="143"/>
      <c r="AA26" s="143"/>
      <c r="AB26" s="143">
        <v>1.2</v>
      </c>
      <c r="AC26" s="143"/>
      <c r="AD26" s="143"/>
      <c r="AE26" s="143"/>
      <c r="AF26" s="143">
        <v>1.4</v>
      </c>
      <c r="AG26" s="143"/>
      <c r="AH26" s="143"/>
      <c r="AI26" s="143"/>
    </row>
    <row r="27" spans="5:35" s="1" customFormat="1" ht="15.75" customHeight="1" x14ac:dyDescent="0.15">
      <c r="Y27" s="247" t="s">
        <v>565</v>
      </c>
      <c r="Z27" s="247"/>
      <c r="AA27" s="76" t="s">
        <v>27</v>
      </c>
      <c r="AB27" s="247" t="s">
        <v>566</v>
      </c>
      <c r="AC27" s="247"/>
      <c r="AD27" s="76" t="s">
        <v>1</v>
      </c>
      <c r="AE27" s="162" t="s">
        <v>567</v>
      </c>
      <c r="AF27" s="162"/>
    </row>
    <row r="28" spans="5:35" s="1" customFormat="1" ht="15.75" customHeight="1" x14ac:dyDescent="0.15">
      <c r="Y28" s="162" t="s">
        <v>568</v>
      </c>
      <c r="Z28" s="162"/>
      <c r="AA28" s="76" t="s">
        <v>27</v>
      </c>
      <c r="AB28" s="162" t="s">
        <v>569</v>
      </c>
      <c r="AC28" s="162"/>
      <c r="AD28" s="76" t="s">
        <v>1</v>
      </c>
      <c r="AE28" s="162" t="s">
        <v>567</v>
      </c>
      <c r="AF28" s="162"/>
    </row>
    <row r="29" spans="5:35" s="1" customFormat="1" ht="15.75" customHeight="1" x14ac:dyDescent="0.15">
      <c r="J29" s="300" t="s">
        <v>570</v>
      </c>
      <c r="W29" s="162" t="s">
        <v>567</v>
      </c>
      <c r="X29" s="162"/>
      <c r="Y29" s="76" t="s">
        <v>2</v>
      </c>
      <c r="Z29" s="1" t="s">
        <v>31</v>
      </c>
    </row>
    <row r="30" spans="5:35" s="1" customFormat="1" ht="15.75" customHeight="1" x14ac:dyDescent="0.15"/>
    <row r="31" spans="5:35" s="1" customFormat="1" ht="15.75" customHeight="1" x14ac:dyDescent="0.15"/>
    <row r="32" spans="5:35" s="1" customFormat="1" ht="15.75" customHeight="1" x14ac:dyDescent="0.15">
      <c r="E32" s="155" t="s">
        <v>172</v>
      </c>
      <c r="F32" s="155"/>
      <c r="G32" s="155"/>
      <c r="H32" s="155"/>
      <c r="I32" s="155"/>
      <c r="J32" s="155"/>
      <c r="K32" s="155"/>
      <c r="L32" s="155"/>
      <c r="M32" s="155"/>
      <c r="N32" s="155"/>
      <c r="O32" s="155"/>
      <c r="P32" s="155"/>
      <c r="Q32" s="155"/>
      <c r="R32" s="155"/>
      <c r="S32" s="155"/>
      <c r="T32" s="155"/>
    </row>
    <row r="33" spans="4:20" s="1" customFormat="1" ht="15.75" customHeight="1" x14ac:dyDescent="0.15"/>
    <row r="34" spans="4:20" s="1" customFormat="1" ht="15.75" customHeight="1" x14ac:dyDescent="0.15"/>
    <row r="35" spans="4:20" s="1" customFormat="1" ht="15.75" customHeight="1" x14ac:dyDescent="0.15"/>
    <row r="36" spans="4:20" s="1" customFormat="1" ht="15.75" customHeight="1" x14ac:dyDescent="0.15"/>
    <row r="37" spans="4:20" s="1" customFormat="1" ht="15.75" customHeight="1" x14ac:dyDescent="0.15"/>
    <row r="38" spans="4:20" s="1" customFormat="1" ht="15.75" customHeight="1" x14ac:dyDescent="0.15"/>
    <row r="39" spans="4:20" s="1" customFormat="1" ht="15.75" customHeight="1" x14ac:dyDescent="0.15"/>
    <row r="40" spans="4:20" s="1" customFormat="1" ht="15.75" customHeight="1" x14ac:dyDescent="0.15">
      <c r="J40" s="300" t="s">
        <v>571</v>
      </c>
    </row>
    <row r="41" spans="4:20" s="1" customFormat="1" ht="15.75" customHeight="1" x14ac:dyDescent="0.15"/>
    <row r="42" spans="4:20" s="1" customFormat="1" ht="15.75" customHeight="1" x14ac:dyDescent="0.15"/>
    <row r="43" spans="4:20" s="1" customFormat="1" ht="15.75" customHeight="1" x14ac:dyDescent="0.15">
      <c r="E43" s="155" t="s">
        <v>173</v>
      </c>
      <c r="F43" s="155"/>
      <c r="G43" s="155"/>
      <c r="H43" s="155"/>
      <c r="I43" s="155"/>
      <c r="J43" s="155"/>
      <c r="K43" s="155"/>
      <c r="L43" s="155"/>
      <c r="M43" s="155"/>
      <c r="N43" s="155"/>
      <c r="O43" s="155"/>
      <c r="P43" s="155"/>
      <c r="Q43" s="155"/>
      <c r="R43" s="155"/>
      <c r="S43" s="155"/>
      <c r="T43" s="155"/>
    </row>
    <row r="44" spans="4:20" s="1" customFormat="1" ht="15.75" customHeight="1" x14ac:dyDescent="0.15"/>
    <row r="45" spans="4:20" s="1" customFormat="1" ht="15.75" customHeight="1" x14ac:dyDescent="0.15"/>
    <row r="46" spans="4:20" s="1" customFormat="1" ht="15.75" customHeight="1" x14ac:dyDescent="0.15"/>
    <row r="47" spans="4:20" s="1" customFormat="1" ht="15.75" customHeight="1" x14ac:dyDescent="0.15"/>
    <row r="48" spans="4:20" ht="15.75" customHeight="1" x14ac:dyDescent="0.15">
      <c r="D48" s="1" t="s">
        <v>32</v>
      </c>
      <c r="M48" s="10"/>
    </row>
    <row r="49" spans="4:36" s="1" customFormat="1" ht="15.75" customHeight="1" x14ac:dyDescent="0.15"/>
    <row r="50" spans="4:36" s="1" customFormat="1" ht="15.75" customHeight="1" x14ac:dyDescent="0.15">
      <c r="F50" s="1" t="s">
        <v>176</v>
      </c>
    </row>
    <row r="51" spans="4:36" s="1" customFormat="1" ht="15.75" customHeight="1" x14ac:dyDescent="0.15">
      <c r="F51" s="1" t="s">
        <v>33</v>
      </c>
    </row>
    <row r="52" spans="4:36" s="1" customFormat="1" ht="15.75" customHeight="1" x14ac:dyDescent="0.15"/>
    <row r="53" spans="4:36" s="1" customFormat="1" ht="15.75" customHeight="1" x14ac:dyDescent="0.15">
      <c r="D53" s="61" t="s">
        <v>177</v>
      </c>
      <c r="E53" s="61"/>
      <c r="F53" s="61"/>
      <c r="G53" s="61"/>
      <c r="H53" s="61"/>
      <c r="I53" s="61"/>
      <c r="J53" s="61"/>
      <c r="K53" s="61"/>
      <c r="L53" s="61"/>
      <c r="M53" s="61"/>
      <c r="N53" s="61"/>
      <c r="O53" s="61"/>
      <c r="P53" s="61"/>
      <c r="Q53" s="61"/>
      <c r="R53" s="61"/>
      <c r="S53" s="61"/>
      <c r="T53" s="61"/>
      <c r="U53" s="61"/>
      <c r="V53" s="61"/>
      <c r="W53" s="61"/>
      <c r="X53" s="61"/>
      <c r="Y53" s="61"/>
      <c r="Z53" s="61"/>
      <c r="AA53" s="61"/>
      <c r="AB53" s="61"/>
      <c r="AC53" s="61"/>
      <c r="AD53" s="61"/>
      <c r="AE53" s="61"/>
      <c r="AF53" s="61"/>
      <c r="AG53" s="61"/>
      <c r="AH53" s="61"/>
    </row>
    <row r="54" spans="4:36" s="1" customFormat="1" ht="15.75" customHeight="1" x14ac:dyDescent="0.15">
      <c r="D54" s="154" t="s">
        <v>47</v>
      </c>
      <c r="E54" s="143"/>
      <c r="F54" s="143"/>
      <c r="G54" s="143"/>
      <c r="H54" s="143" t="s">
        <v>38</v>
      </c>
      <c r="I54" s="143"/>
      <c r="J54" s="143"/>
      <c r="K54" s="143"/>
      <c r="L54" s="143"/>
      <c r="M54" s="143"/>
      <c r="N54" s="143"/>
      <c r="O54" s="143"/>
      <c r="P54" s="143"/>
      <c r="Q54" s="143" t="s">
        <v>39</v>
      </c>
      <c r="R54" s="143"/>
      <c r="S54" s="143"/>
      <c r="T54" s="143"/>
      <c r="U54" s="143"/>
      <c r="V54" s="143"/>
      <c r="W54" s="143"/>
      <c r="X54" s="143"/>
      <c r="Y54" s="143"/>
      <c r="Z54" s="203" t="s">
        <v>43</v>
      </c>
      <c r="AA54" s="203"/>
      <c r="AB54" s="203"/>
      <c r="AC54" s="203"/>
      <c r="AD54" s="203"/>
      <c r="AE54" s="203"/>
      <c r="AF54" s="203"/>
      <c r="AG54" s="203"/>
      <c r="AH54" s="204"/>
      <c r="AI54" s="7"/>
      <c r="AJ54" s="7"/>
    </row>
    <row r="55" spans="4:36" s="1" customFormat="1" ht="15.75" customHeight="1" x14ac:dyDescent="0.15">
      <c r="D55" s="154"/>
      <c r="E55" s="143"/>
      <c r="F55" s="143"/>
      <c r="G55" s="143"/>
      <c r="H55" s="143"/>
      <c r="I55" s="143"/>
      <c r="J55" s="143"/>
      <c r="K55" s="143"/>
      <c r="L55" s="143"/>
      <c r="M55" s="143"/>
      <c r="N55" s="143"/>
      <c r="O55" s="143"/>
      <c r="P55" s="143"/>
      <c r="Q55" s="143"/>
      <c r="R55" s="143"/>
      <c r="S55" s="143"/>
      <c r="T55" s="143"/>
      <c r="U55" s="143"/>
      <c r="V55" s="143"/>
      <c r="W55" s="143"/>
      <c r="X55" s="143"/>
      <c r="Y55" s="143"/>
      <c r="Z55" s="203"/>
      <c r="AA55" s="203"/>
      <c r="AB55" s="203"/>
      <c r="AC55" s="203"/>
      <c r="AD55" s="203"/>
      <c r="AE55" s="203"/>
      <c r="AF55" s="203"/>
      <c r="AG55" s="203"/>
      <c r="AH55" s="204"/>
      <c r="AI55" s="7"/>
      <c r="AJ55" s="7"/>
    </row>
    <row r="56" spans="4:36" s="1" customFormat="1" ht="15.75" customHeight="1" x14ac:dyDescent="0.15">
      <c r="D56" s="154" t="s">
        <v>34</v>
      </c>
      <c r="E56" s="143"/>
      <c r="F56" s="143"/>
      <c r="G56" s="143"/>
      <c r="H56" s="202" t="s">
        <v>36</v>
      </c>
      <c r="I56" s="202"/>
      <c r="J56" s="202"/>
      <c r="K56" s="202"/>
      <c r="L56" s="202"/>
      <c r="M56" s="202"/>
      <c r="N56" s="202"/>
      <c r="O56" s="202"/>
      <c r="P56" s="202"/>
      <c r="Q56" s="143" t="s">
        <v>37</v>
      </c>
      <c r="R56" s="143"/>
      <c r="S56" s="143"/>
      <c r="T56" s="143"/>
      <c r="U56" s="143"/>
      <c r="V56" s="143"/>
      <c r="W56" s="143"/>
      <c r="X56" s="143"/>
      <c r="Y56" s="143"/>
      <c r="Z56" s="143" t="s">
        <v>57</v>
      </c>
      <c r="AA56" s="143"/>
      <c r="AB56" s="143"/>
      <c r="AC56" s="143"/>
      <c r="AD56" s="143"/>
      <c r="AE56" s="143"/>
      <c r="AF56" s="143"/>
      <c r="AG56" s="143"/>
      <c r="AH56" s="144"/>
    </row>
    <row r="57" spans="4:36" s="1" customFormat="1" ht="15.75" customHeight="1" x14ac:dyDescent="0.15">
      <c r="D57" s="154"/>
      <c r="E57" s="143"/>
      <c r="F57" s="143"/>
      <c r="G57" s="143"/>
      <c r="H57" s="202"/>
      <c r="I57" s="202"/>
      <c r="J57" s="202"/>
      <c r="K57" s="202"/>
      <c r="L57" s="202"/>
      <c r="M57" s="202"/>
      <c r="N57" s="202"/>
      <c r="O57" s="202"/>
      <c r="P57" s="202"/>
      <c r="Q57" s="143"/>
      <c r="R57" s="143"/>
      <c r="S57" s="143"/>
      <c r="T57" s="143"/>
      <c r="U57" s="143"/>
      <c r="V57" s="143"/>
      <c r="W57" s="143"/>
      <c r="X57" s="143"/>
      <c r="Y57" s="143"/>
      <c r="Z57" s="143"/>
      <c r="AA57" s="143"/>
      <c r="AB57" s="143"/>
      <c r="AC57" s="143"/>
      <c r="AD57" s="143"/>
      <c r="AE57" s="143"/>
      <c r="AF57" s="143"/>
      <c r="AG57" s="143"/>
      <c r="AH57" s="144"/>
    </row>
    <row r="58" spans="4:36" s="1" customFormat="1" ht="15.75" customHeight="1" x14ac:dyDescent="0.15">
      <c r="D58" s="154" t="s">
        <v>35</v>
      </c>
      <c r="E58" s="143"/>
      <c r="F58" s="143"/>
      <c r="G58" s="143"/>
      <c r="H58" s="142" t="s">
        <v>40</v>
      </c>
      <c r="I58" s="143"/>
      <c r="J58" s="143"/>
      <c r="K58" s="143"/>
      <c r="L58" s="143"/>
      <c r="M58" s="143"/>
      <c r="N58" s="143"/>
      <c r="O58" s="143"/>
      <c r="P58" s="143"/>
      <c r="Q58" s="142" t="s">
        <v>42</v>
      </c>
      <c r="R58" s="143"/>
      <c r="S58" s="143"/>
      <c r="T58" s="143"/>
      <c r="U58" s="143"/>
      <c r="V58" s="143"/>
      <c r="W58" s="143"/>
      <c r="X58" s="143"/>
      <c r="Y58" s="143"/>
      <c r="Z58" s="142" t="s">
        <v>45</v>
      </c>
      <c r="AA58" s="143"/>
      <c r="AB58" s="143"/>
      <c r="AC58" s="143"/>
      <c r="AD58" s="143"/>
      <c r="AE58" s="143"/>
      <c r="AF58" s="143"/>
      <c r="AG58" s="143"/>
      <c r="AH58" s="144"/>
    </row>
    <row r="59" spans="4:36" s="1" customFormat="1" ht="15.75" customHeight="1" x14ac:dyDescent="0.15">
      <c r="D59" s="154"/>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4"/>
    </row>
    <row r="60" spans="4:36" s="1" customFormat="1" ht="15.75" customHeight="1" x14ac:dyDescent="0.15">
      <c r="D60" s="154"/>
      <c r="E60" s="143"/>
      <c r="F60" s="143"/>
      <c r="G60" s="143"/>
      <c r="H60" s="142" t="s">
        <v>41</v>
      </c>
      <c r="I60" s="143"/>
      <c r="J60" s="143"/>
      <c r="K60" s="143"/>
      <c r="L60" s="143"/>
      <c r="M60" s="143"/>
      <c r="N60" s="143"/>
      <c r="O60" s="143"/>
      <c r="P60" s="143"/>
      <c r="Q60" s="142" t="s">
        <v>44</v>
      </c>
      <c r="R60" s="143"/>
      <c r="S60" s="143"/>
      <c r="T60" s="143"/>
      <c r="U60" s="143"/>
      <c r="V60" s="143"/>
      <c r="W60" s="143"/>
      <c r="X60" s="143"/>
      <c r="Y60" s="143"/>
      <c r="Z60" s="142" t="s">
        <v>46</v>
      </c>
      <c r="AA60" s="143"/>
      <c r="AB60" s="143"/>
      <c r="AC60" s="143"/>
      <c r="AD60" s="143"/>
      <c r="AE60" s="143"/>
      <c r="AF60" s="143"/>
      <c r="AG60" s="143"/>
      <c r="AH60" s="144"/>
    </row>
    <row r="61" spans="4:36" s="1" customFormat="1" ht="15.75" customHeight="1" x14ac:dyDescent="0.15">
      <c r="D61" s="154"/>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4"/>
    </row>
    <row r="62" spans="4:36" s="1" customFormat="1" ht="15.75" customHeight="1" x14ac:dyDescent="0.15">
      <c r="H62" s="1" t="s">
        <v>58</v>
      </c>
    </row>
    <row r="63" spans="4:36" s="1" customFormat="1" ht="15.75" customHeight="1" x14ac:dyDescent="0.15"/>
    <row r="64" spans="4:36" s="1" customFormat="1" ht="15.75" customHeight="1" x14ac:dyDescent="0.15"/>
    <row r="65" spans="4:36" ht="15.75" customHeight="1" x14ac:dyDescent="0.15">
      <c r="D65" s="299" t="s">
        <v>48</v>
      </c>
    </row>
    <row r="67" spans="4:36" ht="15.75" customHeight="1" x14ac:dyDescent="0.15">
      <c r="D67" s="1" t="s">
        <v>49</v>
      </c>
      <c r="M67" s="10"/>
    </row>
    <row r="68" spans="4:36" s="1" customFormat="1" ht="15.75" customHeight="1" x14ac:dyDescent="0.15"/>
    <row r="69" spans="4:36" s="1" customFormat="1" ht="15.75" customHeight="1" x14ac:dyDescent="0.15">
      <c r="F69" s="1" t="s">
        <v>178</v>
      </c>
    </row>
    <row r="70" spans="4:36" s="1" customFormat="1" ht="15.75" customHeight="1" x14ac:dyDescent="0.15"/>
    <row r="71" spans="4:36" s="1" customFormat="1" ht="15.75" customHeight="1" x14ac:dyDescent="0.15">
      <c r="F71" s="61" t="s">
        <v>179</v>
      </c>
      <c r="G71" s="61"/>
      <c r="H71" s="61"/>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8"/>
      <c r="AI71" s="8"/>
      <c r="AJ71" s="8"/>
    </row>
    <row r="72" spans="4:36" s="1" customFormat="1" ht="15.75" customHeight="1" x14ac:dyDescent="0.15">
      <c r="F72" s="154" t="s">
        <v>50</v>
      </c>
      <c r="G72" s="143"/>
      <c r="H72" s="143"/>
      <c r="I72" s="143"/>
      <c r="J72" s="143"/>
      <c r="K72" s="143"/>
      <c r="L72" s="143" t="s">
        <v>55</v>
      </c>
      <c r="M72" s="143"/>
      <c r="N72" s="143"/>
      <c r="O72" s="143"/>
      <c r="P72" s="143"/>
      <c r="Q72" s="143"/>
      <c r="R72" s="143"/>
      <c r="S72" s="143"/>
      <c r="T72" s="143" t="s">
        <v>56</v>
      </c>
      <c r="U72" s="143"/>
      <c r="V72" s="143"/>
      <c r="W72" s="143"/>
      <c r="X72" s="143"/>
      <c r="Y72" s="143"/>
      <c r="Z72" s="143"/>
      <c r="AA72" s="143"/>
      <c r="AB72" s="143"/>
      <c r="AC72" s="143"/>
      <c r="AD72" s="143"/>
      <c r="AE72" s="143"/>
      <c r="AF72" s="143"/>
      <c r="AG72" s="144"/>
    </row>
    <row r="73" spans="4:36" s="1" customFormat="1" ht="15.75" customHeight="1" x14ac:dyDescent="0.15">
      <c r="F73" s="154" t="s">
        <v>51</v>
      </c>
      <c r="G73" s="143"/>
      <c r="H73" s="143"/>
      <c r="I73" s="143"/>
      <c r="J73" s="143"/>
      <c r="K73" s="143"/>
      <c r="L73" s="143" t="s">
        <v>53</v>
      </c>
      <c r="M73" s="143"/>
      <c r="N73" s="143"/>
      <c r="O73" s="143"/>
      <c r="P73" s="143"/>
      <c r="Q73" s="143"/>
      <c r="R73" s="143"/>
      <c r="S73" s="143"/>
      <c r="T73" s="193">
        <v>1</v>
      </c>
      <c r="U73" s="193"/>
      <c r="V73" s="193"/>
      <c r="W73" s="193"/>
      <c r="X73" s="193"/>
      <c r="Y73" s="193"/>
      <c r="Z73" s="193"/>
      <c r="AA73" s="193"/>
      <c r="AB73" s="193"/>
      <c r="AC73" s="193"/>
      <c r="AD73" s="193"/>
      <c r="AE73" s="193"/>
      <c r="AF73" s="193"/>
      <c r="AG73" s="196"/>
    </row>
    <row r="74" spans="4:36" s="1" customFormat="1" ht="15.75" customHeight="1" x14ac:dyDescent="0.15">
      <c r="F74" s="154" t="s">
        <v>52</v>
      </c>
      <c r="G74" s="143"/>
      <c r="H74" s="143"/>
      <c r="I74" s="143"/>
      <c r="J74" s="143"/>
      <c r="K74" s="143"/>
      <c r="L74" s="143" t="s">
        <v>54</v>
      </c>
      <c r="M74" s="143"/>
      <c r="N74" s="143"/>
      <c r="O74" s="143"/>
      <c r="P74" s="143"/>
      <c r="Q74" s="143"/>
      <c r="R74" s="143"/>
      <c r="S74" s="143"/>
      <c r="T74" s="143">
        <v>0.5</v>
      </c>
      <c r="U74" s="143"/>
      <c r="V74" s="143"/>
      <c r="W74" s="143"/>
      <c r="X74" s="143"/>
      <c r="Y74" s="143"/>
      <c r="Z74" s="143"/>
      <c r="AA74" s="143"/>
      <c r="AB74" s="143"/>
      <c r="AC74" s="143"/>
      <c r="AD74" s="143"/>
      <c r="AE74" s="143"/>
      <c r="AF74" s="143"/>
      <c r="AG74" s="144"/>
    </row>
    <row r="75" spans="4:36" s="1" customFormat="1" ht="15.75" customHeight="1" x14ac:dyDescent="0.15">
      <c r="J75" s="1" t="s">
        <v>59</v>
      </c>
    </row>
    <row r="76" spans="4:36" s="1" customFormat="1" ht="15.75" customHeight="1" x14ac:dyDescent="0.15"/>
    <row r="77" spans="4:36" s="1" customFormat="1" ht="15.75" customHeight="1" x14ac:dyDescent="0.15"/>
    <row r="78" spans="4:36" ht="15.75" customHeight="1" x14ac:dyDescent="0.15">
      <c r="D78" s="1" t="s">
        <v>61</v>
      </c>
      <c r="M78" s="10"/>
    </row>
    <row r="79" spans="4:36" s="1" customFormat="1" ht="15.75" customHeight="1" x14ac:dyDescent="0.15"/>
    <row r="80" spans="4:36" s="1" customFormat="1" ht="15.75" customHeight="1" x14ac:dyDescent="0.15">
      <c r="F80" s="1" t="s">
        <v>180</v>
      </c>
    </row>
    <row r="81" spans="6:35" s="1" customFormat="1" ht="15.75" customHeight="1" x14ac:dyDescent="0.15">
      <c r="F81" s="1" t="s">
        <v>60</v>
      </c>
    </row>
    <row r="82" spans="6:35" s="1" customFormat="1" ht="15.75" customHeight="1" x14ac:dyDescent="0.15"/>
    <row r="83" spans="6:35" s="1" customFormat="1" ht="15.75" customHeight="1" x14ac:dyDescent="0.15">
      <c r="F83" s="162" t="s">
        <v>62</v>
      </c>
      <c r="G83" s="162"/>
      <c r="H83" s="76" t="s">
        <v>27</v>
      </c>
      <c r="I83" s="162">
        <v>1.4</v>
      </c>
      <c r="J83" s="162"/>
      <c r="K83" s="162" t="s">
        <v>63</v>
      </c>
      <c r="L83" s="162"/>
      <c r="M83" s="162" t="s">
        <v>64</v>
      </c>
      <c r="N83" s="162"/>
      <c r="O83" s="76" t="s">
        <v>65</v>
      </c>
      <c r="P83" s="301">
        <v>-0.75</v>
      </c>
      <c r="Q83" s="301"/>
    </row>
    <row r="84" spans="6:35" s="1" customFormat="1" ht="15.75" customHeight="1" x14ac:dyDescent="0.15"/>
    <row r="85" spans="6:35" s="1" customFormat="1" ht="15.75" customHeight="1" x14ac:dyDescent="0.15">
      <c r="G85" s="1" t="s">
        <v>66</v>
      </c>
      <c r="J85" s="162" t="s">
        <v>62</v>
      </c>
      <c r="K85" s="162"/>
      <c r="L85" s="76" t="s">
        <v>2</v>
      </c>
      <c r="M85" s="1" t="s">
        <v>67</v>
      </c>
    </row>
    <row r="86" spans="6:35" s="1" customFormat="1" ht="15.75" customHeight="1" x14ac:dyDescent="0.15">
      <c r="J86" s="162" t="s">
        <v>63</v>
      </c>
      <c r="K86" s="162"/>
      <c r="L86" s="76" t="s">
        <v>2</v>
      </c>
      <c r="M86" s="1" t="s">
        <v>77</v>
      </c>
    </row>
    <row r="87" spans="6:35" s="1" customFormat="1" ht="15.75" customHeight="1" x14ac:dyDescent="0.15">
      <c r="J87" s="162" t="s">
        <v>64</v>
      </c>
      <c r="K87" s="162"/>
      <c r="L87" s="76" t="s">
        <v>2</v>
      </c>
      <c r="M87" s="1" t="s">
        <v>70</v>
      </c>
    </row>
    <row r="88" spans="6:35" s="1" customFormat="1" ht="15.75" customHeight="1" x14ac:dyDescent="0.15">
      <c r="J88" s="162" t="s">
        <v>65</v>
      </c>
      <c r="K88" s="162"/>
      <c r="L88" s="76" t="s">
        <v>2</v>
      </c>
      <c r="M88" s="1" t="s">
        <v>68</v>
      </c>
    </row>
    <row r="89" spans="6:35" s="1" customFormat="1" ht="15.75" customHeight="1" x14ac:dyDescent="0.15"/>
    <row r="90" spans="6:35" s="1" customFormat="1" ht="15.75" customHeight="1" x14ac:dyDescent="0.15">
      <c r="H90" s="61" t="s">
        <v>181</v>
      </c>
      <c r="I90" s="61"/>
      <c r="J90" s="61"/>
      <c r="K90" s="61"/>
      <c r="L90" s="61"/>
      <c r="M90" s="61"/>
      <c r="N90" s="61"/>
      <c r="O90" s="61"/>
      <c r="P90" s="61"/>
      <c r="Q90" s="61"/>
      <c r="R90" s="61"/>
      <c r="S90" s="61"/>
      <c r="T90" s="61"/>
      <c r="U90" s="61"/>
      <c r="V90" s="61"/>
      <c r="W90" s="61"/>
      <c r="X90" s="61"/>
      <c r="Y90" s="61"/>
      <c r="Z90" s="61"/>
      <c r="AA90" s="61"/>
      <c r="AB90" s="61"/>
      <c r="AC90" s="8"/>
      <c r="AD90" s="8"/>
      <c r="AE90" s="8"/>
      <c r="AF90" s="8"/>
      <c r="AG90" s="8"/>
      <c r="AH90" s="8"/>
      <c r="AI90" s="8"/>
    </row>
    <row r="91" spans="6:35" s="1" customFormat="1" ht="15.75" customHeight="1" x14ac:dyDescent="0.15">
      <c r="H91" s="154" t="s">
        <v>69</v>
      </c>
      <c r="I91" s="143"/>
      <c r="J91" s="143"/>
      <c r="K91" s="143" t="s">
        <v>71</v>
      </c>
      <c r="L91" s="143"/>
      <c r="M91" s="143"/>
      <c r="N91" s="143"/>
      <c r="O91" s="143"/>
      <c r="P91" s="143"/>
      <c r="Q91" s="143" t="s">
        <v>72</v>
      </c>
      <c r="R91" s="143"/>
      <c r="S91" s="143"/>
      <c r="T91" s="143"/>
      <c r="U91" s="143"/>
      <c r="V91" s="143"/>
      <c r="W91" s="143" t="s">
        <v>73</v>
      </c>
      <c r="X91" s="143"/>
      <c r="Y91" s="143"/>
      <c r="Z91" s="143"/>
      <c r="AA91" s="143"/>
      <c r="AB91" s="144"/>
    </row>
    <row r="92" spans="6:35" s="1" customFormat="1" ht="15.75" customHeight="1" x14ac:dyDescent="0.15">
      <c r="H92" s="192">
        <v>0.5</v>
      </c>
      <c r="I92" s="193"/>
      <c r="J92" s="193"/>
      <c r="K92" s="380">
        <v>91760</v>
      </c>
      <c r="L92" s="380"/>
      <c r="M92" s="380"/>
      <c r="N92" s="380"/>
      <c r="O92" s="380"/>
      <c r="P92" s="380"/>
      <c r="Q92" s="381">
        <v>1</v>
      </c>
      <c r="R92" s="381"/>
      <c r="S92" s="381"/>
      <c r="T92" s="381"/>
      <c r="U92" s="381"/>
      <c r="V92" s="381"/>
      <c r="W92" s="143">
        <f>ROUND(I83*H92*K92*Q92^P83,0)</f>
        <v>64232</v>
      </c>
      <c r="X92" s="143"/>
      <c r="Y92" s="143"/>
      <c r="Z92" s="143"/>
      <c r="AA92" s="143"/>
      <c r="AB92" s="144"/>
    </row>
    <row r="93" spans="6:35" s="1" customFormat="1" ht="15.75" customHeight="1" x14ac:dyDescent="0.15"/>
    <row r="94" spans="6:35" s="1" customFormat="1" ht="15.75" customHeight="1" x14ac:dyDescent="0.15">
      <c r="H94" s="61" t="s">
        <v>182</v>
      </c>
      <c r="I94" s="61"/>
      <c r="J94" s="61"/>
      <c r="K94" s="61"/>
      <c r="L94" s="61"/>
      <c r="M94" s="61"/>
      <c r="N94" s="61"/>
      <c r="O94" s="61"/>
      <c r="P94" s="61"/>
      <c r="Q94" s="61"/>
      <c r="R94" s="61"/>
      <c r="S94" s="61"/>
      <c r="T94" s="61"/>
      <c r="U94" s="61"/>
      <c r="V94" s="61"/>
      <c r="W94" s="61"/>
      <c r="X94" s="61"/>
      <c r="Y94" s="61"/>
      <c r="Z94" s="61"/>
      <c r="AA94" s="61"/>
      <c r="AB94" s="61"/>
    </row>
    <row r="95" spans="6:35" s="1" customFormat="1" ht="15.75" customHeight="1" x14ac:dyDescent="0.15">
      <c r="H95" s="154" t="s">
        <v>69</v>
      </c>
      <c r="I95" s="143"/>
      <c r="J95" s="143"/>
      <c r="K95" s="143" t="s">
        <v>71</v>
      </c>
      <c r="L95" s="143"/>
      <c r="M95" s="143"/>
      <c r="N95" s="143"/>
      <c r="O95" s="143"/>
      <c r="P95" s="143"/>
      <c r="Q95" s="143" t="s">
        <v>72</v>
      </c>
      <c r="R95" s="143"/>
      <c r="S95" s="143"/>
      <c r="T95" s="143"/>
      <c r="U95" s="143"/>
      <c r="V95" s="143"/>
      <c r="W95" s="143" t="s">
        <v>73</v>
      </c>
      <c r="X95" s="143"/>
      <c r="Y95" s="143"/>
      <c r="Z95" s="143"/>
      <c r="AA95" s="143"/>
      <c r="AB95" s="144"/>
    </row>
    <row r="96" spans="6:35" s="1" customFormat="1" ht="15.75" customHeight="1" x14ac:dyDescent="0.15">
      <c r="H96" s="192">
        <v>1</v>
      </c>
      <c r="I96" s="193"/>
      <c r="J96" s="193"/>
      <c r="K96" s="194">
        <f>K92</f>
        <v>91760</v>
      </c>
      <c r="L96" s="194"/>
      <c r="M96" s="194"/>
      <c r="N96" s="194"/>
      <c r="O96" s="194"/>
      <c r="P96" s="194"/>
      <c r="Q96" s="195">
        <f>Q92</f>
        <v>1</v>
      </c>
      <c r="R96" s="195"/>
      <c r="S96" s="195"/>
      <c r="T96" s="195"/>
      <c r="U96" s="195"/>
      <c r="V96" s="195"/>
      <c r="W96" s="143">
        <f>ROUND(I83*H96*K96*Q96^P83,0)</f>
        <v>128464</v>
      </c>
      <c r="X96" s="143"/>
      <c r="Y96" s="143"/>
      <c r="Z96" s="143"/>
      <c r="AA96" s="143"/>
      <c r="AB96" s="144"/>
    </row>
    <row r="97" spans="1:35" s="1" customFormat="1" ht="15.75" customHeight="1" x14ac:dyDescent="0.15">
      <c r="H97" s="77"/>
      <c r="I97" s="77"/>
      <c r="J97" s="77"/>
      <c r="K97" s="76"/>
      <c r="L97" s="76"/>
      <c r="M97" s="76"/>
      <c r="N97" s="76"/>
      <c r="O97" s="76"/>
      <c r="P97" s="76"/>
      <c r="Q97" s="9"/>
      <c r="R97" s="9"/>
      <c r="S97" s="9"/>
      <c r="T97" s="9"/>
      <c r="U97" s="9"/>
      <c r="V97" s="9"/>
      <c r="W97" s="76"/>
      <c r="X97" s="76"/>
      <c r="Y97" s="76"/>
      <c r="Z97" s="76"/>
      <c r="AA97" s="76"/>
      <c r="AB97" s="76"/>
    </row>
    <row r="98" spans="1:35" ht="15.75" customHeight="1" x14ac:dyDescent="0.15">
      <c r="D98" s="1" t="s">
        <v>74</v>
      </c>
      <c r="M98" s="10"/>
    </row>
    <row r="99" spans="1:35" s="1" customFormat="1" ht="15.75" customHeight="1" x14ac:dyDescent="0.15"/>
    <row r="100" spans="1:35" s="1" customFormat="1" ht="15.75" customHeight="1" x14ac:dyDescent="0.15">
      <c r="F100" s="1" t="s">
        <v>183</v>
      </c>
    </row>
    <row r="101" spans="1:35" s="1" customFormat="1" ht="15.75" customHeight="1" x14ac:dyDescent="0.15">
      <c r="F101" s="1" t="s">
        <v>75</v>
      </c>
    </row>
    <row r="102" spans="1:35" s="1" customFormat="1" ht="15.75" customHeight="1" x14ac:dyDescent="0.15"/>
    <row r="103" spans="1:35" s="1" customFormat="1" ht="15.75" customHeight="1" x14ac:dyDescent="0.15">
      <c r="F103" s="162" t="s">
        <v>76</v>
      </c>
      <c r="G103" s="162"/>
      <c r="H103" s="76" t="s">
        <v>27</v>
      </c>
      <c r="I103" s="162">
        <v>0.2</v>
      </c>
      <c r="J103" s="162"/>
      <c r="K103" s="162" t="s">
        <v>63</v>
      </c>
      <c r="L103" s="162"/>
      <c r="M103" s="162" t="s">
        <v>64</v>
      </c>
      <c r="N103" s="162"/>
    </row>
    <row r="104" spans="1:35" s="1" customFormat="1" ht="15.75" customHeight="1" x14ac:dyDescent="0.15"/>
    <row r="105" spans="1:35" s="1" customFormat="1" ht="15.75" customHeight="1" x14ac:dyDescent="0.15">
      <c r="G105" s="1" t="s">
        <v>66</v>
      </c>
      <c r="J105" s="162" t="s">
        <v>76</v>
      </c>
      <c r="K105" s="162"/>
      <c r="L105" s="76" t="s">
        <v>2</v>
      </c>
      <c r="M105" s="1" t="s">
        <v>184</v>
      </c>
    </row>
    <row r="106" spans="1:35" s="1" customFormat="1" ht="15.75" customHeight="1" x14ac:dyDescent="0.15">
      <c r="J106" s="162" t="s">
        <v>63</v>
      </c>
      <c r="K106" s="162"/>
      <c r="L106" s="76" t="s">
        <v>2</v>
      </c>
      <c r="M106" s="1" t="s">
        <v>77</v>
      </c>
    </row>
    <row r="107" spans="1:35" s="1" customFormat="1" ht="15.75" customHeight="1" x14ac:dyDescent="0.15">
      <c r="J107" s="162" t="s">
        <v>64</v>
      </c>
      <c r="K107" s="162"/>
      <c r="L107" s="76" t="s">
        <v>2</v>
      </c>
      <c r="M107" s="1" t="s">
        <v>70</v>
      </c>
    </row>
    <row r="108" spans="1:35" s="1" customFormat="1" ht="15.75" customHeight="1" x14ac:dyDescent="0.15"/>
    <row r="109" spans="1:35" s="1" customFormat="1" ht="15.75" customHeight="1" x14ac:dyDescent="0.15">
      <c r="H109" s="61" t="s">
        <v>508</v>
      </c>
      <c r="I109" s="62"/>
      <c r="J109" s="62"/>
      <c r="K109" s="62"/>
      <c r="L109" s="62"/>
      <c r="M109" s="62"/>
      <c r="N109" s="62"/>
      <c r="O109" s="62"/>
      <c r="P109" s="62"/>
      <c r="Q109" s="62"/>
      <c r="R109" s="62"/>
      <c r="S109" s="62"/>
      <c r="T109" s="62"/>
      <c r="U109" s="302"/>
      <c r="V109" s="62"/>
      <c r="W109" s="62"/>
      <c r="X109" s="62"/>
      <c r="Y109" s="62"/>
      <c r="Z109" s="302"/>
      <c r="AA109" s="302"/>
      <c r="AB109" s="302"/>
      <c r="AC109" s="62"/>
      <c r="AD109" s="62"/>
      <c r="AE109" s="62"/>
      <c r="AF109" s="62"/>
      <c r="AG109" s="62"/>
      <c r="AH109" s="62"/>
      <c r="AI109" s="8"/>
    </row>
    <row r="110" spans="1:35" s="1" customFormat="1" ht="15.75" customHeight="1" x14ac:dyDescent="0.15">
      <c r="H110" s="153" t="s">
        <v>78</v>
      </c>
      <c r="I110" s="143"/>
      <c r="J110" s="144"/>
      <c r="K110" s="188" t="s">
        <v>71</v>
      </c>
      <c r="L110" s="143"/>
      <c r="M110" s="143"/>
      <c r="N110" s="143"/>
      <c r="O110" s="143"/>
      <c r="P110" s="143"/>
      <c r="Q110" s="199" t="s">
        <v>506</v>
      </c>
      <c r="R110" s="200"/>
      <c r="S110" s="200"/>
      <c r="T110" s="200"/>
      <c r="U110" s="200"/>
      <c r="V110" s="200"/>
      <c r="W110" s="200"/>
      <c r="X110" s="200"/>
      <c r="Y110" s="200"/>
      <c r="Z110" s="199" t="s">
        <v>507</v>
      </c>
      <c r="AA110" s="200"/>
      <c r="AB110" s="200"/>
      <c r="AC110" s="200"/>
      <c r="AD110" s="200"/>
      <c r="AE110" s="200"/>
      <c r="AF110" s="200"/>
      <c r="AG110" s="200"/>
      <c r="AH110" s="200"/>
    </row>
    <row r="111" spans="1:35" s="1" customFormat="1" ht="15.75" customHeight="1" x14ac:dyDescent="0.15">
      <c r="H111" s="185"/>
      <c r="I111" s="186"/>
      <c r="J111" s="187"/>
      <c r="K111" s="189"/>
      <c r="L111" s="186"/>
      <c r="M111" s="186"/>
      <c r="N111" s="186"/>
      <c r="O111" s="186"/>
      <c r="P111" s="186"/>
      <c r="Q111" s="197" t="s">
        <v>69</v>
      </c>
      <c r="R111" s="198"/>
      <c r="S111" s="198"/>
      <c r="T111" s="198" t="s">
        <v>204</v>
      </c>
      <c r="U111" s="198"/>
      <c r="V111" s="198"/>
      <c r="W111" s="198"/>
      <c r="X111" s="198"/>
      <c r="Y111" s="201"/>
      <c r="Z111" s="197" t="s">
        <v>69</v>
      </c>
      <c r="AA111" s="198"/>
      <c r="AB111" s="198"/>
      <c r="AC111" s="198" t="s">
        <v>204</v>
      </c>
      <c r="AD111" s="198"/>
      <c r="AE111" s="198"/>
      <c r="AF111" s="198"/>
      <c r="AG111" s="198"/>
      <c r="AH111" s="201"/>
    </row>
    <row r="112" spans="1:35" s="1" customFormat="1" ht="15.75" customHeight="1" x14ac:dyDescent="0.15">
      <c r="A112" s="73" t="str">
        <f>IF(K112="","×","")</f>
        <v/>
      </c>
      <c r="H112" s="382">
        <v>3</v>
      </c>
      <c r="I112" s="383"/>
      <c r="J112" s="384"/>
      <c r="K112" s="385">
        <v>13930</v>
      </c>
      <c r="L112" s="383"/>
      <c r="M112" s="383"/>
      <c r="N112" s="383"/>
      <c r="O112" s="383"/>
      <c r="P112" s="383"/>
      <c r="Q112" s="183">
        <f>H92</f>
        <v>0.5</v>
      </c>
      <c r="R112" s="184"/>
      <c r="S112" s="184"/>
      <c r="T112" s="283">
        <f t="shared" ref="T112:T127" si="0">ROUND($I$103*$Q$112*K112,0)</f>
        <v>1393</v>
      </c>
      <c r="U112" s="283"/>
      <c r="V112" s="283"/>
      <c r="W112" s="283"/>
      <c r="X112" s="283"/>
      <c r="Y112" s="284"/>
      <c r="Z112" s="183">
        <f>H96</f>
        <v>1</v>
      </c>
      <c r="AA112" s="184"/>
      <c r="AB112" s="184"/>
      <c r="AC112" s="283">
        <f>ROUND($I$103*$Z$112*K112,0)</f>
        <v>2786</v>
      </c>
      <c r="AD112" s="283"/>
      <c r="AE112" s="283"/>
      <c r="AF112" s="283"/>
      <c r="AG112" s="283"/>
      <c r="AH112" s="284"/>
    </row>
    <row r="113" spans="1:34" s="1" customFormat="1" ht="15.75" customHeight="1" x14ac:dyDescent="0.15">
      <c r="A113" s="73" t="str">
        <f t="shared" ref="A113:A127" si="1">IF(K113="","×","")</f>
        <v/>
      </c>
      <c r="H113" s="386">
        <v>4</v>
      </c>
      <c r="I113" s="387"/>
      <c r="J113" s="388"/>
      <c r="K113" s="389">
        <v>28620</v>
      </c>
      <c r="L113" s="387"/>
      <c r="M113" s="387"/>
      <c r="N113" s="387"/>
      <c r="O113" s="387"/>
      <c r="P113" s="387"/>
      <c r="Q113" s="191">
        <f>Q112</f>
        <v>0.5</v>
      </c>
      <c r="R113" s="96"/>
      <c r="S113" s="96"/>
      <c r="T113" s="285">
        <f t="shared" si="0"/>
        <v>2862</v>
      </c>
      <c r="U113" s="285"/>
      <c r="V113" s="285"/>
      <c r="W113" s="285"/>
      <c r="X113" s="285"/>
      <c r="Y113" s="286"/>
      <c r="Z113" s="191">
        <f>Z112</f>
        <v>1</v>
      </c>
      <c r="AA113" s="96"/>
      <c r="AB113" s="96"/>
      <c r="AC113" s="285">
        <f t="shared" ref="AC113:AC127" si="2">ROUND($I$103*$Z$112*K113,0)</f>
        <v>5724</v>
      </c>
      <c r="AD113" s="285"/>
      <c r="AE113" s="285"/>
      <c r="AF113" s="285"/>
      <c r="AG113" s="285"/>
      <c r="AH113" s="286"/>
    </row>
    <row r="114" spans="1:34" s="1" customFormat="1" ht="15.75" customHeight="1" x14ac:dyDescent="0.15">
      <c r="A114" s="73" t="str">
        <f t="shared" si="1"/>
        <v/>
      </c>
      <c r="H114" s="386">
        <v>5</v>
      </c>
      <c r="I114" s="387"/>
      <c r="J114" s="388"/>
      <c r="K114" s="389">
        <v>32570</v>
      </c>
      <c r="L114" s="387"/>
      <c r="M114" s="387"/>
      <c r="N114" s="387"/>
      <c r="O114" s="387"/>
      <c r="P114" s="387"/>
      <c r="Q114" s="191">
        <f t="shared" ref="Q114:Q120" si="3">Q113</f>
        <v>0.5</v>
      </c>
      <c r="R114" s="96"/>
      <c r="S114" s="96"/>
      <c r="T114" s="285">
        <f t="shared" si="0"/>
        <v>3257</v>
      </c>
      <c r="U114" s="285"/>
      <c r="V114" s="285"/>
      <c r="W114" s="285"/>
      <c r="X114" s="285"/>
      <c r="Y114" s="286"/>
      <c r="Z114" s="191">
        <f t="shared" ref="Z114:Z127" si="4">Z113</f>
        <v>1</v>
      </c>
      <c r="AA114" s="96"/>
      <c r="AB114" s="96"/>
      <c r="AC114" s="285">
        <f t="shared" si="2"/>
        <v>6514</v>
      </c>
      <c r="AD114" s="285"/>
      <c r="AE114" s="285"/>
      <c r="AF114" s="285"/>
      <c r="AG114" s="285"/>
      <c r="AH114" s="286"/>
    </row>
    <row r="115" spans="1:34" s="1" customFormat="1" ht="15.75" customHeight="1" x14ac:dyDescent="0.15">
      <c r="A115" s="73" t="str">
        <f t="shared" si="1"/>
        <v/>
      </c>
      <c r="H115" s="386">
        <v>6</v>
      </c>
      <c r="I115" s="387"/>
      <c r="J115" s="388"/>
      <c r="K115" s="389">
        <v>46440</v>
      </c>
      <c r="L115" s="387"/>
      <c r="M115" s="387"/>
      <c r="N115" s="387"/>
      <c r="O115" s="387"/>
      <c r="P115" s="387"/>
      <c r="Q115" s="191">
        <f t="shared" si="3"/>
        <v>0.5</v>
      </c>
      <c r="R115" s="96"/>
      <c r="S115" s="96"/>
      <c r="T115" s="285">
        <f t="shared" si="0"/>
        <v>4644</v>
      </c>
      <c r="U115" s="285"/>
      <c r="V115" s="285"/>
      <c r="W115" s="285"/>
      <c r="X115" s="285"/>
      <c r="Y115" s="286"/>
      <c r="Z115" s="191">
        <f t="shared" si="4"/>
        <v>1</v>
      </c>
      <c r="AA115" s="96"/>
      <c r="AB115" s="96"/>
      <c r="AC115" s="285">
        <f t="shared" si="2"/>
        <v>9288</v>
      </c>
      <c r="AD115" s="285"/>
      <c r="AE115" s="285"/>
      <c r="AF115" s="285"/>
      <c r="AG115" s="285"/>
      <c r="AH115" s="286"/>
    </row>
    <row r="116" spans="1:34" s="1" customFormat="1" ht="15.75" customHeight="1" x14ac:dyDescent="0.15">
      <c r="A116" s="73" t="str">
        <f t="shared" si="1"/>
        <v/>
      </c>
      <c r="H116" s="386">
        <v>7</v>
      </c>
      <c r="I116" s="387"/>
      <c r="J116" s="388"/>
      <c r="K116" s="389">
        <v>91760</v>
      </c>
      <c r="L116" s="387"/>
      <c r="M116" s="387"/>
      <c r="N116" s="387"/>
      <c r="O116" s="387"/>
      <c r="P116" s="387"/>
      <c r="Q116" s="191">
        <f t="shared" si="3"/>
        <v>0.5</v>
      </c>
      <c r="R116" s="96"/>
      <c r="S116" s="96"/>
      <c r="T116" s="285">
        <f t="shared" si="0"/>
        <v>9176</v>
      </c>
      <c r="U116" s="285"/>
      <c r="V116" s="285"/>
      <c r="W116" s="285"/>
      <c r="X116" s="285"/>
      <c r="Y116" s="286"/>
      <c r="Z116" s="191">
        <f t="shared" si="4"/>
        <v>1</v>
      </c>
      <c r="AA116" s="96"/>
      <c r="AB116" s="96"/>
      <c r="AC116" s="285">
        <f t="shared" si="2"/>
        <v>18352</v>
      </c>
      <c r="AD116" s="285"/>
      <c r="AE116" s="285"/>
      <c r="AF116" s="285"/>
      <c r="AG116" s="285"/>
      <c r="AH116" s="286"/>
    </row>
    <row r="117" spans="1:34" s="1" customFormat="1" ht="15.75" customHeight="1" x14ac:dyDescent="0.15">
      <c r="A117" s="73" t="str">
        <f t="shared" si="1"/>
        <v>×</v>
      </c>
      <c r="H117" s="386"/>
      <c r="I117" s="387"/>
      <c r="J117" s="388"/>
      <c r="K117" s="389"/>
      <c r="L117" s="387"/>
      <c r="M117" s="387"/>
      <c r="N117" s="387"/>
      <c r="O117" s="387"/>
      <c r="P117" s="387"/>
      <c r="Q117" s="191">
        <f t="shared" si="3"/>
        <v>0.5</v>
      </c>
      <c r="R117" s="96"/>
      <c r="S117" s="96"/>
      <c r="T117" s="285">
        <f t="shared" si="0"/>
        <v>0</v>
      </c>
      <c r="U117" s="285"/>
      <c r="V117" s="285"/>
      <c r="W117" s="285"/>
      <c r="X117" s="285"/>
      <c r="Y117" s="286"/>
      <c r="Z117" s="191">
        <f t="shared" si="4"/>
        <v>1</v>
      </c>
      <c r="AA117" s="96"/>
      <c r="AB117" s="96"/>
      <c r="AC117" s="285">
        <f t="shared" si="2"/>
        <v>0</v>
      </c>
      <c r="AD117" s="285"/>
      <c r="AE117" s="285"/>
      <c r="AF117" s="285"/>
      <c r="AG117" s="285"/>
      <c r="AH117" s="286"/>
    </row>
    <row r="118" spans="1:34" s="1" customFormat="1" ht="15.75" customHeight="1" x14ac:dyDescent="0.15">
      <c r="A118" s="73" t="str">
        <f t="shared" si="1"/>
        <v>×</v>
      </c>
      <c r="H118" s="386"/>
      <c r="I118" s="387"/>
      <c r="J118" s="388"/>
      <c r="K118" s="389"/>
      <c r="L118" s="387"/>
      <c r="M118" s="387"/>
      <c r="N118" s="387"/>
      <c r="O118" s="387"/>
      <c r="P118" s="387"/>
      <c r="Q118" s="191">
        <f t="shared" si="3"/>
        <v>0.5</v>
      </c>
      <c r="R118" s="96"/>
      <c r="S118" s="96"/>
      <c r="T118" s="285">
        <f t="shared" si="0"/>
        <v>0</v>
      </c>
      <c r="U118" s="285"/>
      <c r="V118" s="285"/>
      <c r="W118" s="285"/>
      <c r="X118" s="285"/>
      <c r="Y118" s="286"/>
      <c r="Z118" s="191">
        <f t="shared" si="4"/>
        <v>1</v>
      </c>
      <c r="AA118" s="96"/>
      <c r="AB118" s="96"/>
      <c r="AC118" s="285">
        <f t="shared" si="2"/>
        <v>0</v>
      </c>
      <c r="AD118" s="285"/>
      <c r="AE118" s="285"/>
      <c r="AF118" s="285"/>
      <c r="AG118" s="285"/>
      <c r="AH118" s="286"/>
    </row>
    <row r="119" spans="1:34" s="1" customFormat="1" ht="15.75" customHeight="1" x14ac:dyDescent="0.15">
      <c r="A119" s="73" t="str">
        <f t="shared" si="1"/>
        <v>×</v>
      </c>
      <c r="H119" s="386"/>
      <c r="I119" s="387"/>
      <c r="J119" s="388"/>
      <c r="K119" s="389"/>
      <c r="L119" s="387"/>
      <c r="M119" s="387"/>
      <c r="N119" s="387"/>
      <c r="O119" s="387"/>
      <c r="P119" s="387"/>
      <c r="Q119" s="191">
        <f t="shared" si="3"/>
        <v>0.5</v>
      </c>
      <c r="R119" s="96"/>
      <c r="S119" s="96"/>
      <c r="T119" s="285">
        <f t="shared" si="0"/>
        <v>0</v>
      </c>
      <c r="U119" s="285"/>
      <c r="V119" s="285"/>
      <c r="W119" s="285"/>
      <c r="X119" s="285"/>
      <c r="Y119" s="286"/>
      <c r="Z119" s="191">
        <f t="shared" si="4"/>
        <v>1</v>
      </c>
      <c r="AA119" s="96"/>
      <c r="AB119" s="96"/>
      <c r="AC119" s="285">
        <f t="shared" si="2"/>
        <v>0</v>
      </c>
      <c r="AD119" s="285"/>
      <c r="AE119" s="285"/>
      <c r="AF119" s="285"/>
      <c r="AG119" s="285"/>
      <c r="AH119" s="286"/>
    </row>
    <row r="120" spans="1:34" s="1" customFormat="1" ht="15.75" customHeight="1" x14ac:dyDescent="0.15">
      <c r="A120" s="73" t="str">
        <f t="shared" si="1"/>
        <v>×</v>
      </c>
      <c r="H120" s="386"/>
      <c r="I120" s="387"/>
      <c r="J120" s="388"/>
      <c r="K120" s="389"/>
      <c r="L120" s="387"/>
      <c r="M120" s="387"/>
      <c r="N120" s="387"/>
      <c r="O120" s="387"/>
      <c r="P120" s="387"/>
      <c r="Q120" s="191">
        <f t="shared" si="3"/>
        <v>0.5</v>
      </c>
      <c r="R120" s="96"/>
      <c r="S120" s="96"/>
      <c r="T120" s="285">
        <f t="shared" si="0"/>
        <v>0</v>
      </c>
      <c r="U120" s="285"/>
      <c r="V120" s="285"/>
      <c r="W120" s="285"/>
      <c r="X120" s="285"/>
      <c r="Y120" s="286"/>
      <c r="Z120" s="191">
        <f t="shared" si="4"/>
        <v>1</v>
      </c>
      <c r="AA120" s="96"/>
      <c r="AB120" s="96"/>
      <c r="AC120" s="285">
        <f t="shared" si="2"/>
        <v>0</v>
      </c>
      <c r="AD120" s="285"/>
      <c r="AE120" s="285"/>
      <c r="AF120" s="285"/>
      <c r="AG120" s="285"/>
      <c r="AH120" s="286"/>
    </row>
    <row r="121" spans="1:34" s="1" customFormat="1" ht="15.75" customHeight="1" x14ac:dyDescent="0.15">
      <c r="A121" s="73" t="str">
        <f t="shared" si="1"/>
        <v>×</v>
      </c>
      <c r="H121" s="386"/>
      <c r="I121" s="387"/>
      <c r="J121" s="388"/>
      <c r="K121" s="389"/>
      <c r="L121" s="387"/>
      <c r="M121" s="387"/>
      <c r="N121" s="387"/>
      <c r="O121" s="387"/>
      <c r="P121" s="387"/>
      <c r="Q121" s="191">
        <f t="shared" ref="Q121:Q125" si="5">Q120</f>
        <v>0.5</v>
      </c>
      <c r="R121" s="96"/>
      <c r="S121" s="96"/>
      <c r="T121" s="285">
        <f t="shared" si="0"/>
        <v>0</v>
      </c>
      <c r="U121" s="285"/>
      <c r="V121" s="285"/>
      <c r="W121" s="285"/>
      <c r="X121" s="285"/>
      <c r="Y121" s="286"/>
      <c r="Z121" s="191">
        <f t="shared" si="4"/>
        <v>1</v>
      </c>
      <c r="AA121" s="96"/>
      <c r="AB121" s="96"/>
      <c r="AC121" s="285">
        <f t="shared" si="2"/>
        <v>0</v>
      </c>
      <c r="AD121" s="285"/>
      <c r="AE121" s="285"/>
      <c r="AF121" s="285"/>
      <c r="AG121" s="285"/>
      <c r="AH121" s="286"/>
    </row>
    <row r="122" spans="1:34" s="1" customFormat="1" ht="15.75" customHeight="1" x14ac:dyDescent="0.15">
      <c r="A122" s="73" t="str">
        <f t="shared" si="1"/>
        <v>×</v>
      </c>
      <c r="H122" s="386"/>
      <c r="I122" s="387"/>
      <c r="J122" s="388"/>
      <c r="K122" s="389"/>
      <c r="L122" s="387"/>
      <c r="M122" s="387"/>
      <c r="N122" s="387"/>
      <c r="O122" s="387"/>
      <c r="P122" s="387"/>
      <c r="Q122" s="191">
        <f t="shared" si="5"/>
        <v>0.5</v>
      </c>
      <c r="R122" s="96"/>
      <c r="S122" s="96"/>
      <c r="T122" s="285">
        <f t="shared" si="0"/>
        <v>0</v>
      </c>
      <c r="U122" s="285"/>
      <c r="V122" s="285"/>
      <c r="W122" s="285"/>
      <c r="X122" s="285"/>
      <c r="Y122" s="286"/>
      <c r="Z122" s="191">
        <f t="shared" si="4"/>
        <v>1</v>
      </c>
      <c r="AA122" s="96"/>
      <c r="AB122" s="96"/>
      <c r="AC122" s="285">
        <f t="shared" si="2"/>
        <v>0</v>
      </c>
      <c r="AD122" s="285"/>
      <c r="AE122" s="285"/>
      <c r="AF122" s="285"/>
      <c r="AG122" s="285"/>
      <c r="AH122" s="286"/>
    </row>
    <row r="123" spans="1:34" s="1" customFormat="1" ht="15.75" customHeight="1" x14ac:dyDescent="0.15">
      <c r="A123" s="73" t="str">
        <f t="shared" si="1"/>
        <v>×</v>
      </c>
      <c r="H123" s="386"/>
      <c r="I123" s="387"/>
      <c r="J123" s="388"/>
      <c r="K123" s="389"/>
      <c r="L123" s="387"/>
      <c r="M123" s="387"/>
      <c r="N123" s="387"/>
      <c r="O123" s="387"/>
      <c r="P123" s="387"/>
      <c r="Q123" s="191">
        <f t="shared" si="5"/>
        <v>0.5</v>
      </c>
      <c r="R123" s="96"/>
      <c r="S123" s="96"/>
      <c r="T123" s="285">
        <f t="shared" si="0"/>
        <v>0</v>
      </c>
      <c r="U123" s="285"/>
      <c r="V123" s="285"/>
      <c r="W123" s="285"/>
      <c r="X123" s="285"/>
      <c r="Y123" s="286"/>
      <c r="Z123" s="191">
        <f t="shared" si="4"/>
        <v>1</v>
      </c>
      <c r="AA123" s="96"/>
      <c r="AB123" s="96"/>
      <c r="AC123" s="285">
        <f t="shared" si="2"/>
        <v>0</v>
      </c>
      <c r="AD123" s="285"/>
      <c r="AE123" s="285"/>
      <c r="AF123" s="285"/>
      <c r="AG123" s="285"/>
      <c r="AH123" s="286"/>
    </row>
    <row r="124" spans="1:34" s="1" customFormat="1" ht="15.75" customHeight="1" x14ac:dyDescent="0.15">
      <c r="A124" s="73" t="str">
        <f t="shared" si="1"/>
        <v>×</v>
      </c>
      <c r="H124" s="386"/>
      <c r="I124" s="387"/>
      <c r="J124" s="388"/>
      <c r="K124" s="389"/>
      <c r="L124" s="387"/>
      <c r="M124" s="387"/>
      <c r="N124" s="387"/>
      <c r="O124" s="387"/>
      <c r="P124" s="387"/>
      <c r="Q124" s="191">
        <f t="shared" si="5"/>
        <v>0.5</v>
      </c>
      <c r="R124" s="96"/>
      <c r="S124" s="96"/>
      <c r="T124" s="285">
        <f t="shared" si="0"/>
        <v>0</v>
      </c>
      <c r="U124" s="285"/>
      <c r="V124" s="285"/>
      <c r="W124" s="285"/>
      <c r="X124" s="285"/>
      <c r="Y124" s="286"/>
      <c r="Z124" s="191">
        <f t="shared" si="4"/>
        <v>1</v>
      </c>
      <c r="AA124" s="96"/>
      <c r="AB124" s="96"/>
      <c r="AC124" s="285">
        <f t="shared" si="2"/>
        <v>0</v>
      </c>
      <c r="AD124" s="285"/>
      <c r="AE124" s="285"/>
      <c r="AF124" s="285"/>
      <c r="AG124" s="285"/>
      <c r="AH124" s="286"/>
    </row>
    <row r="125" spans="1:34" s="1" customFormat="1" ht="15.75" customHeight="1" x14ac:dyDescent="0.15">
      <c r="A125" s="73" t="str">
        <f t="shared" si="1"/>
        <v>×</v>
      </c>
      <c r="H125" s="386"/>
      <c r="I125" s="387"/>
      <c r="J125" s="388"/>
      <c r="K125" s="389"/>
      <c r="L125" s="387"/>
      <c r="M125" s="387"/>
      <c r="N125" s="387"/>
      <c r="O125" s="387"/>
      <c r="P125" s="387"/>
      <c r="Q125" s="191">
        <f t="shared" si="5"/>
        <v>0.5</v>
      </c>
      <c r="R125" s="96"/>
      <c r="S125" s="96"/>
      <c r="T125" s="285">
        <f t="shared" si="0"/>
        <v>0</v>
      </c>
      <c r="U125" s="285"/>
      <c r="V125" s="285"/>
      <c r="W125" s="285"/>
      <c r="X125" s="285"/>
      <c r="Y125" s="286"/>
      <c r="Z125" s="191">
        <f t="shared" si="4"/>
        <v>1</v>
      </c>
      <c r="AA125" s="96"/>
      <c r="AB125" s="96"/>
      <c r="AC125" s="285">
        <f t="shared" si="2"/>
        <v>0</v>
      </c>
      <c r="AD125" s="285"/>
      <c r="AE125" s="285"/>
      <c r="AF125" s="285"/>
      <c r="AG125" s="285"/>
      <c r="AH125" s="286"/>
    </row>
    <row r="126" spans="1:34" s="1" customFormat="1" ht="15.75" customHeight="1" x14ac:dyDescent="0.15">
      <c r="A126" s="73" t="str">
        <f t="shared" si="1"/>
        <v>×</v>
      </c>
      <c r="H126" s="386"/>
      <c r="I126" s="387"/>
      <c r="J126" s="388"/>
      <c r="K126" s="389"/>
      <c r="L126" s="387"/>
      <c r="M126" s="387"/>
      <c r="N126" s="387"/>
      <c r="O126" s="387"/>
      <c r="P126" s="387"/>
      <c r="Q126" s="191">
        <f t="shared" ref="Q126:Q127" si="6">Q125</f>
        <v>0.5</v>
      </c>
      <c r="R126" s="96"/>
      <c r="S126" s="96"/>
      <c r="T126" s="285">
        <f t="shared" si="0"/>
        <v>0</v>
      </c>
      <c r="U126" s="285"/>
      <c r="V126" s="285"/>
      <c r="W126" s="285"/>
      <c r="X126" s="285"/>
      <c r="Y126" s="286"/>
      <c r="Z126" s="191">
        <f t="shared" si="4"/>
        <v>1</v>
      </c>
      <c r="AA126" s="96"/>
      <c r="AB126" s="96"/>
      <c r="AC126" s="285">
        <f t="shared" si="2"/>
        <v>0</v>
      </c>
      <c r="AD126" s="285"/>
      <c r="AE126" s="285"/>
      <c r="AF126" s="285"/>
      <c r="AG126" s="285"/>
      <c r="AH126" s="286"/>
    </row>
    <row r="127" spans="1:34" s="1" customFormat="1" ht="15.75" customHeight="1" x14ac:dyDescent="0.15">
      <c r="A127" s="73" t="str">
        <f t="shared" si="1"/>
        <v>×</v>
      </c>
      <c r="H127" s="390"/>
      <c r="I127" s="391"/>
      <c r="J127" s="392"/>
      <c r="K127" s="393"/>
      <c r="L127" s="391"/>
      <c r="M127" s="391"/>
      <c r="N127" s="391"/>
      <c r="O127" s="391"/>
      <c r="P127" s="391"/>
      <c r="Q127" s="269">
        <f t="shared" si="6"/>
        <v>0.5</v>
      </c>
      <c r="R127" s="101"/>
      <c r="S127" s="101"/>
      <c r="T127" s="287">
        <f t="shared" si="0"/>
        <v>0</v>
      </c>
      <c r="U127" s="287"/>
      <c r="V127" s="287"/>
      <c r="W127" s="287"/>
      <c r="X127" s="287"/>
      <c r="Y127" s="288"/>
      <c r="Z127" s="269">
        <f t="shared" si="4"/>
        <v>1</v>
      </c>
      <c r="AA127" s="101"/>
      <c r="AB127" s="101"/>
      <c r="AC127" s="287">
        <f t="shared" si="2"/>
        <v>0</v>
      </c>
      <c r="AD127" s="287"/>
      <c r="AE127" s="287"/>
      <c r="AF127" s="287"/>
      <c r="AG127" s="287"/>
      <c r="AH127" s="288"/>
    </row>
    <row r="128" spans="1:34" s="1" customFormat="1" ht="15.75" customHeight="1" x14ac:dyDescent="0.15">
      <c r="H128" s="74"/>
      <c r="I128" s="74"/>
      <c r="J128" s="74"/>
      <c r="K128" s="75"/>
      <c r="L128" s="75"/>
      <c r="M128" s="75"/>
      <c r="N128" s="74"/>
      <c r="O128" s="74"/>
      <c r="P128" s="74"/>
      <c r="Q128" s="74"/>
      <c r="R128" s="74"/>
      <c r="S128" s="74"/>
      <c r="T128" s="74"/>
      <c r="U128" s="74"/>
      <c r="V128" s="74"/>
      <c r="W128" s="74"/>
      <c r="X128" s="74"/>
      <c r="Y128" s="74"/>
      <c r="Z128" s="303"/>
      <c r="AA128" s="303"/>
      <c r="AB128" s="303"/>
      <c r="AC128" s="303"/>
      <c r="AD128" s="303"/>
      <c r="AE128" s="303"/>
      <c r="AF128" s="303"/>
      <c r="AG128" s="303"/>
      <c r="AH128" s="303"/>
    </row>
    <row r="129" spans="4:17" s="1" customFormat="1" ht="15.75" customHeight="1" x14ac:dyDescent="0.15"/>
    <row r="130" spans="4:17" s="1" customFormat="1" ht="15.75" customHeight="1" x14ac:dyDescent="0.15"/>
    <row r="131" spans="4:17" s="1" customFormat="1" ht="15.75" customHeight="1" x14ac:dyDescent="0.15"/>
    <row r="132" spans="4:17" ht="15.75" customHeight="1" x14ac:dyDescent="0.15">
      <c r="D132" s="1" t="s">
        <v>80</v>
      </c>
      <c r="M132" s="10"/>
    </row>
    <row r="133" spans="4:17" s="1" customFormat="1" ht="15.75" customHeight="1" x14ac:dyDescent="0.15"/>
    <row r="134" spans="4:17" s="1" customFormat="1" ht="15.75" customHeight="1" x14ac:dyDescent="0.15">
      <c r="E134" s="1" t="s">
        <v>81</v>
      </c>
      <c r="F134" s="1" t="s">
        <v>82</v>
      </c>
    </row>
    <row r="135" spans="4:17" s="1" customFormat="1" ht="15.75" customHeight="1" x14ac:dyDescent="0.15"/>
    <row r="136" spans="4:17" s="1" customFormat="1" ht="15.75" customHeight="1" x14ac:dyDescent="0.15">
      <c r="F136" s="1" t="s">
        <v>185</v>
      </c>
    </row>
    <row r="137" spans="4:17" s="1" customFormat="1" ht="15.75" customHeight="1" x14ac:dyDescent="0.15">
      <c r="F137" s="1" t="s">
        <v>83</v>
      </c>
    </row>
    <row r="138" spans="4:17" s="1" customFormat="1" ht="15.75" customHeight="1" x14ac:dyDescent="0.15"/>
    <row r="139" spans="4:17" s="1" customFormat="1" ht="15.75" customHeight="1" x14ac:dyDescent="0.15">
      <c r="F139" s="1" t="s">
        <v>84</v>
      </c>
    </row>
    <row r="140" spans="4:17" s="1" customFormat="1" ht="15.75" customHeight="1" x14ac:dyDescent="0.15">
      <c r="F140" s="162" t="s">
        <v>85</v>
      </c>
      <c r="G140" s="162"/>
      <c r="H140" s="76" t="s">
        <v>27</v>
      </c>
      <c r="I140" s="162">
        <v>1.8</v>
      </c>
      <c r="J140" s="162"/>
      <c r="K140" s="162" t="s">
        <v>63</v>
      </c>
      <c r="L140" s="162"/>
      <c r="M140" s="162" t="s">
        <v>64</v>
      </c>
      <c r="N140" s="162"/>
      <c r="O140" s="76" t="s">
        <v>65</v>
      </c>
      <c r="P140" s="301">
        <v>-0.75</v>
      </c>
      <c r="Q140" s="301"/>
    </row>
    <row r="141" spans="4:17" s="1" customFormat="1" ht="15.75" customHeight="1" x14ac:dyDescent="0.15"/>
    <row r="142" spans="4:17" s="1" customFormat="1" ht="15.75" customHeight="1" x14ac:dyDescent="0.15">
      <c r="F142" s="1" t="s">
        <v>86</v>
      </c>
    </row>
    <row r="143" spans="4:17" s="1" customFormat="1" ht="15.75" customHeight="1" x14ac:dyDescent="0.15">
      <c r="F143" s="162" t="s">
        <v>85</v>
      </c>
      <c r="G143" s="162"/>
      <c r="H143" s="76" t="s">
        <v>27</v>
      </c>
      <c r="I143" s="162">
        <v>3.6</v>
      </c>
      <c r="J143" s="162"/>
      <c r="K143" s="162" t="s">
        <v>63</v>
      </c>
      <c r="L143" s="162"/>
      <c r="M143" s="162" t="s">
        <v>64</v>
      </c>
      <c r="N143" s="162"/>
      <c r="O143" s="76" t="s">
        <v>65</v>
      </c>
      <c r="P143" s="301">
        <v>-0.75</v>
      </c>
      <c r="Q143" s="301"/>
    </row>
    <row r="144" spans="4:17" s="1" customFormat="1" ht="15.75" customHeight="1" x14ac:dyDescent="0.15"/>
    <row r="145" spans="1:35" s="1" customFormat="1" ht="15.75" customHeight="1" x14ac:dyDescent="0.15">
      <c r="G145" s="1" t="s">
        <v>66</v>
      </c>
      <c r="J145" s="162" t="s">
        <v>85</v>
      </c>
      <c r="K145" s="162"/>
      <c r="L145" s="76" t="s">
        <v>2</v>
      </c>
      <c r="M145" s="1" t="s">
        <v>87</v>
      </c>
    </row>
    <row r="146" spans="1:35" s="1" customFormat="1" ht="15.75" customHeight="1" x14ac:dyDescent="0.15">
      <c r="J146" s="162" t="s">
        <v>63</v>
      </c>
      <c r="K146" s="162"/>
      <c r="L146" s="76" t="s">
        <v>2</v>
      </c>
      <c r="M146" s="1" t="s">
        <v>77</v>
      </c>
    </row>
    <row r="147" spans="1:35" s="1" customFormat="1" ht="15.75" customHeight="1" x14ac:dyDescent="0.15">
      <c r="J147" s="162" t="s">
        <v>64</v>
      </c>
      <c r="K147" s="162"/>
      <c r="L147" s="76" t="s">
        <v>2</v>
      </c>
      <c r="M147" s="1" t="s">
        <v>70</v>
      </c>
    </row>
    <row r="148" spans="1:35" s="1" customFormat="1" ht="15.75" customHeight="1" x14ac:dyDescent="0.15">
      <c r="J148" s="162" t="s">
        <v>65</v>
      </c>
      <c r="K148" s="162"/>
      <c r="L148" s="76" t="s">
        <v>2</v>
      </c>
      <c r="M148" s="1" t="s">
        <v>515</v>
      </c>
      <c r="R148" s="2" t="s">
        <v>127</v>
      </c>
      <c r="S148" s="76" t="s">
        <v>27</v>
      </c>
      <c r="T148" s="304">
        <f>Q92</f>
        <v>1</v>
      </c>
      <c r="U148" s="304"/>
      <c r="V148" s="304"/>
      <c r="W148" s="1" t="s">
        <v>128</v>
      </c>
    </row>
    <row r="149" spans="1:35" s="1" customFormat="1" ht="15.75" customHeight="1" x14ac:dyDescent="0.15">
      <c r="J149" s="76"/>
      <c r="K149" s="76"/>
      <c r="L149" s="76"/>
    </row>
    <row r="150" spans="1:35" s="1" customFormat="1" ht="15.75" customHeight="1" x14ac:dyDescent="0.15">
      <c r="G150" s="61" t="s">
        <v>509</v>
      </c>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c r="AE150" s="302"/>
      <c r="AF150" s="302"/>
      <c r="AG150" s="302"/>
      <c r="AH150" s="302"/>
      <c r="AI150" s="302"/>
    </row>
    <row r="151" spans="1:35" s="1" customFormat="1" ht="15.75" customHeight="1" x14ac:dyDescent="0.15">
      <c r="G151" s="126" t="s">
        <v>78</v>
      </c>
      <c r="H151" s="105"/>
      <c r="I151" s="129"/>
      <c r="J151" s="105" t="s">
        <v>520</v>
      </c>
      <c r="K151" s="131"/>
      <c r="L151" s="131"/>
      <c r="M151" s="230"/>
      <c r="N151" s="130" t="s">
        <v>506</v>
      </c>
      <c r="O151" s="131"/>
      <c r="P151" s="131"/>
      <c r="Q151" s="131"/>
      <c r="R151" s="131"/>
      <c r="S151" s="131"/>
      <c r="T151" s="132"/>
      <c r="U151" s="273" t="s">
        <v>507</v>
      </c>
      <c r="V151" s="131"/>
      <c r="W151" s="131"/>
      <c r="X151" s="131"/>
      <c r="Y151" s="131"/>
      <c r="Z151" s="131"/>
      <c r="AA151" s="131"/>
      <c r="AB151" s="131"/>
      <c r="AC151" s="131"/>
      <c r="AD151" s="131"/>
      <c r="AE151" s="131"/>
      <c r="AF151" s="131"/>
      <c r="AG151" s="131"/>
      <c r="AH151" s="131"/>
      <c r="AI151" s="132"/>
    </row>
    <row r="152" spans="1:35" s="1" customFormat="1" ht="15.75" customHeight="1" x14ac:dyDescent="0.15">
      <c r="G152" s="127"/>
      <c r="H152" s="122"/>
      <c r="I152" s="123"/>
      <c r="J152" s="94"/>
      <c r="K152" s="94"/>
      <c r="L152" s="94"/>
      <c r="M152" s="231"/>
      <c r="N152" s="93" t="s">
        <v>69</v>
      </c>
      <c r="O152" s="94"/>
      <c r="P152" s="94"/>
      <c r="Q152" s="122" t="s">
        <v>521</v>
      </c>
      <c r="R152" s="94"/>
      <c r="S152" s="94"/>
      <c r="T152" s="190"/>
      <c r="U152" s="274" t="s">
        <v>69</v>
      </c>
      <c r="V152" s="94"/>
      <c r="W152" s="94"/>
      <c r="X152" s="122" t="s">
        <v>88</v>
      </c>
      <c r="Y152" s="94"/>
      <c r="Z152" s="94"/>
      <c r="AA152" s="94"/>
      <c r="AB152" s="94"/>
      <c r="AC152" s="94"/>
      <c r="AD152" s="122" t="s">
        <v>89</v>
      </c>
      <c r="AE152" s="94"/>
      <c r="AF152" s="94"/>
      <c r="AG152" s="94"/>
      <c r="AH152" s="94"/>
      <c r="AI152" s="190"/>
    </row>
    <row r="153" spans="1:35" s="1" customFormat="1" ht="15.75" customHeight="1" x14ac:dyDescent="0.15">
      <c r="G153" s="127"/>
      <c r="H153" s="122"/>
      <c r="I153" s="123"/>
      <c r="J153" s="94"/>
      <c r="K153" s="94"/>
      <c r="L153" s="94"/>
      <c r="M153" s="231"/>
      <c r="N153" s="93"/>
      <c r="O153" s="94"/>
      <c r="P153" s="94"/>
      <c r="Q153" s="94"/>
      <c r="R153" s="94"/>
      <c r="S153" s="94"/>
      <c r="T153" s="190"/>
      <c r="U153" s="274"/>
      <c r="V153" s="94"/>
      <c r="W153" s="94"/>
      <c r="X153" s="122"/>
      <c r="Y153" s="94"/>
      <c r="Z153" s="94"/>
      <c r="AA153" s="94"/>
      <c r="AB153" s="94"/>
      <c r="AC153" s="94"/>
      <c r="AD153" s="122"/>
      <c r="AE153" s="94"/>
      <c r="AF153" s="94"/>
      <c r="AG153" s="94"/>
      <c r="AH153" s="94"/>
      <c r="AI153" s="190"/>
    </row>
    <row r="154" spans="1:35" s="1" customFormat="1" ht="15.75" customHeight="1" x14ac:dyDescent="0.15">
      <c r="G154" s="128"/>
      <c r="H154" s="106"/>
      <c r="I154" s="124"/>
      <c r="J154" s="99"/>
      <c r="K154" s="99"/>
      <c r="L154" s="99"/>
      <c r="M154" s="232"/>
      <c r="N154" s="98"/>
      <c r="O154" s="99"/>
      <c r="P154" s="99"/>
      <c r="Q154" s="99"/>
      <c r="R154" s="99"/>
      <c r="S154" s="99"/>
      <c r="T154" s="133"/>
      <c r="U154" s="219"/>
      <c r="V154" s="99"/>
      <c r="W154" s="99"/>
      <c r="X154" s="99"/>
      <c r="Y154" s="99"/>
      <c r="Z154" s="99"/>
      <c r="AA154" s="99"/>
      <c r="AB154" s="99"/>
      <c r="AC154" s="99"/>
      <c r="AD154" s="99"/>
      <c r="AE154" s="99"/>
      <c r="AF154" s="99"/>
      <c r="AG154" s="99"/>
      <c r="AH154" s="99"/>
      <c r="AI154" s="133"/>
    </row>
    <row r="155" spans="1:35" s="1" customFormat="1" ht="15.75" customHeight="1" x14ac:dyDescent="0.15">
      <c r="A155" s="73" t="str">
        <f t="shared" ref="A155:A170" si="7">IF(J155="","×","")</f>
        <v/>
      </c>
      <c r="G155" s="117">
        <f t="shared" ref="G155:G170" si="8">IF(H112="","",H112)</f>
        <v>3</v>
      </c>
      <c r="H155" s="118"/>
      <c r="I155" s="175"/>
      <c r="J155" s="118">
        <f t="shared" ref="J155:J170" si="9">IF(K112="","",K112)</f>
        <v>13930</v>
      </c>
      <c r="K155" s="118"/>
      <c r="L155" s="118"/>
      <c r="M155" s="182"/>
      <c r="N155" s="180">
        <f>Q112</f>
        <v>0.5</v>
      </c>
      <c r="O155" s="181"/>
      <c r="P155" s="181"/>
      <c r="Q155" s="118">
        <f t="shared" ref="Q155:Q170" si="10">IF(J155="","",ROUND($I$140*$N$155*J155*$T$148^$P$140,0))</f>
        <v>12537</v>
      </c>
      <c r="R155" s="118"/>
      <c r="S155" s="118"/>
      <c r="T155" s="175"/>
      <c r="U155" s="205">
        <f>Z112</f>
        <v>1</v>
      </c>
      <c r="V155" s="181"/>
      <c r="W155" s="181"/>
      <c r="X155" s="118">
        <f t="shared" ref="X155:X170" si="11">IF(J155="","",ROUND($I$140*$U$155*J155*$T$148^$P$143,0))</f>
        <v>25074</v>
      </c>
      <c r="Y155" s="118"/>
      <c r="Z155" s="118"/>
      <c r="AA155" s="118"/>
      <c r="AB155" s="118"/>
      <c r="AC155" s="118"/>
      <c r="AD155" s="118">
        <f t="shared" ref="AD155:AD170" si="12">IF(J155="","",ROUND($I$143*$U$155*J155*$T$148^$P$143,0))</f>
        <v>50148</v>
      </c>
      <c r="AE155" s="118"/>
      <c r="AF155" s="118"/>
      <c r="AG155" s="118"/>
      <c r="AH155" s="118"/>
      <c r="AI155" s="175"/>
    </row>
    <row r="156" spans="1:35" s="1" customFormat="1" ht="15.75" customHeight="1" x14ac:dyDescent="0.15">
      <c r="A156" s="73" t="str">
        <f t="shared" si="7"/>
        <v/>
      </c>
      <c r="G156" s="119">
        <f t="shared" si="8"/>
        <v>4</v>
      </c>
      <c r="H156" s="120"/>
      <c r="I156" s="270"/>
      <c r="J156" s="120">
        <f t="shared" si="9"/>
        <v>28620</v>
      </c>
      <c r="K156" s="120"/>
      <c r="L156" s="120"/>
      <c r="M156" s="207"/>
      <c r="N156" s="176">
        <f>N155</f>
        <v>0.5</v>
      </c>
      <c r="O156" s="177"/>
      <c r="P156" s="177"/>
      <c r="Q156" s="120">
        <f t="shared" si="10"/>
        <v>25758</v>
      </c>
      <c r="R156" s="120"/>
      <c r="S156" s="120"/>
      <c r="T156" s="270"/>
      <c r="U156" s="206">
        <f>U155</f>
        <v>1</v>
      </c>
      <c r="V156" s="177"/>
      <c r="W156" s="177"/>
      <c r="X156" s="120">
        <f t="shared" si="11"/>
        <v>51516</v>
      </c>
      <c r="Y156" s="120"/>
      <c r="Z156" s="120"/>
      <c r="AA156" s="120"/>
      <c r="AB156" s="120"/>
      <c r="AC156" s="120"/>
      <c r="AD156" s="120">
        <f t="shared" si="12"/>
        <v>103032</v>
      </c>
      <c r="AE156" s="120"/>
      <c r="AF156" s="120"/>
      <c r="AG156" s="120"/>
      <c r="AH156" s="120"/>
      <c r="AI156" s="270"/>
    </row>
    <row r="157" spans="1:35" s="1" customFormat="1" ht="15.75" customHeight="1" x14ac:dyDescent="0.15">
      <c r="A157" s="73" t="str">
        <f t="shared" si="7"/>
        <v/>
      </c>
      <c r="G157" s="119">
        <f t="shared" si="8"/>
        <v>5</v>
      </c>
      <c r="H157" s="120"/>
      <c r="I157" s="270"/>
      <c r="J157" s="120">
        <f t="shared" si="9"/>
        <v>32570</v>
      </c>
      <c r="K157" s="120"/>
      <c r="L157" s="120"/>
      <c r="M157" s="207"/>
      <c r="N157" s="176">
        <f t="shared" ref="N157:N170" si="13">N156</f>
        <v>0.5</v>
      </c>
      <c r="O157" s="177"/>
      <c r="P157" s="177"/>
      <c r="Q157" s="120">
        <f t="shared" si="10"/>
        <v>29313</v>
      </c>
      <c r="R157" s="120"/>
      <c r="S157" s="120"/>
      <c r="T157" s="270"/>
      <c r="U157" s="206">
        <f t="shared" ref="U157:U170" si="14">U156</f>
        <v>1</v>
      </c>
      <c r="V157" s="177"/>
      <c r="W157" s="177"/>
      <c r="X157" s="120">
        <f t="shared" si="11"/>
        <v>58626</v>
      </c>
      <c r="Y157" s="120"/>
      <c r="Z157" s="120"/>
      <c r="AA157" s="120"/>
      <c r="AB157" s="120"/>
      <c r="AC157" s="120"/>
      <c r="AD157" s="120">
        <f t="shared" si="12"/>
        <v>117252</v>
      </c>
      <c r="AE157" s="120"/>
      <c r="AF157" s="120"/>
      <c r="AG157" s="120"/>
      <c r="AH157" s="120"/>
      <c r="AI157" s="270"/>
    </row>
    <row r="158" spans="1:35" s="1" customFormat="1" ht="15.75" customHeight="1" x14ac:dyDescent="0.15">
      <c r="A158" s="73" t="str">
        <f t="shared" si="7"/>
        <v/>
      </c>
      <c r="G158" s="119">
        <f t="shared" si="8"/>
        <v>6</v>
      </c>
      <c r="H158" s="120"/>
      <c r="I158" s="270"/>
      <c r="J158" s="120">
        <f t="shared" si="9"/>
        <v>46440</v>
      </c>
      <c r="K158" s="120"/>
      <c r="L158" s="120"/>
      <c r="M158" s="207"/>
      <c r="N158" s="176">
        <f t="shared" si="13"/>
        <v>0.5</v>
      </c>
      <c r="O158" s="177"/>
      <c r="P158" s="177"/>
      <c r="Q158" s="120">
        <f t="shared" si="10"/>
        <v>41796</v>
      </c>
      <c r="R158" s="120"/>
      <c r="S158" s="120"/>
      <c r="T158" s="270"/>
      <c r="U158" s="206">
        <f t="shared" si="14"/>
        <v>1</v>
      </c>
      <c r="V158" s="177"/>
      <c r="W158" s="177"/>
      <c r="X158" s="120">
        <f t="shared" si="11"/>
        <v>83592</v>
      </c>
      <c r="Y158" s="120"/>
      <c r="Z158" s="120"/>
      <c r="AA158" s="120"/>
      <c r="AB158" s="120"/>
      <c r="AC158" s="120"/>
      <c r="AD158" s="120">
        <f t="shared" si="12"/>
        <v>167184</v>
      </c>
      <c r="AE158" s="120"/>
      <c r="AF158" s="120"/>
      <c r="AG158" s="120"/>
      <c r="AH158" s="120"/>
      <c r="AI158" s="270"/>
    </row>
    <row r="159" spans="1:35" s="1" customFormat="1" ht="15.75" customHeight="1" x14ac:dyDescent="0.15">
      <c r="A159" s="73" t="str">
        <f t="shared" si="7"/>
        <v/>
      </c>
      <c r="G159" s="119">
        <f t="shared" si="8"/>
        <v>7</v>
      </c>
      <c r="H159" s="120"/>
      <c r="I159" s="270"/>
      <c r="J159" s="120">
        <f t="shared" si="9"/>
        <v>91760</v>
      </c>
      <c r="K159" s="120"/>
      <c r="L159" s="120"/>
      <c r="M159" s="207"/>
      <c r="N159" s="176">
        <f t="shared" si="13"/>
        <v>0.5</v>
      </c>
      <c r="O159" s="177"/>
      <c r="P159" s="177"/>
      <c r="Q159" s="120">
        <f t="shared" si="10"/>
        <v>82584</v>
      </c>
      <c r="R159" s="120"/>
      <c r="S159" s="120"/>
      <c r="T159" s="270"/>
      <c r="U159" s="206">
        <f t="shared" si="14"/>
        <v>1</v>
      </c>
      <c r="V159" s="177"/>
      <c r="W159" s="177"/>
      <c r="X159" s="120">
        <f t="shared" si="11"/>
        <v>165168</v>
      </c>
      <c r="Y159" s="120"/>
      <c r="Z159" s="120"/>
      <c r="AA159" s="120"/>
      <c r="AB159" s="120"/>
      <c r="AC159" s="120"/>
      <c r="AD159" s="120">
        <f t="shared" si="12"/>
        <v>330336</v>
      </c>
      <c r="AE159" s="120"/>
      <c r="AF159" s="120"/>
      <c r="AG159" s="120"/>
      <c r="AH159" s="120"/>
      <c r="AI159" s="270"/>
    </row>
    <row r="160" spans="1:35" s="1" customFormat="1" ht="15.75" customHeight="1" x14ac:dyDescent="0.15">
      <c r="A160" s="73" t="str">
        <f t="shared" si="7"/>
        <v>×</v>
      </c>
      <c r="G160" s="119" t="str">
        <f t="shared" si="8"/>
        <v/>
      </c>
      <c r="H160" s="120"/>
      <c r="I160" s="270"/>
      <c r="J160" s="120" t="str">
        <f t="shared" si="9"/>
        <v/>
      </c>
      <c r="K160" s="120"/>
      <c r="L160" s="120"/>
      <c r="M160" s="207"/>
      <c r="N160" s="176">
        <f t="shared" si="13"/>
        <v>0.5</v>
      </c>
      <c r="O160" s="177"/>
      <c r="P160" s="177"/>
      <c r="Q160" s="120" t="str">
        <f t="shared" si="10"/>
        <v/>
      </c>
      <c r="R160" s="120"/>
      <c r="S160" s="120"/>
      <c r="T160" s="270"/>
      <c r="U160" s="206">
        <f t="shared" si="14"/>
        <v>1</v>
      </c>
      <c r="V160" s="177"/>
      <c r="W160" s="177"/>
      <c r="X160" s="120" t="str">
        <f t="shared" si="11"/>
        <v/>
      </c>
      <c r="Y160" s="120"/>
      <c r="Z160" s="120"/>
      <c r="AA160" s="120"/>
      <c r="AB160" s="120"/>
      <c r="AC160" s="120"/>
      <c r="AD160" s="120" t="str">
        <f t="shared" si="12"/>
        <v/>
      </c>
      <c r="AE160" s="120"/>
      <c r="AF160" s="120"/>
      <c r="AG160" s="120"/>
      <c r="AH160" s="120"/>
      <c r="AI160" s="270"/>
    </row>
    <row r="161" spans="1:77" s="1" customFormat="1" ht="15.75" customHeight="1" x14ac:dyDescent="0.15">
      <c r="A161" s="73" t="str">
        <f t="shared" si="7"/>
        <v>×</v>
      </c>
      <c r="G161" s="119" t="str">
        <f t="shared" si="8"/>
        <v/>
      </c>
      <c r="H161" s="120"/>
      <c r="I161" s="270"/>
      <c r="J161" s="120" t="str">
        <f t="shared" si="9"/>
        <v/>
      </c>
      <c r="K161" s="120"/>
      <c r="L161" s="120"/>
      <c r="M161" s="207"/>
      <c r="N161" s="176">
        <f t="shared" si="13"/>
        <v>0.5</v>
      </c>
      <c r="O161" s="177"/>
      <c r="P161" s="177"/>
      <c r="Q161" s="120" t="str">
        <f t="shared" si="10"/>
        <v/>
      </c>
      <c r="R161" s="120"/>
      <c r="S161" s="120"/>
      <c r="T161" s="270"/>
      <c r="U161" s="206">
        <f t="shared" si="14"/>
        <v>1</v>
      </c>
      <c r="V161" s="177"/>
      <c r="W161" s="177"/>
      <c r="X161" s="120" t="str">
        <f t="shared" si="11"/>
        <v/>
      </c>
      <c r="Y161" s="120"/>
      <c r="Z161" s="120"/>
      <c r="AA161" s="120"/>
      <c r="AB161" s="120"/>
      <c r="AC161" s="120"/>
      <c r="AD161" s="120" t="str">
        <f t="shared" si="12"/>
        <v/>
      </c>
      <c r="AE161" s="120"/>
      <c r="AF161" s="120"/>
      <c r="AG161" s="120"/>
      <c r="AH161" s="120"/>
      <c r="AI161" s="270"/>
    </row>
    <row r="162" spans="1:77" s="1" customFormat="1" ht="15.75" customHeight="1" x14ac:dyDescent="0.15">
      <c r="A162" s="73" t="str">
        <f t="shared" si="7"/>
        <v>×</v>
      </c>
      <c r="G162" s="119" t="str">
        <f t="shared" si="8"/>
        <v/>
      </c>
      <c r="H162" s="120"/>
      <c r="I162" s="270"/>
      <c r="J162" s="120" t="str">
        <f t="shared" si="9"/>
        <v/>
      </c>
      <c r="K162" s="120"/>
      <c r="L162" s="120"/>
      <c r="M162" s="207"/>
      <c r="N162" s="176">
        <f t="shared" si="13"/>
        <v>0.5</v>
      </c>
      <c r="O162" s="177"/>
      <c r="P162" s="177"/>
      <c r="Q162" s="120" t="str">
        <f t="shared" si="10"/>
        <v/>
      </c>
      <c r="R162" s="120"/>
      <c r="S162" s="120"/>
      <c r="T162" s="270"/>
      <c r="U162" s="206">
        <f t="shared" si="14"/>
        <v>1</v>
      </c>
      <c r="V162" s="177"/>
      <c r="W162" s="177"/>
      <c r="X162" s="120" t="str">
        <f t="shared" si="11"/>
        <v/>
      </c>
      <c r="Y162" s="120"/>
      <c r="Z162" s="120"/>
      <c r="AA162" s="120"/>
      <c r="AB162" s="120"/>
      <c r="AC162" s="120"/>
      <c r="AD162" s="120" t="str">
        <f t="shared" si="12"/>
        <v/>
      </c>
      <c r="AE162" s="120"/>
      <c r="AF162" s="120"/>
      <c r="AG162" s="120"/>
      <c r="AH162" s="120"/>
      <c r="AI162" s="270"/>
    </row>
    <row r="163" spans="1:77" s="1" customFormat="1" ht="15.75" customHeight="1" x14ac:dyDescent="0.15">
      <c r="A163" s="73" t="str">
        <f t="shared" si="7"/>
        <v>×</v>
      </c>
      <c r="G163" s="119" t="str">
        <f t="shared" si="8"/>
        <v/>
      </c>
      <c r="H163" s="120"/>
      <c r="I163" s="270"/>
      <c r="J163" s="120" t="str">
        <f t="shared" si="9"/>
        <v/>
      </c>
      <c r="K163" s="120"/>
      <c r="L163" s="120"/>
      <c r="M163" s="207"/>
      <c r="N163" s="176">
        <f t="shared" si="13"/>
        <v>0.5</v>
      </c>
      <c r="O163" s="177"/>
      <c r="P163" s="177"/>
      <c r="Q163" s="120" t="str">
        <f t="shared" si="10"/>
        <v/>
      </c>
      <c r="R163" s="120"/>
      <c r="S163" s="120"/>
      <c r="T163" s="270"/>
      <c r="U163" s="206">
        <f t="shared" si="14"/>
        <v>1</v>
      </c>
      <c r="V163" s="177"/>
      <c r="W163" s="177"/>
      <c r="X163" s="120" t="str">
        <f t="shared" si="11"/>
        <v/>
      </c>
      <c r="Y163" s="120"/>
      <c r="Z163" s="120"/>
      <c r="AA163" s="120"/>
      <c r="AB163" s="120"/>
      <c r="AC163" s="120"/>
      <c r="AD163" s="120" t="str">
        <f t="shared" si="12"/>
        <v/>
      </c>
      <c r="AE163" s="120"/>
      <c r="AF163" s="120"/>
      <c r="AG163" s="120"/>
      <c r="AH163" s="120"/>
      <c r="AI163" s="270"/>
    </row>
    <row r="164" spans="1:77" s="1" customFormat="1" ht="15.75" customHeight="1" x14ac:dyDescent="0.15">
      <c r="A164" s="73" t="str">
        <f t="shared" si="7"/>
        <v>×</v>
      </c>
      <c r="G164" s="119" t="str">
        <f t="shared" si="8"/>
        <v/>
      </c>
      <c r="H164" s="120"/>
      <c r="I164" s="270"/>
      <c r="J164" s="120" t="str">
        <f t="shared" si="9"/>
        <v/>
      </c>
      <c r="K164" s="120"/>
      <c r="L164" s="120"/>
      <c r="M164" s="207"/>
      <c r="N164" s="176">
        <f t="shared" si="13"/>
        <v>0.5</v>
      </c>
      <c r="O164" s="177"/>
      <c r="P164" s="177"/>
      <c r="Q164" s="120" t="str">
        <f t="shared" si="10"/>
        <v/>
      </c>
      <c r="R164" s="120"/>
      <c r="S164" s="120"/>
      <c r="T164" s="270"/>
      <c r="U164" s="206">
        <f t="shared" si="14"/>
        <v>1</v>
      </c>
      <c r="V164" s="177"/>
      <c r="W164" s="177"/>
      <c r="X164" s="120" t="str">
        <f t="shared" si="11"/>
        <v/>
      </c>
      <c r="Y164" s="120"/>
      <c r="Z164" s="120"/>
      <c r="AA164" s="120"/>
      <c r="AB164" s="120"/>
      <c r="AC164" s="120"/>
      <c r="AD164" s="120" t="str">
        <f t="shared" si="12"/>
        <v/>
      </c>
      <c r="AE164" s="120"/>
      <c r="AF164" s="120"/>
      <c r="AG164" s="120"/>
      <c r="AH164" s="120"/>
      <c r="AI164" s="270"/>
    </row>
    <row r="165" spans="1:77" s="1" customFormat="1" ht="15.75" customHeight="1" x14ac:dyDescent="0.15">
      <c r="A165" s="73" t="str">
        <f t="shared" si="7"/>
        <v>×</v>
      </c>
      <c r="G165" s="119" t="str">
        <f t="shared" si="8"/>
        <v/>
      </c>
      <c r="H165" s="120"/>
      <c r="I165" s="270"/>
      <c r="J165" s="120" t="str">
        <f t="shared" si="9"/>
        <v/>
      </c>
      <c r="K165" s="120"/>
      <c r="L165" s="120"/>
      <c r="M165" s="207"/>
      <c r="N165" s="176">
        <f t="shared" si="13"/>
        <v>0.5</v>
      </c>
      <c r="O165" s="177"/>
      <c r="P165" s="177"/>
      <c r="Q165" s="120" t="str">
        <f t="shared" si="10"/>
        <v/>
      </c>
      <c r="R165" s="120"/>
      <c r="S165" s="120"/>
      <c r="T165" s="270"/>
      <c r="U165" s="206">
        <f t="shared" si="14"/>
        <v>1</v>
      </c>
      <c r="V165" s="177"/>
      <c r="W165" s="177"/>
      <c r="X165" s="120" t="str">
        <f t="shared" si="11"/>
        <v/>
      </c>
      <c r="Y165" s="120"/>
      <c r="Z165" s="120"/>
      <c r="AA165" s="120"/>
      <c r="AB165" s="120"/>
      <c r="AC165" s="120"/>
      <c r="AD165" s="120" t="str">
        <f t="shared" si="12"/>
        <v/>
      </c>
      <c r="AE165" s="120"/>
      <c r="AF165" s="120"/>
      <c r="AG165" s="120"/>
      <c r="AH165" s="120"/>
      <c r="AI165" s="270"/>
    </row>
    <row r="166" spans="1:77" s="1" customFormat="1" ht="15.75" customHeight="1" x14ac:dyDescent="0.15">
      <c r="A166" s="73" t="str">
        <f t="shared" si="7"/>
        <v>×</v>
      </c>
      <c r="G166" s="119" t="str">
        <f t="shared" si="8"/>
        <v/>
      </c>
      <c r="H166" s="120"/>
      <c r="I166" s="270"/>
      <c r="J166" s="120" t="str">
        <f t="shared" si="9"/>
        <v/>
      </c>
      <c r="K166" s="120"/>
      <c r="L166" s="120"/>
      <c r="M166" s="207"/>
      <c r="N166" s="176">
        <f t="shared" si="13"/>
        <v>0.5</v>
      </c>
      <c r="O166" s="177"/>
      <c r="P166" s="177"/>
      <c r="Q166" s="120" t="str">
        <f t="shared" si="10"/>
        <v/>
      </c>
      <c r="R166" s="120"/>
      <c r="S166" s="120"/>
      <c r="T166" s="270"/>
      <c r="U166" s="206">
        <f t="shared" si="14"/>
        <v>1</v>
      </c>
      <c r="V166" s="177"/>
      <c r="W166" s="177"/>
      <c r="X166" s="120" t="str">
        <f t="shared" si="11"/>
        <v/>
      </c>
      <c r="Y166" s="120"/>
      <c r="Z166" s="120"/>
      <c r="AA166" s="120"/>
      <c r="AB166" s="120"/>
      <c r="AC166" s="120"/>
      <c r="AD166" s="120" t="str">
        <f t="shared" si="12"/>
        <v/>
      </c>
      <c r="AE166" s="120"/>
      <c r="AF166" s="120"/>
      <c r="AG166" s="120"/>
      <c r="AH166" s="120"/>
      <c r="AI166" s="270"/>
    </row>
    <row r="167" spans="1:77" s="1" customFormat="1" ht="15.75" customHeight="1" x14ac:dyDescent="0.15">
      <c r="A167" s="73" t="str">
        <f t="shared" si="7"/>
        <v>×</v>
      </c>
      <c r="G167" s="119" t="str">
        <f t="shared" si="8"/>
        <v/>
      </c>
      <c r="H167" s="120"/>
      <c r="I167" s="270"/>
      <c r="J167" s="120" t="str">
        <f t="shared" si="9"/>
        <v/>
      </c>
      <c r="K167" s="120"/>
      <c r="L167" s="120"/>
      <c r="M167" s="207"/>
      <c r="N167" s="176">
        <f t="shared" si="13"/>
        <v>0.5</v>
      </c>
      <c r="O167" s="177"/>
      <c r="P167" s="177"/>
      <c r="Q167" s="120" t="str">
        <f t="shared" si="10"/>
        <v/>
      </c>
      <c r="R167" s="120"/>
      <c r="S167" s="120"/>
      <c r="T167" s="270"/>
      <c r="U167" s="206">
        <f t="shared" si="14"/>
        <v>1</v>
      </c>
      <c r="V167" s="177"/>
      <c r="W167" s="177"/>
      <c r="X167" s="120" t="str">
        <f t="shared" si="11"/>
        <v/>
      </c>
      <c r="Y167" s="120"/>
      <c r="Z167" s="120"/>
      <c r="AA167" s="120"/>
      <c r="AB167" s="120"/>
      <c r="AC167" s="120"/>
      <c r="AD167" s="120" t="str">
        <f t="shared" si="12"/>
        <v/>
      </c>
      <c r="AE167" s="120"/>
      <c r="AF167" s="120"/>
      <c r="AG167" s="120"/>
      <c r="AH167" s="120"/>
      <c r="AI167" s="270"/>
    </row>
    <row r="168" spans="1:77" s="1" customFormat="1" ht="15.75" customHeight="1" x14ac:dyDescent="0.15">
      <c r="A168" s="73" t="str">
        <f t="shared" si="7"/>
        <v>×</v>
      </c>
      <c r="G168" s="119" t="str">
        <f t="shared" si="8"/>
        <v/>
      </c>
      <c r="H168" s="120"/>
      <c r="I168" s="270"/>
      <c r="J168" s="120" t="str">
        <f t="shared" si="9"/>
        <v/>
      </c>
      <c r="K168" s="120"/>
      <c r="L168" s="120"/>
      <c r="M168" s="207"/>
      <c r="N168" s="176">
        <f t="shared" si="13"/>
        <v>0.5</v>
      </c>
      <c r="O168" s="177"/>
      <c r="P168" s="177"/>
      <c r="Q168" s="120" t="str">
        <f t="shared" si="10"/>
        <v/>
      </c>
      <c r="R168" s="120"/>
      <c r="S168" s="120"/>
      <c r="T168" s="270"/>
      <c r="U168" s="206">
        <f t="shared" si="14"/>
        <v>1</v>
      </c>
      <c r="V168" s="177"/>
      <c r="W168" s="177"/>
      <c r="X168" s="120" t="str">
        <f t="shared" si="11"/>
        <v/>
      </c>
      <c r="Y168" s="120"/>
      <c r="Z168" s="120"/>
      <c r="AA168" s="120"/>
      <c r="AB168" s="120"/>
      <c r="AC168" s="120"/>
      <c r="AD168" s="120" t="str">
        <f t="shared" si="12"/>
        <v/>
      </c>
      <c r="AE168" s="120"/>
      <c r="AF168" s="120"/>
      <c r="AG168" s="120"/>
      <c r="AH168" s="120"/>
      <c r="AI168" s="270"/>
    </row>
    <row r="169" spans="1:77" s="1" customFormat="1" ht="15.75" customHeight="1" x14ac:dyDescent="0.15">
      <c r="A169" s="73" t="str">
        <f t="shared" si="7"/>
        <v>×</v>
      </c>
      <c r="G169" s="119" t="str">
        <f t="shared" si="8"/>
        <v/>
      </c>
      <c r="H169" s="120"/>
      <c r="I169" s="270"/>
      <c r="J169" s="120" t="str">
        <f t="shared" si="9"/>
        <v/>
      </c>
      <c r="K169" s="120"/>
      <c r="L169" s="120"/>
      <c r="M169" s="207"/>
      <c r="N169" s="176">
        <f t="shared" si="13"/>
        <v>0.5</v>
      </c>
      <c r="O169" s="177"/>
      <c r="P169" s="177"/>
      <c r="Q169" s="120" t="str">
        <f t="shared" si="10"/>
        <v/>
      </c>
      <c r="R169" s="120"/>
      <c r="S169" s="120"/>
      <c r="T169" s="270"/>
      <c r="U169" s="206">
        <f t="shared" si="14"/>
        <v>1</v>
      </c>
      <c r="V169" s="177"/>
      <c r="W169" s="177"/>
      <c r="X169" s="120" t="str">
        <f t="shared" si="11"/>
        <v/>
      </c>
      <c r="Y169" s="120"/>
      <c r="Z169" s="120"/>
      <c r="AA169" s="120"/>
      <c r="AB169" s="120"/>
      <c r="AC169" s="120"/>
      <c r="AD169" s="120" t="str">
        <f t="shared" si="12"/>
        <v/>
      </c>
      <c r="AE169" s="120"/>
      <c r="AF169" s="120"/>
      <c r="AG169" s="120"/>
      <c r="AH169" s="120"/>
      <c r="AI169" s="270"/>
    </row>
    <row r="170" spans="1:77" s="1" customFormat="1" ht="15.75" customHeight="1" x14ac:dyDescent="0.15">
      <c r="A170" s="73" t="str">
        <f t="shared" si="7"/>
        <v>×</v>
      </c>
      <c r="G170" s="233" t="str">
        <f t="shared" si="8"/>
        <v/>
      </c>
      <c r="H170" s="234"/>
      <c r="I170" s="271"/>
      <c r="J170" s="234" t="str">
        <f t="shared" si="9"/>
        <v/>
      </c>
      <c r="K170" s="234"/>
      <c r="L170" s="234"/>
      <c r="M170" s="272"/>
      <c r="N170" s="178">
        <f t="shared" si="13"/>
        <v>0.5</v>
      </c>
      <c r="O170" s="179"/>
      <c r="P170" s="179"/>
      <c r="Q170" s="234" t="str">
        <f t="shared" si="10"/>
        <v/>
      </c>
      <c r="R170" s="234"/>
      <c r="S170" s="234"/>
      <c r="T170" s="271"/>
      <c r="U170" s="275">
        <f t="shared" si="14"/>
        <v>1</v>
      </c>
      <c r="V170" s="179"/>
      <c r="W170" s="179"/>
      <c r="X170" s="234" t="str">
        <f t="shared" si="11"/>
        <v/>
      </c>
      <c r="Y170" s="234"/>
      <c r="Z170" s="234"/>
      <c r="AA170" s="234"/>
      <c r="AB170" s="234"/>
      <c r="AC170" s="234"/>
      <c r="AD170" s="234" t="str">
        <f t="shared" si="12"/>
        <v/>
      </c>
      <c r="AE170" s="234"/>
      <c r="AF170" s="234"/>
      <c r="AG170" s="234"/>
      <c r="AH170" s="234"/>
      <c r="AI170" s="271"/>
    </row>
    <row r="171" spans="1:77" s="1" customFormat="1" ht="15.75" customHeight="1" x14ac:dyDescent="0.15">
      <c r="BT171" s="76"/>
      <c r="BU171" s="76"/>
      <c r="BV171" s="76"/>
      <c r="BW171" s="77"/>
      <c r="BX171" s="77"/>
      <c r="BY171" s="76"/>
    </row>
    <row r="172" spans="1:77" s="1" customFormat="1" ht="15.75" customHeight="1" x14ac:dyDescent="0.15">
      <c r="C172" s="76"/>
      <c r="D172" s="76"/>
      <c r="E172" s="76"/>
      <c r="F172" s="77"/>
      <c r="G172" s="77"/>
      <c r="H172" s="77"/>
      <c r="I172" s="76"/>
      <c r="J172" s="76"/>
      <c r="K172" s="76"/>
      <c r="L172" s="76"/>
      <c r="M172" s="76"/>
      <c r="N172" s="76"/>
      <c r="O172" s="9"/>
      <c r="P172" s="9"/>
      <c r="Q172" s="9"/>
      <c r="R172" s="9"/>
      <c r="S172" s="76"/>
      <c r="T172" s="76"/>
      <c r="U172" s="76"/>
      <c r="V172" s="76"/>
      <c r="W172" s="76"/>
      <c r="X172" s="76"/>
    </row>
    <row r="173" spans="1:77" s="1" customFormat="1" ht="15.75" customHeight="1" x14ac:dyDescent="0.15">
      <c r="H173" s="76"/>
      <c r="I173" s="76"/>
      <c r="J173" s="76"/>
      <c r="K173" s="77"/>
      <c r="L173" s="77"/>
      <c r="M173" s="77"/>
      <c r="N173" s="76"/>
      <c r="O173" s="76"/>
      <c r="P173" s="76"/>
      <c r="Q173" s="76"/>
      <c r="R173" s="76"/>
      <c r="S173" s="76"/>
      <c r="T173" s="9"/>
      <c r="U173" s="9"/>
      <c r="V173" s="9"/>
      <c r="W173" s="9"/>
      <c r="X173" s="76"/>
      <c r="Y173" s="76"/>
      <c r="Z173" s="76"/>
      <c r="AA173" s="76"/>
      <c r="AB173" s="76"/>
      <c r="AC173" s="76"/>
    </row>
    <row r="174" spans="1:77" s="1" customFormat="1" ht="15.75" customHeight="1" x14ac:dyDescent="0.15"/>
    <row r="175" spans="1:77" s="1" customFormat="1" ht="15.75" customHeight="1" x14ac:dyDescent="0.15"/>
    <row r="176" spans="1:77" s="1" customFormat="1" ht="15.75" customHeight="1" x14ac:dyDescent="0.15"/>
    <row r="177" spans="5:20" s="1" customFormat="1" ht="15.75" customHeight="1" x14ac:dyDescent="0.15">
      <c r="E177" s="1" t="s">
        <v>79</v>
      </c>
      <c r="F177" s="1" t="s">
        <v>90</v>
      </c>
    </row>
    <row r="178" spans="5:20" s="1" customFormat="1" ht="15.75" customHeight="1" x14ac:dyDescent="0.15"/>
    <row r="179" spans="5:20" s="1" customFormat="1" ht="15.75" customHeight="1" x14ac:dyDescent="0.15">
      <c r="F179" s="1" t="s">
        <v>385</v>
      </c>
    </row>
    <row r="180" spans="5:20" s="1" customFormat="1" ht="15.75" customHeight="1" x14ac:dyDescent="0.15">
      <c r="F180" s="1" t="s">
        <v>386</v>
      </c>
    </row>
    <row r="181" spans="5:20" s="1" customFormat="1" ht="15.75" customHeight="1" x14ac:dyDescent="0.15"/>
    <row r="182" spans="5:20" s="1" customFormat="1" ht="15.75" customHeight="1" x14ac:dyDescent="0.15">
      <c r="F182" s="162" t="s">
        <v>91</v>
      </c>
      <c r="G182" s="162"/>
      <c r="H182" s="76" t="s">
        <v>27</v>
      </c>
      <c r="I182" s="162" t="s">
        <v>92</v>
      </c>
      <c r="J182" s="162"/>
      <c r="K182" s="76" t="s">
        <v>93</v>
      </c>
      <c r="L182" s="162" t="s">
        <v>85</v>
      </c>
      <c r="M182" s="162"/>
    </row>
    <row r="183" spans="5:20" s="1" customFormat="1" ht="15.75" customHeight="1" x14ac:dyDescent="0.15"/>
    <row r="184" spans="5:20" s="1" customFormat="1" ht="15.75" customHeight="1" x14ac:dyDescent="0.15">
      <c r="G184" s="1" t="s">
        <v>3</v>
      </c>
      <c r="J184" s="162" t="s">
        <v>91</v>
      </c>
      <c r="K184" s="162"/>
      <c r="L184" s="76" t="s">
        <v>2</v>
      </c>
      <c r="M184" s="1" t="s">
        <v>94</v>
      </c>
    </row>
    <row r="185" spans="5:20" s="1" customFormat="1" ht="15.75" customHeight="1" x14ac:dyDescent="0.15">
      <c r="J185" s="162" t="s">
        <v>85</v>
      </c>
      <c r="K185" s="162"/>
      <c r="L185" s="76" t="s">
        <v>2</v>
      </c>
      <c r="M185" s="1" t="s">
        <v>95</v>
      </c>
    </row>
    <row r="186" spans="5:20" s="1" customFormat="1" ht="15.75" customHeight="1" x14ac:dyDescent="0.15">
      <c r="J186" s="162" t="s">
        <v>92</v>
      </c>
      <c r="K186" s="162"/>
      <c r="L186" s="76" t="s">
        <v>2</v>
      </c>
      <c r="M186" s="1" t="s">
        <v>96</v>
      </c>
    </row>
    <row r="187" spans="5:20" s="1" customFormat="1" ht="15.75" customHeight="1" x14ac:dyDescent="0.15">
      <c r="J187" s="76"/>
      <c r="K187" s="76"/>
      <c r="L187" s="76"/>
      <c r="M187" s="1" t="s">
        <v>168</v>
      </c>
    </row>
    <row r="188" spans="5:20" s="1" customFormat="1" ht="15.75" customHeight="1" x14ac:dyDescent="0.15">
      <c r="J188" s="76"/>
      <c r="K188" s="76"/>
      <c r="L188" s="76"/>
      <c r="M188" s="1" t="s">
        <v>97</v>
      </c>
    </row>
    <row r="189" spans="5:20" s="1" customFormat="1" ht="15.75" customHeight="1" x14ac:dyDescent="0.15">
      <c r="J189" s="76"/>
      <c r="K189" s="76"/>
      <c r="L189" s="76"/>
      <c r="M189" s="162" t="s">
        <v>92</v>
      </c>
      <c r="N189" s="162"/>
      <c r="O189" s="76" t="s">
        <v>27</v>
      </c>
      <c r="P189" s="1" t="s">
        <v>116</v>
      </c>
    </row>
    <row r="190" spans="5:20" s="1" customFormat="1" ht="15.75" customHeight="1" x14ac:dyDescent="0.15">
      <c r="J190" s="162" t="s">
        <v>98</v>
      </c>
      <c r="K190" s="162"/>
      <c r="L190" s="76" t="s">
        <v>2</v>
      </c>
      <c r="M190" s="1" t="s">
        <v>99</v>
      </c>
    </row>
    <row r="191" spans="5:20" s="1" customFormat="1" ht="15.75" customHeight="1" x14ac:dyDescent="0.15">
      <c r="J191" s="162" t="s">
        <v>101</v>
      </c>
      <c r="K191" s="162"/>
      <c r="L191" s="76" t="s">
        <v>2</v>
      </c>
      <c r="M191" s="1" t="s">
        <v>102</v>
      </c>
    </row>
    <row r="192" spans="5:20" s="1" customFormat="1" ht="15.75" customHeight="1" x14ac:dyDescent="0.15">
      <c r="J192" s="76"/>
      <c r="K192" s="76"/>
      <c r="L192" s="76"/>
      <c r="M192" s="162" t="s">
        <v>101</v>
      </c>
      <c r="N192" s="162"/>
      <c r="O192" s="162" t="s">
        <v>27</v>
      </c>
      <c r="P192" s="162" t="s">
        <v>104</v>
      </c>
      <c r="Q192" s="162"/>
      <c r="R192" s="76" t="s">
        <v>6</v>
      </c>
      <c r="S192" s="162" t="s">
        <v>103</v>
      </c>
      <c r="T192" s="162"/>
    </row>
    <row r="193" spans="4:35" s="1" customFormat="1" ht="15.75" customHeight="1" x14ac:dyDescent="0.15">
      <c r="J193" s="76"/>
      <c r="K193" s="76"/>
      <c r="L193" s="76"/>
      <c r="M193" s="162"/>
      <c r="N193" s="162"/>
      <c r="O193" s="162"/>
      <c r="P193" s="2" t="s">
        <v>65</v>
      </c>
      <c r="Q193" s="162" t="s">
        <v>105</v>
      </c>
      <c r="R193" s="162"/>
      <c r="S193" s="162"/>
      <c r="T193" s="162"/>
    </row>
    <row r="194" spans="4:35" s="1" customFormat="1" ht="15.75" customHeight="1" x14ac:dyDescent="0.15">
      <c r="J194" s="162" t="s">
        <v>106</v>
      </c>
      <c r="K194" s="162"/>
      <c r="L194" s="76" t="s">
        <v>2</v>
      </c>
      <c r="M194" s="1" t="s">
        <v>112</v>
      </c>
    </row>
    <row r="195" spans="4:35" s="1" customFormat="1" ht="15.75" customHeight="1" x14ac:dyDescent="0.15">
      <c r="J195" s="162" t="s">
        <v>107</v>
      </c>
      <c r="K195" s="162"/>
      <c r="L195" s="76" t="s">
        <v>2</v>
      </c>
      <c r="M195" s="1" t="s">
        <v>113</v>
      </c>
    </row>
    <row r="196" spans="4:35" s="1" customFormat="1" ht="15.75" customHeight="1" x14ac:dyDescent="0.15">
      <c r="J196" s="162" t="s">
        <v>65</v>
      </c>
      <c r="K196" s="162"/>
      <c r="L196" s="76" t="s">
        <v>2</v>
      </c>
      <c r="M196" s="1" t="s">
        <v>68</v>
      </c>
    </row>
    <row r="197" spans="4:35" s="1" customFormat="1" ht="15.75" customHeight="1" x14ac:dyDescent="0.15">
      <c r="J197" s="162" t="s">
        <v>110</v>
      </c>
      <c r="K197" s="162"/>
      <c r="L197" s="76" t="s">
        <v>2</v>
      </c>
      <c r="M197" s="1" t="s">
        <v>108</v>
      </c>
    </row>
    <row r="198" spans="4:35" s="1" customFormat="1" ht="15.75" customHeight="1" x14ac:dyDescent="0.15">
      <c r="J198" s="162" t="s">
        <v>111</v>
      </c>
      <c r="K198" s="162"/>
      <c r="L198" s="76" t="s">
        <v>2</v>
      </c>
      <c r="M198" s="1" t="s">
        <v>109</v>
      </c>
    </row>
    <row r="199" spans="4:35" s="1" customFormat="1" ht="15.75" customHeight="1" x14ac:dyDescent="0.15"/>
    <row r="200" spans="4:35" s="1" customFormat="1" ht="15.75" customHeight="1" x14ac:dyDescent="0.15">
      <c r="G200" s="62" t="s">
        <v>186</v>
      </c>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row>
    <row r="201" spans="4:35" s="1" customFormat="1" ht="15.75" customHeight="1" x14ac:dyDescent="0.15">
      <c r="G201" s="171" t="s">
        <v>47</v>
      </c>
      <c r="H201" s="172"/>
      <c r="I201" s="172"/>
      <c r="J201" s="172"/>
      <c r="K201" s="173"/>
      <c r="L201" s="172" t="s">
        <v>98</v>
      </c>
      <c r="M201" s="172"/>
      <c r="N201" s="172"/>
      <c r="O201" s="163" t="s">
        <v>510</v>
      </c>
      <c r="P201" s="163"/>
      <c r="Q201" s="163"/>
      <c r="R201" s="163" t="s">
        <v>511</v>
      </c>
      <c r="S201" s="163"/>
      <c r="T201" s="163"/>
      <c r="U201" s="163" t="s">
        <v>512</v>
      </c>
      <c r="V201" s="163"/>
      <c r="W201" s="163"/>
      <c r="X201" s="163" t="s">
        <v>513</v>
      </c>
      <c r="Y201" s="163"/>
      <c r="Z201" s="163"/>
      <c r="AA201" s="163" t="s">
        <v>514</v>
      </c>
      <c r="AB201" s="163"/>
      <c r="AC201" s="163"/>
      <c r="AD201" s="163" t="s">
        <v>100</v>
      </c>
      <c r="AE201" s="163"/>
      <c r="AF201" s="163"/>
      <c r="AG201" s="163" t="s">
        <v>92</v>
      </c>
      <c r="AH201" s="163"/>
      <c r="AI201" s="164"/>
    </row>
    <row r="202" spans="4:35" s="1" customFormat="1" ht="15.75" customHeight="1" x14ac:dyDescent="0.15">
      <c r="G202" s="169" t="s">
        <v>115</v>
      </c>
      <c r="H202" s="165"/>
      <c r="I202" s="165"/>
      <c r="J202" s="165"/>
      <c r="K202" s="170"/>
      <c r="L202" s="165">
        <v>0.6</v>
      </c>
      <c r="M202" s="165"/>
      <c r="N202" s="165"/>
      <c r="O202" s="165">
        <f>入力!P24</f>
        <v>1</v>
      </c>
      <c r="P202" s="165"/>
      <c r="Q202" s="165"/>
      <c r="R202" s="165">
        <f>入力!P25</f>
        <v>2</v>
      </c>
      <c r="S202" s="165"/>
      <c r="T202" s="165"/>
      <c r="U202" s="168">
        <f>入力!N24</f>
        <v>9.83</v>
      </c>
      <c r="V202" s="168"/>
      <c r="W202" s="168"/>
      <c r="X202" s="168">
        <f>入力!N25</f>
        <v>5</v>
      </c>
      <c r="Y202" s="168"/>
      <c r="Z202" s="168"/>
      <c r="AA202" s="168">
        <f>Q92</f>
        <v>1</v>
      </c>
      <c r="AB202" s="168"/>
      <c r="AC202" s="168"/>
      <c r="AD202" s="166">
        <f>(O202*U202+R202*X202)/((O202+R202)*$AA$202)</f>
        <v>6.6099999999999994</v>
      </c>
      <c r="AE202" s="166"/>
      <c r="AF202" s="166"/>
      <c r="AG202" s="166">
        <f>(1-5*(1-(0.6-0.25*$L$202)*AD202^(0.3+0.2*$L$202))*(1-O202^(-0.22)*R202^(-0.09)))^(4/3)</f>
        <v>0.99786833101375771</v>
      </c>
      <c r="AH202" s="166"/>
      <c r="AI202" s="167"/>
    </row>
    <row r="203" spans="4:35" s="1" customFormat="1" ht="15.75" customHeight="1" x14ac:dyDescent="0.15">
      <c r="G203" s="98" t="s">
        <v>114</v>
      </c>
      <c r="H203" s="99"/>
      <c r="I203" s="99"/>
      <c r="J203" s="99"/>
      <c r="K203" s="133"/>
      <c r="L203" s="99"/>
      <c r="M203" s="99"/>
      <c r="N203" s="99"/>
      <c r="O203" s="99">
        <f>入力!P27</f>
        <v>2</v>
      </c>
      <c r="P203" s="99"/>
      <c r="Q203" s="99"/>
      <c r="R203" s="99">
        <f>入力!P28</f>
        <v>1</v>
      </c>
      <c r="S203" s="99"/>
      <c r="T203" s="99"/>
      <c r="U203" s="100">
        <f>入力!N27</f>
        <v>5</v>
      </c>
      <c r="V203" s="100"/>
      <c r="W203" s="100"/>
      <c r="X203" s="100">
        <f>入力!N28</f>
        <v>9.83</v>
      </c>
      <c r="Y203" s="100"/>
      <c r="Z203" s="100"/>
      <c r="AA203" s="100"/>
      <c r="AB203" s="100"/>
      <c r="AC203" s="100"/>
      <c r="AD203" s="102">
        <f>(O203*U203+R203*X203)/((O203+R203)*$AA$202)</f>
        <v>6.6099999999999994</v>
      </c>
      <c r="AE203" s="102"/>
      <c r="AF203" s="102"/>
      <c r="AG203" s="102">
        <f>(1-5*(1-(0.6-0.25*$L$202)*AD203^(0.3+0.2*$L$202))*(1-O203^(-0.22)*R203^(-0.09)))^(4/3)</f>
        <v>0.99501657327709314</v>
      </c>
      <c r="AH203" s="102"/>
      <c r="AI203" s="174"/>
    </row>
    <row r="204" spans="4:35" s="1" customFormat="1" ht="15.75" customHeight="1" x14ac:dyDescent="0.15"/>
    <row r="205" spans="4:35" s="1" customFormat="1" ht="15.75" customHeight="1" x14ac:dyDescent="0.15"/>
    <row r="206" spans="4:35" s="1" customFormat="1" ht="15.75" customHeight="1" x14ac:dyDescent="0.15">
      <c r="D206" s="10" t="s">
        <v>117</v>
      </c>
    </row>
    <row r="207" spans="4:35" s="1" customFormat="1" ht="15.75" customHeight="1" x14ac:dyDescent="0.15"/>
    <row r="208" spans="4:35" s="1" customFormat="1" ht="15.75" customHeight="1" x14ac:dyDescent="0.15">
      <c r="D208" s="1" t="s">
        <v>118</v>
      </c>
      <c r="M208" s="10"/>
    </row>
    <row r="209" spans="6:37" s="1" customFormat="1" ht="15.75" customHeight="1" x14ac:dyDescent="0.15"/>
    <row r="210" spans="6:37" s="1" customFormat="1" ht="15.75" customHeight="1" x14ac:dyDescent="0.15">
      <c r="F210" s="1" t="s">
        <v>187</v>
      </c>
    </row>
    <row r="211" spans="6:37" s="1" customFormat="1" ht="15.75" customHeight="1" x14ac:dyDescent="0.15">
      <c r="F211" s="1" t="s">
        <v>75</v>
      </c>
    </row>
    <row r="212" spans="6:37" s="1" customFormat="1" ht="15.75" customHeight="1" x14ac:dyDescent="0.15"/>
    <row r="213" spans="6:37" s="1" customFormat="1" ht="15.75" customHeight="1" x14ac:dyDescent="0.15">
      <c r="F213" s="162" t="s">
        <v>119</v>
      </c>
      <c r="G213" s="162"/>
      <c r="H213" s="76" t="s">
        <v>27</v>
      </c>
      <c r="I213" s="162" t="s">
        <v>62</v>
      </c>
      <c r="J213" s="162"/>
      <c r="K213" s="76" t="s">
        <v>93</v>
      </c>
      <c r="L213" s="162" t="s">
        <v>120</v>
      </c>
      <c r="M213" s="162"/>
    </row>
    <row r="214" spans="6:37" s="1" customFormat="1" ht="15.75" customHeight="1" x14ac:dyDescent="0.15"/>
    <row r="215" spans="6:37" s="1" customFormat="1" ht="15.75" customHeight="1" x14ac:dyDescent="0.15">
      <c r="G215" s="1" t="s">
        <v>3</v>
      </c>
      <c r="J215" s="162" t="s">
        <v>119</v>
      </c>
      <c r="K215" s="162"/>
      <c r="L215" s="76" t="s">
        <v>2</v>
      </c>
      <c r="M215" s="1" t="s">
        <v>121</v>
      </c>
    </row>
    <row r="216" spans="6:37" s="1" customFormat="1" ht="15.75" customHeight="1" x14ac:dyDescent="0.15">
      <c r="J216" s="162" t="s">
        <v>85</v>
      </c>
      <c r="K216" s="162"/>
      <c r="L216" s="76" t="s">
        <v>2</v>
      </c>
      <c r="M216" s="1" t="s">
        <v>67</v>
      </c>
    </row>
    <row r="217" spans="6:37" s="1" customFormat="1" ht="15.75" customHeight="1" x14ac:dyDescent="0.15">
      <c r="J217" s="162" t="s">
        <v>120</v>
      </c>
      <c r="K217" s="162"/>
      <c r="L217" s="76" t="s">
        <v>2</v>
      </c>
      <c r="M217" s="1" t="s">
        <v>122</v>
      </c>
    </row>
    <row r="218" spans="6:37" s="1" customFormat="1" ht="15.75" customHeight="1" x14ac:dyDescent="0.15">
      <c r="J218" s="76"/>
      <c r="K218" s="76"/>
      <c r="L218" s="76"/>
      <c r="M218" s="162" t="s">
        <v>120</v>
      </c>
      <c r="N218" s="162"/>
      <c r="O218" s="76" t="s">
        <v>27</v>
      </c>
      <c r="P218" s="305">
        <v>0.25</v>
      </c>
      <c r="Q218" s="305"/>
      <c r="R218" s="76" t="s">
        <v>93</v>
      </c>
      <c r="S218" s="76" t="s">
        <v>123</v>
      </c>
      <c r="T218" s="76" t="s">
        <v>93</v>
      </c>
      <c r="U218" s="2" t="s">
        <v>65</v>
      </c>
      <c r="V218" s="306">
        <v>2</v>
      </c>
    </row>
    <row r="219" spans="6:37" s="1" customFormat="1" ht="15.75" customHeight="1" x14ac:dyDescent="0.15">
      <c r="J219" s="76"/>
      <c r="K219" s="76"/>
      <c r="L219" s="76"/>
      <c r="M219" s="76"/>
      <c r="N219" s="76"/>
      <c r="O219" s="76" t="s">
        <v>27</v>
      </c>
      <c r="P219" s="305">
        <f>P218</f>
        <v>0.25</v>
      </c>
      <c r="Q219" s="305"/>
      <c r="R219" s="76" t="s">
        <v>124</v>
      </c>
      <c r="S219" s="76" t="s">
        <v>123</v>
      </c>
      <c r="T219" s="76" t="s">
        <v>124</v>
      </c>
      <c r="U219" s="304">
        <f>U220</f>
        <v>1</v>
      </c>
      <c r="V219" s="304"/>
      <c r="W219" s="304"/>
      <c r="X219" s="306">
        <f>V218</f>
        <v>2</v>
      </c>
      <c r="Y219" s="76" t="s">
        <v>27</v>
      </c>
      <c r="Z219" s="162">
        <f>ROUND(P219*PI()*U219^X219,3)</f>
        <v>0.78500000000000003</v>
      </c>
      <c r="AA219" s="162"/>
      <c r="AB219" s="162"/>
      <c r="AC219" s="1" t="s">
        <v>125</v>
      </c>
    </row>
    <row r="220" spans="6:37" s="1" customFormat="1" ht="15.75" customHeight="1" x14ac:dyDescent="0.15">
      <c r="J220" s="162" t="s">
        <v>65</v>
      </c>
      <c r="K220" s="162"/>
      <c r="L220" s="76" t="s">
        <v>2</v>
      </c>
      <c r="M220" s="1" t="s">
        <v>126</v>
      </c>
      <c r="S220" s="2" t="s">
        <v>127</v>
      </c>
      <c r="T220" s="76" t="s">
        <v>27</v>
      </c>
      <c r="U220" s="304">
        <f>Q92</f>
        <v>1</v>
      </c>
      <c r="V220" s="304"/>
      <c r="W220" s="304"/>
      <c r="X220" s="1" t="s">
        <v>128</v>
      </c>
    </row>
    <row r="221" spans="6:37" s="1" customFormat="1" ht="15.75" customHeight="1" x14ac:dyDescent="0.15">
      <c r="J221" s="76"/>
      <c r="K221" s="76"/>
      <c r="L221" s="76"/>
      <c r="R221" s="2"/>
      <c r="S221" s="76"/>
      <c r="T221" s="9"/>
      <c r="U221" s="9"/>
    </row>
    <row r="222" spans="6:37" s="1" customFormat="1" ht="15.75" customHeight="1" x14ac:dyDescent="0.15">
      <c r="J222" s="64" t="s">
        <v>129</v>
      </c>
      <c r="K222" s="64"/>
      <c r="L222" s="64"/>
      <c r="M222" s="64"/>
      <c r="N222" s="64"/>
      <c r="O222" s="64"/>
      <c r="P222" s="64"/>
      <c r="Q222" s="64"/>
      <c r="R222" s="64"/>
      <c r="S222" s="64"/>
      <c r="T222" s="64"/>
      <c r="U222" s="64"/>
      <c r="V222" s="64"/>
      <c r="W222" s="64"/>
      <c r="X222" s="64"/>
      <c r="Y222" s="64"/>
      <c r="Z222" s="64"/>
      <c r="AA222" s="64"/>
      <c r="AB222" s="8"/>
      <c r="AC222" s="8"/>
      <c r="AD222" s="8"/>
      <c r="AE222" s="8"/>
      <c r="AF222" s="8"/>
      <c r="AG222" s="8"/>
      <c r="AH222" s="8"/>
      <c r="AI222" s="8"/>
      <c r="AJ222" s="8"/>
      <c r="AK222" s="8"/>
    </row>
    <row r="223" spans="6:37" s="1" customFormat="1" ht="15.75" customHeight="1" x14ac:dyDescent="0.15">
      <c r="J223" s="130" t="s">
        <v>73</v>
      </c>
      <c r="K223" s="131"/>
      <c r="L223" s="131"/>
      <c r="M223" s="131"/>
      <c r="N223" s="131"/>
      <c r="O223" s="131"/>
      <c r="P223" s="131" t="s">
        <v>130</v>
      </c>
      <c r="Q223" s="131"/>
      <c r="R223" s="131"/>
      <c r="S223" s="131"/>
      <c r="T223" s="131"/>
      <c r="U223" s="131"/>
      <c r="V223" s="131" t="s">
        <v>572</v>
      </c>
      <c r="W223" s="131"/>
      <c r="X223" s="131"/>
      <c r="Y223" s="131"/>
      <c r="Z223" s="131"/>
      <c r="AA223" s="132"/>
    </row>
    <row r="224" spans="6:37" s="1" customFormat="1" ht="15.75" customHeight="1" x14ac:dyDescent="0.15">
      <c r="J224" s="98">
        <f>W92</f>
        <v>64232</v>
      </c>
      <c r="K224" s="99"/>
      <c r="L224" s="99"/>
      <c r="M224" s="99"/>
      <c r="N224" s="99"/>
      <c r="O224" s="99"/>
      <c r="P224" s="102">
        <f>ROUND(Z219,3)</f>
        <v>0.78500000000000003</v>
      </c>
      <c r="Q224" s="102"/>
      <c r="R224" s="102"/>
      <c r="S224" s="102"/>
      <c r="T224" s="102"/>
      <c r="U224" s="102"/>
      <c r="V224" s="99">
        <f>ROUND(J224*P224,0)</f>
        <v>50422</v>
      </c>
      <c r="W224" s="99"/>
      <c r="X224" s="99"/>
      <c r="Y224" s="99"/>
      <c r="Z224" s="99"/>
      <c r="AA224" s="133"/>
    </row>
    <row r="225" spans="4:37" s="1" customFormat="1" ht="15.75" customHeight="1" x14ac:dyDescent="0.15"/>
    <row r="226" spans="4:37" s="1" customFormat="1" ht="15.75" customHeight="1" x14ac:dyDescent="0.15">
      <c r="J226" s="64" t="s">
        <v>131</v>
      </c>
      <c r="K226" s="64"/>
      <c r="L226" s="64"/>
      <c r="M226" s="64"/>
      <c r="N226" s="64"/>
      <c r="O226" s="64"/>
      <c r="P226" s="64"/>
      <c r="Q226" s="64"/>
      <c r="R226" s="64"/>
      <c r="S226" s="64"/>
      <c r="T226" s="64"/>
      <c r="U226" s="64"/>
      <c r="V226" s="64"/>
      <c r="W226" s="64"/>
      <c r="X226" s="64"/>
      <c r="Y226" s="64"/>
      <c r="Z226" s="64"/>
      <c r="AA226" s="64"/>
      <c r="AB226" s="8"/>
      <c r="AC226" s="8"/>
      <c r="AD226" s="8"/>
      <c r="AE226" s="8"/>
      <c r="AF226" s="8"/>
      <c r="AG226" s="8"/>
      <c r="AH226" s="8"/>
      <c r="AI226" s="8"/>
      <c r="AJ226" s="8"/>
      <c r="AK226" s="8"/>
    </row>
    <row r="227" spans="4:37" s="1" customFormat="1" ht="15.75" customHeight="1" x14ac:dyDescent="0.15">
      <c r="J227" s="130" t="s">
        <v>73</v>
      </c>
      <c r="K227" s="131"/>
      <c r="L227" s="131"/>
      <c r="M227" s="131"/>
      <c r="N227" s="131"/>
      <c r="O227" s="131"/>
      <c r="P227" s="131" t="s">
        <v>130</v>
      </c>
      <c r="Q227" s="131"/>
      <c r="R227" s="131"/>
      <c r="S227" s="131"/>
      <c r="T227" s="131"/>
      <c r="U227" s="131"/>
      <c r="V227" s="131" t="s">
        <v>572</v>
      </c>
      <c r="W227" s="131"/>
      <c r="X227" s="131"/>
      <c r="Y227" s="131"/>
      <c r="Z227" s="131"/>
      <c r="AA227" s="132"/>
    </row>
    <row r="228" spans="4:37" s="1" customFormat="1" ht="15.75" customHeight="1" x14ac:dyDescent="0.15">
      <c r="J228" s="98">
        <f>W96</f>
        <v>128464</v>
      </c>
      <c r="K228" s="99"/>
      <c r="L228" s="99"/>
      <c r="M228" s="99"/>
      <c r="N228" s="99"/>
      <c r="O228" s="99"/>
      <c r="P228" s="102">
        <f>ROUND(Z219,3)</f>
        <v>0.78500000000000003</v>
      </c>
      <c r="Q228" s="102"/>
      <c r="R228" s="102"/>
      <c r="S228" s="102"/>
      <c r="T228" s="102"/>
      <c r="U228" s="102"/>
      <c r="V228" s="99">
        <f>ROUND(J228*P228,0)</f>
        <v>100844</v>
      </c>
      <c r="W228" s="99"/>
      <c r="X228" s="99"/>
      <c r="Y228" s="99"/>
      <c r="Z228" s="99"/>
      <c r="AA228" s="133"/>
    </row>
    <row r="233" spans="4:37" s="1" customFormat="1" ht="15.75" customHeight="1" x14ac:dyDescent="0.15">
      <c r="D233" s="1" t="s">
        <v>523</v>
      </c>
    </row>
    <row r="234" spans="4:37" s="1" customFormat="1" ht="15.75" customHeight="1" x14ac:dyDescent="0.15"/>
    <row r="235" spans="4:37" s="1" customFormat="1" ht="15.75" customHeight="1" x14ac:dyDescent="0.15">
      <c r="F235" s="1" t="s">
        <v>392</v>
      </c>
    </row>
    <row r="236" spans="4:37" s="1" customFormat="1" ht="15.75" customHeight="1" x14ac:dyDescent="0.15">
      <c r="F236" s="1" t="s">
        <v>391</v>
      </c>
    </row>
    <row r="237" spans="4:37" s="1" customFormat="1" ht="15.75" customHeight="1" x14ac:dyDescent="0.15"/>
    <row r="238" spans="4:37" s="1" customFormat="1" ht="15.75" customHeight="1" x14ac:dyDescent="0.15">
      <c r="F238" s="162" t="s">
        <v>206</v>
      </c>
      <c r="G238" s="162"/>
      <c r="H238" s="76" t="s">
        <v>27</v>
      </c>
      <c r="I238" s="162" t="s">
        <v>91</v>
      </c>
      <c r="J238" s="162"/>
      <c r="K238" s="76" t="s">
        <v>93</v>
      </c>
      <c r="L238" s="76" t="s">
        <v>65</v>
      </c>
      <c r="M238" s="76" t="s">
        <v>93</v>
      </c>
      <c r="N238" s="307" t="s">
        <v>530</v>
      </c>
    </row>
    <row r="239" spans="4:37" s="1" customFormat="1" ht="15.75" customHeight="1" x14ac:dyDescent="0.15"/>
    <row r="240" spans="4:37" s="1" customFormat="1" ht="15.75" customHeight="1" x14ac:dyDescent="0.15">
      <c r="G240" s="1" t="s">
        <v>3</v>
      </c>
      <c r="J240" s="162" t="s">
        <v>206</v>
      </c>
      <c r="K240" s="162"/>
      <c r="L240" s="76" t="s">
        <v>2</v>
      </c>
      <c r="M240" s="1" t="s">
        <v>528</v>
      </c>
    </row>
    <row r="241" spans="1:36" s="1" customFormat="1" ht="15.75" customHeight="1" x14ac:dyDescent="0.15">
      <c r="J241" s="162" t="s">
        <v>91</v>
      </c>
      <c r="K241" s="162"/>
      <c r="L241" s="76" t="s">
        <v>2</v>
      </c>
      <c r="M241" s="1" t="s">
        <v>207</v>
      </c>
    </row>
    <row r="242" spans="1:36" s="1" customFormat="1" ht="15.75" customHeight="1" x14ac:dyDescent="0.15">
      <c r="J242" s="162" t="s">
        <v>65</v>
      </c>
      <c r="K242" s="162"/>
      <c r="L242" s="76" t="s">
        <v>2</v>
      </c>
      <c r="M242" s="1" t="s">
        <v>137</v>
      </c>
      <c r="P242" s="2" t="s">
        <v>127</v>
      </c>
      <c r="Q242" s="76" t="s">
        <v>27</v>
      </c>
      <c r="R242" s="304">
        <f>Q92</f>
        <v>1</v>
      </c>
      <c r="S242" s="304"/>
      <c r="T242" s="304"/>
      <c r="U242" s="1" t="s">
        <v>128</v>
      </c>
    </row>
    <row r="243" spans="1:36" s="1" customFormat="1" ht="15.75" customHeight="1" x14ac:dyDescent="0.15">
      <c r="J243" s="162" t="s">
        <v>530</v>
      </c>
      <c r="K243" s="162"/>
      <c r="L243" s="76" t="s">
        <v>2</v>
      </c>
      <c r="M243" s="1" t="s">
        <v>529</v>
      </c>
    </row>
    <row r="244" spans="1:36" s="1" customFormat="1" ht="15.75" customHeight="1" x14ac:dyDescent="0.15"/>
    <row r="245" spans="1:36" s="1" customFormat="1" ht="15.75" customHeight="1" x14ac:dyDescent="0.15">
      <c r="F245" s="61" t="s">
        <v>208</v>
      </c>
      <c r="G245" s="302"/>
      <c r="H245" s="302"/>
      <c r="I245" s="61"/>
      <c r="J245" s="61"/>
      <c r="K245" s="61"/>
      <c r="L245" s="61"/>
      <c r="M245" s="61"/>
      <c r="N245" s="61"/>
      <c r="O245" s="61"/>
      <c r="P245" s="61"/>
      <c r="Q245" s="61"/>
      <c r="R245" s="61"/>
      <c r="S245" s="61"/>
      <c r="T245" s="61"/>
      <c r="U245" s="61"/>
      <c r="V245" s="61"/>
      <c r="W245" s="61"/>
      <c r="X245" s="61"/>
      <c r="Y245" s="61"/>
      <c r="Z245" s="61"/>
      <c r="AA245" s="61"/>
      <c r="AB245" s="302"/>
      <c r="AC245" s="302"/>
      <c r="AF245" s="8"/>
      <c r="AG245" s="8"/>
      <c r="AH245" s="8"/>
      <c r="AI245" s="8"/>
      <c r="AJ245" s="8"/>
    </row>
    <row r="246" spans="1:36" s="1" customFormat="1" ht="15.75" customHeight="1" x14ac:dyDescent="0.15">
      <c r="F246" s="157" t="s">
        <v>78</v>
      </c>
      <c r="G246" s="158"/>
      <c r="H246" s="158"/>
      <c r="I246" s="217" t="s">
        <v>525</v>
      </c>
      <c r="J246" s="131"/>
      <c r="K246" s="131"/>
      <c r="L246" s="131"/>
      <c r="M246" s="105" t="s">
        <v>526</v>
      </c>
      <c r="N246" s="131"/>
      <c r="O246" s="131"/>
      <c r="P246" s="230"/>
      <c r="Q246" s="208" t="s">
        <v>209</v>
      </c>
      <c r="R246" s="158"/>
      <c r="S246" s="209"/>
      <c r="T246" s="251" t="s">
        <v>531</v>
      </c>
      <c r="U246" s="136"/>
      <c r="V246" s="136"/>
      <c r="W246" s="136"/>
      <c r="X246" s="157"/>
      <c r="Y246" s="221" t="s">
        <v>532</v>
      </c>
      <c r="Z246" s="136"/>
      <c r="AA246" s="136"/>
      <c r="AB246" s="136"/>
      <c r="AC246" s="136"/>
      <c r="AF246" s="8"/>
      <c r="AG246" s="8"/>
      <c r="AH246" s="8"/>
      <c r="AI246" s="8"/>
      <c r="AJ246" s="8"/>
    </row>
    <row r="247" spans="1:36" s="1" customFormat="1" ht="15.75" customHeight="1" x14ac:dyDescent="0.15">
      <c r="F247" s="215"/>
      <c r="G247" s="211"/>
      <c r="H247" s="211"/>
      <c r="I247" s="218"/>
      <c r="J247" s="94"/>
      <c r="K247" s="94"/>
      <c r="L247" s="94"/>
      <c r="M247" s="122"/>
      <c r="N247" s="94"/>
      <c r="O247" s="94"/>
      <c r="P247" s="231"/>
      <c r="Q247" s="210"/>
      <c r="R247" s="211"/>
      <c r="S247" s="212"/>
      <c r="T247" s="276"/>
      <c r="U247" s="138"/>
      <c r="V247" s="138"/>
      <c r="W247" s="138"/>
      <c r="X247" s="215"/>
      <c r="Y247" s="222"/>
      <c r="Z247" s="138"/>
      <c r="AA247" s="138"/>
      <c r="AB247" s="138"/>
      <c r="AC247" s="138"/>
      <c r="AF247" s="8"/>
      <c r="AG247" s="8"/>
      <c r="AH247" s="8"/>
      <c r="AI247" s="8"/>
      <c r="AJ247" s="8"/>
    </row>
    <row r="248" spans="1:36" s="1" customFormat="1" ht="15.75" customHeight="1" x14ac:dyDescent="0.15">
      <c r="F248" s="159"/>
      <c r="G248" s="160"/>
      <c r="H248" s="160"/>
      <c r="I248" s="219"/>
      <c r="J248" s="99"/>
      <c r="K248" s="99"/>
      <c r="L248" s="99"/>
      <c r="M248" s="99"/>
      <c r="N248" s="99"/>
      <c r="O248" s="99"/>
      <c r="P248" s="232"/>
      <c r="Q248" s="213"/>
      <c r="R248" s="160"/>
      <c r="S248" s="214"/>
      <c r="T248" s="262"/>
      <c r="U248" s="140"/>
      <c r="V248" s="140"/>
      <c r="W248" s="140"/>
      <c r="X248" s="159"/>
      <c r="Y248" s="223"/>
      <c r="Z248" s="140"/>
      <c r="AA248" s="140"/>
      <c r="AB248" s="140"/>
      <c r="AC248" s="140"/>
      <c r="AF248" s="8"/>
      <c r="AG248" s="8"/>
      <c r="AH248" s="8"/>
      <c r="AI248" s="8"/>
      <c r="AJ248" s="8"/>
    </row>
    <row r="249" spans="1:36" s="1" customFormat="1" ht="15.75" customHeight="1" x14ac:dyDescent="0.15">
      <c r="A249" s="73" t="str">
        <f>IF(F249="","×","")</f>
        <v/>
      </c>
      <c r="F249" s="117">
        <f>IF(H112="","",H112)</f>
        <v>3</v>
      </c>
      <c r="G249" s="118"/>
      <c r="H249" s="118"/>
      <c r="I249" s="308">
        <f>IF(Q155="","",Q155*AG$202)</f>
        <v>12510.275265919481</v>
      </c>
      <c r="J249" s="309"/>
      <c r="K249" s="309"/>
      <c r="L249" s="309"/>
      <c r="M249" s="309">
        <f>IF(Q155="","",Q155*AG$203)</f>
        <v>12474.522779174917</v>
      </c>
      <c r="N249" s="309"/>
      <c r="O249" s="309"/>
      <c r="P249" s="310"/>
      <c r="Q249" s="239">
        <f>R242</f>
        <v>1</v>
      </c>
      <c r="R249" s="240"/>
      <c r="S249" s="241"/>
      <c r="T249" s="308">
        <f>IF(I249="","",ROUND(I249*Q249,-1))</f>
        <v>12510</v>
      </c>
      <c r="U249" s="311"/>
      <c r="V249" s="309"/>
      <c r="W249" s="309"/>
      <c r="X249" s="309"/>
      <c r="Y249" s="309">
        <f>IF(M249="","",ROUND(M249*Q249,-1))</f>
        <v>12470</v>
      </c>
      <c r="Z249" s="309"/>
      <c r="AA249" s="309"/>
      <c r="AB249" s="309"/>
      <c r="AC249" s="312"/>
      <c r="AD249" s="8"/>
      <c r="AE249" s="8"/>
      <c r="AF249" s="8"/>
      <c r="AG249" s="8"/>
      <c r="AH249" s="8"/>
      <c r="AI249" s="8"/>
      <c r="AJ249" s="8"/>
    </row>
    <row r="250" spans="1:36" s="1" customFormat="1" ht="15.75" customHeight="1" x14ac:dyDescent="0.15">
      <c r="A250" s="73" t="str">
        <f>IF(F250="","×","")</f>
        <v/>
      </c>
      <c r="F250" s="119">
        <f>IF(H113="","",H113)</f>
        <v>4</v>
      </c>
      <c r="G250" s="120"/>
      <c r="H250" s="120"/>
      <c r="I250" s="313">
        <f t="shared" ref="I250:I264" si="15">IF(Q156="","",Q156*AG$202)</f>
        <v>25703.09247025237</v>
      </c>
      <c r="J250" s="314"/>
      <c r="K250" s="314"/>
      <c r="L250" s="314"/>
      <c r="M250" s="314">
        <f t="shared" ref="M250:M264" si="16">IF(Q156="","",Q156*AG$203)</f>
        <v>25629.636894471365</v>
      </c>
      <c r="N250" s="314"/>
      <c r="O250" s="314"/>
      <c r="P250" s="315"/>
      <c r="Q250" s="107">
        <f>Q249</f>
        <v>1</v>
      </c>
      <c r="R250" s="95"/>
      <c r="S250" s="108"/>
      <c r="T250" s="313">
        <f t="shared" ref="T250:T264" si="17">IF(I250="","",ROUND(I250*Q250,-1))</f>
        <v>25700</v>
      </c>
      <c r="U250" s="316"/>
      <c r="V250" s="314"/>
      <c r="W250" s="314"/>
      <c r="X250" s="314"/>
      <c r="Y250" s="314">
        <f t="shared" ref="Y250:Y264" si="18">IF(M250="","",ROUND(M250*Q250,-1))</f>
        <v>25630</v>
      </c>
      <c r="Z250" s="314"/>
      <c r="AA250" s="314"/>
      <c r="AB250" s="314"/>
      <c r="AC250" s="317"/>
      <c r="AD250" s="8"/>
      <c r="AE250" s="8"/>
      <c r="AF250" s="8"/>
      <c r="AG250" s="8"/>
      <c r="AH250" s="8"/>
      <c r="AI250" s="8"/>
      <c r="AJ250" s="8"/>
    </row>
    <row r="251" spans="1:36" s="1" customFormat="1" ht="15.75" customHeight="1" x14ac:dyDescent="0.15">
      <c r="A251" s="73" t="str">
        <f>IF(F251="","×","")</f>
        <v/>
      </c>
      <c r="F251" s="119">
        <f>IF(H114="","",H114)</f>
        <v>5</v>
      </c>
      <c r="G251" s="120"/>
      <c r="H251" s="120"/>
      <c r="I251" s="313">
        <f t="shared" si="15"/>
        <v>29250.514387006278</v>
      </c>
      <c r="J251" s="314"/>
      <c r="K251" s="314"/>
      <c r="L251" s="314"/>
      <c r="M251" s="314">
        <f t="shared" si="16"/>
        <v>29166.920812471431</v>
      </c>
      <c r="N251" s="314"/>
      <c r="O251" s="314"/>
      <c r="P251" s="315"/>
      <c r="Q251" s="107">
        <f t="shared" ref="Q251:Q264" si="19">Q250</f>
        <v>1</v>
      </c>
      <c r="R251" s="95"/>
      <c r="S251" s="108"/>
      <c r="T251" s="313">
        <f t="shared" si="17"/>
        <v>29250</v>
      </c>
      <c r="U251" s="316"/>
      <c r="V251" s="314"/>
      <c r="W251" s="314"/>
      <c r="X251" s="314"/>
      <c r="Y251" s="314">
        <f t="shared" si="18"/>
        <v>29170</v>
      </c>
      <c r="Z251" s="314"/>
      <c r="AA251" s="314"/>
      <c r="AB251" s="314"/>
      <c r="AC251" s="317"/>
      <c r="AD251" s="8"/>
      <c r="AE251" s="8"/>
      <c r="AF251" s="8"/>
      <c r="AG251" s="8"/>
      <c r="AH251" s="8"/>
      <c r="AI251" s="8"/>
      <c r="AJ251" s="8"/>
    </row>
    <row r="252" spans="1:36" s="1" customFormat="1" ht="15.75" customHeight="1" x14ac:dyDescent="0.15">
      <c r="A252" s="73" t="str">
        <f>IF(F252="","×","")</f>
        <v/>
      </c>
      <c r="F252" s="119">
        <f>IF(H115="","",H115)</f>
        <v>6</v>
      </c>
      <c r="G252" s="120"/>
      <c r="H252" s="120"/>
      <c r="I252" s="313">
        <f t="shared" si="15"/>
        <v>41706.904763051018</v>
      </c>
      <c r="J252" s="314"/>
      <c r="K252" s="314"/>
      <c r="L252" s="314"/>
      <c r="M252" s="314">
        <f t="shared" si="16"/>
        <v>41587.712696689385</v>
      </c>
      <c r="N252" s="314"/>
      <c r="O252" s="314"/>
      <c r="P252" s="315"/>
      <c r="Q252" s="107">
        <f t="shared" si="19"/>
        <v>1</v>
      </c>
      <c r="R252" s="95"/>
      <c r="S252" s="108"/>
      <c r="T252" s="313">
        <f t="shared" si="17"/>
        <v>41710</v>
      </c>
      <c r="U252" s="316"/>
      <c r="V252" s="314"/>
      <c r="W252" s="314"/>
      <c r="X252" s="314"/>
      <c r="Y252" s="314">
        <f t="shared" si="18"/>
        <v>41590</v>
      </c>
      <c r="Z252" s="314"/>
      <c r="AA252" s="314"/>
      <c r="AB252" s="314"/>
      <c r="AC252" s="317"/>
      <c r="AD252" s="8"/>
      <c r="AE252" s="8"/>
      <c r="AF252" s="8"/>
      <c r="AG252" s="8"/>
      <c r="AH252" s="8"/>
      <c r="AI252" s="8"/>
      <c r="AJ252" s="8"/>
    </row>
    <row r="253" spans="1:36" s="1" customFormat="1" ht="15.75" customHeight="1" x14ac:dyDescent="0.15">
      <c r="A253" s="73" t="str">
        <f>IF(F253="","×","")</f>
        <v/>
      </c>
      <c r="F253" s="119">
        <f>IF(H116="","",H116)</f>
        <v>7</v>
      </c>
      <c r="G253" s="120"/>
      <c r="H253" s="120"/>
      <c r="I253" s="313">
        <f t="shared" si="15"/>
        <v>82407.958248440162</v>
      </c>
      <c r="J253" s="314"/>
      <c r="K253" s="314"/>
      <c r="L253" s="314"/>
      <c r="M253" s="314">
        <f t="shared" si="16"/>
        <v>82172.448687515454</v>
      </c>
      <c r="N253" s="314"/>
      <c r="O253" s="314"/>
      <c r="P253" s="315"/>
      <c r="Q253" s="107">
        <f t="shared" si="19"/>
        <v>1</v>
      </c>
      <c r="R253" s="95"/>
      <c r="S253" s="108"/>
      <c r="T253" s="313">
        <f t="shared" si="17"/>
        <v>82410</v>
      </c>
      <c r="U253" s="316"/>
      <c r="V253" s="314"/>
      <c r="W253" s="314"/>
      <c r="X253" s="314"/>
      <c r="Y253" s="314">
        <f t="shared" si="18"/>
        <v>82170</v>
      </c>
      <c r="Z253" s="314"/>
      <c r="AA253" s="314"/>
      <c r="AB253" s="314"/>
      <c r="AC253" s="317"/>
      <c r="AD253" s="8"/>
      <c r="AE253" s="8"/>
      <c r="AF253" s="8"/>
      <c r="AG253" s="8"/>
      <c r="AH253" s="8"/>
      <c r="AI253" s="8"/>
      <c r="AJ253" s="8"/>
    </row>
    <row r="254" spans="1:36" s="1" customFormat="1" ht="15.75" customHeight="1" x14ac:dyDescent="0.15">
      <c r="A254" s="73" t="str">
        <f>IF(F254="","×","")</f>
        <v>×</v>
      </c>
      <c r="F254" s="119" t="str">
        <f>IF(H117="","",H117)</f>
        <v/>
      </c>
      <c r="G254" s="120"/>
      <c r="H254" s="120"/>
      <c r="I254" s="313" t="str">
        <f t="shared" si="15"/>
        <v/>
      </c>
      <c r="J254" s="314"/>
      <c r="K254" s="314"/>
      <c r="L254" s="314"/>
      <c r="M254" s="314" t="str">
        <f t="shared" si="16"/>
        <v/>
      </c>
      <c r="N254" s="314"/>
      <c r="O254" s="314"/>
      <c r="P254" s="315"/>
      <c r="Q254" s="107">
        <f t="shared" si="19"/>
        <v>1</v>
      </c>
      <c r="R254" s="95"/>
      <c r="S254" s="108"/>
      <c r="T254" s="313" t="str">
        <f t="shared" si="17"/>
        <v/>
      </c>
      <c r="U254" s="316"/>
      <c r="V254" s="314"/>
      <c r="W254" s="314"/>
      <c r="X254" s="314"/>
      <c r="Y254" s="314" t="str">
        <f t="shared" si="18"/>
        <v/>
      </c>
      <c r="Z254" s="314"/>
      <c r="AA254" s="314"/>
      <c r="AB254" s="314"/>
      <c r="AC254" s="317"/>
      <c r="AD254" s="8"/>
      <c r="AE254" s="8"/>
      <c r="AF254" s="8"/>
      <c r="AG254" s="8"/>
      <c r="AH254" s="8"/>
      <c r="AI254" s="8"/>
      <c r="AJ254" s="8"/>
    </row>
    <row r="255" spans="1:36" s="1" customFormat="1" ht="15.75" customHeight="1" x14ac:dyDescent="0.15">
      <c r="A255" s="73" t="str">
        <f>IF(F255="","×","")</f>
        <v>×</v>
      </c>
      <c r="F255" s="119" t="str">
        <f>IF(H118="","",H118)</f>
        <v/>
      </c>
      <c r="G255" s="120"/>
      <c r="H255" s="120"/>
      <c r="I255" s="313" t="str">
        <f t="shared" si="15"/>
        <v/>
      </c>
      <c r="J255" s="314"/>
      <c r="K255" s="314"/>
      <c r="L255" s="314"/>
      <c r="M255" s="314" t="str">
        <f t="shared" si="16"/>
        <v/>
      </c>
      <c r="N255" s="314"/>
      <c r="O255" s="314"/>
      <c r="P255" s="315"/>
      <c r="Q255" s="107">
        <f t="shared" si="19"/>
        <v>1</v>
      </c>
      <c r="R255" s="95"/>
      <c r="S255" s="108"/>
      <c r="T255" s="313" t="str">
        <f t="shared" si="17"/>
        <v/>
      </c>
      <c r="U255" s="316"/>
      <c r="V255" s="314"/>
      <c r="W255" s="314"/>
      <c r="X255" s="314"/>
      <c r="Y255" s="314" t="str">
        <f t="shared" si="18"/>
        <v/>
      </c>
      <c r="Z255" s="314"/>
      <c r="AA255" s="314"/>
      <c r="AB255" s="314"/>
      <c r="AC255" s="317"/>
      <c r="AD255" s="8"/>
      <c r="AE255" s="8"/>
      <c r="AF255" s="8"/>
      <c r="AG255" s="8"/>
      <c r="AH255" s="8"/>
      <c r="AI255" s="8"/>
      <c r="AJ255" s="8"/>
    </row>
    <row r="256" spans="1:36" s="1" customFormat="1" ht="15.75" customHeight="1" x14ac:dyDescent="0.15">
      <c r="A256" s="73" t="str">
        <f>IF(F256="","×","")</f>
        <v>×</v>
      </c>
      <c r="F256" s="119" t="str">
        <f>IF(H119="","",H119)</f>
        <v/>
      </c>
      <c r="G256" s="120"/>
      <c r="H256" s="120"/>
      <c r="I256" s="313" t="str">
        <f t="shared" si="15"/>
        <v/>
      </c>
      <c r="J256" s="314"/>
      <c r="K256" s="314"/>
      <c r="L256" s="314"/>
      <c r="M256" s="314" t="str">
        <f t="shared" si="16"/>
        <v/>
      </c>
      <c r="N256" s="314"/>
      <c r="O256" s="314"/>
      <c r="P256" s="315"/>
      <c r="Q256" s="107">
        <f t="shared" si="19"/>
        <v>1</v>
      </c>
      <c r="R256" s="95"/>
      <c r="S256" s="108"/>
      <c r="T256" s="313" t="str">
        <f t="shared" si="17"/>
        <v/>
      </c>
      <c r="U256" s="316"/>
      <c r="V256" s="314"/>
      <c r="W256" s="314"/>
      <c r="X256" s="314"/>
      <c r="Y256" s="314" t="str">
        <f t="shared" si="18"/>
        <v/>
      </c>
      <c r="Z256" s="314"/>
      <c r="AA256" s="314"/>
      <c r="AB256" s="314"/>
      <c r="AC256" s="317"/>
      <c r="AD256" s="8"/>
      <c r="AE256" s="8"/>
      <c r="AF256" s="8"/>
      <c r="AG256" s="8"/>
      <c r="AH256" s="8"/>
      <c r="AI256" s="8"/>
      <c r="AJ256" s="8"/>
    </row>
    <row r="257" spans="1:85" s="1" customFormat="1" ht="15.75" customHeight="1" x14ac:dyDescent="0.15">
      <c r="A257" s="73" t="str">
        <f>IF(F257="","×","")</f>
        <v>×</v>
      </c>
      <c r="F257" s="119" t="str">
        <f>IF(H120="","",H120)</f>
        <v/>
      </c>
      <c r="G257" s="120"/>
      <c r="H257" s="120"/>
      <c r="I257" s="313" t="str">
        <f t="shared" si="15"/>
        <v/>
      </c>
      <c r="J257" s="314"/>
      <c r="K257" s="314"/>
      <c r="L257" s="314"/>
      <c r="M257" s="314" t="str">
        <f t="shared" si="16"/>
        <v/>
      </c>
      <c r="N257" s="314"/>
      <c r="O257" s="314"/>
      <c r="P257" s="315"/>
      <c r="Q257" s="107">
        <f t="shared" si="19"/>
        <v>1</v>
      </c>
      <c r="R257" s="95"/>
      <c r="S257" s="108"/>
      <c r="T257" s="313" t="str">
        <f t="shared" si="17"/>
        <v/>
      </c>
      <c r="U257" s="316"/>
      <c r="V257" s="314"/>
      <c r="W257" s="314"/>
      <c r="X257" s="314"/>
      <c r="Y257" s="314" t="str">
        <f t="shared" si="18"/>
        <v/>
      </c>
      <c r="Z257" s="314"/>
      <c r="AA257" s="314"/>
      <c r="AB257" s="314"/>
      <c r="AC257" s="317"/>
      <c r="AD257" s="8"/>
      <c r="AE257" s="8"/>
      <c r="AF257" s="8"/>
      <c r="AG257" s="8"/>
      <c r="AH257" s="8"/>
      <c r="AI257" s="8"/>
      <c r="AJ257" s="8"/>
    </row>
    <row r="258" spans="1:85" s="1" customFormat="1" ht="15.75" customHeight="1" x14ac:dyDescent="0.15">
      <c r="A258" s="73" t="str">
        <f>IF(F258="","×","")</f>
        <v>×</v>
      </c>
      <c r="F258" s="119" t="str">
        <f>IF(H121="","",H121)</f>
        <v/>
      </c>
      <c r="G258" s="120"/>
      <c r="H258" s="120"/>
      <c r="I258" s="313" t="str">
        <f t="shared" si="15"/>
        <v/>
      </c>
      <c r="J258" s="314"/>
      <c r="K258" s="314"/>
      <c r="L258" s="314"/>
      <c r="M258" s="314" t="str">
        <f t="shared" si="16"/>
        <v/>
      </c>
      <c r="N258" s="314"/>
      <c r="O258" s="314"/>
      <c r="P258" s="315"/>
      <c r="Q258" s="107">
        <f t="shared" si="19"/>
        <v>1</v>
      </c>
      <c r="R258" s="95"/>
      <c r="S258" s="108"/>
      <c r="T258" s="313" t="str">
        <f t="shared" si="17"/>
        <v/>
      </c>
      <c r="U258" s="316"/>
      <c r="V258" s="314"/>
      <c r="W258" s="314"/>
      <c r="X258" s="314"/>
      <c r="Y258" s="314" t="str">
        <f t="shared" si="18"/>
        <v/>
      </c>
      <c r="Z258" s="314"/>
      <c r="AA258" s="314"/>
      <c r="AB258" s="314"/>
      <c r="AC258" s="317"/>
      <c r="AD258" s="8"/>
      <c r="AE258" s="8"/>
      <c r="AF258" s="8"/>
      <c r="AG258" s="8"/>
      <c r="AH258" s="8"/>
      <c r="AI258" s="8"/>
      <c r="AJ258" s="8"/>
    </row>
    <row r="259" spans="1:85" s="1" customFormat="1" ht="15.75" customHeight="1" x14ac:dyDescent="0.15">
      <c r="A259" s="73" t="str">
        <f>IF(F259="","×","")</f>
        <v>×</v>
      </c>
      <c r="F259" s="119" t="str">
        <f>IF(H122="","",H122)</f>
        <v/>
      </c>
      <c r="G259" s="120"/>
      <c r="H259" s="120"/>
      <c r="I259" s="313" t="str">
        <f t="shared" si="15"/>
        <v/>
      </c>
      <c r="J259" s="314"/>
      <c r="K259" s="314"/>
      <c r="L259" s="314"/>
      <c r="M259" s="314" t="str">
        <f t="shared" si="16"/>
        <v/>
      </c>
      <c r="N259" s="314"/>
      <c r="O259" s="314"/>
      <c r="P259" s="315"/>
      <c r="Q259" s="107">
        <f t="shared" si="19"/>
        <v>1</v>
      </c>
      <c r="R259" s="95"/>
      <c r="S259" s="108"/>
      <c r="T259" s="313" t="str">
        <f t="shared" si="17"/>
        <v/>
      </c>
      <c r="U259" s="316"/>
      <c r="V259" s="314"/>
      <c r="W259" s="314"/>
      <c r="X259" s="314"/>
      <c r="Y259" s="314" t="str">
        <f t="shared" si="18"/>
        <v/>
      </c>
      <c r="Z259" s="314"/>
      <c r="AA259" s="314"/>
      <c r="AB259" s="314"/>
      <c r="AC259" s="317"/>
      <c r="AD259" s="8"/>
      <c r="AE259" s="8"/>
      <c r="AF259" s="8"/>
      <c r="AG259" s="8"/>
      <c r="AH259" s="8"/>
      <c r="AI259" s="8"/>
      <c r="AJ259" s="8"/>
    </row>
    <row r="260" spans="1:85" s="1" customFormat="1" ht="15.75" customHeight="1" x14ac:dyDescent="0.15">
      <c r="A260" s="73" t="str">
        <f>IF(F260="","×","")</f>
        <v>×</v>
      </c>
      <c r="F260" s="119" t="str">
        <f>IF(H123="","",H123)</f>
        <v/>
      </c>
      <c r="G260" s="120"/>
      <c r="H260" s="120"/>
      <c r="I260" s="313" t="str">
        <f t="shared" si="15"/>
        <v/>
      </c>
      <c r="J260" s="314"/>
      <c r="K260" s="314"/>
      <c r="L260" s="314"/>
      <c r="M260" s="314" t="str">
        <f t="shared" si="16"/>
        <v/>
      </c>
      <c r="N260" s="314"/>
      <c r="O260" s="314"/>
      <c r="P260" s="315"/>
      <c r="Q260" s="107">
        <f t="shared" si="19"/>
        <v>1</v>
      </c>
      <c r="R260" s="95"/>
      <c r="S260" s="108"/>
      <c r="T260" s="313" t="str">
        <f t="shared" si="17"/>
        <v/>
      </c>
      <c r="U260" s="316"/>
      <c r="V260" s="314"/>
      <c r="W260" s="314"/>
      <c r="X260" s="314"/>
      <c r="Y260" s="314" t="str">
        <f t="shared" si="18"/>
        <v/>
      </c>
      <c r="Z260" s="314"/>
      <c r="AA260" s="314"/>
      <c r="AB260" s="314"/>
      <c r="AC260" s="317"/>
      <c r="AD260" s="8"/>
      <c r="AE260" s="8"/>
      <c r="AF260" s="8"/>
      <c r="AG260" s="8"/>
      <c r="AH260" s="8"/>
      <c r="AI260" s="8"/>
      <c r="AJ260" s="8"/>
    </row>
    <row r="261" spans="1:85" s="1" customFormat="1" ht="15.75" customHeight="1" x14ac:dyDescent="0.15">
      <c r="A261" s="73" t="str">
        <f>IF(F261="","×","")</f>
        <v>×</v>
      </c>
      <c r="F261" s="119" t="str">
        <f>IF(H124="","",H124)</f>
        <v/>
      </c>
      <c r="G261" s="120"/>
      <c r="H261" s="120"/>
      <c r="I261" s="313" t="str">
        <f t="shared" si="15"/>
        <v/>
      </c>
      <c r="J261" s="314"/>
      <c r="K261" s="314"/>
      <c r="L261" s="314"/>
      <c r="M261" s="314" t="str">
        <f t="shared" si="16"/>
        <v/>
      </c>
      <c r="N261" s="314"/>
      <c r="O261" s="314"/>
      <c r="P261" s="315"/>
      <c r="Q261" s="107">
        <f t="shared" si="19"/>
        <v>1</v>
      </c>
      <c r="R261" s="95"/>
      <c r="S261" s="108"/>
      <c r="T261" s="313" t="str">
        <f t="shared" si="17"/>
        <v/>
      </c>
      <c r="U261" s="316"/>
      <c r="V261" s="314"/>
      <c r="W261" s="314"/>
      <c r="X261" s="314"/>
      <c r="Y261" s="314" t="str">
        <f t="shared" si="18"/>
        <v/>
      </c>
      <c r="Z261" s="314"/>
      <c r="AA261" s="314"/>
      <c r="AB261" s="314"/>
      <c r="AC261" s="317"/>
      <c r="AD261" s="8"/>
      <c r="AE261" s="8"/>
      <c r="AF261" s="8"/>
      <c r="AG261" s="8"/>
      <c r="AH261" s="8"/>
      <c r="AI261" s="8"/>
      <c r="AJ261" s="8"/>
    </row>
    <row r="262" spans="1:85" s="1" customFormat="1" ht="15.75" customHeight="1" x14ac:dyDescent="0.15">
      <c r="A262" s="73" t="str">
        <f>IF(F262="","×","")</f>
        <v>×</v>
      </c>
      <c r="F262" s="119" t="str">
        <f>IF(H125="","",H125)</f>
        <v/>
      </c>
      <c r="G262" s="120"/>
      <c r="H262" s="120"/>
      <c r="I262" s="313" t="str">
        <f t="shared" si="15"/>
        <v/>
      </c>
      <c r="J262" s="314"/>
      <c r="K262" s="314"/>
      <c r="L262" s="314"/>
      <c r="M262" s="314" t="str">
        <f t="shared" si="16"/>
        <v/>
      </c>
      <c r="N262" s="314"/>
      <c r="O262" s="314"/>
      <c r="P262" s="315"/>
      <c r="Q262" s="107">
        <f t="shared" si="19"/>
        <v>1</v>
      </c>
      <c r="R262" s="95"/>
      <c r="S262" s="108"/>
      <c r="T262" s="313" t="str">
        <f t="shared" si="17"/>
        <v/>
      </c>
      <c r="U262" s="316"/>
      <c r="V262" s="314"/>
      <c r="W262" s="314"/>
      <c r="X262" s="314"/>
      <c r="Y262" s="314" t="str">
        <f t="shared" si="18"/>
        <v/>
      </c>
      <c r="Z262" s="314"/>
      <c r="AA262" s="314"/>
      <c r="AB262" s="314"/>
      <c r="AC262" s="317"/>
      <c r="AD262" s="8"/>
      <c r="AE262" s="8"/>
      <c r="AF262" s="8"/>
      <c r="AG262" s="8"/>
      <c r="AH262" s="8"/>
      <c r="AI262" s="8"/>
      <c r="AJ262" s="8"/>
    </row>
    <row r="263" spans="1:85" s="1" customFormat="1" ht="15.75" customHeight="1" x14ac:dyDescent="0.15">
      <c r="A263" s="73" t="str">
        <f>IF(F263="","×","")</f>
        <v>×</v>
      </c>
      <c r="F263" s="119" t="str">
        <f>IF(H126="","",H126)</f>
        <v/>
      </c>
      <c r="G263" s="120"/>
      <c r="H263" s="120"/>
      <c r="I263" s="313" t="str">
        <f t="shared" si="15"/>
        <v/>
      </c>
      <c r="J263" s="314"/>
      <c r="K263" s="314"/>
      <c r="L263" s="314"/>
      <c r="M263" s="314" t="str">
        <f t="shared" si="16"/>
        <v/>
      </c>
      <c r="N263" s="314"/>
      <c r="O263" s="314"/>
      <c r="P263" s="315"/>
      <c r="Q263" s="107">
        <f t="shared" si="19"/>
        <v>1</v>
      </c>
      <c r="R263" s="95"/>
      <c r="S263" s="108"/>
      <c r="T263" s="313" t="str">
        <f t="shared" si="17"/>
        <v/>
      </c>
      <c r="U263" s="316"/>
      <c r="V263" s="314"/>
      <c r="W263" s="314"/>
      <c r="X263" s="314"/>
      <c r="Y263" s="314" t="str">
        <f t="shared" si="18"/>
        <v/>
      </c>
      <c r="Z263" s="314"/>
      <c r="AA263" s="314"/>
      <c r="AB263" s="314"/>
      <c r="AC263" s="317"/>
      <c r="AD263" s="8"/>
      <c r="AE263" s="8"/>
      <c r="AF263" s="8"/>
      <c r="AG263" s="8"/>
      <c r="AH263" s="8"/>
      <c r="AI263" s="8"/>
      <c r="AJ263" s="8"/>
    </row>
    <row r="264" spans="1:85" s="1" customFormat="1" ht="15.75" customHeight="1" x14ac:dyDescent="0.15">
      <c r="A264" s="73" t="str">
        <f>IF(F264="","×","")</f>
        <v>×</v>
      </c>
      <c r="F264" s="233" t="str">
        <f>IF(H127="","",H127)</f>
        <v/>
      </c>
      <c r="G264" s="234"/>
      <c r="H264" s="234"/>
      <c r="I264" s="318" t="str">
        <f t="shared" si="15"/>
        <v/>
      </c>
      <c r="J264" s="319"/>
      <c r="K264" s="319"/>
      <c r="L264" s="319"/>
      <c r="M264" s="319" t="str">
        <f t="shared" si="16"/>
        <v/>
      </c>
      <c r="N264" s="319"/>
      <c r="O264" s="319"/>
      <c r="P264" s="320"/>
      <c r="Q264" s="109">
        <f t="shared" si="19"/>
        <v>1</v>
      </c>
      <c r="R264" s="100"/>
      <c r="S264" s="110"/>
      <c r="T264" s="318" t="str">
        <f t="shared" si="17"/>
        <v/>
      </c>
      <c r="U264" s="321"/>
      <c r="V264" s="319"/>
      <c r="W264" s="319"/>
      <c r="X264" s="319"/>
      <c r="Y264" s="319" t="str">
        <f t="shared" si="18"/>
        <v/>
      </c>
      <c r="Z264" s="319"/>
      <c r="AA264" s="319"/>
      <c r="AB264" s="319"/>
      <c r="AC264" s="322"/>
      <c r="AD264" s="8"/>
      <c r="AE264" s="8"/>
      <c r="AF264" s="8"/>
      <c r="AG264" s="8"/>
      <c r="AH264" s="8"/>
      <c r="AI264" s="8"/>
      <c r="AJ264" s="8"/>
    </row>
    <row r="265" spans="1:85" s="1" customFormat="1" ht="15.75" customHeight="1" x14ac:dyDescent="0.15">
      <c r="AM265" s="8"/>
      <c r="BG265" s="8"/>
      <c r="BH265" s="8"/>
      <c r="BI265" s="8"/>
    </row>
    <row r="266" spans="1:85" s="1" customFormat="1" ht="15.75" customHeight="1" x14ac:dyDescent="0.15">
      <c r="AM266" s="8"/>
      <c r="BG266" s="8"/>
      <c r="BH266" s="8"/>
      <c r="BI266" s="8"/>
      <c r="BJ266" s="8"/>
      <c r="BK266" s="8"/>
      <c r="BL266" s="8"/>
      <c r="BM266" s="8"/>
      <c r="BN266" s="8"/>
      <c r="BO266" s="8"/>
      <c r="BP266" s="8"/>
      <c r="BQ266" s="8"/>
      <c r="BR266" s="8"/>
      <c r="BS266" s="8"/>
      <c r="BT266" s="8"/>
      <c r="BU266" s="8"/>
      <c r="BV266" s="8"/>
      <c r="BW266" s="8"/>
      <c r="BX266" s="8"/>
      <c r="BY266" s="8"/>
      <c r="BZ266" s="8"/>
      <c r="CA266" s="8"/>
      <c r="CB266" s="8"/>
      <c r="CC266" s="8"/>
      <c r="CD266" s="8"/>
      <c r="CE266" s="8"/>
    </row>
    <row r="267" spans="1:85" s="1" customFormat="1" ht="15.75" customHeight="1" x14ac:dyDescent="0.15">
      <c r="AM267" s="8"/>
      <c r="BG267" s="8"/>
      <c r="BH267" s="8"/>
      <c r="BI267" s="8"/>
      <c r="BJ267" s="8"/>
      <c r="BK267" s="8"/>
      <c r="BL267" s="8"/>
      <c r="BM267" s="8"/>
      <c r="BN267" s="8"/>
      <c r="BO267" s="8"/>
      <c r="BP267" s="8"/>
      <c r="BQ267" s="8"/>
      <c r="BR267" s="8"/>
      <c r="BS267" s="8"/>
      <c r="BT267" s="8"/>
      <c r="BU267" s="8"/>
      <c r="BV267" s="8"/>
      <c r="BW267" s="8"/>
      <c r="BX267" s="8"/>
      <c r="BY267" s="8"/>
      <c r="BZ267" s="8"/>
      <c r="CA267" s="8"/>
      <c r="CB267" s="8"/>
      <c r="CC267" s="8"/>
      <c r="CD267" s="8"/>
      <c r="CE267" s="8"/>
    </row>
    <row r="268" spans="1:85" s="1" customFormat="1" ht="15.75" customHeight="1" x14ac:dyDescent="0.15">
      <c r="F268" s="61" t="s">
        <v>524</v>
      </c>
      <c r="G268" s="302"/>
      <c r="H268" s="302"/>
      <c r="I268" s="61"/>
      <c r="J268" s="61"/>
      <c r="K268" s="61"/>
      <c r="L268" s="61"/>
      <c r="M268" s="61"/>
      <c r="N268" s="61"/>
      <c r="O268" s="61"/>
      <c r="P268" s="61"/>
      <c r="Q268" s="61"/>
      <c r="R268" s="61"/>
      <c r="S268" s="61"/>
      <c r="T268" s="61"/>
      <c r="U268" s="61"/>
      <c r="V268" s="61"/>
      <c r="W268" s="61"/>
      <c r="X268" s="61"/>
      <c r="Y268" s="61"/>
      <c r="Z268" s="61"/>
      <c r="AA268" s="61"/>
      <c r="AB268" s="61"/>
      <c r="AC268" s="61"/>
      <c r="AD268" s="8"/>
      <c r="AE268" s="8"/>
      <c r="AF268" s="8"/>
      <c r="AG268" s="8"/>
      <c r="AH268" s="8"/>
      <c r="AI268" s="8"/>
      <c r="AJ268" s="8"/>
      <c r="AK268" s="8"/>
      <c r="BF268" s="8"/>
      <c r="BG268" s="8"/>
      <c r="BH268" s="8"/>
      <c r="BI268" s="8"/>
      <c r="BJ268" s="8"/>
      <c r="BK268" s="8"/>
      <c r="BL268" s="8"/>
      <c r="BM268" s="8"/>
      <c r="BN268" s="8"/>
      <c r="BO268" s="8"/>
      <c r="BP268" s="8"/>
      <c r="BQ268" s="8"/>
      <c r="BR268" s="8"/>
      <c r="BS268" s="8"/>
      <c r="BT268" s="8"/>
      <c r="BU268" s="8"/>
      <c r="BV268" s="8"/>
      <c r="BW268" s="8"/>
      <c r="BX268" s="8"/>
      <c r="BY268" s="8"/>
      <c r="BZ268" s="8"/>
      <c r="CA268" s="8"/>
      <c r="CB268" s="8"/>
    </row>
    <row r="269" spans="1:85" s="1" customFormat="1" ht="15.75" customHeight="1" x14ac:dyDescent="0.15">
      <c r="F269" s="126" t="s">
        <v>78</v>
      </c>
      <c r="G269" s="105"/>
      <c r="H269" s="105"/>
      <c r="I269" s="217" t="s">
        <v>525</v>
      </c>
      <c r="J269" s="131"/>
      <c r="K269" s="131"/>
      <c r="L269" s="131"/>
      <c r="M269" s="105" t="s">
        <v>526</v>
      </c>
      <c r="N269" s="131"/>
      <c r="O269" s="131"/>
      <c r="P269" s="230"/>
      <c r="Q269" s="217" t="s">
        <v>209</v>
      </c>
      <c r="R269" s="105"/>
      <c r="S269" s="224"/>
      <c r="T269" s="251" t="s">
        <v>531</v>
      </c>
      <c r="U269" s="136"/>
      <c r="V269" s="136"/>
      <c r="W269" s="136"/>
      <c r="X269" s="157"/>
      <c r="Y269" s="221" t="s">
        <v>532</v>
      </c>
      <c r="Z269" s="136"/>
      <c r="AA269" s="136"/>
      <c r="AB269" s="136"/>
      <c r="AC269" s="136"/>
      <c r="AH269" s="8"/>
      <c r="AI269" s="8"/>
      <c r="AJ269" s="8"/>
      <c r="AK269" s="8"/>
      <c r="BF269" s="8"/>
      <c r="BG269" s="8"/>
      <c r="BH269" s="8"/>
      <c r="BI269" s="8"/>
      <c r="BJ269" s="8"/>
      <c r="BK269" s="8"/>
      <c r="BL269" s="8"/>
      <c r="BM269" s="8"/>
      <c r="BN269" s="8"/>
      <c r="BO269" s="8"/>
      <c r="BP269" s="8"/>
      <c r="BQ269" s="8"/>
      <c r="BR269" s="8"/>
      <c r="BS269" s="8"/>
      <c r="BT269" s="8"/>
      <c r="BU269" s="8"/>
      <c r="BV269" s="8"/>
      <c r="BW269" s="8"/>
      <c r="BX269" s="8"/>
      <c r="BY269" s="8"/>
      <c r="BZ269" s="8"/>
      <c r="CA269" s="8"/>
      <c r="CB269" s="8"/>
      <c r="CC269" s="8"/>
      <c r="CD269" s="8"/>
      <c r="CE269" s="8"/>
      <c r="CF269" s="8"/>
      <c r="CG269" s="8"/>
    </row>
    <row r="270" spans="1:85" s="1" customFormat="1" ht="15.75" customHeight="1" x14ac:dyDescent="0.15">
      <c r="F270" s="127"/>
      <c r="G270" s="122"/>
      <c r="H270" s="122"/>
      <c r="I270" s="218"/>
      <c r="J270" s="94"/>
      <c r="K270" s="94"/>
      <c r="L270" s="94"/>
      <c r="M270" s="122"/>
      <c r="N270" s="94"/>
      <c r="O270" s="94"/>
      <c r="P270" s="231"/>
      <c r="Q270" s="218"/>
      <c r="R270" s="122"/>
      <c r="S270" s="225"/>
      <c r="T270" s="276"/>
      <c r="U270" s="138"/>
      <c r="V270" s="138"/>
      <c r="W270" s="138"/>
      <c r="X270" s="215"/>
      <c r="Y270" s="222"/>
      <c r="Z270" s="138"/>
      <c r="AA270" s="138"/>
      <c r="AB270" s="138"/>
      <c r="AC270" s="138"/>
      <c r="AH270" s="8"/>
      <c r="AI270" s="8"/>
      <c r="AJ270" s="8"/>
      <c r="AK270" s="8"/>
      <c r="BF270" s="8"/>
      <c r="BG270" s="8"/>
      <c r="BH270" s="8"/>
      <c r="BI270" s="8"/>
      <c r="BJ270" s="8"/>
      <c r="BK270" s="8"/>
      <c r="BL270" s="8"/>
      <c r="BM270" s="8"/>
      <c r="BN270" s="8"/>
      <c r="BO270" s="8"/>
      <c r="BP270" s="8"/>
      <c r="BQ270" s="8"/>
      <c r="BR270" s="8"/>
      <c r="BS270" s="8"/>
      <c r="BT270" s="8"/>
      <c r="BU270" s="8"/>
      <c r="BV270" s="8"/>
      <c r="BW270" s="8"/>
      <c r="BX270" s="8"/>
      <c r="BY270" s="8"/>
      <c r="BZ270" s="8"/>
      <c r="CA270" s="8"/>
      <c r="CB270" s="8"/>
      <c r="CC270" s="8"/>
      <c r="CD270" s="8"/>
      <c r="CE270" s="8"/>
      <c r="CF270" s="8"/>
      <c r="CG270" s="8"/>
    </row>
    <row r="271" spans="1:85" s="1" customFormat="1" ht="15.75" customHeight="1" x14ac:dyDescent="0.15">
      <c r="F271" s="128"/>
      <c r="G271" s="106"/>
      <c r="H271" s="106"/>
      <c r="I271" s="219"/>
      <c r="J271" s="99"/>
      <c r="K271" s="99"/>
      <c r="L271" s="99"/>
      <c r="M271" s="99"/>
      <c r="N271" s="99"/>
      <c r="O271" s="99"/>
      <c r="P271" s="232"/>
      <c r="Q271" s="226"/>
      <c r="R271" s="106"/>
      <c r="S271" s="227"/>
      <c r="T271" s="262"/>
      <c r="U271" s="140"/>
      <c r="V271" s="140"/>
      <c r="W271" s="140"/>
      <c r="X271" s="159"/>
      <c r="Y271" s="223"/>
      <c r="Z271" s="140"/>
      <c r="AA271" s="140"/>
      <c r="AB271" s="140"/>
      <c r="AC271" s="140"/>
      <c r="AH271" s="8"/>
      <c r="AI271" s="8"/>
      <c r="AJ271" s="8"/>
      <c r="AK271" s="8"/>
      <c r="BF271" s="8"/>
      <c r="BG271" s="8"/>
      <c r="BH271" s="8"/>
      <c r="BI271" s="8"/>
      <c r="BJ271" s="8"/>
      <c r="BK271" s="8"/>
      <c r="BL271" s="8"/>
      <c r="BM271" s="8"/>
      <c r="BN271" s="8"/>
      <c r="BO271" s="8"/>
      <c r="BP271" s="8"/>
      <c r="BQ271" s="8"/>
      <c r="BR271" s="8"/>
      <c r="BS271" s="8"/>
      <c r="BT271" s="8"/>
      <c r="BU271" s="8"/>
      <c r="BV271" s="8"/>
      <c r="BW271" s="8"/>
      <c r="BX271" s="8"/>
      <c r="BY271" s="8"/>
      <c r="BZ271" s="8"/>
      <c r="CA271" s="8"/>
      <c r="CB271" s="8"/>
      <c r="CC271" s="8"/>
      <c r="CD271" s="8"/>
      <c r="CE271" s="8"/>
      <c r="CF271" s="8"/>
      <c r="CG271" s="8"/>
    </row>
    <row r="272" spans="1:85" s="1" customFormat="1" ht="15.75" customHeight="1" x14ac:dyDescent="0.15">
      <c r="A272" s="73" t="str">
        <f>IF(F272="","×","")</f>
        <v/>
      </c>
      <c r="F272" s="117">
        <f>F249</f>
        <v>3</v>
      </c>
      <c r="G272" s="118"/>
      <c r="H272" s="118"/>
      <c r="I272" s="308">
        <f>IF(X155="","",X155*AG$202)</f>
        <v>25020.550531838962</v>
      </c>
      <c r="J272" s="309"/>
      <c r="K272" s="309"/>
      <c r="L272" s="309"/>
      <c r="M272" s="309">
        <f>IF(X155="","",X155*AG$203)</f>
        <v>24949.045558349833</v>
      </c>
      <c r="N272" s="309"/>
      <c r="O272" s="309"/>
      <c r="P272" s="310"/>
      <c r="Q272" s="239">
        <f>R242</f>
        <v>1</v>
      </c>
      <c r="R272" s="240"/>
      <c r="S272" s="241"/>
      <c r="T272" s="308">
        <f>IF(I272="","",ROUND(I272*Q272,-1))</f>
        <v>25020</v>
      </c>
      <c r="U272" s="311"/>
      <c r="V272" s="309"/>
      <c r="W272" s="309"/>
      <c r="X272" s="309"/>
      <c r="Y272" s="309">
        <f>IF(M272="","",ROUND(M272*Q272,-1))</f>
        <v>24950</v>
      </c>
      <c r="Z272" s="309"/>
      <c r="AA272" s="309"/>
      <c r="AB272" s="309"/>
      <c r="AC272" s="312"/>
      <c r="AH272" s="8"/>
      <c r="AI272" s="8"/>
      <c r="AJ272" s="8"/>
      <c r="AK272" s="8"/>
      <c r="CD272" s="8"/>
      <c r="CE272" s="8"/>
      <c r="CF272" s="8"/>
      <c r="CG272" s="8"/>
    </row>
    <row r="273" spans="1:85" s="1" customFormat="1" ht="15.75" customHeight="1" x14ac:dyDescent="0.15">
      <c r="A273" s="73" t="str">
        <f>IF(F273="","×","")</f>
        <v/>
      </c>
      <c r="F273" s="119">
        <f>F250</f>
        <v>4</v>
      </c>
      <c r="G273" s="120"/>
      <c r="H273" s="120"/>
      <c r="I273" s="313">
        <f>IF(X156="","",X156*AG$202)</f>
        <v>51406.18494050474</v>
      </c>
      <c r="J273" s="314"/>
      <c r="K273" s="314"/>
      <c r="L273" s="314"/>
      <c r="M273" s="314">
        <f>IF(X156="","",X156*AG$203)</f>
        <v>51259.27378894273</v>
      </c>
      <c r="N273" s="314"/>
      <c r="O273" s="314"/>
      <c r="P273" s="315"/>
      <c r="Q273" s="107">
        <f>Q272</f>
        <v>1</v>
      </c>
      <c r="R273" s="95"/>
      <c r="S273" s="108"/>
      <c r="T273" s="313">
        <f t="shared" ref="T273" si="20">IF(I273="","",ROUND(I273*Q273,-1))</f>
        <v>51410</v>
      </c>
      <c r="U273" s="316"/>
      <c r="V273" s="314"/>
      <c r="W273" s="314"/>
      <c r="X273" s="314"/>
      <c r="Y273" s="314">
        <f t="shared" ref="Y273" si="21">IF(M273="","",ROUND(M273*Q273,-1))</f>
        <v>51260</v>
      </c>
      <c r="Z273" s="314"/>
      <c r="AA273" s="314"/>
      <c r="AB273" s="314"/>
      <c r="AC273" s="317"/>
      <c r="AH273" s="8"/>
      <c r="AI273" s="8"/>
      <c r="AJ273" s="8"/>
      <c r="AK273" s="8"/>
      <c r="CD273" s="8"/>
      <c r="CE273" s="8"/>
      <c r="CF273" s="8"/>
      <c r="CG273" s="8"/>
    </row>
    <row r="274" spans="1:85" s="1" customFormat="1" ht="15.75" customHeight="1" x14ac:dyDescent="0.15">
      <c r="A274" s="73" t="str">
        <f>IF(F274="","×","")</f>
        <v/>
      </c>
      <c r="F274" s="119">
        <f>F251</f>
        <v>5</v>
      </c>
      <c r="G274" s="120"/>
      <c r="H274" s="120"/>
      <c r="I274" s="313">
        <f>IF(X157="","",X157*AG$202)</f>
        <v>58501.028774012557</v>
      </c>
      <c r="J274" s="314"/>
      <c r="K274" s="314"/>
      <c r="L274" s="314"/>
      <c r="M274" s="314">
        <f>IF(X157="","",X157*AG$203)</f>
        <v>58333.841624942863</v>
      </c>
      <c r="N274" s="314"/>
      <c r="O274" s="314"/>
      <c r="P274" s="315"/>
      <c r="Q274" s="107">
        <f t="shared" ref="Q274:Q287" si="22">Q273</f>
        <v>1</v>
      </c>
      <c r="R274" s="95"/>
      <c r="S274" s="108"/>
      <c r="T274" s="313">
        <f t="shared" ref="T274:T287" si="23">IF(I274="","",ROUND(I274*Q274,-1))</f>
        <v>58500</v>
      </c>
      <c r="U274" s="316"/>
      <c r="V274" s="314"/>
      <c r="W274" s="314"/>
      <c r="X274" s="314"/>
      <c r="Y274" s="314">
        <f t="shared" ref="Y274:Y287" si="24">IF(M274="","",ROUND(M274*Q274,-1))</f>
        <v>58330</v>
      </c>
      <c r="Z274" s="314"/>
      <c r="AA274" s="314"/>
      <c r="AB274" s="314"/>
      <c r="AC274" s="317"/>
      <c r="AG274" s="8"/>
      <c r="AH274" s="8"/>
      <c r="AI274" s="8"/>
      <c r="AJ274" s="8"/>
      <c r="CC274" s="8"/>
      <c r="CD274" s="8"/>
      <c r="CE274" s="8"/>
      <c r="CF274" s="8"/>
    </row>
    <row r="275" spans="1:85" s="1" customFormat="1" ht="15.75" customHeight="1" x14ac:dyDescent="0.15">
      <c r="A275" s="73" t="str">
        <f>IF(F275="","×","")</f>
        <v/>
      </c>
      <c r="F275" s="119">
        <f>F252</f>
        <v>6</v>
      </c>
      <c r="G275" s="120"/>
      <c r="H275" s="120"/>
      <c r="I275" s="313">
        <f>IF(X158="","",X158*AG$202)</f>
        <v>83413.809526102035</v>
      </c>
      <c r="J275" s="314"/>
      <c r="K275" s="314"/>
      <c r="L275" s="314"/>
      <c r="M275" s="314">
        <f>IF(X158="","",X158*AG$203)</f>
        <v>83175.42539337877</v>
      </c>
      <c r="N275" s="314"/>
      <c r="O275" s="314"/>
      <c r="P275" s="315"/>
      <c r="Q275" s="107">
        <f t="shared" si="22"/>
        <v>1</v>
      </c>
      <c r="R275" s="95"/>
      <c r="S275" s="108"/>
      <c r="T275" s="313">
        <f t="shared" si="23"/>
        <v>83410</v>
      </c>
      <c r="U275" s="316"/>
      <c r="V275" s="314"/>
      <c r="W275" s="314"/>
      <c r="X275" s="314"/>
      <c r="Y275" s="314">
        <f t="shared" si="24"/>
        <v>83180</v>
      </c>
      <c r="Z275" s="314"/>
      <c r="AA275" s="314"/>
      <c r="AB275" s="314"/>
      <c r="AC275" s="317"/>
      <c r="AG275" s="8"/>
      <c r="AH275" s="8"/>
      <c r="AI275" s="8"/>
      <c r="AJ275" s="8"/>
      <c r="CC275" s="8"/>
      <c r="CD275" s="8"/>
      <c r="CE275" s="8"/>
      <c r="CF275" s="8"/>
    </row>
    <row r="276" spans="1:85" s="1" customFormat="1" ht="15.75" customHeight="1" x14ac:dyDescent="0.15">
      <c r="A276" s="73" t="str">
        <f>IF(F276="","×","")</f>
        <v/>
      </c>
      <c r="F276" s="119">
        <f>F253</f>
        <v>7</v>
      </c>
      <c r="G276" s="120"/>
      <c r="H276" s="120"/>
      <c r="I276" s="313">
        <f>IF(X159="","",X159*AG$202)</f>
        <v>164815.91649688032</v>
      </c>
      <c r="J276" s="314"/>
      <c r="K276" s="314"/>
      <c r="L276" s="314"/>
      <c r="M276" s="314">
        <f>IF(X159="","",X159*AG$203)</f>
        <v>164344.89737503091</v>
      </c>
      <c r="N276" s="314"/>
      <c r="O276" s="314"/>
      <c r="P276" s="315"/>
      <c r="Q276" s="107">
        <f t="shared" si="22"/>
        <v>1</v>
      </c>
      <c r="R276" s="95"/>
      <c r="S276" s="108"/>
      <c r="T276" s="313">
        <f t="shared" si="23"/>
        <v>164820</v>
      </c>
      <c r="U276" s="316"/>
      <c r="V276" s="314"/>
      <c r="W276" s="314"/>
      <c r="X276" s="314"/>
      <c r="Y276" s="314">
        <f t="shared" si="24"/>
        <v>164340</v>
      </c>
      <c r="Z276" s="314"/>
      <c r="AA276" s="314"/>
      <c r="AB276" s="314"/>
      <c r="AC276" s="317"/>
      <c r="AG276" s="8"/>
      <c r="AH276" s="8"/>
      <c r="AI276" s="8"/>
      <c r="AJ276" s="8"/>
      <c r="CC276" s="8"/>
      <c r="CD276" s="8"/>
      <c r="CE276" s="8"/>
      <c r="CF276" s="8"/>
    </row>
    <row r="277" spans="1:85" s="1" customFormat="1" ht="15.75" customHeight="1" x14ac:dyDescent="0.15">
      <c r="A277" s="73" t="str">
        <f>IF(F277="","×","")</f>
        <v>×</v>
      </c>
      <c r="F277" s="119" t="str">
        <f>F254</f>
        <v/>
      </c>
      <c r="G277" s="120"/>
      <c r="H277" s="120"/>
      <c r="I277" s="313" t="str">
        <f>IF(X160="","",X160*AG$202)</f>
        <v/>
      </c>
      <c r="J277" s="314"/>
      <c r="K277" s="314"/>
      <c r="L277" s="314"/>
      <c r="M277" s="314" t="str">
        <f>IF(X160="","",X160*AG$203)</f>
        <v/>
      </c>
      <c r="N277" s="314"/>
      <c r="O277" s="314"/>
      <c r="P277" s="315"/>
      <c r="Q277" s="107">
        <f t="shared" si="22"/>
        <v>1</v>
      </c>
      <c r="R277" s="95"/>
      <c r="S277" s="108"/>
      <c r="T277" s="313" t="str">
        <f t="shared" si="23"/>
        <v/>
      </c>
      <c r="U277" s="316"/>
      <c r="V277" s="314"/>
      <c r="W277" s="314"/>
      <c r="X277" s="314"/>
      <c r="Y277" s="314" t="str">
        <f t="shared" si="24"/>
        <v/>
      </c>
      <c r="Z277" s="314"/>
      <c r="AA277" s="314"/>
      <c r="AB277" s="314"/>
      <c r="AC277" s="317"/>
      <c r="AG277" s="8"/>
      <c r="AH277" s="8"/>
      <c r="AI277" s="8"/>
      <c r="AJ277" s="8"/>
      <c r="CC277" s="8"/>
      <c r="CD277" s="8"/>
      <c r="CE277" s="8"/>
      <c r="CF277" s="8"/>
    </row>
    <row r="278" spans="1:85" s="1" customFormat="1" ht="15.75" customHeight="1" x14ac:dyDescent="0.15">
      <c r="A278" s="73" t="str">
        <f>IF(F278="","×","")</f>
        <v>×</v>
      </c>
      <c r="F278" s="119" t="str">
        <f>F255</f>
        <v/>
      </c>
      <c r="G278" s="120"/>
      <c r="H278" s="120"/>
      <c r="I278" s="313" t="str">
        <f>IF(X161="","",X161*AG$202)</f>
        <v/>
      </c>
      <c r="J278" s="314"/>
      <c r="K278" s="314"/>
      <c r="L278" s="314"/>
      <c r="M278" s="314" t="str">
        <f>IF(X161="","",X161*AG$203)</f>
        <v/>
      </c>
      <c r="N278" s="314"/>
      <c r="O278" s="314"/>
      <c r="P278" s="315"/>
      <c r="Q278" s="107">
        <f t="shared" si="22"/>
        <v>1</v>
      </c>
      <c r="R278" s="95"/>
      <c r="S278" s="108"/>
      <c r="T278" s="313" t="str">
        <f t="shared" si="23"/>
        <v/>
      </c>
      <c r="U278" s="316"/>
      <c r="V278" s="314"/>
      <c r="W278" s="314"/>
      <c r="X278" s="314"/>
      <c r="Y278" s="314" t="str">
        <f t="shared" si="24"/>
        <v/>
      </c>
      <c r="Z278" s="314"/>
      <c r="AA278" s="314"/>
      <c r="AB278" s="314"/>
      <c r="AC278" s="317"/>
      <c r="AG278" s="8"/>
      <c r="AH278" s="8"/>
      <c r="AI278" s="8"/>
      <c r="AJ278" s="8"/>
      <c r="CC278" s="8"/>
      <c r="CD278" s="8"/>
      <c r="CE278" s="8"/>
      <c r="CF278" s="8"/>
    </row>
    <row r="279" spans="1:85" s="1" customFormat="1" ht="15.75" customHeight="1" x14ac:dyDescent="0.15">
      <c r="A279" s="73" t="str">
        <f>IF(F279="","×","")</f>
        <v>×</v>
      </c>
      <c r="F279" s="119" t="str">
        <f>F256</f>
        <v/>
      </c>
      <c r="G279" s="120"/>
      <c r="H279" s="120"/>
      <c r="I279" s="313" t="str">
        <f>IF(X162="","",X162*AG$202)</f>
        <v/>
      </c>
      <c r="J279" s="314"/>
      <c r="K279" s="314"/>
      <c r="L279" s="314"/>
      <c r="M279" s="314" t="str">
        <f>IF(X162="","",X162*AG$203)</f>
        <v/>
      </c>
      <c r="N279" s="314"/>
      <c r="O279" s="314"/>
      <c r="P279" s="315"/>
      <c r="Q279" s="107">
        <f t="shared" si="22"/>
        <v>1</v>
      </c>
      <c r="R279" s="95"/>
      <c r="S279" s="108"/>
      <c r="T279" s="313" t="str">
        <f t="shared" si="23"/>
        <v/>
      </c>
      <c r="U279" s="316"/>
      <c r="V279" s="314"/>
      <c r="W279" s="314"/>
      <c r="X279" s="314"/>
      <c r="Y279" s="314" t="str">
        <f t="shared" si="24"/>
        <v/>
      </c>
      <c r="Z279" s="314"/>
      <c r="AA279" s="314"/>
      <c r="AB279" s="314"/>
      <c r="AC279" s="317"/>
      <c r="AG279" s="8"/>
      <c r="AH279" s="8"/>
      <c r="AI279" s="8"/>
      <c r="AJ279" s="8"/>
      <c r="CC279" s="8"/>
      <c r="CD279" s="8"/>
      <c r="CE279" s="8"/>
      <c r="CF279" s="8"/>
    </row>
    <row r="280" spans="1:85" s="1" customFormat="1" ht="15.75" customHeight="1" x14ac:dyDescent="0.15">
      <c r="A280" s="73" t="str">
        <f>IF(F280="","×","")</f>
        <v>×</v>
      </c>
      <c r="F280" s="119" t="str">
        <f>F257</f>
        <v/>
      </c>
      <c r="G280" s="120"/>
      <c r="H280" s="120"/>
      <c r="I280" s="313" t="str">
        <f>IF(X163="","",X163*AG$202)</f>
        <v/>
      </c>
      <c r="J280" s="314"/>
      <c r="K280" s="314"/>
      <c r="L280" s="314"/>
      <c r="M280" s="314" t="str">
        <f>IF(X163="","",X163*AG$203)</f>
        <v/>
      </c>
      <c r="N280" s="314"/>
      <c r="O280" s="314"/>
      <c r="P280" s="315"/>
      <c r="Q280" s="107">
        <f t="shared" si="22"/>
        <v>1</v>
      </c>
      <c r="R280" s="95"/>
      <c r="S280" s="108"/>
      <c r="T280" s="313" t="str">
        <f t="shared" si="23"/>
        <v/>
      </c>
      <c r="U280" s="316"/>
      <c r="V280" s="314"/>
      <c r="W280" s="314"/>
      <c r="X280" s="314"/>
      <c r="Y280" s="314" t="str">
        <f t="shared" si="24"/>
        <v/>
      </c>
      <c r="Z280" s="314"/>
      <c r="AA280" s="314"/>
      <c r="AB280" s="314"/>
      <c r="AC280" s="317"/>
      <c r="AG280" s="8"/>
      <c r="AH280" s="8"/>
      <c r="AI280" s="8"/>
      <c r="AJ280" s="8"/>
      <c r="CC280" s="8"/>
      <c r="CD280" s="8"/>
      <c r="CE280" s="8"/>
      <c r="CF280" s="8"/>
    </row>
    <row r="281" spans="1:85" s="1" customFormat="1" ht="15.75" customHeight="1" x14ac:dyDescent="0.15">
      <c r="A281" s="73" t="str">
        <f>IF(F281="","×","")</f>
        <v>×</v>
      </c>
      <c r="F281" s="119" t="str">
        <f>F258</f>
        <v/>
      </c>
      <c r="G281" s="120"/>
      <c r="H281" s="120"/>
      <c r="I281" s="313" t="str">
        <f>IF(X164="","",X164*AG$202)</f>
        <v/>
      </c>
      <c r="J281" s="314"/>
      <c r="K281" s="314"/>
      <c r="L281" s="314"/>
      <c r="M281" s="314" t="str">
        <f>IF(X164="","",X164*AG$203)</f>
        <v/>
      </c>
      <c r="N281" s="314"/>
      <c r="O281" s="314"/>
      <c r="P281" s="315"/>
      <c r="Q281" s="107">
        <f t="shared" si="22"/>
        <v>1</v>
      </c>
      <c r="R281" s="95"/>
      <c r="S281" s="108"/>
      <c r="T281" s="313" t="str">
        <f t="shared" si="23"/>
        <v/>
      </c>
      <c r="U281" s="316"/>
      <c r="V281" s="314"/>
      <c r="W281" s="314"/>
      <c r="X281" s="314"/>
      <c r="Y281" s="314" t="str">
        <f t="shared" si="24"/>
        <v/>
      </c>
      <c r="Z281" s="314"/>
      <c r="AA281" s="314"/>
      <c r="AB281" s="314"/>
      <c r="AC281" s="317"/>
      <c r="AG281" s="8"/>
      <c r="AH281" s="8"/>
      <c r="AI281" s="8"/>
      <c r="AJ281" s="8"/>
      <c r="CC281" s="8"/>
      <c r="CD281" s="8"/>
      <c r="CE281" s="8"/>
      <c r="CF281" s="8"/>
    </row>
    <row r="282" spans="1:85" s="1" customFormat="1" ht="15.75" customHeight="1" x14ac:dyDescent="0.15">
      <c r="A282" s="73" t="str">
        <f>IF(F282="","×","")</f>
        <v>×</v>
      </c>
      <c r="F282" s="119" t="str">
        <f>F259</f>
        <v/>
      </c>
      <c r="G282" s="120"/>
      <c r="H282" s="120"/>
      <c r="I282" s="313" t="str">
        <f>IF(X165="","",X165*AG$202)</f>
        <v/>
      </c>
      <c r="J282" s="314"/>
      <c r="K282" s="314"/>
      <c r="L282" s="314"/>
      <c r="M282" s="314" t="str">
        <f>IF(X165="","",X165*AG$203)</f>
        <v/>
      </c>
      <c r="N282" s="314"/>
      <c r="O282" s="314"/>
      <c r="P282" s="315"/>
      <c r="Q282" s="107">
        <f t="shared" si="22"/>
        <v>1</v>
      </c>
      <c r="R282" s="95"/>
      <c r="S282" s="108"/>
      <c r="T282" s="313" t="str">
        <f t="shared" si="23"/>
        <v/>
      </c>
      <c r="U282" s="316"/>
      <c r="V282" s="314"/>
      <c r="W282" s="314"/>
      <c r="X282" s="314"/>
      <c r="Y282" s="314" t="str">
        <f t="shared" si="24"/>
        <v/>
      </c>
      <c r="Z282" s="314"/>
      <c r="AA282" s="314"/>
      <c r="AB282" s="314"/>
      <c r="AC282" s="317"/>
      <c r="AG282" s="8"/>
      <c r="AH282" s="8"/>
      <c r="AI282" s="8"/>
      <c r="AJ282" s="8"/>
      <c r="CC282" s="8"/>
      <c r="CD282" s="8"/>
      <c r="CE282" s="8"/>
      <c r="CF282" s="8"/>
    </row>
    <row r="283" spans="1:85" s="1" customFormat="1" ht="15.75" customHeight="1" x14ac:dyDescent="0.15">
      <c r="A283" s="73" t="str">
        <f>IF(F283="","×","")</f>
        <v>×</v>
      </c>
      <c r="F283" s="119" t="str">
        <f>F260</f>
        <v/>
      </c>
      <c r="G283" s="120"/>
      <c r="H283" s="120"/>
      <c r="I283" s="313" t="str">
        <f>IF(X166="","",X166*AG$202)</f>
        <v/>
      </c>
      <c r="J283" s="314"/>
      <c r="K283" s="314"/>
      <c r="L283" s="314"/>
      <c r="M283" s="314" t="str">
        <f>IF(X166="","",X166*AG$203)</f>
        <v/>
      </c>
      <c r="N283" s="314"/>
      <c r="O283" s="314"/>
      <c r="P283" s="315"/>
      <c r="Q283" s="107">
        <f t="shared" si="22"/>
        <v>1</v>
      </c>
      <c r="R283" s="95"/>
      <c r="S283" s="108"/>
      <c r="T283" s="313" t="str">
        <f t="shared" si="23"/>
        <v/>
      </c>
      <c r="U283" s="316"/>
      <c r="V283" s="314"/>
      <c r="W283" s="314"/>
      <c r="X283" s="314"/>
      <c r="Y283" s="314" t="str">
        <f t="shared" si="24"/>
        <v/>
      </c>
      <c r="Z283" s="314"/>
      <c r="AA283" s="314"/>
      <c r="AB283" s="314"/>
      <c r="AC283" s="317"/>
      <c r="AG283" s="8"/>
      <c r="AH283" s="8"/>
      <c r="AI283" s="8"/>
      <c r="AJ283" s="8"/>
      <c r="CC283" s="8"/>
      <c r="CD283" s="8"/>
      <c r="CE283" s="8"/>
      <c r="CF283" s="8"/>
    </row>
    <row r="284" spans="1:85" s="1" customFormat="1" ht="15.75" customHeight="1" x14ac:dyDescent="0.15">
      <c r="A284" s="73" t="str">
        <f>IF(F284="","×","")</f>
        <v>×</v>
      </c>
      <c r="F284" s="119" t="str">
        <f>F261</f>
        <v/>
      </c>
      <c r="G284" s="120"/>
      <c r="H284" s="120"/>
      <c r="I284" s="313" t="str">
        <f>IF(X167="","",X167*AG$202)</f>
        <v/>
      </c>
      <c r="J284" s="314"/>
      <c r="K284" s="314"/>
      <c r="L284" s="314"/>
      <c r="M284" s="314" t="str">
        <f>IF(X167="","",X167*AG$203)</f>
        <v/>
      </c>
      <c r="N284" s="314"/>
      <c r="O284" s="314"/>
      <c r="P284" s="315"/>
      <c r="Q284" s="107">
        <f t="shared" si="22"/>
        <v>1</v>
      </c>
      <c r="R284" s="95"/>
      <c r="S284" s="108"/>
      <c r="T284" s="313" t="str">
        <f t="shared" si="23"/>
        <v/>
      </c>
      <c r="U284" s="316"/>
      <c r="V284" s="314"/>
      <c r="W284" s="314"/>
      <c r="X284" s="314"/>
      <c r="Y284" s="314" t="str">
        <f t="shared" si="24"/>
        <v/>
      </c>
      <c r="Z284" s="314"/>
      <c r="AA284" s="314"/>
      <c r="AB284" s="314"/>
      <c r="AC284" s="317"/>
      <c r="AG284" s="8"/>
      <c r="AH284" s="8"/>
      <c r="AI284" s="8"/>
      <c r="AJ284" s="8"/>
      <c r="CC284" s="8"/>
      <c r="CD284" s="8"/>
      <c r="CE284" s="8"/>
      <c r="CF284" s="8"/>
    </row>
    <row r="285" spans="1:85" s="1" customFormat="1" ht="15.75" customHeight="1" x14ac:dyDescent="0.15">
      <c r="A285" s="73" t="str">
        <f>IF(F285="","×","")</f>
        <v>×</v>
      </c>
      <c r="F285" s="119" t="str">
        <f>F262</f>
        <v/>
      </c>
      <c r="G285" s="120"/>
      <c r="H285" s="120"/>
      <c r="I285" s="313" t="str">
        <f>IF(X168="","",X168*AG$202)</f>
        <v/>
      </c>
      <c r="J285" s="314"/>
      <c r="K285" s="314"/>
      <c r="L285" s="314"/>
      <c r="M285" s="314" t="str">
        <f>IF(X168="","",X168*AG$203)</f>
        <v/>
      </c>
      <c r="N285" s="314"/>
      <c r="O285" s="314"/>
      <c r="P285" s="315"/>
      <c r="Q285" s="107">
        <f t="shared" si="22"/>
        <v>1</v>
      </c>
      <c r="R285" s="95"/>
      <c r="S285" s="108"/>
      <c r="T285" s="313" t="str">
        <f t="shared" si="23"/>
        <v/>
      </c>
      <c r="U285" s="316"/>
      <c r="V285" s="314"/>
      <c r="W285" s="314"/>
      <c r="X285" s="314"/>
      <c r="Y285" s="314" t="str">
        <f t="shared" si="24"/>
        <v/>
      </c>
      <c r="Z285" s="314"/>
      <c r="AA285" s="314"/>
      <c r="AB285" s="314"/>
      <c r="AC285" s="317"/>
      <c r="AG285" s="8"/>
      <c r="AH285" s="8"/>
      <c r="AI285" s="8"/>
      <c r="AJ285" s="8"/>
      <c r="CC285" s="8"/>
      <c r="CD285" s="8"/>
      <c r="CE285" s="8"/>
      <c r="CF285" s="8"/>
    </row>
    <row r="286" spans="1:85" s="1" customFormat="1" ht="15.75" customHeight="1" x14ac:dyDescent="0.15">
      <c r="A286" s="73" t="str">
        <f>IF(F286="","×","")</f>
        <v>×</v>
      </c>
      <c r="F286" s="119" t="str">
        <f>F263</f>
        <v/>
      </c>
      <c r="G286" s="120"/>
      <c r="H286" s="120"/>
      <c r="I286" s="313" t="str">
        <f>IF(X169="","",X169*AG$202)</f>
        <v/>
      </c>
      <c r="J286" s="314"/>
      <c r="K286" s="314"/>
      <c r="L286" s="314"/>
      <c r="M286" s="314" t="str">
        <f>IF(X169="","",X169*AG$203)</f>
        <v/>
      </c>
      <c r="N286" s="314"/>
      <c r="O286" s="314"/>
      <c r="P286" s="315"/>
      <c r="Q286" s="107">
        <f t="shared" si="22"/>
        <v>1</v>
      </c>
      <c r="R286" s="95"/>
      <c r="S286" s="108"/>
      <c r="T286" s="313" t="str">
        <f t="shared" si="23"/>
        <v/>
      </c>
      <c r="U286" s="316"/>
      <c r="V286" s="314"/>
      <c r="W286" s="314"/>
      <c r="X286" s="314"/>
      <c r="Y286" s="314" t="str">
        <f t="shared" si="24"/>
        <v/>
      </c>
      <c r="Z286" s="314"/>
      <c r="AA286" s="314"/>
      <c r="AB286" s="314"/>
      <c r="AC286" s="317"/>
      <c r="AG286" s="8"/>
      <c r="AH286" s="8"/>
      <c r="AI286" s="8"/>
      <c r="AJ286" s="8"/>
      <c r="CC286" s="8"/>
      <c r="CD286" s="8"/>
      <c r="CE286" s="8"/>
      <c r="CF286" s="8"/>
    </row>
    <row r="287" spans="1:85" s="1" customFormat="1" ht="15.75" customHeight="1" x14ac:dyDescent="0.15">
      <c r="A287" s="73" t="str">
        <f>IF(F287="","×","")</f>
        <v>×</v>
      </c>
      <c r="F287" s="233" t="str">
        <f>F264</f>
        <v/>
      </c>
      <c r="G287" s="234"/>
      <c r="H287" s="234"/>
      <c r="I287" s="318" t="str">
        <f>IF(X170="","",X170*AG$202)</f>
        <v/>
      </c>
      <c r="J287" s="319"/>
      <c r="K287" s="319"/>
      <c r="L287" s="319"/>
      <c r="M287" s="319" t="str">
        <f>IF(X170="","",X170*AG$203)</f>
        <v/>
      </c>
      <c r="N287" s="319"/>
      <c r="O287" s="319"/>
      <c r="P287" s="320"/>
      <c r="Q287" s="109">
        <f t="shared" si="22"/>
        <v>1</v>
      </c>
      <c r="R287" s="100"/>
      <c r="S287" s="110"/>
      <c r="T287" s="318" t="str">
        <f t="shared" si="23"/>
        <v/>
      </c>
      <c r="U287" s="321"/>
      <c r="V287" s="319"/>
      <c r="W287" s="319"/>
      <c r="X287" s="319"/>
      <c r="Y287" s="319" t="str">
        <f t="shared" si="24"/>
        <v/>
      </c>
      <c r="Z287" s="319"/>
      <c r="AA287" s="319"/>
      <c r="AB287" s="319"/>
      <c r="AC287" s="322"/>
      <c r="AG287" s="8"/>
      <c r="AH287" s="8"/>
      <c r="AI287" s="8"/>
      <c r="AJ287" s="8"/>
      <c r="CC287" s="8"/>
      <c r="CD287" s="8"/>
      <c r="CE287" s="8"/>
      <c r="CF287" s="8"/>
    </row>
    <row r="288" spans="1:85" s="1" customFormat="1" ht="15.75" customHeight="1" thickBot="1" x14ac:dyDescent="0.2">
      <c r="E288" s="76"/>
      <c r="F288" s="76"/>
      <c r="G288" s="76"/>
      <c r="H288" s="9"/>
      <c r="I288" s="323"/>
      <c r="J288" s="323"/>
      <c r="K288" s="323"/>
      <c r="L288" s="323"/>
      <c r="M288" s="323"/>
      <c r="N288" s="323"/>
      <c r="O288" s="323"/>
      <c r="P288" s="9"/>
      <c r="Q288" s="9"/>
      <c r="R288" s="9"/>
      <c r="S288" s="323"/>
      <c r="T288" s="323"/>
      <c r="U288" s="323"/>
      <c r="V288" s="323"/>
      <c r="W288" s="323"/>
      <c r="X288" s="323"/>
      <c r="Y288" s="323"/>
      <c r="Z288" s="323"/>
      <c r="AA288" s="323"/>
      <c r="AB288" s="323"/>
      <c r="AG288" s="8"/>
      <c r="AH288" s="8"/>
      <c r="AI288" s="8"/>
      <c r="AJ288" s="8"/>
      <c r="CC288" s="8"/>
      <c r="CD288" s="8"/>
      <c r="CE288" s="8"/>
      <c r="CF288" s="8"/>
    </row>
    <row r="289" spans="1:30" s="1" customFormat="1" ht="15.75" customHeight="1" thickTop="1" thickBot="1" x14ac:dyDescent="0.2">
      <c r="A289" s="324" t="s">
        <v>533</v>
      </c>
      <c r="F289" s="76"/>
      <c r="G289" s="76"/>
      <c r="H289" s="76"/>
      <c r="I289" s="9"/>
      <c r="J289" s="323"/>
      <c r="K289" s="323"/>
      <c r="L289" s="323"/>
      <c r="M289" s="323"/>
      <c r="N289" s="323"/>
      <c r="O289" s="323"/>
      <c r="P289" s="323"/>
      <c r="Q289" s="9"/>
      <c r="R289" s="9"/>
      <c r="S289" s="9"/>
      <c r="T289" s="9"/>
      <c r="U289" s="323"/>
      <c r="V289" s="323"/>
      <c r="W289" s="323"/>
      <c r="X289" s="323"/>
      <c r="Y289" s="323"/>
      <c r="Z289" s="323"/>
      <c r="AA289" s="323"/>
      <c r="AB289" s="323"/>
      <c r="AC289" s="323"/>
      <c r="AD289" s="323"/>
    </row>
    <row r="290" spans="1:30" s="1" customFormat="1" ht="15.75" customHeight="1" thickTop="1" x14ac:dyDescent="0.15">
      <c r="A290" s="73" t="str">
        <f>IF(A$289="","","×")</f>
        <v>×</v>
      </c>
      <c r="B290" s="76"/>
      <c r="F290" s="61" t="s">
        <v>539</v>
      </c>
      <c r="G290" s="61"/>
      <c r="H290" s="302"/>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spans="1:30" s="1" customFormat="1" ht="15.75" customHeight="1" x14ac:dyDescent="0.15">
      <c r="A291" s="73" t="str">
        <f>IF(A$289="","","×")</f>
        <v>×</v>
      </c>
      <c r="F291" s="126" t="s">
        <v>78</v>
      </c>
      <c r="G291" s="126"/>
      <c r="H291" s="105"/>
      <c r="I291" s="105" t="s">
        <v>535</v>
      </c>
      <c r="J291" s="105"/>
      <c r="K291" s="105"/>
      <c r="L291" s="105"/>
      <c r="M291" s="105" t="s">
        <v>534</v>
      </c>
      <c r="N291" s="105"/>
      <c r="O291" s="105"/>
      <c r="P291" s="129"/>
      <c r="Q291" s="273" t="s">
        <v>536</v>
      </c>
      <c r="R291" s="131"/>
      <c r="S291" s="131"/>
      <c r="T291" s="131"/>
      <c r="U291" s="131"/>
      <c r="V291" s="131"/>
      <c r="W291" s="131"/>
      <c r="X291" s="131"/>
      <c r="Y291" s="131"/>
      <c r="Z291" s="131"/>
      <c r="AA291" s="131"/>
      <c r="AB291" s="131"/>
      <c r="AC291" s="131"/>
      <c r="AD291" s="132"/>
    </row>
    <row r="292" spans="1:30" s="1" customFormat="1" ht="15.75" customHeight="1" x14ac:dyDescent="0.15">
      <c r="A292" s="73" t="str">
        <f>IF(A$289="","","×")</f>
        <v>×</v>
      </c>
      <c r="F292" s="127"/>
      <c r="G292" s="127"/>
      <c r="H292" s="122"/>
      <c r="I292" s="122"/>
      <c r="J292" s="122"/>
      <c r="K292" s="122"/>
      <c r="L292" s="122"/>
      <c r="M292" s="122"/>
      <c r="N292" s="122"/>
      <c r="O292" s="122"/>
      <c r="P292" s="123"/>
      <c r="Q292" s="218" t="s">
        <v>537</v>
      </c>
      <c r="R292" s="122"/>
      <c r="S292" s="122"/>
      <c r="T292" s="122"/>
      <c r="U292" s="122" t="s">
        <v>531</v>
      </c>
      <c r="V292" s="122"/>
      <c r="W292" s="122"/>
      <c r="X292" s="122"/>
      <c r="Y292" s="122"/>
      <c r="Z292" s="122" t="s">
        <v>532</v>
      </c>
      <c r="AA292" s="122"/>
      <c r="AB292" s="122"/>
      <c r="AC292" s="122"/>
      <c r="AD292" s="123"/>
    </row>
    <row r="293" spans="1:30" s="1" customFormat="1" ht="15.75" customHeight="1" x14ac:dyDescent="0.15">
      <c r="A293" s="73" t="str">
        <f>IF(A$289="","","×")</f>
        <v>×</v>
      </c>
      <c r="F293" s="128"/>
      <c r="G293" s="128"/>
      <c r="H293" s="106"/>
      <c r="I293" s="106"/>
      <c r="J293" s="106"/>
      <c r="K293" s="106"/>
      <c r="L293" s="106"/>
      <c r="M293" s="106"/>
      <c r="N293" s="106"/>
      <c r="O293" s="106"/>
      <c r="P293" s="124"/>
      <c r="Q293" s="226"/>
      <c r="R293" s="106"/>
      <c r="S293" s="106"/>
      <c r="T293" s="106"/>
      <c r="U293" s="106"/>
      <c r="V293" s="106"/>
      <c r="W293" s="106"/>
      <c r="X293" s="106"/>
      <c r="Y293" s="106"/>
      <c r="Z293" s="106"/>
      <c r="AA293" s="106"/>
      <c r="AB293" s="106"/>
      <c r="AC293" s="106"/>
      <c r="AD293" s="124"/>
    </row>
    <row r="294" spans="1:30" s="1" customFormat="1" ht="15.75" customHeight="1" x14ac:dyDescent="0.15">
      <c r="A294" s="73" t="str">
        <f>IF(A$289="",IF(F294="","×",""),"×")</f>
        <v>×</v>
      </c>
      <c r="B294" s="76"/>
      <c r="F294" s="111">
        <f>F272</f>
        <v>3</v>
      </c>
      <c r="G294" s="111"/>
      <c r="H294" s="112"/>
      <c r="I294" s="325">
        <f>T272</f>
        <v>25020</v>
      </c>
      <c r="J294" s="325"/>
      <c r="K294" s="325"/>
      <c r="L294" s="325"/>
      <c r="M294" s="325">
        <f>Y272</f>
        <v>24950</v>
      </c>
      <c r="N294" s="325"/>
      <c r="O294" s="325"/>
      <c r="P294" s="326"/>
      <c r="Q294" s="394">
        <v>1</v>
      </c>
      <c r="R294" s="370"/>
      <c r="S294" s="370"/>
      <c r="T294" s="370"/>
      <c r="U294" s="325">
        <f>IF(I294="","",ROUND(I294*Q294,-1))</f>
        <v>25020</v>
      </c>
      <c r="V294" s="325"/>
      <c r="W294" s="325"/>
      <c r="X294" s="325"/>
      <c r="Y294" s="325"/>
      <c r="Z294" s="325">
        <f>IF(M294="","",ROUND(M294*Q294,-1))</f>
        <v>24950</v>
      </c>
      <c r="AA294" s="325"/>
      <c r="AB294" s="325"/>
      <c r="AC294" s="325"/>
      <c r="AD294" s="326"/>
    </row>
    <row r="295" spans="1:30" s="1" customFormat="1" ht="15.75" customHeight="1" x14ac:dyDescent="0.15">
      <c r="A295" s="73" t="str">
        <f>IF(A$289="",IF(F295="","×",""),"×")</f>
        <v>×</v>
      </c>
      <c r="B295" s="76"/>
      <c r="F295" s="119">
        <f>F273</f>
        <v>4</v>
      </c>
      <c r="G295" s="119"/>
      <c r="H295" s="120"/>
      <c r="I295" s="314">
        <f>T273</f>
        <v>51410</v>
      </c>
      <c r="J295" s="314"/>
      <c r="K295" s="314"/>
      <c r="L295" s="314"/>
      <c r="M295" s="314">
        <f>Y273</f>
        <v>51260</v>
      </c>
      <c r="N295" s="314"/>
      <c r="O295" s="314"/>
      <c r="P295" s="317"/>
      <c r="Q295" s="395">
        <v>1</v>
      </c>
      <c r="R295" s="372"/>
      <c r="S295" s="372"/>
      <c r="T295" s="372"/>
      <c r="U295" s="314">
        <f>IF(I295="","",ROUND(I295*Q295,-1))</f>
        <v>51410</v>
      </c>
      <c r="V295" s="314"/>
      <c r="W295" s="314"/>
      <c r="X295" s="314"/>
      <c r="Y295" s="314"/>
      <c r="Z295" s="314">
        <f>IF(M295="","",ROUND(M295*Q295,-1))</f>
        <v>51260</v>
      </c>
      <c r="AA295" s="314"/>
      <c r="AB295" s="314"/>
      <c r="AC295" s="314"/>
      <c r="AD295" s="317"/>
    </row>
    <row r="296" spans="1:30" s="1" customFormat="1" ht="15.75" customHeight="1" x14ac:dyDescent="0.15">
      <c r="A296" s="73" t="str">
        <f>IF(A$289="",IF(F296="","×",""),"×")</f>
        <v>×</v>
      </c>
      <c r="B296" s="76"/>
      <c r="F296" s="119">
        <f>F274</f>
        <v>5</v>
      </c>
      <c r="G296" s="119"/>
      <c r="H296" s="120"/>
      <c r="I296" s="314">
        <f>T274</f>
        <v>58500</v>
      </c>
      <c r="J296" s="314"/>
      <c r="K296" s="314"/>
      <c r="L296" s="314"/>
      <c r="M296" s="314">
        <f>Y274</f>
        <v>58330</v>
      </c>
      <c r="N296" s="314"/>
      <c r="O296" s="314"/>
      <c r="P296" s="317"/>
      <c r="Q296" s="395">
        <v>1</v>
      </c>
      <c r="R296" s="372"/>
      <c r="S296" s="372"/>
      <c r="T296" s="372"/>
      <c r="U296" s="314">
        <f>IF(I296="","",ROUND(I296*Q296,-1))</f>
        <v>58500</v>
      </c>
      <c r="V296" s="314"/>
      <c r="W296" s="314"/>
      <c r="X296" s="314"/>
      <c r="Y296" s="314"/>
      <c r="Z296" s="314">
        <f>IF(M296="","",ROUND(M296*Q296,-1))</f>
        <v>58330</v>
      </c>
      <c r="AA296" s="314"/>
      <c r="AB296" s="314"/>
      <c r="AC296" s="314"/>
      <c r="AD296" s="317"/>
    </row>
    <row r="297" spans="1:30" s="1" customFormat="1" ht="15.75" customHeight="1" x14ac:dyDescent="0.15">
      <c r="A297" s="73" t="str">
        <f>IF(A$289="",IF(F297="","×",""),"×")</f>
        <v>×</v>
      </c>
      <c r="B297" s="76"/>
      <c r="F297" s="119">
        <f>F275</f>
        <v>6</v>
      </c>
      <c r="G297" s="119"/>
      <c r="H297" s="120"/>
      <c r="I297" s="314">
        <f>T275</f>
        <v>83410</v>
      </c>
      <c r="J297" s="314"/>
      <c r="K297" s="314"/>
      <c r="L297" s="314"/>
      <c r="M297" s="314">
        <f>Y275</f>
        <v>83180</v>
      </c>
      <c r="N297" s="314"/>
      <c r="O297" s="314"/>
      <c r="P297" s="317"/>
      <c r="Q297" s="395">
        <v>1</v>
      </c>
      <c r="R297" s="372"/>
      <c r="S297" s="372"/>
      <c r="T297" s="372"/>
      <c r="U297" s="314">
        <f>IF(I297="","",ROUND(I297*Q297,-1))</f>
        <v>83410</v>
      </c>
      <c r="V297" s="314"/>
      <c r="W297" s="314"/>
      <c r="X297" s="314"/>
      <c r="Y297" s="314"/>
      <c r="Z297" s="314">
        <f>IF(M297="","",ROUND(M297*Q297,-1))</f>
        <v>83180</v>
      </c>
      <c r="AA297" s="314"/>
      <c r="AB297" s="314"/>
      <c r="AC297" s="314"/>
      <c r="AD297" s="317"/>
    </row>
    <row r="298" spans="1:30" s="1" customFormat="1" ht="15.75" customHeight="1" x14ac:dyDescent="0.15">
      <c r="A298" s="73" t="str">
        <f>IF(A$289="",IF(F298="","×",""),"×")</f>
        <v>×</v>
      </c>
      <c r="B298" s="76"/>
      <c r="F298" s="119">
        <f>F276</f>
        <v>7</v>
      </c>
      <c r="G298" s="119"/>
      <c r="H298" s="120"/>
      <c r="I298" s="314">
        <f>T276</f>
        <v>164820</v>
      </c>
      <c r="J298" s="314"/>
      <c r="K298" s="314"/>
      <c r="L298" s="314"/>
      <c r="M298" s="314">
        <f>Y276</f>
        <v>164340</v>
      </c>
      <c r="N298" s="314"/>
      <c r="O298" s="314"/>
      <c r="P298" s="317"/>
      <c r="Q298" s="395">
        <v>1</v>
      </c>
      <c r="R298" s="372"/>
      <c r="S298" s="372"/>
      <c r="T298" s="372"/>
      <c r="U298" s="314">
        <f>IF(I298="","",ROUND(I298*Q298,-1))</f>
        <v>164820</v>
      </c>
      <c r="V298" s="314"/>
      <c r="W298" s="314"/>
      <c r="X298" s="314"/>
      <c r="Y298" s="314"/>
      <c r="Z298" s="314">
        <f>IF(M298="","",ROUND(M298*Q298,-1))</f>
        <v>164340</v>
      </c>
      <c r="AA298" s="314"/>
      <c r="AB298" s="314"/>
      <c r="AC298" s="314"/>
      <c r="AD298" s="317"/>
    </row>
    <row r="299" spans="1:30" s="1" customFormat="1" ht="15.75" customHeight="1" x14ac:dyDescent="0.15">
      <c r="A299" s="73" t="str">
        <f>IF(A$289="",IF(F299="","×",""),"×")</f>
        <v>×</v>
      </c>
      <c r="B299" s="76"/>
      <c r="F299" s="119" t="str">
        <f>F277</f>
        <v/>
      </c>
      <c r="G299" s="119"/>
      <c r="H299" s="120"/>
      <c r="I299" s="314" t="str">
        <f>T277</f>
        <v/>
      </c>
      <c r="J299" s="314"/>
      <c r="K299" s="314"/>
      <c r="L299" s="314"/>
      <c r="M299" s="314" t="str">
        <f>Y277</f>
        <v/>
      </c>
      <c r="N299" s="314"/>
      <c r="O299" s="314"/>
      <c r="P299" s="317"/>
      <c r="Q299" s="395"/>
      <c r="R299" s="372"/>
      <c r="S299" s="372"/>
      <c r="T299" s="372"/>
      <c r="U299" s="314" t="str">
        <f>IF(I299="","",ROUND(I299*Q299,-1))</f>
        <v/>
      </c>
      <c r="V299" s="314"/>
      <c r="W299" s="314"/>
      <c r="X299" s="314"/>
      <c r="Y299" s="314"/>
      <c r="Z299" s="314" t="str">
        <f>IF(M299="","",ROUND(M299*Q299,-1))</f>
        <v/>
      </c>
      <c r="AA299" s="314"/>
      <c r="AB299" s="314"/>
      <c r="AC299" s="314"/>
      <c r="AD299" s="317"/>
    </row>
    <row r="300" spans="1:30" s="1" customFormat="1" ht="15.75" customHeight="1" x14ac:dyDescent="0.15">
      <c r="A300" s="73" t="str">
        <f>IF(A$289="",IF(F300="","×",""),"×")</f>
        <v>×</v>
      </c>
      <c r="B300" s="76"/>
      <c r="F300" s="119" t="str">
        <f>F278</f>
        <v/>
      </c>
      <c r="G300" s="119"/>
      <c r="H300" s="120"/>
      <c r="I300" s="314" t="str">
        <f>T278</f>
        <v/>
      </c>
      <c r="J300" s="314"/>
      <c r="K300" s="314"/>
      <c r="L300" s="314"/>
      <c r="M300" s="314" t="str">
        <f>Y278</f>
        <v/>
      </c>
      <c r="N300" s="314"/>
      <c r="O300" s="314"/>
      <c r="P300" s="317"/>
      <c r="Q300" s="395"/>
      <c r="R300" s="372"/>
      <c r="S300" s="372"/>
      <c r="T300" s="372"/>
      <c r="U300" s="314" t="str">
        <f>IF(I300="","",ROUND(I300*Q300,-1))</f>
        <v/>
      </c>
      <c r="V300" s="314"/>
      <c r="W300" s="314"/>
      <c r="X300" s="314"/>
      <c r="Y300" s="314"/>
      <c r="Z300" s="314" t="str">
        <f>IF(M300="","",ROUND(M300*Q300,-1))</f>
        <v/>
      </c>
      <c r="AA300" s="314"/>
      <c r="AB300" s="314"/>
      <c r="AC300" s="314"/>
      <c r="AD300" s="317"/>
    </row>
    <row r="301" spans="1:30" s="1" customFormat="1" ht="15.75" customHeight="1" x14ac:dyDescent="0.15">
      <c r="A301" s="73" t="str">
        <f>IF(A$289="",IF(F301="","×",""),"×")</f>
        <v>×</v>
      </c>
      <c r="B301" s="76"/>
      <c r="F301" s="119" t="str">
        <f>F279</f>
        <v/>
      </c>
      <c r="G301" s="119"/>
      <c r="H301" s="120"/>
      <c r="I301" s="314" t="str">
        <f>T279</f>
        <v/>
      </c>
      <c r="J301" s="314"/>
      <c r="K301" s="314"/>
      <c r="L301" s="314"/>
      <c r="M301" s="314" t="str">
        <f>Y279</f>
        <v/>
      </c>
      <c r="N301" s="314"/>
      <c r="O301" s="314"/>
      <c r="P301" s="317"/>
      <c r="Q301" s="395"/>
      <c r="R301" s="372"/>
      <c r="S301" s="372"/>
      <c r="T301" s="372"/>
      <c r="U301" s="314" t="str">
        <f>IF(I301="","",ROUND(I301*Q301,-1))</f>
        <v/>
      </c>
      <c r="V301" s="314"/>
      <c r="W301" s="314"/>
      <c r="X301" s="314"/>
      <c r="Y301" s="314"/>
      <c r="Z301" s="314" t="str">
        <f>IF(M301="","",ROUND(M301*Q301,-1))</f>
        <v/>
      </c>
      <c r="AA301" s="314"/>
      <c r="AB301" s="314"/>
      <c r="AC301" s="314"/>
      <c r="AD301" s="317"/>
    </row>
    <row r="302" spans="1:30" s="1" customFormat="1" ht="15.75" customHeight="1" x14ac:dyDescent="0.15">
      <c r="A302" s="73" t="str">
        <f>IF(A$289="",IF(F302="","×",""),"×")</f>
        <v>×</v>
      </c>
      <c r="B302" s="76"/>
      <c r="F302" s="119" t="str">
        <f>F280</f>
        <v/>
      </c>
      <c r="G302" s="119"/>
      <c r="H302" s="120"/>
      <c r="I302" s="314" t="str">
        <f>T280</f>
        <v/>
      </c>
      <c r="J302" s="314"/>
      <c r="K302" s="314"/>
      <c r="L302" s="314"/>
      <c r="M302" s="314" t="str">
        <f>Y280</f>
        <v/>
      </c>
      <c r="N302" s="314"/>
      <c r="O302" s="314"/>
      <c r="P302" s="317"/>
      <c r="Q302" s="395"/>
      <c r="R302" s="372"/>
      <c r="S302" s="372"/>
      <c r="T302" s="372"/>
      <c r="U302" s="314" t="str">
        <f>IF(I302="","",ROUND(I302*Q302,-1))</f>
        <v/>
      </c>
      <c r="V302" s="314"/>
      <c r="W302" s="314"/>
      <c r="X302" s="314"/>
      <c r="Y302" s="314"/>
      <c r="Z302" s="314" t="str">
        <f>IF(M302="","",ROUND(M302*Q302,-1))</f>
        <v/>
      </c>
      <c r="AA302" s="314"/>
      <c r="AB302" s="314"/>
      <c r="AC302" s="314"/>
      <c r="AD302" s="317"/>
    </row>
    <row r="303" spans="1:30" s="1" customFormat="1" ht="15.75" customHeight="1" x14ac:dyDescent="0.15">
      <c r="A303" s="73" t="str">
        <f>IF(A$289="",IF(F303="","×",""),"×")</f>
        <v>×</v>
      </c>
      <c r="B303" s="76"/>
      <c r="F303" s="119" t="str">
        <f>F281</f>
        <v/>
      </c>
      <c r="G303" s="119"/>
      <c r="H303" s="120"/>
      <c r="I303" s="314" t="str">
        <f>T281</f>
        <v/>
      </c>
      <c r="J303" s="314"/>
      <c r="K303" s="314"/>
      <c r="L303" s="314"/>
      <c r="M303" s="314" t="str">
        <f>Y281</f>
        <v/>
      </c>
      <c r="N303" s="314"/>
      <c r="O303" s="314"/>
      <c r="P303" s="317"/>
      <c r="Q303" s="395"/>
      <c r="R303" s="372"/>
      <c r="S303" s="372"/>
      <c r="T303" s="372"/>
      <c r="U303" s="314" t="str">
        <f>IF(I303="","",ROUND(I303*Q303,-1))</f>
        <v/>
      </c>
      <c r="V303" s="314"/>
      <c r="W303" s="314"/>
      <c r="X303" s="314"/>
      <c r="Y303" s="314"/>
      <c r="Z303" s="314" t="str">
        <f>IF(M303="","",ROUND(M303*Q303,-1))</f>
        <v/>
      </c>
      <c r="AA303" s="314"/>
      <c r="AB303" s="314"/>
      <c r="AC303" s="314"/>
      <c r="AD303" s="317"/>
    </row>
    <row r="304" spans="1:30" s="1" customFormat="1" ht="15.75" customHeight="1" x14ac:dyDescent="0.15">
      <c r="A304" s="73" t="str">
        <f>IF(A$289="",IF(F304="","×",""),"×")</f>
        <v>×</v>
      </c>
      <c r="B304" s="76"/>
      <c r="F304" s="119" t="str">
        <f>F282</f>
        <v/>
      </c>
      <c r="G304" s="119"/>
      <c r="H304" s="120"/>
      <c r="I304" s="314" t="str">
        <f>T282</f>
        <v/>
      </c>
      <c r="J304" s="314"/>
      <c r="K304" s="314"/>
      <c r="L304" s="314"/>
      <c r="M304" s="314" t="str">
        <f>Y282</f>
        <v/>
      </c>
      <c r="N304" s="314"/>
      <c r="O304" s="314"/>
      <c r="P304" s="317"/>
      <c r="Q304" s="395"/>
      <c r="R304" s="372"/>
      <c r="S304" s="372"/>
      <c r="T304" s="372"/>
      <c r="U304" s="314" t="str">
        <f>IF(I304="","",ROUND(I304*Q304,-1))</f>
        <v/>
      </c>
      <c r="V304" s="314"/>
      <c r="W304" s="314"/>
      <c r="X304" s="314"/>
      <c r="Y304" s="314"/>
      <c r="Z304" s="314" t="str">
        <f>IF(M304="","",ROUND(M304*Q304,-1))</f>
        <v/>
      </c>
      <c r="AA304" s="314"/>
      <c r="AB304" s="314"/>
      <c r="AC304" s="314"/>
      <c r="AD304" s="317"/>
    </row>
    <row r="305" spans="1:31" s="1" customFormat="1" ht="15.75" customHeight="1" x14ac:dyDescent="0.15">
      <c r="A305" s="73" t="str">
        <f>IF(A$289="",IF(F305="","×",""),"×")</f>
        <v>×</v>
      </c>
      <c r="B305" s="76"/>
      <c r="F305" s="119" t="str">
        <f>F283</f>
        <v/>
      </c>
      <c r="G305" s="119"/>
      <c r="H305" s="120"/>
      <c r="I305" s="314" t="str">
        <f>T283</f>
        <v/>
      </c>
      <c r="J305" s="314"/>
      <c r="K305" s="314"/>
      <c r="L305" s="314"/>
      <c r="M305" s="314" t="str">
        <f>Y283</f>
        <v/>
      </c>
      <c r="N305" s="314"/>
      <c r="O305" s="314"/>
      <c r="P305" s="317"/>
      <c r="Q305" s="395"/>
      <c r="R305" s="372"/>
      <c r="S305" s="372"/>
      <c r="T305" s="372"/>
      <c r="U305" s="314" t="str">
        <f>IF(I305="","",ROUND(I305*Q305,-1))</f>
        <v/>
      </c>
      <c r="V305" s="314"/>
      <c r="W305" s="314"/>
      <c r="X305" s="314"/>
      <c r="Y305" s="314"/>
      <c r="Z305" s="314" t="str">
        <f>IF(M305="","",ROUND(M305*Q305,-1))</f>
        <v/>
      </c>
      <c r="AA305" s="314"/>
      <c r="AB305" s="314"/>
      <c r="AC305" s="314"/>
      <c r="AD305" s="317"/>
    </row>
    <row r="306" spans="1:31" s="1" customFormat="1" ht="15.75" customHeight="1" x14ac:dyDescent="0.15">
      <c r="A306" s="73" t="str">
        <f>IF(A$289="",IF(F306="","×",""),"×")</f>
        <v>×</v>
      </c>
      <c r="B306" s="76"/>
      <c r="F306" s="119" t="str">
        <f>F284</f>
        <v/>
      </c>
      <c r="G306" s="119"/>
      <c r="H306" s="120"/>
      <c r="I306" s="314" t="str">
        <f>T284</f>
        <v/>
      </c>
      <c r="J306" s="314"/>
      <c r="K306" s="314"/>
      <c r="L306" s="314"/>
      <c r="M306" s="314" t="str">
        <f>Y284</f>
        <v/>
      </c>
      <c r="N306" s="314"/>
      <c r="O306" s="314"/>
      <c r="P306" s="317"/>
      <c r="Q306" s="395"/>
      <c r="R306" s="372"/>
      <c r="S306" s="372"/>
      <c r="T306" s="372"/>
      <c r="U306" s="314" t="str">
        <f>IF(I306="","",ROUND(I306*Q306,-1))</f>
        <v/>
      </c>
      <c r="V306" s="314"/>
      <c r="W306" s="314"/>
      <c r="X306" s="314"/>
      <c r="Y306" s="314"/>
      <c r="Z306" s="314" t="str">
        <f>IF(M306="","",ROUND(M306*Q306,-1))</f>
        <v/>
      </c>
      <c r="AA306" s="314"/>
      <c r="AB306" s="314"/>
      <c r="AC306" s="314"/>
      <c r="AD306" s="317"/>
    </row>
    <row r="307" spans="1:31" s="1" customFormat="1" ht="15.75" customHeight="1" x14ac:dyDescent="0.15">
      <c r="A307" s="73" t="str">
        <f>IF(A$289="",IF(F307="","×",""),"×")</f>
        <v>×</v>
      </c>
      <c r="B307" s="76"/>
      <c r="F307" s="119" t="str">
        <f>F285</f>
        <v/>
      </c>
      <c r="G307" s="119"/>
      <c r="H307" s="120"/>
      <c r="I307" s="314" t="str">
        <f>T285</f>
        <v/>
      </c>
      <c r="J307" s="314"/>
      <c r="K307" s="314"/>
      <c r="L307" s="314"/>
      <c r="M307" s="314" t="str">
        <f>Y285</f>
        <v/>
      </c>
      <c r="N307" s="314"/>
      <c r="O307" s="314"/>
      <c r="P307" s="317"/>
      <c r="Q307" s="395"/>
      <c r="R307" s="372"/>
      <c r="S307" s="372"/>
      <c r="T307" s="372"/>
      <c r="U307" s="314" t="str">
        <f>IF(I307="","",ROUND(I307*Q307,-1))</f>
        <v/>
      </c>
      <c r="V307" s="314"/>
      <c r="W307" s="314"/>
      <c r="X307" s="314"/>
      <c r="Y307" s="314"/>
      <c r="Z307" s="314" t="str">
        <f>IF(M307="","",ROUND(M307*Q307,-1))</f>
        <v/>
      </c>
      <c r="AA307" s="314"/>
      <c r="AB307" s="314"/>
      <c r="AC307" s="314"/>
      <c r="AD307" s="317"/>
    </row>
    <row r="308" spans="1:31" s="1" customFormat="1" ht="15.75" customHeight="1" x14ac:dyDescent="0.15">
      <c r="A308" s="73" t="str">
        <f>IF(A$289="",IF(F308="","×",""),"×")</f>
        <v>×</v>
      </c>
      <c r="B308" s="76"/>
      <c r="F308" s="119" t="str">
        <f>F286</f>
        <v/>
      </c>
      <c r="G308" s="119"/>
      <c r="H308" s="120"/>
      <c r="I308" s="314" t="str">
        <f>T286</f>
        <v/>
      </c>
      <c r="J308" s="314"/>
      <c r="K308" s="314"/>
      <c r="L308" s="314"/>
      <c r="M308" s="314" t="str">
        <f>Y286</f>
        <v/>
      </c>
      <c r="N308" s="314"/>
      <c r="O308" s="314"/>
      <c r="P308" s="317"/>
      <c r="Q308" s="395"/>
      <c r="R308" s="372"/>
      <c r="S308" s="372"/>
      <c r="T308" s="372"/>
      <c r="U308" s="314" t="str">
        <f>IF(I308="","",ROUND(I308*Q308,-1))</f>
        <v/>
      </c>
      <c r="V308" s="314"/>
      <c r="W308" s="314"/>
      <c r="X308" s="314"/>
      <c r="Y308" s="314"/>
      <c r="Z308" s="314" t="str">
        <f>IF(M308="","",ROUND(M308*Q308,-1))</f>
        <v/>
      </c>
      <c r="AA308" s="314"/>
      <c r="AB308" s="314"/>
      <c r="AC308" s="314"/>
      <c r="AD308" s="317"/>
    </row>
    <row r="309" spans="1:31" s="1" customFormat="1" ht="15.75" customHeight="1" x14ac:dyDescent="0.15">
      <c r="A309" s="73" t="str">
        <f>IF(A$289="",IF(F309="","×",""),"×")</f>
        <v>×</v>
      </c>
      <c r="B309" s="76"/>
      <c r="F309" s="233" t="str">
        <f>F287</f>
        <v/>
      </c>
      <c r="G309" s="233"/>
      <c r="H309" s="234"/>
      <c r="I309" s="319" t="str">
        <f>T287</f>
        <v/>
      </c>
      <c r="J309" s="319"/>
      <c r="K309" s="319"/>
      <c r="L309" s="319"/>
      <c r="M309" s="319" t="str">
        <f>Y287</f>
        <v/>
      </c>
      <c r="N309" s="319"/>
      <c r="O309" s="319"/>
      <c r="P309" s="322"/>
      <c r="Q309" s="396"/>
      <c r="R309" s="373"/>
      <c r="S309" s="373"/>
      <c r="T309" s="373"/>
      <c r="U309" s="319" t="str">
        <f>IF(I309="","",ROUND(I309*Q309,-1))</f>
        <v/>
      </c>
      <c r="V309" s="319"/>
      <c r="W309" s="319"/>
      <c r="X309" s="319"/>
      <c r="Y309" s="319"/>
      <c r="Z309" s="319" t="str">
        <f>IF(M309="","",ROUND(M309*Q309,-1))</f>
        <v/>
      </c>
      <c r="AA309" s="319"/>
      <c r="AB309" s="319"/>
      <c r="AC309" s="319"/>
      <c r="AD309" s="322"/>
    </row>
    <row r="310" spans="1:31" s="1" customFormat="1" ht="15.75" customHeight="1" thickBot="1" x14ac:dyDescent="0.2">
      <c r="A310" s="73" t="str">
        <f>IF(A$289="","","×")</f>
        <v>×</v>
      </c>
      <c r="F310" s="76"/>
      <c r="G310" s="76"/>
      <c r="H310" s="9"/>
      <c r="I310" s="323"/>
      <c r="J310" s="323"/>
      <c r="K310" s="323"/>
      <c r="L310" s="323"/>
      <c r="M310" s="323"/>
      <c r="N310" s="323"/>
      <c r="O310" s="323"/>
      <c r="P310" s="9"/>
      <c r="Q310" s="9"/>
      <c r="R310" s="9"/>
      <c r="S310" s="9"/>
      <c r="T310" s="323"/>
      <c r="U310" s="323"/>
      <c r="V310" s="323"/>
      <c r="W310" s="323"/>
      <c r="X310" s="323"/>
      <c r="Y310" s="323"/>
      <c r="Z310" s="323"/>
      <c r="AA310" s="323"/>
      <c r="AB310" s="323"/>
      <c r="AC310" s="323"/>
      <c r="AD310" s="323"/>
      <c r="AE310" s="323"/>
    </row>
    <row r="311" spans="1:31" s="1" customFormat="1" ht="15.75" customHeight="1" thickTop="1" thickBot="1" x14ac:dyDescent="0.2">
      <c r="A311" s="324" t="s">
        <v>533</v>
      </c>
      <c r="H311" s="76"/>
      <c r="I311" s="76"/>
      <c r="J311" s="76"/>
      <c r="K311" s="9"/>
      <c r="L311" s="323"/>
      <c r="M311" s="323"/>
      <c r="N311" s="323"/>
      <c r="O311" s="323"/>
      <c r="P311" s="323"/>
      <c r="Q311" s="323"/>
      <c r="R311" s="323"/>
      <c r="S311" s="323"/>
      <c r="T311" s="9"/>
      <c r="U311" s="9"/>
      <c r="V311" s="9"/>
      <c r="W311" s="9"/>
      <c r="X311" s="323"/>
      <c r="Y311" s="323"/>
      <c r="Z311" s="323"/>
      <c r="AA311" s="323"/>
      <c r="AB311" s="323"/>
      <c r="AC311" s="323"/>
      <c r="AD311" s="323"/>
    </row>
    <row r="312" spans="1:31" s="1" customFormat="1" ht="15.75" customHeight="1" thickTop="1" x14ac:dyDescent="0.15">
      <c r="A312" s="73" t="str">
        <f>IF(A$311="","","×")</f>
        <v>×</v>
      </c>
      <c r="F312" s="61" t="s">
        <v>539</v>
      </c>
      <c r="G312" s="61"/>
      <c r="H312" s="302"/>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spans="1:31" s="1" customFormat="1" ht="15.75" customHeight="1" x14ac:dyDescent="0.15">
      <c r="A313" s="73" t="str">
        <f t="shared" ref="A313:A315" si="25">IF(A$311="","","×")</f>
        <v>×</v>
      </c>
      <c r="F313" s="126" t="s">
        <v>78</v>
      </c>
      <c r="G313" s="126"/>
      <c r="H313" s="105"/>
      <c r="I313" s="105" t="s">
        <v>535</v>
      </c>
      <c r="J313" s="105"/>
      <c r="K313" s="105"/>
      <c r="L313" s="105"/>
      <c r="M313" s="105" t="s">
        <v>534</v>
      </c>
      <c r="N313" s="105"/>
      <c r="O313" s="105"/>
      <c r="P313" s="129"/>
      <c r="Q313" s="273" t="s">
        <v>538</v>
      </c>
      <c r="R313" s="131"/>
      <c r="S313" s="131"/>
      <c r="T313" s="131"/>
      <c r="U313" s="131"/>
      <c r="V313" s="131"/>
      <c r="W313" s="131"/>
      <c r="X313" s="131"/>
      <c r="Y313" s="131"/>
      <c r="Z313" s="131"/>
      <c r="AA313" s="131"/>
      <c r="AB313" s="131"/>
      <c r="AC313" s="131"/>
      <c r="AD313" s="132"/>
    </row>
    <row r="314" spans="1:31" s="1" customFormat="1" ht="15.75" customHeight="1" x14ac:dyDescent="0.15">
      <c r="A314" s="73" t="str">
        <f t="shared" si="25"/>
        <v>×</v>
      </c>
      <c r="F314" s="127"/>
      <c r="G314" s="127"/>
      <c r="H314" s="122"/>
      <c r="I314" s="122"/>
      <c r="J314" s="122"/>
      <c r="K314" s="122"/>
      <c r="L314" s="122"/>
      <c r="M314" s="122"/>
      <c r="N314" s="122"/>
      <c r="O314" s="122"/>
      <c r="P314" s="123"/>
      <c r="Q314" s="218" t="s">
        <v>537</v>
      </c>
      <c r="R314" s="122"/>
      <c r="S314" s="122"/>
      <c r="T314" s="122"/>
      <c r="U314" s="122" t="s">
        <v>531</v>
      </c>
      <c r="V314" s="122"/>
      <c r="W314" s="122"/>
      <c r="X314" s="122"/>
      <c r="Y314" s="122"/>
      <c r="Z314" s="122" t="s">
        <v>532</v>
      </c>
      <c r="AA314" s="122"/>
      <c r="AB314" s="122"/>
      <c r="AC314" s="122"/>
      <c r="AD314" s="123"/>
    </row>
    <row r="315" spans="1:31" s="1" customFormat="1" ht="15.75" customHeight="1" x14ac:dyDescent="0.15">
      <c r="A315" s="73" t="str">
        <f t="shared" si="25"/>
        <v>×</v>
      </c>
      <c r="F315" s="128"/>
      <c r="G315" s="128"/>
      <c r="H315" s="106"/>
      <c r="I315" s="106"/>
      <c r="J315" s="106"/>
      <c r="K315" s="106"/>
      <c r="L315" s="106"/>
      <c r="M315" s="106"/>
      <c r="N315" s="106"/>
      <c r="O315" s="106"/>
      <c r="P315" s="124"/>
      <c r="Q315" s="226"/>
      <c r="R315" s="106"/>
      <c r="S315" s="106"/>
      <c r="T315" s="106"/>
      <c r="U315" s="106"/>
      <c r="V315" s="106"/>
      <c r="W315" s="106"/>
      <c r="X315" s="106"/>
      <c r="Y315" s="106"/>
      <c r="Z315" s="106"/>
      <c r="AA315" s="106"/>
      <c r="AB315" s="106"/>
      <c r="AC315" s="106"/>
      <c r="AD315" s="124"/>
    </row>
    <row r="316" spans="1:31" s="1" customFormat="1" ht="15.75" customHeight="1" x14ac:dyDescent="0.15">
      <c r="A316" s="73" t="str">
        <f>IF(A$311="",IF(F316="","×",""),"×")</f>
        <v>×</v>
      </c>
      <c r="F316" s="117">
        <f>F294</f>
        <v>3</v>
      </c>
      <c r="G316" s="117"/>
      <c r="H316" s="118"/>
      <c r="I316" s="309">
        <f>T272</f>
        <v>25020</v>
      </c>
      <c r="J316" s="309"/>
      <c r="K316" s="309"/>
      <c r="L316" s="309"/>
      <c r="M316" s="309">
        <f>Y272</f>
        <v>24950</v>
      </c>
      <c r="N316" s="309"/>
      <c r="O316" s="309"/>
      <c r="P316" s="312"/>
      <c r="Q316" s="397">
        <v>1</v>
      </c>
      <c r="R316" s="398"/>
      <c r="S316" s="398"/>
      <c r="T316" s="398"/>
      <c r="U316" s="309">
        <f>IF(I294="","",ROUND(I294*Q316,-1))</f>
        <v>25020</v>
      </c>
      <c r="V316" s="309"/>
      <c r="W316" s="309"/>
      <c r="X316" s="309"/>
      <c r="Y316" s="309"/>
      <c r="Z316" s="309">
        <f>IF(M294="","",ROUND(M294*Q316,-1))</f>
        <v>24950</v>
      </c>
      <c r="AA316" s="309"/>
      <c r="AB316" s="309"/>
      <c r="AC316" s="309"/>
      <c r="AD316" s="312"/>
    </row>
    <row r="317" spans="1:31" s="1" customFormat="1" ht="15.75" customHeight="1" x14ac:dyDescent="0.15">
      <c r="A317" s="73" t="str">
        <f>IF(A$311="",IF(F317="","×",""),"×")</f>
        <v>×</v>
      </c>
      <c r="F317" s="119">
        <f t="shared" ref="F317:F331" si="26">F295</f>
        <v>4</v>
      </c>
      <c r="G317" s="119"/>
      <c r="H317" s="120"/>
      <c r="I317" s="314">
        <f>T273</f>
        <v>51410</v>
      </c>
      <c r="J317" s="314"/>
      <c r="K317" s="314"/>
      <c r="L317" s="314"/>
      <c r="M317" s="314">
        <f>Y273</f>
        <v>51260</v>
      </c>
      <c r="N317" s="314"/>
      <c r="O317" s="314"/>
      <c r="P317" s="317"/>
      <c r="Q317" s="395">
        <v>1</v>
      </c>
      <c r="R317" s="372"/>
      <c r="S317" s="372"/>
      <c r="T317" s="372"/>
      <c r="U317" s="314">
        <f>IF(I295="","",ROUND(I295*Q317,-1))</f>
        <v>51410</v>
      </c>
      <c r="V317" s="314"/>
      <c r="W317" s="314"/>
      <c r="X317" s="314"/>
      <c r="Y317" s="314"/>
      <c r="Z317" s="314">
        <f>IF(M295="","",ROUND(M295*Q317,-1))</f>
        <v>51260</v>
      </c>
      <c r="AA317" s="314"/>
      <c r="AB317" s="314"/>
      <c r="AC317" s="314"/>
      <c r="AD317" s="317"/>
    </row>
    <row r="318" spans="1:31" s="1" customFormat="1" ht="15.75" customHeight="1" x14ac:dyDescent="0.15">
      <c r="A318" s="73" t="str">
        <f>IF(A$311="",IF(F318="","×",""),"×")</f>
        <v>×</v>
      </c>
      <c r="F318" s="119">
        <f t="shared" si="26"/>
        <v>5</v>
      </c>
      <c r="G318" s="119"/>
      <c r="H318" s="120"/>
      <c r="I318" s="314">
        <f>T274</f>
        <v>58500</v>
      </c>
      <c r="J318" s="314"/>
      <c r="K318" s="314"/>
      <c r="L318" s="314"/>
      <c r="M318" s="314">
        <f>Y274</f>
        <v>58330</v>
      </c>
      <c r="N318" s="314"/>
      <c r="O318" s="314"/>
      <c r="P318" s="317"/>
      <c r="Q318" s="395">
        <v>1</v>
      </c>
      <c r="R318" s="372"/>
      <c r="S318" s="372"/>
      <c r="T318" s="372"/>
      <c r="U318" s="314">
        <f>IF(I296="","",ROUND(I296*Q318,-1))</f>
        <v>58500</v>
      </c>
      <c r="V318" s="314"/>
      <c r="W318" s="314"/>
      <c r="X318" s="314"/>
      <c r="Y318" s="314"/>
      <c r="Z318" s="314">
        <f>IF(M296="","",ROUND(M296*Q318,-1))</f>
        <v>58330</v>
      </c>
      <c r="AA318" s="314"/>
      <c r="AB318" s="314"/>
      <c r="AC318" s="314"/>
      <c r="AD318" s="317"/>
    </row>
    <row r="319" spans="1:31" s="1" customFormat="1" ht="15.75" customHeight="1" x14ac:dyDescent="0.15">
      <c r="A319" s="73" t="str">
        <f>IF(A$311="",IF(F319="","×",""),"×")</f>
        <v>×</v>
      </c>
      <c r="F319" s="119">
        <f t="shared" si="26"/>
        <v>6</v>
      </c>
      <c r="G319" s="119"/>
      <c r="H319" s="120"/>
      <c r="I319" s="314">
        <f>T275</f>
        <v>83410</v>
      </c>
      <c r="J319" s="314"/>
      <c r="K319" s="314"/>
      <c r="L319" s="314"/>
      <c r="M319" s="314">
        <f>Y275</f>
        <v>83180</v>
      </c>
      <c r="N319" s="314"/>
      <c r="O319" s="314"/>
      <c r="P319" s="317"/>
      <c r="Q319" s="395">
        <v>1</v>
      </c>
      <c r="R319" s="372"/>
      <c r="S319" s="372"/>
      <c r="T319" s="372"/>
      <c r="U319" s="314">
        <f>IF(I297="","",ROUND(I297*Q319,-1))</f>
        <v>83410</v>
      </c>
      <c r="V319" s="314"/>
      <c r="W319" s="314"/>
      <c r="X319" s="314"/>
      <c r="Y319" s="314"/>
      <c r="Z319" s="314">
        <f>IF(M297="","",ROUND(M297*Q319,-1))</f>
        <v>83180</v>
      </c>
      <c r="AA319" s="314"/>
      <c r="AB319" s="314"/>
      <c r="AC319" s="314"/>
      <c r="AD319" s="317"/>
    </row>
    <row r="320" spans="1:31" s="1" customFormat="1" ht="15.75" customHeight="1" x14ac:dyDescent="0.15">
      <c r="A320" s="73" t="str">
        <f>IF(A$311="",IF(F320="","×",""),"×")</f>
        <v>×</v>
      </c>
      <c r="F320" s="119">
        <f t="shared" si="26"/>
        <v>7</v>
      </c>
      <c r="G320" s="119"/>
      <c r="H320" s="120"/>
      <c r="I320" s="314">
        <f>T276</f>
        <v>164820</v>
      </c>
      <c r="J320" s="314"/>
      <c r="K320" s="314"/>
      <c r="L320" s="314"/>
      <c r="M320" s="314">
        <f>Y276</f>
        <v>164340</v>
      </c>
      <c r="N320" s="314"/>
      <c r="O320" s="314"/>
      <c r="P320" s="317"/>
      <c r="Q320" s="395">
        <v>1</v>
      </c>
      <c r="R320" s="372"/>
      <c r="S320" s="372"/>
      <c r="T320" s="372"/>
      <c r="U320" s="314">
        <f>IF(I298="","",ROUND(I298*Q320,-1))</f>
        <v>164820</v>
      </c>
      <c r="V320" s="314"/>
      <c r="W320" s="314"/>
      <c r="X320" s="314"/>
      <c r="Y320" s="314"/>
      <c r="Z320" s="314">
        <f>IF(M298="","",ROUND(M298*Q320,-1))</f>
        <v>164340</v>
      </c>
      <c r="AA320" s="314"/>
      <c r="AB320" s="314"/>
      <c r="AC320" s="314"/>
      <c r="AD320" s="317"/>
    </row>
    <row r="321" spans="1:84" s="1" customFormat="1" ht="15.75" customHeight="1" x14ac:dyDescent="0.15">
      <c r="A321" s="73" t="str">
        <f>IF(A$311="",IF(F321="","×",""),"×")</f>
        <v>×</v>
      </c>
      <c r="F321" s="119" t="str">
        <f t="shared" si="26"/>
        <v/>
      </c>
      <c r="G321" s="119"/>
      <c r="H321" s="120"/>
      <c r="I321" s="314" t="str">
        <f>T277</f>
        <v/>
      </c>
      <c r="J321" s="314"/>
      <c r="K321" s="314"/>
      <c r="L321" s="314"/>
      <c r="M321" s="314" t="str">
        <f>Y277</f>
        <v/>
      </c>
      <c r="N321" s="314"/>
      <c r="O321" s="314"/>
      <c r="P321" s="317"/>
      <c r="Q321" s="395"/>
      <c r="R321" s="372"/>
      <c r="S321" s="372"/>
      <c r="T321" s="372"/>
      <c r="U321" s="314" t="str">
        <f>IF(I299="","",ROUND(I299*Q321,-1))</f>
        <v/>
      </c>
      <c r="V321" s="314"/>
      <c r="W321" s="314"/>
      <c r="X321" s="314"/>
      <c r="Y321" s="314"/>
      <c r="Z321" s="314" t="str">
        <f>IF(M299="","",ROUND(M299*Q321,-1))</f>
        <v/>
      </c>
      <c r="AA321" s="314"/>
      <c r="AB321" s="314"/>
      <c r="AC321" s="314"/>
      <c r="AD321" s="317"/>
    </row>
    <row r="322" spans="1:84" s="1" customFormat="1" ht="15.75" customHeight="1" x14ac:dyDescent="0.15">
      <c r="A322" s="73" t="str">
        <f>IF(A$311="",IF(F322="","×",""),"×")</f>
        <v>×</v>
      </c>
      <c r="F322" s="119" t="str">
        <f t="shared" si="26"/>
        <v/>
      </c>
      <c r="G322" s="119"/>
      <c r="H322" s="120"/>
      <c r="I322" s="314" t="str">
        <f>T278</f>
        <v/>
      </c>
      <c r="J322" s="314"/>
      <c r="K322" s="314"/>
      <c r="L322" s="314"/>
      <c r="M322" s="314" t="str">
        <f>Y278</f>
        <v/>
      </c>
      <c r="N322" s="314"/>
      <c r="O322" s="314"/>
      <c r="P322" s="317"/>
      <c r="Q322" s="395"/>
      <c r="R322" s="372"/>
      <c r="S322" s="372"/>
      <c r="T322" s="372"/>
      <c r="U322" s="314" t="str">
        <f>IF(I300="","",ROUND(I300*Q322,-1))</f>
        <v/>
      </c>
      <c r="V322" s="314"/>
      <c r="W322" s="314"/>
      <c r="X322" s="314"/>
      <c r="Y322" s="314"/>
      <c r="Z322" s="314" t="str">
        <f>IF(M300="","",ROUND(M300*Q322,-1))</f>
        <v/>
      </c>
      <c r="AA322" s="314"/>
      <c r="AB322" s="314"/>
      <c r="AC322" s="314"/>
      <c r="AD322" s="317"/>
    </row>
    <row r="323" spans="1:84" s="1" customFormat="1" ht="15.75" customHeight="1" x14ac:dyDescent="0.15">
      <c r="A323" s="73" t="str">
        <f>IF(A$311="",IF(F323="","×",""),"×")</f>
        <v>×</v>
      </c>
      <c r="F323" s="119" t="str">
        <f t="shared" si="26"/>
        <v/>
      </c>
      <c r="G323" s="119"/>
      <c r="H323" s="120"/>
      <c r="I323" s="314" t="str">
        <f>T279</f>
        <v/>
      </c>
      <c r="J323" s="314"/>
      <c r="K323" s="314"/>
      <c r="L323" s="314"/>
      <c r="M323" s="314" t="str">
        <f>Y279</f>
        <v/>
      </c>
      <c r="N323" s="314"/>
      <c r="O323" s="314"/>
      <c r="P323" s="317"/>
      <c r="Q323" s="395"/>
      <c r="R323" s="372"/>
      <c r="S323" s="372"/>
      <c r="T323" s="372"/>
      <c r="U323" s="314" t="str">
        <f>IF(I301="","",ROUND(I301*Q323,-1))</f>
        <v/>
      </c>
      <c r="V323" s="314"/>
      <c r="W323" s="314"/>
      <c r="X323" s="314"/>
      <c r="Y323" s="314"/>
      <c r="Z323" s="314" t="str">
        <f>IF(M301="","",ROUND(M301*Q323,-1))</f>
        <v/>
      </c>
      <c r="AA323" s="314"/>
      <c r="AB323" s="314"/>
      <c r="AC323" s="314"/>
      <c r="AD323" s="317"/>
    </row>
    <row r="324" spans="1:84" s="1" customFormat="1" ht="15.75" customHeight="1" x14ac:dyDescent="0.15">
      <c r="A324" s="73" t="str">
        <f>IF(A$311="",IF(F324="","×",""),"×")</f>
        <v>×</v>
      </c>
      <c r="F324" s="119" t="str">
        <f t="shared" si="26"/>
        <v/>
      </c>
      <c r="G324" s="119"/>
      <c r="H324" s="120"/>
      <c r="I324" s="314" t="str">
        <f>T280</f>
        <v/>
      </c>
      <c r="J324" s="314"/>
      <c r="K324" s="314"/>
      <c r="L324" s="314"/>
      <c r="M324" s="314" t="str">
        <f>Y280</f>
        <v/>
      </c>
      <c r="N324" s="314"/>
      <c r="O324" s="314"/>
      <c r="P324" s="317"/>
      <c r="Q324" s="395"/>
      <c r="R324" s="372"/>
      <c r="S324" s="372"/>
      <c r="T324" s="372"/>
      <c r="U324" s="314" t="str">
        <f>IF(I302="","",ROUND(I302*Q324,-1))</f>
        <v/>
      </c>
      <c r="V324" s="314"/>
      <c r="W324" s="314"/>
      <c r="X324" s="314"/>
      <c r="Y324" s="314"/>
      <c r="Z324" s="314" t="str">
        <f>IF(M302="","",ROUND(M302*Q324,-1))</f>
        <v/>
      </c>
      <c r="AA324" s="314"/>
      <c r="AB324" s="314"/>
      <c r="AC324" s="314"/>
      <c r="AD324" s="317"/>
    </row>
    <row r="325" spans="1:84" s="1" customFormat="1" ht="15.75" customHeight="1" x14ac:dyDescent="0.15">
      <c r="A325" s="73" t="str">
        <f>IF(A$311="",IF(F325="","×",""),"×")</f>
        <v>×</v>
      </c>
      <c r="F325" s="119" t="str">
        <f t="shared" si="26"/>
        <v/>
      </c>
      <c r="G325" s="119"/>
      <c r="H325" s="120"/>
      <c r="I325" s="314" t="str">
        <f>T281</f>
        <v/>
      </c>
      <c r="J325" s="314"/>
      <c r="K325" s="314"/>
      <c r="L325" s="314"/>
      <c r="M325" s="314" t="str">
        <f>Y281</f>
        <v/>
      </c>
      <c r="N325" s="314"/>
      <c r="O325" s="314"/>
      <c r="P325" s="317"/>
      <c r="Q325" s="395"/>
      <c r="R325" s="372"/>
      <c r="S325" s="372"/>
      <c r="T325" s="372"/>
      <c r="U325" s="314" t="str">
        <f>IF(I303="","",ROUND(I303*Q325,-1))</f>
        <v/>
      </c>
      <c r="V325" s="314"/>
      <c r="W325" s="314"/>
      <c r="X325" s="314"/>
      <c r="Y325" s="314"/>
      <c r="Z325" s="314" t="str">
        <f>IF(M303="","",ROUND(M303*Q325,-1))</f>
        <v/>
      </c>
      <c r="AA325" s="314"/>
      <c r="AB325" s="314"/>
      <c r="AC325" s="314"/>
      <c r="AD325" s="317"/>
    </row>
    <row r="326" spans="1:84" s="1" customFormat="1" ht="15.75" customHeight="1" x14ac:dyDescent="0.15">
      <c r="A326" s="73" t="str">
        <f>IF(A$311="",IF(F326="","×",""),"×")</f>
        <v>×</v>
      </c>
      <c r="F326" s="119" t="str">
        <f t="shared" si="26"/>
        <v/>
      </c>
      <c r="G326" s="119"/>
      <c r="H326" s="120"/>
      <c r="I326" s="314" t="str">
        <f>T282</f>
        <v/>
      </c>
      <c r="J326" s="314"/>
      <c r="K326" s="314"/>
      <c r="L326" s="314"/>
      <c r="M326" s="314" t="str">
        <f>Y282</f>
        <v/>
      </c>
      <c r="N326" s="314"/>
      <c r="O326" s="314"/>
      <c r="P326" s="317"/>
      <c r="Q326" s="395"/>
      <c r="R326" s="372"/>
      <c r="S326" s="372"/>
      <c r="T326" s="372"/>
      <c r="U326" s="314" t="str">
        <f>IF(I304="","",ROUND(I304*Q326,-1))</f>
        <v/>
      </c>
      <c r="V326" s="314"/>
      <c r="W326" s="314"/>
      <c r="X326" s="314"/>
      <c r="Y326" s="314"/>
      <c r="Z326" s="314" t="str">
        <f>IF(M304="","",ROUND(M304*Q326,-1))</f>
        <v/>
      </c>
      <c r="AA326" s="314"/>
      <c r="AB326" s="314"/>
      <c r="AC326" s="314"/>
      <c r="AD326" s="317"/>
    </row>
    <row r="327" spans="1:84" s="1" customFormat="1" ht="15.75" customHeight="1" x14ac:dyDescent="0.15">
      <c r="A327" s="73" t="str">
        <f>IF(A$311="",IF(F327="","×",""),"×")</f>
        <v>×</v>
      </c>
      <c r="F327" s="119" t="str">
        <f t="shared" si="26"/>
        <v/>
      </c>
      <c r="G327" s="119"/>
      <c r="H327" s="120"/>
      <c r="I327" s="314" t="str">
        <f>T283</f>
        <v/>
      </c>
      <c r="J327" s="314"/>
      <c r="K327" s="314"/>
      <c r="L327" s="314"/>
      <c r="M327" s="314" t="str">
        <f>Y283</f>
        <v/>
      </c>
      <c r="N327" s="314"/>
      <c r="O327" s="314"/>
      <c r="P327" s="317"/>
      <c r="Q327" s="395"/>
      <c r="R327" s="372"/>
      <c r="S327" s="372"/>
      <c r="T327" s="372"/>
      <c r="U327" s="314" t="str">
        <f>IF(I305="","",ROUND(I305*Q327,-1))</f>
        <v/>
      </c>
      <c r="V327" s="314"/>
      <c r="W327" s="314"/>
      <c r="X327" s="314"/>
      <c r="Y327" s="314"/>
      <c r="Z327" s="314" t="str">
        <f>IF(M305="","",ROUND(M305*Q327,-1))</f>
        <v/>
      </c>
      <c r="AA327" s="314"/>
      <c r="AB327" s="314"/>
      <c r="AC327" s="314"/>
      <c r="AD327" s="317"/>
    </row>
    <row r="328" spans="1:84" s="1" customFormat="1" ht="15.75" customHeight="1" x14ac:dyDescent="0.15">
      <c r="A328" s="73" t="str">
        <f>IF(A$311="",IF(F328="","×",""),"×")</f>
        <v>×</v>
      </c>
      <c r="F328" s="119" t="str">
        <f t="shared" si="26"/>
        <v/>
      </c>
      <c r="G328" s="119"/>
      <c r="H328" s="120"/>
      <c r="I328" s="314" t="str">
        <f>T284</f>
        <v/>
      </c>
      <c r="J328" s="314"/>
      <c r="K328" s="314"/>
      <c r="L328" s="314"/>
      <c r="M328" s="314" t="str">
        <f>Y284</f>
        <v/>
      </c>
      <c r="N328" s="314"/>
      <c r="O328" s="314"/>
      <c r="P328" s="317"/>
      <c r="Q328" s="395"/>
      <c r="R328" s="372"/>
      <c r="S328" s="372"/>
      <c r="T328" s="372"/>
      <c r="U328" s="314" t="str">
        <f>IF(I306="","",ROUND(I306*Q328,-1))</f>
        <v/>
      </c>
      <c r="V328" s="314"/>
      <c r="W328" s="314"/>
      <c r="X328" s="314"/>
      <c r="Y328" s="314"/>
      <c r="Z328" s="314" t="str">
        <f>IF(M306="","",ROUND(M306*Q328,-1))</f>
        <v/>
      </c>
      <c r="AA328" s="314"/>
      <c r="AB328" s="314"/>
      <c r="AC328" s="314"/>
      <c r="AD328" s="317"/>
    </row>
    <row r="329" spans="1:84" s="1" customFormat="1" ht="15.75" customHeight="1" x14ac:dyDescent="0.15">
      <c r="A329" s="73" t="str">
        <f>IF(A$311="",IF(F329="","×",""),"×")</f>
        <v>×</v>
      </c>
      <c r="F329" s="119" t="str">
        <f t="shared" si="26"/>
        <v/>
      </c>
      <c r="G329" s="119"/>
      <c r="H329" s="120"/>
      <c r="I329" s="314" t="str">
        <f>T285</f>
        <v/>
      </c>
      <c r="J329" s="314"/>
      <c r="K329" s="314"/>
      <c r="L329" s="314"/>
      <c r="M329" s="314" t="str">
        <f>Y285</f>
        <v/>
      </c>
      <c r="N329" s="314"/>
      <c r="O329" s="314"/>
      <c r="P329" s="317"/>
      <c r="Q329" s="395"/>
      <c r="R329" s="372"/>
      <c r="S329" s="372"/>
      <c r="T329" s="372"/>
      <c r="U329" s="314" t="str">
        <f>IF(I307="","",ROUND(I307*Q329,-1))</f>
        <v/>
      </c>
      <c r="V329" s="314"/>
      <c r="W329" s="314"/>
      <c r="X329" s="314"/>
      <c r="Y329" s="314"/>
      <c r="Z329" s="314" t="str">
        <f>IF(M307="","",ROUND(M307*Q329,-1))</f>
        <v/>
      </c>
      <c r="AA329" s="314"/>
      <c r="AB329" s="314"/>
      <c r="AC329" s="314"/>
      <c r="AD329" s="317"/>
    </row>
    <row r="330" spans="1:84" s="1" customFormat="1" ht="15.75" customHeight="1" x14ac:dyDescent="0.15">
      <c r="A330" s="73" t="str">
        <f>IF(A$311="",IF(F330="","×",""),"×")</f>
        <v>×</v>
      </c>
      <c r="F330" s="119" t="str">
        <f t="shared" si="26"/>
        <v/>
      </c>
      <c r="G330" s="119"/>
      <c r="H330" s="120"/>
      <c r="I330" s="314" t="str">
        <f>T286</f>
        <v/>
      </c>
      <c r="J330" s="314"/>
      <c r="K330" s="314"/>
      <c r="L330" s="314"/>
      <c r="M330" s="314" t="str">
        <f>Y286</f>
        <v/>
      </c>
      <c r="N330" s="314"/>
      <c r="O330" s="314"/>
      <c r="P330" s="317"/>
      <c r="Q330" s="395"/>
      <c r="R330" s="372"/>
      <c r="S330" s="372"/>
      <c r="T330" s="372"/>
      <c r="U330" s="314" t="str">
        <f>IF(I308="","",ROUND(I308*Q330,-1))</f>
        <v/>
      </c>
      <c r="V330" s="314"/>
      <c r="W330" s="314"/>
      <c r="X330" s="314"/>
      <c r="Y330" s="314"/>
      <c r="Z330" s="314" t="str">
        <f>IF(M308="","",ROUND(M308*Q330,-1))</f>
        <v/>
      </c>
      <c r="AA330" s="314"/>
      <c r="AB330" s="314"/>
      <c r="AC330" s="314"/>
      <c r="AD330" s="317"/>
    </row>
    <row r="331" spans="1:84" s="1" customFormat="1" ht="15.75" customHeight="1" x14ac:dyDescent="0.15">
      <c r="A331" s="73" t="str">
        <f>IF(A$311="",IF(F331="","×",""),"×")</f>
        <v>×</v>
      </c>
      <c r="F331" s="233" t="str">
        <f t="shared" si="26"/>
        <v/>
      </c>
      <c r="G331" s="233"/>
      <c r="H331" s="234"/>
      <c r="I331" s="319" t="str">
        <f>T287</f>
        <v/>
      </c>
      <c r="J331" s="319"/>
      <c r="K331" s="319"/>
      <c r="L331" s="319"/>
      <c r="M331" s="319" t="str">
        <f>Y287</f>
        <v/>
      </c>
      <c r="N331" s="319"/>
      <c r="O331" s="319"/>
      <c r="P331" s="322"/>
      <c r="Q331" s="396"/>
      <c r="R331" s="373"/>
      <c r="S331" s="373"/>
      <c r="T331" s="373"/>
      <c r="U331" s="319" t="str">
        <f>IF(I309="","",ROUND(I309*Q331,-1))</f>
        <v/>
      </c>
      <c r="V331" s="319"/>
      <c r="W331" s="319"/>
      <c r="X331" s="319"/>
      <c r="Y331" s="319"/>
      <c r="Z331" s="319" t="str">
        <f>IF(M309="","",ROUND(M309*Q331,-1))</f>
        <v/>
      </c>
      <c r="AA331" s="319"/>
      <c r="AB331" s="319"/>
      <c r="AC331" s="319"/>
      <c r="AD331" s="322"/>
    </row>
    <row r="332" spans="1:84" s="1" customFormat="1" ht="15.75" customHeight="1" x14ac:dyDescent="0.15">
      <c r="A332" s="73" t="str">
        <f t="shared" ref="A332:A333" si="27">IF(A$311="","","×")</f>
        <v>×</v>
      </c>
      <c r="F332" s="76"/>
      <c r="G332" s="76"/>
      <c r="H332" s="9"/>
      <c r="I332" s="323"/>
      <c r="J332" s="323"/>
      <c r="K332" s="323"/>
      <c r="L332" s="323"/>
      <c r="M332" s="323"/>
      <c r="N332" s="323"/>
      <c r="O332" s="323"/>
      <c r="P332" s="9"/>
      <c r="Q332" s="9"/>
      <c r="R332" s="9"/>
      <c r="S332" s="9"/>
      <c r="T332" s="323"/>
      <c r="U332" s="323"/>
      <c r="V332" s="323"/>
      <c r="W332" s="323"/>
      <c r="X332" s="323"/>
      <c r="Y332" s="323"/>
      <c r="Z332" s="323"/>
      <c r="AA332" s="323"/>
      <c r="AB332" s="323"/>
      <c r="AC332" s="323"/>
      <c r="AD332" s="323"/>
    </row>
    <row r="333" spans="1:84" s="1" customFormat="1" ht="15.75" customHeight="1" x14ac:dyDescent="0.15">
      <c r="A333" s="73" t="str">
        <f t="shared" si="27"/>
        <v>×</v>
      </c>
      <c r="F333" s="76"/>
      <c r="G333" s="76"/>
      <c r="H333" s="9"/>
      <c r="I333" s="323"/>
      <c r="J333" s="323"/>
      <c r="K333" s="323"/>
      <c r="L333" s="323"/>
      <c r="M333" s="323"/>
      <c r="N333" s="323"/>
      <c r="O333" s="323"/>
      <c r="P333" s="9"/>
      <c r="Q333" s="9"/>
      <c r="R333" s="9"/>
      <c r="S333" s="9"/>
      <c r="T333" s="323"/>
      <c r="U333" s="323"/>
      <c r="V333" s="323"/>
      <c r="W333" s="323"/>
      <c r="X333" s="323"/>
      <c r="Y333" s="323"/>
      <c r="Z333" s="323"/>
      <c r="AA333" s="323"/>
      <c r="AB333" s="323"/>
      <c r="AC333" s="323"/>
      <c r="AD333" s="323"/>
    </row>
    <row r="334" spans="1:84" s="1" customFormat="1" ht="15.75" customHeight="1" x14ac:dyDescent="0.15">
      <c r="F334" s="61" t="s">
        <v>527</v>
      </c>
      <c r="G334" s="302"/>
      <c r="H334" s="302"/>
      <c r="I334" s="61"/>
      <c r="J334" s="61"/>
      <c r="K334" s="61"/>
      <c r="L334" s="61"/>
      <c r="M334" s="61"/>
      <c r="N334" s="61"/>
      <c r="O334" s="61"/>
      <c r="P334" s="61"/>
      <c r="Q334" s="61"/>
      <c r="R334" s="61"/>
      <c r="S334" s="61"/>
      <c r="T334" s="61"/>
      <c r="U334" s="61"/>
      <c r="V334" s="61"/>
      <c r="W334" s="61"/>
      <c r="X334" s="61"/>
      <c r="Y334" s="61"/>
      <c r="Z334" s="61"/>
      <c r="AA334" s="61"/>
      <c r="AB334" s="61"/>
      <c r="AC334" s="61"/>
      <c r="AD334" s="61"/>
      <c r="AE334" s="8"/>
      <c r="AF334" s="8"/>
      <c r="AG334" s="8"/>
      <c r="AH334" s="8"/>
      <c r="AI334" s="8"/>
      <c r="AJ334" s="8"/>
      <c r="BR334" s="8"/>
      <c r="BS334" s="8"/>
      <c r="BT334" s="8"/>
      <c r="BU334" s="8"/>
      <c r="BV334" s="8"/>
      <c r="BW334" s="8"/>
      <c r="BX334" s="8"/>
      <c r="BY334" s="8"/>
      <c r="BZ334" s="8"/>
      <c r="CA334" s="8"/>
    </row>
    <row r="335" spans="1:84" s="1" customFormat="1" ht="15.75" customHeight="1" x14ac:dyDescent="0.15">
      <c r="F335" s="126" t="s">
        <v>78</v>
      </c>
      <c r="G335" s="105"/>
      <c r="H335" s="105"/>
      <c r="I335" s="217" t="s">
        <v>525</v>
      </c>
      <c r="J335" s="131"/>
      <c r="K335" s="131"/>
      <c r="L335" s="131"/>
      <c r="M335" s="105" t="s">
        <v>526</v>
      </c>
      <c r="N335" s="131"/>
      <c r="O335" s="131"/>
      <c r="P335" s="230"/>
      <c r="Q335" s="217" t="s">
        <v>209</v>
      </c>
      <c r="R335" s="105"/>
      <c r="S335" s="129"/>
      <c r="T335" s="224"/>
      <c r="U335" s="251" t="s">
        <v>531</v>
      </c>
      <c r="V335" s="136"/>
      <c r="W335" s="136"/>
      <c r="X335" s="136"/>
      <c r="Y335" s="157"/>
      <c r="Z335" s="221" t="s">
        <v>532</v>
      </c>
      <c r="AA335" s="136"/>
      <c r="AB335" s="136"/>
      <c r="AC335" s="136"/>
      <c r="AD335" s="136"/>
      <c r="AG335" s="8"/>
      <c r="AH335" s="8"/>
      <c r="AI335" s="8"/>
      <c r="AJ335" s="8"/>
      <c r="BR335" s="8"/>
      <c r="BS335" s="8"/>
      <c r="BT335" s="8"/>
      <c r="BU335" s="8"/>
      <c r="BV335" s="8"/>
      <c r="BW335" s="8"/>
      <c r="BX335" s="8"/>
      <c r="BY335" s="8"/>
      <c r="BZ335" s="8"/>
      <c r="CA335" s="8"/>
      <c r="CB335" s="8"/>
      <c r="CC335" s="8"/>
      <c r="CD335" s="8"/>
      <c r="CE335" s="8"/>
      <c r="CF335" s="8"/>
    </row>
    <row r="336" spans="1:84" s="1" customFormat="1" ht="15.75" customHeight="1" x14ac:dyDescent="0.15">
      <c r="F336" s="127"/>
      <c r="G336" s="122"/>
      <c r="H336" s="122"/>
      <c r="I336" s="218"/>
      <c r="J336" s="94"/>
      <c r="K336" s="94"/>
      <c r="L336" s="94"/>
      <c r="M336" s="122"/>
      <c r="N336" s="94"/>
      <c r="O336" s="94"/>
      <c r="P336" s="231"/>
      <c r="Q336" s="218"/>
      <c r="R336" s="122"/>
      <c r="S336" s="123"/>
      <c r="T336" s="225"/>
      <c r="U336" s="276"/>
      <c r="V336" s="138"/>
      <c r="W336" s="138"/>
      <c r="X336" s="138"/>
      <c r="Y336" s="215"/>
      <c r="Z336" s="222"/>
      <c r="AA336" s="138"/>
      <c r="AB336" s="138"/>
      <c r="AC336" s="138"/>
      <c r="AD336" s="138"/>
      <c r="AG336" s="8"/>
      <c r="AH336" s="8"/>
      <c r="AI336" s="8"/>
      <c r="AJ336" s="8"/>
      <c r="BR336" s="8"/>
      <c r="BS336" s="8"/>
      <c r="BT336" s="8"/>
      <c r="BU336" s="8"/>
      <c r="BV336" s="8"/>
      <c r="BW336" s="8"/>
      <c r="BX336" s="8"/>
      <c r="BY336" s="8"/>
      <c r="BZ336" s="8"/>
      <c r="CA336" s="8"/>
      <c r="CB336" s="8"/>
      <c r="CC336" s="8"/>
      <c r="CD336" s="8"/>
      <c r="CE336" s="8"/>
      <c r="CF336" s="8"/>
    </row>
    <row r="337" spans="1:84" s="1" customFormat="1" ht="15.75" customHeight="1" x14ac:dyDescent="0.15">
      <c r="F337" s="128"/>
      <c r="G337" s="106"/>
      <c r="H337" s="106"/>
      <c r="I337" s="219"/>
      <c r="J337" s="99"/>
      <c r="K337" s="99"/>
      <c r="L337" s="99"/>
      <c r="M337" s="99"/>
      <c r="N337" s="99"/>
      <c r="O337" s="99"/>
      <c r="P337" s="232"/>
      <c r="Q337" s="226"/>
      <c r="R337" s="106"/>
      <c r="S337" s="124"/>
      <c r="T337" s="227"/>
      <c r="U337" s="262"/>
      <c r="V337" s="140"/>
      <c r="W337" s="140"/>
      <c r="X337" s="140"/>
      <c r="Y337" s="159"/>
      <c r="Z337" s="223"/>
      <c r="AA337" s="140"/>
      <c r="AB337" s="140"/>
      <c r="AC337" s="140"/>
      <c r="AD337" s="140"/>
      <c r="AG337" s="8"/>
      <c r="AH337" s="8"/>
      <c r="AI337" s="8"/>
      <c r="AJ337" s="8"/>
      <c r="BR337" s="8"/>
      <c r="BS337" s="8"/>
      <c r="BT337" s="8"/>
      <c r="BU337" s="8"/>
      <c r="BV337" s="8"/>
      <c r="BW337" s="8"/>
      <c r="BX337" s="8"/>
      <c r="BY337" s="8"/>
      <c r="BZ337" s="8"/>
      <c r="CA337" s="8"/>
      <c r="CB337" s="8"/>
      <c r="CC337" s="8"/>
      <c r="CD337" s="8"/>
      <c r="CE337" s="8"/>
      <c r="CF337" s="8"/>
    </row>
    <row r="338" spans="1:84" s="1" customFormat="1" ht="15.75" customHeight="1" x14ac:dyDescent="0.15">
      <c r="A338" s="73" t="str">
        <f>IF(F338="","×","")</f>
        <v/>
      </c>
      <c r="F338" s="117">
        <f>F272</f>
        <v>3</v>
      </c>
      <c r="G338" s="118"/>
      <c r="H338" s="118"/>
      <c r="I338" s="308">
        <f>IF(AD155="","",AD155*AG$202)</f>
        <v>50041.101063677925</v>
      </c>
      <c r="J338" s="309"/>
      <c r="K338" s="309"/>
      <c r="L338" s="309"/>
      <c r="M338" s="309">
        <f>IF(AD155="","",AD155*AG$203)</f>
        <v>49898.091116699667</v>
      </c>
      <c r="N338" s="309"/>
      <c r="O338" s="309"/>
      <c r="P338" s="310"/>
      <c r="Q338" s="228">
        <f>R242</f>
        <v>1</v>
      </c>
      <c r="R338" s="168"/>
      <c r="S338" s="280"/>
      <c r="T338" s="229"/>
      <c r="U338" s="308">
        <f>IF(I338="","",ROUND(I338*Q338,-1))</f>
        <v>50040</v>
      </c>
      <c r="V338" s="311"/>
      <c r="W338" s="309"/>
      <c r="X338" s="309"/>
      <c r="Y338" s="309"/>
      <c r="Z338" s="309">
        <f>IF(M338="","",ROUND(M338*Q338,-1))</f>
        <v>49900</v>
      </c>
      <c r="AA338" s="309"/>
      <c r="AB338" s="309"/>
      <c r="AC338" s="309"/>
      <c r="AD338" s="312"/>
      <c r="AG338" s="8"/>
      <c r="AH338" s="8"/>
      <c r="AI338" s="8"/>
      <c r="AJ338" s="8"/>
      <c r="CC338" s="8"/>
      <c r="CD338" s="8"/>
      <c r="CE338" s="8"/>
      <c r="CF338" s="8"/>
    </row>
    <row r="339" spans="1:84" s="1" customFormat="1" ht="15.75" customHeight="1" x14ac:dyDescent="0.15">
      <c r="A339" s="73" t="str">
        <f>IF(F339="","×","")</f>
        <v/>
      </c>
      <c r="F339" s="111">
        <f>F273</f>
        <v>4</v>
      </c>
      <c r="G339" s="112"/>
      <c r="H339" s="112"/>
      <c r="I339" s="313">
        <f>IF(AD156="","",AD156*AG$202)</f>
        <v>102812.36988100948</v>
      </c>
      <c r="J339" s="314"/>
      <c r="K339" s="314"/>
      <c r="L339" s="314"/>
      <c r="M339" s="314">
        <f>IF(AD156="","",AD156*AG$203)</f>
        <v>102518.54757788546</v>
      </c>
      <c r="N339" s="314"/>
      <c r="O339" s="314"/>
      <c r="P339" s="315"/>
      <c r="Q339" s="107">
        <f>Q338</f>
        <v>1</v>
      </c>
      <c r="R339" s="95"/>
      <c r="S339" s="281"/>
      <c r="T339" s="108"/>
      <c r="U339" s="313">
        <f t="shared" ref="U339:U353" si="28">IF(I339="","",ROUND(I339*Q339,-1))</f>
        <v>102810</v>
      </c>
      <c r="V339" s="316"/>
      <c r="W339" s="314"/>
      <c r="X339" s="314"/>
      <c r="Y339" s="314"/>
      <c r="Z339" s="314">
        <f t="shared" ref="Z339:Z353" si="29">IF(M339="","",ROUND(M339*Q339,-1))</f>
        <v>102520</v>
      </c>
      <c r="AA339" s="314"/>
      <c r="AB339" s="314"/>
      <c r="AC339" s="314"/>
      <c r="AD339" s="317"/>
      <c r="AG339" s="8"/>
      <c r="AH339" s="8"/>
      <c r="AI339" s="8"/>
      <c r="AJ339" s="8"/>
      <c r="CC339" s="8"/>
      <c r="CD339" s="8"/>
      <c r="CE339" s="8"/>
      <c r="CF339" s="8"/>
    </row>
    <row r="340" spans="1:84" s="1" customFormat="1" ht="15.75" customHeight="1" x14ac:dyDescent="0.15">
      <c r="A340" s="73" t="str">
        <f>IF(F340="","×","")</f>
        <v/>
      </c>
      <c r="F340" s="111">
        <f>F274</f>
        <v>5</v>
      </c>
      <c r="G340" s="112"/>
      <c r="H340" s="112"/>
      <c r="I340" s="313">
        <f>IF(AD157="","",AD157*AG$202)</f>
        <v>117002.05754802511</v>
      </c>
      <c r="J340" s="314"/>
      <c r="K340" s="314"/>
      <c r="L340" s="314"/>
      <c r="M340" s="314">
        <f>IF(AD157="","",AD157*AG$203)</f>
        <v>116667.68324988573</v>
      </c>
      <c r="N340" s="314"/>
      <c r="O340" s="314"/>
      <c r="P340" s="315"/>
      <c r="Q340" s="107">
        <f t="shared" ref="Q340:Q353" si="30">Q339</f>
        <v>1</v>
      </c>
      <c r="R340" s="95"/>
      <c r="S340" s="281"/>
      <c r="T340" s="108"/>
      <c r="U340" s="313">
        <f t="shared" si="28"/>
        <v>117000</v>
      </c>
      <c r="V340" s="316"/>
      <c r="W340" s="314"/>
      <c r="X340" s="314"/>
      <c r="Y340" s="314"/>
      <c r="Z340" s="314">
        <f t="shared" si="29"/>
        <v>116670</v>
      </c>
      <c r="AA340" s="314"/>
      <c r="AB340" s="314"/>
      <c r="AC340" s="314"/>
      <c r="AD340" s="317"/>
      <c r="AG340" s="8"/>
      <c r="AH340" s="8"/>
      <c r="AI340" s="8"/>
      <c r="CB340" s="8"/>
      <c r="CC340" s="8"/>
      <c r="CD340" s="8"/>
      <c r="CE340" s="8"/>
    </row>
    <row r="341" spans="1:84" s="1" customFormat="1" ht="15.75" customHeight="1" x14ac:dyDescent="0.15">
      <c r="A341" s="73" t="str">
        <f>IF(F341="","×","")</f>
        <v/>
      </c>
      <c r="F341" s="111">
        <f>F275</f>
        <v>6</v>
      </c>
      <c r="G341" s="112"/>
      <c r="H341" s="112"/>
      <c r="I341" s="313">
        <f>IF(AD158="","",AD158*AG$202)</f>
        <v>166827.61905220407</v>
      </c>
      <c r="J341" s="314"/>
      <c r="K341" s="314"/>
      <c r="L341" s="314"/>
      <c r="M341" s="314">
        <f>IF(AD158="","",AD158*AG$203)</f>
        <v>166350.85078675754</v>
      </c>
      <c r="N341" s="314"/>
      <c r="O341" s="314"/>
      <c r="P341" s="315"/>
      <c r="Q341" s="107">
        <f t="shared" si="30"/>
        <v>1</v>
      </c>
      <c r="R341" s="95"/>
      <c r="S341" s="281"/>
      <c r="T341" s="108"/>
      <c r="U341" s="313">
        <f t="shared" si="28"/>
        <v>166830</v>
      </c>
      <c r="V341" s="316"/>
      <c r="W341" s="314"/>
      <c r="X341" s="314"/>
      <c r="Y341" s="314"/>
      <c r="Z341" s="314">
        <f t="shared" si="29"/>
        <v>166350</v>
      </c>
      <c r="AA341" s="314"/>
      <c r="AB341" s="314"/>
      <c r="AC341" s="314"/>
      <c r="AD341" s="317"/>
      <c r="AG341" s="8"/>
      <c r="AH341" s="8"/>
      <c r="AI341" s="8"/>
      <c r="CB341" s="8"/>
      <c r="CC341" s="8"/>
      <c r="CD341" s="8"/>
      <c r="CE341" s="8"/>
    </row>
    <row r="342" spans="1:84" s="1" customFormat="1" ht="15.75" customHeight="1" x14ac:dyDescent="0.15">
      <c r="A342" s="73" t="str">
        <f>IF(F342="","×","")</f>
        <v/>
      </c>
      <c r="F342" s="111">
        <f>F276</f>
        <v>7</v>
      </c>
      <c r="G342" s="112"/>
      <c r="H342" s="112"/>
      <c r="I342" s="313">
        <f>IF(AD159="","",AD159*AG$202)</f>
        <v>329631.83299376065</v>
      </c>
      <c r="J342" s="314"/>
      <c r="K342" s="314"/>
      <c r="L342" s="314"/>
      <c r="M342" s="314">
        <f>IF(AD159="","",AD159*AG$203)</f>
        <v>328689.79475006182</v>
      </c>
      <c r="N342" s="314"/>
      <c r="O342" s="314"/>
      <c r="P342" s="315"/>
      <c r="Q342" s="107">
        <f t="shared" si="30"/>
        <v>1</v>
      </c>
      <c r="R342" s="95"/>
      <c r="S342" s="281"/>
      <c r="T342" s="108"/>
      <c r="U342" s="313">
        <f t="shared" si="28"/>
        <v>329630</v>
      </c>
      <c r="V342" s="316"/>
      <c r="W342" s="314"/>
      <c r="X342" s="314"/>
      <c r="Y342" s="314"/>
      <c r="Z342" s="314">
        <f t="shared" si="29"/>
        <v>328690</v>
      </c>
      <c r="AA342" s="314"/>
      <c r="AB342" s="314"/>
      <c r="AC342" s="314"/>
      <c r="AD342" s="317"/>
      <c r="AG342" s="8"/>
      <c r="AH342" s="8"/>
      <c r="AI342" s="8"/>
      <c r="CB342" s="8"/>
      <c r="CC342" s="8"/>
      <c r="CD342" s="8"/>
      <c r="CE342" s="8"/>
    </row>
    <row r="343" spans="1:84" s="1" customFormat="1" ht="15.75" customHeight="1" x14ac:dyDescent="0.15">
      <c r="A343" s="73" t="str">
        <f>IF(F343="","×","")</f>
        <v>×</v>
      </c>
      <c r="F343" s="111" t="str">
        <f>F277</f>
        <v/>
      </c>
      <c r="G343" s="112"/>
      <c r="H343" s="112"/>
      <c r="I343" s="313" t="str">
        <f>IF(AD160="","",AD160*AG$202)</f>
        <v/>
      </c>
      <c r="J343" s="314"/>
      <c r="K343" s="314"/>
      <c r="L343" s="314"/>
      <c r="M343" s="314" t="str">
        <f>IF(AD160="","",AD160*AG$203)</f>
        <v/>
      </c>
      <c r="N343" s="314"/>
      <c r="O343" s="314"/>
      <c r="P343" s="315"/>
      <c r="Q343" s="107">
        <f t="shared" si="30"/>
        <v>1</v>
      </c>
      <c r="R343" s="95"/>
      <c r="S343" s="281"/>
      <c r="T343" s="108"/>
      <c r="U343" s="313" t="str">
        <f t="shared" si="28"/>
        <v/>
      </c>
      <c r="V343" s="316"/>
      <c r="W343" s="314"/>
      <c r="X343" s="314"/>
      <c r="Y343" s="314"/>
      <c r="Z343" s="314" t="str">
        <f t="shared" si="29"/>
        <v/>
      </c>
      <c r="AA343" s="314"/>
      <c r="AB343" s="314"/>
      <c r="AC343" s="314"/>
      <c r="AD343" s="317"/>
      <c r="AG343" s="8"/>
      <c r="AH343" s="8"/>
      <c r="AI343" s="8"/>
      <c r="CB343" s="8"/>
      <c r="CC343" s="8"/>
      <c r="CD343" s="8"/>
      <c r="CE343" s="8"/>
    </row>
    <row r="344" spans="1:84" s="1" customFormat="1" ht="15.75" customHeight="1" x14ac:dyDescent="0.15">
      <c r="A344" s="73" t="str">
        <f>IF(F344="","×","")</f>
        <v>×</v>
      </c>
      <c r="F344" s="111" t="str">
        <f>F278</f>
        <v/>
      </c>
      <c r="G344" s="112"/>
      <c r="H344" s="112"/>
      <c r="I344" s="313" t="str">
        <f>IF(AD161="","",AD161*AG$202)</f>
        <v/>
      </c>
      <c r="J344" s="314"/>
      <c r="K344" s="314"/>
      <c r="L344" s="314"/>
      <c r="M344" s="314" t="str">
        <f>IF(AD161="","",AD161*AG$203)</f>
        <v/>
      </c>
      <c r="N344" s="314"/>
      <c r="O344" s="314"/>
      <c r="P344" s="315"/>
      <c r="Q344" s="107">
        <f t="shared" si="30"/>
        <v>1</v>
      </c>
      <c r="R344" s="95"/>
      <c r="S344" s="281"/>
      <c r="T344" s="108"/>
      <c r="U344" s="313" t="str">
        <f t="shared" si="28"/>
        <v/>
      </c>
      <c r="V344" s="316"/>
      <c r="W344" s="314"/>
      <c r="X344" s="314"/>
      <c r="Y344" s="314"/>
      <c r="Z344" s="314" t="str">
        <f t="shared" si="29"/>
        <v/>
      </c>
      <c r="AA344" s="314"/>
      <c r="AB344" s="314"/>
      <c r="AC344" s="314"/>
      <c r="AD344" s="317"/>
      <c r="AG344" s="8"/>
      <c r="AH344" s="8"/>
      <c r="AI344" s="8"/>
      <c r="CB344" s="8"/>
      <c r="CC344" s="8"/>
      <c r="CD344" s="8"/>
      <c r="CE344" s="8"/>
    </row>
    <row r="345" spans="1:84" s="1" customFormat="1" ht="15.75" customHeight="1" x14ac:dyDescent="0.15">
      <c r="A345" s="73" t="str">
        <f>IF(F345="","×","")</f>
        <v>×</v>
      </c>
      <c r="F345" s="111" t="str">
        <f>F279</f>
        <v/>
      </c>
      <c r="G345" s="112"/>
      <c r="H345" s="112"/>
      <c r="I345" s="313" t="str">
        <f>IF(AD162="","",AD162*AG$202)</f>
        <v/>
      </c>
      <c r="J345" s="314"/>
      <c r="K345" s="314"/>
      <c r="L345" s="314"/>
      <c r="M345" s="314" t="str">
        <f>IF(AD162="","",AD162*AG$203)</f>
        <v/>
      </c>
      <c r="N345" s="314"/>
      <c r="O345" s="314"/>
      <c r="P345" s="315"/>
      <c r="Q345" s="107">
        <f t="shared" si="30"/>
        <v>1</v>
      </c>
      <c r="R345" s="95"/>
      <c r="S345" s="281"/>
      <c r="T345" s="108"/>
      <c r="U345" s="313" t="str">
        <f t="shared" si="28"/>
        <v/>
      </c>
      <c r="V345" s="316"/>
      <c r="W345" s="314"/>
      <c r="X345" s="314"/>
      <c r="Y345" s="314"/>
      <c r="Z345" s="314" t="str">
        <f t="shared" si="29"/>
        <v/>
      </c>
      <c r="AA345" s="314"/>
      <c r="AB345" s="314"/>
      <c r="AC345" s="314"/>
      <c r="AD345" s="317"/>
      <c r="AG345" s="8"/>
      <c r="AH345" s="8"/>
      <c r="AI345" s="8"/>
      <c r="CB345" s="8"/>
      <c r="CC345" s="8"/>
      <c r="CD345" s="8"/>
      <c r="CE345" s="8"/>
    </row>
    <row r="346" spans="1:84" s="1" customFormat="1" ht="15.75" customHeight="1" x14ac:dyDescent="0.15">
      <c r="A346" s="73" t="str">
        <f>IF(F346="","×","")</f>
        <v>×</v>
      </c>
      <c r="F346" s="111" t="str">
        <f>F280</f>
        <v/>
      </c>
      <c r="G346" s="112"/>
      <c r="H346" s="112"/>
      <c r="I346" s="313" t="str">
        <f>IF(AD163="","",AD163*AG$202)</f>
        <v/>
      </c>
      <c r="J346" s="314"/>
      <c r="K346" s="314"/>
      <c r="L346" s="314"/>
      <c r="M346" s="314" t="str">
        <f>IF(AD163="","",AD163*AG$203)</f>
        <v/>
      </c>
      <c r="N346" s="314"/>
      <c r="O346" s="314"/>
      <c r="P346" s="315"/>
      <c r="Q346" s="107">
        <f t="shared" si="30"/>
        <v>1</v>
      </c>
      <c r="R346" s="95"/>
      <c r="S346" s="281"/>
      <c r="T346" s="108"/>
      <c r="U346" s="313" t="str">
        <f t="shared" si="28"/>
        <v/>
      </c>
      <c r="V346" s="316"/>
      <c r="W346" s="314"/>
      <c r="X346" s="314"/>
      <c r="Y346" s="314"/>
      <c r="Z346" s="314" t="str">
        <f t="shared" si="29"/>
        <v/>
      </c>
      <c r="AA346" s="314"/>
      <c r="AB346" s="314"/>
      <c r="AC346" s="314"/>
      <c r="AD346" s="317"/>
      <c r="AG346" s="8"/>
      <c r="AH346" s="8"/>
      <c r="AI346" s="8"/>
      <c r="CB346" s="8"/>
      <c r="CC346" s="8"/>
      <c r="CD346" s="8"/>
      <c r="CE346" s="8"/>
    </row>
    <row r="347" spans="1:84" s="1" customFormat="1" ht="15.75" customHeight="1" x14ac:dyDescent="0.15">
      <c r="A347" s="73" t="str">
        <f>IF(F347="","×","")</f>
        <v>×</v>
      </c>
      <c r="F347" s="111" t="str">
        <f>F281</f>
        <v/>
      </c>
      <c r="G347" s="112"/>
      <c r="H347" s="112"/>
      <c r="I347" s="313" t="str">
        <f>IF(AD164="","",AD164*AG$202)</f>
        <v/>
      </c>
      <c r="J347" s="314"/>
      <c r="K347" s="314"/>
      <c r="L347" s="314"/>
      <c r="M347" s="314" t="str">
        <f>IF(AD164="","",AD164*AG$203)</f>
        <v/>
      </c>
      <c r="N347" s="314"/>
      <c r="O347" s="314"/>
      <c r="P347" s="315"/>
      <c r="Q347" s="107">
        <f t="shared" si="30"/>
        <v>1</v>
      </c>
      <c r="R347" s="95"/>
      <c r="S347" s="281"/>
      <c r="T347" s="108"/>
      <c r="U347" s="313" t="str">
        <f t="shared" si="28"/>
        <v/>
      </c>
      <c r="V347" s="316"/>
      <c r="W347" s="314"/>
      <c r="X347" s="314"/>
      <c r="Y347" s="314"/>
      <c r="Z347" s="314" t="str">
        <f t="shared" si="29"/>
        <v/>
      </c>
      <c r="AA347" s="314"/>
      <c r="AB347" s="314"/>
      <c r="AC347" s="314"/>
      <c r="AD347" s="317"/>
      <c r="AG347" s="8"/>
      <c r="AH347" s="8"/>
      <c r="AI347" s="8"/>
      <c r="CB347" s="8"/>
      <c r="CC347" s="8"/>
      <c r="CD347" s="8"/>
      <c r="CE347" s="8"/>
    </row>
    <row r="348" spans="1:84" s="1" customFormat="1" ht="15.75" customHeight="1" x14ac:dyDescent="0.15">
      <c r="A348" s="73" t="str">
        <f>IF(F348="","×","")</f>
        <v>×</v>
      </c>
      <c r="F348" s="111" t="str">
        <f>F282</f>
        <v/>
      </c>
      <c r="G348" s="112"/>
      <c r="H348" s="112"/>
      <c r="I348" s="313" t="str">
        <f>IF(AD165="","",AD165*AG$202)</f>
        <v/>
      </c>
      <c r="J348" s="314"/>
      <c r="K348" s="314"/>
      <c r="L348" s="314"/>
      <c r="M348" s="314" t="str">
        <f>IF(AD165="","",AD165*AG$203)</f>
        <v/>
      </c>
      <c r="N348" s="314"/>
      <c r="O348" s="314"/>
      <c r="P348" s="315"/>
      <c r="Q348" s="107">
        <f t="shared" si="30"/>
        <v>1</v>
      </c>
      <c r="R348" s="95"/>
      <c r="S348" s="281"/>
      <c r="T348" s="108"/>
      <c r="U348" s="313" t="str">
        <f t="shared" si="28"/>
        <v/>
      </c>
      <c r="V348" s="316"/>
      <c r="W348" s="314"/>
      <c r="X348" s="314"/>
      <c r="Y348" s="314"/>
      <c r="Z348" s="314" t="str">
        <f t="shared" si="29"/>
        <v/>
      </c>
      <c r="AA348" s="314"/>
      <c r="AB348" s="314"/>
      <c r="AC348" s="314"/>
      <c r="AD348" s="317"/>
      <c r="AG348" s="8"/>
      <c r="AH348" s="8"/>
      <c r="AI348" s="8"/>
      <c r="CB348" s="8"/>
      <c r="CC348" s="8"/>
      <c r="CD348" s="8"/>
      <c r="CE348" s="8"/>
    </row>
    <row r="349" spans="1:84" s="1" customFormat="1" ht="15.75" customHeight="1" x14ac:dyDescent="0.15">
      <c r="A349" s="73" t="str">
        <f>IF(F349="","×","")</f>
        <v>×</v>
      </c>
      <c r="F349" s="111" t="str">
        <f>F283</f>
        <v/>
      </c>
      <c r="G349" s="112"/>
      <c r="H349" s="112"/>
      <c r="I349" s="313" t="str">
        <f>IF(AD166="","",AD166*AG$202)</f>
        <v/>
      </c>
      <c r="J349" s="314"/>
      <c r="K349" s="314"/>
      <c r="L349" s="314"/>
      <c r="M349" s="314" t="str">
        <f>IF(AD166="","",AD166*AG$203)</f>
        <v/>
      </c>
      <c r="N349" s="314"/>
      <c r="O349" s="314"/>
      <c r="P349" s="315"/>
      <c r="Q349" s="107">
        <f t="shared" si="30"/>
        <v>1</v>
      </c>
      <c r="R349" s="95"/>
      <c r="S349" s="281"/>
      <c r="T349" s="108"/>
      <c r="U349" s="313" t="str">
        <f t="shared" si="28"/>
        <v/>
      </c>
      <c r="V349" s="316"/>
      <c r="W349" s="314"/>
      <c r="X349" s="314"/>
      <c r="Y349" s="314"/>
      <c r="Z349" s="314" t="str">
        <f t="shared" si="29"/>
        <v/>
      </c>
      <c r="AA349" s="314"/>
      <c r="AB349" s="314"/>
      <c r="AC349" s="314"/>
      <c r="AD349" s="317"/>
      <c r="AG349" s="8"/>
      <c r="AH349" s="8"/>
      <c r="AI349" s="8"/>
      <c r="CB349" s="8"/>
      <c r="CC349" s="8"/>
      <c r="CD349" s="8"/>
      <c r="CE349" s="8"/>
    </row>
    <row r="350" spans="1:84" s="1" customFormat="1" ht="15.75" customHeight="1" x14ac:dyDescent="0.15">
      <c r="A350" s="73" t="str">
        <f>IF(F350="","×","")</f>
        <v>×</v>
      </c>
      <c r="F350" s="111" t="str">
        <f>F284</f>
        <v/>
      </c>
      <c r="G350" s="112"/>
      <c r="H350" s="112"/>
      <c r="I350" s="313" t="str">
        <f>IF(AD167="","",AD167*AG$202)</f>
        <v/>
      </c>
      <c r="J350" s="314"/>
      <c r="K350" s="314"/>
      <c r="L350" s="314"/>
      <c r="M350" s="314" t="str">
        <f>IF(AD167="","",AD167*AG$203)</f>
        <v/>
      </c>
      <c r="N350" s="314"/>
      <c r="O350" s="314"/>
      <c r="P350" s="315"/>
      <c r="Q350" s="107">
        <f t="shared" si="30"/>
        <v>1</v>
      </c>
      <c r="R350" s="95"/>
      <c r="S350" s="281"/>
      <c r="T350" s="108"/>
      <c r="U350" s="313" t="str">
        <f t="shared" si="28"/>
        <v/>
      </c>
      <c r="V350" s="316"/>
      <c r="W350" s="314"/>
      <c r="X350" s="314"/>
      <c r="Y350" s="314"/>
      <c r="Z350" s="314" t="str">
        <f t="shared" si="29"/>
        <v/>
      </c>
      <c r="AA350" s="314"/>
      <c r="AB350" s="314"/>
      <c r="AC350" s="314"/>
      <c r="AD350" s="317"/>
      <c r="AG350" s="8"/>
      <c r="AH350" s="8"/>
      <c r="AI350" s="8"/>
      <c r="CB350" s="8"/>
      <c r="CC350" s="8"/>
      <c r="CD350" s="8"/>
      <c r="CE350" s="8"/>
    </row>
    <row r="351" spans="1:84" s="1" customFormat="1" ht="15.75" customHeight="1" x14ac:dyDescent="0.15">
      <c r="A351" s="73" t="str">
        <f>IF(F351="","×","")</f>
        <v>×</v>
      </c>
      <c r="F351" s="111" t="str">
        <f>F285</f>
        <v/>
      </c>
      <c r="G351" s="112"/>
      <c r="H351" s="112"/>
      <c r="I351" s="313" t="str">
        <f>IF(AD168="","",AD168*AG$202)</f>
        <v/>
      </c>
      <c r="J351" s="314"/>
      <c r="K351" s="314"/>
      <c r="L351" s="314"/>
      <c r="M351" s="314" t="str">
        <f>IF(AD168="","",AD168*AG$203)</f>
        <v/>
      </c>
      <c r="N351" s="314"/>
      <c r="O351" s="314"/>
      <c r="P351" s="315"/>
      <c r="Q351" s="107">
        <f t="shared" si="30"/>
        <v>1</v>
      </c>
      <c r="R351" s="95"/>
      <c r="S351" s="281"/>
      <c r="T351" s="108"/>
      <c r="U351" s="313" t="str">
        <f t="shared" si="28"/>
        <v/>
      </c>
      <c r="V351" s="316"/>
      <c r="W351" s="314"/>
      <c r="X351" s="314"/>
      <c r="Y351" s="314"/>
      <c r="Z351" s="314" t="str">
        <f t="shared" si="29"/>
        <v/>
      </c>
      <c r="AA351" s="314"/>
      <c r="AB351" s="314"/>
      <c r="AC351" s="314"/>
      <c r="AD351" s="317"/>
      <c r="AG351" s="8"/>
      <c r="AH351" s="8"/>
      <c r="AI351" s="8"/>
      <c r="CB351" s="8"/>
      <c r="CC351" s="8"/>
      <c r="CD351" s="8"/>
      <c r="CE351" s="8"/>
    </row>
    <row r="352" spans="1:84" s="1" customFormat="1" ht="15.75" customHeight="1" x14ac:dyDescent="0.15">
      <c r="A352" s="73" t="str">
        <f>IF(F352="","×","")</f>
        <v>×</v>
      </c>
      <c r="F352" s="111" t="str">
        <f>F286</f>
        <v/>
      </c>
      <c r="G352" s="112"/>
      <c r="H352" s="112"/>
      <c r="I352" s="313" t="str">
        <f>IF(AD169="","",AD169*AG$202)</f>
        <v/>
      </c>
      <c r="J352" s="314"/>
      <c r="K352" s="314"/>
      <c r="L352" s="314"/>
      <c r="M352" s="314" t="str">
        <f>IF(AD169="","",AD169*AG$203)</f>
        <v/>
      </c>
      <c r="N352" s="314"/>
      <c r="O352" s="314"/>
      <c r="P352" s="315"/>
      <c r="Q352" s="107">
        <f t="shared" si="30"/>
        <v>1</v>
      </c>
      <c r="R352" s="95"/>
      <c r="S352" s="281"/>
      <c r="T352" s="108"/>
      <c r="U352" s="313" t="str">
        <f t="shared" si="28"/>
        <v/>
      </c>
      <c r="V352" s="316"/>
      <c r="W352" s="314"/>
      <c r="X352" s="314"/>
      <c r="Y352" s="314"/>
      <c r="Z352" s="314" t="str">
        <f t="shared" si="29"/>
        <v/>
      </c>
      <c r="AA352" s="314"/>
      <c r="AB352" s="314"/>
      <c r="AC352" s="314"/>
      <c r="AD352" s="317"/>
      <c r="AG352" s="8"/>
      <c r="AH352" s="8"/>
      <c r="AI352" s="8"/>
      <c r="CB352" s="8"/>
      <c r="CC352" s="8"/>
      <c r="CD352" s="8"/>
      <c r="CE352" s="8"/>
    </row>
    <row r="353" spans="1:83" s="1" customFormat="1" ht="15.75" customHeight="1" x14ac:dyDescent="0.15">
      <c r="A353" s="73" t="str">
        <f>IF(F353="","×","")</f>
        <v>×</v>
      </c>
      <c r="F353" s="114" t="str">
        <f>F287</f>
        <v/>
      </c>
      <c r="G353" s="115"/>
      <c r="H353" s="115"/>
      <c r="I353" s="318" t="str">
        <f>IF(AD170="","",AD170*AG$202)</f>
        <v/>
      </c>
      <c r="J353" s="319"/>
      <c r="K353" s="319"/>
      <c r="L353" s="319"/>
      <c r="M353" s="319" t="str">
        <f>IF(AD170="","",AD170*AG$203)</f>
        <v/>
      </c>
      <c r="N353" s="319"/>
      <c r="O353" s="319"/>
      <c r="P353" s="320"/>
      <c r="Q353" s="109">
        <f t="shared" si="30"/>
        <v>1</v>
      </c>
      <c r="R353" s="100"/>
      <c r="S353" s="282"/>
      <c r="T353" s="110"/>
      <c r="U353" s="318" t="str">
        <f t="shared" si="28"/>
        <v/>
      </c>
      <c r="V353" s="321"/>
      <c r="W353" s="319"/>
      <c r="X353" s="319"/>
      <c r="Y353" s="319"/>
      <c r="Z353" s="319" t="str">
        <f t="shared" si="29"/>
        <v/>
      </c>
      <c r="AA353" s="319"/>
      <c r="AB353" s="319"/>
      <c r="AC353" s="319"/>
      <c r="AD353" s="322"/>
      <c r="AG353" s="8"/>
      <c r="AH353" s="8"/>
      <c r="AI353" s="8"/>
      <c r="CB353" s="8"/>
      <c r="CC353" s="8"/>
      <c r="CD353" s="8"/>
      <c r="CE353" s="8"/>
    </row>
    <row r="354" spans="1:83" s="1" customFormat="1" ht="15.75" customHeight="1" x14ac:dyDescent="0.15">
      <c r="F354" s="76"/>
      <c r="G354" s="76"/>
      <c r="H354" s="9"/>
      <c r="I354" s="323"/>
      <c r="J354" s="323"/>
      <c r="K354" s="323"/>
      <c r="L354" s="323"/>
      <c r="M354" s="323"/>
      <c r="N354" s="323"/>
      <c r="O354" s="323"/>
      <c r="P354" s="9"/>
      <c r="Q354" s="9"/>
      <c r="R354" s="9"/>
      <c r="S354" s="9"/>
      <c r="T354" s="323"/>
      <c r="U354" s="323"/>
      <c r="V354" s="323"/>
      <c r="W354" s="323"/>
      <c r="X354" s="323"/>
      <c r="Y354" s="323"/>
      <c r="Z354" s="323"/>
      <c r="AA354" s="323"/>
      <c r="AB354" s="323"/>
      <c r="AC354" s="323"/>
      <c r="AG354" s="8"/>
      <c r="AH354" s="8"/>
      <c r="AI354" s="8"/>
      <c r="CB354" s="8"/>
      <c r="CC354" s="8"/>
      <c r="CD354" s="8"/>
      <c r="CE354" s="8"/>
    </row>
    <row r="355" spans="1:83" s="1" customFormat="1" ht="15.75" customHeight="1" x14ac:dyDescent="0.15">
      <c r="F355" s="76"/>
      <c r="G355" s="76"/>
      <c r="H355" s="9"/>
      <c r="I355" s="323"/>
      <c r="J355" s="323"/>
      <c r="K355" s="323"/>
      <c r="L355" s="323"/>
      <c r="M355" s="323"/>
      <c r="N355" s="323"/>
      <c r="O355" s="323"/>
      <c r="P355" s="9"/>
      <c r="Q355" s="9"/>
      <c r="R355" s="9"/>
      <c r="S355" s="9"/>
      <c r="T355" s="323"/>
      <c r="U355" s="323"/>
      <c r="V355" s="323"/>
      <c r="W355" s="323"/>
      <c r="X355" s="323"/>
      <c r="Y355" s="323"/>
      <c r="Z355" s="323"/>
      <c r="AA355" s="323"/>
      <c r="AB355" s="323"/>
      <c r="AC355" s="323"/>
      <c r="AG355" s="8"/>
      <c r="AH355" s="8"/>
      <c r="AI355" s="8"/>
      <c r="CB355" s="8"/>
      <c r="CC355" s="8"/>
      <c r="CD355" s="8"/>
      <c r="CE355" s="8"/>
    </row>
    <row r="356" spans="1:83" s="1" customFormat="1" ht="15.75" customHeight="1" x14ac:dyDescent="0.15">
      <c r="F356" s="76"/>
      <c r="G356" s="76"/>
      <c r="H356" s="9"/>
      <c r="I356" s="323"/>
      <c r="J356" s="323"/>
      <c r="K356" s="323"/>
      <c r="L356" s="323"/>
      <c r="M356" s="323"/>
      <c r="N356" s="323"/>
      <c r="O356" s="323"/>
      <c r="P356" s="9"/>
      <c r="Q356" s="9"/>
      <c r="R356" s="9"/>
      <c r="S356" s="9"/>
      <c r="T356" s="323"/>
      <c r="U356" s="323"/>
      <c r="V356" s="323"/>
      <c r="W356" s="323"/>
      <c r="X356" s="323"/>
      <c r="Y356" s="323"/>
      <c r="Z356" s="323"/>
      <c r="AA356" s="323"/>
      <c r="AB356" s="323"/>
      <c r="AC356" s="323"/>
      <c r="AG356" s="8"/>
      <c r="AH356" s="8"/>
      <c r="AI356" s="8"/>
      <c r="CB356" s="8"/>
      <c r="CC356" s="8"/>
      <c r="CD356" s="8"/>
      <c r="CE356" s="8"/>
    </row>
    <row r="357" spans="1:83" s="1" customFormat="1" ht="15.75" customHeight="1" x14ac:dyDescent="0.15">
      <c r="F357" s="76"/>
      <c r="G357" s="76"/>
      <c r="H357" s="9"/>
      <c r="I357" s="323"/>
      <c r="J357" s="323"/>
      <c r="K357" s="323"/>
      <c r="L357" s="323"/>
      <c r="M357" s="323"/>
      <c r="N357" s="323"/>
      <c r="O357" s="323"/>
      <c r="P357" s="9"/>
      <c r="Q357" s="9"/>
      <c r="R357" s="9"/>
      <c r="S357" s="9"/>
      <c r="T357" s="323"/>
      <c r="U357" s="323"/>
      <c r="V357" s="323"/>
      <c r="W357" s="323"/>
      <c r="X357" s="323"/>
      <c r="Y357" s="323"/>
      <c r="Z357" s="323"/>
      <c r="AA357" s="323"/>
      <c r="AB357" s="323"/>
      <c r="AC357" s="323"/>
      <c r="AG357" s="8"/>
      <c r="AH357" s="8"/>
      <c r="AI357" s="8"/>
      <c r="CB357" s="8"/>
      <c r="CC357" s="8"/>
      <c r="CD357" s="8"/>
      <c r="CE357" s="8"/>
    </row>
    <row r="358" spans="1:83" s="1" customFormat="1" ht="15.75" customHeight="1" x14ac:dyDescent="0.15">
      <c r="F358" s="76"/>
      <c r="G358" s="76"/>
      <c r="H358" s="9"/>
      <c r="I358" s="323"/>
      <c r="J358" s="323"/>
      <c r="K358" s="323"/>
      <c r="L358" s="323"/>
      <c r="M358" s="323"/>
      <c r="N358" s="323"/>
      <c r="O358" s="323"/>
      <c r="P358" s="9"/>
      <c r="Q358" s="9"/>
      <c r="R358" s="9"/>
      <c r="S358" s="9"/>
      <c r="T358" s="323"/>
      <c r="U358" s="323"/>
      <c r="V358" s="323"/>
      <c r="W358" s="323"/>
      <c r="X358" s="323"/>
      <c r="Y358" s="323"/>
      <c r="Z358" s="323"/>
      <c r="AA358" s="323"/>
      <c r="AB358" s="323"/>
      <c r="AC358" s="323"/>
      <c r="AG358" s="8"/>
      <c r="AH358" s="8"/>
      <c r="AI358" s="8"/>
      <c r="CB358" s="8"/>
      <c r="CC358" s="8"/>
      <c r="CD358" s="8"/>
      <c r="CE358" s="8"/>
    </row>
    <row r="359" spans="1:83" s="1" customFormat="1" ht="15.75" customHeight="1" x14ac:dyDescent="0.15">
      <c r="F359" s="76"/>
      <c r="G359" s="76"/>
      <c r="H359" s="9"/>
      <c r="I359" s="323"/>
      <c r="J359" s="323"/>
      <c r="K359" s="323"/>
      <c r="L359" s="323"/>
      <c r="M359" s="323"/>
      <c r="N359" s="323"/>
      <c r="O359" s="323"/>
      <c r="P359" s="9"/>
      <c r="Q359" s="9"/>
      <c r="R359" s="9"/>
      <c r="S359" s="9"/>
      <c r="T359" s="323"/>
      <c r="U359" s="323"/>
      <c r="V359" s="323"/>
      <c r="W359" s="323"/>
      <c r="X359" s="323"/>
      <c r="Y359" s="323"/>
      <c r="Z359" s="323"/>
      <c r="AA359" s="323"/>
      <c r="AB359" s="323"/>
      <c r="AC359" s="323"/>
      <c r="AG359" s="8"/>
      <c r="AH359" s="8"/>
      <c r="AI359" s="8"/>
      <c r="CB359" s="8"/>
      <c r="CC359" s="8"/>
      <c r="CD359" s="8"/>
      <c r="CE359" s="8"/>
    </row>
    <row r="360" spans="1:83" s="1" customFormat="1" ht="15.75" customHeight="1" x14ac:dyDescent="0.15">
      <c r="F360" s="76"/>
      <c r="G360" s="76"/>
      <c r="H360" s="9"/>
      <c r="I360" s="323"/>
      <c r="J360" s="323"/>
      <c r="K360" s="323"/>
      <c r="L360" s="323"/>
      <c r="M360" s="323"/>
      <c r="N360" s="323"/>
      <c r="O360" s="323"/>
      <c r="P360" s="9"/>
      <c r="Q360" s="9"/>
      <c r="R360" s="9"/>
      <c r="S360" s="9"/>
      <c r="T360" s="323"/>
      <c r="U360" s="323"/>
      <c r="V360" s="323"/>
      <c r="W360" s="323"/>
      <c r="X360" s="323"/>
      <c r="Y360" s="323"/>
      <c r="Z360" s="323"/>
      <c r="AA360" s="323"/>
      <c r="AB360" s="323"/>
      <c r="AC360" s="323"/>
      <c r="AG360" s="8"/>
      <c r="AH360" s="8"/>
      <c r="AI360" s="8"/>
      <c r="CB360" s="8"/>
      <c r="CC360" s="8"/>
      <c r="CD360" s="8"/>
      <c r="CE360" s="8"/>
    </row>
    <row r="361" spans="1:83" s="1" customFormat="1" ht="15.75" customHeight="1" x14ac:dyDescent="0.15">
      <c r="A361" s="73" t="str">
        <f>IF(A$289="","","×")</f>
        <v>×</v>
      </c>
      <c r="F361" s="76"/>
      <c r="G361" s="76"/>
      <c r="H361" s="9"/>
      <c r="I361" s="323"/>
      <c r="J361" s="323"/>
      <c r="K361" s="323"/>
      <c r="L361" s="323"/>
      <c r="M361" s="323"/>
      <c r="N361" s="323"/>
      <c r="O361" s="323"/>
      <c r="P361" s="9"/>
      <c r="Q361" s="9"/>
      <c r="R361" s="9"/>
      <c r="S361" s="9"/>
      <c r="T361" s="323"/>
      <c r="U361" s="323"/>
      <c r="V361" s="323"/>
      <c r="W361" s="323"/>
      <c r="X361" s="323"/>
      <c r="Y361" s="323"/>
      <c r="Z361" s="323"/>
      <c r="AA361" s="323"/>
      <c r="AB361" s="323"/>
      <c r="AC361" s="323"/>
      <c r="AG361" s="8"/>
      <c r="AH361" s="8"/>
      <c r="AI361" s="8"/>
      <c r="CB361" s="8"/>
      <c r="CC361" s="8"/>
      <c r="CD361" s="8"/>
      <c r="CE361" s="8"/>
    </row>
    <row r="362" spans="1:83" s="1" customFormat="1" ht="15.75" customHeight="1" x14ac:dyDescent="0.15">
      <c r="A362" s="73" t="str">
        <f>IF(A$289="","","×")</f>
        <v>×</v>
      </c>
      <c r="B362" s="76"/>
      <c r="E362" s="8"/>
      <c r="F362" s="61" t="s">
        <v>540</v>
      </c>
      <c r="G362" s="61"/>
      <c r="H362" s="61"/>
      <c r="I362" s="61"/>
      <c r="J362" s="61"/>
      <c r="K362" s="61"/>
      <c r="L362" s="61"/>
      <c r="M362" s="61"/>
      <c r="N362" s="61"/>
      <c r="O362" s="61"/>
      <c r="P362" s="61"/>
      <c r="Q362" s="61"/>
      <c r="R362" s="61"/>
      <c r="S362" s="61"/>
      <c r="T362" s="61"/>
      <c r="U362" s="61"/>
      <c r="V362" s="61"/>
      <c r="W362" s="61"/>
      <c r="X362" s="61"/>
      <c r="Y362" s="61"/>
      <c r="Z362" s="61"/>
      <c r="AA362" s="61"/>
      <c r="AB362" s="62"/>
      <c r="AC362" s="62"/>
      <c r="AD362" s="62"/>
    </row>
    <row r="363" spans="1:83" s="1" customFormat="1" ht="15.75" customHeight="1" x14ac:dyDescent="0.15">
      <c r="A363" s="73" t="str">
        <f t="shared" ref="A363:A365" si="31">IF(A$289="","","×")</f>
        <v>×</v>
      </c>
      <c r="F363" s="126" t="s">
        <v>78</v>
      </c>
      <c r="G363" s="126"/>
      <c r="H363" s="105"/>
      <c r="I363" s="105" t="s">
        <v>535</v>
      </c>
      <c r="J363" s="105"/>
      <c r="K363" s="105"/>
      <c r="L363" s="105"/>
      <c r="M363" s="105" t="s">
        <v>534</v>
      </c>
      <c r="N363" s="105"/>
      <c r="O363" s="105"/>
      <c r="P363" s="129"/>
      <c r="Q363" s="273" t="s">
        <v>536</v>
      </c>
      <c r="R363" s="131"/>
      <c r="S363" s="131"/>
      <c r="T363" s="131"/>
      <c r="U363" s="131"/>
      <c r="V363" s="131"/>
      <c r="W363" s="131"/>
      <c r="X363" s="131"/>
      <c r="Y363" s="131"/>
      <c r="Z363" s="131"/>
      <c r="AA363" s="131"/>
      <c r="AB363" s="131"/>
      <c r="AC363" s="131"/>
      <c r="AD363" s="132"/>
    </row>
    <row r="364" spans="1:83" s="1" customFormat="1" ht="15.75" customHeight="1" x14ac:dyDescent="0.15">
      <c r="A364" s="73" t="str">
        <f t="shared" si="31"/>
        <v>×</v>
      </c>
      <c r="F364" s="127"/>
      <c r="G364" s="127"/>
      <c r="H364" s="122"/>
      <c r="I364" s="122"/>
      <c r="J364" s="122"/>
      <c r="K364" s="122"/>
      <c r="L364" s="122"/>
      <c r="M364" s="122"/>
      <c r="N364" s="122"/>
      <c r="O364" s="122"/>
      <c r="P364" s="123"/>
      <c r="Q364" s="218" t="s">
        <v>537</v>
      </c>
      <c r="R364" s="122"/>
      <c r="S364" s="122"/>
      <c r="T364" s="122"/>
      <c r="U364" s="122" t="s">
        <v>531</v>
      </c>
      <c r="V364" s="122"/>
      <c r="W364" s="122"/>
      <c r="X364" s="122"/>
      <c r="Y364" s="122"/>
      <c r="Z364" s="122" t="s">
        <v>532</v>
      </c>
      <c r="AA364" s="122"/>
      <c r="AB364" s="122"/>
      <c r="AC364" s="122"/>
      <c r="AD364" s="123"/>
    </row>
    <row r="365" spans="1:83" s="1" customFormat="1" ht="15.75" customHeight="1" x14ac:dyDescent="0.15">
      <c r="A365" s="73" t="str">
        <f t="shared" si="31"/>
        <v>×</v>
      </c>
      <c r="F365" s="128"/>
      <c r="G365" s="128"/>
      <c r="H365" s="106"/>
      <c r="I365" s="106"/>
      <c r="J365" s="106"/>
      <c r="K365" s="106"/>
      <c r="L365" s="106"/>
      <c r="M365" s="106"/>
      <c r="N365" s="106"/>
      <c r="O365" s="106"/>
      <c r="P365" s="124"/>
      <c r="Q365" s="226"/>
      <c r="R365" s="106"/>
      <c r="S365" s="106"/>
      <c r="T365" s="106"/>
      <c r="U365" s="106"/>
      <c r="V365" s="106"/>
      <c r="W365" s="106"/>
      <c r="X365" s="106"/>
      <c r="Y365" s="106"/>
      <c r="Z365" s="106"/>
      <c r="AA365" s="106"/>
      <c r="AB365" s="106"/>
      <c r="AC365" s="106"/>
      <c r="AD365" s="124"/>
    </row>
    <row r="366" spans="1:83" s="1" customFormat="1" ht="15.75" customHeight="1" x14ac:dyDescent="0.15">
      <c r="A366" s="73" t="str">
        <f>IF(A$289="",IF(F366="","×",""),"×")</f>
        <v>×</v>
      </c>
      <c r="B366" s="76"/>
      <c r="F366" s="117">
        <f>F338</f>
        <v>3</v>
      </c>
      <c r="G366" s="117"/>
      <c r="H366" s="118"/>
      <c r="I366" s="309">
        <f>I338</f>
        <v>50041.101063677925</v>
      </c>
      <c r="J366" s="309"/>
      <c r="K366" s="309"/>
      <c r="L366" s="309"/>
      <c r="M366" s="309">
        <f>M338</f>
        <v>49898.091116699667</v>
      </c>
      <c r="N366" s="309"/>
      <c r="O366" s="309"/>
      <c r="P366" s="312"/>
      <c r="Q366" s="399">
        <f>Q294</f>
        <v>1</v>
      </c>
      <c r="R366" s="118"/>
      <c r="S366" s="118"/>
      <c r="T366" s="118"/>
      <c r="U366" s="350">
        <f>IF(I366="","",ROUND(I366*Q366,-1))</f>
        <v>50040</v>
      </c>
      <c r="V366" s="350"/>
      <c r="W366" s="350"/>
      <c r="X366" s="350"/>
      <c r="Y366" s="350"/>
      <c r="Z366" s="350">
        <f>IF(M366="","",ROUND(M366*Q366,-1))</f>
        <v>49900</v>
      </c>
      <c r="AA366" s="350"/>
      <c r="AB366" s="350"/>
      <c r="AC366" s="350"/>
      <c r="AD366" s="352"/>
    </row>
    <row r="367" spans="1:83" s="1" customFormat="1" ht="15.75" customHeight="1" x14ac:dyDescent="0.15">
      <c r="A367" s="73" t="str">
        <f>IF(A$289="",IF(F367="","×",""),"×")</f>
        <v>×</v>
      </c>
      <c r="B367" s="76"/>
      <c r="F367" s="119">
        <f>F339</f>
        <v>4</v>
      </c>
      <c r="G367" s="119"/>
      <c r="H367" s="120"/>
      <c r="I367" s="314">
        <f>I339</f>
        <v>102812.36988100948</v>
      </c>
      <c r="J367" s="314"/>
      <c r="K367" s="314"/>
      <c r="L367" s="314"/>
      <c r="M367" s="314">
        <f>M339</f>
        <v>102518.54757788546</v>
      </c>
      <c r="N367" s="314"/>
      <c r="O367" s="314"/>
      <c r="P367" s="317"/>
      <c r="Q367" s="400">
        <f>Q295</f>
        <v>1</v>
      </c>
      <c r="R367" s="120"/>
      <c r="S367" s="120"/>
      <c r="T367" s="120"/>
      <c r="U367" s="354">
        <f>IF(I367="","",ROUND(I367*Q367,-1))</f>
        <v>102810</v>
      </c>
      <c r="V367" s="354"/>
      <c r="W367" s="354"/>
      <c r="X367" s="354"/>
      <c r="Y367" s="354"/>
      <c r="Z367" s="354">
        <f>IF(M367="","",ROUND(M367*Q367,-1))</f>
        <v>102520</v>
      </c>
      <c r="AA367" s="354"/>
      <c r="AB367" s="354"/>
      <c r="AC367" s="354"/>
      <c r="AD367" s="356"/>
    </row>
    <row r="368" spans="1:83" s="1" customFormat="1" ht="15.75" customHeight="1" x14ac:dyDescent="0.15">
      <c r="A368" s="73" t="str">
        <f>IF(A$289="",IF(F368="","×",""),"×")</f>
        <v>×</v>
      </c>
      <c r="B368" s="76"/>
      <c r="F368" s="119">
        <f>F340</f>
        <v>5</v>
      </c>
      <c r="G368" s="119"/>
      <c r="H368" s="120"/>
      <c r="I368" s="314">
        <f>I340</f>
        <v>117002.05754802511</v>
      </c>
      <c r="J368" s="314"/>
      <c r="K368" s="314"/>
      <c r="L368" s="314"/>
      <c r="M368" s="314">
        <f>M340</f>
        <v>116667.68324988573</v>
      </c>
      <c r="N368" s="314"/>
      <c r="O368" s="314"/>
      <c r="P368" s="317"/>
      <c r="Q368" s="400">
        <f>Q296</f>
        <v>1</v>
      </c>
      <c r="R368" s="120"/>
      <c r="S368" s="120"/>
      <c r="T368" s="120"/>
      <c r="U368" s="354">
        <f>IF(I368="","",ROUND(I368*Q368,-1))</f>
        <v>117000</v>
      </c>
      <c r="V368" s="354"/>
      <c r="W368" s="354"/>
      <c r="X368" s="354"/>
      <c r="Y368" s="354"/>
      <c r="Z368" s="354">
        <f>IF(M368="","",ROUND(M368*Q368,-1))</f>
        <v>116670</v>
      </c>
      <c r="AA368" s="354"/>
      <c r="AB368" s="354"/>
      <c r="AC368" s="354"/>
      <c r="AD368" s="356"/>
    </row>
    <row r="369" spans="1:80" s="1" customFormat="1" ht="15.75" customHeight="1" x14ac:dyDescent="0.15">
      <c r="A369" s="73" t="str">
        <f>IF(A$289="",IF(F369="","×",""),"×")</f>
        <v>×</v>
      </c>
      <c r="B369" s="76"/>
      <c r="F369" s="119">
        <f>F341</f>
        <v>6</v>
      </c>
      <c r="G369" s="119"/>
      <c r="H369" s="120"/>
      <c r="I369" s="314">
        <f>I341</f>
        <v>166827.61905220407</v>
      </c>
      <c r="J369" s="314"/>
      <c r="K369" s="314"/>
      <c r="L369" s="314"/>
      <c r="M369" s="314">
        <f>M341</f>
        <v>166350.85078675754</v>
      </c>
      <c r="N369" s="314"/>
      <c r="O369" s="314"/>
      <c r="P369" s="317"/>
      <c r="Q369" s="400">
        <f>Q297</f>
        <v>1</v>
      </c>
      <c r="R369" s="120"/>
      <c r="S369" s="120"/>
      <c r="T369" s="120"/>
      <c r="U369" s="354">
        <f>IF(I369="","",ROUND(I369*Q369,-1))</f>
        <v>166830</v>
      </c>
      <c r="V369" s="354"/>
      <c r="W369" s="354"/>
      <c r="X369" s="354"/>
      <c r="Y369" s="354"/>
      <c r="Z369" s="354">
        <f>IF(M369="","",ROUND(M369*Q369,-1))</f>
        <v>166350</v>
      </c>
      <c r="AA369" s="354"/>
      <c r="AB369" s="354"/>
      <c r="AC369" s="354"/>
      <c r="AD369" s="356"/>
    </row>
    <row r="370" spans="1:80" s="1" customFormat="1" ht="15.75" customHeight="1" x14ac:dyDescent="0.15">
      <c r="A370" s="73" t="str">
        <f>IF(A$289="",IF(F370="","×",""),"×")</f>
        <v>×</v>
      </c>
      <c r="B370" s="76"/>
      <c r="F370" s="119">
        <f>F342</f>
        <v>7</v>
      </c>
      <c r="G370" s="119"/>
      <c r="H370" s="120"/>
      <c r="I370" s="314">
        <f>I342</f>
        <v>329631.83299376065</v>
      </c>
      <c r="J370" s="314"/>
      <c r="K370" s="314"/>
      <c r="L370" s="314"/>
      <c r="M370" s="314">
        <f>M342</f>
        <v>328689.79475006182</v>
      </c>
      <c r="N370" s="314"/>
      <c r="O370" s="314"/>
      <c r="P370" s="317"/>
      <c r="Q370" s="400">
        <f>Q298</f>
        <v>1</v>
      </c>
      <c r="R370" s="120"/>
      <c r="S370" s="120"/>
      <c r="T370" s="120"/>
      <c r="U370" s="354">
        <f>IF(I370="","",ROUND(I370*Q370,-1))</f>
        <v>329630</v>
      </c>
      <c r="V370" s="354"/>
      <c r="W370" s="354"/>
      <c r="X370" s="354"/>
      <c r="Y370" s="354"/>
      <c r="Z370" s="354">
        <f>IF(M370="","",ROUND(M370*Q370,-1))</f>
        <v>328690</v>
      </c>
      <c r="AA370" s="354"/>
      <c r="AB370" s="354"/>
      <c r="AC370" s="354"/>
      <c r="AD370" s="356"/>
      <c r="BY370" s="8"/>
      <c r="BZ370" s="8"/>
      <c r="CA370" s="8"/>
      <c r="CB370" s="8"/>
    </row>
    <row r="371" spans="1:80" s="1" customFormat="1" ht="15.75" customHeight="1" x14ac:dyDescent="0.15">
      <c r="A371" s="73" t="str">
        <f>IF(A$289="",IF(F371="","×",""),"×")</f>
        <v>×</v>
      </c>
      <c r="B371" s="76"/>
      <c r="F371" s="119" t="str">
        <f>F343</f>
        <v/>
      </c>
      <c r="G371" s="119"/>
      <c r="H371" s="120"/>
      <c r="I371" s="314" t="str">
        <f>I343</f>
        <v/>
      </c>
      <c r="J371" s="314"/>
      <c r="K371" s="314"/>
      <c r="L371" s="314"/>
      <c r="M371" s="314" t="str">
        <f>M343</f>
        <v/>
      </c>
      <c r="N371" s="314"/>
      <c r="O371" s="314"/>
      <c r="P371" s="317"/>
      <c r="Q371" s="400">
        <f>Q299</f>
        <v>0</v>
      </c>
      <c r="R371" s="120"/>
      <c r="S371" s="120"/>
      <c r="T371" s="120"/>
      <c r="U371" s="354" t="str">
        <f>IF(I371="","",ROUND(I371*Q371,-1))</f>
        <v/>
      </c>
      <c r="V371" s="354"/>
      <c r="W371" s="354"/>
      <c r="X371" s="354"/>
      <c r="Y371" s="354"/>
      <c r="Z371" s="354" t="str">
        <f>IF(M371="","",ROUND(M371*Q371,-1))</f>
        <v/>
      </c>
      <c r="AA371" s="354"/>
      <c r="AB371" s="354"/>
      <c r="AC371" s="354"/>
      <c r="AD371" s="356"/>
      <c r="BY371" s="8"/>
      <c r="BZ371" s="8"/>
      <c r="CA371" s="8"/>
      <c r="CB371" s="8"/>
    </row>
    <row r="372" spans="1:80" s="1" customFormat="1" ht="15.75" customHeight="1" x14ac:dyDescent="0.15">
      <c r="A372" s="73" t="str">
        <f>IF(A$289="",IF(F372="","×",""),"×")</f>
        <v>×</v>
      </c>
      <c r="B372" s="76"/>
      <c r="F372" s="119" t="str">
        <f>F344</f>
        <v/>
      </c>
      <c r="G372" s="119"/>
      <c r="H372" s="120"/>
      <c r="I372" s="314" t="str">
        <f>I344</f>
        <v/>
      </c>
      <c r="J372" s="314"/>
      <c r="K372" s="314"/>
      <c r="L372" s="314"/>
      <c r="M372" s="314" t="str">
        <f>M344</f>
        <v/>
      </c>
      <c r="N372" s="314"/>
      <c r="O372" s="314"/>
      <c r="P372" s="317"/>
      <c r="Q372" s="400">
        <f>Q300</f>
        <v>0</v>
      </c>
      <c r="R372" s="120"/>
      <c r="S372" s="120"/>
      <c r="T372" s="120"/>
      <c r="U372" s="354" t="str">
        <f>IF(I372="","",ROUND(I372*Q372,-1))</f>
        <v/>
      </c>
      <c r="V372" s="354"/>
      <c r="W372" s="354"/>
      <c r="X372" s="354"/>
      <c r="Y372" s="354"/>
      <c r="Z372" s="354" t="str">
        <f>IF(M372="","",ROUND(M372*Q372,-1))</f>
        <v/>
      </c>
      <c r="AA372" s="354"/>
      <c r="AB372" s="354"/>
      <c r="AC372" s="354"/>
      <c r="AD372" s="356"/>
      <c r="BY372" s="8"/>
      <c r="BZ372" s="8"/>
      <c r="CA372" s="8"/>
      <c r="CB372" s="8"/>
    </row>
    <row r="373" spans="1:80" s="1" customFormat="1" ht="15.75" customHeight="1" x14ac:dyDescent="0.15">
      <c r="A373" s="73" t="str">
        <f>IF(A$289="",IF(F373="","×",""),"×")</f>
        <v>×</v>
      </c>
      <c r="B373" s="76"/>
      <c r="F373" s="119" t="str">
        <f>F345</f>
        <v/>
      </c>
      <c r="G373" s="119"/>
      <c r="H373" s="120"/>
      <c r="I373" s="314" t="str">
        <f>I345</f>
        <v/>
      </c>
      <c r="J373" s="314"/>
      <c r="K373" s="314"/>
      <c r="L373" s="314"/>
      <c r="M373" s="314" t="str">
        <f>M345</f>
        <v/>
      </c>
      <c r="N373" s="314"/>
      <c r="O373" s="314"/>
      <c r="P373" s="317"/>
      <c r="Q373" s="400">
        <f>Q301</f>
        <v>0</v>
      </c>
      <c r="R373" s="120"/>
      <c r="S373" s="120"/>
      <c r="T373" s="120"/>
      <c r="U373" s="354" t="str">
        <f>IF(I373="","",ROUND(I373*Q373,-1))</f>
        <v/>
      </c>
      <c r="V373" s="354"/>
      <c r="W373" s="354"/>
      <c r="X373" s="354"/>
      <c r="Y373" s="354"/>
      <c r="Z373" s="354" t="str">
        <f>IF(M373="","",ROUND(M373*Q373,-1))</f>
        <v/>
      </c>
      <c r="AA373" s="354"/>
      <c r="AB373" s="354"/>
      <c r="AC373" s="354"/>
      <c r="AD373" s="356"/>
      <c r="BY373" s="8"/>
      <c r="BZ373" s="8"/>
      <c r="CA373" s="8"/>
      <c r="CB373" s="8"/>
    </row>
    <row r="374" spans="1:80" s="1" customFormat="1" ht="15.75" customHeight="1" x14ac:dyDescent="0.15">
      <c r="A374" s="73" t="str">
        <f>IF(A$289="",IF(F374="","×",""),"×")</f>
        <v>×</v>
      </c>
      <c r="B374" s="76"/>
      <c r="F374" s="119" t="str">
        <f>F346</f>
        <v/>
      </c>
      <c r="G374" s="119"/>
      <c r="H374" s="120"/>
      <c r="I374" s="314" t="str">
        <f>I346</f>
        <v/>
      </c>
      <c r="J374" s="314"/>
      <c r="K374" s="314"/>
      <c r="L374" s="314"/>
      <c r="M374" s="314" t="str">
        <f>M346</f>
        <v/>
      </c>
      <c r="N374" s="314"/>
      <c r="O374" s="314"/>
      <c r="P374" s="317"/>
      <c r="Q374" s="400">
        <f>Q302</f>
        <v>0</v>
      </c>
      <c r="R374" s="120"/>
      <c r="S374" s="120"/>
      <c r="T374" s="120"/>
      <c r="U374" s="354" t="str">
        <f>IF(I374="","",ROUND(I374*Q374,-1))</f>
        <v/>
      </c>
      <c r="V374" s="354"/>
      <c r="W374" s="354"/>
      <c r="X374" s="354"/>
      <c r="Y374" s="354"/>
      <c r="Z374" s="354" t="str">
        <f>IF(M374="","",ROUND(M374*Q374,-1))</f>
        <v/>
      </c>
      <c r="AA374" s="354"/>
      <c r="AB374" s="354"/>
      <c r="AC374" s="354"/>
      <c r="AD374" s="356"/>
      <c r="BY374" s="8"/>
      <c r="BZ374" s="8"/>
      <c r="CA374" s="8"/>
      <c r="CB374" s="8"/>
    </row>
    <row r="375" spans="1:80" s="1" customFormat="1" ht="15.75" customHeight="1" x14ac:dyDescent="0.15">
      <c r="A375" s="73" t="str">
        <f>IF(A$289="",IF(F375="","×",""),"×")</f>
        <v>×</v>
      </c>
      <c r="B375" s="76"/>
      <c r="F375" s="119" t="str">
        <f>F347</f>
        <v/>
      </c>
      <c r="G375" s="119"/>
      <c r="H375" s="120"/>
      <c r="I375" s="314" t="str">
        <f>I347</f>
        <v/>
      </c>
      <c r="J375" s="314"/>
      <c r="K375" s="314"/>
      <c r="L375" s="314"/>
      <c r="M375" s="314" t="str">
        <f>M347</f>
        <v/>
      </c>
      <c r="N375" s="314"/>
      <c r="O375" s="314"/>
      <c r="P375" s="317"/>
      <c r="Q375" s="400">
        <f>Q303</f>
        <v>0</v>
      </c>
      <c r="R375" s="120"/>
      <c r="S375" s="120"/>
      <c r="T375" s="120"/>
      <c r="U375" s="354" t="str">
        <f>IF(I375="","",ROUND(I375*Q375,-1))</f>
        <v/>
      </c>
      <c r="V375" s="354"/>
      <c r="W375" s="354"/>
      <c r="X375" s="354"/>
      <c r="Y375" s="354"/>
      <c r="Z375" s="354" t="str">
        <f>IF(M375="","",ROUND(M375*Q375,-1))</f>
        <v/>
      </c>
      <c r="AA375" s="354"/>
      <c r="AB375" s="354"/>
      <c r="AC375" s="354"/>
      <c r="AD375" s="356"/>
      <c r="BY375" s="8"/>
      <c r="BZ375" s="8"/>
      <c r="CA375" s="8"/>
      <c r="CB375" s="8"/>
    </row>
    <row r="376" spans="1:80" s="1" customFormat="1" ht="15.75" customHeight="1" x14ac:dyDescent="0.15">
      <c r="A376" s="73" t="str">
        <f>IF(A$289="",IF(F376="","×",""),"×")</f>
        <v>×</v>
      </c>
      <c r="B376" s="76"/>
      <c r="F376" s="119" t="str">
        <f>F348</f>
        <v/>
      </c>
      <c r="G376" s="119"/>
      <c r="H376" s="120"/>
      <c r="I376" s="314" t="str">
        <f>I348</f>
        <v/>
      </c>
      <c r="J376" s="314"/>
      <c r="K376" s="314"/>
      <c r="L376" s="314"/>
      <c r="M376" s="314" t="str">
        <f>M348</f>
        <v/>
      </c>
      <c r="N376" s="314"/>
      <c r="O376" s="314"/>
      <c r="P376" s="317"/>
      <c r="Q376" s="400">
        <f>Q304</f>
        <v>0</v>
      </c>
      <c r="R376" s="120"/>
      <c r="S376" s="120"/>
      <c r="T376" s="120"/>
      <c r="U376" s="354" t="str">
        <f>IF(I376="","",ROUND(I376*Q376,-1))</f>
        <v/>
      </c>
      <c r="V376" s="354"/>
      <c r="W376" s="354"/>
      <c r="X376" s="354"/>
      <c r="Y376" s="354"/>
      <c r="Z376" s="354" t="str">
        <f>IF(M376="","",ROUND(M376*Q376,-1))</f>
        <v/>
      </c>
      <c r="AA376" s="354"/>
      <c r="AB376" s="354"/>
      <c r="AC376" s="354"/>
      <c r="AD376" s="356"/>
      <c r="BY376" s="8"/>
      <c r="BZ376" s="8"/>
      <c r="CA376" s="8"/>
      <c r="CB376" s="8"/>
    </row>
    <row r="377" spans="1:80" s="1" customFormat="1" ht="15.75" customHeight="1" x14ac:dyDescent="0.15">
      <c r="A377" s="73" t="str">
        <f>IF(A$289="",IF(F377="","×",""),"×")</f>
        <v>×</v>
      </c>
      <c r="B377" s="76"/>
      <c r="F377" s="119" t="str">
        <f>F349</f>
        <v/>
      </c>
      <c r="G377" s="119"/>
      <c r="H377" s="120"/>
      <c r="I377" s="314" t="str">
        <f>I349</f>
        <v/>
      </c>
      <c r="J377" s="314"/>
      <c r="K377" s="314"/>
      <c r="L377" s="314"/>
      <c r="M377" s="314" t="str">
        <f>M349</f>
        <v/>
      </c>
      <c r="N377" s="314"/>
      <c r="O377" s="314"/>
      <c r="P377" s="317"/>
      <c r="Q377" s="400">
        <f>Q305</f>
        <v>0</v>
      </c>
      <c r="R377" s="120"/>
      <c r="S377" s="120"/>
      <c r="T377" s="120"/>
      <c r="U377" s="354" t="str">
        <f>IF(I377="","",ROUND(I377*Q377,-1))</f>
        <v/>
      </c>
      <c r="V377" s="354"/>
      <c r="W377" s="354"/>
      <c r="X377" s="354"/>
      <c r="Y377" s="354"/>
      <c r="Z377" s="354" t="str">
        <f>IF(M377="","",ROUND(M377*Q377,-1))</f>
        <v/>
      </c>
      <c r="AA377" s="354"/>
      <c r="AB377" s="354"/>
      <c r="AC377" s="354"/>
      <c r="AD377" s="356"/>
      <c r="BY377" s="8"/>
      <c r="BZ377" s="8"/>
      <c r="CA377" s="8"/>
      <c r="CB377" s="8"/>
    </row>
    <row r="378" spans="1:80" s="1" customFormat="1" ht="15.75" customHeight="1" x14ac:dyDescent="0.15">
      <c r="A378" s="73" t="str">
        <f>IF(A$289="",IF(F378="","×",""),"×")</f>
        <v>×</v>
      </c>
      <c r="B378" s="76"/>
      <c r="F378" s="119" t="str">
        <f>F350</f>
        <v/>
      </c>
      <c r="G378" s="119"/>
      <c r="H378" s="120"/>
      <c r="I378" s="314" t="str">
        <f>I350</f>
        <v/>
      </c>
      <c r="J378" s="314"/>
      <c r="K378" s="314"/>
      <c r="L378" s="314"/>
      <c r="M378" s="314" t="str">
        <f>M350</f>
        <v/>
      </c>
      <c r="N378" s="314"/>
      <c r="O378" s="314"/>
      <c r="P378" s="317"/>
      <c r="Q378" s="400">
        <f>Q306</f>
        <v>0</v>
      </c>
      <c r="R378" s="120"/>
      <c r="S378" s="120"/>
      <c r="T378" s="120"/>
      <c r="U378" s="354" t="str">
        <f>IF(I378="","",ROUND(I378*Q378,-1))</f>
        <v/>
      </c>
      <c r="V378" s="354"/>
      <c r="W378" s="354"/>
      <c r="X378" s="354"/>
      <c r="Y378" s="354"/>
      <c r="Z378" s="354" t="str">
        <f>IF(M378="","",ROUND(M378*Q378,-1))</f>
        <v/>
      </c>
      <c r="AA378" s="354"/>
      <c r="AB378" s="354"/>
      <c r="AC378" s="354"/>
      <c r="AD378" s="356"/>
      <c r="BY378" s="8"/>
      <c r="BZ378" s="8"/>
      <c r="CA378" s="8"/>
      <c r="CB378" s="8"/>
    </row>
    <row r="379" spans="1:80" s="1" customFormat="1" ht="15.75" customHeight="1" x14ac:dyDescent="0.15">
      <c r="A379" s="73" t="str">
        <f>IF(A$289="",IF(F379="","×",""),"×")</f>
        <v>×</v>
      </c>
      <c r="B379" s="76"/>
      <c r="F379" s="119" t="str">
        <f>F351</f>
        <v/>
      </c>
      <c r="G379" s="119"/>
      <c r="H379" s="120"/>
      <c r="I379" s="314" t="str">
        <f>I351</f>
        <v/>
      </c>
      <c r="J379" s="314"/>
      <c r="K379" s="314"/>
      <c r="L379" s="314"/>
      <c r="M379" s="314" t="str">
        <f>M351</f>
        <v/>
      </c>
      <c r="N379" s="314"/>
      <c r="O379" s="314"/>
      <c r="P379" s="317"/>
      <c r="Q379" s="400">
        <f>Q307</f>
        <v>0</v>
      </c>
      <c r="R379" s="120"/>
      <c r="S379" s="120"/>
      <c r="T379" s="120"/>
      <c r="U379" s="354" t="str">
        <f>IF(I379="","",ROUND(I379*Q379,-1))</f>
        <v/>
      </c>
      <c r="V379" s="354"/>
      <c r="W379" s="354"/>
      <c r="X379" s="354"/>
      <c r="Y379" s="354"/>
      <c r="Z379" s="354" t="str">
        <f>IF(M379="","",ROUND(M379*Q379,-1))</f>
        <v/>
      </c>
      <c r="AA379" s="354"/>
      <c r="AB379" s="354"/>
      <c r="AC379" s="354"/>
      <c r="AD379" s="356"/>
      <c r="BY379" s="8"/>
      <c r="BZ379" s="8"/>
      <c r="CA379" s="8"/>
      <c r="CB379" s="8"/>
    </row>
    <row r="380" spans="1:80" s="1" customFormat="1" ht="15.75" customHeight="1" x14ac:dyDescent="0.15">
      <c r="A380" s="73" t="str">
        <f>IF(A$289="",IF(F380="","×",""),"×")</f>
        <v>×</v>
      </c>
      <c r="B380" s="76"/>
      <c r="F380" s="119" t="str">
        <f>F352</f>
        <v/>
      </c>
      <c r="G380" s="119"/>
      <c r="H380" s="120"/>
      <c r="I380" s="314" t="str">
        <f>I352</f>
        <v/>
      </c>
      <c r="J380" s="314"/>
      <c r="K380" s="314"/>
      <c r="L380" s="314"/>
      <c r="M380" s="314" t="str">
        <f>M352</f>
        <v/>
      </c>
      <c r="N380" s="314"/>
      <c r="O380" s="314"/>
      <c r="P380" s="317"/>
      <c r="Q380" s="400">
        <f>Q308</f>
        <v>0</v>
      </c>
      <c r="R380" s="120"/>
      <c r="S380" s="120"/>
      <c r="T380" s="120"/>
      <c r="U380" s="354" t="str">
        <f>IF(I380="","",ROUND(I380*Q380,-1))</f>
        <v/>
      </c>
      <c r="V380" s="354"/>
      <c r="W380" s="354"/>
      <c r="X380" s="354"/>
      <c r="Y380" s="354"/>
      <c r="Z380" s="354" t="str">
        <f>IF(M380="","",ROUND(M380*Q380,-1))</f>
        <v/>
      </c>
      <c r="AA380" s="354"/>
      <c r="AB380" s="354"/>
      <c r="AC380" s="354"/>
      <c r="AD380" s="356"/>
      <c r="BY380" s="8"/>
      <c r="BZ380" s="8"/>
      <c r="CA380" s="8"/>
      <c r="CB380" s="8"/>
    </row>
    <row r="381" spans="1:80" s="1" customFormat="1" ht="15.75" customHeight="1" x14ac:dyDescent="0.15">
      <c r="A381" s="73" t="str">
        <f>IF(A$289="",IF(F381="","×",""),"×")</f>
        <v>×</v>
      </c>
      <c r="B381" s="76"/>
      <c r="F381" s="233" t="str">
        <f>F353</f>
        <v/>
      </c>
      <c r="G381" s="233"/>
      <c r="H381" s="234"/>
      <c r="I381" s="319" t="str">
        <f>I353</f>
        <v/>
      </c>
      <c r="J381" s="319"/>
      <c r="K381" s="319"/>
      <c r="L381" s="319"/>
      <c r="M381" s="319" t="str">
        <f>M353</f>
        <v/>
      </c>
      <c r="N381" s="319"/>
      <c r="O381" s="319"/>
      <c r="P381" s="322"/>
      <c r="Q381" s="401">
        <f>Q309</f>
        <v>0</v>
      </c>
      <c r="R381" s="234"/>
      <c r="S381" s="234"/>
      <c r="T381" s="234"/>
      <c r="U381" s="358" t="str">
        <f>IF(I381="","",ROUND(I381*Q381,-1))</f>
        <v/>
      </c>
      <c r="V381" s="358"/>
      <c r="W381" s="358"/>
      <c r="X381" s="358"/>
      <c r="Y381" s="358"/>
      <c r="Z381" s="358" t="str">
        <f>IF(M381="","",ROUND(M381*Q381,-1))</f>
        <v/>
      </c>
      <c r="AA381" s="358"/>
      <c r="AB381" s="358"/>
      <c r="AC381" s="358"/>
      <c r="AD381" s="360"/>
      <c r="BY381" s="8"/>
      <c r="BZ381" s="8"/>
      <c r="CA381" s="8"/>
      <c r="CB381" s="8"/>
    </row>
    <row r="382" spans="1:80" s="1" customFormat="1" ht="15.75" customHeight="1" x14ac:dyDescent="0.15">
      <c r="A382" s="73" t="str">
        <f t="shared" ref="A382" si="32">IF(A$289="","","×")</f>
        <v>×</v>
      </c>
      <c r="F382" s="76"/>
      <c r="G382" s="76"/>
      <c r="H382" s="9"/>
      <c r="I382" s="323"/>
      <c r="J382" s="323"/>
      <c r="K382" s="323"/>
      <c r="L382" s="323"/>
      <c r="M382" s="323"/>
      <c r="N382" s="323"/>
      <c r="O382" s="323"/>
      <c r="P382" s="9"/>
      <c r="Q382" s="9"/>
      <c r="R382" s="9"/>
      <c r="S382" s="9"/>
      <c r="T382" s="323"/>
      <c r="U382" s="323"/>
      <c r="V382" s="323"/>
      <c r="W382" s="323"/>
      <c r="X382" s="323"/>
      <c r="Y382" s="323"/>
      <c r="Z382" s="323"/>
      <c r="AA382" s="323"/>
      <c r="AB382" s="323"/>
      <c r="AC382" s="323"/>
      <c r="AD382" s="323"/>
      <c r="AE382" s="8"/>
      <c r="AF382" s="8"/>
      <c r="BY382" s="8"/>
      <c r="BZ382" s="8"/>
      <c r="CA382" s="8"/>
      <c r="CB382" s="8"/>
    </row>
    <row r="383" spans="1:80" s="1" customFormat="1" ht="15.75" customHeight="1" x14ac:dyDescent="0.15">
      <c r="A383" s="73" t="str">
        <f>IF(A$311="","","×")</f>
        <v>×</v>
      </c>
      <c r="H383" s="76"/>
      <c r="I383" s="76"/>
      <c r="J383" s="76"/>
      <c r="K383" s="9"/>
      <c r="L383" s="323"/>
      <c r="M383" s="323"/>
      <c r="N383" s="323"/>
      <c r="O383" s="323"/>
      <c r="P383" s="323"/>
      <c r="Q383" s="323"/>
      <c r="R383" s="323"/>
      <c r="S383" s="323"/>
      <c r="T383" s="9"/>
      <c r="U383" s="9"/>
      <c r="V383" s="9"/>
      <c r="W383" s="9"/>
      <c r="X383" s="323"/>
      <c r="Y383" s="323"/>
      <c r="Z383" s="323"/>
      <c r="AA383" s="323"/>
      <c r="AB383" s="323"/>
      <c r="AC383" s="323"/>
      <c r="AD383" s="323"/>
    </row>
    <row r="384" spans="1:80" s="1" customFormat="1" ht="15.75" customHeight="1" x14ac:dyDescent="0.15">
      <c r="A384" s="73" t="str">
        <f>IF(A$311="","","×")</f>
        <v>×</v>
      </c>
      <c r="B384" s="76"/>
      <c r="F384" s="61" t="s">
        <v>540</v>
      </c>
      <c r="G384" s="61"/>
      <c r="H384" s="302"/>
      <c r="I384" s="61"/>
      <c r="J384" s="61"/>
      <c r="K384" s="61"/>
      <c r="L384" s="61"/>
      <c r="M384" s="61"/>
      <c r="N384" s="61"/>
      <c r="O384" s="61"/>
      <c r="P384" s="61"/>
      <c r="Q384" s="61"/>
      <c r="R384" s="61"/>
      <c r="S384" s="61"/>
      <c r="T384" s="61"/>
      <c r="U384" s="61"/>
      <c r="V384" s="61"/>
      <c r="W384" s="61"/>
      <c r="X384" s="61"/>
      <c r="Y384" s="61"/>
      <c r="Z384" s="61"/>
      <c r="AA384" s="61"/>
      <c r="AB384" s="61"/>
      <c r="AC384" s="61"/>
      <c r="AD384" s="61"/>
    </row>
    <row r="385" spans="1:30" s="1" customFormat="1" ht="15.75" customHeight="1" x14ac:dyDescent="0.15">
      <c r="A385" s="73" t="str">
        <f>IF(A$311="","","×")</f>
        <v>×</v>
      </c>
      <c r="F385" s="126" t="s">
        <v>78</v>
      </c>
      <c r="G385" s="126"/>
      <c r="H385" s="105"/>
      <c r="I385" s="105" t="s">
        <v>535</v>
      </c>
      <c r="J385" s="105"/>
      <c r="K385" s="105"/>
      <c r="L385" s="105"/>
      <c r="M385" s="105" t="s">
        <v>534</v>
      </c>
      <c r="N385" s="105"/>
      <c r="O385" s="105"/>
      <c r="P385" s="129"/>
      <c r="Q385" s="273" t="s">
        <v>538</v>
      </c>
      <c r="R385" s="131"/>
      <c r="S385" s="131"/>
      <c r="T385" s="131"/>
      <c r="U385" s="131"/>
      <c r="V385" s="131"/>
      <c r="W385" s="131"/>
      <c r="X385" s="131"/>
      <c r="Y385" s="131"/>
      <c r="Z385" s="131"/>
      <c r="AA385" s="131"/>
      <c r="AB385" s="131"/>
      <c r="AC385" s="131"/>
      <c r="AD385" s="132"/>
    </row>
    <row r="386" spans="1:30" s="1" customFormat="1" ht="15.75" customHeight="1" x14ac:dyDescent="0.15">
      <c r="A386" s="73" t="str">
        <f>IF(A$311="","","×")</f>
        <v>×</v>
      </c>
      <c r="F386" s="127"/>
      <c r="G386" s="127"/>
      <c r="H386" s="122"/>
      <c r="I386" s="122"/>
      <c r="J386" s="122"/>
      <c r="K386" s="122"/>
      <c r="L386" s="122"/>
      <c r="M386" s="122"/>
      <c r="N386" s="122"/>
      <c r="O386" s="122"/>
      <c r="P386" s="123"/>
      <c r="Q386" s="218" t="s">
        <v>537</v>
      </c>
      <c r="R386" s="122"/>
      <c r="S386" s="122"/>
      <c r="T386" s="122"/>
      <c r="U386" s="122" t="s">
        <v>531</v>
      </c>
      <c r="V386" s="122"/>
      <c r="W386" s="122"/>
      <c r="X386" s="122"/>
      <c r="Y386" s="122"/>
      <c r="Z386" s="122" t="s">
        <v>532</v>
      </c>
      <c r="AA386" s="122"/>
      <c r="AB386" s="122"/>
      <c r="AC386" s="122"/>
      <c r="AD386" s="123"/>
    </row>
    <row r="387" spans="1:30" s="1" customFormat="1" ht="15.75" customHeight="1" x14ac:dyDescent="0.15">
      <c r="A387" s="73" t="str">
        <f>IF(A$311="","","×")</f>
        <v>×</v>
      </c>
      <c r="F387" s="128"/>
      <c r="G387" s="128"/>
      <c r="H387" s="106"/>
      <c r="I387" s="106"/>
      <c r="J387" s="106"/>
      <c r="K387" s="106"/>
      <c r="L387" s="106"/>
      <c r="M387" s="106"/>
      <c r="N387" s="106"/>
      <c r="O387" s="106"/>
      <c r="P387" s="124"/>
      <c r="Q387" s="226"/>
      <c r="R387" s="106"/>
      <c r="S387" s="106"/>
      <c r="T387" s="106"/>
      <c r="U387" s="106"/>
      <c r="V387" s="106"/>
      <c r="W387" s="106"/>
      <c r="X387" s="106"/>
      <c r="Y387" s="106"/>
      <c r="Z387" s="106"/>
      <c r="AA387" s="106"/>
      <c r="AB387" s="106"/>
      <c r="AC387" s="106"/>
      <c r="AD387" s="124"/>
    </row>
    <row r="388" spans="1:30" s="1" customFormat="1" ht="15.75" customHeight="1" x14ac:dyDescent="0.15">
      <c r="A388" s="73" t="str">
        <f>IF(A$311="",IF(F388="","×",""),"×")</f>
        <v>×</v>
      </c>
      <c r="B388" s="76"/>
      <c r="F388" s="117">
        <f>F338</f>
        <v>3</v>
      </c>
      <c r="G388" s="117"/>
      <c r="H388" s="118"/>
      <c r="I388" s="309">
        <f>I338</f>
        <v>50041.101063677925</v>
      </c>
      <c r="J388" s="309"/>
      <c r="K388" s="309"/>
      <c r="L388" s="309"/>
      <c r="M388" s="309">
        <f>M338</f>
        <v>49898.091116699667</v>
      </c>
      <c r="N388" s="309"/>
      <c r="O388" s="309"/>
      <c r="P388" s="312"/>
      <c r="Q388" s="399">
        <f>Q316</f>
        <v>1</v>
      </c>
      <c r="R388" s="118"/>
      <c r="S388" s="118"/>
      <c r="T388" s="118"/>
      <c r="U388" s="309">
        <f>IF(I388="","",ROUND(I366*Q388,-1))</f>
        <v>50040</v>
      </c>
      <c r="V388" s="309"/>
      <c r="W388" s="309"/>
      <c r="X388" s="309"/>
      <c r="Y388" s="309"/>
      <c r="Z388" s="309">
        <f>IF(M388="","",ROUND(M366*Q388,-1))</f>
        <v>49900</v>
      </c>
      <c r="AA388" s="309"/>
      <c r="AB388" s="309"/>
      <c r="AC388" s="309"/>
      <c r="AD388" s="312"/>
    </row>
    <row r="389" spans="1:30" s="1" customFormat="1" ht="15.75" customHeight="1" x14ac:dyDescent="0.15">
      <c r="A389" s="73" t="str">
        <f>IF(A$311="",IF(F389="","×",""),"×")</f>
        <v>×</v>
      </c>
      <c r="B389" s="76"/>
      <c r="F389" s="119">
        <f>F339</f>
        <v>4</v>
      </c>
      <c r="G389" s="119"/>
      <c r="H389" s="120"/>
      <c r="I389" s="314">
        <f>I339</f>
        <v>102812.36988100948</v>
      </c>
      <c r="J389" s="314"/>
      <c r="K389" s="314"/>
      <c r="L389" s="314"/>
      <c r="M389" s="314">
        <f>M339</f>
        <v>102518.54757788546</v>
      </c>
      <c r="N389" s="314"/>
      <c r="O389" s="314"/>
      <c r="P389" s="317"/>
      <c r="Q389" s="400">
        <f>Q317</f>
        <v>1</v>
      </c>
      <c r="R389" s="120"/>
      <c r="S389" s="120"/>
      <c r="T389" s="120"/>
      <c r="U389" s="314">
        <f t="shared" ref="U389:U403" si="33">IF(I389="","",ROUND(I367*Q389,-1))</f>
        <v>102810</v>
      </c>
      <c r="V389" s="314"/>
      <c r="W389" s="314"/>
      <c r="X389" s="314"/>
      <c r="Y389" s="314"/>
      <c r="Z389" s="314">
        <f t="shared" ref="Z389:Z403" si="34">IF(M389="","",ROUND(M367*Q389,-1))</f>
        <v>102520</v>
      </c>
      <c r="AA389" s="314"/>
      <c r="AB389" s="314"/>
      <c r="AC389" s="314"/>
      <c r="AD389" s="317"/>
    </row>
    <row r="390" spans="1:30" s="1" customFormat="1" ht="15.75" customHeight="1" x14ac:dyDescent="0.15">
      <c r="A390" s="73" t="str">
        <f>IF(A$311="",IF(F390="","×",""),"×")</f>
        <v>×</v>
      </c>
      <c r="B390" s="76"/>
      <c r="F390" s="119">
        <f>F340</f>
        <v>5</v>
      </c>
      <c r="G390" s="119"/>
      <c r="H390" s="120"/>
      <c r="I390" s="314">
        <f>I340</f>
        <v>117002.05754802511</v>
      </c>
      <c r="J390" s="314"/>
      <c r="K390" s="314"/>
      <c r="L390" s="314"/>
      <c r="M390" s="314">
        <f>M340</f>
        <v>116667.68324988573</v>
      </c>
      <c r="N390" s="314"/>
      <c r="O390" s="314"/>
      <c r="P390" s="317"/>
      <c r="Q390" s="400">
        <f>Q318</f>
        <v>1</v>
      </c>
      <c r="R390" s="120"/>
      <c r="S390" s="120"/>
      <c r="T390" s="120"/>
      <c r="U390" s="314">
        <f t="shared" si="33"/>
        <v>117000</v>
      </c>
      <c r="V390" s="314"/>
      <c r="W390" s="314"/>
      <c r="X390" s="314"/>
      <c r="Y390" s="314"/>
      <c r="Z390" s="314">
        <f t="shared" si="34"/>
        <v>116670</v>
      </c>
      <c r="AA390" s="314"/>
      <c r="AB390" s="314"/>
      <c r="AC390" s="314"/>
      <c r="AD390" s="317"/>
    </row>
    <row r="391" spans="1:30" s="1" customFormat="1" ht="15.75" customHeight="1" x14ac:dyDescent="0.15">
      <c r="A391" s="73" t="str">
        <f>IF(A$311="",IF(F391="","×",""),"×")</f>
        <v>×</v>
      </c>
      <c r="B391" s="76"/>
      <c r="F391" s="119">
        <f>F341</f>
        <v>6</v>
      </c>
      <c r="G391" s="119"/>
      <c r="H391" s="120"/>
      <c r="I391" s="314">
        <f>I341</f>
        <v>166827.61905220407</v>
      </c>
      <c r="J391" s="314"/>
      <c r="K391" s="314"/>
      <c r="L391" s="314"/>
      <c r="M391" s="314">
        <f>M341</f>
        <v>166350.85078675754</v>
      </c>
      <c r="N391" s="314"/>
      <c r="O391" s="314"/>
      <c r="P391" s="317"/>
      <c r="Q391" s="400">
        <f>Q319</f>
        <v>1</v>
      </c>
      <c r="R391" s="120"/>
      <c r="S391" s="120"/>
      <c r="T391" s="120"/>
      <c r="U391" s="314">
        <f t="shared" si="33"/>
        <v>166830</v>
      </c>
      <c r="V391" s="314"/>
      <c r="W391" s="314"/>
      <c r="X391" s="314"/>
      <c r="Y391" s="314"/>
      <c r="Z391" s="314">
        <f t="shared" si="34"/>
        <v>166350</v>
      </c>
      <c r="AA391" s="314"/>
      <c r="AB391" s="314"/>
      <c r="AC391" s="314"/>
      <c r="AD391" s="317"/>
    </row>
    <row r="392" spans="1:30" s="1" customFormat="1" ht="15.75" customHeight="1" x14ac:dyDescent="0.15">
      <c r="A392" s="73" t="str">
        <f>IF(A$311="",IF(F392="","×",""),"×")</f>
        <v>×</v>
      </c>
      <c r="B392" s="76"/>
      <c r="F392" s="119">
        <f>F342</f>
        <v>7</v>
      </c>
      <c r="G392" s="119"/>
      <c r="H392" s="120"/>
      <c r="I392" s="314">
        <f>I342</f>
        <v>329631.83299376065</v>
      </c>
      <c r="J392" s="314"/>
      <c r="K392" s="314"/>
      <c r="L392" s="314"/>
      <c r="M392" s="314">
        <f>M342</f>
        <v>328689.79475006182</v>
      </c>
      <c r="N392" s="314"/>
      <c r="O392" s="314"/>
      <c r="P392" s="317"/>
      <c r="Q392" s="400">
        <f>Q320</f>
        <v>1</v>
      </c>
      <c r="R392" s="120"/>
      <c r="S392" s="120"/>
      <c r="T392" s="120"/>
      <c r="U392" s="314">
        <f t="shared" si="33"/>
        <v>329630</v>
      </c>
      <c r="V392" s="314"/>
      <c r="W392" s="314"/>
      <c r="X392" s="314"/>
      <c r="Y392" s="314"/>
      <c r="Z392" s="314">
        <f t="shared" si="34"/>
        <v>328690</v>
      </c>
      <c r="AA392" s="314"/>
      <c r="AB392" s="314"/>
      <c r="AC392" s="314"/>
      <c r="AD392" s="317"/>
    </row>
    <row r="393" spans="1:30" s="1" customFormat="1" ht="15.75" customHeight="1" x14ac:dyDescent="0.15">
      <c r="A393" s="73" t="str">
        <f>IF(A$311="",IF(F393="","×",""),"×")</f>
        <v>×</v>
      </c>
      <c r="B393" s="76"/>
      <c r="F393" s="119" t="str">
        <f>F343</f>
        <v/>
      </c>
      <c r="G393" s="119"/>
      <c r="H393" s="120"/>
      <c r="I393" s="314" t="str">
        <f>I343</f>
        <v/>
      </c>
      <c r="J393" s="314"/>
      <c r="K393" s="314"/>
      <c r="L393" s="314"/>
      <c r="M393" s="314" t="str">
        <f>M343</f>
        <v/>
      </c>
      <c r="N393" s="314"/>
      <c r="O393" s="314"/>
      <c r="P393" s="317"/>
      <c r="Q393" s="400">
        <f>Q321</f>
        <v>0</v>
      </c>
      <c r="R393" s="120"/>
      <c r="S393" s="120"/>
      <c r="T393" s="120"/>
      <c r="U393" s="314" t="str">
        <f t="shared" si="33"/>
        <v/>
      </c>
      <c r="V393" s="314"/>
      <c r="W393" s="314"/>
      <c r="X393" s="314"/>
      <c r="Y393" s="314"/>
      <c r="Z393" s="314" t="str">
        <f t="shared" si="34"/>
        <v/>
      </c>
      <c r="AA393" s="314"/>
      <c r="AB393" s="314"/>
      <c r="AC393" s="314"/>
      <c r="AD393" s="317"/>
    </row>
    <row r="394" spans="1:30" s="1" customFormat="1" ht="15.75" customHeight="1" x14ac:dyDescent="0.15">
      <c r="A394" s="73" t="str">
        <f>IF(A$311="",IF(F394="","×",""),"×")</f>
        <v>×</v>
      </c>
      <c r="B394" s="76"/>
      <c r="F394" s="119" t="str">
        <f>F344</f>
        <v/>
      </c>
      <c r="G394" s="119"/>
      <c r="H394" s="120"/>
      <c r="I394" s="314" t="str">
        <f>I344</f>
        <v/>
      </c>
      <c r="J394" s="314"/>
      <c r="K394" s="314"/>
      <c r="L394" s="314"/>
      <c r="M394" s="314" t="str">
        <f>M344</f>
        <v/>
      </c>
      <c r="N394" s="314"/>
      <c r="O394" s="314"/>
      <c r="P394" s="317"/>
      <c r="Q394" s="400">
        <f>Q322</f>
        <v>0</v>
      </c>
      <c r="R394" s="120"/>
      <c r="S394" s="120"/>
      <c r="T394" s="120"/>
      <c r="U394" s="314" t="str">
        <f t="shared" si="33"/>
        <v/>
      </c>
      <c r="V394" s="314"/>
      <c r="W394" s="314"/>
      <c r="X394" s="314"/>
      <c r="Y394" s="314"/>
      <c r="Z394" s="314" t="str">
        <f t="shared" si="34"/>
        <v/>
      </c>
      <c r="AA394" s="314"/>
      <c r="AB394" s="314"/>
      <c r="AC394" s="314"/>
      <c r="AD394" s="317"/>
    </row>
    <row r="395" spans="1:30" s="1" customFormat="1" ht="15.75" customHeight="1" x14ac:dyDescent="0.15">
      <c r="A395" s="73" t="str">
        <f>IF(A$311="",IF(F395="","×",""),"×")</f>
        <v>×</v>
      </c>
      <c r="B395" s="76"/>
      <c r="F395" s="119" t="str">
        <f>F345</f>
        <v/>
      </c>
      <c r="G395" s="119"/>
      <c r="H395" s="120"/>
      <c r="I395" s="314" t="str">
        <f>I345</f>
        <v/>
      </c>
      <c r="J395" s="314"/>
      <c r="K395" s="314"/>
      <c r="L395" s="314"/>
      <c r="M395" s="314" t="str">
        <f>M345</f>
        <v/>
      </c>
      <c r="N395" s="314"/>
      <c r="O395" s="314"/>
      <c r="P395" s="317"/>
      <c r="Q395" s="400">
        <f>Q323</f>
        <v>0</v>
      </c>
      <c r="R395" s="120"/>
      <c r="S395" s="120"/>
      <c r="T395" s="120"/>
      <c r="U395" s="314" t="str">
        <f t="shared" si="33"/>
        <v/>
      </c>
      <c r="V395" s="314"/>
      <c r="W395" s="314"/>
      <c r="X395" s="314"/>
      <c r="Y395" s="314"/>
      <c r="Z395" s="314" t="str">
        <f t="shared" si="34"/>
        <v/>
      </c>
      <c r="AA395" s="314"/>
      <c r="AB395" s="314"/>
      <c r="AC395" s="314"/>
      <c r="AD395" s="317"/>
    </row>
    <row r="396" spans="1:30" s="1" customFormat="1" ht="15.75" customHeight="1" x14ac:dyDescent="0.15">
      <c r="A396" s="73" t="str">
        <f>IF(A$311="",IF(F396="","×",""),"×")</f>
        <v>×</v>
      </c>
      <c r="B396" s="76"/>
      <c r="F396" s="119" t="str">
        <f>F346</f>
        <v/>
      </c>
      <c r="G396" s="119"/>
      <c r="H396" s="120"/>
      <c r="I396" s="314" t="str">
        <f>I346</f>
        <v/>
      </c>
      <c r="J396" s="314"/>
      <c r="K396" s="314"/>
      <c r="L396" s="314"/>
      <c r="M396" s="314" t="str">
        <f>M346</f>
        <v/>
      </c>
      <c r="N396" s="314"/>
      <c r="O396" s="314"/>
      <c r="P396" s="317"/>
      <c r="Q396" s="400">
        <f>Q324</f>
        <v>0</v>
      </c>
      <c r="R396" s="120"/>
      <c r="S396" s="120"/>
      <c r="T396" s="120"/>
      <c r="U396" s="314" t="str">
        <f t="shared" si="33"/>
        <v/>
      </c>
      <c r="V396" s="314"/>
      <c r="W396" s="314"/>
      <c r="X396" s="314"/>
      <c r="Y396" s="314"/>
      <c r="Z396" s="314" t="str">
        <f t="shared" si="34"/>
        <v/>
      </c>
      <c r="AA396" s="314"/>
      <c r="AB396" s="314"/>
      <c r="AC396" s="314"/>
      <c r="AD396" s="317"/>
    </row>
    <row r="397" spans="1:30" s="1" customFormat="1" ht="15.75" customHeight="1" x14ac:dyDescent="0.15">
      <c r="A397" s="73" t="str">
        <f>IF(A$311="",IF(F397="","×",""),"×")</f>
        <v>×</v>
      </c>
      <c r="B397" s="76"/>
      <c r="F397" s="119" t="str">
        <f>F347</f>
        <v/>
      </c>
      <c r="G397" s="119"/>
      <c r="H397" s="120"/>
      <c r="I397" s="314" t="str">
        <f>I347</f>
        <v/>
      </c>
      <c r="J397" s="314"/>
      <c r="K397" s="314"/>
      <c r="L397" s="314"/>
      <c r="M397" s="314" t="str">
        <f>M347</f>
        <v/>
      </c>
      <c r="N397" s="314"/>
      <c r="O397" s="314"/>
      <c r="P397" s="317"/>
      <c r="Q397" s="400">
        <f>Q325</f>
        <v>0</v>
      </c>
      <c r="R397" s="120"/>
      <c r="S397" s="120"/>
      <c r="T397" s="120"/>
      <c r="U397" s="314" t="str">
        <f t="shared" si="33"/>
        <v/>
      </c>
      <c r="V397" s="314"/>
      <c r="W397" s="314"/>
      <c r="X397" s="314"/>
      <c r="Y397" s="314"/>
      <c r="Z397" s="314" t="str">
        <f t="shared" si="34"/>
        <v/>
      </c>
      <c r="AA397" s="314"/>
      <c r="AB397" s="314"/>
      <c r="AC397" s="314"/>
      <c r="AD397" s="317"/>
    </row>
    <row r="398" spans="1:30" s="1" customFormat="1" ht="15.75" customHeight="1" x14ac:dyDescent="0.15">
      <c r="A398" s="73" t="str">
        <f>IF(A$311="",IF(F398="","×",""),"×")</f>
        <v>×</v>
      </c>
      <c r="B398" s="76"/>
      <c r="F398" s="119" t="str">
        <f>F348</f>
        <v/>
      </c>
      <c r="G398" s="119"/>
      <c r="H398" s="120"/>
      <c r="I398" s="314" t="str">
        <f>I348</f>
        <v/>
      </c>
      <c r="J398" s="314"/>
      <c r="K398" s="314"/>
      <c r="L398" s="314"/>
      <c r="M398" s="314" t="str">
        <f>M348</f>
        <v/>
      </c>
      <c r="N398" s="314"/>
      <c r="O398" s="314"/>
      <c r="P398" s="317"/>
      <c r="Q398" s="400">
        <f>Q326</f>
        <v>0</v>
      </c>
      <c r="R398" s="120"/>
      <c r="S398" s="120"/>
      <c r="T398" s="120"/>
      <c r="U398" s="314" t="str">
        <f t="shared" si="33"/>
        <v/>
      </c>
      <c r="V398" s="314"/>
      <c r="W398" s="314"/>
      <c r="X398" s="314"/>
      <c r="Y398" s="314"/>
      <c r="Z398" s="314" t="str">
        <f t="shared" si="34"/>
        <v/>
      </c>
      <c r="AA398" s="314"/>
      <c r="AB398" s="314"/>
      <c r="AC398" s="314"/>
      <c r="AD398" s="317"/>
    </row>
    <row r="399" spans="1:30" s="1" customFormat="1" ht="15.75" customHeight="1" x14ac:dyDescent="0.15">
      <c r="A399" s="73" t="str">
        <f>IF(A$311="",IF(F399="","×",""),"×")</f>
        <v>×</v>
      </c>
      <c r="B399" s="76"/>
      <c r="F399" s="119" t="str">
        <f>F349</f>
        <v/>
      </c>
      <c r="G399" s="119"/>
      <c r="H399" s="120"/>
      <c r="I399" s="314" t="str">
        <f>I349</f>
        <v/>
      </c>
      <c r="J399" s="314"/>
      <c r="K399" s="314"/>
      <c r="L399" s="314"/>
      <c r="M399" s="314" t="str">
        <f>M349</f>
        <v/>
      </c>
      <c r="N399" s="314"/>
      <c r="O399" s="314"/>
      <c r="P399" s="317"/>
      <c r="Q399" s="400">
        <f>Q327</f>
        <v>0</v>
      </c>
      <c r="R399" s="120"/>
      <c r="S399" s="120"/>
      <c r="T399" s="120"/>
      <c r="U399" s="314" t="str">
        <f t="shared" si="33"/>
        <v/>
      </c>
      <c r="V399" s="314"/>
      <c r="W399" s="314"/>
      <c r="X399" s="314"/>
      <c r="Y399" s="314"/>
      <c r="Z399" s="314" t="str">
        <f t="shared" si="34"/>
        <v/>
      </c>
      <c r="AA399" s="314"/>
      <c r="AB399" s="314"/>
      <c r="AC399" s="314"/>
      <c r="AD399" s="317"/>
    </row>
    <row r="400" spans="1:30" s="1" customFormat="1" ht="15.75" customHeight="1" x14ac:dyDescent="0.15">
      <c r="A400" s="73" t="str">
        <f>IF(A$311="",IF(F400="","×",""),"×")</f>
        <v>×</v>
      </c>
      <c r="B400" s="76"/>
      <c r="F400" s="119" t="str">
        <f>F350</f>
        <v/>
      </c>
      <c r="G400" s="119"/>
      <c r="H400" s="120"/>
      <c r="I400" s="314" t="str">
        <f>I350</f>
        <v/>
      </c>
      <c r="J400" s="314"/>
      <c r="K400" s="314"/>
      <c r="L400" s="314"/>
      <c r="M400" s="314" t="str">
        <f>M350</f>
        <v/>
      </c>
      <c r="N400" s="314"/>
      <c r="O400" s="314"/>
      <c r="P400" s="317"/>
      <c r="Q400" s="400">
        <f>Q328</f>
        <v>0</v>
      </c>
      <c r="R400" s="120"/>
      <c r="S400" s="120"/>
      <c r="T400" s="120"/>
      <c r="U400" s="314" t="str">
        <f t="shared" si="33"/>
        <v/>
      </c>
      <c r="V400" s="314"/>
      <c r="W400" s="314"/>
      <c r="X400" s="314"/>
      <c r="Y400" s="314"/>
      <c r="Z400" s="314" t="str">
        <f t="shared" si="34"/>
        <v/>
      </c>
      <c r="AA400" s="314"/>
      <c r="AB400" s="314"/>
      <c r="AC400" s="314"/>
      <c r="AD400" s="317"/>
    </row>
    <row r="401" spans="1:81" s="1" customFormat="1" ht="15.75" customHeight="1" x14ac:dyDescent="0.15">
      <c r="A401" s="73" t="str">
        <f>IF(A$311="",IF(F401="","×",""),"×")</f>
        <v>×</v>
      </c>
      <c r="B401" s="76"/>
      <c r="F401" s="119" t="str">
        <f>F351</f>
        <v/>
      </c>
      <c r="G401" s="119"/>
      <c r="H401" s="120"/>
      <c r="I401" s="314" t="str">
        <f>I351</f>
        <v/>
      </c>
      <c r="J401" s="314"/>
      <c r="K401" s="314"/>
      <c r="L401" s="314"/>
      <c r="M401" s="314" t="str">
        <f>M351</f>
        <v/>
      </c>
      <c r="N401" s="314"/>
      <c r="O401" s="314"/>
      <c r="P401" s="317"/>
      <c r="Q401" s="400">
        <f>Q329</f>
        <v>0</v>
      </c>
      <c r="R401" s="120"/>
      <c r="S401" s="120"/>
      <c r="T401" s="120"/>
      <c r="U401" s="314" t="str">
        <f t="shared" si="33"/>
        <v/>
      </c>
      <c r="V401" s="314"/>
      <c r="W401" s="314"/>
      <c r="X401" s="314"/>
      <c r="Y401" s="314"/>
      <c r="Z401" s="314" t="str">
        <f t="shared" si="34"/>
        <v/>
      </c>
      <c r="AA401" s="314"/>
      <c r="AB401" s="314"/>
      <c r="AC401" s="314"/>
      <c r="AD401" s="317"/>
    </row>
    <row r="402" spans="1:81" s="1" customFormat="1" ht="15.75" customHeight="1" x14ac:dyDescent="0.15">
      <c r="A402" s="73" t="str">
        <f>IF(A$311="",IF(F402="","×",""),"×")</f>
        <v>×</v>
      </c>
      <c r="B402" s="76"/>
      <c r="F402" s="119" t="str">
        <f>F352</f>
        <v/>
      </c>
      <c r="G402" s="119"/>
      <c r="H402" s="120"/>
      <c r="I402" s="314" t="str">
        <f>I352</f>
        <v/>
      </c>
      <c r="J402" s="314"/>
      <c r="K402" s="314"/>
      <c r="L402" s="314"/>
      <c r="M402" s="314" t="str">
        <f>M352</f>
        <v/>
      </c>
      <c r="N402" s="314"/>
      <c r="O402" s="314"/>
      <c r="P402" s="317"/>
      <c r="Q402" s="400">
        <f>Q330</f>
        <v>0</v>
      </c>
      <c r="R402" s="120"/>
      <c r="S402" s="120"/>
      <c r="T402" s="120"/>
      <c r="U402" s="314" t="str">
        <f t="shared" si="33"/>
        <v/>
      </c>
      <c r="V402" s="314"/>
      <c r="W402" s="314"/>
      <c r="X402" s="314"/>
      <c r="Y402" s="314"/>
      <c r="Z402" s="314" t="str">
        <f t="shared" si="34"/>
        <v/>
      </c>
      <c r="AA402" s="314"/>
      <c r="AB402" s="314"/>
      <c r="AC402" s="314"/>
      <c r="AD402" s="317"/>
    </row>
    <row r="403" spans="1:81" s="1" customFormat="1" ht="15.75" customHeight="1" x14ac:dyDescent="0.15">
      <c r="A403" s="73" t="str">
        <f>IF(A$311="",IF(F403="","×",""),"×")</f>
        <v>×</v>
      </c>
      <c r="B403" s="76"/>
      <c r="F403" s="233" t="str">
        <f>F353</f>
        <v/>
      </c>
      <c r="G403" s="233"/>
      <c r="H403" s="234"/>
      <c r="I403" s="319" t="str">
        <f>I353</f>
        <v/>
      </c>
      <c r="J403" s="319"/>
      <c r="K403" s="319"/>
      <c r="L403" s="319"/>
      <c r="M403" s="319" t="str">
        <f>M353</f>
        <v/>
      </c>
      <c r="N403" s="319"/>
      <c r="O403" s="319"/>
      <c r="P403" s="322"/>
      <c r="Q403" s="401">
        <f>Q331</f>
        <v>0</v>
      </c>
      <c r="R403" s="234"/>
      <c r="S403" s="234"/>
      <c r="T403" s="234"/>
      <c r="U403" s="319" t="str">
        <f t="shared" si="33"/>
        <v/>
      </c>
      <c r="V403" s="319"/>
      <c r="W403" s="319"/>
      <c r="X403" s="319"/>
      <c r="Y403" s="319"/>
      <c r="Z403" s="319" t="str">
        <f t="shared" si="34"/>
        <v/>
      </c>
      <c r="AA403" s="319"/>
      <c r="AB403" s="319"/>
      <c r="AC403" s="319"/>
      <c r="AD403" s="322"/>
    </row>
    <row r="404" spans="1:81" s="1" customFormat="1" ht="15.75" customHeight="1" x14ac:dyDescent="0.15">
      <c r="A404" s="73" t="str">
        <f>IF(A$311="","","×")</f>
        <v>×</v>
      </c>
      <c r="D404" s="76"/>
      <c r="F404" s="323"/>
      <c r="G404" s="323"/>
      <c r="H404" s="323"/>
      <c r="I404" s="323"/>
      <c r="J404" s="323"/>
      <c r="K404" s="323"/>
      <c r="L404" s="323"/>
      <c r="M404" s="9"/>
      <c r="N404" s="9"/>
      <c r="O404" s="9"/>
      <c r="P404" s="323"/>
      <c r="Q404" s="323"/>
      <c r="R404" s="323"/>
      <c r="S404" s="323"/>
      <c r="T404" s="323"/>
      <c r="U404" s="323"/>
      <c r="V404" s="323"/>
      <c r="W404" s="323"/>
      <c r="X404" s="323"/>
      <c r="Y404" s="323"/>
    </row>
    <row r="405" spans="1:81" s="1" customFormat="1" ht="15.75" customHeight="1" x14ac:dyDescent="0.15">
      <c r="A405" s="73" t="str">
        <f>IF(A$311="","","×")</f>
        <v>×</v>
      </c>
      <c r="D405" s="76"/>
      <c r="E405" s="9"/>
      <c r="F405" s="323"/>
      <c r="G405" s="323"/>
      <c r="H405" s="323"/>
      <c r="I405" s="323"/>
      <c r="J405" s="323"/>
      <c r="K405" s="323"/>
      <c r="L405" s="323"/>
      <c r="M405" s="9"/>
      <c r="N405" s="9"/>
      <c r="O405" s="9"/>
      <c r="P405" s="323"/>
      <c r="Q405" s="323"/>
      <c r="R405" s="323"/>
      <c r="S405" s="323"/>
      <c r="T405" s="323"/>
      <c r="U405" s="323"/>
      <c r="V405" s="323"/>
      <c r="W405" s="323"/>
      <c r="X405" s="323"/>
      <c r="Y405" s="323"/>
      <c r="AD405" s="8"/>
      <c r="AE405" s="8"/>
      <c r="AF405" s="8"/>
      <c r="AG405" s="8"/>
      <c r="BZ405" s="8"/>
      <c r="CA405" s="8"/>
      <c r="CB405" s="8"/>
      <c r="CC405" s="8"/>
    </row>
    <row r="407" spans="1:81" ht="15.75" customHeight="1" x14ac:dyDescent="0.15">
      <c r="D407" s="1" t="s">
        <v>522</v>
      </c>
      <c r="M407" s="10"/>
    </row>
    <row r="409" spans="1:81" ht="15.75" customHeight="1" x14ac:dyDescent="0.15">
      <c r="F409" s="1" t="s">
        <v>132</v>
      </c>
    </row>
    <row r="411" spans="1:81" s="1" customFormat="1" ht="15.75" customHeight="1" x14ac:dyDescent="0.15">
      <c r="F411" s="162" t="s">
        <v>133</v>
      </c>
      <c r="G411" s="162"/>
      <c r="H411" s="76" t="s">
        <v>27</v>
      </c>
      <c r="I411" s="162" t="s">
        <v>76</v>
      </c>
      <c r="J411" s="162"/>
      <c r="K411" s="76" t="s">
        <v>93</v>
      </c>
      <c r="L411" s="76" t="s">
        <v>134</v>
      </c>
      <c r="M411" s="76" t="s">
        <v>93</v>
      </c>
      <c r="N411" s="162" t="s">
        <v>550</v>
      </c>
      <c r="O411" s="162"/>
    </row>
    <row r="412" spans="1:81" s="1" customFormat="1" ht="15.75" customHeight="1" x14ac:dyDescent="0.15"/>
    <row r="413" spans="1:81" s="1" customFormat="1" ht="15.75" customHeight="1" x14ac:dyDescent="0.15">
      <c r="G413" s="1" t="s">
        <v>3</v>
      </c>
      <c r="J413" s="162" t="s">
        <v>133</v>
      </c>
      <c r="K413" s="162"/>
      <c r="L413" s="76" t="s">
        <v>2</v>
      </c>
      <c r="M413" s="1" t="s">
        <v>135</v>
      </c>
    </row>
    <row r="414" spans="1:81" s="1" customFormat="1" ht="15.75" customHeight="1" x14ac:dyDescent="0.15">
      <c r="J414" s="162" t="s">
        <v>76</v>
      </c>
      <c r="K414" s="162"/>
      <c r="L414" s="76" t="s">
        <v>2</v>
      </c>
      <c r="M414" s="1" t="s">
        <v>136</v>
      </c>
    </row>
    <row r="415" spans="1:81" s="1" customFormat="1" ht="15.75" customHeight="1" x14ac:dyDescent="0.15">
      <c r="J415" s="162" t="s">
        <v>134</v>
      </c>
      <c r="K415" s="162"/>
      <c r="L415" s="76" t="s">
        <v>2</v>
      </c>
      <c r="M415" s="1" t="s">
        <v>573</v>
      </c>
      <c r="R415" s="76" t="s">
        <v>27</v>
      </c>
      <c r="S415" s="76" t="s">
        <v>123</v>
      </c>
      <c r="T415" s="76" t="s">
        <v>93</v>
      </c>
      <c r="U415" s="2" t="s">
        <v>65</v>
      </c>
    </row>
    <row r="416" spans="1:81" s="1" customFormat="1" ht="15.75" customHeight="1" x14ac:dyDescent="0.15">
      <c r="J416" s="162" t="s">
        <v>65</v>
      </c>
      <c r="K416" s="162"/>
      <c r="L416" s="76" t="s">
        <v>2</v>
      </c>
      <c r="M416" s="1" t="s">
        <v>137</v>
      </c>
      <c r="Q416" s="2" t="s">
        <v>127</v>
      </c>
      <c r="R416" s="76" t="s">
        <v>27</v>
      </c>
      <c r="S416" s="304">
        <f>Q92</f>
        <v>1</v>
      </c>
      <c r="T416" s="304"/>
      <c r="U416" s="304"/>
      <c r="V416" s="1" t="s">
        <v>128</v>
      </c>
    </row>
    <row r="417" spans="5:35" ht="15.75" customHeight="1" x14ac:dyDescent="0.15">
      <c r="J417" s="162" t="s">
        <v>530</v>
      </c>
      <c r="K417" s="162"/>
      <c r="L417" s="76" t="s">
        <v>2</v>
      </c>
      <c r="M417" s="1" t="s">
        <v>529</v>
      </c>
    </row>
    <row r="419" spans="5:35" s="1" customFormat="1" ht="15.75" customHeight="1" x14ac:dyDescent="0.15">
      <c r="F419" s="1" t="s">
        <v>138</v>
      </c>
    </row>
    <row r="420" spans="5:35" s="1" customFormat="1" ht="15.75" customHeight="1" x14ac:dyDescent="0.15">
      <c r="AI420" s="327" t="s">
        <v>139</v>
      </c>
    </row>
    <row r="421" spans="5:35" s="1" customFormat="1" ht="15.75" customHeight="1" x14ac:dyDescent="0.15">
      <c r="G421" s="328" t="s">
        <v>140</v>
      </c>
      <c r="H421" s="1" t="s">
        <v>146</v>
      </c>
    </row>
    <row r="422" spans="5:35" s="1" customFormat="1" ht="15.75" customHeight="1" x14ac:dyDescent="0.15">
      <c r="G422" s="328"/>
      <c r="H422" s="1" t="s">
        <v>143</v>
      </c>
    </row>
    <row r="423" spans="5:35" s="1" customFormat="1" ht="15.75" customHeight="1" x14ac:dyDescent="0.15">
      <c r="G423" s="328" t="s">
        <v>141</v>
      </c>
      <c r="H423" s="1" t="s">
        <v>144</v>
      </c>
    </row>
    <row r="424" spans="5:35" s="1" customFormat="1" ht="15.75" customHeight="1" x14ac:dyDescent="0.15">
      <c r="G424" s="328"/>
      <c r="H424" s="1" t="s">
        <v>145</v>
      </c>
    </row>
    <row r="425" spans="5:35" s="1" customFormat="1" ht="15.75" customHeight="1" x14ac:dyDescent="0.15">
      <c r="G425" s="328" t="s">
        <v>142</v>
      </c>
      <c r="H425" s="1" t="s">
        <v>387</v>
      </c>
    </row>
    <row r="426" spans="5:35" s="1" customFormat="1" ht="15.75" customHeight="1" x14ac:dyDescent="0.15">
      <c r="H426" s="1" t="s">
        <v>388</v>
      </c>
    </row>
    <row r="427" spans="5:35" s="1" customFormat="1" ht="15.75" customHeight="1" x14ac:dyDescent="0.15">
      <c r="H427" s="1" t="s">
        <v>389</v>
      </c>
    </row>
    <row r="428" spans="5:35" s="1" customFormat="1" ht="15.75" customHeight="1" x14ac:dyDescent="0.15">
      <c r="H428" s="1" t="s">
        <v>390</v>
      </c>
    </row>
    <row r="429" spans="5:35" s="1" customFormat="1" ht="15.75" customHeight="1" x14ac:dyDescent="0.15"/>
    <row r="430" spans="5:35" s="1" customFormat="1" ht="15.75" customHeight="1" x14ac:dyDescent="0.15">
      <c r="E430" s="1" t="s">
        <v>81</v>
      </c>
      <c r="F430" s="1" t="s">
        <v>147</v>
      </c>
    </row>
    <row r="431" spans="5:35" s="1" customFormat="1" ht="15.75" customHeight="1" x14ac:dyDescent="0.15"/>
    <row r="432" spans="5:35" s="1" customFormat="1" ht="15.75" customHeight="1" x14ac:dyDescent="0.15">
      <c r="F432" s="1" t="s">
        <v>148</v>
      </c>
    </row>
    <row r="433" spans="1:34" s="1" customFormat="1" ht="15.75" customHeight="1" x14ac:dyDescent="0.15"/>
    <row r="434" spans="1:34" s="1" customFormat="1" ht="15.75" customHeight="1" x14ac:dyDescent="0.15">
      <c r="F434" s="162" t="s">
        <v>5</v>
      </c>
      <c r="G434" s="162"/>
      <c r="H434" s="76" t="s">
        <v>27</v>
      </c>
      <c r="I434" s="329">
        <v>4</v>
      </c>
      <c r="J434" s="162" t="s">
        <v>91</v>
      </c>
      <c r="K434" s="162"/>
      <c r="L434" s="76" t="s">
        <v>65</v>
      </c>
      <c r="M434" s="1" t="s">
        <v>7</v>
      </c>
      <c r="N434" s="76">
        <v>4</v>
      </c>
      <c r="O434" s="162" t="s">
        <v>149</v>
      </c>
      <c r="P434" s="162"/>
    </row>
    <row r="435" spans="1:34" s="1" customFormat="1" ht="15.75" customHeight="1" x14ac:dyDescent="0.15"/>
    <row r="436" spans="1:34" s="1" customFormat="1" ht="15.75" customHeight="1" x14ac:dyDescent="0.15">
      <c r="G436" s="1" t="s">
        <v>3</v>
      </c>
      <c r="J436" s="162" t="s">
        <v>5</v>
      </c>
      <c r="K436" s="162"/>
      <c r="L436" s="76" t="s">
        <v>2</v>
      </c>
      <c r="M436" s="1" t="s">
        <v>152</v>
      </c>
    </row>
    <row r="437" spans="1:34" s="1" customFormat="1" ht="15.75" customHeight="1" x14ac:dyDescent="0.15">
      <c r="J437" s="162" t="s">
        <v>91</v>
      </c>
      <c r="K437" s="162"/>
      <c r="L437" s="76" t="s">
        <v>2</v>
      </c>
      <c r="M437" s="1" t="s">
        <v>94</v>
      </c>
    </row>
    <row r="438" spans="1:34" s="1" customFormat="1" ht="15.75" customHeight="1" x14ac:dyDescent="0.15">
      <c r="J438" s="162" t="s">
        <v>65</v>
      </c>
      <c r="K438" s="162"/>
      <c r="L438" s="76" t="s">
        <v>2</v>
      </c>
      <c r="M438" s="1" t="s">
        <v>137</v>
      </c>
      <c r="P438" s="2" t="s">
        <v>127</v>
      </c>
      <c r="Q438" s="76" t="s">
        <v>27</v>
      </c>
      <c r="R438" s="304">
        <f>Q92</f>
        <v>1</v>
      </c>
      <c r="S438" s="304"/>
      <c r="T438" s="304"/>
      <c r="U438" s="1" t="s">
        <v>128</v>
      </c>
    </row>
    <row r="439" spans="1:34" ht="15.75" customHeight="1" x14ac:dyDescent="0.15">
      <c r="J439" s="162" t="s">
        <v>149</v>
      </c>
      <c r="K439" s="162"/>
      <c r="L439" s="76" t="s">
        <v>2</v>
      </c>
      <c r="M439" s="1" t="s">
        <v>153</v>
      </c>
    </row>
    <row r="440" spans="1:34" ht="15.75" customHeight="1" x14ac:dyDescent="0.15">
      <c r="J440" s="162" t="s">
        <v>150</v>
      </c>
      <c r="K440" s="162"/>
      <c r="L440" s="76" t="s">
        <v>2</v>
      </c>
      <c r="M440" s="1" t="s">
        <v>154</v>
      </c>
      <c r="T440" s="2" t="s">
        <v>127</v>
      </c>
      <c r="U440" s="76" t="s">
        <v>27</v>
      </c>
      <c r="V440" s="162">
        <f>入力!J32</f>
        <v>22.4</v>
      </c>
      <c r="W440" s="162"/>
      <c r="X440" s="1" t="s">
        <v>156</v>
      </c>
      <c r="AA440" s="76" t="s">
        <v>27</v>
      </c>
      <c r="AB440" s="162">
        <f>V440</f>
        <v>22.4</v>
      </c>
      <c r="AC440" s="162"/>
      <c r="AD440" s="76" t="s">
        <v>1</v>
      </c>
      <c r="AE440" s="78">
        <v>10</v>
      </c>
      <c r="AF440" s="306">
        <v>6</v>
      </c>
      <c r="AG440" s="1" t="s">
        <v>157</v>
      </c>
    </row>
    <row r="441" spans="1:34" ht="15.75" customHeight="1" x14ac:dyDescent="0.15">
      <c r="J441" s="162" t="s">
        <v>151</v>
      </c>
      <c r="K441" s="162"/>
      <c r="L441" s="76" t="s">
        <v>2</v>
      </c>
      <c r="M441" s="1" t="s">
        <v>155</v>
      </c>
      <c r="V441" s="2" t="s">
        <v>127</v>
      </c>
      <c r="W441" s="76" t="s">
        <v>27</v>
      </c>
      <c r="X441" s="76" t="s">
        <v>123</v>
      </c>
      <c r="Y441" s="2" t="s">
        <v>65</v>
      </c>
      <c r="Z441" s="306">
        <v>4</v>
      </c>
      <c r="AA441" s="1" t="s">
        <v>7</v>
      </c>
      <c r="AB441" s="78">
        <v>64</v>
      </c>
      <c r="AC441" s="76" t="s">
        <v>27</v>
      </c>
      <c r="AD441" s="162">
        <f>ROUND(PI()*R438^Z441/AB441,5)</f>
        <v>4.9090000000000002E-2</v>
      </c>
      <c r="AE441" s="162"/>
      <c r="AF441" s="162"/>
      <c r="AG441" s="162"/>
      <c r="AH441" s="76" t="s">
        <v>158</v>
      </c>
    </row>
    <row r="445" spans="1:34" s="1" customFormat="1" ht="15.75" customHeight="1" x14ac:dyDescent="0.15">
      <c r="E445" s="64" t="s">
        <v>584</v>
      </c>
      <c r="F445" s="64"/>
      <c r="G445" s="64"/>
      <c r="H445" s="64"/>
      <c r="I445" s="64"/>
      <c r="J445" s="64"/>
      <c r="K445" s="64"/>
      <c r="L445" s="64"/>
      <c r="M445" s="64"/>
      <c r="N445" s="64"/>
      <c r="O445" s="64"/>
      <c r="P445" s="64"/>
      <c r="Q445" s="64"/>
      <c r="R445" s="64"/>
      <c r="S445" s="64"/>
      <c r="T445" s="64"/>
      <c r="U445" s="64"/>
      <c r="V445" s="64"/>
      <c r="W445" s="64"/>
      <c r="X445" s="64"/>
      <c r="Y445" s="64"/>
      <c r="Z445" s="64"/>
      <c r="AA445" s="64"/>
      <c r="AB445" s="64"/>
      <c r="AC445" s="64"/>
      <c r="AD445" s="64"/>
      <c r="AE445" s="64"/>
    </row>
    <row r="446" spans="1:34" s="1" customFormat="1" ht="15.75" customHeight="1" x14ac:dyDescent="0.15">
      <c r="E446" s="126" t="s">
        <v>78</v>
      </c>
      <c r="F446" s="105"/>
      <c r="G446" s="105"/>
      <c r="H446" s="134" t="s">
        <v>159</v>
      </c>
      <c r="I446" s="135"/>
      <c r="J446" s="135"/>
      <c r="K446" s="105" t="s">
        <v>160</v>
      </c>
      <c r="L446" s="105"/>
      <c r="M446" s="105"/>
      <c r="N446" s="105"/>
      <c r="O446" s="105" t="s">
        <v>164</v>
      </c>
      <c r="P446" s="105"/>
      <c r="Q446" s="105"/>
      <c r="R446" s="105"/>
      <c r="S446" s="105"/>
      <c r="T446" s="105" t="s">
        <v>161</v>
      </c>
      <c r="U446" s="105"/>
      <c r="V446" s="105"/>
      <c r="W446" s="105"/>
      <c r="X446" s="105" t="s">
        <v>162</v>
      </c>
      <c r="Y446" s="105"/>
      <c r="Z446" s="105"/>
      <c r="AA446" s="105"/>
      <c r="AB446" s="105" t="s">
        <v>163</v>
      </c>
      <c r="AC446" s="105"/>
      <c r="AD446" s="105"/>
      <c r="AE446" s="129"/>
    </row>
    <row r="447" spans="1:34" s="1" customFormat="1" ht="15.75" customHeight="1" x14ac:dyDescent="0.15">
      <c r="E447" s="128"/>
      <c r="F447" s="106"/>
      <c r="G447" s="106"/>
      <c r="H447" s="121"/>
      <c r="I447" s="121"/>
      <c r="J447" s="121"/>
      <c r="K447" s="106"/>
      <c r="L447" s="106"/>
      <c r="M447" s="106"/>
      <c r="N447" s="106"/>
      <c r="O447" s="106"/>
      <c r="P447" s="106"/>
      <c r="Q447" s="106"/>
      <c r="R447" s="106"/>
      <c r="S447" s="106"/>
      <c r="T447" s="106"/>
      <c r="U447" s="106"/>
      <c r="V447" s="106"/>
      <c r="W447" s="106"/>
      <c r="X447" s="106"/>
      <c r="Y447" s="106"/>
      <c r="Z447" s="106"/>
      <c r="AA447" s="106"/>
      <c r="AB447" s="106"/>
      <c r="AC447" s="106"/>
      <c r="AD447" s="106"/>
      <c r="AE447" s="124"/>
    </row>
    <row r="448" spans="1:34" s="1" customFormat="1" ht="15.75" customHeight="1" x14ac:dyDescent="0.15">
      <c r="A448" s="73" t="str">
        <f>IF(H448="","×","")</f>
        <v/>
      </c>
      <c r="E448" s="117">
        <f>IF(G155="","",G155)</f>
        <v>3</v>
      </c>
      <c r="F448" s="118"/>
      <c r="G448" s="118"/>
      <c r="H448" s="125">
        <v>3</v>
      </c>
      <c r="I448" s="125"/>
      <c r="J448" s="125"/>
      <c r="K448" s="309">
        <f>T272</f>
        <v>25020</v>
      </c>
      <c r="L448" s="131"/>
      <c r="M448" s="131"/>
      <c r="N448" s="131"/>
      <c r="O448" s="131">
        <f>IF(K448="","",ROUND(K448/$X$464,6))</f>
        <v>5.6880000000000003E-3</v>
      </c>
      <c r="P448" s="131"/>
      <c r="Q448" s="131"/>
      <c r="R448" s="131"/>
      <c r="S448" s="131"/>
      <c r="T448" s="131">
        <f>IF(O448="","",ROUND(O448^0.25,4))</f>
        <v>0.27460000000000001</v>
      </c>
      <c r="U448" s="131"/>
      <c r="V448" s="131"/>
      <c r="W448" s="131"/>
      <c r="X448" s="330">
        <f>IF(T448="","",ROUND(T448*H448,4))</f>
        <v>0.82379999999999998</v>
      </c>
      <c r="Y448" s="330"/>
      <c r="Z448" s="330"/>
      <c r="AA448" s="330"/>
      <c r="AB448" s="331">
        <f>IF(X448="","",SUM(X$448:X448))</f>
        <v>0.82379999999999998</v>
      </c>
      <c r="AC448" s="331"/>
      <c r="AD448" s="331"/>
      <c r="AE448" s="332"/>
    </row>
    <row r="449" spans="1:58" s="1" customFormat="1" ht="15.75" customHeight="1" x14ac:dyDescent="0.15">
      <c r="A449" s="73" t="str">
        <f t="shared" ref="A449:A463" si="35">IF(H449="","×","")</f>
        <v/>
      </c>
      <c r="E449" s="119">
        <f>IF(G156="","",G156)</f>
        <v>4</v>
      </c>
      <c r="F449" s="120"/>
      <c r="G449" s="120"/>
      <c r="H449" s="103">
        <v>5</v>
      </c>
      <c r="I449" s="103"/>
      <c r="J449" s="103"/>
      <c r="K449" s="325">
        <f>T273</f>
        <v>51410</v>
      </c>
      <c r="L449" s="165"/>
      <c r="M449" s="165"/>
      <c r="N449" s="165"/>
      <c r="O449" s="94">
        <f>IF(K449="","",ROUND(K449/$X$464,6))</f>
        <v>1.1688E-2</v>
      </c>
      <c r="P449" s="94"/>
      <c r="Q449" s="94"/>
      <c r="R449" s="94"/>
      <c r="S449" s="94"/>
      <c r="T449" s="94">
        <f t="shared" ref="T449:T463" si="36">IF(O449="","",ROUND(O449^0.25,4))</f>
        <v>0.32879999999999998</v>
      </c>
      <c r="U449" s="94"/>
      <c r="V449" s="94"/>
      <c r="W449" s="94"/>
      <c r="X449" s="333">
        <f>IF(T449="","",ROUND(T449*H449,4))</f>
        <v>1.6439999999999999</v>
      </c>
      <c r="Y449" s="333"/>
      <c r="Z449" s="333"/>
      <c r="AA449" s="333"/>
      <c r="AB449" s="334">
        <f>IF(X449="","",SUM(X$448:X449))</f>
        <v>2.4678</v>
      </c>
      <c r="AC449" s="334"/>
      <c r="AD449" s="334"/>
      <c r="AE449" s="335"/>
    </row>
    <row r="450" spans="1:58" s="1" customFormat="1" ht="15.75" customHeight="1" x14ac:dyDescent="0.15">
      <c r="A450" s="73" t="str">
        <f t="shared" si="35"/>
        <v/>
      </c>
      <c r="E450" s="119">
        <f>IF(G157="","",G157)</f>
        <v>5</v>
      </c>
      <c r="F450" s="120"/>
      <c r="G450" s="120"/>
      <c r="H450" s="103">
        <v>8</v>
      </c>
      <c r="I450" s="103"/>
      <c r="J450" s="103"/>
      <c r="K450" s="325">
        <f>T274</f>
        <v>58500</v>
      </c>
      <c r="L450" s="165"/>
      <c r="M450" s="165"/>
      <c r="N450" s="165"/>
      <c r="O450" s="94">
        <f>IF(K450="","",ROUND(K450/$X$464,6))</f>
        <v>1.3299999999999999E-2</v>
      </c>
      <c r="P450" s="94"/>
      <c r="Q450" s="94"/>
      <c r="R450" s="94"/>
      <c r="S450" s="94"/>
      <c r="T450" s="94">
        <f t="shared" si="36"/>
        <v>0.33960000000000001</v>
      </c>
      <c r="U450" s="94"/>
      <c r="V450" s="94"/>
      <c r="W450" s="94"/>
      <c r="X450" s="333">
        <f>IF(T450="","",ROUND(T450*H450,4))</f>
        <v>2.7168000000000001</v>
      </c>
      <c r="Y450" s="333"/>
      <c r="Z450" s="333"/>
      <c r="AA450" s="333"/>
      <c r="AB450" s="334">
        <f>IF(X450="","",SUM(X$448:X450))</f>
        <v>5.1845999999999997</v>
      </c>
      <c r="AC450" s="334"/>
      <c r="AD450" s="334"/>
      <c r="AE450" s="335"/>
    </row>
    <row r="451" spans="1:58" s="1" customFormat="1" ht="15.75" customHeight="1" x14ac:dyDescent="0.15">
      <c r="A451" s="73" t="str">
        <f t="shared" si="35"/>
        <v/>
      </c>
      <c r="E451" s="119">
        <f>IF(G158="","",G158)</f>
        <v>6</v>
      </c>
      <c r="F451" s="120"/>
      <c r="G451" s="120"/>
      <c r="H451" s="103">
        <v>4.5</v>
      </c>
      <c r="I451" s="103"/>
      <c r="J451" s="103"/>
      <c r="K451" s="325">
        <f>T275</f>
        <v>83410</v>
      </c>
      <c r="L451" s="165"/>
      <c r="M451" s="165"/>
      <c r="N451" s="165"/>
      <c r="O451" s="94">
        <f>IF(K451="","",ROUND(K451/$X$464,6))</f>
        <v>1.8963000000000001E-2</v>
      </c>
      <c r="P451" s="94"/>
      <c r="Q451" s="94"/>
      <c r="R451" s="94"/>
      <c r="S451" s="94"/>
      <c r="T451" s="94">
        <f t="shared" si="36"/>
        <v>0.37109999999999999</v>
      </c>
      <c r="U451" s="94"/>
      <c r="V451" s="94"/>
      <c r="W451" s="94"/>
      <c r="X451" s="333">
        <f>IF(T451="","",ROUND(T451*H451,4))</f>
        <v>1.67</v>
      </c>
      <c r="Y451" s="333"/>
      <c r="Z451" s="333"/>
      <c r="AA451" s="333"/>
      <c r="AB451" s="334">
        <f>IF(X451="","",SUM(X$448:X451))</f>
        <v>6.8545999999999996</v>
      </c>
      <c r="AC451" s="334"/>
      <c r="AD451" s="334"/>
      <c r="AE451" s="335"/>
    </row>
    <row r="452" spans="1:58" s="1" customFormat="1" ht="15.75" customHeight="1" x14ac:dyDescent="0.15">
      <c r="A452" s="73" t="str">
        <f t="shared" si="35"/>
        <v/>
      </c>
      <c r="E452" s="119">
        <f>IF(G159="","",G159)</f>
        <v>7</v>
      </c>
      <c r="F452" s="120"/>
      <c r="G452" s="120"/>
      <c r="H452" s="103">
        <v>0.5</v>
      </c>
      <c r="I452" s="103"/>
      <c r="J452" s="103"/>
      <c r="K452" s="325">
        <f>T276</f>
        <v>164820</v>
      </c>
      <c r="L452" s="165"/>
      <c r="M452" s="165"/>
      <c r="N452" s="165"/>
      <c r="O452" s="94">
        <f>IF(K452="","",ROUND(K452/$X$464,6))</f>
        <v>3.7471999999999998E-2</v>
      </c>
      <c r="P452" s="94"/>
      <c r="Q452" s="94"/>
      <c r="R452" s="94"/>
      <c r="S452" s="94"/>
      <c r="T452" s="94">
        <f t="shared" si="36"/>
        <v>0.44</v>
      </c>
      <c r="U452" s="94"/>
      <c r="V452" s="94"/>
      <c r="W452" s="94"/>
      <c r="X452" s="333">
        <f>IF(T452="","",ROUND(T452*H452,4))</f>
        <v>0.22</v>
      </c>
      <c r="Y452" s="333"/>
      <c r="Z452" s="333"/>
      <c r="AA452" s="333"/>
      <c r="AB452" s="334">
        <f>IF(X452="","",SUM(X$448:X452))</f>
        <v>7.0745999999999993</v>
      </c>
      <c r="AC452" s="334"/>
      <c r="AD452" s="334"/>
      <c r="AE452" s="335"/>
    </row>
    <row r="453" spans="1:58" s="1" customFormat="1" ht="15.75" customHeight="1" x14ac:dyDescent="0.15">
      <c r="A453" s="73" t="str">
        <f t="shared" si="35"/>
        <v>×</v>
      </c>
      <c r="E453" s="119" t="str">
        <f>IF(G160="","",G160)</f>
        <v/>
      </c>
      <c r="F453" s="120"/>
      <c r="G453" s="120"/>
      <c r="H453" s="103"/>
      <c r="I453" s="103"/>
      <c r="J453" s="103"/>
      <c r="K453" s="325" t="str">
        <f>T277</f>
        <v/>
      </c>
      <c r="L453" s="165"/>
      <c r="M453" s="165"/>
      <c r="N453" s="165"/>
      <c r="O453" s="94" t="str">
        <f>IF(K453="","",ROUND(K453/$X$464,6))</f>
        <v/>
      </c>
      <c r="P453" s="94"/>
      <c r="Q453" s="94"/>
      <c r="R453" s="94"/>
      <c r="S453" s="94"/>
      <c r="T453" s="94" t="str">
        <f t="shared" si="36"/>
        <v/>
      </c>
      <c r="U453" s="94"/>
      <c r="V453" s="94"/>
      <c r="W453" s="94"/>
      <c r="X453" s="333" t="str">
        <f>IF(T453="","",ROUND(T453*H453,4))</f>
        <v/>
      </c>
      <c r="Y453" s="333"/>
      <c r="Z453" s="333"/>
      <c r="AA453" s="333"/>
      <c r="AB453" s="334" t="str">
        <f>IF(X453="","",SUM(X$448:X453))</f>
        <v/>
      </c>
      <c r="AC453" s="334"/>
      <c r="AD453" s="334"/>
      <c r="AE453" s="335"/>
    </row>
    <row r="454" spans="1:58" s="1" customFormat="1" ht="15.75" customHeight="1" x14ac:dyDescent="0.15">
      <c r="A454" s="73" t="str">
        <f t="shared" si="35"/>
        <v>×</v>
      </c>
      <c r="E454" s="119" t="str">
        <f>IF(G161="","",G161)</f>
        <v/>
      </c>
      <c r="F454" s="120"/>
      <c r="G454" s="120"/>
      <c r="H454" s="103"/>
      <c r="I454" s="103"/>
      <c r="J454" s="103"/>
      <c r="K454" s="325" t="str">
        <f>T278</f>
        <v/>
      </c>
      <c r="L454" s="165"/>
      <c r="M454" s="165"/>
      <c r="N454" s="165"/>
      <c r="O454" s="94" t="str">
        <f>IF(K454="","",ROUND(K454/$X$464,6))</f>
        <v/>
      </c>
      <c r="P454" s="94"/>
      <c r="Q454" s="94"/>
      <c r="R454" s="94"/>
      <c r="S454" s="94"/>
      <c r="T454" s="94" t="str">
        <f t="shared" si="36"/>
        <v/>
      </c>
      <c r="U454" s="94"/>
      <c r="V454" s="94"/>
      <c r="W454" s="94"/>
      <c r="X454" s="333" t="str">
        <f>IF(T454="","",ROUND(T454*H454,4))</f>
        <v/>
      </c>
      <c r="Y454" s="333"/>
      <c r="Z454" s="333"/>
      <c r="AA454" s="333"/>
      <c r="AB454" s="334" t="str">
        <f>IF(X454="","",SUM(X$448:X454))</f>
        <v/>
      </c>
      <c r="AC454" s="334"/>
      <c r="AD454" s="334"/>
      <c r="AE454" s="335"/>
    </row>
    <row r="455" spans="1:58" s="1" customFormat="1" ht="15.75" customHeight="1" x14ac:dyDescent="0.15">
      <c r="A455" s="73" t="str">
        <f t="shared" si="35"/>
        <v>×</v>
      </c>
      <c r="E455" s="119" t="str">
        <f>IF(G162="","",G162)</f>
        <v/>
      </c>
      <c r="F455" s="120"/>
      <c r="G455" s="120"/>
      <c r="H455" s="103"/>
      <c r="I455" s="103"/>
      <c r="J455" s="103"/>
      <c r="K455" s="325" t="str">
        <f>T279</f>
        <v/>
      </c>
      <c r="L455" s="165"/>
      <c r="M455" s="165"/>
      <c r="N455" s="165"/>
      <c r="O455" s="94" t="str">
        <f>IF(K455="","",ROUND(K455/$X$464,6))</f>
        <v/>
      </c>
      <c r="P455" s="94"/>
      <c r="Q455" s="94"/>
      <c r="R455" s="94"/>
      <c r="S455" s="94"/>
      <c r="T455" s="94" t="str">
        <f t="shared" si="36"/>
        <v/>
      </c>
      <c r="U455" s="94"/>
      <c r="V455" s="94"/>
      <c r="W455" s="94"/>
      <c r="X455" s="333" t="str">
        <f>IF(T455="","",ROUND(T455*H455,4))</f>
        <v/>
      </c>
      <c r="Y455" s="333"/>
      <c r="Z455" s="333"/>
      <c r="AA455" s="333"/>
      <c r="AB455" s="334" t="str">
        <f>IF(X455="","",SUM(X$448:X455))</f>
        <v/>
      </c>
      <c r="AC455" s="334"/>
      <c r="AD455" s="334"/>
      <c r="AE455" s="335"/>
    </row>
    <row r="456" spans="1:58" s="1" customFormat="1" ht="15.75" customHeight="1" x14ac:dyDescent="0.15">
      <c r="A456" s="73" t="str">
        <f t="shared" si="35"/>
        <v>×</v>
      </c>
      <c r="E456" s="119" t="str">
        <f>IF(G163="","",G163)</f>
        <v/>
      </c>
      <c r="F456" s="120"/>
      <c r="G456" s="120"/>
      <c r="H456" s="103"/>
      <c r="I456" s="103"/>
      <c r="J456" s="103"/>
      <c r="K456" s="325" t="str">
        <f>T280</f>
        <v/>
      </c>
      <c r="L456" s="165"/>
      <c r="M456" s="165"/>
      <c r="N456" s="165"/>
      <c r="O456" s="94" t="str">
        <f>IF(K456="","",ROUND(K456/$X$464,6))</f>
        <v/>
      </c>
      <c r="P456" s="94"/>
      <c r="Q456" s="94"/>
      <c r="R456" s="94"/>
      <c r="S456" s="94"/>
      <c r="T456" s="94" t="str">
        <f t="shared" si="36"/>
        <v/>
      </c>
      <c r="U456" s="94"/>
      <c r="V456" s="94"/>
      <c r="W456" s="94"/>
      <c r="X456" s="333" t="str">
        <f>IF(T456="","",ROUND(T456*H456,4))</f>
        <v/>
      </c>
      <c r="Y456" s="333"/>
      <c r="Z456" s="333"/>
      <c r="AA456" s="333"/>
      <c r="AB456" s="334" t="str">
        <f>IF(X456="","",SUM(X$448:X456))</f>
        <v/>
      </c>
      <c r="AC456" s="334"/>
      <c r="AD456" s="334"/>
      <c r="AE456" s="335"/>
    </row>
    <row r="457" spans="1:58" s="1" customFormat="1" ht="15.75" customHeight="1" x14ac:dyDescent="0.15">
      <c r="A457" s="73" t="str">
        <f t="shared" si="35"/>
        <v>×</v>
      </c>
      <c r="E457" s="119" t="str">
        <f>IF(G164="","",G164)</f>
        <v/>
      </c>
      <c r="F457" s="120"/>
      <c r="G457" s="120"/>
      <c r="H457" s="103"/>
      <c r="I457" s="103"/>
      <c r="J457" s="103"/>
      <c r="K457" s="325" t="str">
        <f>T281</f>
        <v/>
      </c>
      <c r="L457" s="165"/>
      <c r="M457" s="165"/>
      <c r="N457" s="165"/>
      <c r="O457" s="94" t="str">
        <f>IF(K457="","",ROUND(K457/$X$464,6))</f>
        <v/>
      </c>
      <c r="P457" s="94"/>
      <c r="Q457" s="94"/>
      <c r="R457" s="94"/>
      <c r="S457" s="94"/>
      <c r="T457" s="94" t="str">
        <f t="shared" si="36"/>
        <v/>
      </c>
      <c r="U457" s="94"/>
      <c r="V457" s="94"/>
      <c r="W457" s="94"/>
      <c r="X457" s="333" t="str">
        <f>IF(T457="","",ROUND(T457*H457,4))</f>
        <v/>
      </c>
      <c r="Y457" s="333"/>
      <c r="Z457" s="333"/>
      <c r="AA457" s="333"/>
      <c r="AB457" s="334" t="str">
        <f>IF(X457="","",SUM(X$448:X457))</f>
        <v/>
      </c>
      <c r="AC457" s="334"/>
      <c r="AD457" s="334"/>
      <c r="AE457" s="335"/>
    </row>
    <row r="458" spans="1:58" s="1" customFormat="1" ht="15.75" customHeight="1" x14ac:dyDescent="0.15">
      <c r="A458" s="73" t="str">
        <f t="shared" si="35"/>
        <v>×</v>
      </c>
      <c r="E458" s="119" t="str">
        <f>IF(G165="","",G165)</f>
        <v/>
      </c>
      <c r="F458" s="120"/>
      <c r="G458" s="120"/>
      <c r="H458" s="103"/>
      <c r="I458" s="103"/>
      <c r="J458" s="103"/>
      <c r="K458" s="325" t="str">
        <f>T282</f>
        <v/>
      </c>
      <c r="L458" s="165"/>
      <c r="M458" s="165"/>
      <c r="N458" s="165"/>
      <c r="O458" s="94" t="str">
        <f>IF(K458="","",ROUND(K458/$X$464,6))</f>
        <v/>
      </c>
      <c r="P458" s="94"/>
      <c r="Q458" s="94"/>
      <c r="R458" s="94"/>
      <c r="S458" s="94"/>
      <c r="T458" s="94" t="str">
        <f t="shared" si="36"/>
        <v/>
      </c>
      <c r="U458" s="94"/>
      <c r="V458" s="94"/>
      <c r="W458" s="94"/>
      <c r="X458" s="333" t="str">
        <f>IF(T458="","",ROUND(T458*H458,4))</f>
        <v/>
      </c>
      <c r="Y458" s="333"/>
      <c r="Z458" s="333"/>
      <c r="AA458" s="333"/>
      <c r="AB458" s="334" t="str">
        <f>IF(X458="","",SUM(X$448:X458))</f>
        <v/>
      </c>
      <c r="AC458" s="334"/>
      <c r="AD458" s="334"/>
      <c r="AE458" s="335"/>
    </row>
    <row r="459" spans="1:58" s="1" customFormat="1" ht="15.75" customHeight="1" x14ac:dyDescent="0.15">
      <c r="A459" s="73" t="str">
        <f t="shared" si="35"/>
        <v>×</v>
      </c>
      <c r="E459" s="119" t="str">
        <f>IF(G166="","",G166)</f>
        <v/>
      </c>
      <c r="F459" s="120"/>
      <c r="G459" s="120"/>
      <c r="H459" s="103"/>
      <c r="I459" s="103"/>
      <c r="J459" s="103"/>
      <c r="K459" s="325" t="str">
        <f>T283</f>
        <v/>
      </c>
      <c r="L459" s="165"/>
      <c r="M459" s="165"/>
      <c r="N459" s="165"/>
      <c r="O459" s="94" t="str">
        <f>IF(K459="","",ROUND(K459/$X$464,6))</f>
        <v/>
      </c>
      <c r="P459" s="94"/>
      <c r="Q459" s="94"/>
      <c r="R459" s="94"/>
      <c r="S459" s="94"/>
      <c r="T459" s="94" t="str">
        <f t="shared" si="36"/>
        <v/>
      </c>
      <c r="U459" s="94"/>
      <c r="V459" s="94"/>
      <c r="W459" s="94"/>
      <c r="X459" s="333" t="str">
        <f>IF(T459="","",ROUND(T459*H459,4))</f>
        <v/>
      </c>
      <c r="Y459" s="333"/>
      <c r="Z459" s="333"/>
      <c r="AA459" s="333"/>
      <c r="AB459" s="334" t="str">
        <f>IF(X459="","",SUM(X$448:X459))</f>
        <v/>
      </c>
      <c r="AC459" s="334"/>
      <c r="AD459" s="334"/>
      <c r="AE459" s="335"/>
    </row>
    <row r="460" spans="1:58" s="1" customFormat="1" ht="15.75" customHeight="1" x14ac:dyDescent="0.15">
      <c r="A460" s="73" t="str">
        <f t="shared" si="35"/>
        <v>×</v>
      </c>
      <c r="E460" s="119" t="str">
        <f>IF(G167="","",G167)</f>
        <v/>
      </c>
      <c r="F460" s="120"/>
      <c r="G460" s="120"/>
      <c r="H460" s="103"/>
      <c r="I460" s="103"/>
      <c r="J460" s="103"/>
      <c r="K460" s="325" t="str">
        <f>T284</f>
        <v/>
      </c>
      <c r="L460" s="165"/>
      <c r="M460" s="165"/>
      <c r="N460" s="165"/>
      <c r="O460" s="94" t="str">
        <f>IF(K460="","",ROUND(K460/$X$464,6))</f>
        <v/>
      </c>
      <c r="P460" s="94"/>
      <c r="Q460" s="94"/>
      <c r="R460" s="94"/>
      <c r="S460" s="94"/>
      <c r="T460" s="94" t="str">
        <f t="shared" si="36"/>
        <v/>
      </c>
      <c r="U460" s="94"/>
      <c r="V460" s="94"/>
      <c r="W460" s="94"/>
      <c r="X460" s="333" t="str">
        <f>IF(T460="","",ROUND(T460*H460,4))</f>
        <v/>
      </c>
      <c r="Y460" s="333"/>
      <c r="Z460" s="333"/>
      <c r="AA460" s="333"/>
      <c r="AB460" s="334" t="str">
        <f>IF(X460="","",SUM(X$448:X460))</f>
        <v/>
      </c>
      <c r="AC460" s="334"/>
      <c r="AD460" s="334"/>
      <c r="AE460" s="335"/>
    </row>
    <row r="461" spans="1:58" s="1" customFormat="1" ht="15.75" customHeight="1" x14ac:dyDescent="0.15">
      <c r="A461" s="73" t="str">
        <f t="shared" si="35"/>
        <v>×</v>
      </c>
      <c r="E461" s="119" t="str">
        <f>IF(G168="","",G168)</f>
        <v/>
      </c>
      <c r="F461" s="120"/>
      <c r="G461" s="120"/>
      <c r="H461" s="103"/>
      <c r="I461" s="103"/>
      <c r="J461" s="103"/>
      <c r="K461" s="325" t="str">
        <f>T285</f>
        <v/>
      </c>
      <c r="L461" s="165"/>
      <c r="M461" s="165"/>
      <c r="N461" s="165"/>
      <c r="O461" s="94" t="str">
        <f>IF(K461="","",ROUND(K461/$X$464,6))</f>
        <v/>
      </c>
      <c r="P461" s="94"/>
      <c r="Q461" s="94"/>
      <c r="R461" s="94"/>
      <c r="S461" s="94"/>
      <c r="T461" s="94" t="str">
        <f t="shared" si="36"/>
        <v/>
      </c>
      <c r="U461" s="94"/>
      <c r="V461" s="94"/>
      <c r="W461" s="94"/>
      <c r="X461" s="333" t="str">
        <f>IF(T461="","",ROUND(T461*H461,4))</f>
        <v/>
      </c>
      <c r="Y461" s="333"/>
      <c r="Z461" s="333"/>
      <c r="AA461" s="333"/>
      <c r="AB461" s="334" t="str">
        <f>IF(X461="","",SUM(X$448:X461))</f>
        <v/>
      </c>
      <c r="AC461" s="334"/>
      <c r="AD461" s="334"/>
      <c r="AE461" s="335"/>
    </row>
    <row r="462" spans="1:58" s="1" customFormat="1" ht="15.75" customHeight="1" x14ac:dyDescent="0.15">
      <c r="A462" s="73" t="str">
        <f t="shared" si="35"/>
        <v>×</v>
      </c>
      <c r="E462" s="119" t="str">
        <f>IF(G169="","",G169)</f>
        <v/>
      </c>
      <c r="F462" s="120"/>
      <c r="G462" s="120"/>
      <c r="H462" s="103"/>
      <c r="I462" s="103"/>
      <c r="J462" s="103"/>
      <c r="K462" s="325" t="str">
        <f>T286</f>
        <v/>
      </c>
      <c r="L462" s="165"/>
      <c r="M462" s="165"/>
      <c r="N462" s="165"/>
      <c r="O462" s="94" t="str">
        <f>IF(K462="","",ROUND(K462/$X$464,6))</f>
        <v/>
      </c>
      <c r="P462" s="94"/>
      <c r="Q462" s="94"/>
      <c r="R462" s="94"/>
      <c r="S462" s="94"/>
      <c r="T462" s="94" t="str">
        <f t="shared" si="36"/>
        <v/>
      </c>
      <c r="U462" s="94"/>
      <c r="V462" s="94"/>
      <c r="W462" s="94"/>
      <c r="X462" s="333" t="str">
        <f>IF(T462="","",ROUND(T462*H462,4))</f>
        <v/>
      </c>
      <c r="Y462" s="333"/>
      <c r="Z462" s="333"/>
      <c r="AA462" s="333"/>
      <c r="AB462" s="334" t="str">
        <f>IF(X462="","",SUM(X$448:X462))</f>
        <v/>
      </c>
      <c r="AC462" s="334"/>
      <c r="AD462" s="334"/>
      <c r="AE462" s="335"/>
    </row>
    <row r="463" spans="1:58" s="1" customFormat="1" ht="15.75" customHeight="1" x14ac:dyDescent="0.15">
      <c r="A463" s="73" t="str">
        <f t="shared" si="35"/>
        <v>×</v>
      </c>
      <c r="E463" s="233" t="str">
        <f>IF(G170="","",G170)</f>
        <v/>
      </c>
      <c r="F463" s="234"/>
      <c r="G463" s="234"/>
      <c r="H463" s="104"/>
      <c r="I463" s="104"/>
      <c r="J463" s="104"/>
      <c r="K463" s="336" t="str">
        <f>T287</f>
        <v/>
      </c>
      <c r="L463" s="337"/>
      <c r="M463" s="337"/>
      <c r="N463" s="337"/>
      <c r="O463" s="99" t="str">
        <f>IF(K463="","",ROUND(K463/$X$464,6))</f>
        <v/>
      </c>
      <c r="P463" s="99"/>
      <c r="Q463" s="99"/>
      <c r="R463" s="99"/>
      <c r="S463" s="99"/>
      <c r="T463" s="99" t="str">
        <f t="shared" si="36"/>
        <v/>
      </c>
      <c r="U463" s="99"/>
      <c r="V463" s="99"/>
      <c r="W463" s="99"/>
      <c r="X463" s="338" t="str">
        <f>IF(T463="","",ROUND(T463*H463,4))</f>
        <v/>
      </c>
      <c r="Y463" s="338"/>
      <c r="Z463" s="338"/>
      <c r="AA463" s="338"/>
      <c r="AB463" s="339" t="str">
        <f>IF(X463="","",SUM(X$448:X463))</f>
        <v/>
      </c>
      <c r="AC463" s="339"/>
      <c r="AD463" s="339"/>
      <c r="AE463" s="340"/>
    </row>
    <row r="464" spans="1:58" ht="15.75" customHeight="1" x14ac:dyDescent="0.15">
      <c r="E464" s="76"/>
      <c r="S464" s="2" t="s">
        <v>127</v>
      </c>
      <c r="T464" s="76">
        <v>4</v>
      </c>
      <c r="U464" s="162" t="s">
        <v>165</v>
      </c>
      <c r="V464" s="162"/>
      <c r="W464" s="76" t="s">
        <v>27</v>
      </c>
      <c r="X464" s="341">
        <f>ROUND(4*AB440*AE440^AF440*AD441,0)</f>
        <v>4398464</v>
      </c>
      <c r="Y464" s="341"/>
      <c r="Z464" s="341"/>
      <c r="AA464" s="341"/>
      <c r="AB464" s="341"/>
      <c r="AC464" s="148" t="s">
        <v>166</v>
      </c>
      <c r="AD464" s="148"/>
      <c r="AE464" s="76" t="s">
        <v>167</v>
      </c>
      <c r="AJ464" s="379"/>
      <c r="AK464" s="379"/>
      <c r="AL464" s="379"/>
      <c r="AM464" s="379"/>
      <c r="BC464" s="76"/>
      <c r="BD464" s="76"/>
      <c r="BE464" s="76"/>
      <c r="BF464" s="76"/>
    </row>
    <row r="465" spans="1:58" ht="15.75" customHeight="1" x14ac:dyDescent="0.15">
      <c r="E465" s="76"/>
      <c r="S465" s="2"/>
      <c r="X465" s="342"/>
      <c r="Y465" s="342"/>
      <c r="Z465" s="342"/>
      <c r="AA465" s="342"/>
      <c r="AB465" s="342"/>
      <c r="AC465" s="78"/>
      <c r="AD465" s="78"/>
      <c r="AJ465" s="379"/>
      <c r="AK465" s="379"/>
      <c r="AL465" s="379"/>
      <c r="AM465" s="379"/>
      <c r="BC465" s="76"/>
      <c r="BD465" s="76"/>
      <c r="BE465" s="76"/>
      <c r="BF465" s="76"/>
    </row>
    <row r="466" spans="1:58" ht="15.75" customHeight="1" x14ac:dyDescent="0.15">
      <c r="E466" s="307" t="s">
        <v>541</v>
      </c>
      <c r="S466" s="2"/>
      <c r="X466" s="342"/>
      <c r="Y466" s="342"/>
      <c r="Z466" s="342"/>
      <c r="AA466" s="342"/>
      <c r="AB466" s="342"/>
      <c r="AC466" s="78"/>
      <c r="AD466" s="78"/>
      <c r="AJ466" s="379"/>
      <c r="AK466" s="379"/>
      <c r="AL466" s="379"/>
      <c r="AM466" s="379"/>
      <c r="BC466" s="76"/>
      <c r="BD466" s="76"/>
      <c r="BE466" s="76"/>
      <c r="BF466" s="76"/>
    </row>
    <row r="467" spans="1:58" ht="15.75" customHeight="1" x14ac:dyDescent="0.15">
      <c r="E467" s="162" t="s">
        <v>542</v>
      </c>
      <c r="F467" s="162"/>
      <c r="G467" s="76" t="s">
        <v>543</v>
      </c>
      <c r="H467" s="402">
        <v>3.5399999618530273</v>
      </c>
      <c r="I467" s="402"/>
      <c r="J467" s="402"/>
      <c r="K467" s="76" t="s">
        <v>544</v>
      </c>
      <c r="S467" s="2"/>
      <c r="X467" s="342"/>
      <c r="Y467" s="342"/>
      <c r="Z467" s="342"/>
      <c r="AA467" s="342"/>
      <c r="AB467" s="342"/>
      <c r="AC467" s="78"/>
      <c r="AD467" s="78"/>
      <c r="AJ467" s="379"/>
      <c r="AK467" s="379"/>
      <c r="AL467" s="379"/>
      <c r="AM467" s="379"/>
      <c r="BC467" s="76"/>
      <c r="BD467" s="76"/>
      <c r="BE467" s="76"/>
      <c r="BF467" s="76"/>
    </row>
    <row r="468" spans="1:58" s="289" customFormat="1" ht="15.75" customHeight="1" x14ac:dyDescent="0.15">
      <c r="C468" s="343"/>
      <c r="H468" s="403"/>
      <c r="I468" s="403"/>
      <c r="J468" s="403"/>
      <c r="S468" s="344"/>
      <c r="X468" s="345"/>
      <c r="Y468" s="345"/>
      <c r="Z468" s="345"/>
      <c r="AA468" s="345"/>
      <c r="AB468" s="345"/>
      <c r="AC468" s="346"/>
      <c r="AD468" s="346"/>
      <c r="AJ468" s="404"/>
      <c r="AK468" s="404"/>
      <c r="AL468" s="404"/>
      <c r="AM468" s="404"/>
      <c r="AN468" s="404"/>
      <c r="AO468" s="404"/>
      <c r="AP468" s="404"/>
      <c r="AQ468" s="404"/>
      <c r="AR468" s="404"/>
      <c r="AS468" s="404"/>
      <c r="AT468" s="404"/>
      <c r="AU468" s="404"/>
      <c r="AV468" s="404"/>
      <c r="AW468" s="404"/>
      <c r="AX468" s="404"/>
      <c r="AY468" s="404"/>
      <c r="AZ468" s="404"/>
      <c r="BA468" s="404"/>
      <c r="BB468" s="404"/>
    </row>
    <row r="469" spans="1:58" ht="15.75" customHeight="1" x14ac:dyDescent="0.15">
      <c r="E469" s="76"/>
      <c r="AJ469" s="379"/>
      <c r="AK469" s="379"/>
      <c r="AL469" s="379"/>
      <c r="AM469" s="379"/>
      <c r="BC469" s="76"/>
      <c r="BD469" s="76"/>
      <c r="BE469" s="76"/>
      <c r="BF469" s="76"/>
    </row>
    <row r="470" spans="1:58" ht="15.75" hidden="1" customHeight="1" x14ac:dyDescent="0.15">
      <c r="AJ470" s="379"/>
      <c r="AK470" s="379"/>
      <c r="AL470" s="379"/>
      <c r="AM470" s="379"/>
      <c r="BC470" s="76"/>
      <c r="BD470" s="76"/>
      <c r="BE470" s="76"/>
      <c r="BF470" s="76"/>
    </row>
    <row r="471" spans="1:58" s="1" customFormat="1" ht="15.75" hidden="1" customHeight="1" x14ac:dyDescent="0.15">
      <c r="F471" s="1" t="s">
        <v>194</v>
      </c>
    </row>
    <row r="472" spans="1:58" s="1" customFormat="1" ht="15.75" hidden="1" customHeight="1" x14ac:dyDescent="0.15">
      <c r="F472" s="1" t="s">
        <v>169</v>
      </c>
    </row>
    <row r="473" spans="1:58" s="1" customFormat="1" ht="15.75" hidden="1" customHeight="1" x14ac:dyDescent="0.15">
      <c r="Y473" s="148" t="s">
        <v>197</v>
      </c>
      <c r="Z473" s="148"/>
      <c r="AA473" s="148"/>
      <c r="AB473" s="148"/>
    </row>
    <row r="474" spans="1:58" s="1" customFormat="1" ht="15.75" hidden="1" customHeight="1" x14ac:dyDescent="0.15">
      <c r="F474" s="2" t="s">
        <v>188</v>
      </c>
      <c r="G474" s="76" t="s">
        <v>27</v>
      </c>
      <c r="H474" s="1" t="s">
        <v>189</v>
      </c>
      <c r="K474" s="76" t="s">
        <v>191</v>
      </c>
      <c r="L474" s="347">
        <f>X448</f>
        <v>0.82379999999999998</v>
      </c>
      <c r="M474" s="162"/>
      <c r="N474" s="162"/>
      <c r="O474" s="1" t="s">
        <v>192</v>
      </c>
      <c r="P474" s="1" t="s">
        <v>193</v>
      </c>
      <c r="Q474" s="347" t="e">
        <f>#REF!</f>
        <v>#REF!</v>
      </c>
      <c r="R474" s="162"/>
      <c r="S474" s="162"/>
      <c r="T474" s="76" t="s">
        <v>27</v>
      </c>
      <c r="U474" s="304" t="e">
        <f>(#REF!-L474)/Q474</f>
        <v>#REF!</v>
      </c>
      <c r="V474" s="304"/>
      <c r="W474" s="348" t="s">
        <v>196</v>
      </c>
      <c r="Z474" s="304" t="e">
        <f>#REF!</f>
        <v>#REF!</v>
      </c>
      <c r="AA474" s="304"/>
      <c r="AB474" s="348" t="s">
        <v>195</v>
      </c>
    </row>
    <row r="475" spans="1:58" s="1" customFormat="1" ht="15.75" hidden="1" customHeight="1" x14ac:dyDescent="0.15"/>
    <row r="476" spans="1:58" s="1" customFormat="1" ht="15.75" hidden="1" customHeight="1" x14ac:dyDescent="0.15">
      <c r="F476" s="1" t="s">
        <v>198</v>
      </c>
    </row>
    <row r="477" spans="1:58" s="1" customFormat="1" ht="15.75" hidden="1" customHeight="1" x14ac:dyDescent="0.15"/>
    <row r="478" spans="1:58" s="1" customFormat="1" ht="15.75" hidden="1" customHeight="1" x14ac:dyDescent="0.15">
      <c r="F478" s="2" t="s">
        <v>199</v>
      </c>
      <c r="G478" s="76" t="s">
        <v>27</v>
      </c>
      <c r="H478" s="2" t="s">
        <v>200</v>
      </c>
      <c r="I478" s="76" t="s">
        <v>6</v>
      </c>
      <c r="J478" s="2" t="s">
        <v>188</v>
      </c>
      <c r="K478" s="304" t="e">
        <f>U474</f>
        <v>#REF!</v>
      </c>
      <c r="L478" s="304"/>
      <c r="M478" s="76" t="s">
        <v>27</v>
      </c>
      <c r="N478" s="304" t="e">
        <f>#REF!+K478</f>
        <v>#REF!</v>
      </c>
      <c r="O478" s="304"/>
      <c r="P478" s="348" t="s">
        <v>195</v>
      </c>
    </row>
    <row r="479" spans="1:58" s="1" customFormat="1" ht="15.75" customHeight="1" x14ac:dyDescent="0.15">
      <c r="A479" s="73" t="str">
        <f>IF(A$289="","","×")</f>
        <v>×</v>
      </c>
      <c r="E479" s="64" t="s">
        <v>585</v>
      </c>
      <c r="F479" s="64"/>
      <c r="G479" s="64"/>
      <c r="H479" s="64"/>
      <c r="I479" s="64"/>
      <c r="J479" s="64"/>
      <c r="K479" s="64"/>
      <c r="L479" s="64"/>
      <c r="M479" s="64"/>
      <c r="N479" s="64"/>
      <c r="O479" s="64"/>
      <c r="P479" s="64"/>
      <c r="Q479" s="64"/>
      <c r="R479" s="64"/>
      <c r="S479" s="64"/>
      <c r="T479" s="64"/>
      <c r="U479" s="64"/>
      <c r="V479" s="64"/>
      <c r="W479" s="64"/>
      <c r="X479" s="64"/>
      <c r="Y479" s="64"/>
      <c r="Z479" s="64"/>
      <c r="AA479" s="64"/>
      <c r="AB479" s="64"/>
      <c r="AC479" s="64"/>
      <c r="AD479" s="64"/>
      <c r="AE479" s="64"/>
    </row>
    <row r="480" spans="1:58" s="1" customFormat="1" ht="15.75" customHeight="1" x14ac:dyDescent="0.15">
      <c r="A480" s="73" t="str">
        <f>IF(A$289="","","×")</f>
        <v>×</v>
      </c>
      <c r="E480" s="126" t="s">
        <v>78</v>
      </c>
      <c r="F480" s="105"/>
      <c r="G480" s="105"/>
      <c r="H480" s="134" t="s">
        <v>159</v>
      </c>
      <c r="I480" s="135"/>
      <c r="J480" s="135"/>
      <c r="K480" s="105" t="s">
        <v>160</v>
      </c>
      <c r="L480" s="105"/>
      <c r="M480" s="105"/>
      <c r="N480" s="105"/>
      <c r="O480" s="105" t="s">
        <v>164</v>
      </c>
      <c r="P480" s="105"/>
      <c r="Q480" s="105"/>
      <c r="R480" s="105"/>
      <c r="S480" s="105"/>
      <c r="T480" s="105" t="s">
        <v>161</v>
      </c>
      <c r="U480" s="105"/>
      <c r="V480" s="105"/>
      <c r="W480" s="105"/>
      <c r="X480" s="105" t="s">
        <v>162</v>
      </c>
      <c r="Y480" s="105"/>
      <c r="Z480" s="105"/>
      <c r="AA480" s="105"/>
      <c r="AB480" s="105" t="s">
        <v>163</v>
      </c>
      <c r="AC480" s="105"/>
      <c r="AD480" s="105"/>
      <c r="AE480" s="129"/>
    </row>
    <row r="481" spans="1:31" s="1" customFormat="1" ht="15.75" customHeight="1" x14ac:dyDescent="0.15">
      <c r="A481" s="73" t="str">
        <f>IF(A$289="","","×")</f>
        <v>×</v>
      </c>
      <c r="E481" s="128"/>
      <c r="F481" s="106"/>
      <c r="G481" s="106"/>
      <c r="H481" s="121"/>
      <c r="I481" s="121"/>
      <c r="J481" s="121"/>
      <c r="K481" s="106"/>
      <c r="L481" s="106"/>
      <c r="M481" s="106"/>
      <c r="N481" s="106"/>
      <c r="O481" s="106"/>
      <c r="P481" s="106"/>
      <c r="Q481" s="106"/>
      <c r="R481" s="106"/>
      <c r="S481" s="106"/>
      <c r="T481" s="106"/>
      <c r="U481" s="106"/>
      <c r="V481" s="106"/>
      <c r="W481" s="106"/>
      <c r="X481" s="106"/>
      <c r="Y481" s="106"/>
      <c r="Z481" s="106"/>
      <c r="AA481" s="106"/>
      <c r="AB481" s="106"/>
      <c r="AC481" s="106"/>
      <c r="AD481" s="106"/>
      <c r="AE481" s="124"/>
    </row>
    <row r="482" spans="1:31" s="1" customFormat="1" ht="15.75" customHeight="1" x14ac:dyDescent="0.15">
      <c r="A482" s="73" t="str">
        <f>IF(A$289="×","×",IF(E482="","×",""))</f>
        <v>×</v>
      </c>
      <c r="E482" s="117">
        <f>E448</f>
        <v>3</v>
      </c>
      <c r="F482" s="118"/>
      <c r="G482" s="118"/>
      <c r="H482" s="220">
        <f>H448</f>
        <v>3</v>
      </c>
      <c r="I482" s="220"/>
      <c r="J482" s="220"/>
      <c r="K482" s="350">
        <f>U294</f>
        <v>25020</v>
      </c>
      <c r="L482" s="118"/>
      <c r="M482" s="118"/>
      <c r="N482" s="118"/>
      <c r="O482" s="118">
        <f>IF(K482="","",ROUND(K482/$X$498,6))</f>
        <v>5.6880000000000003E-3</v>
      </c>
      <c r="P482" s="118"/>
      <c r="Q482" s="118"/>
      <c r="R482" s="118"/>
      <c r="S482" s="118"/>
      <c r="T482" s="118">
        <f>IF(O482="","",ROUND(O482^0.25,4))</f>
        <v>0.27460000000000001</v>
      </c>
      <c r="U482" s="118"/>
      <c r="V482" s="118"/>
      <c r="W482" s="118"/>
      <c r="X482" s="405">
        <f>IF(T482="","",ROUND(T482*H482,4))</f>
        <v>0.82379999999999998</v>
      </c>
      <c r="Y482" s="405"/>
      <c r="Z482" s="405"/>
      <c r="AA482" s="405"/>
      <c r="AB482" s="331">
        <f>IF(X482="","",SUM(X$482:X482))</f>
        <v>0.82379999999999998</v>
      </c>
      <c r="AC482" s="331"/>
      <c r="AD482" s="331"/>
      <c r="AE482" s="332"/>
    </row>
    <row r="483" spans="1:31" s="1" customFormat="1" ht="15.75" customHeight="1" x14ac:dyDescent="0.15">
      <c r="A483" s="73" t="str">
        <f t="shared" ref="A483:A497" si="37">IF(A$289="×","×",IF(E483="","×",""))</f>
        <v>×</v>
      </c>
      <c r="E483" s="111">
        <f>E449</f>
        <v>4</v>
      </c>
      <c r="F483" s="112"/>
      <c r="G483" s="112"/>
      <c r="H483" s="406">
        <f t="shared" ref="H483:H497" si="38">H449</f>
        <v>5</v>
      </c>
      <c r="I483" s="406"/>
      <c r="J483" s="406"/>
      <c r="K483" s="407">
        <f>U295</f>
        <v>51410</v>
      </c>
      <c r="L483" s="112"/>
      <c r="M483" s="112"/>
      <c r="N483" s="112"/>
      <c r="O483" s="120">
        <f>IF(K483="","",ROUND(K483/$X$498,6))</f>
        <v>1.1688E-2</v>
      </c>
      <c r="P483" s="120"/>
      <c r="Q483" s="120"/>
      <c r="R483" s="120"/>
      <c r="S483" s="120"/>
      <c r="T483" s="120">
        <f t="shared" ref="T483:T497" si="39">IF(O483="","",ROUND(O483^0.25,4))</f>
        <v>0.32879999999999998</v>
      </c>
      <c r="U483" s="120"/>
      <c r="V483" s="120"/>
      <c r="W483" s="120"/>
      <c r="X483" s="408">
        <f>IF(T483="","",ROUND(T483*H483,4))</f>
        <v>1.6439999999999999</v>
      </c>
      <c r="Y483" s="408"/>
      <c r="Z483" s="408"/>
      <c r="AA483" s="408"/>
      <c r="AB483" s="334">
        <f>IF(X483="","",SUM(X$482:X483))</f>
        <v>2.4678</v>
      </c>
      <c r="AC483" s="334"/>
      <c r="AD483" s="334"/>
      <c r="AE483" s="335"/>
    </row>
    <row r="484" spans="1:31" s="1" customFormat="1" ht="15.75" customHeight="1" x14ac:dyDescent="0.15">
      <c r="A484" s="73" t="str">
        <f t="shared" si="37"/>
        <v>×</v>
      </c>
      <c r="E484" s="111">
        <f>E450</f>
        <v>5</v>
      </c>
      <c r="F484" s="112"/>
      <c r="G484" s="112"/>
      <c r="H484" s="406">
        <f t="shared" si="38"/>
        <v>8</v>
      </c>
      <c r="I484" s="406"/>
      <c r="J484" s="406"/>
      <c r="K484" s="407">
        <f>U296</f>
        <v>58500</v>
      </c>
      <c r="L484" s="112"/>
      <c r="M484" s="112"/>
      <c r="N484" s="112"/>
      <c r="O484" s="120">
        <f>IF(K484="","",ROUND(K484/$X$498,6))</f>
        <v>1.3299999999999999E-2</v>
      </c>
      <c r="P484" s="120"/>
      <c r="Q484" s="120"/>
      <c r="R484" s="120"/>
      <c r="S484" s="120"/>
      <c r="T484" s="120">
        <f t="shared" si="39"/>
        <v>0.33960000000000001</v>
      </c>
      <c r="U484" s="120"/>
      <c r="V484" s="120"/>
      <c r="W484" s="120"/>
      <c r="X484" s="408">
        <f>IF(T484="","",ROUND(T484*H484,4))</f>
        <v>2.7168000000000001</v>
      </c>
      <c r="Y484" s="408"/>
      <c r="Z484" s="408"/>
      <c r="AA484" s="408"/>
      <c r="AB484" s="334">
        <f>IF(X484="","",SUM(X$482:X484))</f>
        <v>5.1845999999999997</v>
      </c>
      <c r="AC484" s="334"/>
      <c r="AD484" s="334"/>
      <c r="AE484" s="335"/>
    </row>
    <row r="485" spans="1:31" s="1" customFormat="1" ht="15.75" customHeight="1" x14ac:dyDescent="0.15">
      <c r="A485" s="73" t="str">
        <f t="shared" si="37"/>
        <v>×</v>
      </c>
      <c r="E485" s="111">
        <f>E451</f>
        <v>6</v>
      </c>
      <c r="F485" s="112"/>
      <c r="G485" s="112"/>
      <c r="H485" s="406">
        <f t="shared" si="38"/>
        <v>4.5</v>
      </c>
      <c r="I485" s="406"/>
      <c r="J485" s="406"/>
      <c r="K485" s="407">
        <f>U297</f>
        <v>83410</v>
      </c>
      <c r="L485" s="112"/>
      <c r="M485" s="112"/>
      <c r="N485" s="112"/>
      <c r="O485" s="120">
        <f>IF(K485="","",ROUND(K485/$X$498,6))</f>
        <v>1.8963000000000001E-2</v>
      </c>
      <c r="P485" s="120"/>
      <c r="Q485" s="120"/>
      <c r="R485" s="120"/>
      <c r="S485" s="120"/>
      <c r="T485" s="120">
        <f t="shared" si="39"/>
        <v>0.37109999999999999</v>
      </c>
      <c r="U485" s="120"/>
      <c r="V485" s="120"/>
      <c r="W485" s="120"/>
      <c r="X485" s="408">
        <f>IF(T485="","",ROUND(T485*H485,4))</f>
        <v>1.67</v>
      </c>
      <c r="Y485" s="408"/>
      <c r="Z485" s="408"/>
      <c r="AA485" s="408"/>
      <c r="AB485" s="334">
        <f>IF(X485="","",SUM(X$482:X485))</f>
        <v>6.8545999999999996</v>
      </c>
      <c r="AC485" s="334"/>
      <c r="AD485" s="334"/>
      <c r="AE485" s="335"/>
    </row>
    <row r="486" spans="1:31" s="1" customFormat="1" ht="15.75" customHeight="1" x14ac:dyDescent="0.15">
      <c r="A486" s="73" t="str">
        <f t="shared" si="37"/>
        <v>×</v>
      </c>
      <c r="E486" s="111">
        <f>E452</f>
        <v>7</v>
      </c>
      <c r="F486" s="112"/>
      <c r="G486" s="112"/>
      <c r="H486" s="406">
        <f t="shared" si="38"/>
        <v>0.5</v>
      </c>
      <c r="I486" s="406"/>
      <c r="J486" s="406"/>
      <c r="K486" s="407">
        <f>U298</f>
        <v>164820</v>
      </c>
      <c r="L486" s="112"/>
      <c r="M486" s="112"/>
      <c r="N486" s="112"/>
      <c r="O486" s="120">
        <f>IF(K486="","",ROUND(K486/$X$498,6))</f>
        <v>3.7471999999999998E-2</v>
      </c>
      <c r="P486" s="120"/>
      <c r="Q486" s="120"/>
      <c r="R486" s="120"/>
      <c r="S486" s="120"/>
      <c r="T486" s="120">
        <f t="shared" si="39"/>
        <v>0.44</v>
      </c>
      <c r="U486" s="120"/>
      <c r="V486" s="120"/>
      <c r="W486" s="120"/>
      <c r="X486" s="408">
        <f>IF(T486="","",ROUND(T486*H486,4))</f>
        <v>0.22</v>
      </c>
      <c r="Y486" s="408"/>
      <c r="Z486" s="408"/>
      <c r="AA486" s="408"/>
      <c r="AB486" s="334">
        <f>IF(X486="","",SUM(X$482:X486))</f>
        <v>7.0745999999999993</v>
      </c>
      <c r="AC486" s="334"/>
      <c r="AD486" s="334"/>
      <c r="AE486" s="335"/>
    </row>
    <row r="487" spans="1:31" s="1" customFormat="1" ht="15.75" customHeight="1" x14ac:dyDescent="0.15">
      <c r="A487" s="73" t="str">
        <f t="shared" si="37"/>
        <v>×</v>
      </c>
      <c r="E487" s="111" t="str">
        <f>E453</f>
        <v/>
      </c>
      <c r="F487" s="112"/>
      <c r="G487" s="112"/>
      <c r="H487" s="406">
        <f t="shared" si="38"/>
        <v>0</v>
      </c>
      <c r="I487" s="406"/>
      <c r="J487" s="406"/>
      <c r="K487" s="407" t="str">
        <f>U299</f>
        <v/>
      </c>
      <c r="L487" s="112"/>
      <c r="M487" s="112"/>
      <c r="N487" s="112"/>
      <c r="O487" s="120" t="str">
        <f>IF(K487="","",ROUND(K487/$X$498,6))</f>
        <v/>
      </c>
      <c r="P487" s="120"/>
      <c r="Q487" s="120"/>
      <c r="R487" s="120"/>
      <c r="S487" s="120"/>
      <c r="T487" s="120" t="str">
        <f t="shared" si="39"/>
        <v/>
      </c>
      <c r="U487" s="120"/>
      <c r="V487" s="120"/>
      <c r="W487" s="120"/>
      <c r="X487" s="408" t="str">
        <f>IF(T487="","",ROUND(T487*H487,4))</f>
        <v/>
      </c>
      <c r="Y487" s="408"/>
      <c r="Z487" s="408"/>
      <c r="AA487" s="408"/>
      <c r="AB487" s="334" t="str">
        <f>IF(X487="","",SUM(X$482:X487))</f>
        <v/>
      </c>
      <c r="AC487" s="334"/>
      <c r="AD487" s="334"/>
      <c r="AE487" s="335"/>
    </row>
    <row r="488" spans="1:31" s="1" customFormat="1" ht="15.75" customHeight="1" x14ac:dyDescent="0.15">
      <c r="A488" s="73" t="str">
        <f t="shared" si="37"/>
        <v>×</v>
      </c>
      <c r="E488" s="111" t="str">
        <f>E454</f>
        <v/>
      </c>
      <c r="F488" s="112"/>
      <c r="G488" s="112"/>
      <c r="H488" s="406">
        <f t="shared" si="38"/>
        <v>0</v>
      </c>
      <c r="I488" s="406"/>
      <c r="J488" s="406"/>
      <c r="K488" s="407" t="str">
        <f>U300</f>
        <v/>
      </c>
      <c r="L488" s="112"/>
      <c r="M488" s="112"/>
      <c r="N488" s="112"/>
      <c r="O488" s="120" t="str">
        <f>IF(K488="","",ROUND(K488/$X$498,6))</f>
        <v/>
      </c>
      <c r="P488" s="120"/>
      <c r="Q488" s="120"/>
      <c r="R488" s="120"/>
      <c r="S488" s="120"/>
      <c r="T488" s="120" t="str">
        <f t="shared" si="39"/>
        <v/>
      </c>
      <c r="U488" s="120"/>
      <c r="V488" s="120"/>
      <c r="W488" s="120"/>
      <c r="X488" s="408" t="str">
        <f>IF(T488="","",ROUND(T488*H488,4))</f>
        <v/>
      </c>
      <c r="Y488" s="408"/>
      <c r="Z488" s="408"/>
      <c r="AA488" s="408"/>
      <c r="AB488" s="334" t="str">
        <f>IF(X488="","",SUM(X$482:X488))</f>
        <v/>
      </c>
      <c r="AC488" s="334"/>
      <c r="AD488" s="334"/>
      <c r="AE488" s="335"/>
    </row>
    <row r="489" spans="1:31" s="1" customFormat="1" ht="15.75" customHeight="1" x14ac:dyDescent="0.15">
      <c r="A489" s="73" t="str">
        <f t="shared" si="37"/>
        <v>×</v>
      </c>
      <c r="E489" s="111" t="str">
        <f>E455</f>
        <v/>
      </c>
      <c r="F489" s="112"/>
      <c r="G489" s="112"/>
      <c r="H489" s="406">
        <f t="shared" si="38"/>
        <v>0</v>
      </c>
      <c r="I489" s="406"/>
      <c r="J489" s="406"/>
      <c r="K489" s="407" t="str">
        <f>U301</f>
        <v/>
      </c>
      <c r="L489" s="112"/>
      <c r="M489" s="112"/>
      <c r="N489" s="112"/>
      <c r="O489" s="120" t="str">
        <f>IF(K489="","",ROUND(K489/$X$498,6))</f>
        <v/>
      </c>
      <c r="P489" s="120"/>
      <c r="Q489" s="120"/>
      <c r="R489" s="120"/>
      <c r="S489" s="120"/>
      <c r="T489" s="120" t="str">
        <f t="shared" si="39"/>
        <v/>
      </c>
      <c r="U489" s="120"/>
      <c r="V489" s="120"/>
      <c r="W489" s="120"/>
      <c r="X489" s="408" t="str">
        <f>IF(T489="","",ROUND(T489*H489,4))</f>
        <v/>
      </c>
      <c r="Y489" s="408"/>
      <c r="Z489" s="408"/>
      <c r="AA489" s="408"/>
      <c r="AB489" s="334" t="str">
        <f>IF(X489="","",SUM(X$482:X489))</f>
        <v/>
      </c>
      <c r="AC489" s="334"/>
      <c r="AD489" s="334"/>
      <c r="AE489" s="335"/>
    </row>
    <row r="490" spans="1:31" s="1" customFormat="1" ht="15.75" customHeight="1" x14ac:dyDescent="0.15">
      <c r="A490" s="73" t="str">
        <f t="shared" si="37"/>
        <v>×</v>
      </c>
      <c r="E490" s="111" t="str">
        <f>E456</f>
        <v/>
      </c>
      <c r="F490" s="112"/>
      <c r="G490" s="112"/>
      <c r="H490" s="406">
        <f t="shared" si="38"/>
        <v>0</v>
      </c>
      <c r="I490" s="406"/>
      <c r="J490" s="406"/>
      <c r="K490" s="407" t="str">
        <f>U302</f>
        <v/>
      </c>
      <c r="L490" s="112"/>
      <c r="M490" s="112"/>
      <c r="N490" s="112"/>
      <c r="O490" s="120" t="str">
        <f>IF(K490="","",ROUND(K490/$X$498,6))</f>
        <v/>
      </c>
      <c r="P490" s="120"/>
      <c r="Q490" s="120"/>
      <c r="R490" s="120"/>
      <c r="S490" s="120"/>
      <c r="T490" s="120" t="str">
        <f t="shared" si="39"/>
        <v/>
      </c>
      <c r="U490" s="120"/>
      <c r="V490" s="120"/>
      <c r="W490" s="120"/>
      <c r="X490" s="408" t="str">
        <f>IF(T490="","",ROUND(T490*H490,4))</f>
        <v/>
      </c>
      <c r="Y490" s="408"/>
      <c r="Z490" s="408"/>
      <c r="AA490" s="408"/>
      <c r="AB490" s="334" t="str">
        <f>IF(X490="","",SUM(X$482:X490))</f>
        <v/>
      </c>
      <c r="AC490" s="334"/>
      <c r="AD490" s="334"/>
      <c r="AE490" s="335"/>
    </row>
    <row r="491" spans="1:31" s="1" customFormat="1" ht="15.75" customHeight="1" x14ac:dyDescent="0.15">
      <c r="A491" s="73" t="str">
        <f t="shared" si="37"/>
        <v>×</v>
      </c>
      <c r="E491" s="111" t="str">
        <f>E457</f>
        <v/>
      </c>
      <c r="F491" s="112"/>
      <c r="G491" s="112"/>
      <c r="H491" s="406">
        <f t="shared" si="38"/>
        <v>0</v>
      </c>
      <c r="I491" s="406"/>
      <c r="J491" s="406"/>
      <c r="K491" s="407" t="str">
        <f>U303</f>
        <v/>
      </c>
      <c r="L491" s="112"/>
      <c r="M491" s="112"/>
      <c r="N491" s="112"/>
      <c r="O491" s="120" t="str">
        <f>IF(K491="","",ROUND(K491/$X$498,6))</f>
        <v/>
      </c>
      <c r="P491" s="120"/>
      <c r="Q491" s="120"/>
      <c r="R491" s="120"/>
      <c r="S491" s="120"/>
      <c r="T491" s="120" t="str">
        <f t="shared" si="39"/>
        <v/>
      </c>
      <c r="U491" s="120"/>
      <c r="V491" s="120"/>
      <c r="W491" s="120"/>
      <c r="X491" s="408" t="str">
        <f>IF(T491="","",ROUND(T491*H491,4))</f>
        <v/>
      </c>
      <c r="Y491" s="408"/>
      <c r="Z491" s="408"/>
      <c r="AA491" s="408"/>
      <c r="AB491" s="334" t="str">
        <f>IF(X491="","",SUM(X$482:X491))</f>
        <v/>
      </c>
      <c r="AC491" s="334"/>
      <c r="AD491" s="334"/>
      <c r="AE491" s="335"/>
    </row>
    <row r="492" spans="1:31" s="1" customFormat="1" ht="15.75" customHeight="1" x14ac:dyDescent="0.15">
      <c r="A492" s="73" t="str">
        <f t="shared" si="37"/>
        <v>×</v>
      </c>
      <c r="E492" s="111" t="str">
        <f>E458</f>
        <v/>
      </c>
      <c r="F492" s="112"/>
      <c r="G492" s="112"/>
      <c r="H492" s="406">
        <f t="shared" si="38"/>
        <v>0</v>
      </c>
      <c r="I492" s="406"/>
      <c r="J492" s="406"/>
      <c r="K492" s="407" t="str">
        <f>U304</f>
        <v/>
      </c>
      <c r="L492" s="112"/>
      <c r="M492" s="112"/>
      <c r="N492" s="112"/>
      <c r="O492" s="120" t="str">
        <f>IF(K492="","",ROUND(K492/$X$498,6))</f>
        <v/>
      </c>
      <c r="P492" s="120"/>
      <c r="Q492" s="120"/>
      <c r="R492" s="120"/>
      <c r="S492" s="120"/>
      <c r="T492" s="120" t="str">
        <f t="shared" si="39"/>
        <v/>
      </c>
      <c r="U492" s="120"/>
      <c r="V492" s="120"/>
      <c r="W492" s="120"/>
      <c r="X492" s="408" t="str">
        <f>IF(T492="","",ROUND(T492*H492,4))</f>
        <v/>
      </c>
      <c r="Y492" s="408"/>
      <c r="Z492" s="408"/>
      <c r="AA492" s="408"/>
      <c r="AB492" s="334" t="str">
        <f>IF(X492="","",SUM(X$482:X492))</f>
        <v/>
      </c>
      <c r="AC492" s="334"/>
      <c r="AD492" s="334"/>
      <c r="AE492" s="335"/>
    </row>
    <row r="493" spans="1:31" s="1" customFormat="1" ht="15.75" customHeight="1" x14ac:dyDescent="0.15">
      <c r="A493" s="73" t="str">
        <f t="shared" si="37"/>
        <v>×</v>
      </c>
      <c r="E493" s="111" t="str">
        <f>E459</f>
        <v/>
      </c>
      <c r="F493" s="112"/>
      <c r="G493" s="112"/>
      <c r="H493" s="406">
        <f t="shared" si="38"/>
        <v>0</v>
      </c>
      <c r="I493" s="406"/>
      <c r="J493" s="406"/>
      <c r="K493" s="407" t="str">
        <f>U305</f>
        <v/>
      </c>
      <c r="L493" s="112"/>
      <c r="M493" s="112"/>
      <c r="N493" s="112"/>
      <c r="O493" s="120" t="str">
        <f>IF(K493="","",ROUND(K493/$X$498,6))</f>
        <v/>
      </c>
      <c r="P493" s="120"/>
      <c r="Q493" s="120"/>
      <c r="R493" s="120"/>
      <c r="S493" s="120"/>
      <c r="T493" s="120" t="str">
        <f t="shared" si="39"/>
        <v/>
      </c>
      <c r="U493" s="120"/>
      <c r="V493" s="120"/>
      <c r="W493" s="120"/>
      <c r="X493" s="408" t="str">
        <f>IF(T493="","",ROUND(T493*H493,4))</f>
        <v/>
      </c>
      <c r="Y493" s="408"/>
      <c r="Z493" s="408"/>
      <c r="AA493" s="408"/>
      <c r="AB493" s="334" t="str">
        <f>IF(X493="","",SUM(X$482:X493))</f>
        <v/>
      </c>
      <c r="AC493" s="334"/>
      <c r="AD493" s="334"/>
      <c r="AE493" s="335"/>
    </row>
    <row r="494" spans="1:31" s="1" customFormat="1" ht="15.75" customHeight="1" x14ac:dyDescent="0.15">
      <c r="A494" s="73" t="str">
        <f t="shared" si="37"/>
        <v>×</v>
      </c>
      <c r="E494" s="111" t="str">
        <f>E460</f>
        <v/>
      </c>
      <c r="F494" s="112"/>
      <c r="G494" s="112"/>
      <c r="H494" s="406">
        <f t="shared" si="38"/>
        <v>0</v>
      </c>
      <c r="I494" s="406"/>
      <c r="J494" s="406"/>
      <c r="K494" s="407" t="str">
        <f>U306</f>
        <v/>
      </c>
      <c r="L494" s="112"/>
      <c r="M494" s="112"/>
      <c r="N494" s="112"/>
      <c r="O494" s="120" t="str">
        <f>IF(K494="","",ROUND(K494/$X$498,6))</f>
        <v/>
      </c>
      <c r="P494" s="120"/>
      <c r="Q494" s="120"/>
      <c r="R494" s="120"/>
      <c r="S494" s="120"/>
      <c r="T494" s="120" t="str">
        <f t="shared" si="39"/>
        <v/>
      </c>
      <c r="U494" s="120"/>
      <c r="V494" s="120"/>
      <c r="W494" s="120"/>
      <c r="X494" s="408" t="str">
        <f>IF(T494="","",ROUND(T494*H494,4))</f>
        <v/>
      </c>
      <c r="Y494" s="408"/>
      <c r="Z494" s="408"/>
      <c r="AA494" s="408"/>
      <c r="AB494" s="334" t="str">
        <f>IF(X494="","",SUM(X$482:X494))</f>
        <v/>
      </c>
      <c r="AC494" s="334"/>
      <c r="AD494" s="334"/>
      <c r="AE494" s="335"/>
    </row>
    <row r="495" spans="1:31" s="1" customFormat="1" ht="15.75" customHeight="1" x14ac:dyDescent="0.15">
      <c r="A495" s="73" t="str">
        <f t="shared" si="37"/>
        <v>×</v>
      </c>
      <c r="E495" s="111" t="str">
        <f>E461</f>
        <v/>
      </c>
      <c r="F495" s="112"/>
      <c r="G495" s="112"/>
      <c r="H495" s="406">
        <f t="shared" si="38"/>
        <v>0</v>
      </c>
      <c r="I495" s="406"/>
      <c r="J495" s="406"/>
      <c r="K495" s="407" t="str">
        <f>U307</f>
        <v/>
      </c>
      <c r="L495" s="112"/>
      <c r="M495" s="112"/>
      <c r="N495" s="112"/>
      <c r="O495" s="120" t="str">
        <f>IF(K495="","",ROUND(K495/$X$498,6))</f>
        <v/>
      </c>
      <c r="P495" s="120"/>
      <c r="Q495" s="120"/>
      <c r="R495" s="120"/>
      <c r="S495" s="120"/>
      <c r="T495" s="120" t="str">
        <f t="shared" si="39"/>
        <v/>
      </c>
      <c r="U495" s="120"/>
      <c r="V495" s="120"/>
      <c r="W495" s="120"/>
      <c r="X495" s="408" t="str">
        <f>IF(T495="","",ROUND(T495*H495,4))</f>
        <v/>
      </c>
      <c r="Y495" s="408"/>
      <c r="Z495" s="408"/>
      <c r="AA495" s="408"/>
      <c r="AB495" s="334" t="str">
        <f>IF(X495="","",SUM(X$482:X495))</f>
        <v/>
      </c>
      <c r="AC495" s="334"/>
      <c r="AD495" s="334"/>
      <c r="AE495" s="335"/>
    </row>
    <row r="496" spans="1:31" s="1" customFormat="1" ht="15.75" customHeight="1" x14ac:dyDescent="0.15">
      <c r="A496" s="73" t="str">
        <f t="shared" si="37"/>
        <v>×</v>
      </c>
      <c r="E496" s="111" t="str">
        <f>E462</f>
        <v/>
      </c>
      <c r="F496" s="112"/>
      <c r="G496" s="112"/>
      <c r="H496" s="406">
        <f t="shared" si="38"/>
        <v>0</v>
      </c>
      <c r="I496" s="406"/>
      <c r="J496" s="406"/>
      <c r="K496" s="407" t="str">
        <f>U308</f>
        <v/>
      </c>
      <c r="L496" s="112"/>
      <c r="M496" s="112"/>
      <c r="N496" s="112"/>
      <c r="O496" s="120" t="str">
        <f>IF(K496="","",ROUND(K496/$X$498,6))</f>
        <v/>
      </c>
      <c r="P496" s="120"/>
      <c r="Q496" s="120"/>
      <c r="R496" s="120"/>
      <c r="S496" s="120"/>
      <c r="T496" s="120" t="str">
        <f t="shared" si="39"/>
        <v/>
      </c>
      <c r="U496" s="120"/>
      <c r="V496" s="120"/>
      <c r="W496" s="120"/>
      <c r="X496" s="408" t="str">
        <f>IF(T496="","",ROUND(T496*H496,4))</f>
        <v/>
      </c>
      <c r="Y496" s="408"/>
      <c r="Z496" s="408"/>
      <c r="AA496" s="408"/>
      <c r="AB496" s="334" t="str">
        <f>IF(X496="","",SUM(X$482:X496))</f>
        <v/>
      </c>
      <c r="AC496" s="334"/>
      <c r="AD496" s="334"/>
      <c r="AE496" s="335"/>
    </row>
    <row r="497" spans="1:58" s="1" customFormat="1" ht="15.75" customHeight="1" x14ac:dyDescent="0.15">
      <c r="A497" s="73" t="str">
        <f t="shared" si="37"/>
        <v>×</v>
      </c>
      <c r="E497" s="114" t="str">
        <f>E463</f>
        <v/>
      </c>
      <c r="F497" s="115"/>
      <c r="G497" s="115"/>
      <c r="H497" s="409">
        <f t="shared" si="38"/>
        <v>0</v>
      </c>
      <c r="I497" s="409"/>
      <c r="J497" s="409"/>
      <c r="K497" s="410" t="str">
        <f>U309</f>
        <v/>
      </c>
      <c r="L497" s="115"/>
      <c r="M497" s="115"/>
      <c r="N497" s="115"/>
      <c r="O497" s="234" t="str">
        <f>IF(K497="","",ROUND(K497/$X$498,6))</f>
        <v/>
      </c>
      <c r="P497" s="234"/>
      <c r="Q497" s="234"/>
      <c r="R497" s="234"/>
      <c r="S497" s="234"/>
      <c r="T497" s="234" t="str">
        <f t="shared" si="39"/>
        <v/>
      </c>
      <c r="U497" s="234"/>
      <c r="V497" s="234"/>
      <c r="W497" s="234"/>
      <c r="X497" s="411" t="str">
        <f>IF(T497="","",ROUND(T497*H497,4))</f>
        <v/>
      </c>
      <c r="Y497" s="411"/>
      <c r="Z497" s="411"/>
      <c r="AA497" s="411"/>
      <c r="AB497" s="339" t="str">
        <f>IF(X497="","",SUM(X$482:X497))</f>
        <v/>
      </c>
      <c r="AC497" s="339"/>
      <c r="AD497" s="339"/>
      <c r="AE497" s="340"/>
    </row>
    <row r="498" spans="1:58" ht="15.75" customHeight="1" x14ac:dyDescent="0.15">
      <c r="A498" s="73" t="str">
        <f>IF(A$289="","","×")</f>
        <v>×</v>
      </c>
      <c r="E498" s="76"/>
      <c r="S498" s="2" t="s">
        <v>127</v>
      </c>
      <c r="T498" s="76">
        <v>4</v>
      </c>
      <c r="U498" s="162" t="s">
        <v>149</v>
      </c>
      <c r="V498" s="162"/>
      <c r="W498" s="76" t="s">
        <v>27</v>
      </c>
      <c r="X498" s="341">
        <f>X464</f>
        <v>4398464</v>
      </c>
      <c r="Y498" s="341"/>
      <c r="Z498" s="341"/>
      <c r="AA498" s="341"/>
      <c r="AB498" s="341"/>
      <c r="AC498" s="148" t="s">
        <v>166</v>
      </c>
      <c r="AD498" s="148"/>
      <c r="AE498" s="76" t="s">
        <v>158</v>
      </c>
      <c r="AJ498" s="379"/>
      <c r="AK498" s="379"/>
      <c r="AL498" s="379"/>
      <c r="AM498" s="379"/>
      <c r="BC498" s="76"/>
      <c r="BD498" s="76"/>
      <c r="BE498" s="76"/>
      <c r="BF498" s="76"/>
    </row>
    <row r="499" spans="1:58" ht="15.75" customHeight="1" x14ac:dyDescent="0.15">
      <c r="A499" s="73" t="str">
        <f>IF(A$289="","","×")</f>
        <v>×</v>
      </c>
      <c r="E499" s="76"/>
      <c r="S499" s="2"/>
      <c r="X499" s="342"/>
      <c r="Y499" s="342"/>
      <c r="Z499" s="342"/>
      <c r="AA499" s="342"/>
      <c r="AB499" s="342"/>
      <c r="AC499" s="78"/>
      <c r="AD499" s="78"/>
      <c r="AJ499" s="379"/>
      <c r="AK499" s="379"/>
      <c r="AL499" s="379"/>
      <c r="AM499" s="379"/>
      <c r="BC499" s="76"/>
      <c r="BD499" s="76"/>
      <c r="BE499" s="76"/>
      <c r="BF499" s="76"/>
    </row>
    <row r="500" spans="1:58" ht="15.75" customHeight="1" x14ac:dyDescent="0.15">
      <c r="A500" s="73" t="str">
        <f>IF(A$289="","","×")</f>
        <v>×</v>
      </c>
      <c r="E500" s="307" t="s">
        <v>541</v>
      </c>
      <c r="S500" s="2"/>
      <c r="X500" s="342"/>
      <c r="Y500" s="342"/>
      <c r="Z500" s="342"/>
      <c r="AA500" s="342"/>
      <c r="AB500" s="342"/>
      <c r="AC500" s="78"/>
      <c r="AD500" s="78"/>
      <c r="AJ500" s="379"/>
      <c r="AK500" s="379"/>
      <c r="AL500" s="379"/>
      <c r="AM500" s="379"/>
      <c r="BC500" s="76"/>
      <c r="BD500" s="76"/>
      <c r="BE500" s="76"/>
      <c r="BF500" s="76"/>
    </row>
    <row r="501" spans="1:58" ht="15.75" customHeight="1" x14ac:dyDescent="0.15">
      <c r="A501" s="73" t="str">
        <f>IF(A$289="","","×")</f>
        <v>×</v>
      </c>
      <c r="E501" s="162" t="s">
        <v>542</v>
      </c>
      <c r="F501" s="162"/>
      <c r="G501" s="76" t="s">
        <v>543</v>
      </c>
      <c r="H501" s="402">
        <v>3.5399999618530273</v>
      </c>
      <c r="I501" s="402"/>
      <c r="J501" s="402"/>
      <c r="K501" s="76" t="s">
        <v>544</v>
      </c>
      <c r="S501" s="2"/>
      <c r="X501" s="342"/>
      <c r="Y501" s="342"/>
      <c r="Z501" s="342"/>
      <c r="AA501" s="342"/>
      <c r="AB501" s="342"/>
      <c r="AC501" s="78"/>
      <c r="AD501" s="78"/>
      <c r="AJ501" s="379"/>
      <c r="AK501" s="379"/>
      <c r="AL501" s="379"/>
      <c r="AM501" s="379"/>
      <c r="BC501" s="76"/>
      <c r="BD501" s="76"/>
      <c r="BE501" s="76"/>
      <c r="BF501" s="76"/>
    </row>
    <row r="502" spans="1:58" s="289" customFormat="1" ht="15.75" customHeight="1" x14ac:dyDescent="0.15">
      <c r="C502" s="343"/>
      <c r="H502" s="403"/>
      <c r="I502" s="403"/>
      <c r="J502" s="403"/>
      <c r="S502" s="344"/>
      <c r="X502" s="345"/>
      <c r="Y502" s="345"/>
      <c r="Z502" s="345"/>
      <c r="AA502" s="345"/>
      <c r="AB502" s="345"/>
      <c r="AC502" s="346"/>
      <c r="AD502" s="346"/>
      <c r="AJ502" s="404"/>
      <c r="AK502" s="404"/>
      <c r="AL502" s="404"/>
      <c r="AM502" s="404"/>
      <c r="AN502" s="404"/>
      <c r="AO502" s="404"/>
      <c r="AP502" s="404"/>
      <c r="AQ502" s="404"/>
      <c r="AR502" s="404"/>
      <c r="AS502" s="404"/>
      <c r="AT502" s="404"/>
      <c r="AU502" s="404"/>
      <c r="AV502" s="404"/>
      <c r="AW502" s="404"/>
      <c r="AX502" s="404"/>
      <c r="AY502" s="404"/>
      <c r="AZ502" s="404"/>
      <c r="BA502" s="404"/>
      <c r="BB502" s="404"/>
    </row>
    <row r="503" spans="1:58" ht="15.75" customHeight="1" x14ac:dyDescent="0.15">
      <c r="E503" s="76"/>
      <c r="AJ503" s="379"/>
      <c r="AK503" s="379"/>
      <c r="AL503" s="379"/>
      <c r="AM503" s="379"/>
      <c r="BC503" s="76"/>
      <c r="BD503" s="76"/>
      <c r="BE503" s="76"/>
      <c r="BF503" s="76"/>
    </row>
    <row r="504" spans="1:58" ht="15.75" hidden="1" customHeight="1" x14ac:dyDescent="0.15">
      <c r="AJ504" s="379"/>
      <c r="AK504" s="379"/>
      <c r="AL504" s="379"/>
      <c r="AM504" s="379"/>
      <c r="BC504" s="76"/>
      <c r="BD504" s="76"/>
      <c r="BE504" s="76"/>
      <c r="BF504" s="76"/>
    </row>
    <row r="505" spans="1:58" s="1" customFormat="1" ht="15.75" hidden="1" customHeight="1" x14ac:dyDescent="0.15">
      <c r="F505" s="1" t="s">
        <v>194</v>
      </c>
    </row>
    <row r="506" spans="1:58" s="1" customFormat="1" ht="15.75" hidden="1" customHeight="1" x14ac:dyDescent="0.15">
      <c r="F506" s="1" t="s">
        <v>169</v>
      </c>
    </row>
    <row r="507" spans="1:58" s="1" customFormat="1" ht="15.75" hidden="1" customHeight="1" x14ac:dyDescent="0.15">
      <c r="Y507" s="148" t="s">
        <v>197</v>
      </c>
      <c r="Z507" s="148"/>
      <c r="AA507" s="148"/>
      <c r="AB507" s="148"/>
    </row>
    <row r="508" spans="1:58" s="1" customFormat="1" ht="15.75" hidden="1" customHeight="1" x14ac:dyDescent="0.15">
      <c r="F508" s="2" t="s">
        <v>188</v>
      </c>
      <c r="G508" s="76" t="s">
        <v>27</v>
      </c>
      <c r="H508" s="1" t="s">
        <v>189</v>
      </c>
      <c r="K508" s="76" t="s">
        <v>191</v>
      </c>
      <c r="L508" s="347">
        <f>X482</f>
        <v>0.82379999999999998</v>
      </c>
      <c r="M508" s="162"/>
      <c r="N508" s="162"/>
      <c r="O508" s="1" t="s">
        <v>192</v>
      </c>
      <c r="P508" s="1" t="s">
        <v>193</v>
      </c>
      <c r="Q508" s="347" t="e">
        <f>#REF!</f>
        <v>#REF!</v>
      </c>
      <c r="R508" s="162"/>
      <c r="S508" s="162"/>
      <c r="T508" s="76" t="s">
        <v>27</v>
      </c>
      <c r="U508" s="304" t="e">
        <f>(#REF!-L508)/Q508</f>
        <v>#REF!</v>
      </c>
      <c r="V508" s="304"/>
      <c r="W508" s="348" t="s">
        <v>196</v>
      </c>
      <c r="Z508" s="304" t="e">
        <f>#REF!</f>
        <v>#REF!</v>
      </c>
      <c r="AA508" s="304"/>
      <c r="AB508" s="348" t="s">
        <v>195</v>
      </c>
    </row>
    <row r="509" spans="1:58" s="1" customFormat="1" ht="15.75" hidden="1" customHeight="1" x14ac:dyDescent="0.15"/>
    <row r="510" spans="1:58" s="1" customFormat="1" ht="15.75" hidden="1" customHeight="1" x14ac:dyDescent="0.15">
      <c r="F510" s="1" t="s">
        <v>198</v>
      </c>
    </row>
    <row r="511" spans="1:58" s="1" customFormat="1" ht="15.75" hidden="1" customHeight="1" x14ac:dyDescent="0.15"/>
    <row r="512" spans="1:58" s="1" customFormat="1" ht="15.75" hidden="1" customHeight="1" x14ac:dyDescent="0.15">
      <c r="F512" s="2" t="s">
        <v>199</v>
      </c>
      <c r="G512" s="76" t="s">
        <v>27</v>
      </c>
      <c r="H512" s="2" t="s">
        <v>200</v>
      </c>
      <c r="I512" s="76" t="s">
        <v>6</v>
      </c>
      <c r="J512" s="2" t="s">
        <v>188</v>
      </c>
      <c r="K512" s="304" t="e">
        <f>U508</f>
        <v>#REF!</v>
      </c>
      <c r="L512" s="304"/>
      <c r="M512" s="76" t="s">
        <v>27</v>
      </c>
      <c r="N512" s="304" t="e">
        <f>#REF!+K512</f>
        <v>#REF!</v>
      </c>
      <c r="O512" s="304"/>
      <c r="P512" s="348" t="s">
        <v>195</v>
      </c>
    </row>
    <row r="513" spans="1:31" s="1" customFormat="1" ht="15.75" customHeight="1" x14ac:dyDescent="0.15">
      <c r="A513" s="73" t="str">
        <f>IF(A$311="","","×")</f>
        <v>×</v>
      </c>
      <c r="E513" s="64" t="s">
        <v>586</v>
      </c>
      <c r="F513" s="64"/>
      <c r="G513" s="64"/>
      <c r="H513" s="64"/>
      <c r="I513" s="64"/>
      <c r="J513" s="64"/>
      <c r="K513" s="64"/>
      <c r="L513" s="64"/>
      <c r="M513" s="64"/>
      <c r="N513" s="64"/>
      <c r="O513" s="64"/>
      <c r="P513" s="64"/>
      <c r="Q513" s="64"/>
      <c r="R513" s="64"/>
      <c r="S513" s="64"/>
      <c r="T513" s="64"/>
      <c r="U513" s="64"/>
      <c r="V513" s="64"/>
      <c r="W513" s="64"/>
      <c r="X513" s="64"/>
      <c r="Y513" s="64"/>
      <c r="Z513" s="64"/>
      <c r="AA513" s="64"/>
      <c r="AB513" s="64"/>
      <c r="AC513" s="64"/>
      <c r="AD513" s="64"/>
      <c r="AE513" s="64"/>
    </row>
    <row r="514" spans="1:31" s="1" customFormat="1" ht="15.75" customHeight="1" x14ac:dyDescent="0.15">
      <c r="A514" s="73" t="str">
        <f>IF(A$311="","","×")</f>
        <v>×</v>
      </c>
      <c r="E514" s="126" t="s">
        <v>78</v>
      </c>
      <c r="F514" s="105"/>
      <c r="G514" s="105"/>
      <c r="H514" s="134" t="s">
        <v>159</v>
      </c>
      <c r="I514" s="135"/>
      <c r="J514" s="135"/>
      <c r="K514" s="105" t="s">
        <v>160</v>
      </c>
      <c r="L514" s="105"/>
      <c r="M514" s="105"/>
      <c r="N514" s="105"/>
      <c r="O514" s="105" t="s">
        <v>164</v>
      </c>
      <c r="P514" s="105"/>
      <c r="Q514" s="105"/>
      <c r="R514" s="105"/>
      <c r="S514" s="105"/>
      <c r="T514" s="105" t="s">
        <v>161</v>
      </c>
      <c r="U514" s="105"/>
      <c r="V514" s="105"/>
      <c r="W514" s="105"/>
      <c r="X514" s="105" t="s">
        <v>162</v>
      </c>
      <c r="Y514" s="105"/>
      <c r="Z514" s="105"/>
      <c r="AA514" s="105"/>
      <c r="AB514" s="105" t="s">
        <v>163</v>
      </c>
      <c r="AC514" s="105"/>
      <c r="AD514" s="105"/>
      <c r="AE514" s="129"/>
    </row>
    <row r="515" spans="1:31" s="1" customFormat="1" ht="15.75" customHeight="1" x14ac:dyDescent="0.15">
      <c r="A515" s="73" t="str">
        <f>IF(A$311="","","×")</f>
        <v>×</v>
      </c>
      <c r="E515" s="128"/>
      <c r="F515" s="106"/>
      <c r="G515" s="106"/>
      <c r="H515" s="121"/>
      <c r="I515" s="121"/>
      <c r="J515" s="121"/>
      <c r="K515" s="106"/>
      <c r="L515" s="106"/>
      <c r="M515" s="106"/>
      <c r="N515" s="106"/>
      <c r="O515" s="106"/>
      <c r="P515" s="106"/>
      <c r="Q515" s="106"/>
      <c r="R515" s="106"/>
      <c r="S515" s="106"/>
      <c r="T515" s="106"/>
      <c r="U515" s="106"/>
      <c r="V515" s="106"/>
      <c r="W515" s="106"/>
      <c r="X515" s="106"/>
      <c r="Y515" s="106"/>
      <c r="Z515" s="106"/>
      <c r="AA515" s="106"/>
      <c r="AB515" s="106"/>
      <c r="AC515" s="106"/>
      <c r="AD515" s="106"/>
      <c r="AE515" s="124"/>
    </row>
    <row r="516" spans="1:31" s="1" customFormat="1" ht="15.75" customHeight="1" x14ac:dyDescent="0.15">
      <c r="A516" s="73" t="str">
        <f>IF(A$311="×","×",IF(E516="","×",""))</f>
        <v>×</v>
      </c>
      <c r="E516" s="117">
        <f>E482</f>
        <v>3</v>
      </c>
      <c r="F516" s="118"/>
      <c r="G516" s="118"/>
      <c r="H516" s="220">
        <f>H482</f>
        <v>3</v>
      </c>
      <c r="I516" s="220"/>
      <c r="J516" s="220"/>
      <c r="K516" s="350">
        <f>U316</f>
        <v>25020</v>
      </c>
      <c r="L516" s="118"/>
      <c r="M516" s="118"/>
      <c r="N516" s="118"/>
      <c r="O516" s="118">
        <f>IF(K516="","",ROUND(K516/$X$532,6))</f>
        <v>5.6880000000000003E-3</v>
      </c>
      <c r="P516" s="118"/>
      <c r="Q516" s="118"/>
      <c r="R516" s="118"/>
      <c r="S516" s="118"/>
      <c r="T516" s="118">
        <f>IF(O516="","",ROUND(O516^0.25,4))</f>
        <v>0.27460000000000001</v>
      </c>
      <c r="U516" s="118"/>
      <c r="V516" s="118"/>
      <c r="W516" s="118"/>
      <c r="X516" s="405">
        <f>IF(T516="","",ROUND(T516*H516,4))</f>
        <v>0.82379999999999998</v>
      </c>
      <c r="Y516" s="405"/>
      <c r="Z516" s="405"/>
      <c r="AA516" s="405"/>
      <c r="AB516" s="331">
        <f>IF(X516="","",SUM(X$516:X516))</f>
        <v>0.82379999999999998</v>
      </c>
      <c r="AC516" s="331"/>
      <c r="AD516" s="331"/>
      <c r="AE516" s="332"/>
    </row>
    <row r="517" spans="1:31" s="1" customFormat="1" ht="15.75" customHeight="1" x14ac:dyDescent="0.15">
      <c r="A517" s="73" t="str">
        <f t="shared" ref="A517:A531" si="40">IF(A$311="×","×",IF(E517="","×",""))</f>
        <v>×</v>
      </c>
      <c r="E517" s="119">
        <f>E483</f>
        <v>4</v>
      </c>
      <c r="F517" s="120"/>
      <c r="G517" s="120"/>
      <c r="H517" s="113">
        <f t="shared" ref="H517:H531" si="41">H483</f>
        <v>5</v>
      </c>
      <c r="I517" s="113"/>
      <c r="J517" s="113"/>
      <c r="K517" s="354">
        <f>U317</f>
        <v>51410</v>
      </c>
      <c r="L517" s="120"/>
      <c r="M517" s="120"/>
      <c r="N517" s="120"/>
      <c r="O517" s="120">
        <f t="shared" ref="O517:O531" si="42">IF(K517="","",ROUND(K517/$X$532,6))</f>
        <v>1.1688E-2</v>
      </c>
      <c r="P517" s="120"/>
      <c r="Q517" s="120"/>
      <c r="R517" s="120"/>
      <c r="S517" s="120"/>
      <c r="T517" s="120">
        <f t="shared" ref="T517:T531" si="43">IF(O517="","",ROUND(O517^0.25,4))</f>
        <v>0.32879999999999998</v>
      </c>
      <c r="U517" s="120"/>
      <c r="V517" s="120"/>
      <c r="W517" s="120"/>
      <c r="X517" s="408">
        <f>IF(T517="","",ROUND(T517*H517,4))</f>
        <v>1.6439999999999999</v>
      </c>
      <c r="Y517" s="408"/>
      <c r="Z517" s="408"/>
      <c r="AA517" s="408"/>
      <c r="AB517" s="334">
        <f>IF(X517="","",SUM(X$516:X517))</f>
        <v>2.4678</v>
      </c>
      <c r="AC517" s="334"/>
      <c r="AD517" s="334"/>
      <c r="AE517" s="335"/>
    </row>
    <row r="518" spans="1:31" s="1" customFormat="1" ht="15.75" customHeight="1" x14ac:dyDescent="0.15">
      <c r="A518" s="73" t="str">
        <f t="shared" si="40"/>
        <v>×</v>
      </c>
      <c r="E518" s="119">
        <f>E484</f>
        <v>5</v>
      </c>
      <c r="F518" s="120"/>
      <c r="G518" s="120"/>
      <c r="H518" s="113">
        <f t="shared" si="41"/>
        <v>8</v>
      </c>
      <c r="I518" s="113"/>
      <c r="J518" s="113"/>
      <c r="K518" s="354">
        <f>U318</f>
        <v>58500</v>
      </c>
      <c r="L518" s="120"/>
      <c r="M518" s="120"/>
      <c r="N518" s="120"/>
      <c r="O518" s="120">
        <f t="shared" si="42"/>
        <v>1.3299999999999999E-2</v>
      </c>
      <c r="P518" s="120"/>
      <c r="Q518" s="120"/>
      <c r="R518" s="120"/>
      <c r="S518" s="120"/>
      <c r="T518" s="120">
        <f t="shared" si="43"/>
        <v>0.33960000000000001</v>
      </c>
      <c r="U518" s="120"/>
      <c r="V518" s="120"/>
      <c r="W518" s="120"/>
      <c r="X518" s="408">
        <f>IF(T518="","",ROUND(T518*H518,4))</f>
        <v>2.7168000000000001</v>
      </c>
      <c r="Y518" s="408"/>
      <c r="Z518" s="408"/>
      <c r="AA518" s="408"/>
      <c r="AB518" s="334">
        <f>IF(X518="","",SUM(X$516:X518))</f>
        <v>5.1845999999999997</v>
      </c>
      <c r="AC518" s="334"/>
      <c r="AD518" s="334"/>
      <c r="AE518" s="335"/>
    </row>
    <row r="519" spans="1:31" s="1" customFormat="1" ht="15.75" customHeight="1" x14ac:dyDescent="0.15">
      <c r="A519" s="73" t="str">
        <f t="shared" si="40"/>
        <v>×</v>
      </c>
      <c r="E519" s="119">
        <f>E485</f>
        <v>6</v>
      </c>
      <c r="F519" s="120"/>
      <c r="G519" s="120"/>
      <c r="H519" s="113">
        <f t="shared" si="41"/>
        <v>4.5</v>
      </c>
      <c r="I519" s="113"/>
      <c r="J519" s="113"/>
      <c r="K519" s="354">
        <f>U319</f>
        <v>83410</v>
      </c>
      <c r="L519" s="120"/>
      <c r="M519" s="120"/>
      <c r="N519" s="120"/>
      <c r="O519" s="120">
        <f t="shared" si="42"/>
        <v>1.8963000000000001E-2</v>
      </c>
      <c r="P519" s="120"/>
      <c r="Q519" s="120"/>
      <c r="R519" s="120"/>
      <c r="S519" s="120"/>
      <c r="T519" s="120">
        <f t="shared" si="43"/>
        <v>0.37109999999999999</v>
      </c>
      <c r="U519" s="120"/>
      <c r="V519" s="120"/>
      <c r="W519" s="120"/>
      <c r="X519" s="408">
        <f>IF(T519="","",ROUND(T519*H519,4))</f>
        <v>1.67</v>
      </c>
      <c r="Y519" s="408"/>
      <c r="Z519" s="408"/>
      <c r="AA519" s="408"/>
      <c r="AB519" s="334">
        <f>IF(X519="","",SUM(X$516:X519))</f>
        <v>6.8545999999999996</v>
      </c>
      <c r="AC519" s="334"/>
      <c r="AD519" s="334"/>
      <c r="AE519" s="335"/>
    </row>
    <row r="520" spans="1:31" s="1" customFormat="1" ht="15.75" customHeight="1" x14ac:dyDescent="0.15">
      <c r="A520" s="73" t="str">
        <f t="shared" si="40"/>
        <v>×</v>
      </c>
      <c r="E520" s="119">
        <f>E486</f>
        <v>7</v>
      </c>
      <c r="F520" s="120"/>
      <c r="G520" s="120"/>
      <c r="H520" s="113">
        <f t="shared" si="41"/>
        <v>0.5</v>
      </c>
      <c r="I520" s="113"/>
      <c r="J520" s="113"/>
      <c r="K520" s="354">
        <f>U320</f>
        <v>164820</v>
      </c>
      <c r="L520" s="120"/>
      <c r="M520" s="120"/>
      <c r="N520" s="120"/>
      <c r="O520" s="120">
        <f t="shared" si="42"/>
        <v>3.7471999999999998E-2</v>
      </c>
      <c r="P520" s="120"/>
      <c r="Q520" s="120"/>
      <c r="R520" s="120"/>
      <c r="S520" s="120"/>
      <c r="T520" s="120">
        <f t="shared" si="43"/>
        <v>0.44</v>
      </c>
      <c r="U520" s="120"/>
      <c r="V520" s="120"/>
      <c r="W520" s="120"/>
      <c r="X520" s="408">
        <f>IF(T520="","",ROUND(T520*H520,4))</f>
        <v>0.22</v>
      </c>
      <c r="Y520" s="408"/>
      <c r="Z520" s="408"/>
      <c r="AA520" s="408"/>
      <c r="AB520" s="334">
        <f>IF(X520="","",SUM(X$516:X520))</f>
        <v>7.0745999999999993</v>
      </c>
      <c r="AC520" s="334"/>
      <c r="AD520" s="334"/>
      <c r="AE520" s="335"/>
    </row>
    <row r="521" spans="1:31" s="1" customFormat="1" ht="15.75" customHeight="1" x14ac:dyDescent="0.15">
      <c r="A521" s="73" t="str">
        <f t="shared" si="40"/>
        <v>×</v>
      </c>
      <c r="E521" s="119" t="str">
        <f>E487</f>
        <v/>
      </c>
      <c r="F521" s="120"/>
      <c r="G521" s="120"/>
      <c r="H521" s="113">
        <f t="shared" si="41"/>
        <v>0</v>
      </c>
      <c r="I521" s="113"/>
      <c r="J521" s="113"/>
      <c r="K521" s="354" t="str">
        <f>U321</f>
        <v/>
      </c>
      <c r="L521" s="120"/>
      <c r="M521" s="120"/>
      <c r="N521" s="120"/>
      <c r="O521" s="120" t="str">
        <f t="shared" si="42"/>
        <v/>
      </c>
      <c r="P521" s="120"/>
      <c r="Q521" s="120"/>
      <c r="R521" s="120"/>
      <c r="S521" s="120"/>
      <c r="T521" s="120" t="str">
        <f t="shared" si="43"/>
        <v/>
      </c>
      <c r="U521" s="120"/>
      <c r="V521" s="120"/>
      <c r="W521" s="120"/>
      <c r="X521" s="408" t="str">
        <f>IF(T521="","",ROUND(T521*H521,4))</f>
        <v/>
      </c>
      <c r="Y521" s="408"/>
      <c r="Z521" s="408"/>
      <c r="AA521" s="408"/>
      <c r="AB521" s="334" t="str">
        <f>IF(X521="","",SUM(X$516:X521))</f>
        <v/>
      </c>
      <c r="AC521" s="334"/>
      <c r="AD521" s="334"/>
      <c r="AE521" s="335"/>
    </row>
    <row r="522" spans="1:31" s="1" customFormat="1" ht="15.75" customHeight="1" x14ac:dyDescent="0.15">
      <c r="A522" s="73" t="str">
        <f t="shared" si="40"/>
        <v>×</v>
      </c>
      <c r="E522" s="119" t="str">
        <f>E488</f>
        <v/>
      </c>
      <c r="F522" s="120"/>
      <c r="G522" s="120"/>
      <c r="H522" s="113">
        <f t="shared" si="41"/>
        <v>0</v>
      </c>
      <c r="I522" s="113"/>
      <c r="J522" s="113"/>
      <c r="K522" s="354" t="str">
        <f>U322</f>
        <v/>
      </c>
      <c r="L522" s="120"/>
      <c r="M522" s="120"/>
      <c r="N522" s="120"/>
      <c r="O522" s="120" t="str">
        <f t="shared" si="42"/>
        <v/>
      </c>
      <c r="P522" s="120"/>
      <c r="Q522" s="120"/>
      <c r="R522" s="120"/>
      <c r="S522" s="120"/>
      <c r="T522" s="120" t="str">
        <f t="shared" si="43"/>
        <v/>
      </c>
      <c r="U522" s="120"/>
      <c r="V522" s="120"/>
      <c r="W522" s="120"/>
      <c r="X522" s="408" t="str">
        <f>IF(T522="","",ROUND(T522*H522,4))</f>
        <v/>
      </c>
      <c r="Y522" s="408"/>
      <c r="Z522" s="408"/>
      <c r="AA522" s="408"/>
      <c r="AB522" s="334" t="str">
        <f>IF(X522="","",SUM(X$516:X522))</f>
        <v/>
      </c>
      <c r="AC522" s="334"/>
      <c r="AD522" s="334"/>
      <c r="AE522" s="335"/>
    </row>
    <row r="523" spans="1:31" s="1" customFormat="1" ht="15.75" customHeight="1" x14ac:dyDescent="0.15">
      <c r="A523" s="73" t="str">
        <f t="shared" si="40"/>
        <v>×</v>
      </c>
      <c r="E523" s="119" t="str">
        <f>E489</f>
        <v/>
      </c>
      <c r="F523" s="120"/>
      <c r="G523" s="120"/>
      <c r="H523" s="113">
        <f t="shared" si="41"/>
        <v>0</v>
      </c>
      <c r="I523" s="113"/>
      <c r="J523" s="113"/>
      <c r="K523" s="354" t="str">
        <f>U323</f>
        <v/>
      </c>
      <c r="L523" s="120"/>
      <c r="M523" s="120"/>
      <c r="N523" s="120"/>
      <c r="O523" s="120" t="str">
        <f t="shared" si="42"/>
        <v/>
      </c>
      <c r="P523" s="120"/>
      <c r="Q523" s="120"/>
      <c r="R523" s="120"/>
      <c r="S523" s="120"/>
      <c r="T523" s="120" t="str">
        <f t="shared" si="43"/>
        <v/>
      </c>
      <c r="U523" s="120"/>
      <c r="V523" s="120"/>
      <c r="W523" s="120"/>
      <c r="X523" s="408" t="str">
        <f>IF(T523="","",ROUND(T523*H523,4))</f>
        <v/>
      </c>
      <c r="Y523" s="408"/>
      <c r="Z523" s="408"/>
      <c r="AA523" s="408"/>
      <c r="AB523" s="334" t="str">
        <f>IF(X523="","",SUM(X$516:X523))</f>
        <v/>
      </c>
      <c r="AC523" s="334"/>
      <c r="AD523" s="334"/>
      <c r="AE523" s="335"/>
    </row>
    <row r="524" spans="1:31" s="1" customFormat="1" ht="15.75" customHeight="1" x14ac:dyDescent="0.15">
      <c r="A524" s="73" t="str">
        <f t="shared" si="40"/>
        <v>×</v>
      </c>
      <c r="E524" s="119" t="str">
        <f>E490</f>
        <v/>
      </c>
      <c r="F524" s="120"/>
      <c r="G524" s="120"/>
      <c r="H524" s="113">
        <f t="shared" si="41"/>
        <v>0</v>
      </c>
      <c r="I524" s="113"/>
      <c r="J524" s="113"/>
      <c r="K524" s="354" t="str">
        <f>U324</f>
        <v/>
      </c>
      <c r="L524" s="120"/>
      <c r="M524" s="120"/>
      <c r="N524" s="120"/>
      <c r="O524" s="120" t="str">
        <f t="shared" si="42"/>
        <v/>
      </c>
      <c r="P524" s="120"/>
      <c r="Q524" s="120"/>
      <c r="R524" s="120"/>
      <c r="S524" s="120"/>
      <c r="T524" s="120" t="str">
        <f t="shared" si="43"/>
        <v/>
      </c>
      <c r="U524" s="120"/>
      <c r="V524" s="120"/>
      <c r="W524" s="120"/>
      <c r="X524" s="408" t="str">
        <f>IF(T524="","",ROUND(T524*H524,4))</f>
        <v/>
      </c>
      <c r="Y524" s="408"/>
      <c r="Z524" s="408"/>
      <c r="AA524" s="408"/>
      <c r="AB524" s="334" t="str">
        <f>IF(X524="","",SUM(X$516:X524))</f>
        <v/>
      </c>
      <c r="AC524" s="334"/>
      <c r="AD524" s="334"/>
      <c r="AE524" s="335"/>
    </row>
    <row r="525" spans="1:31" s="1" customFormat="1" ht="15.75" customHeight="1" x14ac:dyDescent="0.15">
      <c r="A525" s="73" t="str">
        <f t="shared" si="40"/>
        <v>×</v>
      </c>
      <c r="E525" s="119" t="str">
        <f>E491</f>
        <v/>
      </c>
      <c r="F525" s="120"/>
      <c r="G525" s="120"/>
      <c r="H525" s="113">
        <f t="shared" si="41"/>
        <v>0</v>
      </c>
      <c r="I525" s="113"/>
      <c r="J525" s="113"/>
      <c r="K525" s="354" t="str">
        <f>U325</f>
        <v/>
      </c>
      <c r="L525" s="120"/>
      <c r="M525" s="120"/>
      <c r="N525" s="120"/>
      <c r="O525" s="120" t="str">
        <f t="shared" si="42"/>
        <v/>
      </c>
      <c r="P525" s="120"/>
      <c r="Q525" s="120"/>
      <c r="R525" s="120"/>
      <c r="S525" s="120"/>
      <c r="T525" s="120" t="str">
        <f t="shared" si="43"/>
        <v/>
      </c>
      <c r="U525" s="120"/>
      <c r="V525" s="120"/>
      <c r="W525" s="120"/>
      <c r="X525" s="408" t="str">
        <f>IF(T525="","",ROUND(T525*H525,4))</f>
        <v/>
      </c>
      <c r="Y525" s="408"/>
      <c r="Z525" s="408"/>
      <c r="AA525" s="408"/>
      <c r="AB525" s="334" t="str">
        <f>IF(X525="","",SUM(X$516:X525))</f>
        <v/>
      </c>
      <c r="AC525" s="334"/>
      <c r="AD525" s="334"/>
      <c r="AE525" s="335"/>
    </row>
    <row r="526" spans="1:31" s="1" customFormat="1" ht="15.75" customHeight="1" x14ac:dyDescent="0.15">
      <c r="A526" s="73" t="str">
        <f t="shared" si="40"/>
        <v>×</v>
      </c>
      <c r="E526" s="119" t="str">
        <f>E492</f>
        <v/>
      </c>
      <c r="F526" s="120"/>
      <c r="G526" s="120"/>
      <c r="H526" s="113">
        <f t="shared" si="41"/>
        <v>0</v>
      </c>
      <c r="I526" s="113"/>
      <c r="J526" s="113"/>
      <c r="K526" s="354" t="str">
        <f>U326</f>
        <v/>
      </c>
      <c r="L526" s="120"/>
      <c r="M526" s="120"/>
      <c r="N526" s="120"/>
      <c r="O526" s="120" t="str">
        <f t="shared" si="42"/>
        <v/>
      </c>
      <c r="P526" s="120"/>
      <c r="Q526" s="120"/>
      <c r="R526" s="120"/>
      <c r="S526" s="120"/>
      <c r="T526" s="120" t="str">
        <f t="shared" si="43"/>
        <v/>
      </c>
      <c r="U526" s="120"/>
      <c r="V526" s="120"/>
      <c r="W526" s="120"/>
      <c r="X526" s="408" t="str">
        <f>IF(T526="","",ROUND(T526*H526,4))</f>
        <v/>
      </c>
      <c r="Y526" s="408"/>
      <c r="Z526" s="408"/>
      <c r="AA526" s="408"/>
      <c r="AB526" s="334" t="str">
        <f>IF(X526="","",SUM(X$516:X526))</f>
        <v/>
      </c>
      <c r="AC526" s="334"/>
      <c r="AD526" s="334"/>
      <c r="AE526" s="335"/>
    </row>
    <row r="527" spans="1:31" s="1" customFormat="1" ht="15.75" customHeight="1" x14ac:dyDescent="0.15">
      <c r="A527" s="73" t="str">
        <f t="shared" si="40"/>
        <v>×</v>
      </c>
      <c r="E527" s="119" t="str">
        <f>E493</f>
        <v/>
      </c>
      <c r="F527" s="120"/>
      <c r="G527" s="120"/>
      <c r="H527" s="113">
        <f t="shared" si="41"/>
        <v>0</v>
      </c>
      <c r="I527" s="113"/>
      <c r="J527" s="113"/>
      <c r="K527" s="354" t="str">
        <f>U327</f>
        <v/>
      </c>
      <c r="L527" s="120"/>
      <c r="M527" s="120"/>
      <c r="N527" s="120"/>
      <c r="O527" s="120" t="str">
        <f t="shared" si="42"/>
        <v/>
      </c>
      <c r="P527" s="120"/>
      <c r="Q527" s="120"/>
      <c r="R527" s="120"/>
      <c r="S527" s="120"/>
      <c r="T527" s="120" t="str">
        <f t="shared" si="43"/>
        <v/>
      </c>
      <c r="U527" s="120"/>
      <c r="V527" s="120"/>
      <c r="W527" s="120"/>
      <c r="X527" s="408" t="str">
        <f>IF(T527="","",ROUND(T527*H527,4))</f>
        <v/>
      </c>
      <c r="Y527" s="408"/>
      <c r="Z527" s="408"/>
      <c r="AA527" s="408"/>
      <c r="AB527" s="334" t="str">
        <f>IF(X527="","",SUM(X$516:X527))</f>
        <v/>
      </c>
      <c r="AC527" s="334"/>
      <c r="AD527" s="334"/>
      <c r="AE527" s="335"/>
    </row>
    <row r="528" spans="1:31" s="1" customFormat="1" ht="15.75" customHeight="1" x14ac:dyDescent="0.15">
      <c r="A528" s="73" t="str">
        <f t="shared" si="40"/>
        <v>×</v>
      </c>
      <c r="E528" s="119" t="str">
        <f>E494</f>
        <v/>
      </c>
      <c r="F528" s="120"/>
      <c r="G528" s="120"/>
      <c r="H528" s="113">
        <f t="shared" si="41"/>
        <v>0</v>
      </c>
      <c r="I528" s="113"/>
      <c r="J528" s="113"/>
      <c r="K528" s="354" t="str">
        <f>U328</f>
        <v/>
      </c>
      <c r="L528" s="120"/>
      <c r="M528" s="120"/>
      <c r="N528" s="120"/>
      <c r="O528" s="120" t="str">
        <f t="shared" si="42"/>
        <v/>
      </c>
      <c r="P528" s="120"/>
      <c r="Q528" s="120"/>
      <c r="R528" s="120"/>
      <c r="S528" s="120"/>
      <c r="T528" s="120" t="str">
        <f t="shared" si="43"/>
        <v/>
      </c>
      <c r="U528" s="120"/>
      <c r="V528" s="120"/>
      <c r="W528" s="120"/>
      <c r="X528" s="408" t="str">
        <f>IF(T528="","",ROUND(T528*H528,4))</f>
        <v/>
      </c>
      <c r="Y528" s="408"/>
      <c r="Z528" s="408"/>
      <c r="AA528" s="408"/>
      <c r="AB528" s="334" t="str">
        <f>IF(X528="","",SUM(X$516:X528))</f>
        <v/>
      </c>
      <c r="AC528" s="334"/>
      <c r="AD528" s="334"/>
      <c r="AE528" s="335"/>
    </row>
    <row r="529" spans="1:58" s="1" customFormat="1" ht="15.75" customHeight="1" x14ac:dyDescent="0.15">
      <c r="A529" s="73" t="str">
        <f t="shared" si="40"/>
        <v>×</v>
      </c>
      <c r="E529" s="119" t="str">
        <f>E495</f>
        <v/>
      </c>
      <c r="F529" s="120"/>
      <c r="G529" s="120"/>
      <c r="H529" s="113">
        <f t="shared" si="41"/>
        <v>0</v>
      </c>
      <c r="I529" s="113"/>
      <c r="J529" s="113"/>
      <c r="K529" s="354" t="str">
        <f>U329</f>
        <v/>
      </c>
      <c r="L529" s="120"/>
      <c r="M529" s="120"/>
      <c r="N529" s="120"/>
      <c r="O529" s="120" t="str">
        <f t="shared" si="42"/>
        <v/>
      </c>
      <c r="P529" s="120"/>
      <c r="Q529" s="120"/>
      <c r="R529" s="120"/>
      <c r="S529" s="120"/>
      <c r="T529" s="120" t="str">
        <f t="shared" si="43"/>
        <v/>
      </c>
      <c r="U529" s="120"/>
      <c r="V529" s="120"/>
      <c r="W529" s="120"/>
      <c r="X529" s="408" t="str">
        <f>IF(T529="","",ROUND(T529*H529,4))</f>
        <v/>
      </c>
      <c r="Y529" s="408"/>
      <c r="Z529" s="408"/>
      <c r="AA529" s="408"/>
      <c r="AB529" s="334" t="str">
        <f>IF(X529="","",SUM(X$516:X529))</f>
        <v/>
      </c>
      <c r="AC529" s="334"/>
      <c r="AD529" s="334"/>
      <c r="AE529" s="335"/>
    </row>
    <row r="530" spans="1:58" s="1" customFormat="1" ht="15.75" customHeight="1" x14ac:dyDescent="0.15">
      <c r="A530" s="73" t="str">
        <f t="shared" si="40"/>
        <v>×</v>
      </c>
      <c r="E530" s="119" t="str">
        <f>E496</f>
        <v/>
      </c>
      <c r="F530" s="120"/>
      <c r="G530" s="120"/>
      <c r="H530" s="113">
        <f t="shared" si="41"/>
        <v>0</v>
      </c>
      <c r="I530" s="113"/>
      <c r="J530" s="113"/>
      <c r="K530" s="354" t="str">
        <f>U330</f>
        <v/>
      </c>
      <c r="L530" s="120"/>
      <c r="M530" s="120"/>
      <c r="N530" s="120"/>
      <c r="O530" s="120" t="str">
        <f t="shared" si="42"/>
        <v/>
      </c>
      <c r="P530" s="120"/>
      <c r="Q530" s="120"/>
      <c r="R530" s="120"/>
      <c r="S530" s="120"/>
      <c r="T530" s="120" t="str">
        <f t="shared" si="43"/>
        <v/>
      </c>
      <c r="U530" s="120"/>
      <c r="V530" s="120"/>
      <c r="W530" s="120"/>
      <c r="X530" s="408" t="str">
        <f>IF(T530="","",ROUND(T530*H530,4))</f>
        <v/>
      </c>
      <c r="Y530" s="408"/>
      <c r="Z530" s="408"/>
      <c r="AA530" s="408"/>
      <c r="AB530" s="334" t="str">
        <f>IF(X530="","",SUM(X$516:X530))</f>
        <v/>
      </c>
      <c r="AC530" s="334"/>
      <c r="AD530" s="334"/>
      <c r="AE530" s="335"/>
    </row>
    <row r="531" spans="1:58" s="1" customFormat="1" ht="15.75" customHeight="1" x14ac:dyDescent="0.15">
      <c r="A531" s="73" t="str">
        <f t="shared" si="40"/>
        <v>×</v>
      </c>
      <c r="E531" s="233" t="str">
        <f>E497</f>
        <v/>
      </c>
      <c r="F531" s="234"/>
      <c r="G531" s="234"/>
      <c r="H531" s="116">
        <f t="shared" si="41"/>
        <v>0</v>
      </c>
      <c r="I531" s="116"/>
      <c r="J531" s="116"/>
      <c r="K531" s="358" t="str">
        <f>U331</f>
        <v/>
      </c>
      <c r="L531" s="234"/>
      <c r="M531" s="234"/>
      <c r="N531" s="234"/>
      <c r="O531" s="234" t="str">
        <f t="shared" si="42"/>
        <v/>
      </c>
      <c r="P531" s="234"/>
      <c r="Q531" s="234"/>
      <c r="R531" s="234"/>
      <c r="S531" s="234"/>
      <c r="T531" s="234" t="str">
        <f t="shared" si="43"/>
        <v/>
      </c>
      <c r="U531" s="234"/>
      <c r="V531" s="234"/>
      <c r="W531" s="234"/>
      <c r="X531" s="411" t="str">
        <f>IF(T531="","",ROUND(T531*H531,4))</f>
        <v/>
      </c>
      <c r="Y531" s="411"/>
      <c r="Z531" s="411"/>
      <c r="AA531" s="411"/>
      <c r="AB531" s="339" t="str">
        <f>IF(X531="","",SUM(X$516:X531))</f>
        <v/>
      </c>
      <c r="AC531" s="339"/>
      <c r="AD531" s="339"/>
      <c r="AE531" s="340"/>
    </row>
    <row r="532" spans="1:58" ht="15.75" customHeight="1" x14ac:dyDescent="0.15">
      <c r="A532" s="73" t="str">
        <f>IF(A$311="","","×")</f>
        <v>×</v>
      </c>
      <c r="E532" s="76"/>
      <c r="S532" s="2" t="s">
        <v>127</v>
      </c>
      <c r="T532" s="76">
        <v>4</v>
      </c>
      <c r="U532" s="162" t="s">
        <v>149</v>
      </c>
      <c r="V532" s="162"/>
      <c r="W532" s="76" t="s">
        <v>27</v>
      </c>
      <c r="X532" s="341">
        <f>X498</f>
        <v>4398464</v>
      </c>
      <c r="Y532" s="341"/>
      <c r="Z532" s="341"/>
      <c r="AA532" s="341"/>
      <c r="AB532" s="341"/>
      <c r="AC532" s="148" t="s">
        <v>166</v>
      </c>
      <c r="AD532" s="148"/>
      <c r="AE532" s="76" t="s">
        <v>158</v>
      </c>
      <c r="AJ532" s="379"/>
      <c r="AK532" s="379"/>
      <c r="AL532" s="379"/>
      <c r="AM532" s="379"/>
      <c r="BC532" s="76"/>
      <c r="BD532" s="76"/>
      <c r="BE532" s="76"/>
      <c r="BF532" s="76"/>
    </row>
    <row r="533" spans="1:58" ht="15.75" customHeight="1" x14ac:dyDescent="0.15">
      <c r="A533" s="73" t="str">
        <f>IF(A$311="","","×")</f>
        <v>×</v>
      </c>
      <c r="E533" s="76"/>
      <c r="S533" s="2"/>
      <c r="X533" s="342"/>
      <c r="Y533" s="342"/>
      <c r="Z533" s="342"/>
      <c r="AA533" s="342"/>
      <c r="AB533" s="342"/>
      <c r="AC533" s="78"/>
      <c r="AD533" s="78"/>
      <c r="AJ533" s="379"/>
      <c r="AK533" s="379"/>
      <c r="AL533" s="379"/>
      <c r="AM533" s="379"/>
      <c r="BC533" s="76"/>
      <c r="BD533" s="76"/>
      <c r="BE533" s="76"/>
      <c r="BF533" s="76"/>
    </row>
    <row r="534" spans="1:58" ht="15.75" customHeight="1" x14ac:dyDescent="0.15">
      <c r="A534" s="73" t="str">
        <f>IF(A$311="","","×")</f>
        <v>×</v>
      </c>
      <c r="E534" s="307" t="s">
        <v>541</v>
      </c>
      <c r="S534" s="2"/>
      <c r="X534" s="342"/>
      <c r="Y534" s="342"/>
      <c r="Z534" s="342"/>
      <c r="AA534" s="342"/>
      <c r="AB534" s="342"/>
      <c r="AC534" s="78"/>
      <c r="AD534" s="78"/>
      <c r="AJ534" s="379"/>
      <c r="AK534" s="379"/>
      <c r="AL534" s="379"/>
      <c r="AM534" s="379"/>
      <c r="BC534" s="76"/>
      <c r="BD534" s="76"/>
      <c r="BE534" s="76"/>
      <c r="BF534" s="76"/>
    </row>
    <row r="535" spans="1:58" ht="15.75" customHeight="1" x14ac:dyDescent="0.15">
      <c r="A535" s="73" t="str">
        <f>IF(A$311="","","×")</f>
        <v>×</v>
      </c>
      <c r="E535" s="162" t="s">
        <v>542</v>
      </c>
      <c r="F535" s="162"/>
      <c r="G535" s="76" t="s">
        <v>543</v>
      </c>
      <c r="H535" s="402">
        <v>3.5399999618530273</v>
      </c>
      <c r="I535" s="402"/>
      <c r="J535" s="402"/>
      <c r="K535" s="76" t="s">
        <v>544</v>
      </c>
      <c r="S535" s="2"/>
      <c r="X535" s="342"/>
      <c r="Y535" s="342"/>
      <c r="Z535" s="342"/>
      <c r="AA535" s="342"/>
      <c r="AB535" s="342"/>
      <c r="AC535" s="78"/>
      <c r="AD535" s="78"/>
      <c r="AJ535" s="379"/>
      <c r="AK535" s="379"/>
      <c r="AL535" s="379"/>
      <c r="AM535" s="379"/>
      <c r="BC535" s="76"/>
      <c r="BD535" s="76"/>
      <c r="BE535" s="76"/>
      <c r="BF535" s="76"/>
    </row>
    <row r="536" spans="1:58" ht="15.75" customHeight="1" x14ac:dyDescent="0.15">
      <c r="E536" s="76"/>
      <c r="S536" s="2"/>
      <c r="X536" s="342"/>
      <c r="Y536" s="342"/>
      <c r="Z536" s="342"/>
      <c r="AA536" s="342"/>
      <c r="AB536" s="342"/>
      <c r="AC536" s="78"/>
      <c r="AD536" s="78"/>
      <c r="AJ536" s="379"/>
      <c r="AK536" s="379"/>
      <c r="AL536" s="379"/>
      <c r="AM536" s="379"/>
      <c r="BC536" s="76"/>
      <c r="BD536" s="76"/>
      <c r="BE536" s="76"/>
      <c r="BF536" s="76"/>
    </row>
    <row r="538" spans="1:58" s="1" customFormat="1" ht="15.75" customHeight="1" x14ac:dyDescent="0.15">
      <c r="E538" s="64" t="s">
        <v>593</v>
      </c>
      <c r="F538" s="64"/>
      <c r="G538" s="64"/>
      <c r="H538" s="64"/>
      <c r="I538" s="64"/>
      <c r="J538" s="64"/>
      <c r="K538" s="64"/>
      <c r="L538" s="64"/>
      <c r="M538" s="64"/>
      <c r="N538" s="64"/>
      <c r="O538" s="64"/>
      <c r="P538" s="64"/>
      <c r="Q538" s="64"/>
      <c r="R538" s="64"/>
      <c r="S538" s="64"/>
      <c r="T538" s="64"/>
      <c r="U538" s="64"/>
      <c r="V538" s="64"/>
      <c r="W538" s="64"/>
      <c r="X538" s="64"/>
      <c r="Y538" s="64"/>
      <c r="Z538" s="64"/>
      <c r="AA538" s="64"/>
      <c r="AB538" s="64"/>
      <c r="AC538" s="64"/>
      <c r="AD538" s="64"/>
      <c r="AE538" s="64"/>
    </row>
    <row r="539" spans="1:58" s="1" customFormat="1" ht="15.75" customHeight="1" x14ac:dyDescent="0.15">
      <c r="E539" s="126" t="s">
        <v>78</v>
      </c>
      <c r="F539" s="105"/>
      <c r="G539" s="105"/>
      <c r="H539" s="134" t="s">
        <v>159</v>
      </c>
      <c r="I539" s="135"/>
      <c r="J539" s="135"/>
      <c r="K539" s="105" t="s">
        <v>160</v>
      </c>
      <c r="L539" s="105"/>
      <c r="M539" s="105"/>
      <c r="N539" s="105"/>
      <c r="O539" s="105" t="s">
        <v>164</v>
      </c>
      <c r="P539" s="105"/>
      <c r="Q539" s="105"/>
      <c r="R539" s="105"/>
      <c r="S539" s="105"/>
      <c r="T539" s="105" t="s">
        <v>161</v>
      </c>
      <c r="U539" s="105"/>
      <c r="V539" s="105"/>
      <c r="W539" s="105"/>
      <c r="X539" s="105" t="s">
        <v>162</v>
      </c>
      <c r="Y539" s="105"/>
      <c r="Z539" s="105"/>
      <c r="AA539" s="105"/>
      <c r="AB539" s="105" t="s">
        <v>163</v>
      </c>
      <c r="AC539" s="105"/>
      <c r="AD539" s="105"/>
      <c r="AE539" s="129"/>
    </row>
    <row r="540" spans="1:58" s="1" customFormat="1" ht="15.75" customHeight="1" x14ac:dyDescent="0.15">
      <c r="E540" s="128"/>
      <c r="F540" s="106"/>
      <c r="G540" s="106"/>
      <c r="H540" s="121"/>
      <c r="I540" s="121"/>
      <c r="J540" s="121"/>
      <c r="K540" s="106"/>
      <c r="L540" s="106"/>
      <c r="M540" s="106"/>
      <c r="N540" s="106"/>
      <c r="O540" s="106"/>
      <c r="P540" s="106"/>
      <c r="Q540" s="106"/>
      <c r="R540" s="106"/>
      <c r="S540" s="106"/>
      <c r="T540" s="106"/>
      <c r="U540" s="106"/>
      <c r="V540" s="106"/>
      <c r="W540" s="106"/>
      <c r="X540" s="106"/>
      <c r="Y540" s="106"/>
      <c r="Z540" s="106"/>
      <c r="AA540" s="106"/>
      <c r="AB540" s="106"/>
      <c r="AC540" s="106"/>
      <c r="AD540" s="106"/>
      <c r="AE540" s="124"/>
    </row>
    <row r="541" spans="1:58" s="1" customFormat="1" ht="15.75" customHeight="1" x14ac:dyDescent="0.15">
      <c r="A541" s="73" t="str">
        <f>IF(E541="","×","")</f>
        <v/>
      </c>
      <c r="E541" s="117">
        <f>IF(G155="","",G155)</f>
        <v>3</v>
      </c>
      <c r="F541" s="118"/>
      <c r="G541" s="118"/>
      <c r="H541" s="220">
        <f>H516</f>
        <v>3</v>
      </c>
      <c r="I541" s="220"/>
      <c r="J541" s="220"/>
      <c r="K541" s="309">
        <f>Y272</f>
        <v>24950</v>
      </c>
      <c r="L541" s="131"/>
      <c r="M541" s="131"/>
      <c r="N541" s="131"/>
      <c r="O541" s="131">
        <f>IF(K541="","",ROUND(K541/$X$557,6))</f>
        <v>5.672E-3</v>
      </c>
      <c r="P541" s="131"/>
      <c r="Q541" s="131"/>
      <c r="R541" s="131"/>
      <c r="S541" s="131"/>
      <c r="T541" s="131">
        <f>IF(O541="","",ROUND(O541^0.25,4))</f>
        <v>0.27439999999999998</v>
      </c>
      <c r="U541" s="131"/>
      <c r="V541" s="131"/>
      <c r="W541" s="131"/>
      <c r="X541" s="330">
        <f>IF(T541="","",ROUND(T541*H541,4))</f>
        <v>0.82320000000000004</v>
      </c>
      <c r="Y541" s="330"/>
      <c r="Z541" s="330"/>
      <c r="AA541" s="330"/>
      <c r="AB541" s="331">
        <f>IF(X541="","",SUM(X$541:X541))</f>
        <v>0.82320000000000004</v>
      </c>
      <c r="AC541" s="331"/>
      <c r="AD541" s="331"/>
      <c r="AE541" s="332"/>
    </row>
    <row r="542" spans="1:58" s="1" customFormat="1" ht="15.75" customHeight="1" x14ac:dyDescent="0.15">
      <c r="A542" s="73" t="str">
        <f t="shared" ref="A542:A556" si="44">IF(E542="","×","")</f>
        <v/>
      </c>
      <c r="E542" s="119">
        <f>IF(G156="","",G156)</f>
        <v>4</v>
      </c>
      <c r="F542" s="120"/>
      <c r="G542" s="120"/>
      <c r="H542" s="113">
        <f t="shared" ref="H542:H556" si="45">H517</f>
        <v>5</v>
      </c>
      <c r="I542" s="113"/>
      <c r="J542" s="113"/>
      <c r="K542" s="314">
        <f t="shared" ref="K542:K556" si="46">Y273</f>
        <v>51260</v>
      </c>
      <c r="L542" s="94"/>
      <c r="M542" s="94"/>
      <c r="N542" s="94"/>
      <c r="O542" s="94">
        <f>IF(K542="","",ROUND(K542/$X$557,6))</f>
        <v>1.1653999999999999E-2</v>
      </c>
      <c r="P542" s="94"/>
      <c r="Q542" s="94"/>
      <c r="R542" s="94"/>
      <c r="S542" s="94"/>
      <c r="T542" s="94">
        <f t="shared" ref="T542:T556" si="47">IF(O542="","",ROUND(O542^0.25,4))</f>
        <v>0.3286</v>
      </c>
      <c r="U542" s="94"/>
      <c r="V542" s="94"/>
      <c r="W542" s="94"/>
      <c r="X542" s="333">
        <f>IF(T542="","",ROUND(T542*H542,4))</f>
        <v>1.643</v>
      </c>
      <c r="Y542" s="333"/>
      <c r="Z542" s="333"/>
      <c r="AA542" s="333"/>
      <c r="AB542" s="334">
        <f>IF(X542="","",SUM(X$541:X542))</f>
        <v>2.4662000000000002</v>
      </c>
      <c r="AC542" s="334"/>
      <c r="AD542" s="334"/>
      <c r="AE542" s="335"/>
    </row>
    <row r="543" spans="1:58" s="1" customFormat="1" ht="15.75" customHeight="1" x14ac:dyDescent="0.15">
      <c r="A543" s="73" t="str">
        <f t="shared" si="44"/>
        <v/>
      </c>
      <c r="E543" s="119">
        <f>IF(G157="","",G157)</f>
        <v>5</v>
      </c>
      <c r="F543" s="120"/>
      <c r="G543" s="120"/>
      <c r="H543" s="113">
        <f t="shared" si="45"/>
        <v>8</v>
      </c>
      <c r="I543" s="113"/>
      <c r="J543" s="113"/>
      <c r="K543" s="314">
        <f t="shared" si="46"/>
        <v>58330</v>
      </c>
      <c r="L543" s="94"/>
      <c r="M543" s="94"/>
      <c r="N543" s="94"/>
      <c r="O543" s="94">
        <f>IF(K543="","",ROUND(K543/$X$557,6))</f>
        <v>1.3261E-2</v>
      </c>
      <c r="P543" s="94"/>
      <c r="Q543" s="94"/>
      <c r="R543" s="94"/>
      <c r="S543" s="94"/>
      <c r="T543" s="94">
        <f t="shared" si="47"/>
        <v>0.33929999999999999</v>
      </c>
      <c r="U543" s="94"/>
      <c r="V543" s="94"/>
      <c r="W543" s="94"/>
      <c r="X543" s="333">
        <f>IF(T543="","",ROUND(T543*H543,4))</f>
        <v>2.7143999999999999</v>
      </c>
      <c r="Y543" s="333"/>
      <c r="Z543" s="333"/>
      <c r="AA543" s="333"/>
      <c r="AB543" s="334">
        <f>IF(X543="","",SUM(X$541:X543))</f>
        <v>5.1806000000000001</v>
      </c>
      <c r="AC543" s="334"/>
      <c r="AD543" s="334"/>
      <c r="AE543" s="335"/>
    </row>
    <row r="544" spans="1:58" s="1" customFormat="1" ht="15.75" customHeight="1" x14ac:dyDescent="0.15">
      <c r="A544" s="73" t="str">
        <f t="shared" si="44"/>
        <v/>
      </c>
      <c r="E544" s="119">
        <f>IF(G158="","",G158)</f>
        <v>6</v>
      </c>
      <c r="F544" s="120"/>
      <c r="G544" s="120"/>
      <c r="H544" s="113">
        <f t="shared" si="45"/>
        <v>4.5</v>
      </c>
      <c r="I544" s="113"/>
      <c r="J544" s="113"/>
      <c r="K544" s="314">
        <f t="shared" si="46"/>
        <v>83180</v>
      </c>
      <c r="L544" s="94"/>
      <c r="M544" s="94"/>
      <c r="N544" s="94"/>
      <c r="O544" s="94">
        <f>IF(K544="","",ROUND(K544/$X$557,6))</f>
        <v>1.8911000000000001E-2</v>
      </c>
      <c r="P544" s="94"/>
      <c r="Q544" s="94"/>
      <c r="R544" s="94"/>
      <c r="S544" s="94"/>
      <c r="T544" s="94">
        <f t="shared" si="47"/>
        <v>0.37080000000000002</v>
      </c>
      <c r="U544" s="94"/>
      <c r="V544" s="94"/>
      <c r="W544" s="94"/>
      <c r="X544" s="333">
        <f>IF(T544="","",ROUND(T544*H544,4))</f>
        <v>1.6686000000000001</v>
      </c>
      <c r="Y544" s="333"/>
      <c r="Z544" s="333"/>
      <c r="AA544" s="333"/>
      <c r="AB544" s="334">
        <f>IF(X544="","",SUM(X$541:X544))</f>
        <v>6.8491999999999997</v>
      </c>
      <c r="AC544" s="334"/>
      <c r="AD544" s="334"/>
      <c r="AE544" s="335"/>
    </row>
    <row r="545" spans="1:58" s="1" customFormat="1" ht="15.75" customHeight="1" x14ac:dyDescent="0.15">
      <c r="A545" s="73" t="str">
        <f t="shared" si="44"/>
        <v/>
      </c>
      <c r="E545" s="119">
        <f>IF(G159="","",G159)</f>
        <v>7</v>
      </c>
      <c r="F545" s="120"/>
      <c r="G545" s="120"/>
      <c r="H545" s="113">
        <f t="shared" si="45"/>
        <v>0.5</v>
      </c>
      <c r="I545" s="113"/>
      <c r="J545" s="113"/>
      <c r="K545" s="314">
        <f t="shared" si="46"/>
        <v>164340</v>
      </c>
      <c r="L545" s="94"/>
      <c r="M545" s="94"/>
      <c r="N545" s="94"/>
      <c r="O545" s="94">
        <f>IF(K545="","",ROUND(K545/$X$557,6))</f>
        <v>3.7363E-2</v>
      </c>
      <c r="P545" s="94"/>
      <c r="Q545" s="94"/>
      <c r="R545" s="94"/>
      <c r="S545" s="94"/>
      <c r="T545" s="94">
        <f t="shared" si="47"/>
        <v>0.43969999999999998</v>
      </c>
      <c r="U545" s="94"/>
      <c r="V545" s="94"/>
      <c r="W545" s="94"/>
      <c r="X545" s="333">
        <f>IF(T545="","",ROUND(T545*H545,4))</f>
        <v>0.21990000000000001</v>
      </c>
      <c r="Y545" s="333"/>
      <c r="Z545" s="333"/>
      <c r="AA545" s="333"/>
      <c r="AB545" s="334">
        <f>IF(X545="","",SUM(X$541:X545))</f>
        <v>7.0690999999999997</v>
      </c>
      <c r="AC545" s="334"/>
      <c r="AD545" s="334"/>
      <c r="AE545" s="335"/>
    </row>
    <row r="546" spans="1:58" s="1" customFormat="1" ht="15.75" customHeight="1" x14ac:dyDescent="0.15">
      <c r="A546" s="73" t="str">
        <f t="shared" si="44"/>
        <v>×</v>
      </c>
      <c r="E546" s="119" t="str">
        <f>IF(G160="","",G160)</f>
        <v/>
      </c>
      <c r="F546" s="120"/>
      <c r="G546" s="120"/>
      <c r="H546" s="113">
        <f t="shared" si="45"/>
        <v>0</v>
      </c>
      <c r="I546" s="113"/>
      <c r="J546" s="113"/>
      <c r="K546" s="314" t="str">
        <f t="shared" si="46"/>
        <v/>
      </c>
      <c r="L546" s="94"/>
      <c r="M546" s="94"/>
      <c r="N546" s="94"/>
      <c r="O546" s="94" t="str">
        <f>IF(K546="","",ROUND(K546/$X$557,6))</f>
        <v/>
      </c>
      <c r="P546" s="94"/>
      <c r="Q546" s="94"/>
      <c r="R546" s="94"/>
      <c r="S546" s="94"/>
      <c r="T546" s="94" t="str">
        <f t="shared" si="47"/>
        <v/>
      </c>
      <c r="U546" s="94"/>
      <c r="V546" s="94"/>
      <c r="W546" s="94"/>
      <c r="X546" s="333" t="str">
        <f>IF(T546="","",ROUND(T546*H546,4))</f>
        <v/>
      </c>
      <c r="Y546" s="333"/>
      <c r="Z546" s="333"/>
      <c r="AA546" s="333"/>
      <c r="AB546" s="334" t="str">
        <f>IF(X546="","",SUM(X$541:X546))</f>
        <v/>
      </c>
      <c r="AC546" s="334"/>
      <c r="AD546" s="334"/>
      <c r="AE546" s="335"/>
    </row>
    <row r="547" spans="1:58" s="1" customFormat="1" ht="15.75" customHeight="1" x14ac:dyDescent="0.15">
      <c r="A547" s="73" t="str">
        <f t="shared" si="44"/>
        <v>×</v>
      </c>
      <c r="E547" s="119" t="str">
        <f>IF(G161="","",G161)</f>
        <v/>
      </c>
      <c r="F547" s="120"/>
      <c r="G547" s="120"/>
      <c r="H547" s="113">
        <f t="shared" si="45"/>
        <v>0</v>
      </c>
      <c r="I547" s="113"/>
      <c r="J547" s="113"/>
      <c r="K547" s="314" t="str">
        <f t="shared" si="46"/>
        <v/>
      </c>
      <c r="L547" s="94"/>
      <c r="M547" s="94"/>
      <c r="N547" s="94"/>
      <c r="O547" s="94" t="str">
        <f>IF(K547="","",ROUND(K547/$X$557,6))</f>
        <v/>
      </c>
      <c r="P547" s="94"/>
      <c r="Q547" s="94"/>
      <c r="R547" s="94"/>
      <c r="S547" s="94"/>
      <c r="T547" s="94" t="str">
        <f t="shared" si="47"/>
        <v/>
      </c>
      <c r="U547" s="94"/>
      <c r="V547" s="94"/>
      <c r="W547" s="94"/>
      <c r="X547" s="333" t="str">
        <f>IF(T547="","",ROUND(T547*H547,4))</f>
        <v/>
      </c>
      <c r="Y547" s="333"/>
      <c r="Z547" s="333"/>
      <c r="AA547" s="333"/>
      <c r="AB547" s="334" t="str">
        <f>IF(X547="","",SUM(X$541:X547))</f>
        <v/>
      </c>
      <c r="AC547" s="334"/>
      <c r="AD547" s="334"/>
      <c r="AE547" s="335"/>
    </row>
    <row r="548" spans="1:58" s="1" customFormat="1" ht="15.75" customHeight="1" x14ac:dyDescent="0.15">
      <c r="A548" s="73" t="str">
        <f t="shared" si="44"/>
        <v>×</v>
      </c>
      <c r="E548" s="119" t="str">
        <f>IF(G162="","",G162)</f>
        <v/>
      </c>
      <c r="F548" s="120"/>
      <c r="G548" s="120"/>
      <c r="H548" s="113">
        <f t="shared" si="45"/>
        <v>0</v>
      </c>
      <c r="I548" s="113"/>
      <c r="J548" s="113"/>
      <c r="K548" s="314" t="str">
        <f t="shared" si="46"/>
        <v/>
      </c>
      <c r="L548" s="94"/>
      <c r="M548" s="94"/>
      <c r="N548" s="94"/>
      <c r="O548" s="94" t="str">
        <f>IF(K548="","",ROUND(K548/$X$557,6))</f>
        <v/>
      </c>
      <c r="P548" s="94"/>
      <c r="Q548" s="94"/>
      <c r="R548" s="94"/>
      <c r="S548" s="94"/>
      <c r="T548" s="94" t="str">
        <f t="shared" si="47"/>
        <v/>
      </c>
      <c r="U548" s="94"/>
      <c r="V548" s="94"/>
      <c r="W548" s="94"/>
      <c r="X548" s="333" t="str">
        <f>IF(T548="","",ROUND(T548*H548,4))</f>
        <v/>
      </c>
      <c r="Y548" s="333"/>
      <c r="Z548" s="333"/>
      <c r="AA548" s="333"/>
      <c r="AB548" s="334" t="str">
        <f>IF(X548="","",SUM(X$541:X548))</f>
        <v/>
      </c>
      <c r="AC548" s="334"/>
      <c r="AD548" s="334"/>
      <c r="AE548" s="335"/>
    </row>
    <row r="549" spans="1:58" s="1" customFormat="1" ht="15.75" customHeight="1" x14ac:dyDescent="0.15">
      <c r="A549" s="73" t="str">
        <f t="shared" si="44"/>
        <v>×</v>
      </c>
      <c r="E549" s="119" t="str">
        <f>IF(G163="","",G163)</f>
        <v/>
      </c>
      <c r="F549" s="120"/>
      <c r="G549" s="120"/>
      <c r="H549" s="113">
        <f t="shared" si="45"/>
        <v>0</v>
      </c>
      <c r="I549" s="113"/>
      <c r="J549" s="113"/>
      <c r="K549" s="314" t="str">
        <f t="shared" si="46"/>
        <v/>
      </c>
      <c r="L549" s="94"/>
      <c r="M549" s="94"/>
      <c r="N549" s="94"/>
      <c r="O549" s="94" t="str">
        <f>IF(K549="","",ROUND(K549/$X$557,6))</f>
        <v/>
      </c>
      <c r="P549" s="94"/>
      <c r="Q549" s="94"/>
      <c r="R549" s="94"/>
      <c r="S549" s="94"/>
      <c r="T549" s="94" t="str">
        <f t="shared" si="47"/>
        <v/>
      </c>
      <c r="U549" s="94"/>
      <c r="V549" s="94"/>
      <c r="W549" s="94"/>
      <c r="X549" s="333" t="str">
        <f>IF(T549="","",ROUND(T549*H549,4))</f>
        <v/>
      </c>
      <c r="Y549" s="333"/>
      <c r="Z549" s="333"/>
      <c r="AA549" s="333"/>
      <c r="AB549" s="334" t="str">
        <f>IF(X549="","",SUM(X$541:X549))</f>
        <v/>
      </c>
      <c r="AC549" s="334"/>
      <c r="AD549" s="334"/>
      <c r="AE549" s="335"/>
    </row>
    <row r="550" spans="1:58" s="1" customFormat="1" ht="15.75" customHeight="1" x14ac:dyDescent="0.15">
      <c r="A550" s="73" t="str">
        <f t="shared" si="44"/>
        <v>×</v>
      </c>
      <c r="E550" s="119" t="str">
        <f>IF(G164="","",G164)</f>
        <v/>
      </c>
      <c r="F550" s="120"/>
      <c r="G550" s="120"/>
      <c r="H550" s="113">
        <f t="shared" si="45"/>
        <v>0</v>
      </c>
      <c r="I550" s="113"/>
      <c r="J550" s="113"/>
      <c r="K550" s="314" t="str">
        <f t="shared" si="46"/>
        <v/>
      </c>
      <c r="L550" s="94"/>
      <c r="M550" s="94"/>
      <c r="N550" s="94"/>
      <c r="O550" s="94" t="str">
        <f>IF(K550="","",ROUND(K550/$X$557,6))</f>
        <v/>
      </c>
      <c r="P550" s="94"/>
      <c r="Q550" s="94"/>
      <c r="R550" s="94"/>
      <c r="S550" s="94"/>
      <c r="T550" s="94" t="str">
        <f t="shared" si="47"/>
        <v/>
      </c>
      <c r="U550" s="94"/>
      <c r="V550" s="94"/>
      <c r="W550" s="94"/>
      <c r="X550" s="333" t="str">
        <f>IF(T550="","",ROUND(T550*H550,4))</f>
        <v/>
      </c>
      <c r="Y550" s="333"/>
      <c r="Z550" s="333"/>
      <c r="AA550" s="333"/>
      <c r="AB550" s="334" t="str">
        <f>IF(X550="","",SUM(X$541:X550))</f>
        <v/>
      </c>
      <c r="AC550" s="334"/>
      <c r="AD550" s="334"/>
      <c r="AE550" s="335"/>
    </row>
    <row r="551" spans="1:58" s="1" customFormat="1" ht="15.75" customHeight="1" x14ac:dyDescent="0.15">
      <c r="A551" s="73" t="str">
        <f t="shared" si="44"/>
        <v>×</v>
      </c>
      <c r="E551" s="119" t="str">
        <f>IF(G165="","",G165)</f>
        <v/>
      </c>
      <c r="F551" s="120"/>
      <c r="G551" s="120"/>
      <c r="H551" s="113">
        <f t="shared" si="45"/>
        <v>0</v>
      </c>
      <c r="I551" s="113"/>
      <c r="J551" s="113"/>
      <c r="K551" s="314" t="str">
        <f t="shared" si="46"/>
        <v/>
      </c>
      <c r="L551" s="94"/>
      <c r="M551" s="94"/>
      <c r="N551" s="94"/>
      <c r="O551" s="94" t="str">
        <f>IF(K551="","",ROUND(K551/$X$557,6))</f>
        <v/>
      </c>
      <c r="P551" s="94"/>
      <c r="Q551" s="94"/>
      <c r="R551" s="94"/>
      <c r="S551" s="94"/>
      <c r="T551" s="94" t="str">
        <f t="shared" si="47"/>
        <v/>
      </c>
      <c r="U551" s="94"/>
      <c r="V551" s="94"/>
      <c r="W551" s="94"/>
      <c r="X551" s="333" t="str">
        <f>IF(T551="","",ROUND(T551*H551,4))</f>
        <v/>
      </c>
      <c r="Y551" s="333"/>
      <c r="Z551" s="333"/>
      <c r="AA551" s="333"/>
      <c r="AB551" s="334" t="str">
        <f>IF(X551="","",SUM(X$541:X551))</f>
        <v/>
      </c>
      <c r="AC551" s="334"/>
      <c r="AD551" s="334"/>
      <c r="AE551" s="335"/>
    </row>
    <row r="552" spans="1:58" s="1" customFormat="1" ht="15.75" customHeight="1" x14ac:dyDescent="0.15">
      <c r="A552" s="73" t="str">
        <f t="shared" si="44"/>
        <v>×</v>
      </c>
      <c r="E552" s="119" t="str">
        <f>IF(G166="","",G166)</f>
        <v/>
      </c>
      <c r="F552" s="120"/>
      <c r="G552" s="120"/>
      <c r="H552" s="113">
        <f t="shared" si="45"/>
        <v>0</v>
      </c>
      <c r="I552" s="113"/>
      <c r="J552" s="113"/>
      <c r="K552" s="314" t="str">
        <f t="shared" si="46"/>
        <v/>
      </c>
      <c r="L552" s="94"/>
      <c r="M552" s="94"/>
      <c r="N552" s="94"/>
      <c r="O552" s="94" t="str">
        <f>IF(K552="","",ROUND(K552/$X$557,6))</f>
        <v/>
      </c>
      <c r="P552" s="94"/>
      <c r="Q552" s="94"/>
      <c r="R552" s="94"/>
      <c r="S552" s="94"/>
      <c r="T552" s="94" t="str">
        <f t="shared" si="47"/>
        <v/>
      </c>
      <c r="U552" s="94"/>
      <c r="V552" s="94"/>
      <c r="W552" s="94"/>
      <c r="X552" s="333" t="str">
        <f>IF(T552="","",ROUND(T552*H552,4))</f>
        <v/>
      </c>
      <c r="Y552" s="333"/>
      <c r="Z552" s="333"/>
      <c r="AA552" s="333"/>
      <c r="AB552" s="334" t="str">
        <f>IF(X552="","",SUM(X$541:X552))</f>
        <v/>
      </c>
      <c r="AC552" s="334"/>
      <c r="AD552" s="334"/>
      <c r="AE552" s="335"/>
    </row>
    <row r="553" spans="1:58" s="1" customFormat="1" ht="15.75" customHeight="1" x14ac:dyDescent="0.15">
      <c r="A553" s="73" t="str">
        <f t="shared" si="44"/>
        <v>×</v>
      </c>
      <c r="E553" s="119" t="str">
        <f>IF(G167="","",G167)</f>
        <v/>
      </c>
      <c r="F553" s="120"/>
      <c r="G553" s="120"/>
      <c r="H553" s="113">
        <f t="shared" si="45"/>
        <v>0</v>
      </c>
      <c r="I553" s="113"/>
      <c r="J553" s="113"/>
      <c r="K553" s="314" t="str">
        <f t="shared" si="46"/>
        <v/>
      </c>
      <c r="L553" s="94"/>
      <c r="M553" s="94"/>
      <c r="N553" s="94"/>
      <c r="O553" s="94" t="str">
        <f>IF(K553="","",ROUND(K553/$X$557,6))</f>
        <v/>
      </c>
      <c r="P553" s="94"/>
      <c r="Q553" s="94"/>
      <c r="R553" s="94"/>
      <c r="S553" s="94"/>
      <c r="T553" s="94" t="str">
        <f t="shared" si="47"/>
        <v/>
      </c>
      <c r="U553" s="94"/>
      <c r="V553" s="94"/>
      <c r="W553" s="94"/>
      <c r="X553" s="333" t="str">
        <f>IF(T553="","",ROUND(T553*H553,4))</f>
        <v/>
      </c>
      <c r="Y553" s="333"/>
      <c r="Z553" s="333"/>
      <c r="AA553" s="333"/>
      <c r="AB553" s="334" t="str">
        <f>IF(X553="","",SUM(X$541:X553))</f>
        <v/>
      </c>
      <c r="AC553" s="334"/>
      <c r="AD553" s="334"/>
      <c r="AE553" s="335"/>
    </row>
    <row r="554" spans="1:58" s="1" customFormat="1" ht="15.75" customHeight="1" x14ac:dyDescent="0.15">
      <c r="A554" s="73" t="str">
        <f t="shared" si="44"/>
        <v>×</v>
      </c>
      <c r="E554" s="119" t="str">
        <f>IF(G168="","",G168)</f>
        <v/>
      </c>
      <c r="F554" s="120"/>
      <c r="G554" s="120"/>
      <c r="H554" s="113">
        <f t="shared" si="45"/>
        <v>0</v>
      </c>
      <c r="I554" s="113"/>
      <c r="J554" s="113"/>
      <c r="K554" s="314" t="str">
        <f t="shared" si="46"/>
        <v/>
      </c>
      <c r="L554" s="94"/>
      <c r="M554" s="94"/>
      <c r="N554" s="94"/>
      <c r="O554" s="94" t="str">
        <f>IF(K554="","",ROUND(K554/$X$557,6))</f>
        <v/>
      </c>
      <c r="P554" s="94"/>
      <c r="Q554" s="94"/>
      <c r="R554" s="94"/>
      <c r="S554" s="94"/>
      <c r="T554" s="94" t="str">
        <f t="shared" si="47"/>
        <v/>
      </c>
      <c r="U554" s="94"/>
      <c r="V554" s="94"/>
      <c r="W554" s="94"/>
      <c r="X554" s="333" t="str">
        <f>IF(T554="","",ROUND(T554*H554,4))</f>
        <v/>
      </c>
      <c r="Y554" s="333"/>
      <c r="Z554" s="333"/>
      <c r="AA554" s="333"/>
      <c r="AB554" s="334" t="str">
        <f>IF(X554="","",SUM(X$541:X554))</f>
        <v/>
      </c>
      <c r="AC554" s="334"/>
      <c r="AD554" s="334"/>
      <c r="AE554" s="335"/>
    </row>
    <row r="555" spans="1:58" s="1" customFormat="1" ht="15.75" customHeight="1" x14ac:dyDescent="0.15">
      <c r="A555" s="73" t="str">
        <f t="shared" si="44"/>
        <v>×</v>
      </c>
      <c r="E555" s="119" t="str">
        <f>IF(G169="","",G169)</f>
        <v/>
      </c>
      <c r="F555" s="120"/>
      <c r="G555" s="120"/>
      <c r="H555" s="113">
        <f t="shared" si="45"/>
        <v>0</v>
      </c>
      <c r="I555" s="113"/>
      <c r="J555" s="113"/>
      <c r="K555" s="314" t="str">
        <f t="shared" si="46"/>
        <v/>
      </c>
      <c r="L555" s="94"/>
      <c r="M555" s="94"/>
      <c r="N555" s="94"/>
      <c r="O555" s="94" t="str">
        <f>IF(K555="","",ROUND(K555/$X$557,6))</f>
        <v/>
      </c>
      <c r="P555" s="94"/>
      <c r="Q555" s="94"/>
      <c r="R555" s="94"/>
      <c r="S555" s="94"/>
      <c r="T555" s="94" t="str">
        <f t="shared" si="47"/>
        <v/>
      </c>
      <c r="U555" s="94"/>
      <c r="V555" s="94"/>
      <c r="W555" s="94"/>
      <c r="X555" s="333" t="str">
        <f>IF(T555="","",ROUND(T555*H555,4))</f>
        <v/>
      </c>
      <c r="Y555" s="333"/>
      <c r="Z555" s="333"/>
      <c r="AA555" s="333"/>
      <c r="AB555" s="334" t="str">
        <f>IF(X555="","",SUM(X$541:X555))</f>
        <v/>
      </c>
      <c r="AC555" s="334"/>
      <c r="AD555" s="334"/>
      <c r="AE555" s="335"/>
    </row>
    <row r="556" spans="1:58" s="1" customFormat="1" ht="15.75" customHeight="1" x14ac:dyDescent="0.15">
      <c r="A556" s="73" t="str">
        <f t="shared" si="44"/>
        <v>×</v>
      </c>
      <c r="E556" s="233" t="str">
        <f>IF(G170="","",G170)</f>
        <v/>
      </c>
      <c r="F556" s="234"/>
      <c r="G556" s="234"/>
      <c r="H556" s="116">
        <f t="shared" si="45"/>
        <v>0</v>
      </c>
      <c r="I556" s="116"/>
      <c r="J556" s="116"/>
      <c r="K556" s="319" t="str">
        <f t="shared" si="46"/>
        <v/>
      </c>
      <c r="L556" s="99"/>
      <c r="M556" s="99"/>
      <c r="N556" s="99"/>
      <c r="O556" s="99" t="str">
        <f>IF(K556="","",ROUND(K556/$X$557,6))</f>
        <v/>
      </c>
      <c r="P556" s="99"/>
      <c r="Q556" s="99"/>
      <c r="R556" s="99"/>
      <c r="S556" s="99"/>
      <c r="T556" s="99" t="str">
        <f t="shared" si="47"/>
        <v/>
      </c>
      <c r="U556" s="99"/>
      <c r="V556" s="99"/>
      <c r="W556" s="99"/>
      <c r="X556" s="338" t="str">
        <f>IF(T556="","",ROUND(T556*H556,4))</f>
        <v/>
      </c>
      <c r="Y556" s="338"/>
      <c r="Z556" s="338"/>
      <c r="AA556" s="338"/>
      <c r="AB556" s="339" t="str">
        <f>IF(X556="","",SUM(X$541:X556))</f>
        <v/>
      </c>
      <c r="AC556" s="339"/>
      <c r="AD556" s="339"/>
      <c r="AE556" s="340"/>
    </row>
    <row r="557" spans="1:58" ht="15.75" customHeight="1" x14ac:dyDescent="0.15">
      <c r="E557" s="76"/>
      <c r="S557" s="2" t="s">
        <v>127</v>
      </c>
      <c r="T557" s="76">
        <v>4</v>
      </c>
      <c r="U557" s="162" t="s">
        <v>149</v>
      </c>
      <c r="V557" s="162"/>
      <c r="W557" s="76" t="s">
        <v>27</v>
      </c>
      <c r="X557" s="341">
        <f>ROUND(4*AB440*AE440^AF440*AD441,0)</f>
        <v>4398464</v>
      </c>
      <c r="Y557" s="341"/>
      <c r="Z557" s="341"/>
      <c r="AA557" s="341"/>
      <c r="AB557" s="341"/>
      <c r="AC557" s="148" t="s">
        <v>166</v>
      </c>
      <c r="AD557" s="148"/>
      <c r="AE557" s="76" t="s">
        <v>158</v>
      </c>
      <c r="AJ557" s="379"/>
      <c r="AK557" s="379"/>
      <c r="AL557" s="379"/>
      <c r="AM557" s="379"/>
      <c r="BC557" s="76"/>
      <c r="BD557" s="76"/>
      <c r="BE557" s="76"/>
      <c r="BF557" s="76"/>
    </row>
    <row r="558" spans="1:58" ht="15.75" customHeight="1" x14ac:dyDescent="0.15">
      <c r="E558" s="76"/>
      <c r="S558" s="2"/>
      <c r="X558" s="342"/>
      <c r="Y558" s="342"/>
      <c r="Z558" s="342"/>
      <c r="AA558" s="342"/>
      <c r="AB558" s="342"/>
      <c r="AC558" s="78"/>
      <c r="AD558" s="78"/>
      <c r="AJ558" s="379"/>
      <c r="AK558" s="379"/>
      <c r="AL558" s="379"/>
      <c r="AM558" s="379"/>
      <c r="BC558" s="76"/>
      <c r="BD558" s="76"/>
      <c r="BE558" s="76"/>
      <c r="BF558" s="76"/>
    </row>
    <row r="559" spans="1:58" ht="15.75" customHeight="1" x14ac:dyDescent="0.15">
      <c r="E559" s="307" t="s">
        <v>541</v>
      </c>
      <c r="S559" s="2"/>
      <c r="X559" s="342"/>
      <c r="Y559" s="342"/>
      <c r="Z559" s="342"/>
      <c r="AA559" s="342"/>
      <c r="AB559" s="342"/>
      <c r="AC559" s="78"/>
      <c r="AD559" s="78"/>
      <c r="AJ559" s="379"/>
      <c r="AK559" s="379"/>
      <c r="AL559" s="379"/>
      <c r="AM559" s="379"/>
      <c r="BC559" s="76"/>
      <c r="BD559" s="76"/>
      <c r="BE559" s="76"/>
      <c r="BF559" s="76"/>
    </row>
    <row r="560" spans="1:58" ht="15.75" customHeight="1" x14ac:dyDescent="0.15">
      <c r="E560" s="162" t="s">
        <v>542</v>
      </c>
      <c r="F560" s="162"/>
      <c r="G560" s="76" t="s">
        <v>543</v>
      </c>
      <c r="H560" s="402">
        <v>3.5399999618530273</v>
      </c>
      <c r="I560" s="402"/>
      <c r="J560" s="402"/>
      <c r="K560" s="76" t="s">
        <v>544</v>
      </c>
      <c r="S560" s="2"/>
      <c r="X560" s="342"/>
      <c r="Y560" s="342"/>
      <c r="Z560" s="342"/>
      <c r="AA560" s="342"/>
      <c r="AB560" s="342"/>
      <c r="AC560" s="78"/>
      <c r="AD560" s="78"/>
      <c r="AJ560" s="379"/>
      <c r="AK560" s="379"/>
      <c r="AL560" s="379"/>
      <c r="AM560" s="379"/>
      <c r="BC560" s="76"/>
      <c r="BD560" s="76"/>
      <c r="BE560" s="76"/>
      <c r="BF560" s="76"/>
    </row>
    <row r="561" spans="1:58" s="289" customFormat="1" ht="15.75" customHeight="1" x14ac:dyDescent="0.15">
      <c r="C561" s="343"/>
      <c r="H561" s="403"/>
      <c r="I561" s="403"/>
      <c r="J561" s="403"/>
      <c r="S561" s="344"/>
      <c r="X561" s="345"/>
      <c r="Y561" s="345"/>
      <c r="Z561" s="345"/>
      <c r="AA561" s="345"/>
      <c r="AB561" s="345"/>
      <c r="AC561" s="346"/>
      <c r="AD561" s="346"/>
      <c r="AJ561" s="404"/>
      <c r="AK561" s="404"/>
      <c r="AL561" s="404"/>
      <c r="AM561" s="404"/>
      <c r="AN561" s="404"/>
      <c r="AO561" s="404"/>
      <c r="AP561" s="404"/>
      <c r="AQ561" s="404"/>
      <c r="AR561" s="404"/>
      <c r="AS561" s="404"/>
      <c r="AT561" s="404"/>
      <c r="AU561" s="404"/>
      <c r="AV561" s="404"/>
      <c r="AW561" s="404"/>
      <c r="AX561" s="404"/>
      <c r="AY561" s="404"/>
      <c r="AZ561" s="404"/>
      <c r="BA561" s="404"/>
      <c r="BB561" s="404"/>
    </row>
    <row r="562" spans="1:58" ht="15.75" customHeight="1" x14ac:dyDescent="0.15">
      <c r="E562" s="76"/>
      <c r="AJ562" s="379"/>
      <c r="AK562" s="379"/>
      <c r="AL562" s="379"/>
      <c r="AM562" s="379"/>
      <c r="BC562" s="76"/>
      <c r="BD562" s="76"/>
      <c r="BE562" s="76"/>
      <c r="BF562" s="76"/>
    </row>
    <row r="563" spans="1:58" ht="15.75" hidden="1" customHeight="1" x14ac:dyDescent="0.15">
      <c r="AJ563" s="379"/>
      <c r="AK563" s="379"/>
      <c r="AL563" s="379"/>
      <c r="AM563" s="379"/>
      <c r="BC563" s="76"/>
      <c r="BD563" s="76"/>
      <c r="BE563" s="76"/>
      <c r="BF563" s="76"/>
    </row>
    <row r="564" spans="1:58" s="1" customFormat="1" ht="15.75" hidden="1" customHeight="1" x14ac:dyDescent="0.15">
      <c r="F564" s="1" t="s">
        <v>194</v>
      </c>
    </row>
    <row r="565" spans="1:58" s="1" customFormat="1" ht="15.75" hidden="1" customHeight="1" x14ac:dyDescent="0.15">
      <c r="F565" s="1" t="s">
        <v>169</v>
      </c>
    </row>
    <row r="566" spans="1:58" s="1" customFormat="1" ht="15.75" hidden="1" customHeight="1" x14ac:dyDescent="0.15">
      <c r="Y566" s="148" t="s">
        <v>197</v>
      </c>
      <c r="Z566" s="148"/>
      <c r="AA566" s="148"/>
      <c r="AB566" s="148"/>
    </row>
    <row r="567" spans="1:58" s="1" customFormat="1" ht="15.75" hidden="1" customHeight="1" x14ac:dyDescent="0.15">
      <c r="F567" s="2" t="s">
        <v>188</v>
      </c>
      <c r="G567" s="76" t="s">
        <v>27</v>
      </c>
      <c r="H567" s="1" t="s">
        <v>189</v>
      </c>
      <c r="K567" s="76" t="s">
        <v>191</v>
      </c>
      <c r="L567" s="347">
        <f>X541</f>
        <v>0.82320000000000004</v>
      </c>
      <c r="M567" s="162"/>
      <c r="N567" s="162"/>
      <c r="O567" s="1" t="s">
        <v>192</v>
      </c>
      <c r="P567" s="1" t="s">
        <v>193</v>
      </c>
      <c r="Q567" s="347" t="e">
        <f>#REF!</f>
        <v>#REF!</v>
      </c>
      <c r="R567" s="162"/>
      <c r="S567" s="162"/>
      <c r="T567" s="76" t="s">
        <v>27</v>
      </c>
      <c r="U567" s="304" t="e">
        <f>(#REF!-L567)/Q567</f>
        <v>#REF!</v>
      </c>
      <c r="V567" s="304"/>
      <c r="W567" s="348" t="s">
        <v>196</v>
      </c>
      <c r="Z567" s="304" t="e">
        <f>#REF!</f>
        <v>#REF!</v>
      </c>
      <c r="AA567" s="304"/>
      <c r="AB567" s="348" t="s">
        <v>195</v>
      </c>
    </row>
    <row r="568" spans="1:58" s="1" customFormat="1" ht="15.75" hidden="1" customHeight="1" x14ac:dyDescent="0.15"/>
    <row r="569" spans="1:58" s="1" customFormat="1" ht="15.75" hidden="1" customHeight="1" x14ac:dyDescent="0.15">
      <c r="F569" s="1" t="s">
        <v>198</v>
      </c>
    </row>
    <row r="570" spans="1:58" s="1" customFormat="1" ht="15.75" hidden="1" customHeight="1" x14ac:dyDescent="0.15"/>
    <row r="571" spans="1:58" s="1" customFormat="1" ht="15.75" hidden="1" customHeight="1" x14ac:dyDescent="0.15">
      <c r="F571" s="2" t="s">
        <v>199</v>
      </c>
      <c r="G571" s="76" t="s">
        <v>27</v>
      </c>
      <c r="H571" s="2" t="s">
        <v>200</v>
      </c>
      <c r="I571" s="76" t="s">
        <v>6</v>
      </c>
      <c r="J571" s="2" t="s">
        <v>188</v>
      </c>
      <c r="K571" s="304" t="e">
        <f>U567</f>
        <v>#REF!</v>
      </c>
      <c r="L571" s="304"/>
      <c r="M571" s="76" t="s">
        <v>27</v>
      </c>
      <c r="N571" s="304" t="e">
        <f>#REF!+K571</f>
        <v>#REF!</v>
      </c>
      <c r="O571" s="304"/>
      <c r="P571" s="348" t="s">
        <v>195</v>
      </c>
    </row>
    <row r="572" spans="1:58" s="1" customFormat="1" ht="15.75" customHeight="1" x14ac:dyDescent="0.15">
      <c r="A572" s="73" t="str">
        <f>IF(A$289="","","×")</f>
        <v>×</v>
      </c>
      <c r="E572" s="64" t="s">
        <v>594</v>
      </c>
      <c r="F572" s="64"/>
      <c r="G572" s="64"/>
      <c r="H572" s="64"/>
      <c r="I572" s="64"/>
      <c r="J572" s="64"/>
      <c r="K572" s="64"/>
      <c r="L572" s="64"/>
      <c r="M572" s="64"/>
      <c r="N572" s="64"/>
      <c r="O572" s="64"/>
      <c r="P572" s="64"/>
      <c r="Q572" s="64"/>
      <c r="R572" s="64"/>
      <c r="S572" s="64"/>
      <c r="T572" s="64"/>
      <c r="U572" s="64"/>
      <c r="V572" s="64"/>
      <c r="W572" s="64"/>
      <c r="X572" s="64"/>
      <c r="Y572" s="64"/>
      <c r="Z572" s="64"/>
      <c r="AA572" s="64"/>
      <c r="AB572" s="64"/>
      <c r="AC572" s="64"/>
      <c r="AD572" s="64"/>
      <c r="AE572" s="64"/>
    </row>
    <row r="573" spans="1:58" s="1" customFormat="1" ht="15.75" customHeight="1" x14ac:dyDescent="0.15">
      <c r="A573" s="73" t="str">
        <f>IF(A$289="","","×")</f>
        <v>×</v>
      </c>
      <c r="E573" s="126" t="s">
        <v>78</v>
      </c>
      <c r="F573" s="105"/>
      <c r="G573" s="105"/>
      <c r="H573" s="134" t="s">
        <v>159</v>
      </c>
      <c r="I573" s="135"/>
      <c r="J573" s="135"/>
      <c r="K573" s="105" t="s">
        <v>160</v>
      </c>
      <c r="L573" s="105"/>
      <c r="M573" s="105"/>
      <c r="N573" s="105"/>
      <c r="O573" s="105" t="s">
        <v>164</v>
      </c>
      <c r="P573" s="105"/>
      <c r="Q573" s="105"/>
      <c r="R573" s="105"/>
      <c r="S573" s="105"/>
      <c r="T573" s="105" t="s">
        <v>161</v>
      </c>
      <c r="U573" s="105"/>
      <c r="V573" s="105"/>
      <c r="W573" s="105"/>
      <c r="X573" s="105" t="s">
        <v>162</v>
      </c>
      <c r="Y573" s="105"/>
      <c r="Z573" s="105"/>
      <c r="AA573" s="105"/>
      <c r="AB573" s="105" t="s">
        <v>163</v>
      </c>
      <c r="AC573" s="105"/>
      <c r="AD573" s="105"/>
      <c r="AE573" s="129"/>
    </row>
    <row r="574" spans="1:58" s="1" customFormat="1" ht="15.75" customHeight="1" x14ac:dyDescent="0.15">
      <c r="A574" s="73" t="str">
        <f>IF(A$289="","","×")</f>
        <v>×</v>
      </c>
      <c r="E574" s="128"/>
      <c r="F574" s="106"/>
      <c r="G574" s="106"/>
      <c r="H574" s="121"/>
      <c r="I574" s="121"/>
      <c r="J574" s="121"/>
      <c r="K574" s="106"/>
      <c r="L574" s="106"/>
      <c r="M574" s="106"/>
      <c r="N574" s="106"/>
      <c r="O574" s="106"/>
      <c r="P574" s="106"/>
      <c r="Q574" s="106"/>
      <c r="R574" s="106"/>
      <c r="S574" s="106"/>
      <c r="T574" s="106"/>
      <c r="U574" s="106"/>
      <c r="V574" s="106"/>
      <c r="W574" s="106"/>
      <c r="X574" s="106"/>
      <c r="Y574" s="106"/>
      <c r="Z574" s="106"/>
      <c r="AA574" s="106"/>
      <c r="AB574" s="106"/>
      <c r="AC574" s="106"/>
      <c r="AD574" s="106"/>
      <c r="AE574" s="124"/>
    </row>
    <row r="575" spans="1:58" s="1" customFormat="1" ht="15.75" customHeight="1" x14ac:dyDescent="0.15">
      <c r="A575" s="73" t="str">
        <f>IF(A$289="×","×",IF(E575="","×",""))</f>
        <v>×</v>
      </c>
      <c r="E575" s="117">
        <f>E541</f>
        <v>3</v>
      </c>
      <c r="F575" s="118"/>
      <c r="G575" s="118"/>
      <c r="H575" s="220">
        <f>H541</f>
        <v>3</v>
      </c>
      <c r="I575" s="220"/>
      <c r="J575" s="220"/>
      <c r="K575" s="350">
        <f>Z294</f>
        <v>24950</v>
      </c>
      <c r="L575" s="118"/>
      <c r="M575" s="118"/>
      <c r="N575" s="118"/>
      <c r="O575" s="118">
        <f>IF(K575="","",ROUND(K575/$X$591,6))</f>
        <v>5.672E-3</v>
      </c>
      <c r="P575" s="118"/>
      <c r="Q575" s="118"/>
      <c r="R575" s="118"/>
      <c r="S575" s="118"/>
      <c r="T575" s="118">
        <f>IF(O575="","",ROUND(O575^0.25,4))</f>
        <v>0.27439999999999998</v>
      </c>
      <c r="U575" s="118"/>
      <c r="V575" s="118"/>
      <c r="W575" s="118"/>
      <c r="X575" s="405">
        <f>IF(T575="","",ROUND(T575*H575,4))</f>
        <v>0.82320000000000004</v>
      </c>
      <c r="Y575" s="405"/>
      <c r="Z575" s="405"/>
      <c r="AA575" s="405"/>
      <c r="AB575" s="331">
        <f>IF(X575="","",SUM(X$575:X575))</f>
        <v>0.82320000000000004</v>
      </c>
      <c r="AC575" s="331"/>
      <c r="AD575" s="331"/>
      <c r="AE575" s="332"/>
    </row>
    <row r="576" spans="1:58" s="1" customFormat="1" ht="15.75" customHeight="1" x14ac:dyDescent="0.15">
      <c r="A576" s="73" t="str">
        <f t="shared" ref="A576:A590" si="48">IF(A$289="×","×",IF(E576="","×",""))</f>
        <v>×</v>
      </c>
      <c r="E576" s="111">
        <f>E542</f>
        <v>4</v>
      </c>
      <c r="F576" s="112"/>
      <c r="G576" s="112"/>
      <c r="H576" s="406">
        <f t="shared" ref="H576:H590" si="49">H542</f>
        <v>5</v>
      </c>
      <c r="I576" s="406"/>
      <c r="J576" s="406"/>
      <c r="K576" s="354">
        <f>Z295</f>
        <v>51260</v>
      </c>
      <c r="L576" s="120"/>
      <c r="M576" s="120"/>
      <c r="N576" s="120"/>
      <c r="O576" s="120">
        <f>IF(K576="","",ROUND(K576/$X$591,6))</f>
        <v>1.1653999999999999E-2</v>
      </c>
      <c r="P576" s="120"/>
      <c r="Q576" s="120"/>
      <c r="R576" s="120"/>
      <c r="S576" s="120"/>
      <c r="T576" s="120">
        <f t="shared" ref="T576:T590" si="50">IF(O576="","",ROUND(O576^0.25,4))</f>
        <v>0.3286</v>
      </c>
      <c r="U576" s="120"/>
      <c r="V576" s="120"/>
      <c r="W576" s="120"/>
      <c r="X576" s="408">
        <f>IF(T576="","",ROUND(T576*H576,4))</f>
        <v>1.643</v>
      </c>
      <c r="Y576" s="408"/>
      <c r="Z576" s="408"/>
      <c r="AA576" s="408"/>
      <c r="AB576" s="334">
        <f>IF(X576="","",SUM(X$575:X576))</f>
        <v>2.4662000000000002</v>
      </c>
      <c r="AC576" s="334"/>
      <c r="AD576" s="334"/>
      <c r="AE576" s="335"/>
    </row>
    <row r="577" spans="1:58" s="1" customFormat="1" ht="15.75" customHeight="1" x14ac:dyDescent="0.15">
      <c r="A577" s="73" t="str">
        <f t="shared" si="48"/>
        <v>×</v>
      </c>
      <c r="E577" s="111">
        <f>E543</f>
        <v>5</v>
      </c>
      <c r="F577" s="112"/>
      <c r="G577" s="112"/>
      <c r="H577" s="406">
        <f t="shared" si="49"/>
        <v>8</v>
      </c>
      <c r="I577" s="406"/>
      <c r="J577" s="406"/>
      <c r="K577" s="354">
        <f>Z296</f>
        <v>58330</v>
      </c>
      <c r="L577" s="120"/>
      <c r="M577" s="120"/>
      <c r="N577" s="120"/>
      <c r="O577" s="120">
        <f>IF(K577="","",ROUND(K577/$X$591,6))</f>
        <v>1.3261E-2</v>
      </c>
      <c r="P577" s="120"/>
      <c r="Q577" s="120"/>
      <c r="R577" s="120"/>
      <c r="S577" s="120"/>
      <c r="T577" s="120">
        <f t="shared" si="50"/>
        <v>0.33929999999999999</v>
      </c>
      <c r="U577" s="120"/>
      <c r="V577" s="120"/>
      <c r="W577" s="120"/>
      <c r="X577" s="408">
        <f>IF(T577="","",ROUND(T577*H577,4))</f>
        <v>2.7143999999999999</v>
      </c>
      <c r="Y577" s="408"/>
      <c r="Z577" s="408"/>
      <c r="AA577" s="408"/>
      <c r="AB577" s="334">
        <f>IF(X577="","",SUM(X$575:X577))</f>
        <v>5.1806000000000001</v>
      </c>
      <c r="AC577" s="334"/>
      <c r="AD577" s="334"/>
      <c r="AE577" s="335"/>
    </row>
    <row r="578" spans="1:58" s="1" customFormat="1" ht="15.75" customHeight="1" x14ac:dyDescent="0.15">
      <c r="A578" s="73" t="str">
        <f t="shared" si="48"/>
        <v>×</v>
      </c>
      <c r="E578" s="111">
        <f>E544</f>
        <v>6</v>
      </c>
      <c r="F578" s="112"/>
      <c r="G578" s="112"/>
      <c r="H578" s="406">
        <f t="shared" si="49"/>
        <v>4.5</v>
      </c>
      <c r="I578" s="406"/>
      <c r="J578" s="406"/>
      <c r="K578" s="354">
        <f>Z297</f>
        <v>83180</v>
      </c>
      <c r="L578" s="120"/>
      <c r="M578" s="120"/>
      <c r="N578" s="120"/>
      <c r="O578" s="120">
        <f>IF(K578="","",ROUND(K578/$X$591,6))</f>
        <v>1.8911000000000001E-2</v>
      </c>
      <c r="P578" s="120"/>
      <c r="Q578" s="120"/>
      <c r="R578" s="120"/>
      <c r="S578" s="120"/>
      <c r="T578" s="120">
        <f t="shared" si="50"/>
        <v>0.37080000000000002</v>
      </c>
      <c r="U578" s="120"/>
      <c r="V578" s="120"/>
      <c r="W578" s="120"/>
      <c r="X578" s="408">
        <f>IF(T578="","",ROUND(T578*H578,4))</f>
        <v>1.6686000000000001</v>
      </c>
      <c r="Y578" s="408"/>
      <c r="Z578" s="408"/>
      <c r="AA578" s="408"/>
      <c r="AB578" s="334">
        <f>IF(X578="","",SUM(X$575:X578))</f>
        <v>6.8491999999999997</v>
      </c>
      <c r="AC578" s="334"/>
      <c r="AD578" s="334"/>
      <c r="AE578" s="335"/>
    </row>
    <row r="579" spans="1:58" s="1" customFormat="1" ht="15.75" customHeight="1" x14ac:dyDescent="0.15">
      <c r="A579" s="73" t="str">
        <f t="shared" si="48"/>
        <v>×</v>
      </c>
      <c r="E579" s="111">
        <f>E545</f>
        <v>7</v>
      </c>
      <c r="F579" s="112"/>
      <c r="G579" s="112"/>
      <c r="H579" s="406">
        <f t="shared" si="49"/>
        <v>0.5</v>
      </c>
      <c r="I579" s="406"/>
      <c r="J579" s="406"/>
      <c r="K579" s="354">
        <f>Z298</f>
        <v>164340</v>
      </c>
      <c r="L579" s="120"/>
      <c r="M579" s="120"/>
      <c r="N579" s="120"/>
      <c r="O579" s="120">
        <f>IF(K579="","",ROUND(K579/$X$591,6))</f>
        <v>3.7363E-2</v>
      </c>
      <c r="P579" s="120"/>
      <c r="Q579" s="120"/>
      <c r="R579" s="120"/>
      <c r="S579" s="120"/>
      <c r="T579" s="120">
        <f t="shared" si="50"/>
        <v>0.43969999999999998</v>
      </c>
      <c r="U579" s="120"/>
      <c r="V579" s="120"/>
      <c r="W579" s="120"/>
      <c r="X579" s="408">
        <f>IF(T579="","",ROUND(T579*H579,4))</f>
        <v>0.21990000000000001</v>
      </c>
      <c r="Y579" s="408"/>
      <c r="Z579" s="408"/>
      <c r="AA579" s="408"/>
      <c r="AB579" s="334">
        <f>IF(X579="","",SUM(X$575:X579))</f>
        <v>7.0690999999999997</v>
      </c>
      <c r="AC579" s="334"/>
      <c r="AD579" s="334"/>
      <c r="AE579" s="335"/>
    </row>
    <row r="580" spans="1:58" s="1" customFormat="1" ht="15.75" customHeight="1" x14ac:dyDescent="0.15">
      <c r="A580" s="73" t="str">
        <f t="shared" si="48"/>
        <v>×</v>
      </c>
      <c r="E580" s="111" t="str">
        <f>E546</f>
        <v/>
      </c>
      <c r="F580" s="112"/>
      <c r="G580" s="112"/>
      <c r="H580" s="406">
        <f t="shared" si="49"/>
        <v>0</v>
      </c>
      <c r="I580" s="406"/>
      <c r="J580" s="406"/>
      <c r="K580" s="354" t="str">
        <f>Z299</f>
        <v/>
      </c>
      <c r="L580" s="120"/>
      <c r="M580" s="120"/>
      <c r="N580" s="120"/>
      <c r="O580" s="120" t="str">
        <f>IF(K580="","",ROUND(K580/$X$591,6))</f>
        <v/>
      </c>
      <c r="P580" s="120"/>
      <c r="Q580" s="120"/>
      <c r="R580" s="120"/>
      <c r="S580" s="120"/>
      <c r="T580" s="120" t="str">
        <f t="shared" si="50"/>
        <v/>
      </c>
      <c r="U580" s="120"/>
      <c r="V580" s="120"/>
      <c r="W580" s="120"/>
      <c r="X580" s="408" t="str">
        <f>IF(T580="","",ROUND(T580*H580,4))</f>
        <v/>
      </c>
      <c r="Y580" s="408"/>
      <c r="Z580" s="408"/>
      <c r="AA580" s="408"/>
      <c r="AB580" s="334" t="str">
        <f>IF(X580="","",SUM(X$575:X580))</f>
        <v/>
      </c>
      <c r="AC580" s="334"/>
      <c r="AD580" s="334"/>
      <c r="AE580" s="335"/>
    </row>
    <row r="581" spans="1:58" s="1" customFormat="1" ht="15.75" customHeight="1" x14ac:dyDescent="0.15">
      <c r="A581" s="73" t="str">
        <f t="shared" si="48"/>
        <v>×</v>
      </c>
      <c r="E581" s="111" t="str">
        <f>E547</f>
        <v/>
      </c>
      <c r="F581" s="112"/>
      <c r="G581" s="112"/>
      <c r="H581" s="406">
        <f t="shared" si="49"/>
        <v>0</v>
      </c>
      <c r="I581" s="406"/>
      <c r="J581" s="406"/>
      <c r="K581" s="354" t="str">
        <f>Z300</f>
        <v/>
      </c>
      <c r="L581" s="120"/>
      <c r="M581" s="120"/>
      <c r="N581" s="120"/>
      <c r="O581" s="120" t="str">
        <f>IF(K581="","",ROUND(K581/$X$591,6))</f>
        <v/>
      </c>
      <c r="P581" s="120"/>
      <c r="Q581" s="120"/>
      <c r="R581" s="120"/>
      <c r="S581" s="120"/>
      <c r="T581" s="120" t="str">
        <f t="shared" si="50"/>
        <v/>
      </c>
      <c r="U581" s="120"/>
      <c r="V581" s="120"/>
      <c r="W581" s="120"/>
      <c r="X581" s="408" t="str">
        <f>IF(T581="","",ROUND(T581*H581,4))</f>
        <v/>
      </c>
      <c r="Y581" s="408"/>
      <c r="Z581" s="408"/>
      <c r="AA581" s="408"/>
      <c r="AB581" s="334" t="str">
        <f>IF(X581="","",SUM(X$575:X581))</f>
        <v/>
      </c>
      <c r="AC581" s="334"/>
      <c r="AD581" s="334"/>
      <c r="AE581" s="335"/>
    </row>
    <row r="582" spans="1:58" s="1" customFormat="1" ht="15.75" customHeight="1" x14ac:dyDescent="0.15">
      <c r="A582" s="73" t="str">
        <f t="shared" si="48"/>
        <v>×</v>
      </c>
      <c r="E582" s="111" t="str">
        <f>E548</f>
        <v/>
      </c>
      <c r="F582" s="112"/>
      <c r="G582" s="112"/>
      <c r="H582" s="406">
        <f t="shared" si="49"/>
        <v>0</v>
      </c>
      <c r="I582" s="406"/>
      <c r="J582" s="406"/>
      <c r="K582" s="354" t="str">
        <f>Z301</f>
        <v/>
      </c>
      <c r="L582" s="120"/>
      <c r="M582" s="120"/>
      <c r="N582" s="120"/>
      <c r="O582" s="120" t="str">
        <f>IF(K582="","",ROUND(K582/$X$591,6))</f>
        <v/>
      </c>
      <c r="P582" s="120"/>
      <c r="Q582" s="120"/>
      <c r="R582" s="120"/>
      <c r="S582" s="120"/>
      <c r="T582" s="120" t="str">
        <f t="shared" si="50"/>
        <v/>
      </c>
      <c r="U582" s="120"/>
      <c r="V582" s="120"/>
      <c r="W582" s="120"/>
      <c r="X582" s="408" t="str">
        <f>IF(T582="","",ROUND(T582*H582,4))</f>
        <v/>
      </c>
      <c r="Y582" s="408"/>
      <c r="Z582" s="408"/>
      <c r="AA582" s="408"/>
      <c r="AB582" s="334" t="str">
        <f>IF(X582="","",SUM(X$575:X582))</f>
        <v/>
      </c>
      <c r="AC582" s="334"/>
      <c r="AD582" s="334"/>
      <c r="AE582" s="335"/>
    </row>
    <row r="583" spans="1:58" s="1" customFormat="1" ht="15.75" customHeight="1" x14ac:dyDescent="0.15">
      <c r="A583" s="73" t="str">
        <f t="shared" si="48"/>
        <v>×</v>
      </c>
      <c r="E583" s="111" t="str">
        <f>E549</f>
        <v/>
      </c>
      <c r="F583" s="112"/>
      <c r="G583" s="112"/>
      <c r="H583" s="406">
        <f t="shared" si="49"/>
        <v>0</v>
      </c>
      <c r="I583" s="406"/>
      <c r="J583" s="406"/>
      <c r="K583" s="354" t="str">
        <f>Z302</f>
        <v/>
      </c>
      <c r="L583" s="120"/>
      <c r="M583" s="120"/>
      <c r="N583" s="120"/>
      <c r="O583" s="120" t="str">
        <f>IF(K583="","",ROUND(K583/$X$591,6))</f>
        <v/>
      </c>
      <c r="P583" s="120"/>
      <c r="Q583" s="120"/>
      <c r="R583" s="120"/>
      <c r="S583" s="120"/>
      <c r="T583" s="120" t="str">
        <f t="shared" si="50"/>
        <v/>
      </c>
      <c r="U583" s="120"/>
      <c r="V583" s="120"/>
      <c r="W583" s="120"/>
      <c r="X583" s="408" t="str">
        <f>IF(T583="","",ROUND(T583*H583,4))</f>
        <v/>
      </c>
      <c r="Y583" s="408"/>
      <c r="Z583" s="408"/>
      <c r="AA583" s="408"/>
      <c r="AB583" s="334" t="str">
        <f>IF(X583="","",SUM(X$575:X583))</f>
        <v/>
      </c>
      <c r="AC583" s="334"/>
      <c r="AD583" s="334"/>
      <c r="AE583" s="335"/>
    </row>
    <row r="584" spans="1:58" s="1" customFormat="1" ht="15.75" customHeight="1" x14ac:dyDescent="0.15">
      <c r="A584" s="73" t="str">
        <f t="shared" si="48"/>
        <v>×</v>
      </c>
      <c r="E584" s="111" t="str">
        <f>E550</f>
        <v/>
      </c>
      <c r="F584" s="112"/>
      <c r="G584" s="112"/>
      <c r="H584" s="406">
        <f t="shared" si="49"/>
        <v>0</v>
      </c>
      <c r="I584" s="406"/>
      <c r="J584" s="406"/>
      <c r="K584" s="354" t="str">
        <f>Z303</f>
        <v/>
      </c>
      <c r="L584" s="120"/>
      <c r="M584" s="120"/>
      <c r="N584" s="120"/>
      <c r="O584" s="120" t="str">
        <f>IF(K584="","",ROUND(K584/$X$591,6))</f>
        <v/>
      </c>
      <c r="P584" s="120"/>
      <c r="Q584" s="120"/>
      <c r="R584" s="120"/>
      <c r="S584" s="120"/>
      <c r="T584" s="120" t="str">
        <f t="shared" si="50"/>
        <v/>
      </c>
      <c r="U584" s="120"/>
      <c r="V584" s="120"/>
      <c r="W584" s="120"/>
      <c r="X584" s="408" t="str">
        <f>IF(T584="","",ROUND(T584*H584,4))</f>
        <v/>
      </c>
      <c r="Y584" s="408"/>
      <c r="Z584" s="408"/>
      <c r="AA584" s="408"/>
      <c r="AB584" s="334" t="str">
        <f>IF(X584="","",SUM(X$575:X584))</f>
        <v/>
      </c>
      <c r="AC584" s="334"/>
      <c r="AD584" s="334"/>
      <c r="AE584" s="335"/>
    </row>
    <row r="585" spans="1:58" s="1" customFormat="1" ht="15.75" customHeight="1" x14ac:dyDescent="0.15">
      <c r="A585" s="73" t="str">
        <f t="shared" si="48"/>
        <v>×</v>
      </c>
      <c r="E585" s="111" t="str">
        <f>E551</f>
        <v/>
      </c>
      <c r="F585" s="112"/>
      <c r="G585" s="112"/>
      <c r="H585" s="406">
        <f t="shared" si="49"/>
        <v>0</v>
      </c>
      <c r="I585" s="406"/>
      <c r="J585" s="406"/>
      <c r="K585" s="354" t="str">
        <f>Z304</f>
        <v/>
      </c>
      <c r="L585" s="120"/>
      <c r="M585" s="120"/>
      <c r="N585" s="120"/>
      <c r="O585" s="120" t="str">
        <f>IF(K585="","",ROUND(K585/$X$591,6))</f>
        <v/>
      </c>
      <c r="P585" s="120"/>
      <c r="Q585" s="120"/>
      <c r="R585" s="120"/>
      <c r="S585" s="120"/>
      <c r="T585" s="120" t="str">
        <f t="shared" si="50"/>
        <v/>
      </c>
      <c r="U585" s="120"/>
      <c r="V585" s="120"/>
      <c r="W585" s="120"/>
      <c r="X585" s="408" t="str">
        <f>IF(T585="","",ROUND(T585*H585,4))</f>
        <v/>
      </c>
      <c r="Y585" s="408"/>
      <c r="Z585" s="408"/>
      <c r="AA585" s="408"/>
      <c r="AB585" s="334" t="str">
        <f>IF(X585="","",SUM(X$575:X585))</f>
        <v/>
      </c>
      <c r="AC585" s="334"/>
      <c r="AD585" s="334"/>
      <c r="AE585" s="335"/>
    </row>
    <row r="586" spans="1:58" s="1" customFormat="1" ht="15.75" customHeight="1" x14ac:dyDescent="0.15">
      <c r="A586" s="73" t="str">
        <f t="shared" si="48"/>
        <v>×</v>
      </c>
      <c r="E586" s="111" t="str">
        <f>E552</f>
        <v/>
      </c>
      <c r="F586" s="112"/>
      <c r="G586" s="112"/>
      <c r="H586" s="406">
        <f t="shared" si="49"/>
        <v>0</v>
      </c>
      <c r="I586" s="406"/>
      <c r="J586" s="406"/>
      <c r="K586" s="354" t="str">
        <f>Z305</f>
        <v/>
      </c>
      <c r="L586" s="120"/>
      <c r="M586" s="120"/>
      <c r="N586" s="120"/>
      <c r="O586" s="120" t="str">
        <f>IF(K586="","",ROUND(K586/$X$591,6))</f>
        <v/>
      </c>
      <c r="P586" s="120"/>
      <c r="Q586" s="120"/>
      <c r="R586" s="120"/>
      <c r="S586" s="120"/>
      <c r="T586" s="120" t="str">
        <f t="shared" si="50"/>
        <v/>
      </c>
      <c r="U586" s="120"/>
      <c r="V586" s="120"/>
      <c r="W586" s="120"/>
      <c r="X586" s="408" t="str">
        <f>IF(T586="","",ROUND(T586*H586,4))</f>
        <v/>
      </c>
      <c r="Y586" s="408"/>
      <c r="Z586" s="408"/>
      <c r="AA586" s="408"/>
      <c r="AB586" s="334" t="str">
        <f>IF(X586="","",SUM(X$575:X586))</f>
        <v/>
      </c>
      <c r="AC586" s="334"/>
      <c r="AD586" s="334"/>
      <c r="AE586" s="335"/>
    </row>
    <row r="587" spans="1:58" s="1" customFormat="1" ht="15.75" customHeight="1" x14ac:dyDescent="0.15">
      <c r="A587" s="73" t="str">
        <f t="shared" si="48"/>
        <v>×</v>
      </c>
      <c r="E587" s="111" t="str">
        <f>E553</f>
        <v/>
      </c>
      <c r="F587" s="112"/>
      <c r="G587" s="112"/>
      <c r="H587" s="406">
        <f t="shared" si="49"/>
        <v>0</v>
      </c>
      <c r="I587" s="406"/>
      <c r="J587" s="406"/>
      <c r="K587" s="354" t="str">
        <f>Z306</f>
        <v/>
      </c>
      <c r="L587" s="120"/>
      <c r="M587" s="120"/>
      <c r="N587" s="120"/>
      <c r="O587" s="120" t="str">
        <f>IF(K587="","",ROUND(K587/$X$591,6))</f>
        <v/>
      </c>
      <c r="P587" s="120"/>
      <c r="Q587" s="120"/>
      <c r="R587" s="120"/>
      <c r="S587" s="120"/>
      <c r="T587" s="120" t="str">
        <f t="shared" si="50"/>
        <v/>
      </c>
      <c r="U587" s="120"/>
      <c r="V587" s="120"/>
      <c r="W587" s="120"/>
      <c r="X587" s="408" t="str">
        <f>IF(T587="","",ROUND(T587*H587,4))</f>
        <v/>
      </c>
      <c r="Y587" s="408"/>
      <c r="Z587" s="408"/>
      <c r="AA587" s="408"/>
      <c r="AB587" s="334" t="str">
        <f>IF(X587="","",SUM(X$575:X587))</f>
        <v/>
      </c>
      <c r="AC587" s="334"/>
      <c r="AD587" s="334"/>
      <c r="AE587" s="335"/>
    </row>
    <row r="588" spans="1:58" s="1" customFormat="1" ht="15.75" customHeight="1" x14ac:dyDescent="0.15">
      <c r="A588" s="73" t="str">
        <f t="shared" si="48"/>
        <v>×</v>
      </c>
      <c r="E588" s="111" t="str">
        <f>E554</f>
        <v/>
      </c>
      <c r="F588" s="112"/>
      <c r="G588" s="112"/>
      <c r="H588" s="406">
        <f t="shared" si="49"/>
        <v>0</v>
      </c>
      <c r="I588" s="406"/>
      <c r="J588" s="406"/>
      <c r="K588" s="354" t="str">
        <f>Z307</f>
        <v/>
      </c>
      <c r="L588" s="120"/>
      <c r="M588" s="120"/>
      <c r="N588" s="120"/>
      <c r="O588" s="120" t="str">
        <f>IF(K588="","",ROUND(K588/$X$591,6))</f>
        <v/>
      </c>
      <c r="P588" s="120"/>
      <c r="Q588" s="120"/>
      <c r="R588" s="120"/>
      <c r="S588" s="120"/>
      <c r="T588" s="120" t="str">
        <f t="shared" si="50"/>
        <v/>
      </c>
      <c r="U588" s="120"/>
      <c r="V588" s="120"/>
      <c r="W588" s="120"/>
      <c r="X588" s="408" t="str">
        <f>IF(T588="","",ROUND(T588*H588,4))</f>
        <v/>
      </c>
      <c r="Y588" s="408"/>
      <c r="Z588" s="408"/>
      <c r="AA588" s="408"/>
      <c r="AB588" s="334" t="str">
        <f>IF(X588="","",SUM(X$575:X588))</f>
        <v/>
      </c>
      <c r="AC588" s="334"/>
      <c r="AD588" s="334"/>
      <c r="AE588" s="335"/>
    </row>
    <row r="589" spans="1:58" s="1" customFormat="1" ht="15.75" customHeight="1" x14ac:dyDescent="0.15">
      <c r="A589" s="73" t="str">
        <f t="shared" si="48"/>
        <v>×</v>
      </c>
      <c r="E589" s="111" t="str">
        <f>E555</f>
        <v/>
      </c>
      <c r="F589" s="112"/>
      <c r="G589" s="112"/>
      <c r="H589" s="406">
        <f t="shared" si="49"/>
        <v>0</v>
      </c>
      <c r="I589" s="406"/>
      <c r="J589" s="406"/>
      <c r="K589" s="354" t="str">
        <f>Z308</f>
        <v/>
      </c>
      <c r="L589" s="120"/>
      <c r="M589" s="120"/>
      <c r="N589" s="120"/>
      <c r="O589" s="120" t="str">
        <f>IF(K589="","",ROUND(K589/$X$591,6))</f>
        <v/>
      </c>
      <c r="P589" s="120"/>
      <c r="Q589" s="120"/>
      <c r="R589" s="120"/>
      <c r="S589" s="120"/>
      <c r="T589" s="120" t="str">
        <f t="shared" si="50"/>
        <v/>
      </c>
      <c r="U589" s="120"/>
      <c r="V589" s="120"/>
      <c r="W589" s="120"/>
      <c r="X589" s="408" t="str">
        <f>IF(T589="","",ROUND(T589*H589,4))</f>
        <v/>
      </c>
      <c r="Y589" s="408"/>
      <c r="Z589" s="408"/>
      <c r="AA589" s="408"/>
      <c r="AB589" s="334" t="str">
        <f>IF(X589="","",SUM(X$575:X589))</f>
        <v/>
      </c>
      <c r="AC589" s="334"/>
      <c r="AD589" s="334"/>
      <c r="AE589" s="335"/>
    </row>
    <row r="590" spans="1:58" s="1" customFormat="1" ht="15.75" customHeight="1" x14ac:dyDescent="0.15">
      <c r="A590" s="73" t="str">
        <f t="shared" si="48"/>
        <v>×</v>
      </c>
      <c r="E590" s="114" t="str">
        <f>E556</f>
        <v/>
      </c>
      <c r="F590" s="115"/>
      <c r="G590" s="115"/>
      <c r="H590" s="409">
        <f t="shared" si="49"/>
        <v>0</v>
      </c>
      <c r="I590" s="409"/>
      <c r="J590" s="409"/>
      <c r="K590" s="358" t="str">
        <f>Z309</f>
        <v/>
      </c>
      <c r="L590" s="234"/>
      <c r="M590" s="234"/>
      <c r="N590" s="234"/>
      <c r="O590" s="234" t="str">
        <f>IF(K590="","",ROUND(K590/$X$591,6))</f>
        <v/>
      </c>
      <c r="P590" s="234"/>
      <c r="Q590" s="234"/>
      <c r="R590" s="234"/>
      <c r="S590" s="234"/>
      <c r="T590" s="234" t="str">
        <f t="shared" si="50"/>
        <v/>
      </c>
      <c r="U590" s="234"/>
      <c r="V590" s="234"/>
      <c r="W590" s="234"/>
      <c r="X590" s="411" t="str">
        <f>IF(T590="","",ROUND(T590*H590,4))</f>
        <v/>
      </c>
      <c r="Y590" s="411"/>
      <c r="Z590" s="411"/>
      <c r="AA590" s="411"/>
      <c r="AB590" s="339" t="str">
        <f>IF(X590="","",SUM(X$575:X590))</f>
        <v/>
      </c>
      <c r="AC590" s="339"/>
      <c r="AD590" s="339"/>
      <c r="AE590" s="340"/>
    </row>
    <row r="591" spans="1:58" ht="15.75" customHeight="1" x14ac:dyDescent="0.15">
      <c r="A591" s="73" t="str">
        <f>IF(A$289="","","×")</f>
        <v>×</v>
      </c>
      <c r="E591" s="76"/>
      <c r="S591" s="2" t="s">
        <v>127</v>
      </c>
      <c r="T591" s="76">
        <v>4</v>
      </c>
      <c r="U591" s="162" t="s">
        <v>149</v>
      </c>
      <c r="V591" s="162"/>
      <c r="W591" s="76" t="s">
        <v>27</v>
      </c>
      <c r="X591" s="341">
        <f>X557</f>
        <v>4398464</v>
      </c>
      <c r="Y591" s="341"/>
      <c r="Z591" s="341"/>
      <c r="AA591" s="341"/>
      <c r="AB591" s="341"/>
      <c r="AC591" s="148" t="s">
        <v>166</v>
      </c>
      <c r="AD591" s="148"/>
      <c r="AE591" s="76" t="s">
        <v>158</v>
      </c>
      <c r="AJ591" s="379"/>
      <c r="AK591" s="379"/>
      <c r="AL591" s="379"/>
      <c r="AM591" s="379"/>
      <c r="BC591" s="76"/>
      <c r="BD591" s="76"/>
      <c r="BE591" s="76"/>
      <c r="BF591" s="76"/>
    </row>
    <row r="592" spans="1:58" ht="15.75" customHeight="1" x14ac:dyDescent="0.15">
      <c r="A592" s="73" t="str">
        <f>IF(A$289="","","×")</f>
        <v>×</v>
      </c>
      <c r="E592" s="76"/>
      <c r="S592" s="2"/>
      <c r="X592" s="342"/>
      <c r="Y592" s="342"/>
      <c r="Z592" s="342"/>
      <c r="AA592" s="342"/>
      <c r="AB592" s="342"/>
      <c r="AC592" s="78"/>
      <c r="AD592" s="78"/>
      <c r="AJ592" s="379"/>
      <c r="AK592" s="379"/>
      <c r="AL592" s="379"/>
      <c r="AM592" s="379"/>
      <c r="BC592" s="76"/>
      <c r="BD592" s="76"/>
      <c r="BE592" s="76"/>
      <c r="BF592" s="76"/>
    </row>
    <row r="593" spans="1:58" ht="15.75" customHeight="1" x14ac:dyDescent="0.15">
      <c r="A593" s="73" t="str">
        <f>IF(A$289="","","×")</f>
        <v>×</v>
      </c>
      <c r="E593" s="307" t="s">
        <v>541</v>
      </c>
      <c r="S593" s="2"/>
      <c r="X593" s="342"/>
      <c r="Y593" s="342"/>
      <c r="Z593" s="342"/>
      <c r="AA593" s="342"/>
      <c r="AB593" s="342"/>
      <c r="AC593" s="78"/>
      <c r="AD593" s="78"/>
      <c r="AJ593" s="379"/>
      <c r="AK593" s="379"/>
      <c r="AL593" s="379"/>
      <c r="AM593" s="379"/>
      <c r="BC593" s="76"/>
      <c r="BD593" s="76"/>
      <c r="BE593" s="76"/>
      <c r="BF593" s="76"/>
    </row>
    <row r="594" spans="1:58" ht="15.75" customHeight="1" x14ac:dyDescent="0.15">
      <c r="A594" s="73" t="str">
        <f>IF(A$289="","","×")</f>
        <v>×</v>
      </c>
      <c r="E594" s="162" t="s">
        <v>542</v>
      </c>
      <c r="F594" s="162"/>
      <c r="G594" s="76" t="s">
        <v>543</v>
      </c>
      <c r="H594" s="402">
        <v>3.5399999618530273</v>
      </c>
      <c r="I594" s="402"/>
      <c r="J594" s="402"/>
      <c r="K594" s="76" t="s">
        <v>544</v>
      </c>
      <c r="S594" s="2"/>
      <c r="X594" s="342"/>
      <c r="Y594" s="342"/>
      <c r="Z594" s="342"/>
      <c r="AA594" s="342"/>
      <c r="AB594" s="342"/>
      <c r="AC594" s="78"/>
      <c r="AD594" s="78"/>
      <c r="AJ594" s="379"/>
      <c r="AK594" s="379"/>
      <c r="AL594" s="379"/>
      <c r="AM594" s="379"/>
      <c r="BC594" s="76"/>
      <c r="BD594" s="76"/>
      <c r="BE594" s="76"/>
      <c r="BF594" s="76"/>
    </row>
    <row r="595" spans="1:58" s="289" customFormat="1" ht="15.75" customHeight="1" x14ac:dyDescent="0.15">
      <c r="C595" s="343"/>
      <c r="H595" s="403"/>
      <c r="I595" s="403"/>
      <c r="J595" s="403"/>
      <c r="S595" s="344"/>
      <c r="X595" s="345"/>
      <c r="Y595" s="345"/>
      <c r="Z595" s="345"/>
      <c r="AA595" s="345"/>
      <c r="AB595" s="345"/>
      <c r="AC595" s="346"/>
      <c r="AD595" s="346"/>
      <c r="AJ595" s="404"/>
      <c r="AK595" s="404"/>
      <c r="AL595" s="404"/>
      <c r="AM595" s="404"/>
      <c r="AN595" s="404"/>
      <c r="AO595" s="404"/>
      <c r="AP595" s="404"/>
      <c r="AQ595" s="404"/>
      <c r="AR595" s="404"/>
      <c r="AS595" s="404"/>
      <c r="AT595" s="404"/>
      <c r="AU595" s="404"/>
      <c r="AV595" s="404"/>
      <c r="AW595" s="404"/>
      <c r="AX595" s="404"/>
      <c r="AY595" s="404"/>
      <c r="AZ595" s="404"/>
      <c r="BA595" s="404"/>
      <c r="BB595" s="404"/>
    </row>
    <row r="596" spans="1:58" ht="15.75" customHeight="1" x14ac:dyDescent="0.15">
      <c r="E596" s="76"/>
      <c r="AJ596" s="379"/>
      <c r="AK596" s="379"/>
      <c r="AL596" s="379"/>
      <c r="AM596" s="379"/>
      <c r="BC596" s="76"/>
      <c r="BD596" s="76"/>
      <c r="BE596" s="76"/>
      <c r="BF596" s="76"/>
    </row>
    <row r="597" spans="1:58" ht="15.75" hidden="1" customHeight="1" x14ac:dyDescent="0.15">
      <c r="AJ597" s="379"/>
      <c r="AK597" s="379"/>
      <c r="AL597" s="379"/>
      <c r="AM597" s="379"/>
      <c r="BC597" s="76"/>
      <c r="BD597" s="76"/>
      <c r="BE597" s="76"/>
      <c r="BF597" s="76"/>
    </row>
    <row r="598" spans="1:58" s="1" customFormat="1" ht="15.75" hidden="1" customHeight="1" x14ac:dyDescent="0.15">
      <c r="F598" s="1" t="s">
        <v>194</v>
      </c>
    </row>
    <row r="599" spans="1:58" s="1" customFormat="1" ht="15.75" hidden="1" customHeight="1" x14ac:dyDescent="0.15">
      <c r="F599" s="1" t="s">
        <v>169</v>
      </c>
    </row>
    <row r="600" spans="1:58" s="1" customFormat="1" ht="15.75" hidden="1" customHeight="1" x14ac:dyDescent="0.15">
      <c r="Y600" s="148" t="s">
        <v>197</v>
      </c>
      <c r="Z600" s="148"/>
      <c r="AA600" s="148"/>
      <c r="AB600" s="148"/>
    </row>
    <row r="601" spans="1:58" s="1" customFormat="1" ht="15.75" hidden="1" customHeight="1" x14ac:dyDescent="0.15">
      <c r="F601" s="2" t="s">
        <v>188</v>
      </c>
      <c r="G601" s="76" t="s">
        <v>27</v>
      </c>
      <c r="H601" s="1" t="s">
        <v>189</v>
      </c>
      <c r="K601" s="76" t="s">
        <v>191</v>
      </c>
      <c r="L601" s="347">
        <f>X575</f>
        <v>0.82320000000000004</v>
      </c>
      <c r="M601" s="162"/>
      <c r="N601" s="162"/>
      <c r="O601" s="1" t="s">
        <v>192</v>
      </c>
      <c r="P601" s="1" t="s">
        <v>193</v>
      </c>
      <c r="Q601" s="347" t="e">
        <f>#REF!</f>
        <v>#REF!</v>
      </c>
      <c r="R601" s="162"/>
      <c r="S601" s="162"/>
      <c r="T601" s="76" t="s">
        <v>27</v>
      </c>
      <c r="U601" s="304" t="e">
        <f>(#REF!-L601)/Q601</f>
        <v>#REF!</v>
      </c>
      <c r="V601" s="304"/>
      <c r="W601" s="348" t="s">
        <v>196</v>
      </c>
      <c r="Z601" s="304" t="e">
        <f>#REF!</f>
        <v>#REF!</v>
      </c>
      <c r="AA601" s="304"/>
      <c r="AB601" s="348" t="s">
        <v>195</v>
      </c>
    </row>
    <row r="602" spans="1:58" s="1" customFormat="1" ht="15.75" hidden="1" customHeight="1" x14ac:dyDescent="0.15"/>
    <row r="603" spans="1:58" s="1" customFormat="1" ht="15.75" hidden="1" customHeight="1" x14ac:dyDescent="0.15">
      <c r="F603" s="1" t="s">
        <v>198</v>
      </c>
    </row>
    <row r="604" spans="1:58" s="1" customFormat="1" ht="15.75" hidden="1" customHeight="1" x14ac:dyDescent="0.15"/>
    <row r="605" spans="1:58" s="1" customFormat="1" ht="15.75" hidden="1" customHeight="1" x14ac:dyDescent="0.15">
      <c r="F605" s="2" t="s">
        <v>199</v>
      </c>
      <c r="G605" s="76" t="s">
        <v>27</v>
      </c>
      <c r="H605" s="2" t="s">
        <v>200</v>
      </c>
      <c r="I605" s="76" t="s">
        <v>6</v>
      </c>
      <c r="J605" s="2" t="s">
        <v>188</v>
      </c>
      <c r="K605" s="304" t="e">
        <f>U601</f>
        <v>#REF!</v>
      </c>
      <c r="L605" s="304"/>
      <c r="M605" s="76" t="s">
        <v>27</v>
      </c>
      <c r="N605" s="304" t="e">
        <f>#REF!+K605</f>
        <v>#REF!</v>
      </c>
      <c r="O605" s="304"/>
      <c r="P605" s="348" t="s">
        <v>195</v>
      </c>
    </row>
    <row r="606" spans="1:58" s="1" customFormat="1" ht="15.75" customHeight="1" x14ac:dyDescent="0.15">
      <c r="A606" s="73" t="str">
        <f>IF(A$311="","","×")</f>
        <v>×</v>
      </c>
      <c r="E606" s="64" t="s">
        <v>595</v>
      </c>
      <c r="F606" s="64"/>
      <c r="G606" s="64"/>
      <c r="H606" s="64"/>
      <c r="I606" s="64"/>
      <c r="J606" s="64"/>
      <c r="K606" s="64"/>
      <c r="L606" s="64"/>
      <c r="M606" s="64"/>
      <c r="N606" s="64"/>
      <c r="O606" s="64"/>
      <c r="P606" s="64"/>
      <c r="Q606" s="64"/>
      <c r="R606" s="64"/>
      <c r="S606" s="64"/>
      <c r="T606" s="64"/>
      <c r="U606" s="64"/>
      <c r="V606" s="64"/>
      <c r="W606" s="64"/>
      <c r="X606" s="64"/>
      <c r="Y606" s="64"/>
      <c r="Z606" s="64"/>
      <c r="AA606" s="64"/>
      <c r="AB606" s="64"/>
      <c r="AC606" s="64"/>
      <c r="AD606" s="64"/>
      <c r="AE606" s="64"/>
    </row>
    <row r="607" spans="1:58" s="1" customFormat="1" ht="15.75" customHeight="1" x14ac:dyDescent="0.15">
      <c r="A607" s="73" t="str">
        <f>IF(A$311="","","×")</f>
        <v>×</v>
      </c>
      <c r="E607" s="126" t="s">
        <v>78</v>
      </c>
      <c r="F607" s="105"/>
      <c r="G607" s="105"/>
      <c r="H607" s="134" t="s">
        <v>159</v>
      </c>
      <c r="I607" s="135"/>
      <c r="J607" s="135"/>
      <c r="K607" s="105" t="s">
        <v>160</v>
      </c>
      <c r="L607" s="105"/>
      <c r="M607" s="105"/>
      <c r="N607" s="105"/>
      <c r="O607" s="105" t="s">
        <v>164</v>
      </c>
      <c r="P607" s="105"/>
      <c r="Q607" s="105"/>
      <c r="R607" s="105"/>
      <c r="S607" s="105"/>
      <c r="T607" s="105" t="s">
        <v>161</v>
      </c>
      <c r="U607" s="105"/>
      <c r="V607" s="105"/>
      <c r="W607" s="105"/>
      <c r="X607" s="105" t="s">
        <v>162</v>
      </c>
      <c r="Y607" s="105"/>
      <c r="Z607" s="105"/>
      <c r="AA607" s="105"/>
      <c r="AB607" s="105" t="s">
        <v>163</v>
      </c>
      <c r="AC607" s="105"/>
      <c r="AD607" s="105"/>
      <c r="AE607" s="129"/>
    </row>
    <row r="608" spans="1:58" s="1" customFormat="1" ht="15.75" customHeight="1" x14ac:dyDescent="0.15">
      <c r="A608" s="73" t="str">
        <f>IF(A$311="","","×")</f>
        <v>×</v>
      </c>
      <c r="E608" s="128"/>
      <c r="F608" s="106"/>
      <c r="G608" s="106"/>
      <c r="H608" s="121"/>
      <c r="I608" s="121"/>
      <c r="J608" s="121"/>
      <c r="K608" s="106"/>
      <c r="L608" s="106"/>
      <c r="M608" s="106"/>
      <c r="N608" s="106"/>
      <c r="O608" s="106"/>
      <c r="P608" s="106"/>
      <c r="Q608" s="106"/>
      <c r="R608" s="106"/>
      <c r="S608" s="106"/>
      <c r="T608" s="106"/>
      <c r="U608" s="106"/>
      <c r="V608" s="106"/>
      <c r="W608" s="106"/>
      <c r="X608" s="106"/>
      <c r="Y608" s="106"/>
      <c r="Z608" s="106"/>
      <c r="AA608" s="106"/>
      <c r="AB608" s="106"/>
      <c r="AC608" s="106"/>
      <c r="AD608" s="106"/>
      <c r="AE608" s="124"/>
    </row>
    <row r="609" spans="1:31" s="1" customFormat="1" ht="15.75" customHeight="1" x14ac:dyDescent="0.15">
      <c r="A609" s="73" t="str">
        <f>IF(A$311="×","×",IF(E609="","×",""))</f>
        <v>×</v>
      </c>
      <c r="E609" s="117">
        <f>E575</f>
        <v>3</v>
      </c>
      <c r="F609" s="118"/>
      <c r="G609" s="118"/>
      <c r="H609" s="220">
        <f>H575</f>
        <v>3</v>
      </c>
      <c r="I609" s="220"/>
      <c r="J609" s="220"/>
      <c r="K609" s="350">
        <f>Z316</f>
        <v>24950</v>
      </c>
      <c r="L609" s="118"/>
      <c r="M609" s="118"/>
      <c r="N609" s="118"/>
      <c r="O609" s="118">
        <f>IF(K609="","",ROUND(K609/$X$625,6))</f>
        <v>5.672E-3</v>
      </c>
      <c r="P609" s="118"/>
      <c r="Q609" s="118"/>
      <c r="R609" s="118"/>
      <c r="S609" s="118"/>
      <c r="T609" s="118">
        <f>IF(O609="","",ROUND(O609^0.25,4))</f>
        <v>0.27439999999999998</v>
      </c>
      <c r="U609" s="118"/>
      <c r="V609" s="118"/>
      <c r="W609" s="118"/>
      <c r="X609" s="405">
        <f>IF(T609="","",ROUND(T609*H609,4))</f>
        <v>0.82320000000000004</v>
      </c>
      <c r="Y609" s="405"/>
      <c r="Z609" s="405"/>
      <c r="AA609" s="405"/>
      <c r="AB609" s="331">
        <f>IF(X609="","",SUM(X$609:X609))</f>
        <v>0.82320000000000004</v>
      </c>
      <c r="AC609" s="331"/>
      <c r="AD609" s="331"/>
      <c r="AE609" s="332"/>
    </row>
    <row r="610" spans="1:31" s="1" customFormat="1" ht="15.75" customHeight="1" x14ac:dyDescent="0.15">
      <c r="A610" s="73" t="str">
        <f t="shared" ref="A610:A624" si="51">IF(A$311="×","×",IF(E610="","×",""))</f>
        <v>×</v>
      </c>
      <c r="E610" s="119">
        <f>E576</f>
        <v>4</v>
      </c>
      <c r="F610" s="120"/>
      <c r="G610" s="120"/>
      <c r="H610" s="113">
        <f t="shared" ref="H610:H624" si="52">H576</f>
        <v>5</v>
      </c>
      <c r="I610" s="113"/>
      <c r="J610" s="113"/>
      <c r="K610" s="354">
        <f>Z317</f>
        <v>51260</v>
      </c>
      <c r="L610" s="120"/>
      <c r="M610" s="120"/>
      <c r="N610" s="120"/>
      <c r="O610" s="120">
        <f t="shared" ref="O610:O624" si="53">IF(K610="","",ROUND(K610/$X$625,6))</f>
        <v>1.1653999999999999E-2</v>
      </c>
      <c r="P610" s="120"/>
      <c r="Q610" s="120"/>
      <c r="R610" s="120"/>
      <c r="S610" s="120"/>
      <c r="T610" s="120">
        <f t="shared" ref="T610:T624" si="54">IF(O610="","",ROUND(O610^0.25,4))</f>
        <v>0.3286</v>
      </c>
      <c r="U610" s="120"/>
      <c r="V610" s="120"/>
      <c r="W610" s="120"/>
      <c r="X610" s="408">
        <f>IF(T610="","",ROUND(T610*H610,4))</f>
        <v>1.643</v>
      </c>
      <c r="Y610" s="408"/>
      <c r="Z610" s="408"/>
      <c r="AA610" s="408"/>
      <c r="AB610" s="334">
        <f>IF(X610="","",SUM(X$609:X610))</f>
        <v>2.4662000000000002</v>
      </c>
      <c r="AC610" s="334"/>
      <c r="AD610" s="334"/>
      <c r="AE610" s="335"/>
    </row>
    <row r="611" spans="1:31" s="1" customFormat="1" ht="15.75" customHeight="1" x14ac:dyDescent="0.15">
      <c r="A611" s="73" t="str">
        <f t="shared" si="51"/>
        <v>×</v>
      </c>
      <c r="E611" s="119">
        <f>E577</f>
        <v>5</v>
      </c>
      <c r="F611" s="120"/>
      <c r="G611" s="120"/>
      <c r="H611" s="113">
        <f t="shared" si="52"/>
        <v>8</v>
      </c>
      <c r="I611" s="113"/>
      <c r="J611" s="113"/>
      <c r="K611" s="354">
        <f>Z318</f>
        <v>58330</v>
      </c>
      <c r="L611" s="120"/>
      <c r="M611" s="120"/>
      <c r="N611" s="120"/>
      <c r="O611" s="120">
        <f t="shared" si="53"/>
        <v>1.3261E-2</v>
      </c>
      <c r="P611" s="120"/>
      <c r="Q611" s="120"/>
      <c r="R611" s="120"/>
      <c r="S611" s="120"/>
      <c r="T611" s="120">
        <f t="shared" si="54"/>
        <v>0.33929999999999999</v>
      </c>
      <c r="U611" s="120"/>
      <c r="V611" s="120"/>
      <c r="W611" s="120"/>
      <c r="X611" s="408">
        <f>IF(T611="","",ROUND(T611*H611,4))</f>
        <v>2.7143999999999999</v>
      </c>
      <c r="Y611" s="408"/>
      <c r="Z611" s="408"/>
      <c r="AA611" s="408"/>
      <c r="AB611" s="334">
        <f>IF(X611="","",SUM(X$609:X611))</f>
        <v>5.1806000000000001</v>
      </c>
      <c r="AC611" s="334"/>
      <c r="AD611" s="334"/>
      <c r="AE611" s="335"/>
    </row>
    <row r="612" spans="1:31" s="1" customFormat="1" ht="15.75" customHeight="1" x14ac:dyDescent="0.15">
      <c r="A612" s="73" t="str">
        <f t="shared" si="51"/>
        <v>×</v>
      </c>
      <c r="E612" s="119">
        <f>E578</f>
        <v>6</v>
      </c>
      <c r="F612" s="120"/>
      <c r="G612" s="120"/>
      <c r="H612" s="113">
        <f t="shared" si="52"/>
        <v>4.5</v>
      </c>
      <c r="I612" s="113"/>
      <c r="J612" s="113"/>
      <c r="K612" s="354">
        <f>Z319</f>
        <v>83180</v>
      </c>
      <c r="L612" s="120"/>
      <c r="M612" s="120"/>
      <c r="N612" s="120"/>
      <c r="O612" s="120">
        <f t="shared" si="53"/>
        <v>1.8911000000000001E-2</v>
      </c>
      <c r="P612" s="120"/>
      <c r="Q612" s="120"/>
      <c r="R612" s="120"/>
      <c r="S612" s="120"/>
      <c r="T612" s="120">
        <f t="shared" si="54"/>
        <v>0.37080000000000002</v>
      </c>
      <c r="U612" s="120"/>
      <c r="V612" s="120"/>
      <c r="W612" s="120"/>
      <c r="X612" s="408">
        <f>IF(T612="","",ROUND(T612*H612,4))</f>
        <v>1.6686000000000001</v>
      </c>
      <c r="Y612" s="408"/>
      <c r="Z612" s="408"/>
      <c r="AA612" s="408"/>
      <c r="AB612" s="334">
        <f>IF(X612="","",SUM(X$609:X612))</f>
        <v>6.8491999999999997</v>
      </c>
      <c r="AC612" s="334"/>
      <c r="AD612" s="334"/>
      <c r="AE612" s="335"/>
    </row>
    <row r="613" spans="1:31" s="1" customFormat="1" ht="15.75" customHeight="1" x14ac:dyDescent="0.15">
      <c r="A613" s="73" t="str">
        <f t="shared" si="51"/>
        <v>×</v>
      </c>
      <c r="E613" s="119">
        <f>E579</f>
        <v>7</v>
      </c>
      <c r="F613" s="120"/>
      <c r="G613" s="120"/>
      <c r="H613" s="113">
        <f t="shared" si="52"/>
        <v>0.5</v>
      </c>
      <c r="I613" s="113"/>
      <c r="J613" s="113"/>
      <c r="K613" s="354">
        <f>Z320</f>
        <v>164340</v>
      </c>
      <c r="L613" s="120"/>
      <c r="M613" s="120"/>
      <c r="N613" s="120"/>
      <c r="O613" s="120">
        <f t="shared" si="53"/>
        <v>3.7363E-2</v>
      </c>
      <c r="P613" s="120"/>
      <c r="Q613" s="120"/>
      <c r="R613" s="120"/>
      <c r="S613" s="120"/>
      <c r="T613" s="120">
        <f t="shared" si="54"/>
        <v>0.43969999999999998</v>
      </c>
      <c r="U613" s="120"/>
      <c r="V613" s="120"/>
      <c r="W613" s="120"/>
      <c r="X613" s="408">
        <f>IF(T613="","",ROUND(T613*H613,4))</f>
        <v>0.21990000000000001</v>
      </c>
      <c r="Y613" s="408"/>
      <c r="Z613" s="408"/>
      <c r="AA613" s="408"/>
      <c r="AB613" s="334">
        <f>IF(X613="","",SUM(X$609:X613))</f>
        <v>7.0690999999999997</v>
      </c>
      <c r="AC613" s="334"/>
      <c r="AD613" s="334"/>
      <c r="AE613" s="335"/>
    </row>
    <row r="614" spans="1:31" s="1" customFormat="1" ht="15.75" customHeight="1" x14ac:dyDescent="0.15">
      <c r="A614" s="73" t="str">
        <f t="shared" si="51"/>
        <v>×</v>
      </c>
      <c r="E614" s="119" t="str">
        <f>E580</f>
        <v/>
      </c>
      <c r="F614" s="120"/>
      <c r="G614" s="120"/>
      <c r="H614" s="113">
        <f t="shared" si="52"/>
        <v>0</v>
      </c>
      <c r="I614" s="113"/>
      <c r="J614" s="113"/>
      <c r="K614" s="354" t="str">
        <f>Z321</f>
        <v/>
      </c>
      <c r="L614" s="120"/>
      <c r="M614" s="120"/>
      <c r="N614" s="120"/>
      <c r="O614" s="120" t="str">
        <f t="shared" si="53"/>
        <v/>
      </c>
      <c r="P614" s="120"/>
      <c r="Q614" s="120"/>
      <c r="R614" s="120"/>
      <c r="S614" s="120"/>
      <c r="T614" s="120" t="str">
        <f t="shared" si="54"/>
        <v/>
      </c>
      <c r="U614" s="120"/>
      <c r="V614" s="120"/>
      <c r="W614" s="120"/>
      <c r="X614" s="408" t="str">
        <f>IF(T614="","",ROUND(T614*H614,4))</f>
        <v/>
      </c>
      <c r="Y614" s="408"/>
      <c r="Z614" s="408"/>
      <c r="AA614" s="408"/>
      <c r="AB614" s="334" t="str">
        <f>IF(X614="","",SUM(X$609:X614))</f>
        <v/>
      </c>
      <c r="AC614" s="334"/>
      <c r="AD614" s="334"/>
      <c r="AE614" s="335"/>
    </row>
    <row r="615" spans="1:31" s="1" customFormat="1" ht="15.75" customHeight="1" x14ac:dyDescent="0.15">
      <c r="A615" s="73" t="str">
        <f t="shared" si="51"/>
        <v>×</v>
      </c>
      <c r="E615" s="119" t="str">
        <f>E581</f>
        <v/>
      </c>
      <c r="F615" s="120"/>
      <c r="G615" s="120"/>
      <c r="H615" s="113">
        <f t="shared" si="52"/>
        <v>0</v>
      </c>
      <c r="I615" s="113"/>
      <c r="J615" s="113"/>
      <c r="K615" s="354" t="str">
        <f>Z322</f>
        <v/>
      </c>
      <c r="L615" s="120"/>
      <c r="M615" s="120"/>
      <c r="N615" s="120"/>
      <c r="O615" s="120" t="str">
        <f t="shared" si="53"/>
        <v/>
      </c>
      <c r="P615" s="120"/>
      <c r="Q615" s="120"/>
      <c r="R615" s="120"/>
      <c r="S615" s="120"/>
      <c r="T615" s="120" t="str">
        <f t="shared" si="54"/>
        <v/>
      </c>
      <c r="U615" s="120"/>
      <c r="V615" s="120"/>
      <c r="W615" s="120"/>
      <c r="X615" s="408" t="str">
        <f>IF(T615="","",ROUND(T615*H615,4))</f>
        <v/>
      </c>
      <c r="Y615" s="408"/>
      <c r="Z615" s="408"/>
      <c r="AA615" s="408"/>
      <c r="AB615" s="334" t="str">
        <f>IF(X615="","",SUM(X$609:X615))</f>
        <v/>
      </c>
      <c r="AC615" s="334"/>
      <c r="AD615" s="334"/>
      <c r="AE615" s="335"/>
    </row>
    <row r="616" spans="1:31" s="1" customFormat="1" ht="15.75" customHeight="1" x14ac:dyDescent="0.15">
      <c r="A616" s="73" t="str">
        <f t="shared" si="51"/>
        <v>×</v>
      </c>
      <c r="E616" s="119" t="str">
        <f>E582</f>
        <v/>
      </c>
      <c r="F616" s="120"/>
      <c r="G616" s="120"/>
      <c r="H616" s="113">
        <f t="shared" si="52"/>
        <v>0</v>
      </c>
      <c r="I616" s="113"/>
      <c r="J616" s="113"/>
      <c r="K616" s="354" t="str">
        <f>Z323</f>
        <v/>
      </c>
      <c r="L616" s="120"/>
      <c r="M616" s="120"/>
      <c r="N616" s="120"/>
      <c r="O616" s="120" t="str">
        <f t="shared" si="53"/>
        <v/>
      </c>
      <c r="P616" s="120"/>
      <c r="Q616" s="120"/>
      <c r="R616" s="120"/>
      <c r="S616" s="120"/>
      <c r="T616" s="120" t="str">
        <f t="shared" si="54"/>
        <v/>
      </c>
      <c r="U616" s="120"/>
      <c r="V616" s="120"/>
      <c r="W616" s="120"/>
      <c r="X616" s="408" t="str">
        <f>IF(T616="","",ROUND(T616*H616,4))</f>
        <v/>
      </c>
      <c r="Y616" s="408"/>
      <c r="Z616" s="408"/>
      <c r="AA616" s="408"/>
      <c r="AB616" s="334" t="str">
        <f>IF(X616="","",SUM(X$609:X616))</f>
        <v/>
      </c>
      <c r="AC616" s="334"/>
      <c r="AD616" s="334"/>
      <c r="AE616" s="335"/>
    </row>
    <row r="617" spans="1:31" s="1" customFormat="1" ht="15.75" customHeight="1" x14ac:dyDescent="0.15">
      <c r="A617" s="73" t="str">
        <f t="shared" si="51"/>
        <v>×</v>
      </c>
      <c r="E617" s="119" t="str">
        <f>E583</f>
        <v/>
      </c>
      <c r="F617" s="120"/>
      <c r="G617" s="120"/>
      <c r="H617" s="113">
        <f t="shared" si="52"/>
        <v>0</v>
      </c>
      <c r="I617" s="113"/>
      <c r="J617" s="113"/>
      <c r="K617" s="354" t="str">
        <f>Z324</f>
        <v/>
      </c>
      <c r="L617" s="120"/>
      <c r="M617" s="120"/>
      <c r="N617" s="120"/>
      <c r="O617" s="120" t="str">
        <f t="shared" si="53"/>
        <v/>
      </c>
      <c r="P617" s="120"/>
      <c r="Q617" s="120"/>
      <c r="R617" s="120"/>
      <c r="S617" s="120"/>
      <c r="T617" s="120" t="str">
        <f t="shared" si="54"/>
        <v/>
      </c>
      <c r="U617" s="120"/>
      <c r="V617" s="120"/>
      <c r="W617" s="120"/>
      <c r="X617" s="408" t="str">
        <f>IF(T617="","",ROUND(T617*H617,4))</f>
        <v/>
      </c>
      <c r="Y617" s="408"/>
      <c r="Z617" s="408"/>
      <c r="AA617" s="408"/>
      <c r="AB617" s="334" t="str">
        <f>IF(X617="","",SUM(X$609:X617))</f>
        <v/>
      </c>
      <c r="AC617" s="334"/>
      <c r="AD617" s="334"/>
      <c r="AE617" s="335"/>
    </row>
    <row r="618" spans="1:31" s="1" customFormat="1" ht="15.75" customHeight="1" x14ac:dyDescent="0.15">
      <c r="A618" s="73" t="str">
        <f t="shared" si="51"/>
        <v>×</v>
      </c>
      <c r="E618" s="119" t="str">
        <f>E584</f>
        <v/>
      </c>
      <c r="F618" s="120"/>
      <c r="G618" s="120"/>
      <c r="H618" s="113">
        <f t="shared" si="52"/>
        <v>0</v>
      </c>
      <c r="I618" s="113"/>
      <c r="J618" s="113"/>
      <c r="K618" s="354" t="str">
        <f>Z325</f>
        <v/>
      </c>
      <c r="L618" s="120"/>
      <c r="M618" s="120"/>
      <c r="N618" s="120"/>
      <c r="O618" s="120" t="str">
        <f t="shared" si="53"/>
        <v/>
      </c>
      <c r="P618" s="120"/>
      <c r="Q618" s="120"/>
      <c r="R618" s="120"/>
      <c r="S618" s="120"/>
      <c r="T618" s="120" t="str">
        <f t="shared" si="54"/>
        <v/>
      </c>
      <c r="U618" s="120"/>
      <c r="V618" s="120"/>
      <c r="W618" s="120"/>
      <c r="X618" s="408" t="str">
        <f>IF(T618="","",ROUND(T618*H618,4))</f>
        <v/>
      </c>
      <c r="Y618" s="408"/>
      <c r="Z618" s="408"/>
      <c r="AA618" s="408"/>
      <c r="AB618" s="334" t="str">
        <f>IF(X618="","",SUM(X$609:X618))</f>
        <v/>
      </c>
      <c r="AC618" s="334"/>
      <c r="AD618" s="334"/>
      <c r="AE618" s="335"/>
    </row>
    <row r="619" spans="1:31" s="1" customFormat="1" ht="15.75" customHeight="1" x14ac:dyDescent="0.15">
      <c r="A619" s="73" t="str">
        <f t="shared" si="51"/>
        <v>×</v>
      </c>
      <c r="E619" s="119" t="str">
        <f>E585</f>
        <v/>
      </c>
      <c r="F619" s="120"/>
      <c r="G619" s="120"/>
      <c r="H619" s="113">
        <f t="shared" si="52"/>
        <v>0</v>
      </c>
      <c r="I619" s="113"/>
      <c r="J619" s="113"/>
      <c r="K619" s="354" t="str">
        <f>Z326</f>
        <v/>
      </c>
      <c r="L619" s="120"/>
      <c r="M619" s="120"/>
      <c r="N619" s="120"/>
      <c r="O619" s="120" t="str">
        <f t="shared" si="53"/>
        <v/>
      </c>
      <c r="P619" s="120"/>
      <c r="Q619" s="120"/>
      <c r="R619" s="120"/>
      <c r="S619" s="120"/>
      <c r="T619" s="120" t="str">
        <f t="shared" si="54"/>
        <v/>
      </c>
      <c r="U619" s="120"/>
      <c r="V619" s="120"/>
      <c r="W619" s="120"/>
      <c r="X619" s="408" t="str">
        <f>IF(T619="","",ROUND(T619*H619,4))</f>
        <v/>
      </c>
      <c r="Y619" s="408"/>
      <c r="Z619" s="408"/>
      <c r="AA619" s="408"/>
      <c r="AB619" s="334" t="str">
        <f>IF(X619="","",SUM(X$609:X619))</f>
        <v/>
      </c>
      <c r="AC619" s="334"/>
      <c r="AD619" s="334"/>
      <c r="AE619" s="335"/>
    </row>
    <row r="620" spans="1:31" s="1" customFormat="1" ht="15.75" customHeight="1" x14ac:dyDescent="0.15">
      <c r="A620" s="73" t="str">
        <f t="shared" si="51"/>
        <v>×</v>
      </c>
      <c r="E620" s="119" t="str">
        <f>E586</f>
        <v/>
      </c>
      <c r="F620" s="120"/>
      <c r="G620" s="120"/>
      <c r="H620" s="113">
        <f t="shared" si="52"/>
        <v>0</v>
      </c>
      <c r="I620" s="113"/>
      <c r="J620" s="113"/>
      <c r="K620" s="354" t="str">
        <f>Z327</f>
        <v/>
      </c>
      <c r="L620" s="120"/>
      <c r="M620" s="120"/>
      <c r="N620" s="120"/>
      <c r="O620" s="120" t="str">
        <f t="shared" si="53"/>
        <v/>
      </c>
      <c r="P620" s="120"/>
      <c r="Q620" s="120"/>
      <c r="R620" s="120"/>
      <c r="S620" s="120"/>
      <c r="T620" s="120" t="str">
        <f t="shared" si="54"/>
        <v/>
      </c>
      <c r="U620" s="120"/>
      <c r="V620" s="120"/>
      <c r="W620" s="120"/>
      <c r="X620" s="408" t="str">
        <f>IF(T620="","",ROUND(T620*H620,4))</f>
        <v/>
      </c>
      <c r="Y620" s="408"/>
      <c r="Z620" s="408"/>
      <c r="AA620" s="408"/>
      <c r="AB620" s="334" t="str">
        <f>IF(X620="","",SUM(X$609:X620))</f>
        <v/>
      </c>
      <c r="AC620" s="334"/>
      <c r="AD620" s="334"/>
      <c r="AE620" s="335"/>
    </row>
    <row r="621" spans="1:31" s="1" customFormat="1" ht="15.75" customHeight="1" x14ac:dyDescent="0.15">
      <c r="A621" s="73" t="str">
        <f t="shared" si="51"/>
        <v>×</v>
      </c>
      <c r="E621" s="119" t="str">
        <f>E587</f>
        <v/>
      </c>
      <c r="F621" s="120"/>
      <c r="G621" s="120"/>
      <c r="H621" s="113">
        <f t="shared" si="52"/>
        <v>0</v>
      </c>
      <c r="I621" s="113"/>
      <c r="J621" s="113"/>
      <c r="K621" s="354" t="str">
        <f>Z328</f>
        <v/>
      </c>
      <c r="L621" s="120"/>
      <c r="M621" s="120"/>
      <c r="N621" s="120"/>
      <c r="O621" s="120" t="str">
        <f t="shared" si="53"/>
        <v/>
      </c>
      <c r="P621" s="120"/>
      <c r="Q621" s="120"/>
      <c r="R621" s="120"/>
      <c r="S621" s="120"/>
      <c r="T621" s="120" t="str">
        <f t="shared" si="54"/>
        <v/>
      </c>
      <c r="U621" s="120"/>
      <c r="V621" s="120"/>
      <c r="W621" s="120"/>
      <c r="X621" s="408" t="str">
        <f>IF(T621="","",ROUND(T621*H621,4))</f>
        <v/>
      </c>
      <c r="Y621" s="408"/>
      <c r="Z621" s="408"/>
      <c r="AA621" s="408"/>
      <c r="AB621" s="334" t="str">
        <f>IF(X621="","",SUM(X$609:X621))</f>
        <v/>
      </c>
      <c r="AC621" s="334"/>
      <c r="AD621" s="334"/>
      <c r="AE621" s="335"/>
    </row>
    <row r="622" spans="1:31" s="1" customFormat="1" ht="15.75" customHeight="1" x14ac:dyDescent="0.15">
      <c r="A622" s="73" t="str">
        <f t="shared" si="51"/>
        <v>×</v>
      </c>
      <c r="E622" s="119" t="str">
        <f>E588</f>
        <v/>
      </c>
      <c r="F622" s="120"/>
      <c r="G622" s="120"/>
      <c r="H622" s="113">
        <f t="shared" si="52"/>
        <v>0</v>
      </c>
      <c r="I622" s="113"/>
      <c r="J622" s="113"/>
      <c r="K622" s="354" t="str">
        <f>Z329</f>
        <v/>
      </c>
      <c r="L622" s="120"/>
      <c r="M622" s="120"/>
      <c r="N622" s="120"/>
      <c r="O622" s="120" t="str">
        <f t="shared" si="53"/>
        <v/>
      </c>
      <c r="P622" s="120"/>
      <c r="Q622" s="120"/>
      <c r="R622" s="120"/>
      <c r="S622" s="120"/>
      <c r="T622" s="120" t="str">
        <f t="shared" si="54"/>
        <v/>
      </c>
      <c r="U622" s="120"/>
      <c r="V622" s="120"/>
      <c r="W622" s="120"/>
      <c r="X622" s="408" t="str">
        <f>IF(T622="","",ROUND(T622*H622,4))</f>
        <v/>
      </c>
      <c r="Y622" s="408"/>
      <c r="Z622" s="408"/>
      <c r="AA622" s="408"/>
      <c r="AB622" s="334" t="str">
        <f>IF(X622="","",SUM(X$609:X622))</f>
        <v/>
      </c>
      <c r="AC622" s="334"/>
      <c r="AD622" s="334"/>
      <c r="AE622" s="335"/>
    </row>
    <row r="623" spans="1:31" s="1" customFormat="1" ht="15.75" customHeight="1" x14ac:dyDescent="0.15">
      <c r="A623" s="73" t="str">
        <f t="shared" si="51"/>
        <v>×</v>
      </c>
      <c r="E623" s="119" t="str">
        <f>E589</f>
        <v/>
      </c>
      <c r="F623" s="120"/>
      <c r="G623" s="120"/>
      <c r="H623" s="113">
        <f t="shared" si="52"/>
        <v>0</v>
      </c>
      <c r="I623" s="113"/>
      <c r="J623" s="113"/>
      <c r="K623" s="354" t="str">
        <f>Z330</f>
        <v/>
      </c>
      <c r="L623" s="120"/>
      <c r="M623" s="120"/>
      <c r="N623" s="120"/>
      <c r="O623" s="120" t="str">
        <f t="shared" si="53"/>
        <v/>
      </c>
      <c r="P623" s="120"/>
      <c r="Q623" s="120"/>
      <c r="R623" s="120"/>
      <c r="S623" s="120"/>
      <c r="T623" s="120" t="str">
        <f t="shared" si="54"/>
        <v/>
      </c>
      <c r="U623" s="120"/>
      <c r="V623" s="120"/>
      <c r="W623" s="120"/>
      <c r="X623" s="408" t="str">
        <f>IF(T623="","",ROUND(T623*H623,4))</f>
        <v/>
      </c>
      <c r="Y623" s="408"/>
      <c r="Z623" s="408"/>
      <c r="AA623" s="408"/>
      <c r="AB623" s="334" t="str">
        <f>IF(X623="","",SUM(X$609:X623))</f>
        <v/>
      </c>
      <c r="AC623" s="334"/>
      <c r="AD623" s="334"/>
      <c r="AE623" s="335"/>
    </row>
    <row r="624" spans="1:31" s="1" customFormat="1" ht="15.75" customHeight="1" x14ac:dyDescent="0.15">
      <c r="A624" s="73" t="str">
        <f t="shared" si="51"/>
        <v>×</v>
      </c>
      <c r="E624" s="233" t="str">
        <f>E590</f>
        <v/>
      </c>
      <c r="F624" s="234"/>
      <c r="G624" s="234"/>
      <c r="H624" s="116">
        <f t="shared" si="52"/>
        <v>0</v>
      </c>
      <c r="I624" s="116"/>
      <c r="J624" s="116"/>
      <c r="K624" s="358" t="str">
        <f>Z331</f>
        <v/>
      </c>
      <c r="L624" s="234"/>
      <c r="M624" s="234"/>
      <c r="N624" s="234"/>
      <c r="O624" s="234" t="str">
        <f t="shared" si="53"/>
        <v/>
      </c>
      <c r="P624" s="234"/>
      <c r="Q624" s="234"/>
      <c r="R624" s="234"/>
      <c r="S624" s="234"/>
      <c r="T624" s="234" t="str">
        <f t="shared" si="54"/>
        <v/>
      </c>
      <c r="U624" s="234"/>
      <c r="V624" s="234"/>
      <c r="W624" s="234"/>
      <c r="X624" s="411" t="str">
        <f>IF(T624="","",ROUND(T624*H624,4))</f>
        <v/>
      </c>
      <c r="Y624" s="411"/>
      <c r="Z624" s="411"/>
      <c r="AA624" s="411"/>
      <c r="AB624" s="339" t="str">
        <f>IF(X624="","",SUM(X$609:X624))</f>
        <v/>
      </c>
      <c r="AC624" s="339"/>
      <c r="AD624" s="339"/>
      <c r="AE624" s="340"/>
    </row>
    <row r="625" spans="1:58" ht="15.75" customHeight="1" x14ac:dyDescent="0.15">
      <c r="A625" s="73" t="str">
        <f>IF(A$311="","","×")</f>
        <v>×</v>
      </c>
      <c r="E625" s="76"/>
      <c r="S625" s="2" t="s">
        <v>127</v>
      </c>
      <c r="T625" s="76">
        <v>4</v>
      </c>
      <c r="U625" s="162" t="s">
        <v>149</v>
      </c>
      <c r="V625" s="162"/>
      <c r="W625" s="76" t="s">
        <v>27</v>
      </c>
      <c r="X625" s="341">
        <f>X591</f>
        <v>4398464</v>
      </c>
      <c r="Y625" s="341"/>
      <c r="Z625" s="341"/>
      <c r="AA625" s="341"/>
      <c r="AB625" s="341"/>
      <c r="AC625" s="148" t="s">
        <v>166</v>
      </c>
      <c r="AD625" s="148"/>
      <c r="AE625" s="76" t="s">
        <v>158</v>
      </c>
      <c r="AJ625" s="379"/>
      <c r="AK625" s="379"/>
      <c r="AL625" s="379"/>
      <c r="AM625" s="379"/>
      <c r="BC625" s="76"/>
      <c r="BD625" s="76"/>
      <c r="BE625" s="76"/>
      <c r="BF625" s="76"/>
    </row>
    <row r="626" spans="1:58" ht="15.75" customHeight="1" x14ac:dyDescent="0.15">
      <c r="A626" s="73" t="str">
        <f>IF(A$311="","","×")</f>
        <v>×</v>
      </c>
      <c r="E626" s="76"/>
      <c r="S626" s="2"/>
      <c r="X626" s="342"/>
      <c r="Y626" s="342"/>
      <c r="Z626" s="342"/>
      <c r="AA626" s="342"/>
      <c r="AB626" s="342"/>
      <c r="AC626" s="78"/>
      <c r="AD626" s="78"/>
      <c r="AJ626" s="379"/>
      <c r="AK626" s="379"/>
      <c r="AL626" s="379"/>
      <c r="AM626" s="379"/>
      <c r="BC626" s="76"/>
      <c r="BD626" s="76"/>
      <c r="BE626" s="76"/>
      <c r="BF626" s="76"/>
    </row>
    <row r="627" spans="1:58" ht="15.75" customHeight="1" x14ac:dyDescent="0.15">
      <c r="A627" s="73" t="str">
        <f>IF(A$311="","","×")</f>
        <v>×</v>
      </c>
      <c r="E627" s="307" t="s">
        <v>541</v>
      </c>
      <c r="S627" s="2"/>
      <c r="X627" s="342"/>
      <c r="Y627" s="342"/>
      <c r="Z627" s="342"/>
      <c r="AA627" s="342"/>
      <c r="AB627" s="342"/>
      <c r="AC627" s="78"/>
      <c r="AD627" s="78"/>
      <c r="AJ627" s="379"/>
      <c r="AK627" s="379"/>
      <c r="AL627" s="379"/>
      <c r="AM627" s="379"/>
      <c r="BC627" s="76"/>
      <c r="BD627" s="76"/>
      <c r="BE627" s="76"/>
      <c r="BF627" s="76"/>
    </row>
    <row r="628" spans="1:58" ht="15.75" customHeight="1" x14ac:dyDescent="0.15">
      <c r="A628" s="73" t="str">
        <f>IF(A$311="","","×")</f>
        <v>×</v>
      </c>
      <c r="E628" s="162" t="s">
        <v>542</v>
      </c>
      <c r="F628" s="162"/>
      <c r="G628" s="76" t="s">
        <v>543</v>
      </c>
      <c r="H628" s="402">
        <v>3.5399999618530273</v>
      </c>
      <c r="I628" s="402"/>
      <c r="J628" s="402"/>
      <c r="K628" s="76" t="s">
        <v>544</v>
      </c>
      <c r="S628" s="2"/>
      <c r="X628" s="342"/>
      <c r="Y628" s="342"/>
      <c r="Z628" s="342"/>
      <c r="AA628" s="342"/>
      <c r="AB628" s="342"/>
      <c r="AC628" s="78"/>
      <c r="AD628" s="78"/>
      <c r="AJ628" s="379"/>
      <c r="AK628" s="379"/>
      <c r="AL628" s="379"/>
      <c r="AM628" s="379"/>
      <c r="BC628" s="76"/>
      <c r="BD628" s="76"/>
      <c r="BE628" s="76"/>
      <c r="BF628" s="76"/>
    </row>
    <row r="629" spans="1:58" ht="15.75" customHeight="1" x14ac:dyDescent="0.15">
      <c r="E629" s="76"/>
      <c r="S629" s="2"/>
      <c r="X629" s="342"/>
      <c r="Y629" s="342"/>
      <c r="Z629" s="342"/>
      <c r="AA629" s="342"/>
      <c r="AB629" s="342"/>
      <c r="AC629" s="78"/>
      <c r="AD629" s="78"/>
      <c r="AJ629" s="379"/>
      <c r="AK629" s="379"/>
      <c r="AL629" s="379"/>
      <c r="AM629" s="379"/>
      <c r="BC629" s="76"/>
      <c r="BD629" s="76"/>
      <c r="BE629" s="76"/>
      <c r="BF629" s="76"/>
    </row>
    <row r="630" spans="1:58" ht="15.75" customHeight="1" x14ac:dyDescent="0.15">
      <c r="E630" s="76"/>
    </row>
    <row r="631" spans="1:58" s="1" customFormat="1" ht="15.75" customHeight="1" x14ac:dyDescent="0.15">
      <c r="E631" s="1" t="s">
        <v>79</v>
      </c>
      <c r="F631" s="1" t="s">
        <v>201</v>
      </c>
    </row>
    <row r="632" spans="1:58" s="1" customFormat="1" ht="15.75" customHeight="1" x14ac:dyDescent="0.15"/>
    <row r="633" spans="1:58" s="1" customFormat="1" ht="15.75" customHeight="1" x14ac:dyDescent="0.15">
      <c r="F633" s="1" t="s">
        <v>202</v>
      </c>
    </row>
    <row r="634" spans="1:58" s="1" customFormat="1" ht="15.75" customHeight="1" x14ac:dyDescent="0.15"/>
    <row r="635" spans="1:58" s="1" customFormat="1" ht="15.75" customHeight="1" x14ac:dyDescent="0.15">
      <c r="E635" s="61" t="s">
        <v>205</v>
      </c>
      <c r="F635" s="302"/>
      <c r="G635" s="302"/>
      <c r="H635" s="302"/>
      <c r="I635" s="61"/>
      <c r="J635" s="61"/>
      <c r="K635" s="61"/>
      <c r="L635" s="61"/>
      <c r="M635" s="61"/>
      <c r="N635" s="61"/>
      <c r="O635" s="61"/>
      <c r="P635" s="61"/>
      <c r="Q635" s="61"/>
      <c r="R635" s="61"/>
      <c r="S635" s="61"/>
      <c r="T635" s="61"/>
      <c r="U635" s="61"/>
      <c r="V635" s="61"/>
      <c r="W635" s="61"/>
      <c r="X635" s="61"/>
      <c r="Y635" s="61"/>
      <c r="Z635" s="61"/>
      <c r="AA635" s="61"/>
      <c r="AB635" s="61"/>
      <c r="AC635" s="61"/>
      <c r="AD635" s="61"/>
      <c r="AE635" s="61"/>
      <c r="AF635" s="61"/>
      <c r="AG635" s="61"/>
      <c r="AH635" s="61"/>
      <c r="AI635" s="8"/>
    </row>
    <row r="636" spans="1:58" s="1" customFormat="1" ht="15.75" customHeight="1" x14ac:dyDescent="0.15">
      <c r="E636" s="294" t="s">
        <v>546</v>
      </c>
      <c r="F636" s="292"/>
      <c r="G636" s="292"/>
      <c r="H636" s="292"/>
      <c r="I636" s="292"/>
      <c r="J636" s="292"/>
      <c r="K636" s="292"/>
      <c r="L636" s="292"/>
      <c r="M636" s="292"/>
      <c r="N636" s="292"/>
      <c r="O636" s="292"/>
      <c r="P636" s="292"/>
      <c r="Q636" s="292"/>
      <c r="R636" s="292"/>
      <c r="S636" s="296"/>
      <c r="T636" s="273" t="s">
        <v>547</v>
      </c>
      <c r="U636" s="131"/>
      <c r="V636" s="131"/>
      <c r="W636" s="131"/>
      <c r="X636" s="131"/>
      <c r="Y636" s="131"/>
      <c r="Z636" s="131"/>
      <c r="AA636" s="131"/>
      <c r="AB636" s="131"/>
      <c r="AC636" s="131"/>
      <c r="AD636" s="131"/>
      <c r="AE636" s="131"/>
      <c r="AF636" s="131"/>
      <c r="AG636" s="131"/>
      <c r="AH636" s="132"/>
    </row>
    <row r="637" spans="1:58" s="1" customFormat="1" ht="15.75" customHeight="1" x14ac:dyDescent="0.15">
      <c r="E637" s="159" t="s">
        <v>78</v>
      </c>
      <c r="F637" s="160"/>
      <c r="G637" s="160"/>
      <c r="H637" s="160" t="s">
        <v>204</v>
      </c>
      <c r="I637" s="160"/>
      <c r="J637" s="160"/>
      <c r="K637" s="160"/>
      <c r="L637" s="291" t="s">
        <v>203</v>
      </c>
      <c r="M637" s="161"/>
      <c r="N637" s="161"/>
      <c r="O637" s="160" t="s">
        <v>545</v>
      </c>
      <c r="P637" s="160"/>
      <c r="Q637" s="160"/>
      <c r="R637" s="160"/>
      <c r="S637" s="223"/>
      <c r="T637" s="213" t="s">
        <v>78</v>
      </c>
      <c r="U637" s="160"/>
      <c r="V637" s="160"/>
      <c r="W637" s="160" t="s">
        <v>204</v>
      </c>
      <c r="X637" s="160"/>
      <c r="Y637" s="160"/>
      <c r="Z637" s="160"/>
      <c r="AA637" s="291" t="s">
        <v>203</v>
      </c>
      <c r="AB637" s="161"/>
      <c r="AC637" s="161"/>
      <c r="AD637" s="160" t="s">
        <v>545</v>
      </c>
      <c r="AE637" s="160"/>
      <c r="AF637" s="160"/>
      <c r="AG637" s="160"/>
      <c r="AH637" s="223"/>
    </row>
    <row r="638" spans="1:58" s="1" customFormat="1" ht="15.75" customHeight="1" x14ac:dyDescent="0.15">
      <c r="E638" s="295"/>
      <c r="F638" s="156"/>
      <c r="G638" s="156"/>
      <c r="H638" s="156"/>
      <c r="I638" s="156"/>
      <c r="J638" s="156"/>
      <c r="K638" s="156"/>
      <c r="L638" s="163"/>
      <c r="M638" s="163"/>
      <c r="N638" s="163"/>
      <c r="O638" s="156"/>
      <c r="P638" s="156"/>
      <c r="Q638" s="156"/>
      <c r="R638" s="156"/>
      <c r="S638" s="267"/>
      <c r="T638" s="290"/>
      <c r="U638" s="156"/>
      <c r="V638" s="156"/>
      <c r="W638" s="156"/>
      <c r="X638" s="156"/>
      <c r="Y638" s="156"/>
      <c r="Z638" s="156"/>
      <c r="AA638" s="163"/>
      <c r="AB638" s="163"/>
      <c r="AC638" s="163"/>
      <c r="AD638" s="156"/>
      <c r="AE638" s="156"/>
      <c r="AF638" s="156"/>
      <c r="AG638" s="156"/>
      <c r="AH638" s="267"/>
    </row>
    <row r="639" spans="1:58" s="1" customFormat="1" ht="15.75" customHeight="1" x14ac:dyDescent="0.15">
      <c r="A639" s="73" t="str">
        <f>IF(LEN(E639)+LEN(T639)=0,"×","")</f>
        <v/>
      </c>
      <c r="E639" s="412">
        <v>3</v>
      </c>
      <c r="F639" s="398"/>
      <c r="G639" s="398"/>
      <c r="H639" s="349">
        <v>0</v>
      </c>
      <c r="I639" s="349"/>
      <c r="J639" s="349"/>
      <c r="K639" s="349"/>
      <c r="L639" s="125">
        <v>3</v>
      </c>
      <c r="M639" s="125"/>
      <c r="N639" s="125"/>
      <c r="O639" s="350">
        <f>IF(H639="","",H639*AD$655)</f>
        <v>0</v>
      </c>
      <c r="P639" s="350"/>
      <c r="Q639" s="350"/>
      <c r="R639" s="350"/>
      <c r="S639" s="351"/>
      <c r="T639" s="397">
        <v>3</v>
      </c>
      <c r="U639" s="398"/>
      <c r="V639" s="398"/>
      <c r="W639" s="349">
        <v>0</v>
      </c>
      <c r="X639" s="349"/>
      <c r="Y639" s="349"/>
      <c r="Z639" s="349"/>
      <c r="AA639" s="125">
        <v>3</v>
      </c>
      <c r="AB639" s="125"/>
      <c r="AC639" s="125"/>
      <c r="AD639" s="350">
        <f>IF(W639="","",W639*AD$655)</f>
        <v>0</v>
      </c>
      <c r="AE639" s="350"/>
      <c r="AF639" s="350"/>
      <c r="AG639" s="350"/>
      <c r="AH639" s="352"/>
    </row>
    <row r="640" spans="1:58" s="1" customFormat="1" ht="15.75" customHeight="1" x14ac:dyDescent="0.15">
      <c r="A640" s="73" t="str">
        <f t="shared" ref="A640:A654" si="55">IF(LEN(E640)+LEN(T640)=0,"×","")</f>
        <v/>
      </c>
      <c r="E640" s="413">
        <v>4</v>
      </c>
      <c r="F640" s="372"/>
      <c r="G640" s="372"/>
      <c r="H640" s="353">
        <v>2862</v>
      </c>
      <c r="I640" s="353"/>
      <c r="J640" s="353"/>
      <c r="K640" s="353"/>
      <c r="L640" s="103">
        <v>5</v>
      </c>
      <c r="M640" s="103"/>
      <c r="N640" s="103"/>
      <c r="O640" s="354">
        <f t="shared" ref="O640:O654" si="56">IF(H640="","",H640*AD$655)</f>
        <v>8991.2381745739876</v>
      </c>
      <c r="P640" s="354"/>
      <c r="Q640" s="354"/>
      <c r="R640" s="354"/>
      <c r="S640" s="355"/>
      <c r="T640" s="395">
        <v>4</v>
      </c>
      <c r="U640" s="372"/>
      <c r="V640" s="372"/>
      <c r="W640" s="353">
        <v>2862</v>
      </c>
      <c r="X640" s="353"/>
      <c r="Y640" s="353"/>
      <c r="Z640" s="353"/>
      <c r="AA640" s="103">
        <v>5</v>
      </c>
      <c r="AB640" s="103"/>
      <c r="AC640" s="103"/>
      <c r="AD640" s="354">
        <f t="shared" ref="AD640:AD654" si="57">IF(W640="","",W640*AD$655)</f>
        <v>8991.2381745739876</v>
      </c>
      <c r="AE640" s="354"/>
      <c r="AF640" s="354"/>
      <c r="AG640" s="354"/>
      <c r="AH640" s="356"/>
    </row>
    <row r="641" spans="1:37" s="1" customFormat="1" ht="15.75" customHeight="1" x14ac:dyDescent="0.15">
      <c r="A641" s="73" t="str">
        <f t="shared" si="55"/>
        <v/>
      </c>
      <c r="E641" s="413">
        <v>5</v>
      </c>
      <c r="F641" s="372"/>
      <c r="G641" s="372"/>
      <c r="H641" s="353">
        <v>3257</v>
      </c>
      <c r="I641" s="353"/>
      <c r="J641" s="353"/>
      <c r="K641" s="353"/>
      <c r="L641" s="103">
        <v>8</v>
      </c>
      <c r="M641" s="103"/>
      <c r="N641" s="103"/>
      <c r="O641" s="354">
        <f t="shared" si="56"/>
        <v>10232.167272741955</v>
      </c>
      <c r="P641" s="354"/>
      <c r="Q641" s="354"/>
      <c r="R641" s="354"/>
      <c r="S641" s="355"/>
      <c r="T641" s="395">
        <v>5</v>
      </c>
      <c r="U641" s="372"/>
      <c r="V641" s="372"/>
      <c r="W641" s="353">
        <v>3257</v>
      </c>
      <c r="X641" s="353"/>
      <c r="Y641" s="353"/>
      <c r="Z641" s="353"/>
      <c r="AA641" s="103">
        <v>8</v>
      </c>
      <c r="AB641" s="103"/>
      <c r="AC641" s="103"/>
      <c r="AD641" s="354">
        <f t="shared" si="57"/>
        <v>10232.167272741955</v>
      </c>
      <c r="AE641" s="354"/>
      <c r="AF641" s="354"/>
      <c r="AG641" s="354"/>
      <c r="AH641" s="356"/>
    </row>
    <row r="642" spans="1:37" s="1" customFormat="1" ht="15.75" customHeight="1" x14ac:dyDescent="0.15">
      <c r="A642" s="73" t="str">
        <f t="shared" si="55"/>
        <v/>
      </c>
      <c r="E642" s="413">
        <v>6</v>
      </c>
      <c r="F642" s="372"/>
      <c r="G642" s="372"/>
      <c r="H642" s="353">
        <v>4644</v>
      </c>
      <c r="I642" s="353"/>
      <c r="J642" s="353"/>
      <c r="K642" s="353"/>
      <c r="L642" s="103">
        <v>4</v>
      </c>
      <c r="M642" s="103"/>
      <c r="N642" s="103"/>
      <c r="O642" s="354">
        <f t="shared" si="56"/>
        <v>14589.556283270998</v>
      </c>
      <c r="P642" s="354"/>
      <c r="Q642" s="354"/>
      <c r="R642" s="354"/>
      <c r="S642" s="355"/>
      <c r="T642" s="395">
        <v>6</v>
      </c>
      <c r="U642" s="372"/>
      <c r="V642" s="372"/>
      <c r="W642" s="353">
        <v>4644</v>
      </c>
      <c r="X642" s="353"/>
      <c r="Y642" s="353"/>
      <c r="Z642" s="353"/>
      <c r="AA642" s="103">
        <v>4.5</v>
      </c>
      <c r="AB642" s="103"/>
      <c r="AC642" s="103"/>
      <c r="AD642" s="354">
        <f t="shared" si="57"/>
        <v>14589.556283270998</v>
      </c>
      <c r="AE642" s="354"/>
      <c r="AF642" s="354"/>
      <c r="AG642" s="354"/>
      <c r="AH642" s="356"/>
    </row>
    <row r="643" spans="1:37" s="1" customFormat="1" ht="15.75" customHeight="1" x14ac:dyDescent="0.15">
      <c r="A643" s="73" t="str">
        <f t="shared" si="55"/>
        <v/>
      </c>
      <c r="E643" s="413">
        <v>6</v>
      </c>
      <c r="F643" s="372"/>
      <c r="G643" s="372"/>
      <c r="H643" s="353">
        <v>0</v>
      </c>
      <c r="I643" s="353"/>
      <c r="J643" s="353"/>
      <c r="K643" s="353"/>
      <c r="L643" s="103">
        <v>0.5</v>
      </c>
      <c r="M643" s="103"/>
      <c r="N643" s="103"/>
      <c r="O643" s="354">
        <f t="shared" si="56"/>
        <v>0</v>
      </c>
      <c r="P643" s="354"/>
      <c r="Q643" s="354"/>
      <c r="R643" s="354"/>
      <c r="S643" s="355"/>
      <c r="T643" s="395">
        <v>7</v>
      </c>
      <c r="U643" s="372"/>
      <c r="V643" s="372"/>
      <c r="W643" s="353">
        <v>9176</v>
      </c>
      <c r="X643" s="353"/>
      <c r="Y643" s="353"/>
      <c r="Z643" s="353"/>
      <c r="AA643" s="103">
        <v>0.5</v>
      </c>
      <c r="AB643" s="103"/>
      <c r="AC643" s="103"/>
      <c r="AD643" s="354">
        <f t="shared" si="57"/>
        <v>28827.254189339943</v>
      </c>
      <c r="AE643" s="354"/>
      <c r="AF643" s="354"/>
      <c r="AG643" s="354"/>
      <c r="AH643" s="356"/>
    </row>
    <row r="644" spans="1:37" s="1" customFormat="1" ht="15.75" customHeight="1" x14ac:dyDescent="0.15">
      <c r="A644" s="73" t="str">
        <f t="shared" si="55"/>
        <v/>
      </c>
      <c r="E644" s="413">
        <v>7</v>
      </c>
      <c r="F644" s="372"/>
      <c r="G644" s="372"/>
      <c r="H644" s="353">
        <v>0</v>
      </c>
      <c r="I644" s="353"/>
      <c r="J644" s="353"/>
      <c r="K644" s="353"/>
      <c r="L644" s="103">
        <v>0.5</v>
      </c>
      <c r="M644" s="103"/>
      <c r="N644" s="103"/>
      <c r="O644" s="354">
        <f t="shared" si="56"/>
        <v>0</v>
      </c>
      <c r="P644" s="354"/>
      <c r="Q644" s="354"/>
      <c r="R644" s="354"/>
      <c r="S644" s="355"/>
      <c r="T644" s="395"/>
      <c r="U644" s="372"/>
      <c r="V644" s="372"/>
      <c r="W644" s="353"/>
      <c r="X644" s="353"/>
      <c r="Y644" s="353"/>
      <c r="Z644" s="353"/>
      <c r="AA644" s="103"/>
      <c r="AB644" s="103"/>
      <c r="AC644" s="103"/>
      <c r="AD644" s="354" t="str">
        <f t="shared" si="57"/>
        <v/>
      </c>
      <c r="AE644" s="354"/>
      <c r="AF644" s="354"/>
      <c r="AG644" s="354"/>
      <c r="AH644" s="356"/>
    </row>
    <row r="645" spans="1:37" s="1" customFormat="1" ht="15.75" customHeight="1" x14ac:dyDescent="0.15">
      <c r="A645" s="73" t="str">
        <f t="shared" si="55"/>
        <v>×</v>
      </c>
      <c r="E645" s="413"/>
      <c r="F645" s="372"/>
      <c r="G645" s="372"/>
      <c r="H645" s="353"/>
      <c r="I645" s="353"/>
      <c r="J645" s="353"/>
      <c r="K645" s="353"/>
      <c r="L645" s="103"/>
      <c r="M645" s="103"/>
      <c r="N645" s="103"/>
      <c r="O645" s="354" t="str">
        <f t="shared" si="56"/>
        <v/>
      </c>
      <c r="P645" s="354"/>
      <c r="Q645" s="354"/>
      <c r="R645" s="354"/>
      <c r="S645" s="355"/>
      <c r="T645" s="395"/>
      <c r="U645" s="372"/>
      <c r="V645" s="372"/>
      <c r="W645" s="353"/>
      <c r="X645" s="353"/>
      <c r="Y645" s="353"/>
      <c r="Z645" s="353"/>
      <c r="AA645" s="103"/>
      <c r="AB645" s="103"/>
      <c r="AC645" s="103"/>
      <c r="AD645" s="354" t="str">
        <f t="shared" si="57"/>
        <v/>
      </c>
      <c r="AE645" s="354"/>
      <c r="AF645" s="354"/>
      <c r="AG645" s="354"/>
      <c r="AH645" s="356"/>
    </row>
    <row r="646" spans="1:37" s="1" customFormat="1" ht="15.75" customHeight="1" x14ac:dyDescent="0.15">
      <c r="A646" s="73" t="str">
        <f t="shared" si="55"/>
        <v>×</v>
      </c>
      <c r="E646" s="413"/>
      <c r="F646" s="372"/>
      <c r="G646" s="372"/>
      <c r="H646" s="353"/>
      <c r="I646" s="353"/>
      <c r="J646" s="353"/>
      <c r="K646" s="353"/>
      <c r="L646" s="103"/>
      <c r="M646" s="103"/>
      <c r="N646" s="103"/>
      <c r="O646" s="354" t="str">
        <f t="shared" si="56"/>
        <v/>
      </c>
      <c r="P646" s="354"/>
      <c r="Q646" s="354"/>
      <c r="R646" s="354"/>
      <c r="S646" s="355"/>
      <c r="T646" s="395"/>
      <c r="U646" s="372"/>
      <c r="V646" s="372"/>
      <c r="W646" s="353"/>
      <c r="X646" s="353"/>
      <c r="Y646" s="353"/>
      <c r="Z646" s="353"/>
      <c r="AA646" s="103"/>
      <c r="AB646" s="103"/>
      <c r="AC646" s="103"/>
      <c r="AD646" s="354" t="str">
        <f t="shared" si="57"/>
        <v/>
      </c>
      <c r="AE646" s="354"/>
      <c r="AF646" s="354"/>
      <c r="AG646" s="354"/>
      <c r="AH646" s="356"/>
    </row>
    <row r="647" spans="1:37" s="1" customFormat="1" ht="15.75" customHeight="1" x14ac:dyDescent="0.15">
      <c r="A647" s="73" t="str">
        <f t="shared" si="55"/>
        <v>×</v>
      </c>
      <c r="E647" s="413"/>
      <c r="F647" s="372"/>
      <c r="G647" s="372"/>
      <c r="H647" s="353"/>
      <c r="I647" s="353"/>
      <c r="J647" s="353"/>
      <c r="K647" s="353"/>
      <c r="L647" s="103"/>
      <c r="M647" s="103"/>
      <c r="N647" s="103"/>
      <c r="O647" s="354" t="str">
        <f t="shared" si="56"/>
        <v/>
      </c>
      <c r="P647" s="354"/>
      <c r="Q647" s="354"/>
      <c r="R647" s="354"/>
      <c r="S647" s="355"/>
      <c r="T647" s="395"/>
      <c r="U647" s="372"/>
      <c r="V647" s="372"/>
      <c r="W647" s="353"/>
      <c r="X647" s="353"/>
      <c r="Y647" s="353"/>
      <c r="Z647" s="353"/>
      <c r="AA647" s="103"/>
      <c r="AB647" s="103"/>
      <c r="AC647" s="103"/>
      <c r="AD647" s="354" t="str">
        <f t="shared" si="57"/>
        <v/>
      </c>
      <c r="AE647" s="354"/>
      <c r="AF647" s="354"/>
      <c r="AG647" s="354"/>
      <c r="AH647" s="356"/>
    </row>
    <row r="648" spans="1:37" s="1" customFormat="1" ht="15.75" customHeight="1" x14ac:dyDescent="0.15">
      <c r="A648" s="73" t="str">
        <f t="shared" si="55"/>
        <v>×</v>
      </c>
      <c r="E648" s="413"/>
      <c r="F648" s="372"/>
      <c r="G648" s="372"/>
      <c r="H648" s="353"/>
      <c r="I648" s="353"/>
      <c r="J648" s="353"/>
      <c r="K648" s="353"/>
      <c r="L648" s="103"/>
      <c r="M648" s="103"/>
      <c r="N648" s="103"/>
      <c r="O648" s="354" t="str">
        <f t="shared" si="56"/>
        <v/>
      </c>
      <c r="P648" s="354"/>
      <c r="Q648" s="354"/>
      <c r="R648" s="354"/>
      <c r="S648" s="355"/>
      <c r="T648" s="395"/>
      <c r="U648" s="372"/>
      <c r="V648" s="372"/>
      <c r="W648" s="353"/>
      <c r="X648" s="353"/>
      <c r="Y648" s="353"/>
      <c r="Z648" s="353"/>
      <c r="AA648" s="103"/>
      <c r="AB648" s="103"/>
      <c r="AC648" s="103"/>
      <c r="AD648" s="354" t="str">
        <f t="shared" si="57"/>
        <v/>
      </c>
      <c r="AE648" s="354"/>
      <c r="AF648" s="354"/>
      <c r="AG648" s="354"/>
      <c r="AH648" s="356"/>
    </row>
    <row r="649" spans="1:37" s="1" customFormat="1" ht="15.75" customHeight="1" x14ac:dyDescent="0.15">
      <c r="A649" s="73" t="str">
        <f t="shared" si="55"/>
        <v>×</v>
      </c>
      <c r="E649" s="413"/>
      <c r="F649" s="372"/>
      <c r="G649" s="372"/>
      <c r="H649" s="353"/>
      <c r="I649" s="353"/>
      <c r="J649" s="353"/>
      <c r="K649" s="353"/>
      <c r="L649" s="103"/>
      <c r="M649" s="103"/>
      <c r="N649" s="103"/>
      <c r="O649" s="354" t="str">
        <f t="shared" si="56"/>
        <v/>
      </c>
      <c r="P649" s="354"/>
      <c r="Q649" s="354"/>
      <c r="R649" s="354"/>
      <c r="S649" s="355"/>
      <c r="T649" s="395"/>
      <c r="U649" s="372"/>
      <c r="V649" s="372"/>
      <c r="W649" s="353"/>
      <c r="X649" s="353"/>
      <c r="Y649" s="353"/>
      <c r="Z649" s="353"/>
      <c r="AA649" s="103"/>
      <c r="AB649" s="103"/>
      <c r="AC649" s="103"/>
      <c r="AD649" s="354" t="str">
        <f t="shared" si="57"/>
        <v/>
      </c>
      <c r="AE649" s="354"/>
      <c r="AF649" s="354"/>
      <c r="AG649" s="354"/>
      <c r="AH649" s="356"/>
    </row>
    <row r="650" spans="1:37" s="1" customFormat="1" ht="15.75" customHeight="1" x14ac:dyDescent="0.15">
      <c r="A650" s="73" t="str">
        <f t="shared" si="55"/>
        <v>×</v>
      </c>
      <c r="E650" s="413"/>
      <c r="F650" s="372"/>
      <c r="G650" s="372"/>
      <c r="H650" s="353"/>
      <c r="I650" s="353"/>
      <c r="J650" s="353"/>
      <c r="K650" s="353"/>
      <c r="L650" s="103"/>
      <c r="M650" s="103"/>
      <c r="N650" s="103"/>
      <c r="O650" s="354" t="str">
        <f t="shared" si="56"/>
        <v/>
      </c>
      <c r="P650" s="354"/>
      <c r="Q650" s="354"/>
      <c r="R650" s="354"/>
      <c r="S650" s="355"/>
      <c r="T650" s="395"/>
      <c r="U650" s="372"/>
      <c r="V650" s="372"/>
      <c r="W650" s="353"/>
      <c r="X650" s="353"/>
      <c r="Y650" s="353"/>
      <c r="Z650" s="353"/>
      <c r="AA650" s="103"/>
      <c r="AB650" s="103"/>
      <c r="AC650" s="103"/>
      <c r="AD650" s="354" t="str">
        <f t="shared" si="57"/>
        <v/>
      </c>
      <c r="AE650" s="354"/>
      <c r="AF650" s="354"/>
      <c r="AG650" s="354"/>
      <c r="AH650" s="356"/>
    </row>
    <row r="651" spans="1:37" s="1" customFormat="1" ht="15.75" customHeight="1" x14ac:dyDescent="0.15">
      <c r="A651" s="73" t="str">
        <f t="shared" si="55"/>
        <v>×</v>
      </c>
      <c r="E651" s="413"/>
      <c r="F651" s="372"/>
      <c r="G651" s="372"/>
      <c r="H651" s="353"/>
      <c r="I651" s="353"/>
      <c r="J651" s="353"/>
      <c r="K651" s="353"/>
      <c r="L651" s="103"/>
      <c r="M651" s="103"/>
      <c r="N651" s="103"/>
      <c r="O651" s="354" t="str">
        <f t="shared" si="56"/>
        <v/>
      </c>
      <c r="P651" s="354"/>
      <c r="Q651" s="354"/>
      <c r="R651" s="354"/>
      <c r="S651" s="355"/>
      <c r="T651" s="395"/>
      <c r="U651" s="372"/>
      <c r="V651" s="372"/>
      <c r="W651" s="353"/>
      <c r="X651" s="353"/>
      <c r="Y651" s="353"/>
      <c r="Z651" s="353"/>
      <c r="AA651" s="103"/>
      <c r="AB651" s="103"/>
      <c r="AC651" s="103"/>
      <c r="AD651" s="354" t="str">
        <f t="shared" si="57"/>
        <v/>
      </c>
      <c r="AE651" s="354"/>
      <c r="AF651" s="354"/>
      <c r="AG651" s="354"/>
      <c r="AH651" s="356"/>
    </row>
    <row r="652" spans="1:37" s="1" customFormat="1" ht="15.75" customHeight="1" x14ac:dyDescent="0.15">
      <c r="A652" s="73" t="str">
        <f t="shared" si="55"/>
        <v>×</v>
      </c>
      <c r="E652" s="413"/>
      <c r="F652" s="372"/>
      <c r="G652" s="372"/>
      <c r="H652" s="353"/>
      <c r="I652" s="353"/>
      <c r="J652" s="353"/>
      <c r="K652" s="353"/>
      <c r="L652" s="103"/>
      <c r="M652" s="103"/>
      <c r="N652" s="103"/>
      <c r="O652" s="354" t="str">
        <f t="shared" si="56"/>
        <v/>
      </c>
      <c r="P652" s="354"/>
      <c r="Q652" s="354"/>
      <c r="R652" s="354"/>
      <c r="S652" s="355"/>
      <c r="T652" s="395"/>
      <c r="U652" s="372"/>
      <c r="V652" s="372"/>
      <c r="W652" s="353"/>
      <c r="X652" s="353"/>
      <c r="Y652" s="353"/>
      <c r="Z652" s="353"/>
      <c r="AA652" s="103"/>
      <c r="AB652" s="103"/>
      <c r="AC652" s="103"/>
      <c r="AD652" s="354" t="str">
        <f t="shared" si="57"/>
        <v/>
      </c>
      <c r="AE652" s="354"/>
      <c r="AF652" s="354"/>
      <c r="AG652" s="354"/>
      <c r="AH652" s="356"/>
    </row>
    <row r="653" spans="1:37" s="1" customFormat="1" ht="15.75" customHeight="1" x14ac:dyDescent="0.15">
      <c r="A653" s="73" t="str">
        <f t="shared" si="55"/>
        <v>×</v>
      </c>
      <c r="E653" s="413"/>
      <c r="F653" s="372"/>
      <c r="G653" s="372"/>
      <c r="H653" s="353"/>
      <c r="I653" s="353"/>
      <c r="J653" s="353"/>
      <c r="K653" s="353"/>
      <c r="L653" s="103"/>
      <c r="M653" s="103"/>
      <c r="N653" s="103"/>
      <c r="O653" s="354" t="str">
        <f t="shared" si="56"/>
        <v/>
      </c>
      <c r="P653" s="354"/>
      <c r="Q653" s="354"/>
      <c r="R653" s="354"/>
      <c r="S653" s="355"/>
      <c r="T653" s="395"/>
      <c r="U653" s="372"/>
      <c r="V653" s="372"/>
      <c r="W653" s="353"/>
      <c r="X653" s="353"/>
      <c r="Y653" s="353"/>
      <c r="Z653" s="353"/>
      <c r="AA653" s="103"/>
      <c r="AB653" s="103"/>
      <c r="AC653" s="103"/>
      <c r="AD653" s="354" t="str">
        <f t="shared" si="57"/>
        <v/>
      </c>
      <c r="AE653" s="354"/>
      <c r="AF653" s="354"/>
      <c r="AG653" s="354"/>
      <c r="AH653" s="356"/>
    </row>
    <row r="654" spans="1:37" s="1" customFormat="1" ht="15.75" customHeight="1" x14ac:dyDescent="0.15">
      <c r="A654" s="73" t="str">
        <f t="shared" si="55"/>
        <v>×</v>
      </c>
      <c r="E654" s="414"/>
      <c r="F654" s="373"/>
      <c r="G654" s="373"/>
      <c r="H654" s="357"/>
      <c r="I654" s="357"/>
      <c r="J654" s="357"/>
      <c r="K654" s="357"/>
      <c r="L654" s="104"/>
      <c r="M654" s="104"/>
      <c r="N654" s="104"/>
      <c r="O654" s="358" t="str">
        <f t="shared" si="56"/>
        <v/>
      </c>
      <c r="P654" s="358"/>
      <c r="Q654" s="358"/>
      <c r="R654" s="358"/>
      <c r="S654" s="359"/>
      <c r="T654" s="396"/>
      <c r="U654" s="373"/>
      <c r="V654" s="373"/>
      <c r="W654" s="357"/>
      <c r="X654" s="357"/>
      <c r="Y654" s="357"/>
      <c r="Z654" s="357"/>
      <c r="AA654" s="104"/>
      <c r="AB654" s="104"/>
      <c r="AC654" s="104"/>
      <c r="AD654" s="358" t="str">
        <f t="shared" si="57"/>
        <v/>
      </c>
      <c r="AE654" s="358"/>
      <c r="AF654" s="358"/>
      <c r="AG654" s="358"/>
      <c r="AH654" s="360"/>
    </row>
    <row r="655" spans="1:37" s="1" customFormat="1" ht="15.75" customHeight="1" x14ac:dyDescent="0.15">
      <c r="E655" s="8"/>
      <c r="F655" s="8"/>
      <c r="G655" s="8"/>
      <c r="H655" s="8"/>
      <c r="I655" s="8"/>
      <c r="J655" s="8"/>
      <c r="K655" s="8"/>
      <c r="L655" s="8"/>
      <c r="M655" s="8"/>
      <c r="N655" s="8"/>
      <c r="O655" s="8"/>
      <c r="P655" s="8"/>
      <c r="AA655" s="2" t="s">
        <v>127</v>
      </c>
      <c r="AB655" s="1" t="s">
        <v>548</v>
      </c>
      <c r="AC655" s="76" t="s">
        <v>27</v>
      </c>
      <c r="AD655" s="304">
        <f>PI()*Q92</f>
        <v>3.1415926535897931</v>
      </c>
      <c r="AE655" s="304"/>
      <c r="AF655" s="304"/>
      <c r="AG655" s="7" t="s">
        <v>549</v>
      </c>
      <c r="AH655" s="76" t="s">
        <v>158</v>
      </c>
    </row>
    <row r="656" spans="1:37" s="1" customFormat="1" ht="15.75" customHeight="1" x14ac:dyDescent="0.15">
      <c r="J656" s="76"/>
      <c r="K656" s="76"/>
      <c r="L656" s="76"/>
      <c r="M656" s="9"/>
      <c r="N656" s="9"/>
      <c r="O656" s="9"/>
      <c r="P656" s="76"/>
      <c r="Q656" s="76"/>
      <c r="R656" s="76"/>
      <c r="S656" s="76"/>
      <c r="T656" s="9"/>
      <c r="U656" s="9"/>
      <c r="AG656" s="8"/>
      <c r="AH656" s="8"/>
      <c r="AI656" s="8"/>
      <c r="AJ656" s="8"/>
      <c r="AK656" s="8"/>
    </row>
    <row r="657" spans="1:39" s="1" customFormat="1" ht="15.75" customHeight="1" x14ac:dyDescent="0.15">
      <c r="T657" s="8"/>
      <c r="U657" s="8"/>
      <c r="V657" s="8"/>
      <c r="W657" s="8"/>
      <c r="X657" s="8"/>
      <c r="Y657" s="8"/>
      <c r="Z657" s="8"/>
      <c r="AA657" s="8"/>
      <c r="AB657" s="8"/>
      <c r="AC657" s="8"/>
      <c r="AD657" s="8"/>
      <c r="AE657" s="8"/>
      <c r="AF657" s="8"/>
      <c r="AG657" s="8"/>
      <c r="AH657" s="8"/>
      <c r="AI657" s="8"/>
      <c r="AJ657" s="8"/>
      <c r="AK657" s="8"/>
      <c r="AL657" s="8"/>
      <c r="AM657" s="8"/>
    </row>
    <row r="658" spans="1:39" s="1" customFormat="1" ht="15.75" customHeight="1" x14ac:dyDescent="0.15">
      <c r="E658" s="61" t="s">
        <v>551</v>
      </c>
      <c r="F658" s="302"/>
      <c r="G658" s="302"/>
      <c r="H658" s="302"/>
      <c r="I658" s="61"/>
      <c r="J658" s="61"/>
      <c r="K658" s="61"/>
      <c r="L658" s="61"/>
      <c r="M658" s="61"/>
      <c r="N658" s="61"/>
      <c r="O658" s="61"/>
      <c r="P658" s="61"/>
      <c r="Q658" s="61"/>
      <c r="R658" s="61"/>
      <c r="S658" s="61"/>
      <c r="T658" s="61"/>
      <c r="U658" s="61"/>
      <c r="V658" s="61"/>
      <c r="W658" s="61"/>
      <c r="X658" s="61"/>
      <c r="Y658" s="61"/>
      <c r="Z658" s="61"/>
      <c r="AA658" s="61"/>
      <c r="AB658" s="61"/>
      <c r="AC658" s="61"/>
      <c r="AD658" s="61"/>
      <c r="AE658" s="61"/>
      <c r="AF658" s="61"/>
      <c r="AG658" s="61"/>
      <c r="AH658" s="61"/>
      <c r="AI658" s="8"/>
    </row>
    <row r="659" spans="1:39" s="1" customFormat="1" ht="15.75" customHeight="1" x14ac:dyDescent="0.15">
      <c r="E659" s="294" t="s">
        <v>546</v>
      </c>
      <c r="F659" s="292"/>
      <c r="G659" s="292"/>
      <c r="H659" s="292"/>
      <c r="I659" s="292"/>
      <c r="J659" s="292"/>
      <c r="K659" s="292"/>
      <c r="L659" s="292"/>
      <c r="M659" s="292"/>
      <c r="N659" s="292"/>
      <c r="O659" s="292"/>
      <c r="P659" s="292"/>
      <c r="Q659" s="292"/>
      <c r="R659" s="292"/>
      <c r="S659" s="296"/>
      <c r="T659" s="273" t="s">
        <v>547</v>
      </c>
      <c r="U659" s="131"/>
      <c r="V659" s="131"/>
      <c r="W659" s="131"/>
      <c r="X659" s="131"/>
      <c r="Y659" s="131"/>
      <c r="Z659" s="131"/>
      <c r="AA659" s="131"/>
      <c r="AB659" s="131"/>
      <c r="AC659" s="131"/>
      <c r="AD659" s="131"/>
      <c r="AE659" s="131"/>
      <c r="AF659" s="131"/>
      <c r="AG659" s="131"/>
      <c r="AH659" s="132"/>
    </row>
    <row r="660" spans="1:39" s="1" customFormat="1" ht="15.75" customHeight="1" x14ac:dyDescent="0.15">
      <c r="E660" s="159" t="s">
        <v>78</v>
      </c>
      <c r="F660" s="160"/>
      <c r="G660" s="160"/>
      <c r="H660" s="160" t="s">
        <v>204</v>
      </c>
      <c r="I660" s="160"/>
      <c r="J660" s="160"/>
      <c r="K660" s="160"/>
      <c r="L660" s="291" t="s">
        <v>203</v>
      </c>
      <c r="M660" s="161"/>
      <c r="N660" s="161"/>
      <c r="O660" s="160" t="s">
        <v>545</v>
      </c>
      <c r="P660" s="160"/>
      <c r="Q660" s="160"/>
      <c r="R660" s="160"/>
      <c r="S660" s="223"/>
      <c r="T660" s="213" t="s">
        <v>78</v>
      </c>
      <c r="U660" s="160"/>
      <c r="V660" s="160"/>
      <c r="W660" s="160" t="s">
        <v>204</v>
      </c>
      <c r="X660" s="160"/>
      <c r="Y660" s="160"/>
      <c r="Z660" s="160"/>
      <c r="AA660" s="291" t="s">
        <v>203</v>
      </c>
      <c r="AB660" s="161"/>
      <c r="AC660" s="161"/>
      <c r="AD660" s="160" t="s">
        <v>545</v>
      </c>
      <c r="AE660" s="160"/>
      <c r="AF660" s="160"/>
      <c r="AG660" s="160"/>
      <c r="AH660" s="223"/>
    </row>
    <row r="661" spans="1:39" s="1" customFormat="1" ht="15.75" customHeight="1" x14ac:dyDescent="0.15">
      <c r="E661" s="295"/>
      <c r="F661" s="156"/>
      <c r="G661" s="156"/>
      <c r="H661" s="156"/>
      <c r="I661" s="156"/>
      <c r="J661" s="156"/>
      <c r="K661" s="156"/>
      <c r="L661" s="163"/>
      <c r="M661" s="163"/>
      <c r="N661" s="163"/>
      <c r="O661" s="156"/>
      <c r="P661" s="156"/>
      <c r="Q661" s="156"/>
      <c r="R661" s="156"/>
      <c r="S661" s="267"/>
      <c r="T661" s="290"/>
      <c r="U661" s="156"/>
      <c r="V661" s="156"/>
      <c r="W661" s="156"/>
      <c r="X661" s="156"/>
      <c r="Y661" s="156"/>
      <c r="Z661" s="156"/>
      <c r="AA661" s="163"/>
      <c r="AB661" s="163"/>
      <c r="AC661" s="163"/>
      <c r="AD661" s="156"/>
      <c r="AE661" s="156"/>
      <c r="AF661" s="156"/>
      <c r="AG661" s="156"/>
      <c r="AH661" s="267"/>
    </row>
    <row r="662" spans="1:39" s="1" customFormat="1" ht="15.75" customHeight="1" x14ac:dyDescent="0.15">
      <c r="A662" s="73" t="str">
        <f>IF(LEN(E662)+LEN(T662)=0,"×","")</f>
        <v/>
      </c>
      <c r="E662" s="412">
        <v>3</v>
      </c>
      <c r="F662" s="398"/>
      <c r="G662" s="398"/>
      <c r="H662" s="349">
        <v>2786</v>
      </c>
      <c r="I662" s="349"/>
      <c r="J662" s="349"/>
      <c r="K662" s="349"/>
      <c r="L662" s="125">
        <v>3</v>
      </c>
      <c r="M662" s="125"/>
      <c r="N662" s="125"/>
      <c r="O662" s="350">
        <f>IF(H662="","",H662*AD$678)</f>
        <v>8752.4771329011637</v>
      </c>
      <c r="P662" s="350"/>
      <c r="Q662" s="350"/>
      <c r="R662" s="350"/>
      <c r="S662" s="351"/>
      <c r="T662" s="397">
        <v>3</v>
      </c>
      <c r="U662" s="398"/>
      <c r="V662" s="398"/>
      <c r="W662" s="349">
        <v>2786</v>
      </c>
      <c r="X662" s="349"/>
      <c r="Y662" s="349"/>
      <c r="Z662" s="349"/>
      <c r="AA662" s="125">
        <v>3</v>
      </c>
      <c r="AB662" s="125"/>
      <c r="AC662" s="125"/>
      <c r="AD662" s="350">
        <f>IF(W662="","",W662*AD$678)</f>
        <v>8752.4771329011637</v>
      </c>
      <c r="AE662" s="350"/>
      <c r="AF662" s="350"/>
      <c r="AG662" s="350"/>
      <c r="AH662" s="352"/>
    </row>
    <row r="663" spans="1:39" s="1" customFormat="1" ht="15.75" customHeight="1" x14ac:dyDescent="0.15">
      <c r="A663" s="73" t="str">
        <f t="shared" ref="A663:A677" si="58">IF(LEN(E663)+LEN(T663)=0,"×","")</f>
        <v/>
      </c>
      <c r="E663" s="413">
        <v>4</v>
      </c>
      <c r="F663" s="372"/>
      <c r="G663" s="372"/>
      <c r="H663" s="353">
        <v>5724</v>
      </c>
      <c r="I663" s="353"/>
      <c r="J663" s="353"/>
      <c r="K663" s="353"/>
      <c r="L663" s="103">
        <v>5</v>
      </c>
      <c r="M663" s="103"/>
      <c r="N663" s="103"/>
      <c r="O663" s="354">
        <f t="shared" ref="O663:O677" si="59">IF(H663="","",H663*AD$678)</f>
        <v>17982.476349147975</v>
      </c>
      <c r="P663" s="354"/>
      <c r="Q663" s="354"/>
      <c r="R663" s="354"/>
      <c r="S663" s="355"/>
      <c r="T663" s="395">
        <v>4</v>
      </c>
      <c r="U663" s="372"/>
      <c r="V663" s="372"/>
      <c r="W663" s="353">
        <v>5724</v>
      </c>
      <c r="X663" s="353"/>
      <c r="Y663" s="353"/>
      <c r="Z663" s="353"/>
      <c r="AA663" s="103">
        <v>5</v>
      </c>
      <c r="AB663" s="103"/>
      <c r="AC663" s="103"/>
      <c r="AD663" s="354">
        <f t="shared" ref="AD663:AD677" si="60">IF(W663="","",W663*AD$678)</f>
        <v>17982.476349147975</v>
      </c>
      <c r="AE663" s="354"/>
      <c r="AF663" s="354"/>
      <c r="AG663" s="354"/>
      <c r="AH663" s="356"/>
    </row>
    <row r="664" spans="1:39" s="1" customFormat="1" ht="15.75" customHeight="1" x14ac:dyDescent="0.15">
      <c r="A664" s="73" t="str">
        <f t="shared" si="58"/>
        <v/>
      </c>
      <c r="E664" s="413">
        <v>5</v>
      </c>
      <c r="F664" s="372"/>
      <c r="G664" s="372"/>
      <c r="H664" s="353">
        <v>6514</v>
      </c>
      <c r="I664" s="353"/>
      <c r="J664" s="353"/>
      <c r="K664" s="353"/>
      <c r="L664" s="103">
        <v>8</v>
      </c>
      <c r="M664" s="103"/>
      <c r="N664" s="103"/>
      <c r="O664" s="354">
        <f t="shared" si="59"/>
        <v>20464.334545483911</v>
      </c>
      <c r="P664" s="354"/>
      <c r="Q664" s="354"/>
      <c r="R664" s="354"/>
      <c r="S664" s="355"/>
      <c r="T664" s="395">
        <v>5</v>
      </c>
      <c r="U664" s="372"/>
      <c r="V664" s="372"/>
      <c r="W664" s="353">
        <v>6514</v>
      </c>
      <c r="X664" s="353"/>
      <c r="Y664" s="353"/>
      <c r="Z664" s="353"/>
      <c r="AA664" s="103">
        <v>8</v>
      </c>
      <c r="AB664" s="103"/>
      <c r="AC664" s="103"/>
      <c r="AD664" s="354">
        <f t="shared" si="60"/>
        <v>20464.334545483911</v>
      </c>
      <c r="AE664" s="354"/>
      <c r="AF664" s="354"/>
      <c r="AG664" s="354"/>
      <c r="AH664" s="356"/>
    </row>
    <row r="665" spans="1:39" s="1" customFormat="1" ht="15.75" customHeight="1" x14ac:dyDescent="0.15">
      <c r="A665" s="73" t="str">
        <f t="shared" si="58"/>
        <v/>
      </c>
      <c r="E665" s="413">
        <v>6</v>
      </c>
      <c r="F665" s="372"/>
      <c r="G665" s="372"/>
      <c r="H665" s="353">
        <v>9288</v>
      </c>
      <c r="I665" s="353"/>
      <c r="J665" s="353"/>
      <c r="K665" s="353"/>
      <c r="L665" s="103">
        <v>4</v>
      </c>
      <c r="M665" s="103"/>
      <c r="N665" s="103"/>
      <c r="O665" s="354">
        <f t="shared" si="59"/>
        <v>29179.112566541997</v>
      </c>
      <c r="P665" s="354"/>
      <c r="Q665" s="354"/>
      <c r="R665" s="354"/>
      <c r="S665" s="355"/>
      <c r="T665" s="395">
        <v>6</v>
      </c>
      <c r="U665" s="372"/>
      <c r="V665" s="372"/>
      <c r="W665" s="353">
        <v>9288</v>
      </c>
      <c r="X665" s="353"/>
      <c r="Y665" s="353"/>
      <c r="Z665" s="353"/>
      <c r="AA665" s="103">
        <v>4.5</v>
      </c>
      <c r="AB665" s="103"/>
      <c r="AC665" s="103"/>
      <c r="AD665" s="354">
        <f t="shared" si="60"/>
        <v>29179.112566541997</v>
      </c>
      <c r="AE665" s="354"/>
      <c r="AF665" s="354"/>
      <c r="AG665" s="354"/>
      <c r="AH665" s="356"/>
    </row>
    <row r="666" spans="1:39" s="1" customFormat="1" ht="15.75" customHeight="1" x14ac:dyDescent="0.15">
      <c r="A666" s="73" t="str">
        <f t="shared" si="58"/>
        <v/>
      </c>
      <c r="E666" s="413">
        <v>6</v>
      </c>
      <c r="F666" s="372"/>
      <c r="G666" s="372"/>
      <c r="H666" s="353">
        <v>0</v>
      </c>
      <c r="I666" s="353"/>
      <c r="J666" s="353"/>
      <c r="K666" s="353"/>
      <c r="L666" s="103">
        <v>0.5</v>
      </c>
      <c r="M666" s="103"/>
      <c r="N666" s="103"/>
      <c r="O666" s="354">
        <f>IF(H666="","",H666*AD$678)</f>
        <v>0</v>
      </c>
      <c r="P666" s="354"/>
      <c r="Q666" s="354"/>
      <c r="R666" s="354"/>
      <c r="S666" s="355"/>
      <c r="T666" s="395">
        <v>7</v>
      </c>
      <c r="U666" s="372"/>
      <c r="V666" s="372"/>
      <c r="W666" s="353">
        <v>18352</v>
      </c>
      <c r="X666" s="353"/>
      <c r="Y666" s="353"/>
      <c r="Z666" s="353"/>
      <c r="AA666" s="103">
        <v>0.5</v>
      </c>
      <c r="AB666" s="103"/>
      <c r="AC666" s="103"/>
      <c r="AD666" s="354">
        <f t="shared" si="60"/>
        <v>57654.508378679886</v>
      </c>
      <c r="AE666" s="354"/>
      <c r="AF666" s="354"/>
      <c r="AG666" s="354"/>
      <c r="AH666" s="356"/>
    </row>
    <row r="667" spans="1:39" s="1" customFormat="1" ht="15.75" customHeight="1" x14ac:dyDescent="0.15">
      <c r="A667" s="73" t="str">
        <f t="shared" si="58"/>
        <v/>
      </c>
      <c r="E667" s="413">
        <v>7</v>
      </c>
      <c r="F667" s="372"/>
      <c r="G667" s="372"/>
      <c r="H667" s="353">
        <v>0</v>
      </c>
      <c r="I667" s="353"/>
      <c r="J667" s="353"/>
      <c r="K667" s="353"/>
      <c r="L667" s="103">
        <v>0.5</v>
      </c>
      <c r="M667" s="103"/>
      <c r="N667" s="103"/>
      <c r="O667" s="354">
        <f t="shared" si="59"/>
        <v>0</v>
      </c>
      <c r="P667" s="354"/>
      <c r="Q667" s="354"/>
      <c r="R667" s="354"/>
      <c r="S667" s="355"/>
      <c r="T667" s="395"/>
      <c r="U667" s="372"/>
      <c r="V667" s="372"/>
      <c r="W667" s="353"/>
      <c r="X667" s="353"/>
      <c r="Y667" s="353"/>
      <c r="Z667" s="353"/>
      <c r="AA667" s="103"/>
      <c r="AB667" s="103"/>
      <c r="AC667" s="103"/>
      <c r="AD667" s="354" t="str">
        <f t="shared" si="60"/>
        <v/>
      </c>
      <c r="AE667" s="354"/>
      <c r="AF667" s="354"/>
      <c r="AG667" s="354"/>
      <c r="AH667" s="356"/>
    </row>
    <row r="668" spans="1:39" s="1" customFormat="1" ht="15.75" customHeight="1" x14ac:dyDescent="0.15">
      <c r="A668" s="73" t="str">
        <f t="shared" si="58"/>
        <v>×</v>
      </c>
      <c r="E668" s="413"/>
      <c r="F668" s="372"/>
      <c r="G668" s="372"/>
      <c r="H668" s="353"/>
      <c r="I668" s="353"/>
      <c r="J668" s="353"/>
      <c r="K668" s="353"/>
      <c r="L668" s="103"/>
      <c r="M668" s="103"/>
      <c r="N668" s="103"/>
      <c r="O668" s="354" t="str">
        <f t="shared" si="59"/>
        <v/>
      </c>
      <c r="P668" s="354"/>
      <c r="Q668" s="354"/>
      <c r="R668" s="354"/>
      <c r="S668" s="355"/>
      <c r="T668" s="395"/>
      <c r="U668" s="372"/>
      <c r="V668" s="372"/>
      <c r="W668" s="353"/>
      <c r="X668" s="353"/>
      <c r="Y668" s="353"/>
      <c r="Z668" s="353"/>
      <c r="AA668" s="103"/>
      <c r="AB668" s="103"/>
      <c r="AC668" s="103"/>
      <c r="AD668" s="354" t="str">
        <f t="shared" si="60"/>
        <v/>
      </c>
      <c r="AE668" s="354"/>
      <c r="AF668" s="354"/>
      <c r="AG668" s="354"/>
      <c r="AH668" s="356"/>
    </row>
    <row r="669" spans="1:39" s="1" customFormat="1" ht="15.75" customHeight="1" x14ac:dyDescent="0.15">
      <c r="A669" s="73" t="str">
        <f t="shared" si="58"/>
        <v>×</v>
      </c>
      <c r="E669" s="413"/>
      <c r="F669" s="372"/>
      <c r="G669" s="372"/>
      <c r="H669" s="353"/>
      <c r="I669" s="353"/>
      <c r="J669" s="353"/>
      <c r="K669" s="353"/>
      <c r="L669" s="103"/>
      <c r="M669" s="103"/>
      <c r="N669" s="103"/>
      <c r="O669" s="354" t="str">
        <f t="shared" si="59"/>
        <v/>
      </c>
      <c r="P669" s="354"/>
      <c r="Q669" s="354"/>
      <c r="R669" s="354"/>
      <c r="S669" s="355"/>
      <c r="T669" s="395"/>
      <c r="U669" s="372"/>
      <c r="V669" s="372"/>
      <c r="W669" s="353"/>
      <c r="X669" s="353"/>
      <c r="Y669" s="353"/>
      <c r="Z669" s="353"/>
      <c r="AA669" s="103"/>
      <c r="AB669" s="103"/>
      <c r="AC669" s="103"/>
      <c r="AD669" s="354" t="str">
        <f t="shared" si="60"/>
        <v/>
      </c>
      <c r="AE669" s="354"/>
      <c r="AF669" s="354"/>
      <c r="AG669" s="354"/>
      <c r="AH669" s="356"/>
    </row>
    <row r="670" spans="1:39" s="1" customFormat="1" ht="15.75" customHeight="1" x14ac:dyDescent="0.15">
      <c r="A670" s="73" t="str">
        <f t="shared" si="58"/>
        <v>×</v>
      </c>
      <c r="E670" s="413"/>
      <c r="F670" s="372"/>
      <c r="G670" s="372"/>
      <c r="H670" s="353"/>
      <c r="I670" s="353"/>
      <c r="J670" s="353"/>
      <c r="K670" s="353"/>
      <c r="L670" s="103"/>
      <c r="M670" s="103"/>
      <c r="N670" s="103"/>
      <c r="O670" s="354" t="str">
        <f t="shared" si="59"/>
        <v/>
      </c>
      <c r="P670" s="354"/>
      <c r="Q670" s="354"/>
      <c r="R670" s="354"/>
      <c r="S670" s="355"/>
      <c r="T670" s="395"/>
      <c r="U670" s="372"/>
      <c r="V670" s="372"/>
      <c r="W670" s="353"/>
      <c r="X670" s="353"/>
      <c r="Y670" s="353"/>
      <c r="Z670" s="353"/>
      <c r="AA670" s="103"/>
      <c r="AB670" s="103"/>
      <c r="AC670" s="103"/>
      <c r="AD670" s="354" t="str">
        <f t="shared" si="60"/>
        <v/>
      </c>
      <c r="AE670" s="354"/>
      <c r="AF670" s="354"/>
      <c r="AG670" s="354"/>
      <c r="AH670" s="356"/>
    </row>
    <row r="671" spans="1:39" s="1" customFormat="1" ht="15.75" customHeight="1" x14ac:dyDescent="0.15">
      <c r="A671" s="73" t="str">
        <f t="shared" si="58"/>
        <v>×</v>
      </c>
      <c r="E671" s="413"/>
      <c r="F671" s="372"/>
      <c r="G671" s="372"/>
      <c r="H671" s="353"/>
      <c r="I671" s="353"/>
      <c r="J671" s="353"/>
      <c r="K671" s="353"/>
      <c r="L671" s="103"/>
      <c r="M671" s="103"/>
      <c r="N671" s="103"/>
      <c r="O671" s="354" t="str">
        <f t="shared" si="59"/>
        <v/>
      </c>
      <c r="P671" s="354"/>
      <c r="Q671" s="354"/>
      <c r="R671" s="354"/>
      <c r="S671" s="355"/>
      <c r="T671" s="395"/>
      <c r="U671" s="372"/>
      <c r="V671" s="372"/>
      <c r="W671" s="353"/>
      <c r="X671" s="353"/>
      <c r="Y671" s="353"/>
      <c r="Z671" s="353"/>
      <c r="AA671" s="103"/>
      <c r="AB671" s="103"/>
      <c r="AC671" s="103"/>
      <c r="AD671" s="354" t="str">
        <f t="shared" si="60"/>
        <v/>
      </c>
      <c r="AE671" s="354"/>
      <c r="AF671" s="354"/>
      <c r="AG671" s="354"/>
      <c r="AH671" s="356"/>
    </row>
    <row r="672" spans="1:39" s="1" customFormat="1" ht="15.75" customHeight="1" x14ac:dyDescent="0.15">
      <c r="A672" s="73" t="str">
        <f t="shared" si="58"/>
        <v>×</v>
      </c>
      <c r="E672" s="413"/>
      <c r="F672" s="372"/>
      <c r="G672" s="372"/>
      <c r="H672" s="353"/>
      <c r="I672" s="353"/>
      <c r="J672" s="353"/>
      <c r="K672" s="353"/>
      <c r="L672" s="103"/>
      <c r="M672" s="103"/>
      <c r="N672" s="103"/>
      <c r="O672" s="354" t="str">
        <f t="shared" si="59"/>
        <v/>
      </c>
      <c r="P672" s="354"/>
      <c r="Q672" s="354"/>
      <c r="R672" s="354"/>
      <c r="S672" s="355"/>
      <c r="T672" s="395"/>
      <c r="U672" s="372"/>
      <c r="V672" s="372"/>
      <c r="W672" s="353"/>
      <c r="X672" s="353"/>
      <c r="Y672" s="353"/>
      <c r="Z672" s="353"/>
      <c r="AA672" s="103"/>
      <c r="AB672" s="103"/>
      <c r="AC672" s="103"/>
      <c r="AD672" s="354" t="str">
        <f t="shared" si="60"/>
        <v/>
      </c>
      <c r="AE672" s="354"/>
      <c r="AF672" s="354"/>
      <c r="AG672" s="354"/>
      <c r="AH672" s="356"/>
    </row>
    <row r="673" spans="1:39" s="1" customFormat="1" ht="15.75" customHeight="1" x14ac:dyDescent="0.15">
      <c r="A673" s="73" t="str">
        <f t="shared" si="58"/>
        <v>×</v>
      </c>
      <c r="E673" s="413"/>
      <c r="F673" s="372"/>
      <c r="G673" s="372"/>
      <c r="H673" s="353"/>
      <c r="I673" s="353"/>
      <c r="J673" s="353"/>
      <c r="K673" s="353"/>
      <c r="L673" s="103"/>
      <c r="M673" s="103"/>
      <c r="N673" s="103"/>
      <c r="O673" s="354" t="str">
        <f t="shared" si="59"/>
        <v/>
      </c>
      <c r="P673" s="354"/>
      <c r="Q673" s="354"/>
      <c r="R673" s="354"/>
      <c r="S673" s="355"/>
      <c r="T673" s="395"/>
      <c r="U673" s="372"/>
      <c r="V673" s="372"/>
      <c r="W673" s="353"/>
      <c r="X673" s="353"/>
      <c r="Y673" s="353"/>
      <c r="Z673" s="353"/>
      <c r="AA673" s="103"/>
      <c r="AB673" s="103"/>
      <c r="AC673" s="103"/>
      <c r="AD673" s="354" t="str">
        <f t="shared" si="60"/>
        <v/>
      </c>
      <c r="AE673" s="354"/>
      <c r="AF673" s="354"/>
      <c r="AG673" s="354"/>
      <c r="AH673" s="356"/>
    </row>
    <row r="674" spans="1:39" s="1" customFormat="1" ht="15.75" customHeight="1" x14ac:dyDescent="0.15">
      <c r="A674" s="73" t="str">
        <f t="shared" si="58"/>
        <v>×</v>
      </c>
      <c r="E674" s="413"/>
      <c r="F674" s="372"/>
      <c r="G674" s="372"/>
      <c r="H674" s="353"/>
      <c r="I674" s="353"/>
      <c r="J674" s="353"/>
      <c r="K674" s="353"/>
      <c r="L674" s="103"/>
      <c r="M674" s="103"/>
      <c r="N674" s="103"/>
      <c r="O674" s="354" t="str">
        <f t="shared" si="59"/>
        <v/>
      </c>
      <c r="P674" s="354"/>
      <c r="Q674" s="354"/>
      <c r="R674" s="354"/>
      <c r="S674" s="355"/>
      <c r="T674" s="395"/>
      <c r="U674" s="372"/>
      <c r="V674" s="372"/>
      <c r="W674" s="353"/>
      <c r="X674" s="353"/>
      <c r="Y674" s="353"/>
      <c r="Z674" s="353"/>
      <c r="AA674" s="103"/>
      <c r="AB674" s="103"/>
      <c r="AC674" s="103"/>
      <c r="AD674" s="354" t="str">
        <f t="shared" si="60"/>
        <v/>
      </c>
      <c r="AE674" s="354"/>
      <c r="AF674" s="354"/>
      <c r="AG674" s="354"/>
      <c r="AH674" s="356"/>
    </row>
    <row r="675" spans="1:39" s="1" customFormat="1" ht="15.75" customHeight="1" x14ac:dyDescent="0.15">
      <c r="A675" s="73" t="str">
        <f t="shared" si="58"/>
        <v>×</v>
      </c>
      <c r="E675" s="413"/>
      <c r="F675" s="372"/>
      <c r="G675" s="372"/>
      <c r="H675" s="353"/>
      <c r="I675" s="353"/>
      <c r="J675" s="353"/>
      <c r="K675" s="353"/>
      <c r="L675" s="103"/>
      <c r="M675" s="103"/>
      <c r="N675" s="103"/>
      <c r="O675" s="354" t="str">
        <f t="shared" si="59"/>
        <v/>
      </c>
      <c r="P675" s="354"/>
      <c r="Q675" s="354"/>
      <c r="R675" s="354"/>
      <c r="S675" s="355"/>
      <c r="T675" s="395"/>
      <c r="U675" s="372"/>
      <c r="V675" s="372"/>
      <c r="W675" s="353"/>
      <c r="X675" s="353"/>
      <c r="Y675" s="353"/>
      <c r="Z675" s="353"/>
      <c r="AA675" s="103"/>
      <c r="AB675" s="103"/>
      <c r="AC675" s="103"/>
      <c r="AD675" s="354" t="str">
        <f t="shared" si="60"/>
        <v/>
      </c>
      <c r="AE675" s="354"/>
      <c r="AF675" s="354"/>
      <c r="AG675" s="354"/>
      <c r="AH675" s="356"/>
    </row>
    <row r="676" spans="1:39" s="1" customFormat="1" ht="15.75" customHeight="1" x14ac:dyDescent="0.15">
      <c r="A676" s="73" t="str">
        <f t="shared" si="58"/>
        <v>×</v>
      </c>
      <c r="E676" s="413"/>
      <c r="F676" s="372"/>
      <c r="G676" s="372"/>
      <c r="H676" s="353"/>
      <c r="I676" s="353"/>
      <c r="J676" s="353"/>
      <c r="K676" s="353"/>
      <c r="L676" s="103"/>
      <c r="M676" s="103"/>
      <c r="N676" s="103"/>
      <c r="O676" s="354" t="str">
        <f t="shared" si="59"/>
        <v/>
      </c>
      <c r="P676" s="354"/>
      <c r="Q676" s="354"/>
      <c r="R676" s="354"/>
      <c r="S676" s="355"/>
      <c r="T676" s="395"/>
      <c r="U676" s="372"/>
      <c r="V676" s="372"/>
      <c r="W676" s="353"/>
      <c r="X676" s="353"/>
      <c r="Y676" s="353"/>
      <c r="Z676" s="353"/>
      <c r="AA676" s="103"/>
      <c r="AB676" s="103"/>
      <c r="AC676" s="103"/>
      <c r="AD676" s="354" t="str">
        <f t="shared" si="60"/>
        <v/>
      </c>
      <c r="AE676" s="354"/>
      <c r="AF676" s="354"/>
      <c r="AG676" s="354"/>
      <c r="AH676" s="356"/>
    </row>
    <row r="677" spans="1:39" s="1" customFormat="1" ht="15.75" customHeight="1" x14ac:dyDescent="0.15">
      <c r="A677" s="73" t="str">
        <f t="shared" si="58"/>
        <v>×</v>
      </c>
      <c r="E677" s="414"/>
      <c r="F677" s="373"/>
      <c r="G677" s="373"/>
      <c r="H677" s="357"/>
      <c r="I677" s="357"/>
      <c r="J677" s="357"/>
      <c r="K677" s="357"/>
      <c r="L677" s="104"/>
      <c r="M677" s="104"/>
      <c r="N677" s="104"/>
      <c r="O677" s="358" t="str">
        <f t="shared" si="59"/>
        <v/>
      </c>
      <c r="P677" s="358"/>
      <c r="Q677" s="358"/>
      <c r="R677" s="358"/>
      <c r="S677" s="359"/>
      <c r="T677" s="396"/>
      <c r="U677" s="373"/>
      <c r="V677" s="373"/>
      <c r="W677" s="357"/>
      <c r="X677" s="357"/>
      <c r="Y677" s="357"/>
      <c r="Z677" s="357"/>
      <c r="AA677" s="104"/>
      <c r="AB677" s="104"/>
      <c r="AC677" s="104"/>
      <c r="AD677" s="358" t="str">
        <f t="shared" si="60"/>
        <v/>
      </c>
      <c r="AE677" s="358"/>
      <c r="AF677" s="358"/>
      <c r="AG677" s="358"/>
      <c r="AH677" s="360"/>
    </row>
    <row r="678" spans="1:39" s="1" customFormat="1" ht="15.75" customHeight="1" x14ac:dyDescent="0.15">
      <c r="E678" s="8"/>
      <c r="F678" s="8"/>
      <c r="G678" s="8"/>
      <c r="H678" s="8"/>
      <c r="I678" s="8"/>
      <c r="J678" s="8"/>
      <c r="K678" s="8"/>
      <c r="L678" s="8"/>
      <c r="M678" s="8"/>
      <c r="N678" s="8"/>
      <c r="O678" s="8"/>
      <c r="P678" s="8"/>
      <c r="AA678" s="2" t="s">
        <v>127</v>
      </c>
      <c r="AB678" s="1" t="s">
        <v>548</v>
      </c>
      <c r="AC678" s="76" t="s">
        <v>27</v>
      </c>
      <c r="AD678" s="304">
        <f>AD655</f>
        <v>3.1415926535897931</v>
      </c>
      <c r="AE678" s="304"/>
      <c r="AF678" s="304"/>
      <c r="AG678" s="7" t="s">
        <v>549</v>
      </c>
      <c r="AH678" s="76" t="s">
        <v>158</v>
      </c>
    </row>
    <row r="679" spans="1:39" s="1" customFormat="1" ht="15.75" customHeight="1" x14ac:dyDescent="0.15">
      <c r="J679" s="76"/>
      <c r="K679" s="76"/>
      <c r="L679" s="76"/>
      <c r="M679" s="9"/>
      <c r="N679" s="9"/>
      <c r="O679" s="9"/>
      <c r="P679" s="76"/>
      <c r="Q679" s="76"/>
      <c r="R679" s="76"/>
      <c r="S679" s="76"/>
      <c r="T679" s="9"/>
      <c r="U679" s="76"/>
      <c r="V679" s="76"/>
      <c r="W679" s="323"/>
      <c r="X679" s="323"/>
      <c r="Y679" s="323"/>
      <c r="Z679" s="323"/>
      <c r="AA679" s="8"/>
      <c r="AB679" s="8"/>
      <c r="AC679" s="8"/>
      <c r="AD679" s="8"/>
      <c r="AE679" s="8"/>
      <c r="AF679" s="8"/>
      <c r="AG679" s="8"/>
      <c r="AH679" s="8"/>
      <c r="AI679" s="8"/>
      <c r="AJ679" s="8"/>
      <c r="AK679" s="8"/>
      <c r="AL679" s="8"/>
      <c r="AM679" s="8"/>
    </row>
    <row r="680" spans="1:39" s="1" customFormat="1" ht="15.75" customHeight="1" x14ac:dyDescent="0.15"/>
    <row r="681" spans="1:39" s="1" customFormat="1" ht="15.75" customHeight="1" x14ac:dyDescent="0.15">
      <c r="E681" s="61" t="s">
        <v>587</v>
      </c>
      <c r="F681" s="302"/>
      <c r="G681" s="302"/>
      <c r="H681" s="302"/>
      <c r="I681" s="61"/>
      <c r="J681" s="61"/>
      <c r="K681" s="61"/>
      <c r="L681" s="61"/>
      <c r="M681" s="61"/>
      <c r="N681" s="61"/>
      <c r="O681" s="61"/>
      <c r="P681" s="61"/>
      <c r="Q681" s="61"/>
      <c r="R681" s="61"/>
      <c r="S681" s="61"/>
      <c r="T681" s="61"/>
      <c r="U681" s="61"/>
      <c r="V681" s="61"/>
      <c r="W681" s="61"/>
      <c r="X681" s="61"/>
      <c r="Y681" s="61"/>
      <c r="Z681" s="61"/>
      <c r="AA681" s="61"/>
      <c r="AB681" s="61"/>
      <c r="AC681" s="61"/>
      <c r="AD681" s="61"/>
      <c r="AE681" s="61"/>
      <c r="AF681" s="61"/>
      <c r="AG681" s="61"/>
      <c r="AH681" s="61"/>
      <c r="AI681" s="8"/>
    </row>
    <row r="682" spans="1:39" s="1" customFormat="1" ht="15.75" customHeight="1" x14ac:dyDescent="0.15">
      <c r="E682" s="294" t="s">
        <v>546</v>
      </c>
      <c r="F682" s="292"/>
      <c r="G682" s="292"/>
      <c r="H682" s="292"/>
      <c r="I682" s="292"/>
      <c r="J682" s="292"/>
      <c r="K682" s="292"/>
      <c r="L682" s="292"/>
      <c r="M682" s="292"/>
      <c r="N682" s="292"/>
      <c r="O682" s="292"/>
      <c r="P682" s="292"/>
      <c r="Q682" s="292"/>
      <c r="R682" s="292"/>
      <c r="S682" s="296"/>
      <c r="T682" s="273" t="s">
        <v>547</v>
      </c>
      <c r="U682" s="131"/>
      <c r="V682" s="131"/>
      <c r="W682" s="131"/>
      <c r="X682" s="131"/>
      <c r="Y682" s="131"/>
      <c r="Z682" s="131"/>
      <c r="AA682" s="131"/>
      <c r="AB682" s="131"/>
      <c r="AC682" s="131"/>
      <c r="AD682" s="131"/>
      <c r="AE682" s="131"/>
      <c r="AF682" s="131"/>
      <c r="AG682" s="131"/>
      <c r="AH682" s="132"/>
    </row>
    <row r="683" spans="1:39" s="1" customFormat="1" ht="15.75" customHeight="1" x14ac:dyDescent="0.15">
      <c r="E683" s="159" t="s">
        <v>78</v>
      </c>
      <c r="F683" s="160"/>
      <c r="G683" s="160"/>
      <c r="H683" s="160" t="s">
        <v>204</v>
      </c>
      <c r="I683" s="160"/>
      <c r="J683" s="160"/>
      <c r="K683" s="160"/>
      <c r="L683" s="291" t="s">
        <v>203</v>
      </c>
      <c r="M683" s="161"/>
      <c r="N683" s="161"/>
      <c r="O683" s="160" t="s">
        <v>545</v>
      </c>
      <c r="P683" s="160"/>
      <c r="Q683" s="160"/>
      <c r="R683" s="160"/>
      <c r="S683" s="223"/>
      <c r="T683" s="213" t="s">
        <v>78</v>
      </c>
      <c r="U683" s="160"/>
      <c r="V683" s="160"/>
      <c r="W683" s="160" t="s">
        <v>204</v>
      </c>
      <c r="X683" s="160"/>
      <c r="Y683" s="160"/>
      <c r="Z683" s="160"/>
      <c r="AA683" s="291" t="s">
        <v>203</v>
      </c>
      <c r="AB683" s="161"/>
      <c r="AC683" s="161"/>
      <c r="AD683" s="160" t="s">
        <v>545</v>
      </c>
      <c r="AE683" s="160"/>
      <c r="AF683" s="160"/>
      <c r="AG683" s="160"/>
      <c r="AH683" s="223"/>
    </row>
    <row r="684" spans="1:39" s="1" customFormat="1" ht="15.75" customHeight="1" x14ac:dyDescent="0.15">
      <c r="E684" s="295"/>
      <c r="F684" s="156"/>
      <c r="G684" s="156"/>
      <c r="H684" s="156"/>
      <c r="I684" s="156"/>
      <c r="J684" s="156"/>
      <c r="K684" s="156"/>
      <c r="L684" s="163"/>
      <c r="M684" s="163"/>
      <c r="N684" s="163"/>
      <c r="O684" s="156"/>
      <c r="P684" s="156"/>
      <c r="Q684" s="156"/>
      <c r="R684" s="156"/>
      <c r="S684" s="267"/>
      <c r="T684" s="290"/>
      <c r="U684" s="156"/>
      <c r="V684" s="156"/>
      <c r="W684" s="156"/>
      <c r="X684" s="156"/>
      <c r="Y684" s="156"/>
      <c r="Z684" s="156"/>
      <c r="AA684" s="163"/>
      <c r="AB684" s="163"/>
      <c r="AC684" s="163"/>
      <c r="AD684" s="156"/>
      <c r="AE684" s="156"/>
      <c r="AF684" s="156"/>
      <c r="AG684" s="156"/>
      <c r="AH684" s="267"/>
    </row>
    <row r="685" spans="1:39" s="1" customFormat="1" ht="15.75" customHeight="1" x14ac:dyDescent="0.15">
      <c r="A685" s="73" t="str">
        <f>IF(LEN(E685)+LEN(T685)=0,"×","")</f>
        <v/>
      </c>
      <c r="E685" s="412">
        <v>3</v>
      </c>
      <c r="F685" s="398"/>
      <c r="G685" s="398"/>
      <c r="H685" s="349">
        <v>0</v>
      </c>
      <c r="I685" s="349"/>
      <c r="J685" s="349"/>
      <c r="K685" s="349"/>
      <c r="L685" s="125">
        <v>3</v>
      </c>
      <c r="M685" s="125"/>
      <c r="N685" s="125"/>
      <c r="O685" s="350">
        <f>IF(H685="","",H685*AD$701)</f>
        <v>0</v>
      </c>
      <c r="P685" s="350"/>
      <c r="Q685" s="350"/>
      <c r="R685" s="350"/>
      <c r="S685" s="351"/>
      <c r="T685" s="397">
        <v>3</v>
      </c>
      <c r="U685" s="398"/>
      <c r="V685" s="398"/>
      <c r="W685" s="349">
        <v>0</v>
      </c>
      <c r="X685" s="349"/>
      <c r="Y685" s="349"/>
      <c r="Z685" s="349"/>
      <c r="AA685" s="125">
        <v>3</v>
      </c>
      <c r="AB685" s="125"/>
      <c r="AC685" s="125"/>
      <c r="AD685" s="350">
        <f>IF(W685="","",W685*AD$701)</f>
        <v>0</v>
      </c>
      <c r="AE685" s="350"/>
      <c r="AF685" s="350"/>
      <c r="AG685" s="350"/>
      <c r="AH685" s="352"/>
    </row>
    <row r="686" spans="1:39" s="1" customFormat="1" ht="15.75" customHeight="1" x14ac:dyDescent="0.15">
      <c r="A686" s="73" t="str">
        <f t="shared" ref="A686:A700" si="61">IF(LEN(E686)+LEN(T686)=0,"×","")</f>
        <v/>
      </c>
      <c r="E686" s="413">
        <v>4</v>
      </c>
      <c r="F686" s="372"/>
      <c r="G686" s="372"/>
      <c r="H686" s="353">
        <v>0</v>
      </c>
      <c r="I686" s="353"/>
      <c r="J686" s="353"/>
      <c r="K686" s="353"/>
      <c r="L686" s="103">
        <v>0.53999996185302734</v>
      </c>
      <c r="M686" s="103"/>
      <c r="N686" s="103"/>
      <c r="O686" s="354">
        <f t="shared" ref="O686:O700" si="62">IF(H686="","",H686*AD$701)</f>
        <v>0</v>
      </c>
      <c r="P686" s="354"/>
      <c r="Q686" s="354"/>
      <c r="R686" s="354"/>
      <c r="S686" s="355"/>
      <c r="T686" s="395">
        <v>4</v>
      </c>
      <c r="U686" s="372"/>
      <c r="V686" s="372"/>
      <c r="W686" s="353">
        <v>0</v>
      </c>
      <c r="X686" s="353"/>
      <c r="Y686" s="353"/>
      <c r="Z686" s="353"/>
      <c r="AA686" s="103">
        <v>0.53999996185302734</v>
      </c>
      <c r="AB686" s="103"/>
      <c r="AC686" s="103"/>
      <c r="AD686" s="354">
        <f t="shared" ref="AD686:AD700" si="63">IF(W686="","",W686*AD$701)</f>
        <v>0</v>
      </c>
      <c r="AE686" s="354"/>
      <c r="AF686" s="354"/>
      <c r="AG686" s="354"/>
      <c r="AH686" s="356"/>
    </row>
    <row r="687" spans="1:39" s="1" customFormat="1" ht="15.75" customHeight="1" x14ac:dyDescent="0.15">
      <c r="A687" s="73" t="str">
        <f t="shared" si="61"/>
        <v/>
      </c>
      <c r="E687" s="413">
        <v>4</v>
      </c>
      <c r="F687" s="372"/>
      <c r="G687" s="372"/>
      <c r="H687" s="353">
        <v>5724</v>
      </c>
      <c r="I687" s="353"/>
      <c r="J687" s="353"/>
      <c r="K687" s="353"/>
      <c r="L687" s="103">
        <v>4.4600000381469727</v>
      </c>
      <c r="M687" s="103"/>
      <c r="N687" s="103"/>
      <c r="O687" s="354">
        <f t="shared" si="62"/>
        <v>17982.476349147975</v>
      </c>
      <c r="P687" s="354"/>
      <c r="Q687" s="354"/>
      <c r="R687" s="354"/>
      <c r="S687" s="355"/>
      <c r="T687" s="395">
        <v>4</v>
      </c>
      <c r="U687" s="372"/>
      <c r="V687" s="372"/>
      <c r="W687" s="353">
        <v>5724</v>
      </c>
      <c r="X687" s="353"/>
      <c r="Y687" s="353"/>
      <c r="Z687" s="353"/>
      <c r="AA687" s="103">
        <v>4.4600000381469727</v>
      </c>
      <c r="AB687" s="103"/>
      <c r="AC687" s="103"/>
      <c r="AD687" s="354">
        <f t="shared" si="63"/>
        <v>17982.476349147975</v>
      </c>
      <c r="AE687" s="354"/>
      <c r="AF687" s="354"/>
      <c r="AG687" s="354"/>
      <c r="AH687" s="356"/>
    </row>
    <row r="688" spans="1:39" s="1" customFormat="1" ht="15.75" customHeight="1" x14ac:dyDescent="0.15">
      <c r="A688" s="73" t="str">
        <f t="shared" si="61"/>
        <v/>
      </c>
      <c r="E688" s="413">
        <v>5</v>
      </c>
      <c r="F688" s="372"/>
      <c r="G688" s="372"/>
      <c r="H688" s="353">
        <v>6514</v>
      </c>
      <c r="I688" s="353"/>
      <c r="J688" s="353"/>
      <c r="K688" s="353"/>
      <c r="L688" s="103">
        <v>8</v>
      </c>
      <c r="M688" s="103"/>
      <c r="N688" s="103"/>
      <c r="O688" s="354">
        <f t="shared" si="62"/>
        <v>20464.334545483911</v>
      </c>
      <c r="P688" s="354"/>
      <c r="Q688" s="354"/>
      <c r="R688" s="354"/>
      <c r="S688" s="355"/>
      <c r="T688" s="395">
        <v>5</v>
      </c>
      <c r="U688" s="372"/>
      <c r="V688" s="372"/>
      <c r="W688" s="353">
        <v>6514</v>
      </c>
      <c r="X688" s="353"/>
      <c r="Y688" s="353"/>
      <c r="Z688" s="353"/>
      <c r="AA688" s="103">
        <v>8</v>
      </c>
      <c r="AB688" s="103"/>
      <c r="AC688" s="103"/>
      <c r="AD688" s="354">
        <f t="shared" si="63"/>
        <v>20464.334545483911</v>
      </c>
      <c r="AE688" s="354"/>
      <c r="AF688" s="354"/>
      <c r="AG688" s="354"/>
      <c r="AH688" s="356"/>
    </row>
    <row r="689" spans="1:35" s="1" customFormat="1" ht="15.75" customHeight="1" x14ac:dyDescent="0.15">
      <c r="A689" s="73" t="str">
        <f t="shared" si="61"/>
        <v/>
      </c>
      <c r="E689" s="413">
        <v>6</v>
      </c>
      <c r="F689" s="372"/>
      <c r="G689" s="372"/>
      <c r="H689" s="353">
        <v>9288</v>
      </c>
      <c r="I689" s="353"/>
      <c r="J689" s="353"/>
      <c r="K689" s="353"/>
      <c r="L689" s="103">
        <v>4</v>
      </c>
      <c r="M689" s="103"/>
      <c r="N689" s="103"/>
      <c r="O689" s="354">
        <f t="shared" si="62"/>
        <v>29179.112566541997</v>
      </c>
      <c r="P689" s="354"/>
      <c r="Q689" s="354"/>
      <c r="R689" s="354"/>
      <c r="S689" s="355"/>
      <c r="T689" s="395">
        <v>6</v>
      </c>
      <c r="U689" s="372"/>
      <c r="V689" s="372"/>
      <c r="W689" s="353">
        <v>9288</v>
      </c>
      <c r="X689" s="353"/>
      <c r="Y689" s="353"/>
      <c r="Z689" s="353"/>
      <c r="AA689" s="103">
        <v>4.5</v>
      </c>
      <c r="AB689" s="103"/>
      <c r="AC689" s="103"/>
      <c r="AD689" s="354">
        <f t="shared" si="63"/>
        <v>29179.112566541997</v>
      </c>
      <c r="AE689" s="354"/>
      <c r="AF689" s="354"/>
      <c r="AG689" s="354"/>
      <c r="AH689" s="356"/>
    </row>
    <row r="690" spans="1:35" s="1" customFormat="1" ht="15.75" customHeight="1" x14ac:dyDescent="0.15">
      <c r="A690" s="73" t="str">
        <f t="shared" si="61"/>
        <v/>
      </c>
      <c r="E690" s="413">
        <v>6</v>
      </c>
      <c r="F690" s="372"/>
      <c r="G690" s="372"/>
      <c r="H690" s="353">
        <v>0</v>
      </c>
      <c r="I690" s="353"/>
      <c r="J690" s="353"/>
      <c r="K690" s="353"/>
      <c r="L690" s="103">
        <v>0.5</v>
      </c>
      <c r="M690" s="103"/>
      <c r="N690" s="103"/>
      <c r="O690" s="354">
        <f t="shared" si="62"/>
        <v>0</v>
      </c>
      <c r="P690" s="354"/>
      <c r="Q690" s="354"/>
      <c r="R690" s="354"/>
      <c r="S690" s="355"/>
      <c r="T690" s="395">
        <v>7</v>
      </c>
      <c r="U690" s="372"/>
      <c r="V690" s="372"/>
      <c r="W690" s="353">
        <v>18352</v>
      </c>
      <c r="X690" s="353"/>
      <c r="Y690" s="353"/>
      <c r="Z690" s="353"/>
      <c r="AA690" s="103">
        <v>0.5</v>
      </c>
      <c r="AB690" s="103"/>
      <c r="AC690" s="103"/>
      <c r="AD690" s="354">
        <f t="shared" si="63"/>
        <v>57654.508378679886</v>
      </c>
      <c r="AE690" s="354"/>
      <c r="AF690" s="354"/>
      <c r="AG690" s="354"/>
      <c r="AH690" s="356"/>
    </row>
    <row r="691" spans="1:35" s="1" customFormat="1" ht="15.75" customHeight="1" x14ac:dyDescent="0.15">
      <c r="A691" s="73" t="str">
        <f t="shared" si="61"/>
        <v/>
      </c>
      <c r="E691" s="413">
        <v>7</v>
      </c>
      <c r="F691" s="372"/>
      <c r="G691" s="372"/>
      <c r="H691" s="353">
        <v>0</v>
      </c>
      <c r="I691" s="353"/>
      <c r="J691" s="353"/>
      <c r="K691" s="353"/>
      <c r="L691" s="103">
        <v>0.5</v>
      </c>
      <c r="M691" s="103"/>
      <c r="N691" s="103"/>
      <c r="O691" s="354">
        <f t="shared" si="62"/>
        <v>0</v>
      </c>
      <c r="P691" s="354"/>
      <c r="Q691" s="354"/>
      <c r="R691" s="354"/>
      <c r="S691" s="355"/>
      <c r="T691" s="395"/>
      <c r="U691" s="372"/>
      <c r="V691" s="372"/>
      <c r="W691" s="353"/>
      <c r="X691" s="353"/>
      <c r="Y691" s="353"/>
      <c r="Z691" s="353"/>
      <c r="AA691" s="103"/>
      <c r="AB691" s="103"/>
      <c r="AC691" s="103"/>
      <c r="AD691" s="354" t="str">
        <f t="shared" si="63"/>
        <v/>
      </c>
      <c r="AE691" s="354"/>
      <c r="AF691" s="354"/>
      <c r="AG691" s="354"/>
      <c r="AH691" s="356"/>
    </row>
    <row r="692" spans="1:35" s="1" customFormat="1" ht="15.75" customHeight="1" x14ac:dyDescent="0.15">
      <c r="A692" s="73" t="str">
        <f t="shared" si="61"/>
        <v>×</v>
      </c>
      <c r="E692" s="413"/>
      <c r="F692" s="372"/>
      <c r="G692" s="372"/>
      <c r="H692" s="353"/>
      <c r="I692" s="353"/>
      <c r="J692" s="353"/>
      <c r="K692" s="353"/>
      <c r="L692" s="103"/>
      <c r="M692" s="103"/>
      <c r="N692" s="103"/>
      <c r="O692" s="354" t="str">
        <f t="shared" si="62"/>
        <v/>
      </c>
      <c r="P692" s="354"/>
      <c r="Q692" s="354"/>
      <c r="R692" s="354"/>
      <c r="S692" s="355"/>
      <c r="T692" s="395"/>
      <c r="U692" s="372"/>
      <c r="V692" s="372"/>
      <c r="W692" s="353"/>
      <c r="X692" s="353"/>
      <c r="Y692" s="353"/>
      <c r="Z692" s="353"/>
      <c r="AA692" s="103"/>
      <c r="AB692" s="103"/>
      <c r="AC692" s="103"/>
      <c r="AD692" s="354" t="str">
        <f t="shared" si="63"/>
        <v/>
      </c>
      <c r="AE692" s="354"/>
      <c r="AF692" s="354"/>
      <c r="AG692" s="354"/>
      <c r="AH692" s="356"/>
    </row>
    <row r="693" spans="1:35" s="1" customFormat="1" ht="15.75" customHeight="1" x14ac:dyDescent="0.15">
      <c r="A693" s="73" t="str">
        <f t="shared" si="61"/>
        <v>×</v>
      </c>
      <c r="E693" s="413"/>
      <c r="F693" s="372"/>
      <c r="G693" s="372"/>
      <c r="H693" s="353"/>
      <c r="I693" s="353"/>
      <c r="J693" s="353"/>
      <c r="K693" s="353"/>
      <c r="L693" s="103"/>
      <c r="M693" s="103"/>
      <c r="N693" s="103"/>
      <c r="O693" s="354" t="str">
        <f t="shared" si="62"/>
        <v/>
      </c>
      <c r="P693" s="354"/>
      <c r="Q693" s="354"/>
      <c r="R693" s="354"/>
      <c r="S693" s="355"/>
      <c r="T693" s="395"/>
      <c r="U693" s="372"/>
      <c r="V693" s="372"/>
      <c r="W693" s="353"/>
      <c r="X693" s="353"/>
      <c r="Y693" s="353"/>
      <c r="Z693" s="353"/>
      <c r="AA693" s="103"/>
      <c r="AB693" s="103"/>
      <c r="AC693" s="103"/>
      <c r="AD693" s="354" t="str">
        <f t="shared" si="63"/>
        <v/>
      </c>
      <c r="AE693" s="354"/>
      <c r="AF693" s="354"/>
      <c r="AG693" s="354"/>
      <c r="AH693" s="356"/>
    </row>
    <row r="694" spans="1:35" s="1" customFormat="1" ht="15.75" customHeight="1" x14ac:dyDescent="0.15">
      <c r="A694" s="73" t="str">
        <f t="shared" si="61"/>
        <v>×</v>
      </c>
      <c r="E694" s="413"/>
      <c r="F694" s="372"/>
      <c r="G694" s="372"/>
      <c r="H694" s="353"/>
      <c r="I694" s="353"/>
      <c r="J694" s="353"/>
      <c r="K694" s="353"/>
      <c r="L694" s="103"/>
      <c r="M694" s="103"/>
      <c r="N694" s="103"/>
      <c r="O694" s="354" t="str">
        <f t="shared" si="62"/>
        <v/>
      </c>
      <c r="P694" s="354"/>
      <c r="Q694" s="354"/>
      <c r="R694" s="354"/>
      <c r="S694" s="355"/>
      <c r="T694" s="395"/>
      <c r="U694" s="372"/>
      <c r="V694" s="372"/>
      <c r="W694" s="353"/>
      <c r="X694" s="353"/>
      <c r="Y694" s="353"/>
      <c r="Z694" s="353"/>
      <c r="AA694" s="103"/>
      <c r="AB694" s="103"/>
      <c r="AC694" s="103"/>
      <c r="AD694" s="354" t="str">
        <f t="shared" si="63"/>
        <v/>
      </c>
      <c r="AE694" s="354"/>
      <c r="AF694" s="354"/>
      <c r="AG694" s="354"/>
      <c r="AH694" s="356"/>
    </row>
    <row r="695" spans="1:35" s="1" customFormat="1" ht="15.75" customHeight="1" x14ac:dyDescent="0.15">
      <c r="A695" s="73" t="str">
        <f t="shared" si="61"/>
        <v>×</v>
      </c>
      <c r="E695" s="413"/>
      <c r="F695" s="372"/>
      <c r="G695" s="372"/>
      <c r="H695" s="353"/>
      <c r="I695" s="353"/>
      <c r="J695" s="353"/>
      <c r="K695" s="353"/>
      <c r="L695" s="103"/>
      <c r="M695" s="103"/>
      <c r="N695" s="103"/>
      <c r="O695" s="354" t="str">
        <f t="shared" si="62"/>
        <v/>
      </c>
      <c r="P695" s="354"/>
      <c r="Q695" s="354"/>
      <c r="R695" s="354"/>
      <c r="S695" s="355"/>
      <c r="T695" s="395"/>
      <c r="U695" s="372"/>
      <c r="V695" s="372"/>
      <c r="W695" s="353"/>
      <c r="X695" s="353"/>
      <c r="Y695" s="353"/>
      <c r="Z695" s="353"/>
      <c r="AA695" s="103"/>
      <c r="AB695" s="103"/>
      <c r="AC695" s="103"/>
      <c r="AD695" s="354" t="str">
        <f t="shared" si="63"/>
        <v/>
      </c>
      <c r="AE695" s="354"/>
      <c r="AF695" s="354"/>
      <c r="AG695" s="354"/>
      <c r="AH695" s="356"/>
    </row>
    <row r="696" spans="1:35" s="1" customFormat="1" ht="15.75" customHeight="1" x14ac:dyDescent="0.15">
      <c r="A696" s="73" t="str">
        <f t="shared" si="61"/>
        <v>×</v>
      </c>
      <c r="E696" s="413"/>
      <c r="F696" s="372"/>
      <c r="G696" s="372"/>
      <c r="H696" s="353"/>
      <c r="I696" s="353"/>
      <c r="J696" s="353"/>
      <c r="K696" s="353"/>
      <c r="L696" s="103"/>
      <c r="M696" s="103"/>
      <c r="N696" s="103"/>
      <c r="O696" s="354" t="str">
        <f t="shared" si="62"/>
        <v/>
      </c>
      <c r="P696" s="354"/>
      <c r="Q696" s="354"/>
      <c r="R696" s="354"/>
      <c r="S696" s="355"/>
      <c r="T696" s="395"/>
      <c r="U696" s="372"/>
      <c r="V696" s="372"/>
      <c r="W696" s="353"/>
      <c r="X696" s="353"/>
      <c r="Y696" s="353"/>
      <c r="Z696" s="353"/>
      <c r="AA696" s="103"/>
      <c r="AB696" s="103"/>
      <c r="AC696" s="103"/>
      <c r="AD696" s="354" t="str">
        <f t="shared" si="63"/>
        <v/>
      </c>
      <c r="AE696" s="354"/>
      <c r="AF696" s="354"/>
      <c r="AG696" s="354"/>
      <c r="AH696" s="356"/>
    </row>
    <row r="697" spans="1:35" s="1" customFormat="1" ht="15.75" customHeight="1" x14ac:dyDescent="0.15">
      <c r="A697" s="73" t="str">
        <f t="shared" si="61"/>
        <v>×</v>
      </c>
      <c r="E697" s="413"/>
      <c r="F697" s="372"/>
      <c r="G697" s="372"/>
      <c r="H697" s="353"/>
      <c r="I697" s="353"/>
      <c r="J697" s="353"/>
      <c r="K697" s="353"/>
      <c r="L697" s="103"/>
      <c r="M697" s="103"/>
      <c r="N697" s="103"/>
      <c r="O697" s="354" t="str">
        <f t="shared" si="62"/>
        <v/>
      </c>
      <c r="P697" s="354"/>
      <c r="Q697" s="354"/>
      <c r="R697" s="354"/>
      <c r="S697" s="355"/>
      <c r="T697" s="395"/>
      <c r="U697" s="372"/>
      <c r="V697" s="372"/>
      <c r="W697" s="353"/>
      <c r="X697" s="353"/>
      <c r="Y697" s="353"/>
      <c r="Z697" s="353"/>
      <c r="AA697" s="103"/>
      <c r="AB697" s="103"/>
      <c r="AC697" s="103"/>
      <c r="AD697" s="354" t="str">
        <f t="shared" si="63"/>
        <v/>
      </c>
      <c r="AE697" s="354"/>
      <c r="AF697" s="354"/>
      <c r="AG697" s="354"/>
      <c r="AH697" s="356"/>
    </row>
    <row r="698" spans="1:35" s="1" customFormat="1" ht="15.75" customHeight="1" x14ac:dyDescent="0.15">
      <c r="A698" s="73" t="str">
        <f t="shared" si="61"/>
        <v>×</v>
      </c>
      <c r="E698" s="413"/>
      <c r="F698" s="372"/>
      <c r="G698" s="372"/>
      <c r="H698" s="353"/>
      <c r="I698" s="353"/>
      <c r="J698" s="353"/>
      <c r="K698" s="353"/>
      <c r="L698" s="103"/>
      <c r="M698" s="103"/>
      <c r="N698" s="103"/>
      <c r="O698" s="354" t="str">
        <f t="shared" si="62"/>
        <v/>
      </c>
      <c r="P698" s="354"/>
      <c r="Q698" s="354"/>
      <c r="R698" s="354"/>
      <c r="S698" s="355"/>
      <c r="T698" s="395"/>
      <c r="U698" s="372"/>
      <c r="V698" s="372"/>
      <c r="W698" s="353"/>
      <c r="X698" s="353"/>
      <c r="Y698" s="353"/>
      <c r="Z698" s="353"/>
      <c r="AA698" s="103"/>
      <c r="AB698" s="103"/>
      <c r="AC698" s="103"/>
      <c r="AD698" s="354" t="str">
        <f t="shared" si="63"/>
        <v/>
      </c>
      <c r="AE698" s="354"/>
      <c r="AF698" s="354"/>
      <c r="AG698" s="354"/>
      <c r="AH698" s="356"/>
    </row>
    <row r="699" spans="1:35" s="1" customFormat="1" ht="15.75" customHeight="1" x14ac:dyDescent="0.15">
      <c r="A699" s="73" t="str">
        <f t="shared" si="61"/>
        <v>×</v>
      </c>
      <c r="E699" s="413"/>
      <c r="F699" s="372"/>
      <c r="G699" s="372"/>
      <c r="H699" s="353"/>
      <c r="I699" s="353"/>
      <c r="J699" s="353"/>
      <c r="K699" s="353"/>
      <c r="L699" s="103"/>
      <c r="M699" s="103"/>
      <c r="N699" s="103"/>
      <c r="O699" s="354" t="str">
        <f t="shared" si="62"/>
        <v/>
      </c>
      <c r="P699" s="354"/>
      <c r="Q699" s="354"/>
      <c r="R699" s="354"/>
      <c r="S699" s="355"/>
      <c r="T699" s="395"/>
      <c r="U699" s="372"/>
      <c r="V699" s="372"/>
      <c r="W699" s="353"/>
      <c r="X699" s="353"/>
      <c r="Y699" s="353"/>
      <c r="Z699" s="353"/>
      <c r="AA699" s="103"/>
      <c r="AB699" s="103"/>
      <c r="AC699" s="103"/>
      <c r="AD699" s="354" t="str">
        <f t="shared" si="63"/>
        <v/>
      </c>
      <c r="AE699" s="354"/>
      <c r="AF699" s="354"/>
      <c r="AG699" s="354"/>
      <c r="AH699" s="356"/>
    </row>
    <row r="700" spans="1:35" s="1" customFormat="1" ht="15.75" customHeight="1" x14ac:dyDescent="0.15">
      <c r="A700" s="73" t="str">
        <f t="shared" si="61"/>
        <v>×</v>
      </c>
      <c r="E700" s="414"/>
      <c r="F700" s="373"/>
      <c r="G700" s="373"/>
      <c r="H700" s="357"/>
      <c r="I700" s="357"/>
      <c r="J700" s="357"/>
      <c r="K700" s="357"/>
      <c r="L700" s="104"/>
      <c r="M700" s="104"/>
      <c r="N700" s="104"/>
      <c r="O700" s="358" t="str">
        <f t="shared" si="62"/>
        <v/>
      </c>
      <c r="P700" s="358"/>
      <c r="Q700" s="358"/>
      <c r="R700" s="358"/>
      <c r="S700" s="359"/>
      <c r="T700" s="396"/>
      <c r="U700" s="373"/>
      <c r="V700" s="373"/>
      <c r="W700" s="357"/>
      <c r="X700" s="357"/>
      <c r="Y700" s="357"/>
      <c r="Z700" s="357"/>
      <c r="AA700" s="104"/>
      <c r="AB700" s="104"/>
      <c r="AC700" s="104"/>
      <c r="AD700" s="358" t="str">
        <f t="shared" si="63"/>
        <v/>
      </c>
      <c r="AE700" s="358"/>
      <c r="AF700" s="358"/>
      <c r="AG700" s="358"/>
      <c r="AH700" s="360"/>
    </row>
    <row r="701" spans="1:35" s="1" customFormat="1" ht="15.75" customHeight="1" x14ac:dyDescent="0.15">
      <c r="E701" s="8"/>
      <c r="F701" s="8"/>
      <c r="G701" s="8"/>
      <c r="H701" s="8"/>
      <c r="I701" s="8"/>
      <c r="J701" s="8"/>
      <c r="K701" s="8"/>
      <c r="L701" s="8"/>
      <c r="M701" s="8"/>
      <c r="N701" s="8"/>
      <c r="O701" s="8"/>
      <c r="P701" s="8"/>
      <c r="AA701" s="2" t="s">
        <v>127</v>
      </c>
      <c r="AB701" s="1" t="s">
        <v>548</v>
      </c>
      <c r="AC701" s="76" t="s">
        <v>27</v>
      </c>
      <c r="AD701" s="304">
        <f>AD678</f>
        <v>3.1415926535897931</v>
      </c>
      <c r="AE701" s="304"/>
      <c r="AF701" s="304"/>
      <c r="AG701" s="7" t="s">
        <v>549</v>
      </c>
      <c r="AH701" s="76" t="s">
        <v>158</v>
      </c>
    </row>
    <row r="704" spans="1:35" s="1" customFormat="1" ht="15.75" customHeight="1" x14ac:dyDescent="0.15">
      <c r="A704" s="73" t="str">
        <f>IF(A$289="","","×")</f>
        <v>×</v>
      </c>
      <c r="E704" s="61" t="s">
        <v>588</v>
      </c>
      <c r="F704" s="302"/>
      <c r="G704" s="302"/>
      <c r="H704" s="302"/>
      <c r="I704" s="61"/>
      <c r="J704" s="61"/>
      <c r="K704" s="61"/>
      <c r="L704" s="61"/>
      <c r="M704" s="61"/>
      <c r="N704" s="61"/>
      <c r="O704" s="61"/>
      <c r="P704" s="61"/>
      <c r="Q704" s="61"/>
      <c r="R704" s="61"/>
      <c r="S704" s="61"/>
      <c r="T704" s="61"/>
      <c r="U704" s="61"/>
      <c r="V704" s="61"/>
      <c r="W704" s="61"/>
      <c r="X704" s="61"/>
      <c r="Y704" s="61"/>
      <c r="Z704" s="61"/>
      <c r="AA704" s="61"/>
      <c r="AB704" s="61"/>
      <c r="AC704" s="61"/>
      <c r="AD704" s="61"/>
      <c r="AE704" s="61"/>
      <c r="AF704" s="61"/>
      <c r="AG704" s="61"/>
      <c r="AH704" s="61"/>
      <c r="AI704" s="8"/>
    </row>
    <row r="705" spans="1:34" s="1" customFormat="1" ht="15.75" customHeight="1" x14ac:dyDescent="0.15">
      <c r="A705" s="73" t="str">
        <f>IF(A$289="","","×")</f>
        <v>×</v>
      </c>
      <c r="E705" s="294" t="s">
        <v>546</v>
      </c>
      <c r="F705" s="292"/>
      <c r="G705" s="292"/>
      <c r="H705" s="292"/>
      <c r="I705" s="292"/>
      <c r="J705" s="292"/>
      <c r="K705" s="292"/>
      <c r="L705" s="292"/>
      <c r="M705" s="292"/>
      <c r="N705" s="292"/>
      <c r="O705" s="292"/>
      <c r="P705" s="292"/>
      <c r="Q705" s="292"/>
      <c r="R705" s="292"/>
      <c r="S705" s="296"/>
      <c r="T705" s="273" t="s">
        <v>547</v>
      </c>
      <c r="U705" s="131"/>
      <c r="V705" s="131"/>
      <c r="W705" s="131"/>
      <c r="X705" s="131"/>
      <c r="Y705" s="131"/>
      <c r="Z705" s="131"/>
      <c r="AA705" s="131"/>
      <c r="AB705" s="131"/>
      <c r="AC705" s="131"/>
      <c r="AD705" s="131"/>
      <c r="AE705" s="131"/>
      <c r="AF705" s="131"/>
      <c r="AG705" s="131"/>
      <c r="AH705" s="132"/>
    </row>
    <row r="706" spans="1:34" s="1" customFormat="1" ht="15.75" customHeight="1" x14ac:dyDescent="0.15">
      <c r="A706" s="73" t="str">
        <f>IF(A$289="","","×")</f>
        <v>×</v>
      </c>
      <c r="E706" s="159" t="s">
        <v>78</v>
      </c>
      <c r="F706" s="160"/>
      <c r="G706" s="160"/>
      <c r="H706" s="160" t="s">
        <v>204</v>
      </c>
      <c r="I706" s="160"/>
      <c r="J706" s="160"/>
      <c r="K706" s="160"/>
      <c r="L706" s="291" t="s">
        <v>203</v>
      </c>
      <c r="M706" s="161"/>
      <c r="N706" s="161"/>
      <c r="O706" s="160" t="s">
        <v>545</v>
      </c>
      <c r="P706" s="160"/>
      <c r="Q706" s="160"/>
      <c r="R706" s="160"/>
      <c r="S706" s="223"/>
      <c r="T706" s="213" t="s">
        <v>78</v>
      </c>
      <c r="U706" s="160"/>
      <c r="V706" s="160"/>
      <c r="W706" s="160" t="s">
        <v>204</v>
      </c>
      <c r="X706" s="160"/>
      <c r="Y706" s="160"/>
      <c r="Z706" s="160"/>
      <c r="AA706" s="291" t="s">
        <v>203</v>
      </c>
      <c r="AB706" s="161"/>
      <c r="AC706" s="161"/>
      <c r="AD706" s="160" t="s">
        <v>545</v>
      </c>
      <c r="AE706" s="160"/>
      <c r="AF706" s="160"/>
      <c r="AG706" s="160"/>
      <c r="AH706" s="223"/>
    </row>
    <row r="707" spans="1:34" s="1" customFormat="1" ht="15.75" customHeight="1" x14ac:dyDescent="0.15">
      <c r="A707" s="73" t="str">
        <f>IF(A$289="","","×")</f>
        <v>×</v>
      </c>
      <c r="E707" s="295"/>
      <c r="F707" s="156"/>
      <c r="G707" s="156"/>
      <c r="H707" s="156"/>
      <c r="I707" s="156"/>
      <c r="J707" s="156"/>
      <c r="K707" s="156"/>
      <c r="L707" s="163"/>
      <c r="M707" s="163"/>
      <c r="N707" s="163"/>
      <c r="O707" s="156"/>
      <c r="P707" s="156"/>
      <c r="Q707" s="156"/>
      <c r="R707" s="156"/>
      <c r="S707" s="267"/>
      <c r="T707" s="290"/>
      <c r="U707" s="156"/>
      <c r="V707" s="156"/>
      <c r="W707" s="156"/>
      <c r="X707" s="156"/>
      <c r="Y707" s="156"/>
      <c r="Z707" s="156"/>
      <c r="AA707" s="163"/>
      <c r="AB707" s="163"/>
      <c r="AC707" s="163"/>
      <c r="AD707" s="156"/>
      <c r="AE707" s="156"/>
      <c r="AF707" s="156"/>
      <c r="AG707" s="156"/>
      <c r="AH707" s="267"/>
    </row>
    <row r="708" spans="1:34" s="1" customFormat="1" ht="15.75" customHeight="1" x14ac:dyDescent="0.15">
      <c r="A708" s="73" t="str">
        <f>IF(A$289="",IF(LEN(E708)+LEN(T708)=0,"×",""),"×")</f>
        <v>×</v>
      </c>
      <c r="E708" s="412">
        <v>3</v>
      </c>
      <c r="F708" s="398"/>
      <c r="G708" s="398"/>
      <c r="H708" s="349">
        <v>0</v>
      </c>
      <c r="I708" s="349"/>
      <c r="J708" s="349"/>
      <c r="K708" s="349"/>
      <c r="L708" s="125">
        <v>3</v>
      </c>
      <c r="M708" s="125"/>
      <c r="N708" s="125"/>
      <c r="O708" s="350">
        <f>IF(H708="","",H708*AD$724)</f>
        <v>0</v>
      </c>
      <c r="P708" s="350"/>
      <c r="Q708" s="350"/>
      <c r="R708" s="350"/>
      <c r="S708" s="351"/>
      <c r="T708" s="397">
        <v>3</v>
      </c>
      <c r="U708" s="398"/>
      <c r="V708" s="398"/>
      <c r="W708" s="349">
        <v>0</v>
      </c>
      <c r="X708" s="349"/>
      <c r="Y708" s="349"/>
      <c r="Z708" s="349"/>
      <c r="AA708" s="125">
        <v>3</v>
      </c>
      <c r="AB708" s="125"/>
      <c r="AC708" s="125"/>
      <c r="AD708" s="350">
        <f>IF(W708="","",W708*AD$724)</f>
        <v>0</v>
      </c>
      <c r="AE708" s="350"/>
      <c r="AF708" s="350"/>
      <c r="AG708" s="350"/>
      <c r="AH708" s="352"/>
    </row>
    <row r="709" spans="1:34" s="1" customFormat="1" ht="15.75" customHeight="1" x14ac:dyDescent="0.15">
      <c r="A709" s="73" t="str">
        <f t="shared" ref="A709:A723" si="64">IF(A$289="",IF(LEN(E709)+LEN(T709)=0,"×",""),"×")</f>
        <v>×</v>
      </c>
      <c r="E709" s="413">
        <v>4</v>
      </c>
      <c r="F709" s="372"/>
      <c r="G709" s="372"/>
      <c r="H709" s="353">
        <v>0</v>
      </c>
      <c r="I709" s="353"/>
      <c r="J709" s="353"/>
      <c r="K709" s="353"/>
      <c r="L709" s="103">
        <v>0.53999996185302734</v>
      </c>
      <c r="M709" s="103"/>
      <c r="N709" s="103"/>
      <c r="O709" s="354">
        <f t="shared" ref="O709:O723" si="65">IF(H709="","",H709*AD$724)</f>
        <v>0</v>
      </c>
      <c r="P709" s="354"/>
      <c r="Q709" s="354"/>
      <c r="R709" s="354"/>
      <c r="S709" s="355"/>
      <c r="T709" s="395">
        <v>4</v>
      </c>
      <c r="U709" s="372"/>
      <c r="V709" s="372"/>
      <c r="W709" s="353">
        <v>0</v>
      </c>
      <c r="X709" s="353"/>
      <c r="Y709" s="353"/>
      <c r="Z709" s="353"/>
      <c r="AA709" s="103">
        <v>0.53999996185302734</v>
      </c>
      <c r="AB709" s="103"/>
      <c r="AC709" s="103"/>
      <c r="AD709" s="354">
        <f t="shared" ref="AD709:AD723" si="66">IF(W709="","",W709*AD$724)</f>
        <v>0</v>
      </c>
      <c r="AE709" s="354"/>
      <c r="AF709" s="354"/>
      <c r="AG709" s="354"/>
      <c r="AH709" s="356"/>
    </row>
    <row r="710" spans="1:34" s="1" customFormat="1" ht="15.75" customHeight="1" x14ac:dyDescent="0.15">
      <c r="A710" s="73" t="str">
        <f t="shared" si="64"/>
        <v>×</v>
      </c>
      <c r="E710" s="413">
        <v>4</v>
      </c>
      <c r="F710" s="372"/>
      <c r="G710" s="372"/>
      <c r="H710" s="353">
        <v>5724</v>
      </c>
      <c r="I710" s="353"/>
      <c r="J710" s="353"/>
      <c r="K710" s="353"/>
      <c r="L710" s="103">
        <v>4.4600000381469727</v>
      </c>
      <c r="M710" s="103"/>
      <c r="N710" s="103"/>
      <c r="O710" s="354">
        <f t="shared" si="65"/>
        <v>17982.476349147975</v>
      </c>
      <c r="P710" s="354"/>
      <c r="Q710" s="354"/>
      <c r="R710" s="354"/>
      <c r="S710" s="355"/>
      <c r="T710" s="395">
        <v>4</v>
      </c>
      <c r="U710" s="372"/>
      <c r="V710" s="372"/>
      <c r="W710" s="353">
        <v>5724</v>
      </c>
      <c r="X710" s="353"/>
      <c r="Y710" s="353"/>
      <c r="Z710" s="353"/>
      <c r="AA710" s="103">
        <v>4.4600000381469727</v>
      </c>
      <c r="AB710" s="103"/>
      <c r="AC710" s="103"/>
      <c r="AD710" s="354">
        <f t="shared" si="66"/>
        <v>17982.476349147975</v>
      </c>
      <c r="AE710" s="354"/>
      <c r="AF710" s="354"/>
      <c r="AG710" s="354"/>
      <c r="AH710" s="356"/>
    </row>
    <row r="711" spans="1:34" s="1" customFormat="1" ht="15.75" customHeight="1" x14ac:dyDescent="0.15">
      <c r="A711" s="73" t="str">
        <f t="shared" si="64"/>
        <v>×</v>
      </c>
      <c r="E711" s="413">
        <v>5</v>
      </c>
      <c r="F711" s="372"/>
      <c r="G711" s="372"/>
      <c r="H711" s="353">
        <v>6514</v>
      </c>
      <c r="I711" s="353"/>
      <c r="J711" s="353"/>
      <c r="K711" s="353"/>
      <c r="L711" s="103">
        <v>8</v>
      </c>
      <c r="M711" s="103"/>
      <c r="N711" s="103"/>
      <c r="O711" s="354">
        <f t="shared" si="65"/>
        <v>20464.334545483911</v>
      </c>
      <c r="P711" s="354"/>
      <c r="Q711" s="354"/>
      <c r="R711" s="354"/>
      <c r="S711" s="355"/>
      <c r="T711" s="395">
        <v>5</v>
      </c>
      <c r="U711" s="372"/>
      <c r="V711" s="372"/>
      <c r="W711" s="353">
        <v>6514</v>
      </c>
      <c r="X711" s="353"/>
      <c r="Y711" s="353"/>
      <c r="Z711" s="353"/>
      <c r="AA711" s="103">
        <v>8</v>
      </c>
      <c r="AB711" s="103"/>
      <c r="AC711" s="103"/>
      <c r="AD711" s="354">
        <f t="shared" si="66"/>
        <v>20464.334545483911</v>
      </c>
      <c r="AE711" s="354"/>
      <c r="AF711" s="354"/>
      <c r="AG711" s="354"/>
      <c r="AH711" s="356"/>
    </row>
    <row r="712" spans="1:34" s="1" customFormat="1" ht="15.75" customHeight="1" x14ac:dyDescent="0.15">
      <c r="A712" s="73" t="str">
        <f t="shared" si="64"/>
        <v>×</v>
      </c>
      <c r="E712" s="413">
        <v>6</v>
      </c>
      <c r="F712" s="372"/>
      <c r="G712" s="372"/>
      <c r="H712" s="353">
        <v>9288</v>
      </c>
      <c r="I712" s="353"/>
      <c r="J712" s="353"/>
      <c r="K712" s="353"/>
      <c r="L712" s="103">
        <v>4</v>
      </c>
      <c r="M712" s="103"/>
      <c r="N712" s="103"/>
      <c r="O712" s="354">
        <f t="shared" si="65"/>
        <v>29179.112566541997</v>
      </c>
      <c r="P712" s="354"/>
      <c r="Q712" s="354"/>
      <c r="R712" s="354"/>
      <c r="S712" s="355"/>
      <c r="T712" s="395">
        <v>6</v>
      </c>
      <c r="U712" s="372"/>
      <c r="V712" s="372"/>
      <c r="W712" s="353">
        <v>9288</v>
      </c>
      <c r="X712" s="353"/>
      <c r="Y712" s="353"/>
      <c r="Z712" s="353"/>
      <c r="AA712" s="103">
        <v>4.5</v>
      </c>
      <c r="AB712" s="103"/>
      <c r="AC712" s="103"/>
      <c r="AD712" s="354">
        <f t="shared" si="66"/>
        <v>29179.112566541997</v>
      </c>
      <c r="AE712" s="354"/>
      <c r="AF712" s="354"/>
      <c r="AG712" s="354"/>
      <c r="AH712" s="356"/>
    </row>
    <row r="713" spans="1:34" s="1" customFormat="1" ht="15.75" customHeight="1" x14ac:dyDescent="0.15">
      <c r="A713" s="73" t="str">
        <f t="shared" si="64"/>
        <v>×</v>
      </c>
      <c r="E713" s="413">
        <v>6</v>
      </c>
      <c r="F713" s="372"/>
      <c r="G713" s="372"/>
      <c r="H713" s="353">
        <v>0</v>
      </c>
      <c r="I713" s="353"/>
      <c r="J713" s="353"/>
      <c r="K713" s="353"/>
      <c r="L713" s="103">
        <v>0.5</v>
      </c>
      <c r="M713" s="103"/>
      <c r="N713" s="103"/>
      <c r="O713" s="354">
        <f t="shared" si="65"/>
        <v>0</v>
      </c>
      <c r="P713" s="354"/>
      <c r="Q713" s="354"/>
      <c r="R713" s="354"/>
      <c r="S713" s="355"/>
      <c r="T713" s="395">
        <v>7</v>
      </c>
      <c r="U713" s="372"/>
      <c r="V713" s="372"/>
      <c r="W713" s="353">
        <v>18352</v>
      </c>
      <c r="X713" s="353"/>
      <c r="Y713" s="353"/>
      <c r="Z713" s="353"/>
      <c r="AA713" s="103">
        <v>0.5</v>
      </c>
      <c r="AB713" s="103"/>
      <c r="AC713" s="103"/>
      <c r="AD713" s="354">
        <f t="shared" si="66"/>
        <v>57654.508378679886</v>
      </c>
      <c r="AE713" s="354"/>
      <c r="AF713" s="354"/>
      <c r="AG713" s="354"/>
      <c r="AH713" s="356"/>
    </row>
    <row r="714" spans="1:34" s="1" customFormat="1" ht="15.75" customHeight="1" x14ac:dyDescent="0.15">
      <c r="A714" s="73" t="str">
        <f t="shared" si="64"/>
        <v>×</v>
      </c>
      <c r="E714" s="413">
        <v>7</v>
      </c>
      <c r="F714" s="372"/>
      <c r="G714" s="372"/>
      <c r="H714" s="353">
        <v>0</v>
      </c>
      <c r="I714" s="353"/>
      <c r="J714" s="353"/>
      <c r="K714" s="353"/>
      <c r="L714" s="103">
        <v>0.5</v>
      </c>
      <c r="M714" s="103"/>
      <c r="N714" s="103"/>
      <c r="O714" s="354">
        <f t="shared" si="65"/>
        <v>0</v>
      </c>
      <c r="P714" s="354"/>
      <c r="Q714" s="354"/>
      <c r="R714" s="354"/>
      <c r="S714" s="355"/>
      <c r="T714" s="395"/>
      <c r="U714" s="372"/>
      <c r="V714" s="372"/>
      <c r="W714" s="353"/>
      <c r="X714" s="353"/>
      <c r="Y714" s="353"/>
      <c r="Z714" s="353"/>
      <c r="AA714" s="103"/>
      <c r="AB714" s="103"/>
      <c r="AC714" s="103"/>
      <c r="AD714" s="354" t="str">
        <f t="shared" si="66"/>
        <v/>
      </c>
      <c r="AE714" s="354"/>
      <c r="AF714" s="354"/>
      <c r="AG714" s="354"/>
      <c r="AH714" s="356"/>
    </row>
    <row r="715" spans="1:34" s="1" customFormat="1" ht="15.75" customHeight="1" x14ac:dyDescent="0.15">
      <c r="A715" s="73" t="str">
        <f t="shared" si="64"/>
        <v>×</v>
      </c>
      <c r="E715" s="413"/>
      <c r="F715" s="372"/>
      <c r="G715" s="372"/>
      <c r="H715" s="353"/>
      <c r="I715" s="353"/>
      <c r="J715" s="353"/>
      <c r="K715" s="353"/>
      <c r="L715" s="103"/>
      <c r="M715" s="103"/>
      <c r="N715" s="103"/>
      <c r="O715" s="354" t="str">
        <f t="shared" si="65"/>
        <v/>
      </c>
      <c r="P715" s="354"/>
      <c r="Q715" s="354"/>
      <c r="R715" s="354"/>
      <c r="S715" s="355"/>
      <c r="T715" s="395"/>
      <c r="U715" s="372"/>
      <c r="V715" s="372"/>
      <c r="W715" s="353"/>
      <c r="X715" s="353"/>
      <c r="Y715" s="353"/>
      <c r="Z715" s="353"/>
      <c r="AA715" s="103"/>
      <c r="AB715" s="103"/>
      <c r="AC715" s="103"/>
      <c r="AD715" s="354" t="str">
        <f t="shared" si="66"/>
        <v/>
      </c>
      <c r="AE715" s="354"/>
      <c r="AF715" s="354"/>
      <c r="AG715" s="354"/>
      <c r="AH715" s="356"/>
    </row>
    <row r="716" spans="1:34" s="1" customFormat="1" ht="15.75" customHeight="1" x14ac:dyDescent="0.15">
      <c r="A716" s="73" t="str">
        <f t="shared" si="64"/>
        <v>×</v>
      </c>
      <c r="E716" s="413"/>
      <c r="F716" s="372"/>
      <c r="G716" s="372"/>
      <c r="H716" s="353"/>
      <c r="I716" s="353"/>
      <c r="J716" s="353"/>
      <c r="K716" s="353"/>
      <c r="L716" s="103"/>
      <c r="M716" s="103"/>
      <c r="N716" s="103"/>
      <c r="O716" s="354" t="str">
        <f t="shared" si="65"/>
        <v/>
      </c>
      <c r="P716" s="354"/>
      <c r="Q716" s="354"/>
      <c r="R716" s="354"/>
      <c r="S716" s="355"/>
      <c r="T716" s="395"/>
      <c r="U716" s="372"/>
      <c r="V716" s="372"/>
      <c r="W716" s="353"/>
      <c r="X716" s="353"/>
      <c r="Y716" s="353"/>
      <c r="Z716" s="353"/>
      <c r="AA716" s="103"/>
      <c r="AB716" s="103"/>
      <c r="AC716" s="103"/>
      <c r="AD716" s="354" t="str">
        <f t="shared" si="66"/>
        <v/>
      </c>
      <c r="AE716" s="354"/>
      <c r="AF716" s="354"/>
      <c r="AG716" s="354"/>
      <c r="AH716" s="356"/>
    </row>
    <row r="717" spans="1:34" s="1" customFormat="1" ht="15.75" customHeight="1" x14ac:dyDescent="0.15">
      <c r="A717" s="73" t="str">
        <f t="shared" si="64"/>
        <v>×</v>
      </c>
      <c r="E717" s="413"/>
      <c r="F717" s="372"/>
      <c r="G717" s="372"/>
      <c r="H717" s="353"/>
      <c r="I717" s="353"/>
      <c r="J717" s="353"/>
      <c r="K717" s="353"/>
      <c r="L717" s="103"/>
      <c r="M717" s="103"/>
      <c r="N717" s="103"/>
      <c r="O717" s="354" t="str">
        <f t="shared" si="65"/>
        <v/>
      </c>
      <c r="P717" s="354"/>
      <c r="Q717" s="354"/>
      <c r="R717" s="354"/>
      <c r="S717" s="355"/>
      <c r="T717" s="395"/>
      <c r="U717" s="372"/>
      <c r="V717" s="372"/>
      <c r="W717" s="353"/>
      <c r="X717" s="353"/>
      <c r="Y717" s="353"/>
      <c r="Z717" s="353"/>
      <c r="AA717" s="103"/>
      <c r="AB717" s="103"/>
      <c r="AC717" s="103"/>
      <c r="AD717" s="354" t="str">
        <f t="shared" si="66"/>
        <v/>
      </c>
      <c r="AE717" s="354"/>
      <c r="AF717" s="354"/>
      <c r="AG717" s="354"/>
      <c r="AH717" s="356"/>
    </row>
    <row r="718" spans="1:34" s="1" customFormat="1" ht="15.75" customHeight="1" x14ac:dyDescent="0.15">
      <c r="A718" s="73" t="str">
        <f t="shared" si="64"/>
        <v>×</v>
      </c>
      <c r="E718" s="413"/>
      <c r="F718" s="372"/>
      <c r="G718" s="372"/>
      <c r="H718" s="353"/>
      <c r="I718" s="353"/>
      <c r="J718" s="353"/>
      <c r="K718" s="353"/>
      <c r="L718" s="103"/>
      <c r="M718" s="103"/>
      <c r="N718" s="103"/>
      <c r="O718" s="354" t="str">
        <f t="shared" si="65"/>
        <v/>
      </c>
      <c r="P718" s="354"/>
      <c r="Q718" s="354"/>
      <c r="R718" s="354"/>
      <c r="S718" s="355"/>
      <c r="T718" s="395"/>
      <c r="U718" s="372"/>
      <c r="V718" s="372"/>
      <c r="W718" s="353"/>
      <c r="X718" s="353"/>
      <c r="Y718" s="353"/>
      <c r="Z718" s="353"/>
      <c r="AA718" s="103"/>
      <c r="AB718" s="103"/>
      <c r="AC718" s="103"/>
      <c r="AD718" s="354" t="str">
        <f t="shared" si="66"/>
        <v/>
      </c>
      <c r="AE718" s="354"/>
      <c r="AF718" s="354"/>
      <c r="AG718" s="354"/>
      <c r="AH718" s="356"/>
    </row>
    <row r="719" spans="1:34" s="1" customFormat="1" ht="15.75" customHeight="1" x14ac:dyDescent="0.15">
      <c r="A719" s="73" t="str">
        <f t="shared" si="64"/>
        <v>×</v>
      </c>
      <c r="E719" s="413"/>
      <c r="F719" s="372"/>
      <c r="G719" s="372"/>
      <c r="H719" s="353"/>
      <c r="I719" s="353"/>
      <c r="J719" s="353"/>
      <c r="K719" s="353"/>
      <c r="L719" s="103"/>
      <c r="M719" s="103"/>
      <c r="N719" s="103"/>
      <c r="O719" s="354" t="str">
        <f t="shared" si="65"/>
        <v/>
      </c>
      <c r="P719" s="354"/>
      <c r="Q719" s="354"/>
      <c r="R719" s="354"/>
      <c r="S719" s="355"/>
      <c r="T719" s="395"/>
      <c r="U719" s="372"/>
      <c r="V719" s="372"/>
      <c r="W719" s="353"/>
      <c r="X719" s="353"/>
      <c r="Y719" s="353"/>
      <c r="Z719" s="353"/>
      <c r="AA719" s="103"/>
      <c r="AB719" s="103"/>
      <c r="AC719" s="103"/>
      <c r="AD719" s="354" t="str">
        <f t="shared" si="66"/>
        <v/>
      </c>
      <c r="AE719" s="354"/>
      <c r="AF719" s="354"/>
      <c r="AG719" s="354"/>
      <c r="AH719" s="356"/>
    </row>
    <row r="720" spans="1:34" s="1" customFormat="1" ht="15.75" customHeight="1" x14ac:dyDescent="0.15">
      <c r="A720" s="73" t="str">
        <f t="shared" si="64"/>
        <v>×</v>
      </c>
      <c r="E720" s="413"/>
      <c r="F720" s="372"/>
      <c r="G720" s="372"/>
      <c r="H720" s="353"/>
      <c r="I720" s="353"/>
      <c r="J720" s="353"/>
      <c r="K720" s="353"/>
      <c r="L720" s="103"/>
      <c r="M720" s="103"/>
      <c r="N720" s="103"/>
      <c r="O720" s="354" t="str">
        <f t="shared" si="65"/>
        <v/>
      </c>
      <c r="P720" s="354"/>
      <c r="Q720" s="354"/>
      <c r="R720" s="354"/>
      <c r="S720" s="355"/>
      <c r="T720" s="395"/>
      <c r="U720" s="372"/>
      <c r="V720" s="372"/>
      <c r="W720" s="353"/>
      <c r="X720" s="353"/>
      <c r="Y720" s="353"/>
      <c r="Z720" s="353"/>
      <c r="AA720" s="103"/>
      <c r="AB720" s="103"/>
      <c r="AC720" s="103"/>
      <c r="AD720" s="354" t="str">
        <f t="shared" si="66"/>
        <v/>
      </c>
      <c r="AE720" s="354"/>
      <c r="AF720" s="354"/>
      <c r="AG720" s="354"/>
      <c r="AH720" s="356"/>
    </row>
    <row r="721" spans="1:35" s="1" customFormat="1" ht="15.75" customHeight="1" x14ac:dyDescent="0.15">
      <c r="A721" s="73" t="str">
        <f t="shared" si="64"/>
        <v>×</v>
      </c>
      <c r="E721" s="413"/>
      <c r="F721" s="372"/>
      <c r="G721" s="372"/>
      <c r="H721" s="353"/>
      <c r="I721" s="353"/>
      <c r="J721" s="353"/>
      <c r="K721" s="353"/>
      <c r="L721" s="103"/>
      <c r="M721" s="103"/>
      <c r="N721" s="103"/>
      <c r="O721" s="354" t="str">
        <f t="shared" si="65"/>
        <v/>
      </c>
      <c r="P721" s="354"/>
      <c r="Q721" s="354"/>
      <c r="R721" s="354"/>
      <c r="S721" s="355"/>
      <c r="T721" s="395"/>
      <c r="U721" s="372"/>
      <c r="V721" s="372"/>
      <c r="W721" s="353"/>
      <c r="X721" s="353"/>
      <c r="Y721" s="353"/>
      <c r="Z721" s="353"/>
      <c r="AA721" s="103"/>
      <c r="AB721" s="103"/>
      <c r="AC721" s="103"/>
      <c r="AD721" s="354" t="str">
        <f t="shared" si="66"/>
        <v/>
      </c>
      <c r="AE721" s="354"/>
      <c r="AF721" s="354"/>
      <c r="AG721" s="354"/>
      <c r="AH721" s="356"/>
    </row>
    <row r="722" spans="1:35" s="1" customFormat="1" ht="15.75" customHeight="1" x14ac:dyDescent="0.15">
      <c r="A722" s="73" t="str">
        <f t="shared" si="64"/>
        <v>×</v>
      </c>
      <c r="E722" s="413"/>
      <c r="F722" s="372"/>
      <c r="G722" s="372"/>
      <c r="H722" s="353"/>
      <c r="I722" s="353"/>
      <c r="J722" s="353"/>
      <c r="K722" s="353"/>
      <c r="L722" s="103"/>
      <c r="M722" s="103"/>
      <c r="N722" s="103"/>
      <c r="O722" s="354" t="str">
        <f t="shared" si="65"/>
        <v/>
      </c>
      <c r="P722" s="354"/>
      <c r="Q722" s="354"/>
      <c r="R722" s="354"/>
      <c r="S722" s="355"/>
      <c r="T722" s="395"/>
      <c r="U722" s="372"/>
      <c r="V722" s="372"/>
      <c r="W722" s="353"/>
      <c r="X722" s="353"/>
      <c r="Y722" s="353"/>
      <c r="Z722" s="353"/>
      <c r="AA722" s="103"/>
      <c r="AB722" s="103"/>
      <c r="AC722" s="103"/>
      <c r="AD722" s="354" t="str">
        <f t="shared" si="66"/>
        <v/>
      </c>
      <c r="AE722" s="354"/>
      <c r="AF722" s="354"/>
      <c r="AG722" s="354"/>
      <c r="AH722" s="356"/>
    </row>
    <row r="723" spans="1:35" s="1" customFormat="1" ht="15.75" customHeight="1" x14ac:dyDescent="0.15">
      <c r="A723" s="73" t="str">
        <f t="shared" si="64"/>
        <v>×</v>
      </c>
      <c r="E723" s="414"/>
      <c r="F723" s="373"/>
      <c r="G723" s="373"/>
      <c r="H723" s="357"/>
      <c r="I723" s="357"/>
      <c r="J723" s="357"/>
      <c r="K723" s="357"/>
      <c r="L723" s="104"/>
      <c r="M723" s="104"/>
      <c r="N723" s="104"/>
      <c r="O723" s="358" t="str">
        <f t="shared" si="65"/>
        <v/>
      </c>
      <c r="P723" s="358"/>
      <c r="Q723" s="358"/>
      <c r="R723" s="358"/>
      <c r="S723" s="359"/>
      <c r="T723" s="396"/>
      <c r="U723" s="373"/>
      <c r="V723" s="373"/>
      <c r="W723" s="357"/>
      <c r="X723" s="357"/>
      <c r="Y723" s="357"/>
      <c r="Z723" s="357"/>
      <c r="AA723" s="104"/>
      <c r="AB723" s="104"/>
      <c r="AC723" s="104"/>
      <c r="AD723" s="358" t="str">
        <f t="shared" si="66"/>
        <v/>
      </c>
      <c r="AE723" s="358"/>
      <c r="AF723" s="358"/>
      <c r="AG723" s="358"/>
      <c r="AH723" s="360"/>
    </row>
    <row r="724" spans="1:35" s="1" customFormat="1" ht="15.75" customHeight="1" x14ac:dyDescent="0.15">
      <c r="A724" s="73" t="str">
        <f>IF(A$289="","","×")</f>
        <v>×</v>
      </c>
      <c r="E724" s="8"/>
      <c r="F724" s="8"/>
      <c r="G724" s="8"/>
      <c r="H724" s="8"/>
      <c r="I724" s="8"/>
      <c r="J724" s="8"/>
      <c r="K724" s="8"/>
      <c r="L724" s="8"/>
      <c r="M724" s="8"/>
      <c r="N724" s="8"/>
      <c r="O724" s="8"/>
      <c r="P724" s="8"/>
      <c r="AA724" s="2" t="s">
        <v>127</v>
      </c>
      <c r="AB724" s="1" t="s">
        <v>548</v>
      </c>
      <c r="AC724" s="76" t="s">
        <v>27</v>
      </c>
      <c r="AD724" s="304">
        <f>AD701</f>
        <v>3.1415926535897931</v>
      </c>
      <c r="AE724" s="304"/>
      <c r="AF724" s="304"/>
      <c r="AG724" s="7" t="s">
        <v>549</v>
      </c>
      <c r="AH724" s="76" t="s">
        <v>158</v>
      </c>
    </row>
    <row r="725" spans="1:35" ht="15.75" customHeight="1" x14ac:dyDescent="0.15">
      <c r="A725" s="73" t="str">
        <f>IF(A$289="","","×")</f>
        <v>×</v>
      </c>
    </row>
    <row r="727" spans="1:35" s="1" customFormat="1" ht="15.75" customHeight="1" x14ac:dyDescent="0.15">
      <c r="A727" s="73" t="str">
        <f>IF(A$311="","","×")</f>
        <v>×</v>
      </c>
      <c r="E727" s="61" t="s">
        <v>589</v>
      </c>
      <c r="F727" s="302"/>
      <c r="G727" s="302"/>
      <c r="H727" s="302"/>
      <c r="I727" s="61"/>
      <c r="J727" s="61"/>
      <c r="K727" s="61"/>
      <c r="L727" s="61"/>
      <c r="M727" s="61"/>
      <c r="N727" s="61"/>
      <c r="O727" s="61"/>
      <c r="P727" s="61"/>
      <c r="Q727" s="61"/>
      <c r="R727" s="61"/>
      <c r="S727" s="61"/>
      <c r="T727" s="61"/>
      <c r="U727" s="61"/>
      <c r="V727" s="61"/>
      <c r="W727" s="61"/>
      <c r="X727" s="61"/>
      <c r="Y727" s="61"/>
      <c r="Z727" s="61"/>
      <c r="AA727" s="61"/>
      <c r="AB727" s="61"/>
      <c r="AC727" s="61"/>
      <c r="AD727" s="61"/>
      <c r="AE727" s="61"/>
      <c r="AF727" s="61"/>
      <c r="AG727" s="61"/>
      <c r="AH727" s="61"/>
      <c r="AI727" s="8"/>
    </row>
    <row r="728" spans="1:35" s="1" customFormat="1" ht="15.75" customHeight="1" x14ac:dyDescent="0.15">
      <c r="A728" s="73" t="str">
        <f>IF(A$311="","","×")</f>
        <v>×</v>
      </c>
      <c r="E728" s="294" t="s">
        <v>546</v>
      </c>
      <c r="F728" s="292"/>
      <c r="G728" s="292"/>
      <c r="H728" s="292"/>
      <c r="I728" s="292"/>
      <c r="J728" s="292"/>
      <c r="K728" s="292"/>
      <c r="L728" s="292"/>
      <c r="M728" s="292"/>
      <c r="N728" s="292"/>
      <c r="O728" s="292"/>
      <c r="P728" s="292"/>
      <c r="Q728" s="292"/>
      <c r="R728" s="292"/>
      <c r="S728" s="296"/>
      <c r="T728" s="273" t="s">
        <v>547</v>
      </c>
      <c r="U728" s="131"/>
      <c r="V728" s="131"/>
      <c r="W728" s="131"/>
      <c r="X728" s="131"/>
      <c r="Y728" s="131"/>
      <c r="Z728" s="131"/>
      <c r="AA728" s="131"/>
      <c r="AB728" s="131"/>
      <c r="AC728" s="131"/>
      <c r="AD728" s="131"/>
      <c r="AE728" s="131"/>
      <c r="AF728" s="131"/>
      <c r="AG728" s="131"/>
      <c r="AH728" s="132"/>
    </row>
    <row r="729" spans="1:35" s="1" customFormat="1" ht="15.75" customHeight="1" x14ac:dyDescent="0.15">
      <c r="A729" s="73" t="str">
        <f>IF(A$311="","","×")</f>
        <v>×</v>
      </c>
      <c r="E729" s="159" t="s">
        <v>78</v>
      </c>
      <c r="F729" s="160"/>
      <c r="G729" s="160"/>
      <c r="H729" s="160" t="s">
        <v>204</v>
      </c>
      <c r="I729" s="160"/>
      <c r="J729" s="160"/>
      <c r="K729" s="160"/>
      <c r="L729" s="291" t="s">
        <v>203</v>
      </c>
      <c r="M729" s="161"/>
      <c r="N729" s="161"/>
      <c r="O729" s="160" t="s">
        <v>545</v>
      </c>
      <c r="P729" s="160"/>
      <c r="Q729" s="160"/>
      <c r="R729" s="160"/>
      <c r="S729" s="223"/>
      <c r="T729" s="213" t="s">
        <v>78</v>
      </c>
      <c r="U729" s="160"/>
      <c r="V729" s="160"/>
      <c r="W729" s="160" t="s">
        <v>204</v>
      </c>
      <c r="X729" s="160"/>
      <c r="Y729" s="160"/>
      <c r="Z729" s="160"/>
      <c r="AA729" s="291" t="s">
        <v>203</v>
      </c>
      <c r="AB729" s="161"/>
      <c r="AC729" s="161"/>
      <c r="AD729" s="160" t="s">
        <v>545</v>
      </c>
      <c r="AE729" s="160"/>
      <c r="AF729" s="160"/>
      <c r="AG729" s="160"/>
      <c r="AH729" s="223"/>
    </row>
    <row r="730" spans="1:35" s="1" customFormat="1" ht="15.75" customHeight="1" x14ac:dyDescent="0.15">
      <c r="A730" s="73" t="str">
        <f>IF(A$311="","","×")</f>
        <v>×</v>
      </c>
      <c r="E730" s="295"/>
      <c r="F730" s="156"/>
      <c r="G730" s="156"/>
      <c r="H730" s="156"/>
      <c r="I730" s="156"/>
      <c r="J730" s="156"/>
      <c r="K730" s="156"/>
      <c r="L730" s="163"/>
      <c r="M730" s="163"/>
      <c r="N730" s="163"/>
      <c r="O730" s="156"/>
      <c r="P730" s="156"/>
      <c r="Q730" s="156"/>
      <c r="R730" s="156"/>
      <c r="S730" s="267"/>
      <c r="T730" s="290"/>
      <c r="U730" s="156"/>
      <c r="V730" s="156"/>
      <c r="W730" s="156"/>
      <c r="X730" s="156"/>
      <c r="Y730" s="156"/>
      <c r="Z730" s="156"/>
      <c r="AA730" s="163"/>
      <c r="AB730" s="163"/>
      <c r="AC730" s="163"/>
      <c r="AD730" s="156"/>
      <c r="AE730" s="156"/>
      <c r="AF730" s="156"/>
      <c r="AG730" s="156"/>
      <c r="AH730" s="267"/>
    </row>
    <row r="731" spans="1:35" s="1" customFormat="1" ht="15.75" customHeight="1" x14ac:dyDescent="0.15">
      <c r="A731" s="73" t="str">
        <f>IF(A$311="",IF(LEN(E731)+LEN(T731)=0,"×",""),"×")</f>
        <v>×</v>
      </c>
      <c r="E731" s="412">
        <v>3</v>
      </c>
      <c r="F731" s="398"/>
      <c r="G731" s="398"/>
      <c r="H731" s="349">
        <v>0</v>
      </c>
      <c r="I731" s="349"/>
      <c r="J731" s="349"/>
      <c r="K731" s="349"/>
      <c r="L731" s="125">
        <v>3</v>
      </c>
      <c r="M731" s="125"/>
      <c r="N731" s="125"/>
      <c r="O731" s="350">
        <f>IF(H731="","",H731*AD$747)</f>
        <v>0</v>
      </c>
      <c r="P731" s="350"/>
      <c r="Q731" s="350"/>
      <c r="R731" s="350"/>
      <c r="S731" s="351"/>
      <c r="T731" s="397">
        <v>3</v>
      </c>
      <c r="U731" s="398"/>
      <c r="V731" s="398"/>
      <c r="W731" s="349">
        <v>0</v>
      </c>
      <c r="X731" s="349"/>
      <c r="Y731" s="349"/>
      <c r="Z731" s="349"/>
      <c r="AA731" s="125">
        <v>3</v>
      </c>
      <c r="AB731" s="125"/>
      <c r="AC731" s="125"/>
      <c r="AD731" s="350">
        <f>IF(W731="","",W731*AD$747)</f>
        <v>0</v>
      </c>
      <c r="AE731" s="350"/>
      <c r="AF731" s="350"/>
      <c r="AG731" s="350"/>
      <c r="AH731" s="352"/>
    </row>
    <row r="732" spans="1:35" s="1" customFormat="1" ht="15.75" customHeight="1" x14ac:dyDescent="0.15">
      <c r="A732" s="73" t="str">
        <f t="shared" ref="A732:A746" si="67">IF(A$311="",IF(LEN(E732)+LEN(T732)=0,"×",""),"×")</f>
        <v>×</v>
      </c>
      <c r="E732" s="413">
        <v>4</v>
      </c>
      <c r="F732" s="372"/>
      <c r="G732" s="372"/>
      <c r="H732" s="353">
        <v>0</v>
      </c>
      <c r="I732" s="353"/>
      <c r="J732" s="353"/>
      <c r="K732" s="353"/>
      <c r="L732" s="103">
        <v>0.53999996185302734</v>
      </c>
      <c r="M732" s="103"/>
      <c r="N732" s="103"/>
      <c r="O732" s="354">
        <f t="shared" ref="O732:O746" si="68">IF(H732="","",H732*AD$747)</f>
        <v>0</v>
      </c>
      <c r="P732" s="354"/>
      <c r="Q732" s="354"/>
      <c r="R732" s="354"/>
      <c r="S732" s="355"/>
      <c r="T732" s="395">
        <v>4</v>
      </c>
      <c r="U732" s="372"/>
      <c r="V732" s="372"/>
      <c r="W732" s="353">
        <v>0</v>
      </c>
      <c r="X732" s="353"/>
      <c r="Y732" s="353"/>
      <c r="Z732" s="353"/>
      <c r="AA732" s="103">
        <v>0.53999996185302734</v>
      </c>
      <c r="AB732" s="103"/>
      <c r="AC732" s="103"/>
      <c r="AD732" s="354">
        <f t="shared" ref="AD732:AD746" si="69">IF(W732="","",W732*AD$747)</f>
        <v>0</v>
      </c>
      <c r="AE732" s="354"/>
      <c r="AF732" s="354"/>
      <c r="AG732" s="354"/>
      <c r="AH732" s="356"/>
    </row>
    <row r="733" spans="1:35" s="1" customFormat="1" ht="15.75" customHeight="1" x14ac:dyDescent="0.15">
      <c r="A733" s="73" t="str">
        <f t="shared" si="67"/>
        <v>×</v>
      </c>
      <c r="E733" s="413">
        <v>4</v>
      </c>
      <c r="F733" s="372"/>
      <c r="G733" s="372"/>
      <c r="H733" s="353">
        <v>5724</v>
      </c>
      <c r="I733" s="353"/>
      <c r="J733" s="353"/>
      <c r="K733" s="353"/>
      <c r="L733" s="103">
        <v>4.4600000381469727</v>
      </c>
      <c r="M733" s="103"/>
      <c r="N733" s="103"/>
      <c r="O733" s="354">
        <f t="shared" si="68"/>
        <v>17982.476349147975</v>
      </c>
      <c r="P733" s="354"/>
      <c r="Q733" s="354"/>
      <c r="R733" s="354"/>
      <c r="S733" s="355"/>
      <c r="T733" s="395">
        <v>4</v>
      </c>
      <c r="U733" s="372"/>
      <c r="V733" s="372"/>
      <c r="W733" s="353">
        <v>5724</v>
      </c>
      <c r="X733" s="353"/>
      <c r="Y733" s="353"/>
      <c r="Z733" s="353"/>
      <c r="AA733" s="103">
        <v>4.4600000381469727</v>
      </c>
      <c r="AB733" s="103"/>
      <c r="AC733" s="103"/>
      <c r="AD733" s="354">
        <f t="shared" si="69"/>
        <v>17982.476349147975</v>
      </c>
      <c r="AE733" s="354"/>
      <c r="AF733" s="354"/>
      <c r="AG733" s="354"/>
      <c r="AH733" s="356"/>
    </row>
    <row r="734" spans="1:35" s="1" customFormat="1" ht="15.75" customHeight="1" x14ac:dyDescent="0.15">
      <c r="A734" s="73" t="str">
        <f t="shared" si="67"/>
        <v>×</v>
      </c>
      <c r="E734" s="413">
        <v>5</v>
      </c>
      <c r="F734" s="372"/>
      <c r="G734" s="372"/>
      <c r="H734" s="353">
        <v>6514</v>
      </c>
      <c r="I734" s="353"/>
      <c r="J734" s="353"/>
      <c r="K734" s="353"/>
      <c r="L734" s="103">
        <v>8</v>
      </c>
      <c r="M734" s="103"/>
      <c r="N734" s="103"/>
      <c r="O734" s="354">
        <f t="shared" si="68"/>
        <v>20464.334545483911</v>
      </c>
      <c r="P734" s="354"/>
      <c r="Q734" s="354"/>
      <c r="R734" s="354"/>
      <c r="S734" s="355"/>
      <c r="T734" s="395">
        <v>5</v>
      </c>
      <c r="U734" s="372"/>
      <c r="V734" s="372"/>
      <c r="W734" s="353">
        <v>6514</v>
      </c>
      <c r="X734" s="353"/>
      <c r="Y734" s="353"/>
      <c r="Z734" s="353"/>
      <c r="AA734" s="103">
        <v>8</v>
      </c>
      <c r="AB734" s="103"/>
      <c r="AC734" s="103"/>
      <c r="AD734" s="354">
        <f t="shared" si="69"/>
        <v>20464.334545483911</v>
      </c>
      <c r="AE734" s="354"/>
      <c r="AF734" s="354"/>
      <c r="AG734" s="354"/>
      <c r="AH734" s="356"/>
    </row>
    <row r="735" spans="1:35" s="1" customFormat="1" ht="15.75" customHeight="1" x14ac:dyDescent="0.15">
      <c r="A735" s="73" t="str">
        <f t="shared" si="67"/>
        <v>×</v>
      </c>
      <c r="E735" s="413">
        <v>6</v>
      </c>
      <c r="F735" s="372"/>
      <c r="G735" s="372"/>
      <c r="H735" s="353">
        <v>9288</v>
      </c>
      <c r="I735" s="353"/>
      <c r="J735" s="353"/>
      <c r="K735" s="353"/>
      <c r="L735" s="103">
        <v>4</v>
      </c>
      <c r="M735" s="103"/>
      <c r="N735" s="103"/>
      <c r="O735" s="354">
        <f t="shared" si="68"/>
        <v>29179.112566541997</v>
      </c>
      <c r="P735" s="354"/>
      <c r="Q735" s="354"/>
      <c r="R735" s="354"/>
      <c r="S735" s="355"/>
      <c r="T735" s="395">
        <v>6</v>
      </c>
      <c r="U735" s="372"/>
      <c r="V735" s="372"/>
      <c r="W735" s="353">
        <v>9288</v>
      </c>
      <c r="X735" s="353"/>
      <c r="Y735" s="353"/>
      <c r="Z735" s="353"/>
      <c r="AA735" s="103">
        <v>4.5</v>
      </c>
      <c r="AB735" s="103"/>
      <c r="AC735" s="103"/>
      <c r="AD735" s="354">
        <f t="shared" si="69"/>
        <v>29179.112566541997</v>
      </c>
      <c r="AE735" s="354"/>
      <c r="AF735" s="354"/>
      <c r="AG735" s="354"/>
      <c r="AH735" s="356"/>
    </row>
    <row r="736" spans="1:35" s="1" customFormat="1" ht="15.75" customHeight="1" x14ac:dyDescent="0.15">
      <c r="A736" s="73" t="str">
        <f t="shared" si="67"/>
        <v>×</v>
      </c>
      <c r="E736" s="413">
        <v>6</v>
      </c>
      <c r="F736" s="372"/>
      <c r="G736" s="372"/>
      <c r="H736" s="353">
        <v>0</v>
      </c>
      <c r="I736" s="353"/>
      <c r="J736" s="353"/>
      <c r="K736" s="353"/>
      <c r="L736" s="103">
        <v>0.5</v>
      </c>
      <c r="M736" s="103"/>
      <c r="N736" s="103"/>
      <c r="O736" s="354">
        <f t="shared" si="68"/>
        <v>0</v>
      </c>
      <c r="P736" s="354"/>
      <c r="Q736" s="354"/>
      <c r="R736" s="354"/>
      <c r="S736" s="355"/>
      <c r="T736" s="395">
        <v>7</v>
      </c>
      <c r="U736" s="372"/>
      <c r="V736" s="372"/>
      <c r="W736" s="353">
        <v>18352</v>
      </c>
      <c r="X736" s="353"/>
      <c r="Y736" s="353"/>
      <c r="Z736" s="353"/>
      <c r="AA736" s="103">
        <v>0.5</v>
      </c>
      <c r="AB736" s="103"/>
      <c r="AC736" s="103"/>
      <c r="AD736" s="354">
        <f t="shared" si="69"/>
        <v>57654.508378679886</v>
      </c>
      <c r="AE736" s="354"/>
      <c r="AF736" s="354"/>
      <c r="AG736" s="354"/>
      <c r="AH736" s="356"/>
    </row>
    <row r="737" spans="1:35" s="1" customFormat="1" ht="15.75" customHeight="1" x14ac:dyDescent="0.15">
      <c r="A737" s="73" t="str">
        <f t="shared" si="67"/>
        <v>×</v>
      </c>
      <c r="E737" s="413">
        <v>7</v>
      </c>
      <c r="F737" s="372"/>
      <c r="G737" s="372"/>
      <c r="H737" s="353">
        <v>0</v>
      </c>
      <c r="I737" s="353"/>
      <c r="J737" s="353"/>
      <c r="K737" s="353"/>
      <c r="L737" s="103">
        <v>0.5</v>
      </c>
      <c r="M737" s="103"/>
      <c r="N737" s="103"/>
      <c r="O737" s="354">
        <f t="shared" si="68"/>
        <v>0</v>
      </c>
      <c r="P737" s="354"/>
      <c r="Q737" s="354"/>
      <c r="R737" s="354"/>
      <c r="S737" s="355"/>
      <c r="T737" s="395"/>
      <c r="U737" s="372"/>
      <c r="V737" s="372"/>
      <c r="W737" s="353"/>
      <c r="X737" s="353"/>
      <c r="Y737" s="353"/>
      <c r="Z737" s="353"/>
      <c r="AA737" s="103"/>
      <c r="AB737" s="103"/>
      <c r="AC737" s="103"/>
      <c r="AD737" s="354" t="str">
        <f t="shared" si="69"/>
        <v/>
      </c>
      <c r="AE737" s="354"/>
      <c r="AF737" s="354"/>
      <c r="AG737" s="354"/>
      <c r="AH737" s="356"/>
    </row>
    <row r="738" spans="1:35" s="1" customFormat="1" ht="15.75" customHeight="1" x14ac:dyDescent="0.15">
      <c r="A738" s="73" t="str">
        <f t="shared" si="67"/>
        <v>×</v>
      </c>
      <c r="E738" s="413"/>
      <c r="F738" s="372"/>
      <c r="G738" s="372"/>
      <c r="H738" s="353"/>
      <c r="I738" s="353"/>
      <c r="J738" s="353"/>
      <c r="K738" s="353"/>
      <c r="L738" s="103"/>
      <c r="M738" s="103"/>
      <c r="N738" s="103"/>
      <c r="O738" s="354" t="str">
        <f t="shared" si="68"/>
        <v/>
      </c>
      <c r="P738" s="354"/>
      <c r="Q738" s="354"/>
      <c r="R738" s="354"/>
      <c r="S738" s="355"/>
      <c r="T738" s="395"/>
      <c r="U738" s="372"/>
      <c r="V738" s="372"/>
      <c r="W738" s="353"/>
      <c r="X738" s="353"/>
      <c r="Y738" s="353"/>
      <c r="Z738" s="353"/>
      <c r="AA738" s="103"/>
      <c r="AB738" s="103"/>
      <c r="AC738" s="103"/>
      <c r="AD738" s="354" t="str">
        <f t="shared" si="69"/>
        <v/>
      </c>
      <c r="AE738" s="354"/>
      <c r="AF738" s="354"/>
      <c r="AG738" s="354"/>
      <c r="AH738" s="356"/>
    </row>
    <row r="739" spans="1:35" s="1" customFormat="1" ht="15.75" customHeight="1" x14ac:dyDescent="0.15">
      <c r="A739" s="73" t="str">
        <f t="shared" si="67"/>
        <v>×</v>
      </c>
      <c r="E739" s="413"/>
      <c r="F739" s="372"/>
      <c r="G739" s="372"/>
      <c r="H739" s="353"/>
      <c r="I739" s="353"/>
      <c r="J739" s="353"/>
      <c r="K739" s="353"/>
      <c r="L739" s="103"/>
      <c r="M739" s="103"/>
      <c r="N739" s="103"/>
      <c r="O739" s="354" t="str">
        <f t="shared" si="68"/>
        <v/>
      </c>
      <c r="P739" s="354"/>
      <c r="Q739" s="354"/>
      <c r="R739" s="354"/>
      <c r="S739" s="355"/>
      <c r="T739" s="395"/>
      <c r="U739" s="372"/>
      <c r="V739" s="372"/>
      <c r="W739" s="353"/>
      <c r="X739" s="353"/>
      <c r="Y739" s="353"/>
      <c r="Z739" s="353"/>
      <c r="AA739" s="103"/>
      <c r="AB739" s="103"/>
      <c r="AC739" s="103"/>
      <c r="AD739" s="354" t="str">
        <f t="shared" si="69"/>
        <v/>
      </c>
      <c r="AE739" s="354"/>
      <c r="AF739" s="354"/>
      <c r="AG739" s="354"/>
      <c r="AH739" s="356"/>
    </row>
    <row r="740" spans="1:35" s="1" customFormat="1" ht="15.75" customHeight="1" x14ac:dyDescent="0.15">
      <c r="A740" s="73" t="str">
        <f t="shared" si="67"/>
        <v>×</v>
      </c>
      <c r="E740" s="413"/>
      <c r="F740" s="372"/>
      <c r="G740" s="372"/>
      <c r="H740" s="353"/>
      <c r="I740" s="353"/>
      <c r="J740" s="353"/>
      <c r="K740" s="353"/>
      <c r="L740" s="103"/>
      <c r="M740" s="103"/>
      <c r="N740" s="103"/>
      <c r="O740" s="354" t="str">
        <f t="shared" si="68"/>
        <v/>
      </c>
      <c r="P740" s="354"/>
      <c r="Q740" s="354"/>
      <c r="R740" s="354"/>
      <c r="S740" s="355"/>
      <c r="T740" s="395"/>
      <c r="U740" s="372"/>
      <c r="V740" s="372"/>
      <c r="W740" s="353"/>
      <c r="X740" s="353"/>
      <c r="Y740" s="353"/>
      <c r="Z740" s="353"/>
      <c r="AA740" s="103"/>
      <c r="AB740" s="103"/>
      <c r="AC740" s="103"/>
      <c r="AD740" s="354" t="str">
        <f t="shared" si="69"/>
        <v/>
      </c>
      <c r="AE740" s="354"/>
      <c r="AF740" s="354"/>
      <c r="AG740" s="354"/>
      <c r="AH740" s="356"/>
    </row>
    <row r="741" spans="1:35" s="1" customFormat="1" ht="15.75" customHeight="1" x14ac:dyDescent="0.15">
      <c r="A741" s="73" t="str">
        <f t="shared" si="67"/>
        <v>×</v>
      </c>
      <c r="E741" s="413"/>
      <c r="F741" s="372"/>
      <c r="G741" s="372"/>
      <c r="H741" s="353"/>
      <c r="I741" s="353"/>
      <c r="J741" s="353"/>
      <c r="K741" s="353"/>
      <c r="L741" s="103"/>
      <c r="M741" s="103"/>
      <c r="N741" s="103"/>
      <c r="O741" s="354" t="str">
        <f t="shared" si="68"/>
        <v/>
      </c>
      <c r="P741" s="354"/>
      <c r="Q741" s="354"/>
      <c r="R741" s="354"/>
      <c r="S741" s="355"/>
      <c r="T741" s="395"/>
      <c r="U741" s="372"/>
      <c r="V741" s="372"/>
      <c r="W741" s="353"/>
      <c r="X741" s="353"/>
      <c r="Y741" s="353"/>
      <c r="Z741" s="353"/>
      <c r="AA741" s="103"/>
      <c r="AB741" s="103"/>
      <c r="AC741" s="103"/>
      <c r="AD741" s="354" t="str">
        <f t="shared" si="69"/>
        <v/>
      </c>
      <c r="AE741" s="354"/>
      <c r="AF741" s="354"/>
      <c r="AG741" s="354"/>
      <c r="AH741" s="356"/>
    </row>
    <row r="742" spans="1:35" s="1" customFormat="1" ht="15.75" customHeight="1" x14ac:dyDescent="0.15">
      <c r="A742" s="73" t="str">
        <f t="shared" si="67"/>
        <v>×</v>
      </c>
      <c r="E742" s="413"/>
      <c r="F742" s="372"/>
      <c r="G742" s="372"/>
      <c r="H742" s="353"/>
      <c r="I742" s="353"/>
      <c r="J742" s="353"/>
      <c r="K742" s="353"/>
      <c r="L742" s="103"/>
      <c r="M742" s="103"/>
      <c r="N742" s="103"/>
      <c r="O742" s="354" t="str">
        <f t="shared" si="68"/>
        <v/>
      </c>
      <c r="P742" s="354"/>
      <c r="Q742" s="354"/>
      <c r="R742" s="354"/>
      <c r="S742" s="355"/>
      <c r="T742" s="395"/>
      <c r="U742" s="372"/>
      <c r="V742" s="372"/>
      <c r="W742" s="353"/>
      <c r="X742" s="353"/>
      <c r="Y742" s="353"/>
      <c r="Z742" s="353"/>
      <c r="AA742" s="103"/>
      <c r="AB742" s="103"/>
      <c r="AC742" s="103"/>
      <c r="AD742" s="354" t="str">
        <f t="shared" si="69"/>
        <v/>
      </c>
      <c r="AE742" s="354"/>
      <c r="AF742" s="354"/>
      <c r="AG742" s="354"/>
      <c r="AH742" s="356"/>
    </row>
    <row r="743" spans="1:35" s="1" customFormat="1" ht="15.75" customHeight="1" x14ac:dyDescent="0.15">
      <c r="A743" s="73" t="str">
        <f t="shared" si="67"/>
        <v>×</v>
      </c>
      <c r="E743" s="413"/>
      <c r="F743" s="372"/>
      <c r="G743" s="372"/>
      <c r="H743" s="353"/>
      <c r="I743" s="353"/>
      <c r="J743" s="353"/>
      <c r="K743" s="353"/>
      <c r="L743" s="103"/>
      <c r="M743" s="103"/>
      <c r="N743" s="103"/>
      <c r="O743" s="354" t="str">
        <f t="shared" si="68"/>
        <v/>
      </c>
      <c r="P743" s="354"/>
      <c r="Q743" s="354"/>
      <c r="R743" s="354"/>
      <c r="S743" s="355"/>
      <c r="T743" s="395"/>
      <c r="U743" s="372"/>
      <c r="V743" s="372"/>
      <c r="W743" s="353"/>
      <c r="X743" s="353"/>
      <c r="Y743" s="353"/>
      <c r="Z743" s="353"/>
      <c r="AA743" s="103"/>
      <c r="AB743" s="103"/>
      <c r="AC743" s="103"/>
      <c r="AD743" s="354" t="str">
        <f t="shared" si="69"/>
        <v/>
      </c>
      <c r="AE743" s="354"/>
      <c r="AF743" s="354"/>
      <c r="AG743" s="354"/>
      <c r="AH743" s="356"/>
    </row>
    <row r="744" spans="1:35" s="1" customFormat="1" ht="15.75" customHeight="1" x14ac:dyDescent="0.15">
      <c r="A744" s="73" t="str">
        <f t="shared" si="67"/>
        <v>×</v>
      </c>
      <c r="E744" s="413"/>
      <c r="F744" s="372"/>
      <c r="G744" s="372"/>
      <c r="H744" s="353"/>
      <c r="I744" s="353"/>
      <c r="J744" s="353"/>
      <c r="K744" s="353"/>
      <c r="L744" s="103"/>
      <c r="M744" s="103"/>
      <c r="N744" s="103"/>
      <c r="O744" s="354" t="str">
        <f t="shared" si="68"/>
        <v/>
      </c>
      <c r="P744" s="354"/>
      <c r="Q744" s="354"/>
      <c r="R744" s="354"/>
      <c r="S744" s="355"/>
      <c r="T744" s="395"/>
      <c r="U744" s="372"/>
      <c r="V744" s="372"/>
      <c r="W744" s="353"/>
      <c r="X744" s="353"/>
      <c r="Y744" s="353"/>
      <c r="Z744" s="353"/>
      <c r="AA744" s="103"/>
      <c r="AB744" s="103"/>
      <c r="AC744" s="103"/>
      <c r="AD744" s="354" t="str">
        <f t="shared" si="69"/>
        <v/>
      </c>
      <c r="AE744" s="354"/>
      <c r="AF744" s="354"/>
      <c r="AG744" s="354"/>
      <c r="AH744" s="356"/>
    </row>
    <row r="745" spans="1:35" s="1" customFormat="1" ht="15.75" customHeight="1" x14ac:dyDescent="0.15">
      <c r="A745" s="73" t="str">
        <f t="shared" si="67"/>
        <v>×</v>
      </c>
      <c r="E745" s="413"/>
      <c r="F745" s="372"/>
      <c r="G745" s="372"/>
      <c r="H745" s="353"/>
      <c r="I745" s="353"/>
      <c r="J745" s="353"/>
      <c r="K745" s="353"/>
      <c r="L745" s="103"/>
      <c r="M745" s="103"/>
      <c r="N745" s="103"/>
      <c r="O745" s="354" t="str">
        <f t="shared" si="68"/>
        <v/>
      </c>
      <c r="P745" s="354"/>
      <c r="Q745" s="354"/>
      <c r="R745" s="354"/>
      <c r="S745" s="355"/>
      <c r="T745" s="395"/>
      <c r="U745" s="372"/>
      <c r="V745" s="372"/>
      <c r="W745" s="353"/>
      <c r="X745" s="353"/>
      <c r="Y745" s="353"/>
      <c r="Z745" s="353"/>
      <c r="AA745" s="103"/>
      <c r="AB745" s="103"/>
      <c r="AC745" s="103"/>
      <c r="AD745" s="354" t="str">
        <f t="shared" si="69"/>
        <v/>
      </c>
      <c r="AE745" s="354"/>
      <c r="AF745" s="354"/>
      <c r="AG745" s="354"/>
      <c r="AH745" s="356"/>
    </row>
    <row r="746" spans="1:35" s="1" customFormat="1" ht="15.75" customHeight="1" x14ac:dyDescent="0.15">
      <c r="A746" s="73" t="str">
        <f t="shared" si="67"/>
        <v>×</v>
      </c>
      <c r="E746" s="414"/>
      <c r="F746" s="373"/>
      <c r="G746" s="373"/>
      <c r="H746" s="357"/>
      <c r="I746" s="357"/>
      <c r="J746" s="357"/>
      <c r="K746" s="357"/>
      <c r="L746" s="104"/>
      <c r="M746" s="104"/>
      <c r="N746" s="104"/>
      <c r="O746" s="358" t="str">
        <f t="shared" si="68"/>
        <v/>
      </c>
      <c r="P746" s="358"/>
      <c r="Q746" s="358"/>
      <c r="R746" s="358"/>
      <c r="S746" s="359"/>
      <c r="T746" s="396"/>
      <c r="U746" s="373"/>
      <c r="V746" s="373"/>
      <c r="W746" s="357"/>
      <c r="X746" s="357"/>
      <c r="Y746" s="357"/>
      <c r="Z746" s="357"/>
      <c r="AA746" s="104"/>
      <c r="AB746" s="104"/>
      <c r="AC746" s="104"/>
      <c r="AD746" s="358" t="str">
        <f t="shared" si="69"/>
        <v/>
      </c>
      <c r="AE746" s="358"/>
      <c r="AF746" s="358"/>
      <c r="AG746" s="358"/>
      <c r="AH746" s="360"/>
    </row>
    <row r="747" spans="1:35" s="1" customFormat="1" ht="15.75" customHeight="1" x14ac:dyDescent="0.15">
      <c r="A747" s="73" t="str">
        <f>IF(A$311="","","×")</f>
        <v>×</v>
      </c>
      <c r="E747" s="8"/>
      <c r="F747" s="8"/>
      <c r="G747" s="8"/>
      <c r="H747" s="8"/>
      <c r="I747" s="8"/>
      <c r="J747" s="8"/>
      <c r="K747" s="8"/>
      <c r="L747" s="8"/>
      <c r="M747" s="8"/>
      <c r="N747" s="8"/>
      <c r="O747" s="8"/>
      <c r="P747" s="8"/>
      <c r="AA747" s="2" t="s">
        <v>127</v>
      </c>
      <c r="AB747" s="1" t="s">
        <v>548</v>
      </c>
      <c r="AC747" s="76" t="s">
        <v>27</v>
      </c>
      <c r="AD747" s="304">
        <f>AD724</f>
        <v>3.1415926535897931</v>
      </c>
      <c r="AE747" s="304"/>
      <c r="AF747" s="304"/>
      <c r="AG747" s="7" t="s">
        <v>549</v>
      </c>
      <c r="AH747" s="76" t="s">
        <v>158</v>
      </c>
    </row>
    <row r="748" spans="1:35" ht="15.75" customHeight="1" x14ac:dyDescent="0.15">
      <c r="A748" s="73" t="str">
        <f>IF(A$311="","","×")</f>
        <v>×</v>
      </c>
    </row>
    <row r="750" spans="1:35" s="1" customFormat="1" ht="15.75" customHeight="1" x14ac:dyDescent="0.15">
      <c r="E750" s="61" t="s">
        <v>596</v>
      </c>
      <c r="F750" s="302"/>
      <c r="G750" s="302"/>
      <c r="H750" s="302"/>
      <c r="I750" s="61"/>
      <c r="J750" s="61"/>
      <c r="K750" s="61"/>
      <c r="L750" s="61"/>
      <c r="M750" s="61"/>
      <c r="N750" s="61"/>
      <c r="O750" s="61"/>
      <c r="P750" s="61"/>
      <c r="Q750" s="61"/>
      <c r="R750" s="61"/>
      <c r="S750" s="61"/>
      <c r="T750" s="61"/>
      <c r="U750" s="61"/>
      <c r="V750" s="61"/>
      <c r="W750" s="61"/>
      <c r="X750" s="61"/>
      <c r="Y750" s="61"/>
      <c r="Z750" s="61"/>
      <c r="AA750" s="61"/>
      <c r="AB750" s="61"/>
      <c r="AC750" s="61"/>
      <c r="AD750" s="61"/>
      <c r="AE750" s="61"/>
      <c r="AF750" s="61"/>
      <c r="AG750" s="61"/>
      <c r="AH750" s="61"/>
      <c r="AI750" s="8"/>
    </row>
    <row r="751" spans="1:35" s="1" customFormat="1" ht="15.75" customHeight="1" x14ac:dyDescent="0.15">
      <c r="E751" s="294" t="s">
        <v>546</v>
      </c>
      <c r="F751" s="292"/>
      <c r="G751" s="292"/>
      <c r="H751" s="292"/>
      <c r="I751" s="292"/>
      <c r="J751" s="292"/>
      <c r="K751" s="292"/>
      <c r="L751" s="292"/>
      <c r="M751" s="292"/>
      <c r="N751" s="292"/>
      <c r="O751" s="292"/>
      <c r="P751" s="292"/>
      <c r="Q751" s="292"/>
      <c r="R751" s="292"/>
      <c r="S751" s="296"/>
      <c r="T751" s="273" t="s">
        <v>547</v>
      </c>
      <c r="U751" s="131"/>
      <c r="V751" s="131"/>
      <c r="W751" s="131"/>
      <c r="X751" s="131"/>
      <c r="Y751" s="131"/>
      <c r="Z751" s="131"/>
      <c r="AA751" s="131"/>
      <c r="AB751" s="131"/>
      <c r="AC751" s="131"/>
      <c r="AD751" s="131"/>
      <c r="AE751" s="131"/>
      <c r="AF751" s="131"/>
      <c r="AG751" s="131"/>
      <c r="AH751" s="132"/>
    </row>
    <row r="752" spans="1:35" s="1" customFormat="1" ht="15.75" customHeight="1" x14ac:dyDescent="0.15">
      <c r="E752" s="159" t="s">
        <v>78</v>
      </c>
      <c r="F752" s="160"/>
      <c r="G752" s="160"/>
      <c r="H752" s="160" t="s">
        <v>204</v>
      </c>
      <c r="I752" s="160"/>
      <c r="J752" s="160"/>
      <c r="K752" s="160"/>
      <c r="L752" s="291" t="s">
        <v>203</v>
      </c>
      <c r="M752" s="161"/>
      <c r="N752" s="161"/>
      <c r="O752" s="160" t="s">
        <v>545</v>
      </c>
      <c r="P752" s="160"/>
      <c r="Q752" s="160"/>
      <c r="R752" s="160"/>
      <c r="S752" s="223"/>
      <c r="T752" s="213" t="s">
        <v>78</v>
      </c>
      <c r="U752" s="160"/>
      <c r="V752" s="160"/>
      <c r="W752" s="160" t="s">
        <v>204</v>
      </c>
      <c r="X752" s="160"/>
      <c r="Y752" s="160"/>
      <c r="Z752" s="160"/>
      <c r="AA752" s="291" t="s">
        <v>203</v>
      </c>
      <c r="AB752" s="161"/>
      <c r="AC752" s="161"/>
      <c r="AD752" s="160" t="s">
        <v>545</v>
      </c>
      <c r="AE752" s="160"/>
      <c r="AF752" s="160"/>
      <c r="AG752" s="160"/>
      <c r="AH752" s="223"/>
    </row>
    <row r="753" spans="1:34" s="1" customFormat="1" ht="15.75" customHeight="1" x14ac:dyDescent="0.15">
      <c r="E753" s="295"/>
      <c r="F753" s="156"/>
      <c r="G753" s="156"/>
      <c r="H753" s="156"/>
      <c r="I753" s="156"/>
      <c r="J753" s="156"/>
      <c r="K753" s="156"/>
      <c r="L753" s="163"/>
      <c r="M753" s="163"/>
      <c r="N753" s="163"/>
      <c r="O753" s="156"/>
      <c r="P753" s="156"/>
      <c r="Q753" s="156"/>
      <c r="R753" s="156"/>
      <c r="S753" s="267"/>
      <c r="T753" s="290"/>
      <c r="U753" s="156"/>
      <c r="V753" s="156"/>
      <c r="W753" s="156"/>
      <c r="X753" s="156"/>
      <c r="Y753" s="156"/>
      <c r="Z753" s="156"/>
      <c r="AA753" s="163"/>
      <c r="AB753" s="163"/>
      <c r="AC753" s="163"/>
      <c r="AD753" s="156"/>
      <c r="AE753" s="156"/>
      <c r="AF753" s="156"/>
      <c r="AG753" s="156"/>
      <c r="AH753" s="267"/>
    </row>
    <row r="754" spans="1:34" s="1" customFormat="1" ht="15.75" customHeight="1" x14ac:dyDescent="0.15">
      <c r="A754" s="73" t="str">
        <f>IF(LEN(E754)+LEN(T754)=0,"×","")</f>
        <v/>
      </c>
      <c r="E754" s="412">
        <v>3</v>
      </c>
      <c r="F754" s="398"/>
      <c r="G754" s="398"/>
      <c r="H754" s="349">
        <v>0</v>
      </c>
      <c r="I754" s="349"/>
      <c r="J754" s="349"/>
      <c r="K754" s="349"/>
      <c r="L754" s="125">
        <v>3</v>
      </c>
      <c r="M754" s="125"/>
      <c r="N754" s="125"/>
      <c r="O754" s="350">
        <f>IF(H754="","",H754*AD$770)</f>
        <v>0</v>
      </c>
      <c r="P754" s="350"/>
      <c r="Q754" s="350"/>
      <c r="R754" s="350"/>
      <c r="S754" s="351"/>
      <c r="T754" s="397">
        <v>3</v>
      </c>
      <c r="U754" s="398"/>
      <c r="V754" s="398"/>
      <c r="W754" s="349">
        <v>0</v>
      </c>
      <c r="X754" s="349"/>
      <c r="Y754" s="349"/>
      <c r="Z754" s="349"/>
      <c r="AA754" s="125">
        <v>3</v>
      </c>
      <c r="AB754" s="125"/>
      <c r="AC754" s="125"/>
      <c r="AD754" s="350">
        <f>IF(W754="","",W754*AD$770)</f>
        <v>0</v>
      </c>
      <c r="AE754" s="350"/>
      <c r="AF754" s="350"/>
      <c r="AG754" s="350"/>
      <c r="AH754" s="352"/>
    </row>
    <row r="755" spans="1:34" s="1" customFormat="1" ht="15.75" customHeight="1" x14ac:dyDescent="0.15">
      <c r="A755" s="73" t="str">
        <f t="shared" ref="A755:A769" si="70">IF(LEN(E755)+LEN(T755)=0,"×","")</f>
        <v/>
      </c>
      <c r="E755" s="413">
        <v>4</v>
      </c>
      <c r="F755" s="372"/>
      <c r="G755" s="372"/>
      <c r="H755" s="353">
        <v>0</v>
      </c>
      <c r="I755" s="353"/>
      <c r="J755" s="353"/>
      <c r="K755" s="353"/>
      <c r="L755" s="103">
        <v>0.53999996185302734</v>
      </c>
      <c r="M755" s="103"/>
      <c r="N755" s="103"/>
      <c r="O755" s="354">
        <f t="shared" ref="O755:O769" si="71">IF(H755="","",H755*AD$770)</f>
        <v>0</v>
      </c>
      <c r="P755" s="354"/>
      <c r="Q755" s="354"/>
      <c r="R755" s="354"/>
      <c r="S755" s="355"/>
      <c r="T755" s="395">
        <v>4</v>
      </c>
      <c r="U755" s="372"/>
      <c r="V755" s="372"/>
      <c r="W755" s="353">
        <v>0</v>
      </c>
      <c r="X755" s="353"/>
      <c r="Y755" s="353"/>
      <c r="Z755" s="353"/>
      <c r="AA755" s="103">
        <v>0.53999996185302734</v>
      </c>
      <c r="AB755" s="103"/>
      <c r="AC755" s="103"/>
      <c r="AD755" s="354">
        <f t="shared" ref="AD755:AD769" si="72">IF(W755="","",W755*AD$770)</f>
        <v>0</v>
      </c>
      <c r="AE755" s="354"/>
      <c r="AF755" s="354"/>
      <c r="AG755" s="354"/>
      <c r="AH755" s="356"/>
    </row>
    <row r="756" spans="1:34" s="1" customFormat="1" ht="15.75" customHeight="1" x14ac:dyDescent="0.15">
      <c r="A756" s="73" t="str">
        <f t="shared" si="70"/>
        <v/>
      </c>
      <c r="E756" s="413">
        <v>4</v>
      </c>
      <c r="F756" s="372"/>
      <c r="G756" s="372"/>
      <c r="H756" s="353">
        <v>5724</v>
      </c>
      <c r="I756" s="353"/>
      <c r="J756" s="353"/>
      <c r="K756" s="353"/>
      <c r="L756" s="103">
        <v>4.4600000381469727</v>
      </c>
      <c r="M756" s="103"/>
      <c r="N756" s="103"/>
      <c r="O756" s="354">
        <f t="shared" si="71"/>
        <v>17982.476349147975</v>
      </c>
      <c r="P756" s="354"/>
      <c r="Q756" s="354"/>
      <c r="R756" s="354"/>
      <c r="S756" s="355"/>
      <c r="T756" s="395">
        <v>4</v>
      </c>
      <c r="U756" s="372"/>
      <c r="V756" s="372"/>
      <c r="W756" s="353">
        <v>5724</v>
      </c>
      <c r="X756" s="353"/>
      <c r="Y756" s="353"/>
      <c r="Z756" s="353"/>
      <c r="AA756" s="103">
        <v>4.4600000381469727</v>
      </c>
      <c r="AB756" s="103"/>
      <c r="AC756" s="103"/>
      <c r="AD756" s="354">
        <f t="shared" si="72"/>
        <v>17982.476349147975</v>
      </c>
      <c r="AE756" s="354"/>
      <c r="AF756" s="354"/>
      <c r="AG756" s="354"/>
      <c r="AH756" s="356"/>
    </row>
    <row r="757" spans="1:34" s="1" customFormat="1" ht="15.75" customHeight="1" x14ac:dyDescent="0.15">
      <c r="A757" s="73" t="str">
        <f t="shared" si="70"/>
        <v/>
      </c>
      <c r="E757" s="413">
        <v>5</v>
      </c>
      <c r="F757" s="372"/>
      <c r="G757" s="372"/>
      <c r="H757" s="353">
        <v>6514</v>
      </c>
      <c r="I757" s="353"/>
      <c r="J757" s="353"/>
      <c r="K757" s="353"/>
      <c r="L757" s="103">
        <v>8</v>
      </c>
      <c r="M757" s="103"/>
      <c r="N757" s="103"/>
      <c r="O757" s="354">
        <f t="shared" si="71"/>
        <v>20464.334545483911</v>
      </c>
      <c r="P757" s="354"/>
      <c r="Q757" s="354"/>
      <c r="R757" s="354"/>
      <c r="S757" s="355"/>
      <c r="T757" s="395">
        <v>5</v>
      </c>
      <c r="U757" s="372"/>
      <c r="V757" s="372"/>
      <c r="W757" s="353">
        <v>6514</v>
      </c>
      <c r="X757" s="353"/>
      <c r="Y757" s="353"/>
      <c r="Z757" s="353"/>
      <c r="AA757" s="103">
        <v>8</v>
      </c>
      <c r="AB757" s="103"/>
      <c r="AC757" s="103"/>
      <c r="AD757" s="354">
        <f t="shared" si="72"/>
        <v>20464.334545483911</v>
      </c>
      <c r="AE757" s="354"/>
      <c r="AF757" s="354"/>
      <c r="AG757" s="354"/>
      <c r="AH757" s="356"/>
    </row>
    <row r="758" spans="1:34" s="1" customFormat="1" ht="15.75" customHeight="1" x14ac:dyDescent="0.15">
      <c r="A758" s="73" t="str">
        <f t="shared" si="70"/>
        <v/>
      </c>
      <c r="E758" s="413">
        <v>6</v>
      </c>
      <c r="F758" s="372"/>
      <c r="G758" s="372"/>
      <c r="H758" s="353">
        <v>9288</v>
      </c>
      <c r="I758" s="353"/>
      <c r="J758" s="353"/>
      <c r="K758" s="353"/>
      <c r="L758" s="103">
        <v>4</v>
      </c>
      <c r="M758" s="103"/>
      <c r="N758" s="103"/>
      <c r="O758" s="354">
        <f t="shared" si="71"/>
        <v>29179.112566541997</v>
      </c>
      <c r="P758" s="354"/>
      <c r="Q758" s="354"/>
      <c r="R758" s="354"/>
      <c r="S758" s="355"/>
      <c r="T758" s="395">
        <v>6</v>
      </c>
      <c r="U758" s="372"/>
      <c r="V758" s="372"/>
      <c r="W758" s="353">
        <v>9288</v>
      </c>
      <c r="X758" s="353"/>
      <c r="Y758" s="353"/>
      <c r="Z758" s="353"/>
      <c r="AA758" s="103">
        <v>4.5</v>
      </c>
      <c r="AB758" s="103"/>
      <c r="AC758" s="103"/>
      <c r="AD758" s="354">
        <f t="shared" si="72"/>
        <v>29179.112566541997</v>
      </c>
      <c r="AE758" s="354"/>
      <c r="AF758" s="354"/>
      <c r="AG758" s="354"/>
      <c r="AH758" s="356"/>
    </row>
    <row r="759" spans="1:34" s="1" customFormat="1" ht="15.75" customHeight="1" x14ac:dyDescent="0.15">
      <c r="A759" s="73" t="str">
        <f t="shared" si="70"/>
        <v/>
      </c>
      <c r="E759" s="413">
        <v>6</v>
      </c>
      <c r="F759" s="372"/>
      <c r="G759" s="372"/>
      <c r="H759" s="353">
        <v>0</v>
      </c>
      <c r="I759" s="353"/>
      <c r="J759" s="353"/>
      <c r="K759" s="353"/>
      <c r="L759" s="103">
        <v>0.5</v>
      </c>
      <c r="M759" s="103"/>
      <c r="N759" s="103"/>
      <c r="O759" s="354">
        <f t="shared" si="71"/>
        <v>0</v>
      </c>
      <c r="P759" s="354"/>
      <c r="Q759" s="354"/>
      <c r="R759" s="354"/>
      <c r="S759" s="355"/>
      <c r="T759" s="395">
        <v>7</v>
      </c>
      <c r="U759" s="372"/>
      <c r="V759" s="372"/>
      <c r="W759" s="353">
        <v>18352</v>
      </c>
      <c r="X759" s="353"/>
      <c r="Y759" s="353"/>
      <c r="Z759" s="353"/>
      <c r="AA759" s="103">
        <v>0.5</v>
      </c>
      <c r="AB759" s="103"/>
      <c r="AC759" s="103"/>
      <c r="AD759" s="354">
        <f t="shared" si="72"/>
        <v>57654.508378679886</v>
      </c>
      <c r="AE759" s="354"/>
      <c r="AF759" s="354"/>
      <c r="AG759" s="354"/>
      <c r="AH759" s="356"/>
    </row>
    <row r="760" spans="1:34" s="1" customFormat="1" ht="15.75" customHeight="1" x14ac:dyDescent="0.15">
      <c r="A760" s="73" t="str">
        <f t="shared" si="70"/>
        <v/>
      </c>
      <c r="E760" s="413">
        <v>7</v>
      </c>
      <c r="F760" s="372"/>
      <c r="G760" s="372"/>
      <c r="H760" s="353">
        <v>0</v>
      </c>
      <c r="I760" s="353"/>
      <c r="J760" s="353"/>
      <c r="K760" s="353"/>
      <c r="L760" s="103">
        <v>0.5</v>
      </c>
      <c r="M760" s="103"/>
      <c r="N760" s="103"/>
      <c r="O760" s="354">
        <f t="shared" si="71"/>
        <v>0</v>
      </c>
      <c r="P760" s="354"/>
      <c r="Q760" s="354"/>
      <c r="R760" s="354"/>
      <c r="S760" s="355"/>
      <c r="T760" s="395"/>
      <c r="U760" s="372"/>
      <c r="V760" s="372"/>
      <c r="W760" s="353"/>
      <c r="X760" s="353"/>
      <c r="Y760" s="353"/>
      <c r="Z760" s="353"/>
      <c r="AA760" s="103"/>
      <c r="AB760" s="103"/>
      <c r="AC760" s="103"/>
      <c r="AD760" s="354" t="str">
        <f t="shared" si="72"/>
        <v/>
      </c>
      <c r="AE760" s="354"/>
      <c r="AF760" s="354"/>
      <c r="AG760" s="354"/>
      <c r="AH760" s="356"/>
    </row>
    <row r="761" spans="1:34" s="1" customFormat="1" ht="15.75" customHeight="1" x14ac:dyDescent="0.15">
      <c r="A761" s="73" t="str">
        <f t="shared" si="70"/>
        <v>×</v>
      </c>
      <c r="E761" s="413"/>
      <c r="F761" s="372"/>
      <c r="G761" s="372"/>
      <c r="H761" s="353"/>
      <c r="I761" s="353"/>
      <c r="J761" s="353"/>
      <c r="K761" s="353"/>
      <c r="L761" s="103"/>
      <c r="M761" s="103"/>
      <c r="N761" s="103"/>
      <c r="O761" s="354" t="str">
        <f t="shared" si="71"/>
        <v/>
      </c>
      <c r="P761" s="354"/>
      <c r="Q761" s="354"/>
      <c r="R761" s="354"/>
      <c r="S761" s="355"/>
      <c r="T761" s="395"/>
      <c r="U761" s="372"/>
      <c r="V761" s="372"/>
      <c r="W761" s="353"/>
      <c r="X761" s="353"/>
      <c r="Y761" s="353"/>
      <c r="Z761" s="353"/>
      <c r="AA761" s="103"/>
      <c r="AB761" s="103"/>
      <c r="AC761" s="103"/>
      <c r="AD761" s="354" t="str">
        <f t="shared" si="72"/>
        <v/>
      </c>
      <c r="AE761" s="354"/>
      <c r="AF761" s="354"/>
      <c r="AG761" s="354"/>
      <c r="AH761" s="356"/>
    </row>
    <row r="762" spans="1:34" s="1" customFormat="1" ht="15.75" customHeight="1" x14ac:dyDescent="0.15">
      <c r="A762" s="73" t="str">
        <f t="shared" si="70"/>
        <v>×</v>
      </c>
      <c r="E762" s="413"/>
      <c r="F762" s="372"/>
      <c r="G762" s="372"/>
      <c r="H762" s="353"/>
      <c r="I762" s="353"/>
      <c r="J762" s="353"/>
      <c r="K762" s="353"/>
      <c r="L762" s="103"/>
      <c r="M762" s="103"/>
      <c r="N762" s="103"/>
      <c r="O762" s="354" t="str">
        <f t="shared" si="71"/>
        <v/>
      </c>
      <c r="P762" s="354"/>
      <c r="Q762" s="354"/>
      <c r="R762" s="354"/>
      <c r="S762" s="355"/>
      <c r="T762" s="395"/>
      <c r="U762" s="372"/>
      <c r="V762" s="372"/>
      <c r="W762" s="353"/>
      <c r="X762" s="353"/>
      <c r="Y762" s="353"/>
      <c r="Z762" s="353"/>
      <c r="AA762" s="103"/>
      <c r="AB762" s="103"/>
      <c r="AC762" s="103"/>
      <c r="AD762" s="354" t="str">
        <f t="shared" si="72"/>
        <v/>
      </c>
      <c r="AE762" s="354"/>
      <c r="AF762" s="354"/>
      <c r="AG762" s="354"/>
      <c r="AH762" s="356"/>
    </row>
    <row r="763" spans="1:34" s="1" customFormat="1" ht="15.75" customHeight="1" x14ac:dyDescent="0.15">
      <c r="A763" s="73" t="str">
        <f t="shared" si="70"/>
        <v>×</v>
      </c>
      <c r="E763" s="413"/>
      <c r="F763" s="372"/>
      <c r="G763" s="372"/>
      <c r="H763" s="353"/>
      <c r="I763" s="353"/>
      <c r="J763" s="353"/>
      <c r="K763" s="353"/>
      <c r="L763" s="103"/>
      <c r="M763" s="103"/>
      <c r="N763" s="103"/>
      <c r="O763" s="354" t="str">
        <f t="shared" si="71"/>
        <v/>
      </c>
      <c r="P763" s="354"/>
      <c r="Q763" s="354"/>
      <c r="R763" s="354"/>
      <c r="S763" s="355"/>
      <c r="T763" s="395"/>
      <c r="U763" s="372"/>
      <c r="V763" s="372"/>
      <c r="W763" s="353"/>
      <c r="X763" s="353"/>
      <c r="Y763" s="353"/>
      <c r="Z763" s="353"/>
      <c r="AA763" s="103"/>
      <c r="AB763" s="103"/>
      <c r="AC763" s="103"/>
      <c r="AD763" s="354" t="str">
        <f t="shared" si="72"/>
        <v/>
      </c>
      <c r="AE763" s="354"/>
      <c r="AF763" s="354"/>
      <c r="AG763" s="354"/>
      <c r="AH763" s="356"/>
    </row>
    <row r="764" spans="1:34" s="1" customFormat="1" ht="15.75" customHeight="1" x14ac:dyDescent="0.15">
      <c r="A764" s="73" t="str">
        <f t="shared" si="70"/>
        <v>×</v>
      </c>
      <c r="E764" s="413"/>
      <c r="F764" s="372"/>
      <c r="G764" s="372"/>
      <c r="H764" s="353"/>
      <c r="I764" s="353"/>
      <c r="J764" s="353"/>
      <c r="K764" s="353"/>
      <c r="L764" s="103"/>
      <c r="M764" s="103"/>
      <c r="N764" s="103"/>
      <c r="O764" s="354" t="str">
        <f t="shared" si="71"/>
        <v/>
      </c>
      <c r="P764" s="354"/>
      <c r="Q764" s="354"/>
      <c r="R764" s="354"/>
      <c r="S764" s="355"/>
      <c r="T764" s="395"/>
      <c r="U764" s="372"/>
      <c r="V764" s="372"/>
      <c r="W764" s="353"/>
      <c r="X764" s="353"/>
      <c r="Y764" s="353"/>
      <c r="Z764" s="353"/>
      <c r="AA764" s="103"/>
      <c r="AB764" s="103"/>
      <c r="AC764" s="103"/>
      <c r="AD764" s="354" t="str">
        <f t="shared" si="72"/>
        <v/>
      </c>
      <c r="AE764" s="354"/>
      <c r="AF764" s="354"/>
      <c r="AG764" s="354"/>
      <c r="AH764" s="356"/>
    </row>
    <row r="765" spans="1:34" s="1" customFormat="1" ht="15.75" customHeight="1" x14ac:dyDescent="0.15">
      <c r="A765" s="73" t="str">
        <f t="shared" si="70"/>
        <v>×</v>
      </c>
      <c r="E765" s="413"/>
      <c r="F765" s="372"/>
      <c r="G765" s="372"/>
      <c r="H765" s="353"/>
      <c r="I765" s="353"/>
      <c r="J765" s="353"/>
      <c r="K765" s="353"/>
      <c r="L765" s="103"/>
      <c r="M765" s="103"/>
      <c r="N765" s="103"/>
      <c r="O765" s="354" t="str">
        <f t="shared" si="71"/>
        <v/>
      </c>
      <c r="P765" s="354"/>
      <c r="Q765" s="354"/>
      <c r="R765" s="354"/>
      <c r="S765" s="355"/>
      <c r="T765" s="395"/>
      <c r="U765" s="372"/>
      <c r="V765" s="372"/>
      <c r="W765" s="353"/>
      <c r="X765" s="353"/>
      <c r="Y765" s="353"/>
      <c r="Z765" s="353"/>
      <c r="AA765" s="103"/>
      <c r="AB765" s="103"/>
      <c r="AC765" s="103"/>
      <c r="AD765" s="354" t="str">
        <f t="shared" si="72"/>
        <v/>
      </c>
      <c r="AE765" s="354"/>
      <c r="AF765" s="354"/>
      <c r="AG765" s="354"/>
      <c r="AH765" s="356"/>
    </row>
    <row r="766" spans="1:34" s="1" customFormat="1" ht="15.75" customHeight="1" x14ac:dyDescent="0.15">
      <c r="A766" s="73" t="str">
        <f t="shared" si="70"/>
        <v>×</v>
      </c>
      <c r="E766" s="413"/>
      <c r="F766" s="372"/>
      <c r="G766" s="372"/>
      <c r="H766" s="353"/>
      <c r="I766" s="353"/>
      <c r="J766" s="353"/>
      <c r="K766" s="353"/>
      <c r="L766" s="103"/>
      <c r="M766" s="103"/>
      <c r="N766" s="103"/>
      <c r="O766" s="354" t="str">
        <f t="shared" si="71"/>
        <v/>
      </c>
      <c r="P766" s="354"/>
      <c r="Q766" s="354"/>
      <c r="R766" s="354"/>
      <c r="S766" s="355"/>
      <c r="T766" s="395"/>
      <c r="U766" s="372"/>
      <c r="V766" s="372"/>
      <c r="W766" s="353"/>
      <c r="X766" s="353"/>
      <c r="Y766" s="353"/>
      <c r="Z766" s="353"/>
      <c r="AA766" s="103"/>
      <c r="AB766" s="103"/>
      <c r="AC766" s="103"/>
      <c r="AD766" s="354" t="str">
        <f t="shared" si="72"/>
        <v/>
      </c>
      <c r="AE766" s="354"/>
      <c r="AF766" s="354"/>
      <c r="AG766" s="354"/>
      <c r="AH766" s="356"/>
    </row>
    <row r="767" spans="1:34" s="1" customFormat="1" ht="15.75" customHeight="1" x14ac:dyDescent="0.15">
      <c r="A767" s="73" t="str">
        <f t="shared" si="70"/>
        <v>×</v>
      </c>
      <c r="E767" s="413"/>
      <c r="F767" s="372"/>
      <c r="G767" s="372"/>
      <c r="H767" s="353"/>
      <c r="I767" s="353"/>
      <c r="J767" s="353"/>
      <c r="K767" s="353"/>
      <c r="L767" s="103"/>
      <c r="M767" s="103"/>
      <c r="N767" s="103"/>
      <c r="O767" s="354" t="str">
        <f t="shared" si="71"/>
        <v/>
      </c>
      <c r="P767" s="354"/>
      <c r="Q767" s="354"/>
      <c r="R767" s="354"/>
      <c r="S767" s="355"/>
      <c r="T767" s="395"/>
      <c r="U767" s="372"/>
      <c r="V767" s="372"/>
      <c r="W767" s="353"/>
      <c r="X767" s="353"/>
      <c r="Y767" s="353"/>
      <c r="Z767" s="353"/>
      <c r="AA767" s="103"/>
      <c r="AB767" s="103"/>
      <c r="AC767" s="103"/>
      <c r="AD767" s="354" t="str">
        <f t="shared" si="72"/>
        <v/>
      </c>
      <c r="AE767" s="354"/>
      <c r="AF767" s="354"/>
      <c r="AG767" s="354"/>
      <c r="AH767" s="356"/>
    </row>
    <row r="768" spans="1:34" s="1" customFormat="1" ht="15.75" customHeight="1" x14ac:dyDescent="0.15">
      <c r="A768" s="73" t="str">
        <f t="shared" si="70"/>
        <v>×</v>
      </c>
      <c r="E768" s="413"/>
      <c r="F768" s="372"/>
      <c r="G768" s="372"/>
      <c r="H768" s="353"/>
      <c r="I768" s="353"/>
      <c r="J768" s="353"/>
      <c r="K768" s="353"/>
      <c r="L768" s="103"/>
      <c r="M768" s="103"/>
      <c r="N768" s="103"/>
      <c r="O768" s="354" t="str">
        <f t="shared" si="71"/>
        <v/>
      </c>
      <c r="P768" s="354"/>
      <c r="Q768" s="354"/>
      <c r="R768" s="354"/>
      <c r="S768" s="355"/>
      <c r="T768" s="395"/>
      <c r="U768" s="372"/>
      <c r="V768" s="372"/>
      <c r="W768" s="353"/>
      <c r="X768" s="353"/>
      <c r="Y768" s="353"/>
      <c r="Z768" s="353"/>
      <c r="AA768" s="103"/>
      <c r="AB768" s="103"/>
      <c r="AC768" s="103"/>
      <c r="AD768" s="354" t="str">
        <f t="shared" si="72"/>
        <v/>
      </c>
      <c r="AE768" s="354"/>
      <c r="AF768" s="354"/>
      <c r="AG768" s="354"/>
      <c r="AH768" s="356"/>
    </row>
    <row r="769" spans="1:35" s="1" customFormat="1" ht="15.75" customHeight="1" x14ac:dyDescent="0.15">
      <c r="A769" s="73" t="str">
        <f t="shared" si="70"/>
        <v>×</v>
      </c>
      <c r="E769" s="414"/>
      <c r="F769" s="373"/>
      <c r="G769" s="373"/>
      <c r="H769" s="357"/>
      <c r="I769" s="357"/>
      <c r="J769" s="357"/>
      <c r="K769" s="357"/>
      <c r="L769" s="104"/>
      <c r="M769" s="104"/>
      <c r="N769" s="104"/>
      <c r="O769" s="358" t="str">
        <f t="shared" si="71"/>
        <v/>
      </c>
      <c r="P769" s="358"/>
      <c r="Q769" s="358"/>
      <c r="R769" s="358"/>
      <c r="S769" s="359"/>
      <c r="T769" s="396"/>
      <c r="U769" s="373"/>
      <c r="V769" s="373"/>
      <c r="W769" s="357"/>
      <c r="X769" s="357"/>
      <c r="Y769" s="357"/>
      <c r="Z769" s="357"/>
      <c r="AA769" s="104"/>
      <c r="AB769" s="104"/>
      <c r="AC769" s="104"/>
      <c r="AD769" s="358" t="str">
        <f t="shared" si="72"/>
        <v/>
      </c>
      <c r="AE769" s="358"/>
      <c r="AF769" s="358"/>
      <c r="AG769" s="358"/>
      <c r="AH769" s="360"/>
    </row>
    <row r="770" spans="1:35" s="1" customFormat="1" ht="15.75" customHeight="1" x14ac:dyDescent="0.15">
      <c r="E770" s="8"/>
      <c r="F770" s="8"/>
      <c r="G770" s="8"/>
      <c r="H770" s="8"/>
      <c r="I770" s="8"/>
      <c r="J770" s="8"/>
      <c r="K770" s="8"/>
      <c r="L770" s="8"/>
      <c r="M770" s="8"/>
      <c r="N770" s="8"/>
      <c r="O770" s="8"/>
      <c r="P770" s="8"/>
      <c r="AA770" s="2" t="s">
        <v>127</v>
      </c>
      <c r="AB770" s="1" t="s">
        <v>548</v>
      </c>
      <c r="AC770" s="76" t="s">
        <v>27</v>
      </c>
      <c r="AD770" s="304">
        <f>AD747</f>
        <v>3.1415926535897931</v>
      </c>
      <c r="AE770" s="304"/>
      <c r="AF770" s="304"/>
      <c r="AG770" s="7" t="s">
        <v>549</v>
      </c>
      <c r="AH770" s="76" t="s">
        <v>158</v>
      </c>
    </row>
    <row r="773" spans="1:35" s="1" customFormat="1" ht="15.75" customHeight="1" x14ac:dyDescent="0.15">
      <c r="A773" s="73" t="str">
        <f>IF(A$289="","","×")</f>
        <v>×</v>
      </c>
      <c r="E773" s="61" t="s">
        <v>597</v>
      </c>
      <c r="F773" s="302"/>
      <c r="G773" s="302"/>
      <c r="H773" s="302"/>
      <c r="I773" s="61"/>
      <c r="J773" s="61"/>
      <c r="K773" s="61"/>
      <c r="L773" s="61"/>
      <c r="M773" s="61"/>
      <c r="N773" s="61"/>
      <c r="O773" s="61"/>
      <c r="P773" s="61"/>
      <c r="Q773" s="61"/>
      <c r="R773" s="61"/>
      <c r="S773" s="61"/>
      <c r="T773" s="61"/>
      <c r="U773" s="61"/>
      <c r="V773" s="61"/>
      <c r="W773" s="61"/>
      <c r="X773" s="61"/>
      <c r="Y773" s="61"/>
      <c r="Z773" s="61"/>
      <c r="AA773" s="61"/>
      <c r="AB773" s="61"/>
      <c r="AC773" s="61"/>
      <c r="AD773" s="61"/>
      <c r="AE773" s="61"/>
      <c r="AF773" s="61"/>
      <c r="AG773" s="61"/>
      <c r="AH773" s="61"/>
      <c r="AI773" s="8"/>
    </row>
    <row r="774" spans="1:35" s="1" customFormat="1" ht="15.75" customHeight="1" x14ac:dyDescent="0.15">
      <c r="A774" s="73" t="str">
        <f>IF(A$289="","","×")</f>
        <v>×</v>
      </c>
      <c r="E774" s="294" t="s">
        <v>546</v>
      </c>
      <c r="F774" s="292"/>
      <c r="G774" s="292"/>
      <c r="H774" s="292"/>
      <c r="I774" s="292"/>
      <c r="J774" s="292"/>
      <c r="K774" s="292"/>
      <c r="L774" s="292"/>
      <c r="M774" s="292"/>
      <c r="N774" s="292"/>
      <c r="O774" s="292"/>
      <c r="P774" s="292"/>
      <c r="Q774" s="292"/>
      <c r="R774" s="292"/>
      <c r="S774" s="296"/>
      <c r="T774" s="273" t="s">
        <v>547</v>
      </c>
      <c r="U774" s="131"/>
      <c r="V774" s="131"/>
      <c r="W774" s="131"/>
      <c r="X774" s="131"/>
      <c r="Y774" s="131"/>
      <c r="Z774" s="131"/>
      <c r="AA774" s="131"/>
      <c r="AB774" s="131"/>
      <c r="AC774" s="131"/>
      <c r="AD774" s="131"/>
      <c r="AE774" s="131"/>
      <c r="AF774" s="131"/>
      <c r="AG774" s="131"/>
      <c r="AH774" s="132"/>
    </row>
    <row r="775" spans="1:35" s="1" customFormat="1" ht="15.75" customHeight="1" x14ac:dyDescent="0.15">
      <c r="A775" s="73" t="str">
        <f>IF(A$289="","","×")</f>
        <v>×</v>
      </c>
      <c r="E775" s="159" t="s">
        <v>78</v>
      </c>
      <c r="F775" s="160"/>
      <c r="G775" s="160"/>
      <c r="H775" s="160" t="s">
        <v>204</v>
      </c>
      <c r="I775" s="160"/>
      <c r="J775" s="160"/>
      <c r="K775" s="160"/>
      <c r="L775" s="291" t="s">
        <v>203</v>
      </c>
      <c r="M775" s="161"/>
      <c r="N775" s="161"/>
      <c r="O775" s="160" t="s">
        <v>545</v>
      </c>
      <c r="P775" s="160"/>
      <c r="Q775" s="160"/>
      <c r="R775" s="160"/>
      <c r="S775" s="223"/>
      <c r="T775" s="213" t="s">
        <v>78</v>
      </c>
      <c r="U775" s="160"/>
      <c r="V775" s="160"/>
      <c r="W775" s="160" t="s">
        <v>204</v>
      </c>
      <c r="X775" s="160"/>
      <c r="Y775" s="160"/>
      <c r="Z775" s="160"/>
      <c r="AA775" s="291" t="s">
        <v>203</v>
      </c>
      <c r="AB775" s="161"/>
      <c r="AC775" s="161"/>
      <c r="AD775" s="160" t="s">
        <v>545</v>
      </c>
      <c r="AE775" s="160"/>
      <c r="AF775" s="160"/>
      <c r="AG775" s="160"/>
      <c r="AH775" s="223"/>
    </row>
    <row r="776" spans="1:35" s="1" customFormat="1" ht="15.75" customHeight="1" x14ac:dyDescent="0.15">
      <c r="A776" s="73" t="str">
        <f>IF(A$289="","","×")</f>
        <v>×</v>
      </c>
      <c r="E776" s="295"/>
      <c r="F776" s="156"/>
      <c r="G776" s="156"/>
      <c r="H776" s="156"/>
      <c r="I776" s="156"/>
      <c r="J776" s="156"/>
      <c r="K776" s="156"/>
      <c r="L776" s="163"/>
      <c r="M776" s="163"/>
      <c r="N776" s="163"/>
      <c r="O776" s="156"/>
      <c r="P776" s="156"/>
      <c r="Q776" s="156"/>
      <c r="R776" s="156"/>
      <c r="S776" s="267"/>
      <c r="T776" s="290"/>
      <c r="U776" s="156"/>
      <c r="V776" s="156"/>
      <c r="W776" s="156"/>
      <c r="X776" s="156"/>
      <c r="Y776" s="156"/>
      <c r="Z776" s="156"/>
      <c r="AA776" s="163"/>
      <c r="AB776" s="163"/>
      <c r="AC776" s="163"/>
      <c r="AD776" s="156"/>
      <c r="AE776" s="156"/>
      <c r="AF776" s="156"/>
      <c r="AG776" s="156"/>
      <c r="AH776" s="267"/>
    </row>
    <row r="777" spans="1:35" s="1" customFormat="1" ht="15.75" customHeight="1" x14ac:dyDescent="0.15">
      <c r="A777" s="73" t="str">
        <f>IF(A$289="",IF(LEN(E777)+LEN(T777)=0,"×",""),"×")</f>
        <v>×</v>
      </c>
      <c r="E777" s="412">
        <v>3</v>
      </c>
      <c r="F777" s="398"/>
      <c r="G777" s="398"/>
      <c r="H777" s="349">
        <v>0</v>
      </c>
      <c r="I777" s="349"/>
      <c r="J777" s="349"/>
      <c r="K777" s="349"/>
      <c r="L777" s="125">
        <v>3</v>
      </c>
      <c r="M777" s="125"/>
      <c r="N777" s="125"/>
      <c r="O777" s="350">
        <f>IF(H777="","",H777*AD$793)</f>
        <v>0</v>
      </c>
      <c r="P777" s="350"/>
      <c r="Q777" s="350"/>
      <c r="R777" s="350"/>
      <c r="S777" s="351"/>
      <c r="T777" s="397">
        <v>3</v>
      </c>
      <c r="U777" s="398"/>
      <c r="V777" s="398"/>
      <c r="W777" s="349">
        <v>0</v>
      </c>
      <c r="X777" s="349"/>
      <c r="Y777" s="349"/>
      <c r="Z777" s="349"/>
      <c r="AA777" s="125">
        <v>3</v>
      </c>
      <c r="AB777" s="125"/>
      <c r="AC777" s="125"/>
      <c r="AD777" s="350">
        <f>IF(W777="","",W777*AD$793)</f>
        <v>0</v>
      </c>
      <c r="AE777" s="350"/>
      <c r="AF777" s="350"/>
      <c r="AG777" s="350"/>
      <c r="AH777" s="352"/>
    </row>
    <row r="778" spans="1:35" s="1" customFormat="1" ht="15.75" customHeight="1" x14ac:dyDescent="0.15">
      <c r="A778" s="73" t="str">
        <f t="shared" ref="A778:A792" si="73">IF(A$289="",IF(LEN(E778)+LEN(T778)=0,"×",""),"×")</f>
        <v>×</v>
      </c>
      <c r="E778" s="413">
        <v>4</v>
      </c>
      <c r="F778" s="372"/>
      <c r="G778" s="372"/>
      <c r="H778" s="353">
        <v>0</v>
      </c>
      <c r="I778" s="353"/>
      <c r="J778" s="353"/>
      <c r="K778" s="353"/>
      <c r="L778" s="103">
        <v>0.53999996185302734</v>
      </c>
      <c r="M778" s="103"/>
      <c r="N778" s="103"/>
      <c r="O778" s="354">
        <f t="shared" ref="O778:O792" si="74">IF(H778="","",H778*AD$793)</f>
        <v>0</v>
      </c>
      <c r="P778" s="354"/>
      <c r="Q778" s="354"/>
      <c r="R778" s="354"/>
      <c r="S778" s="355"/>
      <c r="T778" s="395">
        <v>4</v>
      </c>
      <c r="U778" s="372"/>
      <c r="V778" s="372"/>
      <c r="W778" s="353">
        <v>0</v>
      </c>
      <c r="X778" s="353"/>
      <c r="Y778" s="353"/>
      <c r="Z778" s="353"/>
      <c r="AA778" s="103">
        <v>0.53999996185302734</v>
      </c>
      <c r="AB778" s="103"/>
      <c r="AC778" s="103"/>
      <c r="AD778" s="354">
        <f t="shared" ref="AD778:AD792" si="75">IF(W778="","",W778*AD$793)</f>
        <v>0</v>
      </c>
      <c r="AE778" s="354"/>
      <c r="AF778" s="354"/>
      <c r="AG778" s="354"/>
      <c r="AH778" s="356"/>
    </row>
    <row r="779" spans="1:35" s="1" customFormat="1" ht="15.75" customHeight="1" x14ac:dyDescent="0.15">
      <c r="A779" s="73" t="str">
        <f t="shared" si="73"/>
        <v>×</v>
      </c>
      <c r="E779" s="413">
        <v>4</v>
      </c>
      <c r="F779" s="372"/>
      <c r="G779" s="372"/>
      <c r="H779" s="353">
        <v>5724</v>
      </c>
      <c r="I779" s="353"/>
      <c r="J779" s="353"/>
      <c r="K779" s="353"/>
      <c r="L779" s="103">
        <v>4.4600000381469727</v>
      </c>
      <c r="M779" s="103"/>
      <c r="N779" s="103"/>
      <c r="O779" s="354">
        <f t="shared" si="74"/>
        <v>17982.476349147975</v>
      </c>
      <c r="P779" s="354"/>
      <c r="Q779" s="354"/>
      <c r="R779" s="354"/>
      <c r="S779" s="355"/>
      <c r="T779" s="395">
        <v>4</v>
      </c>
      <c r="U779" s="372"/>
      <c r="V779" s="372"/>
      <c r="W779" s="353">
        <v>5724</v>
      </c>
      <c r="X779" s="353"/>
      <c r="Y779" s="353"/>
      <c r="Z779" s="353"/>
      <c r="AA779" s="103">
        <v>4.4600000381469727</v>
      </c>
      <c r="AB779" s="103"/>
      <c r="AC779" s="103"/>
      <c r="AD779" s="354">
        <f t="shared" si="75"/>
        <v>17982.476349147975</v>
      </c>
      <c r="AE779" s="354"/>
      <c r="AF779" s="354"/>
      <c r="AG779" s="354"/>
      <c r="AH779" s="356"/>
    </row>
    <row r="780" spans="1:35" s="1" customFormat="1" ht="15.75" customHeight="1" x14ac:dyDescent="0.15">
      <c r="A780" s="73" t="str">
        <f t="shared" si="73"/>
        <v>×</v>
      </c>
      <c r="E780" s="413">
        <v>5</v>
      </c>
      <c r="F780" s="372"/>
      <c r="G780" s="372"/>
      <c r="H780" s="353">
        <v>6514</v>
      </c>
      <c r="I780" s="353"/>
      <c r="J780" s="353"/>
      <c r="K780" s="353"/>
      <c r="L780" s="103">
        <v>8</v>
      </c>
      <c r="M780" s="103"/>
      <c r="N780" s="103"/>
      <c r="O780" s="354">
        <f t="shared" si="74"/>
        <v>20464.334545483911</v>
      </c>
      <c r="P780" s="354"/>
      <c r="Q780" s="354"/>
      <c r="R780" s="354"/>
      <c r="S780" s="355"/>
      <c r="T780" s="395">
        <v>5</v>
      </c>
      <c r="U780" s="372"/>
      <c r="V780" s="372"/>
      <c r="W780" s="353">
        <v>6514</v>
      </c>
      <c r="X780" s="353"/>
      <c r="Y780" s="353"/>
      <c r="Z780" s="353"/>
      <c r="AA780" s="103">
        <v>8</v>
      </c>
      <c r="AB780" s="103"/>
      <c r="AC780" s="103"/>
      <c r="AD780" s="354">
        <f t="shared" si="75"/>
        <v>20464.334545483911</v>
      </c>
      <c r="AE780" s="354"/>
      <c r="AF780" s="354"/>
      <c r="AG780" s="354"/>
      <c r="AH780" s="356"/>
    </row>
    <row r="781" spans="1:35" s="1" customFormat="1" ht="15.75" customHeight="1" x14ac:dyDescent="0.15">
      <c r="A781" s="73" t="str">
        <f t="shared" si="73"/>
        <v>×</v>
      </c>
      <c r="E781" s="413">
        <v>6</v>
      </c>
      <c r="F781" s="372"/>
      <c r="G781" s="372"/>
      <c r="H781" s="353">
        <v>9288</v>
      </c>
      <c r="I781" s="353"/>
      <c r="J781" s="353"/>
      <c r="K781" s="353"/>
      <c r="L781" s="103">
        <v>4</v>
      </c>
      <c r="M781" s="103"/>
      <c r="N781" s="103"/>
      <c r="O781" s="354">
        <f t="shared" si="74"/>
        <v>29179.112566541997</v>
      </c>
      <c r="P781" s="354"/>
      <c r="Q781" s="354"/>
      <c r="R781" s="354"/>
      <c r="S781" s="355"/>
      <c r="T781" s="395">
        <v>6</v>
      </c>
      <c r="U781" s="372"/>
      <c r="V781" s="372"/>
      <c r="W781" s="353">
        <v>9288</v>
      </c>
      <c r="X781" s="353"/>
      <c r="Y781" s="353"/>
      <c r="Z781" s="353"/>
      <c r="AA781" s="103">
        <v>4.5</v>
      </c>
      <c r="AB781" s="103"/>
      <c r="AC781" s="103"/>
      <c r="AD781" s="354">
        <f t="shared" si="75"/>
        <v>29179.112566541997</v>
      </c>
      <c r="AE781" s="354"/>
      <c r="AF781" s="354"/>
      <c r="AG781" s="354"/>
      <c r="AH781" s="356"/>
    </row>
    <row r="782" spans="1:35" s="1" customFormat="1" ht="15.75" customHeight="1" x14ac:dyDescent="0.15">
      <c r="A782" s="73" t="str">
        <f t="shared" si="73"/>
        <v>×</v>
      </c>
      <c r="E782" s="413">
        <v>6</v>
      </c>
      <c r="F782" s="372"/>
      <c r="G782" s="372"/>
      <c r="H782" s="353">
        <v>0</v>
      </c>
      <c r="I782" s="353"/>
      <c r="J782" s="353"/>
      <c r="K782" s="353"/>
      <c r="L782" s="103">
        <v>0.5</v>
      </c>
      <c r="M782" s="103"/>
      <c r="N782" s="103"/>
      <c r="O782" s="354">
        <f t="shared" si="74"/>
        <v>0</v>
      </c>
      <c r="P782" s="354"/>
      <c r="Q782" s="354"/>
      <c r="R782" s="354"/>
      <c r="S782" s="355"/>
      <c r="T782" s="395">
        <v>7</v>
      </c>
      <c r="U782" s="372"/>
      <c r="V782" s="372"/>
      <c r="W782" s="353">
        <v>18352</v>
      </c>
      <c r="X782" s="353"/>
      <c r="Y782" s="353"/>
      <c r="Z782" s="353"/>
      <c r="AA782" s="103">
        <v>0.5</v>
      </c>
      <c r="AB782" s="103"/>
      <c r="AC782" s="103"/>
      <c r="AD782" s="354">
        <f t="shared" si="75"/>
        <v>57654.508378679886</v>
      </c>
      <c r="AE782" s="354"/>
      <c r="AF782" s="354"/>
      <c r="AG782" s="354"/>
      <c r="AH782" s="356"/>
    </row>
    <row r="783" spans="1:35" s="1" customFormat="1" ht="15.75" customHeight="1" x14ac:dyDescent="0.15">
      <c r="A783" s="73" t="str">
        <f t="shared" si="73"/>
        <v>×</v>
      </c>
      <c r="E783" s="413">
        <v>7</v>
      </c>
      <c r="F783" s="372"/>
      <c r="G783" s="372"/>
      <c r="H783" s="353">
        <v>0</v>
      </c>
      <c r="I783" s="353"/>
      <c r="J783" s="353"/>
      <c r="K783" s="353"/>
      <c r="L783" s="103">
        <v>0.5</v>
      </c>
      <c r="M783" s="103"/>
      <c r="N783" s="103"/>
      <c r="O783" s="354">
        <f t="shared" si="74"/>
        <v>0</v>
      </c>
      <c r="P783" s="354"/>
      <c r="Q783" s="354"/>
      <c r="R783" s="354"/>
      <c r="S783" s="355"/>
      <c r="T783" s="395"/>
      <c r="U783" s="372"/>
      <c r="V783" s="372"/>
      <c r="W783" s="353"/>
      <c r="X783" s="353"/>
      <c r="Y783" s="353"/>
      <c r="Z783" s="353"/>
      <c r="AA783" s="103"/>
      <c r="AB783" s="103"/>
      <c r="AC783" s="103"/>
      <c r="AD783" s="354" t="str">
        <f t="shared" si="75"/>
        <v/>
      </c>
      <c r="AE783" s="354"/>
      <c r="AF783" s="354"/>
      <c r="AG783" s="354"/>
      <c r="AH783" s="356"/>
    </row>
    <row r="784" spans="1:35" s="1" customFormat="1" ht="15.75" customHeight="1" x14ac:dyDescent="0.15">
      <c r="A784" s="73" t="str">
        <f t="shared" si="73"/>
        <v>×</v>
      </c>
      <c r="E784" s="413"/>
      <c r="F784" s="372"/>
      <c r="G784" s="372"/>
      <c r="H784" s="353"/>
      <c r="I784" s="353"/>
      <c r="J784" s="353"/>
      <c r="K784" s="353"/>
      <c r="L784" s="103"/>
      <c r="M784" s="103"/>
      <c r="N784" s="103"/>
      <c r="O784" s="354" t="str">
        <f t="shared" si="74"/>
        <v/>
      </c>
      <c r="P784" s="354"/>
      <c r="Q784" s="354"/>
      <c r="R784" s="354"/>
      <c r="S784" s="355"/>
      <c r="T784" s="395"/>
      <c r="U784" s="372"/>
      <c r="V784" s="372"/>
      <c r="W784" s="353"/>
      <c r="X784" s="353"/>
      <c r="Y784" s="353"/>
      <c r="Z784" s="353"/>
      <c r="AA784" s="103"/>
      <c r="AB784" s="103"/>
      <c r="AC784" s="103"/>
      <c r="AD784" s="354" t="str">
        <f t="shared" si="75"/>
        <v/>
      </c>
      <c r="AE784" s="354"/>
      <c r="AF784" s="354"/>
      <c r="AG784" s="354"/>
      <c r="AH784" s="356"/>
    </row>
    <row r="785" spans="1:35" s="1" customFormat="1" ht="15.75" customHeight="1" x14ac:dyDescent="0.15">
      <c r="A785" s="73" t="str">
        <f t="shared" si="73"/>
        <v>×</v>
      </c>
      <c r="E785" s="413"/>
      <c r="F785" s="372"/>
      <c r="G785" s="372"/>
      <c r="H785" s="353"/>
      <c r="I785" s="353"/>
      <c r="J785" s="353"/>
      <c r="K785" s="353"/>
      <c r="L785" s="103"/>
      <c r="M785" s="103"/>
      <c r="N785" s="103"/>
      <c r="O785" s="354" t="str">
        <f t="shared" si="74"/>
        <v/>
      </c>
      <c r="P785" s="354"/>
      <c r="Q785" s="354"/>
      <c r="R785" s="354"/>
      <c r="S785" s="355"/>
      <c r="T785" s="395"/>
      <c r="U785" s="372"/>
      <c r="V785" s="372"/>
      <c r="W785" s="353"/>
      <c r="X785" s="353"/>
      <c r="Y785" s="353"/>
      <c r="Z785" s="353"/>
      <c r="AA785" s="103"/>
      <c r="AB785" s="103"/>
      <c r="AC785" s="103"/>
      <c r="AD785" s="354" t="str">
        <f t="shared" si="75"/>
        <v/>
      </c>
      <c r="AE785" s="354"/>
      <c r="AF785" s="354"/>
      <c r="AG785" s="354"/>
      <c r="AH785" s="356"/>
    </row>
    <row r="786" spans="1:35" s="1" customFormat="1" ht="15.75" customHeight="1" x14ac:dyDescent="0.15">
      <c r="A786" s="73" t="str">
        <f t="shared" si="73"/>
        <v>×</v>
      </c>
      <c r="E786" s="413"/>
      <c r="F786" s="372"/>
      <c r="G786" s="372"/>
      <c r="H786" s="353"/>
      <c r="I786" s="353"/>
      <c r="J786" s="353"/>
      <c r="K786" s="353"/>
      <c r="L786" s="103"/>
      <c r="M786" s="103"/>
      <c r="N786" s="103"/>
      <c r="O786" s="354" t="str">
        <f t="shared" si="74"/>
        <v/>
      </c>
      <c r="P786" s="354"/>
      <c r="Q786" s="354"/>
      <c r="R786" s="354"/>
      <c r="S786" s="355"/>
      <c r="T786" s="395"/>
      <c r="U786" s="372"/>
      <c r="V786" s="372"/>
      <c r="W786" s="353"/>
      <c r="X786" s="353"/>
      <c r="Y786" s="353"/>
      <c r="Z786" s="353"/>
      <c r="AA786" s="103"/>
      <c r="AB786" s="103"/>
      <c r="AC786" s="103"/>
      <c r="AD786" s="354" t="str">
        <f t="shared" si="75"/>
        <v/>
      </c>
      <c r="AE786" s="354"/>
      <c r="AF786" s="354"/>
      <c r="AG786" s="354"/>
      <c r="AH786" s="356"/>
    </row>
    <row r="787" spans="1:35" s="1" customFormat="1" ht="15.75" customHeight="1" x14ac:dyDescent="0.15">
      <c r="A787" s="73" t="str">
        <f t="shared" si="73"/>
        <v>×</v>
      </c>
      <c r="E787" s="413"/>
      <c r="F787" s="372"/>
      <c r="G787" s="372"/>
      <c r="H787" s="353"/>
      <c r="I787" s="353"/>
      <c r="J787" s="353"/>
      <c r="K787" s="353"/>
      <c r="L787" s="103"/>
      <c r="M787" s="103"/>
      <c r="N787" s="103"/>
      <c r="O787" s="354" t="str">
        <f t="shared" si="74"/>
        <v/>
      </c>
      <c r="P787" s="354"/>
      <c r="Q787" s="354"/>
      <c r="R787" s="354"/>
      <c r="S787" s="355"/>
      <c r="T787" s="395"/>
      <c r="U787" s="372"/>
      <c r="V787" s="372"/>
      <c r="W787" s="353"/>
      <c r="X787" s="353"/>
      <c r="Y787" s="353"/>
      <c r="Z787" s="353"/>
      <c r="AA787" s="103"/>
      <c r="AB787" s="103"/>
      <c r="AC787" s="103"/>
      <c r="AD787" s="354" t="str">
        <f t="shared" si="75"/>
        <v/>
      </c>
      <c r="AE787" s="354"/>
      <c r="AF787" s="354"/>
      <c r="AG787" s="354"/>
      <c r="AH787" s="356"/>
    </row>
    <row r="788" spans="1:35" s="1" customFormat="1" ht="15.75" customHeight="1" x14ac:dyDescent="0.15">
      <c r="A788" s="73" t="str">
        <f t="shared" si="73"/>
        <v>×</v>
      </c>
      <c r="E788" s="413"/>
      <c r="F788" s="372"/>
      <c r="G788" s="372"/>
      <c r="H788" s="353"/>
      <c r="I788" s="353"/>
      <c r="J788" s="353"/>
      <c r="K788" s="353"/>
      <c r="L788" s="103"/>
      <c r="M788" s="103"/>
      <c r="N788" s="103"/>
      <c r="O788" s="354" t="str">
        <f t="shared" si="74"/>
        <v/>
      </c>
      <c r="P788" s="354"/>
      <c r="Q788" s="354"/>
      <c r="R788" s="354"/>
      <c r="S788" s="355"/>
      <c r="T788" s="395"/>
      <c r="U788" s="372"/>
      <c r="V788" s="372"/>
      <c r="W788" s="353"/>
      <c r="X788" s="353"/>
      <c r="Y788" s="353"/>
      <c r="Z788" s="353"/>
      <c r="AA788" s="103"/>
      <c r="AB788" s="103"/>
      <c r="AC788" s="103"/>
      <c r="AD788" s="354" t="str">
        <f t="shared" si="75"/>
        <v/>
      </c>
      <c r="AE788" s="354"/>
      <c r="AF788" s="354"/>
      <c r="AG788" s="354"/>
      <c r="AH788" s="356"/>
    </row>
    <row r="789" spans="1:35" s="1" customFormat="1" ht="15.75" customHeight="1" x14ac:dyDescent="0.15">
      <c r="A789" s="73" t="str">
        <f t="shared" si="73"/>
        <v>×</v>
      </c>
      <c r="E789" s="413"/>
      <c r="F789" s="372"/>
      <c r="G789" s="372"/>
      <c r="H789" s="353"/>
      <c r="I789" s="353"/>
      <c r="J789" s="353"/>
      <c r="K789" s="353"/>
      <c r="L789" s="103"/>
      <c r="M789" s="103"/>
      <c r="N789" s="103"/>
      <c r="O789" s="354" t="str">
        <f t="shared" si="74"/>
        <v/>
      </c>
      <c r="P789" s="354"/>
      <c r="Q789" s="354"/>
      <c r="R789" s="354"/>
      <c r="S789" s="355"/>
      <c r="T789" s="395"/>
      <c r="U789" s="372"/>
      <c r="V789" s="372"/>
      <c r="W789" s="353"/>
      <c r="X789" s="353"/>
      <c r="Y789" s="353"/>
      <c r="Z789" s="353"/>
      <c r="AA789" s="103"/>
      <c r="AB789" s="103"/>
      <c r="AC789" s="103"/>
      <c r="AD789" s="354" t="str">
        <f t="shared" si="75"/>
        <v/>
      </c>
      <c r="AE789" s="354"/>
      <c r="AF789" s="354"/>
      <c r="AG789" s="354"/>
      <c r="AH789" s="356"/>
    </row>
    <row r="790" spans="1:35" s="1" customFormat="1" ht="15.75" customHeight="1" x14ac:dyDescent="0.15">
      <c r="A790" s="73" t="str">
        <f t="shared" si="73"/>
        <v>×</v>
      </c>
      <c r="E790" s="413"/>
      <c r="F790" s="372"/>
      <c r="G790" s="372"/>
      <c r="H790" s="353"/>
      <c r="I790" s="353"/>
      <c r="J790" s="353"/>
      <c r="K790" s="353"/>
      <c r="L790" s="103"/>
      <c r="M790" s="103"/>
      <c r="N790" s="103"/>
      <c r="O790" s="354" t="str">
        <f t="shared" si="74"/>
        <v/>
      </c>
      <c r="P790" s="354"/>
      <c r="Q790" s="354"/>
      <c r="R790" s="354"/>
      <c r="S790" s="355"/>
      <c r="T790" s="395"/>
      <c r="U790" s="372"/>
      <c r="V790" s="372"/>
      <c r="W790" s="353"/>
      <c r="X790" s="353"/>
      <c r="Y790" s="353"/>
      <c r="Z790" s="353"/>
      <c r="AA790" s="103"/>
      <c r="AB790" s="103"/>
      <c r="AC790" s="103"/>
      <c r="AD790" s="354" t="str">
        <f t="shared" si="75"/>
        <v/>
      </c>
      <c r="AE790" s="354"/>
      <c r="AF790" s="354"/>
      <c r="AG790" s="354"/>
      <c r="AH790" s="356"/>
    </row>
    <row r="791" spans="1:35" s="1" customFormat="1" ht="15.75" customHeight="1" x14ac:dyDescent="0.15">
      <c r="A791" s="73" t="str">
        <f t="shared" si="73"/>
        <v>×</v>
      </c>
      <c r="E791" s="413"/>
      <c r="F791" s="372"/>
      <c r="G791" s="372"/>
      <c r="H791" s="353"/>
      <c r="I791" s="353"/>
      <c r="J791" s="353"/>
      <c r="K791" s="353"/>
      <c r="L791" s="103"/>
      <c r="M791" s="103"/>
      <c r="N791" s="103"/>
      <c r="O791" s="354" t="str">
        <f t="shared" si="74"/>
        <v/>
      </c>
      <c r="P791" s="354"/>
      <c r="Q791" s="354"/>
      <c r="R791" s="354"/>
      <c r="S791" s="355"/>
      <c r="T791" s="395"/>
      <c r="U791" s="372"/>
      <c r="V791" s="372"/>
      <c r="W791" s="353"/>
      <c r="X791" s="353"/>
      <c r="Y791" s="353"/>
      <c r="Z791" s="353"/>
      <c r="AA791" s="103"/>
      <c r="AB791" s="103"/>
      <c r="AC791" s="103"/>
      <c r="AD791" s="354" t="str">
        <f t="shared" si="75"/>
        <v/>
      </c>
      <c r="AE791" s="354"/>
      <c r="AF791" s="354"/>
      <c r="AG791" s="354"/>
      <c r="AH791" s="356"/>
    </row>
    <row r="792" spans="1:35" s="1" customFormat="1" ht="15.75" customHeight="1" x14ac:dyDescent="0.15">
      <c r="A792" s="73" t="str">
        <f t="shared" si="73"/>
        <v>×</v>
      </c>
      <c r="E792" s="414"/>
      <c r="F792" s="373"/>
      <c r="G792" s="373"/>
      <c r="H792" s="357"/>
      <c r="I792" s="357"/>
      <c r="J792" s="357"/>
      <c r="K792" s="357"/>
      <c r="L792" s="104"/>
      <c r="M792" s="104"/>
      <c r="N792" s="104"/>
      <c r="O792" s="358" t="str">
        <f t="shared" si="74"/>
        <v/>
      </c>
      <c r="P792" s="358"/>
      <c r="Q792" s="358"/>
      <c r="R792" s="358"/>
      <c r="S792" s="359"/>
      <c r="T792" s="396"/>
      <c r="U792" s="373"/>
      <c r="V792" s="373"/>
      <c r="W792" s="357"/>
      <c r="X792" s="357"/>
      <c r="Y792" s="357"/>
      <c r="Z792" s="357"/>
      <c r="AA792" s="104"/>
      <c r="AB792" s="104"/>
      <c r="AC792" s="104"/>
      <c r="AD792" s="358" t="str">
        <f t="shared" si="75"/>
        <v/>
      </c>
      <c r="AE792" s="358"/>
      <c r="AF792" s="358"/>
      <c r="AG792" s="358"/>
      <c r="AH792" s="360"/>
    </row>
    <row r="793" spans="1:35" s="1" customFormat="1" ht="15.75" customHeight="1" x14ac:dyDescent="0.15">
      <c r="A793" s="73" t="str">
        <f>IF(A$289="","","×")</f>
        <v>×</v>
      </c>
      <c r="E793" s="8"/>
      <c r="F793" s="8"/>
      <c r="G793" s="8"/>
      <c r="H793" s="8"/>
      <c r="I793" s="8"/>
      <c r="J793" s="8"/>
      <c r="K793" s="8"/>
      <c r="L793" s="8"/>
      <c r="M793" s="8"/>
      <c r="N793" s="8"/>
      <c r="O793" s="8"/>
      <c r="P793" s="8"/>
      <c r="AA793" s="2" t="s">
        <v>127</v>
      </c>
      <c r="AB793" s="1" t="s">
        <v>548</v>
      </c>
      <c r="AC793" s="76" t="s">
        <v>27</v>
      </c>
      <c r="AD793" s="304">
        <f>AD770</f>
        <v>3.1415926535897931</v>
      </c>
      <c r="AE793" s="304"/>
      <c r="AF793" s="304"/>
      <c r="AG793" s="7" t="s">
        <v>549</v>
      </c>
      <c r="AH793" s="76" t="s">
        <v>158</v>
      </c>
    </row>
    <row r="794" spans="1:35" ht="15.75" customHeight="1" x14ac:dyDescent="0.15">
      <c r="A794" s="73" t="str">
        <f>IF(A$289="","","×")</f>
        <v>×</v>
      </c>
    </row>
    <row r="796" spans="1:35" s="1" customFormat="1" ht="15.75" customHeight="1" x14ac:dyDescent="0.15">
      <c r="A796" s="73" t="str">
        <f>IF(A$311="","","×")</f>
        <v>×</v>
      </c>
      <c r="E796" s="61" t="s">
        <v>598</v>
      </c>
      <c r="F796" s="302"/>
      <c r="G796" s="302"/>
      <c r="H796" s="302"/>
      <c r="I796" s="61"/>
      <c r="J796" s="61"/>
      <c r="K796" s="61"/>
      <c r="L796" s="61"/>
      <c r="M796" s="61"/>
      <c r="N796" s="61"/>
      <c r="O796" s="61"/>
      <c r="P796" s="61"/>
      <c r="Q796" s="61"/>
      <c r="R796" s="61"/>
      <c r="S796" s="61"/>
      <c r="T796" s="61"/>
      <c r="U796" s="61"/>
      <c r="V796" s="61"/>
      <c r="W796" s="61"/>
      <c r="X796" s="61"/>
      <c r="Y796" s="61"/>
      <c r="Z796" s="61"/>
      <c r="AA796" s="61"/>
      <c r="AB796" s="61"/>
      <c r="AC796" s="61"/>
      <c r="AD796" s="61"/>
      <c r="AE796" s="61"/>
      <c r="AF796" s="61"/>
      <c r="AG796" s="61"/>
      <c r="AH796" s="61"/>
      <c r="AI796" s="8"/>
    </row>
    <row r="797" spans="1:35" s="1" customFormat="1" ht="15.75" customHeight="1" x14ac:dyDescent="0.15">
      <c r="A797" s="73" t="str">
        <f>IF(A$311="","","×")</f>
        <v>×</v>
      </c>
      <c r="E797" s="294" t="s">
        <v>546</v>
      </c>
      <c r="F797" s="292"/>
      <c r="G797" s="292"/>
      <c r="H797" s="292"/>
      <c r="I797" s="292"/>
      <c r="J797" s="292"/>
      <c r="K797" s="292"/>
      <c r="L797" s="292"/>
      <c r="M797" s="292"/>
      <c r="N797" s="292"/>
      <c r="O797" s="292"/>
      <c r="P797" s="292"/>
      <c r="Q797" s="292"/>
      <c r="R797" s="292"/>
      <c r="S797" s="296"/>
      <c r="T797" s="273" t="s">
        <v>547</v>
      </c>
      <c r="U797" s="131"/>
      <c r="V797" s="131"/>
      <c r="W797" s="131"/>
      <c r="X797" s="131"/>
      <c r="Y797" s="131"/>
      <c r="Z797" s="131"/>
      <c r="AA797" s="131"/>
      <c r="AB797" s="131"/>
      <c r="AC797" s="131"/>
      <c r="AD797" s="131"/>
      <c r="AE797" s="131"/>
      <c r="AF797" s="131"/>
      <c r="AG797" s="131"/>
      <c r="AH797" s="132"/>
    </row>
    <row r="798" spans="1:35" s="1" customFormat="1" ht="15.75" customHeight="1" x14ac:dyDescent="0.15">
      <c r="A798" s="73" t="str">
        <f>IF(A$311="","","×")</f>
        <v>×</v>
      </c>
      <c r="E798" s="159" t="s">
        <v>78</v>
      </c>
      <c r="F798" s="160"/>
      <c r="G798" s="160"/>
      <c r="H798" s="160" t="s">
        <v>204</v>
      </c>
      <c r="I798" s="160"/>
      <c r="J798" s="160"/>
      <c r="K798" s="160"/>
      <c r="L798" s="291" t="s">
        <v>203</v>
      </c>
      <c r="M798" s="161"/>
      <c r="N798" s="161"/>
      <c r="O798" s="160" t="s">
        <v>545</v>
      </c>
      <c r="P798" s="160"/>
      <c r="Q798" s="160"/>
      <c r="R798" s="160"/>
      <c r="S798" s="223"/>
      <c r="T798" s="213" t="s">
        <v>78</v>
      </c>
      <c r="U798" s="160"/>
      <c r="V798" s="160"/>
      <c r="W798" s="160" t="s">
        <v>204</v>
      </c>
      <c r="X798" s="160"/>
      <c r="Y798" s="160"/>
      <c r="Z798" s="160"/>
      <c r="AA798" s="291" t="s">
        <v>203</v>
      </c>
      <c r="AB798" s="161"/>
      <c r="AC798" s="161"/>
      <c r="AD798" s="160" t="s">
        <v>545</v>
      </c>
      <c r="AE798" s="160"/>
      <c r="AF798" s="160"/>
      <c r="AG798" s="160"/>
      <c r="AH798" s="223"/>
    </row>
    <row r="799" spans="1:35" s="1" customFormat="1" ht="15.75" customHeight="1" x14ac:dyDescent="0.15">
      <c r="A799" s="73" t="str">
        <f>IF(A$311="","","×")</f>
        <v>×</v>
      </c>
      <c r="E799" s="295"/>
      <c r="F799" s="156"/>
      <c r="G799" s="156"/>
      <c r="H799" s="156"/>
      <c r="I799" s="156"/>
      <c r="J799" s="156"/>
      <c r="K799" s="156"/>
      <c r="L799" s="163"/>
      <c r="M799" s="163"/>
      <c r="N799" s="163"/>
      <c r="O799" s="156"/>
      <c r="P799" s="156"/>
      <c r="Q799" s="156"/>
      <c r="R799" s="156"/>
      <c r="S799" s="267"/>
      <c r="T799" s="290"/>
      <c r="U799" s="156"/>
      <c r="V799" s="156"/>
      <c r="W799" s="156"/>
      <c r="X799" s="156"/>
      <c r="Y799" s="156"/>
      <c r="Z799" s="156"/>
      <c r="AA799" s="163"/>
      <c r="AB799" s="163"/>
      <c r="AC799" s="163"/>
      <c r="AD799" s="156"/>
      <c r="AE799" s="156"/>
      <c r="AF799" s="156"/>
      <c r="AG799" s="156"/>
      <c r="AH799" s="267"/>
    </row>
    <row r="800" spans="1:35" s="1" customFormat="1" ht="15.75" customHeight="1" x14ac:dyDescent="0.15">
      <c r="A800" s="73" t="str">
        <f>IF(A$311="",IF(LEN(E800)+LEN(T800)=0,"×",""),"×")</f>
        <v>×</v>
      </c>
      <c r="E800" s="412">
        <v>3</v>
      </c>
      <c r="F800" s="398"/>
      <c r="G800" s="398"/>
      <c r="H800" s="349">
        <v>0</v>
      </c>
      <c r="I800" s="349"/>
      <c r="J800" s="349"/>
      <c r="K800" s="349"/>
      <c r="L800" s="125">
        <v>3</v>
      </c>
      <c r="M800" s="125"/>
      <c r="N800" s="125"/>
      <c r="O800" s="350">
        <f>IF(H800="","",H800*AD$816)</f>
        <v>0</v>
      </c>
      <c r="P800" s="350"/>
      <c r="Q800" s="350"/>
      <c r="R800" s="350"/>
      <c r="S800" s="351"/>
      <c r="T800" s="397">
        <v>3</v>
      </c>
      <c r="U800" s="398"/>
      <c r="V800" s="398"/>
      <c r="W800" s="349">
        <v>0</v>
      </c>
      <c r="X800" s="349"/>
      <c r="Y800" s="349"/>
      <c r="Z800" s="349"/>
      <c r="AA800" s="125">
        <v>3</v>
      </c>
      <c r="AB800" s="125"/>
      <c r="AC800" s="125"/>
      <c r="AD800" s="350">
        <f>IF(W800="","",W800*AD$816)</f>
        <v>0</v>
      </c>
      <c r="AE800" s="350"/>
      <c r="AF800" s="350"/>
      <c r="AG800" s="350"/>
      <c r="AH800" s="352"/>
    </row>
    <row r="801" spans="1:34" s="1" customFormat="1" ht="15.75" customHeight="1" x14ac:dyDescent="0.15">
      <c r="A801" s="73" t="str">
        <f t="shared" ref="A801:A815" si="76">IF(A$311="",IF(LEN(E801)+LEN(T801)=0,"×",""),"×")</f>
        <v>×</v>
      </c>
      <c r="E801" s="413">
        <v>4</v>
      </c>
      <c r="F801" s="372"/>
      <c r="G801" s="372"/>
      <c r="H801" s="353">
        <v>0</v>
      </c>
      <c r="I801" s="353"/>
      <c r="J801" s="353"/>
      <c r="K801" s="353"/>
      <c r="L801" s="103">
        <v>0.53999996185302734</v>
      </c>
      <c r="M801" s="103"/>
      <c r="N801" s="103"/>
      <c r="O801" s="354">
        <f t="shared" ref="O801:O815" si="77">IF(H801="","",H801*AD$816)</f>
        <v>0</v>
      </c>
      <c r="P801" s="354"/>
      <c r="Q801" s="354"/>
      <c r="R801" s="354"/>
      <c r="S801" s="355"/>
      <c r="T801" s="395">
        <v>4</v>
      </c>
      <c r="U801" s="372"/>
      <c r="V801" s="372"/>
      <c r="W801" s="353">
        <v>0</v>
      </c>
      <c r="X801" s="353"/>
      <c r="Y801" s="353"/>
      <c r="Z801" s="353"/>
      <c r="AA801" s="103">
        <v>0.53999996185302734</v>
      </c>
      <c r="AB801" s="103"/>
      <c r="AC801" s="103"/>
      <c r="AD801" s="354">
        <f t="shared" ref="AD801:AD815" si="78">IF(W801="","",W801*AD$816)</f>
        <v>0</v>
      </c>
      <c r="AE801" s="354"/>
      <c r="AF801" s="354"/>
      <c r="AG801" s="354"/>
      <c r="AH801" s="356"/>
    </row>
    <row r="802" spans="1:34" s="1" customFormat="1" ht="15.75" customHeight="1" x14ac:dyDescent="0.15">
      <c r="A802" s="73" t="str">
        <f t="shared" si="76"/>
        <v>×</v>
      </c>
      <c r="E802" s="413">
        <v>4</v>
      </c>
      <c r="F802" s="372"/>
      <c r="G802" s="372"/>
      <c r="H802" s="353">
        <v>5724</v>
      </c>
      <c r="I802" s="353"/>
      <c r="J802" s="353"/>
      <c r="K802" s="353"/>
      <c r="L802" s="103">
        <v>4.4600000381469727</v>
      </c>
      <c r="M802" s="103"/>
      <c r="N802" s="103"/>
      <c r="O802" s="354">
        <f t="shared" si="77"/>
        <v>17982.476349147975</v>
      </c>
      <c r="P802" s="354"/>
      <c r="Q802" s="354"/>
      <c r="R802" s="354"/>
      <c r="S802" s="355"/>
      <c r="T802" s="395">
        <v>4</v>
      </c>
      <c r="U802" s="372"/>
      <c r="V802" s="372"/>
      <c r="W802" s="353">
        <v>5724</v>
      </c>
      <c r="X802" s="353"/>
      <c r="Y802" s="353"/>
      <c r="Z802" s="353"/>
      <c r="AA802" s="103">
        <v>4.4600000381469727</v>
      </c>
      <c r="AB802" s="103"/>
      <c r="AC802" s="103"/>
      <c r="AD802" s="354">
        <f t="shared" si="78"/>
        <v>17982.476349147975</v>
      </c>
      <c r="AE802" s="354"/>
      <c r="AF802" s="354"/>
      <c r="AG802" s="354"/>
      <c r="AH802" s="356"/>
    </row>
    <row r="803" spans="1:34" s="1" customFormat="1" ht="15.75" customHeight="1" x14ac:dyDescent="0.15">
      <c r="A803" s="73" t="str">
        <f t="shared" si="76"/>
        <v>×</v>
      </c>
      <c r="E803" s="413">
        <v>5</v>
      </c>
      <c r="F803" s="372"/>
      <c r="G803" s="372"/>
      <c r="H803" s="353">
        <v>6514</v>
      </c>
      <c r="I803" s="353"/>
      <c r="J803" s="353"/>
      <c r="K803" s="353"/>
      <c r="L803" s="103">
        <v>8</v>
      </c>
      <c r="M803" s="103"/>
      <c r="N803" s="103"/>
      <c r="O803" s="354">
        <f t="shared" si="77"/>
        <v>20464.334545483911</v>
      </c>
      <c r="P803" s="354"/>
      <c r="Q803" s="354"/>
      <c r="R803" s="354"/>
      <c r="S803" s="355"/>
      <c r="T803" s="395">
        <v>5</v>
      </c>
      <c r="U803" s="372"/>
      <c r="V803" s="372"/>
      <c r="W803" s="353">
        <v>6514</v>
      </c>
      <c r="X803" s="353"/>
      <c r="Y803" s="353"/>
      <c r="Z803" s="353"/>
      <c r="AA803" s="103">
        <v>8</v>
      </c>
      <c r="AB803" s="103"/>
      <c r="AC803" s="103"/>
      <c r="AD803" s="354">
        <f t="shared" si="78"/>
        <v>20464.334545483911</v>
      </c>
      <c r="AE803" s="354"/>
      <c r="AF803" s="354"/>
      <c r="AG803" s="354"/>
      <c r="AH803" s="356"/>
    </row>
    <row r="804" spans="1:34" s="1" customFormat="1" ht="15.75" customHeight="1" x14ac:dyDescent="0.15">
      <c r="A804" s="73" t="str">
        <f t="shared" si="76"/>
        <v>×</v>
      </c>
      <c r="E804" s="413">
        <v>6</v>
      </c>
      <c r="F804" s="372"/>
      <c r="G804" s="372"/>
      <c r="H804" s="353">
        <v>9288</v>
      </c>
      <c r="I804" s="353"/>
      <c r="J804" s="353"/>
      <c r="K804" s="353"/>
      <c r="L804" s="103">
        <v>4</v>
      </c>
      <c r="M804" s="103"/>
      <c r="N804" s="103"/>
      <c r="O804" s="354">
        <f t="shared" si="77"/>
        <v>29179.112566541997</v>
      </c>
      <c r="P804" s="354"/>
      <c r="Q804" s="354"/>
      <c r="R804" s="354"/>
      <c r="S804" s="355"/>
      <c r="T804" s="395">
        <v>6</v>
      </c>
      <c r="U804" s="372"/>
      <c r="V804" s="372"/>
      <c r="W804" s="353">
        <v>9288</v>
      </c>
      <c r="X804" s="353"/>
      <c r="Y804" s="353"/>
      <c r="Z804" s="353"/>
      <c r="AA804" s="103">
        <v>4.5</v>
      </c>
      <c r="AB804" s="103"/>
      <c r="AC804" s="103"/>
      <c r="AD804" s="354">
        <f>IF(W804="","",W804*AD$816)</f>
        <v>29179.112566541997</v>
      </c>
      <c r="AE804" s="354"/>
      <c r="AF804" s="354"/>
      <c r="AG804" s="354"/>
      <c r="AH804" s="356"/>
    </row>
    <row r="805" spans="1:34" s="1" customFormat="1" ht="15.75" customHeight="1" x14ac:dyDescent="0.15">
      <c r="A805" s="73" t="str">
        <f t="shared" si="76"/>
        <v>×</v>
      </c>
      <c r="E805" s="413">
        <v>6</v>
      </c>
      <c r="F805" s="372"/>
      <c r="G805" s="372"/>
      <c r="H805" s="353">
        <v>0</v>
      </c>
      <c r="I805" s="353"/>
      <c r="J805" s="353"/>
      <c r="K805" s="353"/>
      <c r="L805" s="103">
        <v>0.5</v>
      </c>
      <c r="M805" s="103"/>
      <c r="N805" s="103"/>
      <c r="O805" s="354">
        <f t="shared" si="77"/>
        <v>0</v>
      </c>
      <c r="P805" s="354"/>
      <c r="Q805" s="354"/>
      <c r="R805" s="354"/>
      <c r="S805" s="355"/>
      <c r="T805" s="395">
        <v>7</v>
      </c>
      <c r="U805" s="372"/>
      <c r="V805" s="372"/>
      <c r="W805" s="353">
        <v>18352</v>
      </c>
      <c r="X805" s="353"/>
      <c r="Y805" s="353"/>
      <c r="Z805" s="353"/>
      <c r="AA805" s="103">
        <v>0.5</v>
      </c>
      <c r="AB805" s="103"/>
      <c r="AC805" s="103"/>
      <c r="AD805" s="354">
        <f t="shared" si="78"/>
        <v>57654.508378679886</v>
      </c>
      <c r="AE805" s="354"/>
      <c r="AF805" s="354"/>
      <c r="AG805" s="354"/>
      <c r="AH805" s="356"/>
    </row>
    <row r="806" spans="1:34" s="1" customFormat="1" ht="15.75" customHeight="1" x14ac:dyDescent="0.15">
      <c r="A806" s="73" t="str">
        <f t="shared" si="76"/>
        <v>×</v>
      </c>
      <c r="E806" s="413">
        <v>7</v>
      </c>
      <c r="F806" s="372"/>
      <c r="G806" s="372"/>
      <c r="H806" s="353">
        <v>0</v>
      </c>
      <c r="I806" s="353"/>
      <c r="J806" s="353"/>
      <c r="K806" s="353"/>
      <c r="L806" s="103">
        <v>0.5</v>
      </c>
      <c r="M806" s="103"/>
      <c r="N806" s="103"/>
      <c r="O806" s="354">
        <f t="shared" si="77"/>
        <v>0</v>
      </c>
      <c r="P806" s="354"/>
      <c r="Q806" s="354"/>
      <c r="R806" s="354"/>
      <c r="S806" s="355"/>
      <c r="T806" s="395"/>
      <c r="U806" s="372"/>
      <c r="V806" s="372"/>
      <c r="W806" s="353"/>
      <c r="X806" s="353"/>
      <c r="Y806" s="353"/>
      <c r="Z806" s="353"/>
      <c r="AA806" s="103"/>
      <c r="AB806" s="103"/>
      <c r="AC806" s="103"/>
      <c r="AD806" s="354" t="str">
        <f t="shared" si="78"/>
        <v/>
      </c>
      <c r="AE806" s="354"/>
      <c r="AF806" s="354"/>
      <c r="AG806" s="354"/>
      <c r="AH806" s="356"/>
    </row>
    <row r="807" spans="1:34" s="1" customFormat="1" ht="15.75" customHeight="1" x14ac:dyDescent="0.15">
      <c r="A807" s="73" t="str">
        <f t="shared" si="76"/>
        <v>×</v>
      </c>
      <c r="E807" s="413"/>
      <c r="F807" s="372"/>
      <c r="G807" s="372"/>
      <c r="H807" s="353"/>
      <c r="I807" s="353"/>
      <c r="J807" s="353"/>
      <c r="K807" s="353"/>
      <c r="L807" s="103"/>
      <c r="M807" s="103"/>
      <c r="N807" s="103"/>
      <c r="O807" s="354" t="str">
        <f t="shared" si="77"/>
        <v/>
      </c>
      <c r="P807" s="354"/>
      <c r="Q807" s="354"/>
      <c r="R807" s="354"/>
      <c r="S807" s="355"/>
      <c r="T807" s="395"/>
      <c r="U807" s="372"/>
      <c r="V807" s="372"/>
      <c r="W807" s="353"/>
      <c r="X807" s="353"/>
      <c r="Y807" s="353"/>
      <c r="Z807" s="353"/>
      <c r="AA807" s="103"/>
      <c r="AB807" s="103"/>
      <c r="AC807" s="103"/>
      <c r="AD807" s="354" t="str">
        <f t="shared" si="78"/>
        <v/>
      </c>
      <c r="AE807" s="354"/>
      <c r="AF807" s="354"/>
      <c r="AG807" s="354"/>
      <c r="AH807" s="356"/>
    </row>
    <row r="808" spans="1:34" s="1" customFormat="1" ht="15.75" customHeight="1" x14ac:dyDescent="0.15">
      <c r="A808" s="73" t="str">
        <f t="shared" si="76"/>
        <v>×</v>
      </c>
      <c r="E808" s="413"/>
      <c r="F808" s="372"/>
      <c r="G808" s="372"/>
      <c r="H808" s="353"/>
      <c r="I808" s="353"/>
      <c r="J808" s="353"/>
      <c r="K808" s="353"/>
      <c r="L808" s="103"/>
      <c r="M808" s="103"/>
      <c r="N808" s="103"/>
      <c r="O808" s="354" t="str">
        <f t="shared" si="77"/>
        <v/>
      </c>
      <c r="P808" s="354"/>
      <c r="Q808" s="354"/>
      <c r="R808" s="354"/>
      <c r="S808" s="355"/>
      <c r="T808" s="395"/>
      <c r="U808" s="372"/>
      <c r="V808" s="372"/>
      <c r="W808" s="353"/>
      <c r="X808" s="353"/>
      <c r="Y808" s="353"/>
      <c r="Z808" s="353"/>
      <c r="AA808" s="103"/>
      <c r="AB808" s="103"/>
      <c r="AC808" s="103"/>
      <c r="AD808" s="354" t="str">
        <f t="shared" si="78"/>
        <v/>
      </c>
      <c r="AE808" s="354"/>
      <c r="AF808" s="354"/>
      <c r="AG808" s="354"/>
      <c r="AH808" s="356"/>
    </row>
    <row r="809" spans="1:34" s="1" customFormat="1" ht="15.75" customHeight="1" x14ac:dyDescent="0.15">
      <c r="A809" s="73" t="str">
        <f t="shared" si="76"/>
        <v>×</v>
      </c>
      <c r="E809" s="413"/>
      <c r="F809" s="372"/>
      <c r="G809" s="372"/>
      <c r="H809" s="353"/>
      <c r="I809" s="353"/>
      <c r="J809" s="353"/>
      <c r="K809" s="353"/>
      <c r="L809" s="103"/>
      <c r="M809" s="103"/>
      <c r="N809" s="103"/>
      <c r="O809" s="354" t="str">
        <f t="shared" si="77"/>
        <v/>
      </c>
      <c r="P809" s="354"/>
      <c r="Q809" s="354"/>
      <c r="R809" s="354"/>
      <c r="S809" s="355"/>
      <c r="T809" s="395"/>
      <c r="U809" s="372"/>
      <c r="V809" s="372"/>
      <c r="W809" s="353"/>
      <c r="X809" s="353"/>
      <c r="Y809" s="353"/>
      <c r="Z809" s="353"/>
      <c r="AA809" s="103"/>
      <c r="AB809" s="103"/>
      <c r="AC809" s="103"/>
      <c r="AD809" s="354" t="str">
        <f t="shared" si="78"/>
        <v/>
      </c>
      <c r="AE809" s="354"/>
      <c r="AF809" s="354"/>
      <c r="AG809" s="354"/>
      <c r="AH809" s="356"/>
    </row>
    <row r="810" spans="1:34" s="1" customFormat="1" ht="15.75" customHeight="1" x14ac:dyDescent="0.15">
      <c r="A810" s="73" t="str">
        <f t="shared" si="76"/>
        <v>×</v>
      </c>
      <c r="E810" s="413"/>
      <c r="F810" s="372"/>
      <c r="G810" s="372"/>
      <c r="H810" s="353"/>
      <c r="I810" s="353"/>
      <c r="J810" s="353"/>
      <c r="K810" s="353"/>
      <c r="L810" s="103"/>
      <c r="M810" s="103"/>
      <c r="N810" s="103"/>
      <c r="O810" s="354" t="str">
        <f t="shared" si="77"/>
        <v/>
      </c>
      <c r="P810" s="354"/>
      <c r="Q810" s="354"/>
      <c r="R810" s="354"/>
      <c r="S810" s="355"/>
      <c r="T810" s="395"/>
      <c r="U810" s="372"/>
      <c r="V810" s="372"/>
      <c r="W810" s="353"/>
      <c r="X810" s="353"/>
      <c r="Y810" s="353"/>
      <c r="Z810" s="353"/>
      <c r="AA810" s="103"/>
      <c r="AB810" s="103"/>
      <c r="AC810" s="103"/>
      <c r="AD810" s="354" t="str">
        <f t="shared" si="78"/>
        <v/>
      </c>
      <c r="AE810" s="354"/>
      <c r="AF810" s="354"/>
      <c r="AG810" s="354"/>
      <c r="AH810" s="356"/>
    </row>
    <row r="811" spans="1:34" s="1" customFormat="1" ht="15.75" customHeight="1" x14ac:dyDescent="0.15">
      <c r="A811" s="73" t="str">
        <f t="shared" si="76"/>
        <v>×</v>
      </c>
      <c r="E811" s="413"/>
      <c r="F811" s="372"/>
      <c r="G811" s="372"/>
      <c r="H811" s="353"/>
      <c r="I811" s="353"/>
      <c r="J811" s="353"/>
      <c r="K811" s="353"/>
      <c r="L811" s="103"/>
      <c r="M811" s="103"/>
      <c r="N811" s="103"/>
      <c r="O811" s="354" t="str">
        <f t="shared" si="77"/>
        <v/>
      </c>
      <c r="P811" s="354"/>
      <c r="Q811" s="354"/>
      <c r="R811" s="354"/>
      <c r="S811" s="355"/>
      <c r="T811" s="395"/>
      <c r="U811" s="372"/>
      <c r="V811" s="372"/>
      <c r="W811" s="353"/>
      <c r="X811" s="353"/>
      <c r="Y811" s="353"/>
      <c r="Z811" s="353"/>
      <c r="AA811" s="103"/>
      <c r="AB811" s="103"/>
      <c r="AC811" s="103"/>
      <c r="AD811" s="354" t="str">
        <f t="shared" si="78"/>
        <v/>
      </c>
      <c r="AE811" s="354"/>
      <c r="AF811" s="354"/>
      <c r="AG811" s="354"/>
      <c r="AH811" s="356"/>
    </row>
    <row r="812" spans="1:34" s="1" customFormat="1" ht="15.75" customHeight="1" x14ac:dyDescent="0.15">
      <c r="A812" s="73" t="str">
        <f t="shared" si="76"/>
        <v>×</v>
      </c>
      <c r="E812" s="413"/>
      <c r="F812" s="372"/>
      <c r="G812" s="372"/>
      <c r="H812" s="353"/>
      <c r="I812" s="353"/>
      <c r="J812" s="353"/>
      <c r="K812" s="353"/>
      <c r="L812" s="103"/>
      <c r="M812" s="103"/>
      <c r="N812" s="103"/>
      <c r="O812" s="354" t="str">
        <f t="shared" si="77"/>
        <v/>
      </c>
      <c r="P812" s="354"/>
      <c r="Q812" s="354"/>
      <c r="R812" s="354"/>
      <c r="S812" s="355"/>
      <c r="T812" s="395"/>
      <c r="U812" s="372"/>
      <c r="V812" s="372"/>
      <c r="W812" s="353"/>
      <c r="X812" s="353"/>
      <c r="Y812" s="353"/>
      <c r="Z812" s="353"/>
      <c r="AA812" s="103"/>
      <c r="AB812" s="103"/>
      <c r="AC812" s="103"/>
      <c r="AD812" s="354" t="str">
        <f t="shared" si="78"/>
        <v/>
      </c>
      <c r="AE812" s="354"/>
      <c r="AF812" s="354"/>
      <c r="AG812" s="354"/>
      <c r="AH812" s="356"/>
    </row>
    <row r="813" spans="1:34" s="1" customFormat="1" ht="15.75" customHeight="1" x14ac:dyDescent="0.15">
      <c r="A813" s="73" t="str">
        <f t="shared" si="76"/>
        <v>×</v>
      </c>
      <c r="E813" s="413"/>
      <c r="F813" s="372"/>
      <c r="G813" s="372"/>
      <c r="H813" s="353"/>
      <c r="I813" s="353"/>
      <c r="J813" s="353"/>
      <c r="K813" s="353"/>
      <c r="L813" s="103"/>
      <c r="M813" s="103"/>
      <c r="N813" s="103"/>
      <c r="O813" s="354" t="str">
        <f t="shared" si="77"/>
        <v/>
      </c>
      <c r="P813" s="354"/>
      <c r="Q813" s="354"/>
      <c r="R813" s="354"/>
      <c r="S813" s="355"/>
      <c r="T813" s="395"/>
      <c r="U813" s="372"/>
      <c r="V813" s="372"/>
      <c r="W813" s="353"/>
      <c r="X813" s="353"/>
      <c r="Y813" s="353"/>
      <c r="Z813" s="353"/>
      <c r="AA813" s="103"/>
      <c r="AB813" s="103"/>
      <c r="AC813" s="103"/>
      <c r="AD813" s="354" t="str">
        <f t="shared" si="78"/>
        <v/>
      </c>
      <c r="AE813" s="354"/>
      <c r="AF813" s="354"/>
      <c r="AG813" s="354"/>
      <c r="AH813" s="356"/>
    </row>
    <row r="814" spans="1:34" s="1" customFormat="1" ht="15.75" customHeight="1" x14ac:dyDescent="0.15">
      <c r="A814" s="73" t="str">
        <f t="shared" si="76"/>
        <v>×</v>
      </c>
      <c r="E814" s="413"/>
      <c r="F814" s="372"/>
      <c r="G814" s="372"/>
      <c r="H814" s="353"/>
      <c r="I814" s="353"/>
      <c r="J814" s="353"/>
      <c r="K814" s="353"/>
      <c r="L814" s="103"/>
      <c r="M814" s="103"/>
      <c r="N814" s="103"/>
      <c r="O814" s="354" t="str">
        <f t="shared" si="77"/>
        <v/>
      </c>
      <c r="P814" s="354"/>
      <c r="Q814" s="354"/>
      <c r="R814" s="354"/>
      <c r="S814" s="355"/>
      <c r="T814" s="395"/>
      <c r="U814" s="372"/>
      <c r="V814" s="372"/>
      <c r="W814" s="353"/>
      <c r="X814" s="353"/>
      <c r="Y814" s="353"/>
      <c r="Z814" s="353"/>
      <c r="AA814" s="103"/>
      <c r="AB814" s="103"/>
      <c r="AC814" s="103"/>
      <c r="AD814" s="354" t="str">
        <f t="shared" si="78"/>
        <v/>
      </c>
      <c r="AE814" s="354"/>
      <c r="AF814" s="354"/>
      <c r="AG814" s="354"/>
      <c r="AH814" s="356"/>
    </row>
    <row r="815" spans="1:34" s="1" customFormat="1" ht="15.75" customHeight="1" x14ac:dyDescent="0.15">
      <c r="A815" s="73" t="str">
        <f t="shared" si="76"/>
        <v>×</v>
      </c>
      <c r="E815" s="414"/>
      <c r="F815" s="373"/>
      <c r="G815" s="373"/>
      <c r="H815" s="357"/>
      <c r="I815" s="357"/>
      <c r="J815" s="357"/>
      <c r="K815" s="357"/>
      <c r="L815" s="104"/>
      <c r="M815" s="104"/>
      <c r="N815" s="104"/>
      <c r="O815" s="358" t="str">
        <f t="shared" si="77"/>
        <v/>
      </c>
      <c r="P815" s="358"/>
      <c r="Q815" s="358"/>
      <c r="R815" s="358"/>
      <c r="S815" s="359"/>
      <c r="T815" s="396"/>
      <c r="U815" s="373"/>
      <c r="V815" s="373"/>
      <c r="W815" s="357"/>
      <c r="X815" s="357"/>
      <c r="Y815" s="357"/>
      <c r="Z815" s="357"/>
      <c r="AA815" s="104"/>
      <c r="AB815" s="104"/>
      <c r="AC815" s="104"/>
      <c r="AD815" s="358" t="str">
        <f t="shared" si="78"/>
        <v/>
      </c>
      <c r="AE815" s="358"/>
      <c r="AF815" s="358"/>
      <c r="AG815" s="358"/>
      <c r="AH815" s="360"/>
    </row>
    <row r="816" spans="1:34" s="1" customFormat="1" ht="15.75" customHeight="1" x14ac:dyDescent="0.15">
      <c r="A816" s="73" t="str">
        <f>IF(A$311="","","×")</f>
        <v>×</v>
      </c>
      <c r="E816" s="8"/>
      <c r="F816" s="8"/>
      <c r="G816" s="8"/>
      <c r="H816" s="8"/>
      <c r="I816" s="8"/>
      <c r="J816" s="8"/>
      <c r="K816" s="8"/>
      <c r="L816" s="8"/>
      <c r="M816" s="8"/>
      <c r="N816" s="8"/>
      <c r="O816" s="8"/>
      <c r="P816" s="8"/>
      <c r="AA816" s="2" t="s">
        <v>127</v>
      </c>
      <c r="AB816" s="1" t="s">
        <v>548</v>
      </c>
      <c r="AC816" s="76" t="s">
        <v>27</v>
      </c>
      <c r="AD816" s="304">
        <f>AD793</f>
        <v>3.1415926535897931</v>
      </c>
      <c r="AE816" s="304"/>
      <c r="AF816" s="304"/>
      <c r="AG816" s="7" t="s">
        <v>549</v>
      </c>
      <c r="AH816" s="76" t="s">
        <v>158</v>
      </c>
    </row>
    <row r="817" spans="1:12" ht="15.75" customHeight="1" x14ac:dyDescent="0.15">
      <c r="A817" s="73" t="str">
        <f>IF(A$311="","","×")</f>
        <v>×</v>
      </c>
    </row>
    <row r="818" spans="1:12" s="1" customFormat="1" ht="15.75" customHeight="1" x14ac:dyDescent="0.15"/>
    <row r="819" spans="1:12" s="1" customFormat="1" ht="15.75" customHeight="1" x14ac:dyDescent="0.15"/>
    <row r="820" spans="1:12" s="1" customFormat="1" ht="15.75" customHeight="1" x14ac:dyDescent="0.15">
      <c r="D820" s="10" t="s">
        <v>210</v>
      </c>
    </row>
    <row r="821" spans="1:12" s="1" customFormat="1" ht="15.75" customHeight="1" x14ac:dyDescent="0.15"/>
    <row r="822" spans="1:12" s="1" customFormat="1" ht="15.75" customHeight="1" x14ac:dyDescent="0.15">
      <c r="D822" s="10" t="s">
        <v>211</v>
      </c>
    </row>
    <row r="823" spans="1:12" s="1" customFormat="1" ht="15.75" customHeight="1" x14ac:dyDescent="0.15"/>
    <row r="824" spans="1:12" s="1" customFormat="1" ht="15.75" customHeight="1" x14ac:dyDescent="0.15">
      <c r="E824" s="162" t="s">
        <v>212</v>
      </c>
      <c r="F824" s="162"/>
      <c r="G824" s="76" t="s">
        <v>27</v>
      </c>
      <c r="H824" s="162" t="s">
        <v>213</v>
      </c>
      <c r="I824" s="162"/>
      <c r="J824" s="76" t="s">
        <v>6</v>
      </c>
      <c r="K824" s="162" t="s">
        <v>214</v>
      </c>
      <c r="L824" s="162"/>
    </row>
    <row r="825" spans="1:12" s="1" customFormat="1" ht="15.75" customHeight="1" x14ac:dyDescent="0.15"/>
    <row r="826" spans="1:12" s="1" customFormat="1" ht="15.75" customHeight="1" x14ac:dyDescent="0.15">
      <c r="F826" s="1" t="s">
        <v>3</v>
      </c>
      <c r="I826" s="361" t="s">
        <v>212</v>
      </c>
      <c r="J826" s="361"/>
      <c r="K826" s="76" t="s">
        <v>2</v>
      </c>
      <c r="L826" s="1" t="s">
        <v>216</v>
      </c>
    </row>
    <row r="827" spans="1:12" s="1" customFormat="1" ht="15.75" customHeight="1" x14ac:dyDescent="0.15">
      <c r="I827" s="361" t="s">
        <v>213</v>
      </c>
      <c r="J827" s="361"/>
      <c r="K827" s="76" t="s">
        <v>2</v>
      </c>
      <c r="L827" s="1" t="s">
        <v>217</v>
      </c>
    </row>
    <row r="828" spans="1:12" s="1" customFormat="1" ht="15.75" customHeight="1" x14ac:dyDescent="0.15">
      <c r="I828" s="361" t="s">
        <v>215</v>
      </c>
      <c r="J828" s="361"/>
      <c r="K828" s="76" t="s">
        <v>2</v>
      </c>
      <c r="L828" s="1" t="s">
        <v>218</v>
      </c>
    </row>
    <row r="829" spans="1:12" s="1" customFormat="1" ht="15.75" customHeight="1" x14ac:dyDescent="0.15"/>
    <row r="830" spans="1:12" s="1" customFormat="1" ht="15.75" customHeight="1" x14ac:dyDescent="0.15">
      <c r="E830" s="1" t="s">
        <v>219</v>
      </c>
    </row>
    <row r="831" spans="1:12" s="1" customFormat="1" ht="15.75" customHeight="1" x14ac:dyDescent="0.15">
      <c r="F831" s="1" t="s">
        <v>220</v>
      </c>
    </row>
    <row r="832" spans="1:12" ht="15.75" customHeight="1" x14ac:dyDescent="0.15">
      <c r="E832" s="76"/>
    </row>
    <row r="833" spans="5:58" s="1" customFormat="1" ht="15.75" customHeight="1" x14ac:dyDescent="0.15">
      <c r="E833" s="162" t="s">
        <v>213</v>
      </c>
      <c r="F833" s="162"/>
      <c r="G833" s="76" t="s">
        <v>27</v>
      </c>
      <c r="H833" s="162" t="s">
        <v>221</v>
      </c>
      <c r="I833" s="162"/>
      <c r="J833" s="76" t="s">
        <v>1</v>
      </c>
      <c r="K833" s="162" t="s">
        <v>222</v>
      </c>
      <c r="L833" s="162"/>
    </row>
    <row r="834" spans="5:58" s="1" customFormat="1" ht="15.75" customHeight="1" x14ac:dyDescent="0.15"/>
    <row r="835" spans="5:58" s="1" customFormat="1" ht="15.75" customHeight="1" x14ac:dyDescent="0.15">
      <c r="F835" s="1" t="s">
        <v>3</v>
      </c>
      <c r="I835" s="361" t="s">
        <v>213</v>
      </c>
      <c r="J835" s="361"/>
      <c r="K835" s="76" t="s">
        <v>2</v>
      </c>
      <c r="L835" s="1" t="s">
        <v>223</v>
      </c>
    </row>
    <row r="836" spans="5:58" s="1" customFormat="1" ht="15.75" customHeight="1" x14ac:dyDescent="0.15">
      <c r="I836" s="361" t="s">
        <v>221</v>
      </c>
      <c r="J836" s="361"/>
      <c r="K836" s="76" t="s">
        <v>2</v>
      </c>
      <c r="L836" s="1" t="s">
        <v>393</v>
      </c>
    </row>
    <row r="837" spans="5:58" s="1" customFormat="1" ht="15.75" customHeight="1" x14ac:dyDescent="0.15">
      <c r="I837" s="2"/>
      <c r="J837" s="2"/>
      <c r="K837" s="76"/>
      <c r="L837" s="1" t="s">
        <v>394</v>
      </c>
    </row>
    <row r="838" spans="5:58" s="1" customFormat="1" ht="15.75" customHeight="1" x14ac:dyDescent="0.15">
      <c r="I838" s="2"/>
      <c r="J838" s="2"/>
      <c r="K838" s="76"/>
      <c r="M838" s="1" t="s">
        <v>224</v>
      </c>
      <c r="R838" s="76" t="s">
        <v>2</v>
      </c>
      <c r="S838" s="162" t="s">
        <v>221</v>
      </c>
      <c r="T838" s="162"/>
      <c r="U838" s="76" t="s">
        <v>27</v>
      </c>
      <c r="V838" s="162" t="s">
        <v>227</v>
      </c>
      <c r="W838" s="162"/>
      <c r="X838" s="1" t="s">
        <v>228</v>
      </c>
      <c r="Y838" s="162">
        <v>3500</v>
      </c>
      <c r="Z838" s="162"/>
      <c r="AA838" s="1" t="s">
        <v>229</v>
      </c>
    </row>
    <row r="839" spans="5:58" s="1" customFormat="1" ht="15.75" customHeight="1" x14ac:dyDescent="0.15">
      <c r="I839" s="2"/>
      <c r="J839" s="2"/>
      <c r="K839" s="76"/>
      <c r="M839" s="1" t="s">
        <v>225</v>
      </c>
      <c r="R839" s="76" t="s">
        <v>2</v>
      </c>
      <c r="S839" s="162" t="s">
        <v>221</v>
      </c>
      <c r="T839" s="162"/>
      <c r="U839" s="76" t="s">
        <v>27</v>
      </c>
      <c r="V839" s="162" t="s">
        <v>227</v>
      </c>
      <c r="W839" s="162"/>
      <c r="X839" s="1" t="s">
        <v>228</v>
      </c>
      <c r="Y839" s="162">
        <v>7500</v>
      </c>
      <c r="Z839" s="162"/>
      <c r="AA839" s="1" t="s">
        <v>229</v>
      </c>
    </row>
    <row r="840" spans="5:58" s="1" customFormat="1" ht="15.75" customHeight="1" x14ac:dyDescent="0.15">
      <c r="I840" s="2"/>
      <c r="J840" s="2"/>
      <c r="K840" s="76"/>
      <c r="M840" s="1" t="s">
        <v>226</v>
      </c>
      <c r="N840" s="76" t="s">
        <v>2</v>
      </c>
      <c r="O840" s="1" t="s">
        <v>230</v>
      </c>
    </row>
    <row r="841" spans="5:58" s="1" customFormat="1" ht="15.75" customHeight="1" x14ac:dyDescent="0.15">
      <c r="I841" s="361" t="s">
        <v>222</v>
      </c>
      <c r="J841" s="361"/>
      <c r="K841" s="76" t="s">
        <v>2</v>
      </c>
      <c r="L841" s="1" t="s">
        <v>395</v>
      </c>
    </row>
    <row r="842" spans="5:58" ht="15.75" customHeight="1" x14ac:dyDescent="0.15">
      <c r="E842" s="76"/>
      <c r="L842" s="307" t="s">
        <v>396</v>
      </c>
    </row>
    <row r="843" spans="5:58" ht="15.75" customHeight="1" x14ac:dyDescent="0.15">
      <c r="E843" s="76"/>
    </row>
    <row r="845" spans="5:58" ht="15.75" customHeight="1" x14ac:dyDescent="0.15">
      <c r="E845" s="162" t="s">
        <v>221</v>
      </c>
      <c r="F845" s="162"/>
      <c r="G845" s="76" t="s">
        <v>27</v>
      </c>
      <c r="H845" s="362">
        <v>60</v>
      </c>
      <c r="I845" s="362"/>
      <c r="J845" s="76" t="s">
        <v>553</v>
      </c>
      <c r="K845" s="363" t="s">
        <v>602</v>
      </c>
      <c r="AC845" s="379"/>
      <c r="AD845" s="379"/>
      <c r="AE845" s="379"/>
      <c r="AF845" s="379"/>
      <c r="AG845" s="379"/>
      <c r="AH845" s="379"/>
      <c r="AI845" s="379"/>
      <c r="AJ845" s="379"/>
      <c r="AK845" s="379"/>
      <c r="AL845" s="379"/>
      <c r="AM845" s="379"/>
      <c r="AV845" s="76"/>
      <c r="AW845" s="76"/>
      <c r="AX845" s="76"/>
      <c r="AY845" s="76"/>
      <c r="AZ845" s="76"/>
      <c r="BA845" s="76"/>
      <c r="BB845" s="76"/>
      <c r="BC845" s="76"/>
      <c r="BD845" s="76"/>
      <c r="BE845" s="76"/>
      <c r="BF845" s="76"/>
    </row>
    <row r="846" spans="5:58" ht="15.75" customHeight="1" x14ac:dyDescent="0.15">
      <c r="G846" s="76" t="s">
        <v>27</v>
      </c>
      <c r="H846" s="162">
        <f>H845</f>
        <v>60</v>
      </c>
      <c r="I846" s="162"/>
      <c r="J846" s="76" t="s">
        <v>1</v>
      </c>
      <c r="K846" s="362">
        <v>70</v>
      </c>
      <c r="L846" s="362"/>
    </row>
    <row r="847" spans="5:58" ht="15.75" customHeight="1" x14ac:dyDescent="0.15">
      <c r="G847" s="76" t="s">
        <v>27</v>
      </c>
      <c r="H847" s="162">
        <f>H846*K846*Q850^2</f>
        <v>4200</v>
      </c>
      <c r="I847" s="162"/>
      <c r="J847" s="162"/>
      <c r="K847" s="1" t="s">
        <v>229</v>
      </c>
      <c r="N847" s="1" t="s">
        <v>228</v>
      </c>
      <c r="O847" s="362">
        <v>7500</v>
      </c>
      <c r="P847" s="362"/>
      <c r="Q847" s="1" t="s">
        <v>229</v>
      </c>
      <c r="S847" s="11"/>
      <c r="T847" s="11"/>
      <c r="U847" s="11"/>
      <c r="V847" s="364"/>
    </row>
    <row r="848" spans="5:58" ht="15.75" customHeight="1" x14ac:dyDescent="0.15">
      <c r="K848" s="289"/>
      <c r="L848" s="289"/>
      <c r="N848" s="365"/>
      <c r="O848" s="365"/>
      <c r="S848" s="11"/>
      <c r="T848" s="11"/>
      <c r="U848" s="11"/>
      <c r="V848" s="364"/>
    </row>
    <row r="849" spans="5:59" ht="15.75" customHeight="1" x14ac:dyDescent="0.15">
      <c r="E849" s="162" t="s">
        <v>213</v>
      </c>
      <c r="F849" s="162"/>
      <c r="G849" s="76" t="s">
        <v>27</v>
      </c>
      <c r="H849" s="162" t="s">
        <v>221</v>
      </c>
      <c r="I849" s="162"/>
      <c r="J849" s="76" t="s">
        <v>1</v>
      </c>
      <c r="K849" s="162" t="s">
        <v>222</v>
      </c>
      <c r="L849" s="162"/>
      <c r="N849" s="365"/>
      <c r="O849" s="365"/>
      <c r="S849" s="11"/>
      <c r="T849" s="11"/>
      <c r="U849" s="11"/>
      <c r="V849" s="364"/>
    </row>
    <row r="850" spans="5:59" ht="15.75" customHeight="1" x14ac:dyDescent="0.15">
      <c r="G850" s="76" t="s">
        <v>27</v>
      </c>
      <c r="H850" s="162">
        <f>MIN(H847,先端qtk上限)</f>
        <v>4200</v>
      </c>
      <c r="I850" s="162"/>
      <c r="J850" s="162"/>
      <c r="K850" s="76" t="s">
        <v>1</v>
      </c>
      <c r="L850" s="366">
        <v>0.25</v>
      </c>
      <c r="M850" s="366"/>
      <c r="N850" s="76" t="s">
        <v>1</v>
      </c>
      <c r="O850" s="76" t="s">
        <v>231</v>
      </c>
      <c r="P850" s="76" t="s">
        <v>1</v>
      </c>
      <c r="Q850" s="367">
        <f>Q92</f>
        <v>1</v>
      </c>
      <c r="R850" s="367"/>
      <c r="S850" s="367"/>
      <c r="T850" s="364" t="s">
        <v>232</v>
      </c>
      <c r="AN850" s="76"/>
      <c r="BG850" s="379"/>
    </row>
    <row r="851" spans="5:59" ht="15.75" customHeight="1" x14ac:dyDescent="0.15">
      <c r="G851" s="76" t="s">
        <v>27</v>
      </c>
      <c r="H851" s="244">
        <f>H847*L850*PI()*Q850^2</f>
        <v>3298.6722862692827</v>
      </c>
      <c r="I851" s="244"/>
      <c r="J851" s="244"/>
      <c r="K851" s="1" t="s">
        <v>574</v>
      </c>
      <c r="AI851" s="379"/>
      <c r="AJ851" s="379"/>
      <c r="AK851" s="379"/>
      <c r="AL851" s="379"/>
      <c r="AM851" s="379"/>
      <c r="BC851" s="76"/>
      <c r="BD851" s="76"/>
      <c r="BE851" s="76"/>
      <c r="BF851" s="76"/>
    </row>
    <row r="852" spans="5:59" ht="15.75" customHeight="1" x14ac:dyDescent="0.15">
      <c r="AK852" s="379"/>
      <c r="AL852" s="379"/>
      <c r="AM852" s="379"/>
      <c r="BE852" s="76"/>
      <c r="BF852" s="76"/>
    </row>
    <row r="854" spans="5:59" ht="15.75" customHeight="1" x14ac:dyDescent="0.15">
      <c r="F854" s="307" t="s">
        <v>233</v>
      </c>
    </row>
    <row r="857" spans="5:59" ht="15.75" customHeight="1" x14ac:dyDescent="0.15">
      <c r="E857" s="1" t="s">
        <v>234</v>
      </c>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row>
    <row r="858" spans="5:59" ht="15.75" customHeight="1" x14ac:dyDescent="0.15">
      <c r="F858" s="1" t="s">
        <v>235</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row>
    <row r="859" spans="5:59" ht="15.75" customHeight="1" x14ac:dyDescent="0.15">
      <c r="E859" s="76"/>
    </row>
    <row r="860" spans="5:59" ht="15.75" customHeight="1" x14ac:dyDescent="0.15">
      <c r="E860" s="162" t="s">
        <v>215</v>
      </c>
      <c r="F860" s="162"/>
      <c r="G860" s="76" t="s">
        <v>27</v>
      </c>
      <c r="H860" s="162" t="s">
        <v>236</v>
      </c>
      <c r="I860" s="162"/>
      <c r="J860" s="76" t="s">
        <v>1</v>
      </c>
      <c r="K860" s="162" t="s">
        <v>237</v>
      </c>
      <c r="L860" s="162"/>
      <c r="M860" s="1" t="s">
        <v>1</v>
      </c>
      <c r="N860" s="307" t="s">
        <v>238</v>
      </c>
      <c r="O860" s="1"/>
      <c r="P860" s="1"/>
      <c r="Q860" s="1"/>
      <c r="R860" s="1"/>
      <c r="S860" s="1"/>
      <c r="T860" s="1"/>
      <c r="U860" s="1"/>
      <c r="V860" s="1"/>
      <c r="W860" s="1"/>
      <c r="X860" s="1"/>
      <c r="Y860" s="1"/>
      <c r="Z860" s="1"/>
      <c r="AA860" s="1"/>
      <c r="AB860" s="1"/>
      <c r="AC860" s="1"/>
      <c r="AD860" s="1"/>
      <c r="AE860" s="1"/>
      <c r="AF860" s="1"/>
      <c r="AG860" s="1"/>
      <c r="AH860" s="1"/>
    </row>
    <row r="861" spans="5:59" ht="15.75" customHeight="1" x14ac:dyDescent="0.15">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row>
    <row r="862" spans="5:59" ht="15.75" customHeight="1" x14ac:dyDescent="0.15">
      <c r="F862" s="1" t="s">
        <v>3</v>
      </c>
      <c r="G862" s="1"/>
      <c r="H862" s="1"/>
      <c r="I862" s="162" t="s">
        <v>237</v>
      </c>
      <c r="J862" s="162"/>
      <c r="K862" s="76" t="s">
        <v>2</v>
      </c>
      <c r="L862" s="1" t="s">
        <v>239</v>
      </c>
      <c r="M862" s="1"/>
      <c r="N862" s="1"/>
      <c r="O862" s="1"/>
      <c r="P862" s="1"/>
      <c r="Q862" s="1"/>
      <c r="R862" s="1"/>
      <c r="S862" s="1"/>
      <c r="T862" s="1"/>
      <c r="U862" s="1"/>
      <c r="V862" s="1"/>
      <c r="W862" s="1"/>
      <c r="X862" s="1"/>
      <c r="Y862" s="1"/>
      <c r="Z862" s="1"/>
      <c r="AA862" s="1"/>
      <c r="AB862" s="1"/>
      <c r="AC862" s="1"/>
      <c r="AD862" s="1"/>
      <c r="AE862" s="1"/>
      <c r="AF862" s="1"/>
      <c r="AG862" s="1"/>
      <c r="AH862" s="1"/>
    </row>
    <row r="863" spans="5:59" ht="15.75" customHeight="1" x14ac:dyDescent="0.15">
      <c r="F863" s="1"/>
      <c r="G863" s="1"/>
      <c r="H863" s="1"/>
      <c r="I863" s="162" t="s">
        <v>236</v>
      </c>
      <c r="J863" s="162"/>
      <c r="K863" s="76" t="s">
        <v>2</v>
      </c>
      <c r="L863" s="1" t="s">
        <v>397</v>
      </c>
      <c r="M863" s="1"/>
      <c r="N863" s="1"/>
      <c r="O863" s="1"/>
      <c r="P863" s="1"/>
      <c r="Q863" s="1"/>
      <c r="R863" s="1"/>
      <c r="S863" s="1"/>
      <c r="T863" s="1"/>
      <c r="U863" s="1"/>
      <c r="V863" s="1"/>
      <c r="W863" s="1"/>
      <c r="X863" s="1"/>
      <c r="Y863" s="1"/>
      <c r="Z863" s="1"/>
      <c r="AA863" s="1"/>
      <c r="AB863" s="1"/>
      <c r="AC863" s="1"/>
      <c r="AD863" s="1"/>
      <c r="AE863" s="1"/>
      <c r="AF863" s="1"/>
      <c r="AG863" s="1"/>
      <c r="AH863" s="1"/>
    </row>
    <row r="864" spans="5:59" ht="15.75" customHeight="1" x14ac:dyDescent="0.15">
      <c r="F864" s="1"/>
      <c r="G864" s="1"/>
      <c r="H864" s="1"/>
      <c r="L864" s="1" t="s">
        <v>398</v>
      </c>
      <c r="M864" s="1"/>
      <c r="N864" s="1"/>
      <c r="O864" s="1"/>
      <c r="P864" s="1"/>
      <c r="Q864" s="1"/>
      <c r="R864" s="1"/>
      <c r="S864" s="1"/>
      <c r="T864" s="1"/>
      <c r="U864" s="1"/>
      <c r="V864" s="1"/>
      <c r="W864" s="1"/>
      <c r="X864" s="1"/>
      <c r="Y864" s="1"/>
      <c r="Z864" s="1"/>
      <c r="AF864" s="1"/>
      <c r="AG864" s="1"/>
      <c r="AH864" s="1"/>
    </row>
    <row r="865" spans="1:58" ht="15.75" customHeight="1" x14ac:dyDescent="0.15">
      <c r="F865" s="1"/>
      <c r="G865" s="1"/>
      <c r="H865" s="1"/>
      <c r="L865" s="368" t="s">
        <v>240</v>
      </c>
      <c r="M865" s="368"/>
      <c r="N865" s="368"/>
      <c r="O865" s="368"/>
      <c r="P865" s="368"/>
      <c r="Q865" s="368"/>
      <c r="R865" s="368"/>
      <c r="S865" s="368"/>
      <c r="T865" s="368"/>
      <c r="U865" s="76" t="s">
        <v>2</v>
      </c>
      <c r="V865" s="162" t="s">
        <v>558</v>
      </c>
      <c r="W865" s="162"/>
      <c r="X865" s="377">
        <v>3</v>
      </c>
      <c r="Y865" s="377"/>
      <c r="Z865" s="368" t="s">
        <v>556</v>
      </c>
      <c r="AA865" s="368"/>
      <c r="AB865" s="362">
        <v>150</v>
      </c>
      <c r="AC865" s="362"/>
      <c r="AD865" s="1" t="s">
        <v>229</v>
      </c>
      <c r="AE865" s="1"/>
      <c r="AF865" s="1"/>
      <c r="AG865" s="1"/>
      <c r="AH865" s="1"/>
      <c r="AI865" s="1"/>
      <c r="AJ865" s="1"/>
      <c r="AK865" s="1"/>
      <c r="AM865" s="379"/>
      <c r="BF865" s="76"/>
    </row>
    <row r="866" spans="1:58" ht="15.75" customHeight="1" x14ac:dyDescent="0.15">
      <c r="F866" s="1"/>
      <c r="G866" s="1"/>
      <c r="H866" s="1"/>
      <c r="L866" s="369" t="s">
        <v>241</v>
      </c>
      <c r="M866" s="369"/>
      <c r="N866" s="369"/>
      <c r="O866" s="369"/>
      <c r="P866" s="369"/>
      <c r="Q866" s="76" t="s">
        <v>2</v>
      </c>
      <c r="R866" s="162" t="s">
        <v>558</v>
      </c>
      <c r="S866" s="162"/>
      <c r="T866" s="362">
        <v>0.4</v>
      </c>
      <c r="U866" s="362"/>
      <c r="V866" s="368" t="s">
        <v>557</v>
      </c>
      <c r="W866" s="368"/>
      <c r="X866" s="362">
        <v>150</v>
      </c>
      <c r="Y866" s="362"/>
      <c r="Z866" s="148" t="s">
        <v>242</v>
      </c>
      <c r="AA866" s="148"/>
      <c r="AB866" s="378">
        <v>6</v>
      </c>
      <c r="AC866" s="368" t="s">
        <v>556</v>
      </c>
      <c r="AD866" s="368"/>
      <c r="AE866" s="362">
        <v>150</v>
      </c>
      <c r="AF866" s="362"/>
      <c r="AG866" s="1" t="s">
        <v>229</v>
      </c>
      <c r="AH866" s="1"/>
      <c r="AM866" s="379"/>
      <c r="BF866" s="76"/>
    </row>
    <row r="867" spans="1:58" ht="15.75" customHeight="1" x14ac:dyDescent="0.15">
      <c r="F867" s="1"/>
      <c r="G867" s="1"/>
      <c r="H867" s="1"/>
      <c r="L867" s="1"/>
      <c r="M867" s="2" t="s">
        <v>226</v>
      </c>
      <c r="N867" s="76" t="s">
        <v>2</v>
      </c>
      <c r="O867" s="1" t="s">
        <v>243</v>
      </c>
      <c r="P867" s="1"/>
      <c r="Q867" s="1"/>
      <c r="R867" s="1"/>
      <c r="S867" s="1"/>
      <c r="T867" s="1"/>
      <c r="U867" s="1"/>
      <c r="V867" s="1"/>
      <c r="W867" s="1"/>
      <c r="AD867" s="1"/>
      <c r="AE867" s="1"/>
      <c r="AF867" s="1"/>
      <c r="AG867" s="1"/>
      <c r="AH867" s="1"/>
    </row>
    <row r="868" spans="1:58" ht="15.75" customHeight="1" x14ac:dyDescent="0.15">
      <c r="E868" s="76"/>
      <c r="M868" s="2" t="s">
        <v>244</v>
      </c>
      <c r="N868" s="76" t="s">
        <v>2</v>
      </c>
      <c r="O868" s="307" t="s">
        <v>245</v>
      </c>
    </row>
    <row r="869" spans="1:58" ht="15.75" customHeight="1" x14ac:dyDescent="0.15">
      <c r="M869" s="2" t="s">
        <v>238</v>
      </c>
      <c r="N869" s="76" t="s">
        <v>2</v>
      </c>
      <c r="O869" s="307" t="s">
        <v>246</v>
      </c>
    </row>
    <row r="871" spans="1:58" ht="15.75" customHeight="1" x14ac:dyDescent="0.15">
      <c r="F871" s="307" t="s">
        <v>399</v>
      </c>
    </row>
    <row r="872" spans="1:58" s="307" customFormat="1" ht="15.75" customHeight="1" x14ac:dyDescent="0.15">
      <c r="F872" s="307" t="s">
        <v>400</v>
      </c>
    </row>
    <row r="873" spans="1:58" s="307" customFormat="1" ht="15.75" customHeight="1" x14ac:dyDescent="0.15"/>
    <row r="874" spans="1:58" s="1" customFormat="1" ht="15.75" customHeight="1" x14ac:dyDescent="0.15">
      <c r="E874" s="61" t="s">
        <v>578</v>
      </c>
      <c r="F874" s="302"/>
      <c r="G874" s="302"/>
      <c r="H874" s="61"/>
      <c r="I874" s="61"/>
      <c r="J874" s="61"/>
      <c r="K874" s="61"/>
      <c r="L874" s="61"/>
      <c r="M874" s="61"/>
      <c r="N874" s="61"/>
      <c r="O874" s="61"/>
      <c r="P874" s="61"/>
      <c r="Q874" s="61"/>
      <c r="R874" s="61"/>
      <c r="S874" s="61"/>
      <c r="T874" s="61"/>
      <c r="U874" s="61"/>
      <c r="V874" s="61"/>
      <c r="W874" s="61"/>
      <c r="X874" s="61"/>
      <c r="Y874" s="61"/>
      <c r="Z874" s="61"/>
      <c r="AA874" s="61"/>
      <c r="AB874" s="61"/>
      <c r="AC874" s="61"/>
      <c r="AD874" s="61"/>
      <c r="AE874" s="61"/>
      <c r="AF874" s="61"/>
      <c r="AG874" s="61"/>
      <c r="AH874" s="61"/>
      <c r="AI874" s="8"/>
    </row>
    <row r="875" spans="1:58" s="1" customFormat="1" ht="15.75" customHeight="1" x14ac:dyDescent="0.15">
      <c r="E875" s="294" t="s">
        <v>546</v>
      </c>
      <c r="F875" s="292"/>
      <c r="G875" s="292"/>
      <c r="H875" s="292"/>
      <c r="I875" s="292"/>
      <c r="J875" s="292"/>
      <c r="K875" s="292"/>
      <c r="L875" s="292"/>
      <c r="M875" s="292"/>
      <c r="N875" s="292"/>
      <c r="O875" s="292"/>
      <c r="P875" s="292"/>
      <c r="Q875" s="292"/>
      <c r="R875" s="292"/>
      <c r="S875" s="293"/>
      <c r="T875" s="273" t="s">
        <v>547</v>
      </c>
      <c r="U875" s="131"/>
      <c r="V875" s="131"/>
      <c r="W875" s="131"/>
      <c r="X875" s="131"/>
      <c r="Y875" s="131"/>
      <c r="Z875" s="131"/>
      <c r="AA875" s="131"/>
      <c r="AB875" s="131"/>
      <c r="AC875" s="131"/>
      <c r="AD875" s="131"/>
      <c r="AE875" s="131"/>
      <c r="AF875" s="131"/>
      <c r="AG875" s="131"/>
      <c r="AH875" s="132"/>
    </row>
    <row r="876" spans="1:58" s="1" customFormat="1" ht="15.75" customHeight="1" x14ac:dyDescent="0.15">
      <c r="E876" s="159" t="s">
        <v>78</v>
      </c>
      <c r="F876" s="160"/>
      <c r="G876" s="291" t="s">
        <v>203</v>
      </c>
      <c r="H876" s="161"/>
      <c r="I876" s="161"/>
      <c r="J876" s="222" t="s">
        <v>247</v>
      </c>
      <c r="K876" s="138"/>
      <c r="L876" s="215"/>
      <c r="M876" s="222" t="s">
        <v>580</v>
      </c>
      <c r="N876" s="138"/>
      <c r="O876" s="215"/>
      <c r="P876" s="222" t="s">
        <v>250</v>
      </c>
      <c r="Q876" s="138"/>
      <c r="R876" s="138"/>
      <c r="S876" s="139"/>
      <c r="T876" s="226" t="s">
        <v>78</v>
      </c>
      <c r="U876" s="106"/>
      <c r="V876" s="216" t="s">
        <v>203</v>
      </c>
      <c r="W876" s="121"/>
      <c r="X876" s="121"/>
      <c r="Y876" s="277" t="s">
        <v>247</v>
      </c>
      <c r="Z876" s="278"/>
      <c r="AA876" s="279"/>
      <c r="AB876" s="277" t="s">
        <v>580</v>
      </c>
      <c r="AC876" s="278"/>
      <c r="AD876" s="279"/>
      <c r="AE876" s="277" t="s">
        <v>250</v>
      </c>
      <c r="AF876" s="278"/>
      <c r="AG876" s="278"/>
      <c r="AH876" s="278"/>
    </row>
    <row r="877" spans="1:58" s="1" customFormat="1" ht="15.75" customHeight="1" x14ac:dyDescent="0.15">
      <c r="E877" s="295"/>
      <c r="F877" s="156"/>
      <c r="G877" s="163"/>
      <c r="H877" s="163"/>
      <c r="I877" s="163"/>
      <c r="J877" s="223"/>
      <c r="K877" s="140"/>
      <c r="L877" s="159"/>
      <c r="M877" s="223"/>
      <c r="N877" s="140"/>
      <c r="O877" s="159"/>
      <c r="P877" s="223"/>
      <c r="Q877" s="140"/>
      <c r="R877" s="140"/>
      <c r="S877" s="141"/>
      <c r="T877" s="290"/>
      <c r="U877" s="156"/>
      <c r="V877" s="163"/>
      <c r="W877" s="163"/>
      <c r="X877" s="163"/>
      <c r="Y877" s="223"/>
      <c r="Z877" s="140"/>
      <c r="AA877" s="159"/>
      <c r="AB877" s="223"/>
      <c r="AC877" s="140"/>
      <c r="AD877" s="159"/>
      <c r="AE877" s="223"/>
      <c r="AF877" s="140"/>
      <c r="AG877" s="140"/>
      <c r="AH877" s="140"/>
    </row>
    <row r="878" spans="1:58" s="1" customFormat="1" ht="15.75" customHeight="1" x14ac:dyDescent="0.15">
      <c r="A878" s="73" t="str">
        <f>IF(LEN(E878)+LEN(T878)=0,"×","")</f>
        <v/>
      </c>
      <c r="E878" s="412">
        <v>3</v>
      </c>
      <c r="F878" s="398"/>
      <c r="G878" s="125">
        <v>3</v>
      </c>
      <c r="H878" s="125"/>
      <c r="I878" s="125"/>
      <c r="J878" s="423" t="s">
        <v>582</v>
      </c>
      <c r="K878" s="424"/>
      <c r="L878" s="412"/>
      <c r="M878" s="426">
        <v>0</v>
      </c>
      <c r="N878" s="426"/>
      <c r="O878" s="426"/>
      <c r="P878" s="441">
        <f>IF(M878="","",M878*G878*$AD$895)</f>
        <v>0</v>
      </c>
      <c r="Q878" s="442"/>
      <c r="R878" s="442"/>
      <c r="S878" s="443"/>
      <c r="T878" s="397">
        <v>3</v>
      </c>
      <c r="U878" s="398"/>
      <c r="V878" s="125">
        <v>3</v>
      </c>
      <c r="W878" s="125"/>
      <c r="X878" s="125"/>
      <c r="Y878" s="423" t="s">
        <v>582</v>
      </c>
      <c r="Z878" s="424"/>
      <c r="AA878" s="412"/>
      <c r="AB878" s="426">
        <v>0</v>
      </c>
      <c r="AC878" s="426"/>
      <c r="AD878" s="426"/>
      <c r="AE878" s="441">
        <f>IF(AB878="","",AB878*V878*$AD$895)</f>
        <v>0</v>
      </c>
      <c r="AF878" s="442"/>
      <c r="AG878" s="442"/>
      <c r="AH878" s="442"/>
    </row>
    <row r="879" spans="1:58" s="1" customFormat="1" ht="15.75" customHeight="1" x14ac:dyDescent="0.15">
      <c r="A879" s="73" t="str">
        <f>IF(LEN(E879)+LEN(T879)=0,"×","")</f>
        <v/>
      </c>
      <c r="E879" s="413">
        <v>4</v>
      </c>
      <c r="F879" s="372"/>
      <c r="G879" s="103">
        <v>5</v>
      </c>
      <c r="H879" s="103"/>
      <c r="I879" s="103"/>
      <c r="J879" s="427" t="s">
        <v>516</v>
      </c>
      <c r="K879" s="428"/>
      <c r="L879" s="413"/>
      <c r="M879" s="429">
        <v>45</v>
      </c>
      <c r="N879" s="429"/>
      <c r="O879" s="429"/>
      <c r="P879" s="444">
        <f>IF(M879="","",M879*G879*$AD$895)</f>
        <v>706.85834705770344</v>
      </c>
      <c r="Q879" s="445"/>
      <c r="R879" s="445"/>
      <c r="S879" s="446"/>
      <c r="T879" s="395">
        <v>4</v>
      </c>
      <c r="U879" s="372"/>
      <c r="V879" s="103">
        <v>5</v>
      </c>
      <c r="W879" s="103"/>
      <c r="X879" s="103"/>
      <c r="Y879" s="427" t="s">
        <v>516</v>
      </c>
      <c r="Z879" s="428"/>
      <c r="AA879" s="413"/>
      <c r="AB879" s="429">
        <v>45</v>
      </c>
      <c r="AC879" s="429"/>
      <c r="AD879" s="429"/>
      <c r="AE879" s="444">
        <f>IF(AB879="","",AB879*V879*$AD$895)</f>
        <v>706.85834705770344</v>
      </c>
      <c r="AF879" s="445"/>
      <c r="AG879" s="445"/>
      <c r="AH879" s="445"/>
    </row>
    <row r="880" spans="1:58" s="1" customFormat="1" ht="15.75" customHeight="1" x14ac:dyDescent="0.15">
      <c r="A880" s="73" t="str">
        <f>IF(LEN(E880)+LEN(T880)=0,"×","")</f>
        <v/>
      </c>
      <c r="E880" s="413">
        <v>5</v>
      </c>
      <c r="F880" s="372"/>
      <c r="G880" s="103">
        <v>8</v>
      </c>
      <c r="H880" s="103"/>
      <c r="I880" s="103"/>
      <c r="J880" s="427" t="s">
        <v>582</v>
      </c>
      <c r="K880" s="428"/>
      <c r="L880" s="413"/>
      <c r="M880" s="429">
        <v>25</v>
      </c>
      <c r="N880" s="429"/>
      <c r="O880" s="429"/>
      <c r="P880" s="444">
        <f>IF(M880="","",M880*G880*$AD$895)</f>
        <v>628.31853071795865</v>
      </c>
      <c r="Q880" s="445"/>
      <c r="R880" s="445"/>
      <c r="S880" s="446"/>
      <c r="T880" s="395">
        <v>5</v>
      </c>
      <c r="U880" s="372"/>
      <c r="V880" s="103">
        <v>8</v>
      </c>
      <c r="W880" s="103"/>
      <c r="X880" s="103"/>
      <c r="Y880" s="427" t="s">
        <v>582</v>
      </c>
      <c r="Z880" s="428"/>
      <c r="AA880" s="413"/>
      <c r="AB880" s="429">
        <v>25</v>
      </c>
      <c r="AC880" s="429"/>
      <c r="AD880" s="429"/>
      <c r="AE880" s="444">
        <f>IF(AB880="","",AB880*V880*$AD$895)</f>
        <v>628.31853071795865</v>
      </c>
      <c r="AF880" s="445"/>
      <c r="AG880" s="445"/>
      <c r="AH880" s="445"/>
    </row>
    <row r="881" spans="1:37" s="1" customFormat="1" ht="15.75" customHeight="1" x14ac:dyDescent="0.15">
      <c r="A881" s="73" t="str">
        <f>IF(LEN(E881)+LEN(T881)=0,"×","")</f>
        <v/>
      </c>
      <c r="E881" s="413">
        <v>6</v>
      </c>
      <c r="F881" s="372"/>
      <c r="G881" s="103">
        <v>4</v>
      </c>
      <c r="H881" s="103"/>
      <c r="I881" s="103"/>
      <c r="J881" s="427" t="s">
        <v>582</v>
      </c>
      <c r="K881" s="428"/>
      <c r="L881" s="413"/>
      <c r="M881" s="429">
        <v>50</v>
      </c>
      <c r="N881" s="429"/>
      <c r="O881" s="429"/>
      <c r="P881" s="444">
        <f>IF(M881="","",M881*G881*$AD$895)</f>
        <v>628.31853071795865</v>
      </c>
      <c r="Q881" s="445"/>
      <c r="R881" s="445"/>
      <c r="S881" s="446"/>
      <c r="T881" s="395">
        <v>6</v>
      </c>
      <c r="U881" s="372"/>
      <c r="V881" s="103">
        <v>4.5</v>
      </c>
      <c r="W881" s="103"/>
      <c r="X881" s="103"/>
      <c r="Y881" s="427" t="s">
        <v>582</v>
      </c>
      <c r="Z881" s="428"/>
      <c r="AA881" s="413"/>
      <c r="AB881" s="429">
        <v>50</v>
      </c>
      <c r="AC881" s="429"/>
      <c r="AD881" s="429"/>
      <c r="AE881" s="444">
        <f>IF(AB881="","",AB881*V881*$AD$895)</f>
        <v>706.85834705770344</v>
      </c>
      <c r="AF881" s="445"/>
      <c r="AG881" s="445"/>
      <c r="AH881" s="445"/>
    </row>
    <row r="882" spans="1:37" s="1" customFormat="1" ht="15.75" customHeight="1" x14ac:dyDescent="0.15">
      <c r="A882" s="73" t="str">
        <f>IF(LEN(E882)+LEN(T882)=0,"×","")</f>
        <v/>
      </c>
      <c r="E882" s="413">
        <v>6</v>
      </c>
      <c r="F882" s="372"/>
      <c r="G882" s="103">
        <v>0.5</v>
      </c>
      <c r="H882" s="103"/>
      <c r="I882" s="103"/>
      <c r="J882" s="427" t="s">
        <v>582</v>
      </c>
      <c r="K882" s="428"/>
      <c r="L882" s="413"/>
      <c r="M882" s="429">
        <v>0</v>
      </c>
      <c r="N882" s="429"/>
      <c r="O882" s="429"/>
      <c r="P882" s="444">
        <f>IF(M882="","",M882*G882*$AD$895)</f>
        <v>0</v>
      </c>
      <c r="Q882" s="445"/>
      <c r="R882" s="445"/>
      <c r="S882" s="446"/>
      <c r="T882" s="395">
        <v>7</v>
      </c>
      <c r="U882" s="372"/>
      <c r="V882" s="103">
        <v>0.5</v>
      </c>
      <c r="W882" s="103"/>
      <c r="X882" s="103"/>
      <c r="Y882" s="427" t="s">
        <v>517</v>
      </c>
      <c r="Z882" s="428"/>
      <c r="AA882" s="413"/>
      <c r="AB882" s="429">
        <v>150</v>
      </c>
      <c r="AC882" s="429"/>
      <c r="AD882" s="429"/>
      <c r="AE882" s="444">
        <f>IF(AB882="","",AB882*V882*$AD$895)</f>
        <v>235.61944901923448</v>
      </c>
      <c r="AF882" s="445"/>
      <c r="AG882" s="445"/>
      <c r="AH882" s="445"/>
    </row>
    <row r="883" spans="1:37" s="1" customFormat="1" ht="15.75" customHeight="1" x14ac:dyDescent="0.15">
      <c r="A883" s="73" t="str">
        <f>IF(LEN(E883)+LEN(T883)=0,"×","")</f>
        <v/>
      </c>
      <c r="E883" s="413">
        <v>7</v>
      </c>
      <c r="F883" s="372"/>
      <c r="G883" s="103">
        <v>0.5</v>
      </c>
      <c r="H883" s="103"/>
      <c r="I883" s="103"/>
      <c r="J883" s="427" t="s">
        <v>517</v>
      </c>
      <c r="K883" s="428"/>
      <c r="L883" s="413"/>
      <c r="M883" s="429">
        <v>0</v>
      </c>
      <c r="N883" s="429"/>
      <c r="O883" s="429"/>
      <c r="P883" s="444">
        <f>IF(M883="","",M883*G883*$AD$895)</f>
        <v>0</v>
      </c>
      <c r="Q883" s="445"/>
      <c r="R883" s="445"/>
      <c r="S883" s="446"/>
      <c r="T883" s="395"/>
      <c r="U883" s="372"/>
      <c r="V883" s="103"/>
      <c r="W883" s="103"/>
      <c r="X883" s="103"/>
      <c r="Y883" s="427"/>
      <c r="Z883" s="428"/>
      <c r="AA883" s="413"/>
      <c r="AB883" s="429"/>
      <c r="AC883" s="429"/>
      <c r="AD883" s="429"/>
      <c r="AE883" s="444" t="str">
        <f>IF(AB883="","",AB883*V883*$AD$895)</f>
        <v/>
      </c>
      <c r="AF883" s="445"/>
      <c r="AG883" s="445"/>
      <c r="AH883" s="445"/>
    </row>
    <row r="884" spans="1:37" s="1" customFormat="1" ht="15.75" customHeight="1" x14ac:dyDescent="0.15">
      <c r="A884" s="73" t="str">
        <f>IF(LEN(E884)+LEN(T884)=0,"×","")</f>
        <v>×</v>
      </c>
      <c r="E884" s="413"/>
      <c r="F884" s="372"/>
      <c r="G884" s="103"/>
      <c r="H884" s="103"/>
      <c r="I884" s="103"/>
      <c r="J884" s="427"/>
      <c r="K884" s="428"/>
      <c r="L884" s="413"/>
      <c r="M884" s="429"/>
      <c r="N884" s="429"/>
      <c r="O884" s="429"/>
      <c r="P884" s="444" t="str">
        <f>IF(M884="","",M884*G884*$AD$895)</f>
        <v/>
      </c>
      <c r="Q884" s="445"/>
      <c r="R884" s="445"/>
      <c r="S884" s="446"/>
      <c r="T884" s="395"/>
      <c r="U884" s="372"/>
      <c r="V884" s="103"/>
      <c r="W884" s="103"/>
      <c r="X884" s="103"/>
      <c r="Y884" s="427"/>
      <c r="Z884" s="428"/>
      <c r="AA884" s="413"/>
      <c r="AB884" s="429"/>
      <c r="AC884" s="429"/>
      <c r="AD884" s="429"/>
      <c r="AE884" s="444" t="str">
        <f>IF(AB884="","",AB884*V884*$AD$895)</f>
        <v/>
      </c>
      <c r="AF884" s="445"/>
      <c r="AG884" s="445"/>
      <c r="AH884" s="445"/>
    </row>
    <row r="885" spans="1:37" s="1" customFormat="1" ht="15.75" customHeight="1" x14ac:dyDescent="0.15">
      <c r="A885" s="73" t="str">
        <f>IF(LEN(E885)+LEN(T885)=0,"×","")</f>
        <v>×</v>
      </c>
      <c r="E885" s="413"/>
      <c r="F885" s="372"/>
      <c r="G885" s="103"/>
      <c r="H885" s="103"/>
      <c r="I885" s="103"/>
      <c r="J885" s="427"/>
      <c r="K885" s="428"/>
      <c r="L885" s="413"/>
      <c r="M885" s="429"/>
      <c r="N885" s="429"/>
      <c r="O885" s="429"/>
      <c r="P885" s="444" t="str">
        <f>IF(M885="","",M885*G885*$AD$895)</f>
        <v/>
      </c>
      <c r="Q885" s="445"/>
      <c r="R885" s="445"/>
      <c r="S885" s="446"/>
      <c r="T885" s="395"/>
      <c r="U885" s="372"/>
      <c r="V885" s="103"/>
      <c r="W885" s="103"/>
      <c r="X885" s="103"/>
      <c r="Y885" s="427"/>
      <c r="Z885" s="428"/>
      <c r="AA885" s="413"/>
      <c r="AB885" s="429"/>
      <c r="AC885" s="429"/>
      <c r="AD885" s="429"/>
      <c r="AE885" s="444" t="str">
        <f>IF(AB885="","",AB885*V885*$AD$895)</f>
        <v/>
      </c>
      <c r="AF885" s="445"/>
      <c r="AG885" s="445"/>
      <c r="AH885" s="445"/>
    </row>
    <row r="886" spans="1:37" s="1" customFormat="1" ht="15.75" customHeight="1" x14ac:dyDescent="0.15">
      <c r="A886" s="73" t="str">
        <f>IF(LEN(E886)+LEN(T886)=0,"×","")</f>
        <v>×</v>
      </c>
      <c r="E886" s="413"/>
      <c r="F886" s="372"/>
      <c r="G886" s="103"/>
      <c r="H886" s="103"/>
      <c r="I886" s="103"/>
      <c r="J886" s="427"/>
      <c r="K886" s="428"/>
      <c r="L886" s="413"/>
      <c r="M886" s="429"/>
      <c r="N886" s="429"/>
      <c r="O886" s="429"/>
      <c r="P886" s="444" t="str">
        <f>IF(M886="","",M886*G886*$AD$895)</f>
        <v/>
      </c>
      <c r="Q886" s="445"/>
      <c r="R886" s="445"/>
      <c r="S886" s="446"/>
      <c r="T886" s="395"/>
      <c r="U886" s="372"/>
      <c r="V886" s="103"/>
      <c r="W886" s="103"/>
      <c r="X886" s="103"/>
      <c r="Y886" s="427"/>
      <c r="Z886" s="428"/>
      <c r="AA886" s="413"/>
      <c r="AB886" s="429"/>
      <c r="AC886" s="429"/>
      <c r="AD886" s="429"/>
      <c r="AE886" s="444" t="str">
        <f>IF(AB886="","",AB886*V886*$AD$895)</f>
        <v/>
      </c>
      <c r="AF886" s="445"/>
      <c r="AG886" s="445"/>
      <c r="AH886" s="445"/>
    </row>
    <row r="887" spans="1:37" s="1" customFormat="1" ht="15.75" customHeight="1" x14ac:dyDescent="0.15">
      <c r="A887" s="73" t="str">
        <f>IF(LEN(E887)+LEN(T887)=0,"×","")</f>
        <v>×</v>
      </c>
      <c r="E887" s="413"/>
      <c r="F887" s="372"/>
      <c r="G887" s="103"/>
      <c r="H887" s="103"/>
      <c r="I887" s="103"/>
      <c r="J887" s="427"/>
      <c r="K887" s="428"/>
      <c r="L887" s="413"/>
      <c r="M887" s="429"/>
      <c r="N887" s="429"/>
      <c r="O887" s="429"/>
      <c r="P887" s="444" t="str">
        <f>IF(M887="","",M887*G887*$AD$895)</f>
        <v/>
      </c>
      <c r="Q887" s="445"/>
      <c r="R887" s="445"/>
      <c r="S887" s="446"/>
      <c r="T887" s="395"/>
      <c r="U887" s="372"/>
      <c r="V887" s="103"/>
      <c r="W887" s="103"/>
      <c r="X887" s="103"/>
      <c r="Y887" s="427"/>
      <c r="Z887" s="428"/>
      <c r="AA887" s="413"/>
      <c r="AB887" s="429"/>
      <c r="AC887" s="429"/>
      <c r="AD887" s="429"/>
      <c r="AE887" s="444" t="str">
        <f>IF(AB887="","",AB887*V887*$AD$895)</f>
        <v/>
      </c>
      <c r="AF887" s="445"/>
      <c r="AG887" s="445"/>
      <c r="AH887" s="445"/>
    </row>
    <row r="888" spans="1:37" s="1" customFormat="1" ht="15.75" customHeight="1" x14ac:dyDescent="0.15">
      <c r="A888" s="73" t="str">
        <f>IF(LEN(E888)+LEN(T888)=0,"×","")</f>
        <v>×</v>
      </c>
      <c r="E888" s="413"/>
      <c r="F888" s="372"/>
      <c r="G888" s="103"/>
      <c r="H888" s="103"/>
      <c r="I888" s="103"/>
      <c r="J888" s="427"/>
      <c r="K888" s="428"/>
      <c r="L888" s="413"/>
      <c r="M888" s="429"/>
      <c r="N888" s="429"/>
      <c r="O888" s="429"/>
      <c r="P888" s="444" t="str">
        <f>IF(M888="","",M888*G888*$AD$895)</f>
        <v/>
      </c>
      <c r="Q888" s="445"/>
      <c r="R888" s="445"/>
      <c r="S888" s="446"/>
      <c r="T888" s="395"/>
      <c r="U888" s="372"/>
      <c r="V888" s="103"/>
      <c r="W888" s="103"/>
      <c r="X888" s="103"/>
      <c r="Y888" s="427"/>
      <c r="Z888" s="428"/>
      <c r="AA888" s="413"/>
      <c r="AB888" s="429"/>
      <c r="AC888" s="429"/>
      <c r="AD888" s="429"/>
      <c r="AE888" s="444" t="str">
        <f>IF(AB888="","",AB888*V888*$AD$895)</f>
        <v/>
      </c>
      <c r="AF888" s="445"/>
      <c r="AG888" s="445"/>
      <c r="AH888" s="445"/>
    </row>
    <row r="889" spans="1:37" s="1" customFormat="1" ht="15.75" customHeight="1" x14ac:dyDescent="0.15">
      <c r="A889" s="73" t="str">
        <f>IF(LEN(E889)+LEN(T889)=0,"×","")</f>
        <v>×</v>
      </c>
      <c r="E889" s="413"/>
      <c r="F889" s="372"/>
      <c r="G889" s="103"/>
      <c r="H889" s="103"/>
      <c r="I889" s="103"/>
      <c r="J889" s="427"/>
      <c r="K889" s="428"/>
      <c r="L889" s="413"/>
      <c r="M889" s="429"/>
      <c r="N889" s="429"/>
      <c r="O889" s="429"/>
      <c r="P889" s="444" t="str">
        <f>IF(M889="","",M889*G889*$AD$895)</f>
        <v/>
      </c>
      <c r="Q889" s="445"/>
      <c r="R889" s="445"/>
      <c r="S889" s="446"/>
      <c r="T889" s="395"/>
      <c r="U889" s="372"/>
      <c r="V889" s="103"/>
      <c r="W889" s="103"/>
      <c r="X889" s="103"/>
      <c r="Y889" s="427"/>
      <c r="Z889" s="428"/>
      <c r="AA889" s="413"/>
      <c r="AB889" s="429"/>
      <c r="AC889" s="429"/>
      <c r="AD889" s="429"/>
      <c r="AE889" s="444" t="str">
        <f>IF(AB889="","",AB889*V889*$AD$895)</f>
        <v/>
      </c>
      <c r="AF889" s="445"/>
      <c r="AG889" s="445"/>
      <c r="AH889" s="445"/>
    </row>
    <row r="890" spans="1:37" s="1" customFormat="1" ht="15.75" customHeight="1" x14ac:dyDescent="0.15">
      <c r="A890" s="73" t="str">
        <f>IF(LEN(E890)+LEN(T890)=0,"×","")</f>
        <v>×</v>
      </c>
      <c r="E890" s="413"/>
      <c r="F890" s="372"/>
      <c r="G890" s="103"/>
      <c r="H890" s="103"/>
      <c r="I890" s="103"/>
      <c r="J890" s="427"/>
      <c r="K890" s="428"/>
      <c r="L890" s="413"/>
      <c r="M890" s="429"/>
      <c r="N890" s="429"/>
      <c r="O890" s="429"/>
      <c r="P890" s="444" t="str">
        <f>IF(M890="","",M890*G890*$AD$895)</f>
        <v/>
      </c>
      <c r="Q890" s="445"/>
      <c r="R890" s="445"/>
      <c r="S890" s="446"/>
      <c r="T890" s="395"/>
      <c r="U890" s="372"/>
      <c r="V890" s="103"/>
      <c r="W890" s="103"/>
      <c r="X890" s="103"/>
      <c r="Y890" s="427"/>
      <c r="Z890" s="428"/>
      <c r="AA890" s="413"/>
      <c r="AB890" s="429"/>
      <c r="AC890" s="429"/>
      <c r="AD890" s="429"/>
      <c r="AE890" s="444" t="str">
        <f>IF(AB890="","",AB890*V890*$AD$895)</f>
        <v/>
      </c>
      <c r="AF890" s="445"/>
      <c r="AG890" s="445"/>
      <c r="AH890" s="445"/>
    </row>
    <row r="891" spans="1:37" s="1" customFormat="1" ht="15.75" customHeight="1" x14ac:dyDescent="0.15">
      <c r="A891" s="73" t="str">
        <f>IF(LEN(E891)+LEN(T891)=0,"×","")</f>
        <v>×</v>
      </c>
      <c r="E891" s="413"/>
      <c r="F891" s="372"/>
      <c r="G891" s="103"/>
      <c r="H891" s="103"/>
      <c r="I891" s="103"/>
      <c r="J891" s="427"/>
      <c r="K891" s="428"/>
      <c r="L891" s="413"/>
      <c r="M891" s="429"/>
      <c r="N891" s="429"/>
      <c r="O891" s="429"/>
      <c r="P891" s="444" t="str">
        <f>IF(M891="","",M891*G891*$AD$895)</f>
        <v/>
      </c>
      <c r="Q891" s="445"/>
      <c r="R891" s="445"/>
      <c r="S891" s="446"/>
      <c r="T891" s="395"/>
      <c r="U891" s="372"/>
      <c r="V891" s="103"/>
      <c r="W891" s="103"/>
      <c r="X891" s="103"/>
      <c r="Y891" s="427"/>
      <c r="Z891" s="428"/>
      <c r="AA891" s="413"/>
      <c r="AB891" s="429"/>
      <c r="AC891" s="429"/>
      <c r="AD891" s="429"/>
      <c r="AE891" s="444" t="str">
        <f>IF(AB891="","",AB891*V891*$AD$895)</f>
        <v/>
      </c>
      <c r="AF891" s="445"/>
      <c r="AG891" s="445"/>
      <c r="AH891" s="445"/>
    </row>
    <row r="892" spans="1:37" s="1" customFormat="1" ht="15.75" customHeight="1" x14ac:dyDescent="0.15">
      <c r="A892" s="73" t="str">
        <f>IF(LEN(E892)+LEN(T892)=0,"×","")</f>
        <v>×</v>
      </c>
      <c r="E892" s="413"/>
      <c r="F892" s="372"/>
      <c r="G892" s="103"/>
      <c r="H892" s="103"/>
      <c r="I892" s="103"/>
      <c r="J892" s="427"/>
      <c r="K892" s="428"/>
      <c r="L892" s="413"/>
      <c r="M892" s="429"/>
      <c r="N892" s="429"/>
      <c r="O892" s="429"/>
      <c r="P892" s="444" t="str">
        <f>IF(M892="","",M892*G892*$AD$895)</f>
        <v/>
      </c>
      <c r="Q892" s="445"/>
      <c r="R892" s="445"/>
      <c r="S892" s="446"/>
      <c r="T892" s="395"/>
      <c r="U892" s="372"/>
      <c r="V892" s="103"/>
      <c r="W892" s="103"/>
      <c r="X892" s="103"/>
      <c r="Y892" s="427"/>
      <c r="Z892" s="428"/>
      <c r="AA892" s="413"/>
      <c r="AB892" s="429"/>
      <c r="AC892" s="429"/>
      <c r="AD892" s="429"/>
      <c r="AE892" s="444" t="str">
        <f>IF(AB892="","",AB892*V892*$AD$895)</f>
        <v/>
      </c>
      <c r="AF892" s="445"/>
      <c r="AG892" s="445"/>
      <c r="AH892" s="445"/>
    </row>
    <row r="893" spans="1:37" s="1" customFormat="1" ht="15.75" customHeight="1" x14ac:dyDescent="0.15">
      <c r="A893" s="73" t="str">
        <f>IF(LEN(E893)+LEN(T893)=0,"×","")</f>
        <v>×</v>
      </c>
      <c r="E893" s="430"/>
      <c r="F893" s="431"/>
      <c r="G893" s="432"/>
      <c r="H893" s="432"/>
      <c r="I893" s="432"/>
      <c r="J893" s="433"/>
      <c r="K893" s="434"/>
      <c r="L893" s="430"/>
      <c r="M893" s="435"/>
      <c r="N893" s="435"/>
      <c r="O893" s="435"/>
      <c r="P893" s="447" t="str">
        <f>IF(M893="","",M893*G893*$AD$895)</f>
        <v/>
      </c>
      <c r="Q893" s="448"/>
      <c r="R893" s="448"/>
      <c r="S893" s="449"/>
      <c r="T893" s="436"/>
      <c r="U893" s="431"/>
      <c r="V893" s="432"/>
      <c r="W893" s="432"/>
      <c r="X893" s="432"/>
      <c r="Y893" s="433"/>
      <c r="Z893" s="434"/>
      <c r="AA893" s="430"/>
      <c r="AB893" s="435"/>
      <c r="AC893" s="435"/>
      <c r="AD893" s="435"/>
      <c r="AE893" s="447" t="str">
        <f>IF(AB893="","",AB893*V893*$AD$895)</f>
        <v/>
      </c>
      <c r="AF893" s="448"/>
      <c r="AG893" s="448"/>
      <c r="AH893" s="448"/>
    </row>
    <row r="894" spans="1:37" s="1" customFormat="1" ht="15.75" customHeight="1" x14ac:dyDescent="0.15">
      <c r="A894" s="76"/>
      <c r="E894" s="233" t="s">
        <v>581</v>
      </c>
      <c r="F894" s="234"/>
      <c r="G894" s="450">
        <f>ROUND(SUM(P878:S893),1)</f>
        <v>1963.5</v>
      </c>
      <c r="H894" s="451"/>
      <c r="I894" s="451"/>
      <c r="J894" s="451"/>
      <c r="K894" s="451"/>
      <c r="L894" s="451"/>
      <c r="M894" s="451"/>
      <c r="N894" s="451"/>
      <c r="O894" s="451"/>
      <c r="P894" s="451"/>
      <c r="Q894" s="451"/>
      <c r="R894" s="451"/>
      <c r="S894" s="452"/>
      <c r="T894" s="401" t="s">
        <v>581</v>
      </c>
      <c r="U894" s="234"/>
      <c r="V894" s="450">
        <f>ROUND(SUM(AE878:AH893),1)</f>
        <v>2277.6999999999998</v>
      </c>
      <c r="W894" s="451"/>
      <c r="X894" s="451"/>
      <c r="Y894" s="451"/>
      <c r="Z894" s="451"/>
      <c r="AA894" s="451"/>
      <c r="AB894" s="451"/>
      <c r="AC894" s="451"/>
      <c r="AD894" s="451"/>
      <c r="AE894" s="451"/>
      <c r="AF894" s="451"/>
      <c r="AG894" s="451"/>
      <c r="AH894" s="451"/>
    </row>
    <row r="895" spans="1:37" s="1" customFormat="1" ht="15.75" customHeight="1" x14ac:dyDescent="0.15">
      <c r="E895" s="8"/>
      <c r="F895" s="8"/>
      <c r="G895" s="8"/>
      <c r="H895" s="8"/>
      <c r="I895" s="8"/>
      <c r="J895" s="8"/>
      <c r="K895" s="8"/>
      <c r="L895" s="8"/>
      <c r="M895" s="8"/>
      <c r="N895" s="8"/>
      <c r="O895" s="8"/>
      <c r="AA895" s="2" t="s">
        <v>127</v>
      </c>
      <c r="AB895" s="1" t="s">
        <v>548</v>
      </c>
      <c r="AC895" s="76" t="s">
        <v>27</v>
      </c>
      <c r="AD895" s="304">
        <f>AD816</f>
        <v>3.1415926535897931</v>
      </c>
      <c r="AE895" s="304"/>
      <c r="AF895" s="304"/>
      <c r="AG895" s="7" t="s">
        <v>549</v>
      </c>
      <c r="AH895" s="76" t="s">
        <v>158</v>
      </c>
    </row>
    <row r="896" spans="1:37" s="1" customFormat="1" ht="15.75" customHeight="1" x14ac:dyDescent="0.15">
      <c r="I896" s="76"/>
      <c r="J896" s="76"/>
      <c r="K896" s="76"/>
      <c r="L896" s="9"/>
      <c r="M896" s="9"/>
      <c r="N896" s="9"/>
      <c r="O896" s="76"/>
      <c r="P896" s="76"/>
      <c r="Q896" s="76"/>
      <c r="R896" s="76"/>
      <c r="S896" s="76"/>
      <c r="T896" s="9"/>
      <c r="AG896" s="8"/>
      <c r="AH896" s="8"/>
      <c r="AI896" s="8"/>
      <c r="AJ896" s="8"/>
      <c r="AK896" s="8"/>
    </row>
    <row r="897" spans="1:39" s="1" customFormat="1" ht="15.75" customHeight="1" x14ac:dyDescent="0.15">
      <c r="T897" s="8"/>
      <c r="U897" s="8"/>
      <c r="V897" s="8"/>
      <c r="W897" s="8"/>
      <c r="X897" s="8"/>
      <c r="Y897" s="8"/>
      <c r="Z897" s="8"/>
      <c r="AA897" s="8"/>
      <c r="AB897" s="8"/>
      <c r="AC897" s="8"/>
      <c r="AD897" s="8"/>
      <c r="AE897" s="8"/>
      <c r="AF897" s="8"/>
      <c r="AG897" s="8"/>
      <c r="AH897" s="8"/>
      <c r="AI897" s="8"/>
      <c r="AJ897" s="8"/>
      <c r="AK897" s="8"/>
      <c r="AL897" s="8"/>
      <c r="AM897" s="8"/>
    </row>
    <row r="898" spans="1:39" s="1" customFormat="1" ht="15.75" customHeight="1" x14ac:dyDescent="0.15">
      <c r="E898" s="61" t="s">
        <v>579</v>
      </c>
      <c r="F898" s="302"/>
      <c r="G898" s="302"/>
      <c r="H898" s="61"/>
      <c r="I898" s="61"/>
      <c r="J898" s="61"/>
      <c r="K898" s="61"/>
      <c r="L898" s="61"/>
      <c r="M898" s="61"/>
      <c r="N898" s="61"/>
      <c r="O898" s="61"/>
      <c r="P898" s="61"/>
      <c r="Q898" s="61"/>
      <c r="R898" s="61"/>
      <c r="S898" s="61"/>
      <c r="T898" s="61"/>
      <c r="U898" s="61"/>
      <c r="V898" s="61"/>
      <c r="W898" s="61"/>
      <c r="X898" s="61"/>
      <c r="Y898" s="61"/>
      <c r="Z898" s="61"/>
      <c r="AA898" s="61"/>
      <c r="AB898" s="61"/>
      <c r="AC898" s="61"/>
      <c r="AD898" s="61"/>
      <c r="AE898" s="61"/>
      <c r="AF898" s="61"/>
      <c r="AG898" s="61"/>
      <c r="AH898" s="61"/>
      <c r="AI898" s="8"/>
    </row>
    <row r="899" spans="1:39" s="1" customFormat="1" ht="15.75" customHeight="1" x14ac:dyDescent="0.15">
      <c r="E899" s="294" t="s">
        <v>546</v>
      </c>
      <c r="F899" s="292"/>
      <c r="G899" s="292"/>
      <c r="H899" s="292"/>
      <c r="I899" s="292"/>
      <c r="J899" s="292"/>
      <c r="K899" s="292"/>
      <c r="L899" s="292"/>
      <c r="M899" s="292"/>
      <c r="N899" s="292"/>
      <c r="O899" s="292"/>
      <c r="P899" s="292"/>
      <c r="Q899" s="292"/>
      <c r="R899" s="292"/>
      <c r="S899" s="293"/>
      <c r="T899" s="273" t="s">
        <v>547</v>
      </c>
      <c r="U899" s="131"/>
      <c r="V899" s="131"/>
      <c r="W899" s="131"/>
      <c r="X899" s="131"/>
      <c r="Y899" s="131"/>
      <c r="Z899" s="131"/>
      <c r="AA899" s="131"/>
      <c r="AB899" s="131"/>
      <c r="AC899" s="131"/>
      <c r="AD899" s="131"/>
      <c r="AE899" s="131"/>
      <c r="AF899" s="131"/>
      <c r="AG899" s="131"/>
      <c r="AH899" s="132"/>
    </row>
    <row r="900" spans="1:39" s="1" customFormat="1" ht="15.75" customHeight="1" x14ac:dyDescent="0.15">
      <c r="E900" s="159" t="s">
        <v>78</v>
      </c>
      <c r="F900" s="160"/>
      <c r="G900" s="291" t="s">
        <v>203</v>
      </c>
      <c r="H900" s="161"/>
      <c r="I900" s="161"/>
      <c r="J900" s="222" t="s">
        <v>247</v>
      </c>
      <c r="K900" s="138"/>
      <c r="L900" s="215"/>
      <c r="M900" s="222" t="s">
        <v>580</v>
      </c>
      <c r="N900" s="138"/>
      <c r="O900" s="215"/>
      <c r="P900" s="222" t="s">
        <v>250</v>
      </c>
      <c r="Q900" s="138"/>
      <c r="R900" s="138"/>
      <c r="S900" s="139"/>
      <c r="T900" s="226" t="s">
        <v>78</v>
      </c>
      <c r="U900" s="106"/>
      <c r="V900" s="216" t="s">
        <v>203</v>
      </c>
      <c r="W900" s="121"/>
      <c r="X900" s="121"/>
      <c r="Y900" s="277" t="s">
        <v>247</v>
      </c>
      <c r="Z900" s="278"/>
      <c r="AA900" s="279"/>
      <c r="AB900" s="277" t="s">
        <v>580</v>
      </c>
      <c r="AC900" s="278"/>
      <c r="AD900" s="279"/>
      <c r="AE900" s="277" t="s">
        <v>250</v>
      </c>
      <c r="AF900" s="278"/>
      <c r="AG900" s="278"/>
      <c r="AH900" s="278"/>
    </row>
    <row r="901" spans="1:39" s="1" customFormat="1" ht="15.75" customHeight="1" x14ac:dyDescent="0.15">
      <c r="E901" s="295"/>
      <c r="F901" s="156"/>
      <c r="G901" s="163"/>
      <c r="H901" s="163"/>
      <c r="I901" s="163"/>
      <c r="J901" s="223"/>
      <c r="K901" s="140"/>
      <c r="L901" s="159"/>
      <c r="M901" s="223"/>
      <c r="N901" s="140"/>
      <c r="O901" s="159"/>
      <c r="P901" s="223"/>
      <c r="Q901" s="140"/>
      <c r="R901" s="140"/>
      <c r="S901" s="141"/>
      <c r="T901" s="290"/>
      <c r="U901" s="156"/>
      <c r="V901" s="163"/>
      <c r="W901" s="163"/>
      <c r="X901" s="163"/>
      <c r="Y901" s="223"/>
      <c r="Z901" s="140"/>
      <c r="AA901" s="159"/>
      <c r="AB901" s="223"/>
      <c r="AC901" s="140"/>
      <c r="AD901" s="159"/>
      <c r="AE901" s="223"/>
      <c r="AF901" s="140"/>
      <c r="AG901" s="140"/>
      <c r="AH901" s="140"/>
    </row>
    <row r="902" spans="1:39" s="1" customFormat="1" ht="15.75" customHeight="1" x14ac:dyDescent="0.15">
      <c r="A902" s="73" t="str">
        <f>IF(LEN(E902)+LEN(T902)=0,"×","")</f>
        <v/>
      </c>
      <c r="E902" s="412">
        <v>3</v>
      </c>
      <c r="F902" s="398"/>
      <c r="G902" s="125">
        <v>3</v>
      </c>
      <c r="H902" s="125"/>
      <c r="I902" s="125"/>
      <c r="J902" s="423" t="s">
        <v>582</v>
      </c>
      <c r="K902" s="424"/>
      <c r="L902" s="412"/>
      <c r="M902" s="426">
        <v>8</v>
      </c>
      <c r="N902" s="426"/>
      <c r="O902" s="426"/>
      <c r="P902" s="441">
        <f>IF(M902="","",M902*G902*$AD$919)</f>
        <v>75.398223686155035</v>
      </c>
      <c r="Q902" s="442"/>
      <c r="R902" s="442"/>
      <c r="S902" s="443"/>
      <c r="T902" s="397">
        <v>3</v>
      </c>
      <c r="U902" s="398"/>
      <c r="V902" s="125">
        <v>3</v>
      </c>
      <c r="W902" s="125"/>
      <c r="X902" s="125"/>
      <c r="Y902" s="423" t="s">
        <v>582</v>
      </c>
      <c r="Z902" s="424"/>
      <c r="AA902" s="412"/>
      <c r="AB902" s="426">
        <v>8</v>
      </c>
      <c r="AC902" s="426"/>
      <c r="AD902" s="426"/>
      <c r="AE902" s="441">
        <f>IF(AB902="","",AB902*V902*$AD$919)</f>
        <v>75.398223686155035</v>
      </c>
      <c r="AF902" s="442"/>
      <c r="AG902" s="442"/>
      <c r="AH902" s="442"/>
    </row>
    <row r="903" spans="1:39" s="1" customFormat="1" ht="15.75" customHeight="1" x14ac:dyDescent="0.15">
      <c r="A903" s="73" t="str">
        <f>IF(LEN(E903)+LEN(T903)=0,"×","")</f>
        <v/>
      </c>
      <c r="E903" s="413">
        <v>4</v>
      </c>
      <c r="F903" s="372"/>
      <c r="G903" s="103">
        <v>5</v>
      </c>
      <c r="H903" s="103"/>
      <c r="I903" s="103"/>
      <c r="J903" s="427" t="s">
        <v>516</v>
      </c>
      <c r="K903" s="428"/>
      <c r="L903" s="413"/>
      <c r="M903" s="429">
        <v>45</v>
      </c>
      <c r="N903" s="429"/>
      <c r="O903" s="429"/>
      <c r="P903" s="444">
        <f>IF(M903="","",M903*G903*$AD$919)</f>
        <v>706.85834705770344</v>
      </c>
      <c r="Q903" s="445"/>
      <c r="R903" s="445"/>
      <c r="S903" s="446"/>
      <c r="T903" s="395">
        <v>4</v>
      </c>
      <c r="U903" s="372"/>
      <c r="V903" s="103">
        <v>5</v>
      </c>
      <c r="W903" s="103"/>
      <c r="X903" s="103"/>
      <c r="Y903" s="427" t="s">
        <v>516</v>
      </c>
      <c r="Z903" s="428"/>
      <c r="AA903" s="413"/>
      <c r="AB903" s="429">
        <v>45</v>
      </c>
      <c r="AC903" s="429"/>
      <c r="AD903" s="429"/>
      <c r="AE903" s="444">
        <f>IF(AB903="","",AB903*V903*$AD$919)</f>
        <v>706.85834705770344</v>
      </c>
      <c r="AF903" s="445"/>
      <c r="AG903" s="445"/>
      <c r="AH903" s="445"/>
    </row>
    <row r="904" spans="1:39" s="1" customFormat="1" ht="15.75" customHeight="1" x14ac:dyDescent="0.15">
      <c r="A904" s="73" t="str">
        <f>IF(LEN(E904)+LEN(T904)=0,"×","")</f>
        <v/>
      </c>
      <c r="E904" s="413">
        <v>5</v>
      </c>
      <c r="F904" s="372"/>
      <c r="G904" s="103">
        <v>8</v>
      </c>
      <c r="H904" s="103"/>
      <c r="I904" s="103"/>
      <c r="J904" s="427" t="s">
        <v>582</v>
      </c>
      <c r="K904" s="428"/>
      <c r="L904" s="413"/>
      <c r="M904" s="429">
        <v>25</v>
      </c>
      <c r="N904" s="429"/>
      <c r="O904" s="429"/>
      <c r="P904" s="444">
        <f>IF(M904="","",M904*G904*$AD$919)</f>
        <v>628.31853071795865</v>
      </c>
      <c r="Q904" s="445"/>
      <c r="R904" s="445"/>
      <c r="S904" s="446"/>
      <c r="T904" s="395">
        <v>5</v>
      </c>
      <c r="U904" s="372"/>
      <c r="V904" s="103">
        <v>8</v>
      </c>
      <c r="W904" s="103"/>
      <c r="X904" s="103"/>
      <c r="Y904" s="427" t="s">
        <v>582</v>
      </c>
      <c r="Z904" s="428"/>
      <c r="AA904" s="413"/>
      <c r="AB904" s="429">
        <v>25</v>
      </c>
      <c r="AC904" s="429"/>
      <c r="AD904" s="429"/>
      <c r="AE904" s="444">
        <f>IF(AB904="","",AB904*V904*$AD$919)</f>
        <v>628.31853071795865</v>
      </c>
      <c r="AF904" s="445"/>
      <c r="AG904" s="445"/>
      <c r="AH904" s="445"/>
    </row>
    <row r="905" spans="1:39" s="1" customFormat="1" ht="15.75" customHeight="1" x14ac:dyDescent="0.15">
      <c r="A905" s="73" t="str">
        <f>IF(LEN(E905)+LEN(T905)=0,"×","")</f>
        <v/>
      </c>
      <c r="E905" s="413">
        <v>6</v>
      </c>
      <c r="F905" s="372"/>
      <c r="G905" s="103">
        <v>4</v>
      </c>
      <c r="H905" s="103"/>
      <c r="I905" s="103"/>
      <c r="J905" s="427" t="s">
        <v>582</v>
      </c>
      <c r="K905" s="428"/>
      <c r="L905" s="413"/>
      <c r="M905" s="429">
        <v>50</v>
      </c>
      <c r="N905" s="429"/>
      <c r="O905" s="429"/>
      <c r="P905" s="444">
        <f>IF(M905="","",M905*G905*$AD$919)</f>
        <v>628.31853071795865</v>
      </c>
      <c r="Q905" s="445"/>
      <c r="R905" s="445"/>
      <c r="S905" s="446"/>
      <c r="T905" s="395">
        <v>6</v>
      </c>
      <c r="U905" s="372"/>
      <c r="V905" s="103">
        <v>4.5</v>
      </c>
      <c r="W905" s="103"/>
      <c r="X905" s="103"/>
      <c r="Y905" s="427" t="s">
        <v>582</v>
      </c>
      <c r="Z905" s="428"/>
      <c r="AA905" s="413"/>
      <c r="AB905" s="429">
        <v>50</v>
      </c>
      <c r="AC905" s="429"/>
      <c r="AD905" s="429"/>
      <c r="AE905" s="444">
        <f>IF(AB905="","",AB905*V905*$AD$919)</f>
        <v>706.85834705770344</v>
      </c>
      <c r="AF905" s="445"/>
      <c r="AG905" s="445"/>
      <c r="AH905" s="445"/>
    </row>
    <row r="906" spans="1:39" s="1" customFormat="1" ht="15.75" customHeight="1" x14ac:dyDescent="0.15">
      <c r="A906" s="73" t="str">
        <f>IF(LEN(E906)+LEN(T906)=0,"×","")</f>
        <v/>
      </c>
      <c r="E906" s="413">
        <v>6</v>
      </c>
      <c r="F906" s="372"/>
      <c r="G906" s="103">
        <v>0.5</v>
      </c>
      <c r="H906" s="103"/>
      <c r="I906" s="103"/>
      <c r="J906" s="427" t="s">
        <v>582</v>
      </c>
      <c r="K906" s="428"/>
      <c r="L906" s="413"/>
      <c r="M906" s="429">
        <v>0</v>
      </c>
      <c r="N906" s="429"/>
      <c r="O906" s="429"/>
      <c r="P906" s="444">
        <f>IF(M906="","",M906*G906*$AD$919)</f>
        <v>0</v>
      </c>
      <c r="Q906" s="445"/>
      <c r="R906" s="445"/>
      <c r="S906" s="446"/>
      <c r="T906" s="395">
        <v>7</v>
      </c>
      <c r="U906" s="372"/>
      <c r="V906" s="103">
        <v>0.5</v>
      </c>
      <c r="W906" s="103"/>
      <c r="X906" s="103"/>
      <c r="Y906" s="427" t="s">
        <v>517</v>
      </c>
      <c r="Z906" s="428"/>
      <c r="AA906" s="413"/>
      <c r="AB906" s="429">
        <v>150</v>
      </c>
      <c r="AC906" s="429"/>
      <c r="AD906" s="429"/>
      <c r="AE906" s="444">
        <f>IF(AB906="","",AB906*V906*$AD$919)</f>
        <v>235.61944901923448</v>
      </c>
      <c r="AF906" s="445"/>
      <c r="AG906" s="445"/>
      <c r="AH906" s="445"/>
    </row>
    <row r="907" spans="1:39" s="1" customFormat="1" ht="15.75" customHeight="1" x14ac:dyDescent="0.15">
      <c r="A907" s="73" t="str">
        <f>IF(LEN(E907)+LEN(T907)=0,"×","")</f>
        <v/>
      </c>
      <c r="E907" s="413">
        <v>7</v>
      </c>
      <c r="F907" s="372"/>
      <c r="G907" s="103">
        <v>0.5</v>
      </c>
      <c r="H907" s="103"/>
      <c r="I907" s="103"/>
      <c r="J907" s="427" t="s">
        <v>517</v>
      </c>
      <c r="K907" s="428"/>
      <c r="L907" s="413"/>
      <c r="M907" s="429">
        <v>0</v>
      </c>
      <c r="N907" s="429"/>
      <c r="O907" s="429"/>
      <c r="P907" s="444">
        <f>IF(M907="","",M907*G907*$AD$919)</f>
        <v>0</v>
      </c>
      <c r="Q907" s="445"/>
      <c r="R907" s="445"/>
      <c r="S907" s="446"/>
      <c r="T907" s="395"/>
      <c r="U907" s="372"/>
      <c r="V907" s="103"/>
      <c r="W907" s="103"/>
      <c r="X907" s="103"/>
      <c r="Y907" s="427"/>
      <c r="Z907" s="428"/>
      <c r="AA907" s="413"/>
      <c r="AB907" s="429"/>
      <c r="AC907" s="429"/>
      <c r="AD907" s="429"/>
      <c r="AE907" s="444" t="str">
        <f>IF(AB907="","",AB907*V907*$AD$919)</f>
        <v/>
      </c>
      <c r="AF907" s="445"/>
      <c r="AG907" s="445"/>
      <c r="AH907" s="445"/>
    </row>
    <row r="908" spans="1:39" s="1" customFormat="1" ht="15.75" customHeight="1" x14ac:dyDescent="0.15">
      <c r="A908" s="73" t="str">
        <f>IF(LEN(E908)+LEN(T908)=0,"×","")</f>
        <v>×</v>
      </c>
      <c r="E908" s="413"/>
      <c r="F908" s="372"/>
      <c r="G908" s="103"/>
      <c r="H908" s="103"/>
      <c r="I908" s="103"/>
      <c r="J908" s="427"/>
      <c r="K908" s="428"/>
      <c r="L908" s="413"/>
      <c r="M908" s="429"/>
      <c r="N908" s="429"/>
      <c r="O908" s="429"/>
      <c r="P908" s="444" t="str">
        <f>IF(M908="","",M908*G908*$AD$919)</f>
        <v/>
      </c>
      <c r="Q908" s="445"/>
      <c r="R908" s="445"/>
      <c r="S908" s="446"/>
      <c r="T908" s="395"/>
      <c r="U908" s="372"/>
      <c r="V908" s="103"/>
      <c r="W908" s="103"/>
      <c r="X908" s="103"/>
      <c r="Y908" s="427"/>
      <c r="Z908" s="428"/>
      <c r="AA908" s="413"/>
      <c r="AB908" s="429"/>
      <c r="AC908" s="429"/>
      <c r="AD908" s="429"/>
      <c r="AE908" s="444" t="str">
        <f>IF(AB908="","",AB908*V908*$AD$919)</f>
        <v/>
      </c>
      <c r="AF908" s="445"/>
      <c r="AG908" s="445"/>
      <c r="AH908" s="445"/>
    </row>
    <row r="909" spans="1:39" s="1" customFormat="1" ht="15.75" customHeight="1" x14ac:dyDescent="0.15">
      <c r="A909" s="73" t="str">
        <f>IF(LEN(E909)+LEN(T909)=0,"×","")</f>
        <v>×</v>
      </c>
      <c r="E909" s="413"/>
      <c r="F909" s="372"/>
      <c r="G909" s="103"/>
      <c r="H909" s="103"/>
      <c r="I909" s="103"/>
      <c r="J909" s="427"/>
      <c r="K909" s="428"/>
      <c r="L909" s="413"/>
      <c r="M909" s="429"/>
      <c r="N909" s="429"/>
      <c r="O909" s="429"/>
      <c r="P909" s="444" t="str">
        <f>IF(M909="","",M909*G909*$AD$919)</f>
        <v/>
      </c>
      <c r="Q909" s="445"/>
      <c r="R909" s="445"/>
      <c r="S909" s="446"/>
      <c r="T909" s="395"/>
      <c r="U909" s="372"/>
      <c r="V909" s="103"/>
      <c r="W909" s="103"/>
      <c r="X909" s="103"/>
      <c r="Y909" s="427"/>
      <c r="Z909" s="428"/>
      <c r="AA909" s="413"/>
      <c r="AB909" s="429"/>
      <c r="AC909" s="429"/>
      <c r="AD909" s="429"/>
      <c r="AE909" s="444" t="str">
        <f>IF(AB909="","",AB909*V909*$AD$919)</f>
        <v/>
      </c>
      <c r="AF909" s="445"/>
      <c r="AG909" s="445"/>
      <c r="AH909" s="445"/>
    </row>
    <row r="910" spans="1:39" s="1" customFormat="1" ht="15.75" customHeight="1" x14ac:dyDescent="0.15">
      <c r="A910" s="73" t="str">
        <f>IF(LEN(E910)+LEN(T910)=0,"×","")</f>
        <v>×</v>
      </c>
      <c r="E910" s="413"/>
      <c r="F910" s="372"/>
      <c r="G910" s="103"/>
      <c r="H910" s="103"/>
      <c r="I910" s="103"/>
      <c r="J910" s="427"/>
      <c r="K910" s="428"/>
      <c r="L910" s="413"/>
      <c r="M910" s="429"/>
      <c r="N910" s="429"/>
      <c r="O910" s="429"/>
      <c r="P910" s="444" t="str">
        <f>IF(M910="","",M910*G910*$AD$919)</f>
        <v/>
      </c>
      <c r="Q910" s="445"/>
      <c r="R910" s="445"/>
      <c r="S910" s="446"/>
      <c r="T910" s="395"/>
      <c r="U910" s="372"/>
      <c r="V910" s="103"/>
      <c r="W910" s="103"/>
      <c r="X910" s="103"/>
      <c r="Y910" s="427"/>
      <c r="Z910" s="428"/>
      <c r="AA910" s="413"/>
      <c r="AB910" s="429"/>
      <c r="AC910" s="429"/>
      <c r="AD910" s="429"/>
      <c r="AE910" s="444" t="str">
        <f>IF(AB910="","",AB910*V910*$AD$919)</f>
        <v/>
      </c>
      <c r="AF910" s="445"/>
      <c r="AG910" s="445"/>
      <c r="AH910" s="445"/>
    </row>
    <row r="911" spans="1:39" s="1" customFormat="1" ht="15.75" customHeight="1" x14ac:dyDescent="0.15">
      <c r="A911" s="73" t="str">
        <f>IF(LEN(E911)+LEN(T911)=0,"×","")</f>
        <v>×</v>
      </c>
      <c r="E911" s="413"/>
      <c r="F911" s="372"/>
      <c r="G911" s="103"/>
      <c r="H911" s="103"/>
      <c r="I911" s="103"/>
      <c r="J911" s="427"/>
      <c r="K911" s="428"/>
      <c r="L911" s="413"/>
      <c r="M911" s="429"/>
      <c r="N911" s="429"/>
      <c r="O911" s="429"/>
      <c r="P911" s="444" t="str">
        <f>IF(M911="","",M911*G911*$AD$919)</f>
        <v/>
      </c>
      <c r="Q911" s="445"/>
      <c r="R911" s="445"/>
      <c r="S911" s="446"/>
      <c r="T911" s="395"/>
      <c r="U911" s="372"/>
      <c r="V911" s="103"/>
      <c r="W911" s="103"/>
      <c r="X911" s="103"/>
      <c r="Y911" s="427"/>
      <c r="Z911" s="428"/>
      <c r="AA911" s="413"/>
      <c r="AB911" s="429"/>
      <c r="AC911" s="429"/>
      <c r="AD911" s="429"/>
      <c r="AE911" s="444" t="str">
        <f>IF(AB911="","",AB911*V911*$AD$919)</f>
        <v/>
      </c>
      <c r="AF911" s="445"/>
      <c r="AG911" s="445"/>
      <c r="AH911" s="445"/>
    </row>
    <row r="912" spans="1:39" s="1" customFormat="1" ht="15.75" customHeight="1" x14ac:dyDescent="0.15">
      <c r="A912" s="73" t="str">
        <f>IF(LEN(E912)+LEN(T912)=0,"×","")</f>
        <v>×</v>
      </c>
      <c r="E912" s="413"/>
      <c r="F912" s="372"/>
      <c r="G912" s="103"/>
      <c r="H912" s="103"/>
      <c r="I912" s="103"/>
      <c r="J912" s="427"/>
      <c r="K912" s="428"/>
      <c r="L912" s="413"/>
      <c r="M912" s="429"/>
      <c r="N912" s="429"/>
      <c r="O912" s="429"/>
      <c r="P912" s="444" t="str">
        <f>IF(M912="","",M912*G912*$AD$919)</f>
        <v/>
      </c>
      <c r="Q912" s="445"/>
      <c r="R912" s="445"/>
      <c r="S912" s="446"/>
      <c r="T912" s="395"/>
      <c r="U912" s="372"/>
      <c r="V912" s="103"/>
      <c r="W912" s="103"/>
      <c r="X912" s="103"/>
      <c r="Y912" s="427"/>
      <c r="Z912" s="428"/>
      <c r="AA912" s="413"/>
      <c r="AB912" s="429"/>
      <c r="AC912" s="429"/>
      <c r="AD912" s="429"/>
      <c r="AE912" s="444" t="str">
        <f>IF(AB912="","",AB912*V912*$AD$919)</f>
        <v/>
      </c>
      <c r="AF912" s="445"/>
      <c r="AG912" s="445"/>
      <c r="AH912" s="445"/>
    </row>
    <row r="913" spans="1:39" s="1" customFormat="1" ht="15.75" customHeight="1" x14ac:dyDescent="0.15">
      <c r="A913" s="73" t="str">
        <f>IF(LEN(E913)+LEN(T913)=0,"×","")</f>
        <v>×</v>
      </c>
      <c r="E913" s="413"/>
      <c r="F913" s="372"/>
      <c r="G913" s="103"/>
      <c r="H913" s="103"/>
      <c r="I913" s="103"/>
      <c r="J913" s="427"/>
      <c r="K913" s="428"/>
      <c r="L913" s="413"/>
      <c r="M913" s="429"/>
      <c r="N913" s="429"/>
      <c r="O913" s="429"/>
      <c r="P913" s="444" t="str">
        <f>IF(M913="","",M913*G913*$AD$919)</f>
        <v/>
      </c>
      <c r="Q913" s="445"/>
      <c r="R913" s="445"/>
      <c r="S913" s="446"/>
      <c r="T913" s="395"/>
      <c r="U913" s="372"/>
      <c r="V913" s="103"/>
      <c r="W913" s="103"/>
      <c r="X913" s="103"/>
      <c r="Y913" s="427"/>
      <c r="Z913" s="428"/>
      <c r="AA913" s="413"/>
      <c r="AB913" s="429"/>
      <c r="AC913" s="429"/>
      <c r="AD913" s="429"/>
      <c r="AE913" s="444" t="str">
        <f>IF(AB913="","",AB913*V913*$AD$919)</f>
        <v/>
      </c>
      <c r="AF913" s="445"/>
      <c r="AG913" s="445"/>
      <c r="AH913" s="445"/>
    </row>
    <row r="914" spans="1:39" s="1" customFormat="1" ht="15.75" customHeight="1" x14ac:dyDescent="0.15">
      <c r="A914" s="73" t="str">
        <f>IF(LEN(E914)+LEN(T914)=0,"×","")</f>
        <v>×</v>
      </c>
      <c r="E914" s="413"/>
      <c r="F914" s="372"/>
      <c r="G914" s="103"/>
      <c r="H914" s="103"/>
      <c r="I914" s="103"/>
      <c r="J914" s="427"/>
      <c r="K914" s="428"/>
      <c r="L914" s="413"/>
      <c r="M914" s="429"/>
      <c r="N914" s="429"/>
      <c r="O914" s="429"/>
      <c r="P914" s="444" t="str">
        <f>IF(M914="","",M914*G914*$AD$919)</f>
        <v/>
      </c>
      <c r="Q914" s="445"/>
      <c r="R914" s="445"/>
      <c r="S914" s="446"/>
      <c r="T914" s="395"/>
      <c r="U914" s="372"/>
      <c r="V914" s="103"/>
      <c r="W914" s="103"/>
      <c r="X914" s="103"/>
      <c r="Y914" s="427"/>
      <c r="Z914" s="428"/>
      <c r="AA914" s="413"/>
      <c r="AB914" s="429"/>
      <c r="AC914" s="429"/>
      <c r="AD914" s="429"/>
      <c r="AE914" s="444" t="str">
        <f>IF(AB914="","",AB914*V914*$AD$919)</f>
        <v/>
      </c>
      <c r="AF914" s="445"/>
      <c r="AG914" s="445"/>
      <c r="AH914" s="445"/>
    </row>
    <row r="915" spans="1:39" s="1" customFormat="1" ht="15.75" customHeight="1" x14ac:dyDescent="0.15">
      <c r="A915" s="73" t="str">
        <f>IF(LEN(E915)+LEN(T915)=0,"×","")</f>
        <v>×</v>
      </c>
      <c r="E915" s="413"/>
      <c r="F915" s="372"/>
      <c r="G915" s="103"/>
      <c r="H915" s="103"/>
      <c r="I915" s="103"/>
      <c r="J915" s="427"/>
      <c r="K915" s="428"/>
      <c r="L915" s="413"/>
      <c r="M915" s="429"/>
      <c r="N915" s="429"/>
      <c r="O915" s="429"/>
      <c r="P915" s="444" t="str">
        <f>IF(M915="","",M915*G915*$AD$919)</f>
        <v/>
      </c>
      <c r="Q915" s="445"/>
      <c r="R915" s="445"/>
      <c r="S915" s="446"/>
      <c r="T915" s="395"/>
      <c r="U915" s="372"/>
      <c r="V915" s="103"/>
      <c r="W915" s="103"/>
      <c r="X915" s="103"/>
      <c r="Y915" s="427"/>
      <c r="Z915" s="428"/>
      <c r="AA915" s="413"/>
      <c r="AB915" s="429"/>
      <c r="AC915" s="429"/>
      <c r="AD915" s="429"/>
      <c r="AE915" s="444" t="str">
        <f>IF(AB915="","",AB915*V915*$AD$919)</f>
        <v/>
      </c>
      <c r="AF915" s="445"/>
      <c r="AG915" s="445"/>
      <c r="AH915" s="445"/>
    </row>
    <row r="916" spans="1:39" s="1" customFormat="1" ht="15.75" customHeight="1" x14ac:dyDescent="0.15">
      <c r="A916" s="73" t="str">
        <f>IF(LEN(E916)+LEN(T916)=0,"×","")</f>
        <v>×</v>
      </c>
      <c r="E916" s="413"/>
      <c r="F916" s="372"/>
      <c r="G916" s="103"/>
      <c r="H916" s="103"/>
      <c r="I916" s="103"/>
      <c r="J916" s="427"/>
      <c r="K916" s="428"/>
      <c r="L916" s="413"/>
      <c r="M916" s="429"/>
      <c r="N916" s="429"/>
      <c r="O916" s="429"/>
      <c r="P916" s="444" t="str">
        <f>IF(M916="","",M916*G916*$AD$919)</f>
        <v/>
      </c>
      <c r="Q916" s="445"/>
      <c r="R916" s="445"/>
      <c r="S916" s="446"/>
      <c r="T916" s="395"/>
      <c r="U916" s="372"/>
      <c r="V916" s="103"/>
      <c r="W916" s="103"/>
      <c r="X916" s="103"/>
      <c r="Y916" s="427"/>
      <c r="Z916" s="428"/>
      <c r="AA916" s="413"/>
      <c r="AB916" s="429"/>
      <c r="AC916" s="429"/>
      <c r="AD916" s="429"/>
      <c r="AE916" s="444" t="str">
        <f>IF(AB916="","",AB916*V916*$AD$919)</f>
        <v/>
      </c>
      <c r="AF916" s="445"/>
      <c r="AG916" s="445"/>
      <c r="AH916" s="445"/>
    </row>
    <row r="917" spans="1:39" s="1" customFormat="1" ht="15.75" customHeight="1" x14ac:dyDescent="0.15">
      <c r="A917" s="73" t="str">
        <f>IF(LEN(E917)+LEN(T917)=0,"×","")</f>
        <v>×</v>
      </c>
      <c r="E917" s="413"/>
      <c r="F917" s="372"/>
      <c r="G917" s="103"/>
      <c r="H917" s="103"/>
      <c r="I917" s="103"/>
      <c r="J917" s="427"/>
      <c r="K917" s="428"/>
      <c r="L917" s="413"/>
      <c r="M917" s="429"/>
      <c r="N917" s="429"/>
      <c r="O917" s="429"/>
      <c r="P917" s="444" t="str">
        <f>IF(M917="","",M917*G917*$AD$919)</f>
        <v/>
      </c>
      <c r="Q917" s="445"/>
      <c r="R917" s="445"/>
      <c r="S917" s="446"/>
      <c r="T917" s="395"/>
      <c r="U917" s="372"/>
      <c r="V917" s="103"/>
      <c r="W917" s="103"/>
      <c r="X917" s="103"/>
      <c r="Y917" s="427"/>
      <c r="Z917" s="428"/>
      <c r="AA917" s="413"/>
      <c r="AB917" s="429"/>
      <c r="AC917" s="429"/>
      <c r="AD917" s="429"/>
      <c r="AE917" s="444" t="str">
        <f>IF(AB917="","",AB917*V917*$AD$919)</f>
        <v/>
      </c>
      <c r="AF917" s="445"/>
      <c r="AG917" s="445"/>
      <c r="AH917" s="445"/>
    </row>
    <row r="918" spans="1:39" s="1" customFormat="1" ht="15.75" customHeight="1" x14ac:dyDescent="0.15">
      <c r="A918" s="76"/>
      <c r="E918" s="233" t="s">
        <v>581</v>
      </c>
      <c r="F918" s="234"/>
      <c r="G918" s="450">
        <f>ROUND(SUM(P902:S917),1)</f>
        <v>2038.9</v>
      </c>
      <c r="H918" s="451"/>
      <c r="I918" s="451"/>
      <c r="J918" s="451"/>
      <c r="K918" s="451"/>
      <c r="L918" s="451"/>
      <c r="M918" s="451"/>
      <c r="N918" s="451"/>
      <c r="O918" s="451"/>
      <c r="P918" s="451"/>
      <c r="Q918" s="451"/>
      <c r="R918" s="451"/>
      <c r="S918" s="452"/>
      <c r="T918" s="401" t="s">
        <v>581</v>
      </c>
      <c r="U918" s="234"/>
      <c r="V918" s="450">
        <f>ROUND(SUM(AE902:AH917),1)</f>
        <v>2353.1</v>
      </c>
      <c r="W918" s="451"/>
      <c r="X918" s="451"/>
      <c r="Y918" s="451"/>
      <c r="Z918" s="451"/>
      <c r="AA918" s="451"/>
      <c r="AB918" s="451"/>
      <c r="AC918" s="451"/>
      <c r="AD918" s="451"/>
      <c r="AE918" s="451"/>
      <c r="AF918" s="451"/>
      <c r="AG918" s="451"/>
      <c r="AH918" s="451"/>
    </row>
    <row r="919" spans="1:39" s="1" customFormat="1" ht="15.75" customHeight="1" x14ac:dyDescent="0.15">
      <c r="E919" s="8"/>
      <c r="F919" s="8"/>
      <c r="G919" s="8"/>
      <c r="H919" s="8"/>
      <c r="I919" s="8"/>
      <c r="J919" s="8"/>
      <c r="K919" s="8"/>
      <c r="L919" s="8"/>
      <c r="M919" s="8"/>
      <c r="N919" s="8"/>
      <c r="O919" s="8"/>
      <c r="AA919" s="2" t="s">
        <v>127</v>
      </c>
      <c r="AB919" s="1" t="s">
        <v>548</v>
      </c>
      <c r="AC919" s="76" t="s">
        <v>27</v>
      </c>
      <c r="AD919" s="304">
        <f>AD895</f>
        <v>3.1415926535897931</v>
      </c>
      <c r="AE919" s="304"/>
      <c r="AF919" s="304"/>
      <c r="AG919" s="7" t="s">
        <v>549</v>
      </c>
      <c r="AH919" s="76" t="s">
        <v>158</v>
      </c>
    </row>
    <row r="920" spans="1:39" s="1" customFormat="1" ht="15.75" customHeight="1" x14ac:dyDescent="0.15">
      <c r="I920" s="76"/>
      <c r="J920" s="76"/>
      <c r="K920" s="76"/>
      <c r="L920" s="9"/>
      <c r="M920" s="9"/>
      <c r="N920" s="9"/>
      <c r="O920" s="76"/>
      <c r="P920" s="76"/>
      <c r="Q920" s="76"/>
      <c r="R920" s="76"/>
      <c r="S920" s="76"/>
      <c r="T920" s="9"/>
      <c r="U920" s="76"/>
      <c r="V920" s="323"/>
      <c r="W920" s="323"/>
      <c r="X920" s="323"/>
      <c r="Y920" s="323"/>
      <c r="Z920" s="8"/>
      <c r="AG920" s="8"/>
      <c r="AH920" s="8"/>
      <c r="AI920" s="8"/>
      <c r="AJ920" s="8"/>
      <c r="AK920" s="8"/>
      <c r="AL920" s="8"/>
      <c r="AM920" s="8"/>
    </row>
    <row r="921" spans="1:39" s="1" customFormat="1" ht="15.75" customHeight="1" x14ac:dyDescent="0.15"/>
    <row r="922" spans="1:39" s="1" customFormat="1" ht="15.75" customHeight="1" x14ac:dyDescent="0.15">
      <c r="E922" s="61" t="s">
        <v>590</v>
      </c>
      <c r="F922" s="302"/>
      <c r="G922" s="302"/>
      <c r="H922" s="61"/>
      <c r="I922" s="61"/>
      <c r="J922" s="61"/>
      <c r="K922" s="61"/>
      <c r="L922" s="61"/>
      <c r="M922" s="61"/>
      <c r="N922" s="61"/>
      <c r="O922" s="61"/>
      <c r="P922" s="61"/>
      <c r="Q922" s="61"/>
      <c r="R922" s="61"/>
      <c r="S922" s="61"/>
      <c r="T922" s="61"/>
      <c r="U922" s="61"/>
      <c r="V922" s="61"/>
      <c r="W922" s="61"/>
      <c r="X922" s="61"/>
      <c r="Y922" s="61"/>
      <c r="Z922" s="61"/>
      <c r="AA922" s="61"/>
      <c r="AB922" s="61"/>
      <c r="AC922" s="61"/>
      <c r="AD922" s="61"/>
      <c r="AE922" s="61"/>
      <c r="AF922" s="61"/>
      <c r="AG922" s="61"/>
      <c r="AH922" s="61"/>
      <c r="AI922" s="8"/>
    </row>
    <row r="923" spans="1:39" s="1" customFormat="1" ht="15.75" customHeight="1" x14ac:dyDescent="0.15">
      <c r="E923" s="294" t="s">
        <v>546</v>
      </c>
      <c r="F923" s="292"/>
      <c r="G923" s="292"/>
      <c r="H923" s="292"/>
      <c r="I923" s="292"/>
      <c r="J923" s="292"/>
      <c r="K923" s="292"/>
      <c r="L923" s="292"/>
      <c r="M923" s="292"/>
      <c r="N923" s="292"/>
      <c r="O923" s="292"/>
      <c r="P923" s="292"/>
      <c r="Q923" s="292"/>
      <c r="R923" s="292"/>
      <c r="S923" s="293"/>
      <c r="T923" s="273" t="s">
        <v>547</v>
      </c>
      <c r="U923" s="131"/>
      <c r="V923" s="131"/>
      <c r="W923" s="131"/>
      <c r="X923" s="131"/>
      <c r="Y923" s="131"/>
      <c r="Z923" s="131"/>
      <c r="AA923" s="131"/>
      <c r="AB923" s="131"/>
      <c r="AC923" s="131"/>
      <c r="AD923" s="131"/>
      <c r="AE923" s="131"/>
      <c r="AF923" s="131"/>
      <c r="AG923" s="131"/>
      <c r="AH923" s="132"/>
    </row>
    <row r="924" spans="1:39" s="1" customFormat="1" ht="15.75" customHeight="1" x14ac:dyDescent="0.15">
      <c r="E924" s="159" t="s">
        <v>78</v>
      </c>
      <c r="F924" s="160"/>
      <c r="G924" s="291" t="s">
        <v>203</v>
      </c>
      <c r="H924" s="161"/>
      <c r="I924" s="161"/>
      <c r="J924" s="222" t="s">
        <v>247</v>
      </c>
      <c r="K924" s="138"/>
      <c r="L924" s="215"/>
      <c r="M924" s="222" t="s">
        <v>580</v>
      </c>
      <c r="N924" s="138"/>
      <c r="O924" s="215"/>
      <c r="P924" s="222" t="s">
        <v>250</v>
      </c>
      <c r="Q924" s="138"/>
      <c r="R924" s="138"/>
      <c r="S924" s="139"/>
      <c r="T924" s="226" t="s">
        <v>78</v>
      </c>
      <c r="U924" s="106"/>
      <c r="V924" s="216" t="s">
        <v>203</v>
      </c>
      <c r="W924" s="121"/>
      <c r="X924" s="121"/>
      <c r="Y924" s="277" t="s">
        <v>247</v>
      </c>
      <c r="Z924" s="278"/>
      <c r="AA924" s="279"/>
      <c r="AB924" s="277" t="s">
        <v>580</v>
      </c>
      <c r="AC924" s="278"/>
      <c r="AD924" s="279"/>
      <c r="AE924" s="277" t="s">
        <v>250</v>
      </c>
      <c r="AF924" s="278"/>
      <c r="AG924" s="278"/>
      <c r="AH924" s="278"/>
    </row>
    <row r="925" spans="1:39" s="1" customFormat="1" ht="15.75" customHeight="1" x14ac:dyDescent="0.15">
      <c r="E925" s="295"/>
      <c r="F925" s="156"/>
      <c r="G925" s="163"/>
      <c r="H925" s="163"/>
      <c r="I925" s="163"/>
      <c r="J925" s="223"/>
      <c r="K925" s="140"/>
      <c r="L925" s="159"/>
      <c r="M925" s="223"/>
      <c r="N925" s="140"/>
      <c r="O925" s="159"/>
      <c r="P925" s="223"/>
      <c r="Q925" s="140"/>
      <c r="R925" s="140"/>
      <c r="S925" s="141"/>
      <c r="T925" s="290"/>
      <c r="U925" s="156"/>
      <c r="V925" s="163"/>
      <c r="W925" s="163"/>
      <c r="X925" s="163"/>
      <c r="Y925" s="223"/>
      <c r="Z925" s="140"/>
      <c r="AA925" s="159"/>
      <c r="AB925" s="223"/>
      <c r="AC925" s="140"/>
      <c r="AD925" s="159"/>
      <c r="AE925" s="223"/>
      <c r="AF925" s="140"/>
      <c r="AG925" s="140"/>
      <c r="AH925" s="140"/>
    </row>
    <row r="926" spans="1:39" s="1" customFormat="1" ht="15.75" customHeight="1" x14ac:dyDescent="0.15">
      <c r="A926" s="73" t="str">
        <f>IF(LEN(E926)+LEN(T926)=0,"×","")</f>
        <v/>
      </c>
      <c r="E926" s="412">
        <v>3</v>
      </c>
      <c r="F926" s="398"/>
      <c r="G926" s="125">
        <v>3</v>
      </c>
      <c r="H926" s="125"/>
      <c r="I926" s="125"/>
      <c r="J926" s="423" t="s">
        <v>582</v>
      </c>
      <c r="K926" s="424"/>
      <c r="L926" s="412"/>
      <c r="M926" s="426">
        <v>0</v>
      </c>
      <c r="N926" s="426"/>
      <c r="O926" s="426"/>
      <c r="P926" s="441">
        <f>IF(M926="","",M926*G926*$AD$943)</f>
        <v>0</v>
      </c>
      <c r="Q926" s="442"/>
      <c r="R926" s="442"/>
      <c r="S926" s="443"/>
      <c r="T926" s="397">
        <v>3</v>
      </c>
      <c r="U926" s="398"/>
      <c r="V926" s="125">
        <v>3</v>
      </c>
      <c r="W926" s="125"/>
      <c r="X926" s="125"/>
      <c r="Y926" s="423" t="s">
        <v>582</v>
      </c>
      <c r="Z926" s="424"/>
      <c r="AA926" s="412"/>
      <c r="AB926" s="426">
        <v>0</v>
      </c>
      <c r="AC926" s="426"/>
      <c r="AD926" s="426"/>
      <c r="AE926" s="441">
        <f>IF(AB926="","",AB926*V926*$AD$943)</f>
        <v>0</v>
      </c>
      <c r="AF926" s="442"/>
      <c r="AG926" s="442"/>
      <c r="AH926" s="442"/>
    </row>
    <row r="927" spans="1:39" s="1" customFormat="1" ht="15.75" customHeight="1" x14ac:dyDescent="0.15">
      <c r="A927" s="73" t="str">
        <f>IF(LEN(E927)+LEN(T927)=0,"×","")</f>
        <v/>
      </c>
      <c r="E927" s="413">
        <v>4</v>
      </c>
      <c r="F927" s="372"/>
      <c r="G927" s="103">
        <v>0.53999996185302734</v>
      </c>
      <c r="H927" s="103"/>
      <c r="I927" s="103"/>
      <c r="J927" s="427" t="s">
        <v>516</v>
      </c>
      <c r="K927" s="428"/>
      <c r="L927" s="413"/>
      <c r="M927" s="429">
        <v>0</v>
      </c>
      <c r="N927" s="429"/>
      <c r="O927" s="429"/>
      <c r="P927" s="444">
        <f>IF(M927="","",M927*G927*$AD$943)</f>
        <v>0</v>
      </c>
      <c r="Q927" s="445"/>
      <c r="R927" s="445"/>
      <c r="S927" s="446"/>
      <c r="T927" s="395">
        <v>4</v>
      </c>
      <c r="U927" s="372"/>
      <c r="V927" s="103">
        <v>0.53999996185302734</v>
      </c>
      <c r="W927" s="103"/>
      <c r="X927" s="103"/>
      <c r="Y927" s="427" t="s">
        <v>516</v>
      </c>
      <c r="Z927" s="428"/>
      <c r="AA927" s="413"/>
      <c r="AB927" s="429">
        <v>0</v>
      </c>
      <c r="AC927" s="429"/>
      <c r="AD927" s="429"/>
      <c r="AE927" s="444">
        <f>IF(AB927="","",AB927*V927*$AD$943)</f>
        <v>0</v>
      </c>
      <c r="AF927" s="445"/>
      <c r="AG927" s="445"/>
      <c r="AH927" s="445"/>
    </row>
    <row r="928" spans="1:39" s="1" customFormat="1" ht="15.75" customHeight="1" x14ac:dyDescent="0.15">
      <c r="A928" s="73" t="str">
        <f>IF(LEN(E928)+LEN(T928)=0,"×","")</f>
        <v/>
      </c>
      <c r="E928" s="413">
        <v>4</v>
      </c>
      <c r="F928" s="372"/>
      <c r="G928" s="103">
        <v>4.4600000381469727</v>
      </c>
      <c r="H928" s="103"/>
      <c r="I928" s="103"/>
      <c r="J928" s="427" t="s">
        <v>516</v>
      </c>
      <c r="K928" s="428"/>
      <c r="L928" s="413"/>
      <c r="M928" s="429">
        <v>45</v>
      </c>
      <c r="N928" s="429"/>
      <c r="O928" s="429"/>
      <c r="P928" s="444">
        <f>IF(M928="","",M928*G928*$AD$943)</f>
        <v>630.51765096837266</v>
      </c>
      <c r="Q928" s="445"/>
      <c r="R928" s="445"/>
      <c r="S928" s="446"/>
      <c r="T928" s="395">
        <v>4</v>
      </c>
      <c r="U928" s="372"/>
      <c r="V928" s="103">
        <v>4.4600000381469727</v>
      </c>
      <c r="W928" s="103"/>
      <c r="X928" s="103"/>
      <c r="Y928" s="427" t="s">
        <v>516</v>
      </c>
      <c r="Z928" s="428"/>
      <c r="AA928" s="413"/>
      <c r="AB928" s="429">
        <v>45</v>
      </c>
      <c r="AC928" s="429"/>
      <c r="AD928" s="429"/>
      <c r="AE928" s="444">
        <f>IF(AB928="","",AB928*V928*$AD$943)</f>
        <v>630.51765096837266</v>
      </c>
      <c r="AF928" s="445"/>
      <c r="AG928" s="445"/>
      <c r="AH928" s="445"/>
    </row>
    <row r="929" spans="1:34" s="1" customFormat="1" ht="15.75" customHeight="1" x14ac:dyDescent="0.15">
      <c r="A929" s="73" t="str">
        <f>IF(LEN(E929)+LEN(T929)=0,"×","")</f>
        <v/>
      </c>
      <c r="E929" s="413">
        <v>5</v>
      </c>
      <c r="F929" s="372"/>
      <c r="G929" s="103">
        <v>8</v>
      </c>
      <c r="H929" s="103"/>
      <c r="I929" s="103"/>
      <c r="J929" s="427" t="s">
        <v>582</v>
      </c>
      <c r="K929" s="428"/>
      <c r="L929" s="413"/>
      <c r="M929" s="429">
        <v>25</v>
      </c>
      <c r="N929" s="429"/>
      <c r="O929" s="429"/>
      <c r="P929" s="444">
        <f>IF(M929="","",M929*G929*$AD$943)</f>
        <v>628.31853071795865</v>
      </c>
      <c r="Q929" s="445"/>
      <c r="R929" s="445"/>
      <c r="S929" s="446"/>
      <c r="T929" s="395">
        <v>5</v>
      </c>
      <c r="U929" s="372"/>
      <c r="V929" s="103">
        <v>8</v>
      </c>
      <c r="W929" s="103"/>
      <c r="X929" s="103"/>
      <c r="Y929" s="427" t="s">
        <v>582</v>
      </c>
      <c r="Z929" s="428"/>
      <c r="AA929" s="413"/>
      <c r="AB929" s="429">
        <v>25</v>
      </c>
      <c r="AC929" s="429"/>
      <c r="AD929" s="429"/>
      <c r="AE929" s="444">
        <f>IF(AB929="","",AB929*V929*$AD$943)</f>
        <v>628.31853071795865</v>
      </c>
      <c r="AF929" s="445"/>
      <c r="AG929" s="445"/>
      <c r="AH929" s="445"/>
    </row>
    <row r="930" spans="1:34" s="1" customFormat="1" ht="15.75" customHeight="1" x14ac:dyDescent="0.15">
      <c r="A930" s="73" t="str">
        <f>IF(LEN(E930)+LEN(T930)=0,"×","")</f>
        <v/>
      </c>
      <c r="E930" s="413">
        <v>6</v>
      </c>
      <c r="F930" s="372"/>
      <c r="G930" s="103">
        <v>4</v>
      </c>
      <c r="H930" s="103"/>
      <c r="I930" s="103"/>
      <c r="J930" s="427" t="s">
        <v>582</v>
      </c>
      <c r="K930" s="428"/>
      <c r="L930" s="413"/>
      <c r="M930" s="429">
        <v>50</v>
      </c>
      <c r="N930" s="429"/>
      <c r="O930" s="429"/>
      <c r="P930" s="444">
        <f>IF(M930="","",M930*G930*$AD$943)</f>
        <v>628.31853071795865</v>
      </c>
      <c r="Q930" s="445"/>
      <c r="R930" s="445"/>
      <c r="S930" s="446"/>
      <c r="T930" s="395">
        <v>6</v>
      </c>
      <c r="U930" s="372"/>
      <c r="V930" s="103">
        <v>4.5</v>
      </c>
      <c r="W930" s="103"/>
      <c r="X930" s="103"/>
      <c r="Y930" s="427" t="s">
        <v>582</v>
      </c>
      <c r="Z930" s="428"/>
      <c r="AA930" s="413"/>
      <c r="AB930" s="429">
        <v>50</v>
      </c>
      <c r="AC930" s="429"/>
      <c r="AD930" s="429"/>
      <c r="AE930" s="444">
        <f>IF(AB930="","",AB930*V930*$AD$943)</f>
        <v>706.85834705770344</v>
      </c>
      <c r="AF930" s="445"/>
      <c r="AG930" s="445"/>
      <c r="AH930" s="445"/>
    </row>
    <row r="931" spans="1:34" s="1" customFormat="1" ht="15.75" customHeight="1" x14ac:dyDescent="0.15">
      <c r="A931" s="73" t="str">
        <f>IF(LEN(E931)+LEN(T931)=0,"×","")</f>
        <v/>
      </c>
      <c r="E931" s="413">
        <v>6</v>
      </c>
      <c r="F931" s="372"/>
      <c r="G931" s="103">
        <v>0.5</v>
      </c>
      <c r="H931" s="103"/>
      <c r="I931" s="103"/>
      <c r="J931" s="427" t="s">
        <v>582</v>
      </c>
      <c r="K931" s="428"/>
      <c r="L931" s="413"/>
      <c r="M931" s="429">
        <v>0</v>
      </c>
      <c r="N931" s="429"/>
      <c r="O931" s="429"/>
      <c r="P931" s="444">
        <f>IF(M931="","",M931*G931*$AD$943)</f>
        <v>0</v>
      </c>
      <c r="Q931" s="445"/>
      <c r="R931" s="445"/>
      <c r="S931" s="446"/>
      <c r="T931" s="395">
        <v>7</v>
      </c>
      <c r="U931" s="372"/>
      <c r="V931" s="103">
        <v>0.5</v>
      </c>
      <c r="W931" s="103"/>
      <c r="X931" s="103"/>
      <c r="Y931" s="427" t="s">
        <v>517</v>
      </c>
      <c r="Z931" s="428"/>
      <c r="AA931" s="413"/>
      <c r="AB931" s="429">
        <v>150</v>
      </c>
      <c r="AC931" s="429"/>
      <c r="AD931" s="429"/>
      <c r="AE931" s="444">
        <f>IF(AB931="","",AB931*V931*$AD$943)</f>
        <v>235.61944901923448</v>
      </c>
      <c r="AF931" s="445"/>
      <c r="AG931" s="445"/>
      <c r="AH931" s="445"/>
    </row>
    <row r="932" spans="1:34" s="1" customFormat="1" ht="15.75" customHeight="1" x14ac:dyDescent="0.15">
      <c r="A932" s="73" t="str">
        <f>IF(LEN(E932)+LEN(T932)=0,"×","")</f>
        <v/>
      </c>
      <c r="E932" s="413">
        <v>7</v>
      </c>
      <c r="F932" s="372"/>
      <c r="G932" s="103">
        <v>0.5</v>
      </c>
      <c r="H932" s="103"/>
      <c r="I932" s="103"/>
      <c r="J932" s="427" t="s">
        <v>517</v>
      </c>
      <c r="K932" s="428"/>
      <c r="L932" s="413"/>
      <c r="M932" s="429">
        <v>0</v>
      </c>
      <c r="N932" s="429"/>
      <c r="O932" s="429"/>
      <c r="P932" s="444">
        <f>IF(M932="","",M932*G932*$AD$943)</f>
        <v>0</v>
      </c>
      <c r="Q932" s="445"/>
      <c r="R932" s="445"/>
      <c r="S932" s="446"/>
      <c r="T932" s="395"/>
      <c r="U932" s="372"/>
      <c r="V932" s="103"/>
      <c r="W932" s="103"/>
      <c r="X932" s="103"/>
      <c r="Y932" s="427"/>
      <c r="Z932" s="428"/>
      <c r="AA932" s="413"/>
      <c r="AB932" s="429"/>
      <c r="AC932" s="429"/>
      <c r="AD932" s="429"/>
      <c r="AE932" s="444" t="str">
        <f>IF(AB932="","",AB932*V932*$AD$943)</f>
        <v/>
      </c>
      <c r="AF932" s="445"/>
      <c r="AG932" s="445"/>
      <c r="AH932" s="445"/>
    </row>
    <row r="933" spans="1:34" s="1" customFormat="1" ht="15.75" customHeight="1" x14ac:dyDescent="0.15">
      <c r="A933" s="73" t="str">
        <f>IF(LEN(E933)+LEN(T933)=0,"×","")</f>
        <v>×</v>
      </c>
      <c r="E933" s="413"/>
      <c r="F933" s="372"/>
      <c r="G933" s="103"/>
      <c r="H933" s="103"/>
      <c r="I933" s="103"/>
      <c r="J933" s="427"/>
      <c r="K933" s="428"/>
      <c r="L933" s="413"/>
      <c r="M933" s="429"/>
      <c r="N933" s="429"/>
      <c r="O933" s="429"/>
      <c r="P933" s="444" t="str">
        <f>IF(M933="","",M933*G933*$AD$943)</f>
        <v/>
      </c>
      <c r="Q933" s="445"/>
      <c r="R933" s="445"/>
      <c r="S933" s="446"/>
      <c r="T933" s="395"/>
      <c r="U933" s="372"/>
      <c r="V933" s="103"/>
      <c r="W933" s="103"/>
      <c r="X933" s="103"/>
      <c r="Y933" s="427"/>
      <c r="Z933" s="428"/>
      <c r="AA933" s="413"/>
      <c r="AB933" s="429"/>
      <c r="AC933" s="429"/>
      <c r="AD933" s="429"/>
      <c r="AE933" s="444" t="str">
        <f>IF(AB933="","",AB933*V933*$AD$943)</f>
        <v/>
      </c>
      <c r="AF933" s="445"/>
      <c r="AG933" s="445"/>
      <c r="AH933" s="445"/>
    </row>
    <row r="934" spans="1:34" s="1" customFormat="1" ht="15.75" customHeight="1" x14ac:dyDescent="0.15">
      <c r="A934" s="73" t="str">
        <f>IF(LEN(E934)+LEN(T934)=0,"×","")</f>
        <v>×</v>
      </c>
      <c r="E934" s="413"/>
      <c r="F934" s="372"/>
      <c r="G934" s="103"/>
      <c r="H934" s="103"/>
      <c r="I934" s="103"/>
      <c r="J934" s="427"/>
      <c r="K934" s="428"/>
      <c r="L934" s="413"/>
      <c r="M934" s="429"/>
      <c r="N934" s="429"/>
      <c r="O934" s="429"/>
      <c r="P934" s="444" t="str">
        <f>IF(M934="","",M934*G934*$AD$943)</f>
        <v/>
      </c>
      <c r="Q934" s="445"/>
      <c r="R934" s="445"/>
      <c r="S934" s="446"/>
      <c r="T934" s="395"/>
      <c r="U934" s="372"/>
      <c r="V934" s="103"/>
      <c r="W934" s="103"/>
      <c r="X934" s="103"/>
      <c r="Y934" s="427"/>
      <c r="Z934" s="428"/>
      <c r="AA934" s="413"/>
      <c r="AB934" s="429"/>
      <c r="AC934" s="429"/>
      <c r="AD934" s="429"/>
      <c r="AE934" s="444" t="str">
        <f>IF(AB934="","",AB934*V934*$AD$943)</f>
        <v/>
      </c>
      <c r="AF934" s="445"/>
      <c r="AG934" s="445"/>
      <c r="AH934" s="445"/>
    </row>
    <row r="935" spans="1:34" s="1" customFormat="1" ht="15.75" customHeight="1" x14ac:dyDescent="0.15">
      <c r="A935" s="73" t="str">
        <f>IF(LEN(E935)+LEN(T935)=0,"×","")</f>
        <v>×</v>
      </c>
      <c r="E935" s="413"/>
      <c r="F935" s="372"/>
      <c r="G935" s="103"/>
      <c r="H935" s="103"/>
      <c r="I935" s="103"/>
      <c r="J935" s="427"/>
      <c r="K935" s="428"/>
      <c r="L935" s="413"/>
      <c r="M935" s="429"/>
      <c r="N935" s="429"/>
      <c r="O935" s="429"/>
      <c r="P935" s="444" t="str">
        <f>IF(M935="","",M935*G935*$AD$943)</f>
        <v/>
      </c>
      <c r="Q935" s="445"/>
      <c r="R935" s="445"/>
      <c r="S935" s="446"/>
      <c r="T935" s="395"/>
      <c r="U935" s="372"/>
      <c r="V935" s="103"/>
      <c r="W935" s="103"/>
      <c r="X935" s="103"/>
      <c r="Y935" s="427"/>
      <c r="Z935" s="428"/>
      <c r="AA935" s="413"/>
      <c r="AB935" s="429"/>
      <c r="AC935" s="429"/>
      <c r="AD935" s="429"/>
      <c r="AE935" s="444" t="str">
        <f>IF(AB935="","",AB935*V935*$AD$943)</f>
        <v/>
      </c>
      <c r="AF935" s="445"/>
      <c r="AG935" s="445"/>
      <c r="AH935" s="445"/>
    </row>
    <row r="936" spans="1:34" s="1" customFormat="1" ht="15.75" customHeight="1" x14ac:dyDescent="0.15">
      <c r="A936" s="73" t="str">
        <f>IF(LEN(E936)+LEN(T936)=0,"×","")</f>
        <v>×</v>
      </c>
      <c r="E936" s="413"/>
      <c r="F936" s="372"/>
      <c r="G936" s="103"/>
      <c r="H936" s="103"/>
      <c r="I936" s="103"/>
      <c r="J936" s="427"/>
      <c r="K936" s="428"/>
      <c r="L936" s="413"/>
      <c r="M936" s="429"/>
      <c r="N936" s="429"/>
      <c r="O936" s="429"/>
      <c r="P936" s="444" t="str">
        <f>IF(M936="","",M936*G936*$AD$943)</f>
        <v/>
      </c>
      <c r="Q936" s="445"/>
      <c r="R936" s="445"/>
      <c r="S936" s="446"/>
      <c r="T936" s="395"/>
      <c r="U936" s="372"/>
      <c r="V936" s="103"/>
      <c r="W936" s="103"/>
      <c r="X936" s="103"/>
      <c r="Y936" s="427"/>
      <c r="Z936" s="428"/>
      <c r="AA936" s="413"/>
      <c r="AB936" s="429"/>
      <c r="AC936" s="429"/>
      <c r="AD936" s="429"/>
      <c r="AE936" s="444" t="str">
        <f>IF(AB936="","",AB936*V936*$AD$943)</f>
        <v/>
      </c>
      <c r="AF936" s="445"/>
      <c r="AG936" s="445"/>
      <c r="AH936" s="445"/>
    </row>
    <row r="937" spans="1:34" s="1" customFormat="1" ht="15.75" customHeight="1" x14ac:dyDescent="0.15">
      <c r="A937" s="73" t="str">
        <f>IF(LEN(E937)+LEN(T937)=0,"×","")</f>
        <v>×</v>
      </c>
      <c r="E937" s="413"/>
      <c r="F937" s="372"/>
      <c r="G937" s="103"/>
      <c r="H937" s="103"/>
      <c r="I937" s="103"/>
      <c r="J937" s="427"/>
      <c r="K937" s="428"/>
      <c r="L937" s="413"/>
      <c r="M937" s="429"/>
      <c r="N937" s="429"/>
      <c r="O937" s="429"/>
      <c r="P937" s="444" t="str">
        <f>IF(M937="","",M937*G937*$AD$943)</f>
        <v/>
      </c>
      <c r="Q937" s="445"/>
      <c r="R937" s="445"/>
      <c r="S937" s="446"/>
      <c r="T937" s="395"/>
      <c r="U937" s="372"/>
      <c r="V937" s="103"/>
      <c r="W937" s="103"/>
      <c r="X937" s="103"/>
      <c r="Y937" s="427"/>
      <c r="Z937" s="428"/>
      <c r="AA937" s="413"/>
      <c r="AB937" s="429"/>
      <c r="AC937" s="429"/>
      <c r="AD937" s="429"/>
      <c r="AE937" s="444" t="str">
        <f>IF(AB937="","",AB937*V937*$AD$943)</f>
        <v/>
      </c>
      <c r="AF937" s="445"/>
      <c r="AG937" s="445"/>
      <c r="AH937" s="445"/>
    </row>
    <row r="938" spans="1:34" s="1" customFormat="1" ht="15.75" customHeight="1" x14ac:dyDescent="0.15">
      <c r="A938" s="73" t="str">
        <f>IF(LEN(E938)+LEN(T938)=0,"×","")</f>
        <v>×</v>
      </c>
      <c r="E938" s="413"/>
      <c r="F938" s="372"/>
      <c r="G938" s="103"/>
      <c r="H938" s="103"/>
      <c r="I938" s="103"/>
      <c r="J938" s="427"/>
      <c r="K938" s="428"/>
      <c r="L938" s="413"/>
      <c r="M938" s="429"/>
      <c r="N938" s="429"/>
      <c r="O938" s="429"/>
      <c r="P938" s="444" t="str">
        <f>IF(M938="","",M938*G938*$AD$943)</f>
        <v/>
      </c>
      <c r="Q938" s="445"/>
      <c r="R938" s="445"/>
      <c r="S938" s="446"/>
      <c r="T938" s="395"/>
      <c r="U938" s="372"/>
      <c r="V938" s="103"/>
      <c r="W938" s="103"/>
      <c r="X938" s="103"/>
      <c r="Y938" s="427"/>
      <c r="Z938" s="428"/>
      <c r="AA938" s="413"/>
      <c r="AB938" s="429"/>
      <c r="AC938" s="429"/>
      <c r="AD938" s="429"/>
      <c r="AE938" s="444" t="str">
        <f>IF(AB938="","",AB938*V938*$AD$943)</f>
        <v/>
      </c>
      <c r="AF938" s="445"/>
      <c r="AG938" s="445"/>
      <c r="AH938" s="445"/>
    </row>
    <row r="939" spans="1:34" s="1" customFormat="1" ht="15.75" customHeight="1" x14ac:dyDescent="0.15">
      <c r="A939" s="73" t="str">
        <f>IF(LEN(E939)+LEN(T939)=0,"×","")</f>
        <v>×</v>
      </c>
      <c r="E939" s="413"/>
      <c r="F939" s="372"/>
      <c r="G939" s="103"/>
      <c r="H939" s="103"/>
      <c r="I939" s="103"/>
      <c r="J939" s="427"/>
      <c r="K939" s="428"/>
      <c r="L939" s="413"/>
      <c r="M939" s="429"/>
      <c r="N939" s="429"/>
      <c r="O939" s="429"/>
      <c r="P939" s="444" t="str">
        <f>IF(M939="","",M939*G939*$AD$943)</f>
        <v/>
      </c>
      <c r="Q939" s="445"/>
      <c r="R939" s="445"/>
      <c r="S939" s="446"/>
      <c r="T939" s="395"/>
      <c r="U939" s="372"/>
      <c r="V939" s="103"/>
      <c r="W939" s="103"/>
      <c r="X939" s="103"/>
      <c r="Y939" s="427"/>
      <c r="Z939" s="428"/>
      <c r="AA939" s="413"/>
      <c r="AB939" s="429"/>
      <c r="AC939" s="429"/>
      <c r="AD939" s="429"/>
      <c r="AE939" s="444" t="str">
        <f>IF(AB939="","",AB939*V939*$AD$943)</f>
        <v/>
      </c>
      <c r="AF939" s="445"/>
      <c r="AG939" s="445"/>
      <c r="AH939" s="445"/>
    </row>
    <row r="940" spans="1:34" s="1" customFormat="1" ht="15.75" customHeight="1" x14ac:dyDescent="0.15">
      <c r="A940" s="73" t="str">
        <f>IF(LEN(E940)+LEN(T940)=0,"×","")</f>
        <v>×</v>
      </c>
      <c r="E940" s="413"/>
      <c r="F940" s="372"/>
      <c r="G940" s="103"/>
      <c r="H940" s="103"/>
      <c r="I940" s="103"/>
      <c r="J940" s="427"/>
      <c r="K940" s="428"/>
      <c r="L940" s="413"/>
      <c r="M940" s="429"/>
      <c r="N940" s="429"/>
      <c r="O940" s="429"/>
      <c r="P940" s="444" t="str">
        <f>IF(M940="","",M940*G940*$AD$943)</f>
        <v/>
      </c>
      <c r="Q940" s="445"/>
      <c r="R940" s="445"/>
      <c r="S940" s="446"/>
      <c r="T940" s="395"/>
      <c r="U940" s="372"/>
      <c r="V940" s="103"/>
      <c r="W940" s="103"/>
      <c r="X940" s="103"/>
      <c r="Y940" s="427"/>
      <c r="Z940" s="428"/>
      <c r="AA940" s="413"/>
      <c r="AB940" s="429"/>
      <c r="AC940" s="429"/>
      <c r="AD940" s="429"/>
      <c r="AE940" s="444" t="str">
        <f>IF(AB940="","",AB940*V940*$AD$943)</f>
        <v/>
      </c>
      <c r="AF940" s="445"/>
      <c r="AG940" s="445"/>
      <c r="AH940" s="445"/>
    </row>
    <row r="941" spans="1:34" s="1" customFormat="1" ht="15.75" customHeight="1" x14ac:dyDescent="0.15">
      <c r="A941" s="73" t="str">
        <f>IF(LEN(E941)+LEN(T941)=0,"×","")</f>
        <v>×</v>
      </c>
      <c r="E941" s="413"/>
      <c r="F941" s="372"/>
      <c r="G941" s="103"/>
      <c r="H941" s="103"/>
      <c r="I941" s="103"/>
      <c r="J941" s="427"/>
      <c r="K941" s="428"/>
      <c r="L941" s="413"/>
      <c r="M941" s="429"/>
      <c r="N941" s="429"/>
      <c r="O941" s="429"/>
      <c r="P941" s="444" t="str">
        <f>IF(M941="","",M941*G941*$AD$943)</f>
        <v/>
      </c>
      <c r="Q941" s="445"/>
      <c r="R941" s="445"/>
      <c r="S941" s="446"/>
      <c r="T941" s="395"/>
      <c r="U941" s="372"/>
      <c r="V941" s="103"/>
      <c r="W941" s="103"/>
      <c r="X941" s="103"/>
      <c r="Y941" s="427"/>
      <c r="Z941" s="428"/>
      <c r="AA941" s="413"/>
      <c r="AB941" s="429"/>
      <c r="AC941" s="429"/>
      <c r="AD941" s="429"/>
      <c r="AE941" s="444" t="str">
        <f>IF(AB941="","",AB941*V941*$AD$943)</f>
        <v/>
      </c>
      <c r="AF941" s="445"/>
      <c r="AG941" s="445"/>
      <c r="AH941" s="445"/>
    </row>
    <row r="942" spans="1:34" s="1" customFormat="1" ht="15.75" customHeight="1" x14ac:dyDescent="0.15">
      <c r="A942" s="76"/>
      <c r="E942" s="233" t="s">
        <v>581</v>
      </c>
      <c r="F942" s="234"/>
      <c r="G942" s="450">
        <f>ROUND(SUM(P926:S941),1)</f>
        <v>1887.2</v>
      </c>
      <c r="H942" s="451"/>
      <c r="I942" s="451"/>
      <c r="J942" s="451"/>
      <c r="K942" s="451"/>
      <c r="L942" s="451"/>
      <c r="M942" s="451"/>
      <c r="N942" s="451"/>
      <c r="O942" s="451"/>
      <c r="P942" s="451"/>
      <c r="Q942" s="451"/>
      <c r="R942" s="451"/>
      <c r="S942" s="452"/>
      <c r="T942" s="401" t="s">
        <v>581</v>
      </c>
      <c r="U942" s="234"/>
      <c r="V942" s="450">
        <f>ROUND(SUM(AE926:AH941),1)</f>
        <v>2201.3000000000002</v>
      </c>
      <c r="W942" s="451"/>
      <c r="X942" s="451"/>
      <c r="Y942" s="451"/>
      <c r="Z942" s="451"/>
      <c r="AA942" s="451"/>
      <c r="AB942" s="451"/>
      <c r="AC942" s="451"/>
      <c r="AD942" s="451"/>
      <c r="AE942" s="451"/>
      <c r="AF942" s="451"/>
      <c r="AG942" s="451"/>
      <c r="AH942" s="451"/>
    </row>
    <row r="943" spans="1:34" s="1" customFormat="1" ht="15.75" customHeight="1" x14ac:dyDescent="0.15">
      <c r="E943" s="8"/>
      <c r="F943" s="8"/>
      <c r="G943" s="8"/>
      <c r="H943" s="8"/>
      <c r="I943" s="8"/>
      <c r="J943" s="8"/>
      <c r="K943" s="8"/>
      <c r="L943" s="8"/>
      <c r="M943" s="8"/>
      <c r="N943" s="8"/>
      <c r="O943" s="8"/>
      <c r="AA943" s="2" t="s">
        <v>127</v>
      </c>
      <c r="AB943" s="1" t="s">
        <v>548</v>
      </c>
      <c r="AC943" s="76" t="s">
        <v>27</v>
      </c>
      <c r="AD943" s="304">
        <f>AD919</f>
        <v>3.1415926535897931</v>
      </c>
      <c r="AE943" s="304"/>
      <c r="AF943" s="304"/>
      <c r="AG943" s="7" t="s">
        <v>549</v>
      </c>
      <c r="AH943" s="76" t="s">
        <v>158</v>
      </c>
    </row>
    <row r="946" spans="1:35" s="1" customFormat="1" ht="15.75" customHeight="1" x14ac:dyDescent="0.15">
      <c r="A946" s="73" t="str">
        <f>IF(A$289="","","×")</f>
        <v>×</v>
      </c>
      <c r="E946" s="61" t="s">
        <v>591</v>
      </c>
      <c r="F946" s="302"/>
      <c r="G946" s="302"/>
      <c r="H946" s="61"/>
      <c r="I946" s="61"/>
      <c r="J946" s="61"/>
      <c r="K946" s="61"/>
      <c r="L946" s="61"/>
      <c r="M946" s="61"/>
      <c r="N946" s="61"/>
      <c r="O946" s="61"/>
      <c r="P946" s="61"/>
      <c r="Q946" s="61"/>
      <c r="R946" s="61"/>
      <c r="S946" s="61"/>
      <c r="T946" s="61"/>
      <c r="U946" s="61"/>
      <c r="V946" s="61"/>
      <c r="W946" s="61"/>
      <c r="X946" s="61"/>
      <c r="Y946" s="61"/>
      <c r="Z946" s="61"/>
      <c r="AA946" s="61"/>
      <c r="AB946" s="61"/>
      <c r="AC946" s="61"/>
      <c r="AD946" s="61"/>
      <c r="AE946" s="61"/>
      <c r="AF946" s="61"/>
      <c r="AG946" s="61"/>
      <c r="AH946" s="61"/>
      <c r="AI946" s="8"/>
    </row>
    <row r="947" spans="1:35" s="1" customFormat="1" ht="15.75" customHeight="1" x14ac:dyDescent="0.15">
      <c r="A947" s="73" t="str">
        <f>IF(A$289="","","×")</f>
        <v>×</v>
      </c>
      <c r="E947" s="294" t="s">
        <v>546</v>
      </c>
      <c r="F947" s="292"/>
      <c r="G947" s="292"/>
      <c r="H947" s="292"/>
      <c r="I947" s="292"/>
      <c r="J947" s="292"/>
      <c r="K947" s="292"/>
      <c r="L947" s="292"/>
      <c r="M947" s="292"/>
      <c r="N947" s="292"/>
      <c r="O947" s="292"/>
      <c r="P947" s="292"/>
      <c r="Q947" s="292"/>
      <c r="R947" s="292"/>
      <c r="S947" s="293"/>
      <c r="T947" s="273" t="s">
        <v>547</v>
      </c>
      <c r="U947" s="131"/>
      <c r="V947" s="131"/>
      <c r="W947" s="131"/>
      <c r="X947" s="131"/>
      <c r="Y947" s="131"/>
      <c r="Z947" s="131"/>
      <c r="AA947" s="131"/>
      <c r="AB947" s="131"/>
      <c r="AC947" s="131"/>
      <c r="AD947" s="131"/>
      <c r="AE947" s="131"/>
      <c r="AF947" s="131"/>
      <c r="AG947" s="131"/>
      <c r="AH947" s="132"/>
    </row>
    <row r="948" spans="1:35" s="1" customFormat="1" ht="15.75" customHeight="1" x14ac:dyDescent="0.15">
      <c r="A948" s="73" t="str">
        <f>IF(A$289="","","×")</f>
        <v>×</v>
      </c>
      <c r="E948" s="159" t="s">
        <v>78</v>
      </c>
      <c r="F948" s="160"/>
      <c r="G948" s="291" t="s">
        <v>203</v>
      </c>
      <c r="H948" s="161"/>
      <c r="I948" s="161"/>
      <c r="J948" s="222" t="s">
        <v>247</v>
      </c>
      <c r="K948" s="138"/>
      <c r="L948" s="215"/>
      <c r="M948" s="222" t="s">
        <v>580</v>
      </c>
      <c r="N948" s="138"/>
      <c r="O948" s="215"/>
      <c r="P948" s="222" t="s">
        <v>250</v>
      </c>
      <c r="Q948" s="138"/>
      <c r="R948" s="138"/>
      <c r="S948" s="139"/>
      <c r="T948" s="226" t="s">
        <v>78</v>
      </c>
      <c r="U948" s="106"/>
      <c r="V948" s="216" t="s">
        <v>203</v>
      </c>
      <c r="W948" s="121"/>
      <c r="X948" s="121"/>
      <c r="Y948" s="277" t="s">
        <v>247</v>
      </c>
      <c r="Z948" s="278"/>
      <c r="AA948" s="279"/>
      <c r="AB948" s="277" t="s">
        <v>580</v>
      </c>
      <c r="AC948" s="278"/>
      <c r="AD948" s="279"/>
      <c r="AE948" s="277" t="s">
        <v>250</v>
      </c>
      <c r="AF948" s="278"/>
      <c r="AG948" s="278"/>
      <c r="AH948" s="278"/>
    </row>
    <row r="949" spans="1:35" s="1" customFormat="1" ht="15.75" customHeight="1" x14ac:dyDescent="0.15">
      <c r="A949" s="73" t="str">
        <f>IF(A$289="","","×")</f>
        <v>×</v>
      </c>
      <c r="E949" s="295"/>
      <c r="F949" s="156"/>
      <c r="G949" s="163"/>
      <c r="H949" s="163"/>
      <c r="I949" s="163"/>
      <c r="J949" s="223"/>
      <c r="K949" s="140"/>
      <c r="L949" s="159"/>
      <c r="M949" s="223"/>
      <c r="N949" s="140"/>
      <c r="O949" s="159"/>
      <c r="P949" s="223"/>
      <c r="Q949" s="140"/>
      <c r="R949" s="140"/>
      <c r="S949" s="141"/>
      <c r="T949" s="290"/>
      <c r="U949" s="156"/>
      <c r="V949" s="163"/>
      <c r="W949" s="163"/>
      <c r="X949" s="163"/>
      <c r="Y949" s="223"/>
      <c r="Z949" s="140"/>
      <c r="AA949" s="159"/>
      <c r="AB949" s="223"/>
      <c r="AC949" s="140"/>
      <c r="AD949" s="159"/>
      <c r="AE949" s="223"/>
      <c r="AF949" s="140"/>
      <c r="AG949" s="140"/>
      <c r="AH949" s="140"/>
    </row>
    <row r="950" spans="1:35" s="1" customFormat="1" ht="15.75" customHeight="1" x14ac:dyDescent="0.15">
      <c r="A950" s="73" t="str">
        <f>IF(A$289="",IF(LEN(E950)+LEN(T950)=0,"×",""),"×")</f>
        <v>×</v>
      </c>
      <c r="E950" s="412">
        <v>3</v>
      </c>
      <c r="F950" s="398"/>
      <c r="G950" s="125">
        <v>3</v>
      </c>
      <c r="H950" s="125"/>
      <c r="I950" s="125"/>
      <c r="J950" s="423" t="s">
        <v>582</v>
      </c>
      <c r="K950" s="424"/>
      <c r="L950" s="412"/>
      <c r="M950" s="426">
        <v>0</v>
      </c>
      <c r="N950" s="426"/>
      <c r="O950" s="426"/>
      <c r="P950" s="441">
        <f>IF(M950="","",M950*G950*$AD$967)</f>
        <v>0</v>
      </c>
      <c r="Q950" s="442"/>
      <c r="R950" s="442"/>
      <c r="S950" s="443"/>
      <c r="T950" s="397">
        <v>3</v>
      </c>
      <c r="U950" s="398"/>
      <c r="V950" s="125">
        <v>3</v>
      </c>
      <c r="W950" s="125"/>
      <c r="X950" s="125"/>
      <c r="Y950" s="423" t="s">
        <v>582</v>
      </c>
      <c r="Z950" s="424"/>
      <c r="AA950" s="412"/>
      <c r="AB950" s="426">
        <v>0</v>
      </c>
      <c r="AC950" s="426"/>
      <c r="AD950" s="426"/>
      <c r="AE950" s="441">
        <f>IF(AB950="","",AB950*V950*$AD$967)</f>
        <v>0</v>
      </c>
      <c r="AF950" s="442"/>
      <c r="AG950" s="442"/>
      <c r="AH950" s="442"/>
    </row>
    <row r="951" spans="1:35" s="1" customFormat="1" ht="15.75" customHeight="1" x14ac:dyDescent="0.15">
      <c r="A951" s="73" t="str">
        <f>IF(A$289="",IF(LEN(E951)+LEN(T951)=0,"×",""),"×")</f>
        <v>×</v>
      </c>
      <c r="E951" s="413">
        <v>4</v>
      </c>
      <c r="F951" s="372"/>
      <c r="G951" s="103">
        <v>0.53999996185302734</v>
      </c>
      <c r="H951" s="103"/>
      <c r="I951" s="103"/>
      <c r="J951" s="427" t="s">
        <v>516</v>
      </c>
      <c r="K951" s="428"/>
      <c r="L951" s="413"/>
      <c r="M951" s="429">
        <v>0</v>
      </c>
      <c r="N951" s="429"/>
      <c r="O951" s="429"/>
      <c r="P951" s="444">
        <f>IF(M951="","",M951*G951*$AD$967)</f>
        <v>0</v>
      </c>
      <c r="Q951" s="445"/>
      <c r="R951" s="445"/>
      <c r="S951" s="446"/>
      <c r="T951" s="395">
        <v>4</v>
      </c>
      <c r="U951" s="372"/>
      <c r="V951" s="103">
        <v>0.53999996185302734</v>
      </c>
      <c r="W951" s="103"/>
      <c r="X951" s="103"/>
      <c r="Y951" s="427" t="s">
        <v>516</v>
      </c>
      <c r="Z951" s="428"/>
      <c r="AA951" s="413"/>
      <c r="AB951" s="429">
        <v>0</v>
      </c>
      <c r="AC951" s="429"/>
      <c r="AD951" s="429"/>
      <c r="AE951" s="444">
        <f>IF(AB951="","",AB951*V951*$AD$967)</f>
        <v>0</v>
      </c>
      <c r="AF951" s="445"/>
      <c r="AG951" s="445"/>
      <c r="AH951" s="445"/>
    </row>
    <row r="952" spans="1:35" s="1" customFormat="1" ht="15.75" customHeight="1" x14ac:dyDescent="0.15">
      <c r="A952" s="73" t="str">
        <f>IF(A$289="",IF(LEN(E952)+LEN(T952)=0,"×",""),"×")</f>
        <v>×</v>
      </c>
      <c r="E952" s="413">
        <v>4</v>
      </c>
      <c r="F952" s="372"/>
      <c r="G952" s="103">
        <v>4.4600000381469727</v>
      </c>
      <c r="H952" s="103"/>
      <c r="I952" s="103"/>
      <c r="J952" s="427" t="s">
        <v>516</v>
      </c>
      <c r="K952" s="428"/>
      <c r="L952" s="413"/>
      <c r="M952" s="429">
        <v>45</v>
      </c>
      <c r="N952" s="429"/>
      <c r="O952" s="429"/>
      <c r="P952" s="444">
        <f>IF(M952="","",M952*G952*$AD$967)</f>
        <v>630.51765096837266</v>
      </c>
      <c r="Q952" s="445"/>
      <c r="R952" s="445"/>
      <c r="S952" s="446"/>
      <c r="T952" s="395">
        <v>4</v>
      </c>
      <c r="U952" s="372"/>
      <c r="V952" s="103">
        <v>4.4600000381469727</v>
      </c>
      <c r="W952" s="103"/>
      <c r="X952" s="103"/>
      <c r="Y952" s="427" t="s">
        <v>516</v>
      </c>
      <c r="Z952" s="428"/>
      <c r="AA952" s="413"/>
      <c r="AB952" s="429">
        <v>45</v>
      </c>
      <c r="AC952" s="429"/>
      <c r="AD952" s="429"/>
      <c r="AE952" s="444">
        <f>IF(AB952="","",AB952*V952*$AD$967)</f>
        <v>630.51765096837266</v>
      </c>
      <c r="AF952" s="445"/>
      <c r="AG952" s="445"/>
      <c r="AH952" s="445"/>
    </row>
    <row r="953" spans="1:35" s="1" customFormat="1" ht="15.75" customHeight="1" x14ac:dyDescent="0.15">
      <c r="A953" s="73" t="str">
        <f>IF(A$289="",IF(LEN(E953)+LEN(T953)=0,"×",""),"×")</f>
        <v>×</v>
      </c>
      <c r="E953" s="413">
        <v>5</v>
      </c>
      <c r="F953" s="372"/>
      <c r="G953" s="103">
        <v>8</v>
      </c>
      <c r="H953" s="103"/>
      <c r="I953" s="103"/>
      <c r="J953" s="427" t="s">
        <v>582</v>
      </c>
      <c r="K953" s="428"/>
      <c r="L953" s="413"/>
      <c r="M953" s="429">
        <v>25</v>
      </c>
      <c r="N953" s="429"/>
      <c r="O953" s="429"/>
      <c r="P953" s="444">
        <f>IF(M953="","",M953*G953*$AD$967)</f>
        <v>628.31853071795865</v>
      </c>
      <c r="Q953" s="445"/>
      <c r="R953" s="445"/>
      <c r="S953" s="446"/>
      <c r="T953" s="395">
        <v>5</v>
      </c>
      <c r="U953" s="372"/>
      <c r="V953" s="103">
        <v>8</v>
      </c>
      <c r="W953" s="103"/>
      <c r="X953" s="103"/>
      <c r="Y953" s="427" t="s">
        <v>582</v>
      </c>
      <c r="Z953" s="428"/>
      <c r="AA953" s="413"/>
      <c r="AB953" s="429">
        <v>25</v>
      </c>
      <c r="AC953" s="429"/>
      <c r="AD953" s="429"/>
      <c r="AE953" s="444">
        <f>IF(AB953="","",AB953*V953*$AD$967)</f>
        <v>628.31853071795865</v>
      </c>
      <c r="AF953" s="445"/>
      <c r="AG953" s="445"/>
      <c r="AH953" s="445"/>
    </row>
    <row r="954" spans="1:35" s="1" customFormat="1" ht="15.75" customHeight="1" x14ac:dyDescent="0.15">
      <c r="A954" s="73" t="str">
        <f>IF(A$289="",IF(LEN(E954)+LEN(T954)=0,"×",""),"×")</f>
        <v>×</v>
      </c>
      <c r="E954" s="413">
        <v>6</v>
      </c>
      <c r="F954" s="372"/>
      <c r="G954" s="103">
        <v>4</v>
      </c>
      <c r="H954" s="103"/>
      <c r="I954" s="103"/>
      <c r="J954" s="427" t="s">
        <v>582</v>
      </c>
      <c r="K954" s="428"/>
      <c r="L954" s="413"/>
      <c r="M954" s="429">
        <v>50</v>
      </c>
      <c r="N954" s="429"/>
      <c r="O954" s="429"/>
      <c r="P954" s="444">
        <f>IF(M954="","",M954*G954*$AD$967)</f>
        <v>628.31853071795865</v>
      </c>
      <c r="Q954" s="445"/>
      <c r="R954" s="445"/>
      <c r="S954" s="446"/>
      <c r="T954" s="395">
        <v>6</v>
      </c>
      <c r="U954" s="372"/>
      <c r="V954" s="103">
        <v>4.5</v>
      </c>
      <c r="W954" s="103"/>
      <c r="X954" s="103"/>
      <c r="Y954" s="427" t="s">
        <v>582</v>
      </c>
      <c r="Z954" s="428"/>
      <c r="AA954" s="413"/>
      <c r="AB954" s="429">
        <v>50</v>
      </c>
      <c r="AC954" s="429"/>
      <c r="AD954" s="429"/>
      <c r="AE954" s="444">
        <f>IF(AB954="","",AB954*V954*$AD$967)</f>
        <v>706.85834705770344</v>
      </c>
      <c r="AF954" s="445"/>
      <c r="AG954" s="445"/>
      <c r="AH954" s="445"/>
    </row>
    <row r="955" spans="1:35" s="1" customFormat="1" ht="15.75" customHeight="1" x14ac:dyDescent="0.15">
      <c r="A955" s="73" t="str">
        <f>IF(A$289="",IF(LEN(E955)+LEN(T955)=0,"×",""),"×")</f>
        <v>×</v>
      </c>
      <c r="E955" s="413">
        <v>6</v>
      </c>
      <c r="F955" s="372"/>
      <c r="G955" s="103">
        <v>0.5</v>
      </c>
      <c r="H955" s="103"/>
      <c r="I955" s="103"/>
      <c r="J955" s="427" t="s">
        <v>582</v>
      </c>
      <c r="K955" s="428"/>
      <c r="L955" s="413"/>
      <c r="M955" s="429">
        <v>0</v>
      </c>
      <c r="N955" s="429"/>
      <c r="O955" s="429"/>
      <c r="P955" s="444">
        <f>IF(M955="","",M955*G955*$AD$967)</f>
        <v>0</v>
      </c>
      <c r="Q955" s="445"/>
      <c r="R955" s="445"/>
      <c r="S955" s="446"/>
      <c r="T955" s="395">
        <v>7</v>
      </c>
      <c r="U955" s="372"/>
      <c r="V955" s="103">
        <v>0.5</v>
      </c>
      <c r="W955" s="103"/>
      <c r="X955" s="103"/>
      <c r="Y955" s="427" t="s">
        <v>517</v>
      </c>
      <c r="Z955" s="428"/>
      <c r="AA955" s="413"/>
      <c r="AB955" s="429">
        <v>150</v>
      </c>
      <c r="AC955" s="429"/>
      <c r="AD955" s="429"/>
      <c r="AE955" s="444">
        <f>IF(AB955="","",AB955*V955*$AD$967)</f>
        <v>235.61944901923448</v>
      </c>
      <c r="AF955" s="445"/>
      <c r="AG955" s="445"/>
      <c r="AH955" s="445"/>
    </row>
    <row r="956" spans="1:35" s="1" customFormat="1" ht="15.75" customHeight="1" x14ac:dyDescent="0.15">
      <c r="A956" s="73" t="str">
        <f>IF(A$289="",IF(LEN(E956)+LEN(T956)=0,"×",""),"×")</f>
        <v>×</v>
      </c>
      <c r="E956" s="413">
        <v>7</v>
      </c>
      <c r="F956" s="372"/>
      <c r="G956" s="103">
        <v>0.5</v>
      </c>
      <c r="H956" s="103"/>
      <c r="I956" s="103"/>
      <c r="J956" s="427" t="s">
        <v>517</v>
      </c>
      <c r="K956" s="428"/>
      <c r="L956" s="413"/>
      <c r="M956" s="429">
        <v>0</v>
      </c>
      <c r="N956" s="429"/>
      <c r="O956" s="429"/>
      <c r="P956" s="444">
        <f>IF(M956="","",M956*G956*$AD$967)</f>
        <v>0</v>
      </c>
      <c r="Q956" s="445"/>
      <c r="R956" s="445"/>
      <c r="S956" s="446"/>
      <c r="T956" s="395"/>
      <c r="U956" s="372"/>
      <c r="V956" s="103"/>
      <c r="W956" s="103"/>
      <c r="X956" s="103"/>
      <c r="Y956" s="427"/>
      <c r="Z956" s="428"/>
      <c r="AA956" s="413"/>
      <c r="AB956" s="429"/>
      <c r="AC956" s="429"/>
      <c r="AD956" s="429"/>
      <c r="AE956" s="444" t="str">
        <f>IF(AB956="","",AB956*V956*$AD$967)</f>
        <v/>
      </c>
      <c r="AF956" s="445"/>
      <c r="AG956" s="445"/>
      <c r="AH956" s="445"/>
    </row>
    <row r="957" spans="1:35" s="1" customFormat="1" ht="15.75" customHeight="1" x14ac:dyDescent="0.15">
      <c r="A957" s="73" t="str">
        <f>IF(A$289="",IF(LEN(E957)+LEN(T957)=0,"×",""),"×")</f>
        <v>×</v>
      </c>
      <c r="E957" s="413"/>
      <c r="F957" s="372"/>
      <c r="G957" s="103"/>
      <c r="H957" s="103"/>
      <c r="I957" s="103"/>
      <c r="J957" s="427"/>
      <c r="K957" s="428"/>
      <c r="L957" s="413"/>
      <c r="M957" s="429"/>
      <c r="N957" s="429"/>
      <c r="O957" s="429"/>
      <c r="P957" s="444" t="str">
        <f>IF(M957="","",M957*G957*$AD$967)</f>
        <v/>
      </c>
      <c r="Q957" s="445"/>
      <c r="R957" s="445"/>
      <c r="S957" s="446"/>
      <c r="T957" s="395"/>
      <c r="U957" s="372"/>
      <c r="V957" s="103"/>
      <c r="W957" s="103"/>
      <c r="X957" s="103"/>
      <c r="Y957" s="427"/>
      <c r="Z957" s="428"/>
      <c r="AA957" s="413"/>
      <c r="AB957" s="429"/>
      <c r="AC957" s="429"/>
      <c r="AD957" s="429"/>
      <c r="AE957" s="444" t="str">
        <f>IF(AB957="","",AB957*V957*$AD$967)</f>
        <v/>
      </c>
      <c r="AF957" s="445"/>
      <c r="AG957" s="445"/>
      <c r="AH957" s="445"/>
    </row>
    <row r="958" spans="1:35" s="1" customFormat="1" ht="15.75" customHeight="1" x14ac:dyDescent="0.15">
      <c r="A958" s="73" t="str">
        <f>IF(A$289="",IF(LEN(E958)+LEN(T958)=0,"×",""),"×")</f>
        <v>×</v>
      </c>
      <c r="E958" s="413"/>
      <c r="F958" s="372"/>
      <c r="G958" s="103"/>
      <c r="H958" s="103"/>
      <c r="I958" s="103"/>
      <c r="J958" s="427"/>
      <c r="K958" s="428"/>
      <c r="L958" s="413"/>
      <c r="M958" s="429"/>
      <c r="N958" s="429"/>
      <c r="O958" s="429"/>
      <c r="P958" s="444" t="str">
        <f>IF(M958="","",M958*G958*$AD$967)</f>
        <v/>
      </c>
      <c r="Q958" s="445"/>
      <c r="R958" s="445"/>
      <c r="S958" s="446"/>
      <c r="T958" s="395"/>
      <c r="U958" s="372"/>
      <c r="V958" s="103"/>
      <c r="W958" s="103"/>
      <c r="X958" s="103"/>
      <c r="Y958" s="427"/>
      <c r="Z958" s="428"/>
      <c r="AA958" s="413"/>
      <c r="AB958" s="429"/>
      <c r="AC958" s="429"/>
      <c r="AD958" s="429"/>
      <c r="AE958" s="444" t="str">
        <f>IF(AB958="","",AB958*V958*$AD$967)</f>
        <v/>
      </c>
      <c r="AF958" s="445"/>
      <c r="AG958" s="445"/>
      <c r="AH958" s="445"/>
    </row>
    <row r="959" spans="1:35" s="1" customFormat="1" ht="15.75" customHeight="1" x14ac:dyDescent="0.15">
      <c r="A959" s="73" t="str">
        <f>IF(A$289="",IF(LEN(E959)+LEN(T959)=0,"×",""),"×")</f>
        <v>×</v>
      </c>
      <c r="E959" s="413"/>
      <c r="F959" s="372"/>
      <c r="G959" s="103"/>
      <c r="H959" s="103"/>
      <c r="I959" s="103"/>
      <c r="J959" s="427"/>
      <c r="K959" s="428"/>
      <c r="L959" s="413"/>
      <c r="M959" s="429"/>
      <c r="N959" s="429"/>
      <c r="O959" s="429"/>
      <c r="P959" s="444" t="str">
        <f>IF(M959="","",M959*G959*$AD$967)</f>
        <v/>
      </c>
      <c r="Q959" s="445"/>
      <c r="R959" s="445"/>
      <c r="S959" s="446"/>
      <c r="T959" s="395"/>
      <c r="U959" s="372"/>
      <c r="V959" s="103"/>
      <c r="W959" s="103"/>
      <c r="X959" s="103"/>
      <c r="Y959" s="427"/>
      <c r="Z959" s="428"/>
      <c r="AA959" s="413"/>
      <c r="AB959" s="429"/>
      <c r="AC959" s="429"/>
      <c r="AD959" s="429"/>
      <c r="AE959" s="444" t="str">
        <f>IF(AB959="","",AB959*V959*$AD$967)</f>
        <v/>
      </c>
      <c r="AF959" s="445"/>
      <c r="AG959" s="445"/>
      <c r="AH959" s="445"/>
    </row>
    <row r="960" spans="1:35" s="1" customFormat="1" ht="15.75" customHeight="1" x14ac:dyDescent="0.15">
      <c r="A960" s="73" t="str">
        <f>IF(A$289="",IF(LEN(E960)+LEN(T960)=0,"×",""),"×")</f>
        <v>×</v>
      </c>
      <c r="E960" s="413"/>
      <c r="F960" s="372"/>
      <c r="G960" s="103"/>
      <c r="H960" s="103"/>
      <c r="I960" s="103"/>
      <c r="J960" s="427"/>
      <c r="K960" s="428"/>
      <c r="L960" s="413"/>
      <c r="M960" s="429"/>
      <c r="N960" s="429"/>
      <c r="O960" s="429"/>
      <c r="P960" s="444" t="str">
        <f>IF(M960="","",M960*G960*$AD$967)</f>
        <v/>
      </c>
      <c r="Q960" s="445"/>
      <c r="R960" s="445"/>
      <c r="S960" s="446"/>
      <c r="T960" s="395"/>
      <c r="U960" s="372"/>
      <c r="V960" s="103"/>
      <c r="W960" s="103"/>
      <c r="X960" s="103"/>
      <c r="Y960" s="427"/>
      <c r="Z960" s="428"/>
      <c r="AA960" s="413"/>
      <c r="AB960" s="429"/>
      <c r="AC960" s="429"/>
      <c r="AD960" s="429"/>
      <c r="AE960" s="444" t="str">
        <f>IF(AB960="","",AB960*V960*$AD$967)</f>
        <v/>
      </c>
      <c r="AF960" s="445"/>
      <c r="AG960" s="445"/>
      <c r="AH960" s="445"/>
    </row>
    <row r="961" spans="1:35" s="1" customFormat="1" ht="15.75" customHeight="1" x14ac:dyDescent="0.15">
      <c r="A961" s="73" t="str">
        <f>IF(A$289="",IF(LEN(E961)+LEN(T961)=0,"×",""),"×")</f>
        <v>×</v>
      </c>
      <c r="E961" s="413"/>
      <c r="F961" s="372"/>
      <c r="G961" s="103"/>
      <c r="H961" s="103"/>
      <c r="I961" s="103"/>
      <c r="J961" s="427"/>
      <c r="K961" s="428"/>
      <c r="L961" s="413"/>
      <c r="M961" s="429"/>
      <c r="N961" s="429"/>
      <c r="O961" s="429"/>
      <c r="P961" s="444" t="str">
        <f>IF(M961="","",M961*G961*$AD$967)</f>
        <v/>
      </c>
      <c r="Q961" s="445"/>
      <c r="R961" s="445"/>
      <c r="S961" s="446"/>
      <c r="T961" s="395"/>
      <c r="U961" s="372"/>
      <c r="V961" s="103"/>
      <c r="W961" s="103"/>
      <c r="X961" s="103"/>
      <c r="Y961" s="427"/>
      <c r="Z961" s="428"/>
      <c r="AA961" s="413"/>
      <c r="AB961" s="429"/>
      <c r="AC961" s="429"/>
      <c r="AD961" s="429"/>
      <c r="AE961" s="444" t="str">
        <f>IF(AB961="","",AB961*V961*$AD$967)</f>
        <v/>
      </c>
      <c r="AF961" s="445"/>
      <c r="AG961" s="445"/>
      <c r="AH961" s="445"/>
    </row>
    <row r="962" spans="1:35" s="1" customFormat="1" ht="15.75" customHeight="1" x14ac:dyDescent="0.15">
      <c r="A962" s="73" t="str">
        <f>IF(A$289="",IF(LEN(E962)+LEN(T962)=0,"×",""),"×")</f>
        <v>×</v>
      </c>
      <c r="E962" s="413"/>
      <c r="F962" s="372"/>
      <c r="G962" s="103"/>
      <c r="H962" s="103"/>
      <c r="I962" s="103"/>
      <c r="J962" s="427"/>
      <c r="K962" s="428"/>
      <c r="L962" s="413"/>
      <c r="M962" s="429"/>
      <c r="N962" s="429"/>
      <c r="O962" s="429"/>
      <c r="P962" s="444" t="str">
        <f>IF(M962="","",M962*G962*$AD$967)</f>
        <v/>
      </c>
      <c r="Q962" s="445"/>
      <c r="R962" s="445"/>
      <c r="S962" s="446"/>
      <c r="T962" s="395"/>
      <c r="U962" s="372"/>
      <c r="V962" s="103"/>
      <c r="W962" s="103"/>
      <c r="X962" s="103"/>
      <c r="Y962" s="427"/>
      <c r="Z962" s="428"/>
      <c r="AA962" s="413"/>
      <c r="AB962" s="429"/>
      <c r="AC962" s="429"/>
      <c r="AD962" s="429"/>
      <c r="AE962" s="444" t="str">
        <f>IF(AB962="","",AB962*V962*$AD$967)</f>
        <v/>
      </c>
      <c r="AF962" s="445"/>
      <c r="AG962" s="445"/>
      <c r="AH962" s="445"/>
    </row>
    <row r="963" spans="1:35" s="1" customFormat="1" ht="15.75" customHeight="1" x14ac:dyDescent="0.15">
      <c r="A963" s="73" t="str">
        <f>IF(A$289="",IF(LEN(E963)+LEN(T963)=0,"×",""),"×")</f>
        <v>×</v>
      </c>
      <c r="E963" s="413"/>
      <c r="F963" s="372"/>
      <c r="G963" s="103"/>
      <c r="H963" s="103"/>
      <c r="I963" s="103"/>
      <c r="J963" s="427"/>
      <c r="K963" s="428"/>
      <c r="L963" s="413"/>
      <c r="M963" s="429"/>
      <c r="N963" s="429"/>
      <c r="O963" s="429"/>
      <c r="P963" s="444" t="str">
        <f>IF(M963="","",M963*G963*$AD$967)</f>
        <v/>
      </c>
      <c r="Q963" s="445"/>
      <c r="R963" s="445"/>
      <c r="S963" s="446"/>
      <c r="T963" s="395"/>
      <c r="U963" s="372"/>
      <c r="V963" s="103"/>
      <c r="W963" s="103"/>
      <c r="X963" s="103"/>
      <c r="Y963" s="427"/>
      <c r="Z963" s="428"/>
      <c r="AA963" s="413"/>
      <c r="AB963" s="429"/>
      <c r="AC963" s="429"/>
      <c r="AD963" s="429"/>
      <c r="AE963" s="444" t="str">
        <f>IF(AB963="","",AB963*V963*$AD$967)</f>
        <v/>
      </c>
      <c r="AF963" s="445"/>
      <c r="AG963" s="445"/>
      <c r="AH963" s="445"/>
    </row>
    <row r="964" spans="1:35" s="1" customFormat="1" ht="15.75" customHeight="1" x14ac:dyDescent="0.15">
      <c r="A964" s="73" t="str">
        <f>IF(A$289="",IF(LEN(E964)+LEN(T964)=0,"×",""),"×")</f>
        <v>×</v>
      </c>
      <c r="E964" s="413"/>
      <c r="F964" s="372"/>
      <c r="G964" s="103"/>
      <c r="H964" s="103"/>
      <c r="I964" s="103"/>
      <c r="J964" s="427"/>
      <c r="K964" s="428"/>
      <c r="L964" s="413"/>
      <c r="M964" s="429"/>
      <c r="N964" s="429"/>
      <c r="O964" s="429"/>
      <c r="P964" s="444" t="str">
        <f>IF(M964="","",M964*G964*$AD$967)</f>
        <v/>
      </c>
      <c r="Q964" s="445"/>
      <c r="R964" s="445"/>
      <c r="S964" s="446"/>
      <c r="T964" s="395"/>
      <c r="U964" s="372"/>
      <c r="V964" s="103"/>
      <c r="W964" s="103"/>
      <c r="X964" s="103"/>
      <c r="Y964" s="427"/>
      <c r="Z964" s="428"/>
      <c r="AA964" s="413"/>
      <c r="AB964" s="429"/>
      <c r="AC964" s="429"/>
      <c r="AD964" s="429"/>
      <c r="AE964" s="444" t="str">
        <f>IF(AB964="","",AB964*V964*$AD$967)</f>
        <v/>
      </c>
      <c r="AF964" s="445"/>
      <c r="AG964" s="445"/>
      <c r="AH964" s="445"/>
    </row>
    <row r="965" spans="1:35" s="1" customFormat="1" ht="15.75" customHeight="1" x14ac:dyDescent="0.15">
      <c r="A965" s="73" t="str">
        <f>IF(A$289="",IF(LEN(E965)+LEN(T965)=0,"×",""),"×")</f>
        <v>×</v>
      </c>
      <c r="E965" s="413"/>
      <c r="F965" s="372"/>
      <c r="G965" s="103"/>
      <c r="H965" s="103"/>
      <c r="I965" s="103"/>
      <c r="J965" s="427"/>
      <c r="K965" s="428"/>
      <c r="L965" s="413"/>
      <c r="M965" s="429"/>
      <c r="N965" s="429"/>
      <c r="O965" s="429"/>
      <c r="P965" s="444" t="str">
        <f>IF(M965="","",M965*G965*$AD$967)</f>
        <v/>
      </c>
      <c r="Q965" s="445"/>
      <c r="R965" s="445"/>
      <c r="S965" s="446"/>
      <c r="T965" s="395"/>
      <c r="U965" s="372"/>
      <c r="V965" s="103"/>
      <c r="W965" s="103"/>
      <c r="X965" s="103"/>
      <c r="Y965" s="427"/>
      <c r="Z965" s="428"/>
      <c r="AA965" s="413"/>
      <c r="AB965" s="429"/>
      <c r="AC965" s="429"/>
      <c r="AD965" s="429"/>
      <c r="AE965" s="444" t="str">
        <f>IF(AB965="","",AB965*V965*$AD$967)</f>
        <v/>
      </c>
      <c r="AF965" s="445"/>
      <c r="AG965" s="445"/>
      <c r="AH965" s="445"/>
    </row>
    <row r="966" spans="1:35" s="1" customFormat="1" ht="15.75" customHeight="1" x14ac:dyDescent="0.15">
      <c r="A966" s="73" t="str">
        <f>IF(A$289="","","×")</f>
        <v>×</v>
      </c>
      <c r="E966" s="233" t="s">
        <v>581</v>
      </c>
      <c r="F966" s="234"/>
      <c r="G966" s="450">
        <f>ROUND(SUM(P950:S965),1)</f>
        <v>1887.2</v>
      </c>
      <c r="H966" s="451"/>
      <c r="I966" s="451"/>
      <c r="J966" s="451"/>
      <c r="K966" s="451"/>
      <c r="L966" s="451"/>
      <c r="M966" s="451"/>
      <c r="N966" s="451"/>
      <c r="O966" s="451"/>
      <c r="P966" s="451"/>
      <c r="Q966" s="451"/>
      <c r="R966" s="451"/>
      <c r="S966" s="452"/>
      <c r="T966" s="401" t="s">
        <v>581</v>
      </c>
      <c r="U966" s="234"/>
      <c r="V966" s="450">
        <f>ROUND(SUM(AE950:AH965),1)</f>
        <v>2201.3000000000002</v>
      </c>
      <c r="W966" s="451"/>
      <c r="X966" s="451"/>
      <c r="Y966" s="451"/>
      <c r="Z966" s="451"/>
      <c r="AA966" s="451"/>
      <c r="AB966" s="451"/>
      <c r="AC966" s="451"/>
      <c r="AD966" s="451"/>
      <c r="AE966" s="451"/>
      <c r="AF966" s="451"/>
      <c r="AG966" s="451"/>
      <c r="AH966" s="451"/>
    </row>
    <row r="967" spans="1:35" s="1" customFormat="1" ht="15.75" customHeight="1" x14ac:dyDescent="0.15">
      <c r="A967" s="73" t="str">
        <f>IF(A$289="","","×")</f>
        <v>×</v>
      </c>
      <c r="E967" s="8"/>
      <c r="F967" s="8"/>
      <c r="G967" s="8"/>
      <c r="H967" s="8"/>
      <c r="I967" s="8"/>
      <c r="J967" s="8"/>
      <c r="K967" s="8"/>
      <c r="L967" s="8"/>
      <c r="M967" s="8"/>
      <c r="N967" s="8"/>
      <c r="O967" s="8"/>
      <c r="AA967" s="2" t="s">
        <v>127</v>
      </c>
      <c r="AB967" s="1" t="s">
        <v>548</v>
      </c>
      <c r="AC967" s="76" t="s">
        <v>27</v>
      </c>
      <c r="AD967" s="304">
        <f>AD943</f>
        <v>3.1415926535897931</v>
      </c>
      <c r="AE967" s="304"/>
      <c r="AF967" s="304"/>
      <c r="AG967" s="7" t="s">
        <v>549</v>
      </c>
      <c r="AH967" s="76" t="s">
        <v>158</v>
      </c>
    </row>
    <row r="968" spans="1:35" ht="15.75" customHeight="1" x14ac:dyDescent="0.15">
      <c r="A968" s="73" t="str">
        <f>IF(A$289="","","×")</f>
        <v>×</v>
      </c>
    </row>
    <row r="970" spans="1:35" s="1" customFormat="1" ht="15.75" customHeight="1" x14ac:dyDescent="0.15">
      <c r="A970" s="73" t="str">
        <f>IF(A$311="","","×")</f>
        <v>×</v>
      </c>
      <c r="E970" s="61" t="s">
        <v>592</v>
      </c>
      <c r="F970" s="302"/>
      <c r="G970" s="302"/>
      <c r="H970" s="61"/>
      <c r="I970" s="61"/>
      <c r="J970" s="61"/>
      <c r="K970" s="61"/>
      <c r="L970" s="61"/>
      <c r="M970" s="61"/>
      <c r="N970" s="61"/>
      <c r="O970" s="61"/>
      <c r="P970" s="61"/>
      <c r="Q970" s="61"/>
      <c r="R970" s="61"/>
      <c r="S970" s="61"/>
      <c r="T970" s="61"/>
      <c r="U970" s="61"/>
      <c r="V970" s="61"/>
      <c r="W970" s="61"/>
      <c r="X970" s="61"/>
      <c r="Y970" s="61"/>
      <c r="Z970" s="61"/>
      <c r="AA970" s="61"/>
      <c r="AB970" s="61"/>
      <c r="AC970" s="61"/>
      <c r="AD970" s="61"/>
      <c r="AE970" s="61"/>
      <c r="AF970" s="61"/>
      <c r="AG970" s="61"/>
      <c r="AH970" s="61"/>
      <c r="AI970" s="8"/>
    </row>
    <row r="971" spans="1:35" s="1" customFormat="1" ht="15.75" customHeight="1" x14ac:dyDescent="0.15">
      <c r="A971" s="73" t="str">
        <f>IF(A$311="","","×")</f>
        <v>×</v>
      </c>
      <c r="E971" s="294" t="s">
        <v>546</v>
      </c>
      <c r="F971" s="292"/>
      <c r="G971" s="292"/>
      <c r="H971" s="292"/>
      <c r="I971" s="292"/>
      <c r="J971" s="292"/>
      <c r="K971" s="292"/>
      <c r="L971" s="292"/>
      <c r="M971" s="292"/>
      <c r="N971" s="292"/>
      <c r="O971" s="292"/>
      <c r="P971" s="292"/>
      <c r="Q971" s="292"/>
      <c r="R971" s="292"/>
      <c r="S971" s="293"/>
      <c r="T971" s="273" t="s">
        <v>547</v>
      </c>
      <c r="U971" s="131"/>
      <c r="V971" s="131"/>
      <c r="W971" s="131"/>
      <c r="X971" s="131"/>
      <c r="Y971" s="131"/>
      <c r="Z971" s="131"/>
      <c r="AA971" s="131"/>
      <c r="AB971" s="131"/>
      <c r="AC971" s="131"/>
      <c r="AD971" s="131"/>
      <c r="AE971" s="131"/>
      <c r="AF971" s="131"/>
      <c r="AG971" s="131"/>
      <c r="AH971" s="132"/>
    </row>
    <row r="972" spans="1:35" s="1" customFormat="1" ht="15.75" customHeight="1" x14ac:dyDescent="0.15">
      <c r="A972" s="73" t="str">
        <f>IF(A$311="","","×")</f>
        <v>×</v>
      </c>
      <c r="E972" s="159" t="s">
        <v>78</v>
      </c>
      <c r="F972" s="160"/>
      <c r="G972" s="291" t="s">
        <v>203</v>
      </c>
      <c r="H972" s="161"/>
      <c r="I972" s="161"/>
      <c r="J972" s="222" t="s">
        <v>247</v>
      </c>
      <c r="K972" s="138"/>
      <c r="L972" s="215"/>
      <c r="M972" s="222" t="s">
        <v>580</v>
      </c>
      <c r="N972" s="138"/>
      <c r="O972" s="215"/>
      <c r="P972" s="222" t="s">
        <v>250</v>
      </c>
      <c r="Q972" s="138"/>
      <c r="R972" s="138"/>
      <c r="S972" s="139"/>
      <c r="T972" s="226" t="s">
        <v>78</v>
      </c>
      <c r="U972" s="106"/>
      <c r="V972" s="216" t="s">
        <v>203</v>
      </c>
      <c r="W972" s="121"/>
      <c r="X972" s="121"/>
      <c r="Y972" s="277" t="s">
        <v>247</v>
      </c>
      <c r="Z972" s="278"/>
      <c r="AA972" s="279"/>
      <c r="AB972" s="277" t="s">
        <v>580</v>
      </c>
      <c r="AC972" s="278"/>
      <c r="AD972" s="279"/>
      <c r="AE972" s="277" t="s">
        <v>250</v>
      </c>
      <c r="AF972" s="278"/>
      <c r="AG972" s="278"/>
      <c r="AH972" s="278"/>
    </row>
    <row r="973" spans="1:35" s="1" customFormat="1" ht="15.75" customHeight="1" x14ac:dyDescent="0.15">
      <c r="A973" s="73" t="str">
        <f>IF(A$311="","","×")</f>
        <v>×</v>
      </c>
      <c r="E973" s="295"/>
      <c r="F973" s="156"/>
      <c r="G973" s="163"/>
      <c r="H973" s="163"/>
      <c r="I973" s="163"/>
      <c r="J973" s="223"/>
      <c r="K973" s="140"/>
      <c r="L973" s="159"/>
      <c r="M973" s="223"/>
      <c r="N973" s="140"/>
      <c r="O973" s="159"/>
      <c r="P973" s="223"/>
      <c r="Q973" s="140"/>
      <c r="R973" s="140"/>
      <c r="S973" s="141"/>
      <c r="T973" s="290"/>
      <c r="U973" s="156"/>
      <c r="V973" s="163"/>
      <c r="W973" s="163"/>
      <c r="X973" s="163"/>
      <c r="Y973" s="223"/>
      <c r="Z973" s="140"/>
      <c r="AA973" s="159"/>
      <c r="AB973" s="223"/>
      <c r="AC973" s="140"/>
      <c r="AD973" s="159"/>
      <c r="AE973" s="223"/>
      <c r="AF973" s="140"/>
      <c r="AG973" s="140"/>
      <c r="AH973" s="140"/>
    </row>
    <row r="974" spans="1:35" s="1" customFormat="1" ht="15.75" customHeight="1" x14ac:dyDescent="0.15">
      <c r="A974" s="73" t="str">
        <f>IF(A$311="",IF(LEN(E974)+LEN(T974)=0,"×",""),"×")</f>
        <v>×</v>
      </c>
      <c r="E974" s="412">
        <v>3</v>
      </c>
      <c r="F974" s="398"/>
      <c r="G974" s="125">
        <v>3</v>
      </c>
      <c r="H974" s="125"/>
      <c r="I974" s="125"/>
      <c r="J974" s="423" t="s">
        <v>582</v>
      </c>
      <c r="K974" s="424"/>
      <c r="L974" s="412"/>
      <c r="M974" s="426">
        <v>0</v>
      </c>
      <c r="N974" s="426"/>
      <c r="O974" s="426"/>
      <c r="P974" s="441">
        <f>IF(M974="","",M974*G974*$AD$991)</f>
        <v>0</v>
      </c>
      <c r="Q974" s="442"/>
      <c r="R974" s="442"/>
      <c r="S974" s="443"/>
      <c r="T974" s="397">
        <v>3</v>
      </c>
      <c r="U974" s="398"/>
      <c r="V974" s="125">
        <v>3</v>
      </c>
      <c r="W974" s="125"/>
      <c r="X974" s="125"/>
      <c r="Y974" s="423" t="s">
        <v>582</v>
      </c>
      <c r="Z974" s="424"/>
      <c r="AA974" s="412"/>
      <c r="AB974" s="426">
        <v>0</v>
      </c>
      <c r="AC974" s="426"/>
      <c r="AD974" s="426"/>
      <c r="AE974" s="441">
        <f>IF(AB974="","",AB974*V974*$AD$991)</f>
        <v>0</v>
      </c>
      <c r="AF974" s="442"/>
      <c r="AG974" s="442"/>
      <c r="AH974" s="442"/>
    </row>
    <row r="975" spans="1:35" s="1" customFormat="1" ht="15.75" customHeight="1" x14ac:dyDescent="0.15">
      <c r="A975" s="73" t="str">
        <f>IF(A$311="",IF(LEN(E975)+LEN(T975)=0,"×",""),"×")</f>
        <v>×</v>
      </c>
      <c r="E975" s="413">
        <v>4</v>
      </c>
      <c r="F975" s="372"/>
      <c r="G975" s="103">
        <v>0.53999996185302734</v>
      </c>
      <c r="H975" s="103"/>
      <c r="I975" s="103"/>
      <c r="J975" s="427" t="s">
        <v>516</v>
      </c>
      <c r="K975" s="428"/>
      <c r="L975" s="413"/>
      <c r="M975" s="429">
        <v>0</v>
      </c>
      <c r="N975" s="429"/>
      <c r="O975" s="429"/>
      <c r="P975" s="444">
        <f>IF(M975="","",M975*G975*$AD$991)</f>
        <v>0</v>
      </c>
      <c r="Q975" s="445"/>
      <c r="R975" s="445"/>
      <c r="S975" s="446"/>
      <c r="T975" s="395">
        <v>4</v>
      </c>
      <c r="U975" s="372"/>
      <c r="V975" s="103">
        <v>0.53999996185302734</v>
      </c>
      <c r="W975" s="103"/>
      <c r="X975" s="103"/>
      <c r="Y975" s="427" t="s">
        <v>516</v>
      </c>
      <c r="Z975" s="428"/>
      <c r="AA975" s="413"/>
      <c r="AB975" s="429">
        <v>0</v>
      </c>
      <c r="AC975" s="429"/>
      <c r="AD975" s="429"/>
      <c r="AE975" s="444">
        <f>IF(AB975="","",AB975*V975*$AD$991)</f>
        <v>0</v>
      </c>
      <c r="AF975" s="445"/>
      <c r="AG975" s="445"/>
      <c r="AH975" s="445"/>
    </row>
    <row r="976" spans="1:35" s="1" customFormat="1" ht="15.75" customHeight="1" x14ac:dyDescent="0.15">
      <c r="A976" s="73" t="str">
        <f>IF(A$311="",IF(LEN(E976)+LEN(T976)=0,"×",""),"×")</f>
        <v>×</v>
      </c>
      <c r="E976" s="413">
        <v>4</v>
      </c>
      <c r="F976" s="372"/>
      <c r="G976" s="103">
        <v>4.4600000381469727</v>
      </c>
      <c r="H976" s="103"/>
      <c r="I976" s="103"/>
      <c r="J976" s="427" t="s">
        <v>516</v>
      </c>
      <c r="K976" s="428"/>
      <c r="L976" s="413"/>
      <c r="M976" s="429">
        <v>45</v>
      </c>
      <c r="N976" s="429"/>
      <c r="O976" s="429"/>
      <c r="P976" s="444">
        <f>IF(M976="","",M976*G976*$AD$991)</f>
        <v>630.51765096837266</v>
      </c>
      <c r="Q976" s="445"/>
      <c r="R976" s="445"/>
      <c r="S976" s="446"/>
      <c r="T976" s="395">
        <v>4</v>
      </c>
      <c r="U976" s="372"/>
      <c r="V976" s="103">
        <v>4.4600000381469727</v>
      </c>
      <c r="W976" s="103"/>
      <c r="X976" s="103"/>
      <c r="Y976" s="427" t="s">
        <v>516</v>
      </c>
      <c r="Z976" s="428"/>
      <c r="AA976" s="413"/>
      <c r="AB976" s="429">
        <v>45</v>
      </c>
      <c r="AC976" s="429"/>
      <c r="AD976" s="429"/>
      <c r="AE976" s="444">
        <f>IF(AB976="","",AB976*V976*$AD$991)</f>
        <v>630.51765096837266</v>
      </c>
      <c r="AF976" s="445"/>
      <c r="AG976" s="445"/>
      <c r="AH976" s="445"/>
    </row>
    <row r="977" spans="1:34" s="1" customFormat="1" ht="15.75" customHeight="1" x14ac:dyDescent="0.15">
      <c r="A977" s="73" t="str">
        <f>IF(A$311="",IF(LEN(E977)+LEN(T977)=0,"×",""),"×")</f>
        <v>×</v>
      </c>
      <c r="E977" s="413">
        <v>5</v>
      </c>
      <c r="F977" s="372"/>
      <c r="G977" s="103">
        <v>8</v>
      </c>
      <c r="H977" s="103"/>
      <c r="I977" s="103"/>
      <c r="J977" s="427" t="s">
        <v>582</v>
      </c>
      <c r="K977" s="428"/>
      <c r="L977" s="413"/>
      <c r="M977" s="429">
        <v>25</v>
      </c>
      <c r="N977" s="429"/>
      <c r="O977" s="429"/>
      <c r="P977" s="444">
        <f>IF(M977="","",M977*G977*$AD$991)</f>
        <v>628.31853071795865</v>
      </c>
      <c r="Q977" s="445"/>
      <c r="R977" s="445"/>
      <c r="S977" s="446"/>
      <c r="T977" s="395">
        <v>5</v>
      </c>
      <c r="U977" s="372"/>
      <c r="V977" s="103">
        <v>8</v>
      </c>
      <c r="W977" s="103"/>
      <c r="X977" s="103"/>
      <c r="Y977" s="427" t="s">
        <v>582</v>
      </c>
      <c r="Z977" s="428"/>
      <c r="AA977" s="413"/>
      <c r="AB977" s="429">
        <v>25</v>
      </c>
      <c r="AC977" s="429"/>
      <c r="AD977" s="429"/>
      <c r="AE977" s="444">
        <f>IF(AB977="","",AB977*V977*$AD$991)</f>
        <v>628.31853071795865</v>
      </c>
      <c r="AF977" s="445"/>
      <c r="AG977" s="445"/>
      <c r="AH977" s="445"/>
    </row>
    <row r="978" spans="1:34" s="1" customFormat="1" ht="15.75" customHeight="1" x14ac:dyDescent="0.15">
      <c r="A978" s="73" t="str">
        <f>IF(A$311="",IF(LEN(E978)+LEN(T978)=0,"×",""),"×")</f>
        <v>×</v>
      </c>
      <c r="E978" s="413">
        <v>6</v>
      </c>
      <c r="F978" s="372"/>
      <c r="G978" s="103">
        <v>4</v>
      </c>
      <c r="H978" s="103"/>
      <c r="I978" s="103"/>
      <c r="J978" s="427" t="s">
        <v>582</v>
      </c>
      <c r="K978" s="428"/>
      <c r="L978" s="413"/>
      <c r="M978" s="429">
        <v>50</v>
      </c>
      <c r="N978" s="429"/>
      <c r="O978" s="429"/>
      <c r="P978" s="444">
        <f>IF(M978="","",M978*G978*$AD$991)</f>
        <v>628.31853071795865</v>
      </c>
      <c r="Q978" s="445"/>
      <c r="R978" s="445"/>
      <c r="S978" s="446"/>
      <c r="T978" s="395">
        <v>6</v>
      </c>
      <c r="U978" s="372"/>
      <c r="V978" s="103">
        <v>4.5</v>
      </c>
      <c r="W978" s="103"/>
      <c r="X978" s="103"/>
      <c r="Y978" s="427" t="s">
        <v>582</v>
      </c>
      <c r="Z978" s="428"/>
      <c r="AA978" s="413"/>
      <c r="AB978" s="429">
        <v>50</v>
      </c>
      <c r="AC978" s="429"/>
      <c r="AD978" s="429"/>
      <c r="AE978" s="444">
        <f>IF(AB978="","",AB978*V978*$AD$991)</f>
        <v>706.85834705770344</v>
      </c>
      <c r="AF978" s="445"/>
      <c r="AG978" s="445"/>
      <c r="AH978" s="445"/>
    </row>
    <row r="979" spans="1:34" s="1" customFormat="1" ht="15.75" customHeight="1" x14ac:dyDescent="0.15">
      <c r="A979" s="73" t="str">
        <f>IF(A$311="",IF(LEN(E979)+LEN(T979)=0,"×",""),"×")</f>
        <v>×</v>
      </c>
      <c r="E979" s="413">
        <v>6</v>
      </c>
      <c r="F979" s="372"/>
      <c r="G979" s="103">
        <v>0.5</v>
      </c>
      <c r="H979" s="103"/>
      <c r="I979" s="103"/>
      <c r="J979" s="427" t="s">
        <v>582</v>
      </c>
      <c r="K979" s="428"/>
      <c r="L979" s="413"/>
      <c r="M979" s="429">
        <v>0</v>
      </c>
      <c r="N979" s="429"/>
      <c r="O979" s="429"/>
      <c r="P979" s="444">
        <f>IF(M979="","",M979*G979*$AD$991)</f>
        <v>0</v>
      </c>
      <c r="Q979" s="445"/>
      <c r="R979" s="445"/>
      <c r="S979" s="446"/>
      <c r="T979" s="395">
        <v>7</v>
      </c>
      <c r="U979" s="372"/>
      <c r="V979" s="103">
        <v>0.5</v>
      </c>
      <c r="W979" s="103"/>
      <c r="X979" s="103"/>
      <c r="Y979" s="427" t="s">
        <v>517</v>
      </c>
      <c r="Z979" s="428"/>
      <c r="AA979" s="413"/>
      <c r="AB979" s="429">
        <v>150</v>
      </c>
      <c r="AC979" s="429"/>
      <c r="AD979" s="429"/>
      <c r="AE979" s="444">
        <f>IF(AB979="","",AB979*V979*$AD$991)</f>
        <v>235.61944901923448</v>
      </c>
      <c r="AF979" s="445"/>
      <c r="AG979" s="445"/>
      <c r="AH979" s="445"/>
    </row>
    <row r="980" spans="1:34" s="1" customFormat="1" ht="15.75" customHeight="1" x14ac:dyDescent="0.15">
      <c r="A980" s="73" t="str">
        <f>IF(A$311="",IF(LEN(E980)+LEN(T980)=0,"×",""),"×")</f>
        <v>×</v>
      </c>
      <c r="E980" s="413">
        <v>7</v>
      </c>
      <c r="F980" s="372"/>
      <c r="G980" s="103">
        <v>0.5</v>
      </c>
      <c r="H980" s="103"/>
      <c r="I980" s="103"/>
      <c r="J980" s="427" t="s">
        <v>517</v>
      </c>
      <c r="K980" s="428"/>
      <c r="L980" s="413"/>
      <c r="M980" s="429">
        <v>0</v>
      </c>
      <c r="N980" s="429"/>
      <c r="O980" s="429"/>
      <c r="P980" s="444">
        <f>IF(M980="","",M980*G980*$AD$991)</f>
        <v>0</v>
      </c>
      <c r="Q980" s="445"/>
      <c r="R980" s="445"/>
      <c r="S980" s="446"/>
      <c r="T980" s="395"/>
      <c r="U980" s="372"/>
      <c r="V980" s="103"/>
      <c r="W980" s="103"/>
      <c r="X980" s="103"/>
      <c r="Y980" s="427"/>
      <c r="Z980" s="428"/>
      <c r="AA980" s="413"/>
      <c r="AB980" s="429"/>
      <c r="AC980" s="429"/>
      <c r="AD980" s="429"/>
      <c r="AE980" s="444" t="str">
        <f>IF(AB980="","",AB980*V980*$AD$991)</f>
        <v/>
      </c>
      <c r="AF980" s="445"/>
      <c r="AG980" s="445"/>
      <c r="AH980" s="445"/>
    </row>
    <row r="981" spans="1:34" s="1" customFormat="1" ht="15.75" customHeight="1" x14ac:dyDescent="0.15">
      <c r="A981" s="73" t="str">
        <f>IF(A$311="",IF(LEN(E981)+LEN(T981)=0,"×",""),"×")</f>
        <v>×</v>
      </c>
      <c r="E981" s="413"/>
      <c r="F981" s="372"/>
      <c r="G981" s="103"/>
      <c r="H981" s="103"/>
      <c r="I981" s="103"/>
      <c r="J981" s="427"/>
      <c r="K981" s="428"/>
      <c r="L981" s="413"/>
      <c r="M981" s="429"/>
      <c r="N981" s="429"/>
      <c r="O981" s="429"/>
      <c r="P981" s="444" t="str">
        <f>IF(M981="","",M981*G981*$AD$991)</f>
        <v/>
      </c>
      <c r="Q981" s="445"/>
      <c r="R981" s="445"/>
      <c r="S981" s="446"/>
      <c r="T981" s="395"/>
      <c r="U981" s="372"/>
      <c r="V981" s="103"/>
      <c r="W981" s="103"/>
      <c r="X981" s="103"/>
      <c r="Y981" s="427"/>
      <c r="Z981" s="428"/>
      <c r="AA981" s="413"/>
      <c r="AB981" s="429"/>
      <c r="AC981" s="429"/>
      <c r="AD981" s="429"/>
      <c r="AE981" s="444" t="str">
        <f>IF(AB981="","",AB981*V981*$AD$991)</f>
        <v/>
      </c>
      <c r="AF981" s="445"/>
      <c r="AG981" s="445"/>
      <c r="AH981" s="445"/>
    </row>
    <row r="982" spans="1:34" s="1" customFormat="1" ht="15.75" customHeight="1" x14ac:dyDescent="0.15">
      <c r="A982" s="73" t="str">
        <f>IF(A$311="",IF(LEN(E982)+LEN(T982)=0,"×",""),"×")</f>
        <v>×</v>
      </c>
      <c r="E982" s="413"/>
      <c r="F982" s="372"/>
      <c r="G982" s="103"/>
      <c r="H982" s="103"/>
      <c r="I982" s="103"/>
      <c r="J982" s="427"/>
      <c r="K982" s="428"/>
      <c r="L982" s="413"/>
      <c r="M982" s="429"/>
      <c r="N982" s="429"/>
      <c r="O982" s="429"/>
      <c r="P982" s="444" t="str">
        <f>IF(M982="","",M982*G982*$AD$991)</f>
        <v/>
      </c>
      <c r="Q982" s="445"/>
      <c r="R982" s="445"/>
      <c r="S982" s="446"/>
      <c r="T982" s="395"/>
      <c r="U982" s="372"/>
      <c r="V982" s="103"/>
      <c r="W982" s="103"/>
      <c r="X982" s="103"/>
      <c r="Y982" s="427"/>
      <c r="Z982" s="428"/>
      <c r="AA982" s="413"/>
      <c r="AB982" s="429"/>
      <c r="AC982" s="429"/>
      <c r="AD982" s="429"/>
      <c r="AE982" s="444" t="str">
        <f>IF(AB982="","",AB982*V982*$AD$991)</f>
        <v/>
      </c>
      <c r="AF982" s="445"/>
      <c r="AG982" s="445"/>
      <c r="AH982" s="445"/>
    </row>
    <row r="983" spans="1:34" s="1" customFormat="1" ht="15.75" customHeight="1" x14ac:dyDescent="0.15">
      <c r="A983" s="73" t="str">
        <f>IF(A$311="",IF(LEN(E983)+LEN(T983)=0,"×",""),"×")</f>
        <v>×</v>
      </c>
      <c r="E983" s="413"/>
      <c r="F983" s="372"/>
      <c r="G983" s="103"/>
      <c r="H983" s="103"/>
      <c r="I983" s="103"/>
      <c r="J983" s="427"/>
      <c r="K983" s="428"/>
      <c r="L983" s="413"/>
      <c r="M983" s="429"/>
      <c r="N983" s="429"/>
      <c r="O983" s="429"/>
      <c r="P983" s="444" t="str">
        <f>IF(M983="","",M983*G983*$AD$991)</f>
        <v/>
      </c>
      <c r="Q983" s="445"/>
      <c r="R983" s="445"/>
      <c r="S983" s="446"/>
      <c r="T983" s="395"/>
      <c r="U983" s="372"/>
      <c r="V983" s="103"/>
      <c r="W983" s="103"/>
      <c r="X983" s="103"/>
      <c r="Y983" s="427"/>
      <c r="Z983" s="428"/>
      <c r="AA983" s="413"/>
      <c r="AB983" s="429"/>
      <c r="AC983" s="429"/>
      <c r="AD983" s="429"/>
      <c r="AE983" s="444" t="str">
        <f>IF(AB983="","",AB983*V983*$AD$991)</f>
        <v/>
      </c>
      <c r="AF983" s="445"/>
      <c r="AG983" s="445"/>
      <c r="AH983" s="445"/>
    </row>
    <row r="984" spans="1:34" s="1" customFormat="1" ht="15.75" customHeight="1" x14ac:dyDescent="0.15">
      <c r="A984" s="73" t="str">
        <f>IF(A$311="",IF(LEN(E984)+LEN(T984)=0,"×",""),"×")</f>
        <v>×</v>
      </c>
      <c r="E984" s="413"/>
      <c r="F984" s="372"/>
      <c r="G984" s="103"/>
      <c r="H984" s="103"/>
      <c r="I984" s="103"/>
      <c r="J984" s="427"/>
      <c r="K984" s="428"/>
      <c r="L984" s="413"/>
      <c r="M984" s="429"/>
      <c r="N984" s="429"/>
      <c r="O984" s="429"/>
      <c r="P984" s="444" t="str">
        <f>IF(M984="","",M984*G984*$AD$991)</f>
        <v/>
      </c>
      <c r="Q984" s="445"/>
      <c r="R984" s="445"/>
      <c r="S984" s="446"/>
      <c r="T984" s="395"/>
      <c r="U984" s="372"/>
      <c r="V984" s="103"/>
      <c r="W984" s="103"/>
      <c r="X984" s="103"/>
      <c r="Y984" s="427"/>
      <c r="Z984" s="428"/>
      <c r="AA984" s="413"/>
      <c r="AB984" s="429"/>
      <c r="AC984" s="429"/>
      <c r="AD984" s="429"/>
      <c r="AE984" s="444" t="str">
        <f>IF(AB984="","",AB984*V984*$AD$991)</f>
        <v/>
      </c>
      <c r="AF984" s="445"/>
      <c r="AG984" s="445"/>
      <c r="AH984" s="445"/>
    </row>
    <row r="985" spans="1:34" s="1" customFormat="1" ht="15.75" customHeight="1" x14ac:dyDescent="0.15">
      <c r="A985" s="73" t="str">
        <f>IF(A$311="",IF(LEN(E985)+LEN(T985)=0,"×",""),"×")</f>
        <v>×</v>
      </c>
      <c r="E985" s="413"/>
      <c r="F985" s="372"/>
      <c r="G985" s="103"/>
      <c r="H985" s="103"/>
      <c r="I985" s="103"/>
      <c r="J985" s="427"/>
      <c r="K985" s="428"/>
      <c r="L985" s="413"/>
      <c r="M985" s="429"/>
      <c r="N985" s="429"/>
      <c r="O985" s="429"/>
      <c r="P985" s="444" t="str">
        <f>IF(M985="","",M985*G985*$AD$991)</f>
        <v/>
      </c>
      <c r="Q985" s="445"/>
      <c r="R985" s="445"/>
      <c r="S985" s="446"/>
      <c r="T985" s="395"/>
      <c r="U985" s="372"/>
      <c r="V985" s="103"/>
      <c r="W985" s="103"/>
      <c r="X985" s="103"/>
      <c r="Y985" s="427"/>
      <c r="Z985" s="428"/>
      <c r="AA985" s="413"/>
      <c r="AB985" s="429"/>
      <c r="AC985" s="429"/>
      <c r="AD985" s="429"/>
      <c r="AE985" s="444" t="str">
        <f>IF(AB985="","",AB985*V985*$AD$991)</f>
        <v/>
      </c>
      <c r="AF985" s="445"/>
      <c r="AG985" s="445"/>
      <c r="AH985" s="445"/>
    </row>
    <row r="986" spans="1:34" s="1" customFormat="1" ht="15.75" customHeight="1" x14ac:dyDescent="0.15">
      <c r="A986" s="73" t="str">
        <f>IF(A$311="",IF(LEN(E986)+LEN(T986)=0,"×",""),"×")</f>
        <v>×</v>
      </c>
      <c r="E986" s="413"/>
      <c r="F986" s="372"/>
      <c r="G986" s="103"/>
      <c r="H986" s="103"/>
      <c r="I986" s="103"/>
      <c r="J986" s="427"/>
      <c r="K986" s="428"/>
      <c r="L986" s="413"/>
      <c r="M986" s="429"/>
      <c r="N986" s="429"/>
      <c r="O986" s="429"/>
      <c r="P986" s="444" t="str">
        <f>IF(M986="","",M986*G986*$AD$991)</f>
        <v/>
      </c>
      <c r="Q986" s="445"/>
      <c r="R986" s="445"/>
      <c r="S986" s="446"/>
      <c r="T986" s="395"/>
      <c r="U986" s="372"/>
      <c r="V986" s="103"/>
      <c r="W986" s="103"/>
      <c r="X986" s="103"/>
      <c r="Y986" s="427"/>
      <c r="Z986" s="428"/>
      <c r="AA986" s="413"/>
      <c r="AB986" s="429"/>
      <c r="AC986" s="429"/>
      <c r="AD986" s="429"/>
      <c r="AE986" s="444" t="str">
        <f>IF(AB986="","",AB986*V986*$AD$991)</f>
        <v/>
      </c>
      <c r="AF986" s="445"/>
      <c r="AG986" s="445"/>
      <c r="AH986" s="445"/>
    </row>
    <row r="987" spans="1:34" s="1" customFormat="1" ht="15.75" customHeight="1" x14ac:dyDescent="0.15">
      <c r="A987" s="73" t="str">
        <f>IF(A$311="",IF(LEN(E987)+LEN(T987)=0,"×",""),"×")</f>
        <v>×</v>
      </c>
      <c r="E987" s="413"/>
      <c r="F987" s="372"/>
      <c r="G987" s="103"/>
      <c r="H987" s="103"/>
      <c r="I987" s="103"/>
      <c r="J987" s="427"/>
      <c r="K987" s="428"/>
      <c r="L987" s="413"/>
      <c r="M987" s="429"/>
      <c r="N987" s="429"/>
      <c r="O987" s="429"/>
      <c r="P987" s="444" t="str">
        <f>IF(M987="","",M987*G987*$AD$991)</f>
        <v/>
      </c>
      <c r="Q987" s="445"/>
      <c r="R987" s="445"/>
      <c r="S987" s="446"/>
      <c r="T987" s="395"/>
      <c r="U987" s="372"/>
      <c r="V987" s="103"/>
      <c r="W987" s="103"/>
      <c r="X987" s="103"/>
      <c r="Y987" s="427"/>
      <c r="Z987" s="428"/>
      <c r="AA987" s="413"/>
      <c r="AB987" s="429"/>
      <c r="AC987" s="429"/>
      <c r="AD987" s="429"/>
      <c r="AE987" s="444" t="str">
        <f>IF(AB987="","",AB987*V987*$AD$991)</f>
        <v/>
      </c>
      <c r="AF987" s="445"/>
      <c r="AG987" s="445"/>
      <c r="AH987" s="445"/>
    </row>
    <row r="988" spans="1:34" s="1" customFormat="1" ht="15.75" customHeight="1" x14ac:dyDescent="0.15">
      <c r="A988" s="73" t="str">
        <f>IF(A$311="",IF(LEN(E988)+LEN(T988)=0,"×",""),"×")</f>
        <v>×</v>
      </c>
      <c r="E988" s="413"/>
      <c r="F988" s="372"/>
      <c r="G988" s="103"/>
      <c r="H988" s="103"/>
      <c r="I988" s="103"/>
      <c r="J988" s="427"/>
      <c r="K988" s="428"/>
      <c r="L988" s="413"/>
      <c r="M988" s="429"/>
      <c r="N988" s="429"/>
      <c r="O988" s="429"/>
      <c r="P988" s="444" t="str">
        <f>IF(M988="","",M988*G988*$AD$991)</f>
        <v/>
      </c>
      <c r="Q988" s="445"/>
      <c r="R988" s="445"/>
      <c r="S988" s="446"/>
      <c r="T988" s="395"/>
      <c r="U988" s="372"/>
      <c r="V988" s="103"/>
      <c r="W988" s="103"/>
      <c r="X988" s="103"/>
      <c r="Y988" s="427"/>
      <c r="Z988" s="428"/>
      <c r="AA988" s="413"/>
      <c r="AB988" s="429"/>
      <c r="AC988" s="429"/>
      <c r="AD988" s="429"/>
      <c r="AE988" s="444" t="str">
        <f>IF(AB988="","",AB988*V988*$AD$991)</f>
        <v/>
      </c>
      <c r="AF988" s="445"/>
      <c r="AG988" s="445"/>
      <c r="AH988" s="445"/>
    </row>
    <row r="989" spans="1:34" s="1" customFormat="1" ht="15.75" customHeight="1" x14ac:dyDescent="0.15">
      <c r="A989" s="73" t="str">
        <f>IF(A$311="",IF(LEN(E989)+LEN(T989)=0,"×",""),"×")</f>
        <v>×</v>
      </c>
      <c r="E989" s="413"/>
      <c r="F989" s="372"/>
      <c r="G989" s="103"/>
      <c r="H989" s="103"/>
      <c r="I989" s="103"/>
      <c r="J989" s="427"/>
      <c r="K989" s="428"/>
      <c r="L989" s="413"/>
      <c r="M989" s="429"/>
      <c r="N989" s="429"/>
      <c r="O989" s="429"/>
      <c r="P989" s="444" t="str">
        <f>IF(M989="","",M989*G989*$AD$991)</f>
        <v/>
      </c>
      <c r="Q989" s="445"/>
      <c r="R989" s="445"/>
      <c r="S989" s="446"/>
      <c r="T989" s="395"/>
      <c r="U989" s="372"/>
      <c r="V989" s="103"/>
      <c r="W989" s="103"/>
      <c r="X989" s="103"/>
      <c r="Y989" s="427"/>
      <c r="Z989" s="428"/>
      <c r="AA989" s="413"/>
      <c r="AB989" s="429"/>
      <c r="AC989" s="429"/>
      <c r="AD989" s="429"/>
      <c r="AE989" s="444" t="str">
        <f>IF(AB989="","",AB989*V989*$AD$991)</f>
        <v/>
      </c>
      <c r="AF989" s="445"/>
      <c r="AG989" s="445"/>
      <c r="AH989" s="445"/>
    </row>
    <row r="990" spans="1:34" s="1" customFormat="1" ht="15.75" customHeight="1" x14ac:dyDescent="0.15">
      <c r="A990" s="73" t="str">
        <f>IF(A$311="","","×")</f>
        <v>×</v>
      </c>
      <c r="E990" s="233" t="s">
        <v>581</v>
      </c>
      <c r="F990" s="234"/>
      <c r="G990" s="450">
        <f>ROUND(SUM(P974:S989),1)</f>
        <v>1887.2</v>
      </c>
      <c r="H990" s="451"/>
      <c r="I990" s="451"/>
      <c r="J990" s="451"/>
      <c r="K990" s="451"/>
      <c r="L990" s="451"/>
      <c r="M990" s="451"/>
      <c r="N990" s="451"/>
      <c r="O990" s="451"/>
      <c r="P990" s="451"/>
      <c r="Q990" s="451"/>
      <c r="R990" s="451"/>
      <c r="S990" s="452"/>
      <c r="T990" s="401" t="s">
        <v>581</v>
      </c>
      <c r="U990" s="234"/>
      <c r="V990" s="450">
        <f>ROUND(SUM(AE974:AH989),1)</f>
        <v>2201.3000000000002</v>
      </c>
      <c r="W990" s="451"/>
      <c r="X990" s="451"/>
      <c r="Y990" s="451"/>
      <c r="Z990" s="451"/>
      <c r="AA990" s="451"/>
      <c r="AB990" s="451"/>
      <c r="AC990" s="451"/>
      <c r="AD990" s="451"/>
      <c r="AE990" s="451"/>
      <c r="AF990" s="451"/>
      <c r="AG990" s="451"/>
      <c r="AH990" s="451"/>
    </row>
    <row r="991" spans="1:34" s="1" customFormat="1" ht="15.75" customHeight="1" x14ac:dyDescent="0.15">
      <c r="A991" s="73" t="str">
        <f>IF(A$311="","","×")</f>
        <v>×</v>
      </c>
      <c r="E991" s="8"/>
      <c r="F991" s="8"/>
      <c r="G991" s="8"/>
      <c r="H991" s="8"/>
      <c r="I991" s="8"/>
      <c r="J991" s="8"/>
      <c r="K991" s="8"/>
      <c r="L991" s="8"/>
      <c r="M991" s="8"/>
      <c r="N991" s="8"/>
      <c r="O991" s="8"/>
      <c r="AA991" s="2" t="s">
        <v>127</v>
      </c>
      <c r="AB991" s="1" t="s">
        <v>548</v>
      </c>
      <c r="AC991" s="76" t="s">
        <v>27</v>
      </c>
      <c r="AD991" s="304">
        <f>AD967</f>
        <v>3.1415926535897931</v>
      </c>
      <c r="AE991" s="304"/>
      <c r="AF991" s="304"/>
      <c r="AG991" s="7" t="s">
        <v>549</v>
      </c>
      <c r="AH991" s="76" t="s">
        <v>158</v>
      </c>
    </row>
    <row r="992" spans="1:34" ht="15.75" customHeight="1" x14ac:dyDescent="0.15">
      <c r="A992" s="73" t="str">
        <f>IF(A$311="","","×")</f>
        <v>×</v>
      </c>
    </row>
    <row r="994" spans="1:35" s="1" customFormat="1" ht="15.75" customHeight="1" x14ac:dyDescent="0.15">
      <c r="E994" s="61" t="s">
        <v>599</v>
      </c>
      <c r="F994" s="302"/>
      <c r="G994" s="302"/>
      <c r="H994" s="61"/>
      <c r="I994" s="61"/>
      <c r="J994" s="61"/>
      <c r="K994" s="61"/>
      <c r="L994" s="61"/>
      <c r="M994" s="61"/>
      <c r="N994" s="61"/>
      <c r="O994" s="61"/>
      <c r="P994" s="61"/>
      <c r="Q994" s="61"/>
      <c r="R994" s="61"/>
      <c r="S994" s="61"/>
      <c r="T994" s="61"/>
      <c r="U994" s="61"/>
      <c r="V994" s="61"/>
      <c r="W994" s="61"/>
      <c r="X994" s="61"/>
      <c r="Y994" s="61"/>
      <c r="Z994" s="61"/>
      <c r="AA994" s="61"/>
      <c r="AB994" s="61"/>
      <c r="AC994" s="61"/>
      <c r="AD994" s="61"/>
      <c r="AE994" s="61"/>
      <c r="AF994" s="61"/>
      <c r="AG994" s="61"/>
      <c r="AH994" s="61"/>
      <c r="AI994" s="8"/>
    </row>
    <row r="995" spans="1:35" s="1" customFormat="1" ht="15.75" customHeight="1" x14ac:dyDescent="0.15">
      <c r="E995" s="294" t="s">
        <v>546</v>
      </c>
      <c r="F995" s="292"/>
      <c r="G995" s="292"/>
      <c r="H995" s="292"/>
      <c r="I995" s="292"/>
      <c r="J995" s="292"/>
      <c r="K995" s="292"/>
      <c r="L995" s="292"/>
      <c r="M995" s="292"/>
      <c r="N995" s="292"/>
      <c r="O995" s="292"/>
      <c r="P995" s="292"/>
      <c r="Q995" s="292"/>
      <c r="R995" s="292"/>
      <c r="S995" s="293"/>
      <c r="T995" s="273" t="s">
        <v>547</v>
      </c>
      <c r="U995" s="131"/>
      <c r="V995" s="131"/>
      <c r="W995" s="131"/>
      <c r="X995" s="131"/>
      <c r="Y995" s="131"/>
      <c r="Z995" s="131"/>
      <c r="AA995" s="131"/>
      <c r="AB995" s="131"/>
      <c r="AC995" s="131"/>
      <c r="AD995" s="131"/>
      <c r="AE995" s="131"/>
      <c r="AF995" s="131"/>
      <c r="AG995" s="131"/>
      <c r="AH995" s="132"/>
    </row>
    <row r="996" spans="1:35" s="1" customFormat="1" ht="15.75" customHeight="1" x14ac:dyDescent="0.15">
      <c r="E996" s="159" t="s">
        <v>78</v>
      </c>
      <c r="F996" s="160"/>
      <c r="G996" s="291" t="s">
        <v>203</v>
      </c>
      <c r="H996" s="161"/>
      <c r="I996" s="161"/>
      <c r="J996" s="222" t="s">
        <v>247</v>
      </c>
      <c r="K996" s="138"/>
      <c r="L996" s="215"/>
      <c r="M996" s="222" t="s">
        <v>580</v>
      </c>
      <c r="N996" s="138"/>
      <c r="O996" s="215"/>
      <c r="P996" s="222" t="s">
        <v>250</v>
      </c>
      <c r="Q996" s="138"/>
      <c r="R996" s="138"/>
      <c r="S996" s="139"/>
      <c r="T996" s="226" t="s">
        <v>78</v>
      </c>
      <c r="U996" s="106"/>
      <c r="V996" s="216" t="s">
        <v>203</v>
      </c>
      <c r="W996" s="121"/>
      <c r="X996" s="121"/>
      <c r="Y996" s="277" t="s">
        <v>247</v>
      </c>
      <c r="Z996" s="278"/>
      <c r="AA996" s="279"/>
      <c r="AB996" s="277" t="s">
        <v>580</v>
      </c>
      <c r="AC996" s="278"/>
      <c r="AD996" s="279"/>
      <c r="AE996" s="277" t="s">
        <v>250</v>
      </c>
      <c r="AF996" s="278"/>
      <c r="AG996" s="278"/>
      <c r="AH996" s="278"/>
    </row>
    <row r="997" spans="1:35" s="1" customFormat="1" ht="15.75" customHeight="1" x14ac:dyDescent="0.15">
      <c r="E997" s="295"/>
      <c r="F997" s="156"/>
      <c r="G997" s="163"/>
      <c r="H997" s="163"/>
      <c r="I997" s="163"/>
      <c r="J997" s="223"/>
      <c r="K997" s="140"/>
      <c r="L997" s="159"/>
      <c r="M997" s="223"/>
      <c r="N997" s="140"/>
      <c r="O997" s="159"/>
      <c r="P997" s="223"/>
      <c r="Q997" s="140"/>
      <c r="R997" s="140"/>
      <c r="S997" s="141"/>
      <c r="T997" s="290"/>
      <c r="U997" s="156"/>
      <c r="V997" s="163"/>
      <c r="W997" s="163"/>
      <c r="X997" s="163"/>
      <c r="Y997" s="223"/>
      <c r="Z997" s="140"/>
      <c r="AA997" s="159"/>
      <c r="AB997" s="223"/>
      <c r="AC997" s="140"/>
      <c r="AD997" s="159"/>
      <c r="AE997" s="223"/>
      <c r="AF997" s="140"/>
      <c r="AG997" s="140"/>
      <c r="AH997" s="140"/>
    </row>
    <row r="998" spans="1:35" s="1" customFormat="1" ht="15.75" customHeight="1" x14ac:dyDescent="0.15">
      <c r="A998" s="73" t="str">
        <f>IF(LEN(E998)+LEN(T998)=0,"×","")</f>
        <v/>
      </c>
      <c r="E998" s="412">
        <v>3</v>
      </c>
      <c r="F998" s="398"/>
      <c r="G998" s="125">
        <v>3</v>
      </c>
      <c r="H998" s="125"/>
      <c r="I998" s="125"/>
      <c r="J998" s="423" t="s">
        <v>582</v>
      </c>
      <c r="K998" s="424"/>
      <c r="L998" s="412"/>
      <c r="M998" s="426">
        <v>0</v>
      </c>
      <c r="N998" s="426"/>
      <c r="O998" s="426"/>
      <c r="P998" s="441">
        <f>IF(M998="","",M998*G998*$AD$1015)</f>
        <v>0</v>
      </c>
      <c r="Q998" s="442"/>
      <c r="R998" s="442"/>
      <c r="S998" s="443"/>
      <c r="T998" s="397">
        <v>3</v>
      </c>
      <c r="U998" s="398"/>
      <c r="V998" s="125">
        <v>3</v>
      </c>
      <c r="W998" s="125"/>
      <c r="X998" s="125"/>
      <c r="Y998" s="423" t="s">
        <v>582</v>
      </c>
      <c r="Z998" s="424"/>
      <c r="AA998" s="412"/>
      <c r="AB998" s="426">
        <v>0</v>
      </c>
      <c r="AC998" s="426"/>
      <c r="AD998" s="426"/>
      <c r="AE998" s="441">
        <f>IF(AB998="","",AB998*V998*$AD$1015)</f>
        <v>0</v>
      </c>
      <c r="AF998" s="442"/>
      <c r="AG998" s="442"/>
      <c r="AH998" s="442"/>
    </row>
    <row r="999" spans="1:35" s="1" customFormat="1" ht="15.75" customHeight="1" x14ac:dyDescent="0.15">
      <c r="A999" s="73" t="str">
        <f>IF(LEN(E999)+LEN(T999)=0,"×","")</f>
        <v/>
      </c>
      <c r="E999" s="413">
        <v>4</v>
      </c>
      <c r="F999" s="372"/>
      <c r="G999" s="103">
        <v>0.53999996185302734</v>
      </c>
      <c r="H999" s="103"/>
      <c r="I999" s="103"/>
      <c r="J999" s="427" t="s">
        <v>516</v>
      </c>
      <c r="K999" s="428"/>
      <c r="L999" s="413"/>
      <c r="M999" s="429">
        <v>0</v>
      </c>
      <c r="N999" s="429"/>
      <c r="O999" s="429"/>
      <c r="P999" s="444">
        <f>IF(M999="","",M999*G999*$AD$1015)</f>
        <v>0</v>
      </c>
      <c r="Q999" s="445"/>
      <c r="R999" s="445"/>
      <c r="S999" s="446"/>
      <c r="T999" s="395">
        <v>4</v>
      </c>
      <c r="U999" s="372"/>
      <c r="V999" s="103">
        <v>0.53999996185302734</v>
      </c>
      <c r="W999" s="103"/>
      <c r="X999" s="103"/>
      <c r="Y999" s="427" t="s">
        <v>516</v>
      </c>
      <c r="Z999" s="428"/>
      <c r="AA999" s="413"/>
      <c r="AB999" s="429">
        <v>0</v>
      </c>
      <c r="AC999" s="429"/>
      <c r="AD999" s="429"/>
      <c r="AE999" s="444">
        <f>IF(AB999="","",AB999*V999*$AD$1015)</f>
        <v>0</v>
      </c>
      <c r="AF999" s="445"/>
      <c r="AG999" s="445"/>
      <c r="AH999" s="445"/>
    </row>
    <row r="1000" spans="1:35" s="1" customFormat="1" ht="15.75" customHeight="1" x14ac:dyDescent="0.15">
      <c r="A1000" s="73" t="str">
        <f>IF(LEN(E1000)+LEN(T1000)=0,"×","")</f>
        <v/>
      </c>
      <c r="E1000" s="413">
        <v>4</v>
      </c>
      <c r="F1000" s="372"/>
      <c r="G1000" s="103">
        <v>4.4600000381469727</v>
      </c>
      <c r="H1000" s="103"/>
      <c r="I1000" s="103"/>
      <c r="J1000" s="427" t="s">
        <v>516</v>
      </c>
      <c r="K1000" s="428"/>
      <c r="L1000" s="413"/>
      <c r="M1000" s="429">
        <v>45</v>
      </c>
      <c r="N1000" s="429"/>
      <c r="O1000" s="429"/>
      <c r="P1000" s="444">
        <f>IF(M1000="","",M1000*G1000*$AD$1015)</f>
        <v>630.51765096837266</v>
      </c>
      <c r="Q1000" s="445"/>
      <c r="R1000" s="445"/>
      <c r="S1000" s="446"/>
      <c r="T1000" s="395">
        <v>4</v>
      </c>
      <c r="U1000" s="372"/>
      <c r="V1000" s="103">
        <v>4.4600000381469727</v>
      </c>
      <c r="W1000" s="103"/>
      <c r="X1000" s="103"/>
      <c r="Y1000" s="427" t="s">
        <v>516</v>
      </c>
      <c r="Z1000" s="428"/>
      <c r="AA1000" s="413"/>
      <c r="AB1000" s="429">
        <v>45</v>
      </c>
      <c r="AC1000" s="429"/>
      <c r="AD1000" s="429"/>
      <c r="AE1000" s="444">
        <f>IF(AB1000="","",AB1000*V1000*$AD$1015)</f>
        <v>630.51765096837266</v>
      </c>
      <c r="AF1000" s="445"/>
      <c r="AG1000" s="445"/>
      <c r="AH1000" s="445"/>
    </row>
    <row r="1001" spans="1:35" s="1" customFormat="1" ht="15.75" customHeight="1" x14ac:dyDescent="0.15">
      <c r="A1001" s="73" t="str">
        <f>IF(LEN(E1001)+LEN(T1001)=0,"×","")</f>
        <v/>
      </c>
      <c r="E1001" s="413">
        <v>5</v>
      </c>
      <c r="F1001" s="372"/>
      <c r="G1001" s="103">
        <v>8</v>
      </c>
      <c r="H1001" s="103"/>
      <c r="I1001" s="103"/>
      <c r="J1001" s="427" t="s">
        <v>582</v>
      </c>
      <c r="K1001" s="428"/>
      <c r="L1001" s="413"/>
      <c r="M1001" s="429">
        <v>25</v>
      </c>
      <c r="N1001" s="429"/>
      <c r="O1001" s="429"/>
      <c r="P1001" s="444">
        <f>IF(M1001="","",M1001*G1001*$AD$1015)</f>
        <v>628.31853071795865</v>
      </c>
      <c r="Q1001" s="445"/>
      <c r="R1001" s="445"/>
      <c r="S1001" s="446"/>
      <c r="T1001" s="395">
        <v>5</v>
      </c>
      <c r="U1001" s="372"/>
      <c r="V1001" s="103">
        <v>8</v>
      </c>
      <c r="W1001" s="103"/>
      <c r="X1001" s="103"/>
      <c r="Y1001" s="427" t="s">
        <v>582</v>
      </c>
      <c r="Z1001" s="428"/>
      <c r="AA1001" s="413"/>
      <c r="AB1001" s="429">
        <v>25</v>
      </c>
      <c r="AC1001" s="429"/>
      <c r="AD1001" s="429"/>
      <c r="AE1001" s="444">
        <f>IF(AB1001="","",AB1001*V1001*$AD$1015)</f>
        <v>628.31853071795865</v>
      </c>
      <c r="AF1001" s="445"/>
      <c r="AG1001" s="445"/>
      <c r="AH1001" s="445"/>
    </row>
    <row r="1002" spans="1:35" s="1" customFormat="1" ht="15.75" customHeight="1" x14ac:dyDescent="0.15">
      <c r="A1002" s="73" t="str">
        <f>IF(LEN(E1002)+LEN(T1002)=0,"×","")</f>
        <v/>
      </c>
      <c r="E1002" s="413">
        <v>6</v>
      </c>
      <c r="F1002" s="372"/>
      <c r="G1002" s="103">
        <v>4</v>
      </c>
      <c r="H1002" s="103"/>
      <c r="I1002" s="103"/>
      <c r="J1002" s="427" t="s">
        <v>582</v>
      </c>
      <c r="K1002" s="428"/>
      <c r="L1002" s="413"/>
      <c r="M1002" s="429">
        <v>50</v>
      </c>
      <c r="N1002" s="429"/>
      <c r="O1002" s="429"/>
      <c r="P1002" s="444">
        <f>IF(M1002="","",M1002*G1002*$AD$1015)</f>
        <v>628.31853071795865</v>
      </c>
      <c r="Q1002" s="445"/>
      <c r="R1002" s="445"/>
      <c r="S1002" s="446"/>
      <c r="T1002" s="395">
        <v>6</v>
      </c>
      <c r="U1002" s="372"/>
      <c r="V1002" s="103">
        <v>4.5</v>
      </c>
      <c r="W1002" s="103"/>
      <c r="X1002" s="103"/>
      <c r="Y1002" s="427" t="s">
        <v>582</v>
      </c>
      <c r="Z1002" s="428"/>
      <c r="AA1002" s="413"/>
      <c r="AB1002" s="429">
        <v>50</v>
      </c>
      <c r="AC1002" s="429"/>
      <c r="AD1002" s="429"/>
      <c r="AE1002" s="444">
        <f>IF(AB1002="","",AB1002*V1002*$AD$1015)</f>
        <v>706.85834705770344</v>
      </c>
      <c r="AF1002" s="445"/>
      <c r="AG1002" s="445"/>
      <c r="AH1002" s="445"/>
    </row>
    <row r="1003" spans="1:35" s="1" customFormat="1" ht="15.75" customHeight="1" x14ac:dyDescent="0.15">
      <c r="A1003" s="73" t="str">
        <f>IF(LEN(E1003)+LEN(T1003)=0,"×","")</f>
        <v/>
      </c>
      <c r="E1003" s="413">
        <v>6</v>
      </c>
      <c r="F1003" s="372"/>
      <c r="G1003" s="103">
        <v>0.5</v>
      </c>
      <c r="H1003" s="103"/>
      <c r="I1003" s="103"/>
      <c r="J1003" s="427" t="s">
        <v>582</v>
      </c>
      <c r="K1003" s="428"/>
      <c r="L1003" s="413"/>
      <c r="M1003" s="429">
        <v>0</v>
      </c>
      <c r="N1003" s="429"/>
      <c r="O1003" s="429"/>
      <c r="P1003" s="444">
        <f>IF(M1003="","",M1003*G1003*$AD$1015)</f>
        <v>0</v>
      </c>
      <c r="Q1003" s="445"/>
      <c r="R1003" s="445"/>
      <c r="S1003" s="446"/>
      <c r="T1003" s="395">
        <v>7</v>
      </c>
      <c r="U1003" s="372"/>
      <c r="V1003" s="103">
        <v>0.5</v>
      </c>
      <c r="W1003" s="103"/>
      <c r="X1003" s="103"/>
      <c r="Y1003" s="427" t="s">
        <v>517</v>
      </c>
      <c r="Z1003" s="428"/>
      <c r="AA1003" s="413"/>
      <c r="AB1003" s="429">
        <v>150</v>
      </c>
      <c r="AC1003" s="429"/>
      <c r="AD1003" s="429"/>
      <c r="AE1003" s="444">
        <f>IF(AB1003="","",AB1003*V1003*$AD$1015)</f>
        <v>235.61944901923448</v>
      </c>
      <c r="AF1003" s="445"/>
      <c r="AG1003" s="445"/>
      <c r="AH1003" s="445"/>
    </row>
    <row r="1004" spans="1:35" s="1" customFormat="1" ht="15.75" customHeight="1" x14ac:dyDescent="0.15">
      <c r="A1004" s="73" t="str">
        <f>IF(LEN(E1004)+LEN(T1004)=0,"×","")</f>
        <v/>
      </c>
      <c r="E1004" s="413">
        <v>7</v>
      </c>
      <c r="F1004" s="372"/>
      <c r="G1004" s="103">
        <v>0.5</v>
      </c>
      <c r="H1004" s="103"/>
      <c r="I1004" s="103"/>
      <c r="J1004" s="427" t="s">
        <v>517</v>
      </c>
      <c r="K1004" s="428"/>
      <c r="L1004" s="413"/>
      <c r="M1004" s="429">
        <v>0</v>
      </c>
      <c r="N1004" s="429"/>
      <c r="O1004" s="429"/>
      <c r="P1004" s="444">
        <f>IF(M1004="","",M1004*G1004*$AD$1015)</f>
        <v>0</v>
      </c>
      <c r="Q1004" s="445"/>
      <c r="R1004" s="445"/>
      <c r="S1004" s="446"/>
      <c r="T1004" s="395"/>
      <c r="U1004" s="372"/>
      <c r="V1004" s="103"/>
      <c r="W1004" s="103"/>
      <c r="X1004" s="103"/>
      <c r="Y1004" s="427"/>
      <c r="Z1004" s="428"/>
      <c r="AA1004" s="413"/>
      <c r="AB1004" s="429"/>
      <c r="AC1004" s="429"/>
      <c r="AD1004" s="429"/>
      <c r="AE1004" s="444" t="str">
        <f>IF(AB1004="","",AB1004*V1004*$AD$1015)</f>
        <v/>
      </c>
      <c r="AF1004" s="445"/>
      <c r="AG1004" s="445"/>
      <c r="AH1004" s="445"/>
    </row>
    <row r="1005" spans="1:35" s="1" customFormat="1" ht="15.75" customHeight="1" x14ac:dyDescent="0.15">
      <c r="A1005" s="73" t="str">
        <f>IF(LEN(E1005)+LEN(T1005)=0,"×","")</f>
        <v>×</v>
      </c>
      <c r="E1005" s="413"/>
      <c r="F1005" s="372"/>
      <c r="G1005" s="103"/>
      <c r="H1005" s="103"/>
      <c r="I1005" s="103"/>
      <c r="J1005" s="427"/>
      <c r="K1005" s="428"/>
      <c r="L1005" s="413"/>
      <c r="M1005" s="429"/>
      <c r="N1005" s="429"/>
      <c r="O1005" s="429"/>
      <c r="P1005" s="444" t="str">
        <f>IF(M1005="","",M1005*G1005*$AD$1015)</f>
        <v/>
      </c>
      <c r="Q1005" s="445"/>
      <c r="R1005" s="445"/>
      <c r="S1005" s="446"/>
      <c r="T1005" s="395"/>
      <c r="U1005" s="372"/>
      <c r="V1005" s="103"/>
      <c r="W1005" s="103"/>
      <c r="X1005" s="103"/>
      <c r="Y1005" s="427"/>
      <c r="Z1005" s="428"/>
      <c r="AA1005" s="413"/>
      <c r="AB1005" s="429"/>
      <c r="AC1005" s="429"/>
      <c r="AD1005" s="429"/>
      <c r="AE1005" s="444" t="str">
        <f>IF(AB1005="","",AB1005*V1005*$AD$1015)</f>
        <v/>
      </c>
      <c r="AF1005" s="445"/>
      <c r="AG1005" s="445"/>
      <c r="AH1005" s="445"/>
    </row>
    <row r="1006" spans="1:35" s="1" customFormat="1" ht="15.75" customHeight="1" x14ac:dyDescent="0.15">
      <c r="A1006" s="73" t="str">
        <f>IF(LEN(E1006)+LEN(T1006)=0,"×","")</f>
        <v>×</v>
      </c>
      <c r="E1006" s="413"/>
      <c r="F1006" s="372"/>
      <c r="G1006" s="103"/>
      <c r="H1006" s="103"/>
      <c r="I1006" s="103"/>
      <c r="J1006" s="427"/>
      <c r="K1006" s="428"/>
      <c r="L1006" s="413"/>
      <c r="M1006" s="429"/>
      <c r="N1006" s="429"/>
      <c r="O1006" s="429"/>
      <c r="P1006" s="444" t="str">
        <f>IF(M1006="","",M1006*G1006*$AD$1015)</f>
        <v/>
      </c>
      <c r="Q1006" s="445"/>
      <c r="R1006" s="445"/>
      <c r="S1006" s="446"/>
      <c r="T1006" s="395"/>
      <c r="U1006" s="372"/>
      <c r="V1006" s="103"/>
      <c r="W1006" s="103"/>
      <c r="X1006" s="103"/>
      <c r="Y1006" s="427"/>
      <c r="Z1006" s="428"/>
      <c r="AA1006" s="413"/>
      <c r="AB1006" s="429"/>
      <c r="AC1006" s="429"/>
      <c r="AD1006" s="429"/>
      <c r="AE1006" s="444" t="str">
        <f>IF(AB1006="","",AB1006*V1006*$AD$1015)</f>
        <v/>
      </c>
      <c r="AF1006" s="445"/>
      <c r="AG1006" s="445"/>
      <c r="AH1006" s="445"/>
    </row>
    <row r="1007" spans="1:35" s="1" customFormat="1" ht="15.75" customHeight="1" x14ac:dyDescent="0.15">
      <c r="A1007" s="73" t="str">
        <f>IF(LEN(E1007)+LEN(T1007)=0,"×","")</f>
        <v>×</v>
      </c>
      <c r="E1007" s="413"/>
      <c r="F1007" s="372"/>
      <c r="G1007" s="103"/>
      <c r="H1007" s="103"/>
      <c r="I1007" s="103"/>
      <c r="J1007" s="427"/>
      <c r="K1007" s="428"/>
      <c r="L1007" s="413"/>
      <c r="M1007" s="429"/>
      <c r="N1007" s="429"/>
      <c r="O1007" s="429"/>
      <c r="P1007" s="444" t="str">
        <f>IF(M1007="","",M1007*G1007*$AD$1015)</f>
        <v/>
      </c>
      <c r="Q1007" s="445"/>
      <c r="R1007" s="445"/>
      <c r="S1007" s="446"/>
      <c r="T1007" s="395"/>
      <c r="U1007" s="372"/>
      <c r="V1007" s="103"/>
      <c r="W1007" s="103"/>
      <c r="X1007" s="103"/>
      <c r="Y1007" s="427"/>
      <c r="Z1007" s="428"/>
      <c r="AA1007" s="413"/>
      <c r="AB1007" s="429"/>
      <c r="AC1007" s="429"/>
      <c r="AD1007" s="429"/>
      <c r="AE1007" s="444" t="str">
        <f>IF(AB1007="","",AB1007*V1007*$AD$1015)</f>
        <v/>
      </c>
      <c r="AF1007" s="445"/>
      <c r="AG1007" s="445"/>
      <c r="AH1007" s="445"/>
    </row>
    <row r="1008" spans="1:35" s="1" customFormat="1" ht="15.75" customHeight="1" x14ac:dyDescent="0.15">
      <c r="A1008" s="73" t="str">
        <f>IF(LEN(E1008)+LEN(T1008)=0,"×","")</f>
        <v>×</v>
      </c>
      <c r="E1008" s="413"/>
      <c r="F1008" s="372"/>
      <c r="G1008" s="103"/>
      <c r="H1008" s="103"/>
      <c r="I1008" s="103"/>
      <c r="J1008" s="427"/>
      <c r="K1008" s="428"/>
      <c r="L1008" s="413"/>
      <c r="M1008" s="429"/>
      <c r="N1008" s="429"/>
      <c r="O1008" s="429"/>
      <c r="P1008" s="444" t="str">
        <f>IF(M1008="","",M1008*G1008*$AD$1015)</f>
        <v/>
      </c>
      <c r="Q1008" s="445"/>
      <c r="R1008" s="445"/>
      <c r="S1008" s="446"/>
      <c r="T1008" s="395"/>
      <c r="U1008" s="372"/>
      <c r="V1008" s="103"/>
      <c r="W1008" s="103"/>
      <c r="X1008" s="103"/>
      <c r="Y1008" s="427"/>
      <c r="Z1008" s="428"/>
      <c r="AA1008" s="413"/>
      <c r="AB1008" s="429"/>
      <c r="AC1008" s="429"/>
      <c r="AD1008" s="429"/>
      <c r="AE1008" s="444" t="str">
        <f>IF(AB1008="","",AB1008*V1008*$AD$1015)</f>
        <v/>
      </c>
      <c r="AF1008" s="445"/>
      <c r="AG1008" s="445"/>
      <c r="AH1008" s="445"/>
    </row>
    <row r="1009" spans="1:35" s="1" customFormat="1" ht="15.75" customHeight="1" x14ac:dyDescent="0.15">
      <c r="A1009" s="73" t="str">
        <f>IF(LEN(E1009)+LEN(T1009)=0,"×","")</f>
        <v>×</v>
      </c>
      <c r="E1009" s="413"/>
      <c r="F1009" s="372"/>
      <c r="G1009" s="103"/>
      <c r="H1009" s="103"/>
      <c r="I1009" s="103"/>
      <c r="J1009" s="427"/>
      <c r="K1009" s="428"/>
      <c r="L1009" s="413"/>
      <c r="M1009" s="429"/>
      <c r="N1009" s="429"/>
      <c r="O1009" s="429"/>
      <c r="P1009" s="444" t="str">
        <f>IF(M1009="","",M1009*G1009*$AD$1015)</f>
        <v/>
      </c>
      <c r="Q1009" s="445"/>
      <c r="R1009" s="445"/>
      <c r="S1009" s="446"/>
      <c r="T1009" s="395"/>
      <c r="U1009" s="372"/>
      <c r="V1009" s="103"/>
      <c r="W1009" s="103"/>
      <c r="X1009" s="103"/>
      <c r="Y1009" s="427"/>
      <c r="Z1009" s="428"/>
      <c r="AA1009" s="413"/>
      <c r="AB1009" s="429"/>
      <c r="AC1009" s="429"/>
      <c r="AD1009" s="429"/>
      <c r="AE1009" s="444" t="str">
        <f>IF(AB1009="","",AB1009*V1009*$AD$1015)</f>
        <v/>
      </c>
      <c r="AF1009" s="445"/>
      <c r="AG1009" s="445"/>
      <c r="AH1009" s="445"/>
    </row>
    <row r="1010" spans="1:35" s="1" customFormat="1" ht="15.75" customHeight="1" x14ac:dyDescent="0.15">
      <c r="A1010" s="73" t="str">
        <f>IF(LEN(E1010)+LEN(T1010)=0,"×","")</f>
        <v>×</v>
      </c>
      <c r="E1010" s="413"/>
      <c r="F1010" s="372"/>
      <c r="G1010" s="103"/>
      <c r="H1010" s="103"/>
      <c r="I1010" s="103"/>
      <c r="J1010" s="427"/>
      <c r="K1010" s="428"/>
      <c r="L1010" s="413"/>
      <c r="M1010" s="429"/>
      <c r="N1010" s="429"/>
      <c r="O1010" s="429"/>
      <c r="P1010" s="444" t="str">
        <f>IF(M1010="","",M1010*G1010*$AD$1015)</f>
        <v/>
      </c>
      <c r="Q1010" s="445"/>
      <c r="R1010" s="445"/>
      <c r="S1010" s="446"/>
      <c r="T1010" s="395"/>
      <c r="U1010" s="372"/>
      <c r="V1010" s="103"/>
      <c r="W1010" s="103"/>
      <c r="X1010" s="103"/>
      <c r="Y1010" s="427"/>
      <c r="Z1010" s="428"/>
      <c r="AA1010" s="413"/>
      <c r="AB1010" s="429"/>
      <c r="AC1010" s="429"/>
      <c r="AD1010" s="429"/>
      <c r="AE1010" s="444" t="str">
        <f>IF(AB1010="","",AB1010*V1010*$AD$1015)</f>
        <v/>
      </c>
      <c r="AF1010" s="445"/>
      <c r="AG1010" s="445"/>
      <c r="AH1010" s="445"/>
    </row>
    <row r="1011" spans="1:35" s="1" customFormat="1" ht="15.75" customHeight="1" x14ac:dyDescent="0.15">
      <c r="A1011" s="73" t="str">
        <f>IF(LEN(E1011)+LEN(T1011)=0,"×","")</f>
        <v>×</v>
      </c>
      <c r="E1011" s="413"/>
      <c r="F1011" s="372"/>
      <c r="G1011" s="103"/>
      <c r="H1011" s="103"/>
      <c r="I1011" s="103"/>
      <c r="J1011" s="427"/>
      <c r="K1011" s="428"/>
      <c r="L1011" s="413"/>
      <c r="M1011" s="429"/>
      <c r="N1011" s="429"/>
      <c r="O1011" s="429"/>
      <c r="P1011" s="444" t="str">
        <f>IF(M1011="","",M1011*G1011*$AD$1015)</f>
        <v/>
      </c>
      <c r="Q1011" s="445"/>
      <c r="R1011" s="445"/>
      <c r="S1011" s="446"/>
      <c r="T1011" s="395"/>
      <c r="U1011" s="372"/>
      <c r="V1011" s="103"/>
      <c r="W1011" s="103"/>
      <c r="X1011" s="103"/>
      <c r="Y1011" s="427"/>
      <c r="Z1011" s="428"/>
      <c r="AA1011" s="413"/>
      <c r="AB1011" s="429"/>
      <c r="AC1011" s="429"/>
      <c r="AD1011" s="429"/>
      <c r="AE1011" s="444" t="str">
        <f>IF(AB1011="","",AB1011*V1011*$AD$1015)</f>
        <v/>
      </c>
      <c r="AF1011" s="445"/>
      <c r="AG1011" s="445"/>
      <c r="AH1011" s="445"/>
    </row>
    <row r="1012" spans="1:35" s="1" customFormat="1" ht="15.75" customHeight="1" x14ac:dyDescent="0.15">
      <c r="A1012" s="73" t="str">
        <f>IF(LEN(E1012)+LEN(T1012)=0,"×","")</f>
        <v>×</v>
      </c>
      <c r="E1012" s="413"/>
      <c r="F1012" s="372"/>
      <c r="G1012" s="103"/>
      <c r="H1012" s="103"/>
      <c r="I1012" s="103"/>
      <c r="J1012" s="427"/>
      <c r="K1012" s="428"/>
      <c r="L1012" s="413"/>
      <c r="M1012" s="429"/>
      <c r="N1012" s="429"/>
      <c r="O1012" s="429"/>
      <c r="P1012" s="444" t="str">
        <f>IF(M1012="","",M1012*G1012*$AD$1015)</f>
        <v/>
      </c>
      <c r="Q1012" s="445"/>
      <c r="R1012" s="445"/>
      <c r="S1012" s="446"/>
      <c r="T1012" s="395"/>
      <c r="U1012" s="372"/>
      <c r="V1012" s="103"/>
      <c r="W1012" s="103"/>
      <c r="X1012" s="103"/>
      <c r="Y1012" s="427"/>
      <c r="Z1012" s="428"/>
      <c r="AA1012" s="413"/>
      <c r="AB1012" s="429"/>
      <c r="AC1012" s="429"/>
      <c r="AD1012" s="429"/>
      <c r="AE1012" s="444" t="str">
        <f>IF(AB1012="","",AB1012*V1012*$AD$1015)</f>
        <v/>
      </c>
      <c r="AF1012" s="445"/>
      <c r="AG1012" s="445"/>
      <c r="AH1012" s="445"/>
    </row>
    <row r="1013" spans="1:35" s="1" customFormat="1" ht="15.75" customHeight="1" x14ac:dyDescent="0.15">
      <c r="A1013" s="73" t="str">
        <f>IF(LEN(E1013)+LEN(T1013)=0,"×","")</f>
        <v>×</v>
      </c>
      <c r="E1013" s="413"/>
      <c r="F1013" s="372"/>
      <c r="G1013" s="103"/>
      <c r="H1013" s="103"/>
      <c r="I1013" s="103"/>
      <c r="J1013" s="427"/>
      <c r="K1013" s="428"/>
      <c r="L1013" s="413"/>
      <c r="M1013" s="429"/>
      <c r="N1013" s="429"/>
      <c r="O1013" s="429"/>
      <c r="P1013" s="444" t="str">
        <f>IF(M1013="","",M1013*G1013*$AD$1015)</f>
        <v/>
      </c>
      <c r="Q1013" s="445"/>
      <c r="R1013" s="445"/>
      <c r="S1013" s="446"/>
      <c r="T1013" s="395"/>
      <c r="U1013" s="372"/>
      <c r="V1013" s="103"/>
      <c r="W1013" s="103"/>
      <c r="X1013" s="103"/>
      <c r="Y1013" s="427"/>
      <c r="Z1013" s="428"/>
      <c r="AA1013" s="413"/>
      <c r="AB1013" s="429"/>
      <c r="AC1013" s="429"/>
      <c r="AD1013" s="429"/>
      <c r="AE1013" s="444" t="str">
        <f>IF(AB1013="","",AB1013*V1013*$AD$1015)</f>
        <v/>
      </c>
      <c r="AF1013" s="445"/>
      <c r="AG1013" s="445"/>
      <c r="AH1013" s="445"/>
    </row>
    <row r="1014" spans="1:35" s="1" customFormat="1" ht="15.75" customHeight="1" x14ac:dyDescent="0.15">
      <c r="A1014" s="76"/>
      <c r="E1014" s="233" t="s">
        <v>581</v>
      </c>
      <c r="F1014" s="234"/>
      <c r="G1014" s="450">
        <f>ROUND(SUM(P998:S1013),1)</f>
        <v>1887.2</v>
      </c>
      <c r="H1014" s="451"/>
      <c r="I1014" s="451"/>
      <c r="J1014" s="451"/>
      <c r="K1014" s="451"/>
      <c r="L1014" s="451"/>
      <c r="M1014" s="451"/>
      <c r="N1014" s="451"/>
      <c r="O1014" s="451"/>
      <c r="P1014" s="451"/>
      <c r="Q1014" s="451"/>
      <c r="R1014" s="451"/>
      <c r="S1014" s="452"/>
      <c r="T1014" s="401" t="s">
        <v>581</v>
      </c>
      <c r="U1014" s="234"/>
      <c r="V1014" s="450">
        <f>ROUND(SUM(AE998:AH1013),1)</f>
        <v>2201.3000000000002</v>
      </c>
      <c r="W1014" s="451"/>
      <c r="X1014" s="451"/>
      <c r="Y1014" s="451"/>
      <c r="Z1014" s="451"/>
      <c r="AA1014" s="451"/>
      <c r="AB1014" s="451"/>
      <c r="AC1014" s="451"/>
      <c r="AD1014" s="451"/>
      <c r="AE1014" s="451"/>
      <c r="AF1014" s="451"/>
      <c r="AG1014" s="451"/>
      <c r="AH1014" s="451"/>
    </row>
    <row r="1015" spans="1:35" s="1" customFormat="1" ht="15.75" customHeight="1" x14ac:dyDescent="0.15">
      <c r="E1015" s="8"/>
      <c r="F1015" s="8"/>
      <c r="G1015" s="8"/>
      <c r="H1015" s="8"/>
      <c r="I1015" s="8"/>
      <c r="J1015" s="8"/>
      <c r="K1015" s="8"/>
      <c r="L1015" s="8"/>
      <c r="M1015" s="8"/>
      <c r="N1015" s="8"/>
      <c r="O1015" s="8"/>
      <c r="AA1015" s="2" t="s">
        <v>127</v>
      </c>
      <c r="AB1015" s="1" t="s">
        <v>548</v>
      </c>
      <c r="AC1015" s="76" t="s">
        <v>27</v>
      </c>
      <c r="AD1015" s="304">
        <f>AD991</f>
        <v>3.1415926535897931</v>
      </c>
      <c r="AE1015" s="304"/>
      <c r="AF1015" s="304"/>
      <c r="AG1015" s="7" t="s">
        <v>549</v>
      </c>
      <c r="AH1015" s="76" t="s">
        <v>158</v>
      </c>
    </row>
    <row r="1018" spans="1:35" s="1" customFormat="1" ht="15.75" customHeight="1" x14ac:dyDescent="0.15">
      <c r="A1018" s="73" t="str">
        <f>IF(A$289="","","×")</f>
        <v>×</v>
      </c>
      <c r="E1018" s="61" t="s">
        <v>600</v>
      </c>
      <c r="F1018" s="302"/>
      <c r="G1018" s="302"/>
      <c r="H1018" s="61"/>
      <c r="I1018" s="61"/>
      <c r="J1018" s="61"/>
      <c r="K1018" s="61"/>
      <c r="L1018" s="61"/>
      <c r="M1018" s="61"/>
      <c r="N1018" s="61"/>
      <c r="O1018" s="61"/>
      <c r="P1018" s="61"/>
      <c r="Q1018" s="61"/>
      <c r="R1018" s="61"/>
      <c r="S1018" s="61"/>
      <c r="T1018" s="61"/>
      <c r="U1018" s="61"/>
      <c r="V1018" s="61"/>
      <c r="W1018" s="61"/>
      <c r="X1018" s="61"/>
      <c r="Y1018" s="61"/>
      <c r="Z1018" s="61"/>
      <c r="AA1018" s="61"/>
      <c r="AB1018" s="61"/>
      <c r="AC1018" s="61"/>
      <c r="AD1018" s="61"/>
      <c r="AE1018" s="61"/>
      <c r="AF1018" s="61"/>
      <c r="AG1018" s="61"/>
      <c r="AH1018" s="61"/>
      <c r="AI1018" s="8"/>
    </row>
    <row r="1019" spans="1:35" s="1" customFormat="1" ht="15.75" customHeight="1" x14ac:dyDescent="0.15">
      <c r="A1019" s="73" t="str">
        <f>IF(A$289="","","×")</f>
        <v>×</v>
      </c>
      <c r="E1019" s="294" t="s">
        <v>546</v>
      </c>
      <c r="F1019" s="292"/>
      <c r="G1019" s="292"/>
      <c r="H1019" s="292"/>
      <c r="I1019" s="292"/>
      <c r="J1019" s="292"/>
      <c r="K1019" s="292"/>
      <c r="L1019" s="292"/>
      <c r="M1019" s="292"/>
      <c r="N1019" s="292"/>
      <c r="O1019" s="292"/>
      <c r="P1019" s="292"/>
      <c r="Q1019" s="292"/>
      <c r="R1019" s="292"/>
      <c r="S1019" s="293"/>
      <c r="T1019" s="273" t="s">
        <v>547</v>
      </c>
      <c r="U1019" s="131"/>
      <c r="V1019" s="131"/>
      <c r="W1019" s="131"/>
      <c r="X1019" s="131"/>
      <c r="Y1019" s="131"/>
      <c r="Z1019" s="131"/>
      <c r="AA1019" s="131"/>
      <c r="AB1019" s="131"/>
      <c r="AC1019" s="131"/>
      <c r="AD1019" s="131"/>
      <c r="AE1019" s="131"/>
      <c r="AF1019" s="131"/>
      <c r="AG1019" s="131"/>
      <c r="AH1019" s="132"/>
    </row>
    <row r="1020" spans="1:35" s="1" customFormat="1" ht="15.75" customHeight="1" x14ac:dyDescent="0.15">
      <c r="A1020" s="73" t="str">
        <f>IF(A$289="","","×")</f>
        <v>×</v>
      </c>
      <c r="E1020" s="159" t="s">
        <v>78</v>
      </c>
      <c r="F1020" s="160"/>
      <c r="G1020" s="291" t="s">
        <v>203</v>
      </c>
      <c r="H1020" s="161"/>
      <c r="I1020" s="161"/>
      <c r="J1020" s="222" t="s">
        <v>247</v>
      </c>
      <c r="K1020" s="138"/>
      <c r="L1020" s="215"/>
      <c r="M1020" s="222" t="s">
        <v>580</v>
      </c>
      <c r="N1020" s="138"/>
      <c r="O1020" s="215"/>
      <c r="P1020" s="222" t="s">
        <v>250</v>
      </c>
      <c r="Q1020" s="138"/>
      <c r="R1020" s="138"/>
      <c r="S1020" s="139"/>
      <c r="T1020" s="226" t="s">
        <v>78</v>
      </c>
      <c r="U1020" s="106"/>
      <c r="V1020" s="216" t="s">
        <v>203</v>
      </c>
      <c r="W1020" s="121"/>
      <c r="X1020" s="121"/>
      <c r="Y1020" s="277" t="s">
        <v>247</v>
      </c>
      <c r="Z1020" s="278"/>
      <c r="AA1020" s="279"/>
      <c r="AB1020" s="277" t="s">
        <v>580</v>
      </c>
      <c r="AC1020" s="278"/>
      <c r="AD1020" s="279"/>
      <c r="AE1020" s="277" t="s">
        <v>250</v>
      </c>
      <c r="AF1020" s="278"/>
      <c r="AG1020" s="278"/>
      <c r="AH1020" s="278"/>
    </row>
    <row r="1021" spans="1:35" s="1" customFormat="1" ht="15.75" customHeight="1" x14ac:dyDescent="0.15">
      <c r="A1021" s="73" t="str">
        <f>IF(A$289="","","×")</f>
        <v>×</v>
      </c>
      <c r="E1021" s="295"/>
      <c r="F1021" s="156"/>
      <c r="G1021" s="163"/>
      <c r="H1021" s="163"/>
      <c r="I1021" s="163"/>
      <c r="J1021" s="223"/>
      <c r="K1021" s="140"/>
      <c r="L1021" s="159"/>
      <c r="M1021" s="223"/>
      <c r="N1021" s="140"/>
      <c r="O1021" s="159"/>
      <c r="P1021" s="223"/>
      <c r="Q1021" s="140"/>
      <c r="R1021" s="140"/>
      <c r="S1021" s="141"/>
      <c r="T1021" s="290"/>
      <c r="U1021" s="156"/>
      <c r="V1021" s="163"/>
      <c r="W1021" s="163"/>
      <c r="X1021" s="163"/>
      <c r="Y1021" s="223"/>
      <c r="Z1021" s="140"/>
      <c r="AA1021" s="159"/>
      <c r="AB1021" s="223"/>
      <c r="AC1021" s="140"/>
      <c r="AD1021" s="159"/>
      <c r="AE1021" s="223"/>
      <c r="AF1021" s="140"/>
      <c r="AG1021" s="140"/>
      <c r="AH1021" s="140"/>
    </row>
    <row r="1022" spans="1:35" s="1" customFormat="1" ht="15.75" customHeight="1" x14ac:dyDescent="0.15">
      <c r="A1022" s="73" t="str">
        <f>IF(A$289="",IF(LEN(E1022)+LEN(T1022)=0,"×",""),"×")</f>
        <v>×</v>
      </c>
      <c r="E1022" s="412">
        <v>3</v>
      </c>
      <c r="F1022" s="398"/>
      <c r="G1022" s="125">
        <v>3</v>
      </c>
      <c r="H1022" s="125"/>
      <c r="I1022" s="125"/>
      <c r="J1022" s="423" t="s">
        <v>582</v>
      </c>
      <c r="K1022" s="424"/>
      <c r="L1022" s="412"/>
      <c r="M1022" s="426">
        <v>0</v>
      </c>
      <c r="N1022" s="426"/>
      <c r="O1022" s="426"/>
      <c r="P1022" s="441">
        <f>IF(M1022="","",M1022*G1022*$AD$1039)</f>
        <v>0</v>
      </c>
      <c r="Q1022" s="442"/>
      <c r="R1022" s="442"/>
      <c r="S1022" s="443"/>
      <c r="T1022" s="397">
        <v>3</v>
      </c>
      <c r="U1022" s="398"/>
      <c r="V1022" s="125">
        <v>3</v>
      </c>
      <c r="W1022" s="125"/>
      <c r="X1022" s="125"/>
      <c r="Y1022" s="423" t="s">
        <v>582</v>
      </c>
      <c r="Z1022" s="424"/>
      <c r="AA1022" s="412"/>
      <c r="AB1022" s="426">
        <v>0</v>
      </c>
      <c r="AC1022" s="426"/>
      <c r="AD1022" s="426"/>
      <c r="AE1022" s="441">
        <f>IF(AB1022="","",AB1022*V1022*$AD$1039)</f>
        <v>0</v>
      </c>
      <c r="AF1022" s="442"/>
      <c r="AG1022" s="442"/>
      <c r="AH1022" s="442"/>
    </row>
    <row r="1023" spans="1:35" s="1" customFormat="1" ht="15.75" customHeight="1" x14ac:dyDescent="0.15">
      <c r="A1023" s="73" t="str">
        <f>IF(A$289="",IF(LEN(E1023)+LEN(T1023)=0,"×",""),"×")</f>
        <v>×</v>
      </c>
      <c r="E1023" s="413">
        <v>4</v>
      </c>
      <c r="F1023" s="372"/>
      <c r="G1023" s="103">
        <v>0.53999996185302734</v>
      </c>
      <c r="H1023" s="103"/>
      <c r="I1023" s="103"/>
      <c r="J1023" s="427" t="s">
        <v>516</v>
      </c>
      <c r="K1023" s="428"/>
      <c r="L1023" s="413"/>
      <c r="M1023" s="429">
        <v>0</v>
      </c>
      <c r="N1023" s="429"/>
      <c r="O1023" s="429"/>
      <c r="P1023" s="444">
        <f>IF(M1023="","",M1023*G1023*$AD$1039)</f>
        <v>0</v>
      </c>
      <c r="Q1023" s="445"/>
      <c r="R1023" s="445"/>
      <c r="S1023" s="446"/>
      <c r="T1023" s="395">
        <v>4</v>
      </c>
      <c r="U1023" s="372"/>
      <c r="V1023" s="103">
        <v>0.53999996185302734</v>
      </c>
      <c r="W1023" s="103"/>
      <c r="X1023" s="103"/>
      <c r="Y1023" s="427" t="s">
        <v>516</v>
      </c>
      <c r="Z1023" s="428"/>
      <c r="AA1023" s="413"/>
      <c r="AB1023" s="429">
        <v>0</v>
      </c>
      <c r="AC1023" s="429"/>
      <c r="AD1023" s="429"/>
      <c r="AE1023" s="444">
        <f>IF(AB1023="","",AB1023*V1023*$AD$1039)</f>
        <v>0</v>
      </c>
      <c r="AF1023" s="445"/>
      <c r="AG1023" s="445"/>
      <c r="AH1023" s="445"/>
    </row>
    <row r="1024" spans="1:35" s="1" customFormat="1" ht="15.75" customHeight="1" x14ac:dyDescent="0.15">
      <c r="A1024" s="73" t="str">
        <f>IF(A$289="",IF(LEN(E1024)+LEN(T1024)=0,"×",""),"×")</f>
        <v>×</v>
      </c>
      <c r="E1024" s="413">
        <v>4</v>
      </c>
      <c r="F1024" s="372"/>
      <c r="G1024" s="103">
        <v>4.4600000381469727</v>
      </c>
      <c r="H1024" s="103"/>
      <c r="I1024" s="103"/>
      <c r="J1024" s="427" t="s">
        <v>516</v>
      </c>
      <c r="K1024" s="428"/>
      <c r="L1024" s="413"/>
      <c r="M1024" s="429">
        <v>45</v>
      </c>
      <c r="N1024" s="429"/>
      <c r="O1024" s="429"/>
      <c r="P1024" s="444">
        <f>IF(M1024="","",M1024*G1024*$AD$1039)</f>
        <v>630.51765096837266</v>
      </c>
      <c r="Q1024" s="445"/>
      <c r="R1024" s="445"/>
      <c r="S1024" s="446"/>
      <c r="T1024" s="395">
        <v>4</v>
      </c>
      <c r="U1024" s="372"/>
      <c r="V1024" s="103">
        <v>4.4600000381469727</v>
      </c>
      <c r="W1024" s="103"/>
      <c r="X1024" s="103"/>
      <c r="Y1024" s="427" t="s">
        <v>516</v>
      </c>
      <c r="Z1024" s="428"/>
      <c r="AA1024" s="413"/>
      <c r="AB1024" s="429">
        <v>45</v>
      </c>
      <c r="AC1024" s="429"/>
      <c r="AD1024" s="429"/>
      <c r="AE1024" s="444">
        <f>IF(AB1024="","",AB1024*V1024*$AD$1039)</f>
        <v>630.51765096837266</v>
      </c>
      <c r="AF1024" s="445"/>
      <c r="AG1024" s="445"/>
      <c r="AH1024" s="445"/>
    </row>
    <row r="1025" spans="1:34" s="1" customFormat="1" ht="15.75" customHeight="1" x14ac:dyDescent="0.15">
      <c r="A1025" s="73" t="str">
        <f>IF(A$289="",IF(LEN(E1025)+LEN(T1025)=0,"×",""),"×")</f>
        <v>×</v>
      </c>
      <c r="E1025" s="413">
        <v>5</v>
      </c>
      <c r="F1025" s="372"/>
      <c r="G1025" s="103">
        <v>8</v>
      </c>
      <c r="H1025" s="103"/>
      <c r="I1025" s="103"/>
      <c r="J1025" s="427" t="s">
        <v>582</v>
      </c>
      <c r="K1025" s="428"/>
      <c r="L1025" s="413"/>
      <c r="M1025" s="429">
        <v>25</v>
      </c>
      <c r="N1025" s="429"/>
      <c r="O1025" s="429"/>
      <c r="P1025" s="444">
        <f>IF(M1025="","",M1025*G1025*$AD$1039)</f>
        <v>628.31853071795865</v>
      </c>
      <c r="Q1025" s="445"/>
      <c r="R1025" s="445"/>
      <c r="S1025" s="446"/>
      <c r="T1025" s="395">
        <v>5</v>
      </c>
      <c r="U1025" s="372"/>
      <c r="V1025" s="103">
        <v>8</v>
      </c>
      <c r="W1025" s="103"/>
      <c r="X1025" s="103"/>
      <c r="Y1025" s="427" t="s">
        <v>582</v>
      </c>
      <c r="Z1025" s="428"/>
      <c r="AA1025" s="413"/>
      <c r="AB1025" s="429">
        <v>25</v>
      </c>
      <c r="AC1025" s="429"/>
      <c r="AD1025" s="429"/>
      <c r="AE1025" s="444">
        <f>IF(AB1025="","",AB1025*V1025*$AD$1039)</f>
        <v>628.31853071795865</v>
      </c>
      <c r="AF1025" s="445"/>
      <c r="AG1025" s="445"/>
      <c r="AH1025" s="445"/>
    </row>
    <row r="1026" spans="1:34" s="1" customFormat="1" ht="15.75" customHeight="1" x14ac:dyDescent="0.15">
      <c r="A1026" s="73" t="str">
        <f>IF(A$289="",IF(LEN(E1026)+LEN(T1026)=0,"×",""),"×")</f>
        <v>×</v>
      </c>
      <c r="E1026" s="413">
        <v>6</v>
      </c>
      <c r="F1026" s="372"/>
      <c r="G1026" s="103">
        <v>4</v>
      </c>
      <c r="H1026" s="103"/>
      <c r="I1026" s="103"/>
      <c r="J1026" s="427" t="s">
        <v>582</v>
      </c>
      <c r="K1026" s="428"/>
      <c r="L1026" s="413"/>
      <c r="M1026" s="429">
        <v>50</v>
      </c>
      <c r="N1026" s="429"/>
      <c r="O1026" s="429"/>
      <c r="P1026" s="444">
        <f>IF(M1026="","",M1026*G1026*$AD$1039)</f>
        <v>628.31853071795865</v>
      </c>
      <c r="Q1026" s="445"/>
      <c r="R1026" s="445"/>
      <c r="S1026" s="446"/>
      <c r="T1026" s="395">
        <v>6</v>
      </c>
      <c r="U1026" s="372"/>
      <c r="V1026" s="103">
        <v>4.5</v>
      </c>
      <c r="W1026" s="103"/>
      <c r="X1026" s="103"/>
      <c r="Y1026" s="427" t="s">
        <v>582</v>
      </c>
      <c r="Z1026" s="428"/>
      <c r="AA1026" s="413"/>
      <c r="AB1026" s="429">
        <v>50</v>
      </c>
      <c r="AC1026" s="429"/>
      <c r="AD1026" s="429"/>
      <c r="AE1026" s="444">
        <f>IF(AB1026="","",AB1026*V1026*$AD$1039)</f>
        <v>706.85834705770344</v>
      </c>
      <c r="AF1026" s="445"/>
      <c r="AG1026" s="445"/>
      <c r="AH1026" s="445"/>
    </row>
    <row r="1027" spans="1:34" s="1" customFormat="1" ht="15.75" customHeight="1" x14ac:dyDescent="0.15">
      <c r="A1027" s="73" t="str">
        <f>IF(A$289="",IF(LEN(E1027)+LEN(T1027)=0,"×",""),"×")</f>
        <v>×</v>
      </c>
      <c r="E1027" s="413">
        <v>6</v>
      </c>
      <c r="F1027" s="372"/>
      <c r="G1027" s="103">
        <v>0.5</v>
      </c>
      <c r="H1027" s="103"/>
      <c r="I1027" s="103"/>
      <c r="J1027" s="427" t="s">
        <v>582</v>
      </c>
      <c r="K1027" s="428"/>
      <c r="L1027" s="413"/>
      <c r="M1027" s="429">
        <v>0</v>
      </c>
      <c r="N1027" s="429"/>
      <c r="O1027" s="429"/>
      <c r="P1027" s="444">
        <f>IF(M1027="","",M1027*G1027*$AD$1039)</f>
        <v>0</v>
      </c>
      <c r="Q1027" s="445"/>
      <c r="R1027" s="445"/>
      <c r="S1027" s="446"/>
      <c r="T1027" s="395">
        <v>7</v>
      </c>
      <c r="U1027" s="372"/>
      <c r="V1027" s="103">
        <v>0.5</v>
      </c>
      <c r="W1027" s="103"/>
      <c r="X1027" s="103"/>
      <c r="Y1027" s="427" t="s">
        <v>517</v>
      </c>
      <c r="Z1027" s="428"/>
      <c r="AA1027" s="413"/>
      <c r="AB1027" s="429">
        <v>150</v>
      </c>
      <c r="AC1027" s="429"/>
      <c r="AD1027" s="429"/>
      <c r="AE1027" s="444">
        <f>IF(AB1027="","",AB1027*V1027*$AD$1039)</f>
        <v>235.61944901923448</v>
      </c>
      <c r="AF1027" s="445"/>
      <c r="AG1027" s="445"/>
      <c r="AH1027" s="445"/>
    </row>
    <row r="1028" spans="1:34" s="1" customFormat="1" ht="15.75" customHeight="1" x14ac:dyDescent="0.15">
      <c r="A1028" s="73" t="str">
        <f>IF(A$289="",IF(LEN(E1028)+LEN(T1028)=0,"×",""),"×")</f>
        <v>×</v>
      </c>
      <c r="E1028" s="413">
        <v>7</v>
      </c>
      <c r="F1028" s="372"/>
      <c r="G1028" s="103">
        <v>0.5</v>
      </c>
      <c r="H1028" s="103"/>
      <c r="I1028" s="103"/>
      <c r="J1028" s="427" t="s">
        <v>517</v>
      </c>
      <c r="K1028" s="428"/>
      <c r="L1028" s="413"/>
      <c r="M1028" s="429">
        <v>0</v>
      </c>
      <c r="N1028" s="429"/>
      <c r="O1028" s="429"/>
      <c r="P1028" s="444">
        <f>IF(M1028="","",M1028*G1028*$AD$1039)</f>
        <v>0</v>
      </c>
      <c r="Q1028" s="445"/>
      <c r="R1028" s="445"/>
      <c r="S1028" s="446"/>
      <c r="T1028" s="395"/>
      <c r="U1028" s="372"/>
      <c r="V1028" s="103"/>
      <c r="W1028" s="103"/>
      <c r="X1028" s="103"/>
      <c r="Y1028" s="427"/>
      <c r="Z1028" s="428"/>
      <c r="AA1028" s="413"/>
      <c r="AB1028" s="429"/>
      <c r="AC1028" s="429"/>
      <c r="AD1028" s="429"/>
      <c r="AE1028" s="444" t="str">
        <f>IF(AB1028="","",AB1028*V1028*$AD$1039)</f>
        <v/>
      </c>
      <c r="AF1028" s="445"/>
      <c r="AG1028" s="445"/>
      <c r="AH1028" s="445"/>
    </row>
    <row r="1029" spans="1:34" s="1" customFormat="1" ht="15.75" customHeight="1" x14ac:dyDescent="0.15">
      <c r="A1029" s="73" t="str">
        <f>IF(A$289="",IF(LEN(E1029)+LEN(T1029)=0,"×",""),"×")</f>
        <v>×</v>
      </c>
      <c r="E1029" s="413"/>
      <c r="F1029" s="372"/>
      <c r="G1029" s="103"/>
      <c r="H1029" s="103"/>
      <c r="I1029" s="103"/>
      <c r="J1029" s="427"/>
      <c r="K1029" s="428"/>
      <c r="L1029" s="413"/>
      <c r="M1029" s="429"/>
      <c r="N1029" s="429"/>
      <c r="O1029" s="429"/>
      <c r="P1029" s="444" t="str">
        <f>IF(M1029="","",M1029*G1029*$AD$1039)</f>
        <v/>
      </c>
      <c r="Q1029" s="445"/>
      <c r="R1029" s="445"/>
      <c r="S1029" s="446"/>
      <c r="T1029" s="395"/>
      <c r="U1029" s="372"/>
      <c r="V1029" s="103"/>
      <c r="W1029" s="103"/>
      <c r="X1029" s="103"/>
      <c r="Y1029" s="427"/>
      <c r="Z1029" s="428"/>
      <c r="AA1029" s="413"/>
      <c r="AB1029" s="429"/>
      <c r="AC1029" s="429"/>
      <c r="AD1029" s="429"/>
      <c r="AE1029" s="444" t="str">
        <f>IF(AB1029="","",AB1029*V1029*$AD$1039)</f>
        <v/>
      </c>
      <c r="AF1029" s="445"/>
      <c r="AG1029" s="445"/>
      <c r="AH1029" s="445"/>
    </row>
    <row r="1030" spans="1:34" s="1" customFormat="1" ht="15.75" customHeight="1" x14ac:dyDescent="0.15">
      <c r="A1030" s="73" t="str">
        <f>IF(A$289="",IF(LEN(E1030)+LEN(T1030)=0,"×",""),"×")</f>
        <v>×</v>
      </c>
      <c r="E1030" s="413"/>
      <c r="F1030" s="372"/>
      <c r="G1030" s="103"/>
      <c r="H1030" s="103"/>
      <c r="I1030" s="103"/>
      <c r="J1030" s="427"/>
      <c r="K1030" s="428"/>
      <c r="L1030" s="413"/>
      <c r="M1030" s="429"/>
      <c r="N1030" s="429"/>
      <c r="O1030" s="429"/>
      <c r="P1030" s="444" t="str">
        <f>IF(M1030="","",M1030*G1030*$AD$1039)</f>
        <v/>
      </c>
      <c r="Q1030" s="445"/>
      <c r="R1030" s="445"/>
      <c r="S1030" s="446"/>
      <c r="T1030" s="395"/>
      <c r="U1030" s="372"/>
      <c r="V1030" s="103"/>
      <c r="W1030" s="103"/>
      <c r="X1030" s="103"/>
      <c r="Y1030" s="427"/>
      <c r="Z1030" s="428"/>
      <c r="AA1030" s="413"/>
      <c r="AB1030" s="429"/>
      <c r="AC1030" s="429"/>
      <c r="AD1030" s="429"/>
      <c r="AE1030" s="444" t="str">
        <f>IF(AB1030="","",AB1030*V1030*$AD$1039)</f>
        <v/>
      </c>
      <c r="AF1030" s="445"/>
      <c r="AG1030" s="445"/>
      <c r="AH1030" s="445"/>
    </row>
    <row r="1031" spans="1:34" s="1" customFormat="1" ht="15.75" customHeight="1" x14ac:dyDescent="0.15">
      <c r="A1031" s="73" t="str">
        <f>IF(A$289="",IF(LEN(E1031)+LEN(T1031)=0,"×",""),"×")</f>
        <v>×</v>
      </c>
      <c r="E1031" s="413"/>
      <c r="F1031" s="372"/>
      <c r="G1031" s="103"/>
      <c r="H1031" s="103"/>
      <c r="I1031" s="103"/>
      <c r="J1031" s="427"/>
      <c r="K1031" s="428"/>
      <c r="L1031" s="413"/>
      <c r="M1031" s="429"/>
      <c r="N1031" s="429"/>
      <c r="O1031" s="429"/>
      <c r="P1031" s="444" t="str">
        <f>IF(M1031="","",M1031*G1031*$AD$1039)</f>
        <v/>
      </c>
      <c r="Q1031" s="445"/>
      <c r="R1031" s="445"/>
      <c r="S1031" s="446"/>
      <c r="T1031" s="395"/>
      <c r="U1031" s="372"/>
      <c r="V1031" s="103"/>
      <c r="W1031" s="103"/>
      <c r="X1031" s="103"/>
      <c r="Y1031" s="427"/>
      <c r="Z1031" s="428"/>
      <c r="AA1031" s="413"/>
      <c r="AB1031" s="429"/>
      <c r="AC1031" s="429"/>
      <c r="AD1031" s="429"/>
      <c r="AE1031" s="444" t="str">
        <f>IF(AB1031="","",AB1031*V1031*$AD$1039)</f>
        <v/>
      </c>
      <c r="AF1031" s="445"/>
      <c r="AG1031" s="445"/>
      <c r="AH1031" s="445"/>
    </row>
    <row r="1032" spans="1:34" s="1" customFormat="1" ht="15.75" customHeight="1" x14ac:dyDescent="0.15">
      <c r="A1032" s="73" t="str">
        <f>IF(A$289="",IF(LEN(E1032)+LEN(T1032)=0,"×",""),"×")</f>
        <v>×</v>
      </c>
      <c r="E1032" s="413"/>
      <c r="F1032" s="372"/>
      <c r="G1032" s="103"/>
      <c r="H1032" s="103"/>
      <c r="I1032" s="103"/>
      <c r="J1032" s="427"/>
      <c r="K1032" s="428"/>
      <c r="L1032" s="413"/>
      <c r="M1032" s="429"/>
      <c r="N1032" s="429"/>
      <c r="O1032" s="429"/>
      <c r="P1032" s="444" t="str">
        <f>IF(M1032="","",M1032*G1032*$AD$1039)</f>
        <v/>
      </c>
      <c r="Q1032" s="445"/>
      <c r="R1032" s="445"/>
      <c r="S1032" s="446"/>
      <c r="T1032" s="395"/>
      <c r="U1032" s="372"/>
      <c r="V1032" s="103"/>
      <c r="W1032" s="103"/>
      <c r="X1032" s="103"/>
      <c r="Y1032" s="427"/>
      <c r="Z1032" s="428"/>
      <c r="AA1032" s="413"/>
      <c r="AB1032" s="429"/>
      <c r="AC1032" s="429"/>
      <c r="AD1032" s="429"/>
      <c r="AE1032" s="444" t="str">
        <f>IF(AB1032="","",AB1032*V1032*$AD$1039)</f>
        <v/>
      </c>
      <c r="AF1032" s="445"/>
      <c r="AG1032" s="445"/>
      <c r="AH1032" s="445"/>
    </row>
    <row r="1033" spans="1:34" s="1" customFormat="1" ht="15.75" customHeight="1" x14ac:dyDescent="0.15">
      <c r="A1033" s="73" t="str">
        <f>IF(A$289="",IF(LEN(E1033)+LEN(T1033)=0,"×",""),"×")</f>
        <v>×</v>
      </c>
      <c r="E1033" s="413"/>
      <c r="F1033" s="372"/>
      <c r="G1033" s="103"/>
      <c r="H1033" s="103"/>
      <c r="I1033" s="103"/>
      <c r="J1033" s="427"/>
      <c r="K1033" s="428"/>
      <c r="L1033" s="413"/>
      <c r="M1033" s="429"/>
      <c r="N1033" s="429"/>
      <c r="O1033" s="429"/>
      <c r="P1033" s="444" t="str">
        <f>IF(M1033="","",M1033*G1033*$AD$1039)</f>
        <v/>
      </c>
      <c r="Q1033" s="445"/>
      <c r="R1033" s="445"/>
      <c r="S1033" s="446"/>
      <c r="T1033" s="395"/>
      <c r="U1033" s="372"/>
      <c r="V1033" s="103"/>
      <c r="W1033" s="103"/>
      <c r="X1033" s="103"/>
      <c r="Y1033" s="427"/>
      <c r="Z1033" s="428"/>
      <c r="AA1033" s="413"/>
      <c r="AB1033" s="429"/>
      <c r="AC1033" s="429"/>
      <c r="AD1033" s="429"/>
      <c r="AE1033" s="444" t="str">
        <f>IF(AB1033="","",AB1033*V1033*$AD$1039)</f>
        <v/>
      </c>
      <c r="AF1033" s="445"/>
      <c r="AG1033" s="445"/>
      <c r="AH1033" s="445"/>
    </row>
    <row r="1034" spans="1:34" s="1" customFormat="1" ht="15.75" customHeight="1" x14ac:dyDescent="0.15">
      <c r="A1034" s="73" t="str">
        <f>IF(A$289="",IF(LEN(E1034)+LEN(T1034)=0,"×",""),"×")</f>
        <v>×</v>
      </c>
      <c r="E1034" s="413"/>
      <c r="F1034" s="372"/>
      <c r="G1034" s="103"/>
      <c r="H1034" s="103"/>
      <c r="I1034" s="103"/>
      <c r="J1034" s="427"/>
      <c r="K1034" s="428"/>
      <c r="L1034" s="413"/>
      <c r="M1034" s="429"/>
      <c r="N1034" s="429"/>
      <c r="O1034" s="429"/>
      <c r="P1034" s="444" t="str">
        <f>IF(M1034="","",M1034*G1034*$AD$1039)</f>
        <v/>
      </c>
      <c r="Q1034" s="445"/>
      <c r="R1034" s="445"/>
      <c r="S1034" s="446"/>
      <c r="T1034" s="395"/>
      <c r="U1034" s="372"/>
      <c r="V1034" s="103"/>
      <c r="W1034" s="103"/>
      <c r="X1034" s="103"/>
      <c r="Y1034" s="427"/>
      <c r="Z1034" s="428"/>
      <c r="AA1034" s="413"/>
      <c r="AB1034" s="429"/>
      <c r="AC1034" s="429"/>
      <c r="AD1034" s="429"/>
      <c r="AE1034" s="444" t="str">
        <f>IF(AB1034="","",AB1034*V1034*$AD$1039)</f>
        <v/>
      </c>
      <c r="AF1034" s="445"/>
      <c r="AG1034" s="445"/>
      <c r="AH1034" s="445"/>
    </row>
    <row r="1035" spans="1:34" s="1" customFormat="1" ht="15.75" customHeight="1" x14ac:dyDescent="0.15">
      <c r="A1035" s="73" t="str">
        <f>IF(A$289="",IF(LEN(E1035)+LEN(T1035)=0,"×",""),"×")</f>
        <v>×</v>
      </c>
      <c r="E1035" s="413"/>
      <c r="F1035" s="372"/>
      <c r="G1035" s="103"/>
      <c r="H1035" s="103"/>
      <c r="I1035" s="103"/>
      <c r="J1035" s="427"/>
      <c r="K1035" s="428"/>
      <c r="L1035" s="413"/>
      <c r="M1035" s="429"/>
      <c r="N1035" s="429"/>
      <c r="O1035" s="429"/>
      <c r="P1035" s="444" t="str">
        <f>IF(M1035="","",M1035*G1035*$AD$1039)</f>
        <v/>
      </c>
      <c r="Q1035" s="445"/>
      <c r="R1035" s="445"/>
      <c r="S1035" s="446"/>
      <c r="T1035" s="395"/>
      <c r="U1035" s="372"/>
      <c r="V1035" s="103"/>
      <c r="W1035" s="103"/>
      <c r="X1035" s="103"/>
      <c r="Y1035" s="427"/>
      <c r="Z1035" s="428"/>
      <c r="AA1035" s="413"/>
      <c r="AB1035" s="429"/>
      <c r="AC1035" s="429"/>
      <c r="AD1035" s="429"/>
      <c r="AE1035" s="444" t="str">
        <f>IF(AB1035="","",AB1035*V1035*$AD$1039)</f>
        <v/>
      </c>
      <c r="AF1035" s="445"/>
      <c r="AG1035" s="445"/>
      <c r="AH1035" s="445"/>
    </row>
    <row r="1036" spans="1:34" s="1" customFormat="1" ht="15.75" customHeight="1" x14ac:dyDescent="0.15">
      <c r="A1036" s="73" t="str">
        <f>IF(A$289="",IF(LEN(E1036)+LEN(T1036)=0,"×",""),"×")</f>
        <v>×</v>
      </c>
      <c r="E1036" s="413"/>
      <c r="F1036" s="372"/>
      <c r="G1036" s="103"/>
      <c r="H1036" s="103"/>
      <c r="I1036" s="103"/>
      <c r="J1036" s="427"/>
      <c r="K1036" s="428"/>
      <c r="L1036" s="413"/>
      <c r="M1036" s="429"/>
      <c r="N1036" s="429"/>
      <c r="O1036" s="429"/>
      <c r="P1036" s="444" t="str">
        <f>IF(M1036="","",M1036*G1036*$AD$1039)</f>
        <v/>
      </c>
      <c r="Q1036" s="445"/>
      <c r="R1036" s="445"/>
      <c r="S1036" s="446"/>
      <c r="T1036" s="395"/>
      <c r="U1036" s="372"/>
      <c r="V1036" s="103"/>
      <c r="W1036" s="103"/>
      <c r="X1036" s="103"/>
      <c r="Y1036" s="427"/>
      <c r="Z1036" s="428"/>
      <c r="AA1036" s="413"/>
      <c r="AB1036" s="429"/>
      <c r="AC1036" s="429"/>
      <c r="AD1036" s="429"/>
      <c r="AE1036" s="444" t="str">
        <f>IF(AB1036="","",AB1036*V1036*$AD$1039)</f>
        <v/>
      </c>
      <c r="AF1036" s="445"/>
      <c r="AG1036" s="445"/>
      <c r="AH1036" s="445"/>
    </row>
    <row r="1037" spans="1:34" s="1" customFormat="1" ht="15.75" customHeight="1" x14ac:dyDescent="0.15">
      <c r="A1037" s="73" t="str">
        <f>IF(A$289="",IF(LEN(E1037)+LEN(T1037)=0,"×",""),"×")</f>
        <v>×</v>
      </c>
      <c r="E1037" s="413"/>
      <c r="F1037" s="372"/>
      <c r="G1037" s="103"/>
      <c r="H1037" s="103"/>
      <c r="I1037" s="103"/>
      <c r="J1037" s="427"/>
      <c r="K1037" s="428"/>
      <c r="L1037" s="413"/>
      <c r="M1037" s="429"/>
      <c r="N1037" s="429"/>
      <c r="O1037" s="429"/>
      <c r="P1037" s="444" t="str">
        <f>IF(M1037="","",M1037*G1037*$AD$1039)</f>
        <v/>
      </c>
      <c r="Q1037" s="445"/>
      <c r="R1037" s="445"/>
      <c r="S1037" s="446"/>
      <c r="T1037" s="395"/>
      <c r="U1037" s="372"/>
      <c r="V1037" s="103"/>
      <c r="W1037" s="103"/>
      <c r="X1037" s="103"/>
      <c r="Y1037" s="427"/>
      <c r="Z1037" s="428"/>
      <c r="AA1037" s="413"/>
      <c r="AB1037" s="429"/>
      <c r="AC1037" s="429"/>
      <c r="AD1037" s="429"/>
      <c r="AE1037" s="444" t="str">
        <f>IF(AB1037="","",AB1037*V1037*$AD$1039)</f>
        <v/>
      </c>
      <c r="AF1037" s="445"/>
      <c r="AG1037" s="445"/>
      <c r="AH1037" s="445"/>
    </row>
    <row r="1038" spans="1:34" s="1" customFormat="1" ht="15.75" customHeight="1" x14ac:dyDescent="0.15">
      <c r="A1038" s="73"/>
      <c r="E1038" s="233" t="s">
        <v>581</v>
      </c>
      <c r="F1038" s="234"/>
      <c r="G1038" s="450">
        <f>ROUND(SUM(P1022:S1037),1)</f>
        <v>1887.2</v>
      </c>
      <c r="H1038" s="451"/>
      <c r="I1038" s="451"/>
      <c r="J1038" s="451"/>
      <c r="K1038" s="451"/>
      <c r="L1038" s="451"/>
      <c r="M1038" s="451"/>
      <c r="N1038" s="451"/>
      <c r="O1038" s="451"/>
      <c r="P1038" s="451"/>
      <c r="Q1038" s="451"/>
      <c r="R1038" s="451"/>
      <c r="S1038" s="452"/>
      <c r="T1038" s="401" t="s">
        <v>581</v>
      </c>
      <c r="U1038" s="234"/>
      <c r="V1038" s="450">
        <f>ROUND(SUM(AE1022:AH1037),1)</f>
        <v>2201.3000000000002</v>
      </c>
      <c r="W1038" s="451"/>
      <c r="X1038" s="451"/>
      <c r="Y1038" s="451"/>
      <c r="Z1038" s="451"/>
      <c r="AA1038" s="451"/>
      <c r="AB1038" s="451"/>
      <c r="AC1038" s="451"/>
      <c r="AD1038" s="451"/>
      <c r="AE1038" s="451"/>
      <c r="AF1038" s="451"/>
      <c r="AG1038" s="451"/>
      <c r="AH1038" s="451"/>
    </row>
    <row r="1039" spans="1:34" s="1" customFormat="1" ht="15.75" customHeight="1" x14ac:dyDescent="0.15">
      <c r="A1039" s="73" t="str">
        <f>IF(A$289="","","×")</f>
        <v>×</v>
      </c>
      <c r="E1039" s="8"/>
      <c r="F1039" s="8"/>
      <c r="G1039" s="8"/>
      <c r="H1039" s="8"/>
      <c r="I1039" s="8"/>
      <c r="J1039" s="8"/>
      <c r="K1039" s="8"/>
      <c r="L1039" s="8"/>
      <c r="M1039" s="8"/>
      <c r="N1039" s="8"/>
      <c r="O1039" s="8"/>
      <c r="AA1039" s="2" t="s">
        <v>127</v>
      </c>
      <c r="AB1039" s="1" t="s">
        <v>548</v>
      </c>
      <c r="AC1039" s="76" t="s">
        <v>27</v>
      </c>
      <c r="AD1039" s="304">
        <f>AD1015</f>
        <v>3.1415926535897931</v>
      </c>
      <c r="AE1039" s="304"/>
      <c r="AF1039" s="304"/>
      <c r="AG1039" s="7" t="s">
        <v>549</v>
      </c>
      <c r="AH1039" s="76" t="s">
        <v>158</v>
      </c>
    </row>
    <row r="1040" spans="1:34" ht="15.75" customHeight="1" x14ac:dyDescent="0.15">
      <c r="A1040" s="73" t="str">
        <f>IF(A$289="","","×")</f>
        <v>×</v>
      </c>
    </row>
    <row r="1042" spans="1:35" s="1" customFormat="1" ht="15.75" customHeight="1" x14ac:dyDescent="0.15">
      <c r="A1042" s="73" t="str">
        <f>IF(A$311="","","×")</f>
        <v>×</v>
      </c>
      <c r="E1042" s="61" t="s">
        <v>601</v>
      </c>
      <c r="F1042" s="302"/>
      <c r="G1042" s="302"/>
      <c r="H1042" s="61"/>
      <c r="I1042" s="61"/>
      <c r="J1042" s="61"/>
      <c r="K1042" s="61"/>
      <c r="L1042" s="61"/>
      <c r="M1042" s="61"/>
      <c r="N1042" s="61"/>
      <c r="O1042" s="61"/>
      <c r="P1042" s="61"/>
      <c r="Q1042" s="61"/>
      <c r="R1042" s="61"/>
      <c r="S1042" s="61"/>
      <c r="T1042" s="61"/>
      <c r="U1042" s="61"/>
      <c r="V1042" s="61"/>
      <c r="W1042" s="61"/>
      <c r="X1042" s="61"/>
      <c r="Y1042" s="61"/>
      <c r="Z1042" s="61"/>
      <c r="AA1042" s="61"/>
      <c r="AB1042" s="61"/>
      <c r="AC1042" s="61"/>
      <c r="AD1042" s="61"/>
      <c r="AE1042" s="61"/>
      <c r="AF1042" s="61"/>
      <c r="AG1042" s="61"/>
      <c r="AH1042" s="61"/>
      <c r="AI1042" s="8"/>
    </row>
    <row r="1043" spans="1:35" s="1" customFormat="1" ht="15.75" customHeight="1" x14ac:dyDescent="0.15">
      <c r="A1043" s="73" t="str">
        <f>IF(A$311="","","×")</f>
        <v>×</v>
      </c>
      <c r="E1043" s="294" t="s">
        <v>546</v>
      </c>
      <c r="F1043" s="292"/>
      <c r="G1043" s="292"/>
      <c r="H1043" s="292"/>
      <c r="I1043" s="292"/>
      <c r="J1043" s="292"/>
      <c r="K1043" s="292"/>
      <c r="L1043" s="292"/>
      <c r="M1043" s="292"/>
      <c r="N1043" s="292"/>
      <c r="O1043" s="292"/>
      <c r="P1043" s="292"/>
      <c r="Q1043" s="292"/>
      <c r="R1043" s="292"/>
      <c r="S1043" s="293"/>
      <c r="T1043" s="273" t="s">
        <v>547</v>
      </c>
      <c r="U1043" s="131"/>
      <c r="V1043" s="131"/>
      <c r="W1043" s="131"/>
      <c r="X1043" s="131"/>
      <c r="Y1043" s="131"/>
      <c r="Z1043" s="131"/>
      <c r="AA1043" s="131"/>
      <c r="AB1043" s="131"/>
      <c r="AC1043" s="131"/>
      <c r="AD1043" s="131"/>
      <c r="AE1043" s="131"/>
      <c r="AF1043" s="131"/>
      <c r="AG1043" s="131"/>
      <c r="AH1043" s="132"/>
    </row>
    <row r="1044" spans="1:35" s="1" customFormat="1" ht="15.75" customHeight="1" x14ac:dyDescent="0.15">
      <c r="A1044" s="73" t="str">
        <f>IF(A$311="","","×")</f>
        <v>×</v>
      </c>
      <c r="E1044" s="159" t="s">
        <v>78</v>
      </c>
      <c r="F1044" s="160"/>
      <c r="G1044" s="291" t="s">
        <v>203</v>
      </c>
      <c r="H1044" s="161"/>
      <c r="I1044" s="161"/>
      <c r="J1044" s="222" t="s">
        <v>247</v>
      </c>
      <c r="K1044" s="138"/>
      <c r="L1044" s="215"/>
      <c r="M1044" s="222" t="s">
        <v>580</v>
      </c>
      <c r="N1044" s="138"/>
      <c r="O1044" s="215"/>
      <c r="P1044" s="222" t="s">
        <v>250</v>
      </c>
      <c r="Q1044" s="138"/>
      <c r="R1044" s="138"/>
      <c r="S1044" s="139"/>
      <c r="T1044" s="226" t="s">
        <v>78</v>
      </c>
      <c r="U1044" s="106"/>
      <c r="V1044" s="216" t="s">
        <v>203</v>
      </c>
      <c r="W1044" s="121"/>
      <c r="X1044" s="121"/>
      <c r="Y1044" s="277" t="s">
        <v>247</v>
      </c>
      <c r="Z1044" s="278"/>
      <c r="AA1044" s="279"/>
      <c r="AB1044" s="277" t="s">
        <v>580</v>
      </c>
      <c r="AC1044" s="278"/>
      <c r="AD1044" s="279"/>
      <c r="AE1044" s="277" t="s">
        <v>250</v>
      </c>
      <c r="AF1044" s="278"/>
      <c r="AG1044" s="278"/>
      <c r="AH1044" s="278"/>
    </row>
    <row r="1045" spans="1:35" s="1" customFormat="1" ht="15.75" customHeight="1" x14ac:dyDescent="0.15">
      <c r="A1045" s="73" t="str">
        <f>IF(A$311="","","×")</f>
        <v>×</v>
      </c>
      <c r="E1045" s="295"/>
      <c r="F1045" s="156"/>
      <c r="G1045" s="163"/>
      <c r="H1045" s="163"/>
      <c r="I1045" s="163"/>
      <c r="J1045" s="223"/>
      <c r="K1045" s="140"/>
      <c r="L1045" s="159"/>
      <c r="M1045" s="223"/>
      <c r="N1045" s="140"/>
      <c r="O1045" s="159"/>
      <c r="P1045" s="223"/>
      <c r="Q1045" s="140"/>
      <c r="R1045" s="140"/>
      <c r="S1045" s="141"/>
      <c r="T1045" s="290"/>
      <c r="U1045" s="156"/>
      <c r="V1045" s="163"/>
      <c r="W1045" s="163"/>
      <c r="X1045" s="163"/>
      <c r="Y1045" s="223"/>
      <c r="Z1045" s="140"/>
      <c r="AA1045" s="159"/>
      <c r="AB1045" s="223"/>
      <c r="AC1045" s="140"/>
      <c r="AD1045" s="159"/>
      <c r="AE1045" s="223"/>
      <c r="AF1045" s="140"/>
      <c r="AG1045" s="140"/>
      <c r="AH1045" s="140"/>
    </row>
    <row r="1046" spans="1:35" s="1" customFormat="1" ht="15.75" customHeight="1" x14ac:dyDescent="0.15">
      <c r="A1046" s="73" t="str">
        <f>IF(A$311="",IF(LEN(E1046)+LEN(T1046)=0,"×",""),"×")</f>
        <v>×</v>
      </c>
      <c r="E1046" s="412">
        <v>3</v>
      </c>
      <c r="F1046" s="398"/>
      <c r="G1046" s="125">
        <v>3</v>
      </c>
      <c r="H1046" s="125"/>
      <c r="I1046" s="125"/>
      <c r="J1046" s="423" t="s">
        <v>582</v>
      </c>
      <c r="K1046" s="424"/>
      <c r="L1046" s="412"/>
      <c r="M1046" s="426">
        <v>0</v>
      </c>
      <c r="N1046" s="426"/>
      <c r="O1046" s="426"/>
      <c r="P1046" s="441">
        <f>IF(M1046="","",M1046*G1046*$AD$1063)</f>
        <v>0</v>
      </c>
      <c r="Q1046" s="442"/>
      <c r="R1046" s="442"/>
      <c r="S1046" s="443"/>
      <c r="T1046" s="397">
        <v>3</v>
      </c>
      <c r="U1046" s="398"/>
      <c r="V1046" s="125">
        <v>3</v>
      </c>
      <c r="W1046" s="125"/>
      <c r="X1046" s="125"/>
      <c r="Y1046" s="423" t="s">
        <v>582</v>
      </c>
      <c r="Z1046" s="424"/>
      <c r="AA1046" s="412"/>
      <c r="AB1046" s="426">
        <v>0</v>
      </c>
      <c r="AC1046" s="426"/>
      <c r="AD1046" s="426"/>
      <c r="AE1046" s="441">
        <f>IF(AB1046="","",AB1046*V1046*$AD$1063)</f>
        <v>0</v>
      </c>
      <c r="AF1046" s="442"/>
      <c r="AG1046" s="442"/>
      <c r="AH1046" s="442"/>
    </row>
    <row r="1047" spans="1:35" s="1" customFormat="1" ht="15.75" customHeight="1" x14ac:dyDescent="0.15">
      <c r="A1047" s="73" t="str">
        <f>IF(A$311="",IF(LEN(E1047)+LEN(T1047)=0,"×",""),"×")</f>
        <v>×</v>
      </c>
      <c r="E1047" s="413">
        <v>4</v>
      </c>
      <c r="F1047" s="372"/>
      <c r="G1047" s="103">
        <v>0.53999996185302734</v>
      </c>
      <c r="H1047" s="103"/>
      <c r="I1047" s="103"/>
      <c r="J1047" s="427" t="s">
        <v>516</v>
      </c>
      <c r="K1047" s="428"/>
      <c r="L1047" s="413"/>
      <c r="M1047" s="429">
        <v>0</v>
      </c>
      <c r="N1047" s="429"/>
      <c r="O1047" s="429"/>
      <c r="P1047" s="444">
        <f>IF(M1047="","",M1047*G1047*$AD$1063)</f>
        <v>0</v>
      </c>
      <c r="Q1047" s="445"/>
      <c r="R1047" s="445"/>
      <c r="S1047" s="446"/>
      <c r="T1047" s="395">
        <v>4</v>
      </c>
      <c r="U1047" s="372"/>
      <c r="V1047" s="103">
        <v>0.53999996185302734</v>
      </c>
      <c r="W1047" s="103"/>
      <c r="X1047" s="103"/>
      <c r="Y1047" s="427" t="s">
        <v>516</v>
      </c>
      <c r="Z1047" s="428"/>
      <c r="AA1047" s="413"/>
      <c r="AB1047" s="429">
        <v>0</v>
      </c>
      <c r="AC1047" s="429"/>
      <c r="AD1047" s="429"/>
      <c r="AE1047" s="444">
        <f>IF(AB1047="","",AB1047*V1047*$AD$1063)</f>
        <v>0</v>
      </c>
      <c r="AF1047" s="445"/>
      <c r="AG1047" s="445"/>
      <c r="AH1047" s="445"/>
    </row>
    <row r="1048" spans="1:35" s="1" customFormat="1" ht="15.75" customHeight="1" x14ac:dyDescent="0.15">
      <c r="A1048" s="73" t="str">
        <f>IF(A$311="",IF(LEN(E1048)+LEN(T1048)=0,"×",""),"×")</f>
        <v>×</v>
      </c>
      <c r="E1048" s="413">
        <v>4</v>
      </c>
      <c r="F1048" s="372"/>
      <c r="G1048" s="103">
        <v>4.4600000381469727</v>
      </c>
      <c r="H1048" s="103"/>
      <c r="I1048" s="103"/>
      <c r="J1048" s="427" t="s">
        <v>516</v>
      </c>
      <c r="K1048" s="428"/>
      <c r="L1048" s="413"/>
      <c r="M1048" s="429">
        <v>45</v>
      </c>
      <c r="N1048" s="429"/>
      <c r="O1048" s="429"/>
      <c r="P1048" s="444">
        <f>IF(M1048="","",M1048*G1048*$AD$1063)</f>
        <v>630.51765096837266</v>
      </c>
      <c r="Q1048" s="445"/>
      <c r="R1048" s="445"/>
      <c r="S1048" s="446"/>
      <c r="T1048" s="395">
        <v>4</v>
      </c>
      <c r="U1048" s="372"/>
      <c r="V1048" s="103">
        <v>4.4600000381469727</v>
      </c>
      <c r="W1048" s="103"/>
      <c r="X1048" s="103"/>
      <c r="Y1048" s="427" t="s">
        <v>516</v>
      </c>
      <c r="Z1048" s="428"/>
      <c r="AA1048" s="413"/>
      <c r="AB1048" s="429">
        <v>45</v>
      </c>
      <c r="AC1048" s="429"/>
      <c r="AD1048" s="429"/>
      <c r="AE1048" s="444">
        <f>IF(AB1048="","",AB1048*V1048*$AD$1063)</f>
        <v>630.51765096837266</v>
      </c>
      <c r="AF1048" s="445"/>
      <c r="AG1048" s="445"/>
      <c r="AH1048" s="445"/>
    </row>
    <row r="1049" spans="1:35" s="1" customFormat="1" ht="15.75" customHeight="1" x14ac:dyDescent="0.15">
      <c r="A1049" s="73" t="str">
        <f>IF(A$311="",IF(LEN(E1049)+LEN(T1049)=0,"×",""),"×")</f>
        <v>×</v>
      </c>
      <c r="E1049" s="413">
        <v>5</v>
      </c>
      <c r="F1049" s="372"/>
      <c r="G1049" s="103">
        <v>8</v>
      </c>
      <c r="H1049" s="103"/>
      <c r="I1049" s="103"/>
      <c r="J1049" s="427" t="s">
        <v>582</v>
      </c>
      <c r="K1049" s="428"/>
      <c r="L1049" s="413"/>
      <c r="M1049" s="429">
        <v>25</v>
      </c>
      <c r="N1049" s="429"/>
      <c r="O1049" s="429"/>
      <c r="P1049" s="444">
        <f>IF(M1049="","",M1049*G1049*$AD$1063)</f>
        <v>628.31853071795865</v>
      </c>
      <c r="Q1049" s="445"/>
      <c r="R1049" s="445"/>
      <c r="S1049" s="446"/>
      <c r="T1049" s="395">
        <v>5</v>
      </c>
      <c r="U1049" s="372"/>
      <c r="V1049" s="103">
        <v>8</v>
      </c>
      <c r="W1049" s="103"/>
      <c r="X1049" s="103"/>
      <c r="Y1049" s="427" t="s">
        <v>582</v>
      </c>
      <c r="Z1049" s="428"/>
      <c r="AA1049" s="413"/>
      <c r="AB1049" s="429">
        <v>25</v>
      </c>
      <c r="AC1049" s="429"/>
      <c r="AD1049" s="429"/>
      <c r="AE1049" s="444">
        <f>IF(AB1049="","",AB1049*V1049*$AD$1063)</f>
        <v>628.31853071795865</v>
      </c>
      <c r="AF1049" s="445"/>
      <c r="AG1049" s="445"/>
      <c r="AH1049" s="445"/>
    </row>
    <row r="1050" spans="1:35" s="1" customFormat="1" ht="15.75" customHeight="1" x14ac:dyDescent="0.15">
      <c r="A1050" s="73" t="str">
        <f>IF(A$311="",IF(LEN(E1050)+LEN(T1050)=0,"×",""),"×")</f>
        <v>×</v>
      </c>
      <c r="E1050" s="413">
        <v>6</v>
      </c>
      <c r="F1050" s="372"/>
      <c r="G1050" s="103">
        <v>4</v>
      </c>
      <c r="H1050" s="103"/>
      <c r="I1050" s="103"/>
      <c r="J1050" s="427" t="s">
        <v>582</v>
      </c>
      <c r="K1050" s="428"/>
      <c r="L1050" s="413"/>
      <c r="M1050" s="429">
        <v>50</v>
      </c>
      <c r="N1050" s="429"/>
      <c r="O1050" s="429"/>
      <c r="P1050" s="444">
        <f>IF(M1050="","",M1050*G1050*$AD$1063)</f>
        <v>628.31853071795865</v>
      </c>
      <c r="Q1050" s="445"/>
      <c r="R1050" s="445"/>
      <c r="S1050" s="446"/>
      <c r="T1050" s="395">
        <v>6</v>
      </c>
      <c r="U1050" s="372"/>
      <c r="V1050" s="103">
        <v>4.5</v>
      </c>
      <c r="W1050" s="103"/>
      <c r="X1050" s="103"/>
      <c r="Y1050" s="427" t="s">
        <v>582</v>
      </c>
      <c r="Z1050" s="428"/>
      <c r="AA1050" s="413"/>
      <c r="AB1050" s="429">
        <v>50</v>
      </c>
      <c r="AC1050" s="429"/>
      <c r="AD1050" s="429"/>
      <c r="AE1050" s="444">
        <f>IF(AB1050="","",AB1050*V1050*$AD$1063)</f>
        <v>706.85834705770344</v>
      </c>
      <c r="AF1050" s="445"/>
      <c r="AG1050" s="445"/>
      <c r="AH1050" s="445"/>
    </row>
    <row r="1051" spans="1:35" s="1" customFormat="1" ht="15.75" customHeight="1" x14ac:dyDescent="0.15">
      <c r="A1051" s="73" t="str">
        <f>IF(A$311="",IF(LEN(E1051)+LEN(T1051)=0,"×",""),"×")</f>
        <v>×</v>
      </c>
      <c r="E1051" s="413">
        <v>6</v>
      </c>
      <c r="F1051" s="372"/>
      <c r="G1051" s="103">
        <v>0.5</v>
      </c>
      <c r="H1051" s="103"/>
      <c r="I1051" s="103"/>
      <c r="J1051" s="427" t="s">
        <v>582</v>
      </c>
      <c r="K1051" s="428"/>
      <c r="L1051" s="413"/>
      <c r="M1051" s="429">
        <v>0</v>
      </c>
      <c r="N1051" s="429"/>
      <c r="O1051" s="429"/>
      <c r="P1051" s="444">
        <f>IF(M1051="","",M1051*G1051*$AD$1063)</f>
        <v>0</v>
      </c>
      <c r="Q1051" s="445"/>
      <c r="R1051" s="445"/>
      <c r="S1051" s="446"/>
      <c r="T1051" s="395">
        <v>7</v>
      </c>
      <c r="U1051" s="372"/>
      <c r="V1051" s="103">
        <v>0.5</v>
      </c>
      <c r="W1051" s="103"/>
      <c r="X1051" s="103"/>
      <c r="Y1051" s="427" t="s">
        <v>517</v>
      </c>
      <c r="Z1051" s="428"/>
      <c r="AA1051" s="413"/>
      <c r="AB1051" s="429">
        <v>150</v>
      </c>
      <c r="AC1051" s="429"/>
      <c r="AD1051" s="429"/>
      <c r="AE1051" s="444">
        <f>IF(AB1051="","",AB1051*V1051*$AD$1063)</f>
        <v>235.61944901923448</v>
      </c>
      <c r="AF1051" s="445"/>
      <c r="AG1051" s="445"/>
      <c r="AH1051" s="445"/>
    </row>
    <row r="1052" spans="1:35" s="1" customFormat="1" ht="15.75" customHeight="1" x14ac:dyDescent="0.15">
      <c r="A1052" s="73" t="str">
        <f>IF(A$311="",IF(LEN(E1052)+LEN(T1052)=0,"×",""),"×")</f>
        <v>×</v>
      </c>
      <c r="E1052" s="413">
        <v>7</v>
      </c>
      <c r="F1052" s="372"/>
      <c r="G1052" s="103">
        <v>0.5</v>
      </c>
      <c r="H1052" s="103"/>
      <c r="I1052" s="103"/>
      <c r="J1052" s="427" t="s">
        <v>517</v>
      </c>
      <c r="K1052" s="428"/>
      <c r="L1052" s="413"/>
      <c r="M1052" s="429">
        <v>0</v>
      </c>
      <c r="N1052" s="429"/>
      <c r="O1052" s="429"/>
      <c r="P1052" s="444">
        <f>IF(M1052="","",M1052*G1052*$AD$1063)</f>
        <v>0</v>
      </c>
      <c r="Q1052" s="445"/>
      <c r="R1052" s="445"/>
      <c r="S1052" s="446"/>
      <c r="T1052" s="395"/>
      <c r="U1052" s="372"/>
      <c r="V1052" s="103"/>
      <c r="W1052" s="103"/>
      <c r="X1052" s="103"/>
      <c r="Y1052" s="427"/>
      <c r="Z1052" s="428"/>
      <c r="AA1052" s="413"/>
      <c r="AB1052" s="429"/>
      <c r="AC1052" s="429"/>
      <c r="AD1052" s="429"/>
      <c r="AE1052" s="444" t="str">
        <f>IF(AB1052="","",AB1052*V1052*$AD$1063)</f>
        <v/>
      </c>
      <c r="AF1052" s="445"/>
      <c r="AG1052" s="445"/>
      <c r="AH1052" s="445"/>
    </row>
    <row r="1053" spans="1:35" s="1" customFormat="1" ht="15.75" customHeight="1" x14ac:dyDescent="0.15">
      <c r="A1053" s="73" t="str">
        <f>IF(A$311="",IF(LEN(E1053)+LEN(T1053)=0,"×",""),"×")</f>
        <v>×</v>
      </c>
      <c r="E1053" s="413"/>
      <c r="F1053" s="372"/>
      <c r="G1053" s="103"/>
      <c r="H1053" s="103"/>
      <c r="I1053" s="103"/>
      <c r="J1053" s="427"/>
      <c r="K1053" s="428"/>
      <c r="L1053" s="413"/>
      <c r="M1053" s="429"/>
      <c r="N1053" s="429"/>
      <c r="O1053" s="429"/>
      <c r="P1053" s="444" t="str">
        <f>IF(M1053="","",M1053*G1053*$AD$1063)</f>
        <v/>
      </c>
      <c r="Q1053" s="445"/>
      <c r="R1053" s="445"/>
      <c r="S1053" s="446"/>
      <c r="T1053" s="395"/>
      <c r="U1053" s="372"/>
      <c r="V1053" s="103"/>
      <c r="W1053" s="103"/>
      <c r="X1053" s="103"/>
      <c r="Y1053" s="427"/>
      <c r="Z1053" s="428"/>
      <c r="AA1053" s="413"/>
      <c r="AB1053" s="429"/>
      <c r="AC1053" s="429"/>
      <c r="AD1053" s="429"/>
      <c r="AE1053" s="444" t="str">
        <f>IF(AB1053="","",AB1053*V1053*$AD$1063)</f>
        <v/>
      </c>
      <c r="AF1053" s="445"/>
      <c r="AG1053" s="445"/>
      <c r="AH1053" s="445"/>
    </row>
    <row r="1054" spans="1:35" s="1" customFormat="1" ht="15.75" customHeight="1" x14ac:dyDescent="0.15">
      <c r="A1054" s="73" t="str">
        <f>IF(A$311="",IF(LEN(E1054)+LEN(T1054)=0,"×",""),"×")</f>
        <v>×</v>
      </c>
      <c r="E1054" s="413"/>
      <c r="F1054" s="372"/>
      <c r="G1054" s="103"/>
      <c r="H1054" s="103"/>
      <c r="I1054" s="103"/>
      <c r="J1054" s="427"/>
      <c r="K1054" s="428"/>
      <c r="L1054" s="413"/>
      <c r="M1054" s="429"/>
      <c r="N1054" s="429"/>
      <c r="O1054" s="429"/>
      <c r="P1054" s="444" t="str">
        <f>IF(M1054="","",M1054*G1054*$AD$1063)</f>
        <v/>
      </c>
      <c r="Q1054" s="445"/>
      <c r="R1054" s="445"/>
      <c r="S1054" s="446"/>
      <c r="T1054" s="395"/>
      <c r="U1054" s="372"/>
      <c r="V1054" s="103"/>
      <c r="W1054" s="103"/>
      <c r="X1054" s="103"/>
      <c r="Y1054" s="427"/>
      <c r="Z1054" s="428"/>
      <c r="AA1054" s="413"/>
      <c r="AB1054" s="429"/>
      <c r="AC1054" s="429"/>
      <c r="AD1054" s="429"/>
      <c r="AE1054" s="444" t="str">
        <f>IF(AB1054="","",AB1054*V1054*$AD$1063)</f>
        <v/>
      </c>
      <c r="AF1054" s="445"/>
      <c r="AG1054" s="445"/>
      <c r="AH1054" s="445"/>
    </row>
    <row r="1055" spans="1:35" s="1" customFormat="1" ht="15.75" customHeight="1" x14ac:dyDescent="0.15">
      <c r="A1055" s="73" t="str">
        <f>IF(A$311="",IF(LEN(E1055)+LEN(T1055)=0,"×",""),"×")</f>
        <v>×</v>
      </c>
      <c r="E1055" s="413"/>
      <c r="F1055" s="372"/>
      <c r="G1055" s="103"/>
      <c r="H1055" s="103"/>
      <c r="I1055" s="103"/>
      <c r="J1055" s="427"/>
      <c r="K1055" s="428"/>
      <c r="L1055" s="413"/>
      <c r="M1055" s="429"/>
      <c r="N1055" s="429"/>
      <c r="O1055" s="429"/>
      <c r="P1055" s="444" t="str">
        <f>IF(M1055="","",M1055*G1055*$AD$1063)</f>
        <v/>
      </c>
      <c r="Q1055" s="445"/>
      <c r="R1055" s="445"/>
      <c r="S1055" s="446"/>
      <c r="T1055" s="395"/>
      <c r="U1055" s="372"/>
      <c r="V1055" s="103"/>
      <c r="W1055" s="103"/>
      <c r="X1055" s="103"/>
      <c r="Y1055" s="427"/>
      <c r="Z1055" s="428"/>
      <c r="AA1055" s="413"/>
      <c r="AB1055" s="429"/>
      <c r="AC1055" s="429"/>
      <c r="AD1055" s="429"/>
      <c r="AE1055" s="444" t="str">
        <f>IF(AB1055="","",AB1055*V1055*$AD$1063)</f>
        <v/>
      </c>
      <c r="AF1055" s="445"/>
      <c r="AG1055" s="445"/>
      <c r="AH1055" s="445"/>
    </row>
    <row r="1056" spans="1:35" s="1" customFormat="1" ht="15.75" customHeight="1" x14ac:dyDescent="0.15">
      <c r="A1056" s="73" t="str">
        <f>IF(A$311="",IF(LEN(E1056)+LEN(T1056)=0,"×",""),"×")</f>
        <v>×</v>
      </c>
      <c r="E1056" s="413"/>
      <c r="F1056" s="372"/>
      <c r="G1056" s="103"/>
      <c r="H1056" s="103"/>
      <c r="I1056" s="103"/>
      <c r="J1056" s="427"/>
      <c r="K1056" s="428"/>
      <c r="L1056" s="413"/>
      <c r="M1056" s="429"/>
      <c r="N1056" s="429"/>
      <c r="O1056" s="429"/>
      <c r="P1056" s="444" t="str">
        <f>IF(M1056="","",M1056*G1056*$AD$1063)</f>
        <v/>
      </c>
      <c r="Q1056" s="445"/>
      <c r="R1056" s="445"/>
      <c r="S1056" s="446"/>
      <c r="T1056" s="395"/>
      <c r="U1056" s="372"/>
      <c r="V1056" s="103"/>
      <c r="W1056" s="103"/>
      <c r="X1056" s="103"/>
      <c r="Y1056" s="427"/>
      <c r="Z1056" s="428"/>
      <c r="AA1056" s="413"/>
      <c r="AB1056" s="429"/>
      <c r="AC1056" s="429"/>
      <c r="AD1056" s="429"/>
      <c r="AE1056" s="444" t="str">
        <f>IF(AB1056="","",AB1056*V1056*$AD$1063)</f>
        <v/>
      </c>
      <c r="AF1056" s="445"/>
      <c r="AG1056" s="445"/>
      <c r="AH1056" s="445"/>
    </row>
    <row r="1057" spans="1:34" s="1" customFormat="1" ht="15.75" customHeight="1" x14ac:dyDescent="0.15">
      <c r="A1057" s="73" t="str">
        <f>IF(A$311="",IF(LEN(E1057)+LEN(T1057)=0,"×",""),"×")</f>
        <v>×</v>
      </c>
      <c r="E1057" s="413"/>
      <c r="F1057" s="372"/>
      <c r="G1057" s="103"/>
      <c r="H1057" s="103"/>
      <c r="I1057" s="103"/>
      <c r="J1057" s="427"/>
      <c r="K1057" s="428"/>
      <c r="L1057" s="413"/>
      <c r="M1057" s="429"/>
      <c r="N1057" s="429"/>
      <c r="O1057" s="429"/>
      <c r="P1057" s="444" t="str">
        <f>IF(M1057="","",M1057*G1057*$AD$1063)</f>
        <v/>
      </c>
      <c r="Q1057" s="445"/>
      <c r="R1057" s="445"/>
      <c r="S1057" s="446"/>
      <c r="T1057" s="395"/>
      <c r="U1057" s="372"/>
      <c r="V1057" s="103"/>
      <c r="W1057" s="103"/>
      <c r="X1057" s="103"/>
      <c r="Y1057" s="427"/>
      <c r="Z1057" s="428"/>
      <c r="AA1057" s="413"/>
      <c r="AB1057" s="429"/>
      <c r="AC1057" s="429"/>
      <c r="AD1057" s="429"/>
      <c r="AE1057" s="444" t="str">
        <f>IF(AB1057="","",AB1057*V1057*$AD$1063)</f>
        <v/>
      </c>
      <c r="AF1057" s="445"/>
      <c r="AG1057" s="445"/>
      <c r="AH1057" s="445"/>
    </row>
    <row r="1058" spans="1:34" s="1" customFormat="1" ht="15.75" customHeight="1" x14ac:dyDescent="0.15">
      <c r="A1058" s="73" t="str">
        <f>IF(A$311="",IF(LEN(E1058)+LEN(T1058)=0,"×",""),"×")</f>
        <v>×</v>
      </c>
      <c r="E1058" s="413"/>
      <c r="F1058" s="372"/>
      <c r="G1058" s="103"/>
      <c r="H1058" s="103"/>
      <c r="I1058" s="103"/>
      <c r="J1058" s="427"/>
      <c r="K1058" s="428"/>
      <c r="L1058" s="413"/>
      <c r="M1058" s="429"/>
      <c r="N1058" s="429"/>
      <c r="O1058" s="429"/>
      <c r="P1058" s="444" t="str">
        <f>IF(M1058="","",M1058*G1058*$AD$1063)</f>
        <v/>
      </c>
      <c r="Q1058" s="445"/>
      <c r="R1058" s="445"/>
      <c r="S1058" s="446"/>
      <c r="T1058" s="395"/>
      <c r="U1058" s="372"/>
      <c r="V1058" s="103"/>
      <c r="W1058" s="103"/>
      <c r="X1058" s="103"/>
      <c r="Y1058" s="427"/>
      <c r="Z1058" s="428"/>
      <c r="AA1058" s="413"/>
      <c r="AB1058" s="429"/>
      <c r="AC1058" s="429"/>
      <c r="AD1058" s="429"/>
      <c r="AE1058" s="444" t="str">
        <f>IF(AB1058="","",AB1058*V1058*$AD$1063)</f>
        <v/>
      </c>
      <c r="AF1058" s="445"/>
      <c r="AG1058" s="445"/>
      <c r="AH1058" s="445"/>
    </row>
    <row r="1059" spans="1:34" s="1" customFormat="1" ht="15.75" customHeight="1" x14ac:dyDescent="0.15">
      <c r="A1059" s="73" t="str">
        <f>IF(A$311="",IF(LEN(E1059)+LEN(T1059)=0,"×",""),"×")</f>
        <v>×</v>
      </c>
      <c r="E1059" s="413"/>
      <c r="F1059" s="372"/>
      <c r="G1059" s="103"/>
      <c r="H1059" s="103"/>
      <c r="I1059" s="103"/>
      <c r="J1059" s="427"/>
      <c r="K1059" s="428"/>
      <c r="L1059" s="413"/>
      <c r="M1059" s="429"/>
      <c r="N1059" s="429"/>
      <c r="O1059" s="429"/>
      <c r="P1059" s="444" t="str">
        <f>IF(M1059="","",M1059*G1059*$AD$1063)</f>
        <v/>
      </c>
      <c r="Q1059" s="445"/>
      <c r="R1059" s="445"/>
      <c r="S1059" s="446"/>
      <c r="T1059" s="395"/>
      <c r="U1059" s="372"/>
      <c r="V1059" s="103"/>
      <c r="W1059" s="103"/>
      <c r="X1059" s="103"/>
      <c r="Y1059" s="427"/>
      <c r="Z1059" s="428"/>
      <c r="AA1059" s="413"/>
      <c r="AB1059" s="429"/>
      <c r="AC1059" s="429"/>
      <c r="AD1059" s="429"/>
      <c r="AE1059" s="444" t="str">
        <f>IF(AB1059="","",AB1059*V1059*$AD$1063)</f>
        <v/>
      </c>
      <c r="AF1059" s="445"/>
      <c r="AG1059" s="445"/>
      <c r="AH1059" s="445"/>
    </row>
    <row r="1060" spans="1:34" s="1" customFormat="1" ht="15.75" customHeight="1" x14ac:dyDescent="0.15">
      <c r="A1060" s="73" t="str">
        <f>IF(A$311="",IF(LEN(E1060)+LEN(T1060)=0,"×",""),"×")</f>
        <v>×</v>
      </c>
      <c r="E1060" s="413"/>
      <c r="F1060" s="372"/>
      <c r="G1060" s="103"/>
      <c r="H1060" s="103"/>
      <c r="I1060" s="103"/>
      <c r="J1060" s="427"/>
      <c r="K1060" s="428"/>
      <c r="L1060" s="413"/>
      <c r="M1060" s="429"/>
      <c r="N1060" s="429"/>
      <c r="O1060" s="429"/>
      <c r="P1060" s="444" t="str">
        <f>IF(M1060="","",M1060*G1060*$AD$1063)</f>
        <v/>
      </c>
      <c r="Q1060" s="445"/>
      <c r="R1060" s="445"/>
      <c r="S1060" s="446"/>
      <c r="T1060" s="395"/>
      <c r="U1060" s="372"/>
      <c r="V1060" s="103"/>
      <c r="W1060" s="103"/>
      <c r="X1060" s="103"/>
      <c r="Y1060" s="427"/>
      <c r="Z1060" s="428"/>
      <c r="AA1060" s="413"/>
      <c r="AB1060" s="429"/>
      <c r="AC1060" s="429"/>
      <c r="AD1060" s="429"/>
      <c r="AE1060" s="444" t="str">
        <f>IF(AB1060="","",AB1060*V1060*$AD$1063)</f>
        <v/>
      </c>
      <c r="AF1060" s="445"/>
      <c r="AG1060" s="445"/>
      <c r="AH1060" s="445"/>
    </row>
    <row r="1061" spans="1:34" s="1" customFormat="1" ht="15.75" customHeight="1" x14ac:dyDescent="0.15">
      <c r="A1061" s="73" t="str">
        <f>IF(A$311="",IF(LEN(E1061)+LEN(T1061)=0,"×",""),"×")</f>
        <v>×</v>
      </c>
      <c r="E1061" s="413"/>
      <c r="F1061" s="372"/>
      <c r="G1061" s="103"/>
      <c r="H1061" s="103"/>
      <c r="I1061" s="103"/>
      <c r="J1061" s="427"/>
      <c r="K1061" s="428"/>
      <c r="L1061" s="413"/>
      <c r="M1061" s="429"/>
      <c r="N1061" s="429"/>
      <c r="O1061" s="429"/>
      <c r="P1061" s="444" t="str">
        <f>IF(M1061="","",M1061*G1061*$AD$1063)</f>
        <v/>
      </c>
      <c r="Q1061" s="445"/>
      <c r="R1061" s="445"/>
      <c r="S1061" s="446"/>
      <c r="T1061" s="395"/>
      <c r="U1061" s="372"/>
      <c r="V1061" s="103"/>
      <c r="W1061" s="103"/>
      <c r="X1061" s="103"/>
      <c r="Y1061" s="427"/>
      <c r="Z1061" s="428"/>
      <c r="AA1061" s="413"/>
      <c r="AB1061" s="429"/>
      <c r="AC1061" s="429"/>
      <c r="AD1061" s="429"/>
      <c r="AE1061" s="444" t="str">
        <f>IF(AB1061="","",AB1061*V1061*$AD$1063)</f>
        <v/>
      </c>
      <c r="AF1061" s="445"/>
      <c r="AG1061" s="445"/>
      <c r="AH1061" s="445"/>
    </row>
    <row r="1062" spans="1:34" s="1" customFormat="1" ht="15.75" customHeight="1" x14ac:dyDescent="0.15">
      <c r="A1062" s="73"/>
      <c r="E1062" s="233" t="s">
        <v>581</v>
      </c>
      <c r="F1062" s="234"/>
      <c r="G1062" s="450">
        <f>ROUND(SUM(P1046:S1061),1)</f>
        <v>1887.2</v>
      </c>
      <c r="H1062" s="451"/>
      <c r="I1062" s="451"/>
      <c r="J1062" s="451"/>
      <c r="K1062" s="451"/>
      <c r="L1062" s="451"/>
      <c r="M1062" s="451"/>
      <c r="N1062" s="451"/>
      <c r="O1062" s="451"/>
      <c r="P1062" s="451"/>
      <c r="Q1062" s="451"/>
      <c r="R1062" s="451"/>
      <c r="S1062" s="452"/>
      <c r="T1062" s="401" t="s">
        <v>581</v>
      </c>
      <c r="U1062" s="234"/>
      <c r="V1062" s="450">
        <f>ROUND(SUM(AE1046:AH1061),1)</f>
        <v>2201.3000000000002</v>
      </c>
      <c r="W1062" s="451"/>
      <c r="X1062" s="451"/>
      <c r="Y1062" s="451"/>
      <c r="Z1062" s="451"/>
      <c r="AA1062" s="451"/>
      <c r="AB1062" s="451"/>
      <c r="AC1062" s="451"/>
      <c r="AD1062" s="451"/>
      <c r="AE1062" s="451"/>
      <c r="AF1062" s="451"/>
      <c r="AG1062" s="451"/>
      <c r="AH1062" s="451"/>
    </row>
    <row r="1063" spans="1:34" s="1" customFormat="1" ht="15.75" customHeight="1" x14ac:dyDescent="0.15">
      <c r="A1063" s="73" t="str">
        <f>IF(A$311="","","×")</f>
        <v>×</v>
      </c>
      <c r="E1063" s="8"/>
      <c r="F1063" s="8"/>
      <c r="G1063" s="8"/>
      <c r="H1063" s="8"/>
      <c r="I1063" s="8"/>
      <c r="J1063" s="8"/>
      <c r="K1063" s="8"/>
      <c r="L1063" s="8"/>
      <c r="M1063" s="8"/>
      <c r="N1063" s="8"/>
      <c r="O1063" s="8"/>
      <c r="AA1063" s="2" t="s">
        <v>127</v>
      </c>
      <c r="AB1063" s="1" t="s">
        <v>548</v>
      </c>
      <c r="AC1063" s="76" t="s">
        <v>27</v>
      </c>
      <c r="AD1063" s="304">
        <f>AD1039</f>
        <v>3.1415926535897931</v>
      </c>
      <c r="AE1063" s="304"/>
      <c r="AF1063" s="304"/>
      <c r="AG1063" s="7" t="s">
        <v>549</v>
      </c>
      <c r="AH1063" s="76" t="s">
        <v>158</v>
      </c>
    </row>
    <row r="1064" spans="1:34" ht="15.75" customHeight="1" x14ac:dyDescent="0.15">
      <c r="A1064" s="73" t="str">
        <f>IF(A$311="","","×")</f>
        <v>×</v>
      </c>
    </row>
    <row r="1065" spans="1:34" s="1" customFormat="1" ht="15.75" customHeight="1" x14ac:dyDescent="0.15"/>
    <row r="1066" spans="1:34" s="307" customFormat="1" ht="15.75" customHeight="1" x14ac:dyDescent="0.15">
      <c r="G1066" s="76"/>
      <c r="H1066" s="76"/>
      <c r="I1066" s="76"/>
      <c r="J1066" s="9"/>
      <c r="K1066" s="9"/>
      <c r="L1066" s="9"/>
      <c r="M1066" s="76"/>
      <c r="N1066" s="76"/>
      <c r="O1066" s="76"/>
      <c r="P1066" s="76"/>
      <c r="Q1066" s="77"/>
      <c r="R1066" s="77"/>
      <c r="S1066" s="77"/>
      <c r="T1066" s="9"/>
      <c r="U1066" s="9"/>
      <c r="V1066" s="9"/>
      <c r="W1066" s="77"/>
      <c r="X1066" s="77"/>
      <c r="Y1066" s="77"/>
      <c r="Z1066" s="77"/>
      <c r="AA1066" s="77"/>
      <c r="AB1066" s="77"/>
      <c r="AC1066" s="77"/>
      <c r="AD1066" s="77"/>
    </row>
    <row r="1067" spans="1:34" s="307" customFormat="1" ht="15.75" customHeight="1" x14ac:dyDescent="0.15">
      <c r="D1067" s="10" t="s">
        <v>251</v>
      </c>
    </row>
    <row r="1068" spans="1:34" s="307" customFormat="1" ht="15.75" customHeight="1" x14ac:dyDescent="0.15"/>
    <row r="1069" spans="1:34" s="307" customFormat="1" ht="15.75" customHeight="1" x14ac:dyDescent="0.15">
      <c r="E1069" s="1" t="s">
        <v>252</v>
      </c>
    </row>
    <row r="1070" spans="1:34" s="307" customFormat="1" ht="15.75" customHeight="1" x14ac:dyDescent="0.15">
      <c r="F1070" s="307" t="s">
        <v>260</v>
      </c>
    </row>
    <row r="1071" spans="1:34" s="307" customFormat="1" ht="15.75" customHeight="1" x14ac:dyDescent="0.15">
      <c r="F1071" s="307" t="s">
        <v>261</v>
      </c>
    </row>
    <row r="1072" spans="1:34" s="307" customFormat="1" ht="15.75" customHeight="1" x14ac:dyDescent="0.15"/>
    <row r="1073" spans="5:31" s="307" customFormat="1" ht="15.75" customHeight="1" x14ac:dyDescent="0.15">
      <c r="E1073" s="162" t="s">
        <v>253</v>
      </c>
      <c r="F1073" s="162"/>
      <c r="G1073" s="76" t="s">
        <v>27</v>
      </c>
      <c r="H1073" s="162" t="s">
        <v>254</v>
      </c>
      <c r="I1073" s="162"/>
      <c r="J1073" s="307" t="s">
        <v>1</v>
      </c>
      <c r="K1073" s="162" t="s">
        <v>212</v>
      </c>
      <c r="L1073" s="162"/>
    </row>
    <row r="1074" spans="5:31" s="307" customFormat="1" ht="15.75" customHeight="1" x14ac:dyDescent="0.15">
      <c r="G1074" s="76" t="s">
        <v>27</v>
      </c>
      <c r="H1074" s="162" t="s">
        <v>254</v>
      </c>
      <c r="I1074" s="162"/>
      <c r="J1074" s="307" t="s">
        <v>1</v>
      </c>
      <c r="K1074" s="307" t="s">
        <v>255</v>
      </c>
    </row>
    <row r="1075" spans="5:31" s="307" customFormat="1" ht="15.75" customHeight="1" x14ac:dyDescent="0.15"/>
    <row r="1076" spans="5:31" s="307" customFormat="1" ht="15.75" customHeight="1" x14ac:dyDescent="0.15">
      <c r="F1076" s="1" t="s">
        <v>3</v>
      </c>
      <c r="G1076" s="1"/>
      <c r="H1076" s="1"/>
      <c r="I1076" s="162" t="s">
        <v>253</v>
      </c>
      <c r="J1076" s="162"/>
      <c r="K1076" s="76" t="s">
        <v>2</v>
      </c>
      <c r="L1076" s="1" t="s">
        <v>256</v>
      </c>
    </row>
    <row r="1077" spans="5:31" s="307" customFormat="1" ht="15.75" customHeight="1" x14ac:dyDescent="0.15">
      <c r="F1077" s="1"/>
      <c r="G1077" s="1"/>
      <c r="H1077" s="1"/>
      <c r="I1077" s="162" t="s">
        <v>212</v>
      </c>
      <c r="J1077" s="162"/>
      <c r="K1077" s="76" t="s">
        <v>2</v>
      </c>
      <c r="L1077" s="1" t="s">
        <v>257</v>
      </c>
    </row>
    <row r="1078" spans="5:31" s="307" customFormat="1" ht="15.75" customHeight="1" x14ac:dyDescent="0.15">
      <c r="I1078" s="162" t="s">
        <v>213</v>
      </c>
      <c r="J1078" s="162"/>
      <c r="K1078" s="76" t="s">
        <v>2</v>
      </c>
      <c r="L1078" s="1" t="s">
        <v>223</v>
      </c>
    </row>
    <row r="1079" spans="5:31" s="307" customFormat="1" ht="15.75" customHeight="1" x14ac:dyDescent="0.15">
      <c r="I1079" s="162" t="s">
        <v>215</v>
      </c>
      <c r="J1079" s="162"/>
      <c r="K1079" s="76" t="s">
        <v>2</v>
      </c>
      <c r="L1079" s="1" t="s">
        <v>258</v>
      </c>
    </row>
    <row r="1080" spans="5:31" s="307" customFormat="1" ht="15.75" customHeight="1" x14ac:dyDescent="0.15">
      <c r="I1080" s="162" t="s">
        <v>254</v>
      </c>
      <c r="J1080" s="162"/>
      <c r="K1080" s="76" t="s">
        <v>2</v>
      </c>
      <c r="L1080" s="307" t="s">
        <v>263</v>
      </c>
    </row>
    <row r="1081" spans="5:31" s="307" customFormat="1" ht="15.75" customHeight="1" x14ac:dyDescent="0.15">
      <c r="L1081" s="307" t="s">
        <v>264</v>
      </c>
    </row>
    <row r="1082" spans="5:31" s="307" customFormat="1" ht="15.75" customHeight="1" x14ac:dyDescent="0.15">
      <c r="L1082" s="307" t="s">
        <v>262</v>
      </c>
    </row>
    <row r="1083" spans="5:31" s="307" customFormat="1" ht="15.75" customHeight="1" x14ac:dyDescent="0.15">
      <c r="L1083" s="307" t="s">
        <v>259</v>
      </c>
    </row>
    <row r="1084" spans="5:31" s="307" customFormat="1" ht="15.75" customHeight="1" x14ac:dyDescent="0.15"/>
    <row r="1085" spans="5:31" ht="15.75" customHeight="1" x14ac:dyDescent="0.15">
      <c r="E1085" s="1" t="s">
        <v>604</v>
      </c>
    </row>
    <row r="1086" spans="5:31" ht="15.75" customHeight="1" x14ac:dyDescent="0.15">
      <c r="E1086" s="1" t="s">
        <v>605</v>
      </c>
    </row>
    <row r="1087" spans="5:31" s="307" customFormat="1" ht="15.75" customHeight="1" x14ac:dyDescent="0.15"/>
    <row r="1088" spans="5:31" s="307" customFormat="1" ht="15.75" customHeight="1" x14ac:dyDescent="0.15">
      <c r="E1088" s="61" t="s">
        <v>378</v>
      </c>
      <c r="F1088" s="302"/>
      <c r="G1088" s="302"/>
      <c r="H1088" s="302"/>
      <c r="I1088" s="302"/>
      <c r="J1088" s="302"/>
      <c r="K1088" s="61"/>
      <c r="L1088" s="61"/>
      <c r="M1088" s="61"/>
      <c r="N1088" s="61"/>
      <c r="O1088" s="61"/>
      <c r="P1088" s="61"/>
      <c r="Q1088" s="61"/>
      <c r="R1088" s="61"/>
      <c r="S1088" s="61"/>
      <c r="T1088" s="61"/>
      <c r="U1088" s="61"/>
      <c r="V1088" s="61"/>
      <c r="W1088" s="61"/>
      <c r="X1088" s="61"/>
      <c r="Y1088" s="61"/>
      <c r="Z1088" s="61"/>
      <c r="AA1088" s="302"/>
      <c r="AB1088" s="302"/>
      <c r="AC1088" s="302"/>
      <c r="AD1088" s="302"/>
      <c r="AE1088" s="302"/>
    </row>
    <row r="1089" spans="1:31" s="307" customFormat="1" ht="15.75" customHeight="1" x14ac:dyDescent="0.15">
      <c r="E1089" s="130" t="s">
        <v>265</v>
      </c>
      <c r="F1089" s="131"/>
      <c r="G1089" s="131"/>
      <c r="H1089" s="131" t="s">
        <v>267</v>
      </c>
      <c r="I1089" s="131"/>
      <c r="J1089" s="131"/>
      <c r="K1089" s="131"/>
      <c r="L1089" s="131"/>
      <c r="M1089" s="131"/>
      <c r="N1089" s="105" t="s">
        <v>268</v>
      </c>
      <c r="O1089" s="131"/>
      <c r="P1089" s="131"/>
      <c r="Q1089" s="105" t="s">
        <v>272</v>
      </c>
      <c r="R1089" s="131"/>
      <c r="S1089" s="131"/>
      <c r="T1089" s="105" t="s">
        <v>273</v>
      </c>
      <c r="U1089" s="131"/>
      <c r="V1089" s="131"/>
      <c r="W1089" s="105" t="s">
        <v>271</v>
      </c>
      <c r="X1089" s="131"/>
      <c r="Y1089" s="131"/>
      <c r="Z1089" s="105" t="s">
        <v>269</v>
      </c>
      <c r="AA1089" s="131"/>
      <c r="AB1089" s="131"/>
      <c r="AC1089" s="105" t="s">
        <v>270</v>
      </c>
      <c r="AD1089" s="131"/>
      <c r="AE1089" s="132"/>
    </row>
    <row r="1090" spans="1:31" s="307" customFormat="1" ht="15.75" customHeight="1" x14ac:dyDescent="0.15">
      <c r="E1090" s="98"/>
      <c r="F1090" s="99"/>
      <c r="G1090" s="99"/>
      <c r="H1090" s="99"/>
      <c r="I1090" s="99"/>
      <c r="J1090" s="99"/>
      <c r="K1090" s="99"/>
      <c r="L1090" s="99"/>
      <c r="M1090" s="99"/>
      <c r="N1090" s="99"/>
      <c r="O1090" s="99"/>
      <c r="P1090" s="99"/>
      <c r="Q1090" s="99"/>
      <c r="R1090" s="99"/>
      <c r="S1090" s="99"/>
      <c r="T1090" s="99"/>
      <c r="U1090" s="99"/>
      <c r="V1090" s="99"/>
      <c r="W1090" s="99"/>
      <c r="X1090" s="99"/>
      <c r="Y1090" s="99"/>
      <c r="Z1090" s="99"/>
      <c r="AA1090" s="99"/>
      <c r="AB1090" s="99"/>
      <c r="AC1090" s="99"/>
      <c r="AD1090" s="99"/>
      <c r="AE1090" s="133"/>
    </row>
    <row r="1091" spans="1:31" s="307" customFormat="1" ht="15.75" customHeight="1" x14ac:dyDescent="0.15">
      <c r="E1091" s="130" t="s">
        <v>276</v>
      </c>
      <c r="F1091" s="131"/>
      <c r="G1091" s="131"/>
      <c r="H1091" s="131" t="s">
        <v>274</v>
      </c>
      <c r="I1091" s="131"/>
      <c r="J1091" s="131"/>
      <c r="K1091" s="131"/>
      <c r="L1091" s="131"/>
      <c r="M1091" s="131"/>
      <c r="N1091" s="184">
        <f>H851</f>
        <v>3298.6722862692827</v>
      </c>
      <c r="O1091" s="184"/>
      <c r="P1091" s="184"/>
      <c r="Q1091" s="184">
        <f>G894</f>
        <v>1963.5</v>
      </c>
      <c r="R1091" s="184"/>
      <c r="S1091" s="184"/>
      <c r="T1091" s="184">
        <f>N1091+Q1091</f>
        <v>5262.1722862692823</v>
      </c>
      <c r="U1091" s="184"/>
      <c r="V1091" s="184"/>
      <c r="W1091" s="454">
        <f>N1091/T1091</f>
        <v>0.62686512467039346</v>
      </c>
      <c r="X1091" s="454"/>
      <c r="Y1091" s="454"/>
      <c r="Z1091" s="455">
        <f>g地盤抵抗係数(1,W1091)</f>
        <v>0.34699999999999998</v>
      </c>
      <c r="AA1091" s="455"/>
      <c r="AB1091" s="455"/>
      <c r="AC1091" s="184">
        <f>Z1091*T1091</f>
        <v>1825.9737833354409</v>
      </c>
      <c r="AD1091" s="184"/>
      <c r="AE1091" s="425"/>
    </row>
    <row r="1092" spans="1:31" s="307" customFormat="1" ht="15.75" customHeight="1" x14ac:dyDescent="0.15">
      <c r="E1092" s="93"/>
      <c r="F1092" s="94"/>
      <c r="G1092" s="94"/>
      <c r="H1092" s="94" t="s">
        <v>275</v>
      </c>
      <c r="I1092" s="94"/>
      <c r="J1092" s="94"/>
      <c r="K1092" s="94"/>
      <c r="L1092" s="94"/>
      <c r="M1092" s="94"/>
      <c r="N1092" s="96"/>
      <c r="O1092" s="96"/>
      <c r="P1092" s="96"/>
      <c r="Q1092" s="96">
        <f>G918</f>
        <v>2038.9</v>
      </c>
      <c r="R1092" s="96"/>
      <c r="S1092" s="96"/>
      <c r="T1092" s="96">
        <f>N1091+Q1092</f>
        <v>5337.5722862692828</v>
      </c>
      <c r="U1092" s="96"/>
      <c r="V1092" s="96"/>
      <c r="W1092" s="97">
        <f>N1091/T1092</f>
        <v>0.61800985716952284</v>
      </c>
      <c r="X1092" s="97"/>
      <c r="Y1092" s="97"/>
      <c r="Z1092" s="453">
        <f>g地盤抵抗係数(2,W1092)</f>
        <v>0.48799999999999999</v>
      </c>
      <c r="AA1092" s="453"/>
      <c r="AB1092" s="453"/>
      <c r="AC1092" s="96">
        <f>Z1092*T1092</f>
        <v>2604.7352756994101</v>
      </c>
      <c r="AD1092" s="96"/>
      <c r="AE1092" s="374"/>
    </row>
    <row r="1093" spans="1:31" s="307" customFormat="1" ht="15.75" customHeight="1" x14ac:dyDescent="0.15">
      <c r="E1093" s="93" t="s">
        <v>277</v>
      </c>
      <c r="F1093" s="94"/>
      <c r="G1093" s="94"/>
      <c r="H1093" s="94" t="s">
        <v>377</v>
      </c>
      <c r="I1093" s="94"/>
      <c r="J1093" s="94"/>
      <c r="K1093" s="94"/>
      <c r="L1093" s="94"/>
      <c r="M1093" s="94"/>
      <c r="N1093" s="96"/>
      <c r="O1093" s="96"/>
      <c r="P1093" s="96"/>
      <c r="Q1093" s="96"/>
      <c r="R1093" s="96"/>
      <c r="S1093" s="96"/>
      <c r="T1093" s="96"/>
      <c r="U1093" s="96"/>
      <c r="V1093" s="96"/>
      <c r="W1093" s="97"/>
      <c r="X1093" s="97"/>
      <c r="Y1093" s="97"/>
      <c r="Z1093" s="453">
        <f>g地盤抵抗係数(3,W1092)</f>
        <v>0.72</v>
      </c>
      <c r="AA1093" s="453"/>
      <c r="AB1093" s="453"/>
      <c r="AC1093" s="96">
        <f>Z1093*T1092</f>
        <v>3843.0520461138835</v>
      </c>
      <c r="AD1093" s="96"/>
      <c r="AE1093" s="374"/>
    </row>
    <row r="1094" spans="1:31" s="307" customFormat="1" ht="28.5" customHeight="1" x14ac:dyDescent="0.15">
      <c r="E1094" s="93" t="s">
        <v>278</v>
      </c>
      <c r="F1094" s="94"/>
      <c r="G1094" s="94"/>
      <c r="H1094" s="122" t="s">
        <v>279</v>
      </c>
      <c r="I1094" s="94"/>
      <c r="J1094" s="94"/>
      <c r="K1094" s="94"/>
      <c r="L1094" s="94"/>
      <c r="M1094" s="94"/>
      <c r="N1094" s="96"/>
      <c r="O1094" s="96"/>
      <c r="P1094" s="96"/>
      <c r="Q1094" s="96">
        <f>G942</f>
        <v>1887.2</v>
      </c>
      <c r="R1094" s="96"/>
      <c r="S1094" s="96"/>
      <c r="T1094" s="96">
        <f>N1091+Q1094</f>
        <v>5185.872286269283</v>
      </c>
      <c r="U1094" s="96"/>
      <c r="V1094" s="96"/>
      <c r="W1094" s="97">
        <f>N1091/T1094</f>
        <v>0.63608822280549215</v>
      </c>
      <c r="X1094" s="97"/>
      <c r="Y1094" s="97"/>
      <c r="Z1094" s="453">
        <f>g地盤抵抗係数(4,W1094)</f>
        <v>0.75800000000000001</v>
      </c>
      <c r="AA1094" s="453"/>
      <c r="AB1094" s="453"/>
      <c r="AC1094" s="96">
        <f>Z1094*T1094</f>
        <v>3930.8911929921164</v>
      </c>
      <c r="AD1094" s="96"/>
      <c r="AE1094" s="374"/>
    </row>
    <row r="1095" spans="1:31" s="307" customFormat="1" ht="28.5" customHeight="1" x14ac:dyDescent="0.15">
      <c r="E1095" s="93"/>
      <c r="F1095" s="94"/>
      <c r="G1095" s="94"/>
      <c r="H1095" s="122" t="s">
        <v>280</v>
      </c>
      <c r="I1095" s="94"/>
      <c r="J1095" s="94"/>
      <c r="K1095" s="94"/>
      <c r="L1095" s="94"/>
      <c r="M1095" s="94"/>
      <c r="N1095" s="96"/>
      <c r="O1095" s="96"/>
      <c r="P1095" s="96"/>
      <c r="Q1095" s="96"/>
      <c r="R1095" s="96"/>
      <c r="S1095" s="96"/>
      <c r="T1095" s="96"/>
      <c r="U1095" s="96"/>
      <c r="V1095" s="96"/>
      <c r="W1095" s="97"/>
      <c r="X1095" s="97"/>
      <c r="Y1095" s="97"/>
      <c r="Z1095" s="453">
        <f>g地盤抵抗係数(5,W1094)</f>
        <v>1.151</v>
      </c>
      <c r="AA1095" s="453"/>
      <c r="AB1095" s="453"/>
      <c r="AC1095" s="96">
        <f>Z1095*T1094</f>
        <v>5968.9390014959445</v>
      </c>
      <c r="AD1095" s="96"/>
      <c r="AE1095" s="374"/>
    </row>
    <row r="1096" spans="1:31" s="307" customFormat="1" ht="28.5" customHeight="1" x14ac:dyDescent="0.15">
      <c r="A1096" s="73" t="str">
        <f>IF(A$289="","","×")</f>
        <v>×</v>
      </c>
      <c r="E1096" s="127" t="s">
        <v>583</v>
      </c>
      <c r="F1096" s="94"/>
      <c r="G1096" s="94"/>
      <c r="H1096" s="122" t="s">
        <v>279</v>
      </c>
      <c r="I1096" s="94"/>
      <c r="J1096" s="94"/>
      <c r="K1096" s="94"/>
      <c r="L1096" s="94"/>
      <c r="M1096" s="94"/>
      <c r="N1096" s="96"/>
      <c r="O1096" s="96"/>
      <c r="P1096" s="96"/>
      <c r="Q1096" s="254">
        <f>G966</f>
        <v>1887.2</v>
      </c>
      <c r="R1096" s="254"/>
      <c r="S1096" s="254"/>
      <c r="T1096" s="254">
        <f>N1091+Q1096</f>
        <v>5185.872286269283</v>
      </c>
      <c r="U1096" s="254"/>
      <c r="V1096" s="254"/>
      <c r="W1096" s="166">
        <f>N1091/T1096</f>
        <v>0.63608822280549215</v>
      </c>
      <c r="X1096" s="166"/>
      <c r="Y1096" s="166"/>
      <c r="Z1096" s="453">
        <f>g地盤抵抗係数(4,W1096)</f>
        <v>0.75800000000000001</v>
      </c>
      <c r="AA1096" s="453"/>
      <c r="AB1096" s="453"/>
      <c r="AC1096" s="96">
        <f>Z1096*T1096</f>
        <v>3930.8911929921164</v>
      </c>
      <c r="AD1096" s="96"/>
      <c r="AE1096" s="374"/>
    </row>
    <row r="1097" spans="1:31" s="307" customFormat="1" ht="28.5" customHeight="1" x14ac:dyDescent="0.15">
      <c r="A1097" s="73" t="str">
        <f>IF(A$311="","","×")</f>
        <v>×</v>
      </c>
      <c r="E1097" s="98"/>
      <c r="F1097" s="99"/>
      <c r="G1097" s="99"/>
      <c r="H1097" s="106" t="s">
        <v>280</v>
      </c>
      <c r="I1097" s="99"/>
      <c r="J1097" s="99"/>
      <c r="K1097" s="99"/>
      <c r="L1097" s="99"/>
      <c r="M1097" s="99"/>
      <c r="N1097" s="101"/>
      <c r="O1097" s="101"/>
      <c r="P1097" s="101"/>
      <c r="Q1097" s="456">
        <f>G990</f>
        <v>1887.2</v>
      </c>
      <c r="R1097" s="456"/>
      <c r="S1097" s="456"/>
      <c r="T1097" s="456">
        <f>N1091+Q1097</f>
        <v>5185.872286269283</v>
      </c>
      <c r="U1097" s="456"/>
      <c r="V1097" s="456"/>
      <c r="W1097" s="457">
        <f>N1091/T1097</f>
        <v>0.63608822280549215</v>
      </c>
      <c r="X1097" s="457"/>
      <c r="Y1097" s="457"/>
      <c r="Z1097" s="458">
        <f>g地盤抵抗係数(5,W1097)</f>
        <v>1.151</v>
      </c>
      <c r="AA1097" s="458"/>
      <c r="AB1097" s="458"/>
      <c r="AC1097" s="101">
        <f>Z1097*T1097</f>
        <v>5968.9390014959445</v>
      </c>
      <c r="AD1097" s="101"/>
      <c r="AE1097" s="375"/>
    </row>
    <row r="1098" spans="1:31" s="307" customFormat="1" ht="15.75" customHeight="1" x14ac:dyDescent="0.15"/>
    <row r="1099" spans="1:31" s="307" customFormat="1" ht="15.75" customHeight="1" x14ac:dyDescent="0.15">
      <c r="E1099" s="61" t="s">
        <v>379</v>
      </c>
      <c r="F1099" s="302"/>
      <c r="G1099" s="302"/>
      <c r="H1099" s="302"/>
      <c r="I1099" s="302"/>
      <c r="J1099" s="302"/>
      <c r="K1099" s="61"/>
      <c r="L1099" s="61"/>
      <c r="M1099" s="61"/>
      <c r="N1099" s="61"/>
      <c r="O1099" s="61"/>
      <c r="P1099" s="61"/>
      <c r="Q1099" s="61"/>
      <c r="R1099" s="61"/>
      <c r="S1099" s="61"/>
      <c r="T1099" s="61"/>
      <c r="U1099" s="61"/>
      <c r="V1099" s="61"/>
      <c r="W1099" s="61"/>
      <c r="X1099" s="61"/>
      <c r="Y1099" s="61"/>
      <c r="Z1099" s="61"/>
      <c r="AA1099" s="302"/>
      <c r="AB1099" s="302"/>
      <c r="AC1099" s="302"/>
      <c r="AD1099" s="302"/>
      <c r="AE1099" s="302"/>
    </row>
    <row r="1100" spans="1:31" s="307" customFormat="1" ht="15.75" customHeight="1" x14ac:dyDescent="0.15">
      <c r="E1100" s="130" t="s">
        <v>265</v>
      </c>
      <c r="F1100" s="131"/>
      <c r="G1100" s="131"/>
      <c r="H1100" s="131" t="s">
        <v>267</v>
      </c>
      <c r="I1100" s="131"/>
      <c r="J1100" s="131"/>
      <c r="K1100" s="131"/>
      <c r="L1100" s="131"/>
      <c r="M1100" s="131"/>
      <c r="N1100" s="105" t="s">
        <v>268</v>
      </c>
      <c r="O1100" s="131"/>
      <c r="P1100" s="131"/>
      <c r="Q1100" s="105" t="s">
        <v>272</v>
      </c>
      <c r="R1100" s="131"/>
      <c r="S1100" s="131"/>
      <c r="T1100" s="105" t="s">
        <v>273</v>
      </c>
      <c r="U1100" s="131"/>
      <c r="V1100" s="131"/>
      <c r="W1100" s="105" t="s">
        <v>271</v>
      </c>
      <c r="X1100" s="131"/>
      <c r="Y1100" s="131"/>
      <c r="Z1100" s="105" t="s">
        <v>269</v>
      </c>
      <c r="AA1100" s="131"/>
      <c r="AB1100" s="131"/>
      <c r="AC1100" s="105" t="s">
        <v>270</v>
      </c>
      <c r="AD1100" s="131"/>
      <c r="AE1100" s="132"/>
    </row>
    <row r="1101" spans="1:31" s="307" customFormat="1" ht="15.75" customHeight="1" x14ac:dyDescent="0.15">
      <c r="E1101" s="98"/>
      <c r="F1101" s="99"/>
      <c r="G1101" s="99"/>
      <c r="H1101" s="99"/>
      <c r="I1101" s="99"/>
      <c r="J1101" s="99"/>
      <c r="K1101" s="99"/>
      <c r="L1101" s="99"/>
      <c r="M1101" s="99"/>
      <c r="N1101" s="99"/>
      <c r="O1101" s="99"/>
      <c r="P1101" s="99"/>
      <c r="Q1101" s="99"/>
      <c r="R1101" s="99"/>
      <c r="S1101" s="99"/>
      <c r="T1101" s="99"/>
      <c r="U1101" s="99"/>
      <c r="V1101" s="99"/>
      <c r="W1101" s="99"/>
      <c r="X1101" s="99"/>
      <c r="Y1101" s="99"/>
      <c r="Z1101" s="99"/>
      <c r="AA1101" s="99"/>
      <c r="AB1101" s="99"/>
      <c r="AC1101" s="99"/>
      <c r="AD1101" s="99"/>
      <c r="AE1101" s="133"/>
    </row>
    <row r="1102" spans="1:31" s="307" customFormat="1" ht="15.75" customHeight="1" x14ac:dyDescent="0.15">
      <c r="E1102" s="130" t="s">
        <v>276</v>
      </c>
      <c r="F1102" s="131"/>
      <c r="G1102" s="131"/>
      <c r="H1102" s="131" t="s">
        <v>274</v>
      </c>
      <c r="I1102" s="131"/>
      <c r="J1102" s="131"/>
      <c r="K1102" s="131"/>
      <c r="L1102" s="131"/>
      <c r="M1102" s="131"/>
      <c r="N1102" s="184">
        <f>H851</f>
        <v>3298.6722862692827</v>
      </c>
      <c r="O1102" s="184"/>
      <c r="P1102" s="184"/>
      <c r="Q1102" s="184">
        <f>G894</f>
        <v>1963.5</v>
      </c>
      <c r="R1102" s="184"/>
      <c r="S1102" s="184"/>
      <c r="T1102" s="184">
        <f>N1102+Q1102</f>
        <v>5262.1722862692823</v>
      </c>
      <c r="U1102" s="184"/>
      <c r="V1102" s="184"/>
      <c r="W1102" s="454">
        <f>N1102/T1102</f>
        <v>0.62686512467039346</v>
      </c>
      <c r="X1102" s="454"/>
      <c r="Y1102" s="454"/>
      <c r="Z1102" s="455">
        <f>g地盤抵抗係数(1,W1102)</f>
        <v>0.34699999999999998</v>
      </c>
      <c r="AA1102" s="455"/>
      <c r="AB1102" s="455"/>
      <c r="AC1102" s="184">
        <f>Z1102*T1102</f>
        <v>1825.9737833354409</v>
      </c>
      <c r="AD1102" s="184"/>
      <c r="AE1102" s="425"/>
    </row>
    <row r="1103" spans="1:31" s="307" customFormat="1" ht="15.75" customHeight="1" x14ac:dyDescent="0.15">
      <c r="E1103" s="93"/>
      <c r="F1103" s="94"/>
      <c r="G1103" s="94"/>
      <c r="H1103" s="94" t="s">
        <v>275</v>
      </c>
      <c r="I1103" s="94"/>
      <c r="J1103" s="94"/>
      <c r="K1103" s="94"/>
      <c r="L1103" s="94"/>
      <c r="M1103" s="94"/>
      <c r="N1103" s="96"/>
      <c r="O1103" s="96"/>
      <c r="P1103" s="96"/>
      <c r="Q1103" s="96">
        <f>G918</f>
        <v>2038.9</v>
      </c>
      <c r="R1103" s="96"/>
      <c r="S1103" s="96"/>
      <c r="T1103" s="96">
        <f>N1102+Q1103</f>
        <v>5337.5722862692828</v>
      </c>
      <c r="U1103" s="96"/>
      <c r="V1103" s="96"/>
      <c r="W1103" s="97">
        <f>N1102/T1103</f>
        <v>0.61800985716952284</v>
      </c>
      <c r="X1103" s="97"/>
      <c r="Y1103" s="97"/>
      <c r="Z1103" s="453">
        <f>g地盤抵抗係数(2,W1103)</f>
        <v>0.48799999999999999</v>
      </c>
      <c r="AA1103" s="453"/>
      <c r="AB1103" s="453"/>
      <c r="AC1103" s="96">
        <f>Z1103*T1103</f>
        <v>2604.7352756994101</v>
      </c>
      <c r="AD1103" s="96"/>
      <c r="AE1103" s="374"/>
    </row>
    <row r="1104" spans="1:31" s="307" customFormat="1" ht="15.75" customHeight="1" x14ac:dyDescent="0.15">
      <c r="E1104" s="93" t="s">
        <v>277</v>
      </c>
      <c r="F1104" s="94"/>
      <c r="G1104" s="94"/>
      <c r="H1104" s="94" t="s">
        <v>377</v>
      </c>
      <c r="I1104" s="94"/>
      <c r="J1104" s="94"/>
      <c r="K1104" s="94"/>
      <c r="L1104" s="94"/>
      <c r="M1104" s="94"/>
      <c r="N1104" s="96"/>
      <c r="O1104" s="96"/>
      <c r="P1104" s="96"/>
      <c r="Q1104" s="96"/>
      <c r="R1104" s="96"/>
      <c r="S1104" s="96"/>
      <c r="T1104" s="96"/>
      <c r="U1104" s="96"/>
      <c r="V1104" s="96"/>
      <c r="W1104" s="97"/>
      <c r="X1104" s="97"/>
      <c r="Y1104" s="97"/>
      <c r="Z1104" s="453">
        <f>g地盤抵抗係数(3,W1103)</f>
        <v>0.72</v>
      </c>
      <c r="AA1104" s="453"/>
      <c r="AB1104" s="453"/>
      <c r="AC1104" s="96">
        <f>Z1104*T1103</f>
        <v>3843.0520461138835</v>
      </c>
      <c r="AD1104" s="96"/>
      <c r="AE1104" s="374"/>
    </row>
    <row r="1105" spans="1:31" s="307" customFormat="1" ht="28.5" customHeight="1" x14ac:dyDescent="0.15">
      <c r="E1105" s="93" t="s">
        <v>278</v>
      </c>
      <c r="F1105" s="94"/>
      <c r="G1105" s="94"/>
      <c r="H1105" s="122" t="s">
        <v>279</v>
      </c>
      <c r="I1105" s="94"/>
      <c r="J1105" s="94"/>
      <c r="K1105" s="94"/>
      <c r="L1105" s="94"/>
      <c r="M1105" s="94"/>
      <c r="N1105" s="96"/>
      <c r="O1105" s="96"/>
      <c r="P1105" s="96"/>
      <c r="Q1105" s="96">
        <f>G1014</f>
        <v>1887.2</v>
      </c>
      <c r="R1105" s="96"/>
      <c r="S1105" s="96"/>
      <c r="T1105" s="96">
        <f>N1102+Q1105</f>
        <v>5185.872286269283</v>
      </c>
      <c r="U1105" s="96"/>
      <c r="V1105" s="96"/>
      <c r="W1105" s="97">
        <f>N1102/T1105</f>
        <v>0.63608822280549215</v>
      </c>
      <c r="X1105" s="97"/>
      <c r="Y1105" s="97"/>
      <c r="Z1105" s="453">
        <f>g地盤抵抗係数(4,W1105)</f>
        <v>0.75800000000000001</v>
      </c>
      <c r="AA1105" s="453"/>
      <c r="AB1105" s="453"/>
      <c r="AC1105" s="96">
        <f>Z1105*T1105</f>
        <v>3930.8911929921164</v>
      </c>
      <c r="AD1105" s="96"/>
      <c r="AE1105" s="374"/>
    </row>
    <row r="1106" spans="1:31" s="307" customFormat="1" ht="28.5" customHeight="1" x14ac:dyDescent="0.15">
      <c r="E1106" s="93"/>
      <c r="F1106" s="94"/>
      <c r="G1106" s="94"/>
      <c r="H1106" s="122" t="s">
        <v>280</v>
      </c>
      <c r="I1106" s="94"/>
      <c r="J1106" s="94"/>
      <c r="K1106" s="94"/>
      <c r="L1106" s="94"/>
      <c r="M1106" s="94"/>
      <c r="N1106" s="96"/>
      <c r="O1106" s="96"/>
      <c r="P1106" s="96"/>
      <c r="Q1106" s="96"/>
      <c r="R1106" s="96"/>
      <c r="S1106" s="96"/>
      <c r="T1106" s="96"/>
      <c r="U1106" s="96"/>
      <c r="V1106" s="96"/>
      <c r="W1106" s="97"/>
      <c r="X1106" s="97"/>
      <c r="Y1106" s="97"/>
      <c r="Z1106" s="453">
        <f>g地盤抵抗係数(5,W1105)</f>
        <v>1.151</v>
      </c>
      <c r="AA1106" s="453"/>
      <c r="AB1106" s="453"/>
      <c r="AC1106" s="96">
        <f>Z1106*T1105</f>
        <v>5968.9390014959445</v>
      </c>
      <c r="AD1106" s="96"/>
      <c r="AE1106" s="374"/>
    </row>
    <row r="1107" spans="1:31" s="307" customFormat="1" ht="28.5" customHeight="1" x14ac:dyDescent="0.15">
      <c r="A1107" s="73" t="str">
        <f>IF(A$289="","","×")</f>
        <v>×</v>
      </c>
      <c r="E1107" s="127" t="s">
        <v>583</v>
      </c>
      <c r="F1107" s="94"/>
      <c r="G1107" s="94"/>
      <c r="H1107" s="122" t="s">
        <v>279</v>
      </c>
      <c r="I1107" s="94"/>
      <c r="J1107" s="94"/>
      <c r="K1107" s="94"/>
      <c r="L1107" s="94"/>
      <c r="M1107" s="94"/>
      <c r="N1107" s="96"/>
      <c r="O1107" s="96"/>
      <c r="P1107" s="96"/>
      <c r="Q1107" s="254">
        <f>G1038</f>
        <v>1887.2</v>
      </c>
      <c r="R1107" s="254"/>
      <c r="S1107" s="254"/>
      <c r="T1107" s="254">
        <f>N1102+Q1107</f>
        <v>5185.872286269283</v>
      </c>
      <c r="U1107" s="254"/>
      <c r="V1107" s="254"/>
      <c r="W1107" s="166">
        <f>N1102/T1107</f>
        <v>0.63608822280549215</v>
      </c>
      <c r="X1107" s="166"/>
      <c r="Y1107" s="166"/>
      <c r="Z1107" s="453">
        <f>g地盤抵抗係数(4,W1107)</f>
        <v>0.75800000000000001</v>
      </c>
      <c r="AA1107" s="453"/>
      <c r="AB1107" s="453"/>
      <c r="AC1107" s="96">
        <f>Z1107*T1107</f>
        <v>3930.8911929921164</v>
      </c>
      <c r="AD1107" s="96"/>
      <c r="AE1107" s="374"/>
    </row>
    <row r="1108" spans="1:31" s="307" customFormat="1" ht="28.5" customHeight="1" x14ac:dyDescent="0.15">
      <c r="A1108" s="73" t="str">
        <f>IF(A$311="","","×")</f>
        <v>×</v>
      </c>
      <c r="E1108" s="98"/>
      <c r="F1108" s="99"/>
      <c r="G1108" s="99"/>
      <c r="H1108" s="106" t="s">
        <v>280</v>
      </c>
      <c r="I1108" s="99"/>
      <c r="J1108" s="99"/>
      <c r="K1108" s="99"/>
      <c r="L1108" s="99"/>
      <c r="M1108" s="99"/>
      <c r="N1108" s="101"/>
      <c r="O1108" s="101"/>
      <c r="P1108" s="101"/>
      <c r="Q1108" s="456">
        <f>G1062</f>
        <v>1887.2</v>
      </c>
      <c r="R1108" s="456"/>
      <c r="S1108" s="456"/>
      <c r="T1108" s="456">
        <f>N1102+Q1108</f>
        <v>5185.872286269283</v>
      </c>
      <c r="U1108" s="456"/>
      <c r="V1108" s="456"/>
      <c r="W1108" s="457">
        <f>N1102/T1108</f>
        <v>0.63608822280549215</v>
      </c>
      <c r="X1108" s="457"/>
      <c r="Y1108" s="457"/>
      <c r="Z1108" s="458">
        <f>g地盤抵抗係数(5,W1108)</f>
        <v>1.151</v>
      </c>
      <c r="AA1108" s="458"/>
      <c r="AB1108" s="458"/>
      <c r="AC1108" s="101">
        <f>Z1108*T1108</f>
        <v>5968.9390014959445</v>
      </c>
      <c r="AD1108" s="101"/>
      <c r="AE1108" s="375"/>
    </row>
    <row r="1109" spans="1:31" s="307" customFormat="1" ht="15.75" customHeight="1" x14ac:dyDescent="0.15"/>
    <row r="1110" spans="1:31" s="307" customFormat="1" ht="15.75" customHeight="1" x14ac:dyDescent="0.15"/>
    <row r="1111" spans="1:31" s="307" customFormat="1" ht="15.75" customHeight="1" x14ac:dyDescent="0.15">
      <c r="E1111" s="1" t="s">
        <v>281</v>
      </c>
    </row>
    <row r="1112" spans="1:31" s="307" customFormat="1" ht="15.75" customHeight="1" x14ac:dyDescent="0.15"/>
    <row r="1113" spans="1:31" s="307" customFormat="1" ht="15.75" customHeight="1" x14ac:dyDescent="0.15">
      <c r="E1113" s="162" t="s">
        <v>253</v>
      </c>
      <c r="F1113" s="162"/>
      <c r="G1113" s="76" t="s">
        <v>27</v>
      </c>
      <c r="H1113" s="162" t="s">
        <v>282</v>
      </c>
      <c r="I1113" s="162"/>
      <c r="J1113" s="307" t="s">
        <v>6</v>
      </c>
      <c r="K1113" s="162" t="s">
        <v>283</v>
      </c>
      <c r="L1113" s="162"/>
    </row>
    <row r="1114" spans="1:31" s="307" customFormat="1" ht="15.75" customHeight="1" x14ac:dyDescent="0.15"/>
    <row r="1115" spans="1:31" s="307" customFormat="1" ht="15.75" customHeight="1" x14ac:dyDescent="0.15">
      <c r="F1115" s="1" t="s">
        <v>3</v>
      </c>
      <c r="G1115" s="1"/>
      <c r="H1115" s="1"/>
      <c r="I1115" s="162" t="s">
        <v>213</v>
      </c>
      <c r="J1115" s="162"/>
      <c r="K1115" s="76" t="s">
        <v>2</v>
      </c>
      <c r="L1115" s="1" t="s">
        <v>223</v>
      </c>
    </row>
    <row r="1116" spans="1:31" s="307" customFormat="1" ht="15.75" customHeight="1" x14ac:dyDescent="0.15">
      <c r="F1116" s="1"/>
      <c r="G1116" s="1"/>
      <c r="H1116" s="1"/>
      <c r="I1116" s="162" t="s">
        <v>215</v>
      </c>
      <c r="J1116" s="162"/>
      <c r="K1116" s="76" t="s">
        <v>2</v>
      </c>
      <c r="L1116" s="1" t="s">
        <v>258</v>
      </c>
    </row>
    <row r="1117" spans="1:31" s="307" customFormat="1" ht="15.75" customHeight="1" x14ac:dyDescent="0.15">
      <c r="I1117" s="162" t="s">
        <v>284</v>
      </c>
      <c r="J1117" s="162"/>
      <c r="K1117" s="76" t="s">
        <v>2</v>
      </c>
      <c r="L1117" s="1" t="s">
        <v>286</v>
      </c>
    </row>
    <row r="1118" spans="1:31" s="307" customFormat="1" ht="15.75" customHeight="1" x14ac:dyDescent="0.15">
      <c r="I1118" s="162" t="s">
        <v>285</v>
      </c>
      <c r="J1118" s="162"/>
      <c r="K1118" s="76" t="s">
        <v>2</v>
      </c>
      <c r="L1118" s="1" t="s">
        <v>287</v>
      </c>
    </row>
    <row r="1119" spans="1:31" s="307" customFormat="1" ht="15.75" customHeight="1" x14ac:dyDescent="0.15">
      <c r="I1119" s="1"/>
      <c r="J1119" s="1"/>
      <c r="K1119" s="76"/>
    </row>
    <row r="1120" spans="1:31" s="307" customFormat="1" ht="15.75" customHeight="1" x14ac:dyDescent="0.15">
      <c r="E1120" s="162" t="s">
        <v>253</v>
      </c>
      <c r="F1120" s="162"/>
      <c r="G1120" s="76" t="s">
        <v>27</v>
      </c>
      <c r="H1120" s="162">
        <v>1.4</v>
      </c>
      <c r="I1120" s="162"/>
      <c r="J1120" s="307" t="s">
        <v>1</v>
      </c>
      <c r="K1120" s="244">
        <f>N1091</f>
        <v>3298.6722862692827</v>
      </c>
      <c r="L1120" s="244"/>
      <c r="M1120" s="244"/>
      <c r="N1120" s="307" t="s">
        <v>6</v>
      </c>
      <c r="O1120" s="162">
        <v>1.4</v>
      </c>
      <c r="P1120" s="162"/>
      <c r="Q1120" s="307" t="s">
        <v>1</v>
      </c>
      <c r="R1120" s="244">
        <f>Q1094</f>
        <v>1887.2</v>
      </c>
      <c r="S1120" s="244"/>
      <c r="T1120" s="244"/>
      <c r="U1120" s="76" t="s">
        <v>27</v>
      </c>
      <c r="V1120" s="244">
        <f>H1120*K1120+O1120*R1120</f>
        <v>7260.2212007769958</v>
      </c>
      <c r="W1120" s="244"/>
      <c r="X1120" s="244"/>
      <c r="Y1120" s="307" t="s">
        <v>288</v>
      </c>
      <c r="AA1120" s="307" t="s">
        <v>380</v>
      </c>
    </row>
    <row r="1121" spans="1:27" s="307" customFormat="1" ht="15.75" customHeight="1" x14ac:dyDescent="0.15">
      <c r="E1121" s="162" t="s">
        <v>253</v>
      </c>
      <c r="F1121" s="162"/>
      <c r="G1121" s="76" t="s">
        <v>27</v>
      </c>
      <c r="H1121" s="162">
        <v>1.4</v>
      </c>
      <c r="I1121" s="162"/>
      <c r="J1121" s="307" t="s">
        <v>1</v>
      </c>
      <c r="K1121" s="244">
        <f>N1102</f>
        <v>3298.6722862692827</v>
      </c>
      <c r="L1121" s="244"/>
      <c r="M1121" s="244"/>
      <c r="N1121" s="307" t="s">
        <v>6</v>
      </c>
      <c r="O1121" s="162">
        <v>1.4</v>
      </c>
      <c r="P1121" s="162"/>
      <c r="Q1121" s="307" t="s">
        <v>1</v>
      </c>
      <c r="R1121" s="244">
        <f>Q1105</f>
        <v>1887.2</v>
      </c>
      <c r="S1121" s="244"/>
      <c r="T1121" s="244"/>
      <c r="U1121" s="76" t="s">
        <v>27</v>
      </c>
      <c r="V1121" s="244">
        <f>H1121*K1121+O1121*R1121</f>
        <v>7260.2212007769958</v>
      </c>
      <c r="W1121" s="244"/>
      <c r="X1121" s="244"/>
      <c r="Y1121" s="307" t="s">
        <v>288</v>
      </c>
      <c r="AA1121" s="307" t="s">
        <v>381</v>
      </c>
    </row>
    <row r="1122" spans="1:27" s="307" customFormat="1" ht="15.75" customHeight="1" x14ac:dyDescent="0.15">
      <c r="E1122" s="76"/>
      <c r="F1122" s="76"/>
      <c r="G1122" s="76"/>
      <c r="H1122" s="76"/>
      <c r="I1122" s="76"/>
      <c r="K1122" s="77"/>
      <c r="L1122" s="77"/>
      <c r="M1122" s="77"/>
      <c r="O1122" s="76"/>
      <c r="P1122" s="76"/>
      <c r="R1122" s="77"/>
      <c r="S1122" s="77"/>
      <c r="T1122" s="77"/>
      <c r="U1122" s="76"/>
      <c r="V1122" s="77"/>
      <c r="W1122" s="77"/>
      <c r="X1122" s="77"/>
    </row>
    <row r="1123" spans="1:27" s="307" customFormat="1" ht="15.75" customHeight="1" x14ac:dyDescent="0.15">
      <c r="A1123" s="73" t="str">
        <f>IF(A$311="","","×")</f>
        <v>×</v>
      </c>
      <c r="E1123" s="307" t="s">
        <v>603</v>
      </c>
      <c r="I1123" s="1"/>
      <c r="J1123" s="1"/>
      <c r="K1123" s="76"/>
    </row>
    <row r="1124" spans="1:27" s="307" customFormat="1" ht="15.75" customHeight="1" x14ac:dyDescent="0.15">
      <c r="A1124" s="73" t="str">
        <f>IF(A$311="","","×")</f>
        <v>×</v>
      </c>
      <c r="E1124" s="162" t="s">
        <v>253</v>
      </c>
      <c r="F1124" s="162"/>
      <c r="G1124" s="76" t="s">
        <v>27</v>
      </c>
      <c r="H1124" s="162">
        <v>1.4</v>
      </c>
      <c r="I1124" s="162"/>
      <c r="J1124" s="307" t="s">
        <v>1</v>
      </c>
      <c r="K1124" s="244">
        <f>K1120</f>
        <v>3298.6722862692827</v>
      </c>
      <c r="L1124" s="244"/>
      <c r="M1124" s="244"/>
      <c r="N1124" s="307" t="s">
        <v>6</v>
      </c>
      <c r="O1124" s="162">
        <v>1.4</v>
      </c>
      <c r="P1124" s="162"/>
      <c r="Q1124" s="307" t="s">
        <v>1</v>
      </c>
      <c r="R1124" s="244">
        <f>Q1097</f>
        <v>1887.2</v>
      </c>
      <c r="S1124" s="244"/>
      <c r="T1124" s="244"/>
      <c r="U1124" s="76" t="s">
        <v>27</v>
      </c>
      <c r="V1124" s="244">
        <f>H1124*K1124+O1124*R1124</f>
        <v>7260.2212007769958</v>
      </c>
      <c r="W1124" s="244"/>
      <c r="X1124" s="244"/>
      <c r="Y1124" s="307" t="s">
        <v>288</v>
      </c>
      <c r="AA1124" s="307" t="s">
        <v>380</v>
      </c>
    </row>
    <row r="1125" spans="1:27" s="307" customFormat="1" ht="15.75" customHeight="1" x14ac:dyDescent="0.15">
      <c r="A1125" s="73" t="str">
        <f>IF(A$311="","","×")</f>
        <v>×</v>
      </c>
      <c r="E1125" s="162" t="s">
        <v>253</v>
      </c>
      <c r="F1125" s="162"/>
      <c r="G1125" s="76" t="s">
        <v>27</v>
      </c>
      <c r="H1125" s="162">
        <v>1.4</v>
      </c>
      <c r="I1125" s="162"/>
      <c r="J1125" s="307" t="s">
        <v>1</v>
      </c>
      <c r="K1125" s="244">
        <f>K1121</f>
        <v>3298.6722862692827</v>
      </c>
      <c r="L1125" s="244"/>
      <c r="M1125" s="244"/>
      <c r="N1125" s="307" t="s">
        <v>6</v>
      </c>
      <c r="O1125" s="162">
        <v>1.4</v>
      </c>
      <c r="P1125" s="162"/>
      <c r="Q1125" s="307" t="s">
        <v>1</v>
      </c>
      <c r="R1125" s="244">
        <f>Q1108</f>
        <v>1887.2</v>
      </c>
      <c r="S1125" s="244"/>
      <c r="T1125" s="244"/>
      <c r="U1125" s="76" t="s">
        <v>27</v>
      </c>
      <c r="V1125" s="244">
        <f>H1125*K1125+O1125*R1125</f>
        <v>7260.2212007769958</v>
      </c>
      <c r="W1125" s="244"/>
      <c r="X1125" s="244"/>
      <c r="Y1125" s="307" t="s">
        <v>288</v>
      </c>
      <c r="AA1125" s="307" t="s">
        <v>381</v>
      </c>
    </row>
    <row r="1126" spans="1:27" s="307" customFormat="1" ht="15.75" customHeight="1" x14ac:dyDescent="0.15"/>
    <row r="1127" spans="1:27" s="307" customFormat="1" ht="15.75" customHeight="1" x14ac:dyDescent="0.15"/>
    <row r="1128" spans="1:27" s="307" customFormat="1" ht="15.75" customHeight="1" x14ac:dyDescent="0.15"/>
    <row r="1129" spans="1:27" s="307" customFormat="1" ht="15.75" customHeight="1" x14ac:dyDescent="0.15">
      <c r="E1129" s="1" t="s">
        <v>289</v>
      </c>
    </row>
    <row r="1130" spans="1:27" s="307" customFormat="1" ht="15.75" customHeight="1" x14ac:dyDescent="0.15">
      <c r="F1130" s="307" t="s">
        <v>299</v>
      </c>
    </row>
    <row r="1131" spans="1:27" s="307" customFormat="1" ht="15.75" customHeight="1" x14ac:dyDescent="0.15">
      <c r="F1131" s="307" t="s">
        <v>290</v>
      </c>
    </row>
    <row r="1132" spans="1:27" s="307" customFormat="1" ht="15.75" customHeight="1" x14ac:dyDescent="0.15"/>
    <row r="1133" spans="1:27" s="307" customFormat="1" ht="15.75" customHeight="1" x14ac:dyDescent="0.15">
      <c r="E1133" s="162" t="s">
        <v>291</v>
      </c>
      <c r="F1133" s="162"/>
      <c r="G1133" s="76" t="s">
        <v>27</v>
      </c>
      <c r="H1133" s="162" t="s">
        <v>292</v>
      </c>
      <c r="I1133" s="162"/>
      <c r="J1133" s="307" t="s">
        <v>6</v>
      </c>
      <c r="K1133" s="162" t="s">
        <v>293</v>
      </c>
      <c r="L1133" s="162"/>
    </row>
    <row r="1134" spans="1:27" s="307" customFormat="1" ht="15.75" customHeight="1" x14ac:dyDescent="0.15"/>
    <row r="1135" spans="1:27" s="307" customFormat="1" ht="15.75" customHeight="1" x14ac:dyDescent="0.15">
      <c r="F1135" s="1" t="s">
        <v>3</v>
      </c>
      <c r="G1135" s="1"/>
      <c r="H1135" s="1"/>
      <c r="I1135" s="162" t="s">
        <v>291</v>
      </c>
      <c r="J1135" s="162"/>
      <c r="K1135" s="76" t="s">
        <v>2</v>
      </c>
      <c r="L1135" s="1" t="s">
        <v>294</v>
      </c>
    </row>
    <row r="1136" spans="1:27" s="307" customFormat="1" ht="15.75" customHeight="1" x14ac:dyDescent="0.15">
      <c r="F1136" s="1"/>
      <c r="G1136" s="1"/>
      <c r="H1136" s="1"/>
      <c r="I1136" s="162" t="s">
        <v>215</v>
      </c>
      <c r="J1136" s="162"/>
      <c r="K1136" s="76" t="s">
        <v>2</v>
      </c>
      <c r="L1136" s="1" t="s">
        <v>258</v>
      </c>
    </row>
    <row r="1137" spans="1:31" s="307" customFormat="1" ht="15.75" customHeight="1" x14ac:dyDescent="0.15">
      <c r="I1137" s="162" t="s">
        <v>254</v>
      </c>
      <c r="J1137" s="162"/>
      <c r="K1137" s="76" t="s">
        <v>2</v>
      </c>
      <c r="L1137" s="1" t="s">
        <v>295</v>
      </c>
    </row>
    <row r="1138" spans="1:31" s="307" customFormat="1" ht="15.75" customHeight="1" x14ac:dyDescent="0.15">
      <c r="I1138" s="162" t="s">
        <v>293</v>
      </c>
      <c r="J1138" s="162"/>
      <c r="K1138" s="76" t="s">
        <v>2</v>
      </c>
      <c r="L1138" s="1" t="s">
        <v>296</v>
      </c>
    </row>
    <row r="1139" spans="1:31" s="307" customFormat="1" ht="15.75" customHeight="1" x14ac:dyDescent="0.15">
      <c r="A1139" s="73" t="str">
        <f>IF(AC1139=0,"×","")</f>
        <v>×</v>
      </c>
      <c r="J1139" s="162" t="s">
        <v>293</v>
      </c>
      <c r="K1139" s="162"/>
      <c r="L1139" s="76" t="s">
        <v>27</v>
      </c>
      <c r="M1139" s="162">
        <f>M1140-10</f>
        <v>14.5</v>
      </c>
      <c r="N1139" s="162"/>
      <c r="O1139" s="1" t="s">
        <v>608</v>
      </c>
      <c r="R1139" s="76" t="s">
        <v>1</v>
      </c>
      <c r="S1139" s="366">
        <v>0.25</v>
      </c>
      <c r="T1139" s="366"/>
      <c r="U1139" s="76" t="s">
        <v>1</v>
      </c>
      <c r="V1139" s="76" t="s">
        <v>123</v>
      </c>
      <c r="W1139" s="76" t="s">
        <v>1</v>
      </c>
      <c r="X1139" s="367">
        <f>Q850</f>
        <v>1</v>
      </c>
      <c r="Y1139" s="367"/>
      <c r="Z1139" s="367"/>
      <c r="AA1139" s="364" t="s">
        <v>232</v>
      </c>
      <c r="AB1139" s="76" t="s">
        <v>1</v>
      </c>
      <c r="AC1139" s="367">
        <f>MAX(0,-入力!G32)</f>
        <v>0</v>
      </c>
      <c r="AD1139" s="367"/>
      <c r="AE1139" s="367"/>
    </row>
    <row r="1140" spans="1:31" s="307" customFormat="1" ht="15.75" customHeight="1" x14ac:dyDescent="0.15">
      <c r="L1140" s="76" t="str">
        <f>IF(AC1139=0,"＝","+")</f>
        <v>＝</v>
      </c>
      <c r="M1140" s="162">
        <f>入力!J29</f>
        <v>24.5</v>
      </c>
      <c r="N1140" s="162"/>
      <c r="O1140" s="1" t="s">
        <v>608</v>
      </c>
      <c r="R1140" s="76" t="s">
        <v>1</v>
      </c>
      <c r="S1140" s="366">
        <v>0.25</v>
      </c>
      <c r="T1140" s="366"/>
      <c r="U1140" s="76" t="s">
        <v>1</v>
      </c>
      <c r="V1140" s="76" t="s">
        <v>123</v>
      </c>
      <c r="W1140" s="76" t="s">
        <v>1</v>
      </c>
      <c r="X1140" s="367">
        <f>X1139</f>
        <v>1</v>
      </c>
      <c r="Y1140" s="367"/>
      <c r="Z1140" s="367"/>
      <c r="AA1140" s="364" t="s">
        <v>232</v>
      </c>
      <c r="AB1140" s="76" t="s">
        <v>1</v>
      </c>
      <c r="AC1140" s="367">
        <f>入力!G26-AC1139</f>
        <v>21</v>
      </c>
      <c r="AD1140" s="367"/>
      <c r="AE1140" s="367"/>
    </row>
    <row r="1141" spans="1:31" s="307" customFormat="1" ht="15.75" customHeight="1" x14ac:dyDescent="0.15">
      <c r="L1141" s="76" t="s">
        <v>27</v>
      </c>
      <c r="M1141" s="244">
        <f>ROUND(M1139*S1139*PI()*X1139^AA1139*AC1139+M1140*S1140*PI()*X1140^AA1140*AC1140,1)</f>
        <v>404.1</v>
      </c>
      <c r="N1141" s="244"/>
      <c r="O1141" s="244"/>
      <c r="P1141" s="1" t="s">
        <v>574</v>
      </c>
    </row>
    <row r="1142" spans="1:31" s="307" customFormat="1" ht="15.75" customHeight="1" x14ac:dyDescent="0.15">
      <c r="G1142" s="76"/>
    </row>
    <row r="1143" spans="1:31" s="307" customFormat="1" ht="15.75" customHeight="1" x14ac:dyDescent="0.15">
      <c r="F1143" s="307" t="s">
        <v>607</v>
      </c>
    </row>
    <row r="1144" spans="1:31" s="307" customFormat="1" ht="15.75" customHeight="1" x14ac:dyDescent="0.15">
      <c r="F1144" s="307" t="s">
        <v>606</v>
      </c>
    </row>
    <row r="1145" spans="1:31" s="307" customFormat="1" ht="15.75" customHeight="1" x14ac:dyDescent="0.15"/>
    <row r="1146" spans="1:31" s="307" customFormat="1" ht="15.75" customHeight="1" x14ac:dyDescent="0.15">
      <c r="H1146" s="61" t="s">
        <v>382</v>
      </c>
      <c r="I1146" s="302"/>
      <c r="J1146" s="302"/>
      <c r="K1146" s="61"/>
      <c r="L1146" s="61"/>
      <c r="M1146" s="61"/>
      <c r="N1146" s="61"/>
      <c r="O1146" s="61"/>
      <c r="P1146" s="61"/>
      <c r="Q1146" s="61"/>
      <c r="R1146" s="61"/>
      <c r="S1146" s="61"/>
      <c r="T1146" s="61"/>
      <c r="U1146" s="61"/>
      <c r="V1146" s="61"/>
      <c r="W1146" s="61"/>
      <c r="X1146" s="61"/>
      <c r="Y1146" s="61"/>
      <c r="Z1146" s="61"/>
      <c r="AA1146" s="302"/>
      <c r="AB1146" s="302"/>
    </row>
    <row r="1147" spans="1:31" s="307" customFormat="1" ht="15.75" customHeight="1" x14ac:dyDescent="0.15">
      <c r="H1147" s="130" t="s">
        <v>265</v>
      </c>
      <c r="I1147" s="131"/>
      <c r="J1147" s="131"/>
      <c r="K1147" s="131" t="s">
        <v>267</v>
      </c>
      <c r="L1147" s="131"/>
      <c r="M1147" s="131"/>
      <c r="N1147" s="131"/>
      <c r="O1147" s="131"/>
      <c r="P1147" s="131"/>
      <c r="Q1147" s="105" t="s">
        <v>272</v>
      </c>
      <c r="R1147" s="131"/>
      <c r="S1147" s="131"/>
      <c r="T1147" s="105" t="s">
        <v>269</v>
      </c>
      <c r="U1147" s="131"/>
      <c r="V1147" s="131"/>
      <c r="W1147" s="105" t="s">
        <v>298</v>
      </c>
      <c r="X1147" s="131"/>
      <c r="Y1147" s="131"/>
      <c r="Z1147" s="105" t="s">
        <v>270</v>
      </c>
      <c r="AA1147" s="131"/>
      <c r="AB1147" s="132"/>
    </row>
    <row r="1148" spans="1:31" s="307" customFormat="1" ht="15.75" customHeight="1" x14ac:dyDescent="0.15">
      <c r="H1148" s="98"/>
      <c r="I1148" s="99"/>
      <c r="J1148" s="99"/>
      <c r="K1148" s="99"/>
      <c r="L1148" s="99"/>
      <c r="M1148" s="99"/>
      <c r="N1148" s="99"/>
      <c r="O1148" s="99"/>
      <c r="P1148" s="99"/>
      <c r="Q1148" s="99"/>
      <c r="R1148" s="99"/>
      <c r="S1148" s="99"/>
      <c r="T1148" s="99"/>
      <c r="U1148" s="99"/>
      <c r="V1148" s="99"/>
      <c r="W1148" s="99"/>
      <c r="X1148" s="99"/>
      <c r="Y1148" s="99"/>
      <c r="Z1148" s="99"/>
      <c r="AA1148" s="99"/>
      <c r="AB1148" s="133"/>
    </row>
    <row r="1149" spans="1:31" s="307" customFormat="1" ht="15.75" customHeight="1" x14ac:dyDescent="0.15">
      <c r="H1149" s="169" t="s">
        <v>276</v>
      </c>
      <c r="I1149" s="165"/>
      <c r="J1149" s="165"/>
      <c r="K1149" s="165" t="s">
        <v>274</v>
      </c>
      <c r="L1149" s="165"/>
      <c r="M1149" s="165"/>
      <c r="N1149" s="165"/>
      <c r="O1149" s="165"/>
      <c r="P1149" s="165"/>
      <c r="Q1149" s="254">
        <f>V894</f>
        <v>2277.6999999999998</v>
      </c>
      <c r="R1149" s="254"/>
      <c r="S1149" s="254"/>
      <c r="T1149" s="166" t="s">
        <v>190</v>
      </c>
      <c r="U1149" s="166"/>
      <c r="V1149" s="166"/>
      <c r="W1149" s="254">
        <f>M1141</f>
        <v>404.1</v>
      </c>
      <c r="X1149" s="254"/>
      <c r="Y1149" s="254"/>
      <c r="Z1149" s="254">
        <f>W1149</f>
        <v>404.1</v>
      </c>
      <c r="AA1149" s="254"/>
      <c r="AB1149" s="371"/>
    </row>
    <row r="1150" spans="1:31" s="307" customFormat="1" ht="15.75" customHeight="1" x14ac:dyDescent="0.15">
      <c r="H1150" s="93"/>
      <c r="I1150" s="94"/>
      <c r="J1150" s="94"/>
      <c r="K1150" s="94" t="s">
        <v>275</v>
      </c>
      <c r="L1150" s="94"/>
      <c r="M1150" s="94"/>
      <c r="N1150" s="94"/>
      <c r="O1150" s="94"/>
      <c r="P1150" s="94"/>
      <c r="Q1150" s="96">
        <f>V918</f>
        <v>2353.1</v>
      </c>
      <c r="R1150" s="96"/>
      <c r="S1150" s="96"/>
      <c r="T1150" s="453">
        <f>g地盤抵抗係数(2,0)</f>
        <v>0.58699999999999997</v>
      </c>
      <c r="U1150" s="453"/>
      <c r="V1150" s="453"/>
      <c r="W1150" s="96"/>
      <c r="X1150" s="96"/>
      <c r="Y1150" s="96"/>
      <c r="Z1150" s="96">
        <f>Q1150*T1150+$W$1149</f>
        <v>1785.3696999999997</v>
      </c>
      <c r="AA1150" s="96"/>
      <c r="AB1150" s="374"/>
    </row>
    <row r="1151" spans="1:31" s="307" customFormat="1" ht="15.75" customHeight="1" x14ac:dyDescent="0.15">
      <c r="H1151" s="93" t="s">
        <v>277</v>
      </c>
      <c r="I1151" s="94"/>
      <c r="J1151" s="94"/>
      <c r="K1151" s="94" t="s">
        <v>377</v>
      </c>
      <c r="L1151" s="94"/>
      <c r="M1151" s="94"/>
      <c r="N1151" s="94"/>
      <c r="O1151" s="94"/>
      <c r="P1151" s="94"/>
      <c r="Q1151" s="96"/>
      <c r="R1151" s="96"/>
      <c r="S1151" s="96"/>
      <c r="T1151" s="453">
        <f>g地盤抵抗係数(3,0)</f>
        <v>0.78600000000000003</v>
      </c>
      <c r="U1151" s="453"/>
      <c r="V1151" s="453"/>
      <c r="W1151" s="96"/>
      <c r="X1151" s="96"/>
      <c r="Y1151" s="96"/>
      <c r="Z1151" s="96">
        <f>Q1150*T1151+$W$1149</f>
        <v>2253.6365999999998</v>
      </c>
      <c r="AA1151" s="96"/>
      <c r="AB1151" s="374"/>
    </row>
    <row r="1152" spans="1:31" s="307" customFormat="1" ht="28.5" customHeight="1" x14ac:dyDescent="0.15">
      <c r="H1152" s="93" t="s">
        <v>278</v>
      </c>
      <c r="I1152" s="94"/>
      <c r="J1152" s="94"/>
      <c r="K1152" s="122" t="s">
        <v>279</v>
      </c>
      <c r="L1152" s="94"/>
      <c r="M1152" s="94"/>
      <c r="N1152" s="94"/>
      <c r="O1152" s="94"/>
      <c r="P1152" s="94"/>
      <c r="Q1152" s="96">
        <f>V942</f>
        <v>2201.3000000000002</v>
      </c>
      <c r="R1152" s="96"/>
      <c r="S1152" s="96"/>
      <c r="T1152" s="453">
        <f>g地盤抵抗係数(4,0)</f>
        <v>0.86499999999999999</v>
      </c>
      <c r="U1152" s="453"/>
      <c r="V1152" s="453"/>
      <c r="W1152" s="96"/>
      <c r="X1152" s="96"/>
      <c r="Y1152" s="96"/>
      <c r="Z1152" s="96">
        <f>Q1152*T1152+W1149</f>
        <v>2308.2245000000003</v>
      </c>
      <c r="AA1152" s="96"/>
      <c r="AB1152" s="374"/>
    </row>
    <row r="1153" spans="1:28" s="307" customFormat="1" ht="28.5" customHeight="1" x14ac:dyDescent="0.15">
      <c r="H1153" s="93"/>
      <c r="I1153" s="94"/>
      <c r="J1153" s="94"/>
      <c r="K1153" s="122" t="s">
        <v>280</v>
      </c>
      <c r="L1153" s="94"/>
      <c r="M1153" s="94"/>
      <c r="N1153" s="94"/>
      <c r="O1153" s="94"/>
      <c r="P1153" s="94"/>
      <c r="Q1153" s="96"/>
      <c r="R1153" s="96"/>
      <c r="S1153" s="96"/>
      <c r="T1153" s="453">
        <f>g地盤抵抗係数(5,0)</f>
        <v>1.1439999999999999</v>
      </c>
      <c r="U1153" s="453"/>
      <c r="V1153" s="453"/>
      <c r="W1153" s="96"/>
      <c r="X1153" s="96"/>
      <c r="Y1153" s="96"/>
      <c r="Z1153" s="96">
        <f>Q1152*T1153+W1149</f>
        <v>2922.3872000000001</v>
      </c>
      <c r="AA1153" s="96"/>
      <c r="AB1153" s="374"/>
    </row>
    <row r="1154" spans="1:28" s="307" customFormat="1" ht="28.5" customHeight="1" x14ac:dyDescent="0.15">
      <c r="A1154" s="73" t="str">
        <f>IF(A$289="","","×")</f>
        <v>×</v>
      </c>
      <c r="H1154" s="127" t="s">
        <v>583</v>
      </c>
      <c r="I1154" s="94"/>
      <c r="J1154" s="94"/>
      <c r="K1154" s="122" t="s">
        <v>279</v>
      </c>
      <c r="L1154" s="94"/>
      <c r="M1154" s="94"/>
      <c r="N1154" s="94"/>
      <c r="O1154" s="94"/>
      <c r="P1154" s="94"/>
      <c r="Q1154" s="96">
        <f>V966</f>
        <v>2201.3000000000002</v>
      </c>
      <c r="R1154" s="96"/>
      <c r="S1154" s="96"/>
      <c r="T1154" s="97">
        <f>T1152</f>
        <v>0.86499999999999999</v>
      </c>
      <c r="U1154" s="97"/>
      <c r="V1154" s="97"/>
      <c r="W1154" s="96"/>
      <c r="X1154" s="96"/>
      <c r="Y1154" s="96"/>
      <c r="Z1154" s="96">
        <f>Q1154*T1154+W1149</f>
        <v>2308.2245000000003</v>
      </c>
      <c r="AA1154" s="96"/>
      <c r="AB1154" s="374"/>
    </row>
    <row r="1155" spans="1:28" s="307" customFormat="1" ht="28.5" customHeight="1" x14ac:dyDescent="0.15">
      <c r="A1155" s="73" t="str">
        <f>IF(A$311="","","×")</f>
        <v>×</v>
      </c>
      <c r="H1155" s="98"/>
      <c r="I1155" s="99"/>
      <c r="J1155" s="99"/>
      <c r="K1155" s="106" t="s">
        <v>280</v>
      </c>
      <c r="L1155" s="99"/>
      <c r="M1155" s="99"/>
      <c r="N1155" s="99"/>
      <c r="O1155" s="99"/>
      <c r="P1155" s="99"/>
      <c r="Q1155" s="101">
        <f>V990</f>
        <v>2201.3000000000002</v>
      </c>
      <c r="R1155" s="101"/>
      <c r="S1155" s="101"/>
      <c r="T1155" s="102">
        <f>T1153</f>
        <v>1.1439999999999999</v>
      </c>
      <c r="U1155" s="102"/>
      <c r="V1155" s="102"/>
      <c r="W1155" s="101"/>
      <c r="X1155" s="101"/>
      <c r="Y1155" s="101"/>
      <c r="Z1155" s="101">
        <f>Q1155*T1155+W1149</f>
        <v>2922.3872000000001</v>
      </c>
      <c r="AA1155" s="101"/>
      <c r="AB1155" s="375"/>
    </row>
    <row r="1156" spans="1:28" s="307" customFormat="1" ht="15.75" customHeight="1" x14ac:dyDescent="0.15"/>
    <row r="1157" spans="1:28" s="307" customFormat="1" ht="15.75" customHeight="1" x14ac:dyDescent="0.15">
      <c r="H1157" s="61" t="s">
        <v>609</v>
      </c>
      <c r="I1157" s="302"/>
      <c r="J1157" s="302"/>
      <c r="K1157" s="61"/>
      <c r="L1157" s="61"/>
      <c r="M1157" s="61"/>
      <c r="N1157" s="61"/>
      <c r="O1157" s="61"/>
      <c r="P1157" s="61"/>
      <c r="Q1157" s="61"/>
      <c r="R1157" s="61"/>
      <c r="S1157" s="61"/>
      <c r="T1157" s="61"/>
      <c r="U1157" s="61"/>
      <c r="V1157" s="61"/>
      <c r="W1157" s="61"/>
      <c r="X1157" s="61"/>
      <c r="Y1157" s="61"/>
      <c r="Z1157" s="61"/>
      <c r="AA1157" s="302"/>
      <c r="AB1157" s="302"/>
    </row>
    <row r="1158" spans="1:28" s="307" customFormat="1" ht="15.75" customHeight="1" x14ac:dyDescent="0.15">
      <c r="H1158" s="130" t="s">
        <v>265</v>
      </c>
      <c r="I1158" s="131"/>
      <c r="J1158" s="131"/>
      <c r="K1158" s="131" t="s">
        <v>267</v>
      </c>
      <c r="L1158" s="131"/>
      <c r="M1158" s="131"/>
      <c r="N1158" s="131"/>
      <c r="O1158" s="131"/>
      <c r="P1158" s="131"/>
      <c r="Q1158" s="105" t="s">
        <v>272</v>
      </c>
      <c r="R1158" s="131"/>
      <c r="S1158" s="131"/>
      <c r="T1158" s="105" t="s">
        <v>269</v>
      </c>
      <c r="U1158" s="131"/>
      <c r="V1158" s="131"/>
      <c r="W1158" s="105" t="s">
        <v>298</v>
      </c>
      <c r="X1158" s="131"/>
      <c r="Y1158" s="131"/>
      <c r="Z1158" s="105" t="s">
        <v>270</v>
      </c>
      <c r="AA1158" s="131"/>
      <c r="AB1158" s="132"/>
    </row>
    <row r="1159" spans="1:28" s="307" customFormat="1" ht="15.75" customHeight="1" x14ac:dyDescent="0.15">
      <c r="H1159" s="98"/>
      <c r="I1159" s="99"/>
      <c r="J1159" s="99"/>
      <c r="K1159" s="99"/>
      <c r="L1159" s="99"/>
      <c r="M1159" s="99"/>
      <c r="N1159" s="99"/>
      <c r="O1159" s="99"/>
      <c r="P1159" s="99"/>
      <c r="Q1159" s="99"/>
      <c r="R1159" s="99"/>
      <c r="S1159" s="99"/>
      <c r="T1159" s="99"/>
      <c r="U1159" s="99"/>
      <c r="V1159" s="99"/>
      <c r="W1159" s="99"/>
      <c r="X1159" s="99"/>
      <c r="Y1159" s="99"/>
      <c r="Z1159" s="99"/>
      <c r="AA1159" s="99"/>
      <c r="AB1159" s="133"/>
    </row>
    <row r="1160" spans="1:28" s="307" customFormat="1" ht="15.75" customHeight="1" x14ac:dyDescent="0.15">
      <c r="H1160" s="169" t="s">
        <v>276</v>
      </c>
      <c r="I1160" s="165"/>
      <c r="J1160" s="165"/>
      <c r="K1160" s="165" t="s">
        <v>274</v>
      </c>
      <c r="L1160" s="165"/>
      <c r="M1160" s="165"/>
      <c r="N1160" s="165"/>
      <c r="O1160" s="165"/>
      <c r="P1160" s="165"/>
      <c r="Q1160" s="254">
        <f>V894</f>
        <v>2277.6999999999998</v>
      </c>
      <c r="R1160" s="254"/>
      <c r="S1160" s="254"/>
      <c r="T1160" s="166" t="s">
        <v>190</v>
      </c>
      <c r="U1160" s="166"/>
      <c r="V1160" s="166"/>
      <c r="W1160" s="254">
        <f>M1141</f>
        <v>404.1</v>
      </c>
      <c r="X1160" s="254"/>
      <c r="Y1160" s="254"/>
      <c r="Z1160" s="254">
        <f>W1160</f>
        <v>404.1</v>
      </c>
      <c r="AA1160" s="254"/>
      <c r="AB1160" s="371"/>
    </row>
    <row r="1161" spans="1:28" s="307" customFormat="1" ht="15.75" customHeight="1" x14ac:dyDescent="0.15">
      <c r="H1161" s="93"/>
      <c r="I1161" s="94"/>
      <c r="J1161" s="94"/>
      <c r="K1161" s="94" t="s">
        <v>275</v>
      </c>
      <c r="L1161" s="94"/>
      <c r="M1161" s="94"/>
      <c r="N1161" s="94"/>
      <c r="O1161" s="94"/>
      <c r="P1161" s="94"/>
      <c r="Q1161" s="96">
        <f>V918</f>
        <v>2353.1</v>
      </c>
      <c r="R1161" s="96"/>
      <c r="S1161" s="96"/>
      <c r="T1161" s="453">
        <f>g地盤抵抗係数(2,0)</f>
        <v>0.58699999999999997</v>
      </c>
      <c r="U1161" s="453"/>
      <c r="V1161" s="453"/>
      <c r="W1161" s="96"/>
      <c r="X1161" s="96"/>
      <c r="Y1161" s="96"/>
      <c r="Z1161" s="96">
        <f>Q1161*T1161+$W$1160</f>
        <v>1785.3696999999997</v>
      </c>
      <c r="AA1161" s="96"/>
      <c r="AB1161" s="374"/>
    </row>
    <row r="1162" spans="1:28" s="307" customFormat="1" ht="15.75" customHeight="1" x14ac:dyDescent="0.15">
      <c r="H1162" s="93" t="s">
        <v>277</v>
      </c>
      <c r="I1162" s="94"/>
      <c r="J1162" s="94"/>
      <c r="K1162" s="94" t="s">
        <v>377</v>
      </c>
      <c r="L1162" s="94"/>
      <c r="M1162" s="94"/>
      <c r="N1162" s="94"/>
      <c r="O1162" s="94"/>
      <c r="P1162" s="94"/>
      <c r="Q1162" s="96"/>
      <c r="R1162" s="96"/>
      <c r="S1162" s="96"/>
      <c r="T1162" s="453">
        <f>g地盤抵抗係数(3,0)</f>
        <v>0.78600000000000003</v>
      </c>
      <c r="U1162" s="453"/>
      <c r="V1162" s="453"/>
      <c r="W1162" s="96"/>
      <c r="X1162" s="96"/>
      <c r="Y1162" s="96"/>
      <c r="Z1162" s="96">
        <f>Q1161*T1162+$W$1160</f>
        <v>2253.6365999999998</v>
      </c>
      <c r="AA1162" s="96"/>
      <c r="AB1162" s="374"/>
    </row>
    <row r="1163" spans="1:28" s="307" customFormat="1" ht="28.5" customHeight="1" x14ac:dyDescent="0.15">
      <c r="H1163" s="93" t="s">
        <v>278</v>
      </c>
      <c r="I1163" s="94"/>
      <c r="J1163" s="94"/>
      <c r="K1163" s="122" t="s">
        <v>279</v>
      </c>
      <c r="L1163" s="94"/>
      <c r="M1163" s="94"/>
      <c r="N1163" s="94"/>
      <c r="O1163" s="94"/>
      <c r="P1163" s="94"/>
      <c r="Q1163" s="96">
        <f>V1014</f>
        <v>2201.3000000000002</v>
      </c>
      <c r="R1163" s="96"/>
      <c r="S1163" s="96"/>
      <c r="T1163" s="453">
        <f>g地盤抵抗係数(4,0)</f>
        <v>0.86499999999999999</v>
      </c>
      <c r="U1163" s="453"/>
      <c r="V1163" s="453"/>
      <c r="W1163" s="96"/>
      <c r="X1163" s="96"/>
      <c r="Y1163" s="96"/>
      <c r="Z1163" s="96">
        <f>Q1163*T1163+W1160</f>
        <v>2308.2245000000003</v>
      </c>
      <c r="AA1163" s="96"/>
      <c r="AB1163" s="374"/>
    </row>
    <row r="1164" spans="1:28" s="307" customFormat="1" ht="28.5" customHeight="1" x14ac:dyDescent="0.15">
      <c r="H1164" s="93"/>
      <c r="I1164" s="94"/>
      <c r="J1164" s="94"/>
      <c r="K1164" s="122" t="s">
        <v>280</v>
      </c>
      <c r="L1164" s="94"/>
      <c r="M1164" s="94"/>
      <c r="N1164" s="94"/>
      <c r="O1164" s="94"/>
      <c r="P1164" s="94"/>
      <c r="Q1164" s="96"/>
      <c r="R1164" s="96"/>
      <c r="S1164" s="96"/>
      <c r="T1164" s="453">
        <f>g地盤抵抗係数(5,0)</f>
        <v>1.1439999999999999</v>
      </c>
      <c r="U1164" s="453"/>
      <c r="V1164" s="453"/>
      <c r="W1164" s="96"/>
      <c r="X1164" s="96"/>
      <c r="Y1164" s="96"/>
      <c r="Z1164" s="96">
        <f>Q1163*T1164+W1160</f>
        <v>2922.3872000000001</v>
      </c>
      <c r="AA1164" s="96"/>
      <c r="AB1164" s="374"/>
    </row>
    <row r="1165" spans="1:28" s="307" customFormat="1" ht="28.5" customHeight="1" x14ac:dyDescent="0.15">
      <c r="A1165" s="73" t="str">
        <f>IF(A$289="","","×")</f>
        <v>×</v>
      </c>
      <c r="H1165" s="127" t="s">
        <v>583</v>
      </c>
      <c r="I1165" s="94"/>
      <c r="J1165" s="94"/>
      <c r="K1165" s="122" t="s">
        <v>279</v>
      </c>
      <c r="L1165" s="94"/>
      <c r="M1165" s="94"/>
      <c r="N1165" s="94"/>
      <c r="O1165" s="94"/>
      <c r="P1165" s="94"/>
      <c r="Q1165" s="96">
        <f>V1038</f>
        <v>2201.3000000000002</v>
      </c>
      <c r="R1165" s="96"/>
      <c r="S1165" s="96"/>
      <c r="T1165" s="97">
        <f>T1163</f>
        <v>0.86499999999999999</v>
      </c>
      <c r="U1165" s="97"/>
      <c r="V1165" s="97"/>
      <c r="W1165" s="96"/>
      <c r="X1165" s="96"/>
      <c r="Y1165" s="96"/>
      <c r="Z1165" s="96">
        <f>Q1165*T1165+W1160</f>
        <v>2308.2245000000003</v>
      </c>
      <c r="AA1165" s="96"/>
      <c r="AB1165" s="374"/>
    </row>
    <row r="1166" spans="1:28" s="307" customFormat="1" ht="28.5" customHeight="1" x14ac:dyDescent="0.15">
      <c r="A1166" s="73" t="str">
        <f>IF(A$311="","","×")</f>
        <v>×</v>
      </c>
      <c r="H1166" s="98"/>
      <c r="I1166" s="99"/>
      <c r="J1166" s="99"/>
      <c r="K1166" s="106" t="s">
        <v>280</v>
      </c>
      <c r="L1166" s="99"/>
      <c r="M1166" s="99"/>
      <c r="N1166" s="99"/>
      <c r="O1166" s="99"/>
      <c r="P1166" s="99"/>
      <c r="Q1166" s="101">
        <f>V1062</f>
        <v>2201.3000000000002</v>
      </c>
      <c r="R1166" s="101"/>
      <c r="S1166" s="101"/>
      <c r="T1166" s="102">
        <f>T1164</f>
        <v>1.1439999999999999</v>
      </c>
      <c r="U1166" s="102"/>
      <c r="V1166" s="102"/>
      <c r="W1166" s="101"/>
      <c r="X1166" s="101"/>
      <c r="Y1166" s="101"/>
      <c r="Z1166" s="101">
        <f>Q1166*T1166+W1160</f>
        <v>2922.3872000000001</v>
      </c>
      <c r="AA1166" s="101"/>
      <c r="AB1166" s="375"/>
    </row>
    <row r="1167" spans="1:28" s="307" customFormat="1" ht="15.75" customHeight="1" x14ac:dyDescent="0.15"/>
    <row r="1168" spans="1:28" s="307" customFormat="1" ht="15.75" customHeight="1" x14ac:dyDescent="0.15">
      <c r="E1168" s="1" t="s">
        <v>401</v>
      </c>
    </row>
    <row r="1169" spans="4:18" s="307" customFormat="1" ht="15.75" customHeight="1" x14ac:dyDescent="0.15">
      <c r="E1169" s="307" t="s">
        <v>402</v>
      </c>
    </row>
    <row r="1170" spans="4:18" s="307" customFormat="1" ht="15.75" customHeight="1" x14ac:dyDescent="0.15"/>
    <row r="1171" spans="4:18" s="307" customFormat="1" ht="15.75" customHeight="1" x14ac:dyDescent="0.15"/>
    <row r="1172" spans="4:18" s="307" customFormat="1" ht="15.75" customHeight="1" x14ac:dyDescent="0.15"/>
    <row r="1173" spans="4:18" s="307" customFormat="1" ht="15.75" customHeight="1" x14ac:dyDescent="0.15">
      <c r="D1173" s="10" t="s">
        <v>300</v>
      </c>
    </row>
    <row r="1174" spans="4:18" s="307" customFormat="1" ht="15.75" customHeight="1" x14ac:dyDescent="0.15"/>
    <row r="1175" spans="4:18" s="307" customFormat="1" ht="15.75" customHeight="1" x14ac:dyDescent="0.15">
      <c r="E1175" s="307" t="s">
        <v>403</v>
      </c>
    </row>
    <row r="1176" spans="4:18" s="307" customFormat="1" ht="15.75" customHeight="1" x14ac:dyDescent="0.15"/>
    <row r="1177" spans="4:18" s="307" customFormat="1" ht="15.75" customHeight="1" x14ac:dyDescent="0.15">
      <c r="E1177" s="162" t="s">
        <v>305</v>
      </c>
      <c r="F1177" s="162"/>
      <c r="G1177" s="76" t="s">
        <v>27</v>
      </c>
      <c r="H1177" s="162" t="s">
        <v>301</v>
      </c>
      <c r="I1177" s="162"/>
      <c r="J1177" s="307" t="s">
        <v>302</v>
      </c>
      <c r="K1177" s="162" t="s">
        <v>303</v>
      </c>
      <c r="L1177" s="162"/>
      <c r="M1177" s="307" t="s">
        <v>302</v>
      </c>
      <c r="N1177" s="162" t="s">
        <v>304</v>
      </c>
      <c r="O1177" s="162"/>
      <c r="P1177" s="307" t="s">
        <v>306</v>
      </c>
      <c r="Q1177" s="162" t="s">
        <v>304</v>
      </c>
      <c r="R1177" s="162"/>
    </row>
    <row r="1178" spans="4:18" s="307" customFormat="1" ht="15.75" customHeight="1" x14ac:dyDescent="0.15"/>
    <row r="1179" spans="4:18" s="307" customFormat="1" ht="15.75" customHeight="1" x14ac:dyDescent="0.15">
      <c r="F1179" s="1" t="s">
        <v>3</v>
      </c>
      <c r="G1179" s="1"/>
      <c r="H1179" s="1"/>
      <c r="I1179" s="162" t="s">
        <v>305</v>
      </c>
      <c r="J1179" s="162"/>
      <c r="K1179" s="76" t="s">
        <v>2</v>
      </c>
      <c r="L1179" s="1" t="s">
        <v>307</v>
      </c>
    </row>
    <row r="1180" spans="4:18" s="307" customFormat="1" ht="15.75" customHeight="1" x14ac:dyDescent="0.15">
      <c r="F1180" s="1"/>
      <c r="G1180" s="1"/>
      <c r="H1180" s="1"/>
      <c r="I1180" s="162" t="s">
        <v>301</v>
      </c>
      <c r="J1180" s="162"/>
      <c r="K1180" s="76" t="s">
        <v>2</v>
      </c>
      <c r="L1180" s="1" t="s">
        <v>308</v>
      </c>
    </row>
    <row r="1181" spans="4:18" s="307" customFormat="1" ht="15.75" customHeight="1" x14ac:dyDescent="0.15">
      <c r="L1181" s="361" t="s">
        <v>249</v>
      </c>
      <c r="M1181" s="361"/>
      <c r="N1181" s="361"/>
      <c r="O1181" s="76" t="s">
        <v>2</v>
      </c>
      <c r="P1181" s="307" t="s">
        <v>309</v>
      </c>
    </row>
    <row r="1182" spans="4:18" s="307" customFormat="1" ht="15.75" customHeight="1" x14ac:dyDescent="0.15">
      <c r="L1182" s="361" t="s">
        <v>248</v>
      </c>
      <c r="M1182" s="361"/>
      <c r="N1182" s="361"/>
      <c r="O1182" s="76" t="s">
        <v>2</v>
      </c>
      <c r="P1182" s="307" t="s">
        <v>310</v>
      </c>
    </row>
    <row r="1183" spans="4:18" s="307" customFormat="1" ht="15.75" customHeight="1" x14ac:dyDescent="0.15">
      <c r="I1183" s="162" t="s">
        <v>303</v>
      </c>
      <c r="J1183" s="162"/>
      <c r="K1183" s="76" t="s">
        <v>2</v>
      </c>
      <c r="L1183" s="1" t="s">
        <v>311</v>
      </c>
    </row>
    <row r="1184" spans="4:18" s="307" customFormat="1" ht="15.75" customHeight="1" x14ac:dyDescent="0.15">
      <c r="L1184" s="361" t="s">
        <v>249</v>
      </c>
      <c r="M1184" s="361"/>
      <c r="N1184" s="361"/>
      <c r="O1184" s="76" t="s">
        <v>2</v>
      </c>
      <c r="P1184" s="307" t="s">
        <v>312</v>
      </c>
    </row>
    <row r="1185" spans="5:30" s="307" customFormat="1" ht="15.75" customHeight="1" x14ac:dyDescent="0.15">
      <c r="L1185" s="361" t="s">
        <v>248</v>
      </c>
      <c r="M1185" s="361"/>
      <c r="N1185" s="361"/>
      <c r="O1185" s="76" t="s">
        <v>2</v>
      </c>
      <c r="P1185" s="307" t="s">
        <v>313</v>
      </c>
    </row>
    <row r="1186" spans="5:30" s="307" customFormat="1" ht="15.75" customHeight="1" x14ac:dyDescent="0.15">
      <c r="I1186" s="162" t="s">
        <v>304</v>
      </c>
      <c r="J1186" s="162"/>
      <c r="K1186" s="76" t="s">
        <v>2</v>
      </c>
      <c r="L1186" s="307" t="s">
        <v>307</v>
      </c>
    </row>
    <row r="1187" spans="5:30" s="307" customFormat="1" ht="15.75" customHeight="1" x14ac:dyDescent="0.15">
      <c r="M1187" s="1" t="s">
        <v>224</v>
      </c>
      <c r="N1187" s="1"/>
      <c r="O1187" s="1"/>
      <c r="P1187" s="1"/>
      <c r="Q1187" s="1"/>
      <c r="R1187" s="76" t="s">
        <v>2</v>
      </c>
      <c r="S1187" s="162" t="s">
        <v>304</v>
      </c>
      <c r="T1187" s="162"/>
      <c r="U1187" s="76" t="s">
        <v>27</v>
      </c>
      <c r="V1187" s="307" t="s">
        <v>315</v>
      </c>
    </row>
    <row r="1188" spans="5:30" s="307" customFormat="1" ht="15.75" customHeight="1" x14ac:dyDescent="0.15">
      <c r="M1188" s="1" t="s">
        <v>241</v>
      </c>
      <c r="N1188" s="1"/>
      <c r="O1188" s="1"/>
      <c r="P1188" s="1"/>
      <c r="Q1188" s="1"/>
      <c r="R1188" s="76" t="s">
        <v>2</v>
      </c>
      <c r="S1188" s="162" t="s">
        <v>304</v>
      </c>
      <c r="T1188" s="162"/>
      <c r="U1188" s="76" t="s">
        <v>27</v>
      </c>
      <c r="V1188" s="307" t="s">
        <v>316</v>
      </c>
      <c r="AC1188" s="307" t="s">
        <v>306</v>
      </c>
      <c r="AD1188" s="307" t="s">
        <v>314</v>
      </c>
    </row>
    <row r="1189" spans="5:30" s="307" customFormat="1" ht="15.75" customHeight="1" x14ac:dyDescent="0.15">
      <c r="J1189" s="2" t="s">
        <v>317</v>
      </c>
      <c r="K1189" s="76" t="s">
        <v>2</v>
      </c>
      <c r="L1189" s="307" t="s">
        <v>318</v>
      </c>
    </row>
    <row r="1190" spans="5:30" s="307" customFormat="1" ht="15.75" customHeight="1" x14ac:dyDescent="0.15">
      <c r="J1190" s="2" t="s">
        <v>319</v>
      </c>
      <c r="K1190" s="76" t="s">
        <v>2</v>
      </c>
      <c r="L1190" s="307" t="s">
        <v>320</v>
      </c>
    </row>
    <row r="1191" spans="5:30" s="307" customFormat="1" ht="15.75" customHeight="1" x14ac:dyDescent="0.15">
      <c r="J1191" s="307" t="s">
        <v>321</v>
      </c>
      <c r="K1191" s="76" t="s">
        <v>2</v>
      </c>
      <c r="L1191" s="307" t="s">
        <v>322</v>
      </c>
    </row>
    <row r="1192" spans="5:30" s="307" customFormat="1" ht="15.75" customHeight="1" x14ac:dyDescent="0.15">
      <c r="J1192" s="2" t="s">
        <v>323</v>
      </c>
      <c r="K1192" s="76" t="s">
        <v>2</v>
      </c>
      <c r="L1192" s="307" t="s">
        <v>324</v>
      </c>
    </row>
    <row r="1193" spans="5:30" s="307" customFormat="1" ht="15.75" customHeight="1" x14ac:dyDescent="0.15">
      <c r="J1193" s="2" t="s">
        <v>4</v>
      </c>
      <c r="K1193" s="76" t="s">
        <v>2</v>
      </c>
      <c r="L1193" s="307" t="s">
        <v>325</v>
      </c>
    </row>
    <row r="1194" spans="5:30" s="307" customFormat="1" ht="15.75" customHeight="1" x14ac:dyDescent="0.15">
      <c r="J1194" s="2" t="s">
        <v>244</v>
      </c>
      <c r="K1194" s="76" t="s">
        <v>2</v>
      </c>
      <c r="L1194" s="307" t="s">
        <v>326</v>
      </c>
    </row>
    <row r="1195" spans="5:30" s="307" customFormat="1" ht="15.75" customHeight="1" x14ac:dyDescent="0.15"/>
    <row r="1196" spans="5:30" s="307" customFormat="1" ht="15.75" customHeight="1" x14ac:dyDescent="0.15">
      <c r="E1196" s="307" t="s">
        <v>327</v>
      </c>
    </row>
    <row r="1197" spans="5:30" s="307" customFormat="1" ht="15.75" customHeight="1" x14ac:dyDescent="0.15">
      <c r="E1197" s="307" t="s">
        <v>328</v>
      </c>
    </row>
    <row r="1198" spans="5:30" s="307" customFormat="1" ht="15.75" customHeight="1" x14ac:dyDescent="0.15">
      <c r="E1198" s="307" t="s">
        <v>329</v>
      </c>
    </row>
    <row r="1199" spans="5:30" s="307" customFormat="1" ht="15.75" customHeight="1" x14ac:dyDescent="0.15">
      <c r="E1199" s="307" t="s">
        <v>330</v>
      </c>
    </row>
    <row r="1200" spans="5:30" s="307" customFormat="1" ht="15.75" customHeight="1" x14ac:dyDescent="0.15">
      <c r="E1200" s="307" t="s">
        <v>331</v>
      </c>
    </row>
    <row r="1201" spans="5:34" s="307" customFormat="1" ht="15.75" customHeight="1" x14ac:dyDescent="0.15"/>
    <row r="1202" spans="5:34" ht="15.75" customHeight="1" x14ac:dyDescent="0.15">
      <c r="E1202" s="162" t="s">
        <v>332</v>
      </c>
      <c r="F1202" s="162"/>
      <c r="G1202" s="76" t="s">
        <v>27</v>
      </c>
      <c r="H1202" s="162" t="s">
        <v>333</v>
      </c>
      <c r="I1202" s="162"/>
      <c r="J1202" s="76" t="s">
        <v>1</v>
      </c>
      <c r="K1202" s="162" t="s">
        <v>65</v>
      </c>
      <c r="L1202" s="162"/>
      <c r="M1202" s="1" t="s">
        <v>1</v>
      </c>
      <c r="N1202" s="307" t="s">
        <v>238</v>
      </c>
      <c r="O1202" s="1"/>
      <c r="P1202" s="1"/>
      <c r="Q1202" s="1"/>
      <c r="R1202" s="1"/>
      <c r="S1202" s="1"/>
      <c r="T1202" s="1"/>
      <c r="U1202" s="1"/>
      <c r="V1202" s="1"/>
      <c r="W1202" s="1"/>
      <c r="X1202" s="1"/>
      <c r="Y1202" s="1"/>
      <c r="Z1202" s="1"/>
      <c r="AA1202" s="1"/>
      <c r="AB1202" s="1"/>
      <c r="AC1202" s="1"/>
      <c r="AD1202" s="1"/>
      <c r="AE1202" s="1"/>
      <c r="AF1202" s="1"/>
      <c r="AG1202" s="1"/>
      <c r="AH1202" s="1"/>
    </row>
    <row r="1203" spans="5:34" ht="15.75" customHeight="1" x14ac:dyDescent="0.15">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row>
    <row r="1204" spans="5:34" ht="15.75" customHeight="1" x14ac:dyDescent="0.15">
      <c r="F1204" s="1" t="s">
        <v>3</v>
      </c>
      <c r="G1204" s="1"/>
      <c r="H1204" s="1"/>
      <c r="I1204" s="162" t="s">
        <v>333</v>
      </c>
      <c r="J1204" s="162"/>
      <c r="K1204" s="76" t="s">
        <v>2</v>
      </c>
      <c r="L1204" s="1" t="s">
        <v>334</v>
      </c>
      <c r="M1204" s="1"/>
      <c r="N1204" s="1"/>
      <c r="O1204" s="1"/>
      <c r="P1204" s="1"/>
      <c r="Q1204" s="1"/>
      <c r="R1204" s="1"/>
      <c r="S1204" s="1"/>
      <c r="T1204" s="1"/>
      <c r="U1204" s="1"/>
      <c r="V1204" s="1"/>
      <c r="W1204" s="1"/>
      <c r="X1204" s="1"/>
      <c r="Y1204" s="1"/>
      <c r="Z1204" s="1"/>
      <c r="AA1204" s="1"/>
      <c r="AB1204" s="1"/>
      <c r="AC1204" s="1"/>
      <c r="AD1204" s="1"/>
      <c r="AE1204" s="1"/>
      <c r="AF1204" s="1"/>
      <c r="AG1204" s="1"/>
      <c r="AH1204" s="1"/>
    </row>
    <row r="1205" spans="5:34" s="307" customFormat="1" ht="15.75" customHeight="1" x14ac:dyDescent="0.15">
      <c r="I1205" s="162" t="s">
        <v>65</v>
      </c>
      <c r="J1205" s="162"/>
      <c r="K1205" s="76" t="s">
        <v>2</v>
      </c>
      <c r="L1205" s="307" t="s">
        <v>335</v>
      </c>
    </row>
    <row r="1206" spans="5:34" s="307" customFormat="1" ht="15.75" customHeight="1" x14ac:dyDescent="0.15">
      <c r="I1206" s="162" t="s">
        <v>238</v>
      </c>
      <c r="J1206" s="162"/>
      <c r="K1206" s="76" t="s">
        <v>2</v>
      </c>
      <c r="L1206" s="307" t="s">
        <v>336</v>
      </c>
    </row>
    <row r="1207" spans="5:34" s="307" customFormat="1" ht="15.75" customHeight="1" x14ac:dyDescent="0.15"/>
    <row r="1208" spans="5:34" s="307" customFormat="1" ht="15.75" customHeight="1" x14ac:dyDescent="0.15"/>
    <row r="1209" spans="5:34" s="307" customFormat="1" ht="15.75" customHeight="1" x14ac:dyDescent="0.15"/>
    <row r="1210" spans="5:34" s="307" customFormat="1" ht="15.75" customHeight="1" x14ac:dyDescent="0.15">
      <c r="H1210" s="61" t="s">
        <v>364</v>
      </c>
      <c r="I1210" s="302"/>
      <c r="J1210" s="302"/>
      <c r="K1210" s="302"/>
      <c r="L1210" s="61"/>
      <c r="M1210" s="61"/>
      <c r="N1210" s="61"/>
      <c r="O1210" s="61"/>
      <c r="P1210" s="61"/>
      <c r="Q1210" s="61"/>
      <c r="R1210" s="61"/>
      <c r="S1210" s="61"/>
      <c r="T1210" s="61"/>
      <c r="U1210" s="61"/>
      <c r="V1210" s="61"/>
      <c r="W1210" s="61"/>
      <c r="X1210" s="61"/>
      <c r="Y1210" s="61"/>
      <c r="Z1210" s="61"/>
      <c r="AA1210" s="61"/>
      <c r="AB1210" s="302"/>
      <c r="AC1210" s="302"/>
      <c r="AD1210" s="302"/>
      <c r="AE1210" s="302"/>
    </row>
    <row r="1211" spans="5:34" s="307" customFormat="1" ht="15.75" customHeight="1" x14ac:dyDescent="0.15">
      <c r="H1211" s="126" t="s">
        <v>8</v>
      </c>
      <c r="I1211" s="105"/>
      <c r="J1211" s="105" t="s">
        <v>384</v>
      </c>
      <c r="K1211" s="105"/>
      <c r="L1211" s="105"/>
      <c r="M1211" s="134" t="s">
        <v>203</v>
      </c>
      <c r="N1211" s="134"/>
      <c r="O1211" s="134" t="s">
        <v>338</v>
      </c>
      <c r="P1211" s="134"/>
      <c r="Q1211" s="105" t="s">
        <v>344</v>
      </c>
      <c r="R1211" s="131"/>
      <c r="S1211" s="131"/>
      <c r="T1211" s="105" t="s">
        <v>343</v>
      </c>
      <c r="U1211" s="131"/>
      <c r="V1211" s="131"/>
      <c r="W1211" s="105" t="s">
        <v>342</v>
      </c>
      <c r="X1211" s="131"/>
      <c r="Y1211" s="131"/>
      <c r="Z1211" s="131" t="s">
        <v>323</v>
      </c>
      <c r="AA1211" s="131"/>
      <c r="AB1211" s="131"/>
      <c r="AC1211" s="105" t="s">
        <v>345</v>
      </c>
      <c r="AD1211" s="131"/>
      <c r="AE1211" s="132"/>
    </row>
    <row r="1212" spans="5:34" s="307" customFormat="1" ht="15.75" customHeight="1" x14ac:dyDescent="0.15">
      <c r="H1212" s="128"/>
      <c r="I1212" s="106"/>
      <c r="J1212" s="106"/>
      <c r="K1212" s="106"/>
      <c r="L1212" s="106"/>
      <c r="M1212" s="216"/>
      <c r="N1212" s="216"/>
      <c r="O1212" s="216"/>
      <c r="P1212" s="216"/>
      <c r="Q1212" s="99"/>
      <c r="R1212" s="99"/>
      <c r="S1212" s="99"/>
      <c r="T1212" s="99"/>
      <c r="U1212" s="99"/>
      <c r="V1212" s="99"/>
      <c r="W1212" s="99"/>
      <c r="X1212" s="99"/>
      <c r="Y1212" s="99"/>
      <c r="Z1212" s="99"/>
      <c r="AA1212" s="99"/>
      <c r="AB1212" s="99"/>
      <c r="AC1212" s="99"/>
      <c r="AD1212" s="99"/>
      <c r="AE1212" s="133"/>
    </row>
    <row r="1213" spans="5:34" s="307" customFormat="1" ht="15.75" customHeight="1" x14ac:dyDescent="0.15">
      <c r="H1213" s="169">
        <v>1</v>
      </c>
      <c r="I1213" s="165"/>
      <c r="J1213" s="165" t="s">
        <v>383</v>
      </c>
      <c r="K1213" s="165"/>
      <c r="L1213" s="165"/>
      <c r="M1213" s="168">
        <v>1.3</v>
      </c>
      <c r="N1213" s="168"/>
      <c r="O1213" s="168">
        <v>0</v>
      </c>
      <c r="P1213" s="165"/>
      <c r="Q1213" s="254">
        <v>0</v>
      </c>
      <c r="R1213" s="254"/>
      <c r="S1213" s="254"/>
      <c r="T1213" s="168" t="s">
        <v>190</v>
      </c>
      <c r="U1213" s="168"/>
      <c r="V1213" s="168"/>
      <c r="W1213" s="166" t="s">
        <v>190</v>
      </c>
      <c r="X1213" s="166"/>
      <c r="Y1213" s="166"/>
      <c r="Z1213" s="166" t="s">
        <v>190</v>
      </c>
      <c r="AA1213" s="166"/>
      <c r="AB1213" s="166"/>
      <c r="AC1213" s="166" t="s">
        <v>190</v>
      </c>
      <c r="AD1213" s="166"/>
      <c r="AE1213" s="167"/>
    </row>
    <row r="1214" spans="5:34" s="307" customFormat="1" ht="15.75" customHeight="1" x14ac:dyDescent="0.15">
      <c r="H1214" s="93"/>
      <c r="I1214" s="94"/>
      <c r="J1214" s="94"/>
      <c r="K1214" s="94"/>
      <c r="L1214" s="94"/>
      <c r="M1214" s="95"/>
      <c r="N1214" s="95"/>
      <c r="O1214" s="95">
        <f>M1213+O1213</f>
        <v>1.3</v>
      </c>
      <c r="P1214" s="95"/>
      <c r="Q1214" s="96"/>
      <c r="R1214" s="96"/>
      <c r="S1214" s="96"/>
      <c r="T1214" s="95"/>
      <c r="U1214" s="95"/>
      <c r="V1214" s="95"/>
      <c r="W1214" s="97" t="s">
        <v>190</v>
      </c>
      <c r="X1214" s="97"/>
      <c r="Y1214" s="97"/>
      <c r="Z1214" s="97"/>
      <c r="AA1214" s="97"/>
      <c r="AB1214" s="97"/>
      <c r="AC1214" s="97" t="s">
        <v>190</v>
      </c>
      <c r="AD1214" s="97"/>
      <c r="AE1214" s="376"/>
    </row>
    <row r="1215" spans="5:34" s="307" customFormat="1" ht="15.75" customHeight="1" x14ac:dyDescent="0.15">
      <c r="H1215" s="93">
        <v>2</v>
      </c>
      <c r="I1215" s="94"/>
      <c r="J1215" s="94" t="s">
        <v>249</v>
      </c>
      <c r="K1215" s="94"/>
      <c r="L1215" s="94"/>
      <c r="M1215" s="95">
        <v>13</v>
      </c>
      <c r="N1215" s="95"/>
      <c r="O1215" s="95">
        <f>O1214</f>
        <v>1.3</v>
      </c>
      <c r="P1215" s="94"/>
      <c r="Q1215" s="96">
        <v>0</v>
      </c>
      <c r="R1215" s="96"/>
      <c r="S1215" s="96"/>
      <c r="T1215" s="95">
        <v>43</v>
      </c>
      <c r="U1215" s="95"/>
      <c r="V1215" s="95"/>
      <c r="W1215" s="95">
        <v>6</v>
      </c>
      <c r="X1215" s="95"/>
      <c r="Y1215" s="95"/>
      <c r="Z1215" s="97">
        <v>5.2889999999999997</v>
      </c>
      <c r="AA1215" s="97"/>
      <c r="AB1215" s="97"/>
      <c r="AC1215" s="96">
        <f>3*W1215*O1215*Z1215</f>
        <v>123.76260000000001</v>
      </c>
      <c r="AD1215" s="96"/>
      <c r="AE1215" s="374"/>
    </row>
    <row r="1216" spans="5:34" s="307" customFormat="1" ht="15.75" customHeight="1" x14ac:dyDescent="0.15">
      <c r="H1216" s="93"/>
      <c r="I1216" s="94"/>
      <c r="J1216" s="94"/>
      <c r="K1216" s="94"/>
      <c r="L1216" s="94"/>
      <c r="M1216" s="95"/>
      <c r="N1216" s="95"/>
      <c r="O1216" s="95">
        <f>M1215+O1215</f>
        <v>14.3</v>
      </c>
      <c r="P1216" s="95"/>
      <c r="Q1216" s="96"/>
      <c r="R1216" s="96"/>
      <c r="S1216" s="96"/>
      <c r="T1216" s="95"/>
      <c r="U1216" s="95"/>
      <c r="V1216" s="95"/>
      <c r="W1216" s="95">
        <v>9.6</v>
      </c>
      <c r="X1216" s="95"/>
      <c r="Y1216" s="95"/>
      <c r="Z1216" s="97"/>
      <c r="AA1216" s="97"/>
      <c r="AB1216" s="97"/>
      <c r="AC1216" s="96">
        <f>3*W1216*O1216*Z1215</f>
        <v>2178.2217599999999</v>
      </c>
      <c r="AD1216" s="96"/>
      <c r="AE1216" s="374"/>
    </row>
    <row r="1217" spans="8:31" s="307" customFormat="1" ht="15.75" customHeight="1" x14ac:dyDescent="0.15">
      <c r="H1217" s="93">
        <v>3</v>
      </c>
      <c r="I1217" s="94"/>
      <c r="J1217" s="94" t="s">
        <v>249</v>
      </c>
      <c r="K1217" s="94"/>
      <c r="L1217" s="94"/>
      <c r="M1217" s="95">
        <v>13</v>
      </c>
      <c r="N1217" s="95"/>
      <c r="O1217" s="95">
        <f>O1216</f>
        <v>14.3</v>
      </c>
      <c r="P1217" s="94"/>
      <c r="Q1217" s="96">
        <v>0</v>
      </c>
      <c r="R1217" s="96"/>
      <c r="S1217" s="96"/>
      <c r="T1217" s="95">
        <v>43</v>
      </c>
      <c r="U1217" s="95"/>
      <c r="V1217" s="95"/>
      <c r="W1217" s="95">
        <v>6</v>
      </c>
      <c r="X1217" s="95"/>
      <c r="Y1217" s="95"/>
      <c r="Z1217" s="97">
        <v>5.2889999999999997</v>
      </c>
      <c r="AA1217" s="97"/>
      <c r="AB1217" s="97"/>
      <c r="AC1217" s="96">
        <f>3*W1217*O1217*Z1217</f>
        <v>1361.3886</v>
      </c>
      <c r="AD1217" s="96"/>
      <c r="AE1217" s="374"/>
    </row>
    <row r="1218" spans="8:31" s="307" customFormat="1" ht="15.75" customHeight="1" x14ac:dyDescent="0.15">
      <c r="H1218" s="93"/>
      <c r="I1218" s="94"/>
      <c r="J1218" s="94"/>
      <c r="K1218" s="94"/>
      <c r="L1218" s="94"/>
      <c r="M1218" s="95"/>
      <c r="N1218" s="95"/>
      <c r="O1218" s="95">
        <f>M1217+O1217</f>
        <v>27.3</v>
      </c>
      <c r="P1218" s="95"/>
      <c r="Q1218" s="96"/>
      <c r="R1218" s="96"/>
      <c r="S1218" s="96"/>
      <c r="T1218" s="95"/>
      <c r="U1218" s="95"/>
      <c r="V1218" s="95"/>
      <c r="W1218" s="95">
        <v>9.6</v>
      </c>
      <c r="X1218" s="95"/>
      <c r="Y1218" s="95"/>
      <c r="Z1218" s="97"/>
      <c r="AA1218" s="97"/>
      <c r="AB1218" s="97"/>
      <c r="AC1218" s="96">
        <f>3*W1218*O1218*Z1217</f>
        <v>4158.4233599999989</v>
      </c>
      <c r="AD1218" s="96"/>
      <c r="AE1218" s="374"/>
    </row>
    <row r="1219" spans="8:31" s="307" customFormat="1" ht="15.75" customHeight="1" x14ac:dyDescent="0.15">
      <c r="H1219" s="93">
        <v>4</v>
      </c>
      <c r="I1219" s="94"/>
      <c r="J1219" s="94" t="s">
        <v>249</v>
      </c>
      <c r="K1219" s="94"/>
      <c r="L1219" s="94"/>
      <c r="M1219" s="95">
        <v>13</v>
      </c>
      <c r="N1219" s="95"/>
      <c r="O1219" s="95">
        <f>O1218</f>
        <v>27.3</v>
      </c>
      <c r="P1219" s="94"/>
      <c r="Q1219" s="96">
        <v>0</v>
      </c>
      <c r="R1219" s="96"/>
      <c r="S1219" s="96"/>
      <c r="T1219" s="95">
        <v>43</v>
      </c>
      <c r="U1219" s="95"/>
      <c r="V1219" s="95"/>
      <c r="W1219" s="95">
        <v>6</v>
      </c>
      <c r="X1219" s="95"/>
      <c r="Y1219" s="95"/>
      <c r="Z1219" s="97">
        <v>5.2889999999999997</v>
      </c>
      <c r="AA1219" s="97"/>
      <c r="AB1219" s="97"/>
      <c r="AC1219" s="96">
        <f>3*W1219*O1219*Z1219</f>
        <v>2599.0146</v>
      </c>
      <c r="AD1219" s="96"/>
      <c r="AE1219" s="374"/>
    </row>
    <row r="1220" spans="8:31" s="307" customFormat="1" ht="15.75" customHeight="1" x14ac:dyDescent="0.15">
      <c r="H1220" s="93"/>
      <c r="I1220" s="94"/>
      <c r="J1220" s="94"/>
      <c r="K1220" s="94"/>
      <c r="L1220" s="94"/>
      <c r="M1220" s="95"/>
      <c r="N1220" s="95"/>
      <c r="O1220" s="95">
        <f>M1219+O1219</f>
        <v>40.299999999999997</v>
      </c>
      <c r="P1220" s="95"/>
      <c r="Q1220" s="96"/>
      <c r="R1220" s="96"/>
      <c r="S1220" s="96"/>
      <c r="T1220" s="95"/>
      <c r="U1220" s="95"/>
      <c r="V1220" s="95"/>
      <c r="W1220" s="95">
        <v>9.6</v>
      </c>
      <c r="X1220" s="95"/>
      <c r="Y1220" s="95"/>
      <c r="Z1220" s="97"/>
      <c r="AA1220" s="97"/>
      <c r="AB1220" s="97"/>
      <c r="AC1220" s="96">
        <f>3*W1220*O1220*Z1219</f>
        <v>6138.6249599999992</v>
      </c>
      <c r="AD1220" s="96"/>
      <c r="AE1220" s="374"/>
    </row>
    <row r="1221" spans="8:31" s="307" customFormat="1" ht="15.75" customHeight="1" x14ac:dyDescent="0.15">
      <c r="H1221" s="93">
        <v>5</v>
      </c>
      <c r="I1221" s="94"/>
      <c r="J1221" s="94" t="s">
        <v>249</v>
      </c>
      <c r="K1221" s="94"/>
      <c r="L1221" s="94"/>
      <c r="M1221" s="95">
        <v>13</v>
      </c>
      <c r="N1221" s="95"/>
      <c r="O1221" s="95">
        <f>O1220</f>
        <v>40.299999999999997</v>
      </c>
      <c r="P1221" s="94"/>
      <c r="Q1221" s="96">
        <v>0</v>
      </c>
      <c r="R1221" s="96"/>
      <c r="S1221" s="96"/>
      <c r="T1221" s="95">
        <v>43</v>
      </c>
      <c r="U1221" s="95"/>
      <c r="V1221" s="95"/>
      <c r="W1221" s="95">
        <v>6</v>
      </c>
      <c r="X1221" s="95"/>
      <c r="Y1221" s="95"/>
      <c r="Z1221" s="97">
        <v>5.2889999999999997</v>
      </c>
      <c r="AA1221" s="97"/>
      <c r="AB1221" s="97"/>
      <c r="AC1221" s="96">
        <f>3*W1221*O1221*Z1221</f>
        <v>3836.6405999999997</v>
      </c>
      <c r="AD1221" s="96"/>
      <c r="AE1221" s="374"/>
    </row>
    <row r="1222" spans="8:31" s="307" customFormat="1" ht="15.75" customHeight="1" x14ac:dyDescent="0.15">
      <c r="H1222" s="93"/>
      <c r="I1222" s="94"/>
      <c r="J1222" s="94"/>
      <c r="K1222" s="94"/>
      <c r="L1222" s="94"/>
      <c r="M1222" s="95"/>
      <c r="N1222" s="95"/>
      <c r="O1222" s="95">
        <f>M1221+O1221</f>
        <v>53.3</v>
      </c>
      <c r="P1222" s="95"/>
      <c r="Q1222" s="96"/>
      <c r="R1222" s="96"/>
      <c r="S1222" s="96"/>
      <c r="T1222" s="95"/>
      <c r="U1222" s="95"/>
      <c r="V1222" s="95"/>
      <c r="W1222" s="95">
        <v>9.6</v>
      </c>
      <c r="X1222" s="95"/>
      <c r="Y1222" s="95"/>
      <c r="Z1222" s="97"/>
      <c r="AA1222" s="97"/>
      <c r="AB1222" s="97"/>
      <c r="AC1222" s="96">
        <f>3*W1222*O1222*Z1221</f>
        <v>8118.8265599999977</v>
      </c>
      <c r="AD1222" s="96"/>
      <c r="AE1222" s="374"/>
    </row>
    <row r="1223" spans="8:31" s="307" customFormat="1" ht="15.75" customHeight="1" x14ac:dyDescent="0.15">
      <c r="H1223" s="93">
        <v>6</v>
      </c>
      <c r="I1223" s="94"/>
      <c r="J1223" s="94" t="s">
        <v>249</v>
      </c>
      <c r="K1223" s="94"/>
      <c r="L1223" s="94"/>
      <c r="M1223" s="95">
        <v>13</v>
      </c>
      <c r="N1223" s="95"/>
      <c r="O1223" s="95">
        <f>O1222</f>
        <v>53.3</v>
      </c>
      <c r="P1223" s="94"/>
      <c r="Q1223" s="96">
        <v>0</v>
      </c>
      <c r="R1223" s="96"/>
      <c r="S1223" s="96"/>
      <c r="T1223" s="95">
        <v>43</v>
      </c>
      <c r="U1223" s="95"/>
      <c r="V1223" s="95"/>
      <c r="W1223" s="95">
        <v>6</v>
      </c>
      <c r="X1223" s="95"/>
      <c r="Y1223" s="95"/>
      <c r="Z1223" s="97">
        <v>5.2889999999999997</v>
      </c>
      <c r="AA1223" s="97"/>
      <c r="AB1223" s="97"/>
      <c r="AC1223" s="96">
        <f>3*W1223*O1223*Z1223</f>
        <v>5074.2665999999999</v>
      </c>
      <c r="AD1223" s="96"/>
      <c r="AE1223" s="374"/>
    </row>
    <row r="1224" spans="8:31" s="307" customFormat="1" ht="15.75" customHeight="1" x14ac:dyDescent="0.15">
      <c r="H1224" s="93"/>
      <c r="I1224" s="94"/>
      <c r="J1224" s="94"/>
      <c r="K1224" s="94"/>
      <c r="L1224" s="94"/>
      <c r="M1224" s="95"/>
      <c r="N1224" s="95"/>
      <c r="O1224" s="95">
        <f>M1223+O1223</f>
        <v>66.3</v>
      </c>
      <c r="P1224" s="95"/>
      <c r="Q1224" s="96"/>
      <c r="R1224" s="96"/>
      <c r="S1224" s="96"/>
      <c r="T1224" s="95"/>
      <c r="U1224" s="95"/>
      <c r="V1224" s="95"/>
      <c r="W1224" s="95">
        <v>9.6</v>
      </c>
      <c r="X1224" s="95"/>
      <c r="Y1224" s="95"/>
      <c r="Z1224" s="97"/>
      <c r="AA1224" s="97"/>
      <c r="AB1224" s="97"/>
      <c r="AC1224" s="96">
        <f>3*W1224*O1224*Z1223</f>
        <v>10099.028159999998</v>
      </c>
      <c r="AD1224" s="96"/>
      <c r="AE1224" s="374"/>
    </row>
    <row r="1225" spans="8:31" s="307" customFormat="1" ht="15.75" customHeight="1" x14ac:dyDescent="0.15">
      <c r="H1225" s="93">
        <v>7</v>
      </c>
      <c r="I1225" s="94"/>
      <c r="J1225" s="94" t="s">
        <v>249</v>
      </c>
      <c r="K1225" s="94"/>
      <c r="L1225" s="94"/>
      <c r="M1225" s="95">
        <v>13</v>
      </c>
      <c r="N1225" s="95"/>
      <c r="O1225" s="95">
        <f>O1224</f>
        <v>66.3</v>
      </c>
      <c r="P1225" s="94"/>
      <c r="Q1225" s="96">
        <v>0</v>
      </c>
      <c r="R1225" s="96"/>
      <c r="S1225" s="96"/>
      <c r="T1225" s="95">
        <v>43</v>
      </c>
      <c r="U1225" s="95"/>
      <c r="V1225" s="95"/>
      <c r="W1225" s="95">
        <v>6</v>
      </c>
      <c r="X1225" s="95"/>
      <c r="Y1225" s="95"/>
      <c r="Z1225" s="97">
        <v>5.2889999999999997</v>
      </c>
      <c r="AA1225" s="97"/>
      <c r="AB1225" s="97"/>
      <c r="AC1225" s="96">
        <f>3*W1225*O1225*Z1225</f>
        <v>6311.8925999999992</v>
      </c>
      <c r="AD1225" s="96"/>
      <c r="AE1225" s="374"/>
    </row>
    <row r="1226" spans="8:31" s="307" customFormat="1" ht="15.75" customHeight="1" x14ac:dyDescent="0.15">
      <c r="H1226" s="93"/>
      <c r="I1226" s="94"/>
      <c r="J1226" s="94"/>
      <c r="K1226" s="94"/>
      <c r="L1226" s="94"/>
      <c r="M1226" s="95"/>
      <c r="N1226" s="95"/>
      <c r="O1226" s="95">
        <f>M1225+O1225</f>
        <v>79.3</v>
      </c>
      <c r="P1226" s="95"/>
      <c r="Q1226" s="96"/>
      <c r="R1226" s="96"/>
      <c r="S1226" s="96"/>
      <c r="T1226" s="95"/>
      <c r="U1226" s="95"/>
      <c r="V1226" s="95"/>
      <c r="W1226" s="95">
        <v>9.6</v>
      </c>
      <c r="X1226" s="95"/>
      <c r="Y1226" s="95"/>
      <c r="Z1226" s="97"/>
      <c r="AA1226" s="97"/>
      <c r="AB1226" s="97"/>
      <c r="AC1226" s="96">
        <f>3*W1226*O1226*Z1225</f>
        <v>12079.229759999998</v>
      </c>
      <c r="AD1226" s="96"/>
      <c r="AE1226" s="374"/>
    </row>
    <row r="1227" spans="8:31" s="307" customFormat="1" ht="15.75" customHeight="1" x14ac:dyDescent="0.15">
      <c r="H1227" s="93">
        <v>8</v>
      </c>
      <c r="I1227" s="94"/>
      <c r="J1227" s="94" t="s">
        <v>249</v>
      </c>
      <c r="K1227" s="94"/>
      <c r="L1227" s="94"/>
      <c r="M1227" s="95">
        <v>13</v>
      </c>
      <c r="N1227" s="95"/>
      <c r="O1227" s="95">
        <f>O1226</f>
        <v>79.3</v>
      </c>
      <c r="P1227" s="94"/>
      <c r="Q1227" s="96">
        <v>0</v>
      </c>
      <c r="R1227" s="96"/>
      <c r="S1227" s="96"/>
      <c r="T1227" s="95">
        <v>43</v>
      </c>
      <c r="U1227" s="95"/>
      <c r="V1227" s="95"/>
      <c r="W1227" s="95">
        <v>6</v>
      </c>
      <c r="X1227" s="95"/>
      <c r="Y1227" s="95"/>
      <c r="Z1227" s="97">
        <v>5.2889999999999997</v>
      </c>
      <c r="AA1227" s="97"/>
      <c r="AB1227" s="97"/>
      <c r="AC1227" s="96">
        <f>3*W1227*O1227*Z1227</f>
        <v>7549.5185999999985</v>
      </c>
      <c r="AD1227" s="96"/>
      <c r="AE1227" s="374"/>
    </row>
    <row r="1228" spans="8:31" s="307" customFormat="1" ht="15.75" customHeight="1" x14ac:dyDescent="0.15">
      <c r="H1228" s="93"/>
      <c r="I1228" s="94"/>
      <c r="J1228" s="94"/>
      <c r="K1228" s="94"/>
      <c r="L1228" s="94"/>
      <c r="M1228" s="95"/>
      <c r="N1228" s="95"/>
      <c r="O1228" s="95">
        <f>M1227+O1227</f>
        <v>92.3</v>
      </c>
      <c r="P1228" s="95"/>
      <c r="Q1228" s="96"/>
      <c r="R1228" s="96"/>
      <c r="S1228" s="96"/>
      <c r="T1228" s="95"/>
      <c r="U1228" s="95"/>
      <c r="V1228" s="95"/>
      <c r="W1228" s="95">
        <v>9.6</v>
      </c>
      <c r="X1228" s="95"/>
      <c r="Y1228" s="95"/>
      <c r="Z1228" s="97"/>
      <c r="AA1228" s="97"/>
      <c r="AB1228" s="97"/>
      <c r="AC1228" s="96">
        <f>3*W1228*O1228*Z1227</f>
        <v>14059.431359999999</v>
      </c>
      <c r="AD1228" s="96"/>
      <c r="AE1228" s="374"/>
    </row>
    <row r="1229" spans="8:31" s="307" customFormat="1" ht="15.75" customHeight="1" x14ac:dyDescent="0.15">
      <c r="H1229" s="93">
        <v>9</v>
      </c>
      <c r="I1229" s="94"/>
      <c r="J1229" s="94" t="s">
        <v>249</v>
      </c>
      <c r="K1229" s="94"/>
      <c r="L1229" s="94"/>
      <c r="M1229" s="95">
        <v>13</v>
      </c>
      <c r="N1229" s="95"/>
      <c r="O1229" s="95">
        <f>O1228</f>
        <v>92.3</v>
      </c>
      <c r="P1229" s="94"/>
      <c r="Q1229" s="96">
        <v>0</v>
      </c>
      <c r="R1229" s="96"/>
      <c r="S1229" s="96"/>
      <c r="T1229" s="95">
        <v>43</v>
      </c>
      <c r="U1229" s="95"/>
      <c r="V1229" s="95"/>
      <c r="W1229" s="95">
        <v>6</v>
      </c>
      <c r="X1229" s="95"/>
      <c r="Y1229" s="95"/>
      <c r="Z1229" s="97">
        <v>5.2889999999999997</v>
      </c>
      <c r="AA1229" s="97"/>
      <c r="AB1229" s="97"/>
      <c r="AC1229" s="96">
        <f>3*W1229*O1229*Z1229</f>
        <v>8787.1445999999996</v>
      </c>
      <c r="AD1229" s="96"/>
      <c r="AE1229" s="374"/>
    </row>
    <row r="1230" spans="8:31" s="307" customFormat="1" ht="15.75" customHeight="1" x14ac:dyDescent="0.15">
      <c r="H1230" s="93"/>
      <c r="I1230" s="94"/>
      <c r="J1230" s="94"/>
      <c r="K1230" s="94"/>
      <c r="L1230" s="94"/>
      <c r="M1230" s="95"/>
      <c r="N1230" s="95"/>
      <c r="O1230" s="95">
        <f>M1229+O1229</f>
        <v>105.3</v>
      </c>
      <c r="P1230" s="95"/>
      <c r="Q1230" s="96"/>
      <c r="R1230" s="96"/>
      <c r="S1230" s="96"/>
      <c r="T1230" s="95"/>
      <c r="U1230" s="95"/>
      <c r="V1230" s="95"/>
      <c r="W1230" s="95">
        <v>9.6</v>
      </c>
      <c r="X1230" s="95"/>
      <c r="Y1230" s="95"/>
      <c r="Z1230" s="97"/>
      <c r="AA1230" s="97"/>
      <c r="AB1230" s="97"/>
      <c r="AC1230" s="96">
        <f>3*W1230*O1230*Z1229</f>
        <v>16039.632959999995</v>
      </c>
      <c r="AD1230" s="96"/>
      <c r="AE1230" s="374"/>
    </row>
    <row r="1231" spans="8:31" s="307" customFormat="1" ht="15.75" customHeight="1" x14ac:dyDescent="0.15">
      <c r="H1231" s="93">
        <v>10</v>
      </c>
      <c r="I1231" s="94"/>
      <c r="J1231" s="94" t="s">
        <v>249</v>
      </c>
      <c r="K1231" s="94"/>
      <c r="L1231" s="94"/>
      <c r="M1231" s="95">
        <v>13</v>
      </c>
      <c r="N1231" s="95"/>
      <c r="O1231" s="95">
        <f>O1230</f>
        <v>105.3</v>
      </c>
      <c r="P1231" s="94"/>
      <c r="Q1231" s="96">
        <v>0</v>
      </c>
      <c r="R1231" s="96"/>
      <c r="S1231" s="96"/>
      <c r="T1231" s="95">
        <v>43</v>
      </c>
      <c r="U1231" s="95"/>
      <c r="V1231" s="95"/>
      <c r="W1231" s="95">
        <v>6</v>
      </c>
      <c r="X1231" s="95"/>
      <c r="Y1231" s="95"/>
      <c r="Z1231" s="97">
        <v>5.2889999999999997</v>
      </c>
      <c r="AA1231" s="97"/>
      <c r="AB1231" s="97"/>
      <c r="AC1231" s="96">
        <f>3*W1231*O1231*Z1231</f>
        <v>10024.770599999998</v>
      </c>
      <c r="AD1231" s="96"/>
      <c r="AE1231" s="374"/>
    </row>
    <row r="1232" spans="8:31" s="307" customFormat="1" ht="15.75" customHeight="1" x14ac:dyDescent="0.15">
      <c r="H1232" s="93"/>
      <c r="I1232" s="94"/>
      <c r="J1232" s="94"/>
      <c r="K1232" s="94"/>
      <c r="L1232" s="94"/>
      <c r="M1232" s="95"/>
      <c r="N1232" s="95"/>
      <c r="O1232" s="95">
        <f>M1231+O1231</f>
        <v>118.3</v>
      </c>
      <c r="P1232" s="95"/>
      <c r="Q1232" s="96"/>
      <c r="R1232" s="96"/>
      <c r="S1232" s="96"/>
      <c r="T1232" s="95"/>
      <c r="U1232" s="95"/>
      <c r="V1232" s="95"/>
      <c r="W1232" s="95">
        <v>9.6</v>
      </c>
      <c r="X1232" s="95"/>
      <c r="Y1232" s="95"/>
      <c r="Z1232" s="97"/>
      <c r="AA1232" s="97"/>
      <c r="AB1232" s="97"/>
      <c r="AC1232" s="96">
        <f>3*W1232*O1232*Z1231</f>
        <v>18019.834559999996</v>
      </c>
      <c r="AD1232" s="96"/>
      <c r="AE1232" s="374"/>
    </row>
    <row r="1233" spans="8:31" s="307" customFormat="1" ht="15.75" customHeight="1" x14ac:dyDescent="0.15">
      <c r="H1233" s="93">
        <v>11</v>
      </c>
      <c r="I1233" s="94"/>
      <c r="J1233" s="94" t="s">
        <v>249</v>
      </c>
      <c r="K1233" s="94"/>
      <c r="L1233" s="94"/>
      <c r="M1233" s="95">
        <v>13</v>
      </c>
      <c r="N1233" s="95"/>
      <c r="O1233" s="95">
        <f>O1232</f>
        <v>118.3</v>
      </c>
      <c r="P1233" s="94"/>
      <c r="Q1233" s="96">
        <v>0</v>
      </c>
      <c r="R1233" s="96"/>
      <c r="S1233" s="96"/>
      <c r="T1233" s="95">
        <v>43</v>
      </c>
      <c r="U1233" s="95"/>
      <c r="V1233" s="95"/>
      <c r="W1233" s="95">
        <v>6</v>
      </c>
      <c r="X1233" s="95"/>
      <c r="Y1233" s="95"/>
      <c r="Z1233" s="97">
        <v>5.2889999999999997</v>
      </c>
      <c r="AA1233" s="97"/>
      <c r="AB1233" s="97"/>
      <c r="AC1233" s="96">
        <f>3*W1233*O1233*Z1233</f>
        <v>11262.3966</v>
      </c>
      <c r="AD1233" s="96"/>
      <c r="AE1233" s="374"/>
    </row>
    <row r="1234" spans="8:31" s="307" customFormat="1" ht="15.75" customHeight="1" x14ac:dyDescent="0.15">
      <c r="H1234" s="93"/>
      <c r="I1234" s="94"/>
      <c r="J1234" s="94"/>
      <c r="K1234" s="94"/>
      <c r="L1234" s="94"/>
      <c r="M1234" s="95"/>
      <c r="N1234" s="95"/>
      <c r="O1234" s="95">
        <f>M1233+O1233</f>
        <v>131.30000000000001</v>
      </c>
      <c r="P1234" s="95"/>
      <c r="Q1234" s="96"/>
      <c r="R1234" s="96"/>
      <c r="S1234" s="96"/>
      <c r="T1234" s="95"/>
      <c r="U1234" s="95"/>
      <c r="V1234" s="95"/>
      <c r="W1234" s="95">
        <v>9.6</v>
      </c>
      <c r="X1234" s="95"/>
      <c r="Y1234" s="95"/>
      <c r="Z1234" s="97"/>
      <c r="AA1234" s="97"/>
      <c r="AB1234" s="97"/>
      <c r="AC1234" s="96">
        <f>3*W1234*O1234*Z1233</f>
        <v>20000.03616</v>
      </c>
      <c r="AD1234" s="96"/>
      <c r="AE1234" s="374"/>
    </row>
    <row r="1235" spans="8:31" s="307" customFormat="1" ht="15.75" customHeight="1" x14ac:dyDescent="0.15">
      <c r="H1235" s="93">
        <v>12</v>
      </c>
      <c r="I1235" s="94"/>
      <c r="J1235" s="94" t="s">
        <v>249</v>
      </c>
      <c r="K1235" s="94"/>
      <c r="L1235" s="94"/>
      <c r="M1235" s="95">
        <v>13</v>
      </c>
      <c r="N1235" s="95"/>
      <c r="O1235" s="95">
        <f>O1234</f>
        <v>131.30000000000001</v>
      </c>
      <c r="P1235" s="94"/>
      <c r="Q1235" s="96">
        <v>0</v>
      </c>
      <c r="R1235" s="96"/>
      <c r="S1235" s="96"/>
      <c r="T1235" s="95">
        <v>43</v>
      </c>
      <c r="U1235" s="95"/>
      <c r="V1235" s="95"/>
      <c r="W1235" s="95">
        <v>6</v>
      </c>
      <c r="X1235" s="95"/>
      <c r="Y1235" s="95"/>
      <c r="Z1235" s="97">
        <v>5.2889999999999997</v>
      </c>
      <c r="AA1235" s="97"/>
      <c r="AB1235" s="97"/>
      <c r="AC1235" s="96">
        <f>3*W1235*O1235*Z1235</f>
        <v>12500.0226</v>
      </c>
      <c r="AD1235" s="96"/>
      <c r="AE1235" s="374"/>
    </row>
    <row r="1236" spans="8:31" s="307" customFormat="1" ht="15.75" customHeight="1" x14ac:dyDescent="0.15">
      <c r="H1236" s="93"/>
      <c r="I1236" s="94"/>
      <c r="J1236" s="94"/>
      <c r="K1236" s="94"/>
      <c r="L1236" s="94"/>
      <c r="M1236" s="95"/>
      <c r="N1236" s="95"/>
      <c r="O1236" s="95">
        <f>M1235+O1235</f>
        <v>144.30000000000001</v>
      </c>
      <c r="P1236" s="95"/>
      <c r="Q1236" s="96"/>
      <c r="R1236" s="96"/>
      <c r="S1236" s="96"/>
      <c r="T1236" s="95"/>
      <c r="U1236" s="95"/>
      <c r="V1236" s="95"/>
      <c r="W1236" s="95">
        <v>9.6</v>
      </c>
      <c r="X1236" s="95"/>
      <c r="Y1236" s="95"/>
      <c r="Z1236" s="97"/>
      <c r="AA1236" s="97"/>
      <c r="AB1236" s="97"/>
      <c r="AC1236" s="96">
        <f>3*W1236*O1236*Z1235</f>
        <v>21980.23776</v>
      </c>
      <c r="AD1236" s="96"/>
      <c r="AE1236" s="374"/>
    </row>
    <row r="1237" spans="8:31" s="307" customFormat="1" ht="15.75" customHeight="1" x14ac:dyDescent="0.15">
      <c r="H1237" s="93">
        <v>13</v>
      </c>
      <c r="I1237" s="94"/>
      <c r="J1237" s="94" t="s">
        <v>249</v>
      </c>
      <c r="K1237" s="94"/>
      <c r="L1237" s="94"/>
      <c r="M1237" s="95">
        <v>13</v>
      </c>
      <c r="N1237" s="95"/>
      <c r="O1237" s="95">
        <f>O1236</f>
        <v>144.30000000000001</v>
      </c>
      <c r="P1237" s="94"/>
      <c r="Q1237" s="96">
        <v>0</v>
      </c>
      <c r="R1237" s="96"/>
      <c r="S1237" s="96"/>
      <c r="T1237" s="95">
        <v>43</v>
      </c>
      <c r="U1237" s="95"/>
      <c r="V1237" s="95"/>
      <c r="W1237" s="95">
        <v>6</v>
      </c>
      <c r="X1237" s="95"/>
      <c r="Y1237" s="95"/>
      <c r="Z1237" s="97">
        <v>5.2889999999999997</v>
      </c>
      <c r="AA1237" s="97"/>
      <c r="AB1237" s="97"/>
      <c r="AC1237" s="96">
        <f>3*W1237*O1237*Z1237</f>
        <v>13737.6486</v>
      </c>
      <c r="AD1237" s="96"/>
      <c r="AE1237" s="374"/>
    </row>
    <row r="1238" spans="8:31" s="307" customFormat="1" ht="15.75" customHeight="1" x14ac:dyDescent="0.15">
      <c r="H1238" s="93"/>
      <c r="I1238" s="94"/>
      <c r="J1238" s="94"/>
      <c r="K1238" s="94"/>
      <c r="L1238" s="94"/>
      <c r="M1238" s="95"/>
      <c r="N1238" s="95"/>
      <c r="O1238" s="95">
        <f>M1237+O1237</f>
        <v>157.30000000000001</v>
      </c>
      <c r="P1238" s="95"/>
      <c r="Q1238" s="96"/>
      <c r="R1238" s="96"/>
      <c r="S1238" s="96"/>
      <c r="T1238" s="95"/>
      <c r="U1238" s="95"/>
      <c r="V1238" s="95"/>
      <c r="W1238" s="95">
        <v>9.6</v>
      </c>
      <c r="X1238" s="95"/>
      <c r="Y1238" s="95"/>
      <c r="Z1238" s="97"/>
      <c r="AA1238" s="97"/>
      <c r="AB1238" s="97"/>
      <c r="AC1238" s="96">
        <f>3*W1238*O1238*Z1237</f>
        <v>23960.439359999997</v>
      </c>
      <c r="AD1238" s="96"/>
      <c r="AE1238" s="374"/>
    </row>
    <row r="1239" spans="8:31" s="307" customFormat="1" ht="15.75" customHeight="1" x14ac:dyDescent="0.15">
      <c r="H1239" s="93">
        <v>14</v>
      </c>
      <c r="I1239" s="94"/>
      <c r="J1239" s="94" t="s">
        <v>249</v>
      </c>
      <c r="K1239" s="94"/>
      <c r="L1239" s="94"/>
      <c r="M1239" s="95">
        <v>13</v>
      </c>
      <c r="N1239" s="95"/>
      <c r="O1239" s="95">
        <f>O1238</f>
        <v>157.30000000000001</v>
      </c>
      <c r="P1239" s="94"/>
      <c r="Q1239" s="96">
        <v>0</v>
      </c>
      <c r="R1239" s="96"/>
      <c r="S1239" s="96"/>
      <c r="T1239" s="95">
        <v>43</v>
      </c>
      <c r="U1239" s="95"/>
      <c r="V1239" s="95"/>
      <c r="W1239" s="95">
        <v>6</v>
      </c>
      <c r="X1239" s="95"/>
      <c r="Y1239" s="95"/>
      <c r="Z1239" s="97">
        <v>5.2889999999999997</v>
      </c>
      <c r="AA1239" s="97"/>
      <c r="AB1239" s="97"/>
      <c r="AC1239" s="96">
        <f>3*W1239*O1239*Z1239</f>
        <v>14975.274599999999</v>
      </c>
      <c r="AD1239" s="96"/>
      <c r="AE1239" s="374"/>
    </row>
    <row r="1240" spans="8:31" s="307" customFormat="1" ht="15.75" customHeight="1" x14ac:dyDescent="0.15">
      <c r="H1240" s="93"/>
      <c r="I1240" s="94"/>
      <c r="J1240" s="94"/>
      <c r="K1240" s="94"/>
      <c r="L1240" s="94"/>
      <c r="M1240" s="95"/>
      <c r="N1240" s="95"/>
      <c r="O1240" s="95">
        <f>M1239+O1239</f>
        <v>170.3</v>
      </c>
      <c r="P1240" s="95"/>
      <c r="Q1240" s="96"/>
      <c r="R1240" s="96"/>
      <c r="S1240" s="96"/>
      <c r="T1240" s="95"/>
      <c r="U1240" s="95"/>
      <c r="V1240" s="95"/>
      <c r="W1240" s="95">
        <v>9.6</v>
      </c>
      <c r="X1240" s="95"/>
      <c r="Y1240" s="95"/>
      <c r="Z1240" s="97"/>
      <c r="AA1240" s="97"/>
      <c r="AB1240" s="97"/>
      <c r="AC1240" s="96">
        <f>3*W1240*O1240*Z1239</f>
        <v>25940.640959999997</v>
      </c>
      <c r="AD1240" s="96"/>
      <c r="AE1240" s="374"/>
    </row>
    <row r="1241" spans="8:31" s="307" customFormat="1" ht="15.75" customHeight="1" x14ac:dyDescent="0.15">
      <c r="H1241" s="93">
        <v>15</v>
      </c>
      <c r="I1241" s="94"/>
      <c r="J1241" s="94" t="s">
        <v>249</v>
      </c>
      <c r="K1241" s="94"/>
      <c r="L1241" s="94"/>
      <c r="M1241" s="95">
        <v>13</v>
      </c>
      <c r="N1241" s="95"/>
      <c r="O1241" s="95">
        <f>O1240</f>
        <v>170.3</v>
      </c>
      <c r="P1241" s="94"/>
      <c r="Q1241" s="96">
        <v>0</v>
      </c>
      <c r="R1241" s="96"/>
      <c r="S1241" s="96"/>
      <c r="T1241" s="95">
        <v>43</v>
      </c>
      <c r="U1241" s="95"/>
      <c r="V1241" s="95"/>
      <c r="W1241" s="95">
        <v>6</v>
      </c>
      <c r="X1241" s="95"/>
      <c r="Y1241" s="95"/>
      <c r="Z1241" s="97">
        <v>5.2889999999999997</v>
      </c>
      <c r="AA1241" s="97"/>
      <c r="AB1241" s="97"/>
      <c r="AC1241" s="96">
        <f>3*W1241*O1241*Z1241</f>
        <v>16212.900599999999</v>
      </c>
      <c r="AD1241" s="96"/>
      <c r="AE1241" s="374"/>
    </row>
    <row r="1242" spans="8:31" s="307" customFormat="1" ht="15.75" customHeight="1" x14ac:dyDescent="0.15">
      <c r="H1242" s="93"/>
      <c r="I1242" s="94"/>
      <c r="J1242" s="94"/>
      <c r="K1242" s="94"/>
      <c r="L1242" s="94"/>
      <c r="M1242" s="95"/>
      <c r="N1242" s="95"/>
      <c r="O1242" s="95">
        <f>M1241+O1241</f>
        <v>183.3</v>
      </c>
      <c r="P1242" s="95"/>
      <c r="Q1242" s="96"/>
      <c r="R1242" s="96"/>
      <c r="S1242" s="96"/>
      <c r="T1242" s="95"/>
      <c r="U1242" s="95"/>
      <c r="V1242" s="95"/>
      <c r="W1242" s="95">
        <v>9.6</v>
      </c>
      <c r="X1242" s="95"/>
      <c r="Y1242" s="95"/>
      <c r="Z1242" s="97"/>
      <c r="AA1242" s="97"/>
      <c r="AB1242" s="97"/>
      <c r="AC1242" s="96">
        <f>3*W1242*O1242*Z1241</f>
        <v>27920.842559999997</v>
      </c>
      <c r="AD1242" s="96"/>
      <c r="AE1242" s="374"/>
    </row>
    <row r="1243" spans="8:31" s="307" customFormat="1" ht="15.75" customHeight="1" x14ac:dyDescent="0.15">
      <c r="H1243" s="93">
        <v>16</v>
      </c>
      <c r="I1243" s="94"/>
      <c r="J1243" s="94" t="s">
        <v>249</v>
      </c>
      <c r="K1243" s="94"/>
      <c r="L1243" s="94"/>
      <c r="M1243" s="95">
        <v>13</v>
      </c>
      <c r="N1243" s="95"/>
      <c r="O1243" s="95">
        <f>O1242</f>
        <v>183.3</v>
      </c>
      <c r="P1243" s="94"/>
      <c r="Q1243" s="96">
        <v>0</v>
      </c>
      <c r="R1243" s="96"/>
      <c r="S1243" s="96"/>
      <c r="T1243" s="95">
        <v>43</v>
      </c>
      <c r="U1243" s="95"/>
      <c r="V1243" s="95"/>
      <c r="W1243" s="95">
        <v>6</v>
      </c>
      <c r="X1243" s="95"/>
      <c r="Y1243" s="95"/>
      <c r="Z1243" s="97">
        <v>5.2889999999999997</v>
      </c>
      <c r="AA1243" s="97"/>
      <c r="AB1243" s="97"/>
      <c r="AC1243" s="96">
        <f>3*W1243*O1243*Z1243</f>
        <v>17450.526600000001</v>
      </c>
      <c r="AD1243" s="96"/>
      <c r="AE1243" s="374"/>
    </row>
    <row r="1244" spans="8:31" s="307" customFormat="1" ht="15.75" customHeight="1" x14ac:dyDescent="0.15">
      <c r="H1244" s="98"/>
      <c r="I1244" s="99"/>
      <c r="J1244" s="99"/>
      <c r="K1244" s="99"/>
      <c r="L1244" s="99"/>
      <c r="M1244" s="100"/>
      <c r="N1244" s="100"/>
      <c r="O1244" s="100">
        <f>M1243+O1243</f>
        <v>196.3</v>
      </c>
      <c r="P1244" s="100"/>
      <c r="Q1244" s="101"/>
      <c r="R1244" s="101"/>
      <c r="S1244" s="101"/>
      <c r="T1244" s="100"/>
      <c r="U1244" s="100"/>
      <c r="V1244" s="100"/>
      <c r="W1244" s="100">
        <v>9.6</v>
      </c>
      <c r="X1244" s="100"/>
      <c r="Y1244" s="100"/>
      <c r="Z1244" s="102"/>
      <c r="AA1244" s="102"/>
      <c r="AB1244" s="102"/>
      <c r="AC1244" s="101">
        <f>3*W1244*O1244*Z1243</f>
        <v>29901.044159999998</v>
      </c>
      <c r="AD1244" s="101"/>
      <c r="AE1244" s="375"/>
    </row>
    <row r="1245" spans="8:31" s="307" customFormat="1" ht="15.75" customHeight="1" x14ac:dyDescent="0.15">
      <c r="H1245" s="76"/>
      <c r="I1245" s="76"/>
      <c r="J1245" s="76"/>
      <c r="K1245" s="76"/>
      <c r="L1245" s="76"/>
      <c r="M1245" s="9"/>
      <c r="N1245" s="9"/>
      <c r="O1245" s="9"/>
      <c r="P1245" s="9"/>
      <c r="Q1245" s="77"/>
      <c r="R1245" s="77"/>
      <c r="S1245" s="77"/>
      <c r="T1245" s="9"/>
      <c r="U1245" s="9"/>
      <c r="V1245" s="9"/>
      <c r="W1245" s="9"/>
      <c r="X1245" s="9"/>
      <c r="Y1245" s="9"/>
      <c r="Z1245" s="11"/>
      <c r="AA1245" s="11"/>
      <c r="AB1245" s="11"/>
      <c r="AC1245" s="77"/>
      <c r="AD1245" s="77"/>
      <c r="AE1245" s="77"/>
    </row>
    <row r="1246" spans="8:31" s="307" customFormat="1" ht="15.75" customHeight="1" x14ac:dyDescent="0.15">
      <c r="H1246" s="76"/>
      <c r="I1246" s="76"/>
      <c r="J1246" s="76"/>
      <c r="K1246" s="76"/>
      <c r="L1246" s="76"/>
      <c r="M1246" s="9"/>
      <c r="N1246" s="9"/>
      <c r="O1246" s="9"/>
      <c r="P1246" s="9"/>
      <c r="Q1246" s="77"/>
      <c r="R1246" s="77"/>
      <c r="S1246" s="77"/>
      <c r="T1246" s="9"/>
      <c r="U1246" s="9"/>
      <c r="V1246" s="9"/>
      <c r="W1246" s="9"/>
      <c r="X1246" s="9"/>
      <c r="Y1246" s="9"/>
      <c r="Z1246" s="11"/>
      <c r="AA1246" s="11"/>
      <c r="AB1246" s="11"/>
      <c r="AC1246" s="77"/>
      <c r="AD1246" s="77"/>
      <c r="AE1246" s="77"/>
    </row>
    <row r="1247" spans="8:31" s="307" customFormat="1" ht="15.75" customHeight="1" x14ac:dyDescent="0.15">
      <c r="H1247" s="76"/>
      <c r="I1247" s="76"/>
      <c r="J1247" s="76"/>
      <c r="K1247" s="76"/>
      <c r="L1247" s="76"/>
      <c r="M1247" s="9"/>
      <c r="N1247" s="9"/>
      <c r="O1247" s="9"/>
      <c r="P1247" s="9"/>
      <c r="Q1247" s="77"/>
      <c r="R1247" s="77"/>
      <c r="S1247" s="77"/>
      <c r="T1247" s="9"/>
      <c r="U1247" s="9"/>
      <c r="V1247" s="9"/>
      <c r="W1247" s="9"/>
      <c r="X1247" s="9"/>
      <c r="Y1247" s="9"/>
      <c r="Z1247" s="11"/>
      <c r="AA1247" s="11"/>
      <c r="AB1247" s="11"/>
      <c r="AC1247" s="77"/>
      <c r="AD1247" s="77"/>
      <c r="AE1247" s="77"/>
    </row>
    <row r="1248" spans="8:31" s="307" customFormat="1" ht="15.75" customHeight="1" x14ac:dyDescent="0.15"/>
    <row r="1249" spans="4:13" s="307" customFormat="1" ht="15.75" customHeight="1" x14ac:dyDescent="0.15">
      <c r="D1249" s="10" t="s">
        <v>346</v>
      </c>
    </row>
    <row r="1250" spans="4:13" s="307" customFormat="1" ht="15.75" customHeight="1" x14ac:dyDescent="0.15"/>
    <row r="1251" spans="4:13" s="307" customFormat="1" ht="15.75" customHeight="1" x14ac:dyDescent="0.15">
      <c r="E1251" s="307" t="s">
        <v>347</v>
      </c>
    </row>
    <row r="1252" spans="4:13" s="307" customFormat="1" ht="15.75" customHeight="1" x14ac:dyDescent="0.15"/>
    <row r="1253" spans="4:13" s="307" customFormat="1" ht="15.75" customHeight="1" x14ac:dyDescent="0.15">
      <c r="E1253" s="162" t="s">
        <v>348</v>
      </c>
      <c r="F1253" s="162"/>
      <c r="G1253" s="76" t="s">
        <v>27</v>
      </c>
      <c r="H1253" s="162" t="s">
        <v>368</v>
      </c>
      <c r="I1253" s="162"/>
      <c r="J1253" s="307" t="s">
        <v>1</v>
      </c>
      <c r="K1253" s="162" t="s">
        <v>213</v>
      </c>
      <c r="L1253" s="162"/>
    </row>
    <row r="1254" spans="4:13" s="307" customFormat="1" ht="15.75" customHeight="1" x14ac:dyDescent="0.15">
      <c r="E1254" s="162" t="s">
        <v>349</v>
      </c>
      <c r="F1254" s="162"/>
      <c r="G1254" s="76" t="s">
        <v>27</v>
      </c>
      <c r="H1254" s="162" t="s">
        <v>575</v>
      </c>
      <c r="I1254" s="162"/>
      <c r="J1254" s="307" t="s">
        <v>1</v>
      </c>
      <c r="K1254" s="162" t="s">
        <v>213</v>
      </c>
      <c r="L1254" s="162"/>
    </row>
    <row r="1255" spans="4:13" s="307" customFormat="1" ht="15.75" customHeight="1" x14ac:dyDescent="0.15"/>
    <row r="1256" spans="4:13" s="307" customFormat="1" ht="15.75" customHeight="1" x14ac:dyDescent="0.15">
      <c r="F1256" s="1" t="s">
        <v>3</v>
      </c>
      <c r="G1256" s="1"/>
      <c r="H1256" s="1"/>
      <c r="I1256" s="162" t="s">
        <v>348</v>
      </c>
      <c r="J1256" s="162"/>
      <c r="K1256" s="76" t="s">
        <v>2</v>
      </c>
      <c r="L1256" s="1" t="s">
        <v>350</v>
      </c>
    </row>
    <row r="1257" spans="4:13" s="307" customFormat="1" ht="15.75" customHeight="1" x14ac:dyDescent="0.15">
      <c r="F1257" s="1"/>
      <c r="G1257" s="1"/>
      <c r="H1257" s="1"/>
      <c r="I1257" s="162" t="s">
        <v>349</v>
      </c>
      <c r="J1257" s="162"/>
      <c r="K1257" s="76" t="s">
        <v>2</v>
      </c>
      <c r="L1257" s="1" t="s">
        <v>351</v>
      </c>
    </row>
    <row r="1258" spans="4:13" s="307" customFormat="1" ht="15.75" customHeight="1" x14ac:dyDescent="0.15">
      <c r="I1258" s="162" t="s">
        <v>368</v>
      </c>
      <c r="J1258" s="162"/>
      <c r="K1258" s="76" t="s">
        <v>2</v>
      </c>
      <c r="L1258" s="1" t="s">
        <v>373</v>
      </c>
    </row>
    <row r="1259" spans="4:13" s="307" customFormat="1" ht="15.75" customHeight="1" x14ac:dyDescent="0.15">
      <c r="I1259" s="162" t="s">
        <v>575</v>
      </c>
      <c r="J1259" s="162"/>
      <c r="K1259" s="76" t="s">
        <v>2</v>
      </c>
      <c r="L1259" s="1" t="s">
        <v>374</v>
      </c>
    </row>
    <row r="1260" spans="4:13" s="307" customFormat="1" ht="15.75" customHeight="1" x14ac:dyDescent="0.15">
      <c r="I1260" s="162" t="s">
        <v>213</v>
      </c>
      <c r="J1260" s="162"/>
      <c r="K1260" s="76" t="s">
        <v>2</v>
      </c>
      <c r="L1260" s="1" t="s">
        <v>223</v>
      </c>
    </row>
    <row r="1261" spans="4:13" s="307" customFormat="1" ht="15.75" customHeight="1" x14ac:dyDescent="0.15"/>
    <row r="1262" spans="4:13" s="307" customFormat="1" ht="15.75" customHeight="1" x14ac:dyDescent="0.15">
      <c r="E1262" s="162" t="s">
        <v>348</v>
      </c>
      <c r="F1262" s="162"/>
      <c r="G1262" s="76" t="s">
        <v>27</v>
      </c>
      <c r="H1262" s="162" t="s">
        <v>368</v>
      </c>
      <c r="I1262" s="162"/>
      <c r="J1262" s="307" t="s">
        <v>1</v>
      </c>
      <c r="K1262" s="162" t="s">
        <v>213</v>
      </c>
      <c r="L1262" s="162"/>
    </row>
    <row r="1263" spans="4:13" s="307" customFormat="1" ht="15.75" customHeight="1" x14ac:dyDescent="0.15">
      <c r="G1263" s="76" t="s">
        <v>27</v>
      </c>
      <c r="H1263" s="162">
        <v>0.6</v>
      </c>
      <c r="I1263" s="162"/>
      <c r="J1263" s="307" t="s">
        <v>1</v>
      </c>
      <c r="K1263" s="244">
        <f>N1091</f>
        <v>3298.6722862692827</v>
      </c>
      <c r="L1263" s="162"/>
      <c r="M1263" s="162"/>
    </row>
    <row r="1264" spans="4:13" s="307" customFormat="1" ht="15.75" customHeight="1" x14ac:dyDescent="0.15">
      <c r="G1264" s="76" t="s">
        <v>27</v>
      </c>
      <c r="H1264" s="244">
        <f>H1263*K1263</f>
        <v>1979.2033717615695</v>
      </c>
      <c r="I1264" s="162"/>
      <c r="J1264" s="162"/>
      <c r="K1264" s="307" t="s">
        <v>352</v>
      </c>
    </row>
    <row r="1265" spans="4:13" s="307" customFormat="1" ht="15.75" customHeight="1" x14ac:dyDescent="0.15"/>
    <row r="1266" spans="4:13" s="307" customFormat="1" ht="15.75" customHeight="1" x14ac:dyDescent="0.15">
      <c r="E1266" s="162" t="s">
        <v>349</v>
      </c>
      <c r="F1266" s="162"/>
      <c r="G1266" s="76" t="s">
        <v>27</v>
      </c>
      <c r="H1266" s="162" t="s">
        <v>575</v>
      </c>
      <c r="I1266" s="162"/>
      <c r="J1266" s="307" t="s">
        <v>1</v>
      </c>
      <c r="K1266" s="162" t="s">
        <v>213</v>
      </c>
      <c r="L1266" s="162"/>
    </row>
    <row r="1267" spans="4:13" s="307" customFormat="1" ht="15.75" customHeight="1" x14ac:dyDescent="0.15">
      <c r="G1267" s="76" t="s">
        <v>27</v>
      </c>
      <c r="H1267" s="162">
        <v>1.4</v>
      </c>
      <c r="I1267" s="162"/>
      <c r="J1267" s="307" t="s">
        <v>1</v>
      </c>
      <c r="K1267" s="244">
        <f>N1091</f>
        <v>3298.6722862692827</v>
      </c>
      <c r="L1267" s="162"/>
      <c r="M1267" s="162"/>
    </row>
    <row r="1268" spans="4:13" s="307" customFormat="1" ht="15.75" customHeight="1" x14ac:dyDescent="0.15">
      <c r="G1268" s="76" t="s">
        <v>27</v>
      </c>
      <c r="H1268" s="244">
        <f>H1267*K1267</f>
        <v>4618.1412007769959</v>
      </c>
      <c r="I1268" s="162"/>
      <c r="J1268" s="162"/>
      <c r="K1268" s="307" t="s">
        <v>352</v>
      </c>
    </row>
    <row r="1269" spans="4:13" s="307" customFormat="1" ht="15.75" customHeight="1" x14ac:dyDescent="0.15"/>
    <row r="1270" spans="4:13" s="307" customFormat="1" ht="15.75" customHeight="1" x14ac:dyDescent="0.15"/>
    <row r="1271" spans="4:13" s="307" customFormat="1" ht="15.75" customHeight="1" x14ac:dyDescent="0.15">
      <c r="D1271" s="10" t="s">
        <v>353</v>
      </c>
    </row>
    <row r="1272" spans="4:13" s="307" customFormat="1" ht="15.75" customHeight="1" x14ac:dyDescent="0.15"/>
    <row r="1273" spans="4:13" s="307" customFormat="1" ht="15.75" customHeight="1" x14ac:dyDescent="0.15">
      <c r="E1273" s="307" t="s">
        <v>354</v>
      </c>
    </row>
    <row r="1274" spans="4:13" s="307" customFormat="1" ht="15.75" customHeight="1" x14ac:dyDescent="0.15">
      <c r="E1274" s="307" t="s">
        <v>75</v>
      </c>
    </row>
    <row r="1275" spans="4:13" s="307" customFormat="1" ht="15.75" customHeight="1" x14ac:dyDescent="0.15"/>
    <row r="1276" spans="4:13" s="307" customFormat="1" ht="15.75" customHeight="1" x14ac:dyDescent="0.15">
      <c r="E1276" s="162" t="s">
        <v>355</v>
      </c>
      <c r="F1276" s="162"/>
      <c r="G1276" s="76" t="s">
        <v>27</v>
      </c>
      <c r="H1276" s="162" t="s">
        <v>576</v>
      </c>
      <c r="I1276" s="162"/>
      <c r="J1276" s="307" t="s">
        <v>1</v>
      </c>
      <c r="K1276" s="162" t="s">
        <v>215</v>
      </c>
      <c r="L1276" s="162"/>
    </row>
    <row r="1277" spans="4:13" s="307" customFormat="1" ht="15.75" customHeight="1" x14ac:dyDescent="0.15">
      <c r="E1277" s="162" t="s">
        <v>356</v>
      </c>
      <c r="F1277" s="162"/>
      <c r="G1277" s="76" t="s">
        <v>27</v>
      </c>
      <c r="H1277" s="162" t="s">
        <v>577</v>
      </c>
      <c r="I1277" s="162"/>
      <c r="J1277" s="307" t="s">
        <v>1</v>
      </c>
      <c r="K1277" s="162" t="s">
        <v>215</v>
      </c>
      <c r="L1277" s="162"/>
    </row>
    <row r="1278" spans="4:13" s="307" customFormat="1" ht="15.75" customHeight="1" x14ac:dyDescent="0.15"/>
    <row r="1279" spans="4:13" s="307" customFormat="1" ht="15.75" customHeight="1" x14ac:dyDescent="0.15">
      <c r="F1279" s="1" t="s">
        <v>3</v>
      </c>
      <c r="G1279" s="1"/>
      <c r="H1279" s="1"/>
      <c r="I1279" s="162" t="s">
        <v>348</v>
      </c>
      <c r="J1279" s="162"/>
      <c r="K1279" s="76" t="s">
        <v>2</v>
      </c>
      <c r="L1279" s="1" t="s">
        <v>357</v>
      </c>
    </row>
    <row r="1280" spans="4:13" s="307" customFormat="1" ht="15.75" customHeight="1" x14ac:dyDescent="0.15">
      <c r="F1280" s="1"/>
      <c r="G1280" s="1"/>
      <c r="H1280" s="1"/>
      <c r="I1280" s="162" t="s">
        <v>349</v>
      </c>
      <c r="J1280" s="162"/>
      <c r="K1280" s="76" t="s">
        <v>2</v>
      </c>
      <c r="L1280" s="1" t="s">
        <v>358</v>
      </c>
    </row>
    <row r="1281" spans="4:39" s="307" customFormat="1" ht="15.75" customHeight="1" x14ac:dyDescent="0.15">
      <c r="I1281" s="162" t="s">
        <v>576</v>
      </c>
      <c r="J1281" s="162"/>
      <c r="K1281" s="76" t="s">
        <v>2</v>
      </c>
      <c r="L1281" s="1" t="s">
        <v>371</v>
      </c>
    </row>
    <row r="1282" spans="4:39" s="307" customFormat="1" ht="15.75" customHeight="1" x14ac:dyDescent="0.15">
      <c r="I1282" s="162" t="s">
        <v>577</v>
      </c>
      <c r="J1282" s="162"/>
      <c r="K1282" s="76" t="s">
        <v>2</v>
      </c>
      <c r="L1282" s="1" t="s">
        <v>372</v>
      </c>
    </row>
    <row r="1283" spans="4:39" s="307" customFormat="1" ht="15.75" customHeight="1" x14ac:dyDescent="0.15">
      <c r="I1283" s="162" t="s">
        <v>213</v>
      </c>
      <c r="J1283" s="162"/>
      <c r="K1283" s="76" t="s">
        <v>2</v>
      </c>
      <c r="L1283" s="1" t="s">
        <v>218</v>
      </c>
    </row>
    <row r="1284" spans="4:39" s="307" customFormat="1" ht="15.75" customHeight="1" x14ac:dyDescent="0.15"/>
    <row r="1285" spans="4:39" s="307" customFormat="1" ht="15.75" customHeight="1" x14ac:dyDescent="0.15">
      <c r="I1285" s="1"/>
      <c r="J1285" s="1"/>
      <c r="K1285" s="1"/>
      <c r="L1285" s="155" t="s">
        <v>359</v>
      </c>
      <c r="M1285" s="155"/>
      <c r="N1285" s="155"/>
      <c r="O1285" s="155"/>
      <c r="P1285" s="155"/>
      <c r="Q1285" s="155"/>
      <c r="R1285" s="155"/>
      <c r="S1285" s="155"/>
      <c r="T1285" s="155"/>
      <c r="U1285" s="155"/>
      <c r="V1285" s="155"/>
      <c r="W1285" s="155"/>
      <c r="X1285" s="155"/>
      <c r="Y1285" s="155"/>
      <c r="Z1285" s="155"/>
      <c r="AA1285" s="155"/>
      <c r="AB1285" s="155"/>
      <c r="AC1285" s="8"/>
      <c r="AD1285" s="8"/>
      <c r="AE1285" s="8"/>
    </row>
    <row r="1286" spans="4:39" s="307" customFormat="1" ht="15.75" customHeight="1" x14ac:dyDescent="0.15">
      <c r="I1286" s="136" t="s">
        <v>78</v>
      </c>
      <c r="J1286" s="136"/>
      <c r="K1286" s="137"/>
      <c r="L1286" s="145" t="s">
        <v>250</v>
      </c>
      <c r="M1286" s="146"/>
      <c r="N1286" s="147"/>
      <c r="O1286" s="145" t="s">
        <v>369</v>
      </c>
      <c r="P1286" s="146"/>
      <c r="Q1286" s="147"/>
      <c r="R1286" s="145" t="s">
        <v>370</v>
      </c>
      <c r="S1286" s="146"/>
      <c r="T1286" s="147"/>
      <c r="U1286" s="142" t="s">
        <v>360</v>
      </c>
      <c r="V1286" s="142"/>
      <c r="W1286" s="142"/>
      <c r="X1286" s="152"/>
      <c r="Y1286" s="142" t="s">
        <v>361</v>
      </c>
      <c r="Z1286" s="142"/>
      <c r="AA1286" s="142"/>
      <c r="AB1286" s="152"/>
    </row>
    <row r="1287" spans="4:39" s="307" customFormat="1" ht="15.75" customHeight="1" x14ac:dyDescent="0.15">
      <c r="I1287" s="140"/>
      <c r="J1287" s="140"/>
      <c r="K1287" s="141"/>
      <c r="L1287" s="149"/>
      <c r="M1287" s="150"/>
      <c r="N1287" s="151"/>
      <c r="O1287" s="149"/>
      <c r="P1287" s="150"/>
      <c r="Q1287" s="151"/>
      <c r="R1287" s="149"/>
      <c r="S1287" s="150"/>
      <c r="T1287" s="151"/>
      <c r="U1287" s="142"/>
      <c r="V1287" s="142"/>
      <c r="W1287" s="142"/>
      <c r="X1287" s="152"/>
      <c r="Y1287" s="142"/>
      <c r="Z1287" s="142"/>
      <c r="AA1287" s="142"/>
      <c r="AB1287" s="152"/>
    </row>
    <row r="1288" spans="4:39" s="307" customFormat="1" ht="15.75" customHeight="1" x14ac:dyDescent="0.15">
      <c r="I1288" s="154" t="s">
        <v>79</v>
      </c>
      <c r="J1288" s="143"/>
      <c r="K1288" s="143"/>
      <c r="L1288" s="196">
        <f>Q1094</f>
        <v>1887.2</v>
      </c>
      <c r="M1288" s="266"/>
      <c r="N1288" s="192"/>
      <c r="O1288" s="196">
        <v>1.2</v>
      </c>
      <c r="P1288" s="266"/>
      <c r="Q1288" s="192"/>
      <c r="R1288" s="196">
        <v>1.4</v>
      </c>
      <c r="S1288" s="266"/>
      <c r="T1288" s="192"/>
      <c r="U1288" s="193">
        <f>L1288*$O$1288</f>
        <v>2264.64</v>
      </c>
      <c r="V1288" s="193"/>
      <c r="W1288" s="193"/>
      <c r="X1288" s="193"/>
      <c r="Y1288" s="193">
        <f>L1288*$R$1288</f>
        <v>2642.08</v>
      </c>
      <c r="Z1288" s="193"/>
      <c r="AA1288" s="193"/>
      <c r="AB1288" s="196"/>
      <c r="AH1288" s="1"/>
      <c r="AI1288" s="1"/>
      <c r="AJ1288" s="1"/>
      <c r="AK1288" s="1"/>
      <c r="AL1288" s="1"/>
      <c r="AM1288" s="1"/>
    </row>
    <row r="1289" spans="4:39" s="307" customFormat="1" ht="15.75" customHeight="1" x14ac:dyDescent="0.15">
      <c r="I1289" s="1"/>
      <c r="J1289" s="76"/>
      <c r="K1289" s="1"/>
      <c r="L1289" s="76"/>
      <c r="M1289" s="76"/>
      <c r="N1289" s="76"/>
      <c r="O1289" s="76"/>
      <c r="P1289" s="76"/>
      <c r="Q1289" s="76"/>
      <c r="R1289" s="76"/>
      <c r="S1289" s="76"/>
      <c r="T1289" s="76"/>
      <c r="U1289" s="76"/>
      <c r="V1289" s="8"/>
      <c r="W1289" s="10"/>
      <c r="X1289" s="76"/>
      <c r="Y1289" s="8"/>
      <c r="Z1289" s="8"/>
      <c r="AA1289" s="8"/>
      <c r="AB1289" s="8"/>
      <c r="AL1289" s="1"/>
      <c r="AM1289" s="1"/>
    </row>
    <row r="1290" spans="4:39" s="307" customFormat="1" ht="15.75" customHeight="1" x14ac:dyDescent="0.15"/>
    <row r="1291" spans="4:39" s="307" customFormat="1" ht="15.75" customHeight="1" x14ac:dyDescent="0.15"/>
    <row r="1292" spans="4:39" s="307" customFormat="1" ht="15.75" customHeight="1" x14ac:dyDescent="0.15">
      <c r="D1292" s="10" t="s">
        <v>362</v>
      </c>
    </row>
    <row r="1293" spans="4:39" s="307" customFormat="1" ht="15.75" customHeight="1" x14ac:dyDescent="0.15"/>
    <row r="1294" spans="4:39" s="307" customFormat="1" ht="15.75" customHeight="1" x14ac:dyDescent="0.15">
      <c r="E1294" s="307" t="s">
        <v>363</v>
      </c>
    </row>
    <row r="1295" spans="4:39" s="307" customFormat="1" ht="15.75" customHeight="1" x14ac:dyDescent="0.15"/>
    <row r="1296" spans="4:39" s="307" customFormat="1" ht="15.75" customHeight="1" x14ac:dyDescent="0.15">
      <c r="J1296" s="268" t="s">
        <v>365</v>
      </c>
      <c r="K1296" s="268"/>
      <c r="L1296" s="268"/>
      <c r="M1296" s="268"/>
      <c r="N1296" s="268"/>
      <c r="O1296" s="268"/>
      <c r="P1296" s="268"/>
      <c r="Q1296" s="268"/>
      <c r="R1296" s="268"/>
      <c r="S1296" s="268"/>
      <c r="T1296" s="268"/>
      <c r="U1296" s="268"/>
      <c r="V1296" s="268"/>
      <c r="W1296" s="268"/>
      <c r="X1296" s="268"/>
      <c r="Y1296" s="268"/>
      <c r="Z1296" s="268"/>
      <c r="AA1296" s="268"/>
    </row>
    <row r="1297" spans="9:28" s="307" customFormat="1" ht="15.75" customHeight="1" x14ac:dyDescent="0.15">
      <c r="I1297" s="136" t="s">
        <v>78</v>
      </c>
      <c r="J1297" s="136"/>
      <c r="K1297" s="251" t="s">
        <v>247</v>
      </c>
      <c r="L1297" s="136"/>
      <c r="M1297" s="137"/>
      <c r="N1297" s="145" t="s">
        <v>203</v>
      </c>
      <c r="O1297" s="263"/>
      <c r="P1297" s="145" t="s">
        <v>338</v>
      </c>
      <c r="Q1297" s="263"/>
      <c r="R1297" s="143" t="s">
        <v>339</v>
      </c>
      <c r="S1297" s="143"/>
      <c r="T1297" s="142" t="s">
        <v>345</v>
      </c>
      <c r="U1297" s="143"/>
      <c r="V1297" s="144"/>
      <c r="W1297" s="143" t="s">
        <v>366</v>
      </c>
      <c r="X1297" s="143"/>
      <c r="Y1297" s="142" t="s">
        <v>367</v>
      </c>
      <c r="Z1297" s="142"/>
      <c r="AA1297" s="142"/>
      <c r="AB1297" s="152"/>
    </row>
    <row r="1298" spans="9:28" s="307" customFormat="1" ht="15.75" customHeight="1" x14ac:dyDescent="0.15">
      <c r="I1298" s="140"/>
      <c r="J1298" s="140"/>
      <c r="K1298" s="262"/>
      <c r="L1298" s="140"/>
      <c r="M1298" s="141"/>
      <c r="N1298" s="264"/>
      <c r="O1298" s="265"/>
      <c r="P1298" s="264"/>
      <c r="Q1298" s="265"/>
      <c r="R1298" s="143"/>
      <c r="S1298" s="143"/>
      <c r="T1298" s="143"/>
      <c r="U1298" s="143"/>
      <c r="V1298" s="144"/>
      <c r="W1298" s="143"/>
      <c r="X1298" s="143"/>
      <c r="Y1298" s="142"/>
      <c r="Z1298" s="142"/>
      <c r="AA1298" s="142"/>
      <c r="AB1298" s="152"/>
    </row>
    <row r="1299" spans="9:28" s="307" customFormat="1" ht="15.75" customHeight="1" x14ac:dyDescent="0.15">
      <c r="I1299" s="259" t="s">
        <v>81</v>
      </c>
      <c r="J1299" s="154"/>
      <c r="K1299" s="144" t="s">
        <v>383</v>
      </c>
      <c r="L1299" s="259"/>
      <c r="M1299" s="154"/>
      <c r="N1299" s="260">
        <v>1.3</v>
      </c>
      <c r="O1299" s="261"/>
      <c r="P1299" s="195">
        <v>1.3</v>
      </c>
      <c r="Q1299" s="260"/>
      <c r="R1299" s="143" t="s">
        <v>340</v>
      </c>
      <c r="S1299" s="143"/>
      <c r="T1299" s="235" t="s">
        <v>190</v>
      </c>
      <c r="U1299" s="236"/>
      <c r="V1299" s="236"/>
      <c r="W1299" s="193">
        <f>Q92</f>
        <v>1</v>
      </c>
      <c r="X1299" s="193"/>
      <c r="Y1299" s="193" t="s">
        <v>190</v>
      </c>
      <c r="Z1299" s="193"/>
      <c r="AA1299" s="193"/>
      <c r="AB1299" s="196"/>
    </row>
    <row r="1300" spans="9:28" s="307" customFormat="1" ht="15.75" customHeight="1" x14ac:dyDescent="0.15">
      <c r="I1300" s="247" t="s">
        <v>337</v>
      </c>
      <c r="J1300" s="247"/>
      <c r="K1300" s="187" t="s">
        <v>249</v>
      </c>
      <c r="L1300" s="247"/>
      <c r="M1300" s="185"/>
      <c r="N1300" s="255">
        <f>入力!C5</f>
        <v>0.9</v>
      </c>
      <c r="O1300" s="256"/>
      <c r="P1300" s="195">
        <f>P1299</f>
        <v>1.3</v>
      </c>
      <c r="Q1300" s="144"/>
      <c r="R1300" s="143" t="s">
        <v>341</v>
      </c>
      <c r="S1300" s="143"/>
      <c r="T1300" s="235">
        <f>AC1215</f>
        <v>123.76260000000001</v>
      </c>
      <c r="U1300" s="236"/>
      <c r="V1300" s="236"/>
      <c r="W1300" s="193"/>
      <c r="X1300" s="193"/>
      <c r="Y1300" s="193">
        <f>T1300*$W$1299</f>
        <v>123.76260000000001</v>
      </c>
      <c r="Z1300" s="193"/>
      <c r="AA1300" s="193"/>
      <c r="AB1300" s="196"/>
    </row>
    <row r="1301" spans="9:28" s="307" customFormat="1" ht="15.75" customHeight="1" x14ac:dyDescent="0.15">
      <c r="I1301" s="249"/>
      <c r="J1301" s="249"/>
      <c r="K1301" s="252"/>
      <c r="L1301" s="249"/>
      <c r="M1301" s="250"/>
      <c r="N1301" s="257"/>
      <c r="O1301" s="258"/>
      <c r="P1301" s="195">
        <f>N1300+P1300</f>
        <v>2.2000000000000002</v>
      </c>
      <c r="Q1301" s="260"/>
      <c r="R1301" s="143" t="s">
        <v>340</v>
      </c>
      <c r="S1301" s="143"/>
      <c r="T1301" s="196">
        <f>AC1216</f>
        <v>2178.2217599999999</v>
      </c>
      <c r="U1301" s="266"/>
      <c r="V1301" s="192"/>
      <c r="W1301" s="193"/>
      <c r="X1301" s="193"/>
      <c r="Y1301" s="193">
        <f>T1301*$W$1299</f>
        <v>2178.2217599999999</v>
      </c>
      <c r="Z1301" s="193"/>
      <c r="AA1301" s="193"/>
      <c r="AB1301" s="196"/>
    </row>
    <row r="1302" spans="9:28" s="307" customFormat="1" ht="15.75" customHeight="1" x14ac:dyDescent="0.15"/>
    <row r="1303" spans="9:28" s="307" customFormat="1" ht="15.75" customHeight="1" x14ac:dyDescent="0.15"/>
    <row r="1304" spans="9:28" s="307" customFormat="1" ht="15.75" customHeight="1" x14ac:dyDescent="0.15"/>
    <row r="1305" spans="9:28" s="307" customFormat="1" ht="15.75" customHeight="1" x14ac:dyDescent="0.15"/>
    <row r="1306" spans="9:28" s="307" customFormat="1" ht="15.75" customHeight="1" x14ac:dyDescent="0.15"/>
    <row r="1307" spans="9:28" s="307" customFormat="1" ht="15.75" customHeight="1" x14ac:dyDescent="0.15"/>
    <row r="1308" spans="9:28" s="307" customFormat="1" ht="15.75" customHeight="1" x14ac:dyDescent="0.15"/>
    <row r="1309" spans="9:28" s="307" customFormat="1" ht="15.75" customHeight="1" x14ac:dyDescent="0.15"/>
    <row r="1310" spans="9:28" s="307" customFormat="1" ht="15.75" customHeight="1" x14ac:dyDescent="0.15"/>
    <row r="1311" spans="9:28" s="307" customFormat="1" ht="15.75" customHeight="1" x14ac:dyDescent="0.15"/>
    <row r="1312" spans="9:28" s="307" customFormat="1" ht="15.75" customHeight="1" x14ac:dyDescent="0.15"/>
    <row r="1313" s="307" customFormat="1" ht="15.75" customHeight="1" x14ac:dyDescent="0.15"/>
    <row r="1314" s="307" customFormat="1" ht="15.75" customHeight="1" x14ac:dyDescent="0.15"/>
    <row r="1315" s="307" customFormat="1" ht="15.75" customHeight="1" x14ac:dyDescent="0.15"/>
    <row r="1316" s="307" customFormat="1" ht="15.75" customHeight="1" x14ac:dyDescent="0.15"/>
    <row r="1317" s="307" customFormat="1" ht="15.75" customHeight="1" x14ac:dyDescent="0.15"/>
    <row r="1318" s="307" customFormat="1" ht="15.75" customHeight="1" x14ac:dyDescent="0.15"/>
    <row r="1319" s="307" customFormat="1" ht="15.75" customHeight="1" x14ac:dyDescent="0.15"/>
    <row r="1320" s="307" customFormat="1" ht="15.75" customHeight="1" x14ac:dyDescent="0.15"/>
    <row r="1321" s="307" customFormat="1" ht="15.75" customHeight="1" x14ac:dyDescent="0.15"/>
    <row r="1322" s="307" customFormat="1" ht="15.75" customHeight="1" x14ac:dyDescent="0.15"/>
    <row r="1323" s="307" customFormat="1" ht="15.75" customHeight="1" x14ac:dyDescent="0.15"/>
    <row r="1324" s="307" customFormat="1" ht="15.75" customHeight="1" x14ac:dyDescent="0.15"/>
    <row r="1325" s="307" customFormat="1" ht="15.75" customHeight="1" x14ac:dyDescent="0.15"/>
    <row r="1326" s="307" customFormat="1" ht="15.75" customHeight="1" x14ac:dyDescent="0.15"/>
    <row r="1327" s="307" customFormat="1" ht="15.75" customHeight="1" x14ac:dyDescent="0.15"/>
    <row r="1328" s="307" customFormat="1" ht="15.75" customHeight="1" x14ac:dyDescent="0.15"/>
    <row r="1329" s="307" customFormat="1" ht="15.75" customHeight="1" x14ac:dyDescent="0.15"/>
    <row r="1330" s="307" customFormat="1" ht="15.75" customHeight="1" x14ac:dyDescent="0.15"/>
    <row r="1331" s="307" customFormat="1" ht="15.75" customHeight="1" x14ac:dyDescent="0.15"/>
    <row r="1332" s="307" customFormat="1" ht="15.75" customHeight="1" x14ac:dyDescent="0.15"/>
    <row r="1333" s="307" customFormat="1" ht="15.75" customHeight="1" x14ac:dyDescent="0.15"/>
    <row r="1334" s="307" customFormat="1" ht="15.75" customHeight="1" x14ac:dyDescent="0.15"/>
    <row r="1335" s="307" customFormat="1" ht="15.75" customHeight="1" x14ac:dyDescent="0.15"/>
    <row r="1336" s="307" customFormat="1" ht="15.75" customHeight="1" x14ac:dyDescent="0.15"/>
    <row r="1337" s="307" customFormat="1" ht="15.75" customHeight="1" x14ac:dyDescent="0.15"/>
    <row r="1338" s="307" customFormat="1" ht="15.75" customHeight="1" x14ac:dyDescent="0.15"/>
    <row r="1339" s="307" customFormat="1" ht="15.75" customHeight="1" x14ac:dyDescent="0.15"/>
    <row r="1340" s="307" customFormat="1" ht="15.75" customHeight="1" x14ac:dyDescent="0.15"/>
    <row r="1341" s="307" customFormat="1" ht="15.75" customHeight="1" x14ac:dyDescent="0.15"/>
    <row r="1342" s="307" customFormat="1" ht="15.75" customHeight="1" x14ac:dyDescent="0.15"/>
    <row r="1343" s="307" customFormat="1" ht="15.75" customHeight="1" x14ac:dyDescent="0.15"/>
    <row r="1344" s="307" customFormat="1" ht="15.75" customHeight="1" x14ac:dyDescent="0.15"/>
    <row r="1345" s="307" customFormat="1" ht="15.75" customHeight="1" x14ac:dyDescent="0.15"/>
    <row r="1346" s="307" customFormat="1" ht="15.75" customHeight="1" x14ac:dyDescent="0.15"/>
    <row r="1347" s="307" customFormat="1" ht="15.75" customHeight="1" x14ac:dyDescent="0.15"/>
    <row r="1348" s="307" customFormat="1" ht="15.75" customHeight="1" x14ac:dyDescent="0.15"/>
    <row r="1349" s="307" customFormat="1" ht="15.75" customHeight="1" x14ac:dyDescent="0.15"/>
    <row r="1350" s="307" customFormat="1" ht="15.75" customHeight="1" x14ac:dyDescent="0.15"/>
    <row r="1351" s="307" customFormat="1" ht="15.75" customHeight="1" x14ac:dyDescent="0.15"/>
    <row r="1352" s="307" customFormat="1" ht="15.75" customHeight="1" x14ac:dyDescent="0.15"/>
    <row r="1353" s="307" customFormat="1" ht="15.75" customHeight="1" x14ac:dyDescent="0.15"/>
    <row r="1354" s="307" customFormat="1" ht="15.75" customHeight="1" x14ac:dyDescent="0.15"/>
    <row r="1355" s="307" customFormat="1" ht="15.75" customHeight="1" x14ac:dyDescent="0.15"/>
    <row r="1356" s="307" customFormat="1" ht="15.75" customHeight="1" x14ac:dyDescent="0.15"/>
    <row r="1357" s="307" customFormat="1" ht="15.75" customHeight="1" x14ac:dyDescent="0.15"/>
    <row r="1358" s="307" customFormat="1" ht="15.75" customHeight="1" x14ac:dyDescent="0.15"/>
    <row r="1359" s="307" customFormat="1" ht="15.75" customHeight="1" x14ac:dyDescent="0.15"/>
    <row r="1360" s="307" customFormat="1" ht="15.75" customHeight="1" x14ac:dyDescent="0.15"/>
    <row r="1361" s="307" customFormat="1" ht="15.75" customHeight="1" x14ac:dyDescent="0.15"/>
    <row r="1362" s="307" customFormat="1" ht="15.75" customHeight="1" x14ac:dyDescent="0.15"/>
    <row r="1363" s="307" customFormat="1" ht="15.75" customHeight="1" x14ac:dyDescent="0.15"/>
    <row r="1364" s="307" customFormat="1" ht="15.75" customHeight="1" x14ac:dyDescent="0.15"/>
    <row r="1365" s="307" customFormat="1" ht="15.75" customHeight="1" x14ac:dyDescent="0.15"/>
    <row r="1366" s="307" customFormat="1" ht="15.75" customHeight="1" x14ac:dyDescent="0.15"/>
    <row r="1367" s="307" customFormat="1" ht="15.75" customHeight="1" x14ac:dyDescent="0.15"/>
    <row r="1368" s="307" customFormat="1" ht="15.75" customHeight="1" x14ac:dyDescent="0.15"/>
    <row r="1369" s="307" customFormat="1" ht="15.75" customHeight="1" x14ac:dyDescent="0.15"/>
    <row r="1370" s="307" customFormat="1" ht="15.75" customHeight="1" x14ac:dyDescent="0.15"/>
    <row r="1371" s="307" customFormat="1" ht="15.75" customHeight="1" x14ac:dyDescent="0.15"/>
    <row r="1372" s="307" customFormat="1" ht="15.75" customHeight="1" x14ac:dyDescent="0.15"/>
    <row r="1373" s="307" customFormat="1" ht="15.75" customHeight="1" x14ac:dyDescent="0.15"/>
    <row r="1374" s="307" customFormat="1" ht="15.75" customHeight="1" x14ac:dyDescent="0.15"/>
    <row r="1375" s="307" customFormat="1" ht="15.75" customHeight="1" x14ac:dyDescent="0.15"/>
    <row r="1376" s="307" customFormat="1" ht="15.75" customHeight="1" x14ac:dyDescent="0.15"/>
    <row r="1377" s="307" customFormat="1" ht="15.75" customHeight="1" x14ac:dyDescent="0.15"/>
    <row r="1378" s="307" customFormat="1" ht="15.75" customHeight="1" x14ac:dyDescent="0.15"/>
    <row r="1379" s="307" customFormat="1" ht="15.75" customHeight="1" x14ac:dyDescent="0.15"/>
    <row r="1380" s="307" customFormat="1" ht="15.75" customHeight="1" x14ac:dyDescent="0.15"/>
    <row r="1381" s="307" customFormat="1" ht="15.75" customHeight="1" x14ac:dyDescent="0.15"/>
    <row r="1382" s="307" customFormat="1" ht="15.75" customHeight="1" x14ac:dyDescent="0.15"/>
    <row r="1383" s="307" customFormat="1" ht="15.75" customHeight="1" x14ac:dyDescent="0.15"/>
    <row r="1384" s="307" customFormat="1" ht="15.75" customHeight="1" x14ac:dyDescent="0.15"/>
    <row r="1385" s="307" customFormat="1" ht="15.75" customHeight="1" x14ac:dyDescent="0.15"/>
    <row r="1386" s="307" customFormat="1" ht="15.75" customHeight="1" x14ac:dyDescent="0.15"/>
    <row r="1387" s="307" customFormat="1" ht="15.75" customHeight="1" x14ac:dyDescent="0.15"/>
    <row r="1388" s="307" customFormat="1" ht="15.75" customHeight="1" x14ac:dyDescent="0.15"/>
    <row r="1389" s="307" customFormat="1" ht="15.75" customHeight="1" x14ac:dyDescent="0.15"/>
    <row r="1390" s="307" customFormat="1" ht="15.75" customHeight="1" x14ac:dyDescent="0.15"/>
    <row r="1391" s="307" customFormat="1" ht="15.75" customHeight="1" x14ac:dyDescent="0.15"/>
    <row r="1392" s="307" customFormat="1" ht="15.75" customHeight="1" x14ac:dyDescent="0.15"/>
    <row r="1393" s="307" customFormat="1" ht="15.75" customHeight="1" x14ac:dyDescent="0.15"/>
    <row r="1394" s="307" customFormat="1" ht="15.75" customHeight="1" x14ac:dyDescent="0.15"/>
    <row r="1395" s="307" customFormat="1" ht="15.75" customHeight="1" x14ac:dyDescent="0.15"/>
    <row r="1396" s="307" customFormat="1" ht="15.75" customHeight="1" x14ac:dyDescent="0.15"/>
    <row r="1397" s="307" customFormat="1" ht="15.75" customHeight="1" x14ac:dyDescent="0.15"/>
    <row r="1398" s="307" customFormat="1" ht="15.75" customHeight="1" x14ac:dyDescent="0.15"/>
    <row r="1399" s="307" customFormat="1" ht="15.75" customHeight="1" x14ac:dyDescent="0.15"/>
    <row r="1400" s="307" customFormat="1" ht="15.75" customHeight="1" x14ac:dyDescent="0.15"/>
    <row r="1401" s="307" customFormat="1" ht="15.75" customHeight="1" x14ac:dyDescent="0.15"/>
    <row r="1402" s="307" customFormat="1" ht="15.75" customHeight="1" x14ac:dyDescent="0.15"/>
    <row r="1403" s="307" customFormat="1" ht="15.75" customHeight="1" x14ac:dyDescent="0.15"/>
    <row r="1404" s="307" customFormat="1" ht="15.75" customHeight="1" x14ac:dyDescent="0.15"/>
    <row r="1405" s="307" customFormat="1" ht="15.75" customHeight="1" x14ac:dyDescent="0.15"/>
    <row r="1406" s="307" customFormat="1" ht="15.75" customHeight="1" x14ac:dyDescent="0.15"/>
    <row r="1407" s="307" customFormat="1" ht="15.75" customHeight="1" x14ac:dyDescent="0.15"/>
    <row r="1408" s="307" customFormat="1" ht="15.75" customHeight="1" x14ac:dyDescent="0.15"/>
    <row r="1409" s="307" customFormat="1" ht="15.75" customHeight="1" x14ac:dyDescent="0.15"/>
    <row r="1410" s="307" customFormat="1" ht="15.75" customHeight="1" x14ac:dyDescent="0.15"/>
    <row r="1411" s="307" customFormat="1" ht="15.75" customHeight="1" x14ac:dyDescent="0.15"/>
    <row r="1412" s="307" customFormat="1" ht="15.75" customHeight="1" x14ac:dyDescent="0.15"/>
    <row r="1413" s="307" customFormat="1" ht="15.75" customHeight="1" x14ac:dyDescent="0.15"/>
    <row r="1414" s="307" customFormat="1" ht="15.75" customHeight="1" x14ac:dyDescent="0.15"/>
    <row r="1415" s="307" customFormat="1" ht="15.75" customHeight="1" x14ac:dyDescent="0.15"/>
    <row r="1416" s="307" customFormat="1" ht="15.75" customHeight="1" x14ac:dyDescent="0.15"/>
    <row r="1417" s="307" customFormat="1" ht="15.75" customHeight="1" x14ac:dyDescent="0.15"/>
    <row r="1418" s="307" customFormat="1" ht="15.75" customHeight="1" x14ac:dyDescent="0.15"/>
    <row r="1419" s="307" customFormat="1" ht="15.75" customHeight="1" x14ac:dyDescent="0.15"/>
    <row r="1420" s="307" customFormat="1" ht="15.75" customHeight="1" x14ac:dyDescent="0.15"/>
    <row r="1421" s="307" customFormat="1" ht="15.75" customHeight="1" x14ac:dyDescent="0.15"/>
    <row r="1422" s="307" customFormat="1" ht="15.75" customHeight="1" x14ac:dyDescent="0.15"/>
    <row r="1423" s="307" customFormat="1" ht="15.75" customHeight="1" x14ac:dyDescent="0.15"/>
    <row r="1424" s="307" customFormat="1" ht="15.75" customHeight="1" x14ac:dyDescent="0.15"/>
    <row r="1425" s="307" customFormat="1" ht="15.75" customHeight="1" x14ac:dyDescent="0.15"/>
    <row r="1426" s="307" customFormat="1" ht="15.75" customHeight="1" x14ac:dyDescent="0.15"/>
    <row r="1427" s="307" customFormat="1" ht="15.75" customHeight="1" x14ac:dyDescent="0.15"/>
    <row r="1428" s="307" customFormat="1" ht="15.75" customHeight="1" x14ac:dyDescent="0.15"/>
    <row r="1429" s="307" customFormat="1" ht="15.75" customHeight="1" x14ac:dyDescent="0.15"/>
    <row r="1430" s="307" customFormat="1" ht="15.75" customHeight="1" x14ac:dyDescent="0.15"/>
    <row r="1431" s="307" customFormat="1" ht="15.75" customHeight="1" x14ac:dyDescent="0.15"/>
    <row r="1432" s="307" customFormat="1" ht="15.75" customHeight="1" x14ac:dyDescent="0.15"/>
    <row r="1433" s="307" customFormat="1" ht="15.75" customHeight="1" x14ac:dyDescent="0.15"/>
    <row r="1434" s="307" customFormat="1" ht="15.75" customHeight="1" x14ac:dyDescent="0.15"/>
    <row r="1435" s="307" customFormat="1" ht="15.75" customHeight="1" x14ac:dyDescent="0.15"/>
    <row r="1436" s="307" customFormat="1" ht="15.75" customHeight="1" x14ac:dyDescent="0.15"/>
    <row r="1437" s="307" customFormat="1" ht="15.75" customHeight="1" x14ac:dyDescent="0.15"/>
    <row r="1438" s="307" customFormat="1" ht="15.75" customHeight="1" x14ac:dyDescent="0.15"/>
    <row r="1439" s="307" customFormat="1" ht="15.75" customHeight="1" x14ac:dyDescent="0.15"/>
    <row r="1440" s="307" customFormat="1" ht="15.75" customHeight="1" x14ac:dyDescent="0.15"/>
    <row r="1441" s="307" customFormat="1" ht="15.75" customHeight="1" x14ac:dyDescent="0.15"/>
    <row r="1442" s="307" customFormat="1" ht="15.75" customHeight="1" x14ac:dyDescent="0.15"/>
    <row r="1443" s="307" customFormat="1" ht="15.75" customHeight="1" x14ac:dyDescent="0.15"/>
    <row r="1444" s="307" customFormat="1" ht="15.75" customHeight="1" x14ac:dyDescent="0.15"/>
    <row r="1445" s="307" customFormat="1" ht="15.75" customHeight="1" x14ac:dyDescent="0.15"/>
    <row r="1446" s="307" customFormat="1" ht="15.75" customHeight="1" x14ac:dyDescent="0.15"/>
    <row r="1447" s="307" customFormat="1" ht="15.75" customHeight="1" x14ac:dyDescent="0.15"/>
    <row r="1448" s="307" customFormat="1" ht="15.75" customHeight="1" x14ac:dyDescent="0.15"/>
    <row r="1449" s="307" customFormat="1" ht="15.75" customHeight="1" x14ac:dyDescent="0.15"/>
    <row r="1450" s="307" customFormat="1" ht="15.75" customHeight="1" x14ac:dyDescent="0.15"/>
    <row r="1451" s="307" customFormat="1" ht="15.75" customHeight="1" x14ac:dyDescent="0.15"/>
    <row r="1452" s="307" customFormat="1" ht="15.75" customHeight="1" x14ac:dyDescent="0.15"/>
    <row r="1453" s="307" customFormat="1" ht="15.75" customHeight="1" x14ac:dyDescent="0.15"/>
    <row r="1454" s="307" customFormat="1" ht="15.75" customHeight="1" x14ac:dyDescent="0.15"/>
    <row r="1455" s="307" customFormat="1" ht="15.75" customHeight="1" x14ac:dyDescent="0.15"/>
    <row r="1456" s="307" customFormat="1" ht="15.75" customHeight="1" x14ac:dyDescent="0.15"/>
    <row r="1457" s="307" customFormat="1" ht="15.75" customHeight="1" x14ac:dyDescent="0.15"/>
    <row r="1458" s="307" customFormat="1" ht="15.75" customHeight="1" x14ac:dyDescent="0.15"/>
    <row r="1459" s="307" customFormat="1" ht="15.75" customHeight="1" x14ac:dyDescent="0.15"/>
    <row r="1460" s="307" customFormat="1" ht="15.75" customHeight="1" x14ac:dyDescent="0.15"/>
    <row r="1461" s="307" customFormat="1" ht="15.75" customHeight="1" x14ac:dyDescent="0.15"/>
    <row r="1462" s="307" customFormat="1" ht="15.75" customHeight="1" x14ac:dyDescent="0.15"/>
    <row r="1463" s="307" customFormat="1" ht="15.75" customHeight="1" x14ac:dyDescent="0.15"/>
    <row r="1464" s="307" customFormat="1" ht="15.75" customHeight="1" x14ac:dyDescent="0.15"/>
    <row r="1465" s="307" customFormat="1" ht="15.75" customHeight="1" x14ac:dyDescent="0.15"/>
    <row r="1466" s="307" customFormat="1" ht="15.75" customHeight="1" x14ac:dyDescent="0.15"/>
    <row r="1467" s="307" customFormat="1" ht="15.75" customHeight="1" x14ac:dyDescent="0.15"/>
    <row r="1468" s="307" customFormat="1" ht="15.75" customHeight="1" x14ac:dyDescent="0.15"/>
    <row r="1469" s="307" customFormat="1" ht="15.75" customHeight="1" x14ac:dyDescent="0.15"/>
    <row r="1470" s="307" customFormat="1" ht="15.75" customHeight="1" x14ac:dyDescent="0.15"/>
    <row r="1471" s="307" customFormat="1" ht="15.75" customHeight="1" x14ac:dyDescent="0.15"/>
    <row r="1472" s="307" customFormat="1" ht="15.75" customHeight="1" x14ac:dyDescent="0.15"/>
    <row r="1473" s="307" customFormat="1" ht="15.75" customHeight="1" x14ac:dyDescent="0.15"/>
    <row r="1474" s="307" customFormat="1" ht="15.75" customHeight="1" x14ac:dyDescent="0.15"/>
    <row r="1475" s="307" customFormat="1" ht="15.75" customHeight="1" x14ac:dyDescent="0.15"/>
    <row r="1476" s="307" customFormat="1" ht="15.75" customHeight="1" x14ac:dyDescent="0.15"/>
    <row r="1477" s="307" customFormat="1" ht="15.75" customHeight="1" x14ac:dyDescent="0.15"/>
    <row r="1478" s="307" customFormat="1" ht="15.75" customHeight="1" x14ac:dyDescent="0.15"/>
    <row r="1479" s="307" customFormat="1" ht="15.75" customHeight="1" x14ac:dyDescent="0.15"/>
    <row r="1480" s="307" customFormat="1" ht="15.75" customHeight="1" x14ac:dyDescent="0.15"/>
    <row r="1481" s="307" customFormat="1" ht="15.75" customHeight="1" x14ac:dyDescent="0.15"/>
    <row r="1482" s="307" customFormat="1" ht="15.75" customHeight="1" x14ac:dyDescent="0.15"/>
    <row r="1483" s="307" customFormat="1" ht="15.75" customHeight="1" x14ac:dyDescent="0.15"/>
    <row r="1484" s="307" customFormat="1" ht="15.75" customHeight="1" x14ac:dyDescent="0.15"/>
    <row r="1485" s="307" customFormat="1" ht="15.75" customHeight="1" x14ac:dyDescent="0.15"/>
    <row r="1486" s="307" customFormat="1" ht="15.75" customHeight="1" x14ac:dyDescent="0.15"/>
    <row r="1487" s="307" customFormat="1" ht="15.75" customHeight="1" x14ac:dyDescent="0.15"/>
    <row r="1488" s="307" customFormat="1" ht="15.75" customHeight="1" x14ac:dyDescent="0.15"/>
    <row r="1489" s="307" customFormat="1" ht="15.75" customHeight="1" x14ac:dyDescent="0.15"/>
    <row r="1490" s="307" customFormat="1" ht="15.75" customHeight="1" x14ac:dyDescent="0.15"/>
    <row r="1491" s="307" customFormat="1" ht="15.75" customHeight="1" x14ac:dyDescent="0.15"/>
    <row r="1492" s="307" customFormat="1" ht="15.75" customHeight="1" x14ac:dyDescent="0.15"/>
    <row r="1493" s="307" customFormat="1" ht="15.75" customHeight="1" x14ac:dyDescent="0.15"/>
    <row r="1494" s="307" customFormat="1" ht="15.75" customHeight="1" x14ac:dyDescent="0.15"/>
    <row r="1495" s="307" customFormat="1" ht="15.75" customHeight="1" x14ac:dyDescent="0.15"/>
    <row r="1496" s="307" customFormat="1" ht="15.75" customHeight="1" x14ac:dyDescent="0.15"/>
    <row r="1497" s="307" customFormat="1" ht="15.75" customHeight="1" x14ac:dyDescent="0.15"/>
    <row r="1498" s="307" customFormat="1" ht="15.75" customHeight="1" x14ac:dyDescent="0.15"/>
    <row r="1499" s="307" customFormat="1" ht="15.75" customHeight="1" x14ac:dyDescent="0.15"/>
    <row r="1500" s="307" customFormat="1" ht="15.75" customHeight="1" x14ac:dyDescent="0.15"/>
    <row r="1501" s="307" customFormat="1" ht="15.75" customHeight="1" x14ac:dyDescent="0.15"/>
    <row r="1502" s="307" customFormat="1" ht="15.75" customHeight="1" x14ac:dyDescent="0.15"/>
    <row r="1503" s="307" customFormat="1" ht="15.75" customHeight="1" x14ac:dyDescent="0.15"/>
    <row r="1504" s="307" customFormat="1" ht="15.75" customHeight="1" x14ac:dyDescent="0.15"/>
    <row r="1505" s="307" customFormat="1" ht="15.75" customHeight="1" x14ac:dyDescent="0.15"/>
    <row r="1506" s="307" customFormat="1" ht="15.75" customHeight="1" x14ac:dyDescent="0.15"/>
    <row r="1507" s="307" customFormat="1" ht="15.75" customHeight="1" x14ac:dyDescent="0.15"/>
    <row r="1508" s="307" customFormat="1" ht="15.75" customHeight="1" x14ac:dyDescent="0.15"/>
    <row r="1509" s="307" customFormat="1" ht="15.75" customHeight="1" x14ac:dyDescent="0.15"/>
    <row r="1510" s="307" customFormat="1" ht="15.75" customHeight="1" x14ac:dyDescent="0.15"/>
    <row r="1511" s="307" customFormat="1" ht="15.75" customHeight="1" x14ac:dyDescent="0.15"/>
    <row r="1512" s="307" customFormat="1" ht="15.75" customHeight="1" x14ac:dyDescent="0.15"/>
    <row r="1513" s="307" customFormat="1" ht="15.75" customHeight="1" x14ac:dyDescent="0.15"/>
    <row r="1514" s="307" customFormat="1" ht="15.75" customHeight="1" x14ac:dyDescent="0.15"/>
    <row r="1515" s="307" customFormat="1" ht="15.75" customHeight="1" x14ac:dyDescent="0.15"/>
    <row r="1516" s="307" customFormat="1" ht="15.75" customHeight="1" x14ac:dyDescent="0.15"/>
    <row r="1517" s="307" customFormat="1" ht="15.75" customHeight="1" x14ac:dyDescent="0.15"/>
    <row r="1518" s="307" customFormat="1" ht="15.75" customHeight="1" x14ac:dyDescent="0.15"/>
    <row r="1519" s="307" customFormat="1" ht="15.75" customHeight="1" x14ac:dyDescent="0.15"/>
    <row r="1520" s="307" customFormat="1" ht="15.75" customHeight="1" x14ac:dyDescent="0.15"/>
    <row r="1521" s="307" customFormat="1" ht="15.75" customHeight="1" x14ac:dyDescent="0.15"/>
    <row r="1522" s="307" customFormat="1" ht="15.75" customHeight="1" x14ac:dyDescent="0.15"/>
    <row r="1523" s="307" customFormat="1" ht="15.75" customHeight="1" x14ac:dyDescent="0.15"/>
    <row r="1524" s="307" customFormat="1" ht="15.75" customHeight="1" x14ac:dyDescent="0.15"/>
    <row r="1525" s="307" customFormat="1" ht="15.75" customHeight="1" x14ac:dyDescent="0.15"/>
    <row r="1526" s="307" customFormat="1" ht="15.75" customHeight="1" x14ac:dyDescent="0.15"/>
    <row r="1527" s="307" customFormat="1" ht="15.75" customHeight="1" x14ac:dyDescent="0.15"/>
    <row r="1528" s="307" customFormat="1" ht="15.75" customHeight="1" x14ac:dyDescent="0.15"/>
    <row r="1529" s="307" customFormat="1" ht="15.75" customHeight="1" x14ac:dyDescent="0.15"/>
    <row r="1530" s="307" customFormat="1" ht="15.75" customHeight="1" x14ac:dyDescent="0.15"/>
    <row r="1531" s="307" customFormat="1" ht="15.75" customHeight="1" x14ac:dyDescent="0.15"/>
    <row r="1532" s="307" customFormat="1" ht="15.75" customHeight="1" x14ac:dyDescent="0.15"/>
    <row r="1533" s="307" customFormat="1" ht="15.75" customHeight="1" x14ac:dyDescent="0.15"/>
    <row r="1534" s="307" customFormat="1" ht="15.75" customHeight="1" x14ac:dyDescent="0.15"/>
    <row r="1535" s="307" customFormat="1" ht="15.75" customHeight="1" x14ac:dyDescent="0.15"/>
    <row r="1536" s="307" customFormat="1" ht="15.75" customHeight="1" x14ac:dyDescent="0.15"/>
    <row r="1537" s="307" customFormat="1" ht="15.75" customHeight="1" x14ac:dyDescent="0.15"/>
    <row r="1538" s="307" customFormat="1" ht="15.75" customHeight="1" x14ac:dyDescent="0.15"/>
    <row r="1539" s="307" customFormat="1" ht="15.75" customHeight="1" x14ac:dyDescent="0.15"/>
    <row r="1540" s="307" customFormat="1" ht="15.75" customHeight="1" x14ac:dyDescent="0.15"/>
    <row r="1541" s="307" customFormat="1" ht="15.75" customHeight="1" x14ac:dyDescent="0.15"/>
    <row r="1542" s="307" customFormat="1" ht="15.75" customHeight="1" x14ac:dyDescent="0.15"/>
    <row r="1543" s="307" customFormat="1" ht="15.75" customHeight="1" x14ac:dyDescent="0.15"/>
    <row r="1544" s="307" customFormat="1" ht="15.75" customHeight="1" x14ac:dyDescent="0.15"/>
    <row r="1545" s="307" customFormat="1" ht="15.75" customHeight="1" x14ac:dyDescent="0.15"/>
    <row r="1546" s="307" customFormat="1" ht="15.75" customHeight="1" x14ac:dyDescent="0.15"/>
    <row r="1547" s="307" customFormat="1" ht="15.75" customHeight="1" x14ac:dyDescent="0.15"/>
    <row r="1548" s="307" customFormat="1" ht="15.75" customHeight="1" x14ac:dyDescent="0.15"/>
    <row r="1549" s="307" customFormat="1" ht="15.75" customHeight="1" x14ac:dyDescent="0.15"/>
    <row r="1550" s="307" customFormat="1" ht="15.75" customHeight="1" x14ac:dyDescent="0.15"/>
    <row r="1551" s="307" customFormat="1" ht="15.75" customHeight="1" x14ac:dyDescent="0.15"/>
    <row r="1552" s="307" customFormat="1" ht="15.75" customHeight="1" x14ac:dyDescent="0.15"/>
    <row r="1553" s="307" customFormat="1" ht="15.75" customHeight="1" x14ac:dyDescent="0.15"/>
    <row r="1554" s="307" customFormat="1" ht="15.75" customHeight="1" x14ac:dyDescent="0.15"/>
    <row r="1555" s="307" customFormat="1" ht="15.75" customHeight="1" x14ac:dyDescent="0.15"/>
    <row r="1556" s="307" customFormat="1" ht="15.75" customHeight="1" x14ac:dyDescent="0.15"/>
    <row r="1557" s="307" customFormat="1" ht="15.75" customHeight="1" x14ac:dyDescent="0.15"/>
    <row r="1558" s="307" customFormat="1" ht="15.75" customHeight="1" x14ac:dyDescent="0.15"/>
    <row r="1559" s="307" customFormat="1" ht="15.75" customHeight="1" x14ac:dyDescent="0.15"/>
    <row r="1560" s="307" customFormat="1" ht="15.75" customHeight="1" x14ac:dyDescent="0.15"/>
    <row r="1561" s="307" customFormat="1" ht="15.75" customHeight="1" x14ac:dyDescent="0.15"/>
    <row r="1562" s="307" customFormat="1" ht="15.75" customHeight="1" x14ac:dyDescent="0.15"/>
    <row r="1563" s="307" customFormat="1" ht="15.75" customHeight="1" x14ac:dyDescent="0.15"/>
    <row r="1564" s="307" customFormat="1" ht="15.75" customHeight="1" x14ac:dyDescent="0.15"/>
    <row r="1565" s="307" customFormat="1" ht="15.75" customHeight="1" x14ac:dyDescent="0.15"/>
    <row r="1566" s="307" customFormat="1" ht="15.75" customHeight="1" x14ac:dyDescent="0.15"/>
    <row r="1567" s="307" customFormat="1" ht="15.75" customHeight="1" x14ac:dyDescent="0.15"/>
    <row r="1568" s="307" customFormat="1" ht="15.75" customHeight="1" x14ac:dyDescent="0.15"/>
    <row r="1569" s="307" customFormat="1" ht="15.75" customHeight="1" x14ac:dyDescent="0.15"/>
    <row r="1570" s="307" customFormat="1" ht="15.75" customHeight="1" x14ac:dyDescent="0.15"/>
    <row r="1571" s="307" customFormat="1" ht="15.75" customHeight="1" x14ac:dyDescent="0.15"/>
    <row r="1572" s="307" customFormat="1" ht="15.75" customHeight="1" x14ac:dyDescent="0.15"/>
    <row r="1573" s="307" customFormat="1" ht="15.75" customHeight="1" x14ac:dyDescent="0.15"/>
    <row r="1574" s="307" customFormat="1" ht="15.75" customHeight="1" x14ac:dyDescent="0.15"/>
    <row r="1575" s="307" customFormat="1" ht="15.75" customHeight="1" x14ac:dyDescent="0.15"/>
    <row r="1576" s="307" customFormat="1" ht="15.75" customHeight="1" x14ac:dyDescent="0.15"/>
    <row r="1577" s="307" customFormat="1" ht="15.75" customHeight="1" x14ac:dyDescent="0.15"/>
    <row r="1578" s="307" customFormat="1" ht="15.75" customHeight="1" x14ac:dyDescent="0.15"/>
    <row r="1579" s="307" customFormat="1" ht="15.75" customHeight="1" x14ac:dyDescent="0.15"/>
    <row r="1580" s="307" customFormat="1" ht="15.75" customHeight="1" x14ac:dyDescent="0.15"/>
    <row r="1581" s="307" customFormat="1" ht="15.75" customHeight="1" x14ac:dyDescent="0.15"/>
    <row r="1582" s="307" customFormat="1" ht="15.75" customHeight="1" x14ac:dyDescent="0.15"/>
    <row r="1583" s="307" customFormat="1" ht="15.75" customHeight="1" x14ac:dyDescent="0.15"/>
    <row r="1584" s="307" customFormat="1" ht="15.75" customHeight="1" x14ac:dyDescent="0.15"/>
    <row r="1585" s="307" customFormat="1" ht="15.75" customHeight="1" x14ac:dyDescent="0.15"/>
    <row r="1586" s="307" customFormat="1" ht="15.75" customHeight="1" x14ac:dyDescent="0.15"/>
    <row r="1587" s="307" customFormat="1" ht="15.75" customHeight="1" x14ac:dyDescent="0.15"/>
    <row r="1588" s="307" customFormat="1" ht="15.75" customHeight="1" x14ac:dyDescent="0.15"/>
    <row r="1589" s="307" customFormat="1" ht="15.75" customHeight="1" x14ac:dyDescent="0.15"/>
    <row r="1590" s="307" customFormat="1" ht="15.75" customHeight="1" x14ac:dyDescent="0.15"/>
    <row r="1591" s="307" customFormat="1" ht="15.75" customHeight="1" x14ac:dyDescent="0.15"/>
    <row r="1592" s="307" customFormat="1" ht="15.75" customHeight="1" x14ac:dyDescent="0.15"/>
    <row r="1593" s="307" customFormat="1" ht="15.75" customHeight="1" x14ac:dyDescent="0.15"/>
    <row r="1594" s="307" customFormat="1" ht="15.75" customHeight="1" x14ac:dyDescent="0.15"/>
    <row r="1595" s="307" customFormat="1" ht="15.75" customHeight="1" x14ac:dyDescent="0.15"/>
    <row r="1596" s="307" customFormat="1" ht="15.75" customHeight="1" x14ac:dyDescent="0.15"/>
    <row r="1597" s="307" customFormat="1" ht="15.75" customHeight="1" x14ac:dyDescent="0.15"/>
    <row r="1598" s="307" customFormat="1" ht="15.75" customHeight="1" x14ac:dyDescent="0.15"/>
    <row r="1599" s="307" customFormat="1" ht="15.75" customHeight="1" x14ac:dyDescent="0.15"/>
    <row r="1600" s="307" customFormat="1" ht="15.75" customHeight="1" x14ac:dyDescent="0.15"/>
    <row r="1601" s="307" customFormat="1" ht="15.75" customHeight="1" x14ac:dyDescent="0.15"/>
    <row r="1602" s="307" customFormat="1" ht="15.75" customHeight="1" x14ac:dyDescent="0.15"/>
    <row r="1603" s="307" customFormat="1" ht="15.75" customHeight="1" x14ac:dyDescent="0.15"/>
    <row r="1604" s="307" customFormat="1" ht="15.75" customHeight="1" x14ac:dyDescent="0.15"/>
    <row r="1605" s="307" customFormat="1" ht="15.75" customHeight="1" x14ac:dyDescent="0.15"/>
    <row r="1606" s="307" customFormat="1" ht="15.75" customHeight="1" x14ac:dyDescent="0.15"/>
    <row r="1607" s="307" customFormat="1" ht="15.75" customHeight="1" x14ac:dyDescent="0.15"/>
    <row r="1608" s="307" customFormat="1" ht="15.75" customHeight="1" x14ac:dyDescent="0.15"/>
    <row r="1609" s="307" customFormat="1" ht="15.75" customHeight="1" x14ac:dyDescent="0.15"/>
    <row r="1610" s="307" customFormat="1" ht="15.75" customHeight="1" x14ac:dyDescent="0.15"/>
    <row r="1611" s="307" customFormat="1" ht="15.75" customHeight="1" x14ac:dyDescent="0.15"/>
    <row r="1612" s="307" customFormat="1" ht="15.75" customHeight="1" x14ac:dyDescent="0.15"/>
    <row r="1613" s="307" customFormat="1" ht="15.75" customHeight="1" x14ac:dyDescent="0.15"/>
    <row r="1614" s="307" customFormat="1" ht="15.75" customHeight="1" x14ac:dyDescent="0.15"/>
    <row r="1615" s="307" customFormat="1" ht="15.75" customHeight="1" x14ac:dyDescent="0.15"/>
    <row r="1616" s="307" customFormat="1" ht="15.75" customHeight="1" x14ac:dyDescent="0.15"/>
    <row r="1617" s="307" customFormat="1" ht="15.75" customHeight="1" x14ac:dyDescent="0.15"/>
    <row r="1618" s="307" customFormat="1" ht="15.75" customHeight="1" x14ac:dyDescent="0.15"/>
    <row r="1619" s="307" customFormat="1" ht="15.75" customHeight="1" x14ac:dyDescent="0.15"/>
    <row r="1620" s="307" customFormat="1" ht="15.75" customHeight="1" x14ac:dyDescent="0.15"/>
    <row r="1621" s="307" customFormat="1" ht="15.75" customHeight="1" x14ac:dyDescent="0.15"/>
    <row r="1622" s="307" customFormat="1" ht="15.75" customHeight="1" x14ac:dyDescent="0.15"/>
    <row r="1623" s="307" customFormat="1" ht="15.75" customHeight="1" x14ac:dyDescent="0.15"/>
    <row r="1624" s="307" customFormat="1" ht="15.75" customHeight="1" x14ac:dyDescent="0.15"/>
    <row r="1625" s="307" customFormat="1" ht="15.75" customHeight="1" x14ac:dyDescent="0.15"/>
    <row r="1626" s="307" customFormat="1" ht="15.75" customHeight="1" x14ac:dyDescent="0.15"/>
    <row r="1627" s="307" customFormat="1" ht="15.75" customHeight="1" x14ac:dyDescent="0.15"/>
    <row r="1628" s="307" customFormat="1" ht="15.75" customHeight="1" x14ac:dyDescent="0.15"/>
    <row r="1629" s="307" customFormat="1" ht="15.75" customHeight="1" x14ac:dyDescent="0.15"/>
    <row r="1630" s="307" customFormat="1" ht="15.75" customHeight="1" x14ac:dyDescent="0.15"/>
    <row r="1631" s="307" customFormat="1" ht="15.75" customHeight="1" x14ac:dyDescent="0.15"/>
    <row r="1632" s="307" customFormat="1" ht="15.75" customHeight="1" x14ac:dyDescent="0.15"/>
    <row r="1633" s="307" customFormat="1" ht="15.75" customHeight="1" x14ac:dyDescent="0.15"/>
    <row r="1634" s="307" customFormat="1" ht="15.75" customHeight="1" x14ac:dyDescent="0.15"/>
    <row r="1635" s="307" customFormat="1" ht="15.75" customHeight="1" x14ac:dyDescent="0.15"/>
    <row r="1636" s="307" customFormat="1" ht="15.75" customHeight="1" x14ac:dyDescent="0.15"/>
    <row r="1637" s="307" customFormat="1" ht="15.75" customHeight="1" x14ac:dyDescent="0.15"/>
    <row r="1638" s="307" customFormat="1" ht="15.75" customHeight="1" x14ac:dyDescent="0.15"/>
    <row r="1639" s="307" customFormat="1" ht="15.75" customHeight="1" x14ac:dyDescent="0.15"/>
    <row r="1640" s="307" customFormat="1" ht="15.75" customHeight="1" x14ac:dyDescent="0.15"/>
    <row r="1641" s="307" customFormat="1" ht="15.75" customHeight="1" x14ac:dyDescent="0.15"/>
    <row r="1642" s="307" customFormat="1" ht="15.75" customHeight="1" x14ac:dyDescent="0.15"/>
    <row r="1643" s="307" customFormat="1" ht="15.75" customHeight="1" x14ac:dyDescent="0.15"/>
    <row r="1644" s="307" customFormat="1" ht="15.75" customHeight="1" x14ac:dyDescent="0.15"/>
    <row r="1645" s="307" customFormat="1" ht="15.75" customHeight="1" x14ac:dyDescent="0.15"/>
    <row r="1646" s="307" customFormat="1" ht="15.75" customHeight="1" x14ac:dyDescent="0.15"/>
    <row r="1647" s="307" customFormat="1" ht="15.75" customHeight="1" x14ac:dyDescent="0.15"/>
    <row r="1648" s="307" customFormat="1" ht="15.75" customHeight="1" x14ac:dyDescent="0.15"/>
    <row r="1649" s="307" customFormat="1" ht="15.75" customHeight="1" x14ac:dyDescent="0.15"/>
    <row r="1650" s="307" customFormat="1" ht="15.75" customHeight="1" x14ac:dyDescent="0.15"/>
    <row r="1651" s="307" customFormat="1" ht="15.75" customHeight="1" x14ac:dyDescent="0.15"/>
    <row r="1652" s="307" customFormat="1" ht="15.75" customHeight="1" x14ac:dyDescent="0.15"/>
    <row r="1653" s="307" customFormat="1" ht="15.75" customHeight="1" x14ac:dyDescent="0.15"/>
    <row r="1654" s="307" customFormat="1" ht="15.75" customHeight="1" x14ac:dyDescent="0.15"/>
    <row r="1655" s="307" customFormat="1" ht="15.75" customHeight="1" x14ac:dyDescent="0.15"/>
    <row r="1656" s="307" customFormat="1" ht="15.75" customHeight="1" x14ac:dyDescent="0.15"/>
    <row r="1657" s="307" customFormat="1" ht="15.75" customHeight="1" x14ac:dyDescent="0.15"/>
    <row r="1658" s="307" customFormat="1" ht="15.75" customHeight="1" x14ac:dyDescent="0.15"/>
    <row r="1659" s="307" customFormat="1" ht="15.75" customHeight="1" x14ac:dyDescent="0.15"/>
    <row r="1660" s="307" customFormat="1" ht="15.75" customHeight="1" x14ac:dyDescent="0.15"/>
    <row r="1661" s="307" customFormat="1" ht="15.75" customHeight="1" x14ac:dyDescent="0.15"/>
    <row r="1662" s="307" customFormat="1" ht="15.75" customHeight="1" x14ac:dyDescent="0.15"/>
    <row r="1663" s="307" customFormat="1" ht="15.75" customHeight="1" x14ac:dyDescent="0.15"/>
    <row r="1664" s="307" customFormat="1" ht="15.75" customHeight="1" x14ac:dyDescent="0.15"/>
    <row r="1665" s="307" customFormat="1" ht="15.75" customHeight="1" x14ac:dyDescent="0.15"/>
    <row r="1666" s="307" customFormat="1" ht="15.75" customHeight="1" x14ac:dyDescent="0.15"/>
    <row r="1667" s="307" customFormat="1" ht="15.75" customHeight="1" x14ac:dyDescent="0.15"/>
    <row r="1668" s="307" customFormat="1" ht="15.75" customHeight="1" x14ac:dyDescent="0.15"/>
    <row r="1669" s="307" customFormat="1" ht="15.75" customHeight="1" x14ac:dyDescent="0.15"/>
    <row r="1670" s="307" customFormat="1" ht="15.75" customHeight="1" x14ac:dyDescent="0.15"/>
    <row r="1671" s="307" customFormat="1" ht="15.75" customHeight="1" x14ac:dyDescent="0.15"/>
    <row r="1672" s="307" customFormat="1" ht="15.75" customHeight="1" x14ac:dyDescent="0.15"/>
    <row r="1673" s="307" customFormat="1" ht="15.75" customHeight="1" x14ac:dyDescent="0.15"/>
    <row r="1674" s="307" customFormat="1" ht="15.75" customHeight="1" x14ac:dyDescent="0.15"/>
    <row r="1675" s="307" customFormat="1" ht="15.75" customHeight="1" x14ac:dyDescent="0.15"/>
    <row r="1676" s="307" customFormat="1" ht="15.75" customHeight="1" x14ac:dyDescent="0.15"/>
    <row r="1677" s="307" customFormat="1" ht="15.75" customHeight="1" x14ac:dyDescent="0.15"/>
    <row r="1678" s="307" customFormat="1" ht="15.75" customHeight="1" x14ac:dyDescent="0.15"/>
    <row r="1679" s="307" customFormat="1" ht="15.75" customHeight="1" x14ac:dyDescent="0.15"/>
    <row r="1680" s="307" customFormat="1" ht="15.75" customHeight="1" x14ac:dyDescent="0.15"/>
    <row r="1681" s="307" customFormat="1" ht="15.75" customHeight="1" x14ac:dyDescent="0.15"/>
    <row r="1682" s="307" customFormat="1" ht="15.75" customHeight="1" x14ac:dyDescent="0.15"/>
    <row r="1683" s="307" customFormat="1" ht="15.75" customHeight="1" x14ac:dyDescent="0.15"/>
    <row r="1684" s="307" customFormat="1" ht="15.75" customHeight="1" x14ac:dyDescent="0.15"/>
    <row r="1685" s="307" customFormat="1" ht="15.75" customHeight="1" x14ac:dyDescent="0.15"/>
    <row r="1686" s="307" customFormat="1" ht="15.75" customHeight="1" x14ac:dyDescent="0.15"/>
    <row r="1687" s="307" customFormat="1" ht="15.75" customHeight="1" x14ac:dyDescent="0.15"/>
    <row r="1688" s="307" customFormat="1" ht="15.75" customHeight="1" x14ac:dyDescent="0.15"/>
    <row r="1689" s="307" customFormat="1" ht="15.75" customHeight="1" x14ac:dyDescent="0.15"/>
    <row r="1690" s="307" customFormat="1" ht="15.75" customHeight="1" x14ac:dyDescent="0.15"/>
    <row r="1691" s="307" customFormat="1" ht="15.75" customHeight="1" x14ac:dyDescent="0.15"/>
    <row r="1692" s="307" customFormat="1" ht="15.75" customHeight="1" x14ac:dyDescent="0.15"/>
    <row r="1693" s="307" customFormat="1" ht="15.75" customHeight="1" x14ac:dyDescent="0.15"/>
    <row r="1694" s="307" customFormat="1" ht="15.75" customHeight="1" x14ac:dyDescent="0.15"/>
    <row r="1695" s="307" customFormat="1" ht="15.75" customHeight="1" x14ac:dyDescent="0.15"/>
    <row r="1696" s="307" customFormat="1" ht="15.75" customHeight="1" x14ac:dyDescent="0.15"/>
    <row r="1697" s="307" customFormat="1" ht="15.75" customHeight="1" x14ac:dyDescent="0.15"/>
    <row r="1698" s="307" customFormat="1" ht="15.75" customHeight="1" x14ac:dyDescent="0.15"/>
    <row r="1699" s="307" customFormat="1" ht="15.75" customHeight="1" x14ac:dyDescent="0.15"/>
    <row r="1700" s="307" customFormat="1" ht="15.75" customHeight="1" x14ac:dyDescent="0.15"/>
    <row r="1701" s="307" customFormat="1" ht="15.75" customHeight="1" x14ac:dyDescent="0.15"/>
    <row r="1702" s="307" customFormat="1" ht="15.75" customHeight="1" x14ac:dyDescent="0.15"/>
    <row r="1703" s="307" customFormat="1" ht="15.75" customHeight="1" x14ac:dyDescent="0.15"/>
    <row r="1704" s="307" customFormat="1" ht="15.75" customHeight="1" x14ac:dyDescent="0.15"/>
    <row r="1705" s="307" customFormat="1" ht="15.75" customHeight="1" x14ac:dyDescent="0.15"/>
    <row r="1706" s="307" customFormat="1" ht="15.75" customHeight="1" x14ac:dyDescent="0.15"/>
    <row r="1707" s="307" customFormat="1" ht="15.75" customHeight="1" x14ac:dyDescent="0.15"/>
    <row r="1708" s="307" customFormat="1" ht="15.75" customHeight="1" x14ac:dyDescent="0.15"/>
    <row r="1709" s="307" customFormat="1" ht="15.75" customHeight="1" x14ac:dyDescent="0.15"/>
    <row r="1710" s="307" customFormat="1" ht="15.75" customHeight="1" x14ac:dyDescent="0.15"/>
    <row r="1711" s="307" customFormat="1" ht="15.75" customHeight="1" x14ac:dyDescent="0.15"/>
    <row r="1712" s="307" customFormat="1" ht="15.75" customHeight="1" x14ac:dyDescent="0.15"/>
    <row r="1713" s="307" customFormat="1" ht="15.75" customHeight="1" x14ac:dyDescent="0.15"/>
    <row r="1714" s="307" customFormat="1" ht="15.75" customHeight="1" x14ac:dyDescent="0.15"/>
    <row r="1715" s="307" customFormat="1" ht="15.75" customHeight="1" x14ac:dyDescent="0.15"/>
    <row r="1716" s="307" customFormat="1" ht="15.75" customHeight="1" x14ac:dyDescent="0.15"/>
    <row r="1717" s="307" customFormat="1" ht="15.75" customHeight="1" x14ac:dyDescent="0.15"/>
    <row r="1718" s="307" customFormat="1" ht="15.75" customHeight="1" x14ac:dyDescent="0.15"/>
    <row r="1719" s="307" customFormat="1" ht="15.75" customHeight="1" x14ac:dyDescent="0.15"/>
    <row r="1720" s="307" customFormat="1" ht="15.75" customHeight="1" x14ac:dyDescent="0.15"/>
    <row r="1721" s="307" customFormat="1" ht="15.75" customHeight="1" x14ac:dyDescent="0.15"/>
    <row r="1722" s="307" customFormat="1" ht="15.75" customHeight="1" x14ac:dyDescent="0.15"/>
    <row r="1723" s="307" customFormat="1" ht="15.75" customHeight="1" x14ac:dyDescent="0.15"/>
    <row r="1724" s="307" customFormat="1" ht="15.75" customHeight="1" x14ac:dyDescent="0.15"/>
    <row r="1725" s="307" customFormat="1" ht="15.75" customHeight="1" x14ac:dyDescent="0.15"/>
    <row r="1726" s="307" customFormat="1" ht="15.75" customHeight="1" x14ac:dyDescent="0.15"/>
    <row r="1727" s="307" customFormat="1" ht="15.75" customHeight="1" x14ac:dyDescent="0.15"/>
    <row r="1728" s="307" customFormat="1" ht="15.75" customHeight="1" x14ac:dyDescent="0.15"/>
    <row r="1729" s="307" customFormat="1" ht="15.75" customHeight="1" x14ac:dyDescent="0.15"/>
    <row r="1730" s="307" customFormat="1" ht="15.75" customHeight="1" x14ac:dyDescent="0.15"/>
    <row r="1731" s="307" customFormat="1" ht="15.75" customHeight="1" x14ac:dyDescent="0.15"/>
    <row r="1732" s="307" customFormat="1" ht="15.75" customHeight="1" x14ac:dyDescent="0.15"/>
    <row r="1733" s="307" customFormat="1" ht="15.75" customHeight="1" x14ac:dyDescent="0.15"/>
    <row r="1734" s="307" customFormat="1" ht="15.75" customHeight="1" x14ac:dyDescent="0.15"/>
    <row r="1735" s="307" customFormat="1" ht="15.75" customHeight="1" x14ac:dyDescent="0.15"/>
    <row r="1736" s="307" customFormat="1" ht="15.75" customHeight="1" x14ac:dyDescent="0.15"/>
    <row r="1737" s="307" customFormat="1" ht="15.75" customHeight="1" x14ac:dyDescent="0.15"/>
    <row r="1738" s="307" customFormat="1" ht="15.75" customHeight="1" x14ac:dyDescent="0.15"/>
    <row r="1739" s="307" customFormat="1" ht="15.75" customHeight="1" x14ac:dyDescent="0.15"/>
    <row r="1740" s="307" customFormat="1" ht="15.75" customHeight="1" x14ac:dyDescent="0.15"/>
    <row r="1741" s="307" customFormat="1" ht="15.75" customHeight="1" x14ac:dyDescent="0.15"/>
    <row r="1742" s="307" customFormat="1" ht="15.75" customHeight="1" x14ac:dyDescent="0.15"/>
    <row r="1743" s="307" customFormat="1" ht="15.75" customHeight="1" x14ac:dyDescent="0.15"/>
    <row r="1744" s="307" customFormat="1" ht="15.75" customHeight="1" x14ac:dyDescent="0.15"/>
    <row r="1745" s="307" customFormat="1" ht="15.75" customHeight="1" x14ac:dyDescent="0.15"/>
    <row r="1746" s="307" customFormat="1" ht="15.75" customHeight="1" x14ac:dyDescent="0.15"/>
    <row r="1747" s="307" customFormat="1" ht="15.75" customHeight="1" x14ac:dyDescent="0.15"/>
    <row r="1748" s="307" customFormat="1" ht="15.75" customHeight="1" x14ac:dyDescent="0.15"/>
    <row r="1749" s="307" customFormat="1" ht="15.75" customHeight="1" x14ac:dyDescent="0.15"/>
    <row r="1750" s="307" customFormat="1" ht="15.75" customHeight="1" x14ac:dyDescent="0.15"/>
    <row r="1751" s="307" customFormat="1" ht="15.75" customHeight="1" x14ac:dyDescent="0.15"/>
    <row r="1752" s="307" customFormat="1" ht="15.75" customHeight="1" x14ac:dyDescent="0.15"/>
    <row r="1753" s="307" customFormat="1" ht="15.75" customHeight="1" x14ac:dyDescent="0.15"/>
    <row r="1754" s="307" customFormat="1" ht="15.75" customHeight="1" x14ac:dyDescent="0.15"/>
    <row r="1755" s="307" customFormat="1" ht="15.75" customHeight="1" x14ac:dyDescent="0.15"/>
    <row r="1756" s="307" customFormat="1" ht="15.75" customHeight="1" x14ac:dyDescent="0.15"/>
    <row r="1757" s="307" customFormat="1" ht="15.75" customHeight="1" x14ac:dyDescent="0.15"/>
    <row r="1758" s="307" customFormat="1" ht="15.75" customHeight="1" x14ac:dyDescent="0.15"/>
    <row r="1759" s="307" customFormat="1" ht="15.75" customHeight="1" x14ac:dyDescent="0.15"/>
    <row r="1760" s="307" customFormat="1" ht="15.75" customHeight="1" x14ac:dyDescent="0.15"/>
    <row r="1761" s="307" customFormat="1" ht="15.75" customHeight="1" x14ac:dyDescent="0.15"/>
    <row r="1762" s="307" customFormat="1" ht="15.75" customHeight="1" x14ac:dyDescent="0.15"/>
    <row r="1763" s="307" customFormat="1" ht="15.75" customHeight="1" x14ac:dyDescent="0.15"/>
    <row r="1764" s="307" customFormat="1" ht="15.75" customHeight="1" x14ac:dyDescent="0.15"/>
    <row r="1765" s="307" customFormat="1" ht="15.75" customHeight="1" x14ac:dyDescent="0.15"/>
    <row r="1766" s="307" customFormat="1" ht="15.75" customHeight="1" x14ac:dyDescent="0.15"/>
    <row r="1767" s="307" customFormat="1" ht="15.75" customHeight="1" x14ac:dyDescent="0.15"/>
    <row r="1768" s="307" customFormat="1" ht="15.75" customHeight="1" x14ac:dyDescent="0.15"/>
    <row r="1769" s="307" customFormat="1" ht="15.75" customHeight="1" x14ac:dyDescent="0.15"/>
    <row r="1770" s="307" customFormat="1" ht="15.75" customHeight="1" x14ac:dyDescent="0.15"/>
    <row r="1771" s="307" customFormat="1" ht="15.75" customHeight="1" x14ac:dyDescent="0.15"/>
    <row r="1772" s="307" customFormat="1" ht="15.75" customHeight="1" x14ac:dyDescent="0.15"/>
    <row r="1773" s="307" customFormat="1" ht="15.75" customHeight="1" x14ac:dyDescent="0.15"/>
    <row r="1774" s="307" customFormat="1" ht="15.75" customHeight="1" x14ac:dyDescent="0.15"/>
    <row r="1775" s="307" customFormat="1" ht="15.75" customHeight="1" x14ac:dyDescent="0.15"/>
    <row r="1776" s="307" customFormat="1" ht="15.75" customHeight="1" x14ac:dyDescent="0.15"/>
    <row r="1777" s="307" customFormat="1" ht="15.75" customHeight="1" x14ac:dyDescent="0.15"/>
    <row r="1778" s="307" customFormat="1" ht="15.75" customHeight="1" x14ac:dyDescent="0.15"/>
    <row r="1779" s="307" customFormat="1" ht="15.75" customHeight="1" x14ac:dyDescent="0.15"/>
    <row r="1780" s="307" customFormat="1" ht="15.75" customHeight="1" x14ac:dyDescent="0.15"/>
    <row r="1781" s="307" customFormat="1" ht="15.75" customHeight="1" x14ac:dyDescent="0.15"/>
    <row r="1782" s="307" customFormat="1" ht="15.75" customHeight="1" x14ac:dyDescent="0.15"/>
    <row r="1783" s="307" customFormat="1" ht="15.75" customHeight="1" x14ac:dyDescent="0.15"/>
    <row r="1784" s="307" customFormat="1" ht="15.75" customHeight="1" x14ac:dyDescent="0.15"/>
    <row r="1785" s="307" customFormat="1" ht="15.75" customHeight="1" x14ac:dyDescent="0.15"/>
    <row r="1786" s="307" customFormat="1" ht="15.75" customHeight="1" x14ac:dyDescent="0.15"/>
    <row r="1787" s="307" customFormat="1" ht="15.75" customHeight="1" x14ac:dyDescent="0.15"/>
    <row r="1788" s="307" customFormat="1" ht="15.75" customHeight="1" x14ac:dyDescent="0.15"/>
    <row r="1789" s="307" customFormat="1" ht="15.75" customHeight="1" x14ac:dyDescent="0.15"/>
    <row r="1790" s="307" customFormat="1" ht="15.75" customHeight="1" x14ac:dyDescent="0.15"/>
    <row r="1791" s="307" customFormat="1" ht="15.75" customHeight="1" x14ac:dyDescent="0.15"/>
    <row r="1792" s="307" customFormat="1" ht="15.75" customHeight="1" x14ac:dyDescent="0.15"/>
    <row r="1793" s="307" customFormat="1" ht="15.75" customHeight="1" x14ac:dyDescent="0.15"/>
    <row r="1794" s="307" customFormat="1" ht="15.75" customHeight="1" x14ac:dyDescent="0.15"/>
    <row r="1795" s="307" customFormat="1" ht="15.75" customHeight="1" x14ac:dyDescent="0.15"/>
    <row r="1796" s="307" customFormat="1" ht="15.75" customHeight="1" x14ac:dyDescent="0.15"/>
    <row r="1797" s="307" customFormat="1" ht="15.75" customHeight="1" x14ac:dyDescent="0.15"/>
    <row r="1798" s="307" customFormat="1" ht="15.75" customHeight="1" x14ac:dyDescent="0.15"/>
    <row r="1799" s="307" customFormat="1" ht="15.75" customHeight="1" x14ac:dyDescent="0.15"/>
    <row r="1800" s="307" customFormat="1" ht="15.75" customHeight="1" x14ac:dyDescent="0.15"/>
    <row r="1801" s="307" customFormat="1" ht="15.75" customHeight="1" x14ac:dyDescent="0.15"/>
    <row r="1802" s="307" customFormat="1" ht="15.75" customHeight="1" x14ac:dyDescent="0.15"/>
    <row r="1803" s="307" customFormat="1" ht="15.75" customHeight="1" x14ac:dyDescent="0.15"/>
    <row r="1804" s="307" customFormat="1" ht="15.75" customHeight="1" x14ac:dyDescent="0.15"/>
    <row r="1805" s="307" customFormat="1" ht="15.75" customHeight="1" x14ac:dyDescent="0.15"/>
    <row r="1806" s="307" customFormat="1" ht="15.75" customHeight="1" x14ac:dyDescent="0.15"/>
    <row r="1807" s="307" customFormat="1" ht="15.75" customHeight="1" x14ac:dyDescent="0.15"/>
    <row r="1808" s="307" customFormat="1" ht="15.75" customHeight="1" x14ac:dyDescent="0.15"/>
    <row r="1809" s="307" customFormat="1" ht="15.75" customHeight="1" x14ac:dyDescent="0.15"/>
    <row r="1810" s="307" customFormat="1" ht="15.75" customHeight="1" x14ac:dyDescent="0.15"/>
    <row r="1811" s="307" customFormat="1" ht="15.75" customHeight="1" x14ac:dyDescent="0.15"/>
    <row r="1812" s="307" customFormat="1" ht="15.75" customHeight="1" x14ac:dyDescent="0.15"/>
    <row r="1813" s="307" customFormat="1" ht="15.75" customHeight="1" x14ac:dyDescent="0.15"/>
    <row r="1814" s="307" customFormat="1" ht="15.75" customHeight="1" x14ac:dyDescent="0.15"/>
    <row r="1815" s="307" customFormat="1" ht="15.75" customHeight="1" x14ac:dyDescent="0.15"/>
    <row r="1816" s="307" customFormat="1" ht="15.75" customHeight="1" x14ac:dyDescent="0.15"/>
    <row r="1817" s="307" customFormat="1" ht="15.75" customHeight="1" x14ac:dyDescent="0.15"/>
    <row r="1818" s="307" customFormat="1" ht="15.75" customHeight="1" x14ac:dyDescent="0.15"/>
    <row r="1819" s="307" customFormat="1" ht="15.75" customHeight="1" x14ac:dyDescent="0.15"/>
    <row r="1820" s="307" customFormat="1" ht="15.75" customHeight="1" x14ac:dyDescent="0.15"/>
    <row r="1821" s="307" customFormat="1" ht="15.75" customHeight="1" x14ac:dyDescent="0.15"/>
    <row r="1822" s="307" customFormat="1" ht="15.75" customHeight="1" x14ac:dyDescent="0.15"/>
    <row r="1823" s="307" customFormat="1" ht="15.75" customHeight="1" x14ac:dyDescent="0.15"/>
    <row r="1824" s="307" customFormat="1" ht="15.75" customHeight="1" x14ac:dyDescent="0.15"/>
    <row r="1825" s="307" customFormat="1" ht="15.75" customHeight="1" x14ac:dyDescent="0.15"/>
  </sheetData>
  <dataConsolidate/>
  <mergeCells count="5016">
    <mergeCell ref="Z1165:AB1165"/>
    <mergeCell ref="K1166:P1166"/>
    <mergeCell ref="Q1166:S1166"/>
    <mergeCell ref="T1166:V1166"/>
    <mergeCell ref="Z1166:AB1166"/>
    <mergeCell ref="H1158:J1159"/>
    <mergeCell ref="K1158:P1159"/>
    <mergeCell ref="Q1158:S1159"/>
    <mergeCell ref="T1158:V1159"/>
    <mergeCell ref="W1158:Y1159"/>
    <mergeCell ref="Z1158:AB1159"/>
    <mergeCell ref="H1160:J1161"/>
    <mergeCell ref="K1160:P1160"/>
    <mergeCell ref="Q1160:S1160"/>
    <mergeCell ref="T1160:V1160"/>
    <mergeCell ref="W1160:Y1166"/>
    <mergeCell ref="Z1160:AB1160"/>
    <mergeCell ref="K1161:P1161"/>
    <mergeCell ref="Q1161:S1162"/>
    <mergeCell ref="T1161:V1161"/>
    <mergeCell ref="Z1161:AB1161"/>
    <mergeCell ref="H1162:J1162"/>
    <mergeCell ref="K1162:P1162"/>
    <mergeCell ref="T1162:V1162"/>
    <mergeCell ref="Z1162:AB1162"/>
    <mergeCell ref="H1163:J1164"/>
    <mergeCell ref="K1163:P1163"/>
    <mergeCell ref="Q1163:S1164"/>
    <mergeCell ref="T1163:V1163"/>
    <mergeCell ref="Z1163:AB1163"/>
    <mergeCell ref="K1164:P1164"/>
    <mergeCell ref="T1164:V1164"/>
    <mergeCell ref="Z1164:AB1164"/>
    <mergeCell ref="H1165:J1166"/>
    <mergeCell ref="K1165:P1165"/>
    <mergeCell ref="Q1165:S1165"/>
    <mergeCell ref="T1165:V1165"/>
    <mergeCell ref="H1154:J1155"/>
    <mergeCell ref="K1154:P1154"/>
    <mergeCell ref="K1155:P1155"/>
    <mergeCell ref="M1139:N1139"/>
    <mergeCell ref="S1139:T1139"/>
    <mergeCell ref="X1139:Z1139"/>
    <mergeCell ref="AC1139:AE1139"/>
    <mergeCell ref="M1141:O1141"/>
    <mergeCell ref="M1140:N1140"/>
    <mergeCell ref="S1140:T1140"/>
    <mergeCell ref="X1140:Z1140"/>
    <mergeCell ref="AC1140:AE1140"/>
    <mergeCell ref="W1149:Y1155"/>
    <mergeCell ref="Q1150:S1151"/>
    <mergeCell ref="Q1149:S1149"/>
    <mergeCell ref="Q1154:S1154"/>
    <mergeCell ref="Q1155:S1155"/>
    <mergeCell ref="T1154:V1154"/>
    <mergeCell ref="T1155:V1155"/>
    <mergeCell ref="Z1154:AB1154"/>
    <mergeCell ref="Z1155:AB1155"/>
    <mergeCell ref="E1124:F1124"/>
    <mergeCell ref="H1124:I1124"/>
    <mergeCell ref="K1124:M1124"/>
    <mergeCell ref="O1124:P1124"/>
    <mergeCell ref="R1124:T1124"/>
    <mergeCell ref="V1124:X1124"/>
    <mergeCell ref="E1125:F1125"/>
    <mergeCell ref="H1125:I1125"/>
    <mergeCell ref="K1125:M1125"/>
    <mergeCell ref="O1125:P1125"/>
    <mergeCell ref="R1125:T1125"/>
    <mergeCell ref="V1125:X1125"/>
    <mergeCell ref="AC1105:AE1105"/>
    <mergeCell ref="H1106:M1106"/>
    <mergeCell ref="Z1106:AB1106"/>
    <mergeCell ref="AC1106:AE1106"/>
    <mergeCell ref="E1107:G1108"/>
    <mergeCell ref="H1107:M1107"/>
    <mergeCell ref="Q1107:S1107"/>
    <mergeCell ref="T1107:V1107"/>
    <mergeCell ref="W1107:Y1107"/>
    <mergeCell ref="Z1107:AB1107"/>
    <mergeCell ref="AC1107:AE1107"/>
    <mergeCell ref="H1108:M1108"/>
    <mergeCell ref="Q1108:S1108"/>
    <mergeCell ref="T1108:V1108"/>
    <mergeCell ref="W1108:Y1108"/>
    <mergeCell ref="Z1108:AB1108"/>
    <mergeCell ref="AC1108:AE1108"/>
    <mergeCell ref="W1096:Y1096"/>
    <mergeCell ref="W1097:Y1097"/>
    <mergeCell ref="E1100:G1101"/>
    <mergeCell ref="H1100:M1101"/>
    <mergeCell ref="N1100:P1101"/>
    <mergeCell ref="Q1100:S1101"/>
    <mergeCell ref="T1100:V1101"/>
    <mergeCell ref="W1100:Y1101"/>
    <mergeCell ref="Z1100:AB1101"/>
    <mergeCell ref="AC1100:AE1101"/>
    <mergeCell ref="E1102:G1103"/>
    <mergeCell ref="H1102:M1102"/>
    <mergeCell ref="N1102:P1108"/>
    <mergeCell ref="W1102:Y1102"/>
    <mergeCell ref="Z1102:AB1102"/>
    <mergeCell ref="AC1102:AE1102"/>
    <mergeCell ref="H1103:M1103"/>
    <mergeCell ref="Q1103:S1104"/>
    <mergeCell ref="T1103:V1104"/>
    <mergeCell ref="W1103:Y1104"/>
    <mergeCell ref="Z1103:AB1103"/>
    <mergeCell ref="AC1103:AE1103"/>
    <mergeCell ref="E1104:G1104"/>
    <mergeCell ref="H1104:M1104"/>
    <mergeCell ref="Z1104:AB1104"/>
    <mergeCell ref="AC1104:AE1104"/>
    <mergeCell ref="E1105:G1106"/>
    <mergeCell ref="H1105:M1105"/>
    <mergeCell ref="Q1105:S1106"/>
    <mergeCell ref="T1105:V1106"/>
    <mergeCell ref="W1105:Y1106"/>
    <mergeCell ref="Z1105:AB1105"/>
    <mergeCell ref="G1061:I1061"/>
    <mergeCell ref="J1061:L1061"/>
    <mergeCell ref="M1061:O1061"/>
    <mergeCell ref="P1061:S1061"/>
    <mergeCell ref="V1061:X1061"/>
    <mergeCell ref="Y1061:AA1061"/>
    <mergeCell ref="AB1061:AD1061"/>
    <mergeCell ref="AE1061:AH1061"/>
    <mergeCell ref="E1062:F1062"/>
    <mergeCell ref="G1062:S1062"/>
    <mergeCell ref="T1062:U1062"/>
    <mergeCell ref="V1062:AH1062"/>
    <mergeCell ref="E1093:G1093"/>
    <mergeCell ref="E1096:G1097"/>
    <mergeCell ref="H1096:M1096"/>
    <mergeCell ref="Z1096:AB1096"/>
    <mergeCell ref="AC1096:AE1096"/>
    <mergeCell ref="H1097:M1097"/>
    <mergeCell ref="Z1097:AB1097"/>
    <mergeCell ref="AC1097:AE1097"/>
    <mergeCell ref="N1091:P1097"/>
    <mergeCell ref="W1091:Y1091"/>
    <mergeCell ref="Q1092:S1093"/>
    <mergeCell ref="T1092:V1093"/>
    <mergeCell ref="W1092:Y1093"/>
    <mergeCell ref="G1057:I1057"/>
    <mergeCell ref="J1057:L1057"/>
    <mergeCell ref="M1057:O1057"/>
    <mergeCell ref="P1057:S1057"/>
    <mergeCell ref="V1057:X1057"/>
    <mergeCell ref="Y1057:AA1057"/>
    <mergeCell ref="AB1057:AD1057"/>
    <mergeCell ref="AE1057:AH1057"/>
    <mergeCell ref="G1058:I1058"/>
    <mergeCell ref="J1058:L1058"/>
    <mergeCell ref="M1058:O1058"/>
    <mergeCell ref="P1058:S1058"/>
    <mergeCell ref="V1058:X1058"/>
    <mergeCell ref="Y1058:AA1058"/>
    <mergeCell ref="AB1058:AD1058"/>
    <mergeCell ref="AE1058:AH1058"/>
    <mergeCell ref="G1059:I1059"/>
    <mergeCell ref="J1059:L1059"/>
    <mergeCell ref="M1059:O1059"/>
    <mergeCell ref="P1059:S1059"/>
    <mergeCell ref="V1059:X1059"/>
    <mergeCell ref="Y1059:AA1059"/>
    <mergeCell ref="AB1059:AD1059"/>
    <mergeCell ref="AE1059:AH1059"/>
    <mergeCell ref="G1052:I1052"/>
    <mergeCell ref="J1052:L1052"/>
    <mergeCell ref="M1052:O1052"/>
    <mergeCell ref="P1052:S1052"/>
    <mergeCell ref="V1052:X1052"/>
    <mergeCell ref="Y1052:AA1052"/>
    <mergeCell ref="AB1052:AD1052"/>
    <mergeCell ref="AE1052:AH1052"/>
    <mergeCell ref="G1053:I1053"/>
    <mergeCell ref="J1053:L1053"/>
    <mergeCell ref="M1053:O1053"/>
    <mergeCell ref="P1053:S1053"/>
    <mergeCell ref="V1053:X1053"/>
    <mergeCell ref="Y1053:AA1053"/>
    <mergeCell ref="AB1053:AD1053"/>
    <mergeCell ref="AE1053:AH1053"/>
    <mergeCell ref="G1054:I1054"/>
    <mergeCell ref="J1054:L1054"/>
    <mergeCell ref="M1054:O1054"/>
    <mergeCell ref="P1054:S1054"/>
    <mergeCell ref="V1054:X1054"/>
    <mergeCell ref="Y1054:AA1054"/>
    <mergeCell ref="AB1054:AD1054"/>
    <mergeCell ref="AE1054:AH1054"/>
    <mergeCell ref="G1048:I1048"/>
    <mergeCell ref="J1048:L1048"/>
    <mergeCell ref="M1048:O1048"/>
    <mergeCell ref="P1048:S1048"/>
    <mergeCell ref="V1048:X1048"/>
    <mergeCell ref="Y1048:AA1048"/>
    <mergeCell ref="AB1048:AD1048"/>
    <mergeCell ref="AE1048:AH1048"/>
    <mergeCell ref="G1049:I1049"/>
    <mergeCell ref="J1049:L1049"/>
    <mergeCell ref="M1049:O1049"/>
    <mergeCell ref="P1049:S1049"/>
    <mergeCell ref="V1049:X1049"/>
    <mergeCell ref="Y1049:AA1049"/>
    <mergeCell ref="AB1049:AD1049"/>
    <mergeCell ref="AE1049:AH1049"/>
    <mergeCell ref="G1050:I1050"/>
    <mergeCell ref="J1050:L1050"/>
    <mergeCell ref="M1050:O1050"/>
    <mergeCell ref="P1050:S1050"/>
    <mergeCell ref="V1050:X1050"/>
    <mergeCell ref="Y1050:AA1050"/>
    <mergeCell ref="AB1050:AD1050"/>
    <mergeCell ref="AE1050:AH1050"/>
    <mergeCell ref="G1037:I1037"/>
    <mergeCell ref="J1037:L1037"/>
    <mergeCell ref="M1037:O1037"/>
    <mergeCell ref="P1037:S1037"/>
    <mergeCell ref="V1037:X1037"/>
    <mergeCell ref="Y1037:AA1037"/>
    <mergeCell ref="AB1037:AD1037"/>
    <mergeCell ref="AE1037:AH1037"/>
    <mergeCell ref="E1038:F1038"/>
    <mergeCell ref="G1038:S1038"/>
    <mergeCell ref="T1038:U1038"/>
    <mergeCell ref="V1038:AH1038"/>
    <mergeCell ref="G1044:I1045"/>
    <mergeCell ref="J1044:L1045"/>
    <mergeCell ref="M1044:O1045"/>
    <mergeCell ref="P1044:S1045"/>
    <mergeCell ref="V1044:X1045"/>
    <mergeCell ref="Y1044:AA1045"/>
    <mergeCell ref="AB1044:AD1045"/>
    <mergeCell ref="AE1044:AH1045"/>
    <mergeCell ref="G1033:I1033"/>
    <mergeCell ref="J1033:L1033"/>
    <mergeCell ref="M1033:O1033"/>
    <mergeCell ref="P1033:S1033"/>
    <mergeCell ref="V1033:X1033"/>
    <mergeCell ref="Y1033:AA1033"/>
    <mergeCell ref="AB1033:AD1033"/>
    <mergeCell ref="AE1033:AH1033"/>
    <mergeCell ref="G1034:I1034"/>
    <mergeCell ref="J1034:L1034"/>
    <mergeCell ref="M1034:O1034"/>
    <mergeCell ref="P1034:S1034"/>
    <mergeCell ref="V1034:X1034"/>
    <mergeCell ref="Y1034:AA1034"/>
    <mergeCell ref="AB1034:AD1034"/>
    <mergeCell ref="AE1034:AH1034"/>
    <mergeCell ref="G1035:I1035"/>
    <mergeCell ref="J1035:L1035"/>
    <mergeCell ref="M1035:O1035"/>
    <mergeCell ref="P1035:S1035"/>
    <mergeCell ref="V1035:X1035"/>
    <mergeCell ref="Y1035:AA1035"/>
    <mergeCell ref="AB1035:AD1035"/>
    <mergeCell ref="AE1035:AH1035"/>
    <mergeCell ref="G1028:I1028"/>
    <mergeCell ref="J1028:L1028"/>
    <mergeCell ref="M1028:O1028"/>
    <mergeCell ref="P1028:S1028"/>
    <mergeCell ref="V1028:X1028"/>
    <mergeCell ref="Y1028:AA1028"/>
    <mergeCell ref="AB1028:AD1028"/>
    <mergeCell ref="AE1028:AH1028"/>
    <mergeCell ref="G1029:I1029"/>
    <mergeCell ref="J1029:L1029"/>
    <mergeCell ref="M1029:O1029"/>
    <mergeCell ref="P1029:S1029"/>
    <mergeCell ref="V1029:X1029"/>
    <mergeCell ref="Y1029:AA1029"/>
    <mergeCell ref="AB1029:AD1029"/>
    <mergeCell ref="AE1029:AH1029"/>
    <mergeCell ref="G1030:I1030"/>
    <mergeCell ref="J1030:L1030"/>
    <mergeCell ref="M1030:O1030"/>
    <mergeCell ref="P1030:S1030"/>
    <mergeCell ref="V1030:X1030"/>
    <mergeCell ref="Y1030:AA1030"/>
    <mergeCell ref="AB1030:AD1030"/>
    <mergeCell ref="AE1030:AH1030"/>
    <mergeCell ref="G1024:I1024"/>
    <mergeCell ref="J1024:L1024"/>
    <mergeCell ref="M1024:O1024"/>
    <mergeCell ref="P1024:S1024"/>
    <mergeCell ref="V1024:X1024"/>
    <mergeCell ref="Y1024:AA1024"/>
    <mergeCell ref="AB1024:AD1024"/>
    <mergeCell ref="AE1024:AH1024"/>
    <mergeCell ref="G1025:I1025"/>
    <mergeCell ref="J1025:L1025"/>
    <mergeCell ref="M1025:O1025"/>
    <mergeCell ref="P1025:S1025"/>
    <mergeCell ref="V1025:X1025"/>
    <mergeCell ref="Y1025:AA1025"/>
    <mergeCell ref="AB1025:AD1025"/>
    <mergeCell ref="AE1025:AH1025"/>
    <mergeCell ref="G1026:I1026"/>
    <mergeCell ref="J1026:L1026"/>
    <mergeCell ref="M1026:O1026"/>
    <mergeCell ref="P1026:S1026"/>
    <mergeCell ref="V1026:X1026"/>
    <mergeCell ref="Y1026:AA1026"/>
    <mergeCell ref="AB1026:AD1026"/>
    <mergeCell ref="AE1026:AH1026"/>
    <mergeCell ref="G1013:I1013"/>
    <mergeCell ref="J1013:L1013"/>
    <mergeCell ref="M1013:O1013"/>
    <mergeCell ref="P1013:S1013"/>
    <mergeCell ref="V1013:X1013"/>
    <mergeCell ref="Y1013:AA1013"/>
    <mergeCell ref="AB1013:AD1013"/>
    <mergeCell ref="AE1013:AH1013"/>
    <mergeCell ref="E1014:F1014"/>
    <mergeCell ref="G1014:S1014"/>
    <mergeCell ref="T1014:U1014"/>
    <mergeCell ref="V1014:AH1014"/>
    <mergeCell ref="G1020:I1021"/>
    <mergeCell ref="J1020:L1021"/>
    <mergeCell ref="M1020:O1021"/>
    <mergeCell ref="P1020:S1021"/>
    <mergeCell ref="V1020:X1021"/>
    <mergeCell ref="Y1020:AA1021"/>
    <mergeCell ref="AB1020:AD1021"/>
    <mergeCell ref="AE1020:AH1021"/>
    <mergeCell ref="G1009:I1009"/>
    <mergeCell ref="J1009:L1009"/>
    <mergeCell ref="M1009:O1009"/>
    <mergeCell ref="P1009:S1009"/>
    <mergeCell ref="V1009:X1009"/>
    <mergeCell ref="Y1009:AA1009"/>
    <mergeCell ref="AB1009:AD1009"/>
    <mergeCell ref="AE1009:AH1009"/>
    <mergeCell ref="G1010:I1010"/>
    <mergeCell ref="J1010:L1010"/>
    <mergeCell ref="M1010:O1010"/>
    <mergeCell ref="P1010:S1010"/>
    <mergeCell ref="V1010:X1010"/>
    <mergeCell ref="Y1010:AA1010"/>
    <mergeCell ref="AB1010:AD1010"/>
    <mergeCell ref="AE1010:AH1010"/>
    <mergeCell ref="G1011:I1011"/>
    <mergeCell ref="J1011:L1011"/>
    <mergeCell ref="M1011:O1011"/>
    <mergeCell ref="P1011:S1011"/>
    <mergeCell ref="V1011:X1011"/>
    <mergeCell ref="Y1011:AA1011"/>
    <mergeCell ref="AB1011:AD1011"/>
    <mergeCell ref="AE1011:AH1011"/>
    <mergeCell ref="G1004:I1004"/>
    <mergeCell ref="J1004:L1004"/>
    <mergeCell ref="M1004:O1004"/>
    <mergeCell ref="P1004:S1004"/>
    <mergeCell ref="V1004:X1004"/>
    <mergeCell ref="Y1004:AA1004"/>
    <mergeCell ref="AB1004:AD1004"/>
    <mergeCell ref="AE1004:AH1004"/>
    <mergeCell ref="G1005:I1005"/>
    <mergeCell ref="J1005:L1005"/>
    <mergeCell ref="M1005:O1005"/>
    <mergeCell ref="P1005:S1005"/>
    <mergeCell ref="V1005:X1005"/>
    <mergeCell ref="Y1005:AA1005"/>
    <mergeCell ref="AB1005:AD1005"/>
    <mergeCell ref="AE1005:AH1005"/>
    <mergeCell ref="G1006:I1006"/>
    <mergeCell ref="J1006:L1006"/>
    <mergeCell ref="M1006:O1006"/>
    <mergeCell ref="P1006:S1006"/>
    <mergeCell ref="V1006:X1006"/>
    <mergeCell ref="Y1006:AA1006"/>
    <mergeCell ref="AB1006:AD1006"/>
    <mergeCell ref="AE1006:AH1006"/>
    <mergeCell ref="G1000:I1000"/>
    <mergeCell ref="J1000:L1000"/>
    <mergeCell ref="M1000:O1000"/>
    <mergeCell ref="P1000:S1000"/>
    <mergeCell ref="V1000:X1000"/>
    <mergeCell ref="Y1000:AA1000"/>
    <mergeCell ref="AB1000:AD1000"/>
    <mergeCell ref="AE1000:AH1000"/>
    <mergeCell ref="G1001:I1001"/>
    <mergeCell ref="J1001:L1001"/>
    <mergeCell ref="M1001:O1001"/>
    <mergeCell ref="P1001:S1001"/>
    <mergeCell ref="V1001:X1001"/>
    <mergeCell ref="Y1001:AA1001"/>
    <mergeCell ref="AB1001:AD1001"/>
    <mergeCell ref="AE1001:AH1001"/>
    <mergeCell ref="G1002:I1002"/>
    <mergeCell ref="J1002:L1002"/>
    <mergeCell ref="M1002:O1002"/>
    <mergeCell ref="P1002:S1002"/>
    <mergeCell ref="V1002:X1002"/>
    <mergeCell ref="Y1002:AA1002"/>
    <mergeCell ref="AB1002:AD1002"/>
    <mergeCell ref="AE1002:AH1002"/>
    <mergeCell ref="G989:I989"/>
    <mergeCell ref="J989:L989"/>
    <mergeCell ref="M989:O989"/>
    <mergeCell ref="P989:S989"/>
    <mergeCell ref="V989:X989"/>
    <mergeCell ref="Y989:AA989"/>
    <mergeCell ref="AB989:AD989"/>
    <mergeCell ref="AE989:AH989"/>
    <mergeCell ref="E990:F990"/>
    <mergeCell ref="G990:S990"/>
    <mergeCell ref="T990:U990"/>
    <mergeCell ref="V990:AH990"/>
    <mergeCell ref="G996:I997"/>
    <mergeCell ref="J996:L997"/>
    <mergeCell ref="M996:O997"/>
    <mergeCell ref="P996:S997"/>
    <mergeCell ref="V996:X997"/>
    <mergeCell ref="Y996:AA997"/>
    <mergeCell ref="AB996:AD997"/>
    <mergeCell ref="AE996:AH997"/>
    <mergeCell ref="G985:I985"/>
    <mergeCell ref="J985:L985"/>
    <mergeCell ref="M985:O985"/>
    <mergeCell ref="P985:S985"/>
    <mergeCell ref="V985:X985"/>
    <mergeCell ref="Y985:AA985"/>
    <mergeCell ref="AB985:AD985"/>
    <mergeCell ref="AE985:AH985"/>
    <mergeCell ref="G986:I986"/>
    <mergeCell ref="J986:L986"/>
    <mergeCell ref="M986:O986"/>
    <mergeCell ref="P986:S986"/>
    <mergeCell ref="V986:X986"/>
    <mergeCell ref="Y986:AA986"/>
    <mergeCell ref="AB986:AD986"/>
    <mergeCell ref="AE986:AH986"/>
    <mergeCell ref="G987:I987"/>
    <mergeCell ref="J987:L987"/>
    <mergeCell ref="M987:O987"/>
    <mergeCell ref="P987:S987"/>
    <mergeCell ref="V987:X987"/>
    <mergeCell ref="Y987:AA987"/>
    <mergeCell ref="AB987:AD987"/>
    <mergeCell ref="AE987:AH987"/>
    <mergeCell ref="G980:I980"/>
    <mergeCell ref="J980:L980"/>
    <mergeCell ref="M980:O980"/>
    <mergeCell ref="P980:S980"/>
    <mergeCell ref="V980:X980"/>
    <mergeCell ref="Y980:AA980"/>
    <mergeCell ref="AB980:AD980"/>
    <mergeCell ref="AE980:AH980"/>
    <mergeCell ref="G981:I981"/>
    <mergeCell ref="J981:L981"/>
    <mergeCell ref="M981:O981"/>
    <mergeCell ref="P981:S981"/>
    <mergeCell ref="V981:X981"/>
    <mergeCell ref="Y981:AA981"/>
    <mergeCell ref="AB981:AD981"/>
    <mergeCell ref="AE981:AH981"/>
    <mergeCell ref="G982:I982"/>
    <mergeCell ref="J982:L982"/>
    <mergeCell ref="M982:O982"/>
    <mergeCell ref="P982:S982"/>
    <mergeCell ref="V982:X982"/>
    <mergeCell ref="Y982:AA982"/>
    <mergeCell ref="AB982:AD982"/>
    <mergeCell ref="AE982:AH982"/>
    <mergeCell ref="G976:I976"/>
    <mergeCell ref="J976:L976"/>
    <mergeCell ref="M976:O976"/>
    <mergeCell ref="P976:S976"/>
    <mergeCell ref="V976:X976"/>
    <mergeCell ref="Y976:AA976"/>
    <mergeCell ref="AB976:AD976"/>
    <mergeCell ref="AE976:AH976"/>
    <mergeCell ref="G977:I977"/>
    <mergeCell ref="J977:L977"/>
    <mergeCell ref="M977:O977"/>
    <mergeCell ref="P977:S977"/>
    <mergeCell ref="V977:X977"/>
    <mergeCell ref="Y977:AA977"/>
    <mergeCell ref="AB977:AD977"/>
    <mergeCell ref="AE977:AH977"/>
    <mergeCell ref="G978:I978"/>
    <mergeCell ref="J978:L978"/>
    <mergeCell ref="M978:O978"/>
    <mergeCell ref="P978:S978"/>
    <mergeCell ref="V978:X978"/>
    <mergeCell ref="Y978:AA978"/>
    <mergeCell ref="AB978:AD978"/>
    <mergeCell ref="AE978:AH978"/>
    <mergeCell ref="G965:I965"/>
    <mergeCell ref="J965:L965"/>
    <mergeCell ref="M965:O965"/>
    <mergeCell ref="P965:S965"/>
    <mergeCell ref="V965:X965"/>
    <mergeCell ref="Y965:AA965"/>
    <mergeCell ref="AB965:AD965"/>
    <mergeCell ref="AE965:AH965"/>
    <mergeCell ref="E966:F966"/>
    <mergeCell ref="G966:S966"/>
    <mergeCell ref="T966:U966"/>
    <mergeCell ref="V966:AH966"/>
    <mergeCell ref="G972:I973"/>
    <mergeCell ref="J972:L973"/>
    <mergeCell ref="M972:O973"/>
    <mergeCell ref="P972:S973"/>
    <mergeCell ref="V972:X973"/>
    <mergeCell ref="Y972:AA973"/>
    <mergeCell ref="AB972:AD973"/>
    <mergeCell ref="AE972:AH973"/>
    <mergeCell ref="G961:I961"/>
    <mergeCell ref="J961:L961"/>
    <mergeCell ref="M961:O961"/>
    <mergeCell ref="P961:S961"/>
    <mergeCell ref="V961:X961"/>
    <mergeCell ref="Y961:AA961"/>
    <mergeCell ref="AB961:AD961"/>
    <mergeCell ref="AE961:AH961"/>
    <mergeCell ref="G962:I962"/>
    <mergeCell ref="J962:L962"/>
    <mergeCell ref="M962:O962"/>
    <mergeCell ref="P962:S962"/>
    <mergeCell ref="V962:X962"/>
    <mergeCell ref="Y962:AA962"/>
    <mergeCell ref="AB962:AD962"/>
    <mergeCell ref="AE962:AH962"/>
    <mergeCell ref="G963:I963"/>
    <mergeCell ref="J963:L963"/>
    <mergeCell ref="M963:O963"/>
    <mergeCell ref="P963:S963"/>
    <mergeCell ref="V963:X963"/>
    <mergeCell ref="Y963:AA963"/>
    <mergeCell ref="AB963:AD963"/>
    <mergeCell ref="AE963:AH963"/>
    <mergeCell ref="G956:I956"/>
    <mergeCell ref="J956:L956"/>
    <mergeCell ref="M956:O956"/>
    <mergeCell ref="P956:S956"/>
    <mergeCell ref="V956:X956"/>
    <mergeCell ref="Y956:AA956"/>
    <mergeCell ref="AB956:AD956"/>
    <mergeCell ref="AE956:AH956"/>
    <mergeCell ref="G957:I957"/>
    <mergeCell ref="J957:L957"/>
    <mergeCell ref="M957:O957"/>
    <mergeCell ref="P957:S957"/>
    <mergeCell ref="V957:X957"/>
    <mergeCell ref="Y957:AA957"/>
    <mergeCell ref="AB957:AD957"/>
    <mergeCell ref="AE957:AH957"/>
    <mergeCell ref="G958:I958"/>
    <mergeCell ref="J958:L958"/>
    <mergeCell ref="M958:O958"/>
    <mergeCell ref="P958:S958"/>
    <mergeCell ref="V958:X958"/>
    <mergeCell ref="Y958:AA958"/>
    <mergeCell ref="AB958:AD958"/>
    <mergeCell ref="AE958:AH958"/>
    <mergeCell ref="G952:I952"/>
    <mergeCell ref="J952:L952"/>
    <mergeCell ref="M952:O952"/>
    <mergeCell ref="P952:S952"/>
    <mergeCell ref="V952:X952"/>
    <mergeCell ref="Y952:AA952"/>
    <mergeCell ref="AB952:AD952"/>
    <mergeCell ref="AE952:AH952"/>
    <mergeCell ref="G953:I953"/>
    <mergeCell ref="J953:L953"/>
    <mergeCell ref="M953:O953"/>
    <mergeCell ref="P953:S953"/>
    <mergeCell ref="V953:X953"/>
    <mergeCell ref="Y953:AA953"/>
    <mergeCell ref="AB953:AD953"/>
    <mergeCell ref="AE953:AH953"/>
    <mergeCell ref="G954:I954"/>
    <mergeCell ref="J954:L954"/>
    <mergeCell ref="M954:O954"/>
    <mergeCell ref="P954:S954"/>
    <mergeCell ref="V954:X954"/>
    <mergeCell ref="Y954:AA954"/>
    <mergeCell ref="AB954:AD954"/>
    <mergeCell ref="AE954:AH954"/>
    <mergeCell ref="G941:I941"/>
    <mergeCell ref="J941:L941"/>
    <mergeCell ref="M941:O941"/>
    <mergeCell ref="P941:S941"/>
    <mergeCell ref="V941:X941"/>
    <mergeCell ref="Y941:AA941"/>
    <mergeCell ref="AB941:AD941"/>
    <mergeCell ref="AE941:AH941"/>
    <mergeCell ref="E942:F942"/>
    <mergeCell ref="G942:S942"/>
    <mergeCell ref="T942:U942"/>
    <mergeCell ref="V942:AH942"/>
    <mergeCell ref="G948:I949"/>
    <mergeCell ref="J948:L949"/>
    <mergeCell ref="M948:O949"/>
    <mergeCell ref="P948:S949"/>
    <mergeCell ref="V948:X949"/>
    <mergeCell ref="Y948:AA949"/>
    <mergeCell ref="AB948:AD949"/>
    <mergeCell ref="AE948:AH949"/>
    <mergeCell ref="G937:I937"/>
    <mergeCell ref="J937:L937"/>
    <mergeCell ref="M937:O937"/>
    <mergeCell ref="P937:S937"/>
    <mergeCell ref="V937:X937"/>
    <mergeCell ref="Y937:AA937"/>
    <mergeCell ref="AB937:AD937"/>
    <mergeCell ref="AE937:AH937"/>
    <mergeCell ref="G938:I938"/>
    <mergeCell ref="J938:L938"/>
    <mergeCell ref="M938:O938"/>
    <mergeCell ref="P938:S938"/>
    <mergeCell ref="V938:X938"/>
    <mergeCell ref="Y938:AA938"/>
    <mergeCell ref="AB938:AD938"/>
    <mergeCell ref="AE938:AH938"/>
    <mergeCell ref="G939:I939"/>
    <mergeCell ref="J939:L939"/>
    <mergeCell ref="M939:O939"/>
    <mergeCell ref="P939:S939"/>
    <mergeCell ref="V939:X939"/>
    <mergeCell ref="Y939:AA939"/>
    <mergeCell ref="AB939:AD939"/>
    <mergeCell ref="AE939:AH939"/>
    <mergeCell ref="G932:I932"/>
    <mergeCell ref="J932:L932"/>
    <mergeCell ref="M932:O932"/>
    <mergeCell ref="P932:S932"/>
    <mergeCell ref="V932:X932"/>
    <mergeCell ref="Y932:AA932"/>
    <mergeCell ref="AB932:AD932"/>
    <mergeCell ref="AE932:AH932"/>
    <mergeCell ref="G933:I933"/>
    <mergeCell ref="J933:L933"/>
    <mergeCell ref="M933:O933"/>
    <mergeCell ref="P933:S933"/>
    <mergeCell ref="V933:X933"/>
    <mergeCell ref="Y933:AA933"/>
    <mergeCell ref="AB933:AD933"/>
    <mergeCell ref="AE933:AH933"/>
    <mergeCell ref="G934:I934"/>
    <mergeCell ref="J934:L934"/>
    <mergeCell ref="M934:O934"/>
    <mergeCell ref="P934:S934"/>
    <mergeCell ref="V934:X934"/>
    <mergeCell ref="Y934:AA934"/>
    <mergeCell ref="AB934:AD934"/>
    <mergeCell ref="AE934:AH934"/>
    <mergeCell ref="G928:I928"/>
    <mergeCell ref="J928:L928"/>
    <mergeCell ref="M928:O928"/>
    <mergeCell ref="P928:S928"/>
    <mergeCell ref="V928:X928"/>
    <mergeCell ref="Y928:AA928"/>
    <mergeCell ref="AB928:AD928"/>
    <mergeCell ref="AE928:AH928"/>
    <mergeCell ref="G929:I929"/>
    <mergeCell ref="J929:L929"/>
    <mergeCell ref="M929:O929"/>
    <mergeCell ref="P929:S929"/>
    <mergeCell ref="V929:X929"/>
    <mergeCell ref="Y929:AA929"/>
    <mergeCell ref="AB929:AD929"/>
    <mergeCell ref="AE929:AH929"/>
    <mergeCell ref="G930:I930"/>
    <mergeCell ref="J930:L930"/>
    <mergeCell ref="M930:O930"/>
    <mergeCell ref="P930:S930"/>
    <mergeCell ref="V930:X930"/>
    <mergeCell ref="Y930:AA930"/>
    <mergeCell ref="AB930:AD930"/>
    <mergeCell ref="AE930:AH930"/>
    <mergeCell ref="G917:I917"/>
    <mergeCell ref="J917:L917"/>
    <mergeCell ref="M917:O917"/>
    <mergeCell ref="P917:S917"/>
    <mergeCell ref="V917:X917"/>
    <mergeCell ref="Y917:AA917"/>
    <mergeCell ref="AB917:AD917"/>
    <mergeCell ref="AE917:AH917"/>
    <mergeCell ref="E918:F918"/>
    <mergeCell ref="G918:S918"/>
    <mergeCell ref="T918:U918"/>
    <mergeCell ref="V918:AH918"/>
    <mergeCell ref="G924:I925"/>
    <mergeCell ref="J924:L925"/>
    <mergeCell ref="M924:O925"/>
    <mergeCell ref="P924:S925"/>
    <mergeCell ref="V924:X925"/>
    <mergeCell ref="Y924:AA925"/>
    <mergeCell ref="AB924:AD925"/>
    <mergeCell ref="AE924:AH925"/>
    <mergeCell ref="G913:I913"/>
    <mergeCell ref="J913:L913"/>
    <mergeCell ref="M913:O913"/>
    <mergeCell ref="P913:S913"/>
    <mergeCell ref="V913:X913"/>
    <mergeCell ref="Y913:AA913"/>
    <mergeCell ref="AB913:AD913"/>
    <mergeCell ref="AE913:AH913"/>
    <mergeCell ref="G914:I914"/>
    <mergeCell ref="J914:L914"/>
    <mergeCell ref="M914:O914"/>
    <mergeCell ref="P914:S914"/>
    <mergeCell ref="V914:X914"/>
    <mergeCell ref="Y914:AA914"/>
    <mergeCell ref="AB914:AD914"/>
    <mergeCell ref="AE914:AH914"/>
    <mergeCell ref="G915:I915"/>
    <mergeCell ref="J915:L915"/>
    <mergeCell ref="M915:O915"/>
    <mergeCell ref="P915:S915"/>
    <mergeCell ref="V915:X915"/>
    <mergeCell ref="Y915:AA915"/>
    <mergeCell ref="AB915:AD915"/>
    <mergeCell ref="AE915:AH915"/>
    <mergeCell ref="G908:I908"/>
    <mergeCell ref="J908:L908"/>
    <mergeCell ref="M908:O908"/>
    <mergeCell ref="P908:S908"/>
    <mergeCell ref="V908:X908"/>
    <mergeCell ref="Y908:AA908"/>
    <mergeCell ref="AB908:AD908"/>
    <mergeCell ref="AE908:AH908"/>
    <mergeCell ref="G909:I909"/>
    <mergeCell ref="J909:L909"/>
    <mergeCell ref="M909:O909"/>
    <mergeCell ref="P909:S909"/>
    <mergeCell ref="V909:X909"/>
    <mergeCell ref="Y909:AA909"/>
    <mergeCell ref="AB909:AD909"/>
    <mergeCell ref="AE909:AH909"/>
    <mergeCell ref="G910:I910"/>
    <mergeCell ref="J910:L910"/>
    <mergeCell ref="M910:O910"/>
    <mergeCell ref="P910:S910"/>
    <mergeCell ref="V910:X910"/>
    <mergeCell ref="Y910:AA910"/>
    <mergeCell ref="AB910:AD910"/>
    <mergeCell ref="AE910:AH910"/>
    <mergeCell ref="G904:I904"/>
    <mergeCell ref="J904:L904"/>
    <mergeCell ref="M904:O904"/>
    <mergeCell ref="P904:S904"/>
    <mergeCell ref="V904:X904"/>
    <mergeCell ref="Y904:AA904"/>
    <mergeCell ref="AB904:AD904"/>
    <mergeCell ref="AE904:AH904"/>
    <mergeCell ref="G905:I905"/>
    <mergeCell ref="J905:L905"/>
    <mergeCell ref="M905:O905"/>
    <mergeCell ref="P905:S905"/>
    <mergeCell ref="V905:X905"/>
    <mergeCell ref="Y905:AA905"/>
    <mergeCell ref="AB905:AD905"/>
    <mergeCell ref="AE905:AH905"/>
    <mergeCell ref="G906:I906"/>
    <mergeCell ref="J906:L906"/>
    <mergeCell ref="M906:O906"/>
    <mergeCell ref="P906:S906"/>
    <mergeCell ref="V906:X906"/>
    <mergeCell ref="Y906:AA906"/>
    <mergeCell ref="AB906:AD906"/>
    <mergeCell ref="AE906:AH906"/>
    <mergeCell ref="V894:AH894"/>
    <mergeCell ref="G900:I901"/>
    <mergeCell ref="J900:L901"/>
    <mergeCell ref="M900:O901"/>
    <mergeCell ref="P900:S901"/>
    <mergeCell ref="V900:X901"/>
    <mergeCell ref="Y900:AA901"/>
    <mergeCell ref="AB900:AD901"/>
    <mergeCell ref="AE900:AH901"/>
    <mergeCell ref="G902:I902"/>
    <mergeCell ref="J902:L902"/>
    <mergeCell ref="M902:O902"/>
    <mergeCell ref="P902:S902"/>
    <mergeCell ref="V902:X902"/>
    <mergeCell ref="Y902:AA902"/>
    <mergeCell ref="AB902:AD902"/>
    <mergeCell ref="AE902:AH902"/>
    <mergeCell ref="Y888:AA888"/>
    <mergeCell ref="AB888:AD888"/>
    <mergeCell ref="AE888:AH888"/>
    <mergeCell ref="V889:X889"/>
    <mergeCell ref="Y889:AA889"/>
    <mergeCell ref="AB889:AD889"/>
    <mergeCell ref="AE889:AH889"/>
    <mergeCell ref="V890:X890"/>
    <mergeCell ref="Y890:AA890"/>
    <mergeCell ref="AB890:AD890"/>
    <mergeCell ref="AE890:AH890"/>
    <mergeCell ref="V891:X891"/>
    <mergeCell ref="Y891:AA891"/>
    <mergeCell ref="AB891:AD891"/>
    <mergeCell ref="AE891:AH891"/>
    <mergeCell ref="V892:X892"/>
    <mergeCell ref="Y892:AA892"/>
    <mergeCell ref="AB892:AD892"/>
    <mergeCell ref="AE892:AH892"/>
    <mergeCell ref="Y882:AA882"/>
    <mergeCell ref="AB882:AD882"/>
    <mergeCell ref="AE882:AH882"/>
    <mergeCell ref="V883:X883"/>
    <mergeCell ref="Y883:AA883"/>
    <mergeCell ref="AB883:AD883"/>
    <mergeCell ref="AE883:AH883"/>
    <mergeCell ref="V884:X884"/>
    <mergeCell ref="Y884:AA884"/>
    <mergeCell ref="AB884:AD884"/>
    <mergeCell ref="AE884:AH884"/>
    <mergeCell ref="V885:X885"/>
    <mergeCell ref="Y885:AA885"/>
    <mergeCell ref="AB885:AD885"/>
    <mergeCell ref="AE885:AH885"/>
    <mergeCell ref="V886:X886"/>
    <mergeCell ref="Y886:AA886"/>
    <mergeCell ref="AB886:AD886"/>
    <mergeCell ref="AE886:AH886"/>
    <mergeCell ref="AD1063:AF1063"/>
    <mergeCell ref="J876:L877"/>
    <mergeCell ref="J878:L878"/>
    <mergeCell ref="M878:O878"/>
    <mergeCell ref="P876:S877"/>
    <mergeCell ref="M876:O877"/>
    <mergeCell ref="P878:S878"/>
    <mergeCell ref="J879:L879"/>
    <mergeCell ref="J880:L880"/>
    <mergeCell ref="J881:L881"/>
    <mergeCell ref="J882:L882"/>
    <mergeCell ref="J883:L883"/>
    <mergeCell ref="J884:L884"/>
    <mergeCell ref="J885:L885"/>
    <mergeCell ref="J886:L886"/>
    <mergeCell ref="J887:L887"/>
    <mergeCell ref="J888:L888"/>
    <mergeCell ref="J889:L889"/>
    <mergeCell ref="J890:L890"/>
    <mergeCell ref="J891:L891"/>
    <mergeCell ref="J892:L892"/>
    <mergeCell ref="J893:L893"/>
    <mergeCell ref="M879:O879"/>
    <mergeCell ref="M880:O880"/>
    <mergeCell ref="M881:O881"/>
    <mergeCell ref="M882:O882"/>
    <mergeCell ref="E1059:F1059"/>
    <mergeCell ref="T1059:U1059"/>
    <mergeCell ref="E1060:F1060"/>
    <mergeCell ref="T1060:U1060"/>
    <mergeCell ref="E1061:F1061"/>
    <mergeCell ref="T1061:U1061"/>
    <mergeCell ref="G1060:I1060"/>
    <mergeCell ref="J1060:L1060"/>
    <mergeCell ref="M1060:O1060"/>
    <mergeCell ref="P1060:S1060"/>
    <mergeCell ref="V1060:X1060"/>
    <mergeCell ref="Y1060:AA1060"/>
    <mergeCell ref="AB1060:AD1060"/>
    <mergeCell ref="AE1060:AH1060"/>
    <mergeCell ref="E1056:F1056"/>
    <mergeCell ref="T1056:U1056"/>
    <mergeCell ref="E1057:F1057"/>
    <mergeCell ref="T1057:U1057"/>
    <mergeCell ref="E1058:F1058"/>
    <mergeCell ref="T1058:U1058"/>
    <mergeCell ref="G1056:I1056"/>
    <mergeCell ref="J1056:L1056"/>
    <mergeCell ref="M1056:O1056"/>
    <mergeCell ref="P1056:S1056"/>
    <mergeCell ref="V1056:X1056"/>
    <mergeCell ref="Y1056:AA1056"/>
    <mergeCell ref="AB1056:AD1056"/>
    <mergeCell ref="AE1056:AH1056"/>
    <mergeCell ref="E1053:F1053"/>
    <mergeCell ref="T1053:U1053"/>
    <mergeCell ref="E1054:F1054"/>
    <mergeCell ref="T1054:U1054"/>
    <mergeCell ref="E1055:F1055"/>
    <mergeCell ref="T1055:U1055"/>
    <mergeCell ref="G1055:I1055"/>
    <mergeCell ref="J1055:L1055"/>
    <mergeCell ref="M1055:O1055"/>
    <mergeCell ref="P1055:S1055"/>
    <mergeCell ref="V1055:X1055"/>
    <mergeCell ref="Y1055:AA1055"/>
    <mergeCell ref="AB1055:AD1055"/>
    <mergeCell ref="AE1055:AH1055"/>
    <mergeCell ref="E1050:F1050"/>
    <mergeCell ref="T1050:U1050"/>
    <mergeCell ref="E1051:F1051"/>
    <mergeCell ref="T1051:U1051"/>
    <mergeCell ref="E1052:F1052"/>
    <mergeCell ref="T1052:U1052"/>
    <mergeCell ref="G1051:I1051"/>
    <mergeCell ref="J1051:L1051"/>
    <mergeCell ref="M1051:O1051"/>
    <mergeCell ref="P1051:S1051"/>
    <mergeCell ref="V1051:X1051"/>
    <mergeCell ref="Y1051:AA1051"/>
    <mergeCell ref="AB1051:AD1051"/>
    <mergeCell ref="AE1051:AH1051"/>
    <mergeCell ref="E1047:F1047"/>
    <mergeCell ref="T1047:U1047"/>
    <mergeCell ref="E1048:F1048"/>
    <mergeCell ref="T1048:U1048"/>
    <mergeCell ref="E1049:F1049"/>
    <mergeCell ref="T1049:U1049"/>
    <mergeCell ref="G1047:I1047"/>
    <mergeCell ref="J1047:L1047"/>
    <mergeCell ref="M1047:O1047"/>
    <mergeCell ref="P1047:S1047"/>
    <mergeCell ref="V1047:X1047"/>
    <mergeCell ref="Y1047:AA1047"/>
    <mergeCell ref="AB1047:AD1047"/>
    <mergeCell ref="AE1047:AH1047"/>
    <mergeCell ref="AD1039:AF1039"/>
    <mergeCell ref="E1043:S1043"/>
    <mergeCell ref="T1043:AH1043"/>
    <mergeCell ref="E1044:F1045"/>
    <mergeCell ref="T1044:U1045"/>
    <mergeCell ref="E1046:F1046"/>
    <mergeCell ref="T1046:U1046"/>
    <mergeCell ref="G1046:I1046"/>
    <mergeCell ref="J1046:L1046"/>
    <mergeCell ref="M1046:O1046"/>
    <mergeCell ref="P1046:S1046"/>
    <mergeCell ref="V1046:X1046"/>
    <mergeCell ref="Y1046:AA1046"/>
    <mergeCell ref="AB1046:AD1046"/>
    <mergeCell ref="AE1046:AH1046"/>
    <mergeCell ref="E1035:F1035"/>
    <mergeCell ref="T1035:U1035"/>
    <mergeCell ref="E1036:F1036"/>
    <mergeCell ref="T1036:U1036"/>
    <mergeCell ref="E1037:F1037"/>
    <mergeCell ref="T1037:U1037"/>
    <mergeCell ref="G1036:I1036"/>
    <mergeCell ref="J1036:L1036"/>
    <mergeCell ref="M1036:O1036"/>
    <mergeCell ref="P1036:S1036"/>
    <mergeCell ref="V1036:X1036"/>
    <mergeCell ref="Y1036:AA1036"/>
    <mergeCell ref="AB1036:AD1036"/>
    <mergeCell ref="AE1036:AH1036"/>
    <mergeCell ref="E1032:F1032"/>
    <mergeCell ref="T1032:U1032"/>
    <mergeCell ref="E1033:F1033"/>
    <mergeCell ref="T1033:U1033"/>
    <mergeCell ref="E1034:F1034"/>
    <mergeCell ref="T1034:U1034"/>
    <mergeCell ref="G1032:I1032"/>
    <mergeCell ref="J1032:L1032"/>
    <mergeCell ref="M1032:O1032"/>
    <mergeCell ref="P1032:S1032"/>
    <mergeCell ref="V1032:X1032"/>
    <mergeCell ref="Y1032:AA1032"/>
    <mergeCell ref="AB1032:AD1032"/>
    <mergeCell ref="AE1032:AH1032"/>
    <mergeCell ref="E1029:F1029"/>
    <mergeCell ref="T1029:U1029"/>
    <mergeCell ref="E1030:F1030"/>
    <mergeCell ref="T1030:U1030"/>
    <mergeCell ref="E1031:F1031"/>
    <mergeCell ref="T1031:U1031"/>
    <mergeCell ref="G1031:I1031"/>
    <mergeCell ref="J1031:L1031"/>
    <mergeCell ref="M1031:O1031"/>
    <mergeCell ref="P1031:S1031"/>
    <mergeCell ref="V1031:X1031"/>
    <mergeCell ref="Y1031:AA1031"/>
    <mergeCell ref="AB1031:AD1031"/>
    <mergeCell ref="AE1031:AH1031"/>
    <mergeCell ref="E1026:F1026"/>
    <mergeCell ref="T1026:U1026"/>
    <mergeCell ref="E1027:F1027"/>
    <mergeCell ref="T1027:U1027"/>
    <mergeCell ref="E1028:F1028"/>
    <mergeCell ref="T1028:U1028"/>
    <mergeCell ref="G1027:I1027"/>
    <mergeCell ref="J1027:L1027"/>
    <mergeCell ref="M1027:O1027"/>
    <mergeCell ref="P1027:S1027"/>
    <mergeCell ref="V1027:X1027"/>
    <mergeCell ref="Y1027:AA1027"/>
    <mergeCell ref="AB1027:AD1027"/>
    <mergeCell ref="AE1027:AH1027"/>
    <mergeCell ref="E1023:F1023"/>
    <mergeCell ref="T1023:U1023"/>
    <mergeCell ref="E1024:F1024"/>
    <mergeCell ref="T1024:U1024"/>
    <mergeCell ref="E1025:F1025"/>
    <mergeCell ref="T1025:U1025"/>
    <mergeCell ref="G1023:I1023"/>
    <mergeCell ref="J1023:L1023"/>
    <mergeCell ref="M1023:O1023"/>
    <mergeCell ref="P1023:S1023"/>
    <mergeCell ref="V1023:X1023"/>
    <mergeCell ref="Y1023:AA1023"/>
    <mergeCell ref="AB1023:AD1023"/>
    <mergeCell ref="AE1023:AH1023"/>
    <mergeCell ref="AD1015:AF1015"/>
    <mergeCell ref="E1019:S1019"/>
    <mergeCell ref="T1019:AH1019"/>
    <mergeCell ref="E1020:F1021"/>
    <mergeCell ref="T1020:U1021"/>
    <mergeCell ref="E1022:F1022"/>
    <mergeCell ref="T1022:U1022"/>
    <mergeCell ref="G1022:I1022"/>
    <mergeCell ref="J1022:L1022"/>
    <mergeCell ref="M1022:O1022"/>
    <mergeCell ref="P1022:S1022"/>
    <mergeCell ref="V1022:X1022"/>
    <mergeCell ref="Y1022:AA1022"/>
    <mergeCell ref="AB1022:AD1022"/>
    <mergeCell ref="AE1022:AH1022"/>
    <mergeCell ref="E1011:F1011"/>
    <mergeCell ref="T1011:U1011"/>
    <mergeCell ref="E1012:F1012"/>
    <mergeCell ref="T1012:U1012"/>
    <mergeCell ref="E1013:F1013"/>
    <mergeCell ref="T1013:U1013"/>
    <mergeCell ref="G1012:I1012"/>
    <mergeCell ref="J1012:L1012"/>
    <mergeCell ref="M1012:O1012"/>
    <mergeCell ref="P1012:S1012"/>
    <mergeCell ref="V1012:X1012"/>
    <mergeCell ref="Y1012:AA1012"/>
    <mergeCell ref="AB1012:AD1012"/>
    <mergeCell ref="AE1012:AH1012"/>
    <mergeCell ref="E1008:F1008"/>
    <mergeCell ref="T1008:U1008"/>
    <mergeCell ref="E1009:F1009"/>
    <mergeCell ref="T1009:U1009"/>
    <mergeCell ref="E1010:F1010"/>
    <mergeCell ref="T1010:U1010"/>
    <mergeCell ref="G1008:I1008"/>
    <mergeCell ref="J1008:L1008"/>
    <mergeCell ref="M1008:O1008"/>
    <mergeCell ref="P1008:S1008"/>
    <mergeCell ref="V1008:X1008"/>
    <mergeCell ref="Y1008:AA1008"/>
    <mergeCell ref="AB1008:AD1008"/>
    <mergeCell ref="AE1008:AH1008"/>
    <mergeCell ref="E1005:F1005"/>
    <mergeCell ref="T1005:U1005"/>
    <mergeCell ref="E1006:F1006"/>
    <mergeCell ref="T1006:U1006"/>
    <mergeCell ref="E1007:F1007"/>
    <mergeCell ref="T1007:U1007"/>
    <mergeCell ref="G1007:I1007"/>
    <mergeCell ref="J1007:L1007"/>
    <mergeCell ref="M1007:O1007"/>
    <mergeCell ref="P1007:S1007"/>
    <mergeCell ref="V1007:X1007"/>
    <mergeCell ref="Y1007:AA1007"/>
    <mergeCell ref="AB1007:AD1007"/>
    <mergeCell ref="AE1007:AH1007"/>
    <mergeCell ref="E1002:F1002"/>
    <mergeCell ref="T1002:U1002"/>
    <mergeCell ref="E1003:F1003"/>
    <mergeCell ref="T1003:U1003"/>
    <mergeCell ref="E1004:F1004"/>
    <mergeCell ref="T1004:U1004"/>
    <mergeCell ref="G1003:I1003"/>
    <mergeCell ref="J1003:L1003"/>
    <mergeCell ref="M1003:O1003"/>
    <mergeCell ref="P1003:S1003"/>
    <mergeCell ref="V1003:X1003"/>
    <mergeCell ref="Y1003:AA1003"/>
    <mergeCell ref="AB1003:AD1003"/>
    <mergeCell ref="AE1003:AH1003"/>
    <mergeCell ref="E999:F999"/>
    <mergeCell ref="T999:U999"/>
    <mergeCell ref="E1000:F1000"/>
    <mergeCell ref="T1000:U1000"/>
    <mergeCell ref="E1001:F1001"/>
    <mergeCell ref="T1001:U1001"/>
    <mergeCell ref="G999:I999"/>
    <mergeCell ref="J999:L999"/>
    <mergeCell ref="M999:O999"/>
    <mergeCell ref="P999:S999"/>
    <mergeCell ref="V999:X999"/>
    <mergeCell ref="Y999:AA999"/>
    <mergeCell ref="AB999:AD999"/>
    <mergeCell ref="AE999:AH999"/>
    <mergeCell ref="AD991:AF991"/>
    <mergeCell ref="E995:S995"/>
    <mergeCell ref="T995:AH995"/>
    <mergeCell ref="E996:F997"/>
    <mergeCell ref="T996:U997"/>
    <mergeCell ref="E998:F998"/>
    <mergeCell ref="T998:U998"/>
    <mergeCell ref="G998:I998"/>
    <mergeCell ref="J998:L998"/>
    <mergeCell ref="M998:O998"/>
    <mergeCell ref="P998:S998"/>
    <mergeCell ref="V998:X998"/>
    <mergeCell ref="Y998:AA998"/>
    <mergeCell ref="AB998:AD998"/>
    <mergeCell ref="AE998:AH998"/>
    <mergeCell ref="E987:F987"/>
    <mergeCell ref="T987:U987"/>
    <mergeCell ref="E988:F988"/>
    <mergeCell ref="T988:U988"/>
    <mergeCell ref="E989:F989"/>
    <mergeCell ref="T989:U989"/>
    <mergeCell ref="G988:I988"/>
    <mergeCell ref="J988:L988"/>
    <mergeCell ref="M988:O988"/>
    <mergeCell ref="P988:S988"/>
    <mergeCell ref="V988:X988"/>
    <mergeCell ref="Y988:AA988"/>
    <mergeCell ref="AB988:AD988"/>
    <mergeCell ref="AE988:AH988"/>
    <mergeCell ref="E984:F984"/>
    <mergeCell ref="T984:U984"/>
    <mergeCell ref="E985:F985"/>
    <mergeCell ref="T985:U985"/>
    <mergeCell ref="E986:F986"/>
    <mergeCell ref="T986:U986"/>
    <mergeCell ref="G984:I984"/>
    <mergeCell ref="J984:L984"/>
    <mergeCell ref="M984:O984"/>
    <mergeCell ref="P984:S984"/>
    <mergeCell ref="V984:X984"/>
    <mergeCell ref="Y984:AA984"/>
    <mergeCell ref="AB984:AD984"/>
    <mergeCell ref="AE984:AH984"/>
    <mergeCell ref="E981:F981"/>
    <mergeCell ref="T981:U981"/>
    <mergeCell ref="E982:F982"/>
    <mergeCell ref="T982:U982"/>
    <mergeCell ref="E983:F983"/>
    <mergeCell ref="T983:U983"/>
    <mergeCell ref="G983:I983"/>
    <mergeCell ref="J983:L983"/>
    <mergeCell ref="M983:O983"/>
    <mergeCell ref="P983:S983"/>
    <mergeCell ref="V983:X983"/>
    <mergeCell ref="Y983:AA983"/>
    <mergeCell ref="AB983:AD983"/>
    <mergeCell ref="AE983:AH983"/>
    <mergeCell ref="E978:F978"/>
    <mergeCell ref="T978:U978"/>
    <mergeCell ref="E979:F979"/>
    <mergeCell ref="T979:U979"/>
    <mergeCell ref="E980:F980"/>
    <mergeCell ref="T980:U980"/>
    <mergeCell ref="G979:I979"/>
    <mergeCell ref="J979:L979"/>
    <mergeCell ref="M979:O979"/>
    <mergeCell ref="P979:S979"/>
    <mergeCell ref="V979:X979"/>
    <mergeCell ref="Y979:AA979"/>
    <mergeCell ref="AB979:AD979"/>
    <mergeCell ref="AE979:AH979"/>
    <mergeCell ref="E975:F975"/>
    <mergeCell ref="T975:U975"/>
    <mergeCell ref="E976:F976"/>
    <mergeCell ref="T976:U976"/>
    <mergeCell ref="E977:F977"/>
    <mergeCell ref="T977:U977"/>
    <mergeCell ref="G975:I975"/>
    <mergeCell ref="J975:L975"/>
    <mergeCell ref="M975:O975"/>
    <mergeCell ref="P975:S975"/>
    <mergeCell ref="V975:X975"/>
    <mergeCell ref="Y975:AA975"/>
    <mergeCell ref="AB975:AD975"/>
    <mergeCell ref="AE975:AH975"/>
    <mergeCell ref="AD967:AF967"/>
    <mergeCell ref="E971:S971"/>
    <mergeCell ref="T971:AH971"/>
    <mergeCell ref="E972:F973"/>
    <mergeCell ref="T972:U973"/>
    <mergeCell ref="E974:F974"/>
    <mergeCell ref="T974:U974"/>
    <mergeCell ref="G974:I974"/>
    <mergeCell ref="J974:L974"/>
    <mergeCell ref="M974:O974"/>
    <mergeCell ref="P974:S974"/>
    <mergeCell ref="V974:X974"/>
    <mergeCell ref="Y974:AA974"/>
    <mergeCell ref="AB974:AD974"/>
    <mergeCell ref="AE974:AH974"/>
    <mergeCell ref="E963:F963"/>
    <mergeCell ref="T963:U963"/>
    <mergeCell ref="E964:F964"/>
    <mergeCell ref="T964:U964"/>
    <mergeCell ref="E965:F965"/>
    <mergeCell ref="T965:U965"/>
    <mergeCell ref="G964:I964"/>
    <mergeCell ref="J964:L964"/>
    <mergeCell ref="M964:O964"/>
    <mergeCell ref="P964:S964"/>
    <mergeCell ref="V964:X964"/>
    <mergeCell ref="Y964:AA964"/>
    <mergeCell ref="AB964:AD964"/>
    <mergeCell ref="AE964:AH964"/>
    <mergeCell ref="E960:F960"/>
    <mergeCell ref="T960:U960"/>
    <mergeCell ref="E961:F961"/>
    <mergeCell ref="T961:U961"/>
    <mergeCell ref="E962:F962"/>
    <mergeCell ref="T962:U962"/>
    <mergeCell ref="G960:I960"/>
    <mergeCell ref="J960:L960"/>
    <mergeCell ref="M960:O960"/>
    <mergeCell ref="P960:S960"/>
    <mergeCell ref="V960:X960"/>
    <mergeCell ref="Y960:AA960"/>
    <mergeCell ref="AB960:AD960"/>
    <mergeCell ref="AE960:AH960"/>
    <mergeCell ref="E957:F957"/>
    <mergeCell ref="T957:U957"/>
    <mergeCell ref="E958:F958"/>
    <mergeCell ref="T958:U958"/>
    <mergeCell ref="E959:F959"/>
    <mergeCell ref="T959:U959"/>
    <mergeCell ref="G959:I959"/>
    <mergeCell ref="J959:L959"/>
    <mergeCell ref="M959:O959"/>
    <mergeCell ref="P959:S959"/>
    <mergeCell ref="V959:X959"/>
    <mergeCell ref="Y959:AA959"/>
    <mergeCell ref="AB959:AD959"/>
    <mergeCell ref="AE959:AH959"/>
    <mergeCell ref="E954:F954"/>
    <mergeCell ref="T954:U954"/>
    <mergeCell ref="E955:F955"/>
    <mergeCell ref="T955:U955"/>
    <mergeCell ref="E956:F956"/>
    <mergeCell ref="T956:U956"/>
    <mergeCell ref="G955:I955"/>
    <mergeCell ref="J955:L955"/>
    <mergeCell ref="M955:O955"/>
    <mergeCell ref="P955:S955"/>
    <mergeCell ref="V955:X955"/>
    <mergeCell ref="Y955:AA955"/>
    <mergeCell ref="AB955:AD955"/>
    <mergeCell ref="AE955:AH955"/>
    <mergeCell ref="E951:F951"/>
    <mergeCell ref="T951:U951"/>
    <mergeCell ref="E952:F952"/>
    <mergeCell ref="T952:U952"/>
    <mergeCell ref="E953:F953"/>
    <mergeCell ref="T953:U953"/>
    <mergeCell ref="G951:I951"/>
    <mergeCell ref="J951:L951"/>
    <mergeCell ref="M951:O951"/>
    <mergeCell ref="P951:S951"/>
    <mergeCell ref="V951:X951"/>
    <mergeCell ref="Y951:AA951"/>
    <mergeCell ref="AB951:AD951"/>
    <mergeCell ref="AE951:AH951"/>
    <mergeCell ref="AD943:AF943"/>
    <mergeCell ref="E947:S947"/>
    <mergeCell ref="T947:AH947"/>
    <mergeCell ref="E948:F949"/>
    <mergeCell ref="T948:U949"/>
    <mergeCell ref="E950:F950"/>
    <mergeCell ref="T950:U950"/>
    <mergeCell ref="G950:I950"/>
    <mergeCell ref="J950:L950"/>
    <mergeCell ref="M950:O950"/>
    <mergeCell ref="P950:S950"/>
    <mergeCell ref="V950:X950"/>
    <mergeCell ref="Y950:AA950"/>
    <mergeCell ref="AB950:AD950"/>
    <mergeCell ref="AE950:AH950"/>
    <mergeCell ref="E939:F939"/>
    <mergeCell ref="T939:U939"/>
    <mergeCell ref="E940:F940"/>
    <mergeCell ref="T940:U940"/>
    <mergeCell ref="E941:F941"/>
    <mergeCell ref="T941:U941"/>
    <mergeCell ref="G940:I940"/>
    <mergeCell ref="J940:L940"/>
    <mergeCell ref="M940:O940"/>
    <mergeCell ref="P940:S940"/>
    <mergeCell ref="V940:X940"/>
    <mergeCell ref="Y940:AA940"/>
    <mergeCell ref="AB940:AD940"/>
    <mergeCell ref="AE940:AH940"/>
    <mergeCell ref="E936:F936"/>
    <mergeCell ref="T936:U936"/>
    <mergeCell ref="E937:F937"/>
    <mergeCell ref="T937:U937"/>
    <mergeCell ref="E938:F938"/>
    <mergeCell ref="T938:U938"/>
    <mergeCell ref="G936:I936"/>
    <mergeCell ref="J936:L936"/>
    <mergeCell ref="M936:O936"/>
    <mergeCell ref="P936:S936"/>
    <mergeCell ref="V936:X936"/>
    <mergeCell ref="Y936:AA936"/>
    <mergeCell ref="AB936:AD936"/>
    <mergeCell ref="AE936:AH936"/>
    <mergeCell ref="E933:F933"/>
    <mergeCell ref="T933:U933"/>
    <mergeCell ref="E934:F934"/>
    <mergeCell ref="T934:U934"/>
    <mergeCell ref="E935:F935"/>
    <mergeCell ref="T935:U935"/>
    <mergeCell ref="G935:I935"/>
    <mergeCell ref="J935:L935"/>
    <mergeCell ref="M935:O935"/>
    <mergeCell ref="P935:S935"/>
    <mergeCell ref="V935:X935"/>
    <mergeCell ref="Y935:AA935"/>
    <mergeCell ref="AB935:AD935"/>
    <mergeCell ref="AE935:AH935"/>
    <mergeCell ref="E930:F930"/>
    <mergeCell ref="T930:U930"/>
    <mergeCell ref="E931:F931"/>
    <mergeCell ref="T931:U931"/>
    <mergeCell ref="E932:F932"/>
    <mergeCell ref="T932:U932"/>
    <mergeCell ref="G931:I931"/>
    <mergeCell ref="J931:L931"/>
    <mergeCell ref="M931:O931"/>
    <mergeCell ref="P931:S931"/>
    <mergeCell ref="V931:X931"/>
    <mergeCell ref="Y931:AA931"/>
    <mergeCell ref="AB931:AD931"/>
    <mergeCell ref="AE931:AH931"/>
    <mergeCell ref="E927:F927"/>
    <mergeCell ref="T927:U927"/>
    <mergeCell ref="E928:F928"/>
    <mergeCell ref="T928:U928"/>
    <mergeCell ref="E929:F929"/>
    <mergeCell ref="T929:U929"/>
    <mergeCell ref="G927:I927"/>
    <mergeCell ref="J927:L927"/>
    <mergeCell ref="M927:O927"/>
    <mergeCell ref="P927:S927"/>
    <mergeCell ref="V927:X927"/>
    <mergeCell ref="Y927:AA927"/>
    <mergeCell ref="AB927:AD927"/>
    <mergeCell ref="AE927:AH927"/>
    <mergeCell ref="AD919:AF919"/>
    <mergeCell ref="E923:S923"/>
    <mergeCell ref="T923:AH923"/>
    <mergeCell ref="E924:F925"/>
    <mergeCell ref="T924:U925"/>
    <mergeCell ref="E926:F926"/>
    <mergeCell ref="T926:U926"/>
    <mergeCell ref="G926:I926"/>
    <mergeCell ref="J926:L926"/>
    <mergeCell ref="M926:O926"/>
    <mergeCell ref="P926:S926"/>
    <mergeCell ref="V926:X926"/>
    <mergeCell ref="Y926:AA926"/>
    <mergeCell ref="AB926:AD926"/>
    <mergeCell ref="AE926:AH926"/>
    <mergeCell ref="E915:F915"/>
    <mergeCell ref="T915:U915"/>
    <mergeCell ref="E916:F916"/>
    <mergeCell ref="T916:U916"/>
    <mergeCell ref="E917:F917"/>
    <mergeCell ref="T917:U917"/>
    <mergeCell ref="G916:I916"/>
    <mergeCell ref="J916:L916"/>
    <mergeCell ref="M916:O916"/>
    <mergeCell ref="P916:S916"/>
    <mergeCell ref="V916:X916"/>
    <mergeCell ref="Y916:AA916"/>
    <mergeCell ref="AB916:AD916"/>
    <mergeCell ref="AE916:AH916"/>
    <mergeCell ref="E912:F912"/>
    <mergeCell ref="T912:U912"/>
    <mergeCell ref="E913:F913"/>
    <mergeCell ref="T913:U913"/>
    <mergeCell ref="E914:F914"/>
    <mergeCell ref="T914:U914"/>
    <mergeCell ref="G912:I912"/>
    <mergeCell ref="J912:L912"/>
    <mergeCell ref="M912:O912"/>
    <mergeCell ref="P912:S912"/>
    <mergeCell ref="V912:X912"/>
    <mergeCell ref="Y912:AA912"/>
    <mergeCell ref="AB912:AD912"/>
    <mergeCell ref="AE912:AH912"/>
    <mergeCell ref="E909:F909"/>
    <mergeCell ref="T909:U909"/>
    <mergeCell ref="E910:F910"/>
    <mergeCell ref="T910:U910"/>
    <mergeCell ref="E911:F911"/>
    <mergeCell ref="T911:U911"/>
    <mergeCell ref="G911:I911"/>
    <mergeCell ref="J911:L911"/>
    <mergeCell ref="M911:O911"/>
    <mergeCell ref="P911:S911"/>
    <mergeCell ref="V911:X911"/>
    <mergeCell ref="Y911:AA911"/>
    <mergeCell ref="AB911:AD911"/>
    <mergeCell ref="AE911:AH911"/>
    <mergeCell ref="E906:F906"/>
    <mergeCell ref="T906:U906"/>
    <mergeCell ref="E907:F907"/>
    <mergeCell ref="T907:U907"/>
    <mergeCell ref="E908:F908"/>
    <mergeCell ref="T908:U908"/>
    <mergeCell ref="G907:I907"/>
    <mergeCell ref="J907:L907"/>
    <mergeCell ref="M907:O907"/>
    <mergeCell ref="P907:S907"/>
    <mergeCell ref="V907:X907"/>
    <mergeCell ref="Y907:AA907"/>
    <mergeCell ref="AB907:AD907"/>
    <mergeCell ref="AE907:AH907"/>
    <mergeCell ref="E903:F903"/>
    <mergeCell ref="T903:U903"/>
    <mergeCell ref="E904:F904"/>
    <mergeCell ref="T904:U904"/>
    <mergeCell ref="E905:F905"/>
    <mergeCell ref="T905:U905"/>
    <mergeCell ref="G903:I903"/>
    <mergeCell ref="J903:L903"/>
    <mergeCell ref="M903:O903"/>
    <mergeCell ref="P903:S903"/>
    <mergeCell ref="V903:X903"/>
    <mergeCell ref="Y903:AA903"/>
    <mergeCell ref="AB903:AD903"/>
    <mergeCell ref="AE903:AH903"/>
    <mergeCell ref="E899:S899"/>
    <mergeCell ref="T899:AH899"/>
    <mergeCell ref="E900:F901"/>
    <mergeCell ref="T900:U901"/>
    <mergeCell ref="E902:F902"/>
    <mergeCell ref="T902:U902"/>
    <mergeCell ref="E892:F892"/>
    <mergeCell ref="G892:I892"/>
    <mergeCell ref="T892:U892"/>
    <mergeCell ref="E893:F893"/>
    <mergeCell ref="G893:I893"/>
    <mergeCell ref="T893:U893"/>
    <mergeCell ref="AD895:AF895"/>
    <mergeCell ref="M892:O892"/>
    <mergeCell ref="M893:O893"/>
    <mergeCell ref="P892:S892"/>
    <mergeCell ref="P893:S893"/>
    <mergeCell ref="V893:X893"/>
    <mergeCell ref="Y893:AA893"/>
    <mergeCell ref="AB893:AD893"/>
    <mergeCell ref="AE893:AH893"/>
    <mergeCell ref="E894:F894"/>
    <mergeCell ref="G894:S894"/>
    <mergeCell ref="T894:U894"/>
    <mergeCell ref="E889:F889"/>
    <mergeCell ref="G889:I889"/>
    <mergeCell ref="T889:U889"/>
    <mergeCell ref="E890:F890"/>
    <mergeCell ref="G890:I890"/>
    <mergeCell ref="T890:U890"/>
    <mergeCell ref="E891:F891"/>
    <mergeCell ref="G891:I891"/>
    <mergeCell ref="T891:U891"/>
    <mergeCell ref="M889:O889"/>
    <mergeCell ref="M890:O890"/>
    <mergeCell ref="M891:O891"/>
    <mergeCell ref="P889:S889"/>
    <mergeCell ref="P890:S890"/>
    <mergeCell ref="P891:S891"/>
    <mergeCell ref="T886:U886"/>
    <mergeCell ref="E887:F887"/>
    <mergeCell ref="G887:I887"/>
    <mergeCell ref="T887:U887"/>
    <mergeCell ref="E888:F888"/>
    <mergeCell ref="G888:I888"/>
    <mergeCell ref="T888:U888"/>
    <mergeCell ref="M886:O886"/>
    <mergeCell ref="M887:O887"/>
    <mergeCell ref="M888:O888"/>
    <mergeCell ref="P886:S886"/>
    <mergeCell ref="P887:S887"/>
    <mergeCell ref="P888:S888"/>
    <mergeCell ref="V887:X887"/>
    <mergeCell ref="Y887:AA887"/>
    <mergeCell ref="AB887:AD887"/>
    <mergeCell ref="AE887:AH887"/>
    <mergeCell ref="V888:X888"/>
    <mergeCell ref="T883:U883"/>
    <mergeCell ref="E884:F884"/>
    <mergeCell ref="G884:I884"/>
    <mergeCell ref="T884:U884"/>
    <mergeCell ref="E885:F885"/>
    <mergeCell ref="G885:I885"/>
    <mergeCell ref="T885:U885"/>
    <mergeCell ref="M883:O883"/>
    <mergeCell ref="M884:O884"/>
    <mergeCell ref="M885:O885"/>
    <mergeCell ref="P883:S883"/>
    <mergeCell ref="P884:S884"/>
    <mergeCell ref="P885:S885"/>
    <mergeCell ref="T880:U880"/>
    <mergeCell ref="E881:F881"/>
    <mergeCell ref="G881:I881"/>
    <mergeCell ref="T881:U881"/>
    <mergeCell ref="E882:F882"/>
    <mergeCell ref="G882:I882"/>
    <mergeCell ref="T882:U882"/>
    <mergeCell ref="P880:S880"/>
    <mergeCell ref="P881:S881"/>
    <mergeCell ref="P882:S882"/>
    <mergeCell ref="V880:X880"/>
    <mergeCell ref="Y880:AA880"/>
    <mergeCell ref="AB880:AD880"/>
    <mergeCell ref="AE880:AH880"/>
    <mergeCell ref="V881:X881"/>
    <mergeCell ref="Y881:AA881"/>
    <mergeCell ref="AB881:AD881"/>
    <mergeCell ref="AE881:AH881"/>
    <mergeCell ref="V882:X882"/>
    <mergeCell ref="E878:F878"/>
    <mergeCell ref="G878:I878"/>
    <mergeCell ref="T878:U878"/>
    <mergeCell ref="E879:F879"/>
    <mergeCell ref="G879:I879"/>
    <mergeCell ref="T879:U879"/>
    <mergeCell ref="P879:S879"/>
    <mergeCell ref="V876:X877"/>
    <mergeCell ref="Y876:AA877"/>
    <mergeCell ref="AB876:AD877"/>
    <mergeCell ref="AE876:AH877"/>
    <mergeCell ref="V878:X878"/>
    <mergeCell ref="Y878:AA878"/>
    <mergeCell ref="AB878:AD878"/>
    <mergeCell ref="AE878:AH878"/>
    <mergeCell ref="V879:X879"/>
    <mergeCell ref="Y879:AA879"/>
    <mergeCell ref="AB879:AD879"/>
    <mergeCell ref="AE879:AH879"/>
    <mergeCell ref="E815:G815"/>
    <mergeCell ref="H815:K815"/>
    <mergeCell ref="L815:N815"/>
    <mergeCell ref="O815:S815"/>
    <mergeCell ref="T815:V815"/>
    <mergeCell ref="W815:Z815"/>
    <mergeCell ref="AA815:AC815"/>
    <mergeCell ref="AD815:AH815"/>
    <mergeCell ref="AD816:AF816"/>
    <mergeCell ref="O847:P847"/>
    <mergeCell ref="H849:I849"/>
    <mergeCell ref="L865:T865"/>
    <mergeCell ref="Z865:AA865"/>
    <mergeCell ref="T866:U866"/>
    <mergeCell ref="V866:W866"/>
    <mergeCell ref="AC866:AD866"/>
    <mergeCell ref="E812:G812"/>
    <mergeCell ref="H812:K812"/>
    <mergeCell ref="L812:N812"/>
    <mergeCell ref="O812:S812"/>
    <mergeCell ref="T812:V812"/>
    <mergeCell ref="W812:Z812"/>
    <mergeCell ref="AA812:AC812"/>
    <mergeCell ref="AD812:AH812"/>
    <mergeCell ref="E813:G813"/>
    <mergeCell ref="H813:K813"/>
    <mergeCell ref="L813:N813"/>
    <mergeCell ref="O813:S813"/>
    <mergeCell ref="T813:V813"/>
    <mergeCell ref="W813:Z813"/>
    <mergeCell ref="AA813:AC813"/>
    <mergeCell ref="AD813:AH813"/>
    <mergeCell ref="E814:G814"/>
    <mergeCell ref="H814:K814"/>
    <mergeCell ref="L814:N814"/>
    <mergeCell ref="O814:S814"/>
    <mergeCell ref="T814:V814"/>
    <mergeCell ref="W814:Z814"/>
    <mergeCell ref="AA814:AC814"/>
    <mergeCell ref="AD814:AH814"/>
    <mergeCell ref="E809:G809"/>
    <mergeCell ref="H809:K809"/>
    <mergeCell ref="L809:N809"/>
    <mergeCell ref="O809:S809"/>
    <mergeCell ref="T809:V809"/>
    <mergeCell ref="W809:Z809"/>
    <mergeCell ref="AA809:AC809"/>
    <mergeCell ref="AD809:AH809"/>
    <mergeCell ref="E810:G810"/>
    <mergeCell ref="H810:K810"/>
    <mergeCell ref="L810:N810"/>
    <mergeCell ref="O810:S810"/>
    <mergeCell ref="T810:V810"/>
    <mergeCell ref="W810:Z810"/>
    <mergeCell ref="AA810:AC810"/>
    <mergeCell ref="AD810:AH810"/>
    <mergeCell ref="E811:G811"/>
    <mergeCell ref="H811:K811"/>
    <mergeCell ref="L811:N811"/>
    <mergeCell ref="O811:S811"/>
    <mergeCell ref="T811:V811"/>
    <mergeCell ref="W811:Z811"/>
    <mergeCell ref="AA811:AC811"/>
    <mergeCell ref="AD811:AH811"/>
    <mergeCell ref="E806:G806"/>
    <mergeCell ref="H806:K806"/>
    <mergeCell ref="L806:N806"/>
    <mergeCell ref="O806:S806"/>
    <mergeCell ref="T806:V806"/>
    <mergeCell ref="W806:Z806"/>
    <mergeCell ref="AA806:AC806"/>
    <mergeCell ref="AD806:AH806"/>
    <mergeCell ref="E807:G807"/>
    <mergeCell ref="H807:K807"/>
    <mergeCell ref="L807:N807"/>
    <mergeCell ref="O807:S807"/>
    <mergeCell ref="T807:V807"/>
    <mergeCell ref="W807:Z807"/>
    <mergeCell ref="AA807:AC807"/>
    <mergeCell ref="AD807:AH807"/>
    <mergeCell ref="E808:G808"/>
    <mergeCell ref="H808:K808"/>
    <mergeCell ref="L808:N808"/>
    <mergeCell ref="O808:S808"/>
    <mergeCell ref="T808:V808"/>
    <mergeCell ref="W808:Z808"/>
    <mergeCell ref="AA808:AC808"/>
    <mergeCell ref="AD808:AH808"/>
    <mergeCell ref="E803:G803"/>
    <mergeCell ref="H803:K803"/>
    <mergeCell ref="L803:N803"/>
    <mergeCell ref="O803:S803"/>
    <mergeCell ref="T803:V803"/>
    <mergeCell ref="W803:Z803"/>
    <mergeCell ref="AA803:AC803"/>
    <mergeCell ref="AD803:AH803"/>
    <mergeCell ref="E804:G804"/>
    <mergeCell ref="H804:K804"/>
    <mergeCell ref="L804:N804"/>
    <mergeCell ref="O804:S804"/>
    <mergeCell ref="T804:V804"/>
    <mergeCell ref="W804:Z804"/>
    <mergeCell ref="AA804:AC804"/>
    <mergeCell ref="AD804:AH804"/>
    <mergeCell ref="E805:G805"/>
    <mergeCell ref="H805:K805"/>
    <mergeCell ref="L805:N805"/>
    <mergeCell ref="O805:S805"/>
    <mergeCell ref="T805:V805"/>
    <mergeCell ref="W805:Z805"/>
    <mergeCell ref="AA805:AC805"/>
    <mergeCell ref="AD805:AH805"/>
    <mergeCell ref="E800:G800"/>
    <mergeCell ref="H800:K800"/>
    <mergeCell ref="L800:N800"/>
    <mergeCell ref="O800:S800"/>
    <mergeCell ref="T800:V800"/>
    <mergeCell ref="W800:Z800"/>
    <mergeCell ref="AA800:AC800"/>
    <mergeCell ref="AD800:AH800"/>
    <mergeCell ref="E801:G801"/>
    <mergeCell ref="H801:K801"/>
    <mergeCell ref="L801:N801"/>
    <mergeCell ref="O801:S801"/>
    <mergeCell ref="T801:V801"/>
    <mergeCell ref="W801:Z801"/>
    <mergeCell ref="AA801:AC801"/>
    <mergeCell ref="AD801:AH801"/>
    <mergeCell ref="E802:G802"/>
    <mergeCell ref="H802:K802"/>
    <mergeCell ref="L802:N802"/>
    <mergeCell ref="O802:S802"/>
    <mergeCell ref="T802:V802"/>
    <mergeCell ref="W802:Z802"/>
    <mergeCell ref="AA802:AC802"/>
    <mergeCell ref="AD802:AH802"/>
    <mergeCell ref="E792:G792"/>
    <mergeCell ref="H792:K792"/>
    <mergeCell ref="L792:N792"/>
    <mergeCell ref="O792:S792"/>
    <mergeCell ref="T792:V792"/>
    <mergeCell ref="W792:Z792"/>
    <mergeCell ref="AA792:AC792"/>
    <mergeCell ref="AD792:AH792"/>
    <mergeCell ref="AD793:AF793"/>
    <mergeCell ref="E797:S797"/>
    <mergeCell ref="T797:AH797"/>
    <mergeCell ref="E798:G799"/>
    <mergeCell ref="H798:K799"/>
    <mergeCell ref="L798:N799"/>
    <mergeCell ref="O798:S799"/>
    <mergeCell ref="T798:V799"/>
    <mergeCell ref="W798:Z799"/>
    <mergeCell ref="AA798:AC799"/>
    <mergeCell ref="AD798:AH799"/>
    <mergeCell ref="E789:G789"/>
    <mergeCell ref="H789:K789"/>
    <mergeCell ref="L789:N789"/>
    <mergeCell ref="O789:S789"/>
    <mergeCell ref="T789:V789"/>
    <mergeCell ref="W789:Z789"/>
    <mergeCell ref="AA789:AC789"/>
    <mergeCell ref="AD789:AH789"/>
    <mergeCell ref="E790:G790"/>
    <mergeCell ref="H790:K790"/>
    <mergeCell ref="L790:N790"/>
    <mergeCell ref="O790:S790"/>
    <mergeCell ref="T790:V790"/>
    <mergeCell ref="W790:Z790"/>
    <mergeCell ref="AA790:AC790"/>
    <mergeCell ref="AD790:AH790"/>
    <mergeCell ref="E791:G791"/>
    <mergeCell ref="H791:K791"/>
    <mergeCell ref="L791:N791"/>
    <mergeCell ref="O791:S791"/>
    <mergeCell ref="T791:V791"/>
    <mergeCell ref="W791:Z791"/>
    <mergeCell ref="AA791:AC791"/>
    <mergeCell ref="AD791:AH791"/>
    <mergeCell ref="E786:G786"/>
    <mergeCell ref="H786:K786"/>
    <mergeCell ref="L786:N786"/>
    <mergeCell ref="O786:S786"/>
    <mergeCell ref="T786:V786"/>
    <mergeCell ref="W786:Z786"/>
    <mergeCell ref="AA786:AC786"/>
    <mergeCell ref="AD786:AH786"/>
    <mergeCell ref="E787:G787"/>
    <mergeCell ref="H787:K787"/>
    <mergeCell ref="L787:N787"/>
    <mergeCell ref="O787:S787"/>
    <mergeCell ref="T787:V787"/>
    <mergeCell ref="W787:Z787"/>
    <mergeCell ref="AA787:AC787"/>
    <mergeCell ref="AD787:AH787"/>
    <mergeCell ref="E788:G788"/>
    <mergeCell ref="H788:K788"/>
    <mergeCell ref="L788:N788"/>
    <mergeCell ref="O788:S788"/>
    <mergeCell ref="T788:V788"/>
    <mergeCell ref="W788:Z788"/>
    <mergeCell ref="AA788:AC788"/>
    <mergeCell ref="AD788:AH788"/>
    <mergeCell ref="E783:G783"/>
    <mergeCell ref="H783:K783"/>
    <mergeCell ref="L783:N783"/>
    <mergeCell ref="O783:S783"/>
    <mergeCell ref="T783:V783"/>
    <mergeCell ref="W783:Z783"/>
    <mergeCell ref="AA783:AC783"/>
    <mergeCell ref="AD783:AH783"/>
    <mergeCell ref="E784:G784"/>
    <mergeCell ref="H784:K784"/>
    <mergeCell ref="L784:N784"/>
    <mergeCell ref="O784:S784"/>
    <mergeCell ref="T784:V784"/>
    <mergeCell ref="W784:Z784"/>
    <mergeCell ref="AA784:AC784"/>
    <mergeCell ref="AD784:AH784"/>
    <mergeCell ref="E785:G785"/>
    <mergeCell ref="H785:K785"/>
    <mergeCell ref="L785:N785"/>
    <mergeCell ref="O785:S785"/>
    <mergeCell ref="T785:V785"/>
    <mergeCell ref="W785:Z785"/>
    <mergeCell ref="AA785:AC785"/>
    <mergeCell ref="AD785:AH785"/>
    <mergeCell ref="E780:G780"/>
    <mergeCell ref="H780:K780"/>
    <mergeCell ref="L780:N780"/>
    <mergeCell ref="O780:S780"/>
    <mergeCell ref="T780:V780"/>
    <mergeCell ref="W780:Z780"/>
    <mergeCell ref="AA780:AC780"/>
    <mergeCell ref="AD780:AH780"/>
    <mergeCell ref="E781:G781"/>
    <mergeCell ref="H781:K781"/>
    <mergeCell ref="L781:N781"/>
    <mergeCell ref="O781:S781"/>
    <mergeCell ref="T781:V781"/>
    <mergeCell ref="W781:Z781"/>
    <mergeCell ref="AA781:AC781"/>
    <mergeCell ref="AD781:AH781"/>
    <mergeCell ref="E782:G782"/>
    <mergeCell ref="H782:K782"/>
    <mergeCell ref="L782:N782"/>
    <mergeCell ref="O782:S782"/>
    <mergeCell ref="T782:V782"/>
    <mergeCell ref="W782:Z782"/>
    <mergeCell ref="AA782:AC782"/>
    <mergeCell ref="AD782:AH782"/>
    <mergeCell ref="E777:G777"/>
    <mergeCell ref="H777:K777"/>
    <mergeCell ref="L777:N777"/>
    <mergeCell ref="O777:S777"/>
    <mergeCell ref="T777:V777"/>
    <mergeCell ref="W777:Z777"/>
    <mergeCell ref="AA777:AC777"/>
    <mergeCell ref="AD777:AH777"/>
    <mergeCell ref="E778:G778"/>
    <mergeCell ref="H778:K778"/>
    <mergeCell ref="L778:N778"/>
    <mergeCell ref="O778:S778"/>
    <mergeCell ref="T778:V778"/>
    <mergeCell ref="W778:Z778"/>
    <mergeCell ref="AA778:AC778"/>
    <mergeCell ref="AD778:AH778"/>
    <mergeCell ref="E779:G779"/>
    <mergeCell ref="H779:K779"/>
    <mergeCell ref="L779:N779"/>
    <mergeCell ref="O779:S779"/>
    <mergeCell ref="T779:V779"/>
    <mergeCell ref="W779:Z779"/>
    <mergeCell ref="AA779:AC779"/>
    <mergeCell ref="AD779:AH779"/>
    <mergeCell ref="E769:G769"/>
    <mergeCell ref="H769:K769"/>
    <mergeCell ref="L769:N769"/>
    <mergeCell ref="O769:S769"/>
    <mergeCell ref="T769:V769"/>
    <mergeCell ref="W769:Z769"/>
    <mergeCell ref="AA769:AC769"/>
    <mergeCell ref="AD769:AH769"/>
    <mergeCell ref="AD770:AF770"/>
    <mergeCell ref="E774:S774"/>
    <mergeCell ref="T774:AH774"/>
    <mergeCell ref="E775:G776"/>
    <mergeCell ref="H775:K776"/>
    <mergeCell ref="L775:N776"/>
    <mergeCell ref="O775:S776"/>
    <mergeCell ref="T775:V776"/>
    <mergeCell ref="W775:Z776"/>
    <mergeCell ref="AA775:AC776"/>
    <mergeCell ref="AD775:AH776"/>
    <mergeCell ref="E766:G766"/>
    <mergeCell ref="H766:K766"/>
    <mergeCell ref="L766:N766"/>
    <mergeCell ref="O766:S766"/>
    <mergeCell ref="T766:V766"/>
    <mergeCell ref="W766:Z766"/>
    <mergeCell ref="AA766:AC766"/>
    <mergeCell ref="AD766:AH766"/>
    <mergeCell ref="E767:G767"/>
    <mergeCell ref="H767:K767"/>
    <mergeCell ref="L767:N767"/>
    <mergeCell ref="O767:S767"/>
    <mergeCell ref="T767:V767"/>
    <mergeCell ref="W767:Z767"/>
    <mergeCell ref="AA767:AC767"/>
    <mergeCell ref="AD767:AH767"/>
    <mergeCell ref="E768:G768"/>
    <mergeCell ref="H768:K768"/>
    <mergeCell ref="L768:N768"/>
    <mergeCell ref="O768:S768"/>
    <mergeCell ref="T768:V768"/>
    <mergeCell ref="W768:Z768"/>
    <mergeCell ref="AA768:AC768"/>
    <mergeCell ref="AD768:AH768"/>
    <mergeCell ref="E763:G763"/>
    <mergeCell ref="H763:K763"/>
    <mergeCell ref="L763:N763"/>
    <mergeCell ref="O763:S763"/>
    <mergeCell ref="T763:V763"/>
    <mergeCell ref="W763:Z763"/>
    <mergeCell ref="AA763:AC763"/>
    <mergeCell ref="AD763:AH763"/>
    <mergeCell ref="E764:G764"/>
    <mergeCell ref="H764:K764"/>
    <mergeCell ref="L764:N764"/>
    <mergeCell ref="O764:S764"/>
    <mergeCell ref="T764:V764"/>
    <mergeCell ref="W764:Z764"/>
    <mergeCell ref="AA764:AC764"/>
    <mergeCell ref="AD764:AH764"/>
    <mergeCell ref="E765:G765"/>
    <mergeCell ref="H765:K765"/>
    <mergeCell ref="L765:N765"/>
    <mergeCell ref="O765:S765"/>
    <mergeCell ref="T765:V765"/>
    <mergeCell ref="W765:Z765"/>
    <mergeCell ref="AA765:AC765"/>
    <mergeCell ref="AD765:AH765"/>
    <mergeCell ref="E760:G760"/>
    <mergeCell ref="H760:K760"/>
    <mergeCell ref="L760:N760"/>
    <mergeCell ref="O760:S760"/>
    <mergeCell ref="T760:V760"/>
    <mergeCell ref="W760:Z760"/>
    <mergeCell ref="AA760:AC760"/>
    <mergeCell ref="AD760:AH760"/>
    <mergeCell ref="E761:G761"/>
    <mergeCell ref="H761:K761"/>
    <mergeCell ref="L761:N761"/>
    <mergeCell ref="O761:S761"/>
    <mergeCell ref="T761:V761"/>
    <mergeCell ref="W761:Z761"/>
    <mergeCell ref="AA761:AC761"/>
    <mergeCell ref="AD761:AH761"/>
    <mergeCell ref="E762:G762"/>
    <mergeCell ref="H762:K762"/>
    <mergeCell ref="L762:N762"/>
    <mergeCell ref="O762:S762"/>
    <mergeCell ref="T762:V762"/>
    <mergeCell ref="W762:Z762"/>
    <mergeCell ref="AA762:AC762"/>
    <mergeCell ref="AD762:AH762"/>
    <mergeCell ref="E757:G757"/>
    <mergeCell ref="H757:K757"/>
    <mergeCell ref="L757:N757"/>
    <mergeCell ref="O757:S757"/>
    <mergeCell ref="T757:V757"/>
    <mergeCell ref="W757:Z757"/>
    <mergeCell ref="AA757:AC757"/>
    <mergeCell ref="AD757:AH757"/>
    <mergeCell ref="E758:G758"/>
    <mergeCell ref="H758:K758"/>
    <mergeCell ref="L758:N758"/>
    <mergeCell ref="O758:S758"/>
    <mergeCell ref="T758:V758"/>
    <mergeCell ref="W758:Z758"/>
    <mergeCell ref="AA758:AC758"/>
    <mergeCell ref="AD758:AH758"/>
    <mergeCell ref="E759:G759"/>
    <mergeCell ref="H759:K759"/>
    <mergeCell ref="L759:N759"/>
    <mergeCell ref="O759:S759"/>
    <mergeCell ref="T759:V759"/>
    <mergeCell ref="W759:Z759"/>
    <mergeCell ref="AA759:AC759"/>
    <mergeCell ref="AD759:AH759"/>
    <mergeCell ref="E754:G754"/>
    <mergeCell ref="H754:K754"/>
    <mergeCell ref="L754:N754"/>
    <mergeCell ref="O754:S754"/>
    <mergeCell ref="T754:V754"/>
    <mergeCell ref="W754:Z754"/>
    <mergeCell ref="AA754:AC754"/>
    <mergeCell ref="AD754:AH754"/>
    <mergeCell ref="E755:G755"/>
    <mergeCell ref="H755:K755"/>
    <mergeCell ref="L755:N755"/>
    <mergeCell ref="O755:S755"/>
    <mergeCell ref="T755:V755"/>
    <mergeCell ref="W755:Z755"/>
    <mergeCell ref="AA755:AC755"/>
    <mergeCell ref="AD755:AH755"/>
    <mergeCell ref="E756:G756"/>
    <mergeCell ref="H756:K756"/>
    <mergeCell ref="L756:N756"/>
    <mergeCell ref="O756:S756"/>
    <mergeCell ref="T756:V756"/>
    <mergeCell ref="W756:Z756"/>
    <mergeCell ref="AA756:AC756"/>
    <mergeCell ref="AD756:AH756"/>
    <mergeCell ref="E746:G746"/>
    <mergeCell ref="H746:K746"/>
    <mergeCell ref="L746:N746"/>
    <mergeCell ref="O746:S746"/>
    <mergeCell ref="T746:V746"/>
    <mergeCell ref="W746:Z746"/>
    <mergeCell ref="AA746:AC746"/>
    <mergeCell ref="AD746:AH746"/>
    <mergeCell ref="AD747:AF747"/>
    <mergeCell ref="E751:S751"/>
    <mergeCell ref="T751:AH751"/>
    <mergeCell ref="E752:G753"/>
    <mergeCell ref="H752:K753"/>
    <mergeCell ref="L752:N753"/>
    <mergeCell ref="O752:S753"/>
    <mergeCell ref="T752:V753"/>
    <mergeCell ref="W752:Z753"/>
    <mergeCell ref="AA752:AC753"/>
    <mergeCell ref="AD752:AH753"/>
    <mergeCell ref="E743:G743"/>
    <mergeCell ref="H743:K743"/>
    <mergeCell ref="L743:N743"/>
    <mergeCell ref="O743:S743"/>
    <mergeCell ref="T743:V743"/>
    <mergeCell ref="W743:Z743"/>
    <mergeCell ref="AA743:AC743"/>
    <mergeCell ref="AD743:AH743"/>
    <mergeCell ref="E744:G744"/>
    <mergeCell ref="H744:K744"/>
    <mergeCell ref="L744:N744"/>
    <mergeCell ref="O744:S744"/>
    <mergeCell ref="T744:V744"/>
    <mergeCell ref="W744:Z744"/>
    <mergeCell ref="AA744:AC744"/>
    <mergeCell ref="AD744:AH744"/>
    <mergeCell ref="E745:G745"/>
    <mergeCell ref="H745:K745"/>
    <mergeCell ref="L745:N745"/>
    <mergeCell ref="O745:S745"/>
    <mergeCell ref="T745:V745"/>
    <mergeCell ref="W745:Z745"/>
    <mergeCell ref="AA745:AC745"/>
    <mergeCell ref="AD745:AH745"/>
    <mergeCell ref="E740:G740"/>
    <mergeCell ref="H740:K740"/>
    <mergeCell ref="L740:N740"/>
    <mergeCell ref="O740:S740"/>
    <mergeCell ref="T740:V740"/>
    <mergeCell ref="W740:Z740"/>
    <mergeCell ref="AA740:AC740"/>
    <mergeCell ref="AD740:AH740"/>
    <mergeCell ref="E741:G741"/>
    <mergeCell ref="H741:K741"/>
    <mergeCell ref="L741:N741"/>
    <mergeCell ref="O741:S741"/>
    <mergeCell ref="T741:V741"/>
    <mergeCell ref="W741:Z741"/>
    <mergeCell ref="AA741:AC741"/>
    <mergeCell ref="AD741:AH741"/>
    <mergeCell ref="E742:G742"/>
    <mergeCell ref="H742:K742"/>
    <mergeCell ref="L742:N742"/>
    <mergeCell ref="O742:S742"/>
    <mergeCell ref="T742:V742"/>
    <mergeCell ref="W742:Z742"/>
    <mergeCell ref="AA742:AC742"/>
    <mergeCell ref="AD742:AH742"/>
    <mergeCell ref="E737:G737"/>
    <mergeCell ref="H737:K737"/>
    <mergeCell ref="L737:N737"/>
    <mergeCell ref="O737:S737"/>
    <mergeCell ref="T737:V737"/>
    <mergeCell ref="W737:Z737"/>
    <mergeCell ref="AA737:AC737"/>
    <mergeCell ref="AD737:AH737"/>
    <mergeCell ref="E738:G738"/>
    <mergeCell ref="H738:K738"/>
    <mergeCell ref="L738:N738"/>
    <mergeCell ref="O738:S738"/>
    <mergeCell ref="T738:V738"/>
    <mergeCell ref="W738:Z738"/>
    <mergeCell ref="AA738:AC738"/>
    <mergeCell ref="AD738:AH738"/>
    <mergeCell ref="E739:G739"/>
    <mergeCell ref="H739:K739"/>
    <mergeCell ref="L739:N739"/>
    <mergeCell ref="O739:S739"/>
    <mergeCell ref="T739:V739"/>
    <mergeCell ref="W739:Z739"/>
    <mergeCell ref="AA739:AC739"/>
    <mergeCell ref="AD739:AH739"/>
    <mergeCell ref="E734:G734"/>
    <mergeCell ref="H734:K734"/>
    <mergeCell ref="L734:N734"/>
    <mergeCell ref="O734:S734"/>
    <mergeCell ref="T734:V734"/>
    <mergeCell ref="W734:Z734"/>
    <mergeCell ref="AA734:AC734"/>
    <mergeCell ref="AD734:AH734"/>
    <mergeCell ref="E735:G735"/>
    <mergeCell ref="H735:K735"/>
    <mergeCell ref="L735:N735"/>
    <mergeCell ref="O735:S735"/>
    <mergeCell ref="T735:V735"/>
    <mergeCell ref="W735:Z735"/>
    <mergeCell ref="AA735:AC735"/>
    <mergeCell ref="AD735:AH735"/>
    <mergeCell ref="E736:G736"/>
    <mergeCell ref="H736:K736"/>
    <mergeCell ref="L736:N736"/>
    <mergeCell ref="O736:S736"/>
    <mergeCell ref="T736:V736"/>
    <mergeCell ref="W736:Z736"/>
    <mergeCell ref="AA736:AC736"/>
    <mergeCell ref="AD736:AH736"/>
    <mergeCell ref="E731:G731"/>
    <mergeCell ref="H731:K731"/>
    <mergeCell ref="L731:N731"/>
    <mergeCell ref="O731:S731"/>
    <mergeCell ref="T731:V731"/>
    <mergeCell ref="W731:Z731"/>
    <mergeCell ref="AA731:AC731"/>
    <mergeCell ref="AD731:AH731"/>
    <mergeCell ref="E732:G732"/>
    <mergeCell ref="H732:K732"/>
    <mergeCell ref="L732:N732"/>
    <mergeCell ref="O732:S732"/>
    <mergeCell ref="T732:V732"/>
    <mergeCell ref="W732:Z732"/>
    <mergeCell ref="AA732:AC732"/>
    <mergeCell ref="AD732:AH732"/>
    <mergeCell ref="E733:G733"/>
    <mergeCell ref="H733:K733"/>
    <mergeCell ref="L733:N733"/>
    <mergeCell ref="O733:S733"/>
    <mergeCell ref="T733:V733"/>
    <mergeCell ref="W733:Z733"/>
    <mergeCell ref="AA733:AC733"/>
    <mergeCell ref="AD733:AH733"/>
    <mergeCell ref="E723:G723"/>
    <mergeCell ref="H723:K723"/>
    <mergeCell ref="L723:N723"/>
    <mergeCell ref="O723:S723"/>
    <mergeCell ref="T723:V723"/>
    <mergeCell ref="W723:Z723"/>
    <mergeCell ref="AA723:AC723"/>
    <mergeCell ref="AD723:AH723"/>
    <mergeCell ref="AD724:AF724"/>
    <mergeCell ref="E728:S728"/>
    <mergeCell ref="T728:AH728"/>
    <mergeCell ref="E729:G730"/>
    <mergeCell ref="H729:K730"/>
    <mergeCell ref="L729:N730"/>
    <mergeCell ref="O729:S730"/>
    <mergeCell ref="T729:V730"/>
    <mergeCell ref="W729:Z730"/>
    <mergeCell ref="AA729:AC730"/>
    <mergeCell ref="AD729:AH730"/>
    <mergeCell ref="E720:G720"/>
    <mergeCell ref="H720:K720"/>
    <mergeCell ref="L720:N720"/>
    <mergeCell ref="O720:S720"/>
    <mergeCell ref="T720:V720"/>
    <mergeCell ref="W720:Z720"/>
    <mergeCell ref="AA720:AC720"/>
    <mergeCell ref="AD720:AH720"/>
    <mergeCell ref="E721:G721"/>
    <mergeCell ref="H721:K721"/>
    <mergeCell ref="L721:N721"/>
    <mergeCell ref="O721:S721"/>
    <mergeCell ref="T721:V721"/>
    <mergeCell ref="W721:Z721"/>
    <mergeCell ref="AA721:AC721"/>
    <mergeCell ref="AD721:AH721"/>
    <mergeCell ref="E722:G722"/>
    <mergeCell ref="H722:K722"/>
    <mergeCell ref="L722:N722"/>
    <mergeCell ref="O722:S722"/>
    <mergeCell ref="T722:V722"/>
    <mergeCell ref="W722:Z722"/>
    <mergeCell ref="AA722:AC722"/>
    <mergeCell ref="AD722:AH722"/>
    <mergeCell ref="E717:G717"/>
    <mergeCell ref="H717:K717"/>
    <mergeCell ref="L717:N717"/>
    <mergeCell ref="O717:S717"/>
    <mergeCell ref="T717:V717"/>
    <mergeCell ref="W717:Z717"/>
    <mergeCell ref="AA717:AC717"/>
    <mergeCell ref="AD717:AH717"/>
    <mergeCell ref="E718:G718"/>
    <mergeCell ref="H718:K718"/>
    <mergeCell ref="L718:N718"/>
    <mergeCell ref="O718:S718"/>
    <mergeCell ref="T718:V718"/>
    <mergeCell ref="W718:Z718"/>
    <mergeCell ref="AA718:AC718"/>
    <mergeCell ref="AD718:AH718"/>
    <mergeCell ref="E719:G719"/>
    <mergeCell ref="H719:K719"/>
    <mergeCell ref="L719:N719"/>
    <mergeCell ref="O719:S719"/>
    <mergeCell ref="T719:V719"/>
    <mergeCell ref="W719:Z719"/>
    <mergeCell ref="AA719:AC719"/>
    <mergeCell ref="AD719:AH719"/>
    <mergeCell ref="E714:G714"/>
    <mergeCell ref="H714:K714"/>
    <mergeCell ref="L714:N714"/>
    <mergeCell ref="O714:S714"/>
    <mergeCell ref="T714:V714"/>
    <mergeCell ref="W714:Z714"/>
    <mergeCell ref="AA714:AC714"/>
    <mergeCell ref="AD714:AH714"/>
    <mergeCell ref="E715:G715"/>
    <mergeCell ref="H715:K715"/>
    <mergeCell ref="L715:N715"/>
    <mergeCell ref="O715:S715"/>
    <mergeCell ref="T715:V715"/>
    <mergeCell ref="W715:Z715"/>
    <mergeCell ref="AA715:AC715"/>
    <mergeCell ref="AD715:AH715"/>
    <mergeCell ref="E716:G716"/>
    <mergeCell ref="H716:K716"/>
    <mergeCell ref="L716:N716"/>
    <mergeCell ref="O716:S716"/>
    <mergeCell ref="T716:V716"/>
    <mergeCell ref="W716:Z716"/>
    <mergeCell ref="AA716:AC716"/>
    <mergeCell ref="AD716:AH716"/>
    <mergeCell ref="E711:G711"/>
    <mergeCell ref="H711:K711"/>
    <mergeCell ref="L711:N711"/>
    <mergeCell ref="O711:S711"/>
    <mergeCell ref="T711:V711"/>
    <mergeCell ref="W711:Z711"/>
    <mergeCell ref="AA711:AC711"/>
    <mergeCell ref="AD711:AH711"/>
    <mergeCell ref="E712:G712"/>
    <mergeCell ref="H712:K712"/>
    <mergeCell ref="L712:N712"/>
    <mergeCell ref="O712:S712"/>
    <mergeCell ref="T712:V712"/>
    <mergeCell ref="W712:Z712"/>
    <mergeCell ref="AA712:AC712"/>
    <mergeCell ref="AD712:AH712"/>
    <mergeCell ref="E713:G713"/>
    <mergeCell ref="H713:K713"/>
    <mergeCell ref="L713:N713"/>
    <mergeCell ref="O713:S713"/>
    <mergeCell ref="T713:V713"/>
    <mergeCell ref="W713:Z713"/>
    <mergeCell ref="AA713:AC713"/>
    <mergeCell ref="AD713:AH713"/>
    <mergeCell ref="E708:G708"/>
    <mergeCell ref="H708:K708"/>
    <mergeCell ref="L708:N708"/>
    <mergeCell ref="O708:S708"/>
    <mergeCell ref="T708:V708"/>
    <mergeCell ref="W708:Z708"/>
    <mergeCell ref="AA708:AC708"/>
    <mergeCell ref="AD708:AH708"/>
    <mergeCell ref="E709:G709"/>
    <mergeCell ref="H709:K709"/>
    <mergeCell ref="L709:N709"/>
    <mergeCell ref="O709:S709"/>
    <mergeCell ref="T709:V709"/>
    <mergeCell ref="W709:Z709"/>
    <mergeCell ref="AA709:AC709"/>
    <mergeCell ref="AD709:AH709"/>
    <mergeCell ref="E710:G710"/>
    <mergeCell ref="H710:K710"/>
    <mergeCell ref="L710:N710"/>
    <mergeCell ref="O710:S710"/>
    <mergeCell ref="T710:V710"/>
    <mergeCell ref="W710:Z710"/>
    <mergeCell ref="AA710:AC710"/>
    <mergeCell ref="AD710:AH710"/>
    <mergeCell ref="E699:G699"/>
    <mergeCell ref="H699:K699"/>
    <mergeCell ref="L699:N699"/>
    <mergeCell ref="O699:S699"/>
    <mergeCell ref="AD699:AH699"/>
    <mergeCell ref="E700:G700"/>
    <mergeCell ref="H700:K700"/>
    <mergeCell ref="L700:N700"/>
    <mergeCell ref="O700:S700"/>
    <mergeCell ref="AD700:AH700"/>
    <mergeCell ref="AD701:AF701"/>
    <mergeCell ref="E705:S705"/>
    <mergeCell ref="T705:AH705"/>
    <mergeCell ref="E706:G707"/>
    <mergeCell ref="H706:K707"/>
    <mergeCell ref="L706:N707"/>
    <mergeCell ref="O706:S707"/>
    <mergeCell ref="T706:V707"/>
    <mergeCell ref="W706:Z707"/>
    <mergeCell ref="AA706:AC707"/>
    <mergeCell ref="AD706:AH707"/>
    <mergeCell ref="E695:G695"/>
    <mergeCell ref="H695:K695"/>
    <mergeCell ref="L695:N695"/>
    <mergeCell ref="O695:S695"/>
    <mergeCell ref="AD695:AH695"/>
    <mergeCell ref="E696:G696"/>
    <mergeCell ref="H696:K696"/>
    <mergeCell ref="L696:N696"/>
    <mergeCell ref="O696:S696"/>
    <mergeCell ref="AD696:AH696"/>
    <mergeCell ref="E697:G697"/>
    <mergeCell ref="H697:K697"/>
    <mergeCell ref="L697:N697"/>
    <mergeCell ref="O697:S697"/>
    <mergeCell ref="AD697:AH697"/>
    <mergeCell ref="E698:G698"/>
    <mergeCell ref="H698:K698"/>
    <mergeCell ref="L698:N698"/>
    <mergeCell ref="O698:S698"/>
    <mergeCell ref="AD698:AH698"/>
    <mergeCell ref="E691:G691"/>
    <mergeCell ref="H691:K691"/>
    <mergeCell ref="L691:N691"/>
    <mergeCell ref="O691:S691"/>
    <mergeCell ref="AD691:AH691"/>
    <mergeCell ref="E692:G692"/>
    <mergeCell ref="H692:K692"/>
    <mergeCell ref="L692:N692"/>
    <mergeCell ref="O692:S692"/>
    <mergeCell ref="AD692:AH692"/>
    <mergeCell ref="E693:G693"/>
    <mergeCell ref="H693:K693"/>
    <mergeCell ref="L693:N693"/>
    <mergeCell ref="O693:S693"/>
    <mergeCell ref="AD693:AH693"/>
    <mergeCell ref="E694:G694"/>
    <mergeCell ref="H694:K694"/>
    <mergeCell ref="L694:N694"/>
    <mergeCell ref="O694:S694"/>
    <mergeCell ref="AD694:AH694"/>
    <mergeCell ref="E687:G687"/>
    <mergeCell ref="H687:K687"/>
    <mergeCell ref="L687:N687"/>
    <mergeCell ref="O687:S687"/>
    <mergeCell ref="AD687:AH687"/>
    <mergeCell ref="E688:G688"/>
    <mergeCell ref="H688:K688"/>
    <mergeCell ref="L688:N688"/>
    <mergeCell ref="O688:S688"/>
    <mergeCell ref="AD688:AH688"/>
    <mergeCell ref="E689:G689"/>
    <mergeCell ref="H689:K689"/>
    <mergeCell ref="L689:N689"/>
    <mergeCell ref="O689:S689"/>
    <mergeCell ref="AD689:AH689"/>
    <mergeCell ref="E690:G690"/>
    <mergeCell ref="H690:K690"/>
    <mergeCell ref="L690:N690"/>
    <mergeCell ref="O690:S690"/>
    <mergeCell ref="AD690:AH690"/>
    <mergeCell ref="AD678:AF678"/>
    <mergeCell ref="E682:S682"/>
    <mergeCell ref="T682:AH682"/>
    <mergeCell ref="E683:G684"/>
    <mergeCell ref="H683:K684"/>
    <mergeCell ref="L683:N684"/>
    <mergeCell ref="O683:S684"/>
    <mergeCell ref="T683:V684"/>
    <mergeCell ref="W683:Z684"/>
    <mergeCell ref="AD683:AH684"/>
    <mergeCell ref="E685:G685"/>
    <mergeCell ref="H685:K685"/>
    <mergeCell ref="L685:N685"/>
    <mergeCell ref="O685:S685"/>
    <mergeCell ref="W685:Z685"/>
    <mergeCell ref="AD685:AH685"/>
    <mergeCell ref="E686:G686"/>
    <mergeCell ref="H686:K686"/>
    <mergeCell ref="L686:N686"/>
    <mergeCell ref="O686:S686"/>
    <mergeCell ref="AD686:AH686"/>
    <mergeCell ref="E675:G675"/>
    <mergeCell ref="H675:K675"/>
    <mergeCell ref="L675:N675"/>
    <mergeCell ref="O675:S675"/>
    <mergeCell ref="T675:V675"/>
    <mergeCell ref="W675:Z675"/>
    <mergeCell ref="AA675:AC675"/>
    <mergeCell ref="AD675:AH675"/>
    <mergeCell ref="E676:G676"/>
    <mergeCell ref="H676:K676"/>
    <mergeCell ref="L676:N676"/>
    <mergeCell ref="O676:S676"/>
    <mergeCell ref="T676:V676"/>
    <mergeCell ref="W676:Z676"/>
    <mergeCell ref="AA676:AC676"/>
    <mergeCell ref="AD676:AH676"/>
    <mergeCell ref="E677:G677"/>
    <mergeCell ref="H677:K677"/>
    <mergeCell ref="L677:N677"/>
    <mergeCell ref="O677:S677"/>
    <mergeCell ref="T677:V677"/>
    <mergeCell ref="W677:Z677"/>
    <mergeCell ref="AA677:AC677"/>
    <mergeCell ref="AD677:AH677"/>
    <mergeCell ref="E672:G672"/>
    <mergeCell ref="H672:K672"/>
    <mergeCell ref="L672:N672"/>
    <mergeCell ref="O672:S672"/>
    <mergeCell ref="T672:V672"/>
    <mergeCell ref="W672:Z672"/>
    <mergeCell ref="AA672:AC672"/>
    <mergeCell ref="AD672:AH672"/>
    <mergeCell ref="E673:G673"/>
    <mergeCell ref="H673:K673"/>
    <mergeCell ref="L673:N673"/>
    <mergeCell ref="O673:S673"/>
    <mergeCell ref="T673:V673"/>
    <mergeCell ref="W673:Z673"/>
    <mergeCell ref="AA673:AC673"/>
    <mergeCell ref="AD673:AH673"/>
    <mergeCell ref="E674:G674"/>
    <mergeCell ref="H674:K674"/>
    <mergeCell ref="L674:N674"/>
    <mergeCell ref="O674:S674"/>
    <mergeCell ref="T674:V674"/>
    <mergeCell ref="W674:Z674"/>
    <mergeCell ref="AA674:AC674"/>
    <mergeCell ref="AD674:AH674"/>
    <mergeCell ref="E669:G669"/>
    <mergeCell ref="H669:K669"/>
    <mergeCell ref="L669:N669"/>
    <mergeCell ref="O669:S669"/>
    <mergeCell ref="T669:V669"/>
    <mergeCell ref="W669:Z669"/>
    <mergeCell ref="AA669:AC669"/>
    <mergeCell ref="AD669:AH669"/>
    <mergeCell ref="E670:G670"/>
    <mergeCell ref="H670:K670"/>
    <mergeCell ref="L670:N670"/>
    <mergeCell ref="O670:S670"/>
    <mergeCell ref="T670:V670"/>
    <mergeCell ref="W670:Z670"/>
    <mergeCell ref="AA670:AC670"/>
    <mergeCell ref="AD670:AH670"/>
    <mergeCell ref="E671:G671"/>
    <mergeCell ref="H671:K671"/>
    <mergeCell ref="L671:N671"/>
    <mergeCell ref="O671:S671"/>
    <mergeCell ref="T671:V671"/>
    <mergeCell ref="W671:Z671"/>
    <mergeCell ref="AA671:AC671"/>
    <mergeCell ref="AD671:AH671"/>
    <mergeCell ref="E666:G666"/>
    <mergeCell ref="H666:K666"/>
    <mergeCell ref="L666:N666"/>
    <mergeCell ref="O666:S666"/>
    <mergeCell ref="T666:V666"/>
    <mergeCell ref="W666:Z666"/>
    <mergeCell ref="AA666:AC666"/>
    <mergeCell ref="AD666:AH666"/>
    <mergeCell ref="E667:G667"/>
    <mergeCell ref="H667:K667"/>
    <mergeCell ref="L667:N667"/>
    <mergeCell ref="O667:S667"/>
    <mergeCell ref="T667:V667"/>
    <mergeCell ref="W667:Z667"/>
    <mergeCell ref="AA667:AC667"/>
    <mergeCell ref="AD667:AH667"/>
    <mergeCell ref="E668:G668"/>
    <mergeCell ref="H668:K668"/>
    <mergeCell ref="L668:N668"/>
    <mergeCell ref="O668:S668"/>
    <mergeCell ref="T668:V668"/>
    <mergeCell ref="W668:Z668"/>
    <mergeCell ref="AA668:AC668"/>
    <mergeCell ref="AD668:AH668"/>
    <mergeCell ref="E663:G663"/>
    <mergeCell ref="H663:K663"/>
    <mergeCell ref="L663:N663"/>
    <mergeCell ref="O663:S663"/>
    <mergeCell ref="T663:V663"/>
    <mergeCell ref="W663:Z663"/>
    <mergeCell ref="AA663:AC663"/>
    <mergeCell ref="AD663:AH663"/>
    <mergeCell ref="E664:G664"/>
    <mergeCell ref="H664:K664"/>
    <mergeCell ref="L664:N664"/>
    <mergeCell ref="O664:S664"/>
    <mergeCell ref="T664:V664"/>
    <mergeCell ref="W664:Z664"/>
    <mergeCell ref="AA664:AC664"/>
    <mergeCell ref="AD664:AH664"/>
    <mergeCell ref="E665:G665"/>
    <mergeCell ref="H665:K665"/>
    <mergeCell ref="L665:N665"/>
    <mergeCell ref="O665:S665"/>
    <mergeCell ref="T665:V665"/>
    <mergeCell ref="W665:Z665"/>
    <mergeCell ref="AA665:AC665"/>
    <mergeCell ref="AD665:AH665"/>
    <mergeCell ref="E659:S659"/>
    <mergeCell ref="T659:AH659"/>
    <mergeCell ref="E660:G661"/>
    <mergeCell ref="H660:K661"/>
    <mergeCell ref="L660:N661"/>
    <mergeCell ref="O660:S661"/>
    <mergeCell ref="T660:V661"/>
    <mergeCell ref="W660:Z661"/>
    <mergeCell ref="AA660:AC661"/>
    <mergeCell ref="AD660:AH661"/>
    <mergeCell ref="E662:G662"/>
    <mergeCell ref="H662:K662"/>
    <mergeCell ref="L662:N662"/>
    <mergeCell ref="O662:S662"/>
    <mergeCell ref="T662:V662"/>
    <mergeCell ref="W662:Z662"/>
    <mergeCell ref="AA662:AC662"/>
    <mergeCell ref="AD662:AH662"/>
    <mergeCell ref="W649:Z649"/>
    <mergeCell ref="W650:Z650"/>
    <mergeCell ref="W651:Z651"/>
    <mergeCell ref="W652:Z652"/>
    <mergeCell ref="W653:Z653"/>
    <mergeCell ref="W654:Z654"/>
    <mergeCell ref="AD640:AH640"/>
    <mergeCell ref="AD641:AH641"/>
    <mergeCell ref="AD642:AH642"/>
    <mergeCell ref="AD643:AH643"/>
    <mergeCell ref="AD644:AH644"/>
    <mergeCell ref="AD645:AH645"/>
    <mergeCell ref="AD646:AH646"/>
    <mergeCell ref="AD647:AH647"/>
    <mergeCell ref="AD648:AH648"/>
    <mergeCell ref="AD649:AH649"/>
    <mergeCell ref="AD650:AH650"/>
    <mergeCell ref="AD651:AH651"/>
    <mergeCell ref="AD652:AH652"/>
    <mergeCell ref="AD653:AH653"/>
    <mergeCell ref="AD654:AH654"/>
    <mergeCell ref="H653:K653"/>
    <mergeCell ref="H654:K654"/>
    <mergeCell ref="O640:S640"/>
    <mergeCell ref="O641:S641"/>
    <mergeCell ref="O642:S642"/>
    <mergeCell ref="O643:S643"/>
    <mergeCell ref="O644:S644"/>
    <mergeCell ref="O645:S645"/>
    <mergeCell ref="O646:S646"/>
    <mergeCell ref="O647:S647"/>
    <mergeCell ref="O648:S648"/>
    <mergeCell ref="O649:S649"/>
    <mergeCell ref="O650:S650"/>
    <mergeCell ref="O651:S651"/>
    <mergeCell ref="O652:S652"/>
    <mergeCell ref="O653:S653"/>
    <mergeCell ref="O654:S654"/>
    <mergeCell ref="H639:K639"/>
    <mergeCell ref="O639:S639"/>
    <mergeCell ref="AD639:AH639"/>
    <mergeCell ref="AA639:AC639"/>
    <mergeCell ref="AA640:AC640"/>
    <mergeCell ref="AA641:AC641"/>
    <mergeCell ref="AA642:AC642"/>
    <mergeCell ref="AA643:AC643"/>
    <mergeCell ref="AA644:AC644"/>
    <mergeCell ref="AA645:AC645"/>
    <mergeCell ref="AA646:AC646"/>
    <mergeCell ref="AA647:AC647"/>
    <mergeCell ref="AA648:AC648"/>
    <mergeCell ref="AA649:AC649"/>
    <mergeCell ref="AA650:AC650"/>
    <mergeCell ref="AA651:AC651"/>
    <mergeCell ref="AA652:AC652"/>
    <mergeCell ref="W639:Z639"/>
    <mergeCell ref="H640:K640"/>
    <mergeCell ref="H641:K641"/>
    <mergeCell ref="H642:K642"/>
    <mergeCell ref="H643:K643"/>
    <mergeCell ref="H644:K644"/>
    <mergeCell ref="H645:K645"/>
    <mergeCell ref="H646:K646"/>
    <mergeCell ref="H647:K647"/>
    <mergeCell ref="H648:K648"/>
    <mergeCell ref="H649:K649"/>
    <mergeCell ref="H650:K650"/>
    <mergeCell ref="H651:K651"/>
    <mergeCell ref="H652:K652"/>
    <mergeCell ref="W640:Z640"/>
    <mergeCell ref="T637:V638"/>
    <mergeCell ref="T639:V639"/>
    <mergeCell ref="T640:V640"/>
    <mergeCell ref="T641:V641"/>
    <mergeCell ref="T642:V642"/>
    <mergeCell ref="T643:V643"/>
    <mergeCell ref="T644:V644"/>
    <mergeCell ref="T645:V645"/>
    <mergeCell ref="T646:V646"/>
    <mergeCell ref="T647:V647"/>
    <mergeCell ref="T648:V648"/>
    <mergeCell ref="T649:V649"/>
    <mergeCell ref="T650:V650"/>
    <mergeCell ref="T651:V651"/>
    <mergeCell ref="T652:V652"/>
    <mergeCell ref="T653:V653"/>
    <mergeCell ref="T654:V654"/>
    <mergeCell ref="AA653:AC653"/>
    <mergeCell ref="AA654:AC654"/>
    <mergeCell ref="W641:Z641"/>
    <mergeCell ref="W642:Z642"/>
    <mergeCell ref="W643:Z643"/>
    <mergeCell ref="W644:Z644"/>
    <mergeCell ref="W645:Z645"/>
    <mergeCell ref="W646:Z646"/>
    <mergeCell ref="W647:Z647"/>
    <mergeCell ref="W648:Z648"/>
    <mergeCell ref="E624:G624"/>
    <mergeCell ref="H624:J624"/>
    <mergeCell ref="K624:N624"/>
    <mergeCell ref="O624:S624"/>
    <mergeCell ref="T624:W624"/>
    <mergeCell ref="X624:AA624"/>
    <mergeCell ref="AB624:AE624"/>
    <mergeCell ref="U625:V625"/>
    <mergeCell ref="X625:AB625"/>
    <mergeCell ref="AC625:AD625"/>
    <mergeCell ref="E628:F628"/>
    <mergeCell ref="H628:J628"/>
    <mergeCell ref="O637:S638"/>
    <mergeCell ref="AD637:AH638"/>
    <mergeCell ref="AA637:AC638"/>
    <mergeCell ref="W637:Z638"/>
    <mergeCell ref="H637:K638"/>
    <mergeCell ref="E636:S636"/>
    <mergeCell ref="T636:AH636"/>
    <mergeCell ref="E621:G621"/>
    <mergeCell ref="H621:J621"/>
    <mergeCell ref="K621:N621"/>
    <mergeCell ref="O621:S621"/>
    <mergeCell ref="T621:W621"/>
    <mergeCell ref="X621:AA621"/>
    <mergeCell ref="AB621:AE621"/>
    <mergeCell ref="E622:G622"/>
    <mergeCell ref="H622:J622"/>
    <mergeCell ref="K622:N622"/>
    <mergeCell ref="O622:S622"/>
    <mergeCell ref="T622:W622"/>
    <mergeCell ref="X622:AA622"/>
    <mergeCell ref="AB622:AE622"/>
    <mergeCell ref="E623:G623"/>
    <mergeCell ref="H623:J623"/>
    <mergeCell ref="K623:N623"/>
    <mergeCell ref="O623:S623"/>
    <mergeCell ref="T623:W623"/>
    <mergeCell ref="X623:AA623"/>
    <mergeCell ref="AB623:AE623"/>
    <mergeCell ref="E618:G618"/>
    <mergeCell ref="H618:J618"/>
    <mergeCell ref="K618:N618"/>
    <mergeCell ref="O618:S618"/>
    <mergeCell ref="T618:W618"/>
    <mergeCell ref="X618:AA618"/>
    <mergeCell ref="AB618:AE618"/>
    <mergeCell ref="E619:G619"/>
    <mergeCell ref="H619:J619"/>
    <mergeCell ref="K619:N619"/>
    <mergeCell ref="O619:S619"/>
    <mergeCell ref="T619:W619"/>
    <mergeCell ref="X619:AA619"/>
    <mergeCell ref="AB619:AE619"/>
    <mergeCell ref="E620:G620"/>
    <mergeCell ref="H620:J620"/>
    <mergeCell ref="K620:N620"/>
    <mergeCell ref="O620:S620"/>
    <mergeCell ref="T620:W620"/>
    <mergeCell ref="X620:AA620"/>
    <mergeCell ref="AB620:AE620"/>
    <mergeCell ref="E615:G615"/>
    <mergeCell ref="H615:J615"/>
    <mergeCell ref="K615:N615"/>
    <mergeCell ref="O615:S615"/>
    <mergeCell ref="T615:W615"/>
    <mergeCell ref="X615:AA615"/>
    <mergeCell ref="AB615:AE615"/>
    <mergeCell ref="E616:G616"/>
    <mergeCell ref="H616:J616"/>
    <mergeCell ref="K616:N616"/>
    <mergeCell ref="O616:S616"/>
    <mergeCell ref="T616:W616"/>
    <mergeCell ref="X616:AA616"/>
    <mergeCell ref="AB616:AE616"/>
    <mergeCell ref="E617:G617"/>
    <mergeCell ref="H617:J617"/>
    <mergeCell ref="K617:N617"/>
    <mergeCell ref="O617:S617"/>
    <mergeCell ref="T617:W617"/>
    <mergeCell ref="X617:AA617"/>
    <mergeCell ref="AB617:AE617"/>
    <mergeCell ref="E612:G612"/>
    <mergeCell ref="H612:J612"/>
    <mergeCell ref="K612:N612"/>
    <mergeCell ref="O612:S612"/>
    <mergeCell ref="T612:W612"/>
    <mergeCell ref="X612:AA612"/>
    <mergeCell ref="AB612:AE612"/>
    <mergeCell ref="E613:G613"/>
    <mergeCell ref="H613:J613"/>
    <mergeCell ref="K613:N613"/>
    <mergeCell ref="O613:S613"/>
    <mergeCell ref="T613:W613"/>
    <mergeCell ref="X613:AA613"/>
    <mergeCell ref="AB613:AE613"/>
    <mergeCell ref="E614:G614"/>
    <mergeCell ref="H614:J614"/>
    <mergeCell ref="K614:N614"/>
    <mergeCell ref="O614:S614"/>
    <mergeCell ref="T614:W614"/>
    <mergeCell ref="X614:AA614"/>
    <mergeCell ref="AB614:AE614"/>
    <mergeCell ref="E609:G609"/>
    <mergeCell ref="H609:J609"/>
    <mergeCell ref="K609:N609"/>
    <mergeCell ref="O609:S609"/>
    <mergeCell ref="T609:W609"/>
    <mergeCell ref="X609:AA609"/>
    <mergeCell ref="AB609:AE609"/>
    <mergeCell ref="E610:G610"/>
    <mergeCell ref="H610:J610"/>
    <mergeCell ref="K610:N610"/>
    <mergeCell ref="O610:S610"/>
    <mergeCell ref="T610:W610"/>
    <mergeCell ref="X610:AA610"/>
    <mergeCell ref="AB610:AE610"/>
    <mergeCell ref="E611:G611"/>
    <mergeCell ref="H611:J611"/>
    <mergeCell ref="K611:N611"/>
    <mergeCell ref="O611:S611"/>
    <mergeCell ref="T611:W611"/>
    <mergeCell ref="X611:AA611"/>
    <mergeCell ref="AB611:AE611"/>
    <mergeCell ref="U591:V591"/>
    <mergeCell ref="X591:AB591"/>
    <mergeCell ref="AC591:AD591"/>
    <mergeCell ref="E594:F594"/>
    <mergeCell ref="H594:J594"/>
    <mergeCell ref="Y600:AB600"/>
    <mergeCell ref="L601:N601"/>
    <mergeCell ref="Q601:S601"/>
    <mergeCell ref="U601:V601"/>
    <mergeCell ref="Z601:AA601"/>
    <mergeCell ref="K605:L605"/>
    <mergeCell ref="N605:O605"/>
    <mergeCell ref="E607:G608"/>
    <mergeCell ref="H607:J608"/>
    <mergeCell ref="K607:N608"/>
    <mergeCell ref="O607:S608"/>
    <mergeCell ref="T607:W608"/>
    <mergeCell ref="X607:AA608"/>
    <mergeCell ref="AB607:AE608"/>
    <mergeCell ref="E588:G588"/>
    <mergeCell ref="H588:J588"/>
    <mergeCell ref="K588:N588"/>
    <mergeCell ref="O588:S588"/>
    <mergeCell ref="T588:W588"/>
    <mergeCell ref="X588:AA588"/>
    <mergeCell ref="AB588:AE588"/>
    <mergeCell ref="E589:G589"/>
    <mergeCell ref="H589:J589"/>
    <mergeCell ref="K589:N589"/>
    <mergeCell ref="O589:S589"/>
    <mergeCell ref="T589:W589"/>
    <mergeCell ref="X589:AA589"/>
    <mergeCell ref="AB589:AE589"/>
    <mergeCell ref="E590:G590"/>
    <mergeCell ref="H590:J590"/>
    <mergeCell ref="K590:N590"/>
    <mergeCell ref="O590:S590"/>
    <mergeCell ref="T590:W590"/>
    <mergeCell ref="X590:AA590"/>
    <mergeCell ref="AB590:AE590"/>
    <mergeCell ref="E585:G585"/>
    <mergeCell ref="H585:J585"/>
    <mergeCell ref="K585:N585"/>
    <mergeCell ref="O585:S585"/>
    <mergeCell ref="T585:W585"/>
    <mergeCell ref="X585:AA585"/>
    <mergeCell ref="AB585:AE585"/>
    <mergeCell ref="E586:G586"/>
    <mergeCell ref="H586:J586"/>
    <mergeCell ref="K586:N586"/>
    <mergeCell ref="O586:S586"/>
    <mergeCell ref="T586:W586"/>
    <mergeCell ref="X586:AA586"/>
    <mergeCell ref="AB586:AE586"/>
    <mergeCell ref="E587:G587"/>
    <mergeCell ref="H587:J587"/>
    <mergeCell ref="K587:N587"/>
    <mergeCell ref="O587:S587"/>
    <mergeCell ref="T587:W587"/>
    <mergeCell ref="X587:AA587"/>
    <mergeCell ref="AB587:AE587"/>
    <mergeCell ref="E582:G582"/>
    <mergeCell ref="H582:J582"/>
    <mergeCell ref="K582:N582"/>
    <mergeCell ref="O582:S582"/>
    <mergeCell ref="T582:W582"/>
    <mergeCell ref="X582:AA582"/>
    <mergeCell ref="AB582:AE582"/>
    <mergeCell ref="E583:G583"/>
    <mergeCell ref="H583:J583"/>
    <mergeCell ref="K583:N583"/>
    <mergeCell ref="O583:S583"/>
    <mergeCell ref="T583:W583"/>
    <mergeCell ref="X583:AA583"/>
    <mergeCell ref="AB583:AE583"/>
    <mergeCell ref="E584:G584"/>
    <mergeCell ref="H584:J584"/>
    <mergeCell ref="K584:N584"/>
    <mergeCell ref="O584:S584"/>
    <mergeCell ref="T584:W584"/>
    <mergeCell ref="X584:AA584"/>
    <mergeCell ref="AB584:AE584"/>
    <mergeCell ref="E579:G579"/>
    <mergeCell ref="H579:J579"/>
    <mergeCell ref="K579:N579"/>
    <mergeCell ref="O579:S579"/>
    <mergeCell ref="T579:W579"/>
    <mergeCell ref="X579:AA579"/>
    <mergeCell ref="AB579:AE579"/>
    <mergeCell ref="E580:G580"/>
    <mergeCell ref="H580:J580"/>
    <mergeCell ref="K580:N580"/>
    <mergeCell ref="O580:S580"/>
    <mergeCell ref="T580:W580"/>
    <mergeCell ref="X580:AA580"/>
    <mergeCell ref="AB580:AE580"/>
    <mergeCell ref="E581:G581"/>
    <mergeCell ref="H581:J581"/>
    <mergeCell ref="K581:N581"/>
    <mergeCell ref="O581:S581"/>
    <mergeCell ref="T581:W581"/>
    <mergeCell ref="X581:AA581"/>
    <mergeCell ref="AB581:AE581"/>
    <mergeCell ref="E576:G576"/>
    <mergeCell ref="H576:J576"/>
    <mergeCell ref="K576:N576"/>
    <mergeCell ref="O576:S576"/>
    <mergeCell ref="T576:W576"/>
    <mergeCell ref="X576:AA576"/>
    <mergeCell ref="AB576:AE576"/>
    <mergeCell ref="E577:G577"/>
    <mergeCell ref="H577:J577"/>
    <mergeCell ref="K577:N577"/>
    <mergeCell ref="O577:S577"/>
    <mergeCell ref="T577:W577"/>
    <mergeCell ref="X577:AA577"/>
    <mergeCell ref="AB577:AE577"/>
    <mergeCell ref="E578:G578"/>
    <mergeCell ref="H578:J578"/>
    <mergeCell ref="K578:N578"/>
    <mergeCell ref="O578:S578"/>
    <mergeCell ref="T578:W578"/>
    <mergeCell ref="X578:AA578"/>
    <mergeCell ref="AB578:AE578"/>
    <mergeCell ref="E560:F560"/>
    <mergeCell ref="H560:J560"/>
    <mergeCell ref="Y566:AB566"/>
    <mergeCell ref="L567:N567"/>
    <mergeCell ref="Q567:S567"/>
    <mergeCell ref="U567:V567"/>
    <mergeCell ref="Z567:AA567"/>
    <mergeCell ref="K571:L571"/>
    <mergeCell ref="N571:O571"/>
    <mergeCell ref="E573:G574"/>
    <mergeCell ref="H573:J574"/>
    <mergeCell ref="K573:N574"/>
    <mergeCell ref="O573:S574"/>
    <mergeCell ref="T573:W574"/>
    <mergeCell ref="X573:AA574"/>
    <mergeCell ref="AB573:AE574"/>
    <mergeCell ref="E575:G575"/>
    <mergeCell ref="H575:J575"/>
    <mergeCell ref="K575:N575"/>
    <mergeCell ref="O575:S575"/>
    <mergeCell ref="T575:W575"/>
    <mergeCell ref="X575:AA575"/>
    <mergeCell ref="AB575:AE575"/>
    <mergeCell ref="E555:G555"/>
    <mergeCell ref="H555:J555"/>
    <mergeCell ref="K555:N555"/>
    <mergeCell ref="O555:S555"/>
    <mergeCell ref="T555:W555"/>
    <mergeCell ref="X555:AA555"/>
    <mergeCell ref="AB555:AE555"/>
    <mergeCell ref="E556:G556"/>
    <mergeCell ref="H556:J556"/>
    <mergeCell ref="K556:N556"/>
    <mergeCell ref="O556:S556"/>
    <mergeCell ref="T556:W556"/>
    <mergeCell ref="X556:AA556"/>
    <mergeCell ref="AB556:AE556"/>
    <mergeCell ref="U557:V557"/>
    <mergeCell ref="X557:AB557"/>
    <mergeCell ref="AC557:AD557"/>
    <mergeCell ref="E552:G552"/>
    <mergeCell ref="H552:J552"/>
    <mergeCell ref="K552:N552"/>
    <mergeCell ref="O552:S552"/>
    <mergeCell ref="T552:W552"/>
    <mergeCell ref="X552:AA552"/>
    <mergeCell ref="AB552:AE552"/>
    <mergeCell ref="E553:G553"/>
    <mergeCell ref="H553:J553"/>
    <mergeCell ref="K553:N553"/>
    <mergeCell ref="O553:S553"/>
    <mergeCell ref="T553:W553"/>
    <mergeCell ref="X553:AA553"/>
    <mergeCell ref="AB553:AE553"/>
    <mergeCell ref="E554:G554"/>
    <mergeCell ref="H554:J554"/>
    <mergeCell ref="K554:N554"/>
    <mergeCell ref="O554:S554"/>
    <mergeCell ref="T554:W554"/>
    <mergeCell ref="X554:AA554"/>
    <mergeCell ref="AB554:AE554"/>
    <mergeCell ref="E549:G549"/>
    <mergeCell ref="H549:J549"/>
    <mergeCell ref="K549:N549"/>
    <mergeCell ref="O549:S549"/>
    <mergeCell ref="T549:W549"/>
    <mergeCell ref="X549:AA549"/>
    <mergeCell ref="AB549:AE549"/>
    <mergeCell ref="E550:G550"/>
    <mergeCell ref="H550:J550"/>
    <mergeCell ref="K550:N550"/>
    <mergeCell ref="O550:S550"/>
    <mergeCell ref="T550:W550"/>
    <mergeCell ref="X550:AA550"/>
    <mergeCell ref="AB550:AE550"/>
    <mergeCell ref="E551:G551"/>
    <mergeCell ref="H551:J551"/>
    <mergeCell ref="K551:N551"/>
    <mergeCell ref="O551:S551"/>
    <mergeCell ref="T551:W551"/>
    <mergeCell ref="X551:AA551"/>
    <mergeCell ref="AB551:AE551"/>
    <mergeCell ref="E546:G546"/>
    <mergeCell ref="H546:J546"/>
    <mergeCell ref="K546:N546"/>
    <mergeCell ref="O546:S546"/>
    <mergeCell ref="T546:W546"/>
    <mergeCell ref="X546:AA546"/>
    <mergeCell ref="AB546:AE546"/>
    <mergeCell ref="E547:G547"/>
    <mergeCell ref="H547:J547"/>
    <mergeCell ref="K547:N547"/>
    <mergeCell ref="O547:S547"/>
    <mergeCell ref="T547:W547"/>
    <mergeCell ref="X547:AA547"/>
    <mergeCell ref="AB547:AE547"/>
    <mergeCell ref="E548:G548"/>
    <mergeCell ref="H548:J548"/>
    <mergeCell ref="K548:N548"/>
    <mergeCell ref="O548:S548"/>
    <mergeCell ref="T548:W548"/>
    <mergeCell ref="X548:AA548"/>
    <mergeCell ref="AB548:AE548"/>
    <mergeCell ref="E543:G543"/>
    <mergeCell ref="H543:J543"/>
    <mergeCell ref="K543:N543"/>
    <mergeCell ref="O543:S543"/>
    <mergeCell ref="T543:W543"/>
    <mergeCell ref="X543:AA543"/>
    <mergeCell ref="AB543:AE543"/>
    <mergeCell ref="E544:G544"/>
    <mergeCell ref="H544:J544"/>
    <mergeCell ref="K544:N544"/>
    <mergeCell ref="O544:S544"/>
    <mergeCell ref="T544:W544"/>
    <mergeCell ref="X544:AA544"/>
    <mergeCell ref="AB544:AE544"/>
    <mergeCell ref="E545:G545"/>
    <mergeCell ref="H545:J545"/>
    <mergeCell ref="K545:N545"/>
    <mergeCell ref="O545:S545"/>
    <mergeCell ref="T545:W545"/>
    <mergeCell ref="X545:AA545"/>
    <mergeCell ref="AB545:AE545"/>
    <mergeCell ref="E539:G540"/>
    <mergeCell ref="H539:J540"/>
    <mergeCell ref="K539:N540"/>
    <mergeCell ref="O539:S540"/>
    <mergeCell ref="T539:W540"/>
    <mergeCell ref="X539:AA540"/>
    <mergeCell ref="AB539:AE540"/>
    <mergeCell ref="E541:G541"/>
    <mergeCell ref="H541:J541"/>
    <mergeCell ref="K541:N541"/>
    <mergeCell ref="O541:S541"/>
    <mergeCell ref="T541:W541"/>
    <mergeCell ref="X541:AA541"/>
    <mergeCell ref="AB541:AE541"/>
    <mergeCell ref="E542:G542"/>
    <mergeCell ref="H542:J542"/>
    <mergeCell ref="K542:N542"/>
    <mergeCell ref="O542:S542"/>
    <mergeCell ref="T542:W542"/>
    <mergeCell ref="X542:AA542"/>
    <mergeCell ref="AB542:AE542"/>
    <mergeCell ref="F403:H403"/>
    <mergeCell ref="I403:L403"/>
    <mergeCell ref="M403:P403"/>
    <mergeCell ref="U403:Y403"/>
    <mergeCell ref="Z403:AD403"/>
    <mergeCell ref="F401:H401"/>
    <mergeCell ref="I401:L401"/>
    <mergeCell ref="M401:P401"/>
    <mergeCell ref="F402:H402"/>
    <mergeCell ref="I402:L402"/>
    <mergeCell ref="M402:P402"/>
    <mergeCell ref="F399:H399"/>
    <mergeCell ref="I399:L399"/>
    <mergeCell ref="M399:P399"/>
    <mergeCell ref="F400:H400"/>
    <mergeCell ref="I400:L400"/>
    <mergeCell ref="M400:P400"/>
    <mergeCell ref="F397:H397"/>
    <mergeCell ref="I397:L397"/>
    <mergeCell ref="M397:P397"/>
    <mergeCell ref="F398:H398"/>
    <mergeCell ref="I398:L398"/>
    <mergeCell ref="M398:P398"/>
    <mergeCell ref="F395:H395"/>
    <mergeCell ref="I395:L395"/>
    <mergeCell ref="M395:P395"/>
    <mergeCell ref="F396:H396"/>
    <mergeCell ref="I396:L396"/>
    <mergeCell ref="M396:P396"/>
    <mergeCell ref="F393:H393"/>
    <mergeCell ref="I393:L393"/>
    <mergeCell ref="M393:P393"/>
    <mergeCell ref="F394:H394"/>
    <mergeCell ref="I394:L394"/>
    <mergeCell ref="M394:P394"/>
    <mergeCell ref="F391:H391"/>
    <mergeCell ref="I391:L391"/>
    <mergeCell ref="M391:P391"/>
    <mergeCell ref="F392:H392"/>
    <mergeCell ref="I392:L392"/>
    <mergeCell ref="M392:P392"/>
    <mergeCell ref="F389:H389"/>
    <mergeCell ref="I389:L389"/>
    <mergeCell ref="M389:P389"/>
    <mergeCell ref="F390:H390"/>
    <mergeCell ref="I390:L390"/>
    <mergeCell ref="M390:P390"/>
    <mergeCell ref="F385:H387"/>
    <mergeCell ref="I385:L387"/>
    <mergeCell ref="M385:P387"/>
    <mergeCell ref="F388:H388"/>
    <mergeCell ref="I388:L388"/>
    <mergeCell ref="M388:P388"/>
    <mergeCell ref="F331:H331"/>
    <mergeCell ref="I331:L331"/>
    <mergeCell ref="M331:P331"/>
    <mergeCell ref="F329:H329"/>
    <mergeCell ref="I329:L329"/>
    <mergeCell ref="M329:P329"/>
    <mergeCell ref="F330:H330"/>
    <mergeCell ref="I330:L330"/>
    <mergeCell ref="M330:P330"/>
    <mergeCell ref="F327:H327"/>
    <mergeCell ref="I327:L327"/>
    <mergeCell ref="M327:P327"/>
    <mergeCell ref="F328:H328"/>
    <mergeCell ref="I328:L328"/>
    <mergeCell ref="M328:P328"/>
    <mergeCell ref="F325:H325"/>
    <mergeCell ref="I325:L325"/>
    <mergeCell ref="M325:P325"/>
    <mergeCell ref="F326:H326"/>
    <mergeCell ref="I326:L326"/>
    <mergeCell ref="M326:P326"/>
    <mergeCell ref="F323:H323"/>
    <mergeCell ref="I323:L323"/>
    <mergeCell ref="M323:P323"/>
    <mergeCell ref="F324:H324"/>
    <mergeCell ref="I324:L324"/>
    <mergeCell ref="M324:P324"/>
    <mergeCell ref="F321:H321"/>
    <mergeCell ref="I321:L321"/>
    <mergeCell ref="M321:P321"/>
    <mergeCell ref="F322:H322"/>
    <mergeCell ref="I322:L322"/>
    <mergeCell ref="M322:P322"/>
    <mergeCell ref="F319:H319"/>
    <mergeCell ref="I319:L319"/>
    <mergeCell ref="M319:P319"/>
    <mergeCell ref="F320:H320"/>
    <mergeCell ref="I320:L320"/>
    <mergeCell ref="M320:P320"/>
    <mergeCell ref="E531:G531"/>
    <mergeCell ref="H531:J531"/>
    <mergeCell ref="K531:N531"/>
    <mergeCell ref="O531:S531"/>
    <mergeCell ref="T531:W531"/>
    <mergeCell ref="X531:AA531"/>
    <mergeCell ref="AB531:AE531"/>
    <mergeCell ref="U532:V532"/>
    <mergeCell ref="X532:AB532"/>
    <mergeCell ref="AC532:AD532"/>
    <mergeCell ref="E535:F535"/>
    <mergeCell ref="H535:J535"/>
    <mergeCell ref="F313:H315"/>
    <mergeCell ref="I313:L315"/>
    <mergeCell ref="M313:P315"/>
    <mergeCell ref="F316:H316"/>
    <mergeCell ref="I316:L316"/>
    <mergeCell ref="M316:P316"/>
    <mergeCell ref="E528:G528"/>
    <mergeCell ref="H528:J528"/>
    <mergeCell ref="K528:N528"/>
    <mergeCell ref="O528:S528"/>
    <mergeCell ref="T528:W528"/>
    <mergeCell ref="X528:AA528"/>
    <mergeCell ref="AB528:AE528"/>
    <mergeCell ref="E529:G529"/>
    <mergeCell ref="H529:J529"/>
    <mergeCell ref="K529:N529"/>
    <mergeCell ref="O529:S529"/>
    <mergeCell ref="T529:W529"/>
    <mergeCell ref="X529:AA529"/>
    <mergeCell ref="AB529:AE529"/>
    <mergeCell ref="E530:G530"/>
    <mergeCell ref="H530:J530"/>
    <mergeCell ref="K530:N530"/>
    <mergeCell ref="O530:S530"/>
    <mergeCell ref="T530:W530"/>
    <mergeCell ref="X530:AA530"/>
    <mergeCell ref="AB530:AE530"/>
    <mergeCell ref="E525:G525"/>
    <mergeCell ref="H525:J525"/>
    <mergeCell ref="K525:N525"/>
    <mergeCell ref="O525:S525"/>
    <mergeCell ref="T525:W525"/>
    <mergeCell ref="X525:AA525"/>
    <mergeCell ref="AB525:AE525"/>
    <mergeCell ref="E526:G526"/>
    <mergeCell ref="H526:J526"/>
    <mergeCell ref="K526:N526"/>
    <mergeCell ref="O526:S526"/>
    <mergeCell ref="T526:W526"/>
    <mergeCell ref="X526:AA526"/>
    <mergeCell ref="AB526:AE526"/>
    <mergeCell ref="E527:G527"/>
    <mergeCell ref="H527:J527"/>
    <mergeCell ref="K527:N527"/>
    <mergeCell ref="O527:S527"/>
    <mergeCell ref="T527:W527"/>
    <mergeCell ref="X527:AA527"/>
    <mergeCell ref="AB527:AE527"/>
    <mergeCell ref="E522:G522"/>
    <mergeCell ref="H522:J522"/>
    <mergeCell ref="K522:N522"/>
    <mergeCell ref="O522:S522"/>
    <mergeCell ref="T522:W522"/>
    <mergeCell ref="X522:AA522"/>
    <mergeCell ref="AB522:AE522"/>
    <mergeCell ref="E523:G523"/>
    <mergeCell ref="H523:J523"/>
    <mergeCell ref="K523:N523"/>
    <mergeCell ref="O523:S523"/>
    <mergeCell ref="T523:W523"/>
    <mergeCell ref="X523:AA523"/>
    <mergeCell ref="AB523:AE523"/>
    <mergeCell ref="E524:G524"/>
    <mergeCell ref="H524:J524"/>
    <mergeCell ref="K524:N524"/>
    <mergeCell ref="O524:S524"/>
    <mergeCell ref="T524:W524"/>
    <mergeCell ref="X524:AA524"/>
    <mergeCell ref="AB524:AE524"/>
    <mergeCell ref="E519:G519"/>
    <mergeCell ref="H519:J519"/>
    <mergeCell ref="K519:N519"/>
    <mergeCell ref="O519:S519"/>
    <mergeCell ref="T519:W519"/>
    <mergeCell ref="X519:AA519"/>
    <mergeCell ref="AB519:AE519"/>
    <mergeCell ref="E520:G520"/>
    <mergeCell ref="H520:J520"/>
    <mergeCell ref="K520:N520"/>
    <mergeCell ref="O520:S520"/>
    <mergeCell ref="T520:W520"/>
    <mergeCell ref="X520:AA520"/>
    <mergeCell ref="AB520:AE520"/>
    <mergeCell ref="E521:G521"/>
    <mergeCell ref="H521:J521"/>
    <mergeCell ref="K521:N521"/>
    <mergeCell ref="O521:S521"/>
    <mergeCell ref="T521:W521"/>
    <mergeCell ref="X521:AA521"/>
    <mergeCell ref="AB521:AE521"/>
    <mergeCell ref="E516:G516"/>
    <mergeCell ref="H516:J516"/>
    <mergeCell ref="K516:N516"/>
    <mergeCell ref="O516:S516"/>
    <mergeCell ref="T516:W516"/>
    <mergeCell ref="X516:AA516"/>
    <mergeCell ref="AB516:AE516"/>
    <mergeCell ref="E517:G517"/>
    <mergeCell ref="H517:J517"/>
    <mergeCell ref="K517:N517"/>
    <mergeCell ref="O517:S517"/>
    <mergeCell ref="T517:W517"/>
    <mergeCell ref="X517:AA517"/>
    <mergeCell ref="AB517:AE517"/>
    <mergeCell ref="E518:G518"/>
    <mergeCell ref="H518:J518"/>
    <mergeCell ref="K518:N518"/>
    <mergeCell ref="O518:S518"/>
    <mergeCell ref="T518:W518"/>
    <mergeCell ref="X518:AA518"/>
    <mergeCell ref="AB518:AE518"/>
    <mergeCell ref="E501:F501"/>
    <mergeCell ref="H501:J501"/>
    <mergeCell ref="E467:F467"/>
    <mergeCell ref="H467:J467"/>
    <mergeCell ref="Y507:AB507"/>
    <mergeCell ref="L508:N508"/>
    <mergeCell ref="Q508:S508"/>
    <mergeCell ref="U508:V508"/>
    <mergeCell ref="Z508:AA508"/>
    <mergeCell ref="K512:L512"/>
    <mergeCell ref="N512:O512"/>
    <mergeCell ref="E514:G515"/>
    <mergeCell ref="H514:J515"/>
    <mergeCell ref="K514:N515"/>
    <mergeCell ref="O514:S515"/>
    <mergeCell ref="T514:W515"/>
    <mergeCell ref="X514:AA515"/>
    <mergeCell ref="AB514:AE515"/>
    <mergeCell ref="E496:G496"/>
    <mergeCell ref="H496:J496"/>
    <mergeCell ref="K496:N496"/>
    <mergeCell ref="O496:S496"/>
    <mergeCell ref="T496:W496"/>
    <mergeCell ref="X496:AA496"/>
    <mergeCell ref="AB496:AE496"/>
    <mergeCell ref="E497:G497"/>
    <mergeCell ref="H497:J497"/>
    <mergeCell ref="K497:N497"/>
    <mergeCell ref="O497:S497"/>
    <mergeCell ref="T497:W497"/>
    <mergeCell ref="X497:AA497"/>
    <mergeCell ref="AB497:AE497"/>
    <mergeCell ref="U498:V498"/>
    <mergeCell ref="X498:AB498"/>
    <mergeCell ref="AC498:AD498"/>
    <mergeCell ref="E493:G493"/>
    <mergeCell ref="H493:J493"/>
    <mergeCell ref="K493:N493"/>
    <mergeCell ref="O493:S493"/>
    <mergeCell ref="T493:W493"/>
    <mergeCell ref="X493:AA493"/>
    <mergeCell ref="AB493:AE493"/>
    <mergeCell ref="E494:G494"/>
    <mergeCell ref="H494:J494"/>
    <mergeCell ref="K494:N494"/>
    <mergeCell ref="O494:S494"/>
    <mergeCell ref="T494:W494"/>
    <mergeCell ref="X494:AA494"/>
    <mergeCell ref="AB494:AE494"/>
    <mergeCell ref="E495:G495"/>
    <mergeCell ref="H495:J495"/>
    <mergeCell ref="K495:N495"/>
    <mergeCell ref="O495:S495"/>
    <mergeCell ref="T495:W495"/>
    <mergeCell ref="X495:AA495"/>
    <mergeCell ref="AB495:AE495"/>
    <mergeCell ref="E490:G490"/>
    <mergeCell ref="H490:J490"/>
    <mergeCell ref="K490:N490"/>
    <mergeCell ref="O490:S490"/>
    <mergeCell ref="T490:W490"/>
    <mergeCell ref="X490:AA490"/>
    <mergeCell ref="AB490:AE490"/>
    <mergeCell ref="E491:G491"/>
    <mergeCell ref="H491:J491"/>
    <mergeCell ref="K491:N491"/>
    <mergeCell ref="O491:S491"/>
    <mergeCell ref="T491:W491"/>
    <mergeCell ref="X491:AA491"/>
    <mergeCell ref="AB491:AE491"/>
    <mergeCell ref="E492:G492"/>
    <mergeCell ref="H492:J492"/>
    <mergeCell ref="K492:N492"/>
    <mergeCell ref="O492:S492"/>
    <mergeCell ref="T492:W492"/>
    <mergeCell ref="X492:AA492"/>
    <mergeCell ref="AB492:AE492"/>
    <mergeCell ref="E487:G487"/>
    <mergeCell ref="H487:J487"/>
    <mergeCell ref="K487:N487"/>
    <mergeCell ref="O487:S487"/>
    <mergeCell ref="T487:W487"/>
    <mergeCell ref="X487:AA487"/>
    <mergeCell ref="AB487:AE487"/>
    <mergeCell ref="E488:G488"/>
    <mergeCell ref="H488:J488"/>
    <mergeCell ref="K488:N488"/>
    <mergeCell ref="O488:S488"/>
    <mergeCell ref="T488:W488"/>
    <mergeCell ref="X488:AA488"/>
    <mergeCell ref="AB488:AE488"/>
    <mergeCell ref="E489:G489"/>
    <mergeCell ref="H489:J489"/>
    <mergeCell ref="K489:N489"/>
    <mergeCell ref="O489:S489"/>
    <mergeCell ref="T489:W489"/>
    <mergeCell ref="X489:AA489"/>
    <mergeCell ref="AB489:AE489"/>
    <mergeCell ref="E484:G484"/>
    <mergeCell ref="H484:J484"/>
    <mergeCell ref="K484:N484"/>
    <mergeCell ref="O484:S484"/>
    <mergeCell ref="T484:W484"/>
    <mergeCell ref="X484:AA484"/>
    <mergeCell ref="AB484:AE484"/>
    <mergeCell ref="E485:G485"/>
    <mergeCell ref="H485:J485"/>
    <mergeCell ref="K485:N485"/>
    <mergeCell ref="O485:S485"/>
    <mergeCell ref="T485:W485"/>
    <mergeCell ref="X485:AA485"/>
    <mergeCell ref="AB485:AE485"/>
    <mergeCell ref="E486:G486"/>
    <mergeCell ref="H486:J486"/>
    <mergeCell ref="K486:N486"/>
    <mergeCell ref="O486:S486"/>
    <mergeCell ref="T486:W486"/>
    <mergeCell ref="X486:AA486"/>
    <mergeCell ref="AB486:AE486"/>
    <mergeCell ref="E480:G481"/>
    <mergeCell ref="H480:J481"/>
    <mergeCell ref="K480:N481"/>
    <mergeCell ref="O480:S481"/>
    <mergeCell ref="T480:W481"/>
    <mergeCell ref="X480:AA481"/>
    <mergeCell ref="AB480:AE481"/>
    <mergeCell ref="E482:G482"/>
    <mergeCell ref="H482:J482"/>
    <mergeCell ref="K482:N482"/>
    <mergeCell ref="O482:S482"/>
    <mergeCell ref="T482:W482"/>
    <mergeCell ref="X482:AA482"/>
    <mergeCell ref="AB482:AE482"/>
    <mergeCell ref="E483:G483"/>
    <mergeCell ref="H483:J483"/>
    <mergeCell ref="K483:N483"/>
    <mergeCell ref="O483:S483"/>
    <mergeCell ref="T483:W483"/>
    <mergeCell ref="X483:AA483"/>
    <mergeCell ref="AB483:AE483"/>
    <mergeCell ref="F380:H380"/>
    <mergeCell ref="I380:L380"/>
    <mergeCell ref="M380:P380"/>
    <mergeCell ref="Q380:T380"/>
    <mergeCell ref="U380:Y380"/>
    <mergeCell ref="Z380:AD380"/>
    <mergeCell ref="Q402:T402"/>
    <mergeCell ref="U402:Y402"/>
    <mergeCell ref="Z402:AD402"/>
    <mergeCell ref="F381:H381"/>
    <mergeCell ref="I381:L381"/>
    <mergeCell ref="M381:P381"/>
    <mergeCell ref="Q381:T381"/>
    <mergeCell ref="U381:Y381"/>
    <mergeCell ref="Z381:AD381"/>
    <mergeCell ref="Q403:T403"/>
    <mergeCell ref="F378:H378"/>
    <mergeCell ref="I378:L378"/>
    <mergeCell ref="M378:P378"/>
    <mergeCell ref="Q378:T378"/>
    <mergeCell ref="U378:Y378"/>
    <mergeCell ref="Z378:AD378"/>
    <mergeCell ref="Q400:T400"/>
    <mergeCell ref="U400:Y400"/>
    <mergeCell ref="Z400:AD400"/>
    <mergeCell ref="F379:H379"/>
    <mergeCell ref="I379:L379"/>
    <mergeCell ref="M379:P379"/>
    <mergeCell ref="Q379:T379"/>
    <mergeCell ref="U379:Y379"/>
    <mergeCell ref="Z379:AD379"/>
    <mergeCell ref="Q401:T401"/>
    <mergeCell ref="U401:Y401"/>
    <mergeCell ref="Z401:AD401"/>
    <mergeCell ref="F376:H376"/>
    <mergeCell ref="I376:L376"/>
    <mergeCell ref="M376:P376"/>
    <mergeCell ref="Q376:T376"/>
    <mergeCell ref="U376:Y376"/>
    <mergeCell ref="Z376:AD376"/>
    <mergeCell ref="Q398:T398"/>
    <mergeCell ref="U398:Y398"/>
    <mergeCell ref="Z398:AD398"/>
    <mergeCell ref="F377:H377"/>
    <mergeCell ref="I377:L377"/>
    <mergeCell ref="M377:P377"/>
    <mergeCell ref="Q377:T377"/>
    <mergeCell ref="U377:Y377"/>
    <mergeCell ref="Z377:AD377"/>
    <mergeCell ref="Q399:T399"/>
    <mergeCell ref="U399:Y399"/>
    <mergeCell ref="Z399:AD399"/>
    <mergeCell ref="F374:H374"/>
    <mergeCell ref="I374:L374"/>
    <mergeCell ref="M374:P374"/>
    <mergeCell ref="Q374:T374"/>
    <mergeCell ref="U374:Y374"/>
    <mergeCell ref="Z374:AD374"/>
    <mergeCell ref="Q396:T396"/>
    <mergeCell ref="U396:Y396"/>
    <mergeCell ref="Z396:AD396"/>
    <mergeCell ref="F375:H375"/>
    <mergeCell ref="I375:L375"/>
    <mergeCell ref="M375:P375"/>
    <mergeCell ref="Q375:T375"/>
    <mergeCell ref="U375:Y375"/>
    <mergeCell ref="Z375:AD375"/>
    <mergeCell ref="Q397:T397"/>
    <mergeCell ref="U397:Y397"/>
    <mergeCell ref="Z397:AD397"/>
    <mergeCell ref="F372:H372"/>
    <mergeCell ref="I372:L372"/>
    <mergeCell ref="M372:P372"/>
    <mergeCell ref="Q372:T372"/>
    <mergeCell ref="U372:Y372"/>
    <mergeCell ref="Z372:AD372"/>
    <mergeCell ref="Q394:T394"/>
    <mergeCell ref="U394:Y394"/>
    <mergeCell ref="Z394:AD394"/>
    <mergeCell ref="F373:H373"/>
    <mergeCell ref="I373:L373"/>
    <mergeCell ref="M373:P373"/>
    <mergeCell ref="Q373:T373"/>
    <mergeCell ref="U373:Y373"/>
    <mergeCell ref="Z373:AD373"/>
    <mergeCell ref="Q395:T395"/>
    <mergeCell ref="U395:Y395"/>
    <mergeCell ref="Z395:AD395"/>
    <mergeCell ref="F370:H370"/>
    <mergeCell ref="I370:L370"/>
    <mergeCell ref="M370:P370"/>
    <mergeCell ref="Q370:T370"/>
    <mergeCell ref="U370:Y370"/>
    <mergeCell ref="Z370:AD370"/>
    <mergeCell ref="Q392:T392"/>
    <mergeCell ref="U392:Y392"/>
    <mergeCell ref="Z392:AD392"/>
    <mergeCell ref="F371:H371"/>
    <mergeCell ref="I371:L371"/>
    <mergeCell ref="M371:P371"/>
    <mergeCell ref="Q371:T371"/>
    <mergeCell ref="U371:Y371"/>
    <mergeCell ref="Z371:AD371"/>
    <mergeCell ref="Q393:T393"/>
    <mergeCell ref="U393:Y393"/>
    <mergeCell ref="Z393:AD393"/>
    <mergeCell ref="F368:H368"/>
    <mergeCell ref="I368:L368"/>
    <mergeCell ref="M368:P368"/>
    <mergeCell ref="Q368:T368"/>
    <mergeCell ref="U368:Y368"/>
    <mergeCell ref="Z368:AD368"/>
    <mergeCell ref="Q390:T390"/>
    <mergeCell ref="U390:Y390"/>
    <mergeCell ref="Z390:AD390"/>
    <mergeCell ref="F369:H369"/>
    <mergeCell ref="I369:L369"/>
    <mergeCell ref="M369:P369"/>
    <mergeCell ref="Q369:T369"/>
    <mergeCell ref="U369:Y369"/>
    <mergeCell ref="Z369:AD369"/>
    <mergeCell ref="Q391:T391"/>
    <mergeCell ref="U391:Y391"/>
    <mergeCell ref="Z391:AD391"/>
    <mergeCell ref="F366:H366"/>
    <mergeCell ref="I366:L366"/>
    <mergeCell ref="M366:P366"/>
    <mergeCell ref="Q366:T366"/>
    <mergeCell ref="U366:Y366"/>
    <mergeCell ref="Z366:AD366"/>
    <mergeCell ref="Q388:T388"/>
    <mergeCell ref="U388:Y388"/>
    <mergeCell ref="Z388:AD388"/>
    <mergeCell ref="F367:H367"/>
    <mergeCell ref="I367:L367"/>
    <mergeCell ref="M367:P367"/>
    <mergeCell ref="Q367:T367"/>
    <mergeCell ref="U367:Y367"/>
    <mergeCell ref="Z367:AD367"/>
    <mergeCell ref="Q389:T389"/>
    <mergeCell ref="U389:Y389"/>
    <mergeCell ref="Z389:AD389"/>
    <mergeCell ref="Q330:T330"/>
    <mergeCell ref="U330:Y330"/>
    <mergeCell ref="Z330:AD330"/>
    <mergeCell ref="Q331:T331"/>
    <mergeCell ref="U331:Y331"/>
    <mergeCell ref="Z331:AD331"/>
    <mergeCell ref="F363:H365"/>
    <mergeCell ref="I363:L365"/>
    <mergeCell ref="M363:P365"/>
    <mergeCell ref="Q363:AD363"/>
    <mergeCell ref="Q385:AD385"/>
    <mergeCell ref="Q364:T365"/>
    <mergeCell ref="U364:Y365"/>
    <mergeCell ref="Z364:AD365"/>
    <mergeCell ref="Q386:T387"/>
    <mergeCell ref="U386:Y387"/>
    <mergeCell ref="Z386:AD387"/>
    <mergeCell ref="F317:H317"/>
    <mergeCell ref="I317:L317"/>
    <mergeCell ref="M317:P317"/>
    <mergeCell ref="F318:H318"/>
    <mergeCell ref="I318:L318"/>
    <mergeCell ref="M318:P318"/>
    <mergeCell ref="Q324:T324"/>
    <mergeCell ref="U324:Y324"/>
    <mergeCell ref="Z324:AD324"/>
    <mergeCell ref="Q325:T325"/>
    <mergeCell ref="U325:Y325"/>
    <mergeCell ref="Z325:AD325"/>
    <mergeCell ref="Q326:T326"/>
    <mergeCell ref="U326:Y326"/>
    <mergeCell ref="Z326:AD326"/>
    <mergeCell ref="Q327:T327"/>
    <mergeCell ref="U327:Y327"/>
    <mergeCell ref="Z327:AD327"/>
    <mergeCell ref="Q328:T328"/>
    <mergeCell ref="U328:Y328"/>
    <mergeCell ref="Z328:AD328"/>
    <mergeCell ref="Q329:T329"/>
    <mergeCell ref="U329:Y329"/>
    <mergeCell ref="Z329:AD329"/>
    <mergeCell ref="Q318:T318"/>
    <mergeCell ref="U318:Y318"/>
    <mergeCell ref="Z318:AD318"/>
    <mergeCell ref="Q319:T319"/>
    <mergeCell ref="U319:Y319"/>
    <mergeCell ref="Z319:AD319"/>
    <mergeCell ref="Q320:T320"/>
    <mergeCell ref="U320:Y320"/>
    <mergeCell ref="Z320:AD320"/>
    <mergeCell ref="Q321:T321"/>
    <mergeCell ref="U321:Y321"/>
    <mergeCell ref="Z321:AD321"/>
    <mergeCell ref="Q322:T322"/>
    <mergeCell ref="U322:Y322"/>
    <mergeCell ref="Z322:AD322"/>
    <mergeCell ref="Q323:T323"/>
    <mergeCell ref="U323:Y323"/>
    <mergeCell ref="Z323:AD323"/>
    <mergeCell ref="Q292:T293"/>
    <mergeCell ref="U292:Y293"/>
    <mergeCell ref="Z292:AD293"/>
    <mergeCell ref="Q291:AD291"/>
    <mergeCell ref="Q313:AD313"/>
    <mergeCell ref="Q314:T315"/>
    <mergeCell ref="U314:Y315"/>
    <mergeCell ref="Z314:AD315"/>
    <mergeCell ref="Q316:T316"/>
    <mergeCell ref="U316:Y316"/>
    <mergeCell ref="Z316:AD316"/>
    <mergeCell ref="Q317:T317"/>
    <mergeCell ref="U317:Y317"/>
    <mergeCell ref="Z317:AD317"/>
    <mergeCell ref="F307:H307"/>
    <mergeCell ref="I307:L307"/>
    <mergeCell ref="M307:P307"/>
    <mergeCell ref="Q307:T307"/>
    <mergeCell ref="U307:Y307"/>
    <mergeCell ref="Z307:AD307"/>
    <mergeCell ref="F308:H308"/>
    <mergeCell ref="I308:L308"/>
    <mergeCell ref="M308:P308"/>
    <mergeCell ref="Q308:T308"/>
    <mergeCell ref="U308:Y308"/>
    <mergeCell ref="Z308:AD308"/>
    <mergeCell ref="F309:H309"/>
    <mergeCell ref="I309:L309"/>
    <mergeCell ref="M309:P309"/>
    <mergeCell ref="Q309:T309"/>
    <mergeCell ref="U309:Y309"/>
    <mergeCell ref="Z309:AD309"/>
    <mergeCell ref="F304:H304"/>
    <mergeCell ref="I304:L304"/>
    <mergeCell ref="M304:P304"/>
    <mergeCell ref="Q304:T304"/>
    <mergeCell ref="U304:Y304"/>
    <mergeCell ref="Z304:AD304"/>
    <mergeCell ref="F305:H305"/>
    <mergeCell ref="I305:L305"/>
    <mergeCell ref="M305:P305"/>
    <mergeCell ref="Q305:T305"/>
    <mergeCell ref="U305:Y305"/>
    <mergeCell ref="Z305:AD305"/>
    <mergeCell ref="F306:H306"/>
    <mergeCell ref="I306:L306"/>
    <mergeCell ref="M306:P306"/>
    <mergeCell ref="Q306:T306"/>
    <mergeCell ref="U306:Y306"/>
    <mergeCell ref="Z306:AD306"/>
    <mergeCell ref="F301:H301"/>
    <mergeCell ref="I301:L301"/>
    <mergeCell ref="M301:P301"/>
    <mergeCell ref="Q301:T301"/>
    <mergeCell ref="U301:Y301"/>
    <mergeCell ref="Z301:AD301"/>
    <mergeCell ref="F302:H302"/>
    <mergeCell ref="I302:L302"/>
    <mergeCell ref="M302:P302"/>
    <mergeCell ref="Q302:T302"/>
    <mergeCell ref="U302:Y302"/>
    <mergeCell ref="Z302:AD302"/>
    <mergeCell ref="F303:H303"/>
    <mergeCell ref="I303:L303"/>
    <mergeCell ref="M303:P303"/>
    <mergeCell ref="Q303:T303"/>
    <mergeCell ref="U303:Y303"/>
    <mergeCell ref="Z303:AD303"/>
    <mergeCell ref="M297:P297"/>
    <mergeCell ref="Q297:T297"/>
    <mergeCell ref="U297:Y297"/>
    <mergeCell ref="Z297:AD297"/>
    <mergeCell ref="F298:H298"/>
    <mergeCell ref="I298:L298"/>
    <mergeCell ref="M298:P298"/>
    <mergeCell ref="Q298:T298"/>
    <mergeCell ref="U298:Y298"/>
    <mergeCell ref="Z298:AD298"/>
    <mergeCell ref="F299:H299"/>
    <mergeCell ref="I299:L299"/>
    <mergeCell ref="M299:P299"/>
    <mergeCell ref="Q299:T299"/>
    <mergeCell ref="U299:Y299"/>
    <mergeCell ref="Z299:AD299"/>
    <mergeCell ref="F300:H300"/>
    <mergeCell ref="I300:L300"/>
    <mergeCell ref="M300:P300"/>
    <mergeCell ref="Q300:T300"/>
    <mergeCell ref="U300:Y300"/>
    <mergeCell ref="Z300:AD300"/>
    <mergeCell ref="F291:H293"/>
    <mergeCell ref="I291:L293"/>
    <mergeCell ref="M291:P293"/>
    <mergeCell ref="F294:H294"/>
    <mergeCell ref="I294:L294"/>
    <mergeCell ref="M294:P294"/>
    <mergeCell ref="Q294:T294"/>
    <mergeCell ref="U294:Y294"/>
    <mergeCell ref="Z294:AD294"/>
    <mergeCell ref="F295:H295"/>
    <mergeCell ref="I295:L295"/>
    <mergeCell ref="M295:P295"/>
    <mergeCell ref="Q295:T295"/>
    <mergeCell ref="U295:Y295"/>
    <mergeCell ref="Z295:AD295"/>
    <mergeCell ref="F296:H296"/>
    <mergeCell ref="I296:L296"/>
    <mergeCell ref="M296:P296"/>
    <mergeCell ref="Q296:T296"/>
    <mergeCell ref="U296:Y296"/>
    <mergeCell ref="Z296:AD296"/>
    <mergeCell ref="F297:H297"/>
    <mergeCell ref="I297:L297"/>
    <mergeCell ref="F352:H352"/>
    <mergeCell ref="I352:L352"/>
    <mergeCell ref="M352:P352"/>
    <mergeCell ref="Q352:T352"/>
    <mergeCell ref="U352:Y352"/>
    <mergeCell ref="Z352:AD352"/>
    <mergeCell ref="F353:H353"/>
    <mergeCell ref="I353:L353"/>
    <mergeCell ref="M353:P353"/>
    <mergeCell ref="Q353:T353"/>
    <mergeCell ref="U353:Y353"/>
    <mergeCell ref="Z353:AD353"/>
    <mergeCell ref="F349:H349"/>
    <mergeCell ref="I349:L349"/>
    <mergeCell ref="M349:P349"/>
    <mergeCell ref="Q349:T349"/>
    <mergeCell ref="U349:Y349"/>
    <mergeCell ref="Z349:AD349"/>
    <mergeCell ref="F350:H350"/>
    <mergeCell ref="I350:L350"/>
    <mergeCell ref="M350:P350"/>
    <mergeCell ref="Q350:T350"/>
    <mergeCell ref="U350:Y350"/>
    <mergeCell ref="Z350:AD350"/>
    <mergeCell ref="F351:H351"/>
    <mergeCell ref="I351:L351"/>
    <mergeCell ref="M351:P351"/>
    <mergeCell ref="Q351:T351"/>
    <mergeCell ref="U351:Y351"/>
    <mergeCell ref="Z351:AD351"/>
    <mergeCell ref="F346:H346"/>
    <mergeCell ref="I346:L346"/>
    <mergeCell ref="M346:P346"/>
    <mergeCell ref="Q346:T346"/>
    <mergeCell ref="U346:Y346"/>
    <mergeCell ref="Z346:AD346"/>
    <mergeCell ref="F347:H347"/>
    <mergeCell ref="I347:L347"/>
    <mergeCell ref="M347:P347"/>
    <mergeCell ref="Q347:T347"/>
    <mergeCell ref="U347:Y347"/>
    <mergeCell ref="Z347:AD347"/>
    <mergeCell ref="F348:H348"/>
    <mergeCell ref="I348:L348"/>
    <mergeCell ref="M348:P348"/>
    <mergeCell ref="Q348:T348"/>
    <mergeCell ref="U348:Y348"/>
    <mergeCell ref="Z348:AD348"/>
    <mergeCell ref="Q343:T343"/>
    <mergeCell ref="U343:Y343"/>
    <mergeCell ref="Z343:AD343"/>
    <mergeCell ref="F344:H344"/>
    <mergeCell ref="I344:L344"/>
    <mergeCell ref="M344:P344"/>
    <mergeCell ref="Q344:T344"/>
    <mergeCell ref="U344:Y344"/>
    <mergeCell ref="Z344:AD344"/>
    <mergeCell ref="F345:H345"/>
    <mergeCell ref="I345:L345"/>
    <mergeCell ref="M345:P345"/>
    <mergeCell ref="Q345:T345"/>
    <mergeCell ref="U345:Y345"/>
    <mergeCell ref="Z345:AD345"/>
    <mergeCell ref="AB461:AE461"/>
    <mergeCell ref="AB462:AE462"/>
    <mergeCell ref="AB463:AE463"/>
    <mergeCell ref="AB449:AE449"/>
    <mergeCell ref="AB450:AE450"/>
    <mergeCell ref="AB451:AE451"/>
    <mergeCell ref="AB452:AE452"/>
    <mergeCell ref="AB453:AE453"/>
    <mergeCell ref="AB454:AE454"/>
    <mergeCell ref="AB455:AE455"/>
    <mergeCell ref="AB456:AE456"/>
    <mergeCell ref="AB457:AE457"/>
    <mergeCell ref="T458:W458"/>
    <mergeCell ref="T459:W459"/>
    <mergeCell ref="T460:W460"/>
    <mergeCell ref="T461:W461"/>
    <mergeCell ref="T462:W462"/>
    <mergeCell ref="T463:W463"/>
    <mergeCell ref="X449:AA449"/>
    <mergeCell ref="X450:AA450"/>
    <mergeCell ref="X451:AA451"/>
    <mergeCell ref="X452:AA452"/>
    <mergeCell ref="X453:AA453"/>
    <mergeCell ref="X454:AA454"/>
    <mergeCell ref="X455:AA455"/>
    <mergeCell ref="X456:AA456"/>
    <mergeCell ref="X457:AA457"/>
    <mergeCell ref="X458:AA458"/>
    <mergeCell ref="X459:AA459"/>
    <mergeCell ref="X461:AA461"/>
    <mergeCell ref="X462:AA462"/>
    <mergeCell ref="X463:AA463"/>
    <mergeCell ref="T449:W449"/>
    <mergeCell ref="T450:W450"/>
    <mergeCell ref="T451:W451"/>
    <mergeCell ref="T452:W452"/>
    <mergeCell ref="T453:W453"/>
    <mergeCell ref="T454:W454"/>
    <mergeCell ref="T455:W455"/>
    <mergeCell ref="T456:W456"/>
    <mergeCell ref="T457:W457"/>
    <mergeCell ref="K460:N460"/>
    <mergeCell ref="K461:N461"/>
    <mergeCell ref="K462:N462"/>
    <mergeCell ref="K463:N463"/>
    <mergeCell ref="O449:S449"/>
    <mergeCell ref="O450:S450"/>
    <mergeCell ref="O451:S451"/>
    <mergeCell ref="O452:S452"/>
    <mergeCell ref="O453:S453"/>
    <mergeCell ref="O454:S454"/>
    <mergeCell ref="O455:S455"/>
    <mergeCell ref="O456:S456"/>
    <mergeCell ref="O457:S457"/>
    <mergeCell ref="O458:S458"/>
    <mergeCell ref="O459:S459"/>
    <mergeCell ref="O460:S460"/>
    <mergeCell ref="O461:S461"/>
    <mergeCell ref="O462:S462"/>
    <mergeCell ref="O463:S463"/>
    <mergeCell ref="E461:G461"/>
    <mergeCell ref="E462:G462"/>
    <mergeCell ref="E463:G463"/>
    <mergeCell ref="H449:J449"/>
    <mergeCell ref="Q335:T337"/>
    <mergeCell ref="U335:Y337"/>
    <mergeCell ref="Z335:AD337"/>
    <mergeCell ref="M338:P338"/>
    <mergeCell ref="Q338:T338"/>
    <mergeCell ref="U338:Y338"/>
    <mergeCell ref="Z338:AD338"/>
    <mergeCell ref="M339:P339"/>
    <mergeCell ref="Q339:T339"/>
    <mergeCell ref="U339:Y339"/>
    <mergeCell ref="Z339:AD339"/>
    <mergeCell ref="M340:P340"/>
    <mergeCell ref="Q340:T340"/>
    <mergeCell ref="E457:G457"/>
    <mergeCell ref="E458:G458"/>
    <mergeCell ref="E459:G459"/>
    <mergeCell ref="E460:G460"/>
    <mergeCell ref="X460:AA460"/>
    <mergeCell ref="AB458:AE458"/>
    <mergeCell ref="AB459:AE459"/>
    <mergeCell ref="AB460:AE460"/>
    <mergeCell ref="F342:H342"/>
    <mergeCell ref="I342:L342"/>
    <mergeCell ref="M342:P342"/>
    <mergeCell ref="Q342:T342"/>
    <mergeCell ref="U342:Y342"/>
    <mergeCell ref="Z342:AD342"/>
    <mergeCell ref="F343:H343"/>
    <mergeCell ref="I343:L343"/>
    <mergeCell ref="M343:P343"/>
    <mergeCell ref="X166:AC166"/>
    <mergeCell ref="AD166:AI166"/>
    <mergeCell ref="X167:AC167"/>
    <mergeCell ref="AD167:AI167"/>
    <mergeCell ref="X168:AC168"/>
    <mergeCell ref="AD168:AI168"/>
    <mergeCell ref="X169:AC169"/>
    <mergeCell ref="AD169:AI169"/>
    <mergeCell ref="X170:AC170"/>
    <mergeCell ref="AD170:AI170"/>
    <mergeCell ref="X161:AC161"/>
    <mergeCell ref="AD161:AI161"/>
    <mergeCell ref="X162:AC162"/>
    <mergeCell ref="AD162:AI162"/>
    <mergeCell ref="AD163:AI163"/>
    <mergeCell ref="X164:AC164"/>
    <mergeCell ref="AD164:AI164"/>
    <mergeCell ref="X165:AC165"/>
    <mergeCell ref="AD165:AI165"/>
    <mergeCell ref="X156:AC156"/>
    <mergeCell ref="AD156:AI156"/>
    <mergeCell ref="X157:AC157"/>
    <mergeCell ref="AD157:AI157"/>
    <mergeCell ref="X158:AC158"/>
    <mergeCell ref="AD158:AI158"/>
    <mergeCell ref="X159:AC159"/>
    <mergeCell ref="AD159:AI159"/>
    <mergeCell ref="X160:AC160"/>
    <mergeCell ref="AD160:AI160"/>
    <mergeCell ref="U170:W170"/>
    <mergeCell ref="Q156:T156"/>
    <mergeCell ref="Q157:T157"/>
    <mergeCell ref="Q158:T158"/>
    <mergeCell ref="Q159:T159"/>
    <mergeCell ref="Q160:T160"/>
    <mergeCell ref="Q161:T161"/>
    <mergeCell ref="Q162:T162"/>
    <mergeCell ref="Q163:T163"/>
    <mergeCell ref="Q164:T164"/>
    <mergeCell ref="Q165:T165"/>
    <mergeCell ref="Q166:T166"/>
    <mergeCell ref="Q167:T167"/>
    <mergeCell ref="Q168:T168"/>
    <mergeCell ref="Q169:T169"/>
    <mergeCell ref="Q170:T170"/>
    <mergeCell ref="U161:W161"/>
    <mergeCell ref="U162:W162"/>
    <mergeCell ref="U163:W163"/>
    <mergeCell ref="U164:W164"/>
    <mergeCell ref="U165:W165"/>
    <mergeCell ref="U166:W166"/>
    <mergeCell ref="U152:W154"/>
    <mergeCell ref="J151:M154"/>
    <mergeCell ref="G151:I154"/>
    <mergeCell ref="N156:P156"/>
    <mergeCell ref="N157:P157"/>
    <mergeCell ref="N158:P158"/>
    <mergeCell ref="N159:P159"/>
    <mergeCell ref="N160:P160"/>
    <mergeCell ref="N161:P161"/>
    <mergeCell ref="N162:P162"/>
    <mergeCell ref="N163:P163"/>
    <mergeCell ref="N164:P164"/>
    <mergeCell ref="N165:P165"/>
    <mergeCell ref="N166:P166"/>
    <mergeCell ref="G164:I164"/>
    <mergeCell ref="J164:M164"/>
    <mergeCell ref="G165:I165"/>
    <mergeCell ref="J165:M165"/>
    <mergeCell ref="G166:I166"/>
    <mergeCell ref="J166:M166"/>
    <mergeCell ref="Z113:AB113"/>
    <mergeCell ref="Z114:AB114"/>
    <mergeCell ref="Z115:AB115"/>
    <mergeCell ref="Z116:AB116"/>
    <mergeCell ref="Z117:AB117"/>
    <mergeCell ref="Z118:AB118"/>
    <mergeCell ref="Z119:AB119"/>
    <mergeCell ref="Z120:AB120"/>
    <mergeCell ref="Z121:AB121"/>
    <mergeCell ref="G168:I168"/>
    <mergeCell ref="J168:M168"/>
    <mergeCell ref="G159:I159"/>
    <mergeCell ref="J159:M159"/>
    <mergeCell ref="G160:I160"/>
    <mergeCell ref="J160:M160"/>
    <mergeCell ref="G161:I161"/>
    <mergeCell ref="J161:M161"/>
    <mergeCell ref="G162:I162"/>
    <mergeCell ref="J162:M162"/>
    <mergeCell ref="G163:I163"/>
    <mergeCell ref="J163:M163"/>
    <mergeCell ref="G155:I155"/>
    <mergeCell ref="G156:I156"/>
    <mergeCell ref="J156:M156"/>
    <mergeCell ref="G157:I157"/>
    <mergeCell ref="J157:M157"/>
    <mergeCell ref="G158:I158"/>
    <mergeCell ref="J158:M158"/>
    <mergeCell ref="N151:T151"/>
    <mergeCell ref="U151:AI151"/>
    <mergeCell ref="Q152:T154"/>
    <mergeCell ref="N152:P154"/>
    <mergeCell ref="K124:P124"/>
    <mergeCell ref="T124:Y124"/>
    <mergeCell ref="H125:J125"/>
    <mergeCell ref="Q125:S125"/>
    <mergeCell ref="K125:P125"/>
    <mergeCell ref="T125:Y125"/>
    <mergeCell ref="Z122:AB122"/>
    <mergeCell ref="Z123:AB123"/>
    <mergeCell ref="H122:J122"/>
    <mergeCell ref="AC114:AH114"/>
    <mergeCell ref="AC115:AH115"/>
    <mergeCell ref="AC116:AH116"/>
    <mergeCell ref="AC117:AH117"/>
    <mergeCell ref="AC118:AH118"/>
    <mergeCell ref="AC119:AH119"/>
    <mergeCell ref="AC120:AH120"/>
    <mergeCell ref="AC121:AH121"/>
    <mergeCell ref="M1223:N1224"/>
    <mergeCell ref="O1223:P1223"/>
    <mergeCell ref="Q1223:S1224"/>
    <mergeCell ref="T1223:V1224"/>
    <mergeCell ref="W1223:Y1223"/>
    <mergeCell ref="Z1223:AB1224"/>
    <mergeCell ref="O1228:P1228"/>
    <mergeCell ref="W1228:Y1228"/>
    <mergeCell ref="M1233:N1234"/>
    <mergeCell ref="O1233:P1233"/>
    <mergeCell ref="I1300:J1301"/>
    <mergeCell ref="K1300:M1301"/>
    <mergeCell ref="H119:J119"/>
    <mergeCell ref="Q119:S119"/>
    <mergeCell ref="K119:P119"/>
    <mergeCell ref="T119:Y119"/>
    <mergeCell ref="Z124:AB124"/>
    <mergeCell ref="Z125:AB125"/>
    <mergeCell ref="Z126:AB126"/>
    <mergeCell ref="Z127:AB127"/>
    <mergeCell ref="T148:V148"/>
    <mergeCell ref="H126:J126"/>
    <mergeCell ref="Q126:S126"/>
    <mergeCell ref="K126:P126"/>
    <mergeCell ref="T126:Y126"/>
    <mergeCell ref="H127:J127"/>
    <mergeCell ref="Q127:S127"/>
    <mergeCell ref="K127:P127"/>
    <mergeCell ref="T127:Y127"/>
    <mergeCell ref="H123:J123"/>
    <mergeCell ref="Q123:S123"/>
    <mergeCell ref="K123:P123"/>
    <mergeCell ref="O1211:P1212"/>
    <mergeCell ref="O1213:P1213"/>
    <mergeCell ref="O1214:P1214"/>
    <mergeCell ref="M1211:N1212"/>
    <mergeCell ref="M1213:N1214"/>
    <mergeCell ref="M1215:N1216"/>
    <mergeCell ref="O1215:P1215"/>
    <mergeCell ref="O1216:P1216"/>
    <mergeCell ref="M1217:N1218"/>
    <mergeCell ref="O1217:P1217"/>
    <mergeCell ref="K114:P114"/>
    <mergeCell ref="T114:Y114"/>
    <mergeCell ref="H115:J115"/>
    <mergeCell ref="Q115:S115"/>
    <mergeCell ref="K115:P115"/>
    <mergeCell ref="T115:Y115"/>
    <mergeCell ref="H116:J116"/>
    <mergeCell ref="Q116:S116"/>
    <mergeCell ref="K116:P116"/>
    <mergeCell ref="T116:Y116"/>
    <mergeCell ref="H120:J120"/>
    <mergeCell ref="Q120:S120"/>
    <mergeCell ref="K120:P120"/>
    <mergeCell ref="T120:Y120"/>
    <mergeCell ref="H121:J121"/>
    <mergeCell ref="Q121:S121"/>
    <mergeCell ref="K121:P121"/>
    <mergeCell ref="T121:Y121"/>
    <mergeCell ref="E1262:F1262"/>
    <mergeCell ref="H1262:I1262"/>
    <mergeCell ref="K1262:L1262"/>
    <mergeCell ref="K1266:L1266"/>
    <mergeCell ref="H1267:I1267"/>
    <mergeCell ref="K1267:M1267"/>
    <mergeCell ref="H1263:I1263"/>
    <mergeCell ref="K1263:M1263"/>
    <mergeCell ref="I1257:J1257"/>
    <mergeCell ref="I1258:J1258"/>
    <mergeCell ref="I1282:J1282"/>
    <mergeCell ref="I1283:J1283"/>
    <mergeCell ref="I1297:J1298"/>
    <mergeCell ref="K1297:M1298"/>
    <mergeCell ref="N1297:O1298"/>
    <mergeCell ref="P1297:Q1298"/>
    <mergeCell ref="R1297:S1298"/>
    <mergeCell ref="O1288:Q1288"/>
    <mergeCell ref="R1288:T1288"/>
    <mergeCell ref="T1297:V1298"/>
    <mergeCell ref="J1296:AA1296"/>
    <mergeCell ref="Y1297:AB1298"/>
    <mergeCell ref="I1288:K1288"/>
    <mergeCell ref="L1288:N1288"/>
    <mergeCell ref="U1288:X1288"/>
    <mergeCell ref="I1281:J1281"/>
    <mergeCell ref="N1300:O1301"/>
    <mergeCell ref="P1300:Q1300"/>
    <mergeCell ref="R1300:S1300"/>
    <mergeCell ref="T1301:V1301"/>
    <mergeCell ref="L1285:AB1285"/>
    <mergeCell ref="I1286:K1287"/>
    <mergeCell ref="L1286:N1287"/>
    <mergeCell ref="O1286:Q1287"/>
    <mergeCell ref="R1286:T1287"/>
    <mergeCell ref="U1286:X1287"/>
    <mergeCell ref="I1259:J1259"/>
    <mergeCell ref="I1260:J1260"/>
    <mergeCell ref="Y1286:AB1287"/>
    <mergeCell ref="Y1288:AB1288"/>
    <mergeCell ref="I1299:J1299"/>
    <mergeCell ref="K1299:M1299"/>
    <mergeCell ref="N1299:O1299"/>
    <mergeCell ref="P1299:Q1299"/>
    <mergeCell ref="R1299:S1299"/>
    <mergeCell ref="T1299:V1299"/>
    <mergeCell ref="Y1299:AB1299"/>
    <mergeCell ref="Y1300:AB1300"/>
    <mergeCell ref="Y1301:AB1301"/>
    <mergeCell ref="W1297:X1298"/>
    <mergeCell ref="W1299:X1301"/>
    <mergeCell ref="T1300:V1300"/>
    <mergeCell ref="P1301:Q1301"/>
    <mergeCell ref="R1301:S1301"/>
    <mergeCell ref="AC1215:AE1215"/>
    <mergeCell ref="AC1216:AE1216"/>
    <mergeCell ref="T1213:V1214"/>
    <mergeCell ref="T1215:V1216"/>
    <mergeCell ref="W1213:Y1213"/>
    <mergeCell ref="W1214:Y1214"/>
    <mergeCell ref="W1215:Y1215"/>
    <mergeCell ref="W1216:Y1216"/>
    <mergeCell ref="Q1215:S1216"/>
    <mergeCell ref="Z1215:AB1216"/>
    <mergeCell ref="T1211:V1212"/>
    <mergeCell ref="Z1211:AB1212"/>
    <mergeCell ref="Q1211:S1212"/>
    <mergeCell ref="AC1211:AE1212"/>
    <mergeCell ref="Q1213:S1214"/>
    <mergeCell ref="Z1213:AB1214"/>
    <mergeCell ref="W1211:Y1212"/>
    <mergeCell ref="AC1213:AE1213"/>
    <mergeCell ref="AC1214:AE1214"/>
    <mergeCell ref="E1202:F1202"/>
    <mergeCell ref="H1202:I1202"/>
    <mergeCell ref="K1202:L1202"/>
    <mergeCell ref="I1279:J1279"/>
    <mergeCell ref="I1280:J1280"/>
    <mergeCell ref="H1268:J1268"/>
    <mergeCell ref="E1276:F1276"/>
    <mergeCell ref="H1276:I1276"/>
    <mergeCell ref="I1204:J1204"/>
    <mergeCell ref="I1205:J1205"/>
    <mergeCell ref="I1206:J1206"/>
    <mergeCell ref="H1211:I1212"/>
    <mergeCell ref="H1213:I1214"/>
    <mergeCell ref="K1276:L1276"/>
    <mergeCell ref="E1277:F1277"/>
    <mergeCell ref="H1277:I1277"/>
    <mergeCell ref="K1277:L1277"/>
    <mergeCell ref="J1211:L1212"/>
    <mergeCell ref="J1213:L1214"/>
    <mergeCell ref="J1215:L1216"/>
    <mergeCell ref="H1215:I1216"/>
    <mergeCell ref="H1264:J1264"/>
    <mergeCell ref="E1266:F1266"/>
    <mergeCell ref="H1266:I1266"/>
    <mergeCell ref="H1217:I1218"/>
    <mergeCell ref="J1217:L1218"/>
    <mergeCell ref="H1223:I1224"/>
    <mergeCell ref="J1223:L1224"/>
    <mergeCell ref="H1233:I1234"/>
    <mergeCell ref="J1233:L1234"/>
    <mergeCell ref="H1237:I1238"/>
    <mergeCell ref="J1237:L1238"/>
    <mergeCell ref="L1184:N1184"/>
    <mergeCell ref="L1185:N1185"/>
    <mergeCell ref="I1186:J1186"/>
    <mergeCell ref="S1187:T1187"/>
    <mergeCell ref="S1188:T1188"/>
    <mergeCell ref="T1150:V1150"/>
    <mergeCell ref="Z1150:AB1150"/>
    <mergeCell ref="H1151:J1151"/>
    <mergeCell ref="H1149:J1150"/>
    <mergeCell ref="K1149:P1149"/>
    <mergeCell ref="T1149:V1149"/>
    <mergeCell ref="Z1149:AB1149"/>
    <mergeCell ref="K1150:P1150"/>
    <mergeCell ref="H1177:I1177"/>
    <mergeCell ref="K1177:L1177"/>
    <mergeCell ref="I1179:J1179"/>
    <mergeCell ref="I1180:J1180"/>
    <mergeCell ref="N1177:O1177"/>
    <mergeCell ref="Q1177:R1177"/>
    <mergeCell ref="L1181:N1181"/>
    <mergeCell ref="W1147:Y1148"/>
    <mergeCell ref="T1147:V1148"/>
    <mergeCell ref="Z1147:AB1148"/>
    <mergeCell ref="E1133:F1133"/>
    <mergeCell ref="H1133:I1133"/>
    <mergeCell ref="K1133:L1133"/>
    <mergeCell ref="I1135:J1135"/>
    <mergeCell ref="I1136:J1136"/>
    <mergeCell ref="I1137:J1137"/>
    <mergeCell ref="I1138:J1138"/>
    <mergeCell ref="J1139:K1139"/>
    <mergeCell ref="H1147:J1148"/>
    <mergeCell ref="K1147:P1148"/>
    <mergeCell ref="Q1147:S1148"/>
    <mergeCell ref="I1183:J1183"/>
    <mergeCell ref="E1177:F1177"/>
    <mergeCell ref="L1182:N1182"/>
    <mergeCell ref="H1152:J1153"/>
    <mergeCell ref="K1152:P1152"/>
    <mergeCell ref="Q1152:S1153"/>
    <mergeCell ref="T1152:V1152"/>
    <mergeCell ref="Z1152:AB1152"/>
    <mergeCell ref="K1153:P1153"/>
    <mergeCell ref="T1153:V1153"/>
    <mergeCell ref="Z1153:AB1153"/>
    <mergeCell ref="K1151:P1151"/>
    <mergeCell ref="T1151:V1151"/>
    <mergeCell ref="Z1151:AB1151"/>
    <mergeCell ref="V1120:X1120"/>
    <mergeCell ref="H1094:M1094"/>
    <mergeCell ref="H1095:M1095"/>
    <mergeCell ref="AC1094:AE1094"/>
    <mergeCell ref="AC1095:AE1095"/>
    <mergeCell ref="Q1089:S1090"/>
    <mergeCell ref="T1089:V1090"/>
    <mergeCell ref="Z1093:AB1093"/>
    <mergeCell ref="AC1093:AE1093"/>
    <mergeCell ref="Q1094:S1095"/>
    <mergeCell ref="T1094:V1095"/>
    <mergeCell ref="W1094:Y1095"/>
    <mergeCell ref="E1089:G1090"/>
    <mergeCell ref="E1091:G1092"/>
    <mergeCell ref="N1089:P1090"/>
    <mergeCell ref="E1073:F1073"/>
    <mergeCell ref="H1073:I1073"/>
    <mergeCell ref="K1073:L1073"/>
    <mergeCell ref="H1074:I1074"/>
    <mergeCell ref="E1121:F1121"/>
    <mergeCell ref="H1121:I1121"/>
    <mergeCell ref="K1121:M1121"/>
    <mergeCell ref="O1121:P1121"/>
    <mergeCell ref="R1121:T1121"/>
    <mergeCell ref="I1116:J1116"/>
    <mergeCell ref="I1117:J1117"/>
    <mergeCell ref="I1118:J1118"/>
    <mergeCell ref="I1115:J1115"/>
    <mergeCell ref="E1120:F1120"/>
    <mergeCell ref="H1120:I1120"/>
    <mergeCell ref="K1120:M1120"/>
    <mergeCell ref="O1120:P1120"/>
    <mergeCell ref="R1120:T1120"/>
    <mergeCell ref="Z1092:AB1092"/>
    <mergeCell ref="E1094:G1095"/>
    <mergeCell ref="E1113:F1113"/>
    <mergeCell ref="H1113:I1113"/>
    <mergeCell ref="K1113:L1113"/>
    <mergeCell ref="V1121:X1121"/>
    <mergeCell ref="Q1091:S1091"/>
    <mergeCell ref="T1091:V1091"/>
    <mergeCell ref="H1089:M1090"/>
    <mergeCell ref="Z1094:AB1094"/>
    <mergeCell ref="Z1095:AB1095"/>
    <mergeCell ref="I1078:J1078"/>
    <mergeCell ref="AE866:AF866"/>
    <mergeCell ref="Z866:AA866"/>
    <mergeCell ref="L866:P866"/>
    <mergeCell ref="H1093:M1093"/>
    <mergeCell ref="H1091:M1091"/>
    <mergeCell ref="H1092:M1092"/>
    <mergeCell ref="X866:Y866"/>
    <mergeCell ref="W1089:Y1090"/>
    <mergeCell ref="AC1089:AE1090"/>
    <mergeCell ref="AC1091:AE1091"/>
    <mergeCell ref="AC1092:AE1092"/>
    <mergeCell ref="Z1091:AB1091"/>
    <mergeCell ref="I1079:J1079"/>
    <mergeCell ref="I1080:J1080"/>
    <mergeCell ref="Z1089:AB1090"/>
    <mergeCell ref="AB865:AC865"/>
    <mergeCell ref="R866:S866"/>
    <mergeCell ref="V865:W865"/>
    <mergeCell ref="X865:Y865"/>
    <mergeCell ref="I1076:J1076"/>
    <mergeCell ref="I1077:J1077"/>
    <mergeCell ref="E860:F860"/>
    <mergeCell ref="H860:I860"/>
    <mergeCell ref="K860:L860"/>
    <mergeCell ref="I862:J862"/>
    <mergeCell ref="K846:L846"/>
    <mergeCell ref="I863:J863"/>
    <mergeCell ref="Y839:Z839"/>
    <mergeCell ref="E849:F849"/>
    <mergeCell ref="E845:F845"/>
    <mergeCell ref="K849:L849"/>
    <mergeCell ref="H845:I845"/>
    <mergeCell ref="L850:M850"/>
    <mergeCell ref="Q850:S850"/>
    <mergeCell ref="E875:S875"/>
    <mergeCell ref="T875:AH875"/>
    <mergeCell ref="E876:F877"/>
    <mergeCell ref="G876:I877"/>
    <mergeCell ref="T876:U877"/>
    <mergeCell ref="E824:F824"/>
    <mergeCell ref="H824:I824"/>
    <mergeCell ref="K824:L824"/>
    <mergeCell ref="Q249:S249"/>
    <mergeCell ref="T249:X249"/>
    <mergeCell ref="T269:X271"/>
    <mergeCell ref="T272:X272"/>
    <mergeCell ref="I826:J826"/>
    <mergeCell ref="I827:J827"/>
    <mergeCell ref="I828:J828"/>
    <mergeCell ref="E833:F833"/>
    <mergeCell ref="H833:I833"/>
    <mergeCell ref="K833:L833"/>
    <mergeCell ref="I835:J835"/>
    <mergeCell ref="I836:J836"/>
    <mergeCell ref="I841:J841"/>
    <mergeCell ref="S838:T838"/>
    <mergeCell ref="S839:T839"/>
    <mergeCell ref="V838:W838"/>
    <mergeCell ref="V839:W839"/>
    <mergeCell ref="Y838:Z838"/>
    <mergeCell ref="I249:L249"/>
    <mergeCell ref="Y246:AC248"/>
    <mergeCell ref="Y249:AC249"/>
    <mergeCell ref="F269:H271"/>
    <mergeCell ref="F272:H272"/>
    <mergeCell ref="Q269:S271"/>
    <mergeCell ref="Q272:S272"/>
    <mergeCell ref="M269:P271"/>
    <mergeCell ref="M272:P272"/>
    <mergeCell ref="Y269:AC271"/>
    <mergeCell ref="Y272:AC272"/>
    <mergeCell ref="I272:L272"/>
    <mergeCell ref="F261:H261"/>
    <mergeCell ref="F262:H262"/>
    <mergeCell ref="F263:H263"/>
    <mergeCell ref="F264:H264"/>
    <mergeCell ref="I269:L271"/>
    <mergeCell ref="I251:L251"/>
    <mergeCell ref="I252:L252"/>
    <mergeCell ref="I253:L253"/>
    <mergeCell ref="I254:L254"/>
    <mergeCell ref="I255:L255"/>
    <mergeCell ref="I256:L256"/>
    <mergeCell ref="I257:L257"/>
    <mergeCell ref="I258:L258"/>
    <mergeCell ref="I259:L259"/>
    <mergeCell ref="I260:L260"/>
    <mergeCell ref="I261:L261"/>
    <mergeCell ref="Q246:S248"/>
    <mergeCell ref="J240:K240"/>
    <mergeCell ref="J241:K241"/>
    <mergeCell ref="J242:K242"/>
    <mergeCell ref="J243:K243"/>
    <mergeCell ref="F246:H248"/>
    <mergeCell ref="I246:L248"/>
    <mergeCell ref="M246:P248"/>
    <mergeCell ref="F335:H337"/>
    <mergeCell ref="I335:L337"/>
    <mergeCell ref="F338:H338"/>
    <mergeCell ref="I338:L338"/>
    <mergeCell ref="F339:H339"/>
    <mergeCell ref="J417:K417"/>
    <mergeCell ref="O434:P434"/>
    <mergeCell ref="J436:K436"/>
    <mergeCell ref="T246:X248"/>
    <mergeCell ref="R438:T438"/>
    <mergeCell ref="R242:T242"/>
    <mergeCell ref="M335:P337"/>
    <mergeCell ref="J184:K184"/>
    <mergeCell ref="U201:W201"/>
    <mergeCell ref="J195:K195"/>
    <mergeCell ref="O192:O193"/>
    <mergeCell ref="L474:N474"/>
    <mergeCell ref="Q474:S474"/>
    <mergeCell ref="U474:V474"/>
    <mergeCell ref="J185:K185"/>
    <mergeCell ref="J186:K186"/>
    <mergeCell ref="J196:K196"/>
    <mergeCell ref="M189:N189"/>
    <mergeCell ref="J190:K190"/>
    <mergeCell ref="J191:K191"/>
    <mergeCell ref="X152:AC154"/>
    <mergeCell ref="U156:W156"/>
    <mergeCell ref="U157:W157"/>
    <mergeCell ref="U158:W158"/>
    <mergeCell ref="U159:W159"/>
    <mergeCell ref="U160:W160"/>
    <mergeCell ref="M192:N193"/>
    <mergeCell ref="J194:K194"/>
    <mergeCell ref="O203:Q203"/>
    <mergeCell ref="X201:Z201"/>
    <mergeCell ref="AA201:AC201"/>
    <mergeCell ref="J167:M167"/>
    <mergeCell ref="U167:W167"/>
    <mergeCell ref="U168:W168"/>
    <mergeCell ref="U169:W169"/>
    <mergeCell ref="H450:J450"/>
    <mergeCell ref="H451:J451"/>
    <mergeCell ref="H452:J452"/>
    <mergeCell ref="H453:J453"/>
    <mergeCell ref="AF14:AI14"/>
    <mergeCell ref="AF15:AI15"/>
    <mergeCell ref="AF26:AI26"/>
    <mergeCell ref="AE17:AF17"/>
    <mergeCell ref="AB14:AE14"/>
    <mergeCell ref="AB15:AE15"/>
    <mergeCell ref="Y27:Z27"/>
    <mergeCell ref="AB27:AC27"/>
    <mergeCell ref="AE27:AF27"/>
    <mergeCell ref="U25:AA25"/>
    <mergeCell ref="AB25:AE25"/>
    <mergeCell ref="AF25:AI25"/>
    <mergeCell ref="U14:AA14"/>
    <mergeCell ref="U26:AA26"/>
    <mergeCell ref="AD152:AI154"/>
    <mergeCell ref="X155:AC155"/>
    <mergeCell ref="Z474:AA474"/>
    <mergeCell ref="Y473:AB473"/>
    <mergeCell ref="AD155:AI155"/>
    <mergeCell ref="U155:W155"/>
    <mergeCell ref="X163:AC163"/>
    <mergeCell ref="AD203:AF203"/>
    <mergeCell ref="T117:Y117"/>
    <mergeCell ref="T118:Y118"/>
    <mergeCell ref="AC122:AH122"/>
    <mergeCell ref="AC123:AH123"/>
    <mergeCell ref="AC124:AH124"/>
    <mergeCell ref="AC125:AH125"/>
    <mergeCell ref="AC126:AH126"/>
    <mergeCell ref="AC127:AH127"/>
    <mergeCell ref="T111:Y111"/>
    <mergeCell ref="Q110:Y110"/>
    <mergeCell ref="AB26:AE26"/>
    <mergeCell ref="U15:AA15"/>
    <mergeCell ref="W18:X18"/>
    <mergeCell ref="AE16:AF16"/>
    <mergeCell ref="Y28:Z28"/>
    <mergeCell ref="AB28:AC28"/>
    <mergeCell ref="AE28:AF28"/>
    <mergeCell ref="W29:X29"/>
    <mergeCell ref="E32:T32"/>
    <mergeCell ref="E21:T21"/>
    <mergeCell ref="E43:T43"/>
    <mergeCell ref="D56:G57"/>
    <mergeCell ref="D54:G55"/>
    <mergeCell ref="H54:P55"/>
    <mergeCell ref="Q54:Y55"/>
    <mergeCell ref="H56:P57"/>
    <mergeCell ref="Q56:Y57"/>
    <mergeCell ref="Z54:AH55"/>
    <mergeCell ref="Z56:AH57"/>
    <mergeCell ref="Y16:Z16"/>
    <mergeCell ref="Y17:Z17"/>
    <mergeCell ref="AB16:AC16"/>
    <mergeCell ref="AB17:AC17"/>
    <mergeCell ref="L72:S72"/>
    <mergeCell ref="T72:AG72"/>
    <mergeCell ref="F83:G83"/>
    <mergeCell ref="I83:J83"/>
    <mergeCell ref="K83:L83"/>
    <mergeCell ref="M83:N83"/>
    <mergeCell ref="P83:Q83"/>
    <mergeCell ref="D58:G61"/>
    <mergeCell ref="H58:P59"/>
    <mergeCell ref="H60:P61"/>
    <mergeCell ref="Q58:Y59"/>
    <mergeCell ref="Q60:Y61"/>
    <mergeCell ref="Z58:AH59"/>
    <mergeCell ref="F72:K72"/>
    <mergeCell ref="F73:K73"/>
    <mergeCell ref="F74:K74"/>
    <mergeCell ref="H113:J113"/>
    <mergeCell ref="Q113:S113"/>
    <mergeCell ref="J86:K86"/>
    <mergeCell ref="J88:K88"/>
    <mergeCell ref="J85:K85"/>
    <mergeCell ref="J87:K87"/>
    <mergeCell ref="L73:S73"/>
    <mergeCell ref="L74:S74"/>
    <mergeCell ref="Z60:AH61"/>
    <mergeCell ref="T73:AG73"/>
    <mergeCell ref="Q111:S111"/>
    <mergeCell ref="Z110:AH110"/>
    <mergeCell ref="Z111:AB111"/>
    <mergeCell ref="AC111:AH111"/>
    <mergeCell ref="AC113:AH113"/>
    <mergeCell ref="Q91:V91"/>
    <mergeCell ref="H92:J92"/>
    <mergeCell ref="W91:AB91"/>
    <mergeCell ref="K92:P92"/>
    <mergeCell ref="Q92:V92"/>
    <mergeCell ref="W92:AB92"/>
    <mergeCell ref="H95:J95"/>
    <mergeCell ref="K95:P95"/>
    <mergeCell ref="Q95:V95"/>
    <mergeCell ref="W95:AB95"/>
    <mergeCell ref="H91:J91"/>
    <mergeCell ref="K91:P91"/>
    <mergeCell ref="H96:J96"/>
    <mergeCell ref="K96:P96"/>
    <mergeCell ref="Q96:V96"/>
    <mergeCell ref="W96:AB96"/>
    <mergeCell ref="T74:AG74"/>
    <mergeCell ref="F103:G103"/>
    <mergeCell ref="I103:J103"/>
    <mergeCell ref="K103:L103"/>
    <mergeCell ref="M103:N103"/>
    <mergeCell ref="J105:K105"/>
    <mergeCell ref="J106:K106"/>
    <mergeCell ref="J107:K107"/>
    <mergeCell ref="K112:P112"/>
    <mergeCell ref="T112:Y112"/>
    <mergeCell ref="Z112:AB112"/>
    <mergeCell ref="H110:J111"/>
    <mergeCell ref="K110:P111"/>
    <mergeCell ref="H112:J112"/>
    <mergeCell ref="Q112:S112"/>
    <mergeCell ref="AC112:AH112"/>
    <mergeCell ref="K113:P113"/>
    <mergeCell ref="T113:Y113"/>
    <mergeCell ref="H114:J114"/>
    <mergeCell ref="Q114:S114"/>
    <mergeCell ref="F143:G143"/>
    <mergeCell ref="I143:J143"/>
    <mergeCell ref="K143:L143"/>
    <mergeCell ref="M143:N143"/>
    <mergeCell ref="P143:Q143"/>
    <mergeCell ref="H117:J117"/>
    <mergeCell ref="Q117:S117"/>
    <mergeCell ref="K117:P117"/>
    <mergeCell ref="H118:J118"/>
    <mergeCell ref="Q118:S118"/>
    <mergeCell ref="K118:P118"/>
    <mergeCell ref="Q122:S122"/>
    <mergeCell ref="K122:P122"/>
    <mergeCell ref="T122:Y122"/>
    <mergeCell ref="T123:Y123"/>
    <mergeCell ref="H124:J124"/>
    <mergeCell ref="Q124:S124"/>
    <mergeCell ref="J145:K145"/>
    <mergeCell ref="F140:G140"/>
    <mergeCell ref="I140:J140"/>
    <mergeCell ref="K140:L140"/>
    <mergeCell ref="M140:N140"/>
    <mergeCell ref="P140:Q140"/>
    <mergeCell ref="Q155:T155"/>
    <mergeCell ref="F182:G182"/>
    <mergeCell ref="I182:J182"/>
    <mergeCell ref="L182:M182"/>
    <mergeCell ref="J146:K146"/>
    <mergeCell ref="J147:K147"/>
    <mergeCell ref="J148:K148"/>
    <mergeCell ref="N167:P167"/>
    <mergeCell ref="N168:P168"/>
    <mergeCell ref="N169:P169"/>
    <mergeCell ref="N170:P170"/>
    <mergeCell ref="N155:P155"/>
    <mergeCell ref="J155:M155"/>
    <mergeCell ref="G169:I169"/>
    <mergeCell ref="J169:M169"/>
    <mergeCell ref="G170:I170"/>
    <mergeCell ref="J170:M170"/>
    <mergeCell ref="G167:I167"/>
    <mergeCell ref="P192:Q192"/>
    <mergeCell ref="S192:T192"/>
    <mergeCell ref="Q193:T193"/>
    <mergeCell ref="O201:Q201"/>
    <mergeCell ref="R201:T201"/>
    <mergeCell ref="J197:K197"/>
    <mergeCell ref="J198:K198"/>
    <mergeCell ref="AD201:AF201"/>
    <mergeCell ref="AG201:AI201"/>
    <mergeCell ref="O202:Q202"/>
    <mergeCell ref="AG202:AI202"/>
    <mergeCell ref="R202:T202"/>
    <mergeCell ref="U202:W202"/>
    <mergeCell ref="X202:Z202"/>
    <mergeCell ref="AD202:AF202"/>
    <mergeCell ref="G203:K203"/>
    <mergeCell ref="G202:K202"/>
    <mergeCell ref="G201:K201"/>
    <mergeCell ref="L201:N201"/>
    <mergeCell ref="L202:N203"/>
    <mergeCell ref="AG203:AI203"/>
    <mergeCell ref="AA202:AC203"/>
    <mergeCell ref="R203:T203"/>
    <mergeCell ref="U203:W203"/>
    <mergeCell ref="X203:Z203"/>
    <mergeCell ref="K478:L478"/>
    <mergeCell ref="N478:O478"/>
    <mergeCell ref="F213:G213"/>
    <mergeCell ref="I213:J213"/>
    <mergeCell ref="L213:M213"/>
    <mergeCell ref="J215:K215"/>
    <mergeCell ref="J216:K216"/>
    <mergeCell ref="J220:K220"/>
    <mergeCell ref="I411:J411"/>
    <mergeCell ref="J413:K413"/>
    <mergeCell ref="J217:K217"/>
    <mergeCell ref="M218:N218"/>
    <mergeCell ref="N411:O411"/>
    <mergeCell ref="P218:Q218"/>
    <mergeCell ref="P219:Q219"/>
    <mergeCell ref="J228:O228"/>
    <mergeCell ref="P228:U228"/>
    <mergeCell ref="H459:J459"/>
    <mergeCell ref="H460:J460"/>
    <mergeCell ref="H461:J461"/>
    <mergeCell ref="H462:J462"/>
    <mergeCell ref="H463:J463"/>
    <mergeCell ref="K456:N456"/>
    <mergeCell ref="Q341:T341"/>
    <mergeCell ref="K455:N455"/>
    <mergeCell ref="E456:G456"/>
    <mergeCell ref="S416:U416"/>
    <mergeCell ref="Q264:S264"/>
    <mergeCell ref="I250:L250"/>
    <mergeCell ref="F238:G238"/>
    <mergeCell ref="I238:J238"/>
    <mergeCell ref="M249:P249"/>
    <mergeCell ref="V228:AA228"/>
    <mergeCell ref="E448:G448"/>
    <mergeCell ref="E449:G449"/>
    <mergeCell ref="E450:G450"/>
    <mergeCell ref="E451:G451"/>
    <mergeCell ref="E452:G452"/>
    <mergeCell ref="E453:G453"/>
    <mergeCell ref="E454:G454"/>
    <mergeCell ref="E455:G455"/>
    <mergeCell ref="J437:K437"/>
    <mergeCell ref="J438:K438"/>
    <mergeCell ref="U464:V464"/>
    <mergeCell ref="E637:G638"/>
    <mergeCell ref="L637:N638"/>
    <mergeCell ref="H456:J456"/>
    <mergeCell ref="H457:J457"/>
    <mergeCell ref="H458:J458"/>
    <mergeCell ref="AD655:AF655"/>
    <mergeCell ref="J227:O227"/>
    <mergeCell ref="P227:U227"/>
    <mergeCell ref="V227:AA227"/>
    <mergeCell ref="Z219:AB219"/>
    <mergeCell ref="J223:O223"/>
    <mergeCell ref="P223:U223"/>
    <mergeCell ref="V223:AA223"/>
    <mergeCell ref="J224:O224"/>
    <mergeCell ref="P224:U224"/>
    <mergeCell ref="V224:AA224"/>
    <mergeCell ref="U220:W220"/>
    <mergeCell ref="U219:W219"/>
    <mergeCell ref="E446:G447"/>
    <mergeCell ref="H446:J447"/>
    <mergeCell ref="H448:J448"/>
    <mergeCell ref="K446:N447"/>
    <mergeCell ref="O446:S447"/>
    <mergeCell ref="I339:L339"/>
    <mergeCell ref="F340:H340"/>
    <mergeCell ref="I340:L340"/>
    <mergeCell ref="U340:Y340"/>
    <mergeCell ref="Z340:AD340"/>
    <mergeCell ref="F341:H341"/>
    <mergeCell ref="I341:L341"/>
    <mergeCell ref="M341:P341"/>
    <mergeCell ref="U341:Y341"/>
    <mergeCell ref="Z341:AD341"/>
    <mergeCell ref="X464:AB464"/>
    <mergeCell ref="AB446:AE447"/>
    <mergeCell ref="K448:N448"/>
    <mergeCell ref="O448:S448"/>
    <mergeCell ref="T448:W448"/>
    <mergeCell ref="X448:AA448"/>
    <mergeCell ref="AB448:AE448"/>
    <mergeCell ref="T446:W447"/>
    <mergeCell ref="F411:G411"/>
    <mergeCell ref="AC464:AD464"/>
    <mergeCell ref="J439:K439"/>
    <mergeCell ref="J440:K440"/>
    <mergeCell ref="J441:K441"/>
    <mergeCell ref="J415:K415"/>
    <mergeCell ref="F434:G434"/>
    <mergeCell ref="J434:K434"/>
    <mergeCell ref="J416:K416"/>
    <mergeCell ref="J414:K414"/>
    <mergeCell ref="AB440:AC440"/>
    <mergeCell ref="V440:W440"/>
    <mergeCell ref="X446:AA447"/>
    <mergeCell ref="AD441:AG441"/>
    <mergeCell ref="H454:J454"/>
    <mergeCell ref="H455:J455"/>
    <mergeCell ref="K449:N449"/>
    <mergeCell ref="K450:N450"/>
    <mergeCell ref="K451:N451"/>
    <mergeCell ref="K452:N452"/>
    <mergeCell ref="K453:N453"/>
    <mergeCell ref="K454:N454"/>
    <mergeCell ref="E639:G639"/>
    <mergeCell ref="E640:G640"/>
    <mergeCell ref="E641:G641"/>
    <mergeCell ref="E642:G642"/>
    <mergeCell ref="E643:G643"/>
    <mergeCell ref="E644:G644"/>
    <mergeCell ref="E645:G645"/>
    <mergeCell ref="E646:G646"/>
    <mergeCell ref="E647:G647"/>
    <mergeCell ref="E648:G648"/>
    <mergeCell ref="E649:G649"/>
    <mergeCell ref="E650:G650"/>
    <mergeCell ref="E651:G651"/>
    <mergeCell ref="E652:G652"/>
    <mergeCell ref="E653:G653"/>
    <mergeCell ref="E654:G654"/>
    <mergeCell ref="K457:N457"/>
    <mergeCell ref="K458:N458"/>
    <mergeCell ref="K459:N459"/>
    <mergeCell ref="L647:N647"/>
    <mergeCell ref="L648:N648"/>
    <mergeCell ref="L649:N649"/>
    <mergeCell ref="L650:N650"/>
    <mergeCell ref="L651:N651"/>
    <mergeCell ref="L652:N652"/>
    <mergeCell ref="L653:N653"/>
    <mergeCell ref="L654:N654"/>
    <mergeCell ref="T688:V688"/>
    <mergeCell ref="T689:V689"/>
    <mergeCell ref="T690:V690"/>
    <mergeCell ref="T691:V691"/>
    <mergeCell ref="T692:V692"/>
    <mergeCell ref="T693:V693"/>
    <mergeCell ref="T694:V694"/>
    <mergeCell ref="T685:V685"/>
    <mergeCell ref="AA696:AC696"/>
    <mergeCell ref="T695:V695"/>
    <mergeCell ref="T696:V696"/>
    <mergeCell ref="T697:V697"/>
    <mergeCell ref="T698:V698"/>
    <mergeCell ref="T699:V699"/>
    <mergeCell ref="T700:V700"/>
    <mergeCell ref="T686:V686"/>
    <mergeCell ref="W686:Z686"/>
    <mergeCell ref="W687:Z687"/>
    <mergeCell ref="W688:Z688"/>
    <mergeCell ref="W689:Z689"/>
    <mergeCell ref="W690:Z690"/>
    <mergeCell ref="W691:Z691"/>
    <mergeCell ref="W692:Z692"/>
    <mergeCell ref="W693:Z693"/>
    <mergeCell ref="W694:Z694"/>
    <mergeCell ref="W695:Z695"/>
    <mergeCell ref="W696:Z696"/>
    <mergeCell ref="W697:Z697"/>
    <mergeCell ref="W698:Z698"/>
    <mergeCell ref="W699:Z699"/>
    <mergeCell ref="W700:Z700"/>
    <mergeCell ref="T687:V687"/>
    <mergeCell ref="AA697:AC697"/>
    <mergeCell ref="AA698:AC698"/>
    <mergeCell ref="AA699:AC699"/>
    <mergeCell ref="AA700:AC700"/>
    <mergeCell ref="AA683:AC684"/>
    <mergeCell ref="AA685:AC685"/>
    <mergeCell ref="AA686:AC686"/>
    <mergeCell ref="AA687:AC687"/>
    <mergeCell ref="AA688:AC688"/>
    <mergeCell ref="AA689:AC689"/>
    <mergeCell ref="AA690:AC690"/>
    <mergeCell ref="AA691:AC691"/>
    <mergeCell ref="AA692:AC692"/>
    <mergeCell ref="AA693:AC693"/>
    <mergeCell ref="AA694:AC694"/>
    <mergeCell ref="AA695:AC695"/>
    <mergeCell ref="F249:H249"/>
    <mergeCell ref="F250:H250"/>
    <mergeCell ref="F251:H251"/>
    <mergeCell ref="F252:H252"/>
    <mergeCell ref="F253:H253"/>
    <mergeCell ref="F254:H254"/>
    <mergeCell ref="F255:H255"/>
    <mergeCell ref="F256:H256"/>
    <mergeCell ref="F257:H257"/>
    <mergeCell ref="F258:H258"/>
    <mergeCell ref="F259:H259"/>
    <mergeCell ref="F260:H260"/>
    <mergeCell ref="M250:P250"/>
    <mergeCell ref="M251:P251"/>
    <mergeCell ref="M252:P252"/>
    <mergeCell ref="M253:P253"/>
    <mergeCell ref="Q260:S260"/>
    <mergeCell ref="Q261:S261"/>
    <mergeCell ref="Q262:S262"/>
    <mergeCell ref="Q263:S263"/>
    <mergeCell ref="L639:N639"/>
    <mergeCell ref="L640:N640"/>
    <mergeCell ref="L641:N641"/>
    <mergeCell ref="L642:N642"/>
    <mergeCell ref="L643:N643"/>
    <mergeCell ref="L644:N644"/>
    <mergeCell ref="L645:N645"/>
    <mergeCell ref="L646:N646"/>
    <mergeCell ref="Y250:AC250"/>
    <mergeCell ref="Y251:AC251"/>
    <mergeCell ref="Y252:AC252"/>
    <mergeCell ref="Y253:AC253"/>
    <mergeCell ref="Y254:AC254"/>
    <mergeCell ref="Y255:AC255"/>
    <mergeCell ref="Y256:AC256"/>
    <mergeCell ref="Y257:AC257"/>
    <mergeCell ref="Y258:AC258"/>
    <mergeCell ref="Y259:AC259"/>
    <mergeCell ref="Y260:AC260"/>
    <mergeCell ref="Y261:AC261"/>
    <mergeCell ref="Y262:AC262"/>
    <mergeCell ref="Y263:AC263"/>
    <mergeCell ref="Y264:AC264"/>
    <mergeCell ref="M254:P254"/>
    <mergeCell ref="M255:P255"/>
    <mergeCell ref="M256:P256"/>
    <mergeCell ref="M257:P257"/>
    <mergeCell ref="M258:P258"/>
    <mergeCell ref="M259:P259"/>
    <mergeCell ref="M260:P260"/>
    <mergeCell ref="M261:P261"/>
    <mergeCell ref="M262:P262"/>
    <mergeCell ref="M263:P263"/>
    <mergeCell ref="M264:P264"/>
    <mergeCell ref="Q250:S250"/>
    <mergeCell ref="Q251:S251"/>
    <mergeCell ref="Q252:S252"/>
    <mergeCell ref="T250:X250"/>
    <mergeCell ref="T251:X251"/>
    <mergeCell ref="T252:X252"/>
    <mergeCell ref="T253:X253"/>
    <mergeCell ref="T254:X254"/>
    <mergeCell ref="T255:X255"/>
    <mergeCell ref="T256:X256"/>
    <mergeCell ref="T257:X257"/>
    <mergeCell ref="T258:X258"/>
    <mergeCell ref="T259:X259"/>
    <mergeCell ref="T260:X260"/>
    <mergeCell ref="T261:X261"/>
    <mergeCell ref="T262:X262"/>
    <mergeCell ref="T263:X263"/>
    <mergeCell ref="T264:X264"/>
    <mergeCell ref="Q256:S256"/>
    <mergeCell ref="I262:L262"/>
    <mergeCell ref="I263:L263"/>
    <mergeCell ref="I264:L264"/>
    <mergeCell ref="Q253:S253"/>
    <mergeCell ref="Q254:S254"/>
    <mergeCell ref="Q255:S255"/>
    <mergeCell ref="F276:H276"/>
    <mergeCell ref="F277:H277"/>
    <mergeCell ref="F278:H278"/>
    <mergeCell ref="F279:H279"/>
    <mergeCell ref="F280:H280"/>
    <mergeCell ref="F281:H281"/>
    <mergeCell ref="M286:P286"/>
    <mergeCell ref="Q257:S257"/>
    <mergeCell ref="Q258:S258"/>
    <mergeCell ref="Q259:S259"/>
    <mergeCell ref="F282:H282"/>
    <mergeCell ref="F283:H283"/>
    <mergeCell ref="F284:H284"/>
    <mergeCell ref="F285:H285"/>
    <mergeCell ref="F286:H286"/>
    <mergeCell ref="F287:H287"/>
    <mergeCell ref="I273:L273"/>
    <mergeCell ref="I274:L274"/>
    <mergeCell ref="I275:L275"/>
    <mergeCell ref="I276:L276"/>
    <mergeCell ref="I277:L277"/>
    <mergeCell ref="I278:L278"/>
    <mergeCell ref="I279:L279"/>
    <mergeCell ref="I280:L280"/>
    <mergeCell ref="I281:L281"/>
    <mergeCell ref="I282:L282"/>
    <mergeCell ref="I283:L283"/>
    <mergeCell ref="I284:L284"/>
    <mergeCell ref="I285:L285"/>
    <mergeCell ref="I286:L286"/>
    <mergeCell ref="I287:L287"/>
    <mergeCell ref="F273:H273"/>
    <mergeCell ref="Q287:S287"/>
    <mergeCell ref="T273:X273"/>
    <mergeCell ref="T274:X274"/>
    <mergeCell ref="T275:X275"/>
    <mergeCell ref="T276:X276"/>
    <mergeCell ref="T277:X277"/>
    <mergeCell ref="T278:X278"/>
    <mergeCell ref="T279:X279"/>
    <mergeCell ref="T280:X280"/>
    <mergeCell ref="T281:X281"/>
    <mergeCell ref="T282:X282"/>
    <mergeCell ref="T283:X283"/>
    <mergeCell ref="T284:X284"/>
    <mergeCell ref="T285:X285"/>
    <mergeCell ref="T286:X286"/>
    <mergeCell ref="T287:X287"/>
    <mergeCell ref="F274:H274"/>
    <mergeCell ref="F275:H275"/>
    <mergeCell ref="M273:P273"/>
    <mergeCell ref="M274:P274"/>
    <mergeCell ref="M275:P275"/>
    <mergeCell ref="M276:P276"/>
    <mergeCell ref="M277:P277"/>
    <mergeCell ref="M278:P278"/>
    <mergeCell ref="M279:P279"/>
    <mergeCell ref="M280:P280"/>
    <mergeCell ref="M281:P281"/>
    <mergeCell ref="M282:P282"/>
    <mergeCell ref="M283:P283"/>
    <mergeCell ref="M284:P284"/>
    <mergeCell ref="M285:P285"/>
    <mergeCell ref="Y273:AC273"/>
    <mergeCell ref="Y274:AC274"/>
    <mergeCell ref="Y275:AC275"/>
    <mergeCell ref="Y276:AC276"/>
    <mergeCell ref="Y277:AC277"/>
    <mergeCell ref="Y278:AC278"/>
    <mergeCell ref="Y279:AC279"/>
    <mergeCell ref="Y280:AC280"/>
    <mergeCell ref="Y281:AC281"/>
    <mergeCell ref="Y282:AC282"/>
    <mergeCell ref="Y283:AC283"/>
    <mergeCell ref="Y284:AC284"/>
    <mergeCell ref="Y285:AC285"/>
    <mergeCell ref="Y286:AC286"/>
    <mergeCell ref="Y287:AC287"/>
    <mergeCell ref="M287:P287"/>
    <mergeCell ref="Q273:S273"/>
    <mergeCell ref="Q274:S274"/>
    <mergeCell ref="Q275:S275"/>
    <mergeCell ref="Q276:S276"/>
    <mergeCell ref="Q277:S277"/>
    <mergeCell ref="Q278:S278"/>
    <mergeCell ref="Q279:S279"/>
    <mergeCell ref="Q280:S280"/>
    <mergeCell ref="Q281:S281"/>
    <mergeCell ref="Q282:S282"/>
    <mergeCell ref="Q283:S283"/>
    <mergeCell ref="Q284:S284"/>
    <mergeCell ref="Q285:S285"/>
    <mergeCell ref="Q286:S286"/>
    <mergeCell ref="H850:J850"/>
    <mergeCell ref="H847:J847"/>
    <mergeCell ref="H846:I846"/>
    <mergeCell ref="H851:J851"/>
    <mergeCell ref="E880:F880"/>
    <mergeCell ref="G880:I880"/>
    <mergeCell ref="E883:F883"/>
    <mergeCell ref="G883:I883"/>
    <mergeCell ref="E886:F886"/>
    <mergeCell ref="G886:I886"/>
    <mergeCell ref="Q1096:S1096"/>
    <mergeCell ref="Q1097:S1097"/>
    <mergeCell ref="Q1102:S1102"/>
    <mergeCell ref="T1096:V1096"/>
    <mergeCell ref="T1097:V1097"/>
    <mergeCell ref="T1102:V1102"/>
    <mergeCell ref="AC1217:AE1217"/>
    <mergeCell ref="O1218:P1218"/>
    <mergeCell ref="W1218:Y1218"/>
    <mergeCell ref="AC1218:AE1218"/>
    <mergeCell ref="H1219:I1220"/>
    <mergeCell ref="J1219:L1220"/>
    <mergeCell ref="M1219:N1220"/>
    <mergeCell ref="O1219:P1219"/>
    <mergeCell ref="Q1219:S1220"/>
    <mergeCell ref="T1219:V1220"/>
    <mergeCell ref="W1219:Y1219"/>
    <mergeCell ref="Z1219:AB1220"/>
    <mergeCell ref="AC1219:AE1219"/>
    <mergeCell ref="O1220:P1220"/>
    <mergeCell ref="W1220:Y1220"/>
    <mergeCell ref="AC1220:AE1220"/>
    <mergeCell ref="H1221:I1222"/>
    <mergeCell ref="J1221:L1222"/>
    <mergeCell ref="M1221:N1222"/>
    <mergeCell ref="O1221:P1221"/>
    <mergeCell ref="Q1221:S1222"/>
    <mergeCell ref="T1221:V1222"/>
    <mergeCell ref="W1221:Y1221"/>
    <mergeCell ref="Z1221:AB1222"/>
    <mergeCell ref="AC1221:AE1221"/>
    <mergeCell ref="O1222:P1222"/>
    <mergeCell ref="W1222:Y1222"/>
    <mergeCell ref="AC1222:AE1222"/>
    <mergeCell ref="Q1217:S1218"/>
    <mergeCell ref="T1217:V1218"/>
    <mergeCell ref="W1217:Y1217"/>
    <mergeCell ref="Z1217:AB1218"/>
    <mergeCell ref="AC1223:AE1223"/>
    <mergeCell ref="O1224:P1224"/>
    <mergeCell ref="W1224:Y1224"/>
    <mergeCell ref="AC1224:AE1224"/>
    <mergeCell ref="I1256:J1256"/>
    <mergeCell ref="K1254:L1254"/>
    <mergeCell ref="H1254:I1254"/>
    <mergeCell ref="E1254:F1254"/>
    <mergeCell ref="K1253:L1253"/>
    <mergeCell ref="H1253:I1253"/>
    <mergeCell ref="E1253:F1253"/>
    <mergeCell ref="H1225:I1226"/>
    <mergeCell ref="J1225:L1226"/>
    <mergeCell ref="M1225:N1226"/>
    <mergeCell ref="O1225:P1225"/>
    <mergeCell ref="Q1225:S1226"/>
    <mergeCell ref="T1225:V1226"/>
    <mergeCell ref="W1225:Y1225"/>
    <mergeCell ref="Z1225:AB1226"/>
    <mergeCell ref="AC1225:AE1225"/>
    <mergeCell ref="O1226:P1226"/>
    <mergeCell ref="W1226:Y1226"/>
    <mergeCell ref="AC1226:AE1226"/>
    <mergeCell ref="H1227:I1228"/>
    <mergeCell ref="J1227:L1228"/>
    <mergeCell ref="M1227:N1228"/>
    <mergeCell ref="O1227:P1227"/>
    <mergeCell ref="Q1227:S1228"/>
    <mergeCell ref="T1227:V1228"/>
    <mergeCell ref="W1227:Y1227"/>
    <mergeCell ref="Z1227:AB1228"/>
    <mergeCell ref="AC1227:AE1227"/>
    <mergeCell ref="AC1228:AE1228"/>
    <mergeCell ref="H1229:I1230"/>
    <mergeCell ref="J1229:L1230"/>
    <mergeCell ref="M1229:N1230"/>
    <mergeCell ref="O1229:P1229"/>
    <mergeCell ref="Q1229:S1230"/>
    <mergeCell ref="T1229:V1230"/>
    <mergeCell ref="W1229:Y1229"/>
    <mergeCell ref="Z1229:AB1230"/>
    <mergeCell ref="AC1229:AE1229"/>
    <mergeCell ref="O1230:P1230"/>
    <mergeCell ref="W1230:Y1230"/>
    <mergeCell ref="AC1230:AE1230"/>
    <mergeCell ref="H1231:I1232"/>
    <mergeCell ref="J1231:L1232"/>
    <mergeCell ref="M1231:N1232"/>
    <mergeCell ref="O1231:P1231"/>
    <mergeCell ref="Q1231:S1232"/>
    <mergeCell ref="T1231:V1232"/>
    <mergeCell ref="W1231:Y1231"/>
    <mergeCell ref="Z1231:AB1232"/>
    <mergeCell ref="AC1231:AE1231"/>
    <mergeCell ref="O1232:P1232"/>
    <mergeCell ref="W1232:Y1232"/>
    <mergeCell ref="AC1232:AE1232"/>
    <mergeCell ref="Q1233:S1234"/>
    <mergeCell ref="T1233:V1234"/>
    <mergeCell ref="W1233:Y1233"/>
    <mergeCell ref="Z1233:AB1234"/>
    <mergeCell ref="AC1233:AE1233"/>
    <mergeCell ref="O1234:P1234"/>
    <mergeCell ref="W1234:Y1234"/>
    <mergeCell ref="AC1234:AE1234"/>
    <mergeCell ref="H1235:I1236"/>
    <mergeCell ref="J1235:L1236"/>
    <mergeCell ref="M1235:N1236"/>
    <mergeCell ref="O1235:P1235"/>
    <mergeCell ref="Q1235:S1236"/>
    <mergeCell ref="T1235:V1236"/>
    <mergeCell ref="W1235:Y1235"/>
    <mergeCell ref="Z1235:AB1236"/>
    <mergeCell ref="AC1235:AE1235"/>
    <mergeCell ref="O1236:P1236"/>
    <mergeCell ref="W1236:Y1236"/>
    <mergeCell ref="AC1236:AE1236"/>
    <mergeCell ref="M1237:N1238"/>
    <mergeCell ref="O1237:P1237"/>
    <mergeCell ref="Q1237:S1238"/>
    <mergeCell ref="T1237:V1238"/>
    <mergeCell ref="W1237:Y1237"/>
    <mergeCell ref="Z1237:AB1238"/>
    <mergeCell ref="AC1237:AE1237"/>
    <mergeCell ref="O1238:P1238"/>
    <mergeCell ref="W1238:Y1238"/>
    <mergeCell ref="AC1238:AE1238"/>
    <mergeCell ref="H1239:I1240"/>
    <mergeCell ref="J1239:L1240"/>
    <mergeCell ref="M1239:N1240"/>
    <mergeCell ref="O1239:P1239"/>
    <mergeCell ref="Q1239:S1240"/>
    <mergeCell ref="T1239:V1240"/>
    <mergeCell ref="W1239:Y1239"/>
    <mergeCell ref="Z1239:AB1240"/>
    <mergeCell ref="AC1239:AE1239"/>
    <mergeCell ref="O1240:P1240"/>
    <mergeCell ref="W1240:Y1240"/>
    <mergeCell ref="AC1240:AE1240"/>
    <mergeCell ref="H1241:I1242"/>
    <mergeCell ref="J1241:L1242"/>
    <mergeCell ref="M1241:N1242"/>
    <mergeCell ref="O1241:P1241"/>
    <mergeCell ref="Q1241:S1242"/>
    <mergeCell ref="T1241:V1242"/>
    <mergeCell ref="W1241:Y1241"/>
    <mergeCell ref="Z1241:AB1242"/>
    <mergeCell ref="AC1241:AE1241"/>
    <mergeCell ref="O1242:P1242"/>
    <mergeCell ref="W1242:Y1242"/>
    <mergeCell ref="AC1242:AE1242"/>
    <mergeCell ref="H1243:I1244"/>
    <mergeCell ref="J1243:L1244"/>
    <mergeCell ref="M1243:N1244"/>
    <mergeCell ref="O1243:P1243"/>
    <mergeCell ref="Q1243:S1244"/>
    <mergeCell ref="T1243:V1244"/>
    <mergeCell ref="W1243:Y1243"/>
    <mergeCell ref="Z1243:AB1244"/>
    <mergeCell ref="AC1243:AE1243"/>
    <mergeCell ref="O1244:P1244"/>
    <mergeCell ref="W1244:Y1244"/>
    <mergeCell ref="AC1244:AE1244"/>
  </mergeCells>
  <phoneticPr fontId="1"/>
  <pageMargins left="0.74803149606299213" right="0.74803149606299213" top="0.98425196850393704" bottom="0.98425196850393704" header="0.51181102362204722" footer="0.51181102362204722"/>
  <pageSetup paperSize="9" scale="97" fitToHeight="0" orientation="portrait" blackAndWhite="1" r:id="rId1"/>
  <headerFooter alignWithMargins="0"/>
  <rowBreaks count="21" manualBreakCount="21">
    <brk id="46" max="16383" man="1"/>
    <brk id="96" max="16383" man="1"/>
    <brk id="130" max="16383" man="1"/>
    <brk id="175" max="16383" man="1"/>
    <brk id="204" max="16383" man="1"/>
    <brk id="231" max="16383" man="1"/>
    <brk id="266" min="1" max="34" man="1"/>
    <brk id="310" min="1" max="34" man="1"/>
    <brk id="405" min="1" max="34" man="1"/>
    <brk id="443" min="1" max="34" man="1"/>
    <brk id="679" min="1" max="34" man="1"/>
    <brk id="817" min="1" max="34" man="1"/>
    <brk id="855" min="1" max="34" man="1"/>
    <brk id="1065" min="1" max="34" man="1"/>
    <brk id="1109" min="1" max="34" man="1"/>
    <brk id="1127" min="1" max="34" man="1"/>
    <brk id="1171" min="1" max="34" man="1"/>
    <brk id="1208" min="1" max="34" man="1"/>
    <brk id="1247" min="1" max="34" man="1"/>
    <brk id="1269" min="1" max="34" man="1"/>
    <brk id="1290" min="1" max="34" man="1"/>
  </rowBreaks>
  <ignoredErrors>
    <ignoredError sqref="O1214 O1216:P1216 O1215:P1215 P1301:Q1301" formula="1"/>
    <ignoredError sqref="W1091 T1091 AD1091:AE1091"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1"/>
  <dimension ref="A2:CG1839"/>
  <sheetViews>
    <sheetView view="pageBreakPreview" topLeftCell="A969" zoomScaleNormal="90" zoomScaleSheetLayoutView="100" workbookViewId="0">
      <pane ySplit="3420" topLeftCell="A1160" activePane="bottomLeft"/>
      <selection activeCell="U850" sqref="U850"/>
      <selection pane="bottomLeft" activeCell="A1161" sqref="A1161:XFD1170"/>
    </sheetView>
  </sheetViews>
  <sheetFormatPr defaultColWidth="2.625" defaultRowHeight="15.75" customHeight="1" x14ac:dyDescent="0.15"/>
  <cols>
    <col min="1" max="1" width="9.75" style="76" customWidth="1"/>
    <col min="2" max="2" width="2.75" style="76" customWidth="1"/>
    <col min="3" max="3" width="2.625" style="1" customWidth="1"/>
    <col min="4" max="4" width="2.625" style="76" customWidth="1"/>
    <col min="5" max="5" width="2.625" style="1" customWidth="1"/>
    <col min="6" max="10" width="2.625" style="76"/>
    <col min="11" max="11" width="2.625" style="76" customWidth="1"/>
    <col min="12" max="13" width="2.625" style="76"/>
    <col min="14" max="14" width="2.625" style="76" customWidth="1"/>
    <col min="15" max="15" width="2.625" style="76"/>
    <col min="16" max="16" width="2.625" style="76" customWidth="1"/>
    <col min="17" max="39" width="2.625" style="76"/>
    <col min="40" max="50" width="2.625" style="379"/>
    <col min="51" max="52" width="2.625" style="379" customWidth="1"/>
    <col min="53" max="58" width="2.625" style="379"/>
    <col min="59" max="74" width="2.625" style="76"/>
    <col min="75" max="76" width="2.625" style="76" customWidth="1"/>
    <col min="77" max="16384" width="2.625" style="76"/>
  </cols>
  <sheetData>
    <row r="2" spans="3:35" ht="15.75" customHeight="1" x14ac:dyDescent="0.15">
      <c r="C2" s="299" t="s">
        <v>18</v>
      </c>
    </row>
    <row r="3" spans="3:35" ht="15.75" customHeight="1" x14ac:dyDescent="0.15">
      <c r="E3" s="1" t="s">
        <v>19</v>
      </c>
    </row>
    <row r="5" spans="3:35" ht="15.75" customHeight="1" x14ac:dyDescent="0.15">
      <c r="D5" s="299" t="s">
        <v>20</v>
      </c>
    </row>
    <row r="7" spans="3:35" ht="15.75" customHeight="1" x14ac:dyDescent="0.15">
      <c r="D7" s="1" t="s">
        <v>21</v>
      </c>
      <c r="M7" s="10" t="s">
        <v>22</v>
      </c>
    </row>
    <row r="8" spans="3:35" ht="15.75" customHeight="1" x14ac:dyDescent="0.15">
      <c r="D8" s="1"/>
      <c r="M8" s="10"/>
    </row>
    <row r="9" spans="3:35" s="1" customFormat="1" ht="15.75" customHeight="1" x14ac:dyDescent="0.15">
      <c r="F9" s="1" t="s">
        <v>170</v>
      </c>
    </row>
    <row r="10" spans="3:35" s="1" customFormat="1" ht="15.75" customHeight="1" x14ac:dyDescent="0.15">
      <c r="F10" s="1" t="s">
        <v>23</v>
      </c>
    </row>
    <row r="11" spans="3:35" s="1" customFormat="1" ht="15.75" customHeight="1" x14ac:dyDescent="0.15"/>
    <row r="12" spans="3:35" s="1" customFormat="1" ht="15.75" customHeight="1" x14ac:dyDescent="0.15"/>
    <row r="13" spans="3:35" s="1" customFormat="1" ht="15.75" customHeight="1" x14ac:dyDescent="0.15">
      <c r="U13" s="64" t="s">
        <v>174</v>
      </c>
      <c r="V13" s="64"/>
      <c r="W13" s="64"/>
      <c r="X13" s="64"/>
      <c r="Y13" s="64"/>
      <c r="Z13" s="64"/>
      <c r="AA13" s="64"/>
      <c r="AB13" s="64"/>
      <c r="AC13" s="64"/>
      <c r="AD13" s="64"/>
      <c r="AE13" s="64"/>
      <c r="AF13" s="64"/>
      <c r="AG13" s="64"/>
      <c r="AH13" s="64"/>
      <c r="AI13" s="64"/>
    </row>
    <row r="14" spans="3:35" s="1" customFormat="1" ht="15.75" customHeight="1" x14ac:dyDescent="0.15">
      <c r="U14" s="143" t="s">
        <v>24</v>
      </c>
      <c r="V14" s="143"/>
      <c r="W14" s="143"/>
      <c r="X14" s="143"/>
      <c r="Y14" s="143"/>
      <c r="Z14" s="143"/>
      <c r="AA14" s="143"/>
      <c r="AB14" s="143" t="s">
        <v>25</v>
      </c>
      <c r="AC14" s="143"/>
      <c r="AD14" s="143"/>
      <c r="AE14" s="143"/>
      <c r="AF14" s="143" t="s">
        <v>26</v>
      </c>
      <c r="AG14" s="143"/>
      <c r="AH14" s="143"/>
      <c r="AI14" s="143"/>
    </row>
    <row r="15" spans="3:35" s="1" customFormat="1" ht="15.75" customHeight="1" x14ac:dyDescent="0.15">
      <c r="U15" s="143" t="s">
        <v>505</v>
      </c>
      <c r="V15" s="143"/>
      <c r="W15" s="143"/>
      <c r="X15" s="143"/>
      <c r="Y15" s="143"/>
      <c r="Z15" s="143"/>
      <c r="AA15" s="143"/>
      <c r="AB15" s="143">
        <v>0.6</v>
      </c>
      <c r="AC15" s="143"/>
      <c r="AD15" s="143"/>
      <c r="AE15" s="143"/>
      <c r="AF15" s="143">
        <v>1.4</v>
      </c>
      <c r="AG15" s="143"/>
      <c r="AH15" s="143"/>
      <c r="AI15" s="143"/>
    </row>
    <row r="16" spans="3:35" s="1" customFormat="1" ht="15.75" customHeight="1" x14ac:dyDescent="0.15">
      <c r="Y16" s="247" t="s">
        <v>559</v>
      </c>
      <c r="Z16" s="247"/>
      <c r="AA16" s="76" t="s">
        <v>27</v>
      </c>
      <c r="AB16" s="247" t="s">
        <v>560</v>
      </c>
      <c r="AC16" s="247"/>
      <c r="AD16" s="76" t="s">
        <v>1</v>
      </c>
      <c r="AE16" s="162" t="s">
        <v>561</v>
      </c>
      <c r="AF16" s="162"/>
    </row>
    <row r="17" spans="5:35" s="1" customFormat="1" ht="15.75" customHeight="1" x14ac:dyDescent="0.15">
      <c r="Y17" s="162" t="s">
        <v>562</v>
      </c>
      <c r="Z17" s="162"/>
      <c r="AA17" s="76" t="s">
        <v>27</v>
      </c>
      <c r="AB17" s="162" t="s">
        <v>563</v>
      </c>
      <c r="AC17" s="162"/>
      <c r="AD17" s="76" t="s">
        <v>1</v>
      </c>
      <c r="AE17" s="162" t="s">
        <v>561</v>
      </c>
      <c r="AF17" s="162"/>
    </row>
    <row r="18" spans="5:35" s="1" customFormat="1" ht="15.75" customHeight="1" x14ac:dyDescent="0.15">
      <c r="J18" s="300" t="s">
        <v>564</v>
      </c>
      <c r="W18" s="162" t="s">
        <v>561</v>
      </c>
      <c r="X18" s="162"/>
      <c r="Y18" s="76" t="s">
        <v>2</v>
      </c>
      <c r="Z18" s="1" t="s">
        <v>28</v>
      </c>
    </row>
    <row r="19" spans="5:35" s="1" customFormat="1" ht="15.75" customHeight="1" x14ac:dyDescent="0.15"/>
    <row r="20" spans="5:35" s="1" customFormat="1" ht="15.75" customHeight="1" x14ac:dyDescent="0.15"/>
    <row r="21" spans="5:35" s="1" customFormat="1" ht="15.75" customHeight="1" x14ac:dyDescent="0.15">
      <c r="E21" s="155" t="s">
        <v>171</v>
      </c>
      <c r="F21" s="155"/>
      <c r="G21" s="155"/>
      <c r="H21" s="155"/>
      <c r="I21" s="155"/>
      <c r="J21" s="155"/>
      <c r="K21" s="155"/>
      <c r="L21" s="155"/>
      <c r="M21" s="155"/>
      <c r="N21" s="155"/>
      <c r="O21" s="155"/>
      <c r="P21" s="155"/>
      <c r="Q21" s="155"/>
      <c r="R21" s="155"/>
      <c r="S21" s="155"/>
      <c r="T21" s="155"/>
    </row>
    <row r="22" spans="5:35" s="1" customFormat="1" ht="15.75" customHeight="1" x14ac:dyDescent="0.15"/>
    <row r="23" spans="5:35" s="1" customFormat="1" ht="15.75" customHeight="1" x14ac:dyDescent="0.15"/>
    <row r="24" spans="5:35" s="1" customFormat="1" ht="15.75" customHeight="1" x14ac:dyDescent="0.15">
      <c r="U24" s="64" t="s">
        <v>175</v>
      </c>
      <c r="V24" s="64"/>
      <c r="W24" s="64"/>
      <c r="X24" s="64"/>
      <c r="Y24" s="64"/>
      <c r="Z24" s="64"/>
      <c r="AA24" s="64"/>
      <c r="AB24" s="64"/>
      <c r="AC24" s="64"/>
      <c r="AD24" s="64"/>
      <c r="AE24" s="64"/>
      <c r="AF24" s="64"/>
      <c r="AG24" s="64"/>
      <c r="AH24" s="64"/>
      <c r="AI24" s="64"/>
    </row>
    <row r="25" spans="5:35" s="1" customFormat="1" ht="15.75" customHeight="1" x14ac:dyDescent="0.15">
      <c r="U25" s="143" t="s">
        <v>24</v>
      </c>
      <c r="V25" s="143"/>
      <c r="W25" s="143"/>
      <c r="X25" s="143"/>
      <c r="Y25" s="143"/>
      <c r="Z25" s="143"/>
      <c r="AA25" s="143"/>
      <c r="AB25" s="143" t="s">
        <v>29</v>
      </c>
      <c r="AC25" s="143"/>
      <c r="AD25" s="143"/>
      <c r="AE25" s="143"/>
      <c r="AF25" s="143" t="s">
        <v>30</v>
      </c>
      <c r="AG25" s="143"/>
      <c r="AH25" s="143"/>
      <c r="AI25" s="143"/>
    </row>
    <row r="26" spans="5:35" s="1" customFormat="1" ht="15.75" customHeight="1" x14ac:dyDescent="0.15">
      <c r="U26" s="143" t="s">
        <v>505</v>
      </c>
      <c r="V26" s="143"/>
      <c r="W26" s="143"/>
      <c r="X26" s="143"/>
      <c r="Y26" s="143"/>
      <c r="Z26" s="143"/>
      <c r="AA26" s="143"/>
      <c r="AB26" s="143">
        <v>1.2</v>
      </c>
      <c r="AC26" s="143"/>
      <c r="AD26" s="143"/>
      <c r="AE26" s="143"/>
      <c r="AF26" s="143">
        <v>1.4</v>
      </c>
      <c r="AG26" s="143"/>
      <c r="AH26" s="143"/>
      <c r="AI26" s="143"/>
    </row>
    <row r="27" spans="5:35" s="1" customFormat="1" ht="15.75" customHeight="1" x14ac:dyDescent="0.15">
      <c r="Y27" s="247" t="s">
        <v>565</v>
      </c>
      <c r="Z27" s="247"/>
      <c r="AA27" s="76" t="s">
        <v>27</v>
      </c>
      <c r="AB27" s="247" t="s">
        <v>566</v>
      </c>
      <c r="AC27" s="247"/>
      <c r="AD27" s="76" t="s">
        <v>1</v>
      </c>
      <c r="AE27" s="162" t="s">
        <v>567</v>
      </c>
      <c r="AF27" s="162"/>
    </row>
    <row r="28" spans="5:35" s="1" customFormat="1" ht="15.75" customHeight="1" x14ac:dyDescent="0.15">
      <c r="Y28" s="162" t="s">
        <v>568</v>
      </c>
      <c r="Z28" s="162"/>
      <c r="AA28" s="76" t="s">
        <v>27</v>
      </c>
      <c r="AB28" s="162" t="s">
        <v>569</v>
      </c>
      <c r="AC28" s="162"/>
      <c r="AD28" s="76" t="s">
        <v>1</v>
      </c>
      <c r="AE28" s="162" t="s">
        <v>567</v>
      </c>
      <c r="AF28" s="162"/>
    </row>
    <row r="29" spans="5:35" s="1" customFormat="1" ht="15.75" customHeight="1" x14ac:dyDescent="0.15">
      <c r="J29" s="300" t="s">
        <v>570</v>
      </c>
      <c r="W29" s="162" t="s">
        <v>567</v>
      </c>
      <c r="X29" s="162"/>
      <c r="Y29" s="76" t="s">
        <v>2</v>
      </c>
      <c r="Z29" s="1" t="s">
        <v>31</v>
      </c>
    </row>
    <row r="30" spans="5:35" s="1" customFormat="1" ht="15.75" customHeight="1" x14ac:dyDescent="0.15"/>
    <row r="31" spans="5:35" s="1" customFormat="1" ht="15.75" customHeight="1" x14ac:dyDescent="0.15"/>
    <row r="32" spans="5:35" s="1" customFormat="1" ht="15.75" customHeight="1" x14ac:dyDescent="0.15">
      <c r="E32" s="155" t="s">
        <v>172</v>
      </c>
      <c r="F32" s="155"/>
      <c r="G32" s="155"/>
      <c r="H32" s="155"/>
      <c r="I32" s="155"/>
      <c r="J32" s="155"/>
      <c r="K32" s="155"/>
      <c r="L32" s="155"/>
      <c r="M32" s="155"/>
      <c r="N32" s="155"/>
      <c r="O32" s="155"/>
      <c r="P32" s="155"/>
      <c r="Q32" s="155"/>
      <c r="R32" s="155"/>
      <c r="S32" s="155"/>
      <c r="T32" s="155"/>
    </row>
    <row r="33" spans="4:20" s="1" customFormat="1" ht="15.75" customHeight="1" x14ac:dyDescent="0.15"/>
    <row r="34" spans="4:20" s="1" customFormat="1" ht="15.75" customHeight="1" x14ac:dyDescent="0.15"/>
    <row r="35" spans="4:20" s="1" customFormat="1" ht="15.75" customHeight="1" x14ac:dyDescent="0.15"/>
    <row r="36" spans="4:20" s="1" customFormat="1" ht="15.75" customHeight="1" x14ac:dyDescent="0.15"/>
    <row r="37" spans="4:20" s="1" customFormat="1" ht="15.75" customHeight="1" x14ac:dyDescent="0.15"/>
    <row r="38" spans="4:20" s="1" customFormat="1" ht="15.75" customHeight="1" x14ac:dyDescent="0.15"/>
    <row r="39" spans="4:20" s="1" customFormat="1" ht="15.75" customHeight="1" x14ac:dyDescent="0.15"/>
    <row r="40" spans="4:20" s="1" customFormat="1" ht="15.75" customHeight="1" x14ac:dyDescent="0.15">
      <c r="J40" s="300" t="s">
        <v>571</v>
      </c>
    </row>
    <row r="41" spans="4:20" s="1" customFormat="1" ht="15.75" customHeight="1" x14ac:dyDescent="0.15"/>
    <row r="42" spans="4:20" s="1" customFormat="1" ht="15.75" customHeight="1" x14ac:dyDescent="0.15"/>
    <row r="43" spans="4:20" s="1" customFormat="1" ht="15.75" customHeight="1" x14ac:dyDescent="0.15">
      <c r="E43" s="155" t="s">
        <v>173</v>
      </c>
      <c r="F43" s="155"/>
      <c r="G43" s="155"/>
      <c r="H43" s="155"/>
      <c r="I43" s="155"/>
      <c r="J43" s="155"/>
      <c r="K43" s="155"/>
      <c r="L43" s="155"/>
      <c r="M43" s="155"/>
      <c r="N43" s="155"/>
      <c r="O43" s="155"/>
      <c r="P43" s="155"/>
      <c r="Q43" s="155"/>
      <c r="R43" s="155"/>
      <c r="S43" s="155"/>
      <c r="T43" s="155"/>
    </row>
    <row r="44" spans="4:20" s="1" customFormat="1" ht="15.75" customHeight="1" x14ac:dyDescent="0.15"/>
    <row r="45" spans="4:20" s="1" customFormat="1" ht="15.75" customHeight="1" x14ac:dyDescent="0.15"/>
    <row r="46" spans="4:20" s="1" customFormat="1" ht="15.75" customHeight="1" x14ac:dyDescent="0.15"/>
    <row r="47" spans="4:20" s="1" customFormat="1" ht="15.75" customHeight="1" x14ac:dyDescent="0.15"/>
    <row r="48" spans="4:20" ht="15.75" customHeight="1" x14ac:dyDescent="0.15">
      <c r="D48" s="1" t="s">
        <v>32</v>
      </c>
      <c r="M48" s="10"/>
    </row>
    <row r="49" spans="4:36" s="1" customFormat="1" ht="15.75" customHeight="1" x14ac:dyDescent="0.15"/>
    <row r="50" spans="4:36" s="1" customFormat="1" ht="15.75" customHeight="1" x14ac:dyDescent="0.15">
      <c r="F50" s="1" t="s">
        <v>176</v>
      </c>
    </row>
    <row r="51" spans="4:36" s="1" customFormat="1" ht="15.75" customHeight="1" x14ac:dyDescent="0.15">
      <c r="F51" s="1" t="s">
        <v>33</v>
      </c>
    </row>
    <row r="52" spans="4:36" s="1" customFormat="1" ht="15.75" customHeight="1" x14ac:dyDescent="0.15"/>
    <row r="53" spans="4:36" s="1" customFormat="1" ht="15.75" customHeight="1" x14ac:dyDescent="0.15">
      <c r="D53" s="61" t="s">
        <v>177</v>
      </c>
      <c r="E53" s="61"/>
      <c r="F53" s="61"/>
      <c r="G53" s="61"/>
      <c r="H53" s="61"/>
      <c r="I53" s="61"/>
      <c r="J53" s="61"/>
      <c r="K53" s="61"/>
      <c r="L53" s="61"/>
      <c r="M53" s="61"/>
      <c r="N53" s="61"/>
      <c r="O53" s="61"/>
      <c r="P53" s="61"/>
      <c r="Q53" s="61"/>
      <c r="R53" s="61"/>
      <c r="S53" s="61"/>
      <c r="T53" s="61"/>
      <c r="U53" s="61"/>
      <c r="V53" s="61"/>
      <c r="W53" s="61"/>
      <c r="X53" s="61"/>
      <c r="Y53" s="61"/>
      <c r="Z53" s="61"/>
      <c r="AA53" s="61"/>
      <c r="AB53" s="61"/>
      <c r="AC53" s="61"/>
      <c r="AD53" s="61"/>
      <c r="AE53" s="61"/>
      <c r="AF53" s="61"/>
      <c r="AG53" s="61"/>
      <c r="AH53" s="61"/>
    </row>
    <row r="54" spans="4:36" s="1" customFormat="1" ht="15.75" customHeight="1" x14ac:dyDescent="0.15">
      <c r="D54" s="154" t="s">
        <v>47</v>
      </c>
      <c r="E54" s="143"/>
      <c r="F54" s="143"/>
      <c r="G54" s="143"/>
      <c r="H54" s="143" t="s">
        <v>38</v>
      </c>
      <c r="I54" s="143"/>
      <c r="J54" s="143"/>
      <c r="K54" s="143"/>
      <c r="L54" s="143"/>
      <c r="M54" s="143"/>
      <c r="N54" s="143"/>
      <c r="O54" s="143"/>
      <c r="P54" s="143"/>
      <c r="Q54" s="143" t="s">
        <v>39</v>
      </c>
      <c r="R54" s="143"/>
      <c r="S54" s="143"/>
      <c r="T54" s="143"/>
      <c r="U54" s="143"/>
      <c r="V54" s="143"/>
      <c r="W54" s="143"/>
      <c r="X54" s="143"/>
      <c r="Y54" s="143"/>
      <c r="Z54" s="203" t="s">
        <v>43</v>
      </c>
      <c r="AA54" s="203"/>
      <c r="AB54" s="203"/>
      <c r="AC54" s="203"/>
      <c r="AD54" s="203"/>
      <c r="AE54" s="203"/>
      <c r="AF54" s="203"/>
      <c r="AG54" s="203"/>
      <c r="AH54" s="204"/>
      <c r="AI54" s="7"/>
      <c r="AJ54" s="7"/>
    </row>
    <row r="55" spans="4:36" s="1" customFormat="1" ht="15.75" customHeight="1" x14ac:dyDescent="0.15">
      <c r="D55" s="154"/>
      <c r="E55" s="143"/>
      <c r="F55" s="143"/>
      <c r="G55" s="143"/>
      <c r="H55" s="143"/>
      <c r="I55" s="143"/>
      <c r="J55" s="143"/>
      <c r="K55" s="143"/>
      <c r="L55" s="143"/>
      <c r="M55" s="143"/>
      <c r="N55" s="143"/>
      <c r="O55" s="143"/>
      <c r="P55" s="143"/>
      <c r="Q55" s="143"/>
      <c r="R55" s="143"/>
      <c r="S55" s="143"/>
      <c r="T55" s="143"/>
      <c r="U55" s="143"/>
      <c r="V55" s="143"/>
      <c r="W55" s="143"/>
      <c r="X55" s="143"/>
      <c r="Y55" s="143"/>
      <c r="Z55" s="203"/>
      <c r="AA55" s="203"/>
      <c r="AB55" s="203"/>
      <c r="AC55" s="203"/>
      <c r="AD55" s="203"/>
      <c r="AE55" s="203"/>
      <c r="AF55" s="203"/>
      <c r="AG55" s="203"/>
      <c r="AH55" s="204"/>
      <c r="AI55" s="7"/>
      <c r="AJ55" s="7"/>
    </row>
    <row r="56" spans="4:36" s="1" customFormat="1" ht="15.75" customHeight="1" x14ac:dyDescent="0.15">
      <c r="D56" s="154" t="s">
        <v>34</v>
      </c>
      <c r="E56" s="143"/>
      <c r="F56" s="143"/>
      <c r="G56" s="143"/>
      <c r="H56" s="202" t="s">
        <v>36</v>
      </c>
      <c r="I56" s="202"/>
      <c r="J56" s="202"/>
      <c r="K56" s="202"/>
      <c r="L56" s="202"/>
      <c r="M56" s="202"/>
      <c r="N56" s="202"/>
      <c r="O56" s="202"/>
      <c r="P56" s="202"/>
      <c r="Q56" s="143" t="s">
        <v>37</v>
      </c>
      <c r="R56" s="143"/>
      <c r="S56" s="143"/>
      <c r="T56" s="143"/>
      <c r="U56" s="143"/>
      <c r="V56" s="143"/>
      <c r="W56" s="143"/>
      <c r="X56" s="143"/>
      <c r="Y56" s="143"/>
      <c r="Z56" s="143" t="s">
        <v>57</v>
      </c>
      <c r="AA56" s="143"/>
      <c r="AB56" s="143"/>
      <c r="AC56" s="143"/>
      <c r="AD56" s="143"/>
      <c r="AE56" s="143"/>
      <c r="AF56" s="143"/>
      <c r="AG56" s="143"/>
      <c r="AH56" s="144"/>
    </row>
    <row r="57" spans="4:36" s="1" customFormat="1" ht="15.75" customHeight="1" x14ac:dyDescent="0.15">
      <c r="D57" s="154"/>
      <c r="E57" s="143"/>
      <c r="F57" s="143"/>
      <c r="G57" s="143"/>
      <c r="H57" s="202"/>
      <c r="I57" s="202"/>
      <c r="J57" s="202"/>
      <c r="K57" s="202"/>
      <c r="L57" s="202"/>
      <c r="M57" s="202"/>
      <c r="N57" s="202"/>
      <c r="O57" s="202"/>
      <c r="P57" s="202"/>
      <c r="Q57" s="143"/>
      <c r="R57" s="143"/>
      <c r="S57" s="143"/>
      <c r="T57" s="143"/>
      <c r="U57" s="143"/>
      <c r="V57" s="143"/>
      <c r="W57" s="143"/>
      <c r="X57" s="143"/>
      <c r="Y57" s="143"/>
      <c r="Z57" s="143"/>
      <c r="AA57" s="143"/>
      <c r="AB57" s="143"/>
      <c r="AC57" s="143"/>
      <c r="AD57" s="143"/>
      <c r="AE57" s="143"/>
      <c r="AF57" s="143"/>
      <c r="AG57" s="143"/>
      <c r="AH57" s="144"/>
    </row>
    <row r="58" spans="4:36" s="1" customFormat="1" ht="15.75" customHeight="1" x14ac:dyDescent="0.15">
      <c r="D58" s="154" t="s">
        <v>35</v>
      </c>
      <c r="E58" s="143"/>
      <c r="F58" s="143"/>
      <c r="G58" s="143"/>
      <c r="H58" s="142" t="s">
        <v>40</v>
      </c>
      <c r="I58" s="143"/>
      <c r="J58" s="143"/>
      <c r="K58" s="143"/>
      <c r="L58" s="143"/>
      <c r="M58" s="143"/>
      <c r="N58" s="143"/>
      <c r="O58" s="143"/>
      <c r="P58" s="143"/>
      <c r="Q58" s="142" t="s">
        <v>42</v>
      </c>
      <c r="R58" s="143"/>
      <c r="S58" s="143"/>
      <c r="T58" s="143"/>
      <c r="U58" s="143"/>
      <c r="V58" s="143"/>
      <c r="W58" s="143"/>
      <c r="X58" s="143"/>
      <c r="Y58" s="143"/>
      <c r="Z58" s="142" t="s">
        <v>45</v>
      </c>
      <c r="AA58" s="143"/>
      <c r="AB58" s="143"/>
      <c r="AC58" s="143"/>
      <c r="AD58" s="143"/>
      <c r="AE58" s="143"/>
      <c r="AF58" s="143"/>
      <c r="AG58" s="143"/>
      <c r="AH58" s="144"/>
    </row>
    <row r="59" spans="4:36" s="1" customFormat="1" ht="15.75" customHeight="1" x14ac:dyDescent="0.15">
      <c r="D59" s="154"/>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4"/>
    </row>
    <row r="60" spans="4:36" s="1" customFormat="1" ht="15.75" customHeight="1" x14ac:dyDescent="0.15">
      <c r="D60" s="154"/>
      <c r="E60" s="143"/>
      <c r="F60" s="143"/>
      <c r="G60" s="143"/>
      <c r="H60" s="142" t="s">
        <v>41</v>
      </c>
      <c r="I60" s="143"/>
      <c r="J60" s="143"/>
      <c r="K60" s="143"/>
      <c r="L60" s="143"/>
      <c r="M60" s="143"/>
      <c r="N60" s="143"/>
      <c r="O60" s="143"/>
      <c r="P60" s="143"/>
      <c r="Q60" s="142" t="s">
        <v>44</v>
      </c>
      <c r="R60" s="143"/>
      <c r="S60" s="143"/>
      <c r="T60" s="143"/>
      <c r="U60" s="143"/>
      <c r="V60" s="143"/>
      <c r="W60" s="143"/>
      <c r="X60" s="143"/>
      <c r="Y60" s="143"/>
      <c r="Z60" s="142" t="s">
        <v>46</v>
      </c>
      <c r="AA60" s="143"/>
      <c r="AB60" s="143"/>
      <c r="AC60" s="143"/>
      <c r="AD60" s="143"/>
      <c r="AE60" s="143"/>
      <c r="AF60" s="143"/>
      <c r="AG60" s="143"/>
      <c r="AH60" s="144"/>
    </row>
    <row r="61" spans="4:36" s="1" customFormat="1" ht="15.75" customHeight="1" x14ac:dyDescent="0.15">
      <c r="D61" s="154"/>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4"/>
    </row>
    <row r="62" spans="4:36" s="1" customFormat="1" ht="15.75" customHeight="1" x14ac:dyDescent="0.15">
      <c r="H62" s="1" t="s">
        <v>58</v>
      </c>
    </row>
    <row r="63" spans="4:36" s="1" customFormat="1" ht="15.75" customHeight="1" x14ac:dyDescent="0.15"/>
    <row r="64" spans="4:36" s="1" customFormat="1" ht="15.75" customHeight="1" x14ac:dyDescent="0.15"/>
    <row r="65" spans="4:36" ht="15.75" customHeight="1" x14ac:dyDescent="0.15">
      <c r="D65" s="299" t="s">
        <v>48</v>
      </c>
    </row>
    <row r="67" spans="4:36" ht="15.75" customHeight="1" x14ac:dyDescent="0.15">
      <c r="D67" s="1" t="s">
        <v>49</v>
      </c>
      <c r="M67" s="10"/>
    </row>
    <row r="68" spans="4:36" s="1" customFormat="1" ht="15.75" customHeight="1" x14ac:dyDescent="0.15"/>
    <row r="69" spans="4:36" s="1" customFormat="1" ht="15.75" customHeight="1" x14ac:dyDescent="0.15">
      <c r="F69" s="1" t="s">
        <v>178</v>
      </c>
    </row>
    <row r="70" spans="4:36" s="1" customFormat="1" ht="15.75" customHeight="1" x14ac:dyDescent="0.15"/>
    <row r="71" spans="4:36" s="1" customFormat="1" ht="15.75" customHeight="1" x14ac:dyDescent="0.15">
      <c r="F71" s="61" t="s">
        <v>179</v>
      </c>
      <c r="G71" s="61"/>
      <c r="H71" s="61"/>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8"/>
      <c r="AI71" s="8"/>
      <c r="AJ71" s="8"/>
    </row>
    <row r="72" spans="4:36" s="1" customFormat="1" ht="15.75" customHeight="1" x14ac:dyDescent="0.15">
      <c r="F72" s="154" t="s">
        <v>50</v>
      </c>
      <c r="G72" s="143"/>
      <c r="H72" s="143"/>
      <c r="I72" s="143"/>
      <c r="J72" s="143"/>
      <c r="K72" s="143"/>
      <c r="L72" s="143" t="s">
        <v>55</v>
      </c>
      <c r="M72" s="143"/>
      <c r="N72" s="143"/>
      <c r="O72" s="143"/>
      <c r="P72" s="143"/>
      <c r="Q72" s="143"/>
      <c r="R72" s="143"/>
      <c r="S72" s="143"/>
      <c r="T72" s="143" t="s">
        <v>56</v>
      </c>
      <c r="U72" s="143"/>
      <c r="V72" s="143"/>
      <c r="W72" s="143"/>
      <c r="X72" s="143"/>
      <c r="Y72" s="143"/>
      <c r="Z72" s="143"/>
      <c r="AA72" s="143"/>
      <c r="AB72" s="143"/>
      <c r="AC72" s="143"/>
      <c r="AD72" s="143"/>
      <c r="AE72" s="143"/>
      <c r="AF72" s="143"/>
      <c r="AG72" s="144"/>
    </row>
    <row r="73" spans="4:36" s="1" customFormat="1" ht="15.75" customHeight="1" x14ac:dyDescent="0.15">
      <c r="F73" s="154" t="s">
        <v>51</v>
      </c>
      <c r="G73" s="143"/>
      <c r="H73" s="143"/>
      <c r="I73" s="143"/>
      <c r="J73" s="143"/>
      <c r="K73" s="143"/>
      <c r="L73" s="143" t="s">
        <v>53</v>
      </c>
      <c r="M73" s="143"/>
      <c r="N73" s="143"/>
      <c r="O73" s="143"/>
      <c r="P73" s="143"/>
      <c r="Q73" s="143"/>
      <c r="R73" s="143"/>
      <c r="S73" s="143"/>
      <c r="T73" s="193">
        <v>1</v>
      </c>
      <c r="U73" s="193"/>
      <c r="V73" s="193"/>
      <c r="W73" s="193"/>
      <c r="X73" s="193"/>
      <c r="Y73" s="193"/>
      <c r="Z73" s="193"/>
      <c r="AA73" s="193"/>
      <c r="AB73" s="193"/>
      <c r="AC73" s="193"/>
      <c r="AD73" s="193"/>
      <c r="AE73" s="193"/>
      <c r="AF73" s="193"/>
      <c r="AG73" s="196"/>
    </row>
    <row r="74" spans="4:36" s="1" customFormat="1" ht="15.75" customHeight="1" x14ac:dyDescent="0.15">
      <c r="F74" s="154" t="s">
        <v>52</v>
      </c>
      <c r="G74" s="143"/>
      <c r="H74" s="143"/>
      <c r="I74" s="143"/>
      <c r="J74" s="143"/>
      <c r="K74" s="143"/>
      <c r="L74" s="143" t="s">
        <v>54</v>
      </c>
      <c r="M74" s="143"/>
      <c r="N74" s="143"/>
      <c r="O74" s="143"/>
      <c r="P74" s="143"/>
      <c r="Q74" s="143"/>
      <c r="R74" s="143"/>
      <c r="S74" s="143"/>
      <c r="T74" s="143">
        <v>0.5</v>
      </c>
      <c r="U74" s="143"/>
      <c r="V74" s="143"/>
      <c r="W74" s="143"/>
      <c r="X74" s="143"/>
      <c r="Y74" s="143"/>
      <c r="Z74" s="143"/>
      <c r="AA74" s="143"/>
      <c r="AB74" s="143"/>
      <c r="AC74" s="143"/>
      <c r="AD74" s="143"/>
      <c r="AE74" s="143"/>
      <c r="AF74" s="143"/>
      <c r="AG74" s="144"/>
    </row>
    <row r="75" spans="4:36" s="1" customFormat="1" ht="15.75" customHeight="1" x14ac:dyDescent="0.15">
      <c r="J75" s="1" t="s">
        <v>59</v>
      </c>
    </row>
    <row r="76" spans="4:36" s="1" customFormat="1" ht="15.75" customHeight="1" x14ac:dyDescent="0.15"/>
    <row r="77" spans="4:36" s="1" customFormat="1" ht="15.75" customHeight="1" x14ac:dyDescent="0.15"/>
    <row r="78" spans="4:36" ht="15.75" customHeight="1" x14ac:dyDescent="0.15">
      <c r="D78" s="1" t="s">
        <v>61</v>
      </c>
      <c r="M78" s="10"/>
    </row>
    <row r="79" spans="4:36" s="1" customFormat="1" ht="15.75" customHeight="1" x14ac:dyDescent="0.15"/>
    <row r="80" spans="4:36" s="1" customFormat="1" ht="15.75" customHeight="1" x14ac:dyDescent="0.15">
      <c r="F80" s="1" t="s">
        <v>180</v>
      </c>
    </row>
    <row r="81" spans="6:35" s="1" customFormat="1" ht="15.75" customHeight="1" x14ac:dyDescent="0.15">
      <c r="F81" s="1" t="s">
        <v>60</v>
      </c>
    </row>
    <row r="82" spans="6:35" s="1" customFormat="1" ht="15.75" customHeight="1" x14ac:dyDescent="0.15"/>
    <row r="83" spans="6:35" s="1" customFormat="1" ht="15.75" customHeight="1" x14ac:dyDescent="0.15">
      <c r="F83" s="162" t="s">
        <v>62</v>
      </c>
      <c r="G83" s="162"/>
      <c r="H83" s="76" t="s">
        <v>27</v>
      </c>
      <c r="I83" s="162">
        <v>1.4</v>
      </c>
      <c r="J83" s="162"/>
      <c r="K83" s="162" t="s">
        <v>63</v>
      </c>
      <c r="L83" s="162"/>
      <c r="M83" s="162" t="s">
        <v>64</v>
      </c>
      <c r="N83" s="162"/>
      <c r="O83" s="76" t="s">
        <v>65</v>
      </c>
      <c r="P83" s="301">
        <v>-0.75</v>
      </c>
      <c r="Q83" s="301"/>
    </row>
    <row r="84" spans="6:35" s="1" customFormat="1" ht="15.75" customHeight="1" x14ac:dyDescent="0.15"/>
    <row r="85" spans="6:35" s="1" customFormat="1" ht="15.75" customHeight="1" x14ac:dyDescent="0.15">
      <c r="G85" s="1" t="s">
        <v>66</v>
      </c>
      <c r="J85" s="162" t="s">
        <v>62</v>
      </c>
      <c r="K85" s="162"/>
      <c r="L85" s="76" t="s">
        <v>2</v>
      </c>
      <c r="M85" s="1" t="s">
        <v>67</v>
      </c>
    </row>
    <row r="86" spans="6:35" s="1" customFormat="1" ht="15.75" customHeight="1" x14ac:dyDescent="0.15">
      <c r="J86" s="162" t="s">
        <v>63</v>
      </c>
      <c r="K86" s="162"/>
      <c r="L86" s="76" t="s">
        <v>2</v>
      </c>
      <c r="M86" s="1" t="s">
        <v>77</v>
      </c>
    </row>
    <row r="87" spans="6:35" s="1" customFormat="1" ht="15.75" customHeight="1" x14ac:dyDescent="0.15">
      <c r="J87" s="162" t="s">
        <v>64</v>
      </c>
      <c r="K87" s="162"/>
      <c r="L87" s="76" t="s">
        <v>2</v>
      </c>
      <c r="M87" s="1" t="s">
        <v>70</v>
      </c>
    </row>
    <row r="88" spans="6:35" s="1" customFormat="1" ht="15.75" customHeight="1" x14ac:dyDescent="0.15">
      <c r="J88" s="162" t="s">
        <v>65</v>
      </c>
      <c r="K88" s="162"/>
      <c r="L88" s="76" t="s">
        <v>2</v>
      </c>
      <c r="M88" s="1" t="s">
        <v>68</v>
      </c>
    </row>
    <row r="89" spans="6:35" s="1" customFormat="1" ht="15.75" customHeight="1" x14ac:dyDescent="0.15"/>
    <row r="90" spans="6:35" s="1" customFormat="1" ht="15.75" customHeight="1" x14ac:dyDescent="0.15">
      <c r="H90" s="61" t="s">
        <v>181</v>
      </c>
      <c r="I90" s="61"/>
      <c r="J90" s="61"/>
      <c r="K90" s="61"/>
      <c r="L90" s="61"/>
      <c r="M90" s="61"/>
      <c r="N90" s="61"/>
      <c r="O90" s="61"/>
      <c r="P90" s="61"/>
      <c r="Q90" s="61"/>
      <c r="R90" s="61"/>
      <c r="S90" s="61"/>
      <c r="T90" s="61"/>
      <c r="U90" s="61"/>
      <c r="V90" s="61"/>
      <c r="W90" s="61"/>
      <c r="X90" s="61"/>
      <c r="Y90" s="61"/>
      <c r="Z90" s="61"/>
      <c r="AA90" s="61"/>
      <c r="AB90" s="61"/>
      <c r="AC90" s="8"/>
      <c r="AD90" s="8"/>
      <c r="AE90" s="8"/>
      <c r="AF90" s="8"/>
      <c r="AG90" s="8"/>
      <c r="AH90" s="8"/>
      <c r="AI90" s="8"/>
    </row>
    <row r="91" spans="6:35" s="1" customFormat="1" ht="15.75" customHeight="1" x14ac:dyDescent="0.15">
      <c r="H91" s="154" t="s">
        <v>69</v>
      </c>
      <c r="I91" s="143"/>
      <c r="J91" s="143"/>
      <c r="K91" s="143" t="s">
        <v>71</v>
      </c>
      <c r="L91" s="143"/>
      <c r="M91" s="143"/>
      <c r="N91" s="143"/>
      <c r="O91" s="143"/>
      <c r="P91" s="143"/>
      <c r="Q91" s="143" t="s">
        <v>72</v>
      </c>
      <c r="R91" s="143"/>
      <c r="S91" s="143"/>
      <c r="T91" s="143"/>
      <c r="U91" s="143"/>
      <c r="V91" s="143"/>
      <c r="W91" s="143" t="s">
        <v>73</v>
      </c>
      <c r="X91" s="143"/>
      <c r="Y91" s="143"/>
      <c r="Z91" s="143"/>
      <c r="AA91" s="143"/>
      <c r="AB91" s="144"/>
    </row>
    <row r="92" spans="6:35" s="1" customFormat="1" ht="15.75" customHeight="1" x14ac:dyDescent="0.15">
      <c r="H92" s="192">
        <v>0.5</v>
      </c>
      <c r="I92" s="193"/>
      <c r="J92" s="193"/>
      <c r="K92" s="380">
        <v>91760</v>
      </c>
      <c r="L92" s="380"/>
      <c r="M92" s="380"/>
      <c r="N92" s="380"/>
      <c r="O92" s="380"/>
      <c r="P92" s="380"/>
      <c r="Q92" s="381">
        <v>1</v>
      </c>
      <c r="R92" s="381"/>
      <c r="S92" s="381"/>
      <c r="T92" s="381"/>
      <c r="U92" s="381"/>
      <c r="V92" s="381"/>
      <c r="W92" s="143">
        <f>ROUND(I83*H92*K92*Q92^P83,0)</f>
        <v>64232</v>
      </c>
      <c r="X92" s="143"/>
      <c r="Y92" s="143"/>
      <c r="Z92" s="143"/>
      <c r="AA92" s="143"/>
      <c r="AB92" s="144"/>
    </row>
    <row r="93" spans="6:35" s="1" customFormat="1" ht="15.75" customHeight="1" x14ac:dyDescent="0.15"/>
    <row r="94" spans="6:35" s="1" customFormat="1" ht="15.75" customHeight="1" x14ac:dyDescent="0.15">
      <c r="H94" s="61" t="s">
        <v>182</v>
      </c>
      <c r="I94" s="61"/>
      <c r="J94" s="61"/>
      <c r="K94" s="61"/>
      <c r="L94" s="61"/>
      <c r="M94" s="61"/>
      <c r="N94" s="61"/>
      <c r="O94" s="61"/>
      <c r="P94" s="61"/>
      <c r="Q94" s="61"/>
      <c r="R94" s="61"/>
      <c r="S94" s="61"/>
      <c r="T94" s="61"/>
      <c r="U94" s="61"/>
      <c r="V94" s="61"/>
      <c r="W94" s="61"/>
      <c r="X94" s="61"/>
      <c r="Y94" s="61"/>
      <c r="Z94" s="61"/>
      <c r="AA94" s="61"/>
      <c r="AB94" s="61"/>
    </row>
    <row r="95" spans="6:35" s="1" customFormat="1" ht="15.75" customHeight="1" x14ac:dyDescent="0.15">
      <c r="H95" s="154" t="s">
        <v>69</v>
      </c>
      <c r="I95" s="143"/>
      <c r="J95" s="143"/>
      <c r="K95" s="143" t="s">
        <v>71</v>
      </c>
      <c r="L95" s="143"/>
      <c r="M95" s="143"/>
      <c r="N95" s="143"/>
      <c r="O95" s="143"/>
      <c r="P95" s="143"/>
      <c r="Q95" s="143" t="s">
        <v>72</v>
      </c>
      <c r="R95" s="143"/>
      <c r="S95" s="143"/>
      <c r="T95" s="143"/>
      <c r="U95" s="143"/>
      <c r="V95" s="143"/>
      <c r="W95" s="143" t="s">
        <v>73</v>
      </c>
      <c r="X95" s="143"/>
      <c r="Y95" s="143"/>
      <c r="Z95" s="143"/>
      <c r="AA95" s="143"/>
      <c r="AB95" s="144"/>
    </row>
    <row r="96" spans="6:35" s="1" customFormat="1" ht="15.75" customHeight="1" x14ac:dyDescent="0.15">
      <c r="H96" s="192">
        <v>1</v>
      </c>
      <c r="I96" s="193"/>
      <c r="J96" s="193"/>
      <c r="K96" s="194">
        <f>K92</f>
        <v>91760</v>
      </c>
      <c r="L96" s="194"/>
      <c r="M96" s="194"/>
      <c r="N96" s="194"/>
      <c r="O96" s="194"/>
      <c r="P96" s="194"/>
      <c r="Q96" s="195">
        <f>Q92</f>
        <v>1</v>
      </c>
      <c r="R96" s="195"/>
      <c r="S96" s="195"/>
      <c r="T96" s="195"/>
      <c r="U96" s="195"/>
      <c r="V96" s="195"/>
      <c r="W96" s="143">
        <f>ROUND(I83*H96*K96*Q96^P83,0)</f>
        <v>128464</v>
      </c>
      <c r="X96" s="143"/>
      <c r="Y96" s="143"/>
      <c r="Z96" s="143"/>
      <c r="AA96" s="143"/>
      <c r="AB96" s="144"/>
    </row>
    <row r="97" spans="1:35" s="1" customFormat="1" ht="15.75" customHeight="1" x14ac:dyDescent="0.15">
      <c r="H97" s="77"/>
      <c r="I97" s="77"/>
      <c r="J97" s="77"/>
      <c r="K97" s="76"/>
      <c r="L97" s="76"/>
      <c r="M97" s="76"/>
      <c r="N97" s="76"/>
      <c r="O97" s="76"/>
      <c r="P97" s="76"/>
      <c r="Q97" s="9"/>
      <c r="R97" s="9"/>
      <c r="S97" s="9"/>
      <c r="T97" s="9"/>
      <c r="U97" s="9"/>
      <c r="V97" s="9"/>
      <c r="W97" s="76"/>
      <c r="X97" s="76"/>
      <c r="Y97" s="76"/>
      <c r="Z97" s="76"/>
      <c r="AA97" s="76"/>
      <c r="AB97" s="76"/>
    </row>
    <row r="98" spans="1:35" ht="15.75" customHeight="1" x14ac:dyDescent="0.15">
      <c r="D98" s="1" t="s">
        <v>74</v>
      </c>
      <c r="M98" s="10"/>
    </row>
    <row r="99" spans="1:35" s="1" customFormat="1" ht="15.75" customHeight="1" x14ac:dyDescent="0.15"/>
    <row r="100" spans="1:35" s="1" customFormat="1" ht="15.75" customHeight="1" x14ac:dyDescent="0.15">
      <c r="F100" s="1" t="s">
        <v>183</v>
      </c>
    </row>
    <row r="101" spans="1:35" s="1" customFormat="1" ht="15.75" customHeight="1" x14ac:dyDescent="0.15">
      <c r="F101" s="1" t="s">
        <v>75</v>
      </c>
    </row>
    <row r="102" spans="1:35" s="1" customFormat="1" ht="15.75" customHeight="1" x14ac:dyDescent="0.15"/>
    <row r="103" spans="1:35" s="1" customFormat="1" ht="15.75" customHeight="1" x14ac:dyDescent="0.15">
      <c r="F103" s="162" t="s">
        <v>76</v>
      </c>
      <c r="G103" s="162"/>
      <c r="H103" s="76" t="s">
        <v>27</v>
      </c>
      <c r="I103" s="162">
        <v>0.2</v>
      </c>
      <c r="J103" s="162"/>
      <c r="K103" s="162" t="s">
        <v>63</v>
      </c>
      <c r="L103" s="162"/>
      <c r="M103" s="162" t="s">
        <v>64</v>
      </c>
      <c r="N103" s="162"/>
    </row>
    <row r="104" spans="1:35" s="1" customFormat="1" ht="15.75" customHeight="1" x14ac:dyDescent="0.15"/>
    <row r="105" spans="1:35" s="1" customFormat="1" ht="15.75" customHeight="1" x14ac:dyDescent="0.15">
      <c r="G105" s="1" t="s">
        <v>66</v>
      </c>
      <c r="J105" s="162" t="s">
        <v>76</v>
      </c>
      <c r="K105" s="162"/>
      <c r="L105" s="76" t="s">
        <v>2</v>
      </c>
      <c r="M105" s="1" t="s">
        <v>184</v>
      </c>
    </row>
    <row r="106" spans="1:35" s="1" customFormat="1" ht="15.75" customHeight="1" x14ac:dyDescent="0.15">
      <c r="J106" s="162" t="s">
        <v>63</v>
      </c>
      <c r="K106" s="162"/>
      <c r="L106" s="76" t="s">
        <v>2</v>
      </c>
      <c r="M106" s="1" t="s">
        <v>77</v>
      </c>
    </row>
    <row r="107" spans="1:35" s="1" customFormat="1" ht="15.75" customHeight="1" x14ac:dyDescent="0.15">
      <c r="J107" s="162" t="s">
        <v>64</v>
      </c>
      <c r="K107" s="162"/>
      <c r="L107" s="76" t="s">
        <v>2</v>
      </c>
      <c r="M107" s="1" t="s">
        <v>70</v>
      </c>
    </row>
    <row r="108" spans="1:35" s="1" customFormat="1" ht="15.75" customHeight="1" x14ac:dyDescent="0.15"/>
    <row r="109" spans="1:35" s="1" customFormat="1" ht="15.75" customHeight="1" x14ac:dyDescent="0.15">
      <c r="H109" s="61" t="s">
        <v>508</v>
      </c>
      <c r="I109" s="62"/>
      <c r="J109" s="62"/>
      <c r="K109" s="62"/>
      <c r="L109" s="62"/>
      <c r="M109" s="62"/>
      <c r="N109" s="62"/>
      <c r="O109" s="62"/>
      <c r="P109" s="62"/>
      <c r="Q109" s="62"/>
      <c r="R109" s="62"/>
      <c r="S109" s="62"/>
      <c r="T109" s="62"/>
      <c r="U109" s="302"/>
      <c r="V109" s="62"/>
      <c r="W109" s="62"/>
      <c r="X109" s="62"/>
      <c r="Y109" s="62"/>
      <c r="Z109" s="302"/>
      <c r="AA109" s="302"/>
      <c r="AB109" s="302"/>
      <c r="AC109" s="62"/>
      <c r="AD109" s="62"/>
      <c r="AE109" s="62"/>
      <c r="AF109" s="62"/>
      <c r="AG109" s="62"/>
      <c r="AH109" s="62"/>
      <c r="AI109" s="8"/>
    </row>
    <row r="110" spans="1:35" s="1" customFormat="1" ht="15.75" customHeight="1" x14ac:dyDescent="0.15">
      <c r="H110" s="153" t="s">
        <v>78</v>
      </c>
      <c r="I110" s="143"/>
      <c r="J110" s="144"/>
      <c r="K110" s="188" t="s">
        <v>71</v>
      </c>
      <c r="L110" s="143"/>
      <c r="M110" s="143"/>
      <c r="N110" s="143"/>
      <c r="O110" s="143"/>
      <c r="P110" s="143"/>
      <c r="Q110" s="199" t="s">
        <v>506</v>
      </c>
      <c r="R110" s="200"/>
      <c r="S110" s="200"/>
      <c r="T110" s="200"/>
      <c r="U110" s="200"/>
      <c r="V110" s="200"/>
      <c r="W110" s="200"/>
      <c r="X110" s="200"/>
      <c r="Y110" s="200"/>
      <c r="Z110" s="199" t="s">
        <v>507</v>
      </c>
      <c r="AA110" s="200"/>
      <c r="AB110" s="200"/>
      <c r="AC110" s="200"/>
      <c r="AD110" s="200"/>
      <c r="AE110" s="200"/>
      <c r="AF110" s="200"/>
      <c r="AG110" s="200"/>
      <c r="AH110" s="200"/>
    </row>
    <row r="111" spans="1:35" s="1" customFormat="1" ht="15.75" customHeight="1" x14ac:dyDescent="0.15">
      <c r="H111" s="185"/>
      <c r="I111" s="186"/>
      <c r="J111" s="187"/>
      <c r="K111" s="189"/>
      <c r="L111" s="186"/>
      <c r="M111" s="186"/>
      <c r="N111" s="186"/>
      <c r="O111" s="186"/>
      <c r="P111" s="186"/>
      <c r="Q111" s="197" t="s">
        <v>69</v>
      </c>
      <c r="R111" s="198"/>
      <c r="S111" s="198"/>
      <c r="T111" s="198" t="s">
        <v>204</v>
      </c>
      <c r="U111" s="198"/>
      <c r="V111" s="198"/>
      <c r="W111" s="198"/>
      <c r="X111" s="198"/>
      <c r="Y111" s="201"/>
      <c r="Z111" s="197" t="s">
        <v>69</v>
      </c>
      <c r="AA111" s="198"/>
      <c r="AB111" s="198"/>
      <c r="AC111" s="198" t="s">
        <v>204</v>
      </c>
      <c r="AD111" s="198"/>
      <c r="AE111" s="198"/>
      <c r="AF111" s="198"/>
      <c r="AG111" s="198"/>
      <c r="AH111" s="201"/>
    </row>
    <row r="112" spans="1:35" s="1" customFormat="1" ht="15.75" customHeight="1" x14ac:dyDescent="0.15">
      <c r="A112" s="73" t="str">
        <f>IF(K112="","×","")</f>
        <v/>
      </c>
      <c r="H112" s="382">
        <v>3</v>
      </c>
      <c r="I112" s="383"/>
      <c r="J112" s="384"/>
      <c r="K112" s="385">
        <v>13930</v>
      </c>
      <c r="L112" s="383"/>
      <c r="M112" s="383"/>
      <c r="N112" s="383"/>
      <c r="O112" s="383"/>
      <c r="P112" s="383"/>
      <c r="Q112" s="183">
        <f>H92</f>
        <v>0.5</v>
      </c>
      <c r="R112" s="184"/>
      <c r="S112" s="184"/>
      <c r="T112" s="283">
        <f t="shared" ref="T112:T127" si="0">ROUND($I$103*$Q$112*K112,0)</f>
        <v>1393</v>
      </c>
      <c r="U112" s="283"/>
      <c r="V112" s="283"/>
      <c r="W112" s="283"/>
      <c r="X112" s="283"/>
      <c r="Y112" s="284"/>
      <c r="Z112" s="183">
        <f>H96</f>
        <v>1</v>
      </c>
      <c r="AA112" s="184"/>
      <c r="AB112" s="184"/>
      <c r="AC112" s="283">
        <f>ROUND($I$103*$Z$112*K112,0)</f>
        <v>2786</v>
      </c>
      <c r="AD112" s="283"/>
      <c r="AE112" s="283"/>
      <c r="AF112" s="283"/>
      <c r="AG112" s="283"/>
      <c r="AH112" s="284"/>
    </row>
    <row r="113" spans="1:34" s="1" customFormat="1" ht="15.75" customHeight="1" x14ac:dyDescent="0.15">
      <c r="A113" s="73" t="str">
        <f t="shared" ref="A113:A127" si="1">IF(K113="","×","")</f>
        <v/>
      </c>
      <c r="H113" s="386">
        <v>4</v>
      </c>
      <c r="I113" s="387"/>
      <c r="J113" s="388"/>
      <c r="K113" s="389">
        <v>28620</v>
      </c>
      <c r="L113" s="387"/>
      <c r="M113" s="387"/>
      <c r="N113" s="387"/>
      <c r="O113" s="387"/>
      <c r="P113" s="387"/>
      <c r="Q113" s="191">
        <f>Q112</f>
        <v>0.5</v>
      </c>
      <c r="R113" s="96"/>
      <c r="S113" s="96"/>
      <c r="T113" s="285">
        <f t="shared" si="0"/>
        <v>2862</v>
      </c>
      <c r="U113" s="285"/>
      <c r="V113" s="285"/>
      <c r="W113" s="285"/>
      <c r="X113" s="285"/>
      <c r="Y113" s="286"/>
      <c r="Z113" s="191">
        <f>Z112</f>
        <v>1</v>
      </c>
      <c r="AA113" s="96"/>
      <c r="AB113" s="96"/>
      <c r="AC113" s="285">
        <f t="shared" ref="AC113:AC127" si="2">ROUND($I$103*$Z$112*K113,0)</f>
        <v>5724</v>
      </c>
      <c r="AD113" s="285"/>
      <c r="AE113" s="285"/>
      <c r="AF113" s="285"/>
      <c r="AG113" s="285"/>
      <c r="AH113" s="286"/>
    </row>
    <row r="114" spans="1:34" s="1" customFormat="1" ht="15.75" customHeight="1" x14ac:dyDescent="0.15">
      <c r="A114" s="73" t="str">
        <f t="shared" si="1"/>
        <v/>
      </c>
      <c r="H114" s="386">
        <v>5</v>
      </c>
      <c r="I114" s="387"/>
      <c r="J114" s="388"/>
      <c r="K114" s="389">
        <v>32570</v>
      </c>
      <c r="L114" s="387"/>
      <c r="M114" s="387"/>
      <c r="N114" s="387"/>
      <c r="O114" s="387"/>
      <c r="P114" s="387"/>
      <c r="Q114" s="191">
        <f t="shared" ref="Q114:Q127" si="3">Q113</f>
        <v>0.5</v>
      </c>
      <c r="R114" s="96"/>
      <c r="S114" s="96"/>
      <c r="T114" s="285">
        <f t="shared" si="0"/>
        <v>3257</v>
      </c>
      <c r="U114" s="285"/>
      <c r="V114" s="285"/>
      <c r="W114" s="285"/>
      <c r="X114" s="285"/>
      <c r="Y114" s="286"/>
      <c r="Z114" s="191">
        <f t="shared" ref="Z114:Z127" si="4">Z113</f>
        <v>1</v>
      </c>
      <c r="AA114" s="96"/>
      <c r="AB114" s="96"/>
      <c r="AC114" s="285">
        <f t="shared" si="2"/>
        <v>6514</v>
      </c>
      <c r="AD114" s="285"/>
      <c r="AE114" s="285"/>
      <c r="AF114" s="285"/>
      <c r="AG114" s="285"/>
      <c r="AH114" s="286"/>
    </row>
    <row r="115" spans="1:34" s="1" customFormat="1" ht="15.75" customHeight="1" x14ac:dyDescent="0.15">
      <c r="A115" s="73" t="str">
        <f t="shared" si="1"/>
        <v/>
      </c>
      <c r="H115" s="386">
        <v>6</v>
      </c>
      <c r="I115" s="387"/>
      <c r="J115" s="388"/>
      <c r="K115" s="389">
        <v>46440</v>
      </c>
      <c r="L115" s="387"/>
      <c r="M115" s="387"/>
      <c r="N115" s="387"/>
      <c r="O115" s="387"/>
      <c r="P115" s="387"/>
      <c r="Q115" s="191">
        <f t="shared" si="3"/>
        <v>0.5</v>
      </c>
      <c r="R115" s="96"/>
      <c r="S115" s="96"/>
      <c r="T115" s="285">
        <f t="shared" si="0"/>
        <v>4644</v>
      </c>
      <c r="U115" s="285"/>
      <c r="V115" s="285"/>
      <c r="W115" s="285"/>
      <c r="X115" s="285"/>
      <c r="Y115" s="286"/>
      <c r="Z115" s="191">
        <f t="shared" si="4"/>
        <v>1</v>
      </c>
      <c r="AA115" s="96"/>
      <c r="AB115" s="96"/>
      <c r="AC115" s="285">
        <f t="shared" si="2"/>
        <v>9288</v>
      </c>
      <c r="AD115" s="285"/>
      <c r="AE115" s="285"/>
      <c r="AF115" s="285"/>
      <c r="AG115" s="285"/>
      <c r="AH115" s="286"/>
    </row>
    <row r="116" spans="1:34" s="1" customFormat="1" ht="15.75" customHeight="1" x14ac:dyDescent="0.15">
      <c r="A116" s="73" t="str">
        <f t="shared" si="1"/>
        <v/>
      </c>
      <c r="H116" s="386">
        <v>7</v>
      </c>
      <c r="I116" s="387"/>
      <c r="J116" s="388"/>
      <c r="K116" s="389">
        <v>91760</v>
      </c>
      <c r="L116" s="387"/>
      <c r="M116" s="387"/>
      <c r="N116" s="387"/>
      <c r="O116" s="387"/>
      <c r="P116" s="387"/>
      <c r="Q116" s="191">
        <f t="shared" si="3"/>
        <v>0.5</v>
      </c>
      <c r="R116" s="96"/>
      <c r="S116" s="96"/>
      <c r="T116" s="285">
        <f t="shared" si="0"/>
        <v>9176</v>
      </c>
      <c r="U116" s="285"/>
      <c r="V116" s="285"/>
      <c r="W116" s="285"/>
      <c r="X116" s="285"/>
      <c r="Y116" s="286"/>
      <c r="Z116" s="191">
        <f t="shared" si="4"/>
        <v>1</v>
      </c>
      <c r="AA116" s="96"/>
      <c r="AB116" s="96"/>
      <c r="AC116" s="285">
        <f t="shared" si="2"/>
        <v>18352</v>
      </c>
      <c r="AD116" s="285"/>
      <c r="AE116" s="285"/>
      <c r="AF116" s="285"/>
      <c r="AG116" s="285"/>
      <c r="AH116" s="286"/>
    </row>
    <row r="117" spans="1:34" s="1" customFormat="1" ht="15.75" customHeight="1" x14ac:dyDescent="0.15">
      <c r="A117" s="73" t="str">
        <f t="shared" si="1"/>
        <v>×</v>
      </c>
      <c r="H117" s="386"/>
      <c r="I117" s="387"/>
      <c r="J117" s="388"/>
      <c r="K117" s="389"/>
      <c r="L117" s="387"/>
      <c r="M117" s="387"/>
      <c r="N117" s="387"/>
      <c r="O117" s="387"/>
      <c r="P117" s="387"/>
      <c r="Q117" s="191">
        <f t="shared" si="3"/>
        <v>0.5</v>
      </c>
      <c r="R117" s="96"/>
      <c r="S117" s="96"/>
      <c r="T117" s="285">
        <f t="shared" si="0"/>
        <v>0</v>
      </c>
      <c r="U117" s="285"/>
      <c r="V117" s="285"/>
      <c r="W117" s="285"/>
      <c r="X117" s="285"/>
      <c r="Y117" s="286"/>
      <c r="Z117" s="191">
        <f t="shared" si="4"/>
        <v>1</v>
      </c>
      <c r="AA117" s="96"/>
      <c r="AB117" s="96"/>
      <c r="AC117" s="285">
        <f t="shared" si="2"/>
        <v>0</v>
      </c>
      <c r="AD117" s="285"/>
      <c r="AE117" s="285"/>
      <c r="AF117" s="285"/>
      <c r="AG117" s="285"/>
      <c r="AH117" s="286"/>
    </row>
    <row r="118" spans="1:34" s="1" customFormat="1" ht="15.75" customHeight="1" x14ac:dyDescent="0.15">
      <c r="A118" s="73" t="str">
        <f t="shared" si="1"/>
        <v>×</v>
      </c>
      <c r="H118" s="386"/>
      <c r="I118" s="387"/>
      <c r="J118" s="388"/>
      <c r="K118" s="389"/>
      <c r="L118" s="387"/>
      <c r="M118" s="387"/>
      <c r="N118" s="387"/>
      <c r="O118" s="387"/>
      <c r="P118" s="387"/>
      <c r="Q118" s="191">
        <f t="shared" si="3"/>
        <v>0.5</v>
      </c>
      <c r="R118" s="96"/>
      <c r="S118" s="96"/>
      <c r="T118" s="285">
        <f t="shared" si="0"/>
        <v>0</v>
      </c>
      <c r="U118" s="285"/>
      <c r="V118" s="285"/>
      <c r="W118" s="285"/>
      <c r="X118" s="285"/>
      <c r="Y118" s="286"/>
      <c r="Z118" s="191">
        <f t="shared" si="4"/>
        <v>1</v>
      </c>
      <c r="AA118" s="96"/>
      <c r="AB118" s="96"/>
      <c r="AC118" s="285">
        <f t="shared" si="2"/>
        <v>0</v>
      </c>
      <c r="AD118" s="285"/>
      <c r="AE118" s="285"/>
      <c r="AF118" s="285"/>
      <c r="AG118" s="285"/>
      <c r="AH118" s="286"/>
    </row>
    <row r="119" spans="1:34" s="1" customFormat="1" ht="15.75" customHeight="1" x14ac:dyDescent="0.15">
      <c r="A119" s="73" t="str">
        <f t="shared" si="1"/>
        <v>×</v>
      </c>
      <c r="H119" s="386"/>
      <c r="I119" s="387"/>
      <c r="J119" s="388"/>
      <c r="K119" s="389"/>
      <c r="L119" s="387"/>
      <c r="M119" s="387"/>
      <c r="N119" s="387"/>
      <c r="O119" s="387"/>
      <c r="P119" s="387"/>
      <c r="Q119" s="191">
        <f t="shared" si="3"/>
        <v>0.5</v>
      </c>
      <c r="R119" s="96"/>
      <c r="S119" s="96"/>
      <c r="T119" s="285">
        <f t="shared" si="0"/>
        <v>0</v>
      </c>
      <c r="U119" s="285"/>
      <c r="V119" s="285"/>
      <c r="W119" s="285"/>
      <c r="X119" s="285"/>
      <c r="Y119" s="286"/>
      <c r="Z119" s="191">
        <f t="shared" si="4"/>
        <v>1</v>
      </c>
      <c r="AA119" s="96"/>
      <c r="AB119" s="96"/>
      <c r="AC119" s="285">
        <f t="shared" si="2"/>
        <v>0</v>
      </c>
      <c r="AD119" s="285"/>
      <c r="AE119" s="285"/>
      <c r="AF119" s="285"/>
      <c r="AG119" s="285"/>
      <c r="AH119" s="286"/>
    </row>
    <row r="120" spans="1:34" s="1" customFormat="1" ht="15.75" customHeight="1" x14ac:dyDescent="0.15">
      <c r="A120" s="73" t="str">
        <f t="shared" si="1"/>
        <v>×</v>
      </c>
      <c r="H120" s="386"/>
      <c r="I120" s="387"/>
      <c r="J120" s="388"/>
      <c r="K120" s="389"/>
      <c r="L120" s="387"/>
      <c r="M120" s="387"/>
      <c r="N120" s="387"/>
      <c r="O120" s="387"/>
      <c r="P120" s="387"/>
      <c r="Q120" s="191">
        <f t="shared" si="3"/>
        <v>0.5</v>
      </c>
      <c r="R120" s="96"/>
      <c r="S120" s="96"/>
      <c r="T120" s="285">
        <f t="shared" si="0"/>
        <v>0</v>
      </c>
      <c r="U120" s="285"/>
      <c r="V120" s="285"/>
      <c r="W120" s="285"/>
      <c r="X120" s="285"/>
      <c r="Y120" s="286"/>
      <c r="Z120" s="191">
        <f t="shared" si="4"/>
        <v>1</v>
      </c>
      <c r="AA120" s="96"/>
      <c r="AB120" s="96"/>
      <c r="AC120" s="285">
        <f t="shared" si="2"/>
        <v>0</v>
      </c>
      <c r="AD120" s="285"/>
      <c r="AE120" s="285"/>
      <c r="AF120" s="285"/>
      <c r="AG120" s="285"/>
      <c r="AH120" s="286"/>
    </row>
    <row r="121" spans="1:34" s="1" customFormat="1" ht="15.75" customHeight="1" x14ac:dyDescent="0.15">
      <c r="A121" s="73" t="str">
        <f t="shared" si="1"/>
        <v>×</v>
      </c>
      <c r="H121" s="386"/>
      <c r="I121" s="387"/>
      <c r="J121" s="388"/>
      <c r="K121" s="389"/>
      <c r="L121" s="387"/>
      <c r="M121" s="387"/>
      <c r="N121" s="387"/>
      <c r="O121" s="387"/>
      <c r="P121" s="387"/>
      <c r="Q121" s="191">
        <f t="shared" si="3"/>
        <v>0.5</v>
      </c>
      <c r="R121" s="96"/>
      <c r="S121" s="96"/>
      <c r="T121" s="285">
        <f t="shared" si="0"/>
        <v>0</v>
      </c>
      <c r="U121" s="285"/>
      <c r="V121" s="285"/>
      <c r="W121" s="285"/>
      <c r="X121" s="285"/>
      <c r="Y121" s="286"/>
      <c r="Z121" s="191">
        <f t="shared" si="4"/>
        <v>1</v>
      </c>
      <c r="AA121" s="96"/>
      <c r="AB121" s="96"/>
      <c r="AC121" s="285">
        <f t="shared" si="2"/>
        <v>0</v>
      </c>
      <c r="AD121" s="285"/>
      <c r="AE121" s="285"/>
      <c r="AF121" s="285"/>
      <c r="AG121" s="285"/>
      <c r="AH121" s="286"/>
    </row>
    <row r="122" spans="1:34" s="1" customFormat="1" ht="15.75" customHeight="1" x14ac:dyDescent="0.15">
      <c r="A122" s="73" t="str">
        <f t="shared" si="1"/>
        <v>×</v>
      </c>
      <c r="H122" s="386"/>
      <c r="I122" s="387"/>
      <c r="J122" s="388"/>
      <c r="K122" s="389"/>
      <c r="L122" s="387"/>
      <c r="M122" s="387"/>
      <c r="N122" s="387"/>
      <c r="O122" s="387"/>
      <c r="P122" s="387"/>
      <c r="Q122" s="191">
        <f t="shared" si="3"/>
        <v>0.5</v>
      </c>
      <c r="R122" s="96"/>
      <c r="S122" s="96"/>
      <c r="T122" s="285">
        <f t="shared" si="0"/>
        <v>0</v>
      </c>
      <c r="U122" s="285"/>
      <c r="V122" s="285"/>
      <c r="W122" s="285"/>
      <c r="X122" s="285"/>
      <c r="Y122" s="286"/>
      <c r="Z122" s="191">
        <f t="shared" si="4"/>
        <v>1</v>
      </c>
      <c r="AA122" s="96"/>
      <c r="AB122" s="96"/>
      <c r="AC122" s="285">
        <f t="shared" si="2"/>
        <v>0</v>
      </c>
      <c r="AD122" s="285"/>
      <c r="AE122" s="285"/>
      <c r="AF122" s="285"/>
      <c r="AG122" s="285"/>
      <c r="AH122" s="286"/>
    </row>
    <row r="123" spans="1:34" s="1" customFormat="1" ht="15.75" customHeight="1" x14ac:dyDescent="0.15">
      <c r="A123" s="73" t="str">
        <f t="shared" si="1"/>
        <v>×</v>
      </c>
      <c r="H123" s="386"/>
      <c r="I123" s="387"/>
      <c r="J123" s="388"/>
      <c r="K123" s="389"/>
      <c r="L123" s="387"/>
      <c r="M123" s="387"/>
      <c r="N123" s="387"/>
      <c r="O123" s="387"/>
      <c r="P123" s="387"/>
      <c r="Q123" s="191">
        <f t="shared" si="3"/>
        <v>0.5</v>
      </c>
      <c r="R123" s="96"/>
      <c r="S123" s="96"/>
      <c r="T123" s="285">
        <f t="shared" si="0"/>
        <v>0</v>
      </c>
      <c r="U123" s="285"/>
      <c r="V123" s="285"/>
      <c r="W123" s="285"/>
      <c r="X123" s="285"/>
      <c r="Y123" s="286"/>
      <c r="Z123" s="191">
        <f t="shared" si="4"/>
        <v>1</v>
      </c>
      <c r="AA123" s="96"/>
      <c r="AB123" s="96"/>
      <c r="AC123" s="285">
        <f t="shared" si="2"/>
        <v>0</v>
      </c>
      <c r="AD123" s="285"/>
      <c r="AE123" s="285"/>
      <c r="AF123" s="285"/>
      <c r="AG123" s="285"/>
      <c r="AH123" s="286"/>
    </row>
    <row r="124" spans="1:34" s="1" customFormat="1" ht="15.75" customHeight="1" x14ac:dyDescent="0.15">
      <c r="A124" s="73" t="str">
        <f t="shared" si="1"/>
        <v>×</v>
      </c>
      <c r="H124" s="386"/>
      <c r="I124" s="387"/>
      <c r="J124" s="388"/>
      <c r="K124" s="389"/>
      <c r="L124" s="387"/>
      <c r="M124" s="387"/>
      <c r="N124" s="387"/>
      <c r="O124" s="387"/>
      <c r="P124" s="387"/>
      <c r="Q124" s="191">
        <f t="shared" si="3"/>
        <v>0.5</v>
      </c>
      <c r="R124" s="96"/>
      <c r="S124" s="96"/>
      <c r="T124" s="285">
        <f t="shared" si="0"/>
        <v>0</v>
      </c>
      <c r="U124" s="285"/>
      <c r="V124" s="285"/>
      <c r="W124" s="285"/>
      <c r="X124" s="285"/>
      <c r="Y124" s="286"/>
      <c r="Z124" s="191">
        <f t="shared" si="4"/>
        <v>1</v>
      </c>
      <c r="AA124" s="96"/>
      <c r="AB124" s="96"/>
      <c r="AC124" s="285">
        <f t="shared" si="2"/>
        <v>0</v>
      </c>
      <c r="AD124" s="285"/>
      <c r="AE124" s="285"/>
      <c r="AF124" s="285"/>
      <c r="AG124" s="285"/>
      <c r="AH124" s="286"/>
    </row>
    <row r="125" spans="1:34" s="1" customFormat="1" ht="15.75" customHeight="1" x14ac:dyDescent="0.15">
      <c r="A125" s="73" t="str">
        <f t="shared" si="1"/>
        <v>×</v>
      </c>
      <c r="H125" s="386"/>
      <c r="I125" s="387"/>
      <c r="J125" s="388"/>
      <c r="K125" s="389"/>
      <c r="L125" s="387"/>
      <c r="M125" s="387"/>
      <c r="N125" s="387"/>
      <c r="O125" s="387"/>
      <c r="P125" s="387"/>
      <c r="Q125" s="191">
        <f t="shared" si="3"/>
        <v>0.5</v>
      </c>
      <c r="R125" s="96"/>
      <c r="S125" s="96"/>
      <c r="T125" s="285">
        <f t="shared" si="0"/>
        <v>0</v>
      </c>
      <c r="U125" s="285"/>
      <c r="V125" s="285"/>
      <c r="W125" s="285"/>
      <c r="X125" s="285"/>
      <c r="Y125" s="286"/>
      <c r="Z125" s="191">
        <f t="shared" si="4"/>
        <v>1</v>
      </c>
      <c r="AA125" s="96"/>
      <c r="AB125" s="96"/>
      <c r="AC125" s="285">
        <f t="shared" si="2"/>
        <v>0</v>
      </c>
      <c r="AD125" s="285"/>
      <c r="AE125" s="285"/>
      <c r="AF125" s="285"/>
      <c r="AG125" s="285"/>
      <c r="AH125" s="286"/>
    </row>
    <row r="126" spans="1:34" s="1" customFormat="1" ht="15.75" customHeight="1" x14ac:dyDescent="0.15">
      <c r="A126" s="73" t="str">
        <f t="shared" si="1"/>
        <v>×</v>
      </c>
      <c r="H126" s="386"/>
      <c r="I126" s="387"/>
      <c r="J126" s="388"/>
      <c r="K126" s="389"/>
      <c r="L126" s="387"/>
      <c r="M126" s="387"/>
      <c r="N126" s="387"/>
      <c r="O126" s="387"/>
      <c r="P126" s="387"/>
      <c r="Q126" s="191">
        <f t="shared" si="3"/>
        <v>0.5</v>
      </c>
      <c r="R126" s="96"/>
      <c r="S126" s="96"/>
      <c r="T126" s="285">
        <f t="shared" si="0"/>
        <v>0</v>
      </c>
      <c r="U126" s="285"/>
      <c r="V126" s="285"/>
      <c r="W126" s="285"/>
      <c r="X126" s="285"/>
      <c r="Y126" s="286"/>
      <c r="Z126" s="191">
        <f t="shared" si="4"/>
        <v>1</v>
      </c>
      <c r="AA126" s="96"/>
      <c r="AB126" s="96"/>
      <c r="AC126" s="285">
        <f t="shared" si="2"/>
        <v>0</v>
      </c>
      <c r="AD126" s="285"/>
      <c r="AE126" s="285"/>
      <c r="AF126" s="285"/>
      <c r="AG126" s="285"/>
      <c r="AH126" s="286"/>
    </row>
    <row r="127" spans="1:34" s="1" customFormat="1" ht="15.75" customHeight="1" x14ac:dyDescent="0.15">
      <c r="A127" s="73" t="str">
        <f t="shared" si="1"/>
        <v>×</v>
      </c>
      <c r="H127" s="390"/>
      <c r="I127" s="391"/>
      <c r="J127" s="392"/>
      <c r="K127" s="393"/>
      <c r="L127" s="391"/>
      <c r="M127" s="391"/>
      <c r="N127" s="391"/>
      <c r="O127" s="391"/>
      <c r="P127" s="391"/>
      <c r="Q127" s="269">
        <f t="shared" si="3"/>
        <v>0.5</v>
      </c>
      <c r="R127" s="101"/>
      <c r="S127" s="101"/>
      <c r="T127" s="287">
        <f t="shared" si="0"/>
        <v>0</v>
      </c>
      <c r="U127" s="287"/>
      <c r="V127" s="287"/>
      <c r="W127" s="287"/>
      <c r="X127" s="287"/>
      <c r="Y127" s="288"/>
      <c r="Z127" s="269">
        <f t="shared" si="4"/>
        <v>1</v>
      </c>
      <c r="AA127" s="101"/>
      <c r="AB127" s="101"/>
      <c r="AC127" s="287">
        <f t="shared" si="2"/>
        <v>0</v>
      </c>
      <c r="AD127" s="287"/>
      <c r="AE127" s="287"/>
      <c r="AF127" s="287"/>
      <c r="AG127" s="287"/>
      <c r="AH127" s="288"/>
    </row>
    <row r="128" spans="1:34" s="1" customFormat="1" ht="15.75" customHeight="1" x14ac:dyDescent="0.15">
      <c r="H128" s="74"/>
      <c r="I128" s="74"/>
      <c r="J128" s="74"/>
      <c r="K128" s="75"/>
      <c r="L128" s="75"/>
      <c r="M128" s="75"/>
      <c r="N128" s="74"/>
      <c r="O128" s="74"/>
      <c r="P128" s="74"/>
      <c r="Q128" s="74"/>
      <c r="R128" s="74"/>
      <c r="S128" s="74"/>
      <c r="T128" s="74"/>
      <c r="U128" s="74"/>
      <c r="V128" s="74"/>
      <c r="W128" s="74"/>
      <c r="X128" s="74"/>
      <c r="Y128" s="74"/>
      <c r="Z128" s="303"/>
      <c r="AA128" s="303"/>
      <c r="AB128" s="303"/>
      <c r="AC128" s="303"/>
      <c r="AD128" s="303"/>
      <c r="AE128" s="303"/>
      <c r="AF128" s="303"/>
      <c r="AG128" s="303"/>
      <c r="AH128" s="303"/>
    </row>
    <row r="129" spans="4:17" s="1" customFormat="1" ht="15.75" customHeight="1" x14ac:dyDescent="0.15"/>
    <row r="130" spans="4:17" s="1" customFormat="1" ht="15.75" customHeight="1" x14ac:dyDescent="0.15"/>
    <row r="131" spans="4:17" s="1" customFormat="1" ht="15.75" customHeight="1" x14ac:dyDescent="0.15"/>
    <row r="132" spans="4:17" ht="15.75" customHeight="1" x14ac:dyDescent="0.15">
      <c r="D132" s="1" t="s">
        <v>80</v>
      </c>
      <c r="M132" s="10"/>
    </row>
    <row r="133" spans="4:17" s="1" customFormat="1" ht="15.75" customHeight="1" x14ac:dyDescent="0.15"/>
    <row r="134" spans="4:17" s="1" customFormat="1" ht="15.75" customHeight="1" x14ac:dyDescent="0.15">
      <c r="E134" s="1" t="s">
        <v>81</v>
      </c>
      <c r="F134" s="1" t="s">
        <v>82</v>
      </c>
    </row>
    <row r="135" spans="4:17" s="1" customFormat="1" ht="15.75" customHeight="1" x14ac:dyDescent="0.15"/>
    <row r="136" spans="4:17" s="1" customFormat="1" ht="15.75" customHeight="1" x14ac:dyDescent="0.15">
      <c r="F136" s="1" t="s">
        <v>185</v>
      </c>
    </row>
    <row r="137" spans="4:17" s="1" customFormat="1" ht="15.75" customHeight="1" x14ac:dyDescent="0.15">
      <c r="F137" s="1" t="s">
        <v>60</v>
      </c>
    </row>
    <row r="138" spans="4:17" s="1" customFormat="1" ht="15.75" customHeight="1" x14ac:dyDescent="0.15"/>
    <row r="139" spans="4:17" s="1" customFormat="1" ht="15.75" customHeight="1" x14ac:dyDescent="0.15">
      <c r="F139" s="1" t="s">
        <v>84</v>
      </c>
    </row>
    <row r="140" spans="4:17" s="1" customFormat="1" ht="15.75" customHeight="1" x14ac:dyDescent="0.15">
      <c r="F140" s="162" t="s">
        <v>85</v>
      </c>
      <c r="G140" s="162"/>
      <c r="H140" s="76" t="s">
        <v>27</v>
      </c>
      <c r="I140" s="162">
        <v>1.8</v>
      </c>
      <c r="J140" s="162"/>
      <c r="K140" s="162" t="s">
        <v>63</v>
      </c>
      <c r="L140" s="162"/>
      <c r="M140" s="162" t="s">
        <v>64</v>
      </c>
      <c r="N140" s="162"/>
      <c r="O140" s="76" t="s">
        <v>65</v>
      </c>
      <c r="P140" s="301">
        <v>-0.75</v>
      </c>
      <c r="Q140" s="301"/>
    </row>
    <row r="141" spans="4:17" s="1" customFormat="1" ht="15.75" customHeight="1" x14ac:dyDescent="0.15"/>
    <row r="142" spans="4:17" s="1" customFormat="1" ht="15.75" customHeight="1" x14ac:dyDescent="0.15">
      <c r="F142" s="1" t="s">
        <v>86</v>
      </c>
    </row>
    <row r="143" spans="4:17" s="1" customFormat="1" ht="15.75" customHeight="1" x14ac:dyDescent="0.15">
      <c r="F143" s="162" t="s">
        <v>85</v>
      </c>
      <c r="G143" s="162"/>
      <c r="H143" s="76" t="s">
        <v>27</v>
      </c>
      <c r="I143" s="162">
        <v>3.6</v>
      </c>
      <c r="J143" s="162"/>
      <c r="K143" s="162" t="s">
        <v>63</v>
      </c>
      <c r="L143" s="162"/>
      <c r="M143" s="162" t="s">
        <v>64</v>
      </c>
      <c r="N143" s="162"/>
      <c r="O143" s="76" t="s">
        <v>65</v>
      </c>
      <c r="P143" s="301">
        <v>-0.75</v>
      </c>
      <c r="Q143" s="301"/>
    </row>
    <row r="144" spans="4:17" s="1" customFormat="1" ht="15.75" customHeight="1" x14ac:dyDescent="0.15"/>
    <row r="145" spans="1:35" s="1" customFormat="1" ht="15.75" customHeight="1" x14ac:dyDescent="0.15">
      <c r="G145" s="1" t="s">
        <v>66</v>
      </c>
      <c r="J145" s="162" t="s">
        <v>85</v>
      </c>
      <c r="K145" s="162"/>
      <c r="L145" s="76" t="s">
        <v>2</v>
      </c>
      <c r="M145" s="1" t="s">
        <v>87</v>
      </c>
    </row>
    <row r="146" spans="1:35" s="1" customFormat="1" ht="15.75" customHeight="1" x14ac:dyDescent="0.15">
      <c r="J146" s="162" t="s">
        <v>63</v>
      </c>
      <c r="K146" s="162"/>
      <c r="L146" s="76" t="s">
        <v>2</v>
      </c>
      <c r="M146" s="1" t="s">
        <v>77</v>
      </c>
    </row>
    <row r="147" spans="1:35" s="1" customFormat="1" ht="15.75" customHeight="1" x14ac:dyDescent="0.15">
      <c r="J147" s="162" t="s">
        <v>64</v>
      </c>
      <c r="K147" s="162"/>
      <c r="L147" s="76" t="s">
        <v>2</v>
      </c>
      <c r="M147" s="1" t="s">
        <v>70</v>
      </c>
    </row>
    <row r="148" spans="1:35" s="1" customFormat="1" ht="15.75" customHeight="1" x14ac:dyDescent="0.15">
      <c r="J148" s="162" t="s">
        <v>65</v>
      </c>
      <c r="K148" s="162"/>
      <c r="L148" s="76" t="s">
        <v>2</v>
      </c>
      <c r="M148" s="1" t="s">
        <v>515</v>
      </c>
      <c r="R148" s="2" t="s">
        <v>127</v>
      </c>
      <c r="S148" s="76" t="s">
        <v>27</v>
      </c>
      <c r="T148" s="304">
        <f>Q92</f>
        <v>1</v>
      </c>
      <c r="U148" s="304"/>
      <c r="V148" s="304"/>
      <c r="W148" s="1" t="s">
        <v>128</v>
      </c>
    </row>
    <row r="149" spans="1:35" s="1" customFormat="1" ht="15.75" customHeight="1" x14ac:dyDescent="0.15">
      <c r="J149" s="76"/>
      <c r="K149" s="76"/>
      <c r="L149" s="76"/>
    </row>
    <row r="150" spans="1:35" s="1" customFormat="1" ht="15.75" customHeight="1" x14ac:dyDescent="0.15">
      <c r="G150" s="61" t="s">
        <v>509</v>
      </c>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c r="AE150" s="302"/>
      <c r="AF150" s="302"/>
      <c r="AG150" s="302"/>
      <c r="AH150" s="302"/>
      <c r="AI150" s="302"/>
    </row>
    <row r="151" spans="1:35" s="1" customFormat="1" ht="15.75" customHeight="1" x14ac:dyDescent="0.15">
      <c r="G151" s="126" t="s">
        <v>78</v>
      </c>
      <c r="H151" s="105"/>
      <c r="I151" s="129"/>
      <c r="J151" s="105" t="s">
        <v>520</v>
      </c>
      <c r="K151" s="131"/>
      <c r="L151" s="131"/>
      <c r="M151" s="230"/>
      <c r="N151" s="130" t="s">
        <v>506</v>
      </c>
      <c r="O151" s="131"/>
      <c r="P151" s="131"/>
      <c r="Q151" s="131"/>
      <c r="R151" s="131"/>
      <c r="S151" s="131"/>
      <c r="T151" s="132"/>
      <c r="U151" s="273" t="s">
        <v>507</v>
      </c>
      <c r="V151" s="131"/>
      <c r="W151" s="131"/>
      <c r="X151" s="131"/>
      <c r="Y151" s="131"/>
      <c r="Z151" s="131"/>
      <c r="AA151" s="131"/>
      <c r="AB151" s="131"/>
      <c r="AC151" s="131"/>
      <c r="AD151" s="131"/>
      <c r="AE151" s="131"/>
      <c r="AF151" s="131"/>
      <c r="AG151" s="131"/>
      <c r="AH151" s="131"/>
      <c r="AI151" s="132"/>
    </row>
    <row r="152" spans="1:35" s="1" customFormat="1" ht="15.75" customHeight="1" x14ac:dyDescent="0.15">
      <c r="G152" s="127"/>
      <c r="H152" s="122"/>
      <c r="I152" s="123"/>
      <c r="J152" s="94"/>
      <c r="K152" s="94"/>
      <c r="L152" s="94"/>
      <c r="M152" s="231"/>
      <c r="N152" s="93" t="s">
        <v>69</v>
      </c>
      <c r="O152" s="94"/>
      <c r="P152" s="94"/>
      <c r="Q152" s="122" t="s">
        <v>521</v>
      </c>
      <c r="R152" s="94"/>
      <c r="S152" s="94"/>
      <c r="T152" s="190"/>
      <c r="U152" s="274" t="s">
        <v>69</v>
      </c>
      <c r="V152" s="94"/>
      <c r="W152" s="94"/>
      <c r="X152" s="122" t="s">
        <v>88</v>
      </c>
      <c r="Y152" s="94"/>
      <c r="Z152" s="94"/>
      <c r="AA152" s="94"/>
      <c r="AB152" s="94"/>
      <c r="AC152" s="94"/>
      <c r="AD152" s="122" t="s">
        <v>89</v>
      </c>
      <c r="AE152" s="94"/>
      <c r="AF152" s="94"/>
      <c r="AG152" s="94"/>
      <c r="AH152" s="94"/>
      <c r="AI152" s="190"/>
    </row>
    <row r="153" spans="1:35" s="1" customFormat="1" ht="15.75" customHeight="1" x14ac:dyDescent="0.15">
      <c r="G153" s="127"/>
      <c r="H153" s="122"/>
      <c r="I153" s="123"/>
      <c r="J153" s="94"/>
      <c r="K153" s="94"/>
      <c r="L153" s="94"/>
      <c r="M153" s="231"/>
      <c r="N153" s="93"/>
      <c r="O153" s="94"/>
      <c r="P153" s="94"/>
      <c r="Q153" s="94"/>
      <c r="R153" s="94"/>
      <c r="S153" s="94"/>
      <c r="T153" s="190"/>
      <c r="U153" s="274"/>
      <c r="V153" s="94"/>
      <c r="W153" s="94"/>
      <c r="X153" s="122"/>
      <c r="Y153" s="94"/>
      <c r="Z153" s="94"/>
      <c r="AA153" s="94"/>
      <c r="AB153" s="94"/>
      <c r="AC153" s="94"/>
      <c r="AD153" s="122"/>
      <c r="AE153" s="94"/>
      <c r="AF153" s="94"/>
      <c r="AG153" s="94"/>
      <c r="AH153" s="94"/>
      <c r="AI153" s="190"/>
    </row>
    <row r="154" spans="1:35" s="1" customFormat="1" ht="15.75" customHeight="1" x14ac:dyDescent="0.15">
      <c r="G154" s="128"/>
      <c r="H154" s="106"/>
      <c r="I154" s="124"/>
      <c r="J154" s="99"/>
      <c r="K154" s="99"/>
      <c r="L154" s="99"/>
      <c r="M154" s="232"/>
      <c r="N154" s="98"/>
      <c r="O154" s="99"/>
      <c r="P154" s="99"/>
      <c r="Q154" s="99"/>
      <c r="R154" s="99"/>
      <c r="S154" s="99"/>
      <c r="T154" s="133"/>
      <c r="U154" s="219"/>
      <c r="V154" s="99"/>
      <c r="W154" s="99"/>
      <c r="X154" s="99"/>
      <c r="Y154" s="99"/>
      <c r="Z154" s="99"/>
      <c r="AA154" s="99"/>
      <c r="AB154" s="99"/>
      <c r="AC154" s="99"/>
      <c r="AD154" s="99"/>
      <c r="AE154" s="99"/>
      <c r="AF154" s="99"/>
      <c r="AG154" s="99"/>
      <c r="AH154" s="99"/>
      <c r="AI154" s="133"/>
    </row>
    <row r="155" spans="1:35" s="1" customFormat="1" ht="15.75" customHeight="1" x14ac:dyDescent="0.15">
      <c r="A155" s="73" t="str">
        <f t="shared" ref="A155:A170" si="5">IF(J155="","×","")</f>
        <v/>
      </c>
      <c r="G155" s="117">
        <f t="shared" ref="G155:G170" si="6">IF(H112="","",H112)</f>
        <v>3</v>
      </c>
      <c r="H155" s="118"/>
      <c r="I155" s="175"/>
      <c r="J155" s="118">
        <f t="shared" ref="J155:J170" si="7">IF(K112="","",K112)</f>
        <v>13930</v>
      </c>
      <c r="K155" s="118"/>
      <c r="L155" s="118"/>
      <c r="M155" s="182"/>
      <c r="N155" s="180">
        <f>Q112</f>
        <v>0.5</v>
      </c>
      <c r="O155" s="181"/>
      <c r="P155" s="181"/>
      <c r="Q155" s="118">
        <f t="shared" ref="Q155:Q170" si="8">IF(J155="","",ROUND($I$140*$N$155*J155*$T$148^$P$140,0))</f>
        <v>12537</v>
      </c>
      <c r="R155" s="118"/>
      <c r="S155" s="118"/>
      <c r="T155" s="175"/>
      <c r="U155" s="205">
        <f>Z112</f>
        <v>1</v>
      </c>
      <c r="V155" s="181"/>
      <c r="W155" s="181"/>
      <c r="X155" s="118">
        <f t="shared" ref="X155:X170" si="9">IF(J155="","",ROUND($I$140*$U$155*J155*$T$148^$P$143,0))</f>
        <v>25074</v>
      </c>
      <c r="Y155" s="118"/>
      <c r="Z155" s="118"/>
      <c r="AA155" s="118"/>
      <c r="AB155" s="118"/>
      <c r="AC155" s="118"/>
      <c r="AD155" s="118">
        <f t="shared" ref="AD155:AD170" si="10">IF(J155="","",ROUND($I$143*$U$155*J155*$T$148^$P$143,0))</f>
        <v>50148</v>
      </c>
      <c r="AE155" s="118"/>
      <c r="AF155" s="118"/>
      <c r="AG155" s="118"/>
      <c r="AH155" s="118"/>
      <c r="AI155" s="175"/>
    </row>
    <row r="156" spans="1:35" s="1" customFormat="1" ht="15.75" customHeight="1" x14ac:dyDescent="0.15">
      <c r="A156" s="73" t="str">
        <f t="shared" si="5"/>
        <v/>
      </c>
      <c r="G156" s="119">
        <f t="shared" si="6"/>
        <v>4</v>
      </c>
      <c r="H156" s="120"/>
      <c r="I156" s="270"/>
      <c r="J156" s="120">
        <f t="shared" si="7"/>
        <v>28620</v>
      </c>
      <c r="K156" s="120"/>
      <c r="L156" s="120"/>
      <c r="M156" s="207"/>
      <c r="N156" s="176">
        <f>N155</f>
        <v>0.5</v>
      </c>
      <c r="O156" s="177"/>
      <c r="P156" s="177"/>
      <c r="Q156" s="120">
        <f t="shared" si="8"/>
        <v>25758</v>
      </c>
      <c r="R156" s="120"/>
      <c r="S156" s="120"/>
      <c r="T156" s="270"/>
      <c r="U156" s="206">
        <f>U155</f>
        <v>1</v>
      </c>
      <c r="V156" s="177"/>
      <c r="W156" s="177"/>
      <c r="X156" s="120">
        <f t="shared" si="9"/>
        <v>51516</v>
      </c>
      <c r="Y156" s="120"/>
      <c r="Z156" s="120"/>
      <c r="AA156" s="120"/>
      <c r="AB156" s="120"/>
      <c r="AC156" s="120"/>
      <c r="AD156" s="120">
        <f t="shared" si="10"/>
        <v>103032</v>
      </c>
      <c r="AE156" s="120"/>
      <c r="AF156" s="120"/>
      <c r="AG156" s="120"/>
      <c r="AH156" s="120"/>
      <c r="AI156" s="270"/>
    </row>
    <row r="157" spans="1:35" s="1" customFormat="1" ht="15.75" customHeight="1" x14ac:dyDescent="0.15">
      <c r="A157" s="73" t="str">
        <f t="shared" si="5"/>
        <v/>
      </c>
      <c r="G157" s="119">
        <f t="shared" si="6"/>
        <v>5</v>
      </c>
      <c r="H157" s="120"/>
      <c r="I157" s="270"/>
      <c r="J157" s="120">
        <f t="shared" si="7"/>
        <v>32570</v>
      </c>
      <c r="K157" s="120"/>
      <c r="L157" s="120"/>
      <c r="M157" s="207"/>
      <c r="N157" s="176">
        <f t="shared" ref="N157:N170" si="11">N156</f>
        <v>0.5</v>
      </c>
      <c r="O157" s="177"/>
      <c r="P157" s="177"/>
      <c r="Q157" s="120">
        <f t="shared" si="8"/>
        <v>29313</v>
      </c>
      <c r="R157" s="120"/>
      <c r="S157" s="120"/>
      <c r="T157" s="270"/>
      <c r="U157" s="206">
        <f t="shared" ref="U157:U170" si="12">U156</f>
        <v>1</v>
      </c>
      <c r="V157" s="177"/>
      <c r="W157" s="177"/>
      <c r="X157" s="120">
        <f t="shared" si="9"/>
        <v>58626</v>
      </c>
      <c r="Y157" s="120"/>
      <c r="Z157" s="120"/>
      <c r="AA157" s="120"/>
      <c r="AB157" s="120"/>
      <c r="AC157" s="120"/>
      <c r="AD157" s="120">
        <f t="shared" si="10"/>
        <v>117252</v>
      </c>
      <c r="AE157" s="120"/>
      <c r="AF157" s="120"/>
      <c r="AG157" s="120"/>
      <c r="AH157" s="120"/>
      <c r="AI157" s="270"/>
    </row>
    <row r="158" spans="1:35" s="1" customFormat="1" ht="15.75" customHeight="1" x14ac:dyDescent="0.15">
      <c r="A158" s="73" t="str">
        <f t="shared" si="5"/>
        <v/>
      </c>
      <c r="G158" s="119">
        <f t="shared" si="6"/>
        <v>6</v>
      </c>
      <c r="H158" s="120"/>
      <c r="I158" s="270"/>
      <c r="J158" s="120">
        <f t="shared" si="7"/>
        <v>46440</v>
      </c>
      <c r="K158" s="120"/>
      <c r="L158" s="120"/>
      <c r="M158" s="207"/>
      <c r="N158" s="176">
        <f t="shared" si="11"/>
        <v>0.5</v>
      </c>
      <c r="O158" s="177"/>
      <c r="P158" s="177"/>
      <c r="Q158" s="120">
        <f t="shared" si="8"/>
        <v>41796</v>
      </c>
      <c r="R158" s="120"/>
      <c r="S158" s="120"/>
      <c r="T158" s="270"/>
      <c r="U158" s="206">
        <f t="shared" si="12"/>
        <v>1</v>
      </c>
      <c r="V158" s="177"/>
      <c r="W158" s="177"/>
      <c r="X158" s="120">
        <f t="shared" si="9"/>
        <v>83592</v>
      </c>
      <c r="Y158" s="120"/>
      <c r="Z158" s="120"/>
      <c r="AA158" s="120"/>
      <c r="AB158" s="120"/>
      <c r="AC158" s="120"/>
      <c r="AD158" s="120">
        <f t="shared" si="10"/>
        <v>167184</v>
      </c>
      <c r="AE158" s="120"/>
      <c r="AF158" s="120"/>
      <c r="AG158" s="120"/>
      <c r="AH158" s="120"/>
      <c r="AI158" s="270"/>
    </row>
    <row r="159" spans="1:35" s="1" customFormat="1" ht="15.75" customHeight="1" x14ac:dyDescent="0.15">
      <c r="A159" s="73" t="str">
        <f t="shared" si="5"/>
        <v/>
      </c>
      <c r="G159" s="119">
        <f t="shared" si="6"/>
        <v>7</v>
      </c>
      <c r="H159" s="120"/>
      <c r="I159" s="270"/>
      <c r="J159" s="120">
        <f t="shared" si="7"/>
        <v>91760</v>
      </c>
      <c r="K159" s="120"/>
      <c r="L159" s="120"/>
      <c r="M159" s="207"/>
      <c r="N159" s="176">
        <f t="shared" si="11"/>
        <v>0.5</v>
      </c>
      <c r="O159" s="177"/>
      <c r="P159" s="177"/>
      <c r="Q159" s="120">
        <f t="shared" si="8"/>
        <v>82584</v>
      </c>
      <c r="R159" s="120"/>
      <c r="S159" s="120"/>
      <c r="T159" s="270"/>
      <c r="U159" s="206">
        <f t="shared" si="12"/>
        <v>1</v>
      </c>
      <c r="V159" s="177"/>
      <c r="W159" s="177"/>
      <c r="X159" s="120">
        <f t="shared" si="9"/>
        <v>165168</v>
      </c>
      <c r="Y159" s="120"/>
      <c r="Z159" s="120"/>
      <c r="AA159" s="120"/>
      <c r="AB159" s="120"/>
      <c r="AC159" s="120"/>
      <c r="AD159" s="120">
        <f t="shared" si="10"/>
        <v>330336</v>
      </c>
      <c r="AE159" s="120"/>
      <c r="AF159" s="120"/>
      <c r="AG159" s="120"/>
      <c r="AH159" s="120"/>
      <c r="AI159" s="270"/>
    </row>
    <row r="160" spans="1:35" s="1" customFormat="1" ht="15.75" customHeight="1" x14ac:dyDescent="0.15">
      <c r="A160" s="73" t="str">
        <f t="shared" si="5"/>
        <v>×</v>
      </c>
      <c r="G160" s="119" t="str">
        <f t="shared" si="6"/>
        <v/>
      </c>
      <c r="H160" s="120"/>
      <c r="I160" s="270"/>
      <c r="J160" s="120" t="str">
        <f t="shared" si="7"/>
        <v/>
      </c>
      <c r="K160" s="120"/>
      <c r="L160" s="120"/>
      <c r="M160" s="207"/>
      <c r="N160" s="176">
        <f t="shared" si="11"/>
        <v>0.5</v>
      </c>
      <c r="O160" s="177"/>
      <c r="P160" s="177"/>
      <c r="Q160" s="120" t="str">
        <f t="shared" si="8"/>
        <v/>
      </c>
      <c r="R160" s="120"/>
      <c r="S160" s="120"/>
      <c r="T160" s="270"/>
      <c r="U160" s="206">
        <f t="shared" si="12"/>
        <v>1</v>
      </c>
      <c r="V160" s="177"/>
      <c r="W160" s="177"/>
      <c r="X160" s="120" t="str">
        <f t="shared" si="9"/>
        <v/>
      </c>
      <c r="Y160" s="120"/>
      <c r="Z160" s="120"/>
      <c r="AA160" s="120"/>
      <c r="AB160" s="120"/>
      <c r="AC160" s="120"/>
      <c r="AD160" s="120" t="str">
        <f t="shared" si="10"/>
        <v/>
      </c>
      <c r="AE160" s="120"/>
      <c r="AF160" s="120"/>
      <c r="AG160" s="120"/>
      <c r="AH160" s="120"/>
      <c r="AI160" s="270"/>
    </row>
    <row r="161" spans="1:77" s="1" customFormat="1" ht="15.75" customHeight="1" x14ac:dyDescent="0.15">
      <c r="A161" s="73" t="str">
        <f t="shared" si="5"/>
        <v>×</v>
      </c>
      <c r="G161" s="119" t="str">
        <f t="shared" si="6"/>
        <v/>
      </c>
      <c r="H161" s="120"/>
      <c r="I161" s="270"/>
      <c r="J161" s="120" t="str">
        <f t="shared" si="7"/>
        <v/>
      </c>
      <c r="K161" s="120"/>
      <c r="L161" s="120"/>
      <c r="M161" s="207"/>
      <c r="N161" s="176">
        <f t="shared" si="11"/>
        <v>0.5</v>
      </c>
      <c r="O161" s="177"/>
      <c r="P161" s="177"/>
      <c r="Q161" s="120" t="str">
        <f t="shared" si="8"/>
        <v/>
      </c>
      <c r="R161" s="120"/>
      <c r="S161" s="120"/>
      <c r="T161" s="270"/>
      <c r="U161" s="206">
        <f t="shared" si="12"/>
        <v>1</v>
      </c>
      <c r="V161" s="177"/>
      <c r="W161" s="177"/>
      <c r="X161" s="120" t="str">
        <f t="shared" si="9"/>
        <v/>
      </c>
      <c r="Y161" s="120"/>
      <c r="Z161" s="120"/>
      <c r="AA161" s="120"/>
      <c r="AB161" s="120"/>
      <c r="AC161" s="120"/>
      <c r="AD161" s="120" t="str">
        <f t="shared" si="10"/>
        <v/>
      </c>
      <c r="AE161" s="120"/>
      <c r="AF161" s="120"/>
      <c r="AG161" s="120"/>
      <c r="AH161" s="120"/>
      <c r="AI161" s="270"/>
    </row>
    <row r="162" spans="1:77" s="1" customFormat="1" ht="15.75" customHeight="1" x14ac:dyDescent="0.15">
      <c r="A162" s="73" t="str">
        <f t="shared" si="5"/>
        <v>×</v>
      </c>
      <c r="G162" s="119" t="str">
        <f t="shared" si="6"/>
        <v/>
      </c>
      <c r="H162" s="120"/>
      <c r="I162" s="270"/>
      <c r="J162" s="120" t="str">
        <f t="shared" si="7"/>
        <v/>
      </c>
      <c r="K162" s="120"/>
      <c r="L162" s="120"/>
      <c r="M162" s="207"/>
      <c r="N162" s="176">
        <f t="shared" si="11"/>
        <v>0.5</v>
      </c>
      <c r="O162" s="177"/>
      <c r="P162" s="177"/>
      <c r="Q162" s="120" t="str">
        <f t="shared" si="8"/>
        <v/>
      </c>
      <c r="R162" s="120"/>
      <c r="S162" s="120"/>
      <c r="T162" s="270"/>
      <c r="U162" s="206">
        <f t="shared" si="12"/>
        <v>1</v>
      </c>
      <c r="V162" s="177"/>
      <c r="W162" s="177"/>
      <c r="X162" s="120" t="str">
        <f t="shared" si="9"/>
        <v/>
      </c>
      <c r="Y162" s="120"/>
      <c r="Z162" s="120"/>
      <c r="AA162" s="120"/>
      <c r="AB162" s="120"/>
      <c r="AC162" s="120"/>
      <c r="AD162" s="120" t="str">
        <f t="shared" si="10"/>
        <v/>
      </c>
      <c r="AE162" s="120"/>
      <c r="AF162" s="120"/>
      <c r="AG162" s="120"/>
      <c r="AH162" s="120"/>
      <c r="AI162" s="270"/>
    </row>
    <row r="163" spans="1:77" s="1" customFormat="1" ht="15.75" customHeight="1" x14ac:dyDescent="0.15">
      <c r="A163" s="73" t="str">
        <f t="shared" si="5"/>
        <v>×</v>
      </c>
      <c r="G163" s="119" t="str">
        <f t="shared" si="6"/>
        <v/>
      </c>
      <c r="H163" s="120"/>
      <c r="I163" s="270"/>
      <c r="J163" s="120" t="str">
        <f t="shared" si="7"/>
        <v/>
      </c>
      <c r="K163" s="120"/>
      <c r="L163" s="120"/>
      <c r="M163" s="207"/>
      <c r="N163" s="176">
        <f t="shared" si="11"/>
        <v>0.5</v>
      </c>
      <c r="O163" s="177"/>
      <c r="P163" s="177"/>
      <c r="Q163" s="120" t="str">
        <f t="shared" si="8"/>
        <v/>
      </c>
      <c r="R163" s="120"/>
      <c r="S163" s="120"/>
      <c r="T163" s="270"/>
      <c r="U163" s="206">
        <f t="shared" si="12"/>
        <v>1</v>
      </c>
      <c r="V163" s="177"/>
      <c r="W163" s="177"/>
      <c r="X163" s="120" t="str">
        <f t="shared" si="9"/>
        <v/>
      </c>
      <c r="Y163" s="120"/>
      <c r="Z163" s="120"/>
      <c r="AA163" s="120"/>
      <c r="AB163" s="120"/>
      <c r="AC163" s="120"/>
      <c r="AD163" s="120" t="str">
        <f t="shared" si="10"/>
        <v/>
      </c>
      <c r="AE163" s="120"/>
      <c r="AF163" s="120"/>
      <c r="AG163" s="120"/>
      <c r="AH163" s="120"/>
      <c r="AI163" s="270"/>
    </row>
    <row r="164" spans="1:77" s="1" customFormat="1" ht="15.75" customHeight="1" x14ac:dyDescent="0.15">
      <c r="A164" s="73" t="str">
        <f t="shared" si="5"/>
        <v>×</v>
      </c>
      <c r="G164" s="119" t="str">
        <f t="shared" si="6"/>
        <v/>
      </c>
      <c r="H164" s="120"/>
      <c r="I164" s="270"/>
      <c r="J164" s="120" t="str">
        <f t="shared" si="7"/>
        <v/>
      </c>
      <c r="K164" s="120"/>
      <c r="L164" s="120"/>
      <c r="M164" s="207"/>
      <c r="N164" s="176">
        <f t="shared" si="11"/>
        <v>0.5</v>
      </c>
      <c r="O164" s="177"/>
      <c r="P164" s="177"/>
      <c r="Q164" s="120" t="str">
        <f t="shared" si="8"/>
        <v/>
      </c>
      <c r="R164" s="120"/>
      <c r="S164" s="120"/>
      <c r="T164" s="270"/>
      <c r="U164" s="206">
        <f t="shared" si="12"/>
        <v>1</v>
      </c>
      <c r="V164" s="177"/>
      <c r="W164" s="177"/>
      <c r="X164" s="120" t="str">
        <f t="shared" si="9"/>
        <v/>
      </c>
      <c r="Y164" s="120"/>
      <c r="Z164" s="120"/>
      <c r="AA164" s="120"/>
      <c r="AB164" s="120"/>
      <c r="AC164" s="120"/>
      <c r="AD164" s="120" t="str">
        <f t="shared" si="10"/>
        <v/>
      </c>
      <c r="AE164" s="120"/>
      <c r="AF164" s="120"/>
      <c r="AG164" s="120"/>
      <c r="AH164" s="120"/>
      <c r="AI164" s="270"/>
    </row>
    <row r="165" spans="1:77" s="1" customFormat="1" ht="15.75" customHeight="1" x14ac:dyDescent="0.15">
      <c r="A165" s="73" t="str">
        <f t="shared" si="5"/>
        <v>×</v>
      </c>
      <c r="G165" s="119" t="str">
        <f t="shared" si="6"/>
        <v/>
      </c>
      <c r="H165" s="120"/>
      <c r="I165" s="270"/>
      <c r="J165" s="120" t="str">
        <f t="shared" si="7"/>
        <v/>
      </c>
      <c r="K165" s="120"/>
      <c r="L165" s="120"/>
      <c r="M165" s="207"/>
      <c r="N165" s="176">
        <f t="shared" si="11"/>
        <v>0.5</v>
      </c>
      <c r="O165" s="177"/>
      <c r="P165" s="177"/>
      <c r="Q165" s="120" t="str">
        <f t="shared" si="8"/>
        <v/>
      </c>
      <c r="R165" s="120"/>
      <c r="S165" s="120"/>
      <c r="T165" s="270"/>
      <c r="U165" s="206">
        <f t="shared" si="12"/>
        <v>1</v>
      </c>
      <c r="V165" s="177"/>
      <c r="W165" s="177"/>
      <c r="X165" s="120" t="str">
        <f t="shared" si="9"/>
        <v/>
      </c>
      <c r="Y165" s="120"/>
      <c r="Z165" s="120"/>
      <c r="AA165" s="120"/>
      <c r="AB165" s="120"/>
      <c r="AC165" s="120"/>
      <c r="AD165" s="120" t="str">
        <f t="shared" si="10"/>
        <v/>
      </c>
      <c r="AE165" s="120"/>
      <c r="AF165" s="120"/>
      <c r="AG165" s="120"/>
      <c r="AH165" s="120"/>
      <c r="AI165" s="270"/>
    </row>
    <row r="166" spans="1:77" s="1" customFormat="1" ht="15.75" customHeight="1" x14ac:dyDescent="0.15">
      <c r="A166" s="73" t="str">
        <f t="shared" si="5"/>
        <v>×</v>
      </c>
      <c r="G166" s="119" t="str">
        <f t="shared" si="6"/>
        <v/>
      </c>
      <c r="H166" s="120"/>
      <c r="I166" s="270"/>
      <c r="J166" s="120" t="str">
        <f t="shared" si="7"/>
        <v/>
      </c>
      <c r="K166" s="120"/>
      <c r="L166" s="120"/>
      <c r="M166" s="207"/>
      <c r="N166" s="176">
        <f t="shared" si="11"/>
        <v>0.5</v>
      </c>
      <c r="O166" s="177"/>
      <c r="P166" s="177"/>
      <c r="Q166" s="120" t="str">
        <f t="shared" si="8"/>
        <v/>
      </c>
      <c r="R166" s="120"/>
      <c r="S166" s="120"/>
      <c r="T166" s="270"/>
      <c r="U166" s="206">
        <f t="shared" si="12"/>
        <v>1</v>
      </c>
      <c r="V166" s="177"/>
      <c r="W166" s="177"/>
      <c r="X166" s="120" t="str">
        <f t="shared" si="9"/>
        <v/>
      </c>
      <c r="Y166" s="120"/>
      <c r="Z166" s="120"/>
      <c r="AA166" s="120"/>
      <c r="AB166" s="120"/>
      <c r="AC166" s="120"/>
      <c r="AD166" s="120" t="str">
        <f t="shared" si="10"/>
        <v/>
      </c>
      <c r="AE166" s="120"/>
      <c r="AF166" s="120"/>
      <c r="AG166" s="120"/>
      <c r="AH166" s="120"/>
      <c r="AI166" s="270"/>
    </row>
    <row r="167" spans="1:77" s="1" customFormat="1" ht="15.75" customHeight="1" x14ac:dyDescent="0.15">
      <c r="A167" s="73" t="str">
        <f t="shared" si="5"/>
        <v>×</v>
      </c>
      <c r="G167" s="119" t="str">
        <f t="shared" si="6"/>
        <v/>
      </c>
      <c r="H167" s="120"/>
      <c r="I167" s="270"/>
      <c r="J167" s="120" t="str">
        <f t="shared" si="7"/>
        <v/>
      </c>
      <c r="K167" s="120"/>
      <c r="L167" s="120"/>
      <c r="M167" s="207"/>
      <c r="N167" s="176">
        <f t="shared" si="11"/>
        <v>0.5</v>
      </c>
      <c r="O167" s="177"/>
      <c r="P167" s="177"/>
      <c r="Q167" s="120" t="str">
        <f t="shared" si="8"/>
        <v/>
      </c>
      <c r="R167" s="120"/>
      <c r="S167" s="120"/>
      <c r="T167" s="270"/>
      <c r="U167" s="206">
        <f t="shared" si="12"/>
        <v>1</v>
      </c>
      <c r="V167" s="177"/>
      <c r="W167" s="177"/>
      <c r="X167" s="120" t="str">
        <f t="shared" si="9"/>
        <v/>
      </c>
      <c r="Y167" s="120"/>
      <c r="Z167" s="120"/>
      <c r="AA167" s="120"/>
      <c r="AB167" s="120"/>
      <c r="AC167" s="120"/>
      <c r="AD167" s="120" t="str">
        <f t="shared" si="10"/>
        <v/>
      </c>
      <c r="AE167" s="120"/>
      <c r="AF167" s="120"/>
      <c r="AG167" s="120"/>
      <c r="AH167" s="120"/>
      <c r="AI167" s="270"/>
    </row>
    <row r="168" spans="1:77" s="1" customFormat="1" ht="15.75" customHeight="1" x14ac:dyDescent="0.15">
      <c r="A168" s="73" t="str">
        <f t="shared" si="5"/>
        <v>×</v>
      </c>
      <c r="G168" s="119" t="str">
        <f t="shared" si="6"/>
        <v/>
      </c>
      <c r="H168" s="120"/>
      <c r="I168" s="270"/>
      <c r="J168" s="120" t="str">
        <f t="shared" si="7"/>
        <v/>
      </c>
      <c r="K168" s="120"/>
      <c r="L168" s="120"/>
      <c r="M168" s="207"/>
      <c r="N168" s="176">
        <f t="shared" si="11"/>
        <v>0.5</v>
      </c>
      <c r="O168" s="177"/>
      <c r="P168" s="177"/>
      <c r="Q168" s="120" t="str">
        <f t="shared" si="8"/>
        <v/>
      </c>
      <c r="R168" s="120"/>
      <c r="S168" s="120"/>
      <c r="T168" s="270"/>
      <c r="U168" s="206">
        <f t="shared" si="12"/>
        <v>1</v>
      </c>
      <c r="V168" s="177"/>
      <c r="W168" s="177"/>
      <c r="X168" s="120" t="str">
        <f t="shared" si="9"/>
        <v/>
      </c>
      <c r="Y168" s="120"/>
      <c r="Z168" s="120"/>
      <c r="AA168" s="120"/>
      <c r="AB168" s="120"/>
      <c r="AC168" s="120"/>
      <c r="AD168" s="120" t="str">
        <f t="shared" si="10"/>
        <v/>
      </c>
      <c r="AE168" s="120"/>
      <c r="AF168" s="120"/>
      <c r="AG168" s="120"/>
      <c r="AH168" s="120"/>
      <c r="AI168" s="270"/>
    </row>
    <row r="169" spans="1:77" s="1" customFormat="1" ht="15.75" customHeight="1" x14ac:dyDescent="0.15">
      <c r="A169" s="73" t="str">
        <f t="shared" si="5"/>
        <v>×</v>
      </c>
      <c r="G169" s="119" t="str">
        <f t="shared" si="6"/>
        <v/>
      </c>
      <c r="H169" s="120"/>
      <c r="I169" s="270"/>
      <c r="J169" s="120" t="str">
        <f t="shared" si="7"/>
        <v/>
      </c>
      <c r="K169" s="120"/>
      <c r="L169" s="120"/>
      <c r="M169" s="207"/>
      <c r="N169" s="176">
        <f t="shared" si="11"/>
        <v>0.5</v>
      </c>
      <c r="O169" s="177"/>
      <c r="P169" s="177"/>
      <c r="Q169" s="120" t="str">
        <f t="shared" si="8"/>
        <v/>
      </c>
      <c r="R169" s="120"/>
      <c r="S169" s="120"/>
      <c r="T169" s="270"/>
      <c r="U169" s="206">
        <f t="shared" si="12"/>
        <v>1</v>
      </c>
      <c r="V169" s="177"/>
      <c r="W169" s="177"/>
      <c r="X169" s="120" t="str">
        <f t="shared" si="9"/>
        <v/>
      </c>
      <c r="Y169" s="120"/>
      <c r="Z169" s="120"/>
      <c r="AA169" s="120"/>
      <c r="AB169" s="120"/>
      <c r="AC169" s="120"/>
      <c r="AD169" s="120" t="str">
        <f t="shared" si="10"/>
        <v/>
      </c>
      <c r="AE169" s="120"/>
      <c r="AF169" s="120"/>
      <c r="AG169" s="120"/>
      <c r="AH169" s="120"/>
      <c r="AI169" s="270"/>
    </row>
    <row r="170" spans="1:77" s="1" customFormat="1" ht="15.75" customHeight="1" x14ac:dyDescent="0.15">
      <c r="A170" s="73" t="str">
        <f t="shared" si="5"/>
        <v>×</v>
      </c>
      <c r="G170" s="233" t="str">
        <f t="shared" si="6"/>
        <v/>
      </c>
      <c r="H170" s="234"/>
      <c r="I170" s="271"/>
      <c r="J170" s="234" t="str">
        <f t="shared" si="7"/>
        <v/>
      </c>
      <c r="K170" s="234"/>
      <c r="L170" s="234"/>
      <c r="M170" s="272"/>
      <c r="N170" s="178">
        <f t="shared" si="11"/>
        <v>0.5</v>
      </c>
      <c r="O170" s="179"/>
      <c r="P170" s="179"/>
      <c r="Q170" s="234" t="str">
        <f t="shared" si="8"/>
        <v/>
      </c>
      <c r="R170" s="234"/>
      <c r="S170" s="234"/>
      <c r="T170" s="271"/>
      <c r="U170" s="275">
        <f t="shared" si="12"/>
        <v>1</v>
      </c>
      <c r="V170" s="179"/>
      <c r="W170" s="179"/>
      <c r="X170" s="234" t="str">
        <f t="shared" si="9"/>
        <v/>
      </c>
      <c r="Y170" s="234"/>
      <c r="Z170" s="234"/>
      <c r="AA170" s="234"/>
      <c r="AB170" s="234"/>
      <c r="AC170" s="234"/>
      <c r="AD170" s="234" t="str">
        <f t="shared" si="10"/>
        <v/>
      </c>
      <c r="AE170" s="234"/>
      <c r="AF170" s="234"/>
      <c r="AG170" s="234"/>
      <c r="AH170" s="234"/>
      <c r="AI170" s="271"/>
    </row>
    <row r="171" spans="1:77" s="1" customFormat="1" ht="15.75" customHeight="1" x14ac:dyDescent="0.15">
      <c r="BT171" s="76"/>
      <c r="BU171" s="76"/>
      <c r="BV171" s="76"/>
      <c r="BW171" s="77"/>
      <c r="BX171" s="77"/>
      <c r="BY171" s="76"/>
    </row>
    <row r="172" spans="1:77" s="1" customFormat="1" ht="15.75" customHeight="1" x14ac:dyDescent="0.15">
      <c r="C172" s="76"/>
      <c r="D172" s="76"/>
      <c r="E172" s="76"/>
      <c r="F172" s="77"/>
      <c r="G172" s="77"/>
      <c r="H172" s="77"/>
      <c r="I172" s="76"/>
      <c r="J172" s="76"/>
      <c r="K172" s="76"/>
      <c r="L172" s="76"/>
      <c r="M172" s="76"/>
      <c r="N172" s="76"/>
      <c r="O172" s="9"/>
      <c r="P172" s="9"/>
      <c r="Q172" s="9"/>
      <c r="R172" s="9"/>
      <c r="S172" s="76"/>
      <c r="T172" s="76"/>
      <c r="U172" s="76"/>
      <c r="V172" s="76"/>
      <c r="W172" s="76"/>
      <c r="X172" s="76"/>
    </row>
    <row r="173" spans="1:77" s="1" customFormat="1" ht="15.75" customHeight="1" x14ac:dyDescent="0.15">
      <c r="H173" s="76"/>
      <c r="I173" s="76"/>
      <c r="J173" s="76"/>
      <c r="K173" s="77"/>
      <c r="L173" s="77"/>
      <c r="M173" s="77"/>
      <c r="N173" s="76"/>
      <c r="O173" s="76"/>
      <c r="P173" s="76"/>
      <c r="Q173" s="76"/>
      <c r="R173" s="76"/>
      <c r="S173" s="76"/>
      <c r="T173" s="9"/>
      <c r="U173" s="9"/>
      <c r="V173" s="9"/>
      <c r="W173" s="9"/>
      <c r="X173" s="76"/>
      <c r="Y173" s="76"/>
      <c r="Z173" s="76"/>
      <c r="AA173" s="76"/>
      <c r="AB173" s="76"/>
      <c r="AC173" s="76"/>
    </row>
    <row r="174" spans="1:77" s="1" customFormat="1" ht="15.75" customHeight="1" x14ac:dyDescent="0.15"/>
    <row r="175" spans="1:77" s="1" customFormat="1" ht="15.75" customHeight="1" x14ac:dyDescent="0.15"/>
    <row r="176" spans="1:77" s="1" customFormat="1" ht="15.75" customHeight="1" x14ac:dyDescent="0.15"/>
    <row r="177" spans="5:20" s="1" customFormat="1" ht="15.75" customHeight="1" x14ac:dyDescent="0.15">
      <c r="E177" s="1" t="s">
        <v>79</v>
      </c>
      <c r="F177" s="1" t="s">
        <v>90</v>
      </c>
    </row>
    <row r="178" spans="5:20" s="1" customFormat="1" ht="15.75" customHeight="1" x14ac:dyDescent="0.15"/>
    <row r="179" spans="5:20" s="1" customFormat="1" ht="15.75" customHeight="1" x14ac:dyDescent="0.15">
      <c r="F179" s="1" t="s">
        <v>385</v>
      </c>
    </row>
    <row r="180" spans="5:20" s="1" customFormat="1" ht="15.75" customHeight="1" x14ac:dyDescent="0.15">
      <c r="F180" s="1" t="s">
        <v>386</v>
      </c>
    </row>
    <row r="181" spans="5:20" s="1" customFormat="1" ht="15.75" customHeight="1" x14ac:dyDescent="0.15"/>
    <row r="182" spans="5:20" s="1" customFormat="1" ht="15.75" customHeight="1" x14ac:dyDescent="0.15">
      <c r="F182" s="162" t="s">
        <v>91</v>
      </c>
      <c r="G182" s="162"/>
      <c r="H182" s="76" t="s">
        <v>27</v>
      </c>
      <c r="I182" s="162" t="s">
        <v>92</v>
      </c>
      <c r="J182" s="162"/>
      <c r="K182" s="76" t="s">
        <v>93</v>
      </c>
      <c r="L182" s="162" t="s">
        <v>85</v>
      </c>
      <c r="M182" s="162"/>
    </row>
    <row r="183" spans="5:20" s="1" customFormat="1" ht="15.75" customHeight="1" x14ac:dyDescent="0.15"/>
    <row r="184" spans="5:20" s="1" customFormat="1" ht="15.75" customHeight="1" x14ac:dyDescent="0.15">
      <c r="G184" s="1" t="s">
        <v>3</v>
      </c>
      <c r="J184" s="162" t="s">
        <v>91</v>
      </c>
      <c r="K184" s="162"/>
      <c r="L184" s="76" t="s">
        <v>2</v>
      </c>
      <c r="M184" s="1" t="s">
        <v>94</v>
      </c>
    </row>
    <row r="185" spans="5:20" s="1" customFormat="1" ht="15.75" customHeight="1" x14ac:dyDescent="0.15">
      <c r="J185" s="162" t="s">
        <v>85</v>
      </c>
      <c r="K185" s="162"/>
      <c r="L185" s="76" t="s">
        <v>2</v>
      </c>
      <c r="M185" s="1" t="s">
        <v>95</v>
      </c>
    </row>
    <row r="186" spans="5:20" s="1" customFormat="1" ht="15.75" customHeight="1" x14ac:dyDescent="0.15">
      <c r="J186" s="162" t="s">
        <v>92</v>
      </c>
      <c r="K186" s="162"/>
      <c r="L186" s="76" t="s">
        <v>2</v>
      </c>
      <c r="M186" s="1" t="s">
        <v>96</v>
      </c>
    </row>
    <row r="187" spans="5:20" s="1" customFormat="1" ht="15.75" customHeight="1" x14ac:dyDescent="0.15">
      <c r="J187" s="76"/>
      <c r="K187" s="76"/>
      <c r="L187" s="76"/>
      <c r="M187" s="1" t="s">
        <v>168</v>
      </c>
    </row>
    <row r="188" spans="5:20" s="1" customFormat="1" ht="15.75" customHeight="1" x14ac:dyDescent="0.15">
      <c r="J188" s="76"/>
      <c r="K188" s="76"/>
      <c r="L188" s="76"/>
      <c r="M188" s="1" t="s">
        <v>97</v>
      </c>
    </row>
    <row r="189" spans="5:20" s="1" customFormat="1" ht="15.75" customHeight="1" x14ac:dyDescent="0.15">
      <c r="J189" s="76"/>
      <c r="K189" s="76"/>
      <c r="L189" s="76"/>
      <c r="M189" s="162" t="s">
        <v>92</v>
      </c>
      <c r="N189" s="162"/>
      <c r="O189" s="76" t="s">
        <v>27</v>
      </c>
      <c r="P189" s="1" t="s">
        <v>116</v>
      </c>
    </row>
    <row r="190" spans="5:20" s="1" customFormat="1" ht="15.75" customHeight="1" x14ac:dyDescent="0.15">
      <c r="J190" s="162" t="s">
        <v>98</v>
      </c>
      <c r="K190" s="162"/>
      <c r="L190" s="76" t="s">
        <v>2</v>
      </c>
      <c r="M190" s="1" t="s">
        <v>99</v>
      </c>
    </row>
    <row r="191" spans="5:20" s="1" customFormat="1" ht="15.75" customHeight="1" x14ac:dyDescent="0.15">
      <c r="J191" s="162" t="s">
        <v>101</v>
      </c>
      <c r="K191" s="162"/>
      <c r="L191" s="76" t="s">
        <v>2</v>
      </c>
      <c r="M191" s="1" t="s">
        <v>102</v>
      </c>
    </row>
    <row r="192" spans="5:20" s="1" customFormat="1" ht="15.75" customHeight="1" x14ac:dyDescent="0.15">
      <c r="J192" s="76"/>
      <c r="K192" s="76"/>
      <c r="L192" s="76"/>
      <c r="M192" s="162" t="s">
        <v>101</v>
      </c>
      <c r="N192" s="162"/>
      <c r="O192" s="162" t="s">
        <v>27</v>
      </c>
      <c r="P192" s="162" t="s">
        <v>104</v>
      </c>
      <c r="Q192" s="162"/>
      <c r="R192" s="76" t="s">
        <v>6</v>
      </c>
      <c r="S192" s="162" t="s">
        <v>103</v>
      </c>
      <c r="T192" s="162"/>
    </row>
    <row r="193" spans="4:35" s="1" customFormat="1" ht="15.75" customHeight="1" x14ac:dyDescent="0.15">
      <c r="J193" s="76"/>
      <c r="K193" s="76"/>
      <c r="L193" s="76"/>
      <c r="M193" s="162"/>
      <c r="N193" s="162"/>
      <c r="O193" s="162"/>
      <c r="P193" s="2" t="s">
        <v>65</v>
      </c>
      <c r="Q193" s="162" t="s">
        <v>105</v>
      </c>
      <c r="R193" s="162"/>
      <c r="S193" s="162"/>
      <c r="T193" s="162"/>
    </row>
    <row r="194" spans="4:35" s="1" customFormat="1" ht="15.75" customHeight="1" x14ac:dyDescent="0.15">
      <c r="J194" s="162" t="s">
        <v>106</v>
      </c>
      <c r="K194" s="162"/>
      <c r="L194" s="76" t="s">
        <v>2</v>
      </c>
      <c r="M194" s="1" t="s">
        <v>112</v>
      </c>
    </row>
    <row r="195" spans="4:35" s="1" customFormat="1" ht="15.75" customHeight="1" x14ac:dyDescent="0.15">
      <c r="J195" s="162" t="s">
        <v>107</v>
      </c>
      <c r="K195" s="162"/>
      <c r="L195" s="76" t="s">
        <v>2</v>
      </c>
      <c r="M195" s="1" t="s">
        <v>113</v>
      </c>
    </row>
    <row r="196" spans="4:35" s="1" customFormat="1" ht="15.75" customHeight="1" x14ac:dyDescent="0.15">
      <c r="J196" s="162" t="s">
        <v>65</v>
      </c>
      <c r="K196" s="162"/>
      <c r="L196" s="76" t="s">
        <v>2</v>
      </c>
      <c r="M196" s="1" t="s">
        <v>68</v>
      </c>
    </row>
    <row r="197" spans="4:35" s="1" customFormat="1" ht="15.75" customHeight="1" x14ac:dyDescent="0.15">
      <c r="J197" s="162" t="s">
        <v>110</v>
      </c>
      <c r="K197" s="162"/>
      <c r="L197" s="76" t="s">
        <v>2</v>
      </c>
      <c r="M197" s="1" t="s">
        <v>108</v>
      </c>
    </row>
    <row r="198" spans="4:35" s="1" customFormat="1" ht="15.75" customHeight="1" x14ac:dyDescent="0.15">
      <c r="J198" s="162" t="s">
        <v>111</v>
      </c>
      <c r="K198" s="162"/>
      <c r="L198" s="76" t="s">
        <v>2</v>
      </c>
      <c r="M198" s="1" t="s">
        <v>109</v>
      </c>
    </row>
    <row r="199" spans="4:35" s="1" customFormat="1" ht="15.75" customHeight="1" x14ac:dyDescent="0.15"/>
    <row r="200" spans="4:35" s="1" customFormat="1" ht="15.75" customHeight="1" x14ac:dyDescent="0.15">
      <c r="G200" s="62" t="s">
        <v>186</v>
      </c>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row>
    <row r="201" spans="4:35" s="1" customFormat="1" ht="15.75" customHeight="1" x14ac:dyDescent="0.15">
      <c r="G201" s="171" t="s">
        <v>47</v>
      </c>
      <c r="H201" s="172"/>
      <c r="I201" s="172"/>
      <c r="J201" s="172"/>
      <c r="K201" s="173"/>
      <c r="L201" s="172" t="s">
        <v>98</v>
      </c>
      <c r="M201" s="172"/>
      <c r="N201" s="172"/>
      <c r="O201" s="163" t="s">
        <v>510</v>
      </c>
      <c r="P201" s="163"/>
      <c r="Q201" s="163"/>
      <c r="R201" s="163" t="s">
        <v>511</v>
      </c>
      <c r="S201" s="163"/>
      <c r="T201" s="163"/>
      <c r="U201" s="163" t="s">
        <v>512</v>
      </c>
      <c r="V201" s="163"/>
      <c r="W201" s="163"/>
      <c r="X201" s="163" t="s">
        <v>513</v>
      </c>
      <c r="Y201" s="163"/>
      <c r="Z201" s="163"/>
      <c r="AA201" s="163" t="s">
        <v>514</v>
      </c>
      <c r="AB201" s="163"/>
      <c r="AC201" s="163"/>
      <c r="AD201" s="163" t="s">
        <v>100</v>
      </c>
      <c r="AE201" s="163"/>
      <c r="AF201" s="163"/>
      <c r="AG201" s="163" t="s">
        <v>92</v>
      </c>
      <c r="AH201" s="163"/>
      <c r="AI201" s="164"/>
    </row>
    <row r="202" spans="4:35" s="1" customFormat="1" ht="15.75" customHeight="1" x14ac:dyDescent="0.15">
      <c r="G202" s="169" t="s">
        <v>115</v>
      </c>
      <c r="H202" s="165"/>
      <c r="I202" s="165"/>
      <c r="J202" s="165"/>
      <c r="K202" s="170"/>
      <c r="L202" s="165">
        <v>0.6</v>
      </c>
      <c r="M202" s="165"/>
      <c r="N202" s="165"/>
      <c r="O202" s="165">
        <f>入力!P24</f>
        <v>1</v>
      </c>
      <c r="P202" s="165"/>
      <c r="Q202" s="165"/>
      <c r="R202" s="165">
        <f>入力!P25</f>
        <v>2</v>
      </c>
      <c r="S202" s="165"/>
      <c r="T202" s="165"/>
      <c r="U202" s="168">
        <f>入力!N24</f>
        <v>9.83</v>
      </c>
      <c r="V202" s="168"/>
      <c r="W202" s="168"/>
      <c r="X202" s="168">
        <f>入力!N25</f>
        <v>5</v>
      </c>
      <c r="Y202" s="168"/>
      <c r="Z202" s="168"/>
      <c r="AA202" s="168">
        <f>Q92</f>
        <v>1</v>
      </c>
      <c r="AB202" s="168"/>
      <c r="AC202" s="168"/>
      <c r="AD202" s="166">
        <f>(O202*U202+R202*X202)/((O202+R202)*$AA$202)</f>
        <v>6.6099999999999994</v>
      </c>
      <c r="AE202" s="166"/>
      <c r="AF202" s="166"/>
      <c r="AG202" s="166">
        <f>(1-5*(1-(0.6-0.25*$L$202)*AD202^(0.3+0.2*$L$202))*(1-O202^(-0.22)*R202^(-0.09)))^(4/3)</f>
        <v>0.99786833101375771</v>
      </c>
      <c r="AH202" s="166"/>
      <c r="AI202" s="167"/>
    </row>
    <row r="203" spans="4:35" s="1" customFormat="1" ht="15.75" customHeight="1" x14ac:dyDescent="0.15">
      <c r="G203" s="98" t="s">
        <v>114</v>
      </c>
      <c r="H203" s="99"/>
      <c r="I203" s="99"/>
      <c r="J203" s="99"/>
      <c r="K203" s="133"/>
      <c r="L203" s="99"/>
      <c r="M203" s="99"/>
      <c r="N203" s="99"/>
      <c r="O203" s="99">
        <f>入力!P27</f>
        <v>2</v>
      </c>
      <c r="P203" s="99"/>
      <c r="Q203" s="99"/>
      <c r="R203" s="99">
        <f>入力!P28</f>
        <v>1</v>
      </c>
      <c r="S203" s="99"/>
      <c r="T203" s="99"/>
      <c r="U203" s="100">
        <f>入力!N27</f>
        <v>5</v>
      </c>
      <c r="V203" s="100"/>
      <c r="W203" s="100"/>
      <c r="X203" s="100">
        <f>入力!N28</f>
        <v>9.83</v>
      </c>
      <c r="Y203" s="100"/>
      <c r="Z203" s="100"/>
      <c r="AA203" s="100"/>
      <c r="AB203" s="100"/>
      <c r="AC203" s="100"/>
      <c r="AD203" s="102">
        <f>(O203*U203+R203*X203)/((O203+R203)*$AA$202)</f>
        <v>6.6099999999999994</v>
      </c>
      <c r="AE203" s="102"/>
      <c r="AF203" s="102"/>
      <c r="AG203" s="102">
        <f>(1-5*(1-(0.6-0.25*$L$202)*AD203^(0.3+0.2*$L$202))*(1-O203^(-0.22)*R203^(-0.09)))^(4/3)</f>
        <v>0.99501657327709314</v>
      </c>
      <c r="AH203" s="102"/>
      <c r="AI203" s="174"/>
    </row>
    <row r="204" spans="4:35" s="1" customFormat="1" ht="15.75" customHeight="1" x14ac:dyDescent="0.15"/>
    <row r="205" spans="4:35" s="1" customFormat="1" ht="15.75" customHeight="1" x14ac:dyDescent="0.15"/>
    <row r="206" spans="4:35" s="1" customFormat="1" ht="15.75" customHeight="1" x14ac:dyDescent="0.15">
      <c r="D206" s="10" t="s">
        <v>117</v>
      </c>
    </row>
    <row r="207" spans="4:35" s="1" customFormat="1" ht="15.75" customHeight="1" x14ac:dyDescent="0.15"/>
    <row r="208" spans="4:35" s="1" customFormat="1" ht="15.75" customHeight="1" x14ac:dyDescent="0.15">
      <c r="D208" s="1" t="s">
        <v>118</v>
      </c>
      <c r="M208" s="10"/>
    </row>
    <row r="209" spans="6:37" s="1" customFormat="1" ht="15.75" customHeight="1" x14ac:dyDescent="0.15"/>
    <row r="210" spans="6:37" s="1" customFormat="1" ht="15.75" customHeight="1" x14ac:dyDescent="0.15">
      <c r="F210" s="1" t="s">
        <v>187</v>
      </c>
    </row>
    <row r="211" spans="6:37" s="1" customFormat="1" ht="15.75" customHeight="1" x14ac:dyDescent="0.15">
      <c r="F211" s="1" t="s">
        <v>75</v>
      </c>
    </row>
    <row r="212" spans="6:37" s="1" customFormat="1" ht="15.75" customHeight="1" x14ac:dyDescent="0.15"/>
    <row r="213" spans="6:37" s="1" customFormat="1" ht="15.75" customHeight="1" x14ac:dyDescent="0.15">
      <c r="F213" s="162" t="s">
        <v>119</v>
      </c>
      <c r="G213" s="162"/>
      <c r="H213" s="76" t="s">
        <v>27</v>
      </c>
      <c r="I213" s="162" t="s">
        <v>62</v>
      </c>
      <c r="J213" s="162"/>
      <c r="K213" s="76" t="s">
        <v>93</v>
      </c>
      <c r="L213" s="162" t="s">
        <v>120</v>
      </c>
      <c r="M213" s="162"/>
    </row>
    <row r="214" spans="6:37" s="1" customFormat="1" ht="15.75" customHeight="1" x14ac:dyDescent="0.15"/>
    <row r="215" spans="6:37" s="1" customFormat="1" ht="15.75" customHeight="1" x14ac:dyDescent="0.15">
      <c r="G215" s="1" t="s">
        <v>3</v>
      </c>
      <c r="J215" s="162" t="s">
        <v>119</v>
      </c>
      <c r="K215" s="162"/>
      <c r="L215" s="76" t="s">
        <v>2</v>
      </c>
      <c r="M215" s="1" t="s">
        <v>121</v>
      </c>
    </row>
    <row r="216" spans="6:37" s="1" customFormat="1" ht="15.75" customHeight="1" x14ac:dyDescent="0.15">
      <c r="J216" s="162" t="s">
        <v>85</v>
      </c>
      <c r="K216" s="162"/>
      <c r="L216" s="76" t="s">
        <v>2</v>
      </c>
      <c r="M216" s="1" t="s">
        <v>67</v>
      </c>
    </row>
    <row r="217" spans="6:37" s="1" customFormat="1" ht="15.75" customHeight="1" x14ac:dyDescent="0.15">
      <c r="J217" s="162" t="s">
        <v>120</v>
      </c>
      <c r="K217" s="162"/>
      <c r="L217" s="76" t="s">
        <v>2</v>
      </c>
      <c r="M217" s="1" t="s">
        <v>122</v>
      </c>
    </row>
    <row r="218" spans="6:37" s="1" customFormat="1" ht="15.75" customHeight="1" x14ac:dyDescent="0.15">
      <c r="J218" s="76"/>
      <c r="K218" s="76"/>
      <c r="L218" s="76"/>
      <c r="M218" s="162" t="s">
        <v>120</v>
      </c>
      <c r="N218" s="162"/>
      <c r="O218" s="76" t="s">
        <v>27</v>
      </c>
      <c r="P218" s="305">
        <v>0.25</v>
      </c>
      <c r="Q218" s="305"/>
      <c r="R218" s="76" t="s">
        <v>93</v>
      </c>
      <c r="S218" s="76" t="s">
        <v>123</v>
      </c>
      <c r="T218" s="76" t="s">
        <v>93</v>
      </c>
      <c r="U218" s="2" t="s">
        <v>65</v>
      </c>
      <c r="V218" s="306">
        <v>2</v>
      </c>
    </row>
    <row r="219" spans="6:37" s="1" customFormat="1" ht="15.75" customHeight="1" x14ac:dyDescent="0.15">
      <c r="J219" s="76"/>
      <c r="K219" s="76"/>
      <c r="L219" s="76"/>
      <c r="M219" s="76"/>
      <c r="N219" s="76"/>
      <c r="O219" s="76" t="s">
        <v>27</v>
      </c>
      <c r="P219" s="305">
        <f>P218</f>
        <v>0.25</v>
      </c>
      <c r="Q219" s="305"/>
      <c r="R219" s="76" t="s">
        <v>124</v>
      </c>
      <c r="S219" s="76" t="s">
        <v>123</v>
      </c>
      <c r="T219" s="76" t="s">
        <v>124</v>
      </c>
      <c r="U219" s="304">
        <f>U220</f>
        <v>1</v>
      </c>
      <c r="V219" s="304"/>
      <c r="W219" s="304"/>
      <c r="X219" s="306">
        <f>V218</f>
        <v>2</v>
      </c>
      <c r="Y219" s="76" t="s">
        <v>27</v>
      </c>
      <c r="Z219" s="162">
        <f>ROUND(P219*PI()*U219^X219,3)</f>
        <v>0.78500000000000003</v>
      </c>
      <c r="AA219" s="162"/>
      <c r="AB219" s="162"/>
      <c r="AC219" s="1" t="s">
        <v>125</v>
      </c>
    </row>
    <row r="220" spans="6:37" s="1" customFormat="1" ht="15.75" customHeight="1" x14ac:dyDescent="0.15">
      <c r="J220" s="162" t="s">
        <v>65</v>
      </c>
      <c r="K220" s="162"/>
      <c r="L220" s="76" t="s">
        <v>2</v>
      </c>
      <c r="M220" s="1" t="s">
        <v>126</v>
      </c>
      <c r="S220" s="2" t="s">
        <v>127</v>
      </c>
      <c r="T220" s="76" t="s">
        <v>27</v>
      </c>
      <c r="U220" s="304">
        <f>Q92</f>
        <v>1</v>
      </c>
      <c r="V220" s="304"/>
      <c r="W220" s="304"/>
      <c r="X220" s="1" t="s">
        <v>128</v>
      </c>
    </row>
    <row r="221" spans="6:37" s="1" customFormat="1" ht="15.75" customHeight="1" x14ac:dyDescent="0.15">
      <c r="J221" s="76"/>
      <c r="K221" s="76"/>
      <c r="L221" s="76"/>
      <c r="R221" s="2"/>
      <c r="S221" s="76"/>
      <c r="T221" s="9"/>
      <c r="U221" s="9"/>
    </row>
    <row r="222" spans="6:37" s="1" customFormat="1" ht="15.75" customHeight="1" x14ac:dyDescent="0.15">
      <c r="J222" s="64" t="s">
        <v>129</v>
      </c>
      <c r="K222" s="64"/>
      <c r="L222" s="64"/>
      <c r="M222" s="64"/>
      <c r="N222" s="64"/>
      <c r="O222" s="64"/>
      <c r="P222" s="64"/>
      <c r="Q222" s="64"/>
      <c r="R222" s="64"/>
      <c r="S222" s="64"/>
      <c r="T222" s="64"/>
      <c r="U222" s="64"/>
      <c r="V222" s="64"/>
      <c r="W222" s="64"/>
      <c r="X222" s="64"/>
      <c r="Y222" s="64"/>
      <c r="Z222" s="64"/>
      <c r="AA222" s="64"/>
      <c r="AB222" s="8"/>
      <c r="AC222" s="8"/>
      <c r="AD222" s="8"/>
      <c r="AE222" s="8"/>
      <c r="AF222" s="8"/>
      <c r="AG222" s="8"/>
      <c r="AH222" s="8"/>
      <c r="AI222" s="8"/>
      <c r="AJ222" s="8"/>
      <c r="AK222" s="8"/>
    </row>
    <row r="223" spans="6:37" s="1" customFormat="1" ht="15.75" customHeight="1" x14ac:dyDescent="0.15">
      <c r="J223" s="130" t="s">
        <v>73</v>
      </c>
      <c r="K223" s="131"/>
      <c r="L223" s="131"/>
      <c r="M223" s="131"/>
      <c r="N223" s="131"/>
      <c r="O223" s="131"/>
      <c r="P223" s="131" t="s">
        <v>130</v>
      </c>
      <c r="Q223" s="131"/>
      <c r="R223" s="131"/>
      <c r="S223" s="131"/>
      <c r="T223" s="131"/>
      <c r="U223" s="131"/>
      <c r="V223" s="131" t="s">
        <v>572</v>
      </c>
      <c r="W223" s="131"/>
      <c r="X223" s="131"/>
      <c r="Y223" s="131"/>
      <c r="Z223" s="131"/>
      <c r="AA223" s="132"/>
    </row>
    <row r="224" spans="6:37" s="1" customFormat="1" ht="15.75" customHeight="1" x14ac:dyDescent="0.15">
      <c r="J224" s="98">
        <f>W92</f>
        <v>64232</v>
      </c>
      <c r="K224" s="99"/>
      <c r="L224" s="99"/>
      <c r="M224" s="99"/>
      <c r="N224" s="99"/>
      <c r="O224" s="99"/>
      <c r="P224" s="102">
        <f>ROUND(Z219,3)</f>
        <v>0.78500000000000003</v>
      </c>
      <c r="Q224" s="102"/>
      <c r="R224" s="102"/>
      <c r="S224" s="102"/>
      <c r="T224" s="102"/>
      <c r="U224" s="102"/>
      <c r="V224" s="99">
        <f>ROUND(J224*P224,0)</f>
        <v>50422</v>
      </c>
      <c r="W224" s="99"/>
      <c r="X224" s="99"/>
      <c r="Y224" s="99"/>
      <c r="Z224" s="99"/>
      <c r="AA224" s="133"/>
    </row>
    <row r="225" spans="4:37" s="1" customFormat="1" ht="15.75" customHeight="1" x14ac:dyDescent="0.15"/>
    <row r="226" spans="4:37" s="1" customFormat="1" ht="15.75" customHeight="1" x14ac:dyDescent="0.15">
      <c r="J226" s="64" t="s">
        <v>131</v>
      </c>
      <c r="K226" s="64"/>
      <c r="L226" s="64"/>
      <c r="M226" s="64"/>
      <c r="N226" s="64"/>
      <c r="O226" s="64"/>
      <c r="P226" s="64"/>
      <c r="Q226" s="64"/>
      <c r="R226" s="64"/>
      <c r="S226" s="64"/>
      <c r="T226" s="64"/>
      <c r="U226" s="64"/>
      <c r="V226" s="64"/>
      <c r="W226" s="64"/>
      <c r="X226" s="64"/>
      <c r="Y226" s="64"/>
      <c r="Z226" s="64"/>
      <c r="AA226" s="64"/>
      <c r="AB226" s="8"/>
      <c r="AC226" s="8"/>
      <c r="AD226" s="8"/>
      <c r="AE226" s="8"/>
      <c r="AF226" s="8"/>
      <c r="AG226" s="8"/>
      <c r="AH226" s="8"/>
      <c r="AI226" s="8"/>
      <c r="AJ226" s="8"/>
      <c r="AK226" s="8"/>
    </row>
    <row r="227" spans="4:37" s="1" customFormat="1" ht="15.75" customHeight="1" x14ac:dyDescent="0.15">
      <c r="J227" s="130" t="s">
        <v>73</v>
      </c>
      <c r="K227" s="131"/>
      <c r="L227" s="131"/>
      <c r="M227" s="131"/>
      <c r="N227" s="131"/>
      <c r="O227" s="131"/>
      <c r="P227" s="131" t="s">
        <v>130</v>
      </c>
      <c r="Q227" s="131"/>
      <c r="R227" s="131"/>
      <c r="S227" s="131"/>
      <c r="T227" s="131"/>
      <c r="U227" s="131"/>
      <c r="V227" s="131" t="s">
        <v>572</v>
      </c>
      <c r="W227" s="131"/>
      <c r="X227" s="131"/>
      <c r="Y227" s="131"/>
      <c r="Z227" s="131"/>
      <c r="AA227" s="132"/>
    </row>
    <row r="228" spans="4:37" s="1" customFormat="1" ht="15.75" customHeight="1" x14ac:dyDescent="0.15">
      <c r="J228" s="98">
        <f>W96</f>
        <v>128464</v>
      </c>
      <c r="K228" s="99"/>
      <c r="L228" s="99"/>
      <c r="M228" s="99"/>
      <c r="N228" s="99"/>
      <c r="O228" s="99"/>
      <c r="P228" s="102">
        <f>ROUND(Z219,3)</f>
        <v>0.78500000000000003</v>
      </c>
      <c r="Q228" s="102"/>
      <c r="R228" s="102"/>
      <c r="S228" s="102"/>
      <c r="T228" s="102"/>
      <c r="U228" s="102"/>
      <c r="V228" s="99">
        <f>ROUND(J228*P228,0)</f>
        <v>100844</v>
      </c>
      <c r="W228" s="99"/>
      <c r="X228" s="99"/>
      <c r="Y228" s="99"/>
      <c r="Z228" s="99"/>
      <c r="AA228" s="133"/>
    </row>
    <row r="233" spans="4:37" s="1" customFormat="1" ht="15.75" customHeight="1" x14ac:dyDescent="0.15">
      <c r="D233" s="1" t="s">
        <v>523</v>
      </c>
    </row>
    <row r="234" spans="4:37" s="1" customFormat="1" ht="15.75" customHeight="1" x14ac:dyDescent="0.15"/>
    <row r="235" spans="4:37" s="1" customFormat="1" ht="15.75" customHeight="1" x14ac:dyDescent="0.15">
      <c r="F235" s="1" t="s">
        <v>392</v>
      </c>
    </row>
    <row r="236" spans="4:37" s="1" customFormat="1" ht="15.75" customHeight="1" x14ac:dyDescent="0.15">
      <c r="F236" s="1" t="s">
        <v>391</v>
      </c>
    </row>
    <row r="237" spans="4:37" s="1" customFormat="1" ht="15.75" customHeight="1" x14ac:dyDescent="0.15"/>
    <row r="238" spans="4:37" s="1" customFormat="1" ht="15.75" customHeight="1" x14ac:dyDescent="0.15">
      <c r="F238" s="162" t="s">
        <v>206</v>
      </c>
      <c r="G238" s="162"/>
      <c r="H238" s="76" t="s">
        <v>27</v>
      </c>
      <c r="I238" s="162" t="s">
        <v>91</v>
      </c>
      <c r="J238" s="162"/>
      <c r="K238" s="76" t="s">
        <v>93</v>
      </c>
      <c r="L238" s="76" t="s">
        <v>65</v>
      </c>
      <c r="M238" s="76" t="s">
        <v>93</v>
      </c>
      <c r="N238" s="307" t="s">
        <v>530</v>
      </c>
    </row>
    <row r="239" spans="4:37" s="1" customFormat="1" ht="15.75" customHeight="1" x14ac:dyDescent="0.15"/>
    <row r="240" spans="4:37" s="1" customFormat="1" ht="15.75" customHeight="1" x14ac:dyDescent="0.15">
      <c r="G240" s="1" t="s">
        <v>3</v>
      </c>
      <c r="J240" s="162" t="s">
        <v>206</v>
      </c>
      <c r="K240" s="162"/>
      <c r="L240" s="76" t="s">
        <v>2</v>
      </c>
      <c r="M240" s="1" t="s">
        <v>528</v>
      </c>
    </row>
    <row r="241" spans="1:36" s="1" customFormat="1" ht="15.75" customHeight="1" x14ac:dyDescent="0.15">
      <c r="J241" s="162" t="s">
        <v>91</v>
      </c>
      <c r="K241" s="162"/>
      <c r="L241" s="76" t="s">
        <v>2</v>
      </c>
      <c r="M241" s="1" t="s">
        <v>207</v>
      </c>
    </row>
    <row r="242" spans="1:36" s="1" customFormat="1" ht="15.75" customHeight="1" x14ac:dyDescent="0.15">
      <c r="J242" s="162" t="s">
        <v>65</v>
      </c>
      <c r="K242" s="162"/>
      <c r="L242" s="76" t="s">
        <v>2</v>
      </c>
      <c r="M242" s="1" t="s">
        <v>137</v>
      </c>
      <c r="P242" s="2" t="s">
        <v>127</v>
      </c>
      <c r="Q242" s="76" t="s">
        <v>27</v>
      </c>
      <c r="R242" s="304">
        <f>Q92</f>
        <v>1</v>
      </c>
      <c r="S242" s="304"/>
      <c r="T242" s="304"/>
      <c r="U242" s="1" t="s">
        <v>128</v>
      </c>
    </row>
    <row r="243" spans="1:36" s="1" customFormat="1" ht="15.75" customHeight="1" x14ac:dyDescent="0.15">
      <c r="J243" s="162" t="s">
        <v>530</v>
      </c>
      <c r="K243" s="162"/>
      <c r="L243" s="76" t="s">
        <v>2</v>
      </c>
      <c r="M243" s="1" t="s">
        <v>529</v>
      </c>
    </row>
    <row r="244" spans="1:36" s="1" customFormat="1" ht="15.75" customHeight="1" x14ac:dyDescent="0.15"/>
    <row r="245" spans="1:36" s="1" customFormat="1" ht="15.75" customHeight="1" x14ac:dyDescent="0.15">
      <c r="F245" s="61" t="s">
        <v>208</v>
      </c>
      <c r="G245" s="302"/>
      <c r="H245" s="302"/>
      <c r="I245" s="61"/>
      <c r="J245" s="61"/>
      <c r="K245" s="61"/>
      <c r="L245" s="61"/>
      <c r="M245" s="61"/>
      <c r="N245" s="61"/>
      <c r="O245" s="61"/>
      <c r="P245" s="61"/>
      <c r="Q245" s="61"/>
      <c r="R245" s="61"/>
      <c r="S245" s="61"/>
      <c r="T245" s="61"/>
      <c r="U245" s="61"/>
      <c r="V245" s="61"/>
      <c r="W245" s="61"/>
      <c r="X245" s="61"/>
      <c r="Y245" s="61"/>
      <c r="Z245" s="61"/>
      <c r="AA245" s="61"/>
      <c r="AB245" s="302"/>
      <c r="AC245" s="302"/>
      <c r="AF245" s="8"/>
      <c r="AG245" s="8"/>
      <c r="AH245" s="8"/>
      <c r="AI245" s="8"/>
      <c r="AJ245" s="8"/>
    </row>
    <row r="246" spans="1:36" s="1" customFormat="1" ht="15.75" customHeight="1" x14ac:dyDescent="0.15">
      <c r="F246" s="157" t="s">
        <v>78</v>
      </c>
      <c r="G246" s="158"/>
      <c r="H246" s="158"/>
      <c r="I246" s="217" t="s">
        <v>525</v>
      </c>
      <c r="J246" s="131"/>
      <c r="K246" s="131"/>
      <c r="L246" s="131"/>
      <c r="M246" s="105" t="s">
        <v>526</v>
      </c>
      <c r="N246" s="131"/>
      <c r="O246" s="131"/>
      <c r="P246" s="230"/>
      <c r="Q246" s="208" t="s">
        <v>209</v>
      </c>
      <c r="R246" s="158"/>
      <c r="S246" s="209"/>
      <c r="T246" s="251" t="s">
        <v>531</v>
      </c>
      <c r="U246" s="136"/>
      <c r="V246" s="136"/>
      <c r="W246" s="136"/>
      <c r="X246" s="157"/>
      <c r="Y246" s="221" t="s">
        <v>532</v>
      </c>
      <c r="Z246" s="136"/>
      <c r="AA246" s="136"/>
      <c r="AB246" s="136"/>
      <c r="AC246" s="136"/>
      <c r="AF246" s="8"/>
      <c r="AG246" s="8"/>
      <c r="AH246" s="8"/>
      <c r="AI246" s="8"/>
      <c r="AJ246" s="8"/>
    </row>
    <row r="247" spans="1:36" s="1" customFormat="1" ht="15.75" customHeight="1" x14ac:dyDescent="0.15">
      <c r="F247" s="215"/>
      <c r="G247" s="211"/>
      <c r="H247" s="211"/>
      <c r="I247" s="218"/>
      <c r="J247" s="94"/>
      <c r="K247" s="94"/>
      <c r="L247" s="94"/>
      <c r="M247" s="122"/>
      <c r="N247" s="94"/>
      <c r="O247" s="94"/>
      <c r="P247" s="231"/>
      <c r="Q247" s="210"/>
      <c r="R247" s="211"/>
      <c r="S247" s="212"/>
      <c r="T247" s="276"/>
      <c r="U247" s="138"/>
      <c r="V247" s="138"/>
      <c r="W247" s="138"/>
      <c r="X247" s="215"/>
      <c r="Y247" s="222"/>
      <c r="Z247" s="138"/>
      <c r="AA247" s="138"/>
      <c r="AB247" s="138"/>
      <c r="AC247" s="138"/>
      <c r="AF247" s="8"/>
      <c r="AG247" s="8"/>
      <c r="AH247" s="8"/>
      <c r="AI247" s="8"/>
      <c r="AJ247" s="8"/>
    </row>
    <row r="248" spans="1:36" s="1" customFormat="1" ht="15.75" customHeight="1" x14ac:dyDescent="0.15">
      <c r="F248" s="159"/>
      <c r="G248" s="160"/>
      <c r="H248" s="160"/>
      <c r="I248" s="219"/>
      <c r="J248" s="99"/>
      <c r="K248" s="99"/>
      <c r="L248" s="99"/>
      <c r="M248" s="99"/>
      <c r="N248" s="99"/>
      <c r="O248" s="99"/>
      <c r="P248" s="232"/>
      <c r="Q248" s="213"/>
      <c r="R248" s="160"/>
      <c r="S248" s="214"/>
      <c r="T248" s="262"/>
      <c r="U248" s="140"/>
      <c r="V248" s="140"/>
      <c r="W248" s="140"/>
      <c r="X248" s="159"/>
      <c r="Y248" s="223"/>
      <c r="Z248" s="140"/>
      <c r="AA248" s="140"/>
      <c r="AB248" s="140"/>
      <c r="AC248" s="140"/>
      <c r="AF248" s="8"/>
      <c r="AG248" s="8"/>
      <c r="AH248" s="8"/>
      <c r="AI248" s="8"/>
      <c r="AJ248" s="8"/>
    </row>
    <row r="249" spans="1:36" s="1" customFormat="1" ht="15.75" customHeight="1" x14ac:dyDescent="0.15">
      <c r="A249" s="73" t="str">
        <f>IF(F249="","×","")</f>
        <v/>
      </c>
      <c r="F249" s="117">
        <f>IF(H112="","",H112)</f>
        <v>3</v>
      </c>
      <c r="G249" s="118"/>
      <c r="H249" s="118"/>
      <c r="I249" s="308">
        <f>IF(Q155="","",Q155*AG$202)</f>
        <v>12510.275265919481</v>
      </c>
      <c r="J249" s="309"/>
      <c r="K249" s="309"/>
      <c r="L249" s="309"/>
      <c r="M249" s="309">
        <f>IF(Q155="","",Q155*AG$203)</f>
        <v>12474.522779174917</v>
      </c>
      <c r="N249" s="309"/>
      <c r="O249" s="309"/>
      <c r="P249" s="310"/>
      <c r="Q249" s="239">
        <f>R242</f>
        <v>1</v>
      </c>
      <c r="R249" s="240"/>
      <c r="S249" s="241"/>
      <c r="T249" s="308">
        <f>IF(I249="","",ROUND(I249*Q249,-1))</f>
        <v>12510</v>
      </c>
      <c r="U249" s="311"/>
      <c r="V249" s="309"/>
      <c r="W249" s="309"/>
      <c r="X249" s="309"/>
      <c r="Y249" s="309">
        <f>IF(M249="","",ROUND(M249*Q249,-1))</f>
        <v>12470</v>
      </c>
      <c r="Z249" s="309"/>
      <c r="AA249" s="309"/>
      <c r="AB249" s="309"/>
      <c r="AC249" s="312"/>
      <c r="AD249" s="8"/>
      <c r="AE249" s="8"/>
      <c r="AF249" s="8"/>
      <c r="AG249" s="8"/>
      <c r="AH249" s="8"/>
      <c r="AI249" s="8"/>
      <c r="AJ249" s="8"/>
    </row>
    <row r="250" spans="1:36" s="1" customFormat="1" ht="15.75" customHeight="1" x14ac:dyDescent="0.15">
      <c r="A250" s="73" t="str">
        <f>IF(F250="","×","")</f>
        <v/>
      </c>
      <c r="F250" s="119">
        <f>IF(H113="","",H113)</f>
        <v>4</v>
      </c>
      <c r="G250" s="120"/>
      <c r="H250" s="120"/>
      <c r="I250" s="313">
        <f t="shared" ref="I250:I264" si="13">IF(Q156="","",Q156*AG$202)</f>
        <v>25703.09247025237</v>
      </c>
      <c r="J250" s="314"/>
      <c r="K250" s="314"/>
      <c r="L250" s="314"/>
      <c r="M250" s="314">
        <f t="shared" ref="M250:M264" si="14">IF(Q156="","",Q156*AG$203)</f>
        <v>25629.636894471365</v>
      </c>
      <c r="N250" s="314"/>
      <c r="O250" s="314"/>
      <c r="P250" s="315"/>
      <c r="Q250" s="107">
        <f>Q249</f>
        <v>1</v>
      </c>
      <c r="R250" s="95"/>
      <c r="S250" s="108"/>
      <c r="T250" s="313">
        <f t="shared" ref="T250:T264" si="15">IF(I250="","",ROUND(I250*Q250,-1))</f>
        <v>25700</v>
      </c>
      <c r="U250" s="316"/>
      <c r="V250" s="314"/>
      <c r="W250" s="314"/>
      <c r="X250" s="314"/>
      <c r="Y250" s="314">
        <f t="shared" ref="Y250:Y264" si="16">IF(M250="","",ROUND(M250*Q250,-1))</f>
        <v>25630</v>
      </c>
      <c r="Z250" s="314"/>
      <c r="AA250" s="314"/>
      <c r="AB250" s="314"/>
      <c r="AC250" s="317"/>
      <c r="AD250" s="8"/>
      <c r="AE250" s="8"/>
      <c r="AF250" s="8"/>
      <c r="AG250" s="8"/>
      <c r="AH250" s="8"/>
      <c r="AI250" s="8"/>
      <c r="AJ250" s="8"/>
    </row>
    <row r="251" spans="1:36" s="1" customFormat="1" ht="15.75" customHeight="1" x14ac:dyDescent="0.15">
      <c r="A251" s="73" t="str">
        <f>IF(F251="","×","")</f>
        <v/>
      </c>
      <c r="F251" s="119">
        <f>IF(H114="","",H114)</f>
        <v>5</v>
      </c>
      <c r="G251" s="120"/>
      <c r="H251" s="120"/>
      <c r="I251" s="313">
        <f t="shared" si="13"/>
        <v>29250.514387006278</v>
      </c>
      <c r="J251" s="314"/>
      <c r="K251" s="314"/>
      <c r="L251" s="314"/>
      <c r="M251" s="314">
        <f t="shared" si="14"/>
        <v>29166.920812471431</v>
      </c>
      <c r="N251" s="314"/>
      <c r="O251" s="314"/>
      <c r="P251" s="315"/>
      <c r="Q251" s="107">
        <f t="shared" ref="Q251:Q264" si="17">Q250</f>
        <v>1</v>
      </c>
      <c r="R251" s="95"/>
      <c r="S251" s="108"/>
      <c r="T251" s="313">
        <f t="shared" si="15"/>
        <v>29250</v>
      </c>
      <c r="U251" s="316"/>
      <c r="V251" s="314"/>
      <c r="W251" s="314"/>
      <c r="X251" s="314"/>
      <c r="Y251" s="314">
        <f t="shared" si="16"/>
        <v>29170</v>
      </c>
      <c r="Z251" s="314"/>
      <c r="AA251" s="314"/>
      <c r="AB251" s="314"/>
      <c r="AC251" s="317"/>
      <c r="AD251" s="8"/>
      <c r="AE251" s="8"/>
      <c r="AF251" s="8"/>
      <c r="AG251" s="8"/>
      <c r="AH251" s="8"/>
      <c r="AI251" s="8"/>
      <c r="AJ251" s="8"/>
    </row>
    <row r="252" spans="1:36" s="1" customFormat="1" ht="15.75" customHeight="1" x14ac:dyDescent="0.15">
      <c r="A252" s="73" t="str">
        <f>IF(F252="","×","")</f>
        <v/>
      </c>
      <c r="F252" s="119">
        <f>IF(H115="","",H115)</f>
        <v>6</v>
      </c>
      <c r="G252" s="120"/>
      <c r="H252" s="120"/>
      <c r="I252" s="313">
        <f t="shared" si="13"/>
        <v>41706.904763051018</v>
      </c>
      <c r="J252" s="314"/>
      <c r="K252" s="314"/>
      <c r="L252" s="314"/>
      <c r="M252" s="314">
        <f t="shared" si="14"/>
        <v>41587.712696689385</v>
      </c>
      <c r="N252" s="314"/>
      <c r="O252" s="314"/>
      <c r="P252" s="315"/>
      <c r="Q252" s="107">
        <f t="shared" si="17"/>
        <v>1</v>
      </c>
      <c r="R252" s="95"/>
      <c r="S252" s="108"/>
      <c r="T252" s="313">
        <f t="shared" si="15"/>
        <v>41710</v>
      </c>
      <c r="U252" s="316"/>
      <c r="V252" s="314"/>
      <c r="W252" s="314"/>
      <c r="X252" s="314"/>
      <c r="Y252" s="314">
        <f t="shared" si="16"/>
        <v>41590</v>
      </c>
      <c r="Z252" s="314"/>
      <c r="AA252" s="314"/>
      <c r="AB252" s="314"/>
      <c r="AC252" s="317"/>
      <c r="AD252" s="8"/>
      <c r="AE252" s="8"/>
      <c r="AF252" s="8"/>
      <c r="AG252" s="8"/>
      <c r="AH252" s="8"/>
      <c r="AI252" s="8"/>
      <c r="AJ252" s="8"/>
    </row>
    <row r="253" spans="1:36" s="1" customFormat="1" ht="15.75" customHeight="1" x14ac:dyDescent="0.15">
      <c r="A253" s="73" t="str">
        <f>IF(F253="","×","")</f>
        <v/>
      </c>
      <c r="F253" s="119">
        <f>IF(H116="","",H116)</f>
        <v>7</v>
      </c>
      <c r="G253" s="120"/>
      <c r="H253" s="120"/>
      <c r="I253" s="313">
        <f t="shared" si="13"/>
        <v>82407.958248440162</v>
      </c>
      <c r="J253" s="314"/>
      <c r="K253" s="314"/>
      <c r="L253" s="314"/>
      <c r="M253" s="314">
        <f t="shared" si="14"/>
        <v>82172.448687515454</v>
      </c>
      <c r="N253" s="314"/>
      <c r="O253" s="314"/>
      <c r="P253" s="315"/>
      <c r="Q253" s="107">
        <f t="shared" si="17"/>
        <v>1</v>
      </c>
      <c r="R253" s="95"/>
      <c r="S253" s="108"/>
      <c r="T253" s="313">
        <f t="shared" si="15"/>
        <v>82410</v>
      </c>
      <c r="U253" s="316"/>
      <c r="V253" s="314"/>
      <c r="W253" s="314"/>
      <c r="X253" s="314"/>
      <c r="Y253" s="314">
        <f t="shared" si="16"/>
        <v>82170</v>
      </c>
      <c r="Z253" s="314"/>
      <c r="AA253" s="314"/>
      <c r="AB253" s="314"/>
      <c r="AC253" s="317"/>
      <c r="AD253" s="8"/>
      <c r="AE253" s="8"/>
      <c r="AF253" s="8"/>
      <c r="AG253" s="8"/>
      <c r="AH253" s="8"/>
      <c r="AI253" s="8"/>
      <c r="AJ253" s="8"/>
    </row>
    <row r="254" spans="1:36" s="1" customFormat="1" ht="15.75" customHeight="1" x14ac:dyDescent="0.15">
      <c r="A254" s="73" t="str">
        <f>IF(F254="","×","")</f>
        <v>×</v>
      </c>
      <c r="F254" s="119" t="str">
        <f>IF(H117="","",H117)</f>
        <v/>
      </c>
      <c r="G254" s="120"/>
      <c r="H254" s="120"/>
      <c r="I254" s="313" t="str">
        <f t="shared" si="13"/>
        <v/>
      </c>
      <c r="J254" s="314"/>
      <c r="K254" s="314"/>
      <c r="L254" s="314"/>
      <c r="M254" s="314" t="str">
        <f t="shared" si="14"/>
        <v/>
      </c>
      <c r="N254" s="314"/>
      <c r="O254" s="314"/>
      <c r="P254" s="315"/>
      <c r="Q254" s="107">
        <f t="shared" si="17"/>
        <v>1</v>
      </c>
      <c r="R254" s="95"/>
      <c r="S254" s="108"/>
      <c r="T254" s="313" t="str">
        <f t="shared" si="15"/>
        <v/>
      </c>
      <c r="U254" s="316"/>
      <c r="V254" s="314"/>
      <c r="W254" s="314"/>
      <c r="X254" s="314"/>
      <c r="Y254" s="314" t="str">
        <f t="shared" si="16"/>
        <v/>
      </c>
      <c r="Z254" s="314"/>
      <c r="AA254" s="314"/>
      <c r="AB254" s="314"/>
      <c r="AC254" s="317"/>
      <c r="AD254" s="8"/>
      <c r="AE254" s="8"/>
      <c r="AF254" s="8"/>
      <c r="AG254" s="8"/>
      <c r="AH254" s="8"/>
      <c r="AI254" s="8"/>
      <c r="AJ254" s="8"/>
    </row>
    <row r="255" spans="1:36" s="1" customFormat="1" ht="15.75" customHeight="1" x14ac:dyDescent="0.15">
      <c r="A255" s="73" t="str">
        <f>IF(F255="","×","")</f>
        <v>×</v>
      </c>
      <c r="F255" s="119" t="str">
        <f>IF(H118="","",H118)</f>
        <v/>
      </c>
      <c r="G255" s="120"/>
      <c r="H255" s="120"/>
      <c r="I255" s="313" t="str">
        <f t="shared" si="13"/>
        <v/>
      </c>
      <c r="J255" s="314"/>
      <c r="K255" s="314"/>
      <c r="L255" s="314"/>
      <c r="M255" s="314" t="str">
        <f t="shared" si="14"/>
        <v/>
      </c>
      <c r="N255" s="314"/>
      <c r="O255" s="314"/>
      <c r="P255" s="315"/>
      <c r="Q255" s="107">
        <f t="shared" si="17"/>
        <v>1</v>
      </c>
      <c r="R255" s="95"/>
      <c r="S255" s="108"/>
      <c r="T255" s="313" t="str">
        <f t="shared" si="15"/>
        <v/>
      </c>
      <c r="U255" s="316"/>
      <c r="V255" s="314"/>
      <c r="W255" s="314"/>
      <c r="X255" s="314"/>
      <c r="Y255" s="314" t="str">
        <f t="shared" si="16"/>
        <v/>
      </c>
      <c r="Z255" s="314"/>
      <c r="AA255" s="314"/>
      <c r="AB255" s="314"/>
      <c r="AC255" s="317"/>
      <c r="AD255" s="8"/>
      <c r="AE255" s="8"/>
      <c r="AF255" s="8"/>
      <c r="AG255" s="8"/>
      <c r="AH255" s="8"/>
      <c r="AI255" s="8"/>
      <c r="AJ255" s="8"/>
    </row>
    <row r="256" spans="1:36" s="1" customFormat="1" ht="15.75" customHeight="1" x14ac:dyDescent="0.15">
      <c r="A256" s="73" t="str">
        <f>IF(F256="","×","")</f>
        <v>×</v>
      </c>
      <c r="F256" s="119" t="str">
        <f>IF(H119="","",H119)</f>
        <v/>
      </c>
      <c r="G256" s="120"/>
      <c r="H256" s="120"/>
      <c r="I256" s="313" t="str">
        <f t="shared" si="13"/>
        <v/>
      </c>
      <c r="J256" s="314"/>
      <c r="K256" s="314"/>
      <c r="L256" s="314"/>
      <c r="M256" s="314" t="str">
        <f t="shared" si="14"/>
        <v/>
      </c>
      <c r="N256" s="314"/>
      <c r="O256" s="314"/>
      <c r="P256" s="315"/>
      <c r="Q256" s="107">
        <f t="shared" si="17"/>
        <v>1</v>
      </c>
      <c r="R256" s="95"/>
      <c r="S256" s="108"/>
      <c r="T256" s="313" t="str">
        <f t="shared" si="15"/>
        <v/>
      </c>
      <c r="U256" s="316"/>
      <c r="V256" s="314"/>
      <c r="W256" s="314"/>
      <c r="X256" s="314"/>
      <c r="Y256" s="314" t="str">
        <f t="shared" si="16"/>
        <v/>
      </c>
      <c r="Z256" s="314"/>
      <c r="AA256" s="314"/>
      <c r="AB256" s="314"/>
      <c r="AC256" s="317"/>
      <c r="AD256" s="8"/>
      <c r="AE256" s="8"/>
      <c r="AF256" s="8"/>
      <c r="AG256" s="8"/>
      <c r="AH256" s="8"/>
      <c r="AI256" s="8"/>
      <c r="AJ256" s="8"/>
    </row>
    <row r="257" spans="1:85" s="1" customFormat="1" ht="15.75" customHeight="1" x14ac:dyDescent="0.15">
      <c r="A257" s="73" t="str">
        <f>IF(F257="","×","")</f>
        <v>×</v>
      </c>
      <c r="F257" s="119" t="str">
        <f>IF(H120="","",H120)</f>
        <v/>
      </c>
      <c r="G257" s="120"/>
      <c r="H257" s="120"/>
      <c r="I257" s="313" t="str">
        <f t="shared" si="13"/>
        <v/>
      </c>
      <c r="J257" s="314"/>
      <c r="K257" s="314"/>
      <c r="L257" s="314"/>
      <c r="M257" s="314" t="str">
        <f t="shared" si="14"/>
        <v/>
      </c>
      <c r="N257" s="314"/>
      <c r="O257" s="314"/>
      <c r="P257" s="315"/>
      <c r="Q257" s="107">
        <f t="shared" si="17"/>
        <v>1</v>
      </c>
      <c r="R257" s="95"/>
      <c r="S257" s="108"/>
      <c r="T257" s="313" t="str">
        <f t="shared" si="15"/>
        <v/>
      </c>
      <c r="U257" s="316"/>
      <c r="V257" s="314"/>
      <c r="W257" s="314"/>
      <c r="X257" s="314"/>
      <c r="Y257" s="314" t="str">
        <f t="shared" si="16"/>
        <v/>
      </c>
      <c r="Z257" s="314"/>
      <c r="AA257" s="314"/>
      <c r="AB257" s="314"/>
      <c r="AC257" s="317"/>
      <c r="AD257" s="8"/>
      <c r="AE257" s="8"/>
      <c r="AF257" s="8"/>
      <c r="AG257" s="8"/>
      <c r="AH257" s="8"/>
      <c r="AI257" s="8"/>
      <c r="AJ257" s="8"/>
    </row>
    <row r="258" spans="1:85" s="1" customFormat="1" ht="15.75" customHeight="1" x14ac:dyDescent="0.15">
      <c r="A258" s="73" t="str">
        <f>IF(F258="","×","")</f>
        <v>×</v>
      </c>
      <c r="F258" s="119" t="str">
        <f>IF(H121="","",H121)</f>
        <v/>
      </c>
      <c r="G258" s="120"/>
      <c r="H258" s="120"/>
      <c r="I258" s="313" t="str">
        <f t="shared" si="13"/>
        <v/>
      </c>
      <c r="J258" s="314"/>
      <c r="K258" s="314"/>
      <c r="L258" s="314"/>
      <c r="M258" s="314" t="str">
        <f t="shared" si="14"/>
        <v/>
      </c>
      <c r="N258" s="314"/>
      <c r="O258" s="314"/>
      <c r="P258" s="315"/>
      <c r="Q258" s="107">
        <f t="shared" si="17"/>
        <v>1</v>
      </c>
      <c r="R258" s="95"/>
      <c r="S258" s="108"/>
      <c r="T258" s="313" t="str">
        <f t="shared" si="15"/>
        <v/>
      </c>
      <c r="U258" s="316"/>
      <c r="V258" s="314"/>
      <c r="W258" s="314"/>
      <c r="X258" s="314"/>
      <c r="Y258" s="314" t="str">
        <f t="shared" si="16"/>
        <v/>
      </c>
      <c r="Z258" s="314"/>
      <c r="AA258" s="314"/>
      <c r="AB258" s="314"/>
      <c r="AC258" s="317"/>
      <c r="AD258" s="8"/>
      <c r="AE258" s="8"/>
      <c r="AF258" s="8"/>
      <c r="AG258" s="8"/>
      <c r="AH258" s="8"/>
      <c r="AI258" s="8"/>
      <c r="AJ258" s="8"/>
    </row>
    <row r="259" spans="1:85" s="1" customFormat="1" ht="15.75" customHeight="1" x14ac:dyDescent="0.15">
      <c r="A259" s="73" t="str">
        <f>IF(F259="","×","")</f>
        <v>×</v>
      </c>
      <c r="F259" s="119" t="str">
        <f>IF(H122="","",H122)</f>
        <v/>
      </c>
      <c r="G259" s="120"/>
      <c r="H259" s="120"/>
      <c r="I259" s="313" t="str">
        <f t="shared" si="13"/>
        <v/>
      </c>
      <c r="J259" s="314"/>
      <c r="K259" s="314"/>
      <c r="L259" s="314"/>
      <c r="M259" s="314" t="str">
        <f t="shared" si="14"/>
        <v/>
      </c>
      <c r="N259" s="314"/>
      <c r="O259" s="314"/>
      <c r="P259" s="315"/>
      <c r="Q259" s="107">
        <f t="shared" si="17"/>
        <v>1</v>
      </c>
      <c r="R259" s="95"/>
      <c r="S259" s="108"/>
      <c r="T259" s="313" t="str">
        <f t="shared" si="15"/>
        <v/>
      </c>
      <c r="U259" s="316"/>
      <c r="V259" s="314"/>
      <c r="W259" s="314"/>
      <c r="X259" s="314"/>
      <c r="Y259" s="314" t="str">
        <f t="shared" si="16"/>
        <v/>
      </c>
      <c r="Z259" s="314"/>
      <c r="AA259" s="314"/>
      <c r="AB259" s="314"/>
      <c r="AC259" s="317"/>
      <c r="AD259" s="8"/>
      <c r="AE259" s="8"/>
      <c r="AF259" s="8"/>
      <c r="AG259" s="8"/>
      <c r="AH259" s="8"/>
      <c r="AI259" s="8"/>
      <c r="AJ259" s="8"/>
    </row>
    <row r="260" spans="1:85" s="1" customFormat="1" ht="15.75" customHeight="1" x14ac:dyDescent="0.15">
      <c r="A260" s="73" t="str">
        <f>IF(F260="","×","")</f>
        <v>×</v>
      </c>
      <c r="F260" s="119" t="str">
        <f>IF(H123="","",H123)</f>
        <v/>
      </c>
      <c r="G260" s="120"/>
      <c r="H260" s="120"/>
      <c r="I260" s="313" t="str">
        <f t="shared" si="13"/>
        <v/>
      </c>
      <c r="J260" s="314"/>
      <c r="K260" s="314"/>
      <c r="L260" s="314"/>
      <c r="M260" s="314" t="str">
        <f t="shared" si="14"/>
        <v/>
      </c>
      <c r="N260" s="314"/>
      <c r="O260" s="314"/>
      <c r="P260" s="315"/>
      <c r="Q260" s="107">
        <f t="shared" si="17"/>
        <v>1</v>
      </c>
      <c r="R260" s="95"/>
      <c r="S260" s="108"/>
      <c r="T260" s="313" t="str">
        <f t="shared" si="15"/>
        <v/>
      </c>
      <c r="U260" s="316"/>
      <c r="V260" s="314"/>
      <c r="W260" s="314"/>
      <c r="X260" s="314"/>
      <c r="Y260" s="314" t="str">
        <f t="shared" si="16"/>
        <v/>
      </c>
      <c r="Z260" s="314"/>
      <c r="AA260" s="314"/>
      <c r="AB260" s="314"/>
      <c r="AC260" s="317"/>
      <c r="AD260" s="8"/>
      <c r="AE260" s="8"/>
      <c r="AF260" s="8"/>
      <c r="AG260" s="8"/>
      <c r="AH260" s="8"/>
      <c r="AI260" s="8"/>
      <c r="AJ260" s="8"/>
    </row>
    <row r="261" spans="1:85" s="1" customFormat="1" ht="15.75" customHeight="1" x14ac:dyDescent="0.15">
      <c r="A261" s="73" t="str">
        <f>IF(F261="","×","")</f>
        <v>×</v>
      </c>
      <c r="F261" s="119" t="str">
        <f>IF(H124="","",H124)</f>
        <v/>
      </c>
      <c r="G261" s="120"/>
      <c r="H261" s="120"/>
      <c r="I261" s="313" t="str">
        <f t="shared" si="13"/>
        <v/>
      </c>
      <c r="J261" s="314"/>
      <c r="K261" s="314"/>
      <c r="L261" s="314"/>
      <c r="M261" s="314" t="str">
        <f t="shared" si="14"/>
        <v/>
      </c>
      <c r="N261" s="314"/>
      <c r="O261" s="314"/>
      <c r="P261" s="315"/>
      <c r="Q261" s="107">
        <f t="shared" si="17"/>
        <v>1</v>
      </c>
      <c r="R261" s="95"/>
      <c r="S261" s="108"/>
      <c r="T261" s="313" t="str">
        <f t="shared" si="15"/>
        <v/>
      </c>
      <c r="U261" s="316"/>
      <c r="V261" s="314"/>
      <c r="W261" s="314"/>
      <c r="X261" s="314"/>
      <c r="Y261" s="314" t="str">
        <f t="shared" si="16"/>
        <v/>
      </c>
      <c r="Z261" s="314"/>
      <c r="AA261" s="314"/>
      <c r="AB261" s="314"/>
      <c r="AC261" s="317"/>
      <c r="AD261" s="8"/>
      <c r="AE261" s="8"/>
      <c r="AF261" s="8"/>
      <c r="AG261" s="8"/>
      <c r="AH261" s="8"/>
      <c r="AI261" s="8"/>
      <c r="AJ261" s="8"/>
    </row>
    <row r="262" spans="1:85" s="1" customFormat="1" ht="15.75" customHeight="1" x14ac:dyDescent="0.15">
      <c r="A262" s="73" t="str">
        <f>IF(F262="","×","")</f>
        <v>×</v>
      </c>
      <c r="F262" s="119" t="str">
        <f>IF(H125="","",H125)</f>
        <v/>
      </c>
      <c r="G262" s="120"/>
      <c r="H262" s="120"/>
      <c r="I262" s="313" t="str">
        <f t="shared" si="13"/>
        <v/>
      </c>
      <c r="J262" s="314"/>
      <c r="K262" s="314"/>
      <c r="L262" s="314"/>
      <c r="M262" s="314" t="str">
        <f t="shared" si="14"/>
        <v/>
      </c>
      <c r="N262" s="314"/>
      <c r="O262" s="314"/>
      <c r="P262" s="315"/>
      <c r="Q262" s="107">
        <f t="shared" si="17"/>
        <v>1</v>
      </c>
      <c r="R262" s="95"/>
      <c r="S262" s="108"/>
      <c r="T262" s="313" t="str">
        <f t="shared" si="15"/>
        <v/>
      </c>
      <c r="U262" s="316"/>
      <c r="V262" s="314"/>
      <c r="W262" s="314"/>
      <c r="X262" s="314"/>
      <c r="Y262" s="314" t="str">
        <f t="shared" si="16"/>
        <v/>
      </c>
      <c r="Z262" s="314"/>
      <c r="AA262" s="314"/>
      <c r="AB262" s="314"/>
      <c r="AC262" s="317"/>
      <c r="AD262" s="8"/>
      <c r="AE262" s="8"/>
      <c r="AF262" s="8"/>
      <c r="AG262" s="8"/>
      <c r="AH262" s="8"/>
      <c r="AI262" s="8"/>
      <c r="AJ262" s="8"/>
    </row>
    <row r="263" spans="1:85" s="1" customFormat="1" ht="15.75" customHeight="1" x14ac:dyDescent="0.15">
      <c r="A263" s="73" t="str">
        <f>IF(F263="","×","")</f>
        <v>×</v>
      </c>
      <c r="F263" s="119" t="str">
        <f>IF(H126="","",H126)</f>
        <v/>
      </c>
      <c r="G263" s="120"/>
      <c r="H263" s="120"/>
      <c r="I263" s="313" t="str">
        <f t="shared" si="13"/>
        <v/>
      </c>
      <c r="J263" s="314"/>
      <c r="K263" s="314"/>
      <c r="L263" s="314"/>
      <c r="M263" s="314" t="str">
        <f t="shared" si="14"/>
        <v/>
      </c>
      <c r="N263" s="314"/>
      <c r="O263" s="314"/>
      <c r="P263" s="315"/>
      <c r="Q263" s="107">
        <f t="shared" si="17"/>
        <v>1</v>
      </c>
      <c r="R263" s="95"/>
      <c r="S263" s="108"/>
      <c r="T263" s="313" t="str">
        <f t="shared" si="15"/>
        <v/>
      </c>
      <c r="U263" s="316"/>
      <c r="V263" s="314"/>
      <c r="W263" s="314"/>
      <c r="X263" s="314"/>
      <c r="Y263" s="314" t="str">
        <f t="shared" si="16"/>
        <v/>
      </c>
      <c r="Z263" s="314"/>
      <c r="AA263" s="314"/>
      <c r="AB263" s="314"/>
      <c r="AC263" s="317"/>
      <c r="AD263" s="8"/>
      <c r="AE263" s="8"/>
      <c r="AF263" s="8"/>
      <c r="AG263" s="8"/>
      <c r="AH263" s="8"/>
      <c r="AI263" s="8"/>
      <c r="AJ263" s="8"/>
    </row>
    <row r="264" spans="1:85" s="1" customFormat="1" ht="15.75" customHeight="1" x14ac:dyDescent="0.15">
      <c r="A264" s="73" t="str">
        <f>IF(F264="","×","")</f>
        <v>×</v>
      </c>
      <c r="F264" s="233" t="str">
        <f>IF(H127="","",H127)</f>
        <v/>
      </c>
      <c r="G264" s="234"/>
      <c r="H264" s="234"/>
      <c r="I264" s="318" t="str">
        <f t="shared" si="13"/>
        <v/>
      </c>
      <c r="J264" s="319"/>
      <c r="K264" s="319"/>
      <c r="L264" s="319"/>
      <c r="M264" s="319" t="str">
        <f t="shared" si="14"/>
        <v/>
      </c>
      <c r="N264" s="319"/>
      <c r="O264" s="319"/>
      <c r="P264" s="320"/>
      <c r="Q264" s="109">
        <f t="shared" si="17"/>
        <v>1</v>
      </c>
      <c r="R264" s="100"/>
      <c r="S264" s="110"/>
      <c r="T264" s="318" t="str">
        <f t="shared" si="15"/>
        <v/>
      </c>
      <c r="U264" s="321"/>
      <c r="V264" s="319"/>
      <c r="W264" s="319"/>
      <c r="X264" s="319"/>
      <c r="Y264" s="319" t="str">
        <f t="shared" si="16"/>
        <v/>
      </c>
      <c r="Z264" s="319"/>
      <c r="AA264" s="319"/>
      <c r="AB264" s="319"/>
      <c r="AC264" s="322"/>
      <c r="AD264" s="8"/>
      <c r="AE264" s="8"/>
      <c r="AF264" s="8"/>
      <c r="AG264" s="8"/>
      <c r="AH264" s="8"/>
      <c r="AI264" s="8"/>
      <c r="AJ264" s="8"/>
    </row>
    <row r="265" spans="1:85" s="1" customFormat="1" ht="15.75" customHeight="1" x14ac:dyDescent="0.15">
      <c r="AM265" s="8"/>
      <c r="BG265" s="8"/>
      <c r="BH265" s="8"/>
      <c r="BI265" s="8"/>
    </row>
    <row r="266" spans="1:85" s="1" customFormat="1" ht="15.75" customHeight="1" x14ac:dyDescent="0.15">
      <c r="AM266" s="8"/>
      <c r="BG266" s="8"/>
      <c r="BH266" s="8"/>
      <c r="BI266" s="8"/>
      <c r="BJ266" s="8"/>
      <c r="BK266" s="8"/>
      <c r="BL266" s="8"/>
      <c r="BM266" s="8"/>
      <c r="BN266" s="8"/>
      <c r="BO266" s="8"/>
      <c r="BP266" s="8"/>
      <c r="BQ266" s="8"/>
      <c r="BR266" s="8"/>
      <c r="BS266" s="8"/>
      <c r="BT266" s="8"/>
      <c r="BU266" s="8"/>
      <c r="BV266" s="8"/>
      <c r="BW266" s="8"/>
      <c r="BX266" s="8"/>
      <c r="BY266" s="8"/>
      <c r="BZ266" s="8"/>
      <c r="CA266" s="8"/>
      <c r="CB266" s="8"/>
      <c r="CC266" s="8"/>
      <c r="CD266" s="8"/>
      <c r="CE266" s="8"/>
    </row>
    <row r="267" spans="1:85" s="1" customFormat="1" ht="15.75" customHeight="1" x14ac:dyDescent="0.15">
      <c r="AM267" s="8"/>
      <c r="BG267" s="8"/>
      <c r="BH267" s="8"/>
      <c r="BI267" s="8"/>
      <c r="BJ267" s="8"/>
      <c r="BK267" s="8"/>
      <c r="BL267" s="8"/>
      <c r="BM267" s="8"/>
      <c r="BN267" s="8"/>
      <c r="BO267" s="8"/>
      <c r="BP267" s="8"/>
      <c r="BQ267" s="8"/>
      <c r="BR267" s="8"/>
      <c r="BS267" s="8"/>
      <c r="BT267" s="8"/>
      <c r="BU267" s="8"/>
      <c r="BV267" s="8"/>
      <c r="BW267" s="8"/>
      <c r="BX267" s="8"/>
      <c r="BY267" s="8"/>
      <c r="BZ267" s="8"/>
      <c r="CA267" s="8"/>
      <c r="CB267" s="8"/>
      <c r="CC267" s="8"/>
      <c r="CD267" s="8"/>
      <c r="CE267" s="8"/>
    </row>
    <row r="268" spans="1:85" s="1" customFormat="1" ht="15.75" customHeight="1" x14ac:dyDescent="0.15">
      <c r="F268" s="61" t="s">
        <v>524</v>
      </c>
      <c r="G268" s="302"/>
      <c r="H268" s="302"/>
      <c r="I268" s="61"/>
      <c r="J268" s="61"/>
      <c r="K268" s="61"/>
      <c r="L268" s="61"/>
      <c r="M268" s="61"/>
      <c r="N268" s="61"/>
      <c r="O268" s="61"/>
      <c r="P268" s="61"/>
      <c r="Q268" s="61"/>
      <c r="R268" s="61"/>
      <c r="S268" s="61"/>
      <c r="T268" s="61"/>
      <c r="U268" s="61"/>
      <c r="V268" s="61"/>
      <c r="W268" s="61"/>
      <c r="X268" s="61"/>
      <c r="Y268" s="61"/>
      <c r="Z268" s="61"/>
      <c r="AA268" s="61"/>
      <c r="AB268" s="61"/>
      <c r="AC268" s="61"/>
      <c r="AD268" s="8"/>
      <c r="AE268" s="8"/>
      <c r="AF268" s="8"/>
      <c r="AG268" s="8"/>
      <c r="AH268" s="8"/>
      <c r="AI268" s="8"/>
      <c r="AJ268" s="8"/>
      <c r="AK268" s="8"/>
      <c r="BF268" s="8"/>
      <c r="BG268" s="8"/>
      <c r="BH268" s="8"/>
      <c r="BI268" s="8"/>
      <c r="BJ268" s="8"/>
      <c r="BK268" s="8"/>
      <c r="BL268" s="8"/>
      <c r="BM268" s="8"/>
      <c r="BN268" s="8"/>
      <c r="BO268" s="8"/>
      <c r="BP268" s="8"/>
      <c r="BQ268" s="8"/>
      <c r="BR268" s="8"/>
      <c r="BS268" s="8"/>
      <c r="BT268" s="8"/>
      <c r="BU268" s="8"/>
      <c r="BV268" s="8"/>
      <c r="BW268" s="8"/>
      <c r="BX268" s="8"/>
      <c r="BY268" s="8"/>
      <c r="BZ268" s="8"/>
      <c r="CA268" s="8"/>
      <c r="CB268" s="8"/>
    </row>
    <row r="269" spans="1:85" s="1" customFormat="1" ht="15.75" customHeight="1" x14ac:dyDescent="0.15">
      <c r="F269" s="126" t="s">
        <v>78</v>
      </c>
      <c r="G269" s="105"/>
      <c r="H269" s="105"/>
      <c r="I269" s="217" t="s">
        <v>525</v>
      </c>
      <c r="J269" s="131"/>
      <c r="K269" s="131"/>
      <c r="L269" s="131"/>
      <c r="M269" s="105" t="s">
        <v>526</v>
      </c>
      <c r="N269" s="131"/>
      <c r="O269" s="131"/>
      <c r="P269" s="230"/>
      <c r="Q269" s="217" t="s">
        <v>209</v>
      </c>
      <c r="R269" s="105"/>
      <c r="S269" s="224"/>
      <c r="T269" s="251" t="s">
        <v>531</v>
      </c>
      <c r="U269" s="136"/>
      <c r="V269" s="136"/>
      <c r="W269" s="136"/>
      <c r="X269" s="157"/>
      <c r="Y269" s="221" t="s">
        <v>532</v>
      </c>
      <c r="Z269" s="136"/>
      <c r="AA269" s="136"/>
      <c r="AB269" s="136"/>
      <c r="AC269" s="136"/>
      <c r="AH269" s="8"/>
      <c r="AI269" s="8"/>
      <c r="AJ269" s="8"/>
      <c r="AK269" s="8"/>
      <c r="BF269" s="8"/>
      <c r="BG269" s="8"/>
      <c r="BH269" s="8"/>
      <c r="BI269" s="8"/>
      <c r="BJ269" s="8"/>
      <c r="BK269" s="8"/>
      <c r="BL269" s="8"/>
      <c r="BM269" s="8"/>
      <c r="BN269" s="8"/>
      <c r="BO269" s="8"/>
      <c r="BP269" s="8"/>
      <c r="BQ269" s="8"/>
      <c r="BR269" s="8"/>
      <c r="BS269" s="8"/>
      <c r="BT269" s="8"/>
      <c r="BU269" s="8"/>
      <c r="BV269" s="8"/>
      <c r="BW269" s="8"/>
      <c r="BX269" s="8"/>
      <c r="BY269" s="8"/>
      <c r="BZ269" s="8"/>
      <c r="CA269" s="8"/>
      <c r="CB269" s="8"/>
      <c r="CC269" s="8"/>
      <c r="CD269" s="8"/>
      <c r="CE269" s="8"/>
      <c r="CF269" s="8"/>
      <c r="CG269" s="8"/>
    </row>
    <row r="270" spans="1:85" s="1" customFormat="1" ht="15.75" customHeight="1" x14ac:dyDescent="0.15">
      <c r="F270" s="127"/>
      <c r="G270" s="122"/>
      <c r="H270" s="122"/>
      <c r="I270" s="218"/>
      <c r="J270" s="94"/>
      <c r="K270" s="94"/>
      <c r="L270" s="94"/>
      <c r="M270" s="122"/>
      <c r="N270" s="94"/>
      <c r="O270" s="94"/>
      <c r="P270" s="231"/>
      <c r="Q270" s="218"/>
      <c r="R270" s="122"/>
      <c r="S270" s="225"/>
      <c r="T270" s="276"/>
      <c r="U270" s="138"/>
      <c r="V270" s="138"/>
      <c r="W270" s="138"/>
      <c r="X270" s="215"/>
      <c r="Y270" s="222"/>
      <c r="Z270" s="138"/>
      <c r="AA270" s="138"/>
      <c r="AB270" s="138"/>
      <c r="AC270" s="138"/>
      <c r="AH270" s="8"/>
      <c r="AI270" s="8"/>
      <c r="AJ270" s="8"/>
      <c r="AK270" s="8"/>
      <c r="BF270" s="8"/>
      <c r="BG270" s="8"/>
      <c r="BH270" s="8"/>
      <c r="BI270" s="8"/>
      <c r="BJ270" s="8"/>
      <c r="BK270" s="8"/>
      <c r="BL270" s="8"/>
      <c r="BM270" s="8"/>
      <c r="BN270" s="8"/>
      <c r="BO270" s="8"/>
      <c r="BP270" s="8"/>
      <c r="BQ270" s="8"/>
      <c r="BR270" s="8"/>
      <c r="BS270" s="8"/>
      <c r="BT270" s="8"/>
      <c r="BU270" s="8"/>
      <c r="BV270" s="8"/>
      <c r="BW270" s="8"/>
      <c r="BX270" s="8"/>
      <c r="BY270" s="8"/>
      <c r="BZ270" s="8"/>
      <c r="CA270" s="8"/>
      <c r="CB270" s="8"/>
      <c r="CC270" s="8"/>
      <c r="CD270" s="8"/>
      <c r="CE270" s="8"/>
      <c r="CF270" s="8"/>
      <c r="CG270" s="8"/>
    </row>
    <row r="271" spans="1:85" s="1" customFormat="1" ht="15.75" customHeight="1" x14ac:dyDescent="0.15">
      <c r="F271" s="128"/>
      <c r="G271" s="106"/>
      <c r="H271" s="106"/>
      <c r="I271" s="219"/>
      <c r="J271" s="99"/>
      <c r="K271" s="99"/>
      <c r="L271" s="99"/>
      <c r="M271" s="99"/>
      <c r="N271" s="99"/>
      <c r="O271" s="99"/>
      <c r="P271" s="232"/>
      <c r="Q271" s="226"/>
      <c r="R271" s="106"/>
      <c r="S271" s="227"/>
      <c r="T271" s="262"/>
      <c r="U271" s="140"/>
      <c r="V271" s="140"/>
      <c r="W271" s="140"/>
      <c r="X271" s="159"/>
      <c r="Y271" s="223"/>
      <c r="Z271" s="140"/>
      <c r="AA271" s="140"/>
      <c r="AB271" s="140"/>
      <c r="AC271" s="140"/>
      <c r="AH271" s="8"/>
      <c r="AI271" s="8"/>
      <c r="AJ271" s="8"/>
      <c r="AK271" s="8"/>
      <c r="BF271" s="8"/>
      <c r="BG271" s="8"/>
      <c r="BH271" s="8"/>
      <c r="BI271" s="8"/>
      <c r="BJ271" s="8"/>
      <c r="BK271" s="8"/>
      <c r="BL271" s="8"/>
      <c r="BM271" s="8"/>
      <c r="BN271" s="8"/>
      <c r="BO271" s="8"/>
      <c r="BP271" s="8"/>
      <c r="BQ271" s="8"/>
      <c r="BR271" s="8"/>
      <c r="BS271" s="8"/>
      <c r="BT271" s="8"/>
      <c r="BU271" s="8"/>
      <c r="BV271" s="8"/>
      <c r="BW271" s="8"/>
      <c r="BX271" s="8"/>
      <c r="BY271" s="8"/>
      <c r="BZ271" s="8"/>
      <c r="CA271" s="8"/>
      <c r="CB271" s="8"/>
      <c r="CC271" s="8"/>
      <c r="CD271" s="8"/>
      <c r="CE271" s="8"/>
      <c r="CF271" s="8"/>
      <c r="CG271" s="8"/>
    </row>
    <row r="272" spans="1:85" s="1" customFormat="1" ht="15.75" customHeight="1" x14ac:dyDescent="0.15">
      <c r="A272" s="73" t="str">
        <f>IF(F272="","×","")</f>
        <v/>
      </c>
      <c r="F272" s="117">
        <f>F249</f>
        <v>3</v>
      </c>
      <c r="G272" s="118"/>
      <c r="H272" s="118"/>
      <c r="I272" s="308">
        <f>IF(X155="","",X155*AG$202)</f>
        <v>25020.550531838962</v>
      </c>
      <c r="J272" s="309"/>
      <c r="K272" s="309"/>
      <c r="L272" s="309"/>
      <c r="M272" s="309">
        <f>IF(X155="","",X155*AG$203)</f>
        <v>24949.045558349833</v>
      </c>
      <c r="N272" s="309"/>
      <c r="O272" s="309"/>
      <c r="P272" s="310"/>
      <c r="Q272" s="239">
        <f>R242</f>
        <v>1</v>
      </c>
      <c r="R272" s="240"/>
      <c r="S272" s="241"/>
      <c r="T272" s="308">
        <f>IF(I272="","",ROUND(I272*Q272,-1))</f>
        <v>25020</v>
      </c>
      <c r="U272" s="311"/>
      <c r="V272" s="309"/>
      <c r="W272" s="309"/>
      <c r="X272" s="309"/>
      <c r="Y272" s="309">
        <f>IF(M272="","",ROUND(M272*Q272,-1))</f>
        <v>24950</v>
      </c>
      <c r="Z272" s="309"/>
      <c r="AA272" s="309"/>
      <c r="AB272" s="309"/>
      <c r="AC272" s="312"/>
      <c r="AH272" s="8"/>
      <c r="AI272" s="8"/>
      <c r="AJ272" s="8"/>
      <c r="AK272" s="8"/>
      <c r="CD272" s="8"/>
      <c r="CE272" s="8"/>
      <c r="CF272" s="8"/>
      <c r="CG272" s="8"/>
    </row>
    <row r="273" spans="1:85" s="1" customFormat="1" ht="15.75" customHeight="1" x14ac:dyDescent="0.15">
      <c r="A273" s="73" t="str">
        <f>IF(F273="","×","")</f>
        <v/>
      </c>
      <c r="F273" s="119">
        <f>F250</f>
        <v>4</v>
      </c>
      <c r="G273" s="120"/>
      <c r="H273" s="120"/>
      <c r="I273" s="313">
        <f>IF(X156="","",X156*AG$202)</f>
        <v>51406.18494050474</v>
      </c>
      <c r="J273" s="314"/>
      <c r="K273" s="314"/>
      <c r="L273" s="314"/>
      <c r="M273" s="314">
        <f>IF(X156="","",X156*AG$203)</f>
        <v>51259.27378894273</v>
      </c>
      <c r="N273" s="314"/>
      <c r="O273" s="314"/>
      <c r="P273" s="315"/>
      <c r="Q273" s="107">
        <f>Q272</f>
        <v>1</v>
      </c>
      <c r="R273" s="95"/>
      <c r="S273" s="108"/>
      <c r="T273" s="313">
        <f t="shared" ref="T273:T287" si="18">IF(I273="","",ROUND(I273*Q273,-1))</f>
        <v>51410</v>
      </c>
      <c r="U273" s="316"/>
      <c r="V273" s="314"/>
      <c r="W273" s="314"/>
      <c r="X273" s="314"/>
      <c r="Y273" s="314">
        <f t="shared" ref="Y273:Y287" si="19">IF(M273="","",ROUND(M273*Q273,-1))</f>
        <v>51260</v>
      </c>
      <c r="Z273" s="314"/>
      <c r="AA273" s="314"/>
      <c r="AB273" s="314"/>
      <c r="AC273" s="317"/>
      <c r="AH273" s="8"/>
      <c r="AI273" s="8"/>
      <c r="AJ273" s="8"/>
      <c r="AK273" s="8"/>
      <c r="CD273" s="8"/>
      <c r="CE273" s="8"/>
      <c r="CF273" s="8"/>
      <c r="CG273" s="8"/>
    </row>
    <row r="274" spans="1:85" s="1" customFormat="1" ht="15.75" customHeight="1" x14ac:dyDescent="0.15">
      <c r="A274" s="73" t="str">
        <f>IF(F274="","×","")</f>
        <v/>
      </c>
      <c r="F274" s="119">
        <f>F251</f>
        <v>5</v>
      </c>
      <c r="G274" s="120"/>
      <c r="H274" s="120"/>
      <c r="I274" s="313">
        <f>IF(X157="","",X157*AG$202)</f>
        <v>58501.028774012557</v>
      </c>
      <c r="J274" s="314"/>
      <c r="K274" s="314"/>
      <c r="L274" s="314"/>
      <c r="M274" s="314">
        <f>IF(X157="","",X157*AG$203)</f>
        <v>58333.841624942863</v>
      </c>
      <c r="N274" s="314"/>
      <c r="O274" s="314"/>
      <c r="P274" s="315"/>
      <c r="Q274" s="107">
        <f t="shared" ref="Q274:Q287" si="20">Q273</f>
        <v>1</v>
      </c>
      <c r="R274" s="95"/>
      <c r="S274" s="108"/>
      <c r="T274" s="313">
        <f t="shared" si="18"/>
        <v>58500</v>
      </c>
      <c r="U274" s="316"/>
      <c r="V274" s="314"/>
      <c r="W274" s="314"/>
      <c r="X274" s="314"/>
      <c r="Y274" s="314">
        <f t="shared" si="19"/>
        <v>58330</v>
      </c>
      <c r="Z274" s="314"/>
      <c r="AA274" s="314"/>
      <c r="AB274" s="314"/>
      <c r="AC274" s="317"/>
      <c r="AG274" s="8"/>
      <c r="AH274" s="8"/>
      <c r="AI274" s="8"/>
      <c r="AJ274" s="8"/>
      <c r="CC274" s="8"/>
      <c r="CD274" s="8"/>
      <c r="CE274" s="8"/>
      <c r="CF274" s="8"/>
    </row>
    <row r="275" spans="1:85" s="1" customFormat="1" ht="15.75" customHeight="1" x14ac:dyDescent="0.15">
      <c r="A275" s="73" t="str">
        <f>IF(F275="","×","")</f>
        <v/>
      </c>
      <c r="F275" s="119">
        <f>F252</f>
        <v>6</v>
      </c>
      <c r="G275" s="120"/>
      <c r="H275" s="120"/>
      <c r="I275" s="313">
        <f>IF(X158="","",X158*AG$202)</f>
        <v>83413.809526102035</v>
      </c>
      <c r="J275" s="314"/>
      <c r="K275" s="314"/>
      <c r="L275" s="314"/>
      <c r="M275" s="314">
        <f>IF(X158="","",X158*AG$203)</f>
        <v>83175.42539337877</v>
      </c>
      <c r="N275" s="314"/>
      <c r="O275" s="314"/>
      <c r="P275" s="315"/>
      <c r="Q275" s="107">
        <f t="shared" si="20"/>
        <v>1</v>
      </c>
      <c r="R275" s="95"/>
      <c r="S275" s="108"/>
      <c r="T275" s="313">
        <f t="shared" si="18"/>
        <v>83410</v>
      </c>
      <c r="U275" s="316"/>
      <c r="V275" s="314"/>
      <c r="W275" s="314"/>
      <c r="X275" s="314"/>
      <c r="Y275" s="314">
        <f t="shared" si="19"/>
        <v>83180</v>
      </c>
      <c r="Z275" s="314"/>
      <c r="AA275" s="314"/>
      <c r="AB275" s="314"/>
      <c r="AC275" s="317"/>
      <c r="AG275" s="8"/>
      <c r="AH275" s="8"/>
      <c r="AI275" s="8"/>
      <c r="AJ275" s="8"/>
      <c r="CC275" s="8"/>
      <c r="CD275" s="8"/>
      <c r="CE275" s="8"/>
      <c r="CF275" s="8"/>
    </row>
    <row r="276" spans="1:85" s="1" customFormat="1" ht="15.75" customHeight="1" x14ac:dyDescent="0.15">
      <c r="A276" s="73" t="str">
        <f>IF(F276="","×","")</f>
        <v/>
      </c>
      <c r="F276" s="119">
        <f>F253</f>
        <v>7</v>
      </c>
      <c r="G276" s="120"/>
      <c r="H276" s="120"/>
      <c r="I276" s="313">
        <f>IF(X159="","",X159*AG$202)</f>
        <v>164815.91649688032</v>
      </c>
      <c r="J276" s="314"/>
      <c r="K276" s="314"/>
      <c r="L276" s="314"/>
      <c r="M276" s="314">
        <f>IF(X159="","",X159*AG$203)</f>
        <v>164344.89737503091</v>
      </c>
      <c r="N276" s="314"/>
      <c r="O276" s="314"/>
      <c r="P276" s="315"/>
      <c r="Q276" s="107">
        <f t="shared" si="20"/>
        <v>1</v>
      </c>
      <c r="R276" s="95"/>
      <c r="S276" s="108"/>
      <c r="T276" s="313">
        <f t="shared" si="18"/>
        <v>164820</v>
      </c>
      <c r="U276" s="316"/>
      <c r="V276" s="314"/>
      <c r="W276" s="314"/>
      <c r="X276" s="314"/>
      <c r="Y276" s="314">
        <f t="shared" si="19"/>
        <v>164340</v>
      </c>
      <c r="Z276" s="314"/>
      <c r="AA276" s="314"/>
      <c r="AB276" s="314"/>
      <c r="AC276" s="317"/>
      <c r="AG276" s="8"/>
      <c r="AH276" s="8"/>
      <c r="AI276" s="8"/>
      <c r="AJ276" s="8"/>
      <c r="CC276" s="8"/>
      <c r="CD276" s="8"/>
      <c r="CE276" s="8"/>
      <c r="CF276" s="8"/>
    </row>
    <row r="277" spans="1:85" s="1" customFormat="1" ht="15.75" customHeight="1" x14ac:dyDescent="0.15">
      <c r="A277" s="73" t="str">
        <f>IF(F277="","×","")</f>
        <v>×</v>
      </c>
      <c r="F277" s="119" t="str">
        <f>F254</f>
        <v/>
      </c>
      <c r="G277" s="120"/>
      <c r="H277" s="120"/>
      <c r="I277" s="313" t="str">
        <f>IF(X160="","",X160*AG$202)</f>
        <v/>
      </c>
      <c r="J277" s="314"/>
      <c r="K277" s="314"/>
      <c r="L277" s="314"/>
      <c r="M277" s="314" t="str">
        <f>IF(X160="","",X160*AG$203)</f>
        <v/>
      </c>
      <c r="N277" s="314"/>
      <c r="O277" s="314"/>
      <c r="P277" s="315"/>
      <c r="Q277" s="107">
        <f t="shared" si="20"/>
        <v>1</v>
      </c>
      <c r="R277" s="95"/>
      <c r="S277" s="108"/>
      <c r="T277" s="313" t="str">
        <f t="shared" si="18"/>
        <v/>
      </c>
      <c r="U277" s="316"/>
      <c r="V277" s="314"/>
      <c r="W277" s="314"/>
      <c r="X277" s="314"/>
      <c r="Y277" s="314" t="str">
        <f t="shared" si="19"/>
        <v/>
      </c>
      <c r="Z277" s="314"/>
      <c r="AA277" s="314"/>
      <c r="AB277" s="314"/>
      <c r="AC277" s="317"/>
      <c r="AG277" s="8"/>
      <c r="AH277" s="8"/>
      <c r="AI277" s="8"/>
      <c r="AJ277" s="8"/>
      <c r="CC277" s="8"/>
      <c r="CD277" s="8"/>
      <c r="CE277" s="8"/>
      <c r="CF277" s="8"/>
    </row>
    <row r="278" spans="1:85" s="1" customFormat="1" ht="15.75" customHeight="1" x14ac:dyDescent="0.15">
      <c r="A278" s="73" t="str">
        <f>IF(F278="","×","")</f>
        <v>×</v>
      </c>
      <c r="F278" s="119" t="str">
        <f>F255</f>
        <v/>
      </c>
      <c r="G278" s="120"/>
      <c r="H278" s="120"/>
      <c r="I278" s="313" t="str">
        <f>IF(X161="","",X161*AG$202)</f>
        <v/>
      </c>
      <c r="J278" s="314"/>
      <c r="K278" s="314"/>
      <c r="L278" s="314"/>
      <c r="M278" s="314" t="str">
        <f>IF(X161="","",X161*AG$203)</f>
        <v/>
      </c>
      <c r="N278" s="314"/>
      <c r="O278" s="314"/>
      <c r="P278" s="315"/>
      <c r="Q278" s="107">
        <f t="shared" si="20"/>
        <v>1</v>
      </c>
      <c r="R278" s="95"/>
      <c r="S278" s="108"/>
      <c r="T278" s="313" t="str">
        <f t="shared" si="18"/>
        <v/>
      </c>
      <c r="U278" s="316"/>
      <c r="V278" s="314"/>
      <c r="W278" s="314"/>
      <c r="X278" s="314"/>
      <c r="Y278" s="314" t="str">
        <f t="shared" si="19"/>
        <v/>
      </c>
      <c r="Z278" s="314"/>
      <c r="AA278" s="314"/>
      <c r="AB278" s="314"/>
      <c r="AC278" s="317"/>
      <c r="AG278" s="8"/>
      <c r="AH278" s="8"/>
      <c r="AI278" s="8"/>
      <c r="AJ278" s="8"/>
      <c r="CC278" s="8"/>
      <c r="CD278" s="8"/>
      <c r="CE278" s="8"/>
      <c r="CF278" s="8"/>
    </row>
    <row r="279" spans="1:85" s="1" customFormat="1" ht="15.75" customHeight="1" x14ac:dyDescent="0.15">
      <c r="A279" s="73" t="str">
        <f>IF(F279="","×","")</f>
        <v>×</v>
      </c>
      <c r="F279" s="119" t="str">
        <f>F256</f>
        <v/>
      </c>
      <c r="G279" s="120"/>
      <c r="H279" s="120"/>
      <c r="I279" s="313" t="str">
        <f>IF(X162="","",X162*AG$202)</f>
        <v/>
      </c>
      <c r="J279" s="314"/>
      <c r="K279" s="314"/>
      <c r="L279" s="314"/>
      <c r="M279" s="314" t="str">
        <f>IF(X162="","",X162*AG$203)</f>
        <v/>
      </c>
      <c r="N279" s="314"/>
      <c r="O279" s="314"/>
      <c r="P279" s="315"/>
      <c r="Q279" s="107">
        <f t="shared" si="20"/>
        <v>1</v>
      </c>
      <c r="R279" s="95"/>
      <c r="S279" s="108"/>
      <c r="T279" s="313" t="str">
        <f t="shared" si="18"/>
        <v/>
      </c>
      <c r="U279" s="316"/>
      <c r="V279" s="314"/>
      <c r="W279" s="314"/>
      <c r="X279" s="314"/>
      <c r="Y279" s="314" t="str">
        <f t="shared" si="19"/>
        <v/>
      </c>
      <c r="Z279" s="314"/>
      <c r="AA279" s="314"/>
      <c r="AB279" s="314"/>
      <c r="AC279" s="317"/>
      <c r="AG279" s="8"/>
      <c r="AH279" s="8"/>
      <c r="AI279" s="8"/>
      <c r="AJ279" s="8"/>
      <c r="CC279" s="8"/>
      <c r="CD279" s="8"/>
      <c r="CE279" s="8"/>
      <c r="CF279" s="8"/>
    </row>
    <row r="280" spans="1:85" s="1" customFormat="1" ht="15.75" customHeight="1" x14ac:dyDescent="0.15">
      <c r="A280" s="73" t="str">
        <f>IF(F280="","×","")</f>
        <v>×</v>
      </c>
      <c r="F280" s="119" t="str">
        <f>F257</f>
        <v/>
      </c>
      <c r="G280" s="120"/>
      <c r="H280" s="120"/>
      <c r="I280" s="313" t="str">
        <f>IF(X163="","",X163*AG$202)</f>
        <v/>
      </c>
      <c r="J280" s="314"/>
      <c r="K280" s="314"/>
      <c r="L280" s="314"/>
      <c r="M280" s="314" t="str">
        <f>IF(X163="","",X163*AG$203)</f>
        <v/>
      </c>
      <c r="N280" s="314"/>
      <c r="O280" s="314"/>
      <c r="P280" s="315"/>
      <c r="Q280" s="107">
        <f t="shared" si="20"/>
        <v>1</v>
      </c>
      <c r="R280" s="95"/>
      <c r="S280" s="108"/>
      <c r="T280" s="313" t="str">
        <f t="shared" si="18"/>
        <v/>
      </c>
      <c r="U280" s="316"/>
      <c r="V280" s="314"/>
      <c r="W280" s="314"/>
      <c r="X280" s="314"/>
      <c r="Y280" s="314" t="str">
        <f t="shared" si="19"/>
        <v/>
      </c>
      <c r="Z280" s="314"/>
      <c r="AA280" s="314"/>
      <c r="AB280" s="314"/>
      <c r="AC280" s="317"/>
      <c r="AG280" s="8"/>
      <c r="AH280" s="8"/>
      <c r="AI280" s="8"/>
      <c r="AJ280" s="8"/>
      <c r="CC280" s="8"/>
      <c r="CD280" s="8"/>
      <c r="CE280" s="8"/>
      <c r="CF280" s="8"/>
    </row>
    <row r="281" spans="1:85" s="1" customFormat="1" ht="15.75" customHeight="1" x14ac:dyDescent="0.15">
      <c r="A281" s="73" t="str">
        <f>IF(F281="","×","")</f>
        <v>×</v>
      </c>
      <c r="F281" s="119" t="str">
        <f>F258</f>
        <v/>
      </c>
      <c r="G281" s="120"/>
      <c r="H281" s="120"/>
      <c r="I281" s="313" t="str">
        <f>IF(X164="","",X164*AG$202)</f>
        <v/>
      </c>
      <c r="J281" s="314"/>
      <c r="K281" s="314"/>
      <c r="L281" s="314"/>
      <c r="M281" s="314" t="str">
        <f>IF(X164="","",X164*AG$203)</f>
        <v/>
      </c>
      <c r="N281" s="314"/>
      <c r="O281" s="314"/>
      <c r="P281" s="315"/>
      <c r="Q281" s="107">
        <f t="shared" si="20"/>
        <v>1</v>
      </c>
      <c r="R281" s="95"/>
      <c r="S281" s="108"/>
      <c r="T281" s="313" t="str">
        <f t="shared" si="18"/>
        <v/>
      </c>
      <c r="U281" s="316"/>
      <c r="V281" s="314"/>
      <c r="W281" s="314"/>
      <c r="X281" s="314"/>
      <c r="Y281" s="314" t="str">
        <f t="shared" si="19"/>
        <v/>
      </c>
      <c r="Z281" s="314"/>
      <c r="AA281" s="314"/>
      <c r="AB281" s="314"/>
      <c r="AC281" s="317"/>
      <c r="AG281" s="8"/>
      <c r="AH281" s="8"/>
      <c r="AI281" s="8"/>
      <c r="AJ281" s="8"/>
      <c r="CC281" s="8"/>
      <c r="CD281" s="8"/>
      <c r="CE281" s="8"/>
      <c r="CF281" s="8"/>
    </row>
    <row r="282" spans="1:85" s="1" customFormat="1" ht="15.75" customHeight="1" x14ac:dyDescent="0.15">
      <c r="A282" s="73" t="str">
        <f>IF(F282="","×","")</f>
        <v>×</v>
      </c>
      <c r="F282" s="119" t="str">
        <f>F259</f>
        <v/>
      </c>
      <c r="G282" s="120"/>
      <c r="H282" s="120"/>
      <c r="I282" s="313" t="str">
        <f>IF(X165="","",X165*AG$202)</f>
        <v/>
      </c>
      <c r="J282" s="314"/>
      <c r="K282" s="314"/>
      <c r="L282" s="314"/>
      <c r="M282" s="314" t="str">
        <f>IF(X165="","",X165*AG$203)</f>
        <v/>
      </c>
      <c r="N282" s="314"/>
      <c r="O282" s="314"/>
      <c r="P282" s="315"/>
      <c r="Q282" s="107">
        <f t="shared" si="20"/>
        <v>1</v>
      </c>
      <c r="R282" s="95"/>
      <c r="S282" s="108"/>
      <c r="T282" s="313" t="str">
        <f t="shared" si="18"/>
        <v/>
      </c>
      <c r="U282" s="316"/>
      <c r="V282" s="314"/>
      <c r="W282" s="314"/>
      <c r="X282" s="314"/>
      <c r="Y282" s="314" t="str">
        <f t="shared" si="19"/>
        <v/>
      </c>
      <c r="Z282" s="314"/>
      <c r="AA282" s="314"/>
      <c r="AB282" s="314"/>
      <c r="AC282" s="317"/>
      <c r="AG282" s="8"/>
      <c r="AH282" s="8"/>
      <c r="AI282" s="8"/>
      <c r="AJ282" s="8"/>
      <c r="CC282" s="8"/>
      <c r="CD282" s="8"/>
      <c r="CE282" s="8"/>
      <c r="CF282" s="8"/>
    </row>
    <row r="283" spans="1:85" s="1" customFormat="1" ht="15.75" customHeight="1" x14ac:dyDescent="0.15">
      <c r="A283" s="73" t="str">
        <f>IF(F283="","×","")</f>
        <v>×</v>
      </c>
      <c r="F283" s="119" t="str">
        <f>F260</f>
        <v/>
      </c>
      <c r="G283" s="120"/>
      <c r="H283" s="120"/>
      <c r="I283" s="313" t="str">
        <f>IF(X166="","",X166*AG$202)</f>
        <v/>
      </c>
      <c r="J283" s="314"/>
      <c r="K283" s="314"/>
      <c r="L283" s="314"/>
      <c r="M283" s="314" t="str">
        <f>IF(X166="","",X166*AG$203)</f>
        <v/>
      </c>
      <c r="N283" s="314"/>
      <c r="O283" s="314"/>
      <c r="P283" s="315"/>
      <c r="Q283" s="107">
        <f t="shared" si="20"/>
        <v>1</v>
      </c>
      <c r="R283" s="95"/>
      <c r="S283" s="108"/>
      <c r="T283" s="313" t="str">
        <f t="shared" si="18"/>
        <v/>
      </c>
      <c r="U283" s="316"/>
      <c r="V283" s="314"/>
      <c r="W283" s="314"/>
      <c r="X283" s="314"/>
      <c r="Y283" s="314" t="str">
        <f t="shared" si="19"/>
        <v/>
      </c>
      <c r="Z283" s="314"/>
      <c r="AA283" s="314"/>
      <c r="AB283" s="314"/>
      <c r="AC283" s="317"/>
      <c r="AG283" s="8"/>
      <c r="AH283" s="8"/>
      <c r="AI283" s="8"/>
      <c r="AJ283" s="8"/>
      <c r="CC283" s="8"/>
      <c r="CD283" s="8"/>
      <c r="CE283" s="8"/>
      <c r="CF283" s="8"/>
    </row>
    <row r="284" spans="1:85" s="1" customFormat="1" ht="15.75" customHeight="1" x14ac:dyDescent="0.15">
      <c r="A284" s="73" t="str">
        <f>IF(F284="","×","")</f>
        <v>×</v>
      </c>
      <c r="F284" s="119" t="str">
        <f>F261</f>
        <v/>
      </c>
      <c r="G284" s="120"/>
      <c r="H284" s="120"/>
      <c r="I284" s="313" t="str">
        <f>IF(X167="","",X167*AG$202)</f>
        <v/>
      </c>
      <c r="J284" s="314"/>
      <c r="K284" s="314"/>
      <c r="L284" s="314"/>
      <c r="M284" s="314" t="str">
        <f>IF(X167="","",X167*AG$203)</f>
        <v/>
      </c>
      <c r="N284" s="314"/>
      <c r="O284" s="314"/>
      <c r="P284" s="315"/>
      <c r="Q284" s="107">
        <f t="shared" si="20"/>
        <v>1</v>
      </c>
      <c r="R284" s="95"/>
      <c r="S284" s="108"/>
      <c r="T284" s="313" t="str">
        <f t="shared" si="18"/>
        <v/>
      </c>
      <c r="U284" s="316"/>
      <c r="V284" s="314"/>
      <c r="W284" s="314"/>
      <c r="X284" s="314"/>
      <c r="Y284" s="314" t="str">
        <f t="shared" si="19"/>
        <v/>
      </c>
      <c r="Z284" s="314"/>
      <c r="AA284" s="314"/>
      <c r="AB284" s="314"/>
      <c r="AC284" s="317"/>
      <c r="AG284" s="8"/>
      <c r="AH284" s="8"/>
      <c r="AI284" s="8"/>
      <c r="AJ284" s="8"/>
      <c r="CC284" s="8"/>
      <c r="CD284" s="8"/>
      <c r="CE284" s="8"/>
      <c r="CF284" s="8"/>
    </row>
    <row r="285" spans="1:85" s="1" customFormat="1" ht="15.75" customHeight="1" x14ac:dyDescent="0.15">
      <c r="A285" s="73" t="str">
        <f>IF(F285="","×","")</f>
        <v>×</v>
      </c>
      <c r="F285" s="119" t="str">
        <f>F262</f>
        <v/>
      </c>
      <c r="G285" s="120"/>
      <c r="H285" s="120"/>
      <c r="I285" s="313" t="str">
        <f>IF(X168="","",X168*AG$202)</f>
        <v/>
      </c>
      <c r="J285" s="314"/>
      <c r="K285" s="314"/>
      <c r="L285" s="314"/>
      <c r="M285" s="314" t="str">
        <f>IF(X168="","",X168*AG$203)</f>
        <v/>
      </c>
      <c r="N285" s="314"/>
      <c r="O285" s="314"/>
      <c r="P285" s="315"/>
      <c r="Q285" s="107">
        <f t="shared" si="20"/>
        <v>1</v>
      </c>
      <c r="R285" s="95"/>
      <c r="S285" s="108"/>
      <c r="T285" s="313" t="str">
        <f t="shared" si="18"/>
        <v/>
      </c>
      <c r="U285" s="316"/>
      <c r="V285" s="314"/>
      <c r="W285" s="314"/>
      <c r="X285" s="314"/>
      <c r="Y285" s="314" t="str">
        <f t="shared" si="19"/>
        <v/>
      </c>
      <c r="Z285" s="314"/>
      <c r="AA285" s="314"/>
      <c r="AB285" s="314"/>
      <c r="AC285" s="317"/>
      <c r="AG285" s="8"/>
      <c r="AH285" s="8"/>
      <c r="AI285" s="8"/>
      <c r="AJ285" s="8"/>
      <c r="CC285" s="8"/>
      <c r="CD285" s="8"/>
      <c r="CE285" s="8"/>
      <c r="CF285" s="8"/>
    </row>
    <row r="286" spans="1:85" s="1" customFormat="1" ht="15.75" customHeight="1" x14ac:dyDescent="0.15">
      <c r="A286" s="73" t="str">
        <f>IF(F286="","×","")</f>
        <v>×</v>
      </c>
      <c r="F286" s="119" t="str">
        <f>F263</f>
        <v/>
      </c>
      <c r="G286" s="120"/>
      <c r="H286" s="120"/>
      <c r="I286" s="313" t="str">
        <f>IF(X169="","",X169*AG$202)</f>
        <v/>
      </c>
      <c r="J286" s="314"/>
      <c r="K286" s="314"/>
      <c r="L286" s="314"/>
      <c r="M286" s="314" t="str">
        <f>IF(X169="","",X169*AG$203)</f>
        <v/>
      </c>
      <c r="N286" s="314"/>
      <c r="O286" s="314"/>
      <c r="P286" s="315"/>
      <c r="Q286" s="107">
        <f t="shared" si="20"/>
        <v>1</v>
      </c>
      <c r="R286" s="95"/>
      <c r="S286" s="108"/>
      <c r="T286" s="313" t="str">
        <f t="shared" si="18"/>
        <v/>
      </c>
      <c r="U286" s="316"/>
      <c r="V286" s="314"/>
      <c r="W286" s="314"/>
      <c r="X286" s="314"/>
      <c r="Y286" s="314" t="str">
        <f t="shared" si="19"/>
        <v/>
      </c>
      <c r="Z286" s="314"/>
      <c r="AA286" s="314"/>
      <c r="AB286" s="314"/>
      <c r="AC286" s="317"/>
      <c r="AG286" s="8"/>
      <c r="AH286" s="8"/>
      <c r="AI286" s="8"/>
      <c r="AJ286" s="8"/>
      <c r="CC286" s="8"/>
      <c r="CD286" s="8"/>
      <c r="CE286" s="8"/>
      <c r="CF286" s="8"/>
    </row>
    <row r="287" spans="1:85" s="1" customFormat="1" ht="15.75" customHeight="1" x14ac:dyDescent="0.15">
      <c r="A287" s="73" t="str">
        <f>IF(F287="","×","")</f>
        <v>×</v>
      </c>
      <c r="F287" s="233" t="str">
        <f>F264</f>
        <v/>
      </c>
      <c r="G287" s="234"/>
      <c r="H287" s="234"/>
      <c r="I287" s="318" t="str">
        <f>IF(X170="","",X170*AG$202)</f>
        <v/>
      </c>
      <c r="J287" s="319"/>
      <c r="K287" s="319"/>
      <c r="L287" s="319"/>
      <c r="M287" s="319" t="str">
        <f>IF(X170="","",X170*AG$203)</f>
        <v/>
      </c>
      <c r="N287" s="319"/>
      <c r="O287" s="319"/>
      <c r="P287" s="320"/>
      <c r="Q287" s="109">
        <f t="shared" si="20"/>
        <v>1</v>
      </c>
      <c r="R287" s="100"/>
      <c r="S287" s="110"/>
      <c r="T287" s="318" t="str">
        <f t="shared" si="18"/>
        <v/>
      </c>
      <c r="U287" s="321"/>
      <c r="V287" s="319"/>
      <c r="W287" s="319"/>
      <c r="X287" s="319"/>
      <c r="Y287" s="319" t="str">
        <f t="shared" si="19"/>
        <v/>
      </c>
      <c r="Z287" s="319"/>
      <c r="AA287" s="319"/>
      <c r="AB287" s="319"/>
      <c r="AC287" s="322"/>
      <c r="AG287" s="8"/>
      <c r="AH287" s="8"/>
      <c r="AI287" s="8"/>
      <c r="AJ287" s="8"/>
      <c r="CC287" s="8"/>
      <c r="CD287" s="8"/>
      <c r="CE287" s="8"/>
      <c r="CF287" s="8"/>
    </row>
    <row r="288" spans="1:85" s="1" customFormat="1" ht="15.75" customHeight="1" thickBot="1" x14ac:dyDescent="0.2">
      <c r="E288" s="76"/>
      <c r="F288" s="76"/>
      <c r="G288" s="76"/>
      <c r="H288" s="9"/>
      <c r="I288" s="323"/>
      <c r="J288" s="323"/>
      <c r="K288" s="323"/>
      <c r="L288" s="323"/>
      <c r="M288" s="323"/>
      <c r="N288" s="323"/>
      <c r="O288" s="323"/>
      <c r="P288" s="9"/>
      <c r="Q288" s="9"/>
      <c r="R288" s="9"/>
      <c r="S288" s="323"/>
      <c r="T288" s="323"/>
      <c r="U288" s="323"/>
      <c r="V288" s="323"/>
      <c r="W288" s="323"/>
      <c r="X288" s="323"/>
      <c r="Y288" s="323"/>
      <c r="Z288" s="323"/>
      <c r="AA288" s="323"/>
      <c r="AB288" s="323"/>
      <c r="AG288" s="8"/>
      <c r="AH288" s="8"/>
      <c r="AI288" s="8"/>
      <c r="AJ288" s="8"/>
      <c r="CC288" s="8"/>
      <c r="CD288" s="8"/>
      <c r="CE288" s="8"/>
      <c r="CF288" s="8"/>
    </row>
    <row r="289" spans="1:30" s="1" customFormat="1" ht="15.75" customHeight="1" thickTop="1" thickBot="1" x14ac:dyDescent="0.2">
      <c r="A289" s="324" t="s">
        <v>533</v>
      </c>
      <c r="F289" s="76"/>
      <c r="G289" s="76"/>
      <c r="H289" s="76"/>
      <c r="I289" s="9"/>
      <c r="J289" s="323"/>
      <c r="K289" s="323"/>
      <c r="L289" s="323"/>
      <c r="M289" s="323"/>
      <c r="N289" s="323"/>
      <c r="O289" s="323"/>
      <c r="P289" s="323"/>
      <c r="Q289" s="9"/>
      <c r="R289" s="9"/>
      <c r="S289" s="9"/>
      <c r="T289" s="9"/>
      <c r="U289" s="323"/>
      <c r="V289" s="323"/>
      <c r="W289" s="323"/>
      <c r="X289" s="323"/>
      <c r="Y289" s="323"/>
      <c r="Z289" s="323"/>
      <c r="AA289" s="323"/>
      <c r="AB289" s="323"/>
      <c r="AC289" s="323"/>
      <c r="AD289" s="323"/>
    </row>
    <row r="290" spans="1:30" s="1" customFormat="1" ht="15.75" customHeight="1" thickTop="1" x14ac:dyDescent="0.15">
      <c r="A290" s="73" t="str">
        <f>IF(A$289="","","×")</f>
        <v>×</v>
      </c>
      <c r="B290" s="76"/>
      <c r="F290" s="61" t="s">
        <v>539</v>
      </c>
      <c r="G290" s="61"/>
      <c r="H290" s="302"/>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spans="1:30" s="1" customFormat="1" ht="15.75" customHeight="1" x14ac:dyDescent="0.15">
      <c r="A291" s="73" t="str">
        <f>IF(A$289="","","×")</f>
        <v>×</v>
      </c>
      <c r="F291" s="126" t="s">
        <v>78</v>
      </c>
      <c r="G291" s="126"/>
      <c r="H291" s="105"/>
      <c r="I291" s="105" t="s">
        <v>535</v>
      </c>
      <c r="J291" s="105"/>
      <c r="K291" s="105"/>
      <c r="L291" s="105"/>
      <c r="M291" s="105" t="s">
        <v>534</v>
      </c>
      <c r="N291" s="105"/>
      <c r="O291" s="105"/>
      <c r="P291" s="129"/>
      <c r="Q291" s="273" t="s">
        <v>536</v>
      </c>
      <c r="R291" s="131"/>
      <c r="S291" s="131"/>
      <c r="T291" s="131"/>
      <c r="U291" s="131"/>
      <c r="V291" s="131"/>
      <c r="W291" s="131"/>
      <c r="X291" s="131"/>
      <c r="Y291" s="131"/>
      <c r="Z291" s="131"/>
      <c r="AA291" s="131"/>
      <c r="AB291" s="131"/>
      <c r="AC291" s="131"/>
      <c r="AD291" s="132"/>
    </row>
    <row r="292" spans="1:30" s="1" customFormat="1" ht="15.75" customHeight="1" x14ac:dyDescent="0.15">
      <c r="A292" s="73" t="str">
        <f>IF(A$289="","","×")</f>
        <v>×</v>
      </c>
      <c r="F292" s="127"/>
      <c r="G292" s="127"/>
      <c r="H292" s="122"/>
      <c r="I292" s="122"/>
      <c r="J292" s="122"/>
      <c r="K292" s="122"/>
      <c r="L292" s="122"/>
      <c r="M292" s="122"/>
      <c r="N292" s="122"/>
      <c r="O292" s="122"/>
      <c r="P292" s="123"/>
      <c r="Q292" s="218" t="s">
        <v>537</v>
      </c>
      <c r="R292" s="122"/>
      <c r="S292" s="122"/>
      <c r="T292" s="122"/>
      <c r="U292" s="122" t="s">
        <v>531</v>
      </c>
      <c r="V292" s="122"/>
      <c r="W292" s="122"/>
      <c r="X292" s="122"/>
      <c r="Y292" s="122"/>
      <c r="Z292" s="122" t="s">
        <v>532</v>
      </c>
      <c r="AA292" s="122"/>
      <c r="AB292" s="122"/>
      <c r="AC292" s="122"/>
      <c r="AD292" s="123"/>
    </row>
    <row r="293" spans="1:30" s="1" customFormat="1" ht="15.75" customHeight="1" x14ac:dyDescent="0.15">
      <c r="A293" s="73" t="str">
        <f>IF(A$289="","","×")</f>
        <v>×</v>
      </c>
      <c r="F293" s="128"/>
      <c r="G293" s="128"/>
      <c r="H293" s="106"/>
      <c r="I293" s="106"/>
      <c r="J293" s="106"/>
      <c r="K293" s="106"/>
      <c r="L293" s="106"/>
      <c r="M293" s="106"/>
      <c r="N293" s="106"/>
      <c r="O293" s="106"/>
      <c r="P293" s="124"/>
      <c r="Q293" s="226"/>
      <c r="R293" s="106"/>
      <c r="S293" s="106"/>
      <c r="T293" s="106"/>
      <c r="U293" s="106"/>
      <c r="V293" s="106"/>
      <c r="W293" s="106"/>
      <c r="X293" s="106"/>
      <c r="Y293" s="106"/>
      <c r="Z293" s="106"/>
      <c r="AA293" s="106"/>
      <c r="AB293" s="106"/>
      <c r="AC293" s="106"/>
      <c r="AD293" s="124"/>
    </row>
    <row r="294" spans="1:30" s="1" customFormat="1" ht="15.75" customHeight="1" x14ac:dyDescent="0.15">
      <c r="A294" s="73" t="str">
        <f>IF(A$289="",IF(F294="","×",""),"×")</f>
        <v>×</v>
      </c>
      <c r="B294" s="76"/>
      <c r="F294" s="111">
        <f>F272</f>
        <v>3</v>
      </c>
      <c r="G294" s="111"/>
      <c r="H294" s="112"/>
      <c r="I294" s="325">
        <f>T272</f>
        <v>25020</v>
      </c>
      <c r="J294" s="325"/>
      <c r="K294" s="325"/>
      <c r="L294" s="325"/>
      <c r="M294" s="325">
        <f>Y272</f>
        <v>24950</v>
      </c>
      <c r="N294" s="325"/>
      <c r="O294" s="325"/>
      <c r="P294" s="326"/>
      <c r="Q294" s="394">
        <v>1</v>
      </c>
      <c r="R294" s="370"/>
      <c r="S294" s="370"/>
      <c r="T294" s="370"/>
      <c r="U294" s="325">
        <f>IF(I294="","",ROUND(I294*Q294,-1))</f>
        <v>25020</v>
      </c>
      <c r="V294" s="325"/>
      <c r="W294" s="325"/>
      <c r="X294" s="325"/>
      <c r="Y294" s="325"/>
      <c r="Z294" s="325">
        <f>IF(M294="","",ROUND(M294*Q294,-1))</f>
        <v>24950</v>
      </c>
      <c r="AA294" s="325"/>
      <c r="AB294" s="325"/>
      <c r="AC294" s="325"/>
      <c r="AD294" s="326"/>
    </row>
    <row r="295" spans="1:30" s="1" customFormat="1" ht="15.75" customHeight="1" x14ac:dyDescent="0.15">
      <c r="A295" s="73" t="str">
        <f>IF(A$289="",IF(F295="","×",""),"×")</f>
        <v>×</v>
      </c>
      <c r="B295" s="76"/>
      <c r="F295" s="119">
        <f>F273</f>
        <v>4</v>
      </c>
      <c r="G295" s="119"/>
      <c r="H295" s="120"/>
      <c r="I295" s="314">
        <f>T273</f>
        <v>51410</v>
      </c>
      <c r="J295" s="314"/>
      <c r="K295" s="314"/>
      <c r="L295" s="314"/>
      <c r="M295" s="314">
        <f>Y273</f>
        <v>51260</v>
      </c>
      <c r="N295" s="314"/>
      <c r="O295" s="314"/>
      <c r="P295" s="317"/>
      <c r="Q295" s="395">
        <v>1</v>
      </c>
      <c r="R295" s="372"/>
      <c r="S295" s="372"/>
      <c r="T295" s="372"/>
      <c r="U295" s="314">
        <f>IF(I295="","",ROUND(I295*Q295,-1))</f>
        <v>51410</v>
      </c>
      <c r="V295" s="314"/>
      <c r="W295" s="314"/>
      <c r="X295" s="314"/>
      <c r="Y295" s="314"/>
      <c r="Z295" s="314">
        <f>IF(M295="","",ROUND(M295*Q295,-1))</f>
        <v>51260</v>
      </c>
      <c r="AA295" s="314"/>
      <c r="AB295" s="314"/>
      <c r="AC295" s="314"/>
      <c r="AD295" s="317"/>
    </row>
    <row r="296" spans="1:30" s="1" customFormat="1" ht="15.75" customHeight="1" x14ac:dyDescent="0.15">
      <c r="A296" s="73" t="str">
        <f>IF(A$289="",IF(F296="","×",""),"×")</f>
        <v>×</v>
      </c>
      <c r="B296" s="76"/>
      <c r="F296" s="119">
        <f>F274</f>
        <v>5</v>
      </c>
      <c r="G296" s="119"/>
      <c r="H296" s="120"/>
      <c r="I296" s="314">
        <f>T274</f>
        <v>58500</v>
      </c>
      <c r="J296" s="314"/>
      <c r="K296" s="314"/>
      <c r="L296" s="314"/>
      <c r="M296" s="314">
        <f>Y274</f>
        <v>58330</v>
      </c>
      <c r="N296" s="314"/>
      <c r="O296" s="314"/>
      <c r="P296" s="317"/>
      <c r="Q296" s="395">
        <v>1</v>
      </c>
      <c r="R296" s="372"/>
      <c r="S296" s="372"/>
      <c r="T296" s="372"/>
      <c r="U296" s="314">
        <f>IF(I296="","",ROUND(I296*Q296,-1))</f>
        <v>58500</v>
      </c>
      <c r="V296" s="314"/>
      <c r="W296" s="314"/>
      <c r="X296" s="314"/>
      <c r="Y296" s="314"/>
      <c r="Z296" s="314">
        <f>IF(M296="","",ROUND(M296*Q296,-1))</f>
        <v>58330</v>
      </c>
      <c r="AA296" s="314"/>
      <c r="AB296" s="314"/>
      <c r="AC296" s="314"/>
      <c r="AD296" s="317"/>
    </row>
    <row r="297" spans="1:30" s="1" customFormat="1" ht="15.75" customHeight="1" x14ac:dyDescent="0.15">
      <c r="A297" s="73" t="str">
        <f>IF(A$289="",IF(F297="","×",""),"×")</f>
        <v>×</v>
      </c>
      <c r="B297" s="76"/>
      <c r="F297" s="119">
        <f>F275</f>
        <v>6</v>
      </c>
      <c r="G297" s="119"/>
      <c r="H297" s="120"/>
      <c r="I297" s="314">
        <f>T275</f>
        <v>83410</v>
      </c>
      <c r="J297" s="314"/>
      <c r="K297" s="314"/>
      <c r="L297" s="314"/>
      <c r="M297" s="314">
        <f>Y275</f>
        <v>83180</v>
      </c>
      <c r="N297" s="314"/>
      <c r="O297" s="314"/>
      <c r="P297" s="317"/>
      <c r="Q297" s="395">
        <v>1</v>
      </c>
      <c r="R297" s="372"/>
      <c r="S297" s="372"/>
      <c r="T297" s="372"/>
      <c r="U297" s="314">
        <f>IF(I297="","",ROUND(I297*Q297,-1))</f>
        <v>83410</v>
      </c>
      <c r="V297" s="314"/>
      <c r="W297" s="314"/>
      <c r="X297" s="314"/>
      <c r="Y297" s="314"/>
      <c r="Z297" s="314">
        <f>IF(M297="","",ROUND(M297*Q297,-1))</f>
        <v>83180</v>
      </c>
      <c r="AA297" s="314"/>
      <c r="AB297" s="314"/>
      <c r="AC297" s="314"/>
      <c r="AD297" s="317"/>
    </row>
    <row r="298" spans="1:30" s="1" customFormat="1" ht="15.75" customHeight="1" x14ac:dyDescent="0.15">
      <c r="A298" s="73" t="str">
        <f>IF(A$289="",IF(F298="","×",""),"×")</f>
        <v>×</v>
      </c>
      <c r="B298" s="76"/>
      <c r="F298" s="119">
        <f>F276</f>
        <v>7</v>
      </c>
      <c r="G298" s="119"/>
      <c r="H298" s="120"/>
      <c r="I298" s="314">
        <f>T276</f>
        <v>164820</v>
      </c>
      <c r="J298" s="314"/>
      <c r="K298" s="314"/>
      <c r="L298" s="314"/>
      <c r="M298" s="314">
        <f>Y276</f>
        <v>164340</v>
      </c>
      <c r="N298" s="314"/>
      <c r="O298" s="314"/>
      <c r="P298" s="317"/>
      <c r="Q298" s="395">
        <v>1</v>
      </c>
      <c r="R298" s="372"/>
      <c r="S298" s="372"/>
      <c r="T298" s="372"/>
      <c r="U298" s="314">
        <f>IF(I298="","",ROUND(I298*Q298,-1))</f>
        <v>164820</v>
      </c>
      <c r="V298" s="314"/>
      <c r="W298" s="314"/>
      <c r="X298" s="314"/>
      <c r="Y298" s="314"/>
      <c r="Z298" s="314">
        <f>IF(M298="","",ROUND(M298*Q298,-1))</f>
        <v>164340</v>
      </c>
      <c r="AA298" s="314"/>
      <c r="AB298" s="314"/>
      <c r="AC298" s="314"/>
      <c r="AD298" s="317"/>
    </row>
    <row r="299" spans="1:30" s="1" customFormat="1" ht="15.75" customHeight="1" x14ac:dyDescent="0.15">
      <c r="A299" s="73" t="str">
        <f>IF(A$289="",IF(F299="","×",""),"×")</f>
        <v>×</v>
      </c>
      <c r="B299" s="76"/>
      <c r="F299" s="119" t="str">
        <f>F277</f>
        <v/>
      </c>
      <c r="G299" s="119"/>
      <c r="H299" s="120"/>
      <c r="I299" s="314" t="str">
        <f>T277</f>
        <v/>
      </c>
      <c r="J299" s="314"/>
      <c r="K299" s="314"/>
      <c r="L299" s="314"/>
      <c r="M299" s="314" t="str">
        <f>Y277</f>
        <v/>
      </c>
      <c r="N299" s="314"/>
      <c r="O299" s="314"/>
      <c r="P299" s="317"/>
      <c r="Q299" s="395"/>
      <c r="R299" s="372"/>
      <c r="S299" s="372"/>
      <c r="T299" s="372"/>
      <c r="U299" s="314" t="str">
        <f>IF(I299="","",ROUND(I299*Q299,-1))</f>
        <v/>
      </c>
      <c r="V299" s="314"/>
      <c r="W299" s="314"/>
      <c r="X299" s="314"/>
      <c r="Y299" s="314"/>
      <c r="Z299" s="314" t="str">
        <f>IF(M299="","",ROUND(M299*Q299,-1))</f>
        <v/>
      </c>
      <c r="AA299" s="314"/>
      <c r="AB299" s="314"/>
      <c r="AC299" s="314"/>
      <c r="AD299" s="317"/>
    </row>
    <row r="300" spans="1:30" s="1" customFormat="1" ht="15.75" customHeight="1" x14ac:dyDescent="0.15">
      <c r="A300" s="73" t="str">
        <f>IF(A$289="",IF(F300="","×",""),"×")</f>
        <v>×</v>
      </c>
      <c r="B300" s="76"/>
      <c r="F300" s="119" t="str">
        <f>F278</f>
        <v/>
      </c>
      <c r="G300" s="119"/>
      <c r="H300" s="120"/>
      <c r="I300" s="314" t="str">
        <f>T278</f>
        <v/>
      </c>
      <c r="J300" s="314"/>
      <c r="K300" s="314"/>
      <c r="L300" s="314"/>
      <c r="M300" s="314" t="str">
        <f>Y278</f>
        <v/>
      </c>
      <c r="N300" s="314"/>
      <c r="O300" s="314"/>
      <c r="P300" s="317"/>
      <c r="Q300" s="395"/>
      <c r="R300" s="372"/>
      <c r="S300" s="372"/>
      <c r="T300" s="372"/>
      <c r="U300" s="314" t="str">
        <f>IF(I300="","",ROUND(I300*Q300,-1))</f>
        <v/>
      </c>
      <c r="V300" s="314"/>
      <c r="W300" s="314"/>
      <c r="X300" s="314"/>
      <c r="Y300" s="314"/>
      <c r="Z300" s="314" t="str">
        <f>IF(M300="","",ROUND(M300*Q300,-1))</f>
        <v/>
      </c>
      <c r="AA300" s="314"/>
      <c r="AB300" s="314"/>
      <c r="AC300" s="314"/>
      <c r="AD300" s="317"/>
    </row>
    <row r="301" spans="1:30" s="1" customFormat="1" ht="15.75" customHeight="1" x14ac:dyDescent="0.15">
      <c r="A301" s="73" t="str">
        <f>IF(A$289="",IF(F301="","×",""),"×")</f>
        <v>×</v>
      </c>
      <c r="B301" s="76"/>
      <c r="F301" s="119" t="str">
        <f>F279</f>
        <v/>
      </c>
      <c r="G301" s="119"/>
      <c r="H301" s="120"/>
      <c r="I301" s="314" t="str">
        <f>T279</f>
        <v/>
      </c>
      <c r="J301" s="314"/>
      <c r="K301" s="314"/>
      <c r="L301" s="314"/>
      <c r="M301" s="314" t="str">
        <f>Y279</f>
        <v/>
      </c>
      <c r="N301" s="314"/>
      <c r="O301" s="314"/>
      <c r="P301" s="317"/>
      <c r="Q301" s="395"/>
      <c r="R301" s="372"/>
      <c r="S301" s="372"/>
      <c r="T301" s="372"/>
      <c r="U301" s="314" t="str">
        <f>IF(I301="","",ROUND(I301*Q301,-1))</f>
        <v/>
      </c>
      <c r="V301" s="314"/>
      <c r="W301" s="314"/>
      <c r="X301" s="314"/>
      <c r="Y301" s="314"/>
      <c r="Z301" s="314" t="str">
        <f>IF(M301="","",ROUND(M301*Q301,-1))</f>
        <v/>
      </c>
      <c r="AA301" s="314"/>
      <c r="AB301" s="314"/>
      <c r="AC301" s="314"/>
      <c r="AD301" s="317"/>
    </row>
    <row r="302" spans="1:30" s="1" customFormat="1" ht="15.75" customHeight="1" x14ac:dyDescent="0.15">
      <c r="A302" s="73" t="str">
        <f>IF(A$289="",IF(F302="","×",""),"×")</f>
        <v>×</v>
      </c>
      <c r="B302" s="76"/>
      <c r="F302" s="119" t="str">
        <f>F280</f>
        <v/>
      </c>
      <c r="G302" s="119"/>
      <c r="H302" s="120"/>
      <c r="I302" s="314" t="str">
        <f>T280</f>
        <v/>
      </c>
      <c r="J302" s="314"/>
      <c r="K302" s="314"/>
      <c r="L302" s="314"/>
      <c r="M302" s="314" t="str">
        <f>Y280</f>
        <v/>
      </c>
      <c r="N302" s="314"/>
      <c r="O302" s="314"/>
      <c r="P302" s="317"/>
      <c r="Q302" s="395"/>
      <c r="R302" s="372"/>
      <c r="S302" s="372"/>
      <c r="T302" s="372"/>
      <c r="U302" s="314" t="str">
        <f>IF(I302="","",ROUND(I302*Q302,-1))</f>
        <v/>
      </c>
      <c r="V302" s="314"/>
      <c r="W302" s="314"/>
      <c r="X302" s="314"/>
      <c r="Y302" s="314"/>
      <c r="Z302" s="314" t="str">
        <f>IF(M302="","",ROUND(M302*Q302,-1))</f>
        <v/>
      </c>
      <c r="AA302" s="314"/>
      <c r="AB302" s="314"/>
      <c r="AC302" s="314"/>
      <c r="AD302" s="317"/>
    </row>
    <row r="303" spans="1:30" s="1" customFormat="1" ht="15.75" customHeight="1" x14ac:dyDescent="0.15">
      <c r="A303" s="73" t="str">
        <f>IF(A$289="",IF(F303="","×",""),"×")</f>
        <v>×</v>
      </c>
      <c r="B303" s="76"/>
      <c r="F303" s="119" t="str">
        <f>F281</f>
        <v/>
      </c>
      <c r="G303" s="119"/>
      <c r="H303" s="120"/>
      <c r="I303" s="314" t="str">
        <f>T281</f>
        <v/>
      </c>
      <c r="J303" s="314"/>
      <c r="K303" s="314"/>
      <c r="L303" s="314"/>
      <c r="M303" s="314" t="str">
        <f>Y281</f>
        <v/>
      </c>
      <c r="N303" s="314"/>
      <c r="O303" s="314"/>
      <c r="P303" s="317"/>
      <c r="Q303" s="395"/>
      <c r="R303" s="372"/>
      <c r="S303" s="372"/>
      <c r="T303" s="372"/>
      <c r="U303" s="314" t="str">
        <f>IF(I303="","",ROUND(I303*Q303,-1))</f>
        <v/>
      </c>
      <c r="V303" s="314"/>
      <c r="W303" s="314"/>
      <c r="X303" s="314"/>
      <c r="Y303" s="314"/>
      <c r="Z303" s="314" t="str">
        <f>IF(M303="","",ROUND(M303*Q303,-1))</f>
        <v/>
      </c>
      <c r="AA303" s="314"/>
      <c r="AB303" s="314"/>
      <c r="AC303" s="314"/>
      <c r="AD303" s="317"/>
    </row>
    <row r="304" spans="1:30" s="1" customFormat="1" ht="15.75" customHeight="1" x14ac:dyDescent="0.15">
      <c r="A304" s="73" t="str">
        <f>IF(A$289="",IF(F304="","×",""),"×")</f>
        <v>×</v>
      </c>
      <c r="B304" s="76"/>
      <c r="F304" s="119" t="str">
        <f>F282</f>
        <v/>
      </c>
      <c r="G304" s="119"/>
      <c r="H304" s="120"/>
      <c r="I304" s="314" t="str">
        <f>T282</f>
        <v/>
      </c>
      <c r="J304" s="314"/>
      <c r="K304" s="314"/>
      <c r="L304" s="314"/>
      <c r="M304" s="314" t="str">
        <f>Y282</f>
        <v/>
      </c>
      <c r="N304" s="314"/>
      <c r="O304" s="314"/>
      <c r="P304" s="317"/>
      <c r="Q304" s="395"/>
      <c r="R304" s="372"/>
      <c r="S304" s="372"/>
      <c r="T304" s="372"/>
      <c r="U304" s="314" t="str">
        <f>IF(I304="","",ROUND(I304*Q304,-1))</f>
        <v/>
      </c>
      <c r="V304" s="314"/>
      <c r="W304" s="314"/>
      <c r="X304" s="314"/>
      <c r="Y304" s="314"/>
      <c r="Z304" s="314" t="str">
        <f>IF(M304="","",ROUND(M304*Q304,-1))</f>
        <v/>
      </c>
      <c r="AA304" s="314"/>
      <c r="AB304" s="314"/>
      <c r="AC304" s="314"/>
      <c r="AD304" s="317"/>
    </row>
    <row r="305" spans="1:31" s="1" customFormat="1" ht="15.75" customHeight="1" x14ac:dyDescent="0.15">
      <c r="A305" s="73" t="str">
        <f>IF(A$289="",IF(F305="","×",""),"×")</f>
        <v>×</v>
      </c>
      <c r="B305" s="76"/>
      <c r="F305" s="119" t="str">
        <f>F283</f>
        <v/>
      </c>
      <c r="G305" s="119"/>
      <c r="H305" s="120"/>
      <c r="I305" s="314" t="str">
        <f>T283</f>
        <v/>
      </c>
      <c r="J305" s="314"/>
      <c r="K305" s="314"/>
      <c r="L305" s="314"/>
      <c r="M305" s="314" t="str">
        <f>Y283</f>
        <v/>
      </c>
      <c r="N305" s="314"/>
      <c r="O305" s="314"/>
      <c r="P305" s="317"/>
      <c r="Q305" s="395"/>
      <c r="R305" s="372"/>
      <c r="S305" s="372"/>
      <c r="T305" s="372"/>
      <c r="U305" s="314" t="str">
        <f>IF(I305="","",ROUND(I305*Q305,-1))</f>
        <v/>
      </c>
      <c r="V305" s="314"/>
      <c r="W305" s="314"/>
      <c r="X305" s="314"/>
      <c r="Y305" s="314"/>
      <c r="Z305" s="314" t="str">
        <f>IF(M305="","",ROUND(M305*Q305,-1))</f>
        <v/>
      </c>
      <c r="AA305" s="314"/>
      <c r="AB305" s="314"/>
      <c r="AC305" s="314"/>
      <c r="AD305" s="317"/>
    </row>
    <row r="306" spans="1:31" s="1" customFormat="1" ht="15.75" customHeight="1" x14ac:dyDescent="0.15">
      <c r="A306" s="73" t="str">
        <f>IF(A$289="",IF(F306="","×",""),"×")</f>
        <v>×</v>
      </c>
      <c r="B306" s="76"/>
      <c r="F306" s="119" t="str">
        <f>F284</f>
        <v/>
      </c>
      <c r="G306" s="119"/>
      <c r="H306" s="120"/>
      <c r="I306" s="314" t="str">
        <f>T284</f>
        <v/>
      </c>
      <c r="J306" s="314"/>
      <c r="K306" s="314"/>
      <c r="L306" s="314"/>
      <c r="M306" s="314" t="str">
        <f>Y284</f>
        <v/>
      </c>
      <c r="N306" s="314"/>
      <c r="O306" s="314"/>
      <c r="P306" s="317"/>
      <c r="Q306" s="395"/>
      <c r="R306" s="372"/>
      <c r="S306" s="372"/>
      <c r="T306" s="372"/>
      <c r="U306" s="314" t="str">
        <f>IF(I306="","",ROUND(I306*Q306,-1))</f>
        <v/>
      </c>
      <c r="V306" s="314"/>
      <c r="W306" s="314"/>
      <c r="X306" s="314"/>
      <c r="Y306" s="314"/>
      <c r="Z306" s="314" t="str">
        <f>IF(M306="","",ROUND(M306*Q306,-1))</f>
        <v/>
      </c>
      <c r="AA306" s="314"/>
      <c r="AB306" s="314"/>
      <c r="AC306" s="314"/>
      <c r="AD306" s="317"/>
    </row>
    <row r="307" spans="1:31" s="1" customFormat="1" ht="15.75" customHeight="1" x14ac:dyDescent="0.15">
      <c r="A307" s="73" t="str">
        <f>IF(A$289="",IF(F307="","×",""),"×")</f>
        <v>×</v>
      </c>
      <c r="B307" s="76"/>
      <c r="F307" s="119" t="str">
        <f>F285</f>
        <v/>
      </c>
      <c r="G307" s="119"/>
      <c r="H307" s="120"/>
      <c r="I307" s="314" t="str">
        <f>T285</f>
        <v/>
      </c>
      <c r="J307" s="314"/>
      <c r="K307" s="314"/>
      <c r="L307" s="314"/>
      <c r="M307" s="314" t="str">
        <f>Y285</f>
        <v/>
      </c>
      <c r="N307" s="314"/>
      <c r="O307" s="314"/>
      <c r="P307" s="317"/>
      <c r="Q307" s="395"/>
      <c r="R307" s="372"/>
      <c r="S307" s="372"/>
      <c r="T307" s="372"/>
      <c r="U307" s="314" t="str">
        <f>IF(I307="","",ROUND(I307*Q307,-1))</f>
        <v/>
      </c>
      <c r="V307" s="314"/>
      <c r="W307" s="314"/>
      <c r="X307" s="314"/>
      <c r="Y307" s="314"/>
      <c r="Z307" s="314" t="str">
        <f>IF(M307="","",ROUND(M307*Q307,-1))</f>
        <v/>
      </c>
      <c r="AA307" s="314"/>
      <c r="AB307" s="314"/>
      <c r="AC307" s="314"/>
      <c r="AD307" s="317"/>
    </row>
    <row r="308" spans="1:31" s="1" customFormat="1" ht="15.75" customHeight="1" x14ac:dyDescent="0.15">
      <c r="A308" s="73" t="str">
        <f>IF(A$289="",IF(F308="","×",""),"×")</f>
        <v>×</v>
      </c>
      <c r="B308" s="76"/>
      <c r="F308" s="119" t="str">
        <f>F286</f>
        <v/>
      </c>
      <c r="G308" s="119"/>
      <c r="H308" s="120"/>
      <c r="I308" s="314" t="str">
        <f>T286</f>
        <v/>
      </c>
      <c r="J308" s="314"/>
      <c r="K308" s="314"/>
      <c r="L308" s="314"/>
      <c r="M308" s="314" t="str">
        <f>Y286</f>
        <v/>
      </c>
      <c r="N308" s="314"/>
      <c r="O308" s="314"/>
      <c r="P308" s="317"/>
      <c r="Q308" s="395"/>
      <c r="R308" s="372"/>
      <c r="S308" s="372"/>
      <c r="T308" s="372"/>
      <c r="U308" s="314" t="str">
        <f>IF(I308="","",ROUND(I308*Q308,-1))</f>
        <v/>
      </c>
      <c r="V308" s="314"/>
      <c r="W308" s="314"/>
      <c r="X308" s="314"/>
      <c r="Y308" s="314"/>
      <c r="Z308" s="314" t="str">
        <f>IF(M308="","",ROUND(M308*Q308,-1))</f>
        <v/>
      </c>
      <c r="AA308" s="314"/>
      <c r="AB308" s="314"/>
      <c r="AC308" s="314"/>
      <c r="AD308" s="317"/>
    </row>
    <row r="309" spans="1:31" s="1" customFormat="1" ht="15.75" customHeight="1" x14ac:dyDescent="0.15">
      <c r="A309" s="73" t="str">
        <f>IF(A$289="",IF(F309="","×",""),"×")</f>
        <v>×</v>
      </c>
      <c r="B309" s="76"/>
      <c r="F309" s="233" t="str">
        <f>F287</f>
        <v/>
      </c>
      <c r="G309" s="233"/>
      <c r="H309" s="234"/>
      <c r="I309" s="319" t="str">
        <f>T287</f>
        <v/>
      </c>
      <c r="J309" s="319"/>
      <c r="K309" s="319"/>
      <c r="L309" s="319"/>
      <c r="M309" s="319" t="str">
        <f>Y287</f>
        <v/>
      </c>
      <c r="N309" s="319"/>
      <c r="O309" s="319"/>
      <c r="P309" s="322"/>
      <c r="Q309" s="396"/>
      <c r="R309" s="373"/>
      <c r="S309" s="373"/>
      <c r="T309" s="373"/>
      <c r="U309" s="319" t="str">
        <f>IF(I309="","",ROUND(I309*Q309,-1))</f>
        <v/>
      </c>
      <c r="V309" s="319"/>
      <c r="W309" s="319"/>
      <c r="X309" s="319"/>
      <c r="Y309" s="319"/>
      <c r="Z309" s="319" t="str">
        <f>IF(M309="","",ROUND(M309*Q309,-1))</f>
        <v/>
      </c>
      <c r="AA309" s="319"/>
      <c r="AB309" s="319"/>
      <c r="AC309" s="319"/>
      <c r="AD309" s="322"/>
    </row>
    <row r="310" spans="1:31" s="1" customFormat="1" ht="15.75" customHeight="1" thickBot="1" x14ac:dyDescent="0.2">
      <c r="A310" s="73" t="str">
        <f>IF(A$289="","","×")</f>
        <v>×</v>
      </c>
      <c r="F310" s="76"/>
      <c r="G310" s="76"/>
      <c r="H310" s="9"/>
      <c r="I310" s="323"/>
      <c r="J310" s="323"/>
      <c r="K310" s="323"/>
      <c r="L310" s="323"/>
      <c r="M310" s="323"/>
      <c r="N310" s="323"/>
      <c r="O310" s="323"/>
      <c r="P310" s="9"/>
      <c r="Q310" s="9"/>
      <c r="R310" s="9"/>
      <c r="S310" s="9"/>
      <c r="T310" s="323"/>
      <c r="U310" s="323"/>
      <c r="V310" s="323"/>
      <c r="W310" s="323"/>
      <c r="X310" s="323"/>
      <c r="Y310" s="323"/>
      <c r="Z310" s="323"/>
      <c r="AA310" s="323"/>
      <c r="AB310" s="323"/>
      <c r="AC310" s="323"/>
      <c r="AD310" s="323"/>
      <c r="AE310" s="323"/>
    </row>
    <row r="311" spans="1:31" s="1" customFormat="1" ht="15.75" customHeight="1" thickTop="1" thickBot="1" x14ac:dyDescent="0.2">
      <c r="A311" s="324" t="s">
        <v>533</v>
      </c>
      <c r="H311" s="76"/>
      <c r="I311" s="76"/>
      <c r="J311" s="76"/>
      <c r="K311" s="9"/>
      <c r="L311" s="323"/>
      <c r="M311" s="323"/>
      <c r="N311" s="323"/>
      <c r="O311" s="323"/>
      <c r="P311" s="323"/>
      <c r="Q311" s="323"/>
      <c r="R311" s="323"/>
      <c r="S311" s="323"/>
      <c r="T311" s="9"/>
      <c r="U311" s="9"/>
      <c r="V311" s="9"/>
      <c r="W311" s="9"/>
      <c r="X311" s="323"/>
      <c r="Y311" s="323"/>
      <c r="Z311" s="323"/>
      <c r="AA311" s="323"/>
      <c r="AB311" s="323"/>
      <c r="AC311" s="323"/>
      <c r="AD311" s="323"/>
    </row>
    <row r="312" spans="1:31" s="1" customFormat="1" ht="15.75" customHeight="1" thickTop="1" x14ac:dyDescent="0.15">
      <c r="A312" s="73" t="str">
        <f>IF(A$311="","","×")</f>
        <v>×</v>
      </c>
      <c r="F312" s="61" t="s">
        <v>539</v>
      </c>
      <c r="G312" s="61"/>
      <c r="H312" s="302"/>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spans="1:31" s="1" customFormat="1" ht="15.75" customHeight="1" x14ac:dyDescent="0.15">
      <c r="A313" s="73" t="str">
        <f t="shared" ref="A313:A315" si="21">IF(A$311="","","×")</f>
        <v>×</v>
      </c>
      <c r="F313" s="126" t="s">
        <v>78</v>
      </c>
      <c r="G313" s="126"/>
      <c r="H313" s="105"/>
      <c r="I313" s="105" t="s">
        <v>535</v>
      </c>
      <c r="J313" s="105"/>
      <c r="K313" s="105"/>
      <c r="L313" s="105"/>
      <c r="M313" s="105" t="s">
        <v>534</v>
      </c>
      <c r="N313" s="105"/>
      <c r="O313" s="105"/>
      <c r="P313" s="129"/>
      <c r="Q313" s="273" t="s">
        <v>538</v>
      </c>
      <c r="R313" s="131"/>
      <c r="S313" s="131"/>
      <c r="T313" s="131"/>
      <c r="U313" s="131"/>
      <c r="V313" s="131"/>
      <c r="W313" s="131"/>
      <c r="X313" s="131"/>
      <c r="Y313" s="131"/>
      <c r="Z313" s="131"/>
      <c r="AA313" s="131"/>
      <c r="AB313" s="131"/>
      <c r="AC313" s="131"/>
      <c r="AD313" s="132"/>
    </row>
    <row r="314" spans="1:31" s="1" customFormat="1" ht="15.75" customHeight="1" x14ac:dyDescent="0.15">
      <c r="A314" s="73" t="str">
        <f t="shared" si="21"/>
        <v>×</v>
      </c>
      <c r="F314" s="127"/>
      <c r="G314" s="127"/>
      <c r="H314" s="122"/>
      <c r="I314" s="122"/>
      <c r="J314" s="122"/>
      <c r="K314" s="122"/>
      <c r="L314" s="122"/>
      <c r="M314" s="122"/>
      <c r="N314" s="122"/>
      <c r="O314" s="122"/>
      <c r="P314" s="123"/>
      <c r="Q314" s="218" t="s">
        <v>537</v>
      </c>
      <c r="R314" s="122"/>
      <c r="S314" s="122"/>
      <c r="T314" s="122"/>
      <c r="U314" s="122" t="s">
        <v>531</v>
      </c>
      <c r="V314" s="122"/>
      <c r="W314" s="122"/>
      <c r="X314" s="122"/>
      <c r="Y314" s="122"/>
      <c r="Z314" s="122" t="s">
        <v>532</v>
      </c>
      <c r="AA314" s="122"/>
      <c r="AB314" s="122"/>
      <c r="AC314" s="122"/>
      <c r="AD314" s="123"/>
    </row>
    <row r="315" spans="1:31" s="1" customFormat="1" ht="15.75" customHeight="1" x14ac:dyDescent="0.15">
      <c r="A315" s="73" t="str">
        <f t="shared" si="21"/>
        <v>×</v>
      </c>
      <c r="F315" s="128"/>
      <c r="G315" s="128"/>
      <c r="H315" s="106"/>
      <c r="I315" s="106"/>
      <c r="J315" s="106"/>
      <c r="K315" s="106"/>
      <c r="L315" s="106"/>
      <c r="M315" s="106"/>
      <c r="N315" s="106"/>
      <c r="O315" s="106"/>
      <c r="P315" s="124"/>
      <c r="Q315" s="226"/>
      <c r="R315" s="106"/>
      <c r="S315" s="106"/>
      <c r="T315" s="106"/>
      <c r="U315" s="106"/>
      <c r="V315" s="106"/>
      <c r="W315" s="106"/>
      <c r="X315" s="106"/>
      <c r="Y315" s="106"/>
      <c r="Z315" s="106"/>
      <c r="AA315" s="106"/>
      <c r="AB315" s="106"/>
      <c r="AC315" s="106"/>
      <c r="AD315" s="124"/>
    </row>
    <row r="316" spans="1:31" s="1" customFormat="1" ht="15.75" customHeight="1" x14ac:dyDescent="0.15">
      <c r="A316" s="73" t="str">
        <f>IF(A$311="",IF(F316="","×",""),"×")</f>
        <v>×</v>
      </c>
      <c r="F316" s="117">
        <f>F294</f>
        <v>3</v>
      </c>
      <c r="G316" s="117"/>
      <c r="H316" s="118"/>
      <c r="I316" s="309">
        <f>T272</f>
        <v>25020</v>
      </c>
      <c r="J316" s="309"/>
      <c r="K316" s="309"/>
      <c r="L316" s="309"/>
      <c r="M316" s="309">
        <f>Y272</f>
        <v>24950</v>
      </c>
      <c r="N316" s="309"/>
      <c r="O316" s="309"/>
      <c r="P316" s="312"/>
      <c r="Q316" s="397">
        <v>1</v>
      </c>
      <c r="R316" s="398"/>
      <c r="S316" s="398"/>
      <c r="T316" s="398"/>
      <c r="U316" s="309">
        <f>IF(I294="","",ROUND(I294*Q316,-1))</f>
        <v>25020</v>
      </c>
      <c r="V316" s="309"/>
      <c r="W316" s="309"/>
      <c r="X316" s="309"/>
      <c r="Y316" s="309"/>
      <c r="Z316" s="309">
        <f>IF(M294="","",ROUND(M294*Q316,-1))</f>
        <v>24950</v>
      </c>
      <c r="AA316" s="309"/>
      <c r="AB316" s="309"/>
      <c r="AC316" s="309"/>
      <c r="AD316" s="312"/>
    </row>
    <row r="317" spans="1:31" s="1" customFormat="1" ht="15.75" customHeight="1" x14ac:dyDescent="0.15">
      <c r="A317" s="73" t="str">
        <f>IF(A$311="",IF(F317="","×",""),"×")</f>
        <v>×</v>
      </c>
      <c r="F317" s="119">
        <f t="shared" ref="F317:F331" si="22">F295</f>
        <v>4</v>
      </c>
      <c r="G317" s="119"/>
      <c r="H317" s="120"/>
      <c r="I317" s="314">
        <f>T273</f>
        <v>51410</v>
      </c>
      <c r="J317" s="314"/>
      <c r="K317" s="314"/>
      <c r="L317" s="314"/>
      <c r="M317" s="314">
        <f>Y273</f>
        <v>51260</v>
      </c>
      <c r="N317" s="314"/>
      <c r="O317" s="314"/>
      <c r="P317" s="317"/>
      <c r="Q317" s="395">
        <v>1</v>
      </c>
      <c r="R317" s="372"/>
      <c r="S317" s="372"/>
      <c r="T317" s="372"/>
      <c r="U317" s="314">
        <f>IF(I295="","",ROUND(I295*Q317,-1))</f>
        <v>51410</v>
      </c>
      <c r="V317" s="314"/>
      <c r="W317" s="314"/>
      <c r="X317" s="314"/>
      <c r="Y317" s="314"/>
      <c r="Z317" s="314">
        <f>IF(M295="","",ROUND(M295*Q317,-1))</f>
        <v>51260</v>
      </c>
      <c r="AA317" s="314"/>
      <c r="AB317" s="314"/>
      <c r="AC317" s="314"/>
      <c r="AD317" s="317"/>
    </row>
    <row r="318" spans="1:31" s="1" customFormat="1" ht="15.75" customHeight="1" x14ac:dyDescent="0.15">
      <c r="A318" s="73" t="str">
        <f>IF(A$311="",IF(F318="","×",""),"×")</f>
        <v>×</v>
      </c>
      <c r="F318" s="119">
        <f t="shared" si="22"/>
        <v>5</v>
      </c>
      <c r="G318" s="119"/>
      <c r="H318" s="120"/>
      <c r="I318" s="314">
        <f>T274</f>
        <v>58500</v>
      </c>
      <c r="J318" s="314"/>
      <c r="K318" s="314"/>
      <c r="L318" s="314"/>
      <c r="M318" s="314">
        <f>Y274</f>
        <v>58330</v>
      </c>
      <c r="N318" s="314"/>
      <c r="O318" s="314"/>
      <c r="P318" s="317"/>
      <c r="Q318" s="395">
        <v>1</v>
      </c>
      <c r="R318" s="372"/>
      <c r="S318" s="372"/>
      <c r="T318" s="372"/>
      <c r="U318" s="314">
        <f>IF(I296="","",ROUND(I296*Q318,-1))</f>
        <v>58500</v>
      </c>
      <c r="V318" s="314"/>
      <c r="W318" s="314"/>
      <c r="X318" s="314"/>
      <c r="Y318" s="314"/>
      <c r="Z318" s="314">
        <f>IF(M296="","",ROUND(M296*Q318,-1))</f>
        <v>58330</v>
      </c>
      <c r="AA318" s="314"/>
      <c r="AB318" s="314"/>
      <c r="AC318" s="314"/>
      <c r="AD318" s="317"/>
    </row>
    <row r="319" spans="1:31" s="1" customFormat="1" ht="15.75" customHeight="1" x14ac:dyDescent="0.15">
      <c r="A319" s="73" t="str">
        <f>IF(A$311="",IF(F319="","×",""),"×")</f>
        <v>×</v>
      </c>
      <c r="F319" s="119">
        <f t="shared" si="22"/>
        <v>6</v>
      </c>
      <c r="G319" s="119"/>
      <c r="H319" s="120"/>
      <c r="I319" s="314">
        <f>T275</f>
        <v>83410</v>
      </c>
      <c r="J319" s="314"/>
      <c r="K319" s="314"/>
      <c r="L319" s="314"/>
      <c r="M319" s="314">
        <f>Y275</f>
        <v>83180</v>
      </c>
      <c r="N319" s="314"/>
      <c r="O319" s="314"/>
      <c r="P319" s="317"/>
      <c r="Q319" s="395">
        <v>1</v>
      </c>
      <c r="R319" s="372"/>
      <c r="S319" s="372"/>
      <c r="T319" s="372"/>
      <c r="U319" s="314">
        <f>IF(I297="","",ROUND(I297*Q319,-1))</f>
        <v>83410</v>
      </c>
      <c r="V319" s="314"/>
      <c r="W319" s="314"/>
      <c r="X319" s="314"/>
      <c r="Y319" s="314"/>
      <c r="Z319" s="314">
        <f>IF(M297="","",ROUND(M297*Q319,-1))</f>
        <v>83180</v>
      </c>
      <c r="AA319" s="314"/>
      <c r="AB319" s="314"/>
      <c r="AC319" s="314"/>
      <c r="AD319" s="317"/>
    </row>
    <row r="320" spans="1:31" s="1" customFormat="1" ht="15.75" customHeight="1" x14ac:dyDescent="0.15">
      <c r="A320" s="73" t="str">
        <f>IF(A$311="",IF(F320="","×",""),"×")</f>
        <v>×</v>
      </c>
      <c r="F320" s="119">
        <f t="shared" si="22"/>
        <v>7</v>
      </c>
      <c r="G320" s="119"/>
      <c r="H320" s="120"/>
      <c r="I320" s="314">
        <f>T276</f>
        <v>164820</v>
      </c>
      <c r="J320" s="314"/>
      <c r="K320" s="314"/>
      <c r="L320" s="314"/>
      <c r="M320" s="314">
        <f>Y276</f>
        <v>164340</v>
      </c>
      <c r="N320" s="314"/>
      <c r="O320" s="314"/>
      <c r="P320" s="317"/>
      <c r="Q320" s="395">
        <v>1</v>
      </c>
      <c r="R320" s="372"/>
      <c r="S320" s="372"/>
      <c r="T320" s="372"/>
      <c r="U320" s="314">
        <f>IF(I298="","",ROUND(I298*Q320,-1))</f>
        <v>164820</v>
      </c>
      <c r="V320" s="314"/>
      <c r="W320" s="314"/>
      <c r="X320" s="314"/>
      <c r="Y320" s="314"/>
      <c r="Z320" s="314">
        <f>IF(M298="","",ROUND(M298*Q320,-1))</f>
        <v>164340</v>
      </c>
      <c r="AA320" s="314"/>
      <c r="AB320" s="314"/>
      <c r="AC320" s="314"/>
      <c r="AD320" s="317"/>
    </row>
    <row r="321" spans="1:84" s="1" customFormat="1" ht="15.75" customHeight="1" x14ac:dyDescent="0.15">
      <c r="A321" s="73" t="str">
        <f>IF(A$311="",IF(F321="","×",""),"×")</f>
        <v>×</v>
      </c>
      <c r="F321" s="119" t="str">
        <f t="shared" si="22"/>
        <v/>
      </c>
      <c r="G321" s="119"/>
      <c r="H321" s="120"/>
      <c r="I321" s="314" t="str">
        <f>T277</f>
        <v/>
      </c>
      <c r="J321" s="314"/>
      <c r="K321" s="314"/>
      <c r="L321" s="314"/>
      <c r="M321" s="314" t="str">
        <f>Y277</f>
        <v/>
      </c>
      <c r="N321" s="314"/>
      <c r="O321" s="314"/>
      <c r="P321" s="317"/>
      <c r="Q321" s="395"/>
      <c r="R321" s="372"/>
      <c r="S321" s="372"/>
      <c r="T321" s="372"/>
      <c r="U321" s="314" t="str">
        <f>IF(I299="","",ROUND(I299*Q321,-1))</f>
        <v/>
      </c>
      <c r="V321" s="314"/>
      <c r="W321" s="314"/>
      <c r="X321" s="314"/>
      <c r="Y321" s="314"/>
      <c r="Z321" s="314" t="str">
        <f>IF(M299="","",ROUND(M299*Q321,-1))</f>
        <v/>
      </c>
      <c r="AA321" s="314"/>
      <c r="AB321" s="314"/>
      <c r="AC321" s="314"/>
      <c r="AD321" s="317"/>
    </row>
    <row r="322" spans="1:84" s="1" customFormat="1" ht="15.75" customHeight="1" x14ac:dyDescent="0.15">
      <c r="A322" s="73" t="str">
        <f>IF(A$311="",IF(F322="","×",""),"×")</f>
        <v>×</v>
      </c>
      <c r="F322" s="119" t="str">
        <f t="shared" si="22"/>
        <v/>
      </c>
      <c r="G322" s="119"/>
      <c r="H322" s="120"/>
      <c r="I322" s="314" t="str">
        <f>T278</f>
        <v/>
      </c>
      <c r="J322" s="314"/>
      <c r="K322" s="314"/>
      <c r="L322" s="314"/>
      <c r="M322" s="314" t="str">
        <f>Y278</f>
        <v/>
      </c>
      <c r="N322" s="314"/>
      <c r="O322" s="314"/>
      <c r="P322" s="317"/>
      <c r="Q322" s="395"/>
      <c r="R322" s="372"/>
      <c r="S322" s="372"/>
      <c r="T322" s="372"/>
      <c r="U322" s="314" t="str">
        <f>IF(I300="","",ROUND(I300*Q322,-1))</f>
        <v/>
      </c>
      <c r="V322" s="314"/>
      <c r="W322" s="314"/>
      <c r="X322" s="314"/>
      <c r="Y322" s="314"/>
      <c r="Z322" s="314" t="str">
        <f>IF(M300="","",ROUND(M300*Q322,-1))</f>
        <v/>
      </c>
      <c r="AA322" s="314"/>
      <c r="AB322" s="314"/>
      <c r="AC322" s="314"/>
      <c r="AD322" s="317"/>
    </row>
    <row r="323" spans="1:84" s="1" customFormat="1" ht="15.75" customHeight="1" x14ac:dyDescent="0.15">
      <c r="A323" s="73" t="str">
        <f>IF(A$311="",IF(F323="","×",""),"×")</f>
        <v>×</v>
      </c>
      <c r="F323" s="119" t="str">
        <f t="shared" si="22"/>
        <v/>
      </c>
      <c r="G323" s="119"/>
      <c r="H323" s="120"/>
      <c r="I323" s="314" t="str">
        <f>T279</f>
        <v/>
      </c>
      <c r="J323" s="314"/>
      <c r="K323" s="314"/>
      <c r="L323" s="314"/>
      <c r="M323" s="314" t="str">
        <f>Y279</f>
        <v/>
      </c>
      <c r="N323" s="314"/>
      <c r="O323" s="314"/>
      <c r="P323" s="317"/>
      <c r="Q323" s="395"/>
      <c r="R323" s="372"/>
      <c r="S323" s="372"/>
      <c r="T323" s="372"/>
      <c r="U323" s="314" t="str">
        <f>IF(I301="","",ROUND(I301*Q323,-1))</f>
        <v/>
      </c>
      <c r="V323" s="314"/>
      <c r="W323" s="314"/>
      <c r="X323" s="314"/>
      <c r="Y323" s="314"/>
      <c r="Z323" s="314" t="str">
        <f>IF(M301="","",ROUND(M301*Q323,-1))</f>
        <v/>
      </c>
      <c r="AA323" s="314"/>
      <c r="AB323" s="314"/>
      <c r="AC323" s="314"/>
      <c r="AD323" s="317"/>
    </row>
    <row r="324" spans="1:84" s="1" customFormat="1" ht="15.75" customHeight="1" x14ac:dyDescent="0.15">
      <c r="A324" s="73" t="str">
        <f>IF(A$311="",IF(F324="","×",""),"×")</f>
        <v>×</v>
      </c>
      <c r="F324" s="119" t="str">
        <f t="shared" si="22"/>
        <v/>
      </c>
      <c r="G324" s="119"/>
      <c r="H324" s="120"/>
      <c r="I324" s="314" t="str">
        <f>T280</f>
        <v/>
      </c>
      <c r="J324" s="314"/>
      <c r="K324" s="314"/>
      <c r="L324" s="314"/>
      <c r="M324" s="314" t="str">
        <f>Y280</f>
        <v/>
      </c>
      <c r="N324" s="314"/>
      <c r="O324" s="314"/>
      <c r="P324" s="317"/>
      <c r="Q324" s="395"/>
      <c r="R324" s="372"/>
      <c r="S324" s="372"/>
      <c r="T324" s="372"/>
      <c r="U324" s="314" t="str">
        <f>IF(I302="","",ROUND(I302*Q324,-1))</f>
        <v/>
      </c>
      <c r="V324" s="314"/>
      <c r="W324" s="314"/>
      <c r="X324" s="314"/>
      <c r="Y324" s="314"/>
      <c r="Z324" s="314" t="str">
        <f>IF(M302="","",ROUND(M302*Q324,-1))</f>
        <v/>
      </c>
      <c r="AA324" s="314"/>
      <c r="AB324" s="314"/>
      <c r="AC324" s="314"/>
      <c r="AD324" s="317"/>
    </row>
    <row r="325" spans="1:84" s="1" customFormat="1" ht="15.75" customHeight="1" x14ac:dyDescent="0.15">
      <c r="A325" s="73" t="str">
        <f>IF(A$311="",IF(F325="","×",""),"×")</f>
        <v>×</v>
      </c>
      <c r="F325" s="119" t="str">
        <f t="shared" si="22"/>
        <v/>
      </c>
      <c r="G325" s="119"/>
      <c r="H325" s="120"/>
      <c r="I325" s="314" t="str">
        <f>T281</f>
        <v/>
      </c>
      <c r="J325" s="314"/>
      <c r="K325" s="314"/>
      <c r="L325" s="314"/>
      <c r="M325" s="314" t="str">
        <f>Y281</f>
        <v/>
      </c>
      <c r="N325" s="314"/>
      <c r="O325" s="314"/>
      <c r="P325" s="317"/>
      <c r="Q325" s="395"/>
      <c r="R325" s="372"/>
      <c r="S325" s="372"/>
      <c r="T325" s="372"/>
      <c r="U325" s="314" t="str">
        <f>IF(I303="","",ROUND(I303*Q325,-1))</f>
        <v/>
      </c>
      <c r="V325" s="314"/>
      <c r="W325" s="314"/>
      <c r="X325" s="314"/>
      <c r="Y325" s="314"/>
      <c r="Z325" s="314" t="str">
        <f>IF(M303="","",ROUND(M303*Q325,-1))</f>
        <v/>
      </c>
      <c r="AA325" s="314"/>
      <c r="AB325" s="314"/>
      <c r="AC325" s="314"/>
      <c r="AD325" s="317"/>
    </row>
    <row r="326" spans="1:84" s="1" customFormat="1" ht="15.75" customHeight="1" x14ac:dyDescent="0.15">
      <c r="A326" s="73" t="str">
        <f>IF(A$311="",IF(F326="","×",""),"×")</f>
        <v>×</v>
      </c>
      <c r="F326" s="119" t="str">
        <f t="shared" si="22"/>
        <v/>
      </c>
      <c r="G326" s="119"/>
      <c r="H326" s="120"/>
      <c r="I326" s="314" t="str">
        <f>T282</f>
        <v/>
      </c>
      <c r="J326" s="314"/>
      <c r="K326" s="314"/>
      <c r="L326" s="314"/>
      <c r="M326" s="314" t="str">
        <f>Y282</f>
        <v/>
      </c>
      <c r="N326" s="314"/>
      <c r="O326" s="314"/>
      <c r="P326" s="317"/>
      <c r="Q326" s="395"/>
      <c r="R326" s="372"/>
      <c r="S326" s="372"/>
      <c r="T326" s="372"/>
      <c r="U326" s="314" t="str">
        <f>IF(I304="","",ROUND(I304*Q326,-1))</f>
        <v/>
      </c>
      <c r="V326" s="314"/>
      <c r="W326" s="314"/>
      <c r="X326" s="314"/>
      <c r="Y326" s="314"/>
      <c r="Z326" s="314" t="str">
        <f>IF(M304="","",ROUND(M304*Q326,-1))</f>
        <v/>
      </c>
      <c r="AA326" s="314"/>
      <c r="AB326" s="314"/>
      <c r="AC326" s="314"/>
      <c r="AD326" s="317"/>
    </row>
    <row r="327" spans="1:84" s="1" customFormat="1" ht="15.75" customHeight="1" x14ac:dyDescent="0.15">
      <c r="A327" s="73" t="str">
        <f>IF(A$311="",IF(F327="","×",""),"×")</f>
        <v>×</v>
      </c>
      <c r="F327" s="119" t="str">
        <f t="shared" si="22"/>
        <v/>
      </c>
      <c r="G327" s="119"/>
      <c r="H327" s="120"/>
      <c r="I327" s="314" t="str">
        <f>T283</f>
        <v/>
      </c>
      <c r="J327" s="314"/>
      <c r="K327" s="314"/>
      <c r="L327" s="314"/>
      <c r="M327" s="314" t="str">
        <f>Y283</f>
        <v/>
      </c>
      <c r="N327" s="314"/>
      <c r="O327" s="314"/>
      <c r="P327" s="317"/>
      <c r="Q327" s="395"/>
      <c r="R327" s="372"/>
      <c r="S327" s="372"/>
      <c r="T327" s="372"/>
      <c r="U327" s="314" t="str">
        <f>IF(I305="","",ROUND(I305*Q327,-1))</f>
        <v/>
      </c>
      <c r="V327" s="314"/>
      <c r="W327" s="314"/>
      <c r="X327" s="314"/>
      <c r="Y327" s="314"/>
      <c r="Z327" s="314" t="str">
        <f>IF(M305="","",ROUND(M305*Q327,-1))</f>
        <v/>
      </c>
      <c r="AA327" s="314"/>
      <c r="AB327" s="314"/>
      <c r="AC327" s="314"/>
      <c r="AD327" s="317"/>
    </row>
    <row r="328" spans="1:84" s="1" customFormat="1" ht="15.75" customHeight="1" x14ac:dyDescent="0.15">
      <c r="A328" s="73" t="str">
        <f>IF(A$311="",IF(F328="","×",""),"×")</f>
        <v>×</v>
      </c>
      <c r="F328" s="119" t="str">
        <f t="shared" si="22"/>
        <v/>
      </c>
      <c r="G328" s="119"/>
      <c r="H328" s="120"/>
      <c r="I328" s="314" t="str">
        <f>T284</f>
        <v/>
      </c>
      <c r="J328" s="314"/>
      <c r="K328" s="314"/>
      <c r="L328" s="314"/>
      <c r="M328" s="314" t="str">
        <f>Y284</f>
        <v/>
      </c>
      <c r="N328" s="314"/>
      <c r="O328" s="314"/>
      <c r="P328" s="317"/>
      <c r="Q328" s="395"/>
      <c r="R328" s="372"/>
      <c r="S328" s="372"/>
      <c r="T328" s="372"/>
      <c r="U328" s="314" t="str">
        <f>IF(I306="","",ROUND(I306*Q328,-1))</f>
        <v/>
      </c>
      <c r="V328" s="314"/>
      <c r="W328" s="314"/>
      <c r="X328" s="314"/>
      <c r="Y328" s="314"/>
      <c r="Z328" s="314" t="str">
        <f>IF(M306="","",ROUND(M306*Q328,-1))</f>
        <v/>
      </c>
      <c r="AA328" s="314"/>
      <c r="AB328" s="314"/>
      <c r="AC328" s="314"/>
      <c r="AD328" s="317"/>
    </row>
    <row r="329" spans="1:84" s="1" customFormat="1" ht="15.75" customHeight="1" x14ac:dyDescent="0.15">
      <c r="A329" s="73" t="str">
        <f>IF(A$311="",IF(F329="","×",""),"×")</f>
        <v>×</v>
      </c>
      <c r="F329" s="119" t="str">
        <f t="shared" si="22"/>
        <v/>
      </c>
      <c r="G329" s="119"/>
      <c r="H329" s="120"/>
      <c r="I329" s="314" t="str">
        <f>T285</f>
        <v/>
      </c>
      <c r="J329" s="314"/>
      <c r="K329" s="314"/>
      <c r="L329" s="314"/>
      <c r="M329" s="314" t="str">
        <f>Y285</f>
        <v/>
      </c>
      <c r="N329" s="314"/>
      <c r="O329" s="314"/>
      <c r="P329" s="317"/>
      <c r="Q329" s="395"/>
      <c r="R329" s="372"/>
      <c r="S329" s="372"/>
      <c r="T329" s="372"/>
      <c r="U329" s="314" t="str">
        <f>IF(I307="","",ROUND(I307*Q329,-1))</f>
        <v/>
      </c>
      <c r="V329" s="314"/>
      <c r="W329" s="314"/>
      <c r="X329" s="314"/>
      <c r="Y329" s="314"/>
      <c r="Z329" s="314" t="str">
        <f>IF(M307="","",ROUND(M307*Q329,-1))</f>
        <v/>
      </c>
      <c r="AA329" s="314"/>
      <c r="AB329" s="314"/>
      <c r="AC329" s="314"/>
      <c r="AD329" s="317"/>
    </row>
    <row r="330" spans="1:84" s="1" customFormat="1" ht="15.75" customHeight="1" x14ac:dyDescent="0.15">
      <c r="A330" s="73" t="str">
        <f>IF(A$311="",IF(F330="","×",""),"×")</f>
        <v>×</v>
      </c>
      <c r="F330" s="119" t="str">
        <f t="shared" si="22"/>
        <v/>
      </c>
      <c r="G330" s="119"/>
      <c r="H330" s="120"/>
      <c r="I330" s="314" t="str">
        <f>T286</f>
        <v/>
      </c>
      <c r="J330" s="314"/>
      <c r="K330" s="314"/>
      <c r="L330" s="314"/>
      <c r="M330" s="314" t="str">
        <f>Y286</f>
        <v/>
      </c>
      <c r="N330" s="314"/>
      <c r="O330" s="314"/>
      <c r="P330" s="317"/>
      <c r="Q330" s="395"/>
      <c r="R330" s="372"/>
      <c r="S330" s="372"/>
      <c r="T330" s="372"/>
      <c r="U330" s="314" t="str">
        <f>IF(I308="","",ROUND(I308*Q330,-1))</f>
        <v/>
      </c>
      <c r="V330" s="314"/>
      <c r="W330" s="314"/>
      <c r="X330" s="314"/>
      <c r="Y330" s="314"/>
      <c r="Z330" s="314" t="str">
        <f>IF(M308="","",ROUND(M308*Q330,-1))</f>
        <v/>
      </c>
      <c r="AA330" s="314"/>
      <c r="AB330" s="314"/>
      <c r="AC330" s="314"/>
      <c r="AD330" s="317"/>
    </row>
    <row r="331" spans="1:84" s="1" customFormat="1" ht="15.75" customHeight="1" x14ac:dyDescent="0.15">
      <c r="A331" s="73" t="str">
        <f>IF(A$311="",IF(F331="","×",""),"×")</f>
        <v>×</v>
      </c>
      <c r="F331" s="233" t="str">
        <f t="shared" si="22"/>
        <v/>
      </c>
      <c r="G331" s="233"/>
      <c r="H331" s="234"/>
      <c r="I331" s="319" t="str">
        <f>T287</f>
        <v/>
      </c>
      <c r="J331" s="319"/>
      <c r="K331" s="319"/>
      <c r="L331" s="319"/>
      <c r="M331" s="319" t="str">
        <f>Y287</f>
        <v/>
      </c>
      <c r="N331" s="319"/>
      <c r="O331" s="319"/>
      <c r="P331" s="322"/>
      <c r="Q331" s="396"/>
      <c r="R331" s="373"/>
      <c r="S331" s="373"/>
      <c r="T331" s="373"/>
      <c r="U331" s="319" t="str">
        <f>IF(I309="","",ROUND(I309*Q331,-1))</f>
        <v/>
      </c>
      <c r="V331" s="319"/>
      <c r="W331" s="319"/>
      <c r="X331" s="319"/>
      <c r="Y331" s="319"/>
      <c r="Z331" s="319" t="str">
        <f>IF(M309="","",ROUND(M309*Q331,-1))</f>
        <v/>
      </c>
      <c r="AA331" s="319"/>
      <c r="AB331" s="319"/>
      <c r="AC331" s="319"/>
      <c r="AD331" s="322"/>
    </row>
    <row r="332" spans="1:84" s="1" customFormat="1" ht="15.75" customHeight="1" x14ac:dyDescent="0.15">
      <c r="A332" s="73" t="str">
        <f t="shared" ref="A332:A333" si="23">IF(A$311="","","×")</f>
        <v>×</v>
      </c>
      <c r="F332" s="76"/>
      <c r="G332" s="76"/>
      <c r="H332" s="9"/>
      <c r="I332" s="323"/>
      <c r="J332" s="323"/>
      <c r="K332" s="323"/>
      <c r="L332" s="323"/>
      <c r="M332" s="323"/>
      <c r="N332" s="323"/>
      <c r="O332" s="323"/>
      <c r="P332" s="9"/>
      <c r="Q332" s="9"/>
      <c r="R332" s="9"/>
      <c r="S332" s="9"/>
      <c r="T332" s="323"/>
      <c r="U332" s="323"/>
      <c r="V332" s="323"/>
      <c r="W332" s="323"/>
      <c r="X332" s="323"/>
      <c r="Y332" s="323"/>
      <c r="Z332" s="323"/>
      <c r="AA332" s="323"/>
      <c r="AB332" s="323"/>
      <c r="AC332" s="323"/>
      <c r="AD332" s="323"/>
    </row>
    <row r="333" spans="1:84" s="1" customFormat="1" ht="15.75" customHeight="1" x14ac:dyDescent="0.15">
      <c r="A333" s="73" t="str">
        <f t="shared" si="23"/>
        <v>×</v>
      </c>
      <c r="F333" s="76"/>
      <c r="G333" s="76"/>
      <c r="H333" s="9"/>
      <c r="I333" s="323"/>
      <c r="J333" s="323"/>
      <c r="K333" s="323"/>
      <c r="L333" s="323"/>
      <c r="M333" s="323"/>
      <c r="N333" s="323"/>
      <c r="O333" s="323"/>
      <c r="P333" s="9"/>
      <c r="Q333" s="9"/>
      <c r="R333" s="9"/>
      <c r="S333" s="9"/>
      <c r="T333" s="323"/>
      <c r="U333" s="323"/>
      <c r="V333" s="323"/>
      <c r="W333" s="323"/>
      <c r="X333" s="323"/>
      <c r="Y333" s="323"/>
      <c r="Z333" s="323"/>
      <c r="AA333" s="323"/>
      <c r="AB333" s="323"/>
      <c r="AC333" s="323"/>
      <c r="AD333" s="323"/>
    </row>
    <row r="334" spans="1:84" s="1" customFormat="1" ht="15.75" customHeight="1" x14ac:dyDescent="0.15">
      <c r="F334" s="61" t="s">
        <v>527</v>
      </c>
      <c r="G334" s="302"/>
      <c r="H334" s="302"/>
      <c r="I334" s="61"/>
      <c r="J334" s="61"/>
      <c r="K334" s="61"/>
      <c r="L334" s="61"/>
      <c r="M334" s="61"/>
      <c r="N334" s="61"/>
      <c r="O334" s="61"/>
      <c r="P334" s="61"/>
      <c r="Q334" s="61"/>
      <c r="R334" s="61"/>
      <c r="S334" s="61"/>
      <c r="T334" s="61"/>
      <c r="U334" s="61"/>
      <c r="V334" s="61"/>
      <c r="W334" s="61"/>
      <c r="X334" s="61"/>
      <c r="Y334" s="61"/>
      <c r="Z334" s="61"/>
      <c r="AA334" s="61"/>
      <c r="AB334" s="61"/>
      <c r="AC334" s="61"/>
      <c r="AD334" s="61"/>
      <c r="AE334" s="8"/>
      <c r="AF334" s="8"/>
      <c r="AG334" s="8"/>
      <c r="AH334" s="8"/>
      <c r="AI334" s="8"/>
      <c r="AJ334" s="8"/>
      <c r="BR334" s="8"/>
      <c r="BS334" s="8"/>
      <c r="BT334" s="8"/>
      <c r="BU334" s="8"/>
      <c r="BV334" s="8"/>
      <c r="BW334" s="8"/>
      <c r="BX334" s="8"/>
      <c r="BY334" s="8"/>
      <c r="BZ334" s="8"/>
      <c r="CA334" s="8"/>
    </row>
    <row r="335" spans="1:84" s="1" customFormat="1" ht="15.75" customHeight="1" x14ac:dyDescent="0.15">
      <c r="F335" s="126" t="s">
        <v>78</v>
      </c>
      <c r="G335" s="105"/>
      <c r="H335" s="105"/>
      <c r="I335" s="217" t="s">
        <v>525</v>
      </c>
      <c r="J335" s="131"/>
      <c r="K335" s="131"/>
      <c r="L335" s="131"/>
      <c r="M335" s="105" t="s">
        <v>526</v>
      </c>
      <c r="N335" s="131"/>
      <c r="O335" s="131"/>
      <c r="P335" s="230"/>
      <c r="Q335" s="217" t="s">
        <v>209</v>
      </c>
      <c r="R335" s="105"/>
      <c r="S335" s="129"/>
      <c r="T335" s="224"/>
      <c r="U335" s="251" t="s">
        <v>531</v>
      </c>
      <c r="V335" s="136"/>
      <c r="W335" s="136"/>
      <c r="X335" s="136"/>
      <c r="Y335" s="157"/>
      <c r="Z335" s="221" t="s">
        <v>532</v>
      </c>
      <c r="AA335" s="136"/>
      <c r="AB335" s="136"/>
      <c r="AC335" s="136"/>
      <c r="AD335" s="136"/>
      <c r="AG335" s="8"/>
      <c r="AH335" s="8"/>
      <c r="AI335" s="8"/>
      <c r="AJ335" s="8"/>
      <c r="BR335" s="8"/>
      <c r="BS335" s="8"/>
      <c r="BT335" s="8"/>
      <c r="BU335" s="8"/>
      <c r="BV335" s="8"/>
      <c r="BW335" s="8"/>
      <c r="BX335" s="8"/>
      <c r="BY335" s="8"/>
      <c r="BZ335" s="8"/>
      <c r="CA335" s="8"/>
      <c r="CB335" s="8"/>
      <c r="CC335" s="8"/>
      <c r="CD335" s="8"/>
      <c r="CE335" s="8"/>
      <c r="CF335" s="8"/>
    </row>
    <row r="336" spans="1:84" s="1" customFormat="1" ht="15.75" customHeight="1" x14ac:dyDescent="0.15">
      <c r="F336" s="127"/>
      <c r="G336" s="122"/>
      <c r="H336" s="122"/>
      <c r="I336" s="218"/>
      <c r="J336" s="94"/>
      <c r="K336" s="94"/>
      <c r="L336" s="94"/>
      <c r="M336" s="122"/>
      <c r="N336" s="94"/>
      <c r="O336" s="94"/>
      <c r="P336" s="231"/>
      <c r="Q336" s="218"/>
      <c r="R336" s="122"/>
      <c r="S336" s="123"/>
      <c r="T336" s="225"/>
      <c r="U336" s="276"/>
      <c r="V336" s="138"/>
      <c r="W336" s="138"/>
      <c r="X336" s="138"/>
      <c r="Y336" s="215"/>
      <c r="Z336" s="222"/>
      <c r="AA336" s="138"/>
      <c r="AB336" s="138"/>
      <c r="AC336" s="138"/>
      <c r="AD336" s="138"/>
      <c r="AG336" s="8"/>
      <c r="AH336" s="8"/>
      <c r="AI336" s="8"/>
      <c r="AJ336" s="8"/>
      <c r="BR336" s="8"/>
      <c r="BS336" s="8"/>
      <c r="BT336" s="8"/>
      <c r="BU336" s="8"/>
      <c r="BV336" s="8"/>
      <c r="BW336" s="8"/>
      <c r="BX336" s="8"/>
      <c r="BY336" s="8"/>
      <c r="BZ336" s="8"/>
      <c r="CA336" s="8"/>
      <c r="CB336" s="8"/>
      <c r="CC336" s="8"/>
      <c r="CD336" s="8"/>
      <c r="CE336" s="8"/>
      <c r="CF336" s="8"/>
    </row>
    <row r="337" spans="1:84" s="1" customFormat="1" ht="15.75" customHeight="1" x14ac:dyDescent="0.15">
      <c r="F337" s="128"/>
      <c r="G337" s="106"/>
      <c r="H337" s="106"/>
      <c r="I337" s="219"/>
      <c r="J337" s="99"/>
      <c r="K337" s="99"/>
      <c r="L337" s="99"/>
      <c r="M337" s="99"/>
      <c r="N337" s="99"/>
      <c r="O337" s="99"/>
      <c r="P337" s="232"/>
      <c r="Q337" s="226"/>
      <c r="R337" s="106"/>
      <c r="S337" s="124"/>
      <c r="T337" s="227"/>
      <c r="U337" s="262"/>
      <c r="V337" s="140"/>
      <c r="W337" s="140"/>
      <c r="X337" s="140"/>
      <c r="Y337" s="159"/>
      <c r="Z337" s="223"/>
      <c r="AA337" s="140"/>
      <c r="AB337" s="140"/>
      <c r="AC337" s="140"/>
      <c r="AD337" s="140"/>
      <c r="AG337" s="8"/>
      <c r="AH337" s="8"/>
      <c r="AI337" s="8"/>
      <c r="AJ337" s="8"/>
      <c r="BR337" s="8"/>
      <c r="BS337" s="8"/>
      <c r="BT337" s="8"/>
      <c r="BU337" s="8"/>
      <c r="BV337" s="8"/>
      <c r="BW337" s="8"/>
      <c r="BX337" s="8"/>
      <c r="BY337" s="8"/>
      <c r="BZ337" s="8"/>
      <c r="CA337" s="8"/>
      <c r="CB337" s="8"/>
      <c r="CC337" s="8"/>
      <c r="CD337" s="8"/>
      <c r="CE337" s="8"/>
      <c r="CF337" s="8"/>
    </row>
    <row r="338" spans="1:84" s="1" customFormat="1" ht="15.75" customHeight="1" x14ac:dyDescent="0.15">
      <c r="A338" s="73" t="str">
        <f>IF(F338="","×","")</f>
        <v/>
      </c>
      <c r="F338" s="117">
        <f>F272</f>
        <v>3</v>
      </c>
      <c r="G338" s="118"/>
      <c r="H338" s="118"/>
      <c r="I338" s="308">
        <f>IF(AD155="","",AD155*AG$202)</f>
        <v>50041.101063677925</v>
      </c>
      <c r="J338" s="309"/>
      <c r="K338" s="309"/>
      <c r="L338" s="309"/>
      <c r="M338" s="309">
        <f>IF(AD155="","",AD155*AG$203)</f>
        <v>49898.091116699667</v>
      </c>
      <c r="N338" s="309"/>
      <c r="O338" s="309"/>
      <c r="P338" s="310"/>
      <c r="Q338" s="228">
        <f>R242</f>
        <v>1</v>
      </c>
      <c r="R338" s="168"/>
      <c r="S338" s="280"/>
      <c r="T338" s="229"/>
      <c r="U338" s="308">
        <f>IF(I338="","",ROUND(I338*Q338,-1))</f>
        <v>50040</v>
      </c>
      <c r="V338" s="311"/>
      <c r="W338" s="309"/>
      <c r="X338" s="309"/>
      <c r="Y338" s="309"/>
      <c r="Z338" s="309">
        <f>IF(M338="","",ROUND(M338*Q338,-1))</f>
        <v>49900</v>
      </c>
      <c r="AA338" s="309"/>
      <c r="AB338" s="309"/>
      <c r="AC338" s="309"/>
      <c r="AD338" s="312"/>
      <c r="AG338" s="8"/>
      <c r="AH338" s="8"/>
      <c r="AI338" s="8"/>
      <c r="AJ338" s="8"/>
      <c r="CC338" s="8"/>
      <c r="CD338" s="8"/>
      <c r="CE338" s="8"/>
      <c r="CF338" s="8"/>
    </row>
    <row r="339" spans="1:84" s="1" customFormat="1" ht="15.75" customHeight="1" x14ac:dyDescent="0.15">
      <c r="A339" s="73" t="str">
        <f>IF(F339="","×","")</f>
        <v/>
      </c>
      <c r="F339" s="111">
        <f>F273</f>
        <v>4</v>
      </c>
      <c r="G339" s="112"/>
      <c r="H339" s="112"/>
      <c r="I339" s="313">
        <f>IF(AD156="","",AD156*AG$202)</f>
        <v>102812.36988100948</v>
      </c>
      <c r="J339" s="314"/>
      <c r="K339" s="314"/>
      <c r="L339" s="314"/>
      <c r="M339" s="314">
        <f>IF(AD156="","",AD156*AG$203)</f>
        <v>102518.54757788546</v>
      </c>
      <c r="N339" s="314"/>
      <c r="O339" s="314"/>
      <c r="P339" s="315"/>
      <c r="Q339" s="107">
        <f>Q338</f>
        <v>1</v>
      </c>
      <c r="R339" s="95"/>
      <c r="S339" s="281"/>
      <c r="T339" s="108"/>
      <c r="U339" s="313">
        <f t="shared" ref="U339:U353" si="24">IF(I339="","",ROUND(I339*Q339,-1))</f>
        <v>102810</v>
      </c>
      <c r="V339" s="316"/>
      <c r="W339" s="314"/>
      <c r="X339" s="314"/>
      <c r="Y339" s="314"/>
      <c r="Z339" s="314">
        <f t="shared" ref="Z339:Z353" si="25">IF(M339="","",ROUND(M339*Q339,-1))</f>
        <v>102520</v>
      </c>
      <c r="AA339" s="314"/>
      <c r="AB339" s="314"/>
      <c r="AC339" s="314"/>
      <c r="AD339" s="317"/>
      <c r="AG339" s="8"/>
      <c r="AH339" s="8"/>
      <c r="AI339" s="8"/>
      <c r="AJ339" s="8"/>
      <c r="CC339" s="8"/>
      <c r="CD339" s="8"/>
      <c r="CE339" s="8"/>
      <c r="CF339" s="8"/>
    </row>
    <row r="340" spans="1:84" s="1" customFormat="1" ht="15.75" customHeight="1" x14ac:dyDescent="0.15">
      <c r="A340" s="73" t="str">
        <f>IF(F340="","×","")</f>
        <v/>
      </c>
      <c r="F340" s="111">
        <f>F274</f>
        <v>5</v>
      </c>
      <c r="G340" s="112"/>
      <c r="H340" s="112"/>
      <c r="I340" s="313">
        <f>IF(AD157="","",AD157*AG$202)</f>
        <v>117002.05754802511</v>
      </c>
      <c r="J340" s="314"/>
      <c r="K340" s="314"/>
      <c r="L340" s="314"/>
      <c r="M340" s="314">
        <f>IF(AD157="","",AD157*AG$203)</f>
        <v>116667.68324988573</v>
      </c>
      <c r="N340" s="314"/>
      <c r="O340" s="314"/>
      <c r="P340" s="315"/>
      <c r="Q340" s="107">
        <f t="shared" ref="Q340:Q353" si="26">Q339</f>
        <v>1</v>
      </c>
      <c r="R340" s="95"/>
      <c r="S340" s="281"/>
      <c r="T340" s="108"/>
      <c r="U340" s="313">
        <f t="shared" si="24"/>
        <v>117000</v>
      </c>
      <c r="V340" s="316"/>
      <c r="W340" s="314"/>
      <c r="X340" s="314"/>
      <c r="Y340" s="314"/>
      <c r="Z340" s="314">
        <f t="shared" si="25"/>
        <v>116670</v>
      </c>
      <c r="AA340" s="314"/>
      <c r="AB340" s="314"/>
      <c r="AC340" s="314"/>
      <c r="AD340" s="317"/>
      <c r="AG340" s="8"/>
      <c r="AH340" s="8"/>
      <c r="AI340" s="8"/>
      <c r="CB340" s="8"/>
      <c r="CC340" s="8"/>
      <c r="CD340" s="8"/>
      <c r="CE340" s="8"/>
    </row>
    <row r="341" spans="1:84" s="1" customFormat="1" ht="15.75" customHeight="1" x14ac:dyDescent="0.15">
      <c r="A341" s="73" t="str">
        <f>IF(F341="","×","")</f>
        <v/>
      </c>
      <c r="F341" s="111">
        <f>F275</f>
        <v>6</v>
      </c>
      <c r="G341" s="112"/>
      <c r="H341" s="112"/>
      <c r="I341" s="313">
        <f>IF(AD158="","",AD158*AG$202)</f>
        <v>166827.61905220407</v>
      </c>
      <c r="J341" s="314"/>
      <c r="K341" s="314"/>
      <c r="L341" s="314"/>
      <c r="M341" s="314">
        <f>IF(AD158="","",AD158*AG$203)</f>
        <v>166350.85078675754</v>
      </c>
      <c r="N341" s="314"/>
      <c r="O341" s="314"/>
      <c r="P341" s="315"/>
      <c r="Q341" s="107">
        <f t="shared" si="26"/>
        <v>1</v>
      </c>
      <c r="R341" s="95"/>
      <c r="S341" s="281"/>
      <c r="T341" s="108"/>
      <c r="U341" s="313">
        <f t="shared" si="24"/>
        <v>166830</v>
      </c>
      <c r="V341" s="316"/>
      <c r="W341" s="314"/>
      <c r="X341" s="314"/>
      <c r="Y341" s="314"/>
      <c r="Z341" s="314">
        <f t="shared" si="25"/>
        <v>166350</v>
      </c>
      <c r="AA341" s="314"/>
      <c r="AB341" s="314"/>
      <c r="AC341" s="314"/>
      <c r="AD341" s="317"/>
      <c r="AG341" s="8"/>
      <c r="AH341" s="8"/>
      <c r="AI341" s="8"/>
      <c r="CB341" s="8"/>
      <c r="CC341" s="8"/>
      <c r="CD341" s="8"/>
      <c r="CE341" s="8"/>
    </row>
    <row r="342" spans="1:84" s="1" customFormat="1" ht="15.75" customHeight="1" x14ac:dyDescent="0.15">
      <c r="A342" s="73" t="str">
        <f>IF(F342="","×","")</f>
        <v/>
      </c>
      <c r="F342" s="111">
        <f>F276</f>
        <v>7</v>
      </c>
      <c r="G342" s="112"/>
      <c r="H342" s="112"/>
      <c r="I342" s="313">
        <f>IF(AD159="","",AD159*AG$202)</f>
        <v>329631.83299376065</v>
      </c>
      <c r="J342" s="314"/>
      <c r="K342" s="314"/>
      <c r="L342" s="314"/>
      <c r="M342" s="314">
        <f>IF(AD159="","",AD159*AG$203)</f>
        <v>328689.79475006182</v>
      </c>
      <c r="N342" s="314"/>
      <c r="O342" s="314"/>
      <c r="P342" s="315"/>
      <c r="Q342" s="107">
        <f t="shared" si="26"/>
        <v>1</v>
      </c>
      <c r="R342" s="95"/>
      <c r="S342" s="281"/>
      <c r="T342" s="108"/>
      <c r="U342" s="313">
        <f t="shared" si="24"/>
        <v>329630</v>
      </c>
      <c r="V342" s="316"/>
      <c r="W342" s="314"/>
      <c r="X342" s="314"/>
      <c r="Y342" s="314"/>
      <c r="Z342" s="314">
        <f t="shared" si="25"/>
        <v>328690</v>
      </c>
      <c r="AA342" s="314"/>
      <c r="AB342" s="314"/>
      <c r="AC342" s="314"/>
      <c r="AD342" s="317"/>
      <c r="AG342" s="8"/>
      <c r="AH342" s="8"/>
      <c r="AI342" s="8"/>
      <c r="CB342" s="8"/>
      <c r="CC342" s="8"/>
      <c r="CD342" s="8"/>
      <c r="CE342" s="8"/>
    </row>
    <row r="343" spans="1:84" s="1" customFormat="1" ht="15.75" customHeight="1" x14ac:dyDescent="0.15">
      <c r="A343" s="73" t="str">
        <f>IF(F343="","×","")</f>
        <v>×</v>
      </c>
      <c r="F343" s="111" t="str">
        <f>F277</f>
        <v/>
      </c>
      <c r="G343" s="112"/>
      <c r="H343" s="112"/>
      <c r="I343" s="313" t="str">
        <f>IF(AD160="","",AD160*AG$202)</f>
        <v/>
      </c>
      <c r="J343" s="314"/>
      <c r="K343" s="314"/>
      <c r="L343" s="314"/>
      <c r="M343" s="314" t="str">
        <f>IF(AD160="","",AD160*AG$203)</f>
        <v/>
      </c>
      <c r="N343" s="314"/>
      <c r="O343" s="314"/>
      <c r="P343" s="315"/>
      <c r="Q343" s="107">
        <f t="shared" si="26"/>
        <v>1</v>
      </c>
      <c r="R343" s="95"/>
      <c r="S343" s="281"/>
      <c r="T343" s="108"/>
      <c r="U343" s="313" t="str">
        <f t="shared" si="24"/>
        <v/>
      </c>
      <c r="V343" s="316"/>
      <c r="W343" s="314"/>
      <c r="X343" s="314"/>
      <c r="Y343" s="314"/>
      <c r="Z343" s="314" t="str">
        <f t="shared" si="25"/>
        <v/>
      </c>
      <c r="AA343" s="314"/>
      <c r="AB343" s="314"/>
      <c r="AC343" s="314"/>
      <c r="AD343" s="317"/>
      <c r="AG343" s="8"/>
      <c r="AH343" s="8"/>
      <c r="AI343" s="8"/>
      <c r="CB343" s="8"/>
      <c r="CC343" s="8"/>
      <c r="CD343" s="8"/>
      <c r="CE343" s="8"/>
    </row>
    <row r="344" spans="1:84" s="1" customFormat="1" ht="15.75" customHeight="1" x14ac:dyDescent="0.15">
      <c r="A344" s="73" t="str">
        <f>IF(F344="","×","")</f>
        <v>×</v>
      </c>
      <c r="F344" s="111" t="str">
        <f>F278</f>
        <v/>
      </c>
      <c r="G344" s="112"/>
      <c r="H344" s="112"/>
      <c r="I344" s="313" t="str">
        <f>IF(AD161="","",AD161*AG$202)</f>
        <v/>
      </c>
      <c r="J344" s="314"/>
      <c r="K344" s="314"/>
      <c r="L344" s="314"/>
      <c r="M344" s="314" t="str">
        <f>IF(AD161="","",AD161*AG$203)</f>
        <v/>
      </c>
      <c r="N344" s="314"/>
      <c r="O344" s="314"/>
      <c r="P344" s="315"/>
      <c r="Q344" s="107">
        <f t="shared" si="26"/>
        <v>1</v>
      </c>
      <c r="R344" s="95"/>
      <c r="S344" s="281"/>
      <c r="T344" s="108"/>
      <c r="U344" s="313" t="str">
        <f t="shared" si="24"/>
        <v/>
      </c>
      <c r="V344" s="316"/>
      <c r="W344" s="314"/>
      <c r="X344" s="314"/>
      <c r="Y344" s="314"/>
      <c r="Z344" s="314" t="str">
        <f t="shared" si="25"/>
        <v/>
      </c>
      <c r="AA344" s="314"/>
      <c r="AB344" s="314"/>
      <c r="AC344" s="314"/>
      <c r="AD344" s="317"/>
      <c r="AG344" s="8"/>
      <c r="AH344" s="8"/>
      <c r="AI344" s="8"/>
      <c r="CB344" s="8"/>
      <c r="CC344" s="8"/>
      <c r="CD344" s="8"/>
      <c r="CE344" s="8"/>
    </row>
    <row r="345" spans="1:84" s="1" customFormat="1" ht="15.75" customHeight="1" x14ac:dyDescent="0.15">
      <c r="A345" s="73" t="str">
        <f>IF(F345="","×","")</f>
        <v>×</v>
      </c>
      <c r="F345" s="111" t="str">
        <f>F279</f>
        <v/>
      </c>
      <c r="G345" s="112"/>
      <c r="H345" s="112"/>
      <c r="I345" s="313" t="str">
        <f>IF(AD162="","",AD162*AG$202)</f>
        <v/>
      </c>
      <c r="J345" s="314"/>
      <c r="K345" s="314"/>
      <c r="L345" s="314"/>
      <c r="M345" s="314" t="str">
        <f>IF(AD162="","",AD162*AG$203)</f>
        <v/>
      </c>
      <c r="N345" s="314"/>
      <c r="O345" s="314"/>
      <c r="P345" s="315"/>
      <c r="Q345" s="107">
        <f t="shared" si="26"/>
        <v>1</v>
      </c>
      <c r="R345" s="95"/>
      <c r="S345" s="281"/>
      <c r="T345" s="108"/>
      <c r="U345" s="313" t="str">
        <f t="shared" si="24"/>
        <v/>
      </c>
      <c r="V345" s="316"/>
      <c r="W345" s="314"/>
      <c r="X345" s="314"/>
      <c r="Y345" s="314"/>
      <c r="Z345" s="314" t="str">
        <f t="shared" si="25"/>
        <v/>
      </c>
      <c r="AA345" s="314"/>
      <c r="AB345" s="314"/>
      <c r="AC345" s="314"/>
      <c r="AD345" s="317"/>
      <c r="AG345" s="8"/>
      <c r="AH345" s="8"/>
      <c r="AI345" s="8"/>
      <c r="CB345" s="8"/>
      <c r="CC345" s="8"/>
      <c r="CD345" s="8"/>
      <c r="CE345" s="8"/>
    </row>
    <row r="346" spans="1:84" s="1" customFormat="1" ht="15.75" customHeight="1" x14ac:dyDescent="0.15">
      <c r="A346" s="73" t="str">
        <f>IF(F346="","×","")</f>
        <v>×</v>
      </c>
      <c r="F346" s="111" t="str">
        <f>F280</f>
        <v/>
      </c>
      <c r="G346" s="112"/>
      <c r="H346" s="112"/>
      <c r="I346" s="313" t="str">
        <f>IF(AD163="","",AD163*AG$202)</f>
        <v/>
      </c>
      <c r="J346" s="314"/>
      <c r="K346" s="314"/>
      <c r="L346" s="314"/>
      <c r="M346" s="314" t="str">
        <f>IF(AD163="","",AD163*AG$203)</f>
        <v/>
      </c>
      <c r="N346" s="314"/>
      <c r="O346" s="314"/>
      <c r="P346" s="315"/>
      <c r="Q346" s="107">
        <f t="shared" si="26"/>
        <v>1</v>
      </c>
      <c r="R346" s="95"/>
      <c r="S346" s="281"/>
      <c r="T346" s="108"/>
      <c r="U346" s="313" t="str">
        <f t="shared" si="24"/>
        <v/>
      </c>
      <c r="V346" s="316"/>
      <c r="W346" s="314"/>
      <c r="X346" s="314"/>
      <c r="Y346" s="314"/>
      <c r="Z346" s="314" t="str">
        <f t="shared" si="25"/>
        <v/>
      </c>
      <c r="AA346" s="314"/>
      <c r="AB346" s="314"/>
      <c r="AC346" s="314"/>
      <c r="AD346" s="317"/>
      <c r="AG346" s="8"/>
      <c r="AH346" s="8"/>
      <c r="AI346" s="8"/>
      <c r="CB346" s="8"/>
      <c r="CC346" s="8"/>
      <c r="CD346" s="8"/>
      <c r="CE346" s="8"/>
    </row>
    <row r="347" spans="1:84" s="1" customFormat="1" ht="15.75" customHeight="1" x14ac:dyDescent="0.15">
      <c r="A347" s="73" t="str">
        <f>IF(F347="","×","")</f>
        <v>×</v>
      </c>
      <c r="F347" s="111" t="str">
        <f>F281</f>
        <v/>
      </c>
      <c r="G347" s="112"/>
      <c r="H347" s="112"/>
      <c r="I347" s="313" t="str">
        <f>IF(AD164="","",AD164*AG$202)</f>
        <v/>
      </c>
      <c r="J347" s="314"/>
      <c r="K347" s="314"/>
      <c r="L347" s="314"/>
      <c r="M347" s="314" t="str">
        <f>IF(AD164="","",AD164*AG$203)</f>
        <v/>
      </c>
      <c r="N347" s="314"/>
      <c r="O347" s="314"/>
      <c r="P347" s="315"/>
      <c r="Q347" s="107">
        <f t="shared" si="26"/>
        <v>1</v>
      </c>
      <c r="R347" s="95"/>
      <c r="S347" s="281"/>
      <c r="T347" s="108"/>
      <c r="U347" s="313" t="str">
        <f t="shared" si="24"/>
        <v/>
      </c>
      <c r="V347" s="316"/>
      <c r="W347" s="314"/>
      <c r="X347" s="314"/>
      <c r="Y347" s="314"/>
      <c r="Z347" s="314" t="str">
        <f t="shared" si="25"/>
        <v/>
      </c>
      <c r="AA347" s="314"/>
      <c r="AB347" s="314"/>
      <c r="AC347" s="314"/>
      <c r="AD347" s="317"/>
      <c r="AG347" s="8"/>
      <c r="AH347" s="8"/>
      <c r="AI347" s="8"/>
      <c r="CB347" s="8"/>
      <c r="CC347" s="8"/>
      <c r="CD347" s="8"/>
      <c r="CE347" s="8"/>
    </row>
    <row r="348" spans="1:84" s="1" customFormat="1" ht="15.75" customHeight="1" x14ac:dyDescent="0.15">
      <c r="A348" s="73" t="str">
        <f>IF(F348="","×","")</f>
        <v>×</v>
      </c>
      <c r="F348" s="111" t="str">
        <f>F282</f>
        <v/>
      </c>
      <c r="G348" s="112"/>
      <c r="H348" s="112"/>
      <c r="I348" s="313" t="str">
        <f>IF(AD165="","",AD165*AG$202)</f>
        <v/>
      </c>
      <c r="J348" s="314"/>
      <c r="K348" s="314"/>
      <c r="L348" s="314"/>
      <c r="M348" s="314" t="str">
        <f>IF(AD165="","",AD165*AG$203)</f>
        <v/>
      </c>
      <c r="N348" s="314"/>
      <c r="O348" s="314"/>
      <c r="P348" s="315"/>
      <c r="Q348" s="107">
        <f t="shared" si="26"/>
        <v>1</v>
      </c>
      <c r="R348" s="95"/>
      <c r="S348" s="281"/>
      <c r="T348" s="108"/>
      <c r="U348" s="313" t="str">
        <f t="shared" si="24"/>
        <v/>
      </c>
      <c r="V348" s="316"/>
      <c r="W348" s="314"/>
      <c r="X348" s="314"/>
      <c r="Y348" s="314"/>
      <c r="Z348" s="314" t="str">
        <f t="shared" si="25"/>
        <v/>
      </c>
      <c r="AA348" s="314"/>
      <c r="AB348" s="314"/>
      <c r="AC348" s="314"/>
      <c r="AD348" s="317"/>
      <c r="AG348" s="8"/>
      <c r="AH348" s="8"/>
      <c r="AI348" s="8"/>
      <c r="CB348" s="8"/>
      <c r="CC348" s="8"/>
      <c r="CD348" s="8"/>
      <c r="CE348" s="8"/>
    </row>
    <row r="349" spans="1:84" s="1" customFormat="1" ht="15.75" customHeight="1" x14ac:dyDescent="0.15">
      <c r="A349" s="73" t="str">
        <f>IF(F349="","×","")</f>
        <v>×</v>
      </c>
      <c r="F349" s="111" t="str">
        <f>F283</f>
        <v/>
      </c>
      <c r="G349" s="112"/>
      <c r="H349" s="112"/>
      <c r="I349" s="313" t="str">
        <f>IF(AD166="","",AD166*AG$202)</f>
        <v/>
      </c>
      <c r="J349" s="314"/>
      <c r="K349" s="314"/>
      <c r="L349" s="314"/>
      <c r="M349" s="314" t="str">
        <f>IF(AD166="","",AD166*AG$203)</f>
        <v/>
      </c>
      <c r="N349" s="314"/>
      <c r="O349" s="314"/>
      <c r="P349" s="315"/>
      <c r="Q349" s="107">
        <f t="shared" si="26"/>
        <v>1</v>
      </c>
      <c r="R349" s="95"/>
      <c r="S349" s="281"/>
      <c r="T349" s="108"/>
      <c r="U349" s="313" t="str">
        <f t="shared" si="24"/>
        <v/>
      </c>
      <c r="V349" s="316"/>
      <c r="W349" s="314"/>
      <c r="X349" s="314"/>
      <c r="Y349" s="314"/>
      <c r="Z349" s="314" t="str">
        <f t="shared" si="25"/>
        <v/>
      </c>
      <c r="AA349" s="314"/>
      <c r="AB349" s="314"/>
      <c r="AC349" s="314"/>
      <c r="AD349" s="317"/>
      <c r="AG349" s="8"/>
      <c r="AH349" s="8"/>
      <c r="AI349" s="8"/>
      <c r="CB349" s="8"/>
      <c r="CC349" s="8"/>
      <c r="CD349" s="8"/>
      <c r="CE349" s="8"/>
    </row>
    <row r="350" spans="1:84" s="1" customFormat="1" ht="15.75" customHeight="1" x14ac:dyDescent="0.15">
      <c r="A350" s="73" t="str">
        <f>IF(F350="","×","")</f>
        <v>×</v>
      </c>
      <c r="F350" s="111" t="str">
        <f>F284</f>
        <v/>
      </c>
      <c r="G350" s="112"/>
      <c r="H350" s="112"/>
      <c r="I350" s="313" t="str">
        <f>IF(AD167="","",AD167*AG$202)</f>
        <v/>
      </c>
      <c r="J350" s="314"/>
      <c r="K350" s="314"/>
      <c r="L350" s="314"/>
      <c r="M350" s="314" t="str">
        <f>IF(AD167="","",AD167*AG$203)</f>
        <v/>
      </c>
      <c r="N350" s="314"/>
      <c r="O350" s="314"/>
      <c r="P350" s="315"/>
      <c r="Q350" s="107">
        <f t="shared" si="26"/>
        <v>1</v>
      </c>
      <c r="R350" s="95"/>
      <c r="S350" s="281"/>
      <c r="T350" s="108"/>
      <c r="U350" s="313" t="str">
        <f t="shared" si="24"/>
        <v/>
      </c>
      <c r="V350" s="316"/>
      <c r="W350" s="314"/>
      <c r="X350" s="314"/>
      <c r="Y350" s="314"/>
      <c r="Z350" s="314" t="str">
        <f t="shared" si="25"/>
        <v/>
      </c>
      <c r="AA350" s="314"/>
      <c r="AB350" s="314"/>
      <c r="AC350" s="314"/>
      <c r="AD350" s="317"/>
      <c r="AG350" s="8"/>
      <c r="AH350" s="8"/>
      <c r="AI350" s="8"/>
      <c r="CB350" s="8"/>
      <c r="CC350" s="8"/>
      <c r="CD350" s="8"/>
      <c r="CE350" s="8"/>
    </row>
    <row r="351" spans="1:84" s="1" customFormat="1" ht="15.75" customHeight="1" x14ac:dyDescent="0.15">
      <c r="A351" s="73" t="str">
        <f>IF(F351="","×","")</f>
        <v>×</v>
      </c>
      <c r="F351" s="111" t="str">
        <f>F285</f>
        <v/>
      </c>
      <c r="G351" s="112"/>
      <c r="H351" s="112"/>
      <c r="I351" s="313" t="str">
        <f>IF(AD168="","",AD168*AG$202)</f>
        <v/>
      </c>
      <c r="J351" s="314"/>
      <c r="K351" s="314"/>
      <c r="L351" s="314"/>
      <c r="M351" s="314" t="str">
        <f>IF(AD168="","",AD168*AG$203)</f>
        <v/>
      </c>
      <c r="N351" s="314"/>
      <c r="O351" s="314"/>
      <c r="P351" s="315"/>
      <c r="Q351" s="107">
        <f t="shared" si="26"/>
        <v>1</v>
      </c>
      <c r="R351" s="95"/>
      <c r="S351" s="281"/>
      <c r="T351" s="108"/>
      <c r="U351" s="313" t="str">
        <f t="shared" si="24"/>
        <v/>
      </c>
      <c r="V351" s="316"/>
      <c r="W351" s="314"/>
      <c r="X351" s="314"/>
      <c r="Y351" s="314"/>
      <c r="Z351" s="314" t="str">
        <f t="shared" si="25"/>
        <v/>
      </c>
      <c r="AA351" s="314"/>
      <c r="AB351" s="314"/>
      <c r="AC351" s="314"/>
      <c r="AD351" s="317"/>
      <c r="AG351" s="8"/>
      <c r="AH351" s="8"/>
      <c r="AI351" s="8"/>
      <c r="CB351" s="8"/>
      <c r="CC351" s="8"/>
      <c r="CD351" s="8"/>
      <c r="CE351" s="8"/>
    </row>
    <row r="352" spans="1:84" s="1" customFormat="1" ht="15.75" customHeight="1" x14ac:dyDescent="0.15">
      <c r="A352" s="73" t="str">
        <f>IF(F352="","×","")</f>
        <v>×</v>
      </c>
      <c r="F352" s="111" t="str">
        <f>F286</f>
        <v/>
      </c>
      <c r="G352" s="112"/>
      <c r="H352" s="112"/>
      <c r="I352" s="313" t="str">
        <f>IF(AD169="","",AD169*AG$202)</f>
        <v/>
      </c>
      <c r="J352" s="314"/>
      <c r="K352" s="314"/>
      <c r="L352" s="314"/>
      <c r="M352" s="314" t="str">
        <f>IF(AD169="","",AD169*AG$203)</f>
        <v/>
      </c>
      <c r="N352" s="314"/>
      <c r="O352" s="314"/>
      <c r="P352" s="315"/>
      <c r="Q352" s="107">
        <f t="shared" si="26"/>
        <v>1</v>
      </c>
      <c r="R352" s="95"/>
      <c r="S352" s="281"/>
      <c r="T352" s="108"/>
      <c r="U352" s="313" t="str">
        <f t="shared" si="24"/>
        <v/>
      </c>
      <c r="V352" s="316"/>
      <c r="W352" s="314"/>
      <c r="X352" s="314"/>
      <c r="Y352" s="314"/>
      <c r="Z352" s="314" t="str">
        <f t="shared" si="25"/>
        <v/>
      </c>
      <c r="AA352" s="314"/>
      <c r="AB352" s="314"/>
      <c r="AC352" s="314"/>
      <c r="AD352" s="317"/>
      <c r="AG352" s="8"/>
      <c r="AH352" s="8"/>
      <c r="AI352" s="8"/>
      <c r="CB352" s="8"/>
      <c r="CC352" s="8"/>
      <c r="CD352" s="8"/>
      <c r="CE352" s="8"/>
    </row>
    <row r="353" spans="1:83" s="1" customFormat="1" ht="15.75" customHeight="1" x14ac:dyDescent="0.15">
      <c r="A353" s="73" t="str">
        <f>IF(F353="","×","")</f>
        <v>×</v>
      </c>
      <c r="F353" s="114" t="str">
        <f>F287</f>
        <v/>
      </c>
      <c r="G353" s="115"/>
      <c r="H353" s="115"/>
      <c r="I353" s="318" t="str">
        <f>IF(AD170="","",AD170*AG$202)</f>
        <v/>
      </c>
      <c r="J353" s="319"/>
      <c r="K353" s="319"/>
      <c r="L353" s="319"/>
      <c r="M353" s="319" t="str">
        <f>IF(AD170="","",AD170*AG$203)</f>
        <v/>
      </c>
      <c r="N353" s="319"/>
      <c r="O353" s="319"/>
      <c r="P353" s="320"/>
      <c r="Q353" s="109">
        <f t="shared" si="26"/>
        <v>1</v>
      </c>
      <c r="R353" s="100"/>
      <c r="S353" s="282"/>
      <c r="T353" s="110"/>
      <c r="U353" s="318" t="str">
        <f t="shared" si="24"/>
        <v/>
      </c>
      <c r="V353" s="321"/>
      <c r="W353" s="319"/>
      <c r="X353" s="319"/>
      <c r="Y353" s="319"/>
      <c r="Z353" s="319" t="str">
        <f t="shared" si="25"/>
        <v/>
      </c>
      <c r="AA353" s="319"/>
      <c r="AB353" s="319"/>
      <c r="AC353" s="319"/>
      <c r="AD353" s="322"/>
      <c r="AG353" s="8"/>
      <c r="AH353" s="8"/>
      <c r="AI353" s="8"/>
      <c r="CB353" s="8"/>
      <c r="CC353" s="8"/>
      <c r="CD353" s="8"/>
      <c r="CE353" s="8"/>
    </row>
    <row r="354" spans="1:83" s="1" customFormat="1" ht="15.75" customHeight="1" x14ac:dyDescent="0.15">
      <c r="F354" s="76"/>
      <c r="G354" s="76"/>
      <c r="H354" s="9"/>
      <c r="I354" s="323"/>
      <c r="J354" s="323"/>
      <c r="K354" s="323"/>
      <c r="L354" s="323"/>
      <c r="M354" s="323"/>
      <c r="N354" s="323"/>
      <c r="O354" s="323"/>
      <c r="P354" s="9"/>
      <c r="Q354" s="9"/>
      <c r="R354" s="9"/>
      <c r="S354" s="9"/>
      <c r="T354" s="323"/>
      <c r="U354" s="323"/>
      <c r="V354" s="323"/>
      <c r="W354" s="323"/>
      <c r="X354" s="323"/>
      <c r="Y354" s="323"/>
      <c r="Z354" s="323"/>
      <c r="AA354" s="323"/>
      <c r="AB354" s="323"/>
      <c r="AC354" s="323"/>
      <c r="AG354" s="8"/>
      <c r="AH354" s="8"/>
      <c r="AI354" s="8"/>
      <c r="CB354" s="8"/>
      <c r="CC354" s="8"/>
      <c r="CD354" s="8"/>
      <c r="CE354" s="8"/>
    </row>
    <row r="355" spans="1:83" s="1" customFormat="1" ht="15.75" customHeight="1" x14ac:dyDescent="0.15">
      <c r="F355" s="76"/>
      <c r="G355" s="76"/>
      <c r="H355" s="9"/>
      <c r="I355" s="323"/>
      <c r="J355" s="323"/>
      <c r="K355" s="323"/>
      <c r="L355" s="323"/>
      <c r="M355" s="323"/>
      <c r="N355" s="323"/>
      <c r="O355" s="323"/>
      <c r="P355" s="9"/>
      <c r="Q355" s="9"/>
      <c r="R355" s="9"/>
      <c r="S355" s="9"/>
      <c r="T355" s="323"/>
      <c r="U355" s="323"/>
      <c r="V355" s="323"/>
      <c r="W355" s="323"/>
      <c r="X355" s="323"/>
      <c r="Y355" s="323"/>
      <c r="Z355" s="323"/>
      <c r="AA355" s="323"/>
      <c r="AB355" s="323"/>
      <c r="AC355" s="323"/>
      <c r="AG355" s="8"/>
      <c r="AH355" s="8"/>
      <c r="AI355" s="8"/>
      <c r="CB355" s="8"/>
      <c r="CC355" s="8"/>
      <c r="CD355" s="8"/>
      <c r="CE355" s="8"/>
    </row>
    <row r="356" spans="1:83" s="1" customFormat="1" ht="15.75" customHeight="1" x14ac:dyDescent="0.15">
      <c r="F356" s="76"/>
      <c r="G356" s="76"/>
      <c r="H356" s="9"/>
      <c r="I356" s="323"/>
      <c r="J356" s="323"/>
      <c r="K356" s="323"/>
      <c r="L356" s="323"/>
      <c r="M356" s="323"/>
      <c r="N356" s="323"/>
      <c r="O356" s="323"/>
      <c r="P356" s="9"/>
      <c r="Q356" s="9"/>
      <c r="R356" s="9"/>
      <c r="S356" s="9"/>
      <c r="T356" s="323"/>
      <c r="U356" s="323"/>
      <c r="V356" s="323"/>
      <c r="W356" s="323"/>
      <c r="X356" s="323"/>
      <c r="Y356" s="323"/>
      <c r="Z356" s="323"/>
      <c r="AA356" s="323"/>
      <c r="AB356" s="323"/>
      <c r="AC356" s="323"/>
      <c r="AG356" s="8"/>
      <c r="AH356" s="8"/>
      <c r="AI356" s="8"/>
      <c r="CB356" s="8"/>
      <c r="CC356" s="8"/>
      <c r="CD356" s="8"/>
      <c r="CE356" s="8"/>
    </row>
    <row r="357" spans="1:83" s="1" customFormat="1" ht="15.75" customHeight="1" x14ac:dyDescent="0.15">
      <c r="F357" s="76"/>
      <c r="G357" s="76"/>
      <c r="H357" s="9"/>
      <c r="I357" s="323"/>
      <c r="J357" s="323"/>
      <c r="K357" s="323"/>
      <c r="L357" s="323"/>
      <c r="M357" s="323"/>
      <c r="N357" s="323"/>
      <c r="O357" s="323"/>
      <c r="P357" s="9"/>
      <c r="Q357" s="9"/>
      <c r="R357" s="9"/>
      <c r="S357" s="9"/>
      <c r="T357" s="323"/>
      <c r="U357" s="323"/>
      <c r="V357" s="323"/>
      <c r="W357" s="323"/>
      <c r="X357" s="323"/>
      <c r="Y357" s="323"/>
      <c r="Z357" s="323"/>
      <c r="AA357" s="323"/>
      <c r="AB357" s="323"/>
      <c r="AC357" s="323"/>
      <c r="AG357" s="8"/>
      <c r="AH357" s="8"/>
      <c r="AI357" s="8"/>
      <c r="CB357" s="8"/>
      <c r="CC357" s="8"/>
      <c r="CD357" s="8"/>
      <c r="CE357" s="8"/>
    </row>
    <row r="358" spans="1:83" s="1" customFormat="1" ht="15.75" customHeight="1" x14ac:dyDescent="0.15">
      <c r="F358" s="76"/>
      <c r="G358" s="76"/>
      <c r="H358" s="9"/>
      <c r="I358" s="323"/>
      <c r="J358" s="323"/>
      <c r="K358" s="323"/>
      <c r="L358" s="323"/>
      <c r="M358" s="323"/>
      <c r="N358" s="323"/>
      <c r="O358" s="323"/>
      <c r="P358" s="9"/>
      <c r="Q358" s="9"/>
      <c r="R358" s="9"/>
      <c r="S358" s="9"/>
      <c r="T358" s="323"/>
      <c r="U358" s="323"/>
      <c r="V358" s="323"/>
      <c r="W358" s="323"/>
      <c r="X358" s="323"/>
      <c r="Y358" s="323"/>
      <c r="Z358" s="323"/>
      <c r="AA358" s="323"/>
      <c r="AB358" s="323"/>
      <c r="AC358" s="323"/>
      <c r="AG358" s="8"/>
      <c r="AH358" s="8"/>
      <c r="AI358" s="8"/>
      <c r="CB358" s="8"/>
      <c r="CC358" s="8"/>
      <c r="CD358" s="8"/>
      <c r="CE358" s="8"/>
    </row>
    <row r="359" spans="1:83" s="1" customFormat="1" ht="15.75" customHeight="1" x14ac:dyDescent="0.15">
      <c r="F359" s="76"/>
      <c r="G359" s="76"/>
      <c r="H359" s="9"/>
      <c r="I359" s="323"/>
      <c r="J359" s="323"/>
      <c r="K359" s="323"/>
      <c r="L359" s="323"/>
      <c r="M359" s="323"/>
      <c r="N359" s="323"/>
      <c r="O359" s="323"/>
      <c r="P359" s="9"/>
      <c r="Q359" s="9"/>
      <c r="R359" s="9"/>
      <c r="S359" s="9"/>
      <c r="T359" s="323"/>
      <c r="U359" s="323"/>
      <c r="V359" s="323"/>
      <c r="W359" s="323"/>
      <c r="X359" s="323"/>
      <c r="Y359" s="323"/>
      <c r="Z359" s="323"/>
      <c r="AA359" s="323"/>
      <c r="AB359" s="323"/>
      <c r="AC359" s="323"/>
      <c r="AG359" s="8"/>
      <c r="AH359" s="8"/>
      <c r="AI359" s="8"/>
      <c r="CB359" s="8"/>
      <c r="CC359" s="8"/>
      <c r="CD359" s="8"/>
      <c r="CE359" s="8"/>
    </row>
    <row r="360" spans="1:83" s="1" customFormat="1" ht="15.75" customHeight="1" x14ac:dyDescent="0.15">
      <c r="F360" s="76"/>
      <c r="G360" s="76"/>
      <c r="H360" s="9"/>
      <c r="I360" s="323"/>
      <c r="J360" s="323"/>
      <c r="K360" s="323"/>
      <c r="L360" s="323"/>
      <c r="M360" s="323"/>
      <c r="N360" s="323"/>
      <c r="O360" s="323"/>
      <c r="P360" s="9"/>
      <c r="Q360" s="9"/>
      <c r="R360" s="9"/>
      <c r="S360" s="9"/>
      <c r="T360" s="323"/>
      <c r="U360" s="323"/>
      <c r="V360" s="323"/>
      <c r="W360" s="323"/>
      <c r="X360" s="323"/>
      <c r="Y360" s="323"/>
      <c r="Z360" s="323"/>
      <c r="AA360" s="323"/>
      <c r="AB360" s="323"/>
      <c r="AC360" s="323"/>
      <c r="AG360" s="8"/>
      <c r="AH360" s="8"/>
      <c r="AI360" s="8"/>
      <c r="CB360" s="8"/>
      <c r="CC360" s="8"/>
      <c r="CD360" s="8"/>
      <c r="CE360" s="8"/>
    </row>
    <row r="361" spans="1:83" s="1" customFormat="1" ht="15.75" customHeight="1" x14ac:dyDescent="0.15">
      <c r="A361" s="73" t="str">
        <f>IF(A$289="","","×")</f>
        <v>×</v>
      </c>
      <c r="F361" s="76"/>
      <c r="G361" s="76"/>
      <c r="H361" s="9"/>
      <c r="I361" s="323"/>
      <c r="J361" s="323"/>
      <c r="K361" s="323"/>
      <c r="L361" s="323"/>
      <c r="M361" s="323"/>
      <c r="N361" s="323"/>
      <c r="O361" s="323"/>
      <c r="P361" s="9"/>
      <c r="Q361" s="9"/>
      <c r="R361" s="9"/>
      <c r="S361" s="9"/>
      <c r="T361" s="323"/>
      <c r="U361" s="323"/>
      <c r="V361" s="323"/>
      <c r="W361" s="323"/>
      <c r="X361" s="323"/>
      <c r="Y361" s="323"/>
      <c r="Z361" s="323"/>
      <c r="AA361" s="323"/>
      <c r="AB361" s="323"/>
      <c r="AC361" s="323"/>
      <c r="AG361" s="8"/>
      <c r="AH361" s="8"/>
      <c r="AI361" s="8"/>
      <c r="CB361" s="8"/>
      <c r="CC361" s="8"/>
      <c r="CD361" s="8"/>
      <c r="CE361" s="8"/>
    </row>
    <row r="362" spans="1:83" s="1" customFormat="1" ht="15.75" customHeight="1" x14ac:dyDescent="0.15">
      <c r="A362" s="73" t="str">
        <f>IF(A$289="","","×")</f>
        <v>×</v>
      </c>
      <c r="B362" s="76"/>
      <c r="E362" s="8"/>
      <c r="F362" s="61" t="s">
        <v>540</v>
      </c>
      <c r="G362" s="61"/>
      <c r="H362" s="61"/>
      <c r="I362" s="61"/>
      <c r="J362" s="61"/>
      <c r="K362" s="61"/>
      <c r="L362" s="61"/>
      <c r="M362" s="61"/>
      <c r="N362" s="61"/>
      <c r="O362" s="61"/>
      <c r="P362" s="61"/>
      <c r="Q362" s="61"/>
      <c r="R362" s="61"/>
      <c r="S362" s="61"/>
      <c r="T362" s="61"/>
      <c r="U362" s="61"/>
      <c r="V362" s="61"/>
      <c r="W362" s="61"/>
      <c r="X362" s="61"/>
      <c r="Y362" s="61"/>
      <c r="Z362" s="61"/>
      <c r="AA362" s="61"/>
      <c r="AB362" s="62"/>
      <c r="AC362" s="62"/>
      <c r="AD362" s="62"/>
    </row>
    <row r="363" spans="1:83" s="1" customFormat="1" ht="15.75" customHeight="1" x14ac:dyDescent="0.15">
      <c r="A363" s="73" t="str">
        <f t="shared" ref="A363:A365" si="27">IF(A$289="","","×")</f>
        <v>×</v>
      </c>
      <c r="F363" s="126" t="s">
        <v>78</v>
      </c>
      <c r="G363" s="126"/>
      <c r="H363" s="105"/>
      <c r="I363" s="105" t="s">
        <v>535</v>
      </c>
      <c r="J363" s="105"/>
      <c r="K363" s="105"/>
      <c r="L363" s="105"/>
      <c r="M363" s="105" t="s">
        <v>534</v>
      </c>
      <c r="N363" s="105"/>
      <c r="O363" s="105"/>
      <c r="P363" s="129"/>
      <c r="Q363" s="273" t="s">
        <v>536</v>
      </c>
      <c r="R363" s="131"/>
      <c r="S363" s="131"/>
      <c r="T363" s="131"/>
      <c r="U363" s="131"/>
      <c r="V363" s="131"/>
      <c r="W363" s="131"/>
      <c r="X363" s="131"/>
      <c r="Y363" s="131"/>
      <c r="Z363" s="131"/>
      <c r="AA363" s="131"/>
      <c r="AB363" s="131"/>
      <c r="AC363" s="131"/>
      <c r="AD363" s="132"/>
    </row>
    <row r="364" spans="1:83" s="1" customFormat="1" ht="15.75" customHeight="1" x14ac:dyDescent="0.15">
      <c r="A364" s="73" t="str">
        <f t="shared" si="27"/>
        <v>×</v>
      </c>
      <c r="F364" s="127"/>
      <c r="G364" s="127"/>
      <c r="H364" s="122"/>
      <c r="I364" s="122"/>
      <c r="J364" s="122"/>
      <c r="K364" s="122"/>
      <c r="L364" s="122"/>
      <c r="M364" s="122"/>
      <c r="N364" s="122"/>
      <c r="O364" s="122"/>
      <c r="P364" s="123"/>
      <c r="Q364" s="218" t="s">
        <v>537</v>
      </c>
      <c r="R364" s="122"/>
      <c r="S364" s="122"/>
      <c r="T364" s="122"/>
      <c r="U364" s="122" t="s">
        <v>531</v>
      </c>
      <c r="V364" s="122"/>
      <c r="W364" s="122"/>
      <c r="X364" s="122"/>
      <c r="Y364" s="122"/>
      <c r="Z364" s="122" t="s">
        <v>532</v>
      </c>
      <c r="AA364" s="122"/>
      <c r="AB364" s="122"/>
      <c r="AC364" s="122"/>
      <c r="AD364" s="123"/>
    </row>
    <row r="365" spans="1:83" s="1" customFormat="1" ht="15.75" customHeight="1" x14ac:dyDescent="0.15">
      <c r="A365" s="73" t="str">
        <f t="shared" si="27"/>
        <v>×</v>
      </c>
      <c r="F365" s="128"/>
      <c r="G365" s="128"/>
      <c r="H365" s="106"/>
      <c r="I365" s="106"/>
      <c r="J365" s="106"/>
      <c r="K365" s="106"/>
      <c r="L365" s="106"/>
      <c r="M365" s="106"/>
      <c r="N365" s="106"/>
      <c r="O365" s="106"/>
      <c r="P365" s="124"/>
      <c r="Q365" s="226"/>
      <c r="R365" s="106"/>
      <c r="S365" s="106"/>
      <c r="T365" s="106"/>
      <c r="U365" s="106"/>
      <c r="V365" s="106"/>
      <c r="W365" s="106"/>
      <c r="X365" s="106"/>
      <c r="Y365" s="106"/>
      <c r="Z365" s="106"/>
      <c r="AA365" s="106"/>
      <c r="AB365" s="106"/>
      <c r="AC365" s="106"/>
      <c r="AD365" s="124"/>
    </row>
    <row r="366" spans="1:83" s="1" customFormat="1" ht="15.75" customHeight="1" x14ac:dyDescent="0.15">
      <c r="A366" s="73" t="str">
        <f>IF(A$289="",IF(F366="","×",""),"×")</f>
        <v>×</v>
      </c>
      <c r="B366" s="76"/>
      <c r="F366" s="117">
        <f>F338</f>
        <v>3</v>
      </c>
      <c r="G366" s="117"/>
      <c r="H366" s="118"/>
      <c r="I366" s="309">
        <f>I338</f>
        <v>50041.101063677925</v>
      </c>
      <c r="J366" s="309"/>
      <c r="K366" s="309"/>
      <c r="L366" s="309"/>
      <c r="M366" s="309">
        <f>M338</f>
        <v>49898.091116699667</v>
      </c>
      <c r="N366" s="309"/>
      <c r="O366" s="309"/>
      <c r="P366" s="312"/>
      <c r="Q366" s="399">
        <f>Q294</f>
        <v>1</v>
      </c>
      <c r="R366" s="118"/>
      <c r="S366" s="118"/>
      <c r="T366" s="118"/>
      <c r="U366" s="350">
        <f>IF(I366="","",ROUND(I366*Q366,-1))</f>
        <v>50040</v>
      </c>
      <c r="V366" s="350"/>
      <c r="W366" s="350"/>
      <c r="X366" s="350"/>
      <c r="Y366" s="350"/>
      <c r="Z366" s="350">
        <f>IF(M366="","",ROUND(M366*Q366,-1))</f>
        <v>49900</v>
      </c>
      <c r="AA366" s="350"/>
      <c r="AB366" s="350"/>
      <c r="AC366" s="350"/>
      <c r="AD366" s="352"/>
    </row>
    <row r="367" spans="1:83" s="1" customFormat="1" ht="15.75" customHeight="1" x14ac:dyDescent="0.15">
      <c r="A367" s="73" t="str">
        <f>IF(A$289="",IF(F367="","×",""),"×")</f>
        <v>×</v>
      </c>
      <c r="B367" s="76"/>
      <c r="F367" s="119">
        <f>F339</f>
        <v>4</v>
      </c>
      <c r="G367" s="119"/>
      <c r="H367" s="120"/>
      <c r="I367" s="314">
        <f>I339</f>
        <v>102812.36988100948</v>
      </c>
      <c r="J367" s="314"/>
      <c r="K367" s="314"/>
      <c r="L367" s="314"/>
      <c r="M367" s="314">
        <f>M339</f>
        <v>102518.54757788546</v>
      </c>
      <c r="N367" s="314"/>
      <c r="O367" s="314"/>
      <c r="P367" s="317"/>
      <c r="Q367" s="400">
        <f>Q295</f>
        <v>1</v>
      </c>
      <c r="R367" s="120"/>
      <c r="S367" s="120"/>
      <c r="T367" s="120"/>
      <c r="U367" s="354">
        <f>IF(I367="","",ROUND(I367*Q367,-1))</f>
        <v>102810</v>
      </c>
      <c r="V367" s="354"/>
      <c r="W367" s="354"/>
      <c r="X367" s="354"/>
      <c r="Y367" s="354"/>
      <c r="Z367" s="354">
        <f>IF(M367="","",ROUND(M367*Q367,-1))</f>
        <v>102520</v>
      </c>
      <c r="AA367" s="354"/>
      <c r="AB367" s="354"/>
      <c r="AC367" s="354"/>
      <c r="AD367" s="356"/>
    </row>
    <row r="368" spans="1:83" s="1" customFormat="1" ht="15.75" customHeight="1" x14ac:dyDescent="0.15">
      <c r="A368" s="73" t="str">
        <f>IF(A$289="",IF(F368="","×",""),"×")</f>
        <v>×</v>
      </c>
      <c r="B368" s="76"/>
      <c r="F368" s="119">
        <f>F340</f>
        <v>5</v>
      </c>
      <c r="G368" s="119"/>
      <c r="H368" s="120"/>
      <c r="I368" s="314">
        <f>I340</f>
        <v>117002.05754802511</v>
      </c>
      <c r="J368" s="314"/>
      <c r="K368" s="314"/>
      <c r="L368" s="314"/>
      <c r="M368" s="314">
        <f>M340</f>
        <v>116667.68324988573</v>
      </c>
      <c r="N368" s="314"/>
      <c r="O368" s="314"/>
      <c r="P368" s="317"/>
      <c r="Q368" s="400">
        <f>Q296</f>
        <v>1</v>
      </c>
      <c r="R368" s="120"/>
      <c r="S368" s="120"/>
      <c r="T368" s="120"/>
      <c r="U368" s="354">
        <f>IF(I368="","",ROUND(I368*Q368,-1))</f>
        <v>117000</v>
      </c>
      <c r="V368" s="354"/>
      <c r="W368" s="354"/>
      <c r="X368" s="354"/>
      <c r="Y368" s="354"/>
      <c r="Z368" s="354">
        <f>IF(M368="","",ROUND(M368*Q368,-1))</f>
        <v>116670</v>
      </c>
      <c r="AA368" s="354"/>
      <c r="AB368" s="354"/>
      <c r="AC368" s="354"/>
      <c r="AD368" s="356"/>
    </row>
    <row r="369" spans="1:80" s="1" customFormat="1" ht="15.75" customHeight="1" x14ac:dyDescent="0.15">
      <c r="A369" s="73" t="str">
        <f>IF(A$289="",IF(F369="","×",""),"×")</f>
        <v>×</v>
      </c>
      <c r="B369" s="76"/>
      <c r="F369" s="119">
        <f>F341</f>
        <v>6</v>
      </c>
      <c r="G369" s="119"/>
      <c r="H369" s="120"/>
      <c r="I369" s="314">
        <f>I341</f>
        <v>166827.61905220407</v>
      </c>
      <c r="J369" s="314"/>
      <c r="K369" s="314"/>
      <c r="L369" s="314"/>
      <c r="M369" s="314">
        <f>M341</f>
        <v>166350.85078675754</v>
      </c>
      <c r="N369" s="314"/>
      <c r="O369" s="314"/>
      <c r="P369" s="317"/>
      <c r="Q369" s="400">
        <f>Q297</f>
        <v>1</v>
      </c>
      <c r="R369" s="120"/>
      <c r="S369" s="120"/>
      <c r="T369" s="120"/>
      <c r="U369" s="354">
        <f>IF(I369="","",ROUND(I369*Q369,-1))</f>
        <v>166830</v>
      </c>
      <c r="V369" s="354"/>
      <c r="W369" s="354"/>
      <c r="X369" s="354"/>
      <c r="Y369" s="354"/>
      <c r="Z369" s="354">
        <f>IF(M369="","",ROUND(M369*Q369,-1))</f>
        <v>166350</v>
      </c>
      <c r="AA369" s="354"/>
      <c r="AB369" s="354"/>
      <c r="AC369" s="354"/>
      <c r="AD369" s="356"/>
    </row>
    <row r="370" spans="1:80" s="1" customFormat="1" ht="15.75" customHeight="1" x14ac:dyDescent="0.15">
      <c r="A370" s="73" t="str">
        <f>IF(A$289="",IF(F370="","×",""),"×")</f>
        <v>×</v>
      </c>
      <c r="B370" s="76"/>
      <c r="F370" s="119">
        <f>F342</f>
        <v>7</v>
      </c>
      <c r="G370" s="119"/>
      <c r="H370" s="120"/>
      <c r="I370" s="314">
        <f>I342</f>
        <v>329631.83299376065</v>
      </c>
      <c r="J370" s="314"/>
      <c r="K370" s="314"/>
      <c r="L370" s="314"/>
      <c r="M370" s="314">
        <f>M342</f>
        <v>328689.79475006182</v>
      </c>
      <c r="N370" s="314"/>
      <c r="O370" s="314"/>
      <c r="P370" s="317"/>
      <c r="Q370" s="400">
        <f>Q298</f>
        <v>1</v>
      </c>
      <c r="R370" s="120"/>
      <c r="S370" s="120"/>
      <c r="T370" s="120"/>
      <c r="U370" s="354">
        <f>IF(I370="","",ROUND(I370*Q370,-1))</f>
        <v>329630</v>
      </c>
      <c r="V370" s="354"/>
      <c r="W370" s="354"/>
      <c r="X370" s="354"/>
      <c r="Y370" s="354"/>
      <c r="Z370" s="354">
        <f>IF(M370="","",ROUND(M370*Q370,-1))</f>
        <v>328690</v>
      </c>
      <c r="AA370" s="354"/>
      <c r="AB370" s="354"/>
      <c r="AC370" s="354"/>
      <c r="AD370" s="356"/>
      <c r="BY370" s="8"/>
      <c r="BZ370" s="8"/>
      <c r="CA370" s="8"/>
      <c r="CB370" s="8"/>
    </row>
    <row r="371" spans="1:80" s="1" customFormat="1" ht="15.75" customHeight="1" x14ac:dyDescent="0.15">
      <c r="A371" s="73" t="str">
        <f>IF(A$289="",IF(F371="","×",""),"×")</f>
        <v>×</v>
      </c>
      <c r="B371" s="76"/>
      <c r="F371" s="119" t="str">
        <f>F343</f>
        <v/>
      </c>
      <c r="G371" s="119"/>
      <c r="H371" s="120"/>
      <c r="I371" s="314" t="str">
        <f>I343</f>
        <v/>
      </c>
      <c r="J371" s="314"/>
      <c r="K371" s="314"/>
      <c r="L371" s="314"/>
      <c r="M371" s="314" t="str">
        <f>M343</f>
        <v/>
      </c>
      <c r="N371" s="314"/>
      <c r="O371" s="314"/>
      <c r="P371" s="317"/>
      <c r="Q371" s="400">
        <f>Q299</f>
        <v>0</v>
      </c>
      <c r="R371" s="120"/>
      <c r="S371" s="120"/>
      <c r="T371" s="120"/>
      <c r="U371" s="354" t="str">
        <f>IF(I371="","",ROUND(I371*Q371,-1))</f>
        <v/>
      </c>
      <c r="V371" s="354"/>
      <c r="W371" s="354"/>
      <c r="X371" s="354"/>
      <c r="Y371" s="354"/>
      <c r="Z371" s="354" t="str">
        <f>IF(M371="","",ROUND(M371*Q371,-1))</f>
        <v/>
      </c>
      <c r="AA371" s="354"/>
      <c r="AB371" s="354"/>
      <c r="AC371" s="354"/>
      <c r="AD371" s="356"/>
      <c r="BY371" s="8"/>
      <c r="BZ371" s="8"/>
      <c r="CA371" s="8"/>
      <c r="CB371" s="8"/>
    </row>
    <row r="372" spans="1:80" s="1" customFormat="1" ht="15.75" customHeight="1" x14ac:dyDescent="0.15">
      <c r="A372" s="73" t="str">
        <f>IF(A$289="",IF(F372="","×",""),"×")</f>
        <v>×</v>
      </c>
      <c r="B372" s="76"/>
      <c r="F372" s="119" t="str">
        <f>F344</f>
        <v/>
      </c>
      <c r="G372" s="119"/>
      <c r="H372" s="120"/>
      <c r="I372" s="314" t="str">
        <f>I344</f>
        <v/>
      </c>
      <c r="J372" s="314"/>
      <c r="K372" s="314"/>
      <c r="L372" s="314"/>
      <c r="M372" s="314" t="str">
        <f>M344</f>
        <v/>
      </c>
      <c r="N372" s="314"/>
      <c r="O372" s="314"/>
      <c r="P372" s="317"/>
      <c r="Q372" s="400">
        <f>Q300</f>
        <v>0</v>
      </c>
      <c r="R372" s="120"/>
      <c r="S372" s="120"/>
      <c r="T372" s="120"/>
      <c r="U372" s="354" t="str">
        <f>IF(I372="","",ROUND(I372*Q372,-1))</f>
        <v/>
      </c>
      <c r="V372" s="354"/>
      <c r="W372" s="354"/>
      <c r="X372" s="354"/>
      <c r="Y372" s="354"/>
      <c r="Z372" s="354" t="str">
        <f>IF(M372="","",ROUND(M372*Q372,-1))</f>
        <v/>
      </c>
      <c r="AA372" s="354"/>
      <c r="AB372" s="354"/>
      <c r="AC372" s="354"/>
      <c r="AD372" s="356"/>
      <c r="BY372" s="8"/>
      <c r="BZ372" s="8"/>
      <c r="CA372" s="8"/>
      <c r="CB372" s="8"/>
    </row>
    <row r="373" spans="1:80" s="1" customFormat="1" ht="15.75" customHeight="1" x14ac:dyDescent="0.15">
      <c r="A373" s="73" t="str">
        <f>IF(A$289="",IF(F373="","×",""),"×")</f>
        <v>×</v>
      </c>
      <c r="B373" s="76"/>
      <c r="F373" s="119" t="str">
        <f>F345</f>
        <v/>
      </c>
      <c r="G373" s="119"/>
      <c r="H373" s="120"/>
      <c r="I373" s="314" t="str">
        <f>I345</f>
        <v/>
      </c>
      <c r="J373" s="314"/>
      <c r="K373" s="314"/>
      <c r="L373" s="314"/>
      <c r="M373" s="314" t="str">
        <f>M345</f>
        <v/>
      </c>
      <c r="N373" s="314"/>
      <c r="O373" s="314"/>
      <c r="P373" s="317"/>
      <c r="Q373" s="400">
        <f>Q301</f>
        <v>0</v>
      </c>
      <c r="R373" s="120"/>
      <c r="S373" s="120"/>
      <c r="T373" s="120"/>
      <c r="U373" s="354" t="str">
        <f>IF(I373="","",ROUND(I373*Q373,-1))</f>
        <v/>
      </c>
      <c r="V373" s="354"/>
      <c r="W373" s="354"/>
      <c r="X373" s="354"/>
      <c r="Y373" s="354"/>
      <c r="Z373" s="354" t="str">
        <f>IF(M373="","",ROUND(M373*Q373,-1))</f>
        <v/>
      </c>
      <c r="AA373" s="354"/>
      <c r="AB373" s="354"/>
      <c r="AC373" s="354"/>
      <c r="AD373" s="356"/>
      <c r="BY373" s="8"/>
      <c r="BZ373" s="8"/>
      <c r="CA373" s="8"/>
      <c r="CB373" s="8"/>
    </row>
    <row r="374" spans="1:80" s="1" customFormat="1" ht="15.75" customHeight="1" x14ac:dyDescent="0.15">
      <c r="A374" s="73" t="str">
        <f>IF(A$289="",IF(F374="","×",""),"×")</f>
        <v>×</v>
      </c>
      <c r="B374" s="76"/>
      <c r="F374" s="119" t="str">
        <f>F346</f>
        <v/>
      </c>
      <c r="G374" s="119"/>
      <c r="H374" s="120"/>
      <c r="I374" s="314" t="str">
        <f>I346</f>
        <v/>
      </c>
      <c r="J374" s="314"/>
      <c r="K374" s="314"/>
      <c r="L374" s="314"/>
      <c r="M374" s="314" t="str">
        <f>M346</f>
        <v/>
      </c>
      <c r="N374" s="314"/>
      <c r="O374" s="314"/>
      <c r="P374" s="317"/>
      <c r="Q374" s="400">
        <f>Q302</f>
        <v>0</v>
      </c>
      <c r="R374" s="120"/>
      <c r="S374" s="120"/>
      <c r="T374" s="120"/>
      <c r="U374" s="354" t="str">
        <f>IF(I374="","",ROUND(I374*Q374,-1))</f>
        <v/>
      </c>
      <c r="V374" s="354"/>
      <c r="W374" s="354"/>
      <c r="X374" s="354"/>
      <c r="Y374" s="354"/>
      <c r="Z374" s="354" t="str">
        <f>IF(M374="","",ROUND(M374*Q374,-1))</f>
        <v/>
      </c>
      <c r="AA374" s="354"/>
      <c r="AB374" s="354"/>
      <c r="AC374" s="354"/>
      <c r="AD374" s="356"/>
      <c r="BY374" s="8"/>
      <c r="BZ374" s="8"/>
      <c r="CA374" s="8"/>
      <c r="CB374" s="8"/>
    </row>
    <row r="375" spans="1:80" s="1" customFormat="1" ht="15.75" customHeight="1" x14ac:dyDescent="0.15">
      <c r="A375" s="73" t="str">
        <f>IF(A$289="",IF(F375="","×",""),"×")</f>
        <v>×</v>
      </c>
      <c r="B375" s="76"/>
      <c r="F375" s="119" t="str">
        <f>F347</f>
        <v/>
      </c>
      <c r="G375" s="119"/>
      <c r="H375" s="120"/>
      <c r="I375" s="314" t="str">
        <f>I347</f>
        <v/>
      </c>
      <c r="J375" s="314"/>
      <c r="K375" s="314"/>
      <c r="L375" s="314"/>
      <c r="M375" s="314" t="str">
        <f>M347</f>
        <v/>
      </c>
      <c r="N375" s="314"/>
      <c r="O375" s="314"/>
      <c r="P375" s="317"/>
      <c r="Q375" s="400">
        <f>Q303</f>
        <v>0</v>
      </c>
      <c r="R375" s="120"/>
      <c r="S375" s="120"/>
      <c r="T375" s="120"/>
      <c r="U375" s="354" t="str">
        <f>IF(I375="","",ROUND(I375*Q375,-1))</f>
        <v/>
      </c>
      <c r="V375" s="354"/>
      <c r="W375" s="354"/>
      <c r="X375" s="354"/>
      <c r="Y375" s="354"/>
      <c r="Z375" s="354" t="str">
        <f>IF(M375="","",ROUND(M375*Q375,-1))</f>
        <v/>
      </c>
      <c r="AA375" s="354"/>
      <c r="AB375" s="354"/>
      <c r="AC375" s="354"/>
      <c r="AD375" s="356"/>
      <c r="BY375" s="8"/>
      <c r="BZ375" s="8"/>
      <c r="CA375" s="8"/>
      <c r="CB375" s="8"/>
    </row>
    <row r="376" spans="1:80" s="1" customFormat="1" ht="15.75" customHeight="1" x14ac:dyDescent="0.15">
      <c r="A376" s="73" t="str">
        <f>IF(A$289="",IF(F376="","×",""),"×")</f>
        <v>×</v>
      </c>
      <c r="B376" s="76"/>
      <c r="F376" s="119" t="str">
        <f>F348</f>
        <v/>
      </c>
      <c r="G376" s="119"/>
      <c r="H376" s="120"/>
      <c r="I376" s="314" t="str">
        <f>I348</f>
        <v/>
      </c>
      <c r="J376" s="314"/>
      <c r="K376" s="314"/>
      <c r="L376" s="314"/>
      <c r="M376" s="314" t="str">
        <f>M348</f>
        <v/>
      </c>
      <c r="N376" s="314"/>
      <c r="O376" s="314"/>
      <c r="P376" s="317"/>
      <c r="Q376" s="400">
        <f>Q304</f>
        <v>0</v>
      </c>
      <c r="R376" s="120"/>
      <c r="S376" s="120"/>
      <c r="T376" s="120"/>
      <c r="U376" s="354" t="str">
        <f>IF(I376="","",ROUND(I376*Q376,-1))</f>
        <v/>
      </c>
      <c r="V376" s="354"/>
      <c r="W376" s="354"/>
      <c r="X376" s="354"/>
      <c r="Y376" s="354"/>
      <c r="Z376" s="354" t="str">
        <f>IF(M376="","",ROUND(M376*Q376,-1))</f>
        <v/>
      </c>
      <c r="AA376" s="354"/>
      <c r="AB376" s="354"/>
      <c r="AC376" s="354"/>
      <c r="AD376" s="356"/>
      <c r="BY376" s="8"/>
      <c r="BZ376" s="8"/>
      <c r="CA376" s="8"/>
      <c r="CB376" s="8"/>
    </row>
    <row r="377" spans="1:80" s="1" customFormat="1" ht="15.75" customHeight="1" x14ac:dyDescent="0.15">
      <c r="A377" s="73" t="str">
        <f>IF(A$289="",IF(F377="","×",""),"×")</f>
        <v>×</v>
      </c>
      <c r="B377" s="76"/>
      <c r="F377" s="119" t="str">
        <f>F349</f>
        <v/>
      </c>
      <c r="G377" s="119"/>
      <c r="H377" s="120"/>
      <c r="I377" s="314" t="str">
        <f>I349</f>
        <v/>
      </c>
      <c r="J377" s="314"/>
      <c r="K377" s="314"/>
      <c r="L377" s="314"/>
      <c r="M377" s="314" t="str">
        <f>M349</f>
        <v/>
      </c>
      <c r="N377" s="314"/>
      <c r="O377" s="314"/>
      <c r="P377" s="317"/>
      <c r="Q377" s="400">
        <f>Q305</f>
        <v>0</v>
      </c>
      <c r="R377" s="120"/>
      <c r="S377" s="120"/>
      <c r="T377" s="120"/>
      <c r="U377" s="354" t="str">
        <f>IF(I377="","",ROUND(I377*Q377,-1))</f>
        <v/>
      </c>
      <c r="V377" s="354"/>
      <c r="W377" s="354"/>
      <c r="X377" s="354"/>
      <c r="Y377" s="354"/>
      <c r="Z377" s="354" t="str">
        <f>IF(M377="","",ROUND(M377*Q377,-1))</f>
        <v/>
      </c>
      <c r="AA377" s="354"/>
      <c r="AB377" s="354"/>
      <c r="AC377" s="354"/>
      <c r="AD377" s="356"/>
      <c r="BY377" s="8"/>
      <c r="BZ377" s="8"/>
      <c r="CA377" s="8"/>
      <c r="CB377" s="8"/>
    </row>
    <row r="378" spans="1:80" s="1" customFormat="1" ht="15.75" customHeight="1" x14ac:dyDescent="0.15">
      <c r="A378" s="73" t="str">
        <f>IF(A$289="",IF(F378="","×",""),"×")</f>
        <v>×</v>
      </c>
      <c r="B378" s="76"/>
      <c r="F378" s="119" t="str">
        <f>F350</f>
        <v/>
      </c>
      <c r="G378" s="119"/>
      <c r="H378" s="120"/>
      <c r="I378" s="314" t="str">
        <f>I350</f>
        <v/>
      </c>
      <c r="J378" s="314"/>
      <c r="K378" s="314"/>
      <c r="L378" s="314"/>
      <c r="M378" s="314" t="str">
        <f>M350</f>
        <v/>
      </c>
      <c r="N378" s="314"/>
      <c r="O378" s="314"/>
      <c r="P378" s="317"/>
      <c r="Q378" s="400">
        <f>Q306</f>
        <v>0</v>
      </c>
      <c r="R378" s="120"/>
      <c r="S378" s="120"/>
      <c r="T378" s="120"/>
      <c r="U378" s="354" t="str">
        <f>IF(I378="","",ROUND(I378*Q378,-1))</f>
        <v/>
      </c>
      <c r="V378" s="354"/>
      <c r="W378" s="354"/>
      <c r="X378" s="354"/>
      <c r="Y378" s="354"/>
      <c r="Z378" s="354" t="str">
        <f>IF(M378="","",ROUND(M378*Q378,-1))</f>
        <v/>
      </c>
      <c r="AA378" s="354"/>
      <c r="AB378" s="354"/>
      <c r="AC378" s="354"/>
      <c r="AD378" s="356"/>
      <c r="BY378" s="8"/>
      <c r="BZ378" s="8"/>
      <c r="CA378" s="8"/>
      <c r="CB378" s="8"/>
    </row>
    <row r="379" spans="1:80" s="1" customFormat="1" ht="15.75" customHeight="1" x14ac:dyDescent="0.15">
      <c r="A379" s="73" t="str">
        <f>IF(A$289="",IF(F379="","×",""),"×")</f>
        <v>×</v>
      </c>
      <c r="B379" s="76"/>
      <c r="F379" s="119" t="str">
        <f>F351</f>
        <v/>
      </c>
      <c r="G379" s="119"/>
      <c r="H379" s="120"/>
      <c r="I379" s="314" t="str">
        <f>I351</f>
        <v/>
      </c>
      <c r="J379" s="314"/>
      <c r="K379" s="314"/>
      <c r="L379" s="314"/>
      <c r="M379" s="314" t="str">
        <f>M351</f>
        <v/>
      </c>
      <c r="N379" s="314"/>
      <c r="O379" s="314"/>
      <c r="P379" s="317"/>
      <c r="Q379" s="400">
        <f>Q307</f>
        <v>0</v>
      </c>
      <c r="R379" s="120"/>
      <c r="S379" s="120"/>
      <c r="T379" s="120"/>
      <c r="U379" s="354" t="str">
        <f>IF(I379="","",ROUND(I379*Q379,-1))</f>
        <v/>
      </c>
      <c r="V379" s="354"/>
      <c r="W379" s="354"/>
      <c r="X379" s="354"/>
      <c r="Y379" s="354"/>
      <c r="Z379" s="354" t="str">
        <f>IF(M379="","",ROUND(M379*Q379,-1))</f>
        <v/>
      </c>
      <c r="AA379" s="354"/>
      <c r="AB379" s="354"/>
      <c r="AC379" s="354"/>
      <c r="AD379" s="356"/>
      <c r="BY379" s="8"/>
      <c r="BZ379" s="8"/>
      <c r="CA379" s="8"/>
      <c r="CB379" s="8"/>
    </row>
    <row r="380" spans="1:80" s="1" customFormat="1" ht="15.75" customHeight="1" x14ac:dyDescent="0.15">
      <c r="A380" s="73" t="str">
        <f>IF(A$289="",IF(F380="","×",""),"×")</f>
        <v>×</v>
      </c>
      <c r="B380" s="76"/>
      <c r="F380" s="119" t="str">
        <f>F352</f>
        <v/>
      </c>
      <c r="G380" s="119"/>
      <c r="H380" s="120"/>
      <c r="I380" s="314" t="str">
        <f>I352</f>
        <v/>
      </c>
      <c r="J380" s="314"/>
      <c r="K380" s="314"/>
      <c r="L380" s="314"/>
      <c r="M380" s="314" t="str">
        <f>M352</f>
        <v/>
      </c>
      <c r="N380" s="314"/>
      <c r="O380" s="314"/>
      <c r="P380" s="317"/>
      <c r="Q380" s="400">
        <f>Q308</f>
        <v>0</v>
      </c>
      <c r="R380" s="120"/>
      <c r="S380" s="120"/>
      <c r="T380" s="120"/>
      <c r="U380" s="354" t="str">
        <f>IF(I380="","",ROUND(I380*Q380,-1))</f>
        <v/>
      </c>
      <c r="V380" s="354"/>
      <c r="W380" s="354"/>
      <c r="X380" s="354"/>
      <c r="Y380" s="354"/>
      <c r="Z380" s="354" t="str">
        <f>IF(M380="","",ROUND(M380*Q380,-1))</f>
        <v/>
      </c>
      <c r="AA380" s="354"/>
      <c r="AB380" s="354"/>
      <c r="AC380" s="354"/>
      <c r="AD380" s="356"/>
      <c r="BY380" s="8"/>
      <c r="BZ380" s="8"/>
      <c r="CA380" s="8"/>
      <c r="CB380" s="8"/>
    </row>
    <row r="381" spans="1:80" s="1" customFormat="1" ht="15.75" customHeight="1" x14ac:dyDescent="0.15">
      <c r="A381" s="73" t="str">
        <f>IF(A$289="",IF(F381="","×",""),"×")</f>
        <v>×</v>
      </c>
      <c r="B381" s="76"/>
      <c r="F381" s="233" t="str">
        <f>F353</f>
        <v/>
      </c>
      <c r="G381" s="233"/>
      <c r="H381" s="234"/>
      <c r="I381" s="319" t="str">
        <f>I353</f>
        <v/>
      </c>
      <c r="J381" s="319"/>
      <c r="K381" s="319"/>
      <c r="L381" s="319"/>
      <c r="M381" s="319" t="str">
        <f>M353</f>
        <v/>
      </c>
      <c r="N381" s="319"/>
      <c r="O381" s="319"/>
      <c r="P381" s="322"/>
      <c r="Q381" s="401">
        <f>Q309</f>
        <v>0</v>
      </c>
      <c r="R381" s="234"/>
      <c r="S381" s="234"/>
      <c r="T381" s="234"/>
      <c r="U381" s="358" t="str">
        <f>IF(I381="","",ROUND(I381*Q381,-1))</f>
        <v/>
      </c>
      <c r="V381" s="358"/>
      <c r="W381" s="358"/>
      <c r="X381" s="358"/>
      <c r="Y381" s="358"/>
      <c r="Z381" s="358" t="str">
        <f>IF(M381="","",ROUND(M381*Q381,-1))</f>
        <v/>
      </c>
      <c r="AA381" s="358"/>
      <c r="AB381" s="358"/>
      <c r="AC381" s="358"/>
      <c r="AD381" s="360"/>
      <c r="BY381" s="8"/>
      <c r="BZ381" s="8"/>
      <c r="CA381" s="8"/>
      <c r="CB381" s="8"/>
    </row>
    <row r="382" spans="1:80" s="1" customFormat="1" ht="15.75" customHeight="1" x14ac:dyDescent="0.15">
      <c r="A382" s="73" t="str">
        <f t="shared" ref="A382" si="28">IF(A$289="","","×")</f>
        <v>×</v>
      </c>
      <c r="F382" s="76"/>
      <c r="G382" s="76"/>
      <c r="H382" s="9"/>
      <c r="I382" s="323"/>
      <c r="J382" s="323"/>
      <c r="K382" s="323"/>
      <c r="L382" s="323"/>
      <c r="M382" s="323"/>
      <c r="N382" s="323"/>
      <c r="O382" s="323"/>
      <c r="P382" s="9"/>
      <c r="Q382" s="9"/>
      <c r="R382" s="9"/>
      <c r="S382" s="9"/>
      <c r="T382" s="323"/>
      <c r="U382" s="323"/>
      <c r="V382" s="323"/>
      <c r="W382" s="323"/>
      <c r="X382" s="323"/>
      <c r="Y382" s="323"/>
      <c r="Z382" s="323"/>
      <c r="AA382" s="323"/>
      <c r="AB382" s="323"/>
      <c r="AC382" s="323"/>
      <c r="AD382" s="323"/>
      <c r="AE382" s="8"/>
      <c r="AF382" s="8"/>
      <c r="BY382" s="8"/>
      <c r="BZ382" s="8"/>
      <c r="CA382" s="8"/>
      <c r="CB382" s="8"/>
    </row>
    <row r="383" spans="1:80" s="1" customFormat="1" ht="15.75" customHeight="1" x14ac:dyDescent="0.15">
      <c r="A383" s="73" t="str">
        <f>IF(A$311="","","×")</f>
        <v>×</v>
      </c>
      <c r="H383" s="76"/>
      <c r="I383" s="76"/>
      <c r="J383" s="76"/>
      <c r="K383" s="9"/>
      <c r="L383" s="323"/>
      <c r="M383" s="323"/>
      <c r="N383" s="323"/>
      <c r="O383" s="323"/>
      <c r="P383" s="323"/>
      <c r="Q383" s="323"/>
      <c r="R383" s="323"/>
      <c r="S383" s="323"/>
      <c r="T383" s="9"/>
      <c r="U383" s="9"/>
      <c r="V383" s="9"/>
      <c r="W383" s="9"/>
      <c r="X383" s="323"/>
      <c r="Y383" s="323"/>
      <c r="Z383" s="323"/>
      <c r="AA383" s="323"/>
      <c r="AB383" s="323"/>
      <c r="AC383" s="323"/>
      <c r="AD383" s="323"/>
    </row>
    <row r="384" spans="1:80" s="1" customFormat="1" ht="15.75" customHeight="1" x14ac:dyDescent="0.15">
      <c r="A384" s="73" t="str">
        <f>IF(A$311="","","×")</f>
        <v>×</v>
      </c>
      <c r="B384" s="76"/>
      <c r="F384" s="61" t="s">
        <v>540</v>
      </c>
      <c r="G384" s="61"/>
      <c r="H384" s="302"/>
      <c r="I384" s="61"/>
      <c r="J384" s="61"/>
      <c r="K384" s="61"/>
      <c r="L384" s="61"/>
      <c r="M384" s="61"/>
      <c r="N384" s="61"/>
      <c r="O384" s="61"/>
      <c r="P384" s="61"/>
      <c r="Q384" s="61"/>
      <c r="R384" s="61"/>
      <c r="S384" s="61"/>
      <c r="T384" s="61"/>
      <c r="U384" s="61"/>
      <c r="V384" s="61"/>
      <c r="W384" s="61"/>
      <c r="X384" s="61"/>
      <c r="Y384" s="61"/>
      <c r="Z384" s="61"/>
      <c r="AA384" s="61"/>
      <c r="AB384" s="61"/>
      <c r="AC384" s="61"/>
      <c r="AD384" s="61"/>
    </row>
    <row r="385" spans="1:30" s="1" customFormat="1" ht="15.75" customHeight="1" x14ac:dyDescent="0.15">
      <c r="A385" s="73" t="str">
        <f>IF(A$311="","","×")</f>
        <v>×</v>
      </c>
      <c r="F385" s="126" t="s">
        <v>78</v>
      </c>
      <c r="G385" s="126"/>
      <c r="H385" s="105"/>
      <c r="I385" s="105" t="s">
        <v>535</v>
      </c>
      <c r="J385" s="105"/>
      <c r="K385" s="105"/>
      <c r="L385" s="105"/>
      <c r="M385" s="105" t="s">
        <v>534</v>
      </c>
      <c r="N385" s="105"/>
      <c r="O385" s="105"/>
      <c r="P385" s="129"/>
      <c r="Q385" s="273" t="s">
        <v>538</v>
      </c>
      <c r="R385" s="131"/>
      <c r="S385" s="131"/>
      <c r="T385" s="131"/>
      <c r="U385" s="131"/>
      <c r="V385" s="131"/>
      <c r="W385" s="131"/>
      <c r="X385" s="131"/>
      <c r="Y385" s="131"/>
      <c r="Z385" s="131"/>
      <c r="AA385" s="131"/>
      <c r="AB385" s="131"/>
      <c r="AC385" s="131"/>
      <c r="AD385" s="132"/>
    </row>
    <row r="386" spans="1:30" s="1" customFormat="1" ht="15.75" customHeight="1" x14ac:dyDescent="0.15">
      <c r="A386" s="73" t="str">
        <f>IF(A$311="","","×")</f>
        <v>×</v>
      </c>
      <c r="F386" s="127"/>
      <c r="G386" s="127"/>
      <c r="H386" s="122"/>
      <c r="I386" s="122"/>
      <c r="J386" s="122"/>
      <c r="K386" s="122"/>
      <c r="L386" s="122"/>
      <c r="M386" s="122"/>
      <c r="N386" s="122"/>
      <c r="O386" s="122"/>
      <c r="P386" s="123"/>
      <c r="Q386" s="218" t="s">
        <v>537</v>
      </c>
      <c r="R386" s="122"/>
      <c r="S386" s="122"/>
      <c r="T386" s="122"/>
      <c r="U386" s="122" t="s">
        <v>531</v>
      </c>
      <c r="V386" s="122"/>
      <c r="W386" s="122"/>
      <c r="X386" s="122"/>
      <c r="Y386" s="122"/>
      <c r="Z386" s="122" t="s">
        <v>532</v>
      </c>
      <c r="AA386" s="122"/>
      <c r="AB386" s="122"/>
      <c r="AC386" s="122"/>
      <c r="AD386" s="123"/>
    </row>
    <row r="387" spans="1:30" s="1" customFormat="1" ht="15.75" customHeight="1" x14ac:dyDescent="0.15">
      <c r="A387" s="73" t="str">
        <f>IF(A$311="","","×")</f>
        <v>×</v>
      </c>
      <c r="F387" s="128"/>
      <c r="G387" s="128"/>
      <c r="H387" s="106"/>
      <c r="I387" s="106"/>
      <c r="J387" s="106"/>
      <c r="K387" s="106"/>
      <c r="L387" s="106"/>
      <c r="M387" s="106"/>
      <c r="N387" s="106"/>
      <c r="O387" s="106"/>
      <c r="P387" s="124"/>
      <c r="Q387" s="226"/>
      <c r="R387" s="106"/>
      <c r="S387" s="106"/>
      <c r="T387" s="106"/>
      <c r="U387" s="106"/>
      <c r="V387" s="106"/>
      <c r="W387" s="106"/>
      <c r="X387" s="106"/>
      <c r="Y387" s="106"/>
      <c r="Z387" s="106"/>
      <c r="AA387" s="106"/>
      <c r="AB387" s="106"/>
      <c r="AC387" s="106"/>
      <c r="AD387" s="124"/>
    </row>
    <row r="388" spans="1:30" s="1" customFormat="1" ht="15.75" customHeight="1" x14ac:dyDescent="0.15">
      <c r="A388" s="73" t="str">
        <f>IF(A$311="",IF(F388="","×",""),"×")</f>
        <v>×</v>
      </c>
      <c r="B388" s="76"/>
      <c r="F388" s="117">
        <f>F338</f>
        <v>3</v>
      </c>
      <c r="G388" s="117"/>
      <c r="H388" s="118"/>
      <c r="I388" s="309">
        <f>I338</f>
        <v>50041.101063677925</v>
      </c>
      <c r="J388" s="309"/>
      <c r="K388" s="309"/>
      <c r="L388" s="309"/>
      <c r="M388" s="309">
        <f>M338</f>
        <v>49898.091116699667</v>
      </c>
      <c r="N388" s="309"/>
      <c r="O388" s="309"/>
      <c r="P388" s="312"/>
      <c r="Q388" s="399">
        <f>Q316</f>
        <v>1</v>
      </c>
      <c r="R388" s="118"/>
      <c r="S388" s="118"/>
      <c r="T388" s="118"/>
      <c r="U388" s="309">
        <f>IF(I388="","",ROUND(I366*Q388,-1))</f>
        <v>50040</v>
      </c>
      <c r="V388" s="309"/>
      <c r="W388" s="309"/>
      <c r="X388" s="309"/>
      <c r="Y388" s="309"/>
      <c r="Z388" s="309">
        <f>IF(M388="","",ROUND(M366*Q388,-1))</f>
        <v>49900</v>
      </c>
      <c r="AA388" s="309"/>
      <c r="AB388" s="309"/>
      <c r="AC388" s="309"/>
      <c r="AD388" s="312"/>
    </row>
    <row r="389" spans="1:30" s="1" customFormat="1" ht="15.75" customHeight="1" x14ac:dyDescent="0.15">
      <c r="A389" s="73" t="str">
        <f>IF(A$311="",IF(F389="","×",""),"×")</f>
        <v>×</v>
      </c>
      <c r="B389" s="76"/>
      <c r="F389" s="119">
        <f>F339</f>
        <v>4</v>
      </c>
      <c r="G389" s="119"/>
      <c r="H389" s="120"/>
      <c r="I389" s="314">
        <f>I339</f>
        <v>102812.36988100948</v>
      </c>
      <c r="J389" s="314"/>
      <c r="K389" s="314"/>
      <c r="L389" s="314"/>
      <c r="M389" s="314">
        <f>M339</f>
        <v>102518.54757788546</v>
      </c>
      <c r="N389" s="314"/>
      <c r="O389" s="314"/>
      <c r="P389" s="317"/>
      <c r="Q389" s="400">
        <f>Q317</f>
        <v>1</v>
      </c>
      <c r="R389" s="120"/>
      <c r="S389" s="120"/>
      <c r="T389" s="120"/>
      <c r="U389" s="314">
        <f t="shared" ref="U389:U403" si="29">IF(I389="","",ROUND(I367*Q389,-1))</f>
        <v>102810</v>
      </c>
      <c r="V389" s="314"/>
      <c r="W389" s="314"/>
      <c r="X389" s="314"/>
      <c r="Y389" s="314"/>
      <c r="Z389" s="314">
        <f t="shared" ref="Z389:Z403" si="30">IF(M389="","",ROUND(M367*Q389,-1))</f>
        <v>102520</v>
      </c>
      <c r="AA389" s="314"/>
      <c r="AB389" s="314"/>
      <c r="AC389" s="314"/>
      <c r="AD389" s="317"/>
    </row>
    <row r="390" spans="1:30" s="1" customFormat="1" ht="15.75" customHeight="1" x14ac:dyDescent="0.15">
      <c r="A390" s="73" t="str">
        <f>IF(A$311="",IF(F390="","×",""),"×")</f>
        <v>×</v>
      </c>
      <c r="B390" s="76"/>
      <c r="F390" s="119">
        <f>F340</f>
        <v>5</v>
      </c>
      <c r="G390" s="119"/>
      <c r="H390" s="120"/>
      <c r="I390" s="314">
        <f>I340</f>
        <v>117002.05754802511</v>
      </c>
      <c r="J390" s="314"/>
      <c r="K390" s="314"/>
      <c r="L390" s="314"/>
      <c r="M390" s="314">
        <f>M340</f>
        <v>116667.68324988573</v>
      </c>
      <c r="N390" s="314"/>
      <c r="O390" s="314"/>
      <c r="P390" s="317"/>
      <c r="Q390" s="400">
        <f>Q318</f>
        <v>1</v>
      </c>
      <c r="R390" s="120"/>
      <c r="S390" s="120"/>
      <c r="T390" s="120"/>
      <c r="U390" s="314">
        <f t="shared" si="29"/>
        <v>117000</v>
      </c>
      <c r="V390" s="314"/>
      <c r="W390" s="314"/>
      <c r="X390" s="314"/>
      <c r="Y390" s="314"/>
      <c r="Z390" s="314">
        <f t="shared" si="30"/>
        <v>116670</v>
      </c>
      <c r="AA390" s="314"/>
      <c r="AB390" s="314"/>
      <c r="AC390" s="314"/>
      <c r="AD390" s="317"/>
    </row>
    <row r="391" spans="1:30" s="1" customFormat="1" ht="15.75" customHeight="1" x14ac:dyDescent="0.15">
      <c r="A391" s="73" t="str">
        <f>IF(A$311="",IF(F391="","×",""),"×")</f>
        <v>×</v>
      </c>
      <c r="B391" s="76"/>
      <c r="F391" s="119">
        <f>F341</f>
        <v>6</v>
      </c>
      <c r="G391" s="119"/>
      <c r="H391" s="120"/>
      <c r="I391" s="314">
        <f>I341</f>
        <v>166827.61905220407</v>
      </c>
      <c r="J391" s="314"/>
      <c r="K391" s="314"/>
      <c r="L391" s="314"/>
      <c r="M391" s="314">
        <f>M341</f>
        <v>166350.85078675754</v>
      </c>
      <c r="N391" s="314"/>
      <c r="O391" s="314"/>
      <c r="P391" s="317"/>
      <c r="Q391" s="400">
        <f>Q319</f>
        <v>1</v>
      </c>
      <c r="R391" s="120"/>
      <c r="S391" s="120"/>
      <c r="T391" s="120"/>
      <c r="U391" s="314">
        <f t="shared" si="29"/>
        <v>166830</v>
      </c>
      <c r="V391" s="314"/>
      <c r="W391" s="314"/>
      <c r="X391" s="314"/>
      <c r="Y391" s="314"/>
      <c r="Z391" s="314">
        <f t="shared" si="30"/>
        <v>166350</v>
      </c>
      <c r="AA391" s="314"/>
      <c r="AB391" s="314"/>
      <c r="AC391" s="314"/>
      <c r="AD391" s="317"/>
    </row>
    <row r="392" spans="1:30" s="1" customFormat="1" ht="15.75" customHeight="1" x14ac:dyDescent="0.15">
      <c r="A392" s="73" t="str">
        <f>IF(A$311="",IF(F392="","×",""),"×")</f>
        <v>×</v>
      </c>
      <c r="B392" s="76"/>
      <c r="F392" s="119">
        <f>F342</f>
        <v>7</v>
      </c>
      <c r="G392" s="119"/>
      <c r="H392" s="120"/>
      <c r="I392" s="314">
        <f>I342</f>
        <v>329631.83299376065</v>
      </c>
      <c r="J392" s="314"/>
      <c r="K392" s="314"/>
      <c r="L392" s="314"/>
      <c r="M392" s="314">
        <f>M342</f>
        <v>328689.79475006182</v>
      </c>
      <c r="N392" s="314"/>
      <c r="O392" s="314"/>
      <c r="P392" s="317"/>
      <c r="Q392" s="400">
        <f>Q320</f>
        <v>1</v>
      </c>
      <c r="R392" s="120"/>
      <c r="S392" s="120"/>
      <c r="T392" s="120"/>
      <c r="U392" s="314">
        <f t="shared" si="29"/>
        <v>329630</v>
      </c>
      <c r="V392" s="314"/>
      <c r="W392" s="314"/>
      <c r="X392" s="314"/>
      <c r="Y392" s="314"/>
      <c r="Z392" s="314">
        <f t="shared" si="30"/>
        <v>328690</v>
      </c>
      <c r="AA392" s="314"/>
      <c r="AB392" s="314"/>
      <c r="AC392" s="314"/>
      <c r="AD392" s="317"/>
    </row>
    <row r="393" spans="1:30" s="1" customFormat="1" ht="15.75" customHeight="1" x14ac:dyDescent="0.15">
      <c r="A393" s="73" t="str">
        <f>IF(A$311="",IF(F393="","×",""),"×")</f>
        <v>×</v>
      </c>
      <c r="B393" s="76"/>
      <c r="F393" s="119" t="str">
        <f>F343</f>
        <v/>
      </c>
      <c r="G393" s="119"/>
      <c r="H393" s="120"/>
      <c r="I393" s="314" t="str">
        <f>I343</f>
        <v/>
      </c>
      <c r="J393" s="314"/>
      <c r="K393" s="314"/>
      <c r="L393" s="314"/>
      <c r="M393" s="314" t="str">
        <f>M343</f>
        <v/>
      </c>
      <c r="N393" s="314"/>
      <c r="O393" s="314"/>
      <c r="P393" s="317"/>
      <c r="Q393" s="400">
        <f>Q321</f>
        <v>0</v>
      </c>
      <c r="R393" s="120"/>
      <c r="S393" s="120"/>
      <c r="T393" s="120"/>
      <c r="U393" s="314" t="str">
        <f t="shared" si="29"/>
        <v/>
      </c>
      <c r="V393" s="314"/>
      <c r="W393" s="314"/>
      <c r="X393" s="314"/>
      <c r="Y393" s="314"/>
      <c r="Z393" s="314" t="str">
        <f t="shared" si="30"/>
        <v/>
      </c>
      <c r="AA393" s="314"/>
      <c r="AB393" s="314"/>
      <c r="AC393" s="314"/>
      <c r="AD393" s="317"/>
    </row>
    <row r="394" spans="1:30" s="1" customFormat="1" ht="15.75" customHeight="1" x14ac:dyDescent="0.15">
      <c r="A394" s="73" t="str">
        <f>IF(A$311="",IF(F394="","×",""),"×")</f>
        <v>×</v>
      </c>
      <c r="B394" s="76"/>
      <c r="F394" s="119" t="str">
        <f>F344</f>
        <v/>
      </c>
      <c r="G394" s="119"/>
      <c r="H394" s="120"/>
      <c r="I394" s="314" t="str">
        <f>I344</f>
        <v/>
      </c>
      <c r="J394" s="314"/>
      <c r="K394" s="314"/>
      <c r="L394" s="314"/>
      <c r="M394" s="314" t="str">
        <f>M344</f>
        <v/>
      </c>
      <c r="N394" s="314"/>
      <c r="O394" s="314"/>
      <c r="P394" s="317"/>
      <c r="Q394" s="400">
        <f>Q322</f>
        <v>0</v>
      </c>
      <c r="R394" s="120"/>
      <c r="S394" s="120"/>
      <c r="T394" s="120"/>
      <c r="U394" s="314" t="str">
        <f t="shared" si="29"/>
        <v/>
      </c>
      <c r="V394" s="314"/>
      <c r="W394" s="314"/>
      <c r="X394" s="314"/>
      <c r="Y394" s="314"/>
      <c r="Z394" s="314" t="str">
        <f t="shared" si="30"/>
        <v/>
      </c>
      <c r="AA394" s="314"/>
      <c r="AB394" s="314"/>
      <c r="AC394" s="314"/>
      <c r="AD394" s="317"/>
    </row>
    <row r="395" spans="1:30" s="1" customFormat="1" ht="15.75" customHeight="1" x14ac:dyDescent="0.15">
      <c r="A395" s="73" t="str">
        <f>IF(A$311="",IF(F395="","×",""),"×")</f>
        <v>×</v>
      </c>
      <c r="B395" s="76"/>
      <c r="F395" s="119" t="str">
        <f>F345</f>
        <v/>
      </c>
      <c r="G395" s="119"/>
      <c r="H395" s="120"/>
      <c r="I395" s="314" t="str">
        <f>I345</f>
        <v/>
      </c>
      <c r="J395" s="314"/>
      <c r="K395" s="314"/>
      <c r="L395" s="314"/>
      <c r="M395" s="314" t="str">
        <f>M345</f>
        <v/>
      </c>
      <c r="N395" s="314"/>
      <c r="O395" s="314"/>
      <c r="P395" s="317"/>
      <c r="Q395" s="400">
        <f>Q323</f>
        <v>0</v>
      </c>
      <c r="R395" s="120"/>
      <c r="S395" s="120"/>
      <c r="T395" s="120"/>
      <c r="U395" s="314" t="str">
        <f t="shared" si="29"/>
        <v/>
      </c>
      <c r="V395" s="314"/>
      <c r="W395" s="314"/>
      <c r="X395" s="314"/>
      <c r="Y395" s="314"/>
      <c r="Z395" s="314" t="str">
        <f t="shared" si="30"/>
        <v/>
      </c>
      <c r="AA395" s="314"/>
      <c r="AB395" s="314"/>
      <c r="AC395" s="314"/>
      <c r="AD395" s="317"/>
    </row>
    <row r="396" spans="1:30" s="1" customFormat="1" ht="15.75" customHeight="1" x14ac:dyDescent="0.15">
      <c r="A396" s="73" t="str">
        <f>IF(A$311="",IF(F396="","×",""),"×")</f>
        <v>×</v>
      </c>
      <c r="B396" s="76"/>
      <c r="F396" s="119" t="str">
        <f>F346</f>
        <v/>
      </c>
      <c r="G396" s="119"/>
      <c r="H396" s="120"/>
      <c r="I396" s="314" t="str">
        <f>I346</f>
        <v/>
      </c>
      <c r="J396" s="314"/>
      <c r="K396" s="314"/>
      <c r="L396" s="314"/>
      <c r="M396" s="314" t="str">
        <f>M346</f>
        <v/>
      </c>
      <c r="N396" s="314"/>
      <c r="O396" s="314"/>
      <c r="P396" s="317"/>
      <c r="Q396" s="400">
        <f>Q324</f>
        <v>0</v>
      </c>
      <c r="R396" s="120"/>
      <c r="S396" s="120"/>
      <c r="T396" s="120"/>
      <c r="U396" s="314" t="str">
        <f t="shared" si="29"/>
        <v/>
      </c>
      <c r="V396" s="314"/>
      <c r="W396" s="314"/>
      <c r="X396" s="314"/>
      <c r="Y396" s="314"/>
      <c r="Z396" s="314" t="str">
        <f t="shared" si="30"/>
        <v/>
      </c>
      <c r="AA396" s="314"/>
      <c r="AB396" s="314"/>
      <c r="AC396" s="314"/>
      <c r="AD396" s="317"/>
    </row>
    <row r="397" spans="1:30" s="1" customFormat="1" ht="15.75" customHeight="1" x14ac:dyDescent="0.15">
      <c r="A397" s="73" t="str">
        <f>IF(A$311="",IF(F397="","×",""),"×")</f>
        <v>×</v>
      </c>
      <c r="B397" s="76"/>
      <c r="F397" s="119" t="str">
        <f>F347</f>
        <v/>
      </c>
      <c r="G397" s="119"/>
      <c r="H397" s="120"/>
      <c r="I397" s="314" t="str">
        <f>I347</f>
        <v/>
      </c>
      <c r="J397" s="314"/>
      <c r="K397" s="314"/>
      <c r="L397" s="314"/>
      <c r="M397" s="314" t="str">
        <f>M347</f>
        <v/>
      </c>
      <c r="N397" s="314"/>
      <c r="O397" s="314"/>
      <c r="P397" s="317"/>
      <c r="Q397" s="400">
        <f>Q325</f>
        <v>0</v>
      </c>
      <c r="R397" s="120"/>
      <c r="S397" s="120"/>
      <c r="T397" s="120"/>
      <c r="U397" s="314" t="str">
        <f t="shared" si="29"/>
        <v/>
      </c>
      <c r="V397" s="314"/>
      <c r="W397" s="314"/>
      <c r="X397" s="314"/>
      <c r="Y397" s="314"/>
      <c r="Z397" s="314" t="str">
        <f t="shared" si="30"/>
        <v/>
      </c>
      <c r="AA397" s="314"/>
      <c r="AB397" s="314"/>
      <c r="AC397" s="314"/>
      <c r="AD397" s="317"/>
    </row>
    <row r="398" spans="1:30" s="1" customFormat="1" ht="15.75" customHeight="1" x14ac:dyDescent="0.15">
      <c r="A398" s="73" t="str">
        <f>IF(A$311="",IF(F398="","×",""),"×")</f>
        <v>×</v>
      </c>
      <c r="B398" s="76"/>
      <c r="F398" s="119" t="str">
        <f>F348</f>
        <v/>
      </c>
      <c r="G398" s="119"/>
      <c r="H398" s="120"/>
      <c r="I398" s="314" t="str">
        <f>I348</f>
        <v/>
      </c>
      <c r="J398" s="314"/>
      <c r="K398" s="314"/>
      <c r="L398" s="314"/>
      <c r="M398" s="314" t="str">
        <f>M348</f>
        <v/>
      </c>
      <c r="N398" s="314"/>
      <c r="O398" s="314"/>
      <c r="P398" s="317"/>
      <c r="Q398" s="400">
        <f>Q326</f>
        <v>0</v>
      </c>
      <c r="R398" s="120"/>
      <c r="S398" s="120"/>
      <c r="T398" s="120"/>
      <c r="U398" s="314" t="str">
        <f t="shared" si="29"/>
        <v/>
      </c>
      <c r="V398" s="314"/>
      <c r="W398" s="314"/>
      <c r="X398" s="314"/>
      <c r="Y398" s="314"/>
      <c r="Z398" s="314" t="str">
        <f t="shared" si="30"/>
        <v/>
      </c>
      <c r="AA398" s="314"/>
      <c r="AB398" s="314"/>
      <c r="AC398" s="314"/>
      <c r="AD398" s="317"/>
    </row>
    <row r="399" spans="1:30" s="1" customFormat="1" ht="15.75" customHeight="1" x14ac:dyDescent="0.15">
      <c r="A399" s="73" t="str">
        <f>IF(A$311="",IF(F399="","×",""),"×")</f>
        <v>×</v>
      </c>
      <c r="B399" s="76"/>
      <c r="F399" s="119" t="str">
        <f>F349</f>
        <v/>
      </c>
      <c r="G399" s="119"/>
      <c r="H399" s="120"/>
      <c r="I399" s="314" t="str">
        <f>I349</f>
        <v/>
      </c>
      <c r="J399" s="314"/>
      <c r="K399" s="314"/>
      <c r="L399" s="314"/>
      <c r="M399" s="314" t="str">
        <f>M349</f>
        <v/>
      </c>
      <c r="N399" s="314"/>
      <c r="O399" s="314"/>
      <c r="P399" s="317"/>
      <c r="Q399" s="400">
        <f>Q327</f>
        <v>0</v>
      </c>
      <c r="R399" s="120"/>
      <c r="S399" s="120"/>
      <c r="T399" s="120"/>
      <c r="U399" s="314" t="str">
        <f t="shared" si="29"/>
        <v/>
      </c>
      <c r="V399" s="314"/>
      <c r="W399" s="314"/>
      <c r="X399" s="314"/>
      <c r="Y399" s="314"/>
      <c r="Z399" s="314" t="str">
        <f t="shared" si="30"/>
        <v/>
      </c>
      <c r="AA399" s="314"/>
      <c r="AB399" s="314"/>
      <c r="AC399" s="314"/>
      <c r="AD399" s="317"/>
    </row>
    <row r="400" spans="1:30" s="1" customFormat="1" ht="15.75" customHeight="1" x14ac:dyDescent="0.15">
      <c r="A400" s="73" t="str">
        <f>IF(A$311="",IF(F400="","×",""),"×")</f>
        <v>×</v>
      </c>
      <c r="B400" s="76"/>
      <c r="F400" s="119" t="str">
        <f>F350</f>
        <v/>
      </c>
      <c r="G400" s="119"/>
      <c r="H400" s="120"/>
      <c r="I400" s="314" t="str">
        <f>I350</f>
        <v/>
      </c>
      <c r="J400" s="314"/>
      <c r="K400" s="314"/>
      <c r="L400" s="314"/>
      <c r="M400" s="314" t="str">
        <f>M350</f>
        <v/>
      </c>
      <c r="N400" s="314"/>
      <c r="O400" s="314"/>
      <c r="P400" s="317"/>
      <c r="Q400" s="400">
        <f>Q328</f>
        <v>0</v>
      </c>
      <c r="R400" s="120"/>
      <c r="S400" s="120"/>
      <c r="T400" s="120"/>
      <c r="U400" s="314" t="str">
        <f t="shared" si="29"/>
        <v/>
      </c>
      <c r="V400" s="314"/>
      <c r="W400" s="314"/>
      <c r="X400" s="314"/>
      <c r="Y400" s="314"/>
      <c r="Z400" s="314" t="str">
        <f t="shared" si="30"/>
        <v/>
      </c>
      <c r="AA400" s="314"/>
      <c r="AB400" s="314"/>
      <c r="AC400" s="314"/>
      <c r="AD400" s="317"/>
    </row>
    <row r="401" spans="1:81" s="1" customFormat="1" ht="15.75" customHeight="1" x14ac:dyDescent="0.15">
      <c r="A401" s="73" t="str">
        <f>IF(A$311="",IF(F401="","×",""),"×")</f>
        <v>×</v>
      </c>
      <c r="B401" s="76"/>
      <c r="F401" s="119" t="str">
        <f>F351</f>
        <v/>
      </c>
      <c r="G401" s="119"/>
      <c r="H401" s="120"/>
      <c r="I401" s="314" t="str">
        <f>I351</f>
        <v/>
      </c>
      <c r="J401" s="314"/>
      <c r="K401" s="314"/>
      <c r="L401" s="314"/>
      <c r="M401" s="314" t="str">
        <f>M351</f>
        <v/>
      </c>
      <c r="N401" s="314"/>
      <c r="O401" s="314"/>
      <c r="P401" s="317"/>
      <c r="Q401" s="400">
        <f>Q329</f>
        <v>0</v>
      </c>
      <c r="R401" s="120"/>
      <c r="S401" s="120"/>
      <c r="T401" s="120"/>
      <c r="U401" s="314" t="str">
        <f t="shared" si="29"/>
        <v/>
      </c>
      <c r="V401" s="314"/>
      <c r="W401" s="314"/>
      <c r="X401" s="314"/>
      <c r="Y401" s="314"/>
      <c r="Z401" s="314" t="str">
        <f t="shared" si="30"/>
        <v/>
      </c>
      <c r="AA401" s="314"/>
      <c r="AB401" s="314"/>
      <c r="AC401" s="314"/>
      <c r="AD401" s="317"/>
    </row>
    <row r="402" spans="1:81" s="1" customFormat="1" ht="15.75" customHeight="1" x14ac:dyDescent="0.15">
      <c r="A402" s="73" t="str">
        <f>IF(A$311="",IF(F402="","×",""),"×")</f>
        <v>×</v>
      </c>
      <c r="B402" s="76"/>
      <c r="F402" s="119" t="str">
        <f>F352</f>
        <v/>
      </c>
      <c r="G402" s="119"/>
      <c r="H402" s="120"/>
      <c r="I402" s="314" t="str">
        <f>I352</f>
        <v/>
      </c>
      <c r="J402" s="314"/>
      <c r="K402" s="314"/>
      <c r="L402" s="314"/>
      <c r="M402" s="314" t="str">
        <f>M352</f>
        <v/>
      </c>
      <c r="N402" s="314"/>
      <c r="O402" s="314"/>
      <c r="P402" s="317"/>
      <c r="Q402" s="400">
        <f>Q330</f>
        <v>0</v>
      </c>
      <c r="R402" s="120"/>
      <c r="S402" s="120"/>
      <c r="T402" s="120"/>
      <c r="U402" s="314" t="str">
        <f t="shared" si="29"/>
        <v/>
      </c>
      <c r="V402" s="314"/>
      <c r="W402" s="314"/>
      <c r="X402" s="314"/>
      <c r="Y402" s="314"/>
      <c r="Z402" s="314" t="str">
        <f t="shared" si="30"/>
        <v/>
      </c>
      <c r="AA402" s="314"/>
      <c r="AB402" s="314"/>
      <c r="AC402" s="314"/>
      <c r="AD402" s="317"/>
    </row>
    <row r="403" spans="1:81" s="1" customFormat="1" ht="15.75" customHeight="1" x14ac:dyDescent="0.15">
      <c r="A403" s="73" t="str">
        <f>IF(A$311="",IF(F403="","×",""),"×")</f>
        <v>×</v>
      </c>
      <c r="B403" s="76"/>
      <c r="F403" s="233" t="str">
        <f>F353</f>
        <v/>
      </c>
      <c r="G403" s="233"/>
      <c r="H403" s="234"/>
      <c r="I403" s="319" t="str">
        <f>I353</f>
        <v/>
      </c>
      <c r="J403" s="319"/>
      <c r="K403" s="319"/>
      <c r="L403" s="319"/>
      <c r="M403" s="319" t="str">
        <f>M353</f>
        <v/>
      </c>
      <c r="N403" s="319"/>
      <c r="O403" s="319"/>
      <c r="P403" s="322"/>
      <c r="Q403" s="401">
        <f>Q331</f>
        <v>0</v>
      </c>
      <c r="R403" s="234"/>
      <c r="S403" s="234"/>
      <c r="T403" s="234"/>
      <c r="U403" s="319" t="str">
        <f t="shared" si="29"/>
        <v/>
      </c>
      <c r="V403" s="319"/>
      <c r="W403" s="319"/>
      <c r="X403" s="319"/>
      <c r="Y403" s="319"/>
      <c r="Z403" s="319" t="str">
        <f t="shared" si="30"/>
        <v/>
      </c>
      <c r="AA403" s="319"/>
      <c r="AB403" s="319"/>
      <c r="AC403" s="319"/>
      <c r="AD403" s="322"/>
    </row>
    <row r="404" spans="1:81" s="1" customFormat="1" ht="15.75" customHeight="1" x14ac:dyDescent="0.15">
      <c r="A404" s="73" t="str">
        <f>IF(A$311="","","×")</f>
        <v>×</v>
      </c>
      <c r="D404" s="76"/>
      <c r="F404" s="323"/>
      <c r="G404" s="323"/>
      <c r="H404" s="323"/>
      <c r="I404" s="323"/>
      <c r="J404" s="323"/>
      <c r="K404" s="323"/>
      <c r="L404" s="323"/>
      <c r="M404" s="9"/>
      <c r="N404" s="9"/>
      <c r="O404" s="9"/>
      <c r="P404" s="323"/>
      <c r="Q404" s="323"/>
      <c r="R404" s="323"/>
      <c r="S404" s="323"/>
      <c r="T404" s="323"/>
      <c r="U404" s="323"/>
      <c r="V404" s="323"/>
      <c r="W404" s="323"/>
      <c r="X404" s="323"/>
      <c r="Y404" s="323"/>
    </row>
    <row r="405" spans="1:81" s="1" customFormat="1" ht="15.75" customHeight="1" x14ac:dyDescent="0.15">
      <c r="A405" s="73" t="str">
        <f>IF(A$311="","","×")</f>
        <v>×</v>
      </c>
      <c r="D405" s="76"/>
      <c r="E405" s="9"/>
      <c r="F405" s="323"/>
      <c r="G405" s="323"/>
      <c r="H405" s="323"/>
      <c r="I405" s="323"/>
      <c r="J405" s="323"/>
      <c r="K405" s="323"/>
      <c r="L405" s="323"/>
      <c r="M405" s="9"/>
      <c r="N405" s="9"/>
      <c r="O405" s="9"/>
      <c r="P405" s="323"/>
      <c r="Q405" s="323"/>
      <c r="R405" s="323"/>
      <c r="S405" s="323"/>
      <c r="T405" s="323"/>
      <c r="U405" s="323"/>
      <c r="V405" s="323"/>
      <c r="W405" s="323"/>
      <c r="X405" s="323"/>
      <c r="Y405" s="323"/>
      <c r="AD405" s="8"/>
      <c r="AE405" s="8"/>
      <c r="AF405" s="8"/>
      <c r="AG405" s="8"/>
      <c r="BZ405" s="8"/>
      <c r="CA405" s="8"/>
      <c r="CB405" s="8"/>
      <c r="CC405" s="8"/>
    </row>
    <row r="407" spans="1:81" ht="15.75" customHeight="1" x14ac:dyDescent="0.15">
      <c r="D407" s="1" t="s">
        <v>522</v>
      </c>
      <c r="M407" s="10"/>
    </row>
    <row r="409" spans="1:81" ht="15.75" customHeight="1" x14ac:dyDescent="0.15">
      <c r="F409" s="1" t="s">
        <v>132</v>
      </c>
    </row>
    <row r="411" spans="1:81" s="1" customFormat="1" ht="15.75" customHeight="1" x14ac:dyDescent="0.15">
      <c r="F411" s="162" t="s">
        <v>133</v>
      </c>
      <c r="G411" s="162"/>
      <c r="H411" s="76" t="s">
        <v>27</v>
      </c>
      <c r="I411" s="162" t="s">
        <v>76</v>
      </c>
      <c r="J411" s="162"/>
      <c r="K411" s="76" t="s">
        <v>93</v>
      </c>
      <c r="L411" s="76" t="s">
        <v>134</v>
      </c>
      <c r="M411" s="76" t="s">
        <v>93</v>
      </c>
      <c r="N411" s="162" t="s">
        <v>550</v>
      </c>
      <c r="O411" s="162"/>
    </row>
    <row r="412" spans="1:81" s="1" customFormat="1" ht="15.75" customHeight="1" x14ac:dyDescent="0.15"/>
    <row r="413" spans="1:81" s="1" customFormat="1" ht="15.75" customHeight="1" x14ac:dyDescent="0.15">
      <c r="G413" s="1" t="s">
        <v>3</v>
      </c>
      <c r="J413" s="162" t="s">
        <v>133</v>
      </c>
      <c r="K413" s="162"/>
      <c r="L413" s="76" t="s">
        <v>2</v>
      </c>
      <c r="M413" s="1" t="s">
        <v>135</v>
      </c>
    </row>
    <row r="414" spans="1:81" s="1" customFormat="1" ht="15.75" customHeight="1" x14ac:dyDescent="0.15">
      <c r="J414" s="162" t="s">
        <v>76</v>
      </c>
      <c r="K414" s="162"/>
      <c r="L414" s="76" t="s">
        <v>2</v>
      </c>
      <c r="M414" s="1" t="s">
        <v>136</v>
      </c>
    </row>
    <row r="415" spans="1:81" s="1" customFormat="1" ht="15.75" customHeight="1" x14ac:dyDescent="0.15">
      <c r="J415" s="162" t="s">
        <v>134</v>
      </c>
      <c r="K415" s="162"/>
      <c r="L415" s="76" t="s">
        <v>2</v>
      </c>
      <c r="M415" s="1" t="s">
        <v>573</v>
      </c>
      <c r="R415" s="76" t="s">
        <v>27</v>
      </c>
      <c r="S415" s="76" t="s">
        <v>123</v>
      </c>
      <c r="T415" s="76" t="s">
        <v>93</v>
      </c>
      <c r="U415" s="2" t="s">
        <v>65</v>
      </c>
    </row>
    <row r="416" spans="1:81" s="1" customFormat="1" ht="15.75" customHeight="1" x14ac:dyDescent="0.15">
      <c r="J416" s="162" t="s">
        <v>65</v>
      </c>
      <c r="K416" s="162"/>
      <c r="L416" s="76" t="s">
        <v>2</v>
      </c>
      <c r="M416" s="1" t="s">
        <v>137</v>
      </c>
      <c r="Q416" s="2" t="s">
        <v>127</v>
      </c>
      <c r="R416" s="76" t="s">
        <v>27</v>
      </c>
      <c r="S416" s="304">
        <f>Q92</f>
        <v>1</v>
      </c>
      <c r="T416" s="304"/>
      <c r="U416" s="304"/>
      <c r="V416" s="1" t="s">
        <v>128</v>
      </c>
    </row>
    <row r="417" spans="5:35" ht="15.75" customHeight="1" x14ac:dyDescent="0.15">
      <c r="J417" s="162" t="s">
        <v>530</v>
      </c>
      <c r="K417" s="162"/>
      <c r="L417" s="76" t="s">
        <v>2</v>
      </c>
      <c r="M417" s="1" t="s">
        <v>529</v>
      </c>
    </row>
    <row r="419" spans="5:35" s="1" customFormat="1" ht="15.75" customHeight="1" x14ac:dyDescent="0.15">
      <c r="F419" s="1" t="s">
        <v>138</v>
      </c>
    </row>
    <row r="420" spans="5:35" s="1" customFormat="1" ht="15.75" customHeight="1" x14ac:dyDescent="0.15">
      <c r="AI420" s="327" t="s">
        <v>139</v>
      </c>
    </row>
    <row r="421" spans="5:35" s="1" customFormat="1" ht="15.75" customHeight="1" x14ac:dyDescent="0.15">
      <c r="G421" s="328" t="s">
        <v>140</v>
      </c>
      <c r="H421" s="1" t="s">
        <v>146</v>
      </c>
    </row>
    <row r="422" spans="5:35" s="1" customFormat="1" ht="15.75" customHeight="1" x14ac:dyDescent="0.15">
      <c r="G422" s="328"/>
      <c r="H422" s="1" t="s">
        <v>143</v>
      </c>
    </row>
    <row r="423" spans="5:35" s="1" customFormat="1" ht="15.75" customHeight="1" x14ac:dyDescent="0.15">
      <c r="G423" s="328" t="s">
        <v>141</v>
      </c>
      <c r="H423" s="1" t="s">
        <v>144</v>
      </c>
    </row>
    <row r="424" spans="5:35" s="1" customFormat="1" ht="15.75" customHeight="1" x14ac:dyDescent="0.15">
      <c r="G424" s="328"/>
      <c r="H424" s="1" t="s">
        <v>145</v>
      </c>
    </row>
    <row r="425" spans="5:35" s="1" customFormat="1" ht="15.75" customHeight="1" x14ac:dyDescent="0.15">
      <c r="G425" s="328" t="s">
        <v>142</v>
      </c>
      <c r="H425" s="1" t="s">
        <v>387</v>
      </c>
    </row>
    <row r="426" spans="5:35" s="1" customFormat="1" ht="15.75" customHeight="1" x14ac:dyDescent="0.15">
      <c r="H426" s="1" t="s">
        <v>388</v>
      </c>
    </row>
    <row r="427" spans="5:35" s="1" customFormat="1" ht="15.75" customHeight="1" x14ac:dyDescent="0.15">
      <c r="H427" s="1" t="s">
        <v>389</v>
      </c>
    </row>
    <row r="428" spans="5:35" s="1" customFormat="1" ht="15.75" customHeight="1" x14ac:dyDescent="0.15">
      <c r="H428" s="1" t="s">
        <v>390</v>
      </c>
    </row>
    <row r="429" spans="5:35" s="1" customFormat="1" ht="15.75" customHeight="1" x14ac:dyDescent="0.15"/>
    <row r="430" spans="5:35" s="1" customFormat="1" ht="15.75" customHeight="1" x14ac:dyDescent="0.15">
      <c r="E430" s="1" t="s">
        <v>81</v>
      </c>
      <c r="F430" s="1" t="s">
        <v>147</v>
      </c>
    </row>
    <row r="431" spans="5:35" s="1" customFormat="1" ht="15.75" customHeight="1" x14ac:dyDescent="0.15"/>
    <row r="432" spans="5:35" s="1" customFormat="1" ht="15.75" customHeight="1" x14ac:dyDescent="0.15">
      <c r="F432" s="1" t="s">
        <v>148</v>
      </c>
    </row>
    <row r="433" spans="1:34" s="1" customFormat="1" ht="15.75" customHeight="1" x14ac:dyDescent="0.15"/>
    <row r="434" spans="1:34" s="1" customFormat="1" ht="15.75" customHeight="1" x14ac:dyDescent="0.15">
      <c r="F434" s="162" t="s">
        <v>5</v>
      </c>
      <c r="G434" s="162"/>
      <c r="H434" s="76" t="s">
        <v>27</v>
      </c>
      <c r="I434" s="329">
        <v>4</v>
      </c>
      <c r="J434" s="162" t="s">
        <v>91</v>
      </c>
      <c r="K434" s="162"/>
      <c r="L434" s="76" t="s">
        <v>65</v>
      </c>
      <c r="M434" s="1" t="s">
        <v>7</v>
      </c>
      <c r="N434" s="76">
        <v>4</v>
      </c>
      <c r="O434" s="162" t="s">
        <v>149</v>
      </c>
      <c r="P434" s="162"/>
    </row>
    <row r="435" spans="1:34" s="1" customFormat="1" ht="15.75" customHeight="1" x14ac:dyDescent="0.15"/>
    <row r="436" spans="1:34" s="1" customFormat="1" ht="15.75" customHeight="1" x14ac:dyDescent="0.15">
      <c r="G436" s="1" t="s">
        <v>3</v>
      </c>
      <c r="J436" s="162" t="s">
        <v>5</v>
      </c>
      <c r="K436" s="162"/>
      <c r="L436" s="76" t="s">
        <v>2</v>
      </c>
      <c r="M436" s="1" t="s">
        <v>152</v>
      </c>
    </row>
    <row r="437" spans="1:34" s="1" customFormat="1" ht="15.75" customHeight="1" x14ac:dyDescent="0.15">
      <c r="J437" s="162" t="s">
        <v>91</v>
      </c>
      <c r="K437" s="162"/>
      <c r="L437" s="76" t="s">
        <v>2</v>
      </c>
      <c r="M437" s="1" t="s">
        <v>94</v>
      </c>
    </row>
    <row r="438" spans="1:34" s="1" customFormat="1" ht="15.75" customHeight="1" x14ac:dyDescent="0.15">
      <c r="J438" s="162" t="s">
        <v>65</v>
      </c>
      <c r="K438" s="162"/>
      <c r="L438" s="76" t="s">
        <v>2</v>
      </c>
      <c r="M438" s="1" t="s">
        <v>137</v>
      </c>
      <c r="P438" s="2" t="s">
        <v>127</v>
      </c>
      <c r="Q438" s="76" t="s">
        <v>27</v>
      </c>
      <c r="R438" s="304">
        <f>Q92</f>
        <v>1</v>
      </c>
      <c r="S438" s="304"/>
      <c r="T438" s="304"/>
      <c r="U438" s="1" t="s">
        <v>128</v>
      </c>
    </row>
    <row r="439" spans="1:34" ht="15.75" customHeight="1" x14ac:dyDescent="0.15">
      <c r="J439" s="162" t="s">
        <v>149</v>
      </c>
      <c r="K439" s="162"/>
      <c r="L439" s="76" t="s">
        <v>2</v>
      </c>
      <c r="M439" s="1" t="s">
        <v>153</v>
      </c>
    </row>
    <row r="440" spans="1:34" ht="15.75" customHeight="1" x14ac:dyDescent="0.15">
      <c r="J440" s="162" t="s">
        <v>150</v>
      </c>
      <c r="K440" s="162"/>
      <c r="L440" s="76" t="s">
        <v>2</v>
      </c>
      <c r="M440" s="1" t="s">
        <v>154</v>
      </c>
      <c r="T440" s="2" t="s">
        <v>127</v>
      </c>
      <c r="U440" s="76" t="s">
        <v>27</v>
      </c>
      <c r="V440" s="162">
        <f>入力!J32</f>
        <v>22.4</v>
      </c>
      <c r="W440" s="162"/>
      <c r="X440" s="1" t="s">
        <v>156</v>
      </c>
      <c r="AA440" s="76" t="s">
        <v>27</v>
      </c>
      <c r="AB440" s="162">
        <f>V440</f>
        <v>22.4</v>
      </c>
      <c r="AC440" s="162"/>
      <c r="AD440" s="76" t="s">
        <v>1</v>
      </c>
      <c r="AE440" s="78">
        <v>10</v>
      </c>
      <c r="AF440" s="306">
        <v>6</v>
      </c>
      <c r="AG440" s="1" t="s">
        <v>157</v>
      </c>
    </row>
    <row r="441" spans="1:34" ht="15.75" customHeight="1" x14ac:dyDescent="0.15">
      <c r="J441" s="162" t="s">
        <v>151</v>
      </c>
      <c r="K441" s="162"/>
      <c r="L441" s="76" t="s">
        <v>2</v>
      </c>
      <c r="M441" s="1" t="s">
        <v>155</v>
      </c>
      <c r="V441" s="2" t="s">
        <v>127</v>
      </c>
      <c r="W441" s="76" t="s">
        <v>27</v>
      </c>
      <c r="X441" s="76" t="s">
        <v>123</v>
      </c>
      <c r="Y441" s="2" t="s">
        <v>65</v>
      </c>
      <c r="Z441" s="306">
        <v>4</v>
      </c>
      <c r="AA441" s="1" t="s">
        <v>7</v>
      </c>
      <c r="AB441" s="78">
        <v>64</v>
      </c>
      <c r="AC441" s="76" t="s">
        <v>27</v>
      </c>
      <c r="AD441" s="162">
        <f>ROUND(PI()*R438^Z441/AB441,5)</f>
        <v>4.9090000000000002E-2</v>
      </c>
      <c r="AE441" s="162"/>
      <c r="AF441" s="162"/>
      <c r="AG441" s="162"/>
      <c r="AH441" s="76" t="s">
        <v>158</v>
      </c>
    </row>
    <row r="445" spans="1:34" s="1" customFormat="1" ht="15.75" customHeight="1" x14ac:dyDescent="0.15">
      <c r="E445" s="64" t="s">
        <v>584</v>
      </c>
      <c r="F445" s="64"/>
      <c r="G445" s="64"/>
      <c r="H445" s="64"/>
      <c r="I445" s="64"/>
      <c r="J445" s="64"/>
      <c r="K445" s="64"/>
      <c r="L445" s="64"/>
      <c r="M445" s="64"/>
      <c r="N445" s="64"/>
      <c r="O445" s="64"/>
      <c r="P445" s="64"/>
      <c r="Q445" s="64"/>
      <c r="R445" s="64"/>
      <c r="S445" s="64"/>
      <c r="T445" s="64"/>
      <c r="U445" s="64"/>
      <c r="V445" s="64"/>
      <c r="W445" s="64"/>
      <c r="X445" s="64"/>
      <c r="Y445" s="64"/>
      <c r="Z445" s="64"/>
      <c r="AA445" s="64"/>
      <c r="AB445" s="64"/>
      <c r="AC445" s="64"/>
      <c r="AD445" s="64"/>
      <c r="AE445" s="64"/>
    </row>
    <row r="446" spans="1:34" s="1" customFormat="1" ht="15.75" customHeight="1" x14ac:dyDescent="0.15">
      <c r="E446" s="126" t="s">
        <v>78</v>
      </c>
      <c r="F446" s="105"/>
      <c r="G446" s="105"/>
      <c r="H446" s="134" t="s">
        <v>159</v>
      </c>
      <c r="I446" s="135"/>
      <c r="J446" s="135"/>
      <c r="K446" s="105" t="s">
        <v>160</v>
      </c>
      <c r="L446" s="105"/>
      <c r="M446" s="105"/>
      <c r="N446" s="105"/>
      <c r="O446" s="105" t="s">
        <v>164</v>
      </c>
      <c r="P446" s="105"/>
      <c r="Q446" s="105"/>
      <c r="R446" s="105"/>
      <c r="S446" s="105"/>
      <c r="T446" s="105" t="s">
        <v>161</v>
      </c>
      <c r="U446" s="105"/>
      <c r="V446" s="105"/>
      <c r="W446" s="105"/>
      <c r="X446" s="105" t="s">
        <v>162</v>
      </c>
      <c r="Y446" s="105"/>
      <c r="Z446" s="105"/>
      <c r="AA446" s="105"/>
      <c r="AB446" s="105" t="s">
        <v>163</v>
      </c>
      <c r="AC446" s="105"/>
      <c r="AD446" s="105"/>
      <c r="AE446" s="129"/>
    </row>
    <row r="447" spans="1:34" s="1" customFormat="1" ht="15.75" customHeight="1" x14ac:dyDescent="0.15">
      <c r="E447" s="128"/>
      <c r="F447" s="106"/>
      <c r="G447" s="106"/>
      <c r="H447" s="121"/>
      <c r="I447" s="121"/>
      <c r="J447" s="121"/>
      <c r="K447" s="106"/>
      <c r="L447" s="106"/>
      <c r="M447" s="106"/>
      <c r="N447" s="106"/>
      <c r="O447" s="106"/>
      <c r="P447" s="106"/>
      <c r="Q447" s="106"/>
      <c r="R447" s="106"/>
      <c r="S447" s="106"/>
      <c r="T447" s="106"/>
      <c r="U447" s="106"/>
      <c r="V447" s="106"/>
      <c r="W447" s="106"/>
      <c r="X447" s="106"/>
      <c r="Y447" s="106"/>
      <c r="Z447" s="106"/>
      <c r="AA447" s="106"/>
      <c r="AB447" s="106"/>
      <c r="AC447" s="106"/>
      <c r="AD447" s="106"/>
      <c r="AE447" s="124"/>
    </row>
    <row r="448" spans="1:34" s="1" customFormat="1" ht="15.75" customHeight="1" x14ac:dyDescent="0.15">
      <c r="A448" s="73" t="str">
        <f>IF(H448="","×","")</f>
        <v/>
      </c>
      <c r="E448" s="117">
        <f>IF(G155="","",G155)</f>
        <v>3</v>
      </c>
      <c r="F448" s="118"/>
      <c r="G448" s="118"/>
      <c r="H448" s="125">
        <v>3</v>
      </c>
      <c r="I448" s="125"/>
      <c r="J448" s="125"/>
      <c r="K448" s="309">
        <f>T272</f>
        <v>25020</v>
      </c>
      <c r="L448" s="131"/>
      <c r="M448" s="131"/>
      <c r="N448" s="131"/>
      <c r="O448" s="131">
        <f>IF(K448="","",ROUND(K448/$X$464,6))</f>
        <v>5.6880000000000003E-3</v>
      </c>
      <c r="P448" s="131"/>
      <c r="Q448" s="131"/>
      <c r="R448" s="131"/>
      <c r="S448" s="131"/>
      <c r="T448" s="131">
        <f>IF(O448="","",ROUND(O448^0.25,4))</f>
        <v>0.27460000000000001</v>
      </c>
      <c r="U448" s="131"/>
      <c r="V448" s="131"/>
      <c r="W448" s="131"/>
      <c r="X448" s="330">
        <f>IF(T448="","",ROUND(T448*H448,4))</f>
        <v>0.82379999999999998</v>
      </c>
      <c r="Y448" s="330"/>
      <c r="Z448" s="330"/>
      <c r="AA448" s="330"/>
      <c r="AB448" s="331">
        <f>IF(X448="","",SUM(X$448:X448))</f>
        <v>0.82379999999999998</v>
      </c>
      <c r="AC448" s="331"/>
      <c r="AD448" s="331"/>
      <c r="AE448" s="332"/>
    </row>
    <row r="449" spans="1:58" s="1" customFormat="1" ht="15.75" customHeight="1" x14ac:dyDescent="0.15">
      <c r="A449" s="73" t="str">
        <f t="shared" ref="A449:A463" si="31">IF(H449="","×","")</f>
        <v/>
      </c>
      <c r="E449" s="119">
        <f>IF(G156="","",G156)</f>
        <v>4</v>
      </c>
      <c r="F449" s="120"/>
      <c r="G449" s="120"/>
      <c r="H449" s="103">
        <v>5</v>
      </c>
      <c r="I449" s="103"/>
      <c r="J449" s="103"/>
      <c r="K449" s="325">
        <f>T273</f>
        <v>51410</v>
      </c>
      <c r="L449" s="165"/>
      <c r="M449" s="165"/>
      <c r="N449" s="165"/>
      <c r="O449" s="94">
        <f>IF(K449="","",ROUND(K449/$X$464,6))</f>
        <v>1.1688E-2</v>
      </c>
      <c r="P449" s="94"/>
      <c r="Q449" s="94"/>
      <c r="R449" s="94"/>
      <c r="S449" s="94"/>
      <c r="T449" s="94">
        <f t="shared" ref="T449:T463" si="32">IF(O449="","",ROUND(O449^0.25,4))</f>
        <v>0.32879999999999998</v>
      </c>
      <c r="U449" s="94"/>
      <c r="V449" s="94"/>
      <c r="W449" s="94"/>
      <c r="X449" s="333">
        <f>IF(T449="","",ROUND(T449*H449,4))</f>
        <v>1.6439999999999999</v>
      </c>
      <c r="Y449" s="333"/>
      <c r="Z449" s="333"/>
      <c r="AA449" s="333"/>
      <c r="AB449" s="334">
        <f>IF(X449="","",SUM(X$448:X449))</f>
        <v>2.4678</v>
      </c>
      <c r="AC449" s="334"/>
      <c r="AD449" s="334"/>
      <c r="AE449" s="335"/>
    </row>
    <row r="450" spans="1:58" s="1" customFormat="1" ht="15.75" customHeight="1" x14ac:dyDescent="0.15">
      <c r="A450" s="73" t="str">
        <f t="shared" si="31"/>
        <v/>
      </c>
      <c r="E450" s="119">
        <f>IF(G157="","",G157)</f>
        <v>5</v>
      </c>
      <c r="F450" s="120"/>
      <c r="G450" s="120"/>
      <c r="H450" s="103">
        <v>8</v>
      </c>
      <c r="I450" s="103"/>
      <c r="J450" s="103"/>
      <c r="K450" s="325">
        <f>T274</f>
        <v>58500</v>
      </c>
      <c r="L450" s="165"/>
      <c r="M450" s="165"/>
      <c r="N450" s="165"/>
      <c r="O450" s="94">
        <f>IF(K450="","",ROUND(K450/$X$464,6))</f>
        <v>1.3299999999999999E-2</v>
      </c>
      <c r="P450" s="94"/>
      <c r="Q450" s="94"/>
      <c r="R450" s="94"/>
      <c r="S450" s="94"/>
      <c r="T450" s="94">
        <f t="shared" si="32"/>
        <v>0.33960000000000001</v>
      </c>
      <c r="U450" s="94"/>
      <c r="V450" s="94"/>
      <c r="W450" s="94"/>
      <c r="X450" s="333">
        <f>IF(T450="","",ROUND(T450*H450,4))</f>
        <v>2.7168000000000001</v>
      </c>
      <c r="Y450" s="333"/>
      <c r="Z450" s="333"/>
      <c r="AA450" s="333"/>
      <c r="AB450" s="334">
        <f>IF(X450="","",SUM(X$448:X450))</f>
        <v>5.1845999999999997</v>
      </c>
      <c r="AC450" s="334"/>
      <c r="AD450" s="334"/>
      <c r="AE450" s="335"/>
    </row>
    <row r="451" spans="1:58" s="1" customFormat="1" ht="15.75" customHeight="1" x14ac:dyDescent="0.15">
      <c r="A451" s="73" t="str">
        <f t="shared" si="31"/>
        <v/>
      </c>
      <c r="E451" s="119">
        <f>IF(G158="","",G158)</f>
        <v>6</v>
      </c>
      <c r="F451" s="120"/>
      <c r="G451" s="120"/>
      <c r="H451" s="103">
        <v>4.5</v>
      </c>
      <c r="I451" s="103"/>
      <c r="J451" s="103"/>
      <c r="K451" s="325">
        <f>T275</f>
        <v>83410</v>
      </c>
      <c r="L451" s="165"/>
      <c r="M451" s="165"/>
      <c r="N451" s="165"/>
      <c r="O451" s="94">
        <f>IF(K451="","",ROUND(K451/$X$464,6))</f>
        <v>1.8963000000000001E-2</v>
      </c>
      <c r="P451" s="94"/>
      <c r="Q451" s="94"/>
      <c r="R451" s="94"/>
      <c r="S451" s="94"/>
      <c r="T451" s="94">
        <f t="shared" si="32"/>
        <v>0.37109999999999999</v>
      </c>
      <c r="U451" s="94"/>
      <c r="V451" s="94"/>
      <c r="W451" s="94"/>
      <c r="X451" s="333">
        <f>IF(T451="","",ROUND(T451*H451,4))</f>
        <v>1.67</v>
      </c>
      <c r="Y451" s="333"/>
      <c r="Z451" s="333"/>
      <c r="AA451" s="333"/>
      <c r="AB451" s="334">
        <f>IF(X451="","",SUM(X$448:X451))</f>
        <v>6.8545999999999996</v>
      </c>
      <c r="AC451" s="334"/>
      <c r="AD451" s="334"/>
      <c r="AE451" s="335"/>
    </row>
    <row r="452" spans="1:58" s="1" customFormat="1" ht="15.75" customHeight="1" x14ac:dyDescent="0.15">
      <c r="A452" s="73" t="str">
        <f t="shared" si="31"/>
        <v/>
      </c>
      <c r="E452" s="119">
        <f>IF(G159="","",G159)</f>
        <v>7</v>
      </c>
      <c r="F452" s="120"/>
      <c r="G452" s="120"/>
      <c r="H452" s="103">
        <v>0.5</v>
      </c>
      <c r="I452" s="103"/>
      <c r="J452" s="103"/>
      <c r="K452" s="325">
        <f>T276</f>
        <v>164820</v>
      </c>
      <c r="L452" s="165"/>
      <c r="M452" s="165"/>
      <c r="N452" s="165"/>
      <c r="O452" s="94">
        <f>IF(K452="","",ROUND(K452/$X$464,6))</f>
        <v>3.7471999999999998E-2</v>
      </c>
      <c r="P452" s="94"/>
      <c r="Q452" s="94"/>
      <c r="R452" s="94"/>
      <c r="S452" s="94"/>
      <c r="T452" s="94">
        <f t="shared" si="32"/>
        <v>0.44</v>
      </c>
      <c r="U452" s="94"/>
      <c r="V452" s="94"/>
      <c r="W452" s="94"/>
      <c r="X452" s="333">
        <f>IF(T452="","",ROUND(T452*H452,4))</f>
        <v>0.22</v>
      </c>
      <c r="Y452" s="333"/>
      <c r="Z452" s="333"/>
      <c r="AA452" s="333"/>
      <c r="AB452" s="334">
        <f>IF(X452="","",SUM(X$448:X452))</f>
        <v>7.0745999999999993</v>
      </c>
      <c r="AC452" s="334"/>
      <c r="AD452" s="334"/>
      <c r="AE452" s="335"/>
    </row>
    <row r="453" spans="1:58" s="1" customFormat="1" ht="15.75" customHeight="1" x14ac:dyDescent="0.15">
      <c r="A453" s="73" t="str">
        <f t="shared" si="31"/>
        <v>×</v>
      </c>
      <c r="E453" s="119" t="str">
        <f>IF(G160="","",G160)</f>
        <v/>
      </c>
      <c r="F453" s="120"/>
      <c r="G453" s="120"/>
      <c r="H453" s="103"/>
      <c r="I453" s="103"/>
      <c r="J453" s="103"/>
      <c r="K453" s="325" t="str">
        <f>T277</f>
        <v/>
      </c>
      <c r="L453" s="165"/>
      <c r="M453" s="165"/>
      <c r="N453" s="165"/>
      <c r="O453" s="94" t="str">
        <f>IF(K453="","",ROUND(K453/$X$464,6))</f>
        <v/>
      </c>
      <c r="P453" s="94"/>
      <c r="Q453" s="94"/>
      <c r="R453" s="94"/>
      <c r="S453" s="94"/>
      <c r="T453" s="94" t="str">
        <f t="shared" si="32"/>
        <v/>
      </c>
      <c r="U453" s="94"/>
      <c r="V453" s="94"/>
      <c r="W453" s="94"/>
      <c r="X453" s="333" t="str">
        <f>IF(T453="","",ROUND(T453*H453,4))</f>
        <v/>
      </c>
      <c r="Y453" s="333"/>
      <c r="Z453" s="333"/>
      <c r="AA453" s="333"/>
      <c r="AB453" s="334" t="str">
        <f>IF(X453="","",SUM(X$448:X453))</f>
        <v/>
      </c>
      <c r="AC453" s="334"/>
      <c r="AD453" s="334"/>
      <c r="AE453" s="335"/>
    </row>
    <row r="454" spans="1:58" s="1" customFormat="1" ht="15.75" customHeight="1" x14ac:dyDescent="0.15">
      <c r="A454" s="73" t="str">
        <f t="shared" si="31"/>
        <v>×</v>
      </c>
      <c r="E454" s="119" t="str">
        <f>IF(G161="","",G161)</f>
        <v/>
      </c>
      <c r="F454" s="120"/>
      <c r="G454" s="120"/>
      <c r="H454" s="103"/>
      <c r="I454" s="103"/>
      <c r="J454" s="103"/>
      <c r="K454" s="325" t="str">
        <f>T278</f>
        <v/>
      </c>
      <c r="L454" s="165"/>
      <c r="M454" s="165"/>
      <c r="N454" s="165"/>
      <c r="O454" s="94" t="str">
        <f>IF(K454="","",ROUND(K454/$X$464,6))</f>
        <v/>
      </c>
      <c r="P454" s="94"/>
      <c r="Q454" s="94"/>
      <c r="R454" s="94"/>
      <c r="S454" s="94"/>
      <c r="T454" s="94" t="str">
        <f t="shared" si="32"/>
        <v/>
      </c>
      <c r="U454" s="94"/>
      <c r="V454" s="94"/>
      <c r="W454" s="94"/>
      <c r="X454" s="333" t="str">
        <f>IF(T454="","",ROUND(T454*H454,4))</f>
        <v/>
      </c>
      <c r="Y454" s="333"/>
      <c r="Z454" s="333"/>
      <c r="AA454" s="333"/>
      <c r="AB454" s="334" t="str">
        <f>IF(X454="","",SUM(X$448:X454))</f>
        <v/>
      </c>
      <c r="AC454" s="334"/>
      <c r="AD454" s="334"/>
      <c r="AE454" s="335"/>
    </row>
    <row r="455" spans="1:58" s="1" customFormat="1" ht="15.75" customHeight="1" x14ac:dyDescent="0.15">
      <c r="A455" s="73" t="str">
        <f t="shared" si="31"/>
        <v>×</v>
      </c>
      <c r="E455" s="119" t="str">
        <f>IF(G162="","",G162)</f>
        <v/>
      </c>
      <c r="F455" s="120"/>
      <c r="G455" s="120"/>
      <c r="H455" s="103"/>
      <c r="I455" s="103"/>
      <c r="J455" s="103"/>
      <c r="K455" s="325" t="str">
        <f>T279</f>
        <v/>
      </c>
      <c r="L455" s="165"/>
      <c r="M455" s="165"/>
      <c r="N455" s="165"/>
      <c r="O455" s="94" t="str">
        <f>IF(K455="","",ROUND(K455/$X$464,6))</f>
        <v/>
      </c>
      <c r="P455" s="94"/>
      <c r="Q455" s="94"/>
      <c r="R455" s="94"/>
      <c r="S455" s="94"/>
      <c r="T455" s="94" t="str">
        <f t="shared" si="32"/>
        <v/>
      </c>
      <c r="U455" s="94"/>
      <c r="V455" s="94"/>
      <c r="W455" s="94"/>
      <c r="X455" s="333" t="str">
        <f>IF(T455="","",ROUND(T455*H455,4))</f>
        <v/>
      </c>
      <c r="Y455" s="333"/>
      <c r="Z455" s="333"/>
      <c r="AA455" s="333"/>
      <c r="AB455" s="334" t="str">
        <f>IF(X455="","",SUM(X$448:X455))</f>
        <v/>
      </c>
      <c r="AC455" s="334"/>
      <c r="AD455" s="334"/>
      <c r="AE455" s="335"/>
    </row>
    <row r="456" spans="1:58" s="1" customFormat="1" ht="15.75" customHeight="1" x14ac:dyDescent="0.15">
      <c r="A456" s="73" t="str">
        <f t="shared" si="31"/>
        <v>×</v>
      </c>
      <c r="E456" s="119" t="str">
        <f>IF(G163="","",G163)</f>
        <v/>
      </c>
      <c r="F456" s="120"/>
      <c r="G456" s="120"/>
      <c r="H456" s="103"/>
      <c r="I456" s="103"/>
      <c r="J456" s="103"/>
      <c r="K456" s="325" t="str">
        <f>T280</f>
        <v/>
      </c>
      <c r="L456" s="165"/>
      <c r="M456" s="165"/>
      <c r="N456" s="165"/>
      <c r="O456" s="94" t="str">
        <f>IF(K456="","",ROUND(K456/$X$464,6))</f>
        <v/>
      </c>
      <c r="P456" s="94"/>
      <c r="Q456" s="94"/>
      <c r="R456" s="94"/>
      <c r="S456" s="94"/>
      <c r="T456" s="94" t="str">
        <f t="shared" si="32"/>
        <v/>
      </c>
      <c r="U456" s="94"/>
      <c r="V456" s="94"/>
      <c r="W456" s="94"/>
      <c r="X456" s="333" t="str">
        <f>IF(T456="","",ROUND(T456*H456,4))</f>
        <v/>
      </c>
      <c r="Y456" s="333"/>
      <c r="Z456" s="333"/>
      <c r="AA456" s="333"/>
      <c r="AB456" s="334" t="str">
        <f>IF(X456="","",SUM(X$448:X456))</f>
        <v/>
      </c>
      <c r="AC456" s="334"/>
      <c r="AD456" s="334"/>
      <c r="AE456" s="335"/>
    </row>
    <row r="457" spans="1:58" s="1" customFormat="1" ht="15.75" customHeight="1" x14ac:dyDescent="0.15">
      <c r="A457" s="73" t="str">
        <f t="shared" si="31"/>
        <v>×</v>
      </c>
      <c r="E457" s="119" t="str">
        <f>IF(G164="","",G164)</f>
        <v/>
      </c>
      <c r="F457" s="120"/>
      <c r="G457" s="120"/>
      <c r="H457" s="103"/>
      <c r="I457" s="103"/>
      <c r="J457" s="103"/>
      <c r="K457" s="325" t="str">
        <f>T281</f>
        <v/>
      </c>
      <c r="L457" s="165"/>
      <c r="M457" s="165"/>
      <c r="N457" s="165"/>
      <c r="O457" s="94" t="str">
        <f>IF(K457="","",ROUND(K457/$X$464,6))</f>
        <v/>
      </c>
      <c r="P457" s="94"/>
      <c r="Q457" s="94"/>
      <c r="R457" s="94"/>
      <c r="S457" s="94"/>
      <c r="T457" s="94" t="str">
        <f t="shared" si="32"/>
        <v/>
      </c>
      <c r="U457" s="94"/>
      <c r="V457" s="94"/>
      <c r="W457" s="94"/>
      <c r="X457" s="333" t="str">
        <f>IF(T457="","",ROUND(T457*H457,4))</f>
        <v/>
      </c>
      <c r="Y457" s="333"/>
      <c r="Z457" s="333"/>
      <c r="AA457" s="333"/>
      <c r="AB457" s="334" t="str">
        <f>IF(X457="","",SUM(X$448:X457))</f>
        <v/>
      </c>
      <c r="AC457" s="334"/>
      <c r="AD457" s="334"/>
      <c r="AE457" s="335"/>
    </row>
    <row r="458" spans="1:58" s="1" customFormat="1" ht="15.75" customHeight="1" x14ac:dyDescent="0.15">
      <c r="A458" s="73" t="str">
        <f t="shared" si="31"/>
        <v>×</v>
      </c>
      <c r="E458" s="119" t="str">
        <f>IF(G165="","",G165)</f>
        <v/>
      </c>
      <c r="F458" s="120"/>
      <c r="G458" s="120"/>
      <c r="H458" s="103"/>
      <c r="I458" s="103"/>
      <c r="J458" s="103"/>
      <c r="K458" s="325" t="str">
        <f>T282</f>
        <v/>
      </c>
      <c r="L458" s="165"/>
      <c r="M458" s="165"/>
      <c r="N458" s="165"/>
      <c r="O458" s="94" t="str">
        <f>IF(K458="","",ROUND(K458/$X$464,6))</f>
        <v/>
      </c>
      <c r="P458" s="94"/>
      <c r="Q458" s="94"/>
      <c r="R458" s="94"/>
      <c r="S458" s="94"/>
      <c r="T458" s="94" t="str">
        <f t="shared" si="32"/>
        <v/>
      </c>
      <c r="U458" s="94"/>
      <c r="V458" s="94"/>
      <c r="W458" s="94"/>
      <c r="X458" s="333" t="str">
        <f>IF(T458="","",ROUND(T458*H458,4))</f>
        <v/>
      </c>
      <c r="Y458" s="333"/>
      <c r="Z458" s="333"/>
      <c r="AA458" s="333"/>
      <c r="AB458" s="334" t="str">
        <f>IF(X458="","",SUM(X$448:X458))</f>
        <v/>
      </c>
      <c r="AC458" s="334"/>
      <c r="AD458" s="334"/>
      <c r="AE458" s="335"/>
    </row>
    <row r="459" spans="1:58" s="1" customFormat="1" ht="15.75" customHeight="1" x14ac:dyDescent="0.15">
      <c r="A459" s="73" t="str">
        <f t="shared" si="31"/>
        <v>×</v>
      </c>
      <c r="E459" s="119" t="str">
        <f>IF(G166="","",G166)</f>
        <v/>
      </c>
      <c r="F459" s="120"/>
      <c r="G459" s="120"/>
      <c r="H459" s="103"/>
      <c r="I459" s="103"/>
      <c r="J459" s="103"/>
      <c r="K459" s="325" t="str">
        <f>T283</f>
        <v/>
      </c>
      <c r="L459" s="165"/>
      <c r="M459" s="165"/>
      <c r="N459" s="165"/>
      <c r="O459" s="94" t="str">
        <f>IF(K459="","",ROUND(K459/$X$464,6))</f>
        <v/>
      </c>
      <c r="P459" s="94"/>
      <c r="Q459" s="94"/>
      <c r="R459" s="94"/>
      <c r="S459" s="94"/>
      <c r="T459" s="94" t="str">
        <f t="shared" si="32"/>
        <v/>
      </c>
      <c r="U459" s="94"/>
      <c r="V459" s="94"/>
      <c r="W459" s="94"/>
      <c r="X459" s="333" t="str">
        <f>IF(T459="","",ROUND(T459*H459,4))</f>
        <v/>
      </c>
      <c r="Y459" s="333"/>
      <c r="Z459" s="333"/>
      <c r="AA459" s="333"/>
      <c r="AB459" s="334" t="str">
        <f>IF(X459="","",SUM(X$448:X459))</f>
        <v/>
      </c>
      <c r="AC459" s="334"/>
      <c r="AD459" s="334"/>
      <c r="AE459" s="335"/>
    </row>
    <row r="460" spans="1:58" s="1" customFormat="1" ht="15.75" customHeight="1" x14ac:dyDescent="0.15">
      <c r="A460" s="73" t="str">
        <f t="shared" si="31"/>
        <v>×</v>
      </c>
      <c r="E460" s="119" t="str">
        <f>IF(G167="","",G167)</f>
        <v/>
      </c>
      <c r="F460" s="120"/>
      <c r="G460" s="120"/>
      <c r="H460" s="103"/>
      <c r="I460" s="103"/>
      <c r="J460" s="103"/>
      <c r="K460" s="325" t="str">
        <f>T284</f>
        <v/>
      </c>
      <c r="L460" s="165"/>
      <c r="M460" s="165"/>
      <c r="N460" s="165"/>
      <c r="O460" s="94" t="str">
        <f>IF(K460="","",ROUND(K460/$X$464,6))</f>
        <v/>
      </c>
      <c r="P460" s="94"/>
      <c r="Q460" s="94"/>
      <c r="R460" s="94"/>
      <c r="S460" s="94"/>
      <c r="T460" s="94" t="str">
        <f t="shared" si="32"/>
        <v/>
      </c>
      <c r="U460" s="94"/>
      <c r="V460" s="94"/>
      <c r="W460" s="94"/>
      <c r="X460" s="333" t="str">
        <f>IF(T460="","",ROUND(T460*H460,4))</f>
        <v/>
      </c>
      <c r="Y460" s="333"/>
      <c r="Z460" s="333"/>
      <c r="AA460" s="333"/>
      <c r="AB460" s="334" t="str">
        <f>IF(X460="","",SUM(X$448:X460))</f>
        <v/>
      </c>
      <c r="AC460" s="334"/>
      <c r="AD460" s="334"/>
      <c r="AE460" s="335"/>
    </row>
    <row r="461" spans="1:58" s="1" customFormat="1" ht="15.75" customHeight="1" x14ac:dyDescent="0.15">
      <c r="A461" s="73" t="str">
        <f t="shared" si="31"/>
        <v>×</v>
      </c>
      <c r="E461" s="119" t="str">
        <f>IF(G168="","",G168)</f>
        <v/>
      </c>
      <c r="F461" s="120"/>
      <c r="G461" s="120"/>
      <c r="H461" s="103"/>
      <c r="I461" s="103"/>
      <c r="J461" s="103"/>
      <c r="K461" s="325" t="str">
        <f>T285</f>
        <v/>
      </c>
      <c r="L461" s="165"/>
      <c r="M461" s="165"/>
      <c r="N461" s="165"/>
      <c r="O461" s="94" t="str">
        <f>IF(K461="","",ROUND(K461/$X$464,6))</f>
        <v/>
      </c>
      <c r="P461" s="94"/>
      <c r="Q461" s="94"/>
      <c r="R461" s="94"/>
      <c r="S461" s="94"/>
      <c r="T461" s="94" t="str">
        <f t="shared" si="32"/>
        <v/>
      </c>
      <c r="U461" s="94"/>
      <c r="V461" s="94"/>
      <c r="W461" s="94"/>
      <c r="X461" s="333" t="str">
        <f>IF(T461="","",ROUND(T461*H461,4))</f>
        <v/>
      </c>
      <c r="Y461" s="333"/>
      <c r="Z461" s="333"/>
      <c r="AA461" s="333"/>
      <c r="AB461" s="334" t="str">
        <f>IF(X461="","",SUM(X$448:X461))</f>
        <v/>
      </c>
      <c r="AC461" s="334"/>
      <c r="AD461" s="334"/>
      <c r="AE461" s="335"/>
    </row>
    <row r="462" spans="1:58" s="1" customFormat="1" ht="15.75" customHeight="1" x14ac:dyDescent="0.15">
      <c r="A462" s="73" t="str">
        <f t="shared" si="31"/>
        <v>×</v>
      </c>
      <c r="E462" s="119" t="str">
        <f>IF(G169="","",G169)</f>
        <v/>
      </c>
      <c r="F462" s="120"/>
      <c r="G462" s="120"/>
      <c r="H462" s="103"/>
      <c r="I462" s="103"/>
      <c r="J462" s="103"/>
      <c r="K462" s="325" t="str">
        <f>T286</f>
        <v/>
      </c>
      <c r="L462" s="165"/>
      <c r="M462" s="165"/>
      <c r="N462" s="165"/>
      <c r="O462" s="94" t="str">
        <f>IF(K462="","",ROUND(K462/$X$464,6))</f>
        <v/>
      </c>
      <c r="P462" s="94"/>
      <c r="Q462" s="94"/>
      <c r="R462" s="94"/>
      <c r="S462" s="94"/>
      <c r="T462" s="94" t="str">
        <f t="shared" si="32"/>
        <v/>
      </c>
      <c r="U462" s="94"/>
      <c r="V462" s="94"/>
      <c r="W462" s="94"/>
      <c r="X462" s="333" t="str">
        <f>IF(T462="","",ROUND(T462*H462,4))</f>
        <v/>
      </c>
      <c r="Y462" s="333"/>
      <c r="Z462" s="333"/>
      <c r="AA462" s="333"/>
      <c r="AB462" s="334" t="str">
        <f>IF(X462="","",SUM(X$448:X462))</f>
        <v/>
      </c>
      <c r="AC462" s="334"/>
      <c r="AD462" s="334"/>
      <c r="AE462" s="335"/>
    </row>
    <row r="463" spans="1:58" s="1" customFormat="1" ht="15.75" customHeight="1" x14ac:dyDescent="0.15">
      <c r="A463" s="73" t="str">
        <f t="shared" si="31"/>
        <v>×</v>
      </c>
      <c r="E463" s="233" t="str">
        <f>IF(G170="","",G170)</f>
        <v/>
      </c>
      <c r="F463" s="234"/>
      <c r="G463" s="234"/>
      <c r="H463" s="104"/>
      <c r="I463" s="104"/>
      <c r="J463" s="104"/>
      <c r="K463" s="336" t="str">
        <f>T287</f>
        <v/>
      </c>
      <c r="L463" s="337"/>
      <c r="M463" s="337"/>
      <c r="N463" s="337"/>
      <c r="O463" s="99" t="str">
        <f>IF(K463="","",ROUND(K463/$X$464,6))</f>
        <v/>
      </c>
      <c r="P463" s="99"/>
      <c r="Q463" s="99"/>
      <c r="R463" s="99"/>
      <c r="S463" s="99"/>
      <c r="T463" s="99" t="str">
        <f t="shared" si="32"/>
        <v/>
      </c>
      <c r="U463" s="99"/>
      <c r="V463" s="99"/>
      <c r="W463" s="99"/>
      <c r="X463" s="338" t="str">
        <f>IF(T463="","",ROUND(T463*H463,4))</f>
        <v/>
      </c>
      <c r="Y463" s="338"/>
      <c r="Z463" s="338"/>
      <c r="AA463" s="338"/>
      <c r="AB463" s="339" t="str">
        <f>IF(X463="","",SUM(X$448:X463))</f>
        <v/>
      </c>
      <c r="AC463" s="339"/>
      <c r="AD463" s="339"/>
      <c r="AE463" s="340"/>
    </row>
    <row r="464" spans="1:58" ht="15.75" customHeight="1" x14ac:dyDescent="0.15">
      <c r="E464" s="76"/>
      <c r="S464" s="2" t="s">
        <v>127</v>
      </c>
      <c r="T464" s="76">
        <v>4</v>
      </c>
      <c r="U464" s="162" t="s">
        <v>149</v>
      </c>
      <c r="V464" s="162"/>
      <c r="W464" s="76" t="s">
        <v>27</v>
      </c>
      <c r="X464" s="341">
        <f>ROUND(4*AB440*AE440^AF440*AD441,0)</f>
        <v>4398464</v>
      </c>
      <c r="Y464" s="341"/>
      <c r="Z464" s="341"/>
      <c r="AA464" s="341"/>
      <c r="AB464" s="341"/>
      <c r="AC464" s="148" t="s">
        <v>166</v>
      </c>
      <c r="AD464" s="148"/>
      <c r="AE464" s="76" t="s">
        <v>158</v>
      </c>
      <c r="AJ464" s="379"/>
      <c r="AK464" s="379"/>
      <c r="AL464" s="379"/>
      <c r="AM464" s="379"/>
      <c r="BC464" s="76"/>
      <c r="BD464" s="76"/>
      <c r="BE464" s="76"/>
      <c r="BF464" s="76"/>
    </row>
    <row r="465" spans="1:58" ht="15.75" customHeight="1" x14ac:dyDescent="0.15">
      <c r="E465" s="76"/>
      <c r="S465" s="2"/>
      <c r="X465" s="342"/>
      <c r="Y465" s="342"/>
      <c r="Z465" s="342"/>
      <c r="AA465" s="342"/>
      <c r="AB465" s="342"/>
      <c r="AC465" s="78"/>
      <c r="AD465" s="78"/>
      <c r="AJ465" s="379"/>
      <c r="AK465" s="379"/>
      <c r="AL465" s="379"/>
      <c r="AM465" s="379"/>
      <c r="BC465" s="76"/>
      <c r="BD465" s="76"/>
      <c r="BE465" s="76"/>
      <c r="BF465" s="76"/>
    </row>
    <row r="466" spans="1:58" ht="15.75" customHeight="1" x14ac:dyDescent="0.15">
      <c r="E466" s="307" t="s">
        <v>541</v>
      </c>
      <c r="S466" s="2"/>
      <c r="X466" s="342"/>
      <c r="Y466" s="342"/>
      <c r="Z466" s="342"/>
      <c r="AA466" s="342"/>
      <c r="AB466" s="342"/>
      <c r="AC466" s="78"/>
      <c r="AD466" s="78"/>
      <c r="AJ466" s="379"/>
      <c r="AK466" s="379"/>
      <c r="AL466" s="379"/>
      <c r="AM466" s="379"/>
      <c r="BC466" s="76"/>
      <c r="BD466" s="76"/>
      <c r="BE466" s="76"/>
      <c r="BF466" s="76"/>
    </row>
    <row r="467" spans="1:58" ht="15.75" customHeight="1" x14ac:dyDescent="0.15">
      <c r="E467" s="162" t="s">
        <v>542</v>
      </c>
      <c r="F467" s="162"/>
      <c r="G467" s="76" t="s">
        <v>543</v>
      </c>
      <c r="H467" s="402">
        <v>3.5399999618530273</v>
      </c>
      <c r="I467" s="402"/>
      <c r="J467" s="402"/>
      <c r="K467" s="76" t="s">
        <v>544</v>
      </c>
      <c r="S467" s="2"/>
      <c r="X467" s="342"/>
      <c r="Y467" s="342"/>
      <c r="Z467" s="342"/>
      <c r="AA467" s="342"/>
      <c r="AB467" s="342"/>
      <c r="AC467" s="78"/>
      <c r="AD467" s="78"/>
      <c r="AJ467" s="379"/>
      <c r="AK467" s="379"/>
      <c r="AL467" s="379"/>
      <c r="AM467" s="379"/>
      <c r="BC467" s="76"/>
      <c r="BD467" s="76"/>
      <c r="BE467" s="76"/>
      <c r="BF467" s="76"/>
    </row>
    <row r="468" spans="1:58" s="289" customFormat="1" ht="15.75" customHeight="1" x14ac:dyDescent="0.15">
      <c r="C468" s="343"/>
      <c r="H468" s="403"/>
      <c r="I468" s="403"/>
      <c r="J468" s="403"/>
      <c r="S468" s="344"/>
      <c r="X468" s="345"/>
      <c r="Y468" s="345"/>
      <c r="Z468" s="345"/>
      <c r="AA468" s="345"/>
      <c r="AB468" s="345"/>
      <c r="AC468" s="346"/>
      <c r="AD468" s="346"/>
      <c r="AJ468" s="404"/>
      <c r="AK468" s="404"/>
      <c r="AL468" s="404"/>
      <c r="AM468" s="404"/>
      <c r="AN468" s="404"/>
      <c r="AO468" s="404"/>
      <c r="AP468" s="404"/>
      <c r="AQ468" s="404"/>
      <c r="AR468" s="404"/>
      <c r="AS468" s="404"/>
      <c r="AT468" s="404"/>
      <c r="AU468" s="404"/>
      <c r="AV468" s="404"/>
      <c r="AW468" s="404"/>
      <c r="AX468" s="404"/>
      <c r="AY468" s="404"/>
      <c r="AZ468" s="404"/>
      <c r="BA468" s="404"/>
      <c r="BB468" s="404"/>
    </row>
    <row r="469" spans="1:58" ht="15.75" customHeight="1" x14ac:dyDescent="0.15">
      <c r="E469" s="76"/>
      <c r="AJ469" s="379"/>
      <c r="AK469" s="379"/>
      <c r="AL469" s="379"/>
      <c r="AM469" s="379"/>
      <c r="BC469" s="76"/>
      <c r="BD469" s="76"/>
      <c r="BE469" s="76"/>
      <c r="BF469" s="76"/>
    </row>
    <row r="470" spans="1:58" ht="15.75" hidden="1" customHeight="1" x14ac:dyDescent="0.15">
      <c r="AJ470" s="379"/>
      <c r="AK470" s="379"/>
      <c r="AL470" s="379"/>
      <c r="AM470" s="379"/>
      <c r="BC470" s="76"/>
      <c r="BD470" s="76"/>
      <c r="BE470" s="76"/>
      <c r="BF470" s="76"/>
    </row>
    <row r="471" spans="1:58" s="1" customFormat="1" ht="15.75" hidden="1" customHeight="1" x14ac:dyDescent="0.15">
      <c r="F471" s="1" t="s">
        <v>194</v>
      </c>
    </row>
    <row r="472" spans="1:58" s="1" customFormat="1" ht="15.75" hidden="1" customHeight="1" x14ac:dyDescent="0.15">
      <c r="F472" s="1" t="s">
        <v>169</v>
      </c>
    </row>
    <row r="473" spans="1:58" s="1" customFormat="1" ht="15.75" hidden="1" customHeight="1" x14ac:dyDescent="0.15">
      <c r="Y473" s="148" t="s">
        <v>197</v>
      </c>
      <c r="Z473" s="148"/>
      <c r="AA473" s="148"/>
      <c r="AB473" s="148"/>
    </row>
    <row r="474" spans="1:58" s="1" customFormat="1" ht="15.75" hidden="1" customHeight="1" x14ac:dyDescent="0.15">
      <c r="F474" s="2" t="s">
        <v>188</v>
      </c>
      <c r="G474" s="76" t="s">
        <v>27</v>
      </c>
      <c r="H474" s="1" t="s">
        <v>189</v>
      </c>
      <c r="K474" s="76" t="s">
        <v>191</v>
      </c>
      <c r="L474" s="347">
        <f>X448</f>
        <v>0.82379999999999998</v>
      </c>
      <c r="M474" s="162"/>
      <c r="N474" s="162"/>
      <c r="O474" s="1" t="s">
        <v>192</v>
      </c>
      <c r="P474" s="1" t="s">
        <v>193</v>
      </c>
      <c r="Q474" s="347" t="e">
        <f>#REF!</f>
        <v>#REF!</v>
      </c>
      <c r="R474" s="162"/>
      <c r="S474" s="162"/>
      <c r="T474" s="76" t="s">
        <v>27</v>
      </c>
      <c r="U474" s="304" t="e">
        <f>(#REF!-L474)/Q474</f>
        <v>#REF!</v>
      </c>
      <c r="V474" s="304"/>
      <c r="W474" s="348" t="s">
        <v>196</v>
      </c>
      <c r="Z474" s="304" t="e">
        <f>#REF!</f>
        <v>#REF!</v>
      </c>
      <c r="AA474" s="304"/>
      <c r="AB474" s="348" t="s">
        <v>195</v>
      </c>
    </row>
    <row r="475" spans="1:58" s="1" customFormat="1" ht="15.75" hidden="1" customHeight="1" x14ac:dyDescent="0.15"/>
    <row r="476" spans="1:58" s="1" customFormat="1" ht="15.75" hidden="1" customHeight="1" x14ac:dyDescent="0.15">
      <c r="F476" s="1" t="s">
        <v>198</v>
      </c>
    </row>
    <row r="477" spans="1:58" s="1" customFormat="1" ht="15.75" hidden="1" customHeight="1" x14ac:dyDescent="0.15"/>
    <row r="478" spans="1:58" s="1" customFormat="1" ht="15.75" hidden="1" customHeight="1" x14ac:dyDescent="0.15">
      <c r="F478" s="2" t="s">
        <v>199</v>
      </c>
      <c r="G478" s="76" t="s">
        <v>27</v>
      </c>
      <c r="H478" s="2" t="s">
        <v>200</v>
      </c>
      <c r="I478" s="76" t="s">
        <v>6</v>
      </c>
      <c r="J478" s="2" t="s">
        <v>188</v>
      </c>
      <c r="K478" s="304" t="e">
        <f>U474</f>
        <v>#REF!</v>
      </c>
      <c r="L478" s="304"/>
      <c r="M478" s="76" t="s">
        <v>27</v>
      </c>
      <c r="N478" s="304" t="e">
        <f>#REF!+K478</f>
        <v>#REF!</v>
      </c>
      <c r="O478" s="304"/>
      <c r="P478" s="348" t="s">
        <v>195</v>
      </c>
    </row>
    <row r="479" spans="1:58" s="1" customFormat="1" ht="15.75" customHeight="1" x14ac:dyDescent="0.15">
      <c r="A479" s="73" t="str">
        <f>IF(A$289="","","×")</f>
        <v>×</v>
      </c>
      <c r="E479" s="64" t="s">
        <v>585</v>
      </c>
      <c r="F479" s="64"/>
      <c r="G479" s="64"/>
      <c r="H479" s="64"/>
      <c r="I479" s="64"/>
      <c r="J479" s="64"/>
      <c r="K479" s="64"/>
      <c r="L479" s="64"/>
      <c r="M479" s="64"/>
      <c r="N479" s="64"/>
      <c r="O479" s="64"/>
      <c r="P479" s="64"/>
      <c r="Q479" s="64"/>
      <c r="R479" s="64"/>
      <c r="S479" s="64"/>
      <c r="T479" s="64"/>
      <c r="U479" s="64"/>
      <c r="V479" s="64"/>
      <c r="W479" s="64"/>
      <c r="X479" s="64"/>
      <c r="Y479" s="64"/>
      <c r="Z479" s="64"/>
      <c r="AA479" s="64"/>
      <c r="AB479" s="64"/>
      <c r="AC479" s="64"/>
      <c r="AD479" s="64"/>
      <c r="AE479" s="64"/>
    </row>
    <row r="480" spans="1:58" s="1" customFormat="1" ht="15.75" customHeight="1" x14ac:dyDescent="0.15">
      <c r="A480" s="73" t="str">
        <f>IF(A$289="","","×")</f>
        <v>×</v>
      </c>
      <c r="E480" s="126" t="s">
        <v>78</v>
      </c>
      <c r="F480" s="105"/>
      <c r="G480" s="105"/>
      <c r="H480" s="134" t="s">
        <v>159</v>
      </c>
      <c r="I480" s="135"/>
      <c r="J480" s="135"/>
      <c r="K480" s="105" t="s">
        <v>160</v>
      </c>
      <c r="L480" s="105"/>
      <c r="M480" s="105"/>
      <c r="N480" s="105"/>
      <c r="O480" s="105" t="s">
        <v>164</v>
      </c>
      <c r="P480" s="105"/>
      <c r="Q480" s="105"/>
      <c r="R480" s="105"/>
      <c r="S480" s="105"/>
      <c r="T480" s="105" t="s">
        <v>161</v>
      </c>
      <c r="U480" s="105"/>
      <c r="V480" s="105"/>
      <c r="W480" s="105"/>
      <c r="X480" s="105" t="s">
        <v>162</v>
      </c>
      <c r="Y480" s="105"/>
      <c r="Z480" s="105"/>
      <c r="AA480" s="105"/>
      <c r="AB480" s="105" t="s">
        <v>163</v>
      </c>
      <c r="AC480" s="105"/>
      <c r="AD480" s="105"/>
      <c r="AE480" s="129"/>
    </row>
    <row r="481" spans="1:31" s="1" customFormat="1" ht="15.75" customHeight="1" x14ac:dyDescent="0.15">
      <c r="A481" s="73" t="str">
        <f>IF(A$289="","","×")</f>
        <v>×</v>
      </c>
      <c r="E481" s="128"/>
      <c r="F481" s="106"/>
      <c r="G481" s="106"/>
      <c r="H481" s="121"/>
      <c r="I481" s="121"/>
      <c r="J481" s="121"/>
      <c r="K481" s="106"/>
      <c r="L481" s="106"/>
      <c r="M481" s="106"/>
      <c r="N481" s="106"/>
      <c r="O481" s="106"/>
      <c r="P481" s="106"/>
      <c r="Q481" s="106"/>
      <c r="R481" s="106"/>
      <c r="S481" s="106"/>
      <c r="T481" s="106"/>
      <c r="U481" s="106"/>
      <c r="V481" s="106"/>
      <c r="W481" s="106"/>
      <c r="X481" s="106"/>
      <c r="Y481" s="106"/>
      <c r="Z481" s="106"/>
      <c r="AA481" s="106"/>
      <c r="AB481" s="106"/>
      <c r="AC481" s="106"/>
      <c r="AD481" s="106"/>
      <c r="AE481" s="124"/>
    </row>
    <row r="482" spans="1:31" s="1" customFormat="1" ht="15.75" customHeight="1" x14ac:dyDescent="0.15">
      <c r="A482" s="73" t="str">
        <f>IF(A$289="×","×",IF(E482="","×",""))</f>
        <v>×</v>
      </c>
      <c r="E482" s="117">
        <f>E448</f>
        <v>3</v>
      </c>
      <c r="F482" s="118"/>
      <c r="G482" s="118"/>
      <c r="H482" s="220">
        <f>H448</f>
        <v>3</v>
      </c>
      <c r="I482" s="220"/>
      <c r="J482" s="220"/>
      <c r="K482" s="350">
        <f>U294</f>
        <v>25020</v>
      </c>
      <c r="L482" s="118"/>
      <c r="M482" s="118"/>
      <c r="N482" s="118"/>
      <c r="O482" s="118">
        <f>IF(K482="","",ROUND(K482/$X$498,6))</f>
        <v>5.6880000000000003E-3</v>
      </c>
      <c r="P482" s="118"/>
      <c r="Q482" s="118"/>
      <c r="R482" s="118"/>
      <c r="S482" s="118"/>
      <c r="T482" s="118">
        <f>IF(O482="","",ROUND(O482^0.25,4))</f>
        <v>0.27460000000000001</v>
      </c>
      <c r="U482" s="118"/>
      <c r="V482" s="118"/>
      <c r="W482" s="118"/>
      <c r="X482" s="405">
        <f>IF(T482="","",ROUND(T482*H482,4))</f>
        <v>0.82379999999999998</v>
      </c>
      <c r="Y482" s="405"/>
      <c r="Z482" s="405"/>
      <c r="AA482" s="405"/>
      <c r="AB482" s="331">
        <f>IF(X482="","",SUM(X$482:X482))</f>
        <v>0.82379999999999998</v>
      </c>
      <c r="AC482" s="331"/>
      <c r="AD482" s="331"/>
      <c r="AE482" s="332"/>
    </row>
    <row r="483" spans="1:31" s="1" customFormat="1" ht="15.75" customHeight="1" x14ac:dyDescent="0.15">
      <c r="A483" s="73" t="str">
        <f t="shared" ref="A483:A497" si="33">IF(A$289="×","×",IF(E483="","×",""))</f>
        <v>×</v>
      </c>
      <c r="E483" s="111">
        <f>E449</f>
        <v>4</v>
      </c>
      <c r="F483" s="112"/>
      <c r="G483" s="112"/>
      <c r="H483" s="406">
        <f t="shared" ref="H483:H497" si="34">H449</f>
        <v>5</v>
      </c>
      <c r="I483" s="406"/>
      <c r="J483" s="406"/>
      <c r="K483" s="407">
        <f>U295</f>
        <v>51410</v>
      </c>
      <c r="L483" s="112"/>
      <c r="M483" s="112"/>
      <c r="N483" s="112"/>
      <c r="O483" s="120">
        <f>IF(K483="","",ROUND(K483/$X$498,6))</f>
        <v>1.1688E-2</v>
      </c>
      <c r="P483" s="120"/>
      <c r="Q483" s="120"/>
      <c r="R483" s="120"/>
      <c r="S483" s="120"/>
      <c r="T483" s="120">
        <f t="shared" ref="T483:T497" si="35">IF(O483="","",ROUND(O483^0.25,4))</f>
        <v>0.32879999999999998</v>
      </c>
      <c r="U483" s="120"/>
      <c r="V483" s="120"/>
      <c r="W483" s="120"/>
      <c r="X483" s="408">
        <f>IF(T483="","",ROUND(T483*H483,4))</f>
        <v>1.6439999999999999</v>
      </c>
      <c r="Y483" s="408"/>
      <c r="Z483" s="408"/>
      <c r="AA483" s="408"/>
      <c r="AB483" s="334">
        <f>IF(X483="","",SUM(X$482:X483))</f>
        <v>2.4678</v>
      </c>
      <c r="AC483" s="334"/>
      <c r="AD483" s="334"/>
      <c r="AE483" s="335"/>
    </row>
    <row r="484" spans="1:31" s="1" customFormat="1" ht="15.75" customHeight="1" x14ac:dyDescent="0.15">
      <c r="A484" s="73" t="str">
        <f t="shared" si="33"/>
        <v>×</v>
      </c>
      <c r="E484" s="111">
        <f>E450</f>
        <v>5</v>
      </c>
      <c r="F484" s="112"/>
      <c r="G484" s="112"/>
      <c r="H484" s="406">
        <f t="shared" si="34"/>
        <v>8</v>
      </c>
      <c r="I484" s="406"/>
      <c r="J484" s="406"/>
      <c r="K484" s="407">
        <f>U296</f>
        <v>58500</v>
      </c>
      <c r="L484" s="112"/>
      <c r="M484" s="112"/>
      <c r="N484" s="112"/>
      <c r="O484" s="120">
        <f>IF(K484="","",ROUND(K484/$X$498,6))</f>
        <v>1.3299999999999999E-2</v>
      </c>
      <c r="P484" s="120"/>
      <c r="Q484" s="120"/>
      <c r="R484" s="120"/>
      <c r="S484" s="120"/>
      <c r="T484" s="120">
        <f t="shared" si="35"/>
        <v>0.33960000000000001</v>
      </c>
      <c r="U484" s="120"/>
      <c r="V484" s="120"/>
      <c r="W484" s="120"/>
      <c r="X484" s="408">
        <f>IF(T484="","",ROUND(T484*H484,4))</f>
        <v>2.7168000000000001</v>
      </c>
      <c r="Y484" s="408"/>
      <c r="Z484" s="408"/>
      <c r="AA484" s="408"/>
      <c r="AB484" s="334">
        <f>IF(X484="","",SUM(X$482:X484))</f>
        <v>5.1845999999999997</v>
      </c>
      <c r="AC484" s="334"/>
      <c r="AD484" s="334"/>
      <c r="AE484" s="335"/>
    </row>
    <row r="485" spans="1:31" s="1" customFormat="1" ht="15.75" customHeight="1" x14ac:dyDescent="0.15">
      <c r="A485" s="73" t="str">
        <f t="shared" si="33"/>
        <v>×</v>
      </c>
      <c r="E485" s="111">
        <f>E451</f>
        <v>6</v>
      </c>
      <c r="F485" s="112"/>
      <c r="G485" s="112"/>
      <c r="H485" s="406">
        <f t="shared" si="34"/>
        <v>4.5</v>
      </c>
      <c r="I485" s="406"/>
      <c r="J485" s="406"/>
      <c r="K485" s="407">
        <f>U297</f>
        <v>83410</v>
      </c>
      <c r="L485" s="112"/>
      <c r="M485" s="112"/>
      <c r="N485" s="112"/>
      <c r="O485" s="120">
        <f>IF(K485="","",ROUND(K485/$X$498,6))</f>
        <v>1.8963000000000001E-2</v>
      </c>
      <c r="P485" s="120"/>
      <c r="Q485" s="120"/>
      <c r="R485" s="120"/>
      <c r="S485" s="120"/>
      <c r="T485" s="120">
        <f t="shared" si="35"/>
        <v>0.37109999999999999</v>
      </c>
      <c r="U485" s="120"/>
      <c r="V485" s="120"/>
      <c r="W485" s="120"/>
      <c r="X485" s="408">
        <f>IF(T485="","",ROUND(T485*H485,4))</f>
        <v>1.67</v>
      </c>
      <c r="Y485" s="408"/>
      <c r="Z485" s="408"/>
      <c r="AA485" s="408"/>
      <c r="AB485" s="334">
        <f>IF(X485="","",SUM(X$482:X485))</f>
        <v>6.8545999999999996</v>
      </c>
      <c r="AC485" s="334"/>
      <c r="AD485" s="334"/>
      <c r="AE485" s="335"/>
    </row>
    <row r="486" spans="1:31" s="1" customFormat="1" ht="15.75" customHeight="1" x14ac:dyDescent="0.15">
      <c r="A486" s="73" t="str">
        <f t="shared" si="33"/>
        <v>×</v>
      </c>
      <c r="E486" s="111">
        <f>E452</f>
        <v>7</v>
      </c>
      <c r="F486" s="112"/>
      <c r="G486" s="112"/>
      <c r="H486" s="406">
        <f t="shared" si="34"/>
        <v>0.5</v>
      </c>
      <c r="I486" s="406"/>
      <c r="J486" s="406"/>
      <c r="K486" s="407">
        <f>U298</f>
        <v>164820</v>
      </c>
      <c r="L486" s="112"/>
      <c r="M486" s="112"/>
      <c r="N486" s="112"/>
      <c r="O486" s="120">
        <f>IF(K486="","",ROUND(K486/$X$498,6))</f>
        <v>3.7471999999999998E-2</v>
      </c>
      <c r="P486" s="120"/>
      <c r="Q486" s="120"/>
      <c r="R486" s="120"/>
      <c r="S486" s="120"/>
      <c r="T486" s="120">
        <f t="shared" si="35"/>
        <v>0.44</v>
      </c>
      <c r="U486" s="120"/>
      <c r="V486" s="120"/>
      <c r="W486" s="120"/>
      <c r="X486" s="408">
        <f>IF(T486="","",ROUND(T486*H486,4))</f>
        <v>0.22</v>
      </c>
      <c r="Y486" s="408"/>
      <c r="Z486" s="408"/>
      <c r="AA486" s="408"/>
      <c r="AB486" s="334">
        <f>IF(X486="","",SUM(X$482:X486))</f>
        <v>7.0745999999999993</v>
      </c>
      <c r="AC486" s="334"/>
      <c r="AD486" s="334"/>
      <c r="AE486" s="335"/>
    </row>
    <row r="487" spans="1:31" s="1" customFormat="1" ht="15.75" customHeight="1" x14ac:dyDescent="0.15">
      <c r="A487" s="73" t="str">
        <f t="shared" si="33"/>
        <v>×</v>
      </c>
      <c r="E487" s="111" t="str">
        <f>E453</f>
        <v/>
      </c>
      <c r="F487" s="112"/>
      <c r="G487" s="112"/>
      <c r="H487" s="406">
        <f t="shared" si="34"/>
        <v>0</v>
      </c>
      <c r="I487" s="406"/>
      <c r="J487" s="406"/>
      <c r="K487" s="407" t="str">
        <f>U299</f>
        <v/>
      </c>
      <c r="L487" s="112"/>
      <c r="M487" s="112"/>
      <c r="N487" s="112"/>
      <c r="O487" s="120" t="str">
        <f>IF(K487="","",ROUND(K487/$X$498,6))</f>
        <v/>
      </c>
      <c r="P487" s="120"/>
      <c r="Q487" s="120"/>
      <c r="R487" s="120"/>
      <c r="S487" s="120"/>
      <c r="T487" s="120" t="str">
        <f t="shared" si="35"/>
        <v/>
      </c>
      <c r="U487" s="120"/>
      <c r="V487" s="120"/>
      <c r="W487" s="120"/>
      <c r="X487" s="408" t="str">
        <f>IF(T487="","",ROUND(T487*H487,4))</f>
        <v/>
      </c>
      <c r="Y487" s="408"/>
      <c r="Z487" s="408"/>
      <c r="AA487" s="408"/>
      <c r="AB487" s="334" t="str">
        <f>IF(X487="","",SUM(X$482:X487))</f>
        <v/>
      </c>
      <c r="AC487" s="334"/>
      <c r="AD487" s="334"/>
      <c r="AE487" s="335"/>
    </row>
    <row r="488" spans="1:31" s="1" customFormat="1" ht="15.75" customHeight="1" x14ac:dyDescent="0.15">
      <c r="A488" s="73" t="str">
        <f t="shared" si="33"/>
        <v>×</v>
      </c>
      <c r="E488" s="111" t="str">
        <f>E454</f>
        <v/>
      </c>
      <c r="F488" s="112"/>
      <c r="G488" s="112"/>
      <c r="H488" s="406">
        <f t="shared" si="34"/>
        <v>0</v>
      </c>
      <c r="I488" s="406"/>
      <c r="J488" s="406"/>
      <c r="K488" s="407" t="str">
        <f>U300</f>
        <v/>
      </c>
      <c r="L488" s="112"/>
      <c r="M488" s="112"/>
      <c r="N488" s="112"/>
      <c r="O488" s="120" t="str">
        <f>IF(K488="","",ROUND(K488/$X$498,6))</f>
        <v/>
      </c>
      <c r="P488" s="120"/>
      <c r="Q488" s="120"/>
      <c r="R488" s="120"/>
      <c r="S488" s="120"/>
      <c r="T488" s="120" t="str">
        <f t="shared" si="35"/>
        <v/>
      </c>
      <c r="U488" s="120"/>
      <c r="V488" s="120"/>
      <c r="W488" s="120"/>
      <c r="X488" s="408" t="str">
        <f>IF(T488="","",ROUND(T488*H488,4))</f>
        <v/>
      </c>
      <c r="Y488" s="408"/>
      <c r="Z488" s="408"/>
      <c r="AA488" s="408"/>
      <c r="AB488" s="334" t="str">
        <f>IF(X488="","",SUM(X$482:X488))</f>
        <v/>
      </c>
      <c r="AC488" s="334"/>
      <c r="AD488" s="334"/>
      <c r="AE488" s="335"/>
    </row>
    <row r="489" spans="1:31" s="1" customFormat="1" ht="15.75" customHeight="1" x14ac:dyDescent="0.15">
      <c r="A489" s="73" t="str">
        <f t="shared" si="33"/>
        <v>×</v>
      </c>
      <c r="E489" s="111" t="str">
        <f>E455</f>
        <v/>
      </c>
      <c r="F489" s="112"/>
      <c r="G489" s="112"/>
      <c r="H489" s="406">
        <f t="shared" si="34"/>
        <v>0</v>
      </c>
      <c r="I489" s="406"/>
      <c r="J489" s="406"/>
      <c r="K489" s="407" t="str">
        <f>U301</f>
        <v/>
      </c>
      <c r="L489" s="112"/>
      <c r="M489" s="112"/>
      <c r="N489" s="112"/>
      <c r="O489" s="120" t="str">
        <f>IF(K489="","",ROUND(K489/$X$498,6))</f>
        <v/>
      </c>
      <c r="P489" s="120"/>
      <c r="Q489" s="120"/>
      <c r="R489" s="120"/>
      <c r="S489" s="120"/>
      <c r="T489" s="120" t="str">
        <f t="shared" si="35"/>
        <v/>
      </c>
      <c r="U489" s="120"/>
      <c r="V489" s="120"/>
      <c r="W489" s="120"/>
      <c r="X489" s="408" t="str">
        <f>IF(T489="","",ROUND(T489*H489,4))</f>
        <v/>
      </c>
      <c r="Y489" s="408"/>
      <c r="Z489" s="408"/>
      <c r="AA489" s="408"/>
      <c r="AB489" s="334" t="str">
        <f>IF(X489="","",SUM(X$482:X489))</f>
        <v/>
      </c>
      <c r="AC489" s="334"/>
      <c r="AD489" s="334"/>
      <c r="AE489" s="335"/>
    </row>
    <row r="490" spans="1:31" s="1" customFormat="1" ht="15.75" customHeight="1" x14ac:dyDescent="0.15">
      <c r="A490" s="73" t="str">
        <f t="shared" si="33"/>
        <v>×</v>
      </c>
      <c r="E490" s="111" t="str">
        <f>E456</f>
        <v/>
      </c>
      <c r="F490" s="112"/>
      <c r="G490" s="112"/>
      <c r="H490" s="406">
        <f t="shared" si="34"/>
        <v>0</v>
      </c>
      <c r="I490" s="406"/>
      <c r="J490" s="406"/>
      <c r="K490" s="407" t="str">
        <f>U302</f>
        <v/>
      </c>
      <c r="L490" s="112"/>
      <c r="M490" s="112"/>
      <c r="N490" s="112"/>
      <c r="O490" s="120" t="str">
        <f>IF(K490="","",ROUND(K490/$X$498,6))</f>
        <v/>
      </c>
      <c r="P490" s="120"/>
      <c r="Q490" s="120"/>
      <c r="R490" s="120"/>
      <c r="S490" s="120"/>
      <c r="T490" s="120" t="str">
        <f t="shared" si="35"/>
        <v/>
      </c>
      <c r="U490" s="120"/>
      <c r="V490" s="120"/>
      <c r="W490" s="120"/>
      <c r="X490" s="408" t="str">
        <f>IF(T490="","",ROUND(T490*H490,4))</f>
        <v/>
      </c>
      <c r="Y490" s="408"/>
      <c r="Z490" s="408"/>
      <c r="AA490" s="408"/>
      <c r="AB490" s="334" t="str">
        <f>IF(X490="","",SUM(X$482:X490))</f>
        <v/>
      </c>
      <c r="AC490" s="334"/>
      <c r="AD490" s="334"/>
      <c r="AE490" s="335"/>
    </row>
    <row r="491" spans="1:31" s="1" customFormat="1" ht="15.75" customHeight="1" x14ac:dyDescent="0.15">
      <c r="A491" s="73" t="str">
        <f t="shared" si="33"/>
        <v>×</v>
      </c>
      <c r="E491" s="111" t="str">
        <f>E457</f>
        <v/>
      </c>
      <c r="F491" s="112"/>
      <c r="G491" s="112"/>
      <c r="H491" s="406">
        <f t="shared" si="34"/>
        <v>0</v>
      </c>
      <c r="I491" s="406"/>
      <c r="J491" s="406"/>
      <c r="K491" s="407" t="str">
        <f>U303</f>
        <v/>
      </c>
      <c r="L491" s="112"/>
      <c r="M491" s="112"/>
      <c r="N491" s="112"/>
      <c r="O491" s="120" t="str">
        <f>IF(K491="","",ROUND(K491/$X$498,6))</f>
        <v/>
      </c>
      <c r="P491" s="120"/>
      <c r="Q491" s="120"/>
      <c r="R491" s="120"/>
      <c r="S491" s="120"/>
      <c r="T491" s="120" t="str">
        <f t="shared" si="35"/>
        <v/>
      </c>
      <c r="U491" s="120"/>
      <c r="V491" s="120"/>
      <c r="W491" s="120"/>
      <c r="X491" s="408" t="str">
        <f>IF(T491="","",ROUND(T491*H491,4))</f>
        <v/>
      </c>
      <c r="Y491" s="408"/>
      <c r="Z491" s="408"/>
      <c r="AA491" s="408"/>
      <c r="AB491" s="334" t="str">
        <f>IF(X491="","",SUM(X$482:X491))</f>
        <v/>
      </c>
      <c r="AC491" s="334"/>
      <c r="AD491" s="334"/>
      <c r="AE491" s="335"/>
    </row>
    <row r="492" spans="1:31" s="1" customFormat="1" ht="15.75" customHeight="1" x14ac:dyDescent="0.15">
      <c r="A492" s="73" t="str">
        <f t="shared" si="33"/>
        <v>×</v>
      </c>
      <c r="E492" s="111" t="str">
        <f>E458</f>
        <v/>
      </c>
      <c r="F492" s="112"/>
      <c r="G492" s="112"/>
      <c r="H492" s="406">
        <f t="shared" si="34"/>
        <v>0</v>
      </c>
      <c r="I492" s="406"/>
      <c r="J492" s="406"/>
      <c r="K492" s="407" t="str">
        <f>U304</f>
        <v/>
      </c>
      <c r="L492" s="112"/>
      <c r="M492" s="112"/>
      <c r="N492" s="112"/>
      <c r="O492" s="120" t="str">
        <f>IF(K492="","",ROUND(K492/$X$498,6))</f>
        <v/>
      </c>
      <c r="P492" s="120"/>
      <c r="Q492" s="120"/>
      <c r="R492" s="120"/>
      <c r="S492" s="120"/>
      <c r="T492" s="120" t="str">
        <f t="shared" si="35"/>
        <v/>
      </c>
      <c r="U492" s="120"/>
      <c r="V492" s="120"/>
      <c r="W492" s="120"/>
      <c r="X492" s="408" t="str">
        <f>IF(T492="","",ROUND(T492*H492,4))</f>
        <v/>
      </c>
      <c r="Y492" s="408"/>
      <c r="Z492" s="408"/>
      <c r="AA492" s="408"/>
      <c r="AB492" s="334" t="str">
        <f>IF(X492="","",SUM(X$482:X492))</f>
        <v/>
      </c>
      <c r="AC492" s="334"/>
      <c r="AD492" s="334"/>
      <c r="AE492" s="335"/>
    </row>
    <row r="493" spans="1:31" s="1" customFormat="1" ht="15.75" customHeight="1" x14ac:dyDescent="0.15">
      <c r="A493" s="73" t="str">
        <f t="shared" si="33"/>
        <v>×</v>
      </c>
      <c r="E493" s="111" t="str">
        <f>E459</f>
        <v/>
      </c>
      <c r="F493" s="112"/>
      <c r="G493" s="112"/>
      <c r="H493" s="406">
        <f t="shared" si="34"/>
        <v>0</v>
      </c>
      <c r="I493" s="406"/>
      <c r="J493" s="406"/>
      <c r="K493" s="407" t="str">
        <f>U305</f>
        <v/>
      </c>
      <c r="L493" s="112"/>
      <c r="M493" s="112"/>
      <c r="N493" s="112"/>
      <c r="O493" s="120" t="str">
        <f>IF(K493="","",ROUND(K493/$X$498,6))</f>
        <v/>
      </c>
      <c r="P493" s="120"/>
      <c r="Q493" s="120"/>
      <c r="R493" s="120"/>
      <c r="S493" s="120"/>
      <c r="T493" s="120" t="str">
        <f t="shared" si="35"/>
        <v/>
      </c>
      <c r="U493" s="120"/>
      <c r="V493" s="120"/>
      <c r="W493" s="120"/>
      <c r="X493" s="408" t="str">
        <f>IF(T493="","",ROUND(T493*H493,4))</f>
        <v/>
      </c>
      <c r="Y493" s="408"/>
      <c r="Z493" s="408"/>
      <c r="AA493" s="408"/>
      <c r="AB493" s="334" t="str">
        <f>IF(X493="","",SUM(X$482:X493))</f>
        <v/>
      </c>
      <c r="AC493" s="334"/>
      <c r="AD493" s="334"/>
      <c r="AE493" s="335"/>
    </row>
    <row r="494" spans="1:31" s="1" customFormat="1" ht="15.75" customHeight="1" x14ac:dyDescent="0.15">
      <c r="A494" s="73" t="str">
        <f t="shared" si="33"/>
        <v>×</v>
      </c>
      <c r="E494" s="111" t="str">
        <f>E460</f>
        <v/>
      </c>
      <c r="F494" s="112"/>
      <c r="G494" s="112"/>
      <c r="H494" s="406">
        <f t="shared" si="34"/>
        <v>0</v>
      </c>
      <c r="I494" s="406"/>
      <c r="J494" s="406"/>
      <c r="K494" s="407" t="str">
        <f>U306</f>
        <v/>
      </c>
      <c r="L494" s="112"/>
      <c r="M494" s="112"/>
      <c r="N494" s="112"/>
      <c r="O494" s="120" t="str">
        <f>IF(K494="","",ROUND(K494/$X$498,6))</f>
        <v/>
      </c>
      <c r="P494" s="120"/>
      <c r="Q494" s="120"/>
      <c r="R494" s="120"/>
      <c r="S494" s="120"/>
      <c r="T494" s="120" t="str">
        <f t="shared" si="35"/>
        <v/>
      </c>
      <c r="U494" s="120"/>
      <c r="V494" s="120"/>
      <c r="W494" s="120"/>
      <c r="X494" s="408" t="str">
        <f>IF(T494="","",ROUND(T494*H494,4))</f>
        <v/>
      </c>
      <c r="Y494" s="408"/>
      <c r="Z494" s="408"/>
      <c r="AA494" s="408"/>
      <c r="AB494" s="334" t="str">
        <f>IF(X494="","",SUM(X$482:X494))</f>
        <v/>
      </c>
      <c r="AC494" s="334"/>
      <c r="AD494" s="334"/>
      <c r="AE494" s="335"/>
    </row>
    <row r="495" spans="1:31" s="1" customFormat="1" ht="15.75" customHeight="1" x14ac:dyDescent="0.15">
      <c r="A495" s="73" t="str">
        <f t="shared" si="33"/>
        <v>×</v>
      </c>
      <c r="E495" s="111" t="str">
        <f>E461</f>
        <v/>
      </c>
      <c r="F495" s="112"/>
      <c r="G495" s="112"/>
      <c r="H495" s="406">
        <f t="shared" si="34"/>
        <v>0</v>
      </c>
      <c r="I495" s="406"/>
      <c r="J495" s="406"/>
      <c r="K495" s="407" t="str">
        <f>U307</f>
        <v/>
      </c>
      <c r="L495" s="112"/>
      <c r="M495" s="112"/>
      <c r="N495" s="112"/>
      <c r="O495" s="120" t="str">
        <f>IF(K495="","",ROUND(K495/$X$498,6))</f>
        <v/>
      </c>
      <c r="P495" s="120"/>
      <c r="Q495" s="120"/>
      <c r="R495" s="120"/>
      <c r="S495" s="120"/>
      <c r="T495" s="120" t="str">
        <f t="shared" si="35"/>
        <v/>
      </c>
      <c r="U495" s="120"/>
      <c r="V495" s="120"/>
      <c r="W495" s="120"/>
      <c r="X495" s="408" t="str">
        <f>IF(T495="","",ROUND(T495*H495,4))</f>
        <v/>
      </c>
      <c r="Y495" s="408"/>
      <c r="Z495" s="408"/>
      <c r="AA495" s="408"/>
      <c r="AB495" s="334" t="str">
        <f>IF(X495="","",SUM(X$482:X495))</f>
        <v/>
      </c>
      <c r="AC495" s="334"/>
      <c r="AD495" s="334"/>
      <c r="AE495" s="335"/>
    </row>
    <row r="496" spans="1:31" s="1" customFormat="1" ht="15.75" customHeight="1" x14ac:dyDescent="0.15">
      <c r="A496" s="73" t="str">
        <f t="shared" si="33"/>
        <v>×</v>
      </c>
      <c r="E496" s="111" t="str">
        <f>E462</f>
        <v/>
      </c>
      <c r="F496" s="112"/>
      <c r="G496" s="112"/>
      <c r="H496" s="406">
        <f t="shared" si="34"/>
        <v>0</v>
      </c>
      <c r="I496" s="406"/>
      <c r="J496" s="406"/>
      <c r="K496" s="407" t="str">
        <f>U308</f>
        <v/>
      </c>
      <c r="L496" s="112"/>
      <c r="M496" s="112"/>
      <c r="N496" s="112"/>
      <c r="O496" s="120" t="str">
        <f>IF(K496="","",ROUND(K496/$X$498,6))</f>
        <v/>
      </c>
      <c r="P496" s="120"/>
      <c r="Q496" s="120"/>
      <c r="R496" s="120"/>
      <c r="S496" s="120"/>
      <c r="T496" s="120" t="str">
        <f t="shared" si="35"/>
        <v/>
      </c>
      <c r="U496" s="120"/>
      <c r="V496" s="120"/>
      <c r="W496" s="120"/>
      <c r="X496" s="408" t="str">
        <f>IF(T496="","",ROUND(T496*H496,4))</f>
        <v/>
      </c>
      <c r="Y496" s="408"/>
      <c r="Z496" s="408"/>
      <c r="AA496" s="408"/>
      <c r="AB496" s="334" t="str">
        <f>IF(X496="","",SUM(X$482:X496))</f>
        <v/>
      </c>
      <c r="AC496" s="334"/>
      <c r="AD496" s="334"/>
      <c r="AE496" s="335"/>
    </row>
    <row r="497" spans="1:58" s="1" customFormat="1" ht="15.75" customHeight="1" x14ac:dyDescent="0.15">
      <c r="A497" s="73" t="str">
        <f t="shared" si="33"/>
        <v>×</v>
      </c>
      <c r="E497" s="114" t="str">
        <f>E463</f>
        <v/>
      </c>
      <c r="F497" s="115"/>
      <c r="G497" s="115"/>
      <c r="H497" s="409">
        <f t="shared" si="34"/>
        <v>0</v>
      </c>
      <c r="I497" s="409"/>
      <c r="J497" s="409"/>
      <c r="K497" s="410" t="str">
        <f>U309</f>
        <v/>
      </c>
      <c r="L497" s="115"/>
      <c r="M497" s="115"/>
      <c r="N497" s="115"/>
      <c r="O497" s="234" t="str">
        <f>IF(K497="","",ROUND(K497/$X$498,6))</f>
        <v/>
      </c>
      <c r="P497" s="234"/>
      <c r="Q497" s="234"/>
      <c r="R497" s="234"/>
      <c r="S497" s="234"/>
      <c r="T497" s="234" t="str">
        <f t="shared" si="35"/>
        <v/>
      </c>
      <c r="U497" s="234"/>
      <c r="V497" s="234"/>
      <c r="W497" s="234"/>
      <c r="X497" s="411" t="str">
        <f>IF(T497="","",ROUND(T497*H497,4))</f>
        <v/>
      </c>
      <c r="Y497" s="411"/>
      <c r="Z497" s="411"/>
      <c r="AA497" s="411"/>
      <c r="AB497" s="339" t="str">
        <f>IF(X497="","",SUM(X$482:X497))</f>
        <v/>
      </c>
      <c r="AC497" s="339"/>
      <c r="AD497" s="339"/>
      <c r="AE497" s="340"/>
    </row>
    <row r="498" spans="1:58" ht="15.75" customHeight="1" x14ac:dyDescent="0.15">
      <c r="A498" s="73" t="str">
        <f>IF(A$289="","","×")</f>
        <v>×</v>
      </c>
      <c r="E498" s="76"/>
      <c r="S498" s="2" t="s">
        <v>127</v>
      </c>
      <c r="T498" s="76">
        <v>4</v>
      </c>
      <c r="U498" s="162" t="s">
        <v>149</v>
      </c>
      <c r="V498" s="162"/>
      <c r="W498" s="76" t="s">
        <v>27</v>
      </c>
      <c r="X498" s="341">
        <f>X464</f>
        <v>4398464</v>
      </c>
      <c r="Y498" s="341"/>
      <c r="Z498" s="341"/>
      <c r="AA498" s="341"/>
      <c r="AB498" s="341"/>
      <c r="AC498" s="148" t="s">
        <v>166</v>
      </c>
      <c r="AD498" s="148"/>
      <c r="AE498" s="76" t="s">
        <v>158</v>
      </c>
      <c r="AJ498" s="379"/>
      <c r="AK498" s="379"/>
      <c r="AL498" s="379"/>
      <c r="AM498" s="379"/>
      <c r="BC498" s="76"/>
      <c r="BD498" s="76"/>
      <c r="BE498" s="76"/>
      <c r="BF498" s="76"/>
    </row>
    <row r="499" spans="1:58" ht="15.75" customHeight="1" x14ac:dyDescent="0.15">
      <c r="A499" s="73" t="str">
        <f>IF(A$289="","","×")</f>
        <v>×</v>
      </c>
      <c r="E499" s="76"/>
      <c r="S499" s="2"/>
      <c r="X499" s="342"/>
      <c r="Y499" s="342"/>
      <c r="Z499" s="342"/>
      <c r="AA499" s="342"/>
      <c r="AB499" s="342"/>
      <c r="AC499" s="78"/>
      <c r="AD499" s="78"/>
      <c r="AJ499" s="379"/>
      <c r="AK499" s="379"/>
      <c r="AL499" s="379"/>
      <c r="AM499" s="379"/>
      <c r="BC499" s="76"/>
      <c r="BD499" s="76"/>
      <c r="BE499" s="76"/>
      <c r="BF499" s="76"/>
    </row>
    <row r="500" spans="1:58" ht="15.75" customHeight="1" x14ac:dyDescent="0.15">
      <c r="A500" s="73" t="str">
        <f>IF(A$289="","","×")</f>
        <v>×</v>
      </c>
      <c r="E500" s="307" t="s">
        <v>541</v>
      </c>
      <c r="S500" s="2"/>
      <c r="X500" s="342"/>
      <c r="Y500" s="342"/>
      <c r="Z500" s="342"/>
      <c r="AA500" s="342"/>
      <c r="AB500" s="342"/>
      <c r="AC500" s="78"/>
      <c r="AD500" s="78"/>
      <c r="AJ500" s="379"/>
      <c r="AK500" s="379"/>
      <c r="AL500" s="379"/>
      <c r="AM500" s="379"/>
      <c r="BC500" s="76"/>
      <c r="BD500" s="76"/>
      <c r="BE500" s="76"/>
      <c r="BF500" s="76"/>
    </row>
    <row r="501" spans="1:58" ht="15.75" customHeight="1" x14ac:dyDescent="0.15">
      <c r="A501" s="73" t="str">
        <f>IF(A$289="","","×")</f>
        <v>×</v>
      </c>
      <c r="E501" s="162" t="s">
        <v>542</v>
      </c>
      <c r="F501" s="162"/>
      <c r="G501" s="76" t="s">
        <v>543</v>
      </c>
      <c r="H501" s="402">
        <v>3.5399999618530273</v>
      </c>
      <c r="I501" s="402"/>
      <c r="J501" s="402"/>
      <c r="K501" s="76" t="s">
        <v>544</v>
      </c>
      <c r="S501" s="2"/>
      <c r="X501" s="342"/>
      <c r="Y501" s="342"/>
      <c r="Z501" s="342"/>
      <c r="AA501" s="342"/>
      <c r="AB501" s="342"/>
      <c r="AC501" s="78"/>
      <c r="AD501" s="78"/>
      <c r="AJ501" s="379"/>
      <c r="AK501" s="379"/>
      <c r="AL501" s="379"/>
      <c r="AM501" s="379"/>
      <c r="BC501" s="76"/>
      <c r="BD501" s="76"/>
      <c r="BE501" s="76"/>
      <c r="BF501" s="76"/>
    </row>
    <row r="502" spans="1:58" s="289" customFormat="1" ht="15.75" customHeight="1" x14ac:dyDescent="0.15">
      <c r="C502" s="343"/>
      <c r="H502" s="403"/>
      <c r="I502" s="403"/>
      <c r="J502" s="403"/>
      <c r="S502" s="344"/>
      <c r="X502" s="345"/>
      <c r="Y502" s="345"/>
      <c r="Z502" s="345"/>
      <c r="AA502" s="345"/>
      <c r="AB502" s="345"/>
      <c r="AC502" s="346"/>
      <c r="AD502" s="346"/>
      <c r="AJ502" s="404"/>
      <c r="AK502" s="404"/>
      <c r="AL502" s="404"/>
      <c r="AM502" s="404"/>
      <c r="AN502" s="404"/>
      <c r="AO502" s="404"/>
      <c r="AP502" s="404"/>
      <c r="AQ502" s="404"/>
      <c r="AR502" s="404"/>
      <c r="AS502" s="404"/>
      <c r="AT502" s="404"/>
      <c r="AU502" s="404"/>
      <c r="AV502" s="404"/>
      <c r="AW502" s="404"/>
      <c r="AX502" s="404"/>
      <c r="AY502" s="404"/>
      <c r="AZ502" s="404"/>
      <c r="BA502" s="404"/>
      <c r="BB502" s="404"/>
    </row>
    <row r="503" spans="1:58" ht="15.75" customHeight="1" x14ac:dyDescent="0.15">
      <c r="E503" s="76"/>
      <c r="AJ503" s="379"/>
      <c r="AK503" s="379"/>
      <c r="AL503" s="379"/>
      <c r="AM503" s="379"/>
      <c r="BC503" s="76"/>
      <c r="BD503" s="76"/>
      <c r="BE503" s="76"/>
      <c r="BF503" s="76"/>
    </row>
    <row r="504" spans="1:58" ht="15.75" hidden="1" customHeight="1" x14ac:dyDescent="0.15">
      <c r="AJ504" s="379"/>
      <c r="AK504" s="379"/>
      <c r="AL504" s="379"/>
      <c r="AM504" s="379"/>
      <c r="BC504" s="76"/>
      <c r="BD504" s="76"/>
      <c r="BE504" s="76"/>
      <c r="BF504" s="76"/>
    </row>
    <row r="505" spans="1:58" s="1" customFormat="1" ht="15.75" hidden="1" customHeight="1" x14ac:dyDescent="0.15">
      <c r="F505" s="1" t="s">
        <v>194</v>
      </c>
    </row>
    <row r="506" spans="1:58" s="1" customFormat="1" ht="15.75" hidden="1" customHeight="1" x14ac:dyDescent="0.15">
      <c r="F506" s="1" t="s">
        <v>169</v>
      </c>
    </row>
    <row r="507" spans="1:58" s="1" customFormat="1" ht="15.75" hidden="1" customHeight="1" x14ac:dyDescent="0.15">
      <c r="Y507" s="148" t="s">
        <v>197</v>
      </c>
      <c r="Z507" s="148"/>
      <c r="AA507" s="148"/>
      <c r="AB507" s="148"/>
    </row>
    <row r="508" spans="1:58" s="1" customFormat="1" ht="15.75" hidden="1" customHeight="1" x14ac:dyDescent="0.15">
      <c r="F508" s="2" t="s">
        <v>188</v>
      </c>
      <c r="G508" s="76" t="s">
        <v>27</v>
      </c>
      <c r="H508" s="1" t="s">
        <v>189</v>
      </c>
      <c r="K508" s="76" t="s">
        <v>191</v>
      </c>
      <c r="L508" s="347">
        <f>X482</f>
        <v>0.82379999999999998</v>
      </c>
      <c r="M508" s="162"/>
      <c r="N508" s="162"/>
      <c r="O508" s="1" t="s">
        <v>192</v>
      </c>
      <c r="P508" s="1" t="s">
        <v>193</v>
      </c>
      <c r="Q508" s="347" t="e">
        <f>#REF!</f>
        <v>#REF!</v>
      </c>
      <c r="R508" s="162"/>
      <c r="S508" s="162"/>
      <c r="T508" s="76" t="s">
        <v>27</v>
      </c>
      <c r="U508" s="304" t="e">
        <f>(#REF!-L508)/Q508</f>
        <v>#REF!</v>
      </c>
      <c r="V508" s="304"/>
      <c r="W508" s="348" t="s">
        <v>196</v>
      </c>
      <c r="Z508" s="304" t="e">
        <f>#REF!</f>
        <v>#REF!</v>
      </c>
      <c r="AA508" s="304"/>
      <c r="AB508" s="348" t="s">
        <v>195</v>
      </c>
    </row>
    <row r="509" spans="1:58" s="1" customFormat="1" ht="15.75" hidden="1" customHeight="1" x14ac:dyDescent="0.15"/>
    <row r="510" spans="1:58" s="1" customFormat="1" ht="15.75" hidden="1" customHeight="1" x14ac:dyDescent="0.15">
      <c r="F510" s="1" t="s">
        <v>198</v>
      </c>
    </row>
    <row r="511" spans="1:58" s="1" customFormat="1" ht="15.75" hidden="1" customHeight="1" x14ac:dyDescent="0.15"/>
    <row r="512" spans="1:58" s="1" customFormat="1" ht="15.75" hidden="1" customHeight="1" x14ac:dyDescent="0.15">
      <c r="F512" s="2" t="s">
        <v>199</v>
      </c>
      <c r="G512" s="76" t="s">
        <v>27</v>
      </c>
      <c r="H512" s="2" t="s">
        <v>200</v>
      </c>
      <c r="I512" s="76" t="s">
        <v>6</v>
      </c>
      <c r="J512" s="2" t="s">
        <v>188</v>
      </c>
      <c r="K512" s="304" t="e">
        <f>U508</f>
        <v>#REF!</v>
      </c>
      <c r="L512" s="304"/>
      <c r="M512" s="76" t="s">
        <v>27</v>
      </c>
      <c r="N512" s="304" t="e">
        <f>#REF!+K512</f>
        <v>#REF!</v>
      </c>
      <c r="O512" s="304"/>
      <c r="P512" s="348" t="s">
        <v>195</v>
      </c>
    </row>
    <row r="513" spans="1:31" s="1" customFormat="1" ht="15.75" customHeight="1" x14ac:dyDescent="0.15">
      <c r="A513" s="73" t="str">
        <f>IF(A$311="","","×")</f>
        <v>×</v>
      </c>
      <c r="E513" s="64" t="s">
        <v>586</v>
      </c>
      <c r="F513" s="64"/>
      <c r="G513" s="64"/>
      <c r="H513" s="64"/>
      <c r="I513" s="64"/>
      <c r="J513" s="64"/>
      <c r="K513" s="64"/>
      <c r="L513" s="64"/>
      <c r="M513" s="64"/>
      <c r="N513" s="64"/>
      <c r="O513" s="64"/>
      <c r="P513" s="64"/>
      <c r="Q513" s="64"/>
      <c r="R513" s="64"/>
      <c r="S513" s="64"/>
      <c r="T513" s="64"/>
      <c r="U513" s="64"/>
      <c r="V513" s="64"/>
      <c r="W513" s="64"/>
      <c r="X513" s="64"/>
      <c r="Y513" s="64"/>
      <c r="Z513" s="64"/>
      <c r="AA513" s="64"/>
      <c r="AB513" s="64"/>
      <c r="AC513" s="64"/>
      <c r="AD513" s="64"/>
      <c r="AE513" s="64"/>
    </row>
    <row r="514" spans="1:31" s="1" customFormat="1" ht="15.75" customHeight="1" x14ac:dyDescent="0.15">
      <c r="A514" s="73" t="str">
        <f>IF(A$311="","","×")</f>
        <v>×</v>
      </c>
      <c r="E514" s="126" t="s">
        <v>78</v>
      </c>
      <c r="F514" s="105"/>
      <c r="G514" s="105"/>
      <c r="H514" s="134" t="s">
        <v>159</v>
      </c>
      <c r="I514" s="135"/>
      <c r="J514" s="135"/>
      <c r="K514" s="105" t="s">
        <v>160</v>
      </c>
      <c r="L514" s="105"/>
      <c r="M514" s="105"/>
      <c r="N514" s="105"/>
      <c r="O514" s="105" t="s">
        <v>164</v>
      </c>
      <c r="P514" s="105"/>
      <c r="Q514" s="105"/>
      <c r="R514" s="105"/>
      <c r="S514" s="105"/>
      <c r="T514" s="105" t="s">
        <v>161</v>
      </c>
      <c r="U514" s="105"/>
      <c r="V514" s="105"/>
      <c r="W514" s="105"/>
      <c r="X514" s="105" t="s">
        <v>162</v>
      </c>
      <c r="Y514" s="105"/>
      <c r="Z514" s="105"/>
      <c r="AA514" s="105"/>
      <c r="AB514" s="105" t="s">
        <v>163</v>
      </c>
      <c r="AC514" s="105"/>
      <c r="AD514" s="105"/>
      <c r="AE514" s="129"/>
    </row>
    <row r="515" spans="1:31" s="1" customFormat="1" ht="15.75" customHeight="1" x14ac:dyDescent="0.15">
      <c r="A515" s="73" t="str">
        <f>IF(A$311="","","×")</f>
        <v>×</v>
      </c>
      <c r="E515" s="128"/>
      <c r="F515" s="106"/>
      <c r="G515" s="106"/>
      <c r="H515" s="121"/>
      <c r="I515" s="121"/>
      <c r="J515" s="121"/>
      <c r="K515" s="106"/>
      <c r="L515" s="106"/>
      <c r="M515" s="106"/>
      <c r="N515" s="106"/>
      <c r="O515" s="106"/>
      <c r="P515" s="106"/>
      <c r="Q515" s="106"/>
      <c r="R515" s="106"/>
      <c r="S515" s="106"/>
      <c r="T515" s="106"/>
      <c r="U515" s="106"/>
      <c r="V515" s="106"/>
      <c r="W515" s="106"/>
      <c r="X515" s="106"/>
      <c r="Y515" s="106"/>
      <c r="Z515" s="106"/>
      <c r="AA515" s="106"/>
      <c r="AB515" s="106"/>
      <c r="AC515" s="106"/>
      <c r="AD515" s="106"/>
      <c r="AE515" s="124"/>
    </row>
    <row r="516" spans="1:31" s="1" customFormat="1" ht="15.75" customHeight="1" x14ac:dyDescent="0.15">
      <c r="A516" s="73" t="str">
        <f>IF(A$311="×","×",IF(E516="","×",""))</f>
        <v>×</v>
      </c>
      <c r="E516" s="117">
        <f>E482</f>
        <v>3</v>
      </c>
      <c r="F516" s="118"/>
      <c r="G516" s="118"/>
      <c r="H516" s="220">
        <f>H482</f>
        <v>3</v>
      </c>
      <c r="I516" s="220"/>
      <c r="J516" s="220"/>
      <c r="K516" s="350">
        <f>U316</f>
        <v>25020</v>
      </c>
      <c r="L516" s="118"/>
      <c r="M516" s="118"/>
      <c r="N516" s="118"/>
      <c r="O516" s="118">
        <f>IF(K516="","",ROUND(K516/$X$532,6))</f>
        <v>5.6880000000000003E-3</v>
      </c>
      <c r="P516" s="118"/>
      <c r="Q516" s="118"/>
      <c r="R516" s="118"/>
      <c r="S516" s="118"/>
      <c r="T516" s="118">
        <f>IF(O516="","",ROUND(O516^0.25,4))</f>
        <v>0.27460000000000001</v>
      </c>
      <c r="U516" s="118"/>
      <c r="V516" s="118"/>
      <c r="W516" s="118"/>
      <c r="X516" s="405">
        <f>IF(T516="","",ROUND(T516*H516,4))</f>
        <v>0.82379999999999998</v>
      </c>
      <c r="Y516" s="405"/>
      <c r="Z516" s="405"/>
      <c r="AA516" s="405"/>
      <c r="AB516" s="331">
        <f>IF(X516="","",SUM(X$516:X516))</f>
        <v>0.82379999999999998</v>
      </c>
      <c r="AC516" s="331"/>
      <c r="AD516" s="331"/>
      <c r="AE516" s="332"/>
    </row>
    <row r="517" spans="1:31" s="1" customFormat="1" ht="15.75" customHeight="1" x14ac:dyDescent="0.15">
      <c r="A517" s="73" t="str">
        <f t="shared" ref="A517:A531" si="36">IF(A$311="×","×",IF(E517="","×",""))</f>
        <v>×</v>
      </c>
      <c r="E517" s="119">
        <f>E483</f>
        <v>4</v>
      </c>
      <c r="F517" s="120"/>
      <c r="G517" s="120"/>
      <c r="H517" s="113">
        <f t="shared" ref="H517:H531" si="37">H483</f>
        <v>5</v>
      </c>
      <c r="I517" s="113"/>
      <c r="J517" s="113"/>
      <c r="K517" s="354">
        <f>U317</f>
        <v>51410</v>
      </c>
      <c r="L517" s="120"/>
      <c r="M517" s="120"/>
      <c r="N517" s="120"/>
      <c r="O517" s="120">
        <f t="shared" ref="O517:O531" si="38">IF(K517="","",ROUND(K517/$X$532,6))</f>
        <v>1.1688E-2</v>
      </c>
      <c r="P517" s="120"/>
      <c r="Q517" s="120"/>
      <c r="R517" s="120"/>
      <c r="S517" s="120"/>
      <c r="T517" s="120">
        <f t="shared" ref="T517:T531" si="39">IF(O517="","",ROUND(O517^0.25,4))</f>
        <v>0.32879999999999998</v>
      </c>
      <c r="U517" s="120"/>
      <c r="V517" s="120"/>
      <c r="W517" s="120"/>
      <c r="X517" s="408">
        <f>IF(T517="","",ROUND(T517*H517,4))</f>
        <v>1.6439999999999999</v>
      </c>
      <c r="Y517" s="408"/>
      <c r="Z517" s="408"/>
      <c r="AA517" s="408"/>
      <c r="AB517" s="334">
        <f>IF(X517="","",SUM(X$516:X517))</f>
        <v>2.4678</v>
      </c>
      <c r="AC517" s="334"/>
      <c r="AD517" s="334"/>
      <c r="AE517" s="335"/>
    </row>
    <row r="518" spans="1:31" s="1" customFormat="1" ht="15.75" customHeight="1" x14ac:dyDescent="0.15">
      <c r="A518" s="73" t="str">
        <f t="shared" si="36"/>
        <v>×</v>
      </c>
      <c r="E518" s="119">
        <f>E484</f>
        <v>5</v>
      </c>
      <c r="F518" s="120"/>
      <c r="G518" s="120"/>
      <c r="H518" s="113">
        <f t="shared" si="37"/>
        <v>8</v>
      </c>
      <c r="I518" s="113"/>
      <c r="J518" s="113"/>
      <c r="K518" s="354">
        <f>U318</f>
        <v>58500</v>
      </c>
      <c r="L518" s="120"/>
      <c r="M518" s="120"/>
      <c r="N518" s="120"/>
      <c r="O518" s="120">
        <f t="shared" si="38"/>
        <v>1.3299999999999999E-2</v>
      </c>
      <c r="P518" s="120"/>
      <c r="Q518" s="120"/>
      <c r="R518" s="120"/>
      <c r="S518" s="120"/>
      <c r="T518" s="120">
        <f t="shared" si="39"/>
        <v>0.33960000000000001</v>
      </c>
      <c r="U518" s="120"/>
      <c r="V518" s="120"/>
      <c r="W518" s="120"/>
      <c r="X518" s="408">
        <f>IF(T518="","",ROUND(T518*H518,4))</f>
        <v>2.7168000000000001</v>
      </c>
      <c r="Y518" s="408"/>
      <c r="Z518" s="408"/>
      <c r="AA518" s="408"/>
      <c r="AB518" s="334">
        <f>IF(X518="","",SUM(X$516:X518))</f>
        <v>5.1845999999999997</v>
      </c>
      <c r="AC518" s="334"/>
      <c r="AD518" s="334"/>
      <c r="AE518" s="335"/>
    </row>
    <row r="519" spans="1:31" s="1" customFormat="1" ht="15.75" customHeight="1" x14ac:dyDescent="0.15">
      <c r="A519" s="73" t="str">
        <f t="shared" si="36"/>
        <v>×</v>
      </c>
      <c r="E519" s="119">
        <f>E485</f>
        <v>6</v>
      </c>
      <c r="F519" s="120"/>
      <c r="G519" s="120"/>
      <c r="H519" s="113">
        <f t="shared" si="37"/>
        <v>4.5</v>
      </c>
      <c r="I519" s="113"/>
      <c r="J519" s="113"/>
      <c r="K519" s="354">
        <f>U319</f>
        <v>83410</v>
      </c>
      <c r="L519" s="120"/>
      <c r="M519" s="120"/>
      <c r="N519" s="120"/>
      <c r="O519" s="120">
        <f t="shared" si="38"/>
        <v>1.8963000000000001E-2</v>
      </c>
      <c r="P519" s="120"/>
      <c r="Q519" s="120"/>
      <c r="R519" s="120"/>
      <c r="S519" s="120"/>
      <c r="T519" s="120">
        <f t="shared" si="39"/>
        <v>0.37109999999999999</v>
      </c>
      <c r="U519" s="120"/>
      <c r="V519" s="120"/>
      <c r="W519" s="120"/>
      <c r="X519" s="408">
        <f>IF(T519="","",ROUND(T519*H519,4))</f>
        <v>1.67</v>
      </c>
      <c r="Y519" s="408"/>
      <c r="Z519" s="408"/>
      <c r="AA519" s="408"/>
      <c r="AB519" s="334">
        <f>IF(X519="","",SUM(X$516:X519))</f>
        <v>6.8545999999999996</v>
      </c>
      <c r="AC519" s="334"/>
      <c r="AD519" s="334"/>
      <c r="AE519" s="335"/>
    </row>
    <row r="520" spans="1:31" s="1" customFormat="1" ht="15.75" customHeight="1" x14ac:dyDescent="0.15">
      <c r="A520" s="73" t="str">
        <f t="shared" si="36"/>
        <v>×</v>
      </c>
      <c r="E520" s="119">
        <f>E486</f>
        <v>7</v>
      </c>
      <c r="F520" s="120"/>
      <c r="G520" s="120"/>
      <c r="H520" s="113">
        <f t="shared" si="37"/>
        <v>0.5</v>
      </c>
      <c r="I520" s="113"/>
      <c r="J520" s="113"/>
      <c r="K520" s="354">
        <f>U320</f>
        <v>164820</v>
      </c>
      <c r="L520" s="120"/>
      <c r="M520" s="120"/>
      <c r="N520" s="120"/>
      <c r="O520" s="120">
        <f t="shared" si="38"/>
        <v>3.7471999999999998E-2</v>
      </c>
      <c r="P520" s="120"/>
      <c r="Q520" s="120"/>
      <c r="R520" s="120"/>
      <c r="S520" s="120"/>
      <c r="T520" s="120">
        <f t="shared" si="39"/>
        <v>0.44</v>
      </c>
      <c r="U520" s="120"/>
      <c r="V520" s="120"/>
      <c r="W520" s="120"/>
      <c r="X520" s="408">
        <f>IF(T520="","",ROUND(T520*H520,4))</f>
        <v>0.22</v>
      </c>
      <c r="Y520" s="408"/>
      <c r="Z520" s="408"/>
      <c r="AA520" s="408"/>
      <c r="AB520" s="334">
        <f>IF(X520="","",SUM(X$516:X520))</f>
        <v>7.0745999999999993</v>
      </c>
      <c r="AC520" s="334"/>
      <c r="AD520" s="334"/>
      <c r="AE520" s="335"/>
    </row>
    <row r="521" spans="1:31" s="1" customFormat="1" ht="15.75" customHeight="1" x14ac:dyDescent="0.15">
      <c r="A521" s="73" t="str">
        <f t="shared" si="36"/>
        <v>×</v>
      </c>
      <c r="E521" s="119" t="str">
        <f>E487</f>
        <v/>
      </c>
      <c r="F521" s="120"/>
      <c r="G521" s="120"/>
      <c r="H521" s="113">
        <f t="shared" si="37"/>
        <v>0</v>
      </c>
      <c r="I521" s="113"/>
      <c r="J521" s="113"/>
      <c r="K521" s="354" t="str">
        <f>U321</f>
        <v/>
      </c>
      <c r="L521" s="120"/>
      <c r="M521" s="120"/>
      <c r="N521" s="120"/>
      <c r="O521" s="120" t="str">
        <f t="shared" si="38"/>
        <v/>
      </c>
      <c r="P521" s="120"/>
      <c r="Q521" s="120"/>
      <c r="R521" s="120"/>
      <c r="S521" s="120"/>
      <c r="T521" s="120" t="str">
        <f t="shared" si="39"/>
        <v/>
      </c>
      <c r="U521" s="120"/>
      <c r="V521" s="120"/>
      <c r="W521" s="120"/>
      <c r="X521" s="408" t="str">
        <f>IF(T521="","",ROUND(T521*H521,4))</f>
        <v/>
      </c>
      <c r="Y521" s="408"/>
      <c r="Z521" s="408"/>
      <c r="AA521" s="408"/>
      <c r="AB521" s="334" t="str">
        <f>IF(X521="","",SUM(X$516:X521))</f>
        <v/>
      </c>
      <c r="AC521" s="334"/>
      <c r="AD521" s="334"/>
      <c r="AE521" s="335"/>
    </row>
    <row r="522" spans="1:31" s="1" customFormat="1" ht="15.75" customHeight="1" x14ac:dyDescent="0.15">
      <c r="A522" s="73" t="str">
        <f t="shared" si="36"/>
        <v>×</v>
      </c>
      <c r="E522" s="119" t="str">
        <f>E488</f>
        <v/>
      </c>
      <c r="F522" s="120"/>
      <c r="G522" s="120"/>
      <c r="H522" s="113">
        <f t="shared" si="37"/>
        <v>0</v>
      </c>
      <c r="I522" s="113"/>
      <c r="J522" s="113"/>
      <c r="K522" s="354" t="str">
        <f>U322</f>
        <v/>
      </c>
      <c r="L522" s="120"/>
      <c r="M522" s="120"/>
      <c r="N522" s="120"/>
      <c r="O522" s="120" t="str">
        <f t="shared" si="38"/>
        <v/>
      </c>
      <c r="P522" s="120"/>
      <c r="Q522" s="120"/>
      <c r="R522" s="120"/>
      <c r="S522" s="120"/>
      <c r="T522" s="120" t="str">
        <f t="shared" si="39"/>
        <v/>
      </c>
      <c r="U522" s="120"/>
      <c r="V522" s="120"/>
      <c r="W522" s="120"/>
      <c r="X522" s="408" t="str">
        <f>IF(T522="","",ROUND(T522*H522,4))</f>
        <v/>
      </c>
      <c r="Y522" s="408"/>
      <c r="Z522" s="408"/>
      <c r="AA522" s="408"/>
      <c r="AB522" s="334" t="str">
        <f>IF(X522="","",SUM(X$516:X522))</f>
        <v/>
      </c>
      <c r="AC522" s="334"/>
      <c r="AD522" s="334"/>
      <c r="AE522" s="335"/>
    </row>
    <row r="523" spans="1:31" s="1" customFormat="1" ht="15.75" customHeight="1" x14ac:dyDescent="0.15">
      <c r="A523" s="73" t="str">
        <f t="shared" si="36"/>
        <v>×</v>
      </c>
      <c r="E523" s="119" t="str">
        <f>E489</f>
        <v/>
      </c>
      <c r="F523" s="120"/>
      <c r="G523" s="120"/>
      <c r="H523" s="113">
        <f t="shared" si="37"/>
        <v>0</v>
      </c>
      <c r="I523" s="113"/>
      <c r="J523" s="113"/>
      <c r="K523" s="354" t="str">
        <f>U323</f>
        <v/>
      </c>
      <c r="L523" s="120"/>
      <c r="M523" s="120"/>
      <c r="N523" s="120"/>
      <c r="O523" s="120" t="str">
        <f t="shared" si="38"/>
        <v/>
      </c>
      <c r="P523" s="120"/>
      <c r="Q523" s="120"/>
      <c r="R523" s="120"/>
      <c r="S523" s="120"/>
      <c r="T523" s="120" t="str">
        <f t="shared" si="39"/>
        <v/>
      </c>
      <c r="U523" s="120"/>
      <c r="V523" s="120"/>
      <c r="W523" s="120"/>
      <c r="X523" s="408" t="str">
        <f>IF(T523="","",ROUND(T523*H523,4))</f>
        <v/>
      </c>
      <c r="Y523" s="408"/>
      <c r="Z523" s="408"/>
      <c r="AA523" s="408"/>
      <c r="AB523" s="334" t="str">
        <f>IF(X523="","",SUM(X$516:X523))</f>
        <v/>
      </c>
      <c r="AC523" s="334"/>
      <c r="AD523" s="334"/>
      <c r="AE523" s="335"/>
    </row>
    <row r="524" spans="1:31" s="1" customFormat="1" ht="15.75" customHeight="1" x14ac:dyDescent="0.15">
      <c r="A524" s="73" t="str">
        <f t="shared" si="36"/>
        <v>×</v>
      </c>
      <c r="E524" s="119" t="str">
        <f>E490</f>
        <v/>
      </c>
      <c r="F524" s="120"/>
      <c r="G524" s="120"/>
      <c r="H524" s="113">
        <f t="shared" si="37"/>
        <v>0</v>
      </c>
      <c r="I524" s="113"/>
      <c r="J524" s="113"/>
      <c r="K524" s="354" t="str">
        <f>U324</f>
        <v/>
      </c>
      <c r="L524" s="120"/>
      <c r="M524" s="120"/>
      <c r="N524" s="120"/>
      <c r="O524" s="120" t="str">
        <f t="shared" si="38"/>
        <v/>
      </c>
      <c r="P524" s="120"/>
      <c r="Q524" s="120"/>
      <c r="R524" s="120"/>
      <c r="S524" s="120"/>
      <c r="T524" s="120" t="str">
        <f t="shared" si="39"/>
        <v/>
      </c>
      <c r="U524" s="120"/>
      <c r="V524" s="120"/>
      <c r="W524" s="120"/>
      <c r="X524" s="408" t="str">
        <f>IF(T524="","",ROUND(T524*H524,4))</f>
        <v/>
      </c>
      <c r="Y524" s="408"/>
      <c r="Z524" s="408"/>
      <c r="AA524" s="408"/>
      <c r="AB524" s="334" t="str">
        <f>IF(X524="","",SUM(X$516:X524))</f>
        <v/>
      </c>
      <c r="AC524" s="334"/>
      <c r="AD524" s="334"/>
      <c r="AE524" s="335"/>
    </row>
    <row r="525" spans="1:31" s="1" customFormat="1" ht="15.75" customHeight="1" x14ac:dyDescent="0.15">
      <c r="A525" s="73" t="str">
        <f t="shared" si="36"/>
        <v>×</v>
      </c>
      <c r="E525" s="119" t="str">
        <f>E491</f>
        <v/>
      </c>
      <c r="F525" s="120"/>
      <c r="G525" s="120"/>
      <c r="H525" s="113">
        <f t="shared" si="37"/>
        <v>0</v>
      </c>
      <c r="I525" s="113"/>
      <c r="J525" s="113"/>
      <c r="K525" s="354" t="str">
        <f>U325</f>
        <v/>
      </c>
      <c r="L525" s="120"/>
      <c r="M525" s="120"/>
      <c r="N525" s="120"/>
      <c r="O525" s="120" t="str">
        <f t="shared" si="38"/>
        <v/>
      </c>
      <c r="P525" s="120"/>
      <c r="Q525" s="120"/>
      <c r="R525" s="120"/>
      <c r="S525" s="120"/>
      <c r="T525" s="120" t="str">
        <f t="shared" si="39"/>
        <v/>
      </c>
      <c r="U525" s="120"/>
      <c r="V525" s="120"/>
      <c r="W525" s="120"/>
      <c r="X525" s="408" t="str">
        <f>IF(T525="","",ROUND(T525*H525,4))</f>
        <v/>
      </c>
      <c r="Y525" s="408"/>
      <c r="Z525" s="408"/>
      <c r="AA525" s="408"/>
      <c r="AB525" s="334" t="str">
        <f>IF(X525="","",SUM(X$516:X525))</f>
        <v/>
      </c>
      <c r="AC525" s="334"/>
      <c r="AD525" s="334"/>
      <c r="AE525" s="335"/>
    </row>
    <row r="526" spans="1:31" s="1" customFormat="1" ht="15.75" customHeight="1" x14ac:dyDescent="0.15">
      <c r="A526" s="73" t="str">
        <f t="shared" si="36"/>
        <v>×</v>
      </c>
      <c r="E526" s="119" t="str">
        <f>E492</f>
        <v/>
      </c>
      <c r="F526" s="120"/>
      <c r="G526" s="120"/>
      <c r="H526" s="113">
        <f t="shared" si="37"/>
        <v>0</v>
      </c>
      <c r="I526" s="113"/>
      <c r="J526" s="113"/>
      <c r="K526" s="354" t="str">
        <f>U326</f>
        <v/>
      </c>
      <c r="L526" s="120"/>
      <c r="M526" s="120"/>
      <c r="N526" s="120"/>
      <c r="O526" s="120" t="str">
        <f t="shared" si="38"/>
        <v/>
      </c>
      <c r="P526" s="120"/>
      <c r="Q526" s="120"/>
      <c r="R526" s="120"/>
      <c r="S526" s="120"/>
      <c r="T526" s="120" t="str">
        <f t="shared" si="39"/>
        <v/>
      </c>
      <c r="U526" s="120"/>
      <c r="V526" s="120"/>
      <c r="W526" s="120"/>
      <c r="X526" s="408" t="str">
        <f>IF(T526="","",ROUND(T526*H526,4))</f>
        <v/>
      </c>
      <c r="Y526" s="408"/>
      <c r="Z526" s="408"/>
      <c r="AA526" s="408"/>
      <c r="AB526" s="334" t="str">
        <f>IF(X526="","",SUM(X$516:X526))</f>
        <v/>
      </c>
      <c r="AC526" s="334"/>
      <c r="AD526" s="334"/>
      <c r="AE526" s="335"/>
    </row>
    <row r="527" spans="1:31" s="1" customFormat="1" ht="15.75" customHeight="1" x14ac:dyDescent="0.15">
      <c r="A527" s="73" t="str">
        <f t="shared" si="36"/>
        <v>×</v>
      </c>
      <c r="E527" s="119" t="str">
        <f>E493</f>
        <v/>
      </c>
      <c r="F527" s="120"/>
      <c r="G527" s="120"/>
      <c r="H527" s="113">
        <f t="shared" si="37"/>
        <v>0</v>
      </c>
      <c r="I527" s="113"/>
      <c r="J527" s="113"/>
      <c r="K527" s="354" t="str">
        <f>U327</f>
        <v/>
      </c>
      <c r="L527" s="120"/>
      <c r="M527" s="120"/>
      <c r="N527" s="120"/>
      <c r="O527" s="120" t="str">
        <f t="shared" si="38"/>
        <v/>
      </c>
      <c r="P527" s="120"/>
      <c r="Q527" s="120"/>
      <c r="R527" s="120"/>
      <c r="S527" s="120"/>
      <c r="T527" s="120" t="str">
        <f t="shared" si="39"/>
        <v/>
      </c>
      <c r="U527" s="120"/>
      <c r="V527" s="120"/>
      <c r="W527" s="120"/>
      <c r="X527" s="408" t="str">
        <f>IF(T527="","",ROUND(T527*H527,4))</f>
        <v/>
      </c>
      <c r="Y527" s="408"/>
      <c r="Z527" s="408"/>
      <c r="AA527" s="408"/>
      <c r="AB527" s="334" t="str">
        <f>IF(X527="","",SUM(X$516:X527))</f>
        <v/>
      </c>
      <c r="AC527" s="334"/>
      <c r="AD527" s="334"/>
      <c r="AE527" s="335"/>
    </row>
    <row r="528" spans="1:31" s="1" customFormat="1" ht="15.75" customHeight="1" x14ac:dyDescent="0.15">
      <c r="A528" s="73" t="str">
        <f t="shared" si="36"/>
        <v>×</v>
      </c>
      <c r="E528" s="119" t="str">
        <f>E494</f>
        <v/>
      </c>
      <c r="F528" s="120"/>
      <c r="G528" s="120"/>
      <c r="H528" s="113">
        <f t="shared" si="37"/>
        <v>0</v>
      </c>
      <c r="I528" s="113"/>
      <c r="J528" s="113"/>
      <c r="K528" s="354" t="str">
        <f>U328</f>
        <v/>
      </c>
      <c r="L528" s="120"/>
      <c r="M528" s="120"/>
      <c r="N528" s="120"/>
      <c r="O528" s="120" t="str">
        <f t="shared" si="38"/>
        <v/>
      </c>
      <c r="P528" s="120"/>
      <c r="Q528" s="120"/>
      <c r="R528" s="120"/>
      <c r="S528" s="120"/>
      <c r="T528" s="120" t="str">
        <f t="shared" si="39"/>
        <v/>
      </c>
      <c r="U528" s="120"/>
      <c r="V528" s="120"/>
      <c r="W528" s="120"/>
      <c r="X528" s="408" t="str">
        <f>IF(T528="","",ROUND(T528*H528,4))</f>
        <v/>
      </c>
      <c r="Y528" s="408"/>
      <c r="Z528" s="408"/>
      <c r="AA528" s="408"/>
      <c r="AB528" s="334" t="str">
        <f>IF(X528="","",SUM(X$516:X528))</f>
        <v/>
      </c>
      <c r="AC528" s="334"/>
      <c r="AD528" s="334"/>
      <c r="AE528" s="335"/>
    </row>
    <row r="529" spans="1:58" s="1" customFormat="1" ht="15.75" customHeight="1" x14ac:dyDescent="0.15">
      <c r="A529" s="73" t="str">
        <f t="shared" si="36"/>
        <v>×</v>
      </c>
      <c r="E529" s="119" t="str">
        <f>E495</f>
        <v/>
      </c>
      <c r="F529" s="120"/>
      <c r="G529" s="120"/>
      <c r="H529" s="113">
        <f t="shared" si="37"/>
        <v>0</v>
      </c>
      <c r="I529" s="113"/>
      <c r="J529" s="113"/>
      <c r="K529" s="354" t="str">
        <f>U329</f>
        <v/>
      </c>
      <c r="L529" s="120"/>
      <c r="M529" s="120"/>
      <c r="N529" s="120"/>
      <c r="O529" s="120" t="str">
        <f t="shared" si="38"/>
        <v/>
      </c>
      <c r="P529" s="120"/>
      <c r="Q529" s="120"/>
      <c r="R529" s="120"/>
      <c r="S529" s="120"/>
      <c r="T529" s="120" t="str">
        <f t="shared" si="39"/>
        <v/>
      </c>
      <c r="U529" s="120"/>
      <c r="V529" s="120"/>
      <c r="W529" s="120"/>
      <c r="X529" s="408" t="str">
        <f>IF(T529="","",ROUND(T529*H529,4))</f>
        <v/>
      </c>
      <c r="Y529" s="408"/>
      <c r="Z529" s="408"/>
      <c r="AA529" s="408"/>
      <c r="AB529" s="334" t="str">
        <f>IF(X529="","",SUM(X$516:X529))</f>
        <v/>
      </c>
      <c r="AC529" s="334"/>
      <c r="AD529" s="334"/>
      <c r="AE529" s="335"/>
    </row>
    <row r="530" spans="1:58" s="1" customFormat="1" ht="15.75" customHeight="1" x14ac:dyDescent="0.15">
      <c r="A530" s="73" t="str">
        <f t="shared" si="36"/>
        <v>×</v>
      </c>
      <c r="E530" s="119" t="str">
        <f>E496</f>
        <v/>
      </c>
      <c r="F530" s="120"/>
      <c r="G530" s="120"/>
      <c r="H530" s="113">
        <f t="shared" si="37"/>
        <v>0</v>
      </c>
      <c r="I530" s="113"/>
      <c r="J530" s="113"/>
      <c r="K530" s="354" t="str">
        <f>U330</f>
        <v/>
      </c>
      <c r="L530" s="120"/>
      <c r="M530" s="120"/>
      <c r="N530" s="120"/>
      <c r="O530" s="120" t="str">
        <f t="shared" si="38"/>
        <v/>
      </c>
      <c r="P530" s="120"/>
      <c r="Q530" s="120"/>
      <c r="R530" s="120"/>
      <c r="S530" s="120"/>
      <c r="T530" s="120" t="str">
        <f t="shared" si="39"/>
        <v/>
      </c>
      <c r="U530" s="120"/>
      <c r="V530" s="120"/>
      <c r="W530" s="120"/>
      <c r="X530" s="408" t="str">
        <f>IF(T530="","",ROUND(T530*H530,4))</f>
        <v/>
      </c>
      <c r="Y530" s="408"/>
      <c r="Z530" s="408"/>
      <c r="AA530" s="408"/>
      <c r="AB530" s="334" t="str">
        <f>IF(X530="","",SUM(X$516:X530))</f>
        <v/>
      </c>
      <c r="AC530" s="334"/>
      <c r="AD530" s="334"/>
      <c r="AE530" s="335"/>
    </row>
    <row r="531" spans="1:58" s="1" customFormat="1" ht="15.75" customHeight="1" x14ac:dyDescent="0.15">
      <c r="A531" s="73" t="str">
        <f t="shared" si="36"/>
        <v>×</v>
      </c>
      <c r="E531" s="233" t="str">
        <f>E497</f>
        <v/>
      </c>
      <c r="F531" s="234"/>
      <c r="G531" s="234"/>
      <c r="H531" s="116">
        <f t="shared" si="37"/>
        <v>0</v>
      </c>
      <c r="I531" s="116"/>
      <c r="J531" s="116"/>
      <c r="K531" s="358" t="str">
        <f>U331</f>
        <v/>
      </c>
      <c r="L531" s="234"/>
      <c r="M531" s="234"/>
      <c r="N531" s="234"/>
      <c r="O531" s="234" t="str">
        <f t="shared" si="38"/>
        <v/>
      </c>
      <c r="P531" s="234"/>
      <c r="Q531" s="234"/>
      <c r="R531" s="234"/>
      <c r="S531" s="234"/>
      <c r="T531" s="234" t="str">
        <f t="shared" si="39"/>
        <v/>
      </c>
      <c r="U531" s="234"/>
      <c r="V531" s="234"/>
      <c r="W531" s="234"/>
      <c r="X531" s="411" t="str">
        <f>IF(T531="","",ROUND(T531*H531,4))</f>
        <v/>
      </c>
      <c r="Y531" s="411"/>
      <c r="Z531" s="411"/>
      <c r="AA531" s="411"/>
      <c r="AB531" s="339" t="str">
        <f>IF(X531="","",SUM(X$516:X531))</f>
        <v/>
      </c>
      <c r="AC531" s="339"/>
      <c r="AD531" s="339"/>
      <c r="AE531" s="340"/>
    </row>
    <row r="532" spans="1:58" ht="15.75" customHeight="1" x14ac:dyDescent="0.15">
      <c r="A532" s="73" t="str">
        <f>IF(A$311="","","×")</f>
        <v>×</v>
      </c>
      <c r="E532" s="76"/>
      <c r="S532" s="2" t="s">
        <v>127</v>
      </c>
      <c r="T532" s="76">
        <v>4</v>
      </c>
      <c r="U532" s="162" t="s">
        <v>149</v>
      </c>
      <c r="V532" s="162"/>
      <c r="W532" s="76" t="s">
        <v>27</v>
      </c>
      <c r="X532" s="341">
        <f>X498</f>
        <v>4398464</v>
      </c>
      <c r="Y532" s="341"/>
      <c r="Z532" s="341"/>
      <c r="AA532" s="341"/>
      <c r="AB532" s="341"/>
      <c r="AC532" s="148" t="s">
        <v>166</v>
      </c>
      <c r="AD532" s="148"/>
      <c r="AE532" s="76" t="s">
        <v>158</v>
      </c>
      <c r="AJ532" s="379"/>
      <c r="AK532" s="379"/>
      <c r="AL532" s="379"/>
      <c r="AM532" s="379"/>
      <c r="BC532" s="76"/>
      <c r="BD532" s="76"/>
      <c r="BE532" s="76"/>
      <c r="BF532" s="76"/>
    </row>
    <row r="533" spans="1:58" ht="15.75" customHeight="1" x14ac:dyDescent="0.15">
      <c r="A533" s="73" t="str">
        <f>IF(A$311="","","×")</f>
        <v>×</v>
      </c>
      <c r="E533" s="76"/>
      <c r="S533" s="2"/>
      <c r="X533" s="342"/>
      <c r="Y533" s="342"/>
      <c r="Z533" s="342"/>
      <c r="AA533" s="342"/>
      <c r="AB533" s="342"/>
      <c r="AC533" s="78"/>
      <c r="AD533" s="78"/>
      <c r="AJ533" s="379"/>
      <c r="AK533" s="379"/>
      <c r="AL533" s="379"/>
      <c r="AM533" s="379"/>
      <c r="BC533" s="76"/>
      <c r="BD533" s="76"/>
      <c r="BE533" s="76"/>
      <c r="BF533" s="76"/>
    </row>
    <row r="534" spans="1:58" ht="15.75" customHeight="1" x14ac:dyDescent="0.15">
      <c r="A534" s="73" t="str">
        <f>IF(A$311="","","×")</f>
        <v>×</v>
      </c>
      <c r="E534" s="307" t="s">
        <v>541</v>
      </c>
      <c r="S534" s="2"/>
      <c r="X534" s="342"/>
      <c r="Y534" s="342"/>
      <c r="Z534" s="342"/>
      <c r="AA534" s="342"/>
      <c r="AB534" s="342"/>
      <c r="AC534" s="78"/>
      <c r="AD534" s="78"/>
      <c r="AJ534" s="379"/>
      <c r="AK534" s="379"/>
      <c r="AL534" s="379"/>
      <c r="AM534" s="379"/>
      <c r="BC534" s="76"/>
      <c r="BD534" s="76"/>
      <c r="BE534" s="76"/>
      <c r="BF534" s="76"/>
    </row>
    <row r="535" spans="1:58" ht="15.75" customHeight="1" x14ac:dyDescent="0.15">
      <c r="A535" s="73" t="str">
        <f>IF(A$311="","","×")</f>
        <v>×</v>
      </c>
      <c r="E535" s="162" t="s">
        <v>542</v>
      </c>
      <c r="F535" s="162"/>
      <c r="G535" s="76" t="s">
        <v>543</v>
      </c>
      <c r="H535" s="402">
        <v>3.5399999618530273</v>
      </c>
      <c r="I535" s="402"/>
      <c r="J535" s="402"/>
      <c r="K535" s="76" t="s">
        <v>544</v>
      </c>
      <c r="S535" s="2"/>
      <c r="X535" s="342"/>
      <c r="Y535" s="342"/>
      <c r="Z535" s="342"/>
      <c r="AA535" s="342"/>
      <c r="AB535" s="342"/>
      <c r="AC535" s="78"/>
      <c r="AD535" s="78"/>
      <c r="AJ535" s="379"/>
      <c r="AK535" s="379"/>
      <c r="AL535" s="379"/>
      <c r="AM535" s="379"/>
      <c r="BC535" s="76"/>
      <c r="BD535" s="76"/>
      <c r="BE535" s="76"/>
      <c r="BF535" s="76"/>
    </row>
    <row r="536" spans="1:58" ht="15.75" customHeight="1" x14ac:dyDescent="0.15">
      <c r="E536" s="76"/>
      <c r="S536" s="2"/>
      <c r="X536" s="342"/>
      <c r="Y536" s="342"/>
      <c r="Z536" s="342"/>
      <c r="AA536" s="342"/>
      <c r="AB536" s="342"/>
      <c r="AC536" s="78"/>
      <c r="AD536" s="78"/>
      <c r="AJ536" s="379"/>
      <c r="AK536" s="379"/>
      <c r="AL536" s="379"/>
      <c r="AM536" s="379"/>
      <c r="BC536" s="76"/>
      <c r="BD536" s="76"/>
      <c r="BE536" s="76"/>
      <c r="BF536" s="76"/>
    </row>
    <row r="538" spans="1:58" s="1" customFormat="1" ht="15.75" customHeight="1" x14ac:dyDescent="0.15">
      <c r="E538" s="64" t="s">
        <v>593</v>
      </c>
      <c r="F538" s="64"/>
      <c r="G538" s="64"/>
      <c r="H538" s="64"/>
      <c r="I538" s="64"/>
      <c r="J538" s="64"/>
      <c r="K538" s="64"/>
      <c r="L538" s="64"/>
      <c r="M538" s="64"/>
      <c r="N538" s="64"/>
      <c r="O538" s="64"/>
      <c r="P538" s="64"/>
      <c r="Q538" s="64"/>
      <c r="R538" s="64"/>
      <c r="S538" s="64"/>
      <c r="T538" s="64"/>
      <c r="U538" s="64"/>
      <c r="V538" s="64"/>
      <c r="W538" s="64"/>
      <c r="X538" s="64"/>
      <c r="Y538" s="64"/>
      <c r="Z538" s="64"/>
      <c r="AA538" s="64"/>
      <c r="AB538" s="64"/>
      <c r="AC538" s="64"/>
      <c r="AD538" s="64"/>
      <c r="AE538" s="64"/>
    </row>
    <row r="539" spans="1:58" s="1" customFormat="1" ht="15.75" customHeight="1" x14ac:dyDescent="0.15">
      <c r="E539" s="126" t="s">
        <v>78</v>
      </c>
      <c r="F539" s="105"/>
      <c r="G539" s="105"/>
      <c r="H539" s="134" t="s">
        <v>159</v>
      </c>
      <c r="I539" s="135"/>
      <c r="J539" s="135"/>
      <c r="K539" s="105" t="s">
        <v>160</v>
      </c>
      <c r="L539" s="105"/>
      <c r="M539" s="105"/>
      <c r="N539" s="105"/>
      <c r="O539" s="105" t="s">
        <v>164</v>
      </c>
      <c r="P539" s="105"/>
      <c r="Q539" s="105"/>
      <c r="R539" s="105"/>
      <c r="S539" s="105"/>
      <c r="T539" s="105" t="s">
        <v>161</v>
      </c>
      <c r="U539" s="105"/>
      <c r="V539" s="105"/>
      <c r="W539" s="105"/>
      <c r="X539" s="105" t="s">
        <v>162</v>
      </c>
      <c r="Y539" s="105"/>
      <c r="Z539" s="105"/>
      <c r="AA539" s="105"/>
      <c r="AB539" s="105" t="s">
        <v>163</v>
      </c>
      <c r="AC539" s="105"/>
      <c r="AD539" s="105"/>
      <c r="AE539" s="129"/>
    </row>
    <row r="540" spans="1:58" s="1" customFormat="1" ht="15.75" customHeight="1" x14ac:dyDescent="0.15">
      <c r="E540" s="128"/>
      <c r="F540" s="106"/>
      <c r="G540" s="106"/>
      <c r="H540" s="121"/>
      <c r="I540" s="121"/>
      <c r="J540" s="121"/>
      <c r="K540" s="106"/>
      <c r="L540" s="106"/>
      <c r="M540" s="106"/>
      <c r="N540" s="106"/>
      <c r="O540" s="106"/>
      <c r="P540" s="106"/>
      <c r="Q540" s="106"/>
      <c r="R540" s="106"/>
      <c r="S540" s="106"/>
      <c r="T540" s="106"/>
      <c r="U540" s="106"/>
      <c r="V540" s="106"/>
      <c r="W540" s="106"/>
      <c r="X540" s="106"/>
      <c r="Y540" s="106"/>
      <c r="Z540" s="106"/>
      <c r="AA540" s="106"/>
      <c r="AB540" s="106"/>
      <c r="AC540" s="106"/>
      <c r="AD540" s="106"/>
      <c r="AE540" s="124"/>
    </row>
    <row r="541" spans="1:58" s="1" customFormat="1" ht="15.75" customHeight="1" x14ac:dyDescent="0.15">
      <c r="A541" s="73" t="str">
        <f>IF(E541="","×","")</f>
        <v/>
      </c>
      <c r="E541" s="117">
        <f>IF(G155="","",G155)</f>
        <v>3</v>
      </c>
      <c r="F541" s="118"/>
      <c r="G541" s="118"/>
      <c r="H541" s="220">
        <f>H516</f>
        <v>3</v>
      </c>
      <c r="I541" s="220"/>
      <c r="J541" s="220"/>
      <c r="K541" s="309">
        <f>Y272</f>
        <v>24950</v>
      </c>
      <c r="L541" s="131"/>
      <c r="M541" s="131"/>
      <c r="N541" s="131"/>
      <c r="O541" s="131">
        <f>IF(K541="","",ROUND(K541/$X$557,6))</f>
        <v>5.672E-3</v>
      </c>
      <c r="P541" s="131"/>
      <c r="Q541" s="131"/>
      <c r="R541" s="131"/>
      <c r="S541" s="131"/>
      <c r="T541" s="131">
        <f>IF(O541="","",ROUND(O541^0.25,4))</f>
        <v>0.27439999999999998</v>
      </c>
      <c r="U541" s="131"/>
      <c r="V541" s="131"/>
      <c r="W541" s="131"/>
      <c r="X541" s="330">
        <f>IF(T541="","",ROUND(T541*H541,4))</f>
        <v>0.82320000000000004</v>
      </c>
      <c r="Y541" s="330"/>
      <c r="Z541" s="330"/>
      <c r="AA541" s="330"/>
      <c r="AB541" s="331">
        <f>IF(X541="","",SUM(X$541:X541))</f>
        <v>0.82320000000000004</v>
      </c>
      <c r="AC541" s="331"/>
      <c r="AD541" s="331"/>
      <c r="AE541" s="332"/>
    </row>
    <row r="542" spans="1:58" s="1" customFormat="1" ht="15.75" customHeight="1" x14ac:dyDescent="0.15">
      <c r="A542" s="73" t="str">
        <f t="shared" ref="A542:A556" si="40">IF(E542="","×","")</f>
        <v/>
      </c>
      <c r="E542" s="119">
        <f>IF(G156="","",G156)</f>
        <v>4</v>
      </c>
      <c r="F542" s="120"/>
      <c r="G542" s="120"/>
      <c r="H542" s="113">
        <f t="shared" ref="H542:H556" si="41">H517</f>
        <v>5</v>
      </c>
      <c r="I542" s="113"/>
      <c r="J542" s="113"/>
      <c r="K542" s="314">
        <f t="shared" ref="K542:K556" si="42">Y273</f>
        <v>51260</v>
      </c>
      <c r="L542" s="94"/>
      <c r="M542" s="94"/>
      <c r="N542" s="94"/>
      <c r="O542" s="94">
        <f>IF(K542="","",ROUND(K542/$X$557,6))</f>
        <v>1.1653999999999999E-2</v>
      </c>
      <c r="P542" s="94"/>
      <c r="Q542" s="94"/>
      <c r="R542" s="94"/>
      <c r="S542" s="94"/>
      <c r="T542" s="94">
        <f t="shared" ref="T542:T556" si="43">IF(O542="","",ROUND(O542^0.25,4))</f>
        <v>0.3286</v>
      </c>
      <c r="U542" s="94"/>
      <c r="V542" s="94"/>
      <c r="W542" s="94"/>
      <c r="X542" s="333">
        <f>IF(T542="","",ROUND(T542*H542,4))</f>
        <v>1.643</v>
      </c>
      <c r="Y542" s="333"/>
      <c r="Z542" s="333"/>
      <c r="AA542" s="333"/>
      <c r="AB542" s="334">
        <f>IF(X542="","",SUM(X$541:X542))</f>
        <v>2.4662000000000002</v>
      </c>
      <c r="AC542" s="334"/>
      <c r="AD542" s="334"/>
      <c r="AE542" s="335"/>
    </row>
    <row r="543" spans="1:58" s="1" customFormat="1" ht="15.75" customHeight="1" x14ac:dyDescent="0.15">
      <c r="A543" s="73" t="str">
        <f t="shared" si="40"/>
        <v/>
      </c>
      <c r="E543" s="119">
        <f>IF(G157="","",G157)</f>
        <v>5</v>
      </c>
      <c r="F543" s="120"/>
      <c r="G543" s="120"/>
      <c r="H543" s="113">
        <f t="shared" si="41"/>
        <v>8</v>
      </c>
      <c r="I543" s="113"/>
      <c r="J543" s="113"/>
      <c r="K543" s="314">
        <f t="shared" si="42"/>
        <v>58330</v>
      </c>
      <c r="L543" s="94"/>
      <c r="M543" s="94"/>
      <c r="N543" s="94"/>
      <c r="O543" s="94">
        <f>IF(K543="","",ROUND(K543/$X$557,6))</f>
        <v>1.3261E-2</v>
      </c>
      <c r="P543" s="94"/>
      <c r="Q543" s="94"/>
      <c r="R543" s="94"/>
      <c r="S543" s="94"/>
      <c r="T543" s="94">
        <f t="shared" si="43"/>
        <v>0.33929999999999999</v>
      </c>
      <c r="U543" s="94"/>
      <c r="V543" s="94"/>
      <c r="W543" s="94"/>
      <c r="X543" s="333">
        <f>IF(T543="","",ROUND(T543*H543,4))</f>
        <v>2.7143999999999999</v>
      </c>
      <c r="Y543" s="333"/>
      <c r="Z543" s="333"/>
      <c r="AA543" s="333"/>
      <c r="AB543" s="334">
        <f>IF(X543="","",SUM(X$541:X543))</f>
        <v>5.1806000000000001</v>
      </c>
      <c r="AC543" s="334"/>
      <c r="AD543" s="334"/>
      <c r="AE543" s="335"/>
    </row>
    <row r="544" spans="1:58" s="1" customFormat="1" ht="15.75" customHeight="1" x14ac:dyDescent="0.15">
      <c r="A544" s="73" t="str">
        <f t="shared" si="40"/>
        <v/>
      </c>
      <c r="E544" s="119">
        <f>IF(G158="","",G158)</f>
        <v>6</v>
      </c>
      <c r="F544" s="120"/>
      <c r="G544" s="120"/>
      <c r="H544" s="113">
        <f t="shared" si="41"/>
        <v>4.5</v>
      </c>
      <c r="I544" s="113"/>
      <c r="J544" s="113"/>
      <c r="K544" s="314">
        <f t="shared" si="42"/>
        <v>83180</v>
      </c>
      <c r="L544" s="94"/>
      <c r="M544" s="94"/>
      <c r="N544" s="94"/>
      <c r="O544" s="94">
        <f>IF(K544="","",ROUND(K544/$X$557,6))</f>
        <v>1.8911000000000001E-2</v>
      </c>
      <c r="P544" s="94"/>
      <c r="Q544" s="94"/>
      <c r="R544" s="94"/>
      <c r="S544" s="94"/>
      <c r="T544" s="94">
        <f t="shared" si="43"/>
        <v>0.37080000000000002</v>
      </c>
      <c r="U544" s="94"/>
      <c r="V544" s="94"/>
      <c r="W544" s="94"/>
      <c r="X544" s="333">
        <f>IF(T544="","",ROUND(T544*H544,4))</f>
        <v>1.6686000000000001</v>
      </c>
      <c r="Y544" s="333"/>
      <c r="Z544" s="333"/>
      <c r="AA544" s="333"/>
      <c r="AB544" s="334">
        <f>IF(X544="","",SUM(X$541:X544))</f>
        <v>6.8491999999999997</v>
      </c>
      <c r="AC544" s="334"/>
      <c r="AD544" s="334"/>
      <c r="AE544" s="335"/>
    </row>
    <row r="545" spans="1:58" s="1" customFormat="1" ht="15.75" customHeight="1" x14ac:dyDescent="0.15">
      <c r="A545" s="73" t="str">
        <f t="shared" si="40"/>
        <v/>
      </c>
      <c r="E545" s="119">
        <f>IF(G159="","",G159)</f>
        <v>7</v>
      </c>
      <c r="F545" s="120"/>
      <c r="G545" s="120"/>
      <c r="H545" s="113">
        <f t="shared" si="41"/>
        <v>0.5</v>
      </c>
      <c r="I545" s="113"/>
      <c r="J545" s="113"/>
      <c r="K545" s="314">
        <f t="shared" si="42"/>
        <v>164340</v>
      </c>
      <c r="L545" s="94"/>
      <c r="M545" s="94"/>
      <c r="N545" s="94"/>
      <c r="O545" s="94">
        <f>IF(K545="","",ROUND(K545/$X$557,6))</f>
        <v>3.7363E-2</v>
      </c>
      <c r="P545" s="94"/>
      <c r="Q545" s="94"/>
      <c r="R545" s="94"/>
      <c r="S545" s="94"/>
      <c r="T545" s="94">
        <f t="shared" si="43"/>
        <v>0.43969999999999998</v>
      </c>
      <c r="U545" s="94"/>
      <c r="V545" s="94"/>
      <c r="W545" s="94"/>
      <c r="X545" s="333">
        <f>IF(T545="","",ROUND(T545*H545,4))</f>
        <v>0.21990000000000001</v>
      </c>
      <c r="Y545" s="333"/>
      <c r="Z545" s="333"/>
      <c r="AA545" s="333"/>
      <c r="AB545" s="334">
        <f>IF(X545="","",SUM(X$541:X545))</f>
        <v>7.0690999999999997</v>
      </c>
      <c r="AC545" s="334"/>
      <c r="AD545" s="334"/>
      <c r="AE545" s="335"/>
    </row>
    <row r="546" spans="1:58" s="1" customFormat="1" ht="15.75" customHeight="1" x14ac:dyDescent="0.15">
      <c r="A546" s="73" t="str">
        <f t="shared" si="40"/>
        <v>×</v>
      </c>
      <c r="E546" s="119" t="str">
        <f>IF(G160="","",G160)</f>
        <v/>
      </c>
      <c r="F546" s="120"/>
      <c r="G546" s="120"/>
      <c r="H546" s="113">
        <f t="shared" si="41"/>
        <v>0</v>
      </c>
      <c r="I546" s="113"/>
      <c r="J546" s="113"/>
      <c r="K546" s="314" t="str">
        <f t="shared" si="42"/>
        <v/>
      </c>
      <c r="L546" s="94"/>
      <c r="M546" s="94"/>
      <c r="N546" s="94"/>
      <c r="O546" s="94" t="str">
        <f>IF(K546="","",ROUND(K546/$X$557,6))</f>
        <v/>
      </c>
      <c r="P546" s="94"/>
      <c r="Q546" s="94"/>
      <c r="R546" s="94"/>
      <c r="S546" s="94"/>
      <c r="T546" s="94" t="str">
        <f t="shared" si="43"/>
        <v/>
      </c>
      <c r="U546" s="94"/>
      <c r="V546" s="94"/>
      <c r="W546" s="94"/>
      <c r="X546" s="333" t="str">
        <f>IF(T546="","",ROUND(T546*H546,4))</f>
        <v/>
      </c>
      <c r="Y546" s="333"/>
      <c r="Z546" s="333"/>
      <c r="AA546" s="333"/>
      <c r="AB546" s="334" t="str">
        <f>IF(X546="","",SUM(X$541:X546))</f>
        <v/>
      </c>
      <c r="AC546" s="334"/>
      <c r="AD546" s="334"/>
      <c r="AE546" s="335"/>
    </row>
    <row r="547" spans="1:58" s="1" customFormat="1" ht="15.75" customHeight="1" x14ac:dyDescent="0.15">
      <c r="A547" s="73" t="str">
        <f t="shared" si="40"/>
        <v>×</v>
      </c>
      <c r="E547" s="119" t="str">
        <f>IF(G161="","",G161)</f>
        <v/>
      </c>
      <c r="F547" s="120"/>
      <c r="G547" s="120"/>
      <c r="H547" s="113">
        <f t="shared" si="41"/>
        <v>0</v>
      </c>
      <c r="I547" s="113"/>
      <c r="J547" s="113"/>
      <c r="K547" s="314" t="str">
        <f t="shared" si="42"/>
        <v/>
      </c>
      <c r="L547" s="94"/>
      <c r="M547" s="94"/>
      <c r="N547" s="94"/>
      <c r="O547" s="94" t="str">
        <f>IF(K547="","",ROUND(K547/$X$557,6))</f>
        <v/>
      </c>
      <c r="P547" s="94"/>
      <c r="Q547" s="94"/>
      <c r="R547" s="94"/>
      <c r="S547" s="94"/>
      <c r="T547" s="94" t="str">
        <f t="shared" si="43"/>
        <v/>
      </c>
      <c r="U547" s="94"/>
      <c r="V547" s="94"/>
      <c r="W547" s="94"/>
      <c r="X547" s="333" t="str">
        <f>IF(T547="","",ROUND(T547*H547,4))</f>
        <v/>
      </c>
      <c r="Y547" s="333"/>
      <c r="Z547" s="333"/>
      <c r="AA547" s="333"/>
      <c r="AB547" s="334" t="str">
        <f>IF(X547="","",SUM(X$541:X547))</f>
        <v/>
      </c>
      <c r="AC547" s="334"/>
      <c r="AD547" s="334"/>
      <c r="AE547" s="335"/>
    </row>
    <row r="548" spans="1:58" s="1" customFormat="1" ht="15.75" customHeight="1" x14ac:dyDescent="0.15">
      <c r="A548" s="73" t="str">
        <f t="shared" si="40"/>
        <v>×</v>
      </c>
      <c r="E548" s="119" t="str">
        <f>IF(G162="","",G162)</f>
        <v/>
      </c>
      <c r="F548" s="120"/>
      <c r="G548" s="120"/>
      <c r="H548" s="113">
        <f t="shared" si="41"/>
        <v>0</v>
      </c>
      <c r="I548" s="113"/>
      <c r="J548" s="113"/>
      <c r="K548" s="314" t="str">
        <f t="shared" si="42"/>
        <v/>
      </c>
      <c r="L548" s="94"/>
      <c r="M548" s="94"/>
      <c r="N548" s="94"/>
      <c r="O548" s="94" t="str">
        <f>IF(K548="","",ROUND(K548/$X$557,6))</f>
        <v/>
      </c>
      <c r="P548" s="94"/>
      <c r="Q548" s="94"/>
      <c r="R548" s="94"/>
      <c r="S548" s="94"/>
      <c r="T548" s="94" t="str">
        <f t="shared" si="43"/>
        <v/>
      </c>
      <c r="U548" s="94"/>
      <c r="V548" s="94"/>
      <c r="W548" s="94"/>
      <c r="X548" s="333" t="str">
        <f>IF(T548="","",ROUND(T548*H548,4))</f>
        <v/>
      </c>
      <c r="Y548" s="333"/>
      <c r="Z548" s="333"/>
      <c r="AA548" s="333"/>
      <c r="AB548" s="334" t="str">
        <f>IF(X548="","",SUM(X$541:X548))</f>
        <v/>
      </c>
      <c r="AC548" s="334"/>
      <c r="AD548" s="334"/>
      <c r="AE548" s="335"/>
    </row>
    <row r="549" spans="1:58" s="1" customFormat="1" ht="15.75" customHeight="1" x14ac:dyDescent="0.15">
      <c r="A549" s="73" t="str">
        <f t="shared" si="40"/>
        <v>×</v>
      </c>
      <c r="E549" s="119" t="str">
        <f>IF(G163="","",G163)</f>
        <v/>
      </c>
      <c r="F549" s="120"/>
      <c r="G549" s="120"/>
      <c r="H549" s="113">
        <f t="shared" si="41"/>
        <v>0</v>
      </c>
      <c r="I549" s="113"/>
      <c r="J549" s="113"/>
      <c r="K549" s="314" t="str">
        <f t="shared" si="42"/>
        <v/>
      </c>
      <c r="L549" s="94"/>
      <c r="M549" s="94"/>
      <c r="N549" s="94"/>
      <c r="O549" s="94" t="str">
        <f>IF(K549="","",ROUND(K549/$X$557,6))</f>
        <v/>
      </c>
      <c r="P549" s="94"/>
      <c r="Q549" s="94"/>
      <c r="R549" s="94"/>
      <c r="S549" s="94"/>
      <c r="T549" s="94" t="str">
        <f t="shared" si="43"/>
        <v/>
      </c>
      <c r="U549" s="94"/>
      <c r="V549" s="94"/>
      <c r="W549" s="94"/>
      <c r="X549" s="333" t="str">
        <f>IF(T549="","",ROUND(T549*H549,4))</f>
        <v/>
      </c>
      <c r="Y549" s="333"/>
      <c r="Z549" s="333"/>
      <c r="AA549" s="333"/>
      <c r="AB549" s="334" t="str">
        <f>IF(X549="","",SUM(X$541:X549))</f>
        <v/>
      </c>
      <c r="AC549" s="334"/>
      <c r="AD549" s="334"/>
      <c r="AE549" s="335"/>
    </row>
    <row r="550" spans="1:58" s="1" customFormat="1" ht="15.75" customHeight="1" x14ac:dyDescent="0.15">
      <c r="A550" s="73" t="str">
        <f t="shared" si="40"/>
        <v>×</v>
      </c>
      <c r="E550" s="119" t="str">
        <f>IF(G164="","",G164)</f>
        <v/>
      </c>
      <c r="F550" s="120"/>
      <c r="G550" s="120"/>
      <c r="H550" s="113">
        <f t="shared" si="41"/>
        <v>0</v>
      </c>
      <c r="I550" s="113"/>
      <c r="J550" s="113"/>
      <c r="K550" s="314" t="str">
        <f t="shared" si="42"/>
        <v/>
      </c>
      <c r="L550" s="94"/>
      <c r="M550" s="94"/>
      <c r="N550" s="94"/>
      <c r="O550" s="94" t="str">
        <f>IF(K550="","",ROUND(K550/$X$557,6))</f>
        <v/>
      </c>
      <c r="P550" s="94"/>
      <c r="Q550" s="94"/>
      <c r="R550" s="94"/>
      <c r="S550" s="94"/>
      <c r="T550" s="94" t="str">
        <f t="shared" si="43"/>
        <v/>
      </c>
      <c r="U550" s="94"/>
      <c r="V550" s="94"/>
      <c r="W550" s="94"/>
      <c r="X550" s="333" t="str">
        <f>IF(T550="","",ROUND(T550*H550,4))</f>
        <v/>
      </c>
      <c r="Y550" s="333"/>
      <c r="Z550" s="333"/>
      <c r="AA550" s="333"/>
      <c r="AB550" s="334" t="str">
        <f>IF(X550="","",SUM(X$541:X550))</f>
        <v/>
      </c>
      <c r="AC550" s="334"/>
      <c r="AD550" s="334"/>
      <c r="AE550" s="335"/>
    </row>
    <row r="551" spans="1:58" s="1" customFormat="1" ht="15.75" customHeight="1" x14ac:dyDescent="0.15">
      <c r="A551" s="73" t="str">
        <f t="shared" si="40"/>
        <v>×</v>
      </c>
      <c r="E551" s="119" t="str">
        <f>IF(G165="","",G165)</f>
        <v/>
      </c>
      <c r="F551" s="120"/>
      <c r="G551" s="120"/>
      <c r="H551" s="113">
        <f t="shared" si="41"/>
        <v>0</v>
      </c>
      <c r="I551" s="113"/>
      <c r="J551" s="113"/>
      <c r="K551" s="314" t="str">
        <f t="shared" si="42"/>
        <v/>
      </c>
      <c r="L551" s="94"/>
      <c r="M551" s="94"/>
      <c r="N551" s="94"/>
      <c r="O551" s="94" t="str">
        <f>IF(K551="","",ROUND(K551/$X$557,6))</f>
        <v/>
      </c>
      <c r="P551" s="94"/>
      <c r="Q551" s="94"/>
      <c r="R551" s="94"/>
      <c r="S551" s="94"/>
      <c r="T551" s="94" t="str">
        <f t="shared" si="43"/>
        <v/>
      </c>
      <c r="U551" s="94"/>
      <c r="V551" s="94"/>
      <c r="W551" s="94"/>
      <c r="X551" s="333" t="str">
        <f>IF(T551="","",ROUND(T551*H551,4))</f>
        <v/>
      </c>
      <c r="Y551" s="333"/>
      <c r="Z551" s="333"/>
      <c r="AA551" s="333"/>
      <c r="AB551" s="334" t="str">
        <f>IF(X551="","",SUM(X$541:X551))</f>
        <v/>
      </c>
      <c r="AC551" s="334"/>
      <c r="AD551" s="334"/>
      <c r="AE551" s="335"/>
    </row>
    <row r="552" spans="1:58" s="1" customFormat="1" ht="15.75" customHeight="1" x14ac:dyDescent="0.15">
      <c r="A552" s="73" t="str">
        <f t="shared" si="40"/>
        <v>×</v>
      </c>
      <c r="E552" s="119" t="str">
        <f>IF(G166="","",G166)</f>
        <v/>
      </c>
      <c r="F552" s="120"/>
      <c r="G552" s="120"/>
      <c r="H552" s="113">
        <f t="shared" si="41"/>
        <v>0</v>
      </c>
      <c r="I552" s="113"/>
      <c r="J552" s="113"/>
      <c r="K552" s="314" t="str">
        <f t="shared" si="42"/>
        <v/>
      </c>
      <c r="L552" s="94"/>
      <c r="M552" s="94"/>
      <c r="N552" s="94"/>
      <c r="O552" s="94" t="str">
        <f>IF(K552="","",ROUND(K552/$X$557,6))</f>
        <v/>
      </c>
      <c r="P552" s="94"/>
      <c r="Q552" s="94"/>
      <c r="R552" s="94"/>
      <c r="S552" s="94"/>
      <c r="T552" s="94" t="str">
        <f t="shared" si="43"/>
        <v/>
      </c>
      <c r="U552" s="94"/>
      <c r="V552" s="94"/>
      <c r="W552" s="94"/>
      <c r="X552" s="333" t="str">
        <f>IF(T552="","",ROUND(T552*H552,4))</f>
        <v/>
      </c>
      <c r="Y552" s="333"/>
      <c r="Z552" s="333"/>
      <c r="AA552" s="333"/>
      <c r="AB552" s="334" t="str">
        <f>IF(X552="","",SUM(X$541:X552))</f>
        <v/>
      </c>
      <c r="AC552" s="334"/>
      <c r="AD552" s="334"/>
      <c r="AE552" s="335"/>
    </row>
    <row r="553" spans="1:58" s="1" customFormat="1" ht="15.75" customHeight="1" x14ac:dyDescent="0.15">
      <c r="A553" s="73" t="str">
        <f t="shared" si="40"/>
        <v>×</v>
      </c>
      <c r="E553" s="119" t="str">
        <f>IF(G167="","",G167)</f>
        <v/>
      </c>
      <c r="F553" s="120"/>
      <c r="G553" s="120"/>
      <c r="H553" s="113">
        <f t="shared" si="41"/>
        <v>0</v>
      </c>
      <c r="I553" s="113"/>
      <c r="J553" s="113"/>
      <c r="K553" s="314" t="str">
        <f t="shared" si="42"/>
        <v/>
      </c>
      <c r="L553" s="94"/>
      <c r="M553" s="94"/>
      <c r="N553" s="94"/>
      <c r="O553" s="94" t="str">
        <f>IF(K553="","",ROUND(K553/$X$557,6))</f>
        <v/>
      </c>
      <c r="P553" s="94"/>
      <c r="Q553" s="94"/>
      <c r="R553" s="94"/>
      <c r="S553" s="94"/>
      <c r="T553" s="94" t="str">
        <f t="shared" si="43"/>
        <v/>
      </c>
      <c r="U553" s="94"/>
      <c r="V553" s="94"/>
      <c r="W553" s="94"/>
      <c r="X553" s="333" t="str">
        <f>IF(T553="","",ROUND(T553*H553,4))</f>
        <v/>
      </c>
      <c r="Y553" s="333"/>
      <c r="Z553" s="333"/>
      <c r="AA553" s="333"/>
      <c r="AB553" s="334" t="str">
        <f>IF(X553="","",SUM(X$541:X553))</f>
        <v/>
      </c>
      <c r="AC553" s="334"/>
      <c r="AD553" s="334"/>
      <c r="AE553" s="335"/>
    </row>
    <row r="554" spans="1:58" s="1" customFormat="1" ht="15.75" customHeight="1" x14ac:dyDescent="0.15">
      <c r="A554" s="73" t="str">
        <f t="shared" si="40"/>
        <v>×</v>
      </c>
      <c r="E554" s="119" t="str">
        <f>IF(G168="","",G168)</f>
        <v/>
      </c>
      <c r="F554" s="120"/>
      <c r="G554" s="120"/>
      <c r="H554" s="113">
        <f t="shared" si="41"/>
        <v>0</v>
      </c>
      <c r="I554" s="113"/>
      <c r="J554" s="113"/>
      <c r="K554" s="314" t="str">
        <f t="shared" si="42"/>
        <v/>
      </c>
      <c r="L554" s="94"/>
      <c r="M554" s="94"/>
      <c r="N554" s="94"/>
      <c r="O554" s="94" t="str">
        <f>IF(K554="","",ROUND(K554/$X$557,6))</f>
        <v/>
      </c>
      <c r="P554" s="94"/>
      <c r="Q554" s="94"/>
      <c r="R554" s="94"/>
      <c r="S554" s="94"/>
      <c r="T554" s="94" t="str">
        <f t="shared" si="43"/>
        <v/>
      </c>
      <c r="U554" s="94"/>
      <c r="V554" s="94"/>
      <c r="W554" s="94"/>
      <c r="X554" s="333" t="str">
        <f>IF(T554="","",ROUND(T554*H554,4))</f>
        <v/>
      </c>
      <c r="Y554" s="333"/>
      <c r="Z554" s="333"/>
      <c r="AA554" s="333"/>
      <c r="AB554" s="334" t="str">
        <f>IF(X554="","",SUM(X$541:X554))</f>
        <v/>
      </c>
      <c r="AC554" s="334"/>
      <c r="AD554" s="334"/>
      <c r="AE554" s="335"/>
    </row>
    <row r="555" spans="1:58" s="1" customFormat="1" ht="15.75" customHeight="1" x14ac:dyDescent="0.15">
      <c r="A555" s="73" t="str">
        <f t="shared" si="40"/>
        <v>×</v>
      </c>
      <c r="E555" s="119" t="str">
        <f>IF(G169="","",G169)</f>
        <v/>
      </c>
      <c r="F555" s="120"/>
      <c r="G555" s="120"/>
      <c r="H555" s="113">
        <f t="shared" si="41"/>
        <v>0</v>
      </c>
      <c r="I555" s="113"/>
      <c r="J555" s="113"/>
      <c r="K555" s="314" t="str">
        <f t="shared" si="42"/>
        <v/>
      </c>
      <c r="L555" s="94"/>
      <c r="M555" s="94"/>
      <c r="N555" s="94"/>
      <c r="O555" s="94" t="str">
        <f>IF(K555="","",ROUND(K555/$X$557,6))</f>
        <v/>
      </c>
      <c r="P555" s="94"/>
      <c r="Q555" s="94"/>
      <c r="R555" s="94"/>
      <c r="S555" s="94"/>
      <c r="T555" s="94" t="str">
        <f t="shared" si="43"/>
        <v/>
      </c>
      <c r="U555" s="94"/>
      <c r="V555" s="94"/>
      <c r="W555" s="94"/>
      <c r="X555" s="333" t="str">
        <f>IF(T555="","",ROUND(T555*H555,4))</f>
        <v/>
      </c>
      <c r="Y555" s="333"/>
      <c r="Z555" s="333"/>
      <c r="AA555" s="333"/>
      <c r="AB555" s="334" t="str">
        <f>IF(X555="","",SUM(X$541:X555))</f>
        <v/>
      </c>
      <c r="AC555" s="334"/>
      <c r="AD555" s="334"/>
      <c r="AE555" s="335"/>
    </row>
    <row r="556" spans="1:58" s="1" customFormat="1" ht="15.75" customHeight="1" x14ac:dyDescent="0.15">
      <c r="A556" s="73" t="str">
        <f t="shared" si="40"/>
        <v>×</v>
      </c>
      <c r="E556" s="233" t="str">
        <f>IF(G170="","",G170)</f>
        <v/>
      </c>
      <c r="F556" s="234"/>
      <c r="G556" s="234"/>
      <c r="H556" s="116">
        <f t="shared" si="41"/>
        <v>0</v>
      </c>
      <c r="I556" s="116"/>
      <c r="J556" s="116"/>
      <c r="K556" s="319" t="str">
        <f t="shared" si="42"/>
        <v/>
      </c>
      <c r="L556" s="99"/>
      <c r="M556" s="99"/>
      <c r="N556" s="99"/>
      <c r="O556" s="99" t="str">
        <f>IF(K556="","",ROUND(K556/$X$557,6))</f>
        <v/>
      </c>
      <c r="P556" s="99"/>
      <c r="Q556" s="99"/>
      <c r="R556" s="99"/>
      <c r="S556" s="99"/>
      <c r="T556" s="99" t="str">
        <f t="shared" si="43"/>
        <v/>
      </c>
      <c r="U556" s="99"/>
      <c r="V556" s="99"/>
      <c r="W556" s="99"/>
      <c r="X556" s="338" t="str">
        <f>IF(T556="","",ROUND(T556*H556,4))</f>
        <v/>
      </c>
      <c r="Y556" s="338"/>
      <c r="Z556" s="338"/>
      <c r="AA556" s="338"/>
      <c r="AB556" s="339" t="str">
        <f>IF(X556="","",SUM(X$541:X556))</f>
        <v/>
      </c>
      <c r="AC556" s="339"/>
      <c r="AD556" s="339"/>
      <c r="AE556" s="340"/>
    </row>
    <row r="557" spans="1:58" ht="15.75" customHeight="1" x14ac:dyDescent="0.15">
      <c r="E557" s="76"/>
      <c r="S557" s="2" t="s">
        <v>127</v>
      </c>
      <c r="T557" s="76">
        <v>4</v>
      </c>
      <c r="U557" s="162" t="s">
        <v>149</v>
      </c>
      <c r="V557" s="162"/>
      <c r="W557" s="76" t="s">
        <v>27</v>
      </c>
      <c r="X557" s="341">
        <f>ROUND(4*AB440*AE440^AF440*AD441,0)</f>
        <v>4398464</v>
      </c>
      <c r="Y557" s="341"/>
      <c r="Z557" s="341"/>
      <c r="AA557" s="341"/>
      <c r="AB557" s="341"/>
      <c r="AC557" s="148" t="s">
        <v>166</v>
      </c>
      <c r="AD557" s="148"/>
      <c r="AE557" s="76" t="s">
        <v>158</v>
      </c>
      <c r="AJ557" s="379"/>
      <c r="AK557" s="379"/>
      <c r="AL557" s="379"/>
      <c r="AM557" s="379"/>
      <c r="BC557" s="76"/>
      <c r="BD557" s="76"/>
      <c r="BE557" s="76"/>
      <c r="BF557" s="76"/>
    </row>
    <row r="558" spans="1:58" ht="15.75" customHeight="1" x14ac:dyDescent="0.15">
      <c r="E558" s="76"/>
      <c r="S558" s="2"/>
      <c r="X558" s="342"/>
      <c r="Y558" s="342"/>
      <c r="Z558" s="342"/>
      <c r="AA558" s="342"/>
      <c r="AB558" s="342"/>
      <c r="AC558" s="78"/>
      <c r="AD558" s="78"/>
      <c r="AJ558" s="379"/>
      <c r="AK558" s="379"/>
      <c r="AL558" s="379"/>
      <c r="AM558" s="379"/>
      <c r="BC558" s="76"/>
      <c r="BD558" s="76"/>
      <c r="BE558" s="76"/>
      <c r="BF558" s="76"/>
    </row>
    <row r="559" spans="1:58" ht="15.75" customHeight="1" x14ac:dyDescent="0.15">
      <c r="E559" s="307" t="s">
        <v>541</v>
      </c>
      <c r="S559" s="2"/>
      <c r="X559" s="342"/>
      <c r="Y559" s="342"/>
      <c r="Z559" s="342"/>
      <c r="AA559" s="342"/>
      <c r="AB559" s="342"/>
      <c r="AC559" s="78"/>
      <c r="AD559" s="78"/>
      <c r="AJ559" s="379"/>
      <c r="AK559" s="379"/>
      <c r="AL559" s="379"/>
      <c r="AM559" s="379"/>
      <c r="BC559" s="76"/>
      <c r="BD559" s="76"/>
      <c r="BE559" s="76"/>
      <c r="BF559" s="76"/>
    </row>
    <row r="560" spans="1:58" ht="15.75" customHeight="1" x14ac:dyDescent="0.15">
      <c r="E560" s="162" t="s">
        <v>542</v>
      </c>
      <c r="F560" s="162"/>
      <c r="G560" s="76" t="s">
        <v>543</v>
      </c>
      <c r="H560" s="402">
        <v>3.5399999618530273</v>
      </c>
      <c r="I560" s="402"/>
      <c r="J560" s="402"/>
      <c r="K560" s="76" t="s">
        <v>544</v>
      </c>
      <c r="S560" s="2"/>
      <c r="X560" s="342"/>
      <c r="Y560" s="342"/>
      <c r="Z560" s="342"/>
      <c r="AA560" s="342"/>
      <c r="AB560" s="342"/>
      <c r="AC560" s="78"/>
      <c r="AD560" s="78"/>
      <c r="AJ560" s="379"/>
      <c r="AK560" s="379"/>
      <c r="AL560" s="379"/>
      <c r="AM560" s="379"/>
      <c r="BC560" s="76"/>
      <c r="BD560" s="76"/>
      <c r="BE560" s="76"/>
      <c r="BF560" s="76"/>
    </row>
    <row r="561" spans="1:58" s="289" customFormat="1" ht="15.75" customHeight="1" x14ac:dyDescent="0.15">
      <c r="C561" s="343"/>
      <c r="H561" s="403"/>
      <c r="I561" s="403"/>
      <c r="J561" s="403"/>
      <c r="S561" s="344"/>
      <c r="X561" s="345"/>
      <c r="Y561" s="345"/>
      <c r="Z561" s="345"/>
      <c r="AA561" s="345"/>
      <c r="AB561" s="345"/>
      <c r="AC561" s="346"/>
      <c r="AD561" s="346"/>
      <c r="AJ561" s="404"/>
      <c r="AK561" s="404"/>
      <c r="AL561" s="404"/>
      <c r="AM561" s="404"/>
      <c r="AN561" s="404"/>
      <c r="AO561" s="404"/>
      <c r="AP561" s="404"/>
      <c r="AQ561" s="404"/>
      <c r="AR561" s="404"/>
      <c r="AS561" s="404"/>
      <c r="AT561" s="404"/>
      <c r="AU561" s="404"/>
      <c r="AV561" s="404"/>
      <c r="AW561" s="404"/>
      <c r="AX561" s="404"/>
      <c r="AY561" s="404"/>
      <c r="AZ561" s="404"/>
      <c r="BA561" s="404"/>
      <c r="BB561" s="404"/>
    </row>
    <row r="562" spans="1:58" ht="15.75" customHeight="1" x14ac:dyDescent="0.15">
      <c r="E562" s="76"/>
      <c r="AJ562" s="379"/>
      <c r="AK562" s="379"/>
      <c r="AL562" s="379"/>
      <c r="AM562" s="379"/>
      <c r="BC562" s="76"/>
      <c r="BD562" s="76"/>
      <c r="BE562" s="76"/>
      <c r="BF562" s="76"/>
    </row>
    <row r="563" spans="1:58" ht="15.75" hidden="1" customHeight="1" x14ac:dyDescent="0.15">
      <c r="AJ563" s="379"/>
      <c r="AK563" s="379"/>
      <c r="AL563" s="379"/>
      <c r="AM563" s="379"/>
      <c r="BC563" s="76"/>
      <c r="BD563" s="76"/>
      <c r="BE563" s="76"/>
      <c r="BF563" s="76"/>
    </row>
    <row r="564" spans="1:58" s="1" customFormat="1" ht="15.75" hidden="1" customHeight="1" x14ac:dyDescent="0.15">
      <c r="F564" s="1" t="s">
        <v>194</v>
      </c>
    </row>
    <row r="565" spans="1:58" s="1" customFormat="1" ht="15.75" hidden="1" customHeight="1" x14ac:dyDescent="0.15">
      <c r="F565" s="1" t="s">
        <v>169</v>
      </c>
    </row>
    <row r="566" spans="1:58" s="1" customFormat="1" ht="15.75" hidden="1" customHeight="1" x14ac:dyDescent="0.15">
      <c r="Y566" s="148" t="s">
        <v>197</v>
      </c>
      <c r="Z566" s="148"/>
      <c r="AA566" s="148"/>
      <c r="AB566" s="148"/>
    </row>
    <row r="567" spans="1:58" s="1" customFormat="1" ht="15.75" hidden="1" customHeight="1" x14ac:dyDescent="0.15">
      <c r="F567" s="2" t="s">
        <v>188</v>
      </c>
      <c r="G567" s="76" t="s">
        <v>27</v>
      </c>
      <c r="H567" s="1" t="s">
        <v>189</v>
      </c>
      <c r="K567" s="76" t="s">
        <v>191</v>
      </c>
      <c r="L567" s="347">
        <f>X541</f>
        <v>0.82320000000000004</v>
      </c>
      <c r="M567" s="162"/>
      <c r="N567" s="162"/>
      <c r="O567" s="1" t="s">
        <v>192</v>
      </c>
      <c r="P567" s="1" t="s">
        <v>193</v>
      </c>
      <c r="Q567" s="347" t="e">
        <f>#REF!</f>
        <v>#REF!</v>
      </c>
      <c r="R567" s="162"/>
      <c r="S567" s="162"/>
      <c r="T567" s="76" t="s">
        <v>27</v>
      </c>
      <c r="U567" s="304" t="e">
        <f>(#REF!-L567)/Q567</f>
        <v>#REF!</v>
      </c>
      <c r="V567" s="304"/>
      <c r="W567" s="348" t="s">
        <v>196</v>
      </c>
      <c r="Z567" s="304" t="e">
        <f>#REF!</f>
        <v>#REF!</v>
      </c>
      <c r="AA567" s="304"/>
      <c r="AB567" s="348" t="s">
        <v>195</v>
      </c>
    </row>
    <row r="568" spans="1:58" s="1" customFormat="1" ht="15.75" hidden="1" customHeight="1" x14ac:dyDescent="0.15"/>
    <row r="569" spans="1:58" s="1" customFormat="1" ht="15.75" hidden="1" customHeight="1" x14ac:dyDescent="0.15">
      <c r="F569" s="1" t="s">
        <v>198</v>
      </c>
    </row>
    <row r="570" spans="1:58" s="1" customFormat="1" ht="15.75" hidden="1" customHeight="1" x14ac:dyDescent="0.15"/>
    <row r="571" spans="1:58" s="1" customFormat="1" ht="15.75" hidden="1" customHeight="1" x14ac:dyDescent="0.15">
      <c r="F571" s="2" t="s">
        <v>199</v>
      </c>
      <c r="G571" s="76" t="s">
        <v>27</v>
      </c>
      <c r="H571" s="2" t="s">
        <v>200</v>
      </c>
      <c r="I571" s="76" t="s">
        <v>6</v>
      </c>
      <c r="J571" s="2" t="s">
        <v>188</v>
      </c>
      <c r="K571" s="304" t="e">
        <f>U567</f>
        <v>#REF!</v>
      </c>
      <c r="L571" s="304"/>
      <c r="M571" s="76" t="s">
        <v>27</v>
      </c>
      <c r="N571" s="304" t="e">
        <f>#REF!+K571</f>
        <v>#REF!</v>
      </c>
      <c r="O571" s="304"/>
      <c r="P571" s="348" t="s">
        <v>195</v>
      </c>
    </row>
    <row r="572" spans="1:58" s="1" customFormat="1" ht="15.75" customHeight="1" x14ac:dyDescent="0.15">
      <c r="A572" s="73" t="str">
        <f>IF(A$289="","","×")</f>
        <v>×</v>
      </c>
      <c r="E572" s="64" t="s">
        <v>594</v>
      </c>
      <c r="F572" s="64"/>
      <c r="G572" s="64"/>
      <c r="H572" s="64"/>
      <c r="I572" s="64"/>
      <c r="J572" s="64"/>
      <c r="K572" s="64"/>
      <c r="L572" s="64"/>
      <c r="M572" s="64"/>
      <c r="N572" s="64"/>
      <c r="O572" s="64"/>
      <c r="P572" s="64"/>
      <c r="Q572" s="64"/>
      <c r="R572" s="64"/>
      <c r="S572" s="64"/>
      <c r="T572" s="64"/>
      <c r="U572" s="64"/>
      <c r="V572" s="64"/>
      <c r="W572" s="64"/>
      <c r="X572" s="64"/>
      <c r="Y572" s="64"/>
      <c r="Z572" s="64"/>
      <c r="AA572" s="64"/>
      <c r="AB572" s="64"/>
      <c r="AC572" s="64"/>
      <c r="AD572" s="64"/>
      <c r="AE572" s="64"/>
    </row>
    <row r="573" spans="1:58" s="1" customFormat="1" ht="15.75" customHeight="1" x14ac:dyDescent="0.15">
      <c r="A573" s="73" t="str">
        <f>IF(A$289="","","×")</f>
        <v>×</v>
      </c>
      <c r="E573" s="126" t="s">
        <v>78</v>
      </c>
      <c r="F573" s="105"/>
      <c r="G573" s="105"/>
      <c r="H573" s="134" t="s">
        <v>159</v>
      </c>
      <c r="I573" s="135"/>
      <c r="J573" s="135"/>
      <c r="K573" s="105" t="s">
        <v>160</v>
      </c>
      <c r="L573" s="105"/>
      <c r="M573" s="105"/>
      <c r="N573" s="105"/>
      <c r="O573" s="105" t="s">
        <v>164</v>
      </c>
      <c r="P573" s="105"/>
      <c r="Q573" s="105"/>
      <c r="R573" s="105"/>
      <c r="S573" s="105"/>
      <c r="T573" s="105" t="s">
        <v>161</v>
      </c>
      <c r="U573" s="105"/>
      <c r="V573" s="105"/>
      <c r="W573" s="105"/>
      <c r="X573" s="105" t="s">
        <v>162</v>
      </c>
      <c r="Y573" s="105"/>
      <c r="Z573" s="105"/>
      <c r="AA573" s="105"/>
      <c r="AB573" s="105" t="s">
        <v>163</v>
      </c>
      <c r="AC573" s="105"/>
      <c r="AD573" s="105"/>
      <c r="AE573" s="129"/>
    </row>
    <row r="574" spans="1:58" s="1" customFormat="1" ht="15.75" customHeight="1" x14ac:dyDescent="0.15">
      <c r="A574" s="73" t="str">
        <f>IF(A$289="","","×")</f>
        <v>×</v>
      </c>
      <c r="E574" s="128"/>
      <c r="F574" s="106"/>
      <c r="G574" s="106"/>
      <c r="H574" s="121"/>
      <c r="I574" s="121"/>
      <c r="J574" s="121"/>
      <c r="K574" s="106"/>
      <c r="L574" s="106"/>
      <c r="M574" s="106"/>
      <c r="N574" s="106"/>
      <c r="O574" s="106"/>
      <c r="P574" s="106"/>
      <c r="Q574" s="106"/>
      <c r="R574" s="106"/>
      <c r="S574" s="106"/>
      <c r="T574" s="106"/>
      <c r="U574" s="106"/>
      <c r="V574" s="106"/>
      <c r="W574" s="106"/>
      <c r="X574" s="106"/>
      <c r="Y574" s="106"/>
      <c r="Z574" s="106"/>
      <c r="AA574" s="106"/>
      <c r="AB574" s="106"/>
      <c r="AC574" s="106"/>
      <c r="AD574" s="106"/>
      <c r="AE574" s="124"/>
    </row>
    <row r="575" spans="1:58" s="1" customFormat="1" ht="15.75" customHeight="1" x14ac:dyDescent="0.15">
      <c r="A575" s="73" t="str">
        <f>IF(A$289="×","×",IF(E575="","×",""))</f>
        <v>×</v>
      </c>
      <c r="E575" s="117">
        <f>E541</f>
        <v>3</v>
      </c>
      <c r="F575" s="118"/>
      <c r="G575" s="118"/>
      <c r="H575" s="220">
        <f>H541</f>
        <v>3</v>
      </c>
      <c r="I575" s="220"/>
      <c r="J575" s="220"/>
      <c r="K575" s="350">
        <f>Z294</f>
        <v>24950</v>
      </c>
      <c r="L575" s="118"/>
      <c r="M575" s="118"/>
      <c r="N575" s="118"/>
      <c r="O575" s="118">
        <f>IF(K575="","",ROUND(K575/$X$591,6))</f>
        <v>5.672E-3</v>
      </c>
      <c r="P575" s="118"/>
      <c r="Q575" s="118"/>
      <c r="R575" s="118"/>
      <c r="S575" s="118"/>
      <c r="T575" s="118">
        <f>IF(O575="","",ROUND(O575^0.25,4))</f>
        <v>0.27439999999999998</v>
      </c>
      <c r="U575" s="118"/>
      <c r="V575" s="118"/>
      <c r="W575" s="118"/>
      <c r="X575" s="405">
        <f>IF(T575="","",ROUND(T575*H575,4))</f>
        <v>0.82320000000000004</v>
      </c>
      <c r="Y575" s="405"/>
      <c r="Z575" s="405"/>
      <c r="AA575" s="405"/>
      <c r="AB575" s="331">
        <f>IF(X575="","",SUM(X$575:X575))</f>
        <v>0.82320000000000004</v>
      </c>
      <c r="AC575" s="331"/>
      <c r="AD575" s="331"/>
      <c r="AE575" s="332"/>
    </row>
    <row r="576" spans="1:58" s="1" customFormat="1" ht="15.75" customHeight="1" x14ac:dyDescent="0.15">
      <c r="A576" s="73" t="str">
        <f t="shared" ref="A576:A590" si="44">IF(A$289="×","×",IF(E576="","×",""))</f>
        <v>×</v>
      </c>
      <c r="E576" s="111">
        <f>E542</f>
        <v>4</v>
      </c>
      <c r="F576" s="112"/>
      <c r="G576" s="112"/>
      <c r="H576" s="406">
        <f t="shared" ref="H576:H590" si="45">H542</f>
        <v>5</v>
      </c>
      <c r="I576" s="406"/>
      <c r="J576" s="406"/>
      <c r="K576" s="354">
        <f>Z295</f>
        <v>51260</v>
      </c>
      <c r="L576" s="120"/>
      <c r="M576" s="120"/>
      <c r="N576" s="120"/>
      <c r="O576" s="120">
        <f>IF(K576="","",ROUND(K576/$X$591,6))</f>
        <v>1.1653999999999999E-2</v>
      </c>
      <c r="P576" s="120"/>
      <c r="Q576" s="120"/>
      <c r="R576" s="120"/>
      <c r="S576" s="120"/>
      <c r="T576" s="120">
        <f t="shared" ref="T576:T590" si="46">IF(O576="","",ROUND(O576^0.25,4))</f>
        <v>0.3286</v>
      </c>
      <c r="U576" s="120"/>
      <c r="V576" s="120"/>
      <c r="W576" s="120"/>
      <c r="X576" s="408">
        <f>IF(T576="","",ROUND(T576*H576,4))</f>
        <v>1.643</v>
      </c>
      <c r="Y576" s="408"/>
      <c r="Z576" s="408"/>
      <c r="AA576" s="408"/>
      <c r="AB576" s="334">
        <f>IF(X576="","",SUM(X$575:X576))</f>
        <v>2.4662000000000002</v>
      </c>
      <c r="AC576" s="334"/>
      <c r="AD576" s="334"/>
      <c r="AE576" s="335"/>
    </row>
    <row r="577" spans="1:58" s="1" customFormat="1" ht="15.75" customHeight="1" x14ac:dyDescent="0.15">
      <c r="A577" s="73" t="str">
        <f t="shared" si="44"/>
        <v>×</v>
      </c>
      <c r="E577" s="111">
        <f>E543</f>
        <v>5</v>
      </c>
      <c r="F577" s="112"/>
      <c r="G577" s="112"/>
      <c r="H577" s="406">
        <f t="shared" si="45"/>
        <v>8</v>
      </c>
      <c r="I577" s="406"/>
      <c r="J577" s="406"/>
      <c r="K577" s="354">
        <f>Z296</f>
        <v>58330</v>
      </c>
      <c r="L577" s="120"/>
      <c r="M577" s="120"/>
      <c r="N577" s="120"/>
      <c r="O577" s="120">
        <f>IF(K577="","",ROUND(K577/$X$591,6))</f>
        <v>1.3261E-2</v>
      </c>
      <c r="P577" s="120"/>
      <c r="Q577" s="120"/>
      <c r="R577" s="120"/>
      <c r="S577" s="120"/>
      <c r="T577" s="120">
        <f t="shared" si="46"/>
        <v>0.33929999999999999</v>
      </c>
      <c r="U577" s="120"/>
      <c r="V577" s="120"/>
      <c r="W577" s="120"/>
      <c r="X577" s="408">
        <f>IF(T577="","",ROUND(T577*H577,4))</f>
        <v>2.7143999999999999</v>
      </c>
      <c r="Y577" s="408"/>
      <c r="Z577" s="408"/>
      <c r="AA577" s="408"/>
      <c r="AB577" s="334">
        <f>IF(X577="","",SUM(X$575:X577))</f>
        <v>5.1806000000000001</v>
      </c>
      <c r="AC577" s="334"/>
      <c r="AD577" s="334"/>
      <c r="AE577" s="335"/>
    </row>
    <row r="578" spans="1:58" s="1" customFormat="1" ht="15.75" customHeight="1" x14ac:dyDescent="0.15">
      <c r="A578" s="73" t="str">
        <f t="shared" si="44"/>
        <v>×</v>
      </c>
      <c r="E578" s="111">
        <f>E544</f>
        <v>6</v>
      </c>
      <c r="F578" s="112"/>
      <c r="G578" s="112"/>
      <c r="H578" s="406">
        <f t="shared" si="45"/>
        <v>4.5</v>
      </c>
      <c r="I578" s="406"/>
      <c r="J578" s="406"/>
      <c r="K578" s="354">
        <f>Z297</f>
        <v>83180</v>
      </c>
      <c r="L578" s="120"/>
      <c r="M578" s="120"/>
      <c r="N578" s="120"/>
      <c r="O578" s="120">
        <f>IF(K578="","",ROUND(K578/$X$591,6))</f>
        <v>1.8911000000000001E-2</v>
      </c>
      <c r="P578" s="120"/>
      <c r="Q578" s="120"/>
      <c r="R578" s="120"/>
      <c r="S578" s="120"/>
      <c r="T578" s="120">
        <f t="shared" si="46"/>
        <v>0.37080000000000002</v>
      </c>
      <c r="U578" s="120"/>
      <c r="V578" s="120"/>
      <c r="W578" s="120"/>
      <c r="X578" s="408">
        <f>IF(T578="","",ROUND(T578*H578,4))</f>
        <v>1.6686000000000001</v>
      </c>
      <c r="Y578" s="408"/>
      <c r="Z578" s="408"/>
      <c r="AA578" s="408"/>
      <c r="AB578" s="334">
        <f>IF(X578="","",SUM(X$575:X578))</f>
        <v>6.8491999999999997</v>
      </c>
      <c r="AC578" s="334"/>
      <c r="AD578" s="334"/>
      <c r="AE578" s="335"/>
    </row>
    <row r="579" spans="1:58" s="1" customFormat="1" ht="15.75" customHeight="1" x14ac:dyDescent="0.15">
      <c r="A579" s="73" t="str">
        <f t="shared" si="44"/>
        <v>×</v>
      </c>
      <c r="E579" s="111">
        <f>E545</f>
        <v>7</v>
      </c>
      <c r="F579" s="112"/>
      <c r="G579" s="112"/>
      <c r="H579" s="406">
        <f t="shared" si="45"/>
        <v>0.5</v>
      </c>
      <c r="I579" s="406"/>
      <c r="J579" s="406"/>
      <c r="K579" s="354">
        <f>Z298</f>
        <v>164340</v>
      </c>
      <c r="L579" s="120"/>
      <c r="M579" s="120"/>
      <c r="N579" s="120"/>
      <c r="O579" s="120">
        <f>IF(K579="","",ROUND(K579/$X$591,6))</f>
        <v>3.7363E-2</v>
      </c>
      <c r="P579" s="120"/>
      <c r="Q579" s="120"/>
      <c r="R579" s="120"/>
      <c r="S579" s="120"/>
      <c r="T579" s="120">
        <f t="shared" si="46"/>
        <v>0.43969999999999998</v>
      </c>
      <c r="U579" s="120"/>
      <c r="V579" s="120"/>
      <c r="W579" s="120"/>
      <c r="X579" s="408">
        <f>IF(T579="","",ROUND(T579*H579,4))</f>
        <v>0.21990000000000001</v>
      </c>
      <c r="Y579" s="408"/>
      <c r="Z579" s="408"/>
      <c r="AA579" s="408"/>
      <c r="AB579" s="334">
        <f>IF(X579="","",SUM(X$575:X579))</f>
        <v>7.0690999999999997</v>
      </c>
      <c r="AC579" s="334"/>
      <c r="AD579" s="334"/>
      <c r="AE579" s="335"/>
    </row>
    <row r="580" spans="1:58" s="1" customFormat="1" ht="15.75" customHeight="1" x14ac:dyDescent="0.15">
      <c r="A580" s="73" t="str">
        <f t="shared" si="44"/>
        <v>×</v>
      </c>
      <c r="E580" s="111" t="str">
        <f>E546</f>
        <v/>
      </c>
      <c r="F580" s="112"/>
      <c r="G580" s="112"/>
      <c r="H580" s="406">
        <f t="shared" si="45"/>
        <v>0</v>
      </c>
      <c r="I580" s="406"/>
      <c r="J580" s="406"/>
      <c r="K580" s="354" t="str">
        <f>Z299</f>
        <v/>
      </c>
      <c r="L580" s="120"/>
      <c r="M580" s="120"/>
      <c r="N580" s="120"/>
      <c r="O580" s="120" t="str">
        <f>IF(K580="","",ROUND(K580/$X$591,6))</f>
        <v/>
      </c>
      <c r="P580" s="120"/>
      <c r="Q580" s="120"/>
      <c r="R580" s="120"/>
      <c r="S580" s="120"/>
      <c r="T580" s="120" t="str">
        <f t="shared" si="46"/>
        <v/>
      </c>
      <c r="U580" s="120"/>
      <c r="V580" s="120"/>
      <c r="W580" s="120"/>
      <c r="X580" s="408" t="str">
        <f>IF(T580="","",ROUND(T580*H580,4))</f>
        <v/>
      </c>
      <c r="Y580" s="408"/>
      <c r="Z580" s="408"/>
      <c r="AA580" s="408"/>
      <c r="AB580" s="334" t="str">
        <f>IF(X580="","",SUM(X$575:X580))</f>
        <v/>
      </c>
      <c r="AC580" s="334"/>
      <c r="AD580" s="334"/>
      <c r="AE580" s="335"/>
    </row>
    <row r="581" spans="1:58" s="1" customFormat="1" ht="15.75" customHeight="1" x14ac:dyDescent="0.15">
      <c r="A581" s="73" t="str">
        <f t="shared" si="44"/>
        <v>×</v>
      </c>
      <c r="E581" s="111" t="str">
        <f>E547</f>
        <v/>
      </c>
      <c r="F581" s="112"/>
      <c r="G581" s="112"/>
      <c r="H581" s="406">
        <f t="shared" si="45"/>
        <v>0</v>
      </c>
      <c r="I581" s="406"/>
      <c r="J581" s="406"/>
      <c r="K581" s="354" t="str">
        <f>Z300</f>
        <v/>
      </c>
      <c r="L581" s="120"/>
      <c r="M581" s="120"/>
      <c r="N581" s="120"/>
      <c r="O581" s="120" t="str">
        <f>IF(K581="","",ROUND(K581/$X$591,6))</f>
        <v/>
      </c>
      <c r="P581" s="120"/>
      <c r="Q581" s="120"/>
      <c r="R581" s="120"/>
      <c r="S581" s="120"/>
      <c r="T581" s="120" t="str">
        <f t="shared" si="46"/>
        <v/>
      </c>
      <c r="U581" s="120"/>
      <c r="V581" s="120"/>
      <c r="W581" s="120"/>
      <c r="X581" s="408" t="str">
        <f>IF(T581="","",ROUND(T581*H581,4))</f>
        <v/>
      </c>
      <c r="Y581" s="408"/>
      <c r="Z581" s="408"/>
      <c r="AA581" s="408"/>
      <c r="AB581" s="334" t="str">
        <f>IF(X581="","",SUM(X$575:X581))</f>
        <v/>
      </c>
      <c r="AC581" s="334"/>
      <c r="AD581" s="334"/>
      <c r="AE581" s="335"/>
    </row>
    <row r="582" spans="1:58" s="1" customFormat="1" ht="15.75" customHeight="1" x14ac:dyDescent="0.15">
      <c r="A582" s="73" t="str">
        <f t="shared" si="44"/>
        <v>×</v>
      </c>
      <c r="E582" s="111" t="str">
        <f>E548</f>
        <v/>
      </c>
      <c r="F582" s="112"/>
      <c r="G582" s="112"/>
      <c r="H582" s="406">
        <f t="shared" si="45"/>
        <v>0</v>
      </c>
      <c r="I582" s="406"/>
      <c r="J582" s="406"/>
      <c r="K582" s="354" t="str">
        <f>Z301</f>
        <v/>
      </c>
      <c r="L582" s="120"/>
      <c r="M582" s="120"/>
      <c r="N582" s="120"/>
      <c r="O582" s="120" t="str">
        <f>IF(K582="","",ROUND(K582/$X$591,6))</f>
        <v/>
      </c>
      <c r="P582" s="120"/>
      <c r="Q582" s="120"/>
      <c r="R582" s="120"/>
      <c r="S582" s="120"/>
      <c r="T582" s="120" t="str">
        <f t="shared" si="46"/>
        <v/>
      </c>
      <c r="U582" s="120"/>
      <c r="V582" s="120"/>
      <c r="W582" s="120"/>
      <c r="X582" s="408" t="str">
        <f>IF(T582="","",ROUND(T582*H582,4))</f>
        <v/>
      </c>
      <c r="Y582" s="408"/>
      <c r="Z582" s="408"/>
      <c r="AA582" s="408"/>
      <c r="AB582" s="334" t="str">
        <f>IF(X582="","",SUM(X$575:X582))</f>
        <v/>
      </c>
      <c r="AC582" s="334"/>
      <c r="AD582" s="334"/>
      <c r="AE582" s="335"/>
    </row>
    <row r="583" spans="1:58" s="1" customFormat="1" ht="15.75" customHeight="1" x14ac:dyDescent="0.15">
      <c r="A583" s="73" t="str">
        <f t="shared" si="44"/>
        <v>×</v>
      </c>
      <c r="E583" s="111" t="str">
        <f>E549</f>
        <v/>
      </c>
      <c r="F583" s="112"/>
      <c r="G583" s="112"/>
      <c r="H583" s="406">
        <f t="shared" si="45"/>
        <v>0</v>
      </c>
      <c r="I583" s="406"/>
      <c r="J583" s="406"/>
      <c r="K583" s="354" t="str">
        <f>Z302</f>
        <v/>
      </c>
      <c r="L583" s="120"/>
      <c r="M583" s="120"/>
      <c r="N583" s="120"/>
      <c r="O583" s="120" t="str">
        <f>IF(K583="","",ROUND(K583/$X$591,6))</f>
        <v/>
      </c>
      <c r="P583" s="120"/>
      <c r="Q583" s="120"/>
      <c r="R583" s="120"/>
      <c r="S583" s="120"/>
      <c r="T583" s="120" t="str">
        <f t="shared" si="46"/>
        <v/>
      </c>
      <c r="U583" s="120"/>
      <c r="V583" s="120"/>
      <c r="W583" s="120"/>
      <c r="X583" s="408" t="str">
        <f>IF(T583="","",ROUND(T583*H583,4))</f>
        <v/>
      </c>
      <c r="Y583" s="408"/>
      <c r="Z583" s="408"/>
      <c r="AA583" s="408"/>
      <c r="AB583" s="334" t="str">
        <f>IF(X583="","",SUM(X$575:X583))</f>
        <v/>
      </c>
      <c r="AC583" s="334"/>
      <c r="AD583" s="334"/>
      <c r="AE583" s="335"/>
    </row>
    <row r="584" spans="1:58" s="1" customFormat="1" ht="15.75" customHeight="1" x14ac:dyDescent="0.15">
      <c r="A584" s="73" t="str">
        <f t="shared" si="44"/>
        <v>×</v>
      </c>
      <c r="E584" s="111" t="str">
        <f>E550</f>
        <v/>
      </c>
      <c r="F584" s="112"/>
      <c r="G584" s="112"/>
      <c r="H584" s="406">
        <f t="shared" si="45"/>
        <v>0</v>
      </c>
      <c r="I584" s="406"/>
      <c r="J584" s="406"/>
      <c r="K584" s="354" t="str">
        <f>Z303</f>
        <v/>
      </c>
      <c r="L584" s="120"/>
      <c r="M584" s="120"/>
      <c r="N584" s="120"/>
      <c r="O584" s="120" t="str">
        <f>IF(K584="","",ROUND(K584/$X$591,6))</f>
        <v/>
      </c>
      <c r="P584" s="120"/>
      <c r="Q584" s="120"/>
      <c r="R584" s="120"/>
      <c r="S584" s="120"/>
      <c r="T584" s="120" t="str">
        <f t="shared" si="46"/>
        <v/>
      </c>
      <c r="U584" s="120"/>
      <c r="V584" s="120"/>
      <c r="W584" s="120"/>
      <c r="X584" s="408" t="str">
        <f>IF(T584="","",ROUND(T584*H584,4))</f>
        <v/>
      </c>
      <c r="Y584" s="408"/>
      <c r="Z584" s="408"/>
      <c r="AA584" s="408"/>
      <c r="AB584" s="334" t="str">
        <f>IF(X584="","",SUM(X$575:X584))</f>
        <v/>
      </c>
      <c r="AC584" s="334"/>
      <c r="AD584" s="334"/>
      <c r="AE584" s="335"/>
    </row>
    <row r="585" spans="1:58" s="1" customFormat="1" ht="15.75" customHeight="1" x14ac:dyDescent="0.15">
      <c r="A585" s="73" t="str">
        <f t="shared" si="44"/>
        <v>×</v>
      </c>
      <c r="E585" s="111" t="str">
        <f>E551</f>
        <v/>
      </c>
      <c r="F585" s="112"/>
      <c r="G585" s="112"/>
      <c r="H585" s="406">
        <f t="shared" si="45"/>
        <v>0</v>
      </c>
      <c r="I585" s="406"/>
      <c r="J585" s="406"/>
      <c r="K585" s="354" t="str">
        <f>Z304</f>
        <v/>
      </c>
      <c r="L585" s="120"/>
      <c r="M585" s="120"/>
      <c r="N585" s="120"/>
      <c r="O585" s="120" t="str">
        <f>IF(K585="","",ROUND(K585/$X$591,6))</f>
        <v/>
      </c>
      <c r="P585" s="120"/>
      <c r="Q585" s="120"/>
      <c r="R585" s="120"/>
      <c r="S585" s="120"/>
      <c r="T585" s="120" t="str">
        <f t="shared" si="46"/>
        <v/>
      </c>
      <c r="U585" s="120"/>
      <c r="V585" s="120"/>
      <c r="W585" s="120"/>
      <c r="X585" s="408" t="str">
        <f>IF(T585="","",ROUND(T585*H585,4))</f>
        <v/>
      </c>
      <c r="Y585" s="408"/>
      <c r="Z585" s="408"/>
      <c r="AA585" s="408"/>
      <c r="AB585" s="334" t="str">
        <f>IF(X585="","",SUM(X$575:X585))</f>
        <v/>
      </c>
      <c r="AC585" s="334"/>
      <c r="AD585" s="334"/>
      <c r="AE585" s="335"/>
    </row>
    <row r="586" spans="1:58" s="1" customFormat="1" ht="15.75" customHeight="1" x14ac:dyDescent="0.15">
      <c r="A586" s="73" t="str">
        <f t="shared" si="44"/>
        <v>×</v>
      </c>
      <c r="E586" s="111" t="str">
        <f>E552</f>
        <v/>
      </c>
      <c r="F586" s="112"/>
      <c r="G586" s="112"/>
      <c r="H586" s="406">
        <f t="shared" si="45"/>
        <v>0</v>
      </c>
      <c r="I586" s="406"/>
      <c r="J586" s="406"/>
      <c r="K586" s="354" t="str">
        <f>Z305</f>
        <v/>
      </c>
      <c r="L586" s="120"/>
      <c r="M586" s="120"/>
      <c r="N586" s="120"/>
      <c r="O586" s="120" t="str">
        <f>IF(K586="","",ROUND(K586/$X$591,6))</f>
        <v/>
      </c>
      <c r="P586" s="120"/>
      <c r="Q586" s="120"/>
      <c r="R586" s="120"/>
      <c r="S586" s="120"/>
      <c r="T586" s="120" t="str">
        <f t="shared" si="46"/>
        <v/>
      </c>
      <c r="U586" s="120"/>
      <c r="V586" s="120"/>
      <c r="W586" s="120"/>
      <c r="X586" s="408" t="str">
        <f>IF(T586="","",ROUND(T586*H586,4))</f>
        <v/>
      </c>
      <c r="Y586" s="408"/>
      <c r="Z586" s="408"/>
      <c r="AA586" s="408"/>
      <c r="AB586" s="334" t="str">
        <f>IF(X586="","",SUM(X$575:X586))</f>
        <v/>
      </c>
      <c r="AC586" s="334"/>
      <c r="AD586" s="334"/>
      <c r="AE586" s="335"/>
    </row>
    <row r="587" spans="1:58" s="1" customFormat="1" ht="15.75" customHeight="1" x14ac:dyDescent="0.15">
      <c r="A587" s="73" t="str">
        <f t="shared" si="44"/>
        <v>×</v>
      </c>
      <c r="E587" s="111" t="str">
        <f>E553</f>
        <v/>
      </c>
      <c r="F587" s="112"/>
      <c r="G587" s="112"/>
      <c r="H587" s="406">
        <f t="shared" si="45"/>
        <v>0</v>
      </c>
      <c r="I587" s="406"/>
      <c r="J587" s="406"/>
      <c r="K587" s="354" t="str">
        <f>Z306</f>
        <v/>
      </c>
      <c r="L587" s="120"/>
      <c r="M587" s="120"/>
      <c r="N587" s="120"/>
      <c r="O587" s="120" t="str">
        <f>IF(K587="","",ROUND(K587/$X$591,6))</f>
        <v/>
      </c>
      <c r="P587" s="120"/>
      <c r="Q587" s="120"/>
      <c r="R587" s="120"/>
      <c r="S587" s="120"/>
      <c r="T587" s="120" t="str">
        <f t="shared" si="46"/>
        <v/>
      </c>
      <c r="U587" s="120"/>
      <c r="V587" s="120"/>
      <c r="W587" s="120"/>
      <c r="X587" s="408" t="str">
        <f>IF(T587="","",ROUND(T587*H587,4))</f>
        <v/>
      </c>
      <c r="Y587" s="408"/>
      <c r="Z587" s="408"/>
      <c r="AA587" s="408"/>
      <c r="AB587" s="334" t="str">
        <f>IF(X587="","",SUM(X$575:X587))</f>
        <v/>
      </c>
      <c r="AC587" s="334"/>
      <c r="AD587" s="334"/>
      <c r="AE587" s="335"/>
    </row>
    <row r="588" spans="1:58" s="1" customFormat="1" ht="15.75" customHeight="1" x14ac:dyDescent="0.15">
      <c r="A588" s="73" t="str">
        <f t="shared" si="44"/>
        <v>×</v>
      </c>
      <c r="E588" s="111" t="str">
        <f>E554</f>
        <v/>
      </c>
      <c r="F588" s="112"/>
      <c r="G588" s="112"/>
      <c r="H588" s="406">
        <f t="shared" si="45"/>
        <v>0</v>
      </c>
      <c r="I588" s="406"/>
      <c r="J588" s="406"/>
      <c r="K588" s="354" t="str">
        <f>Z307</f>
        <v/>
      </c>
      <c r="L588" s="120"/>
      <c r="M588" s="120"/>
      <c r="N588" s="120"/>
      <c r="O588" s="120" t="str">
        <f>IF(K588="","",ROUND(K588/$X$591,6))</f>
        <v/>
      </c>
      <c r="P588" s="120"/>
      <c r="Q588" s="120"/>
      <c r="R588" s="120"/>
      <c r="S588" s="120"/>
      <c r="T588" s="120" t="str">
        <f t="shared" si="46"/>
        <v/>
      </c>
      <c r="U588" s="120"/>
      <c r="V588" s="120"/>
      <c r="W588" s="120"/>
      <c r="X588" s="408" t="str">
        <f>IF(T588="","",ROUND(T588*H588,4))</f>
        <v/>
      </c>
      <c r="Y588" s="408"/>
      <c r="Z588" s="408"/>
      <c r="AA588" s="408"/>
      <c r="AB588" s="334" t="str">
        <f>IF(X588="","",SUM(X$575:X588))</f>
        <v/>
      </c>
      <c r="AC588" s="334"/>
      <c r="AD588" s="334"/>
      <c r="AE588" s="335"/>
    </row>
    <row r="589" spans="1:58" s="1" customFormat="1" ht="15.75" customHeight="1" x14ac:dyDescent="0.15">
      <c r="A589" s="73" t="str">
        <f t="shared" si="44"/>
        <v>×</v>
      </c>
      <c r="E589" s="111" t="str">
        <f>E555</f>
        <v/>
      </c>
      <c r="F589" s="112"/>
      <c r="G589" s="112"/>
      <c r="H589" s="406">
        <f t="shared" si="45"/>
        <v>0</v>
      </c>
      <c r="I589" s="406"/>
      <c r="J589" s="406"/>
      <c r="K589" s="354" t="str">
        <f>Z308</f>
        <v/>
      </c>
      <c r="L589" s="120"/>
      <c r="M589" s="120"/>
      <c r="N589" s="120"/>
      <c r="O589" s="120" t="str">
        <f>IF(K589="","",ROUND(K589/$X$591,6))</f>
        <v/>
      </c>
      <c r="P589" s="120"/>
      <c r="Q589" s="120"/>
      <c r="R589" s="120"/>
      <c r="S589" s="120"/>
      <c r="T589" s="120" t="str">
        <f t="shared" si="46"/>
        <v/>
      </c>
      <c r="U589" s="120"/>
      <c r="V589" s="120"/>
      <c r="W589" s="120"/>
      <c r="X589" s="408" t="str">
        <f>IF(T589="","",ROUND(T589*H589,4))</f>
        <v/>
      </c>
      <c r="Y589" s="408"/>
      <c r="Z589" s="408"/>
      <c r="AA589" s="408"/>
      <c r="AB589" s="334" t="str">
        <f>IF(X589="","",SUM(X$575:X589))</f>
        <v/>
      </c>
      <c r="AC589" s="334"/>
      <c r="AD589" s="334"/>
      <c r="AE589" s="335"/>
    </row>
    <row r="590" spans="1:58" s="1" customFormat="1" ht="15.75" customHeight="1" x14ac:dyDescent="0.15">
      <c r="A590" s="73" t="str">
        <f t="shared" si="44"/>
        <v>×</v>
      </c>
      <c r="E590" s="114" t="str">
        <f>E556</f>
        <v/>
      </c>
      <c r="F590" s="115"/>
      <c r="G590" s="115"/>
      <c r="H590" s="409">
        <f t="shared" si="45"/>
        <v>0</v>
      </c>
      <c r="I590" s="409"/>
      <c r="J590" s="409"/>
      <c r="K590" s="358" t="str">
        <f>Z309</f>
        <v/>
      </c>
      <c r="L590" s="234"/>
      <c r="M590" s="234"/>
      <c r="N590" s="234"/>
      <c r="O590" s="234" t="str">
        <f>IF(K590="","",ROUND(K590/$X$591,6))</f>
        <v/>
      </c>
      <c r="P590" s="234"/>
      <c r="Q590" s="234"/>
      <c r="R590" s="234"/>
      <c r="S590" s="234"/>
      <c r="T590" s="234" t="str">
        <f t="shared" si="46"/>
        <v/>
      </c>
      <c r="U590" s="234"/>
      <c r="V590" s="234"/>
      <c r="W590" s="234"/>
      <c r="X590" s="411" t="str">
        <f>IF(T590="","",ROUND(T590*H590,4))</f>
        <v/>
      </c>
      <c r="Y590" s="411"/>
      <c r="Z590" s="411"/>
      <c r="AA590" s="411"/>
      <c r="AB590" s="339" t="str">
        <f>IF(X590="","",SUM(X$575:X590))</f>
        <v/>
      </c>
      <c r="AC590" s="339"/>
      <c r="AD590" s="339"/>
      <c r="AE590" s="340"/>
    </row>
    <row r="591" spans="1:58" ht="15.75" customHeight="1" x14ac:dyDescent="0.15">
      <c r="A591" s="73" t="str">
        <f>IF(A$289="","","×")</f>
        <v>×</v>
      </c>
      <c r="E591" s="76"/>
      <c r="S591" s="2" t="s">
        <v>127</v>
      </c>
      <c r="T591" s="76">
        <v>4</v>
      </c>
      <c r="U591" s="162" t="s">
        <v>149</v>
      </c>
      <c r="V591" s="162"/>
      <c r="W591" s="76" t="s">
        <v>27</v>
      </c>
      <c r="X591" s="341">
        <f>X557</f>
        <v>4398464</v>
      </c>
      <c r="Y591" s="341"/>
      <c r="Z591" s="341"/>
      <c r="AA591" s="341"/>
      <c r="AB591" s="341"/>
      <c r="AC591" s="148" t="s">
        <v>166</v>
      </c>
      <c r="AD591" s="148"/>
      <c r="AE591" s="76" t="s">
        <v>158</v>
      </c>
      <c r="AJ591" s="379"/>
      <c r="AK591" s="379"/>
      <c r="AL591" s="379"/>
      <c r="AM591" s="379"/>
      <c r="BC591" s="76"/>
      <c r="BD591" s="76"/>
      <c r="BE591" s="76"/>
      <c r="BF591" s="76"/>
    </row>
    <row r="592" spans="1:58" ht="15.75" customHeight="1" x14ac:dyDescent="0.15">
      <c r="A592" s="73" t="str">
        <f>IF(A$289="","","×")</f>
        <v>×</v>
      </c>
      <c r="E592" s="76"/>
      <c r="S592" s="2"/>
      <c r="X592" s="342"/>
      <c r="Y592" s="342"/>
      <c r="Z592" s="342"/>
      <c r="AA592" s="342"/>
      <c r="AB592" s="342"/>
      <c r="AC592" s="78"/>
      <c r="AD592" s="78"/>
      <c r="AJ592" s="379"/>
      <c r="AK592" s="379"/>
      <c r="AL592" s="379"/>
      <c r="AM592" s="379"/>
      <c r="BC592" s="76"/>
      <c r="BD592" s="76"/>
      <c r="BE592" s="76"/>
      <c r="BF592" s="76"/>
    </row>
    <row r="593" spans="1:58" ht="15.75" customHeight="1" x14ac:dyDescent="0.15">
      <c r="A593" s="73" t="str">
        <f>IF(A$289="","","×")</f>
        <v>×</v>
      </c>
      <c r="E593" s="307" t="s">
        <v>541</v>
      </c>
      <c r="S593" s="2"/>
      <c r="X593" s="342"/>
      <c r="Y593" s="342"/>
      <c r="Z593" s="342"/>
      <c r="AA593" s="342"/>
      <c r="AB593" s="342"/>
      <c r="AC593" s="78"/>
      <c r="AD593" s="78"/>
      <c r="AJ593" s="379"/>
      <c r="AK593" s="379"/>
      <c r="AL593" s="379"/>
      <c r="AM593" s="379"/>
      <c r="BC593" s="76"/>
      <c r="BD593" s="76"/>
      <c r="BE593" s="76"/>
      <c r="BF593" s="76"/>
    </row>
    <row r="594" spans="1:58" ht="15.75" customHeight="1" x14ac:dyDescent="0.15">
      <c r="A594" s="73" t="str">
        <f>IF(A$289="","","×")</f>
        <v>×</v>
      </c>
      <c r="E594" s="162" t="s">
        <v>542</v>
      </c>
      <c r="F594" s="162"/>
      <c r="G594" s="76" t="s">
        <v>543</v>
      </c>
      <c r="H594" s="402">
        <v>3.5399999618530273</v>
      </c>
      <c r="I594" s="402"/>
      <c r="J594" s="402"/>
      <c r="K594" s="76" t="s">
        <v>544</v>
      </c>
      <c r="S594" s="2"/>
      <c r="X594" s="342"/>
      <c r="Y594" s="342"/>
      <c r="Z594" s="342"/>
      <c r="AA594" s="342"/>
      <c r="AB594" s="342"/>
      <c r="AC594" s="78"/>
      <c r="AD594" s="78"/>
      <c r="AJ594" s="379"/>
      <c r="AK594" s="379"/>
      <c r="AL594" s="379"/>
      <c r="AM594" s="379"/>
      <c r="BC594" s="76"/>
      <c r="BD594" s="76"/>
      <c r="BE594" s="76"/>
      <c r="BF594" s="76"/>
    </row>
    <row r="595" spans="1:58" s="289" customFormat="1" ht="15.75" customHeight="1" x14ac:dyDescent="0.15">
      <c r="C595" s="343"/>
      <c r="H595" s="403"/>
      <c r="I595" s="403"/>
      <c r="J595" s="403"/>
      <c r="S595" s="344"/>
      <c r="X595" s="345"/>
      <c r="Y595" s="345"/>
      <c r="Z595" s="345"/>
      <c r="AA595" s="345"/>
      <c r="AB595" s="345"/>
      <c r="AC595" s="346"/>
      <c r="AD595" s="346"/>
      <c r="AJ595" s="404"/>
      <c r="AK595" s="404"/>
      <c r="AL595" s="404"/>
      <c r="AM595" s="404"/>
      <c r="AN595" s="404"/>
      <c r="AO595" s="404"/>
      <c r="AP595" s="404"/>
      <c r="AQ595" s="404"/>
      <c r="AR595" s="404"/>
      <c r="AS595" s="404"/>
      <c r="AT595" s="404"/>
      <c r="AU595" s="404"/>
      <c r="AV595" s="404"/>
      <c r="AW595" s="404"/>
      <c r="AX595" s="404"/>
      <c r="AY595" s="404"/>
      <c r="AZ595" s="404"/>
      <c r="BA595" s="404"/>
      <c r="BB595" s="404"/>
    </row>
    <row r="596" spans="1:58" ht="15.75" customHeight="1" x14ac:dyDescent="0.15">
      <c r="E596" s="76"/>
      <c r="AJ596" s="379"/>
      <c r="AK596" s="379"/>
      <c r="AL596" s="379"/>
      <c r="AM596" s="379"/>
      <c r="BC596" s="76"/>
      <c r="BD596" s="76"/>
      <c r="BE596" s="76"/>
      <c r="BF596" s="76"/>
    </row>
    <row r="597" spans="1:58" ht="15.75" hidden="1" customHeight="1" x14ac:dyDescent="0.15">
      <c r="AJ597" s="379"/>
      <c r="AK597" s="379"/>
      <c r="AL597" s="379"/>
      <c r="AM597" s="379"/>
      <c r="BC597" s="76"/>
      <c r="BD597" s="76"/>
      <c r="BE597" s="76"/>
      <c r="BF597" s="76"/>
    </row>
    <row r="598" spans="1:58" s="1" customFormat="1" ht="15.75" hidden="1" customHeight="1" x14ac:dyDescent="0.15">
      <c r="F598" s="1" t="s">
        <v>194</v>
      </c>
    </row>
    <row r="599" spans="1:58" s="1" customFormat="1" ht="15.75" hidden="1" customHeight="1" x14ac:dyDescent="0.15">
      <c r="F599" s="1" t="s">
        <v>169</v>
      </c>
    </row>
    <row r="600" spans="1:58" s="1" customFormat="1" ht="15.75" hidden="1" customHeight="1" x14ac:dyDescent="0.15">
      <c r="Y600" s="148" t="s">
        <v>197</v>
      </c>
      <c r="Z600" s="148"/>
      <c r="AA600" s="148"/>
      <c r="AB600" s="148"/>
    </row>
    <row r="601" spans="1:58" s="1" customFormat="1" ht="15.75" hidden="1" customHeight="1" x14ac:dyDescent="0.15">
      <c r="F601" s="2" t="s">
        <v>188</v>
      </c>
      <c r="G601" s="76" t="s">
        <v>27</v>
      </c>
      <c r="H601" s="1" t="s">
        <v>189</v>
      </c>
      <c r="K601" s="76" t="s">
        <v>191</v>
      </c>
      <c r="L601" s="347">
        <f>X575</f>
        <v>0.82320000000000004</v>
      </c>
      <c r="M601" s="162"/>
      <c r="N601" s="162"/>
      <c r="O601" s="1" t="s">
        <v>192</v>
      </c>
      <c r="P601" s="1" t="s">
        <v>193</v>
      </c>
      <c r="Q601" s="347" t="e">
        <f>#REF!</f>
        <v>#REF!</v>
      </c>
      <c r="R601" s="162"/>
      <c r="S601" s="162"/>
      <c r="T601" s="76" t="s">
        <v>27</v>
      </c>
      <c r="U601" s="304" t="e">
        <f>(#REF!-L601)/Q601</f>
        <v>#REF!</v>
      </c>
      <c r="V601" s="304"/>
      <c r="W601" s="348" t="s">
        <v>196</v>
      </c>
      <c r="Z601" s="304" t="e">
        <f>#REF!</f>
        <v>#REF!</v>
      </c>
      <c r="AA601" s="304"/>
      <c r="AB601" s="348" t="s">
        <v>195</v>
      </c>
    </row>
    <row r="602" spans="1:58" s="1" customFormat="1" ht="15.75" hidden="1" customHeight="1" x14ac:dyDescent="0.15"/>
    <row r="603" spans="1:58" s="1" customFormat="1" ht="15.75" hidden="1" customHeight="1" x14ac:dyDescent="0.15">
      <c r="F603" s="1" t="s">
        <v>198</v>
      </c>
    </row>
    <row r="604" spans="1:58" s="1" customFormat="1" ht="15.75" hidden="1" customHeight="1" x14ac:dyDescent="0.15"/>
    <row r="605" spans="1:58" s="1" customFormat="1" ht="15.75" hidden="1" customHeight="1" x14ac:dyDescent="0.15">
      <c r="F605" s="2" t="s">
        <v>199</v>
      </c>
      <c r="G605" s="76" t="s">
        <v>27</v>
      </c>
      <c r="H605" s="2" t="s">
        <v>200</v>
      </c>
      <c r="I605" s="76" t="s">
        <v>6</v>
      </c>
      <c r="J605" s="2" t="s">
        <v>188</v>
      </c>
      <c r="K605" s="304" t="e">
        <f>U601</f>
        <v>#REF!</v>
      </c>
      <c r="L605" s="304"/>
      <c r="M605" s="76" t="s">
        <v>27</v>
      </c>
      <c r="N605" s="304" t="e">
        <f>#REF!+K605</f>
        <v>#REF!</v>
      </c>
      <c r="O605" s="304"/>
      <c r="P605" s="348" t="s">
        <v>195</v>
      </c>
    </row>
    <row r="606" spans="1:58" s="1" customFormat="1" ht="15.75" customHeight="1" x14ac:dyDescent="0.15">
      <c r="A606" s="73" t="str">
        <f>IF(A$311="","","×")</f>
        <v>×</v>
      </c>
      <c r="E606" s="64" t="s">
        <v>595</v>
      </c>
      <c r="F606" s="64"/>
      <c r="G606" s="64"/>
      <c r="H606" s="64"/>
      <c r="I606" s="64"/>
      <c r="J606" s="64"/>
      <c r="K606" s="64"/>
      <c r="L606" s="64"/>
      <c r="M606" s="64"/>
      <c r="N606" s="64"/>
      <c r="O606" s="64"/>
      <c r="P606" s="64"/>
      <c r="Q606" s="64"/>
      <c r="R606" s="64"/>
      <c r="S606" s="64"/>
      <c r="T606" s="64"/>
      <c r="U606" s="64"/>
      <c r="V606" s="64"/>
      <c r="W606" s="64"/>
      <c r="X606" s="64"/>
      <c r="Y606" s="64"/>
      <c r="Z606" s="64"/>
      <c r="AA606" s="64"/>
      <c r="AB606" s="64"/>
      <c r="AC606" s="64"/>
      <c r="AD606" s="64"/>
      <c r="AE606" s="64"/>
    </row>
    <row r="607" spans="1:58" s="1" customFormat="1" ht="15.75" customHeight="1" x14ac:dyDescent="0.15">
      <c r="A607" s="73" t="str">
        <f>IF(A$311="","","×")</f>
        <v>×</v>
      </c>
      <c r="E607" s="126" t="s">
        <v>78</v>
      </c>
      <c r="F607" s="105"/>
      <c r="G607" s="105"/>
      <c r="H607" s="134" t="s">
        <v>159</v>
      </c>
      <c r="I607" s="135"/>
      <c r="J607" s="135"/>
      <c r="K607" s="105" t="s">
        <v>160</v>
      </c>
      <c r="L607" s="105"/>
      <c r="M607" s="105"/>
      <c r="N607" s="105"/>
      <c r="O607" s="105" t="s">
        <v>164</v>
      </c>
      <c r="P607" s="105"/>
      <c r="Q607" s="105"/>
      <c r="R607" s="105"/>
      <c r="S607" s="105"/>
      <c r="T607" s="105" t="s">
        <v>161</v>
      </c>
      <c r="U607" s="105"/>
      <c r="V607" s="105"/>
      <c r="W607" s="105"/>
      <c r="X607" s="105" t="s">
        <v>162</v>
      </c>
      <c r="Y607" s="105"/>
      <c r="Z607" s="105"/>
      <c r="AA607" s="105"/>
      <c r="AB607" s="105" t="s">
        <v>163</v>
      </c>
      <c r="AC607" s="105"/>
      <c r="AD607" s="105"/>
      <c r="AE607" s="129"/>
    </row>
    <row r="608" spans="1:58" s="1" customFormat="1" ht="15.75" customHeight="1" x14ac:dyDescent="0.15">
      <c r="A608" s="73" t="str">
        <f>IF(A$311="","","×")</f>
        <v>×</v>
      </c>
      <c r="E608" s="128"/>
      <c r="F608" s="106"/>
      <c r="G608" s="106"/>
      <c r="H608" s="121"/>
      <c r="I608" s="121"/>
      <c r="J608" s="121"/>
      <c r="K608" s="106"/>
      <c r="L608" s="106"/>
      <c r="M608" s="106"/>
      <c r="N608" s="106"/>
      <c r="O608" s="106"/>
      <c r="P608" s="106"/>
      <c r="Q608" s="106"/>
      <c r="R608" s="106"/>
      <c r="S608" s="106"/>
      <c r="T608" s="106"/>
      <c r="U608" s="106"/>
      <c r="V608" s="106"/>
      <c r="W608" s="106"/>
      <c r="X608" s="106"/>
      <c r="Y608" s="106"/>
      <c r="Z608" s="106"/>
      <c r="AA608" s="106"/>
      <c r="AB608" s="106"/>
      <c r="AC608" s="106"/>
      <c r="AD608" s="106"/>
      <c r="AE608" s="124"/>
    </row>
    <row r="609" spans="1:31" s="1" customFormat="1" ht="15.75" customHeight="1" x14ac:dyDescent="0.15">
      <c r="A609" s="73" t="str">
        <f>IF(A$311="×","×",IF(E609="","×",""))</f>
        <v>×</v>
      </c>
      <c r="E609" s="117">
        <f>E575</f>
        <v>3</v>
      </c>
      <c r="F609" s="118"/>
      <c r="G609" s="118"/>
      <c r="H609" s="220">
        <f>H575</f>
        <v>3</v>
      </c>
      <c r="I609" s="220"/>
      <c r="J609" s="220"/>
      <c r="K609" s="350">
        <f>Z316</f>
        <v>24950</v>
      </c>
      <c r="L609" s="118"/>
      <c r="M609" s="118"/>
      <c r="N609" s="118"/>
      <c r="O609" s="118">
        <f>IF(K609="","",ROUND(K609/$X$625,6))</f>
        <v>5.672E-3</v>
      </c>
      <c r="P609" s="118"/>
      <c r="Q609" s="118"/>
      <c r="R609" s="118"/>
      <c r="S609" s="118"/>
      <c r="T609" s="118">
        <f>IF(O609="","",ROUND(O609^0.25,4))</f>
        <v>0.27439999999999998</v>
      </c>
      <c r="U609" s="118"/>
      <c r="V609" s="118"/>
      <c r="W609" s="118"/>
      <c r="X609" s="405">
        <f>IF(T609="","",ROUND(T609*H609,4))</f>
        <v>0.82320000000000004</v>
      </c>
      <c r="Y609" s="405"/>
      <c r="Z609" s="405"/>
      <c r="AA609" s="405"/>
      <c r="AB609" s="331">
        <f>IF(X609="","",SUM(X$609:X609))</f>
        <v>0.82320000000000004</v>
      </c>
      <c r="AC609" s="331"/>
      <c r="AD609" s="331"/>
      <c r="AE609" s="332"/>
    </row>
    <row r="610" spans="1:31" s="1" customFormat="1" ht="15.75" customHeight="1" x14ac:dyDescent="0.15">
      <c r="A610" s="73" t="str">
        <f t="shared" ref="A610:A624" si="47">IF(A$311="×","×",IF(E610="","×",""))</f>
        <v>×</v>
      </c>
      <c r="E610" s="119">
        <f>E576</f>
        <v>4</v>
      </c>
      <c r="F610" s="120"/>
      <c r="G610" s="120"/>
      <c r="H610" s="113">
        <f t="shared" ref="H610:H624" si="48">H576</f>
        <v>5</v>
      </c>
      <c r="I610" s="113"/>
      <c r="J610" s="113"/>
      <c r="K610" s="354">
        <f>Z317</f>
        <v>51260</v>
      </c>
      <c r="L610" s="120"/>
      <c r="M610" s="120"/>
      <c r="N610" s="120"/>
      <c r="O610" s="120">
        <f t="shared" ref="O610:O624" si="49">IF(K610="","",ROUND(K610/$X$625,6))</f>
        <v>1.1653999999999999E-2</v>
      </c>
      <c r="P610" s="120"/>
      <c r="Q610" s="120"/>
      <c r="R610" s="120"/>
      <c r="S610" s="120"/>
      <c r="T610" s="120">
        <f t="shared" ref="T610:T624" si="50">IF(O610="","",ROUND(O610^0.25,4))</f>
        <v>0.3286</v>
      </c>
      <c r="U610" s="120"/>
      <c r="V610" s="120"/>
      <c r="W610" s="120"/>
      <c r="X610" s="408">
        <f>IF(T610="","",ROUND(T610*H610,4))</f>
        <v>1.643</v>
      </c>
      <c r="Y610" s="408"/>
      <c r="Z610" s="408"/>
      <c r="AA610" s="408"/>
      <c r="AB610" s="334">
        <f>IF(X610="","",SUM(X$609:X610))</f>
        <v>2.4662000000000002</v>
      </c>
      <c r="AC610" s="334"/>
      <c r="AD610" s="334"/>
      <c r="AE610" s="335"/>
    </row>
    <row r="611" spans="1:31" s="1" customFormat="1" ht="15.75" customHeight="1" x14ac:dyDescent="0.15">
      <c r="A611" s="73" t="str">
        <f t="shared" si="47"/>
        <v>×</v>
      </c>
      <c r="E611" s="119">
        <f>E577</f>
        <v>5</v>
      </c>
      <c r="F611" s="120"/>
      <c r="G611" s="120"/>
      <c r="H611" s="113">
        <f t="shared" si="48"/>
        <v>8</v>
      </c>
      <c r="I611" s="113"/>
      <c r="J611" s="113"/>
      <c r="K611" s="354">
        <f>Z318</f>
        <v>58330</v>
      </c>
      <c r="L611" s="120"/>
      <c r="M611" s="120"/>
      <c r="N611" s="120"/>
      <c r="O611" s="120">
        <f t="shared" si="49"/>
        <v>1.3261E-2</v>
      </c>
      <c r="P611" s="120"/>
      <c r="Q611" s="120"/>
      <c r="R611" s="120"/>
      <c r="S611" s="120"/>
      <c r="T611" s="120">
        <f t="shared" si="50"/>
        <v>0.33929999999999999</v>
      </c>
      <c r="U611" s="120"/>
      <c r="V611" s="120"/>
      <c r="W611" s="120"/>
      <c r="X611" s="408">
        <f>IF(T611="","",ROUND(T611*H611,4))</f>
        <v>2.7143999999999999</v>
      </c>
      <c r="Y611" s="408"/>
      <c r="Z611" s="408"/>
      <c r="AA611" s="408"/>
      <c r="AB611" s="334">
        <f>IF(X611="","",SUM(X$609:X611))</f>
        <v>5.1806000000000001</v>
      </c>
      <c r="AC611" s="334"/>
      <c r="AD611" s="334"/>
      <c r="AE611" s="335"/>
    </row>
    <row r="612" spans="1:31" s="1" customFormat="1" ht="15.75" customHeight="1" x14ac:dyDescent="0.15">
      <c r="A612" s="73" t="str">
        <f t="shared" si="47"/>
        <v>×</v>
      </c>
      <c r="E612" s="119">
        <f>E578</f>
        <v>6</v>
      </c>
      <c r="F612" s="120"/>
      <c r="G612" s="120"/>
      <c r="H612" s="113">
        <f t="shared" si="48"/>
        <v>4.5</v>
      </c>
      <c r="I612" s="113"/>
      <c r="J612" s="113"/>
      <c r="K612" s="354">
        <f>Z319</f>
        <v>83180</v>
      </c>
      <c r="L612" s="120"/>
      <c r="M612" s="120"/>
      <c r="N612" s="120"/>
      <c r="O612" s="120">
        <f t="shared" si="49"/>
        <v>1.8911000000000001E-2</v>
      </c>
      <c r="P612" s="120"/>
      <c r="Q612" s="120"/>
      <c r="R612" s="120"/>
      <c r="S612" s="120"/>
      <c r="T612" s="120">
        <f t="shared" si="50"/>
        <v>0.37080000000000002</v>
      </c>
      <c r="U612" s="120"/>
      <c r="V612" s="120"/>
      <c r="W612" s="120"/>
      <c r="X612" s="408">
        <f>IF(T612="","",ROUND(T612*H612,4))</f>
        <v>1.6686000000000001</v>
      </c>
      <c r="Y612" s="408"/>
      <c r="Z612" s="408"/>
      <c r="AA612" s="408"/>
      <c r="AB612" s="334">
        <f>IF(X612="","",SUM(X$609:X612))</f>
        <v>6.8491999999999997</v>
      </c>
      <c r="AC612" s="334"/>
      <c r="AD612" s="334"/>
      <c r="AE612" s="335"/>
    </row>
    <row r="613" spans="1:31" s="1" customFormat="1" ht="15.75" customHeight="1" x14ac:dyDescent="0.15">
      <c r="A613" s="73" t="str">
        <f t="shared" si="47"/>
        <v>×</v>
      </c>
      <c r="E613" s="119">
        <f>E579</f>
        <v>7</v>
      </c>
      <c r="F613" s="120"/>
      <c r="G613" s="120"/>
      <c r="H613" s="113">
        <f t="shared" si="48"/>
        <v>0.5</v>
      </c>
      <c r="I613" s="113"/>
      <c r="J613" s="113"/>
      <c r="K613" s="354">
        <f>Z320</f>
        <v>164340</v>
      </c>
      <c r="L613" s="120"/>
      <c r="M613" s="120"/>
      <c r="N613" s="120"/>
      <c r="O613" s="120">
        <f t="shared" si="49"/>
        <v>3.7363E-2</v>
      </c>
      <c r="P613" s="120"/>
      <c r="Q613" s="120"/>
      <c r="R613" s="120"/>
      <c r="S613" s="120"/>
      <c r="T613" s="120">
        <f t="shared" si="50"/>
        <v>0.43969999999999998</v>
      </c>
      <c r="U613" s="120"/>
      <c r="V613" s="120"/>
      <c r="W613" s="120"/>
      <c r="X613" s="408">
        <f>IF(T613="","",ROUND(T613*H613,4))</f>
        <v>0.21990000000000001</v>
      </c>
      <c r="Y613" s="408"/>
      <c r="Z613" s="408"/>
      <c r="AA613" s="408"/>
      <c r="AB613" s="334">
        <f>IF(X613="","",SUM(X$609:X613))</f>
        <v>7.0690999999999997</v>
      </c>
      <c r="AC613" s="334"/>
      <c r="AD613" s="334"/>
      <c r="AE613" s="335"/>
    </row>
    <row r="614" spans="1:31" s="1" customFormat="1" ht="15.75" customHeight="1" x14ac:dyDescent="0.15">
      <c r="A614" s="73" t="str">
        <f t="shared" si="47"/>
        <v>×</v>
      </c>
      <c r="E614" s="119" t="str">
        <f>E580</f>
        <v/>
      </c>
      <c r="F614" s="120"/>
      <c r="G614" s="120"/>
      <c r="H614" s="113">
        <f t="shared" si="48"/>
        <v>0</v>
      </c>
      <c r="I614" s="113"/>
      <c r="J614" s="113"/>
      <c r="K614" s="354" t="str">
        <f>Z321</f>
        <v/>
      </c>
      <c r="L614" s="120"/>
      <c r="M614" s="120"/>
      <c r="N614" s="120"/>
      <c r="O614" s="120" t="str">
        <f t="shared" si="49"/>
        <v/>
      </c>
      <c r="P614" s="120"/>
      <c r="Q614" s="120"/>
      <c r="R614" s="120"/>
      <c r="S614" s="120"/>
      <c r="T614" s="120" t="str">
        <f t="shared" si="50"/>
        <v/>
      </c>
      <c r="U614" s="120"/>
      <c r="V614" s="120"/>
      <c r="W614" s="120"/>
      <c r="X614" s="408" t="str">
        <f>IF(T614="","",ROUND(T614*H614,4))</f>
        <v/>
      </c>
      <c r="Y614" s="408"/>
      <c r="Z614" s="408"/>
      <c r="AA614" s="408"/>
      <c r="AB614" s="334" t="str">
        <f>IF(X614="","",SUM(X$609:X614))</f>
        <v/>
      </c>
      <c r="AC614" s="334"/>
      <c r="AD614" s="334"/>
      <c r="AE614" s="335"/>
    </row>
    <row r="615" spans="1:31" s="1" customFormat="1" ht="15.75" customHeight="1" x14ac:dyDescent="0.15">
      <c r="A615" s="73" t="str">
        <f t="shared" si="47"/>
        <v>×</v>
      </c>
      <c r="E615" s="119" t="str">
        <f>E581</f>
        <v/>
      </c>
      <c r="F615" s="120"/>
      <c r="G615" s="120"/>
      <c r="H615" s="113">
        <f t="shared" si="48"/>
        <v>0</v>
      </c>
      <c r="I615" s="113"/>
      <c r="J615" s="113"/>
      <c r="K615" s="354" t="str">
        <f>Z322</f>
        <v/>
      </c>
      <c r="L615" s="120"/>
      <c r="M615" s="120"/>
      <c r="N615" s="120"/>
      <c r="O615" s="120" t="str">
        <f t="shared" si="49"/>
        <v/>
      </c>
      <c r="P615" s="120"/>
      <c r="Q615" s="120"/>
      <c r="R615" s="120"/>
      <c r="S615" s="120"/>
      <c r="T615" s="120" t="str">
        <f t="shared" si="50"/>
        <v/>
      </c>
      <c r="U615" s="120"/>
      <c r="V615" s="120"/>
      <c r="W615" s="120"/>
      <c r="X615" s="408" t="str">
        <f>IF(T615="","",ROUND(T615*H615,4))</f>
        <v/>
      </c>
      <c r="Y615" s="408"/>
      <c r="Z615" s="408"/>
      <c r="AA615" s="408"/>
      <c r="AB615" s="334" t="str">
        <f>IF(X615="","",SUM(X$609:X615))</f>
        <v/>
      </c>
      <c r="AC615" s="334"/>
      <c r="AD615" s="334"/>
      <c r="AE615" s="335"/>
    </row>
    <row r="616" spans="1:31" s="1" customFormat="1" ht="15.75" customHeight="1" x14ac:dyDescent="0.15">
      <c r="A616" s="73" t="str">
        <f t="shared" si="47"/>
        <v>×</v>
      </c>
      <c r="E616" s="119" t="str">
        <f>E582</f>
        <v/>
      </c>
      <c r="F616" s="120"/>
      <c r="G616" s="120"/>
      <c r="H616" s="113">
        <f t="shared" si="48"/>
        <v>0</v>
      </c>
      <c r="I616" s="113"/>
      <c r="J616" s="113"/>
      <c r="K616" s="354" t="str">
        <f>Z323</f>
        <v/>
      </c>
      <c r="L616" s="120"/>
      <c r="M616" s="120"/>
      <c r="N616" s="120"/>
      <c r="O616" s="120" t="str">
        <f t="shared" si="49"/>
        <v/>
      </c>
      <c r="P616" s="120"/>
      <c r="Q616" s="120"/>
      <c r="R616" s="120"/>
      <c r="S616" s="120"/>
      <c r="T616" s="120" t="str">
        <f t="shared" si="50"/>
        <v/>
      </c>
      <c r="U616" s="120"/>
      <c r="V616" s="120"/>
      <c r="W616" s="120"/>
      <c r="X616" s="408" t="str">
        <f>IF(T616="","",ROUND(T616*H616,4))</f>
        <v/>
      </c>
      <c r="Y616" s="408"/>
      <c r="Z616" s="408"/>
      <c r="AA616" s="408"/>
      <c r="AB616" s="334" t="str">
        <f>IF(X616="","",SUM(X$609:X616))</f>
        <v/>
      </c>
      <c r="AC616" s="334"/>
      <c r="AD616" s="334"/>
      <c r="AE616" s="335"/>
    </row>
    <row r="617" spans="1:31" s="1" customFormat="1" ht="15.75" customHeight="1" x14ac:dyDescent="0.15">
      <c r="A617" s="73" t="str">
        <f t="shared" si="47"/>
        <v>×</v>
      </c>
      <c r="E617" s="119" t="str">
        <f>E583</f>
        <v/>
      </c>
      <c r="F617" s="120"/>
      <c r="G617" s="120"/>
      <c r="H617" s="113">
        <f t="shared" si="48"/>
        <v>0</v>
      </c>
      <c r="I617" s="113"/>
      <c r="J617" s="113"/>
      <c r="K617" s="354" t="str">
        <f>Z324</f>
        <v/>
      </c>
      <c r="L617" s="120"/>
      <c r="M617" s="120"/>
      <c r="N617" s="120"/>
      <c r="O617" s="120" t="str">
        <f t="shared" si="49"/>
        <v/>
      </c>
      <c r="P617" s="120"/>
      <c r="Q617" s="120"/>
      <c r="R617" s="120"/>
      <c r="S617" s="120"/>
      <c r="T617" s="120" t="str">
        <f t="shared" si="50"/>
        <v/>
      </c>
      <c r="U617" s="120"/>
      <c r="V617" s="120"/>
      <c r="W617" s="120"/>
      <c r="X617" s="408" t="str">
        <f>IF(T617="","",ROUND(T617*H617,4))</f>
        <v/>
      </c>
      <c r="Y617" s="408"/>
      <c r="Z617" s="408"/>
      <c r="AA617" s="408"/>
      <c r="AB617" s="334" t="str">
        <f>IF(X617="","",SUM(X$609:X617))</f>
        <v/>
      </c>
      <c r="AC617" s="334"/>
      <c r="AD617" s="334"/>
      <c r="AE617" s="335"/>
    </row>
    <row r="618" spans="1:31" s="1" customFormat="1" ht="15.75" customHeight="1" x14ac:dyDescent="0.15">
      <c r="A618" s="73" t="str">
        <f t="shared" si="47"/>
        <v>×</v>
      </c>
      <c r="E618" s="119" t="str">
        <f>E584</f>
        <v/>
      </c>
      <c r="F618" s="120"/>
      <c r="G618" s="120"/>
      <c r="H618" s="113">
        <f t="shared" si="48"/>
        <v>0</v>
      </c>
      <c r="I618" s="113"/>
      <c r="J618" s="113"/>
      <c r="K618" s="354" t="str">
        <f>Z325</f>
        <v/>
      </c>
      <c r="L618" s="120"/>
      <c r="M618" s="120"/>
      <c r="N618" s="120"/>
      <c r="O618" s="120" t="str">
        <f t="shared" si="49"/>
        <v/>
      </c>
      <c r="P618" s="120"/>
      <c r="Q618" s="120"/>
      <c r="R618" s="120"/>
      <c r="S618" s="120"/>
      <c r="T618" s="120" t="str">
        <f t="shared" si="50"/>
        <v/>
      </c>
      <c r="U618" s="120"/>
      <c r="V618" s="120"/>
      <c r="W618" s="120"/>
      <c r="X618" s="408" t="str">
        <f>IF(T618="","",ROUND(T618*H618,4))</f>
        <v/>
      </c>
      <c r="Y618" s="408"/>
      <c r="Z618" s="408"/>
      <c r="AA618" s="408"/>
      <c r="AB618" s="334" t="str">
        <f>IF(X618="","",SUM(X$609:X618))</f>
        <v/>
      </c>
      <c r="AC618" s="334"/>
      <c r="AD618" s="334"/>
      <c r="AE618" s="335"/>
    </row>
    <row r="619" spans="1:31" s="1" customFormat="1" ht="15.75" customHeight="1" x14ac:dyDescent="0.15">
      <c r="A619" s="73" t="str">
        <f t="shared" si="47"/>
        <v>×</v>
      </c>
      <c r="E619" s="119" t="str">
        <f>E585</f>
        <v/>
      </c>
      <c r="F619" s="120"/>
      <c r="G619" s="120"/>
      <c r="H619" s="113">
        <f t="shared" si="48"/>
        <v>0</v>
      </c>
      <c r="I619" s="113"/>
      <c r="J619" s="113"/>
      <c r="K619" s="354" t="str">
        <f>Z326</f>
        <v/>
      </c>
      <c r="L619" s="120"/>
      <c r="M619" s="120"/>
      <c r="N619" s="120"/>
      <c r="O619" s="120" t="str">
        <f t="shared" si="49"/>
        <v/>
      </c>
      <c r="P619" s="120"/>
      <c r="Q619" s="120"/>
      <c r="R619" s="120"/>
      <c r="S619" s="120"/>
      <c r="T619" s="120" t="str">
        <f t="shared" si="50"/>
        <v/>
      </c>
      <c r="U619" s="120"/>
      <c r="V619" s="120"/>
      <c r="W619" s="120"/>
      <c r="X619" s="408" t="str">
        <f>IF(T619="","",ROUND(T619*H619,4))</f>
        <v/>
      </c>
      <c r="Y619" s="408"/>
      <c r="Z619" s="408"/>
      <c r="AA619" s="408"/>
      <c r="AB619" s="334" t="str">
        <f>IF(X619="","",SUM(X$609:X619))</f>
        <v/>
      </c>
      <c r="AC619" s="334"/>
      <c r="AD619" s="334"/>
      <c r="AE619" s="335"/>
    </row>
    <row r="620" spans="1:31" s="1" customFormat="1" ht="15.75" customHeight="1" x14ac:dyDescent="0.15">
      <c r="A620" s="73" t="str">
        <f t="shared" si="47"/>
        <v>×</v>
      </c>
      <c r="E620" s="119" t="str">
        <f>E586</f>
        <v/>
      </c>
      <c r="F620" s="120"/>
      <c r="G620" s="120"/>
      <c r="H620" s="113">
        <f t="shared" si="48"/>
        <v>0</v>
      </c>
      <c r="I620" s="113"/>
      <c r="J620" s="113"/>
      <c r="K620" s="354" t="str">
        <f>Z327</f>
        <v/>
      </c>
      <c r="L620" s="120"/>
      <c r="M620" s="120"/>
      <c r="N620" s="120"/>
      <c r="O620" s="120" t="str">
        <f t="shared" si="49"/>
        <v/>
      </c>
      <c r="P620" s="120"/>
      <c r="Q620" s="120"/>
      <c r="R620" s="120"/>
      <c r="S620" s="120"/>
      <c r="T620" s="120" t="str">
        <f t="shared" si="50"/>
        <v/>
      </c>
      <c r="U620" s="120"/>
      <c r="V620" s="120"/>
      <c r="W620" s="120"/>
      <c r="X620" s="408" t="str">
        <f>IF(T620="","",ROUND(T620*H620,4))</f>
        <v/>
      </c>
      <c r="Y620" s="408"/>
      <c r="Z620" s="408"/>
      <c r="AA620" s="408"/>
      <c r="AB620" s="334" t="str">
        <f>IF(X620="","",SUM(X$609:X620))</f>
        <v/>
      </c>
      <c r="AC620" s="334"/>
      <c r="AD620" s="334"/>
      <c r="AE620" s="335"/>
    </row>
    <row r="621" spans="1:31" s="1" customFormat="1" ht="15.75" customHeight="1" x14ac:dyDescent="0.15">
      <c r="A621" s="73" t="str">
        <f t="shared" si="47"/>
        <v>×</v>
      </c>
      <c r="E621" s="119" t="str">
        <f>E587</f>
        <v/>
      </c>
      <c r="F621" s="120"/>
      <c r="G621" s="120"/>
      <c r="H621" s="113">
        <f t="shared" si="48"/>
        <v>0</v>
      </c>
      <c r="I621" s="113"/>
      <c r="J621" s="113"/>
      <c r="K621" s="354" t="str">
        <f>Z328</f>
        <v/>
      </c>
      <c r="L621" s="120"/>
      <c r="M621" s="120"/>
      <c r="N621" s="120"/>
      <c r="O621" s="120" t="str">
        <f t="shared" si="49"/>
        <v/>
      </c>
      <c r="P621" s="120"/>
      <c r="Q621" s="120"/>
      <c r="R621" s="120"/>
      <c r="S621" s="120"/>
      <c r="T621" s="120" t="str">
        <f t="shared" si="50"/>
        <v/>
      </c>
      <c r="U621" s="120"/>
      <c r="V621" s="120"/>
      <c r="W621" s="120"/>
      <c r="X621" s="408" t="str">
        <f>IF(T621="","",ROUND(T621*H621,4))</f>
        <v/>
      </c>
      <c r="Y621" s="408"/>
      <c r="Z621" s="408"/>
      <c r="AA621" s="408"/>
      <c r="AB621" s="334" t="str">
        <f>IF(X621="","",SUM(X$609:X621))</f>
        <v/>
      </c>
      <c r="AC621" s="334"/>
      <c r="AD621" s="334"/>
      <c r="AE621" s="335"/>
    </row>
    <row r="622" spans="1:31" s="1" customFormat="1" ht="15.75" customHeight="1" x14ac:dyDescent="0.15">
      <c r="A622" s="73" t="str">
        <f t="shared" si="47"/>
        <v>×</v>
      </c>
      <c r="E622" s="119" t="str">
        <f>E588</f>
        <v/>
      </c>
      <c r="F622" s="120"/>
      <c r="G622" s="120"/>
      <c r="H622" s="113">
        <f t="shared" si="48"/>
        <v>0</v>
      </c>
      <c r="I622" s="113"/>
      <c r="J622" s="113"/>
      <c r="K622" s="354" t="str">
        <f>Z329</f>
        <v/>
      </c>
      <c r="L622" s="120"/>
      <c r="M622" s="120"/>
      <c r="N622" s="120"/>
      <c r="O622" s="120" t="str">
        <f t="shared" si="49"/>
        <v/>
      </c>
      <c r="P622" s="120"/>
      <c r="Q622" s="120"/>
      <c r="R622" s="120"/>
      <c r="S622" s="120"/>
      <c r="T622" s="120" t="str">
        <f t="shared" si="50"/>
        <v/>
      </c>
      <c r="U622" s="120"/>
      <c r="V622" s="120"/>
      <c r="W622" s="120"/>
      <c r="X622" s="408" t="str">
        <f>IF(T622="","",ROUND(T622*H622,4))</f>
        <v/>
      </c>
      <c r="Y622" s="408"/>
      <c r="Z622" s="408"/>
      <c r="AA622" s="408"/>
      <c r="AB622" s="334" t="str">
        <f>IF(X622="","",SUM(X$609:X622))</f>
        <v/>
      </c>
      <c r="AC622" s="334"/>
      <c r="AD622" s="334"/>
      <c r="AE622" s="335"/>
    </row>
    <row r="623" spans="1:31" s="1" customFormat="1" ht="15.75" customHeight="1" x14ac:dyDescent="0.15">
      <c r="A623" s="73" t="str">
        <f t="shared" si="47"/>
        <v>×</v>
      </c>
      <c r="E623" s="119" t="str">
        <f>E589</f>
        <v/>
      </c>
      <c r="F623" s="120"/>
      <c r="G623" s="120"/>
      <c r="H623" s="113">
        <f t="shared" si="48"/>
        <v>0</v>
      </c>
      <c r="I623" s="113"/>
      <c r="J623" s="113"/>
      <c r="K623" s="354" t="str">
        <f>Z330</f>
        <v/>
      </c>
      <c r="L623" s="120"/>
      <c r="M623" s="120"/>
      <c r="N623" s="120"/>
      <c r="O623" s="120" t="str">
        <f t="shared" si="49"/>
        <v/>
      </c>
      <c r="P623" s="120"/>
      <c r="Q623" s="120"/>
      <c r="R623" s="120"/>
      <c r="S623" s="120"/>
      <c r="T623" s="120" t="str">
        <f t="shared" si="50"/>
        <v/>
      </c>
      <c r="U623" s="120"/>
      <c r="V623" s="120"/>
      <c r="W623" s="120"/>
      <c r="X623" s="408" t="str">
        <f>IF(T623="","",ROUND(T623*H623,4))</f>
        <v/>
      </c>
      <c r="Y623" s="408"/>
      <c r="Z623" s="408"/>
      <c r="AA623" s="408"/>
      <c r="AB623" s="334" t="str">
        <f>IF(X623="","",SUM(X$609:X623))</f>
        <v/>
      </c>
      <c r="AC623" s="334"/>
      <c r="AD623" s="334"/>
      <c r="AE623" s="335"/>
    </row>
    <row r="624" spans="1:31" s="1" customFormat="1" ht="15.75" customHeight="1" x14ac:dyDescent="0.15">
      <c r="A624" s="73" t="str">
        <f t="shared" si="47"/>
        <v>×</v>
      </c>
      <c r="E624" s="233" t="str">
        <f>E590</f>
        <v/>
      </c>
      <c r="F624" s="234"/>
      <c r="G624" s="234"/>
      <c r="H624" s="116">
        <f t="shared" si="48"/>
        <v>0</v>
      </c>
      <c r="I624" s="116"/>
      <c r="J624" s="116"/>
      <c r="K624" s="358" t="str">
        <f>Z331</f>
        <v/>
      </c>
      <c r="L624" s="234"/>
      <c r="M624" s="234"/>
      <c r="N624" s="234"/>
      <c r="O624" s="234" t="str">
        <f t="shared" si="49"/>
        <v/>
      </c>
      <c r="P624" s="234"/>
      <c r="Q624" s="234"/>
      <c r="R624" s="234"/>
      <c r="S624" s="234"/>
      <c r="T624" s="234" t="str">
        <f t="shared" si="50"/>
        <v/>
      </c>
      <c r="U624" s="234"/>
      <c r="V624" s="234"/>
      <c r="W624" s="234"/>
      <c r="X624" s="411" t="str">
        <f>IF(T624="","",ROUND(T624*H624,4))</f>
        <v/>
      </c>
      <c r="Y624" s="411"/>
      <c r="Z624" s="411"/>
      <c r="AA624" s="411"/>
      <c r="AB624" s="339" t="str">
        <f>IF(X624="","",SUM(X$609:X624))</f>
        <v/>
      </c>
      <c r="AC624" s="339"/>
      <c r="AD624" s="339"/>
      <c r="AE624" s="340"/>
    </row>
    <row r="625" spans="1:58" ht="15.75" customHeight="1" x14ac:dyDescent="0.15">
      <c r="A625" s="73" t="str">
        <f>IF(A$311="","","×")</f>
        <v>×</v>
      </c>
      <c r="E625" s="76"/>
      <c r="S625" s="2" t="s">
        <v>127</v>
      </c>
      <c r="T625" s="76">
        <v>4</v>
      </c>
      <c r="U625" s="162" t="s">
        <v>149</v>
      </c>
      <c r="V625" s="162"/>
      <c r="W625" s="76" t="s">
        <v>27</v>
      </c>
      <c r="X625" s="341">
        <f>X591</f>
        <v>4398464</v>
      </c>
      <c r="Y625" s="341"/>
      <c r="Z625" s="341"/>
      <c r="AA625" s="341"/>
      <c r="AB625" s="341"/>
      <c r="AC625" s="148" t="s">
        <v>166</v>
      </c>
      <c r="AD625" s="148"/>
      <c r="AE625" s="76" t="s">
        <v>158</v>
      </c>
      <c r="AJ625" s="379"/>
      <c r="AK625" s="379"/>
      <c r="AL625" s="379"/>
      <c r="AM625" s="379"/>
      <c r="BC625" s="76"/>
      <c r="BD625" s="76"/>
      <c r="BE625" s="76"/>
      <c r="BF625" s="76"/>
    </row>
    <row r="626" spans="1:58" ht="15.75" customHeight="1" x14ac:dyDescent="0.15">
      <c r="A626" s="73" t="str">
        <f>IF(A$311="","","×")</f>
        <v>×</v>
      </c>
      <c r="E626" s="76"/>
      <c r="S626" s="2"/>
      <c r="X626" s="342"/>
      <c r="Y626" s="342"/>
      <c r="Z626" s="342"/>
      <c r="AA626" s="342"/>
      <c r="AB626" s="342"/>
      <c r="AC626" s="78"/>
      <c r="AD626" s="78"/>
      <c r="AJ626" s="379"/>
      <c r="AK626" s="379"/>
      <c r="AL626" s="379"/>
      <c r="AM626" s="379"/>
      <c r="BC626" s="76"/>
      <c r="BD626" s="76"/>
      <c r="BE626" s="76"/>
      <c r="BF626" s="76"/>
    </row>
    <row r="627" spans="1:58" ht="15.75" customHeight="1" x14ac:dyDescent="0.15">
      <c r="A627" s="73" t="str">
        <f>IF(A$311="","","×")</f>
        <v>×</v>
      </c>
      <c r="E627" s="307" t="s">
        <v>541</v>
      </c>
      <c r="S627" s="2"/>
      <c r="X627" s="342"/>
      <c r="Y627" s="342"/>
      <c r="Z627" s="342"/>
      <c r="AA627" s="342"/>
      <c r="AB627" s="342"/>
      <c r="AC627" s="78"/>
      <c r="AD627" s="78"/>
      <c r="AJ627" s="379"/>
      <c r="AK627" s="379"/>
      <c r="AL627" s="379"/>
      <c r="AM627" s="379"/>
      <c r="BC627" s="76"/>
      <c r="BD627" s="76"/>
      <c r="BE627" s="76"/>
      <c r="BF627" s="76"/>
    </row>
    <row r="628" spans="1:58" ht="15.75" customHeight="1" x14ac:dyDescent="0.15">
      <c r="A628" s="73" t="str">
        <f>IF(A$311="","","×")</f>
        <v>×</v>
      </c>
      <c r="E628" s="162" t="s">
        <v>542</v>
      </c>
      <c r="F628" s="162"/>
      <c r="G628" s="76" t="s">
        <v>543</v>
      </c>
      <c r="H628" s="402">
        <v>3.5399999618530273</v>
      </c>
      <c r="I628" s="402"/>
      <c r="J628" s="402"/>
      <c r="K628" s="76" t="s">
        <v>544</v>
      </c>
      <c r="S628" s="2"/>
      <c r="X628" s="342"/>
      <c r="Y628" s="342"/>
      <c r="Z628" s="342"/>
      <c r="AA628" s="342"/>
      <c r="AB628" s="342"/>
      <c r="AC628" s="78"/>
      <c r="AD628" s="78"/>
      <c r="AJ628" s="379"/>
      <c r="AK628" s="379"/>
      <c r="AL628" s="379"/>
      <c r="AM628" s="379"/>
      <c r="BC628" s="76"/>
      <c r="BD628" s="76"/>
      <c r="BE628" s="76"/>
      <c r="BF628" s="76"/>
    </row>
    <row r="629" spans="1:58" ht="15.75" customHeight="1" x14ac:dyDescent="0.15">
      <c r="E629" s="76"/>
      <c r="S629" s="2"/>
      <c r="X629" s="342"/>
      <c r="Y629" s="342"/>
      <c r="Z629" s="342"/>
      <c r="AA629" s="342"/>
      <c r="AB629" s="342"/>
      <c r="AC629" s="78"/>
      <c r="AD629" s="78"/>
      <c r="AJ629" s="379"/>
      <c r="AK629" s="379"/>
      <c r="AL629" s="379"/>
      <c r="AM629" s="379"/>
      <c r="BC629" s="76"/>
      <c r="BD629" s="76"/>
      <c r="BE629" s="76"/>
      <c r="BF629" s="76"/>
    </row>
    <row r="630" spans="1:58" ht="15.75" customHeight="1" x14ac:dyDescent="0.15">
      <c r="E630" s="76"/>
    </row>
    <row r="631" spans="1:58" s="1" customFormat="1" ht="15.75" customHeight="1" x14ac:dyDescent="0.15">
      <c r="E631" s="1" t="s">
        <v>79</v>
      </c>
      <c r="F631" s="1" t="s">
        <v>201</v>
      </c>
    </row>
    <row r="632" spans="1:58" s="1" customFormat="1" ht="15.75" customHeight="1" x14ac:dyDescent="0.15"/>
    <row r="633" spans="1:58" s="1" customFormat="1" ht="15.75" customHeight="1" x14ac:dyDescent="0.15">
      <c r="F633" s="1" t="s">
        <v>202</v>
      </c>
    </row>
    <row r="634" spans="1:58" s="1" customFormat="1" ht="15.75" customHeight="1" x14ac:dyDescent="0.15"/>
    <row r="635" spans="1:58" s="1" customFormat="1" ht="15.75" customHeight="1" x14ac:dyDescent="0.15">
      <c r="E635" s="61" t="s">
        <v>205</v>
      </c>
      <c r="F635" s="302"/>
      <c r="G635" s="302"/>
      <c r="H635" s="302"/>
      <c r="I635" s="61"/>
      <c r="J635" s="61"/>
      <c r="K635" s="61"/>
      <c r="L635" s="61"/>
      <c r="M635" s="61"/>
      <c r="N635" s="61"/>
      <c r="O635" s="61"/>
      <c r="P635" s="61"/>
      <c r="Q635" s="61"/>
      <c r="R635" s="61"/>
      <c r="S635" s="61"/>
      <c r="T635" s="61"/>
      <c r="U635" s="61"/>
      <c r="V635" s="61"/>
      <c r="W635" s="61"/>
      <c r="X635" s="61"/>
      <c r="Y635" s="61"/>
      <c r="Z635" s="61"/>
      <c r="AA635" s="61"/>
      <c r="AB635" s="61"/>
      <c r="AC635" s="61"/>
      <c r="AD635" s="61"/>
      <c r="AE635" s="61"/>
      <c r="AF635" s="61"/>
      <c r="AG635" s="61"/>
      <c r="AH635" s="61"/>
      <c r="AI635" s="8"/>
    </row>
    <row r="636" spans="1:58" s="1" customFormat="1" ht="15.75" customHeight="1" x14ac:dyDescent="0.15">
      <c r="E636" s="294" t="s">
        <v>546</v>
      </c>
      <c r="F636" s="292"/>
      <c r="G636" s="292"/>
      <c r="H636" s="292"/>
      <c r="I636" s="292"/>
      <c r="J636" s="292"/>
      <c r="K636" s="292"/>
      <c r="L636" s="292"/>
      <c r="M636" s="292"/>
      <c r="N636" s="292"/>
      <c r="O636" s="292"/>
      <c r="P636" s="292"/>
      <c r="Q636" s="292"/>
      <c r="R636" s="292"/>
      <c r="S636" s="296"/>
      <c r="T636" s="273" t="s">
        <v>547</v>
      </c>
      <c r="U636" s="131"/>
      <c r="V636" s="131"/>
      <c r="W636" s="131"/>
      <c r="X636" s="131"/>
      <c r="Y636" s="131"/>
      <c r="Z636" s="131"/>
      <c r="AA636" s="131"/>
      <c r="AB636" s="131"/>
      <c r="AC636" s="131"/>
      <c r="AD636" s="131"/>
      <c r="AE636" s="131"/>
      <c r="AF636" s="131"/>
      <c r="AG636" s="131"/>
      <c r="AH636" s="132"/>
    </row>
    <row r="637" spans="1:58" s="1" customFormat="1" ht="15.75" customHeight="1" x14ac:dyDescent="0.15">
      <c r="E637" s="159" t="s">
        <v>78</v>
      </c>
      <c r="F637" s="160"/>
      <c r="G637" s="160"/>
      <c r="H637" s="160" t="s">
        <v>204</v>
      </c>
      <c r="I637" s="160"/>
      <c r="J637" s="160"/>
      <c r="K637" s="160"/>
      <c r="L637" s="291" t="s">
        <v>203</v>
      </c>
      <c r="M637" s="161"/>
      <c r="N637" s="161"/>
      <c r="O637" s="160" t="s">
        <v>545</v>
      </c>
      <c r="P637" s="160"/>
      <c r="Q637" s="160"/>
      <c r="R637" s="160"/>
      <c r="S637" s="223"/>
      <c r="T637" s="213" t="s">
        <v>78</v>
      </c>
      <c r="U637" s="160"/>
      <c r="V637" s="160"/>
      <c r="W637" s="160" t="s">
        <v>204</v>
      </c>
      <c r="X637" s="160"/>
      <c r="Y637" s="160"/>
      <c r="Z637" s="160"/>
      <c r="AA637" s="291" t="s">
        <v>203</v>
      </c>
      <c r="AB637" s="161"/>
      <c r="AC637" s="161"/>
      <c r="AD637" s="160" t="s">
        <v>545</v>
      </c>
      <c r="AE637" s="160"/>
      <c r="AF637" s="160"/>
      <c r="AG637" s="160"/>
      <c r="AH637" s="223"/>
    </row>
    <row r="638" spans="1:58" s="1" customFormat="1" ht="15.75" customHeight="1" x14ac:dyDescent="0.15">
      <c r="E638" s="295"/>
      <c r="F638" s="156"/>
      <c r="G638" s="156"/>
      <c r="H638" s="156"/>
      <c r="I638" s="156"/>
      <c r="J638" s="156"/>
      <c r="K638" s="156"/>
      <c r="L638" s="163"/>
      <c r="M638" s="163"/>
      <c r="N638" s="163"/>
      <c r="O638" s="156"/>
      <c r="P638" s="156"/>
      <c r="Q638" s="156"/>
      <c r="R638" s="156"/>
      <c r="S638" s="267"/>
      <c r="T638" s="290"/>
      <c r="U638" s="156"/>
      <c r="V638" s="156"/>
      <c r="W638" s="156"/>
      <c r="X638" s="156"/>
      <c r="Y638" s="156"/>
      <c r="Z638" s="156"/>
      <c r="AA638" s="163"/>
      <c r="AB638" s="163"/>
      <c r="AC638" s="163"/>
      <c r="AD638" s="156"/>
      <c r="AE638" s="156"/>
      <c r="AF638" s="156"/>
      <c r="AG638" s="156"/>
      <c r="AH638" s="267"/>
    </row>
    <row r="639" spans="1:58" s="1" customFormat="1" ht="15.75" customHeight="1" x14ac:dyDescent="0.15">
      <c r="A639" s="73" t="str">
        <f>IF(LEN(E639)+LEN(T639)=0,"×","")</f>
        <v/>
      </c>
      <c r="E639" s="412">
        <v>3</v>
      </c>
      <c r="F639" s="398"/>
      <c r="G639" s="398"/>
      <c r="H639" s="349">
        <v>0</v>
      </c>
      <c r="I639" s="349"/>
      <c r="J639" s="349"/>
      <c r="K639" s="349"/>
      <c r="L639" s="125">
        <v>3</v>
      </c>
      <c r="M639" s="125"/>
      <c r="N639" s="125"/>
      <c r="O639" s="350">
        <f>IF(H639="","",H639*AD$655)</f>
        <v>0</v>
      </c>
      <c r="P639" s="350"/>
      <c r="Q639" s="350"/>
      <c r="R639" s="350"/>
      <c r="S639" s="351"/>
      <c r="T639" s="397">
        <v>3</v>
      </c>
      <c r="U639" s="398"/>
      <c r="V639" s="398"/>
      <c r="W639" s="349">
        <v>0</v>
      </c>
      <c r="X639" s="349"/>
      <c r="Y639" s="349"/>
      <c r="Z639" s="349"/>
      <c r="AA639" s="125">
        <v>3</v>
      </c>
      <c r="AB639" s="125"/>
      <c r="AC639" s="125"/>
      <c r="AD639" s="350">
        <f>IF(W639="","",W639*AD$655)</f>
        <v>0</v>
      </c>
      <c r="AE639" s="350"/>
      <c r="AF639" s="350"/>
      <c r="AG639" s="350"/>
      <c r="AH639" s="352"/>
    </row>
    <row r="640" spans="1:58" s="1" customFormat="1" ht="15.75" customHeight="1" x14ac:dyDescent="0.15">
      <c r="A640" s="73" t="str">
        <f t="shared" ref="A640:A654" si="51">IF(LEN(E640)+LEN(T640)=0,"×","")</f>
        <v/>
      </c>
      <c r="E640" s="413">
        <v>4</v>
      </c>
      <c r="F640" s="372"/>
      <c r="G640" s="372"/>
      <c r="H640" s="353">
        <v>2862</v>
      </c>
      <c r="I640" s="353"/>
      <c r="J640" s="353"/>
      <c r="K640" s="353"/>
      <c r="L640" s="103">
        <v>5</v>
      </c>
      <c r="M640" s="103"/>
      <c r="N640" s="103"/>
      <c r="O640" s="354">
        <f t="shared" ref="O640:O654" si="52">IF(H640="","",H640*AD$655)</f>
        <v>8991.2381745739876</v>
      </c>
      <c r="P640" s="354"/>
      <c r="Q640" s="354"/>
      <c r="R640" s="354"/>
      <c r="S640" s="355"/>
      <c r="T640" s="395">
        <v>4</v>
      </c>
      <c r="U640" s="372"/>
      <c r="V640" s="372"/>
      <c r="W640" s="353">
        <v>2862</v>
      </c>
      <c r="X640" s="353"/>
      <c r="Y640" s="353"/>
      <c r="Z640" s="353"/>
      <c r="AA640" s="103">
        <v>5</v>
      </c>
      <c r="AB640" s="103"/>
      <c r="AC640" s="103"/>
      <c r="AD640" s="354">
        <f t="shared" ref="AD640:AD654" si="53">IF(W640="","",W640*AD$655)</f>
        <v>8991.2381745739876</v>
      </c>
      <c r="AE640" s="354"/>
      <c r="AF640" s="354"/>
      <c r="AG640" s="354"/>
      <c r="AH640" s="356"/>
    </row>
    <row r="641" spans="1:37" s="1" customFormat="1" ht="15.75" customHeight="1" x14ac:dyDescent="0.15">
      <c r="A641" s="73" t="str">
        <f t="shared" si="51"/>
        <v/>
      </c>
      <c r="E641" s="413">
        <v>5</v>
      </c>
      <c r="F641" s="372"/>
      <c r="G641" s="372"/>
      <c r="H641" s="353">
        <v>3257</v>
      </c>
      <c r="I641" s="353"/>
      <c r="J641" s="353"/>
      <c r="K641" s="353"/>
      <c r="L641" s="103">
        <v>8</v>
      </c>
      <c r="M641" s="103"/>
      <c r="N641" s="103"/>
      <c r="O641" s="354">
        <f t="shared" si="52"/>
        <v>10232.167272741955</v>
      </c>
      <c r="P641" s="354"/>
      <c r="Q641" s="354"/>
      <c r="R641" s="354"/>
      <c r="S641" s="355"/>
      <c r="T641" s="395">
        <v>5</v>
      </c>
      <c r="U641" s="372"/>
      <c r="V641" s="372"/>
      <c r="W641" s="353">
        <v>3257</v>
      </c>
      <c r="X641" s="353"/>
      <c r="Y641" s="353"/>
      <c r="Z641" s="353"/>
      <c r="AA641" s="103">
        <v>8</v>
      </c>
      <c r="AB641" s="103"/>
      <c r="AC641" s="103"/>
      <c r="AD641" s="354">
        <f t="shared" si="53"/>
        <v>10232.167272741955</v>
      </c>
      <c r="AE641" s="354"/>
      <c r="AF641" s="354"/>
      <c r="AG641" s="354"/>
      <c r="AH641" s="356"/>
    </row>
    <row r="642" spans="1:37" s="1" customFormat="1" ht="15.75" customHeight="1" x14ac:dyDescent="0.15">
      <c r="A642" s="73" t="str">
        <f t="shared" si="51"/>
        <v/>
      </c>
      <c r="E642" s="413">
        <v>6</v>
      </c>
      <c r="F642" s="372"/>
      <c r="G642" s="372"/>
      <c r="H642" s="353">
        <v>4644</v>
      </c>
      <c r="I642" s="353"/>
      <c r="J642" s="353"/>
      <c r="K642" s="353"/>
      <c r="L642" s="103">
        <v>4</v>
      </c>
      <c r="M642" s="103"/>
      <c r="N642" s="103"/>
      <c r="O642" s="354">
        <f t="shared" si="52"/>
        <v>14589.556283270998</v>
      </c>
      <c r="P642" s="354"/>
      <c r="Q642" s="354"/>
      <c r="R642" s="354"/>
      <c r="S642" s="355"/>
      <c r="T642" s="395">
        <v>6</v>
      </c>
      <c r="U642" s="372"/>
      <c r="V642" s="372"/>
      <c r="W642" s="353">
        <v>4644</v>
      </c>
      <c r="X642" s="353"/>
      <c r="Y642" s="353"/>
      <c r="Z642" s="353"/>
      <c r="AA642" s="103">
        <v>4.5</v>
      </c>
      <c r="AB642" s="103"/>
      <c r="AC642" s="103"/>
      <c r="AD642" s="354">
        <f t="shared" si="53"/>
        <v>14589.556283270998</v>
      </c>
      <c r="AE642" s="354"/>
      <c r="AF642" s="354"/>
      <c r="AG642" s="354"/>
      <c r="AH642" s="356"/>
    </row>
    <row r="643" spans="1:37" s="1" customFormat="1" ht="15.75" customHeight="1" x14ac:dyDescent="0.15">
      <c r="A643" s="73" t="str">
        <f t="shared" si="51"/>
        <v/>
      </c>
      <c r="E643" s="413">
        <v>6</v>
      </c>
      <c r="F643" s="372"/>
      <c r="G643" s="372"/>
      <c r="H643" s="353">
        <v>0</v>
      </c>
      <c r="I643" s="353"/>
      <c r="J643" s="353"/>
      <c r="K643" s="353"/>
      <c r="L643" s="103">
        <v>0.5</v>
      </c>
      <c r="M643" s="103"/>
      <c r="N643" s="103"/>
      <c r="O643" s="354">
        <f t="shared" si="52"/>
        <v>0</v>
      </c>
      <c r="P643" s="354"/>
      <c r="Q643" s="354"/>
      <c r="R643" s="354"/>
      <c r="S643" s="355"/>
      <c r="T643" s="395">
        <v>7</v>
      </c>
      <c r="U643" s="372"/>
      <c r="V643" s="372"/>
      <c r="W643" s="353">
        <v>9176</v>
      </c>
      <c r="X643" s="353"/>
      <c r="Y643" s="353"/>
      <c r="Z643" s="353"/>
      <c r="AA643" s="103">
        <v>0.5</v>
      </c>
      <c r="AB643" s="103"/>
      <c r="AC643" s="103"/>
      <c r="AD643" s="354">
        <f t="shared" si="53"/>
        <v>28827.254189339943</v>
      </c>
      <c r="AE643" s="354"/>
      <c r="AF643" s="354"/>
      <c r="AG643" s="354"/>
      <c r="AH643" s="356"/>
    </row>
    <row r="644" spans="1:37" s="1" customFormat="1" ht="15.75" customHeight="1" x14ac:dyDescent="0.15">
      <c r="A644" s="73" t="str">
        <f t="shared" si="51"/>
        <v/>
      </c>
      <c r="E644" s="413">
        <v>7</v>
      </c>
      <c r="F644" s="372"/>
      <c r="G644" s="372"/>
      <c r="H644" s="353">
        <v>0</v>
      </c>
      <c r="I644" s="353"/>
      <c r="J644" s="353"/>
      <c r="K644" s="353"/>
      <c r="L644" s="103">
        <v>0.5</v>
      </c>
      <c r="M644" s="103"/>
      <c r="N644" s="103"/>
      <c r="O644" s="354">
        <f t="shared" si="52"/>
        <v>0</v>
      </c>
      <c r="P644" s="354"/>
      <c r="Q644" s="354"/>
      <c r="R644" s="354"/>
      <c r="S644" s="355"/>
      <c r="T644" s="395"/>
      <c r="U644" s="372"/>
      <c r="V644" s="372"/>
      <c r="W644" s="353"/>
      <c r="X644" s="353"/>
      <c r="Y644" s="353"/>
      <c r="Z644" s="353"/>
      <c r="AA644" s="103"/>
      <c r="AB644" s="103"/>
      <c r="AC644" s="103"/>
      <c r="AD644" s="354" t="str">
        <f t="shared" si="53"/>
        <v/>
      </c>
      <c r="AE644" s="354"/>
      <c r="AF644" s="354"/>
      <c r="AG644" s="354"/>
      <c r="AH644" s="356"/>
    </row>
    <row r="645" spans="1:37" s="1" customFormat="1" ht="15.75" customHeight="1" x14ac:dyDescent="0.15">
      <c r="A645" s="73" t="str">
        <f t="shared" si="51"/>
        <v>×</v>
      </c>
      <c r="E645" s="413"/>
      <c r="F645" s="372"/>
      <c r="G645" s="372"/>
      <c r="H645" s="353"/>
      <c r="I645" s="353"/>
      <c r="J645" s="353"/>
      <c r="K645" s="353"/>
      <c r="L645" s="103"/>
      <c r="M645" s="103"/>
      <c r="N645" s="103"/>
      <c r="O645" s="354" t="str">
        <f t="shared" si="52"/>
        <v/>
      </c>
      <c r="P645" s="354"/>
      <c r="Q645" s="354"/>
      <c r="R645" s="354"/>
      <c r="S645" s="355"/>
      <c r="T645" s="395"/>
      <c r="U645" s="372"/>
      <c r="V645" s="372"/>
      <c r="W645" s="353"/>
      <c r="X645" s="353"/>
      <c r="Y645" s="353"/>
      <c r="Z645" s="353"/>
      <c r="AA645" s="103"/>
      <c r="AB645" s="103"/>
      <c r="AC645" s="103"/>
      <c r="AD645" s="354" t="str">
        <f t="shared" si="53"/>
        <v/>
      </c>
      <c r="AE645" s="354"/>
      <c r="AF645" s="354"/>
      <c r="AG645" s="354"/>
      <c r="AH645" s="356"/>
    </row>
    <row r="646" spans="1:37" s="1" customFormat="1" ht="15.75" customHeight="1" x14ac:dyDescent="0.15">
      <c r="A646" s="73" t="str">
        <f t="shared" si="51"/>
        <v>×</v>
      </c>
      <c r="E646" s="413"/>
      <c r="F646" s="372"/>
      <c r="G646" s="372"/>
      <c r="H646" s="353"/>
      <c r="I646" s="353"/>
      <c r="J646" s="353"/>
      <c r="K646" s="353"/>
      <c r="L646" s="103"/>
      <c r="M646" s="103"/>
      <c r="N646" s="103"/>
      <c r="O646" s="354" t="str">
        <f t="shared" si="52"/>
        <v/>
      </c>
      <c r="P646" s="354"/>
      <c r="Q646" s="354"/>
      <c r="R646" s="354"/>
      <c r="S646" s="355"/>
      <c r="T646" s="395"/>
      <c r="U646" s="372"/>
      <c r="V646" s="372"/>
      <c r="W646" s="353"/>
      <c r="X646" s="353"/>
      <c r="Y646" s="353"/>
      <c r="Z646" s="353"/>
      <c r="AA646" s="103"/>
      <c r="AB646" s="103"/>
      <c r="AC646" s="103"/>
      <c r="AD646" s="354" t="str">
        <f t="shared" si="53"/>
        <v/>
      </c>
      <c r="AE646" s="354"/>
      <c r="AF646" s="354"/>
      <c r="AG646" s="354"/>
      <c r="AH646" s="356"/>
    </row>
    <row r="647" spans="1:37" s="1" customFormat="1" ht="15.75" customHeight="1" x14ac:dyDescent="0.15">
      <c r="A647" s="73" t="str">
        <f t="shared" si="51"/>
        <v>×</v>
      </c>
      <c r="E647" s="413"/>
      <c r="F647" s="372"/>
      <c r="G647" s="372"/>
      <c r="H647" s="353"/>
      <c r="I647" s="353"/>
      <c r="J647" s="353"/>
      <c r="K647" s="353"/>
      <c r="L647" s="103"/>
      <c r="M647" s="103"/>
      <c r="N647" s="103"/>
      <c r="O647" s="354" t="str">
        <f t="shared" si="52"/>
        <v/>
      </c>
      <c r="P647" s="354"/>
      <c r="Q647" s="354"/>
      <c r="R647" s="354"/>
      <c r="S647" s="355"/>
      <c r="T647" s="395"/>
      <c r="U647" s="372"/>
      <c r="V647" s="372"/>
      <c r="W647" s="353"/>
      <c r="X647" s="353"/>
      <c r="Y647" s="353"/>
      <c r="Z647" s="353"/>
      <c r="AA647" s="103"/>
      <c r="AB647" s="103"/>
      <c r="AC647" s="103"/>
      <c r="AD647" s="354" t="str">
        <f t="shared" si="53"/>
        <v/>
      </c>
      <c r="AE647" s="354"/>
      <c r="AF647" s="354"/>
      <c r="AG647" s="354"/>
      <c r="AH647" s="356"/>
    </row>
    <row r="648" spans="1:37" s="1" customFormat="1" ht="15.75" customHeight="1" x14ac:dyDescent="0.15">
      <c r="A648" s="73" t="str">
        <f t="shared" si="51"/>
        <v>×</v>
      </c>
      <c r="E648" s="413"/>
      <c r="F648" s="372"/>
      <c r="G648" s="372"/>
      <c r="H648" s="353"/>
      <c r="I648" s="353"/>
      <c r="J648" s="353"/>
      <c r="K648" s="353"/>
      <c r="L648" s="103"/>
      <c r="M648" s="103"/>
      <c r="N648" s="103"/>
      <c r="O648" s="354" t="str">
        <f t="shared" si="52"/>
        <v/>
      </c>
      <c r="P648" s="354"/>
      <c r="Q648" s="354"/>
      <c r="R648" s="354"/>
      <c r="S648" s="355"/>
      <c r="T648" s="395"/>
      <c r="U648" s="372"/>
      <c r="V648" s="372"/>
      <c r="W648" s="353"/>
      <c r="X648" s="353"/>
      <c r="Y648" s="353"/>
      <c r="Z648" s="353"/>
      <c r="AA648" s="103"/>
      <c r="AB648" s="103"/>
      <c r="AC648" s="103"/>
      <c r="AD648" s="354" t="str">
        <f t="shared" si="53"/>
        <v/>
      </c>
      <c r="AE648" s="354"/>
      <c r="AF648" s="354"/>
      <c r="AG648" s="354"/>
      <c r="AH648" s="356"/>
    </row>
    <row r="649" spans="1:37" s="1" customFormat="1" ht="15.75" customHeight="1" x14ac:dyDescent="0.15">
      <c r="A649" s="73" t="str">
        <f t="shared" si="51"/>
        <v>×</v>
      </c>
      <c r="E649" s="413"/>
      <c r="F649" s="372"/>
      <c r="G649" s="372"/>
      <c r="H649" s="353"/>
      <c r="I649" s="353"/>
      <c r="J649" s="353"/>
      <c r="K649" s="353"/>
      <c r="L649" s="103"/>
      <c r="M649" s="103"/>
      <c r="N649" s="103"/>
      <c r="O649" s="354" t="str">
        <f t="shared" si="52"/>
        <v/>
      </c>
      <c r="P649" s="354"/>
      <c r="Q649" s="354"/>
      <c r="R649" s="354"/>
      <c r="S649" s="355"/>
      <c r="T649" s="395"/>
      <c r="U649" s="372"/>
      <c r="V649" s="372"/>
      <c r="W649" s="353"/>
      <c r="X649" s="353"/>
      <c r="Y649" s="353"/>
      <c r="Z649" s="353"/>
      <c r="AA649" s="103"/>
      <c r="AB649" s="103"/>
      <c r="AC649" s="103"/>
      <c r="AD649" s="354" t="str">
        <f t="shared" si="53"/>
        <v/>
      </c>
      <c r="AE649" s="354"/>
      <c r="AF649" s="354"/>
      <c r="AG649" s="354"/>
      <c r="AH649" s="356"/>
    </row>
    <row r="650" spans="1:37" s="1" customFormat="1" ht="15.75" customHeight="1" x14ac:dyDescent="0.15">
      <c r="A650" s="73" t="str">
        <f t="shared" si="51"/>
        <v>×</v>
      </c>
      <c r="E650" s="413"/>
      <c r="F650" s="372"/>
      <c r="G650" s="372"/>
      <c r="H650" s="353"/>
      <c r="I650" s="353"/>
      <c r="J650" s="353"/>
      <c r="K650" s="353"/>
      <c r="L650" s="103"/>
      <c r="M650" s="103"/>
      <c r="N650" s="103"/>
      <c r="O650" s="354" t="str">
        <f t="shared" si="52"/>
        <v/>
      </c>
      <c r="P650" s="354"/>
      <c r="Q650" s="354"/>
      <c r="R650" s="354"/>
      <c r="S650" s="355"/>
      <c r="T650" s="395"/>
      <c r="U650" s="372"/>
      <c r="V650" s="372"/>
      <c r="W650" s="353"/>
      <c r="X650" s="353"/>
      <c r="Y650" s="353"/>
      <c r="Z650" s="353"/>
      <c r="AA650" s="103"/>
      <c r="AB650" s="103"/>
      <c r="AC650" s="103"/>
      <c r="AD650" s="354" t="str">
        <f t="shared" si="53"/>
        <v/>
      </c>
      <c r="AE650" s="354"/>
      <c r="AF650" s="354"/>
      <c r="AG650" s="354"/>
      <c r="AH650" s="356"/>
    </row>
    <row r="651" spans="1:37" s="1" customFormat="1" ht="15.75" customHeight="1" x14ac:dyDescent="0.15">
      <c r="A651" s="73" t="str">
        <f t="shared" si="51"/>
        <v>×</v>
      </c>
      <c r="E651" s="413"/>
      <c r="F651" s="372"/>
      <c r="G651" s="372"/>
      <c r="H651" s="353"/>
      <c r="I651" s="353"/>
      <c r="J651" s="353"/>
      <c r="K651" s="353"/>
      <c r="L651" s="103"/>
      <c r="M651" s="103"/>
      <c r="N651" s="103"/>
      <c r="O651" s="354" t="str">
        <f t="shared" si="52"/>
        <v/>
      </c>
      <c r="P651" s="354"/>
      <c r="Q651" s="354"/>
      <c r="R651" s="354"/>
      <c r="S651" s="355"/>
      <c r="T651" s="395"/>
      <c r="U651" s="372"/>
      <c r="V651" s="372"/>
      <c r="W651" s="353"/>
      <c r="X651" s="353"/>
      <c r="Y651" s="353"/>
      <c r="Z651" s="353"/>
      <c r="AA651" s="103"/>
      <c r="AB651" s="103"/>
      <c r="AC651" s="103"/>
      <c r="AD651" s="354" t="str">
        <f t="shared" si="53"/>
        <v/>
      </c>
      <c r="AE651" s="354"/>
      <c r="AF651" s="354"/>
      <c r="AG651" s="354"/>
      <c r="AH651" s="356"/>
    </row>
    <row r="652" spans="1:37" s="1" customFormat="1" ht="15.75" customHeight="1" x14ac:dyDescent="0.15">
      <c r="A652" s="73" t="str">
        <f t="shared" si="51"/>
        <v>×</v>
      </c>
      <c r="E652" s="413"/>
      <c r="F652" s="372"/>
      <c r="G652" s="372"/>
      <c r="H652" s="353"/>
      <c r="I652" s="353"/>
      <c r="J652" s="353"/>
      <c r="K652" s="353"/>
      <c r="L652" s="103"/>
      <c r="M652" s="103"/>
      <c r="N652" s="103"/>
      <c r="O652" s="354" t="str">
        <f t="shared" si="52"/>
        <v/>
      </c>
      <c r="P652" s="354"/>
      <c r="Q652" s="354"/>
      <c r="R652" s="354"/>
      <c r="S652" s="355"/>
      <c r="T652" s="395"/>
      <c r="U652" s="372"/>
      <c r="V652" s="372"/>
      <c r="W652" s="353"/>
      <c r="X652" s="353"/>
      <c r="Y652" s="353"/>
      <c r="Z652" s="353"/>
      <c r="AA652" s="103"/>
      <c r="AB652" s="103"/>
      <c r="AC652" s="103"/>
      <c r="AD652" s="354" t="str">
        <f t="shared" si="53"/>
        <v/>
      </c>
      <c r="AE652" s="354"/>
      <c r="AF652" s="354"/>
      <c r="AG652" s="354"/>
      <c r="AH652" s="356"/>
    </row>
    <row r="653" spans="1:37" s="1" customFormat="1" ht="15.75" customHeight="1" x14ac:dyDescent="0.15">
      <c r="A653" s="73" t="str">
        <f t="shared" si="51"/>
        <v>×</v>
      </c>
      <c r="E653" s="413"/>
      <c r="F653" s="372"/>
      <c r="G653" s="372"/>
      <c r="H653" s="353"/>
      <c r="I653" s="353"/>
      <c r="J653" s="353"/>
      <c r="K653" s="353"/>
      <c r="L653" s="103"/>
      <c r="M653" s="103"/>
      <c r="N653" s="103"/>
      <c r="O653" s="354" t="str">
        <f t="shared" si="52"/>
        <v/>
      </c>
      <c r="P653" s="354"/>
      <c r="Q653" s="354"/>
      <c r="R653" s="354"/>
      <c r="S653" s="355"/>
      <c r="T653" s="395"/>
      <c r="U653" s="372"/>
      <c r="V653" s="372"/>
      <c r="W653" s="353"/>
      <c r="X653" s="353"/>
      <c r="Y653" s="353"/>
      <c r="Z653" s="353"/>
      <c r="AA653" s="103"/>
      <c r="AB653" s="103"/>
      <c r="AC653" s="103"/>
      <c r="AD653" s="354" t="str">
        <f t="shared" si="53"/>
        <v/>
      </c>
      <c r="AE653" s="354"/>
      <c r="AF653" s="354"/>
      <c r="AG653" s="354"/>
      <c r="AH653" s="356"/>
    </row>
    <row r="654" spans="1:37" s="1" customFormat="1" ht="15.75" customHeight="1" x14ac:dyDescent="0.15">
      <c r="A654" s="73" t="str">
        <f t="shared" si="51"/>
        <v>×</v>
      </c>
      <c r="E654" s="414"/>
      <c r="F654" s="373"/>
      <c r="G654" s="373"/>
      <c r="H654" s="357"/>
      <c r="I654" s="357"/>
      <c r="J654" s="357"/>
      <c r="K654" s="357"/>
      <c r="L654" s="104"/>
      <c r="M654" s="104"/>
      <c r="N654" s="104"/>
      <c r="O654" s="358" t="str">
        <f t="shared" si="52"/>
        <v/>
      </c>
      <c r="P654" s="358"/>
      <c r="Q654" s="358"/>
      <c r="R654" s="358"/>
      <c r="S654" s="359"/>
      <c r="T654" s="396"/>
      <c r="U654" s="373"/>
      <c r="V654" s="373"/>
      <c r="W654" s="357"/>
      <c r="X654" s="357"/>
      <c r="Y654" s="357"/>
      <c r="Z654" s="357"/>
      <c r="AA654" s="104"/>
      <c r="AB654" s="104"/>
      <c r="AC654" s="104"/>
      <c r="AD654" s="358" t="str">
        <f t="shared" si="53"/>
        <v/>
      </c>
      <c r="AE654" s="358"/>
      <c r="AF654" s="358"/>
      <c r="AG654" s="358"/>
      <c r="AH654" s="360"/>
    </row>
    <row r="655" spans="1:37" s="1" customFormat="1" ht="15.75" customHeight="1" x14ac:dyDescent="0.15">
      <c r="E655" s="8"/>
      <c r="F655" s="8"/>
      <c r="G655" s="8"/>
      <c r="H655" s="8"/>
      <c r="I655" s="8"/>
      <c r="J655" s="8"/>
      <c r="K655" s="8"/>
      <c r="L655" s="8"/>
      <c r="M655" s="8"/>
      <c r="N655" s="8"/>
      <c r="O655" s="8"/>
      <c r="P655" s="8"/>
      <c r="AA655" s="2" t="s">
        <v>127</v>
      </c>
      <c r="AB655" s="1" t="s">
        <v>548</v>
      </c>
      <c r="AC655" s="76" t="s">
        <v>27</v>
      </c>
      <c r="AD655" s="304">
        <f>PI()*Q92</f>
        <v>3.1415926535897931</v>
      </c>
      <c r="AE655" s="304"/>
      <c r="AF655" s="304"/>
      <c r="AG655" s="7" t="s">
        <v>549</v>
      </c>
      <c r="AH655" s="76" t="s">
        <v>158</v>
      </c>
    </row>
    <row r="656" spans="1:37" s="1" customFormat="1" ht="15.75" customHeight="1" x14ac:dyDescent="0.15">
      <c r="J656" s="76"/>
      <c r="K656" s="76"/>
      <c r="L656" s="76"/>
      <c r="M656" s="9"/>
      <c r="N656" s="9"/>
      <c r="O656" s="9"/>
      <c r="P656" s="76"/>
      <c r="Q656" s="76"/>
      <c r="R656" s="76"/>
      <c r="S656" s="76"/>
      <c r="T656" s="9"/>
      <c r="U656" s="9"/>
      <c r="AG656" s="8"/>
      <c r="AH656" s="8"/>
      <c r="AI656" s="8"/>
      <c r="AJ656" s="8"/>
      <c r="AK656" s="8"/>
    </row>
    <row r="657" spans="1:39" s="1" customFormat="1" ht="15.75" customHeight="1" x14ac:dyDescent="0.15">
      <c r="T657" s="8"/>
      <c r="U657" s="8"/>
      <c r="V657" s="8"/>
      <c r="W657" s="8"/>
      <c r="X657" s="8"/>
      <c r="Y657" s="8"/>
      <c r="Z657" s="8"/>
      <c r="AA657" s="8"/>
      <c r="AB657" s="8"/>
      <c r="AC657" s="8"/>
      <c r="AD657" s="8"/>
      <c r="AE657" s="8"/>
      <c r="AF657" s="8"/>
      <c r="AG657" s="8"/>
      <c r="AH657" s="8"/>
      <c r="AI657" s="8"/>
      <c r="AJ657" s="8"/>
      <c r="AK657" s="8"/>
      <c r="AL657" s="8"/>
      <c r="AM657" s="8"/>
    </row>
    <row r="658" spans="1:39" s="1" customFormat="1" ht="15.75" customHeight="1" x14ac:dyDescent="0.15">
      <c r="E658" s="61" t="s">
        <v>551</v>
      </c>
      <c r="F658" s="302"/>
      <c r="G658" s="302"/>
      <c r="H658" s="302"/>
      <c r="I658" s="61"/>
      <c r="J658" s="61"/>
      <c r="K658" s="61"/>
      <c r="L658" s="61"/>
      <c r="M658" s="61"/>
      <c r="N658" s="61"/>
      <c r="O658" s="61"/>
      <c r="P658" s="61"/>
      <c r="Q658" s="61"/>
      <c r="R658" s="61"/>
      <c r="S658" s="61"/>
      <c r="T658" s="61"/>
      <c r="U658" s="61"/>
      <c r="V658" s="61"/>
      <c r="W658" s="61"/>
      <c r="X658" s="61"/>
      <c r="Y658" s="61"/>
      <c r="Z658" s="61"/>
      <c r="AA658" s="61"/>
      <c r="AB658" s="61"/>
      <c r="AC658" s="61"/>
      <c r="AD658" s="61"/>
      <c r="AE658" s="61"/>
      <c r="AF658" s="61"/>
      <c r="AG658" s="61"/>
      <c r="AH658" s="61"/>
      <c r="AI658" s="8"/>
    </row>
    <row r="659" spans="1:39" s="1" customFormat="1" ht="15.75" customHeight="1" x14ac:dyDescent="0.15">
      <c r="E659" s="294" t="s">
        <v>546</v>
      </c>
      <c r="F659" s="292"/>
      <c r="G659" s="292"/>
      <c r="H659" s="292"/>
      <c r="I659" s="292"/>
      <c r="J659" s="292"/>
      <c r="K659" s="292"/>
      <c r="L659" s="292"/>
      <c r="M659" s="292"/>
      <c r="N659" s="292"/>
      <c r="O659" s="292"/>
      <c r="P659" s="292"/>
      <c r="Q659" s="292"/>
      <c r="R659" s="292"/>
      <c r="S659" s="296"/>
      <c r="T659" s="273" t="s">
        <v>547</v>
      </c>
      <c r="U659" s="131"/>
      <c r="V659" s="131"/>
      <c r="W659" s="131"/>
      <c r="X659" s="131"/>
      <c r="Y659" s="131"/>
      <c r="Z659" s="131"/>
      <c r="AA659" s="131"/>
      <c r="AB659" s="131"/>
      <c r="AC659" s="131"/>
      <c r="AD659" s="131"/>
      <c r="AE659" s="131"/>
      <c r="AF659" s="131"/>
      <c r="AG659" s="131"/>
      <c r="AH659" s="132"/>
    </row>
    <row r="660" spans="1:39" s="1" customFormat="1" ht="15.75" customHeight="1" x14ac:dyDescent="0.15">
      <c r="E660" s="159" t="s">
        <v>78</v>
      </c>
      <c r="F660" s="160"/>
      <c r="G660" s="160"/>
      <c r="H660" s="160" t="s">
        <v>204</v>
      </c>
      <c r="I660" s="160"/>
      <c r="J660" s="160"/>
      <c r="K660" s="160"/>
      <c r="L660" s="291" t="s">
        <v>203</v>
      </c>
      <c r="M660" s="161"/>
      <c r="N660" s="161"/>
      <c r="O660" s="160" t="s">
        <v>545</v>
      </c>
      <c r="P660" s="160"/>
      <c r="Q660" s="160"/>
      <c r="R660" s="160"/>
      <c r="S660" s="223"/>
      <c r="T660" s="213" t="s">
        <v>78</v>
      </c>
      <c r="U660" s="160"/>
      <c r="V660" s="160"/>
      <c r="W660" s="160" t="s">
        <v>204</v>
      </c>
      <c r="X660" s="160"/>
      <c r="Y660" s="160"/>
      <c r="Z660" s="160"/>
      <c r="AA660" s="291" t="s">
        <v>203</v>
      </c>
      <c r="AB660" s="161"/>
      <c r="AC660" s="161"/>
      <c r="AD660" s="160" t="s">
        <v>545</v>
      </c>
      <c r="AE660" s="160"/>
      <c r="AF660" s="160"/>
      <c r="AG660" s="160"/>
      <c r="AH660" s="223"/>
    </row>
    <row r="661" spans="1:39" s="1" customFormat="1" ht="15.75" customHeight="1" x14ac:dyDescent="0.15">
      <c r="E661" s="295"/>
      <c r="F661" s="156"/>
      <c r="G661" s="156"/>
      <c r="H661" s="156"/>
      <c r="I661" s="156"/>
      <c r="J661" s="156"/>
      <c r="K661" s="156"/>
      <c r="L661" s="163"/>
      <c r="M661" s="163"/>
      <c r="N661" s="163"/>
      <c r="O661" s="156"/>
      <c r="P661" s="156"/>
      <c r="Q661" s="156"/>
      <c r="R661" s="156"/>
      <c r="S661" s="267"/>
      <c r="T661" s="290"/>
      <c r="U661" s="156"/>
      <c r="V661" s="156"/>
      <c r="W661" s="156"/>
      <c r="X661" s="156"/>
      <c r="Y661" s="156"/>
      <c r="Z661" s="156"/>
      <c r="AA661" s="163"/>
      <c r="AB661" s="163"/>
      <c r="AC661" s="163"/>
      <c r="AD661" s="156"/>
      <c r="AE661" s="156"/>
      <c r="AF661" s="156"/>
      <c r="AG661" s="156"/>
      <c r="AH661" s="267"/>
    </row>
    <row r="662" spans="1:39" s="1" customFormat="1" ht="15.75" customHeight="1" x14ac:dyDescent="0.15">
      <c r="A662" s="73" t="str">
        <f>IF(LEN(E662)+LEN(T662)=0,"×","")</f>
        <v/>
      </c>
      <c r="E662" s="412">
        <v>3</v>
      </c>
      <c r="F662" s="398"/>
      <c r="G662" s="398"/>
      <c r="H662" s="349">
        <v>2786</v>
      </c>
      <c r="I662" s="349"/>
      <c r="J662" s="349"/>
      <c r="K662" s="349"/>
      <c r="L662" s="125">
        <v>3</v>
      </c>
      <c r="M662" s="125"/>
      <c r="N662" s="125"/>
      <c r="O662" s="350">
        <f>IF(H662="","",H662*AD$678)</f>
        <v>8752.4771329011637</v>
      </c>
      <c r="P662" s="350"/>
      <c r="Q662" s="350"/>
      <c r="R662" s="350"/>
      <c r="S662" s="351"/>
      <c r="T662" s="397">
        <v>3</v>
      </c>
      <c r="U662" s="398"/>
      <c r="V662" s="398"/>
      <c r="W662" s="349">
        <v>2786</v>
      </c>
      <c r="X662" s="349"/>
      <c r="Y662" s="349"/>
      <c r="Z662" s="349"/>
      <c r="AA662" s="125">
        <v>3</v>
      </c>
      <c r="AB662" s="125"/>
      <c r="AC662" s="125"/>
      <c r="AD662" s="350">
        <f>IF(W662="","",W662*AD$678)</f>
        <v>8752.4771329011637</v>
      </c>
      <c r="AE662" s="350"/>
      <c r="AF662" s="350"/>
      <c r="AG662" s="350"/>
      <c r="AH662" s="352"/>
    </row>
    <row r="663" spans="1:39" s="1" customFormat="1" ht="15.75" customHeight="1" x14ac:dyDescent="0.15">
      <c r="A663" s="73" t="str">
        <f t="shared" ref="A663:A677" si="54">IF(LEN(E663)+LEN(T663)=0,"×","")</f>
        <v/>
      </c>
      <c r="E663" s="413">
        <v>4</v>
      </c>
      <c r="F663" s="372"/>
      <c r="G663" s="372"/>
      <c r="H663" s="353">
        <v>5724</v>
      </c>
      <c r="I663" s="353"/>
      <c r="J663" s="353"/>
      <c r="K663" s="353"/>
      <c r="L663" s="103">
        <v>5</v>
      </c>
      <c r="M663" s="103"/>
      <c r="N663" s="103"/>
      <c r="O663" s="354">
        <f t="shared" ref="O663:O677" si="55">IF(H663="","",H663*AD$678)</f>
        <v>17982.476349147975</v>
      </c>
      <c r="P663" s="354"/>
      <c r="Q663" s="354"/>
      <c r="R663" s="354"/>
      <c r="S663" s="355"/>
      <c r="T663" s="395">
        <v>4</v>
      </c>
      <c r="U663" s="372"/>
      <c r="V663" s="372"/>
      <c r="W663" s="353">
        <v>5724</v>
      </c>
      <c r="X663" s="353"/>
      <c r="Y663" s="353"/>
      <c r="Z663" s="353"/>
      <c r="AA663" s="103">
        <v>5</v>
      </c>
      <c r="AB663" s="103"/>
      <c r="AC663" s="103"/>
      <c r="AD663" s="354">
        <f t="shared" ref="AD663:AD677" si="56">IF(W663="","",W663*AD$678)</f>
        <v>17982.476349147975</v>
      </c>
      <c r="AE663" s="354"/>
      <c r="AF663" s="354"/>
      <c r="AG663" s="354"/>
      <c r="AH663" s="356"/>
    </row>
    <row r="664" spans="1:39" s="1" customFormat="1" ht="15.75" customHeight="1" x14ac:dyDescent="0.15">
      <c r="A664" s="73" t="str">
        <f t="shared" si="54"/>
        <v/>
      </c>
      <c r="E664" s="413">
        <v>5</v>
      </c>
      <c r="F664" s="372"/>
      <c r="G664" s="372"/>
      <c r="H664" s="353">
        <v>6514</v>
      </c>
      <c r="I664" s="353"/>
      <c r="J664" s="353"/>
      <c r="K664" s="353"/>
      <c r="L664" s="103">
        <v>8</v>
      </c>
      <c r="M664" s="103"/>
      <c r="N664" s="103"/>
      <c r="O664" s="354">
        <f t="shared" si="55"/>
        <v>20464.334545483911</v>
      </c>
      <c r="P664" s="354"/>
      <c r="Q664" s="354"/>
      <c r="R664" s="354"/>
      <c r="S664" s="355"/>
      <c r="T664" s="395">
        <v>5</v>
      </c>
      <c r="U664" s="372"/>
      <c r="V664" s="372"/>
      <c r="W664" s="353">
        <v>6514</v>
      </c>
      <c r="X664" s="353"/>
      <c r="Y664" s="353"/>
      <c r="Z664" s="353"/>
      <c r="AA664" s="103">
        <v>8</v>
      </c>
      <c r="AB664" s="103"/>
      <c r="AC664" s="103"/>
      <c r="AD664" s="354">
        <f t="shared" si="56"/>
        <v>20464.334545483911</v>
      </c>
      <c r="AE664" s="354"/>
      <c r="AF664" s="354"/>
      <c r="AG664" s="354"/>
      <c r="AH664" s="356"/>
    </row>
    <row r="665" spans="1:39" s="1" customFormat="1" ht="15.75" customHeight="1" x14ac:dyDescent="0.15">
      <c r="A665" s="73" t="str">
        <f t="shared" si="54"/>
        <v/>
      </c>
      <c r="E665" s="413">
        <v>6</v>
      </c>
      <c r="F665" s="372"/>
      <c r="G665" s="372"/>
      <c r="H665" s="353">
        <v>9288</v>
      </c>
      <c r="I665" s="353"/>
      <c r="J665" s="353"/>
      <c r="K665" s="353"/>
      <c r="L665" s="103">
        <v>4</v>
      </c>
      <c r="M665" s="103"/>
      <c r="N665" s="103"/>
      <c r="O665" s="354">
        <f t="shared" si="55"/>
        <v>29179.112566541997</v>
      </c>
      <c r="P665" s="354"/>
      <c r="Q665" s="354"/>
      <c r="R665" s="354"/>
      <c r="S665" s="355"/>
      <c r="T665" s="395">
        <v>6</v>
      </c>
      <c r="U665" s="372"/>
      <c r="V665" s="372"/>
      <c r="W665" s="353">
        <v>9288</v>
      </c>
      <c r="X665" s="353"/>
      <c r="Y665" s="353"/>
      <c r="Z665" s="353"/>
      <c r="AA665" s="103">
        <v>4.5</v>
      </c>
      <c r="AB665" s="103"/>
      <c r="AC665" s="103"/>
      <c r="AD665" s="354">
        <f t="shared" si="56"/>
        <v>29179.112566541997</v>
      </c>
      <c r="AE665" s="354"/>
      <c r="AF665" s="354"/>
      <c r="AG665" s="354"/>
      <c r="AH665" s="356"/>
    </row>
    <row r="666" spans="1:39" s="1" customFormat="1" ht="15.75" customHeight="1" x14ac:dyDescent="0.15">
      <c r="A666" s="73" t="str">
        <f t="shared" si="54"/>
        <v/>
      </c>
      <c r="E666" s="413">
        <v>6</v>
      </c>
      <c r="F666" s="372"/>
      <c r="G666" s="372"/>
      <c r="H666" s="353">
        <v>0</v>
      </c>
      <c r="I666" s="353"/>
      <c r="J666" s="353"/>
      <c r="K666" s="353"/>
      <c r="L666" s="103">
        <v>0.5</v>
      </c>
      <c r="M666" s="103"/>
      <c r="N666" s="103"/>
      <c r="O666" s="354">
        <f>IF(H666="","",H666*AD$678)</f>
        <v>0</v>
      </c>
      <c r="P666" s="354"/>
      <c r="Q666" s="354"/>
      <c r="R666" s="354"/>
      <c r="S666" s="355"/>
      <c r="T666" s="395">
        <v>7</v>
      </c>
      <c r="U666" s="372"/>
      <c r="V666" s="372"/>
      <c r="W666" s="353">
        <v>18352</v>
      </c>
      <c r="X666" s="353"/>
      <c r="Y666" s="353"/>
      <c r="Z666" s="353"/>
      <c r="AA666" s="103">
        <v>0.5</v>
      </c>
      <c r="AB666" s="103"/>
      <c r="AC666" s="103"/>
      <c r="AD666" s="354">
        <f t="shared" si="56"/>
        <v>57654.508378679886</v>
      </c>
      <c r="AE666" s="354"/>
      <c r="AF666" s="354"/>
      <c r="AG666" s="354"/>
      <c r="AH666" s="356"/>
    </row>
    <row r="667" spans="1:39" s="1" customFormat="1" ht="15.75" customHeight="1" x14ac:dyDescent="0.15">
      <c r="A667" s="73" t="str">
        <f t="shared" si="54"/>
        <v/>
      </c>
      <c r="E667" s="413">
        <v>7</v>
      </c>
      <c r="F667" s="372"/>
      <c r="G667" s="372"/>
      <c r="H667" s="353">
        <v>0</v>
      </c>
      <c r="I667" s="353"/>
      <c r="J667" s="353"/>
      <c r="K667" s="353"/>
      <c r="L667" s="103">
        <v>0.5</v>
      </c>
      <c r="M667" s="103"/>
      <c r="N667" s="103"/>
      <c r="O667" s="354">
        <f t="shared" si="55"/>
        <v>0</v>
      </c>
      <c r="P667" s="354"/>
      <c r="Q667" s="354"/>
      <c r="R667" s="354"/>
      <c r="S667" s="355"/>
      <c r="T667" s="395"/>
      <c r="U667" s="372"/>
      <c r="V667" s="372"/>
      <c r="W667" s="353"/>
      <c r="X667" s="353"/>
      <c r="Y667" s="353"/>
      <c r="Z667" s="353"/>
      <c r="AA667" s="103"/>
      <c r="AB667" s="103"/>
      <c r="AC667" s="103"/>
      <c r="AD667" s="354" t="str">
        <f t="shared" si="56"/>
        <v/>
      </c>
      <c r="AE667" s="354"/>
      <c r="AF667" s="354"/>
      <c r="AG667" s="354"/>
      <c r="AH667" s="356"/>
    </row>
    <row r="668" spans="1:39" s="1" customFormat="1" ht="15.75" customHeight="1" x14ac:dyDescent="0.15">
      <c r="A668" s="73" t="str">
        <f t="shared" si="54"/>
        <v>×</v>
      </c>
      <c r="E668" s="413"/>
      <c r="F668" s="372"/>
      <c r="G668" s="372"/>
      <c r="H668" s="353"/>
      <c r="I668" s="353"/>
      <c r="J668" s="353"/>
      <c r="K668" s="353"/>
      <c r="L668" s="103"/>
      <c r="M668" s="103"/>
      <c r="N668" s="103"/>
      <c r="O668" s="354" t="str">
        <f t="shared" si="55"/>
        <v/>
      </c>
      <c r="P668" s="354"/>
      <c r="Q668" s="354"/>
      <c r="R668" s="354"/>
      <c r="S668" s="355"/>
      <c r="T668" s="395"/>
      <c r="U668" s="372"/>
      <c r="V668" s="372"/>
      <c r="W668" s="353"/>
      <c r="X668" s="353"/>
      <c r="Y668" s="353"/>
      <c r="Z668" s="353"/>
      <c r="AA668" s="103"/>
      <c r="AB668" s="103"/>
      <c r="AC668" s="103"/>
      <c r="AD668" s="354" t="str">
        <f t="shared" si="56"/>
        <v/>
      </c>
      <c r="AE668" s="354"/>
      <c r="AF668" s="354"/>
      <c r="AG668" s="354"/>
      <c r="AH668" s="356"/>
    </row>
    <row r="669" spans="1:39" s="1" customFormat="1" ht="15.75" customHeight="1" x14ac:dyDescent="0.15">
      <c r="A669" s="73" t="str">
        <f t="shared" si="54"/>
        <v>×</v>
      </c>
      <c r="E669" s="413"/>
      <c r="F669" s="372"/>
      <c r="G669" s="372"/>
      <c r="H669" s="353"/>
      <c r="I669" s="353"/>
      <c r="J669" s="353"/>
      <c r="K669" s="353"/>
      <c r="L669" s="103"/>
      <c r="M669" s="103"/>
      <c r="N669" s="103"/>
      <c r="O669" s="354" t="str">
        <f t="shared" si="55"/>
        <v/>
      </c>
      <c r="P669" s="354"/>
      <c r="Q669" s="354"/>
      <c r="R669" s="354"/>
      <c r="S669" s="355"/>
      <c r="T669" s="395"/>
      <c r="U669" s="372"/>
      <c r="V669" s="372"/>
      <c r="W669" s="353"/>
      <c r="X669" s="353"/>
      <c r="Y669" s="353"/>
      <c r="Z669" s="353"/>
      <c r="AA669" s="103"/>
      <c r="AB669" s="103"/>
      <c r="AC669" s="103"/>
      <c r="AD669" s="354" t="str">
        <f t="shared" si="56"/>
        <v/>
      </c>
      <c r="AE669" s="354"/>
      <c r="AF669" s="354"/>
      <c r="AG669" s="354"/>
      <c r="AH669" s="356"/>
    </row>
    <row r="670" spans="1:39" s="1" customFormat="1" ht="15.75" customHeight="1" x14ac:dyDescent="0.15">
      <c r="A670" s="73" t="str">
        <f t="shared" si="54"/>
        <v>×</v>
      </c>
      <c r="E670" s="413"/>
      <c r="F670" s="372"/>
      <c r="G670" s="372"/>
      <c r="H670" s="353"/>
      <c r="I670" s="353"/>
      <c r="J670" s="353"/>
      <c r="K670" s="353"/>
      <c r="L670" s="103"/>
      <c r="M670" s="103"/>
      <c r="N670" s="103"/>
      <c r="O670" s="354" t="str">
        <f t="shared" si="55"/>
        <v/>
      </c>
      <c r="P670" s="354"/>
      <c r="Q670" s="354"/>
      <c r="R670" s="354"/>
      <c r="S670" s="355"/>
      <c r="T670" s="395"/>
      <c r="U670" s="372"/>
      <c r="V670" s="372"/>
      <c r="W670" s="353"/>
      <c r="X670" s="353"/>
      <c r="Y670" s="353"/>
      <c r="Z670" s="353"/>
      <c r="AA670" s="103"/>
      <c r="AB670" s="103"/>
      <c r="AC670" s="103"/>
      <c r="AD670" s="354" t="str">
        <f t="shared" si="56"/>
        <v/>
      </c>
      <c r="AE670" s="354"/>
      <c r="AF670" s="354"/>
      <c r="AG670" s="354"/>
      <c r="AH670" s="356"/>
    </row>
    <row r="671" spans="1:39" s="1" customFormat="1" ht="15.75" customHeight="1" x14ac:dyDescent="0.15">
      <c r="A671" s="73" t="str">
        <f t="shared" si="54"/>
        <v>×</v>
      </c>
      <c r="E671" s="413"/>
      <c r="F671" s="372"/>
      <c r="G671" s="372"/>
      <c r="H671" s="353"/>
      <c r="I671" s="353"/>
      <c r="J671" s="353"/>
      <c r="K671" s="353"/>
      <c r="L671" s="103"/>
      <c r="M671" s="103"/>
      <c r="N671" s="103"/>
      <c r="O671" s="354" t="str">
        <f t="shared" si="55"/>
        <v/>
      </c>
      <c r="P671" s="354"/>
      <c r="Q671" s="354"/>
      <c r="R671" s="354"/>
      <c r="S671" s="355"/>
      <c r="T671" s="395"/>
      <c r="U671" s="372"/>
      <c r="V671" s="372"/>
      <c r="W671" s="353"/>
      <c r="X671" s="353"/>
      <c r="Y671" s="353"/>
      <c r="Z671" s="353"/>
      <c r="AA671" s="103"/>
      <c r="AB671" s="103"/>
      <c r="AC671" s="103"/>
      <c r="AD671" s="354" t="str">
        <f t="shared" si="56"/>
        <v/>
      </c>
      <c r="AE671" s="354"/>
      <c r="AF671" s="354"/>
      <c r="AG671" s="354"/>
      <c r="AH671" s="356"/>
    </row>
    <row r="672" spans="1:39" s="1" customFormat="1" ht="15.75" customHeight="1" x14ac:dyDescent="0.15">
      <c r="A672" s="73" t="str">
        <f t="shared" si="54"/>
        <v>×</v>
      </c>
      <c r="E672" s="413"/>
      <c r="F672" s="372"/>
      <c r="G672" s="372"/>
      <c r="H672" s="353"/>
      <c r="I672" s="353"/>
      <c r="J672" s="353"/>
      <c r="K672" s="353"/>
      <c r="L672" s="103"/>
      <c r="M672" s="103"/>
      <c r="N672" s="103"/>
      <c r="O672" s="354" t="str">
        <f t="shared" si="55"/>
        <v/>
      </c>
      <c r="P672" s="354"/>
      <c r="Q672" s="354"/>
      <c r="R672" s="354"/>
      <c r="S672" s="355"/>
      <c r="T672" s="395"/>
      <c r="U672" s="372"/>
      <c r="V672" s="372"/>
      <c r="W672" s="353"/>
      <c r="X672" s="353"/>
      <c r="Y672" s="353"/>
      <c r="Z672" s="353"/>
      <c r="AA672" s="103"/>
      <c r="AB672" s="103"/>
      <c r="AC672" s="103"/>
      <c r="AD672" s="354" t="str">
        <f t="shared" si="56"/>
        <v/>
      </c>
      <c r="AE672" s="354"/>
      <c r="AF672" s="354"/>
      <c r="AG672" s="354"/>
      <c r="AH672" s="356"/>
    </row>
    <row r="673" spans="1:39" s="1" customFormat="1" ht="15.75" customHeight="1" x14ac:dyDescent="0.15">
      <c r="A673" s="73" t="str">
        <f t="shared" si="54"/>
        <v>×</v>
      </c>
      <c r="E673" s="413"/>
      <c r="F673" s="372"/>
      <c r="G673" s="372"/>
      <c r="H673" s="353"/>
      <c r="I673" s="353"/>
      <c r="J673" s="353"/>
      <c r="K673" s="353"/>
      <c r="L673" s="103"/>
      <c r="M673" s="103"/>
      <c r="N673" s="103"/>
      <c r="O673" s="354" t="str">
        <f t="shared" si="55"/>
        <v/>
      </c>
      <c r="P673" s="354"/>
      <c r="Q673" s="354"/>
      <c r="R673" s="354"/>
      <c r="S673" s="355"/>
      <c r="T673" s="395"/>
      <c r="U673" s="372"/>
      <c r="V673" s="372"/>
      <c r="W673" s="353"/>
      <c r="X673" s="353"/>
      <c r="Y673" s="353"/>
      <c r="Z673" s="353"/>
      <c r="AA673" s="103"/>
      <c r="AB673" s="103"/>
      <c r="AC673" s="103"/>
      <c r="AD673" s="354" t="str">
        <f t="shared" si="56"/>
        <v/>
      </c>
      <c r="AE673" s="354"/>
      <c r="AF673" s="354"/>
      <c r="AG673" s="354"/>
      <c r="AH673" s="356"/>
    </row>
    <row r="674" spans="1:39" s="1" customFormat="1" ht="15.75" customHeight="1" x14ac:dyDescent="0.15">
      <c r="A674" s="73" t="str">
        <f t="shared" si="54"/>
        <v>×</v>
      </c>
      <c r="E674" s="413"/>
      <c r="F674" s="372"/>
      <c r="G674" s="372"/>
      <c r="H674" s="353"/>
      <c r="I674" s="353"/>
      <c r="J674" s="353"/>
      <c r="K674" s="353"/>
      <c r="L674" s="103"/>
      <c r="M674" s="103"/>
      <c r="N674" s="103"/>
      <c r="O674" s="354" t="str">
        <f t="shared" si="55"/>
        <v/>
      </c>
      <c r="P674" s="354"/>
      <c r="Q674" s="354"/>
      <c r="R674" s="354"/>
      <c r="S674" s="355"/>
      <c r="T674" s="395"/>
      <c r="U674" s="372"/>
      <c r="V674" s="372"/>
      <c r="W674" s="353"/>
      <c r="X674" s="353"/>
      <c r="Y674" s="353"/>
      <c r="Z674" s="353"/>
      <c r="AA674" s="103"/>
      <c r="AB674" s="103"/>
      <c r="AC674" s="103"/>
      <c r="AD674" s="354" t="str">
        <f t="shared" si="56"/>
        <v/>
      </c>
      <c r="AE674" s="354"/>
      <c r="AF674" s="354"/>
      <c r="AG674" s="354"/>
      <c r="AH674" s="356"/>
    </row>
    <row r="675" spans="1:39" s="1" customFormat="1" ht="15.75" customHeight="1" x14ac:dyDescent="0.15">
      <c r="A675" s="73" t="str">
        <f t="shared" si="54"/>
        <v>×</v>
      </c>
      <c r="E675" s="413"/>
      <c r="F675" s="372"/>
      <c r="G675" s="372"/>
      <c r="H675" s="353"/>
      <c r="I675" s="353"/>
      <c r="J675" s="353"/>
      <c r="K675" s="353"/>
      <c r="L675" s="103"/>
      <c r="M675" s="103"/>
      <c r="N675" s="103"/>
      <c r="O675" s="354" t="str">
        <f t="shared" si="55"/>
        <v/>
      </c>
      <c r="P675" s="354"/>
      <c r="Q675" s="354"/>
      <c r="R675" s="354"/>
      <c r="S675" s="355"/>
      <c r="T675" s="395"/>
      <c r="U675" s="372"/>
      <c r="V675" s="372"/>
      <c r="W675" s="353"/>
      <c r="X675" s="353"/>
      <c r="Y675" s="353"/>
      <c r="Z675" s="353"/>
      <c r="AA675" s="103"/>
      <c r="AB675" s="103"/>
      <c r="AC675" s="103"/>
      <c r="AD675" s="354" t="str">
        <f t="shared" si="56"/>
        <v/>
      </c>
      <c r="AE675" s="354"/>
      <c r="AF675" s="354"/>
      <c r="AG675" s="354"/>
      <c r="AH675" s="356"/>
    </row>
    <row r="676" spans="1:39" s="1" customFormat="1" ht="15.75" customHeight="1" x14ac:dyDescent="0.15">
      <c r="A676" s="73" t="str">
        <f t="shared" si="54"/>
        <v>×</v>
      </c>
      <c r="E676" s="413"/>
      <c r="F676" s="372"/>
      <c r="G676" s="372"/>
      <c r="H676" s="353"/>
      <c r="I676" s="353"/>
      <c r="J676" s="353"/>
      <c r="K676" s="353"/>
      <c r="L676" s="103"/>
      <c r="M676" s="103"/>
      <c r="N676" s="103"/>
      <c r="O676" s="354" t="str">
        <f t="shared" si="55"/>
        <v/>
      </c>
      <c r="P676" s="354"/>
      <c r="Q676" s="354"/>
      <c r="R676" s="354"/>
      <c r="S676" s="355"/>
      <c r="T676" s="395"/>
      <c r="U676" s="372"/>
      <c r="V676" s="372"/>
      <c r="W676" s="353"/>
      <c r="X676" s="353"/>
      <c r="Y676" s="353"/>
      <c r="Z676" s="353"/>
      <c r="AA676" s="103"/>
      <c r="AB676" s="103"/>
      <c r="AC676" s="103"/>
      <c r="AD676" s="354" t="str">
        <f t="shared" si="56"/>
        <v/>
      </c>
      <c r="AE676" s="354"/>
      <c r="AF676" s="354"/>
      <c r="AG676" s="354"/>
      <c r="AH676" s="356"/>
    </row>
    <row r="677" spans="1:39" s="1" customFormat="1" ht="15.75" customHeight="1" x14ac:dyDescent="0.15">
      <c r="A677" s="73" t="str">
        <f t="shared" si="54"/>
        <v>×</v>
      </c>
      <c r="E677" s="414"/>
      <c r="F677" s="373"/>
      <c r="G677" s="373"/>
      <c r="H677" s="357"/>
      <c r="I677" s="357"/>
      <c r="J677" s="357"/>
      <c r="K677" s="357"/>
      <c r="L677" s="104"/>
      <c r="M677" s="104"/>
      <c r="N677" s="104"/>
      <c r="O677" s="358" t="str">
        <f t="shared" si="55"/>
        <v/>
      </c>
      <c r="P677" s="358"/>
      <c r="Q677" s="358"/>
      <c r="R677" s="358"/>
      <c r="S677" s="359"/>
      <c r="T677" s="396"/>
      <c r="U677" s="373"/>
      <c r="V677" s="373"/>
      <c r="W677" s="357"/>
      <c r="X677" s="357"/>
      <c r="Y677" s="357"/>
      <c r="Z677" s="357"/>
      <c r="AA677" s="104"/>
      <c r="AB677" s="104"/>
      <c r="AC677" s="104"/>
      <c r="AD677" s="358" t="str">
        <f t="shared" si="56"/>
        <v/>
      </c>
      <c r="AE677" s="358"/>
      <c r="AF677" s="358"/>
      <c r="AG677" s="358"/>
      <c r="AH677" s="360"/>
    </row>
    <row r="678" spans="1:39" s="1" customFormat="1" ht="15.75" customHeight="1" x14ac:dyDescent="0.15">
      <c r="E678" s="8"/>
      <c r="F678" s="8"/>
      <c r="G678" s="8"/>
      <c r="H678" s="8"/>
      <c r="I678" s="8"/>
      <c r="J678" s="8"/>
      <c r="K678" s="8"/>
      <c r="L678" s="8"/>
      <c r="M678" s="8"/>
      <c r="N678" s="8"/>
      <c r="O678" s="8"/>
      <c r="P678" s="8"/>
      <c r="AA678" s="2" t="s">
        <v>127</v>
      </c>
      <c r="AB678" s="1" t="s">
        <v>548</v>
      </c>
      <c r="AC678" s="76" t="s">
        <v>27</v>
      </c>
      <c r="AD678" s="304">
        <f>AD655</f>
        <v>3.1415926535897931</v>
      </c>
      <c r="AE678" s="304"/>
      <c r="AF678" s="304"/>
      <c r="AG678" s="7" t="s">
        <v>549</v>
      </c>
      <c r="AH678" s="76" t="s">
        <v>158</v>
      </c>
    </row>
    <row r="679" spans="1:39" s="1" customFormat="1" ht="15.75" customHeight="1" x14ac:dyDescent="0.15">
      <c r="J679" s="76"/>
      <c r="K679" s="76"/>
      <c r="L679" s="76"/>
      <c r="M679" s="9"/>
      <c r="N679" s="9"/>
      <c r="O679" s="9"/>
      <c r="P679" s="76"/>
      <c r="Q679" s="76"/>
      <c r="R679" s="76"/>
      <c r="S679" s="76"/>
      <c r="T679" s="9"/>
      <c r="U679" s="76"/>
      <c r="V679" s="76"/>
      <c r="W679" s="323"/>
      <c r="X679" s="323"/>
      <c r="Y679" s="323"/>
      <c r="Z679" s="323"/>
      <c r="AA679" s="8"/>
      <c r="AB679" s="8"/>
      <c r="AC679" s="8"/>
      <c r="AD679" s="8"/>
      <c r="AE679" s="8"/>
      <c r="AF679" s="8"/>
      <c r="AG679" s="8"/>
      <c r="AH679" s="8"/>
      <c r="AI679" s="8"/>
      <c r="AJ679" s="8"/>
      <c r="AK679" s="8"/>
      <c r="AL679" s="8"/>
      <c r="AM679" s="8"/>
    </row>
    <row r="680" spans="1:39" s="1" customFormat="1" ht="15.75" customHeight="1" x14ac:dyDescent="0.15"/>
    <row r="681" spans="1:39" s="1" customFormat="1" ht="15.75" customHeight="1" x14ac:dyDescent="0.15">
      <c r="E681" s="61" t="s">
        <v>587</v>
      </c>
      <c r="F681" s="302"/>
      <c r="G681" s="302"/>
      <c r="H681" s="302"/>
      <c r="I681" s="61"/>
      <c r="J681" s="61"/>
      <c r="K681" s="61"/>
      <c r="L681" s="61"/>
      <c r="M681" s="61"/>
      <c r="N681" s="61"/>
      <c r="O681" s="61"/>
      <c r="P681" s="61"/>
      <c r="Q681" s="61"/>
      <c r="R681" s="61"/>
      <c r="S681" s="61"/>
      <c r="T681" s="61"/>
      <c r="U681" s="61"/>
      <c r="V681" s="61"/>
      <c r="W681" s="61"/>
      <c r="X681" s="61"/>
      <c r="Y681" s="61"/>
      <c r="Z681" s="61"/>
      <c r="AA681" s="61"/>
      <c r="AB681" s="61"/>
      <c r="AC681" s="61"/>
      <c r="AD681" s="61"/>
      <c r="AE681" s="61"/>
      <c r="AF681" s="61"/>
      <c r="AG681" s="61"/>
      <c r="AH681" s="61"/>
      <c r="AI681" s="8"/>
    </row>
    <row r="682" spans="1:39" s="1" customFormat="1" ht="15.75" customHeight="1" x14ac:dyDescent="0.15">
      <c r="E682" s="294" t="s">
        <v>546</v>
      </c>
      <c r="F682" s="292"/>
      <c r="G682" s="292"/>
      <c r="H682" s="292"/>
      <c r="I682" s="292"/>
      <c r="J682" s="292"/>
      <c r="K682" s="292"/>
      <c r="L682" s="292"/>
      <c r="M682" s="292"/>
      <c r="N682" s="292"/>
      <c r="O682" s="292"/>
      <c r="P682" s="292"/>
      <c r="Q682" s="292"/>
      <c r="R682" s="292"/>
      <c r="S682" s="296"/>
      <c r="T682" s="273" t="s">
        <v>547</v>
      </c>
      <c r="U682" s="131"/>
      <c r="V682" s="131"/>
      <c r="W682" s="131"/>
      <c r="X682" s="131"/>
      <c r="Y682" s="131"/>
      <c r="Z682" s="131"/>
      <c r="AA682" s="131"/>
      <c r="AB682" s="131"/>
      <c r="AC682" s="131"/>
      <c r="AD682" s="131"/>
      <c r="AE682" s="131"/>
      <c r="AF682" s="131"/>
      <c r="AG682" s="131"/>
      <c r="AH682" s="132"/>
    </row>
    <row r="683" spans="1:39" s="1" customFormat="1" ht="15.75" customHeight="1" x14ac:dyDescent="0.15">
      <c r="E683" s="159" t="s">
        <v>78</v>
      </c>
      <c r="F683" s="160"/>
      <c r="G683" s="160"/>
      <c r="H683" s="160" t="s">
        <v>204</v>
      </c>
      <c r="I683" s="160"/>
      <c r="J683" s="160"/>
      <c r="K683" s="160"/>
      <c r="L683" s="291" t="s">
        <v>203</v>
      </c>
      <c r="M683" s="161"/>
      <c r="N683" s="161"/>
      <c r="O683" s="160" t="s">
        <v>545</v>
      </c>
      <c r="P683" s="160"/>
      <c r="Q683" s="160"/>
      <c r="R683" s="160"/>
      <c r="S683" s="223"/>
      <c r="T683" s="213" t="s">
        <v>78</v>
      </c>
      <c r="U683" s="160"/>
      <c r="V683" s="160"/>
      <c r="W683" s="160" t="s">
        <v>204</v>
      </c>
      <c r="X683" s="160"/>
      <c r="Y683" s="160"/>
      <c r="Z683" s="160"/>
      <c r="AA683" s="291" t="s">
        <v>203</v>
      </c>
      <c r="AB683" s="161"/>
      <c r="AC683" s="161"/>
      <c r="AD683" s="160" t="s">
        <v>545</v>
      </c>
      <c r="AE683" s="160"/>
      <c r="AF683" s="160"/>
      <c r="AG683" s="160"/>
      <c r="AH683" s="223"/>
    </row>
    <row r="684" spans="1:39" s="1" customFormat="1" ht="15.75" customHeight="1" x14ac:dyDescent="0.15">
      <c r="E684" s="295"/>
      <c r="F684" s="156"/>
      <c r="G684" s="156"/>
      <c r="H684" s="156"/>
      <c r="I684" s="156"/>
      <c r="J684" s="156"/>
      <c r="K684" s="156"/>
      <c r="L684" s="163"/>
      <c r="M684" s="163"/>
      <c r="N684" s="163"/>
      <c r="O684" s="156"/>
      <c r="P684" s="156"/>
      <c r="Q684" s="156"/>
      <c r="R684" s="156"/>
      <c r="S684" s="267"/>
      <c r="T684" s="290"/>
      <c r="U684" s="156"/>
      <c r="V684" s="156"/>
      <c r="W684" s="156"/>
      <c r="X684" s="156"/>
      <c r="Y684" s="156"/>
      <c r="Z684" s="156"/>
      <c r="AA684" s="163"/>
      <c r="AB684" s="163"/>
      <c r="AC684" s="163"/>
      <c r="AD684" s="156"/>
      <c r="AE684" s="156"/>
      <c r="AF684" s="156"/>
      <c r="AG684" s="156"/>
      <c r="AH684" s="267"/>
    </row>
    <row r="685" spans="1:39" s="1" customFormat="1" ht="15.75" customHeight="1" x14ac:dyDescent="0.15">
      <c r="A685" s="73" t="str">
        <f>IF(LEN(E685)+LEN(T685)=0,"×","")</f>
        <v/>
      </c>
      <c r="E685" s="412">
        <v>3</v>
      </c>
      <c r="F685" s="398"/>
      <c r="G685" s="398"/>
      <c r="H685" s="349">
        <v>0</v>
      </c>
      <c r="I685" s="349"/>
      <c r="J685" s="349"/>
      <c r="K685" s="349"/>
      <c r="L685" s="125">
        <v>3</v>
      </c>
      <c r="M685" s="125"/>
      <c r="N685" s="125"/>
      <c r="O685" s="350">
        <f>IF(H685="","",H685*AD$701)</f>
        <v>0</v>
      </c>
      <c r="P685" s="350"/>
      <c r="Q685" s="350"/>
      <c r="R685" s="350"/>
      <c r="S685" s="351"/>
      <c r="T685" s="397">
        <v>3</v>
      </c>
      <c r="U685" s="398"/>
      <c r="V685" s="398"/>
      <c r="W685" s="349">
        <v>0</v>
      </c>
      <c r="X685" s="349"/>
      <c r="Y685" s="349"/>
      <c r="Z685" s="349"/>
      <c r="AA685" s="125">
        <v>3</v>
      </c>
      <c r="AB685" s="125"/>
      <c r="AC685" s="125"/>
      <c r="AD685" s="350">
        <f>IF(W685="","",W685*AD$701)</f>
        <v>0</v>
      </c>
      <c r="AE685" s="350"/>
      <c r="AF685" s="350"/>
      <c r="AG685" s="350"/>
      <c r="AH685" s="352"/>
    </row>
    <row r="686" spans="1:39" s="1" customFormat="1" ht="15.75" customHeight="1" x14ac:dyDescent="0.15">
      <c r="A686" s="73" t="str">
        <f t="shared" ref="A686:A700" si="57">IF(LEN(E686)+LEN(T686)=0,"×","")</f>
        <v/>
      </c>
      <c r="E686" s="413">
        <v>4</v>
      </c>
      <c r="F686" s="372"/>
      <c r="G686" s="372"/>
      <c r="H686" s="353">
        <v>0</v>
      </c>
      <c r="I686" s="353"/>
      <c r="J686" s="353"/>
      <c r="K686" s="353"/>
      <c r="L686" s="103">
        <v>0.53999996185302734</v>
      </c>
      <c r="M686" s="103"/>
      <c r="N686" s="103"/>
      <c r="O686" s="354">
        <f t="shared" ref="O686:O700" si="58">IF(H686="","",H686*AD$701)</f>
        <v>0</v>
      </c>
      <c r="P686" s="354"/>
      <c r="Q686" s="354"/>
      <c r="R686" s="354"/>
      <c r="S686" s="355"/>
      <c r="T686" s="395">
        <v>4</v>
      </c>
      <c r="U686" s="372"/>
      <c r="V686" s="372"/>
      <c r="W686" s="353">
        <v>0</v>
      </c>
      <c r="X686" s="353"/>
      <c r="Y686" s="353"/>
      <c r="Z686" s="353"/>
      <c r="AA686" s="103">
        <v>0.53999996185302734</v>
      </c>
      <c r="AB686" s="103"/>
      <c r="AC686" s="103"/>
      <c r="AD686" s="354">
        <f t="shared" ref="AD686:AD700" si="59">IF(W686="","",W686*AD$701)</f>
        <v>0</v>
      </c>
      <c r="AE686" s="354"/>
      <c r="AF686" s="354"/>
      <c r="AG686" s="354"/>
      <c r="AH686" s="356"/>
    </row>
    <row r="687" spans="1:39" s="1" customFormat="1" ht="15.75" customHeight="1" x14ac:dyDescent="0.15">
      <c r="A687" s="73" t="str">
        <f t="shared" si="57"/>
        <v/>
      </c>
      <c r="E687" s="413">
        <v>4</v>
      </c>
      <c r="F687" s="372"/>
      <c r="G687" s="372"/>
      <c r="H687" s="353">
        <v>5724</v>
      </c>
      <c r="I687" s="353"/>
      <c r="J687" s="353"/>
      <c r="K687" s="353"/>
      <c r="L687" s="103">
        <v>4.4600000381469727</v>
      </c>
      <c r="M687" s="103"/>
      <c r="N687" s="103"/>
      <c r="O687" s="354">
        <f t="shared" si="58"/>
        <v>17982.476349147975</v>
      </c>
      <c r="P687" s="354"/>
      <c r="Q687" s="354"/>
      <c r="R687" s="354"/>
      <c r="S687" s="355"/>
      <c r="T687" s="395">
        <v>4</v>
      </c>
      <c r="U687" s="372"/>
      <c r="V687" s="372"/>
      <c r="W687" s="353">
        <v>5724</v>
      </c>
      <c r="X687" s="353"/>
      <c r="Y687" s="353"/>
      <c r="Z687" s="353"/>
      <c r="AA687" s="103">
        <v>4.4600000381469727</v>
      </c>
      <c r="AB687" s="103"/>
      <c r="AC687" s="103"/>
      <c r="AD687" s="354">
        <f t="shared" si="59"/>
        <v>17982.476349147975</v>
      </c>
      <c r="AE687" s="354"/>
      <c r="AF687" s="354"/>
      <c r="AG687" s="354"/>
      <c r="AH687" s="356"/>
    </row>
    <row r="688" spans="1:39" s="1" customFormat="1" ht="15.75" customHeight="1" x14ac:dyDescent="0.15">
      <c r="A688" s="73" t="str">
        <f t="shared" si="57"/>
        <v/>
      </c>
      <c r="E688" s="413">
        <v>5</v>
      </c>
      <c r="F688" s="372"/>
      <c r="G688" s="372"/>
      <c r="H688" s="353">
        <v>6514</v>
      </c>
      <c r="I688" s="353"/>
      <c r="J688" s="353"/>
      <c r="K688" s="353"/>
      <c r="L688" s="103">
        <v>8</v>
      </c>
      <c r="M688" s="103"/>
      <c r="N688" s="103"/>
      <c r="O688" s="354">
        <f t="shared" si="58"/>
        <v>20464.334545483911</v>
      </c>
      <c r="P688" s="354"/>
      <c r="Q688" s="354"/>
      <c r="R688" s="354"/>
      <c r="S688" s="355"/>
      <c r="T688" s="395">
        <v>5</v>
      </c>
      <c r="U688" s="372"/>
      <c r="V688" s="372"/>
      <c r="W688" s="353">
        <v>6514</v>
      </c>
      <c r="X688" s="353"/>
      <c r="Y688" s="353"/>
      <c r="Z688" s="353"/>
      <c r="AA688" s="103">
        <v>8</v>
      </c>
      <c r="AB688" s="103"/>
      <c r="AC688" s="103"/>
      <c r="AD688" s="354">
        <f t="shared" si="59"/>
        <v>20464.334545483911</v>
      </c>
      <c r="AE688" s="354"/>
      <c r="AF688" s="354"/>
      <c r="AG688" s="354"/>
      <c r="AH688" s="356"/>
    </row>
    <row r="689" spans="1:35" s="1" customFormat="1" ht="15.75" customHeight="1" x14ac:dyDescent="0.15">
      <c r="A689" s="73" t="str">
        <f t="shared" si="57"/>
        <v/>
      </c>
      <c r="E689" s="413">
        <v>6</v>
      </c>
      <c r="F689" s="372"/>
      <c r="G689" s="372"/>
      <c r="H689" s="353">
        <v>9288</v>
      </c>
      <c r="I689" s="353"/>
      <c r="J689" s="353"/>
      <c r="K689" s="353"/>
      <c r="L689" s="103">
        <v>4</v>
      </c>
      <c r="M689" s="103"/>
      <c r="N689" s="103"/>
      <c r="O689" s="354">
        <f t="shared" si="58"/>
        <v>29179.112566541997</v>
      </c>
      <c r="P689" s="354"/>
      <c r="Q689" s="354"/>
      <c r="R689" s="354"/>
      <c r="S689" s="355"/>
      <c r="T689" s="395">
        <v>6</v>
      </c>
      <c r="U689" s="372"/>
      <c r="V689" s="372"/>
      <c r="W689" s="353">
        <v>9288</v>
      </c>
      <c r="X689" s="353"/>
      <c r="Y689" s="353"/>
      <c r="Z689" s="353"/>
      <c r="AA689" s="103">
        <v>4.5</v>
      </c>
      <c r="AB689" s="103"/>
      <c r="AC689" s="103"/>
      <c r="AD689" s="354">
        <f t="shared" si="59"/>
        <v>29179.112566541997</v>
      </c>
      <c r="AE689" s="354"/>
      <c r="AF689" s="354"/>
      <c r="AG689" s="354"/>
      <c r="AH689" s="356"/>
    </row>
    <row r="690" spans="1:35" s="1" customFormat="1" ht="15.75" customHeight="1" x14ac:dyDescent="0.15">
      <c r="A690" s="73" t="str">
        <f t="shared" si="57"/>
        <v/>
      </c>
      <c r="E690" s="413">
        <v>6</v>
      </c>
      <c r="F690" s="372"/>
      <c r="G690" s="372"/>
      <c r="H690" s="353">
        <v>0</v>
      </c>
      <c r="I690" s="353"/>
      <c r="J690" s="353"/>
      <c r="K690" s="353"/>
      <c r="L690" s="103">
        <v>0.5</v>
      </c>
      <c r="M690" s="103"/>
      <c r="N690" s="103"/>
      <c r="O690" s="354">
        <f t="shared" si="58"/>
        <v>0</v>
      </c>
      <c r="P690" s="354"/>
      <c r="Q690" s="354"/>
      <c r="R690" s="354"/>
      <c r="S690" s="355"/>
      <c r="T690" s="395">
        <v>7</v>
      </c>
      <c r="U690" s="372"/>
      <c r="V690" s="372"/>
      <c r="W690" s="353">
        <v>18352</v>
      </c>
      <c r="X690" s="353"/>
      <c r="Y690" s="353"/>
      <c r="Z690" s="353"/>
      <c r="AA690" s="103">
        <v>0.5</v>
      </c>
      <c r="AB690" s="103"/>
      <c r="AC690" s="103"/>
      <c r="AD690" s="354">
        <f t="shared" si="59"/>
        <v>57654.508378679886</v>
      </c>
      <c r="AE690" s="354"/>
      <c r="AF690" s="354"/>
      <c r="AG690" s="354"/>
      <c r="AH690" s="356"/>
    </row>
    <row r="691" spans="1:35" s="1" customFormat="1" ht="15.75" customHeight="1" x14ac:dyDescent="0.15">
      <c r="A691" s="73" t="str">
        <f t="shared" si="57"/>
        <v/>
      </c>
      <c r="E691" s="413">
        <v>7</v>
      </c>
      <c r="F691" s="372"/>
      <c r="G691" s="372"/>
      <c r="H691" s="353">
        <v>0</v>
      </c>
      <c r="I691" s="353"/>
      <c r="J691" s="353"/>
      <c r="K691" s="353"/>
      <c r="L691" s="103">
        <v>0.5</v>
      </c>
      <c r="M691" s="103"/>
      <c r="N691" s="103"/>
      <c r="O691" s="354">
        <f t="shared" si="58"/>
        <v>0</v>
      </c>
      <c r="P691" s="354"/>
      <c r="Q691" s="354"/>
      <c r="R691" s="354"/>
      <c r="S691" s="355"/>
      <c r="T691" s="395"/>
      <c r="U691" s="372"/>
      <c r="V691" s="372"/>
      <c r="W691" s="353"/>
      <c r="X691" s="353"/>
      <c r="Y691" s="353"/>
      <c r="Z691" s="353"/>
      <c r="AA691" s="103"/>
      <c r="AB691" s="103"/>
      <c r="AC691" s="103"/>
      <c r="AD691" s="354" t="str">
        <f t="shared" si="59"/>
        <v/>
      </c>
      <c r="AE691" s="354"/>
      <c r="AF691" s="354"/>
      <c r="AG691" s="354"/>
      <c r="AH691" s="356"/>
    </row>
    <row r="692" spans="1:35" s="1" customFormat="1" ht="15.75" customHeight="1" x14ac:dyDescent="0.15">
      <c r="A692" s="73" t="str">
        <f t="shared" si="57"/>
        <v>×</v>
      </c>
      <c r="E692" s="413"/>
      <c r="F692" s="372"/>
      <c r="G692" s="372"/>
      <c r="H692" s="353"/>
      <c r="I692" s="353"/>
      <c r="J692" s="353"/>
      <c r="K692" s="353"/>
      <c r="L692" s="103"/>
      <c r="M692" s="103"/>
      <c r="N692" s="103"/>
      <c r="O692" s="354" t="str">
        <f t="shared" si="58"/>
        <v/>
      </c>
      <c r="P692" s="354"/>
      <c r="Q692" s="354"/>
      <c r="R692" s="354"/>
      <c r="S692" s="355"/>
      <c r="T692" s="395"/>
      <c r="U692" s="372"/>
      <c r="V692" s="372"/>
      <c r="W692" s="353"/>
      <c r="X692" s="353"/>
      <c r="Y692" s="353"/>
      <c r="Z692" s="353"/>
      <c r="AA692" s="103"/>
      <c r="AB692" s="103"/>
      <c r="AC692" s="103"/>
      <c r="AD692" s="354" t="str">
        <f t="shared" si="59"/>
        <v/>
      </c>
      <c r="AE692" s="354"/>
      <c r="AF692" s="354"/>
      <c r="AG692" s="354"/>
      <c r="AH692" s="356"/>
    </row>
    <row r="693" spans="1:35" s="1" customFormat="1" ht="15.75" customHeight="1" x14ac:dyDescent="0.15">
      <c r="A693" s="73" t="str">
        <f t="shared" si="57"/>
        <v>×</v>
      </c>
      <c r="E693" s="413"/>
      <c r="F693" s="372"/>
      <c r="G693" s="372"/>
      <c r="H693" s="353"/>
      <c r="I693" s="353"/>
      <c r="J693" s="353"/>
      <c r="K693" s="353"/>
      <c r="L693" s="103"/>
      <c r="M693" s="103"/>
      <c r="N693" s="103"/>
      <c r="O693" s="354" t="str">
        <f t="shared" si="58"/>
        <v/>
      </c>
      <c r="P693" s="354"/>
      <c r="Q693" s="354"/>
      <c r="R693" s="354"/>
      <c r="S693" s="355"/>
      <c r="T693" s="395"/>
      <c r="U693" s="372"/>
      <c r="V693" s="372"/>
      <c r="W693" s="353"/>
      <c r="X693" s="353"/>
      <c r="Y693" s="353"/>
      <c r="Z693" s="353"/>
      <c r="AA693" s="103"/>
      <c r="AB693" s="103"/>
      <c r="AC693" s="103"/>
      <c r="AD693" s="354" t="str">
        <f t="shared" si="59"/>
        <v/>
      </c>
      <c r="AE693" s="354"/>
      <c r="AF693" s="354"/>
      <c r="AG693" s="354"/>
      <c r="AH693" s="356"/>
    </row>
    <row r="694" spans="1:35" s="1" customFormat="1" ht="15.75" customHeight="1" x14ac:dyDescent="0.15">
      <c r="A694" s="73" t="str">
        <f t="shared" si="57"/>
        <v>×</v>
      </c>
      <c r="E694" s="413"/>
      <c r="F694" s="372"/>
      <c r="G694" s="372"/>
      <c r="H694" s="353"/>
      <c r="I694" s="353"/>
      <c r="J694" s="353"/>
      <c r="K694" s="353"/>
      <c r="L694" s="103"/>
      <c r="M694" s="103"/>
      <c r="N694" s="103"/>
      <c r="O694" s="354" t="str">
        <f t="shared" si="58"/>
        <v/>
      </c>
      <c r="P694" s="354"/>
      <c r="Q694" s="354"/>
      <c r="R694" s="354"/>
      <c r="S694" s="355"/>
      <c r="T694" s="395"/>
      <c r="U694" s="372"/>
      <c r="V694" s="372"/>
      <c r="W694" s="353"/>
      <c r="X694" s="353"/>
      <c r="Y694" s="353"/>
      <c r="Z694" s="353"/>
      <c r="AA694" s="103"/>
      <c r="AB694" s="103"/>
      <c r="AC694" s="103"/>
      <c r="AD694" s="354" t="str">
        <f t="shared" si="59"/>
        <v/>
      </c>
      <c r="AE694" s="354"/>
      <c r="AF694" s="354"/>
      <c r="AG694" s="354"/>
      <c r="AH694" s="356"/>
    </row>
    <row r="695" spans="1:35" s="1" customFormat="1" ht="15.75" customHeight="1" x14ac:dyDescent="0.15">
      <c r="A695" s="73" t="str">
        <f t="shared" si="57"/>
        <v>×</v>
      </c>
      <c r="E695" s="413"/>
      <c r="F695" s="372"/>
      <c r="G695" s="372"/>
      <c r="H695" s="353"/>
      <c r="I695" s="353"/>
      <c r="J695" s="353"/>
      <c r="K695" s="353"/>
      <c r="L695" s="103"/>
      <c r="M695" s="103"/>
      <c r="N695" s="103"/>
      <c r="O695" s="354" t="str">
        <f t="shared" si="58"/>
        <v/>
      </c>
      <c r="P695" s="354"/>
      <c r="Q695" s="354"/>
      <c r="R695" s="354"/>
      <c r="S695" s="355"/>
      <c r="T695" s="395"/>
      <c r="U695" s="372"/>
      <c r="V695" s="372"/>
      <c r="W695" s="353"/>
      <c r="X695" s="353"/>
      <c r="Y695" s="353"/>
      <c r="Z695" s="353"/>
      <c r="AA695" s="103"/>
      <c r="AB695" s="103"/>
      <c r="AC695" s="103"/>
      <c r="AD695" s="354" t="str">
        <f t="shared" si="59"/>
        <v/>
      </c>
      <c r="AE695" s="354"/>
      <c r="AF695" s="354"/>
      <c r="AG695" s="354"/>
      <c r="AH695" s="356"/>
    </row>
    <row r="696" spans="1:35" s="1" customFormat="1" ht="15.75" customHeight="1" x14ac:dyDescent="0.15">
      <c r="A696" s="73" t="str">
        <f t="shared" si="57"/>
        <v>×</v>
      </c>
      <c r="E696" s="413"/>
      <c r="F696" s="372"/>
      <c r="G696" s="372"/>
      <c r="H696" s="353"/>
      <c r="I696" s="353"/>
      <c r="J696" s="353"/>
      <c r="K696" s="353"/>
      <c r="L696" s="103"/>
      <c r="M696" s="103"/>
      <c r="N696" s="103"/>
      <c r="O696" s="354" t="str">
        <f t="shared" si="58"/>
        <v/>
      </c>
      <c r="P696" s="354"/>
      <c r="Q696" s="354"/>
      <c r="R696" s="354"/>
      <c r="S696" s="355"/>
      <c r="T696" s="395"/>
      <c r="U696" s="372"/>
      <c r="V696" s="372"/>
      <c r="W696" s="353"/>
      <c r="X696" s="353"/>
      <c r="Y696" s="353"/>
      <c r="Z696" s="353"/>
      <c r="AA696" s="103"/>
      <c r="AB696" s="103"/>
      <c r="AC696" s="103"/>
      <c r="AD696" s="354" t="str">
        <f t="shared" si="59"/>
        <v/>
      </c>
      <c r="AE696" s="354"/>
      <c r="AF696" s="354"/>
      <c r="AG696" s="354"/>
      <c r="AH696" s="356"/>
    </row>
    <row r="697" spans="1:35" s="1" customFormat="1" ht="15.75" customHeight="1" x14ac:dyDescent="0.15">
      <c r="A697" s="73" t="str">
        <f t="shared" si="57"/>
        <v>×</v>
      </c>
      <c r="E697" s="413"/>
      <c r="F697" s="372"/>
      <c r="G697" s="372"/>
      <c r="H697" s="353"/>
      <c r="I697" s="353"/>
      <c r="J697" s="353"/>
      <c r="K697" s="353"/>
      <c r="L697" s="103"/>
      <c r="M697" s="103"/>
      <c r="N697" s="103"/>
      <c r="O697" s="354" t="str">
        <f t="shared" si="58"/>
        <v/>
      </c>
      <c r="P697" s="354"/>
      <c r="Q697" s="354"/>
      <c r="R697" s="354"/>
      <c r="S697" s="355"/>
      <c r="T697" s="395"/>
      <c r="U697" s="372"/>
      <c r="V697" s="372"/>
      <c r="W697" s="353"/>
      <c r="X697" s="353"/>
      <c r="Y697" s="353"/>
      <c r="Z697" s="353"/>
      <c r="AA697" s="103"/>
      <c r="AB697" s="103"/>
      <c r="AC697" s="103"/>
      <c r="AD697" s="354" t="str">
        <f t="shared" si="59"/>
        <v/>
      </c>
      <c r="AE697" s="354"/>
      <c r="AF697" s="354"/>
      <c r="AG697" s="354"/>
      <c r="AH697" s="356"/>
    </row>
    <row r="698" spans="1:35" s="1" customFormat="1" ht="15.75" customHeight="1" x14ac:dyDescent="0.15">
      <c r="A698" s="73" t="str">
        <f t="shared" si="57"/>
        <v>×</v>
      </c>
      <c r="E698" s="413"/>
      <c r="F698" s="372"/>
      <c r="G698" s="372"/>
      <c r="H698" s="353"/>
      <c r="I698" s="353"/>
      <c r="J698" s="353"/>
      <c r="K698" s="353"/>
      <c r="L698" s="103"/>
      <c r="M698" s="103"/>
      <c r="N698" s="103"/>
      <c r="O698" s="354" t="str">
        <f t="shared" si="58"/>
        <v/>
      </c>
      <c r="P698" s="354"/>
      <c r="Q698" s="354"/>
      <c r="R698" s="354"/>
      <c r="S698" s="355"/>
      <c r="T698" s="395"/>
      <c r="U698" s="372"/>
      <c r="V698" s="372"/>
      <c r="W698" s="353"/>
      <c r="X698" s="353"/>
      <c r="Y698" s="353"/>
      <c r="Z698" s="353"/>
      <c r="AA698" s="103"/>
      <c r="AB698" s="103"/>
      <c r="AC698" s="103"/>
      <c r="AD698" s="354" t="str">
        <f t="shared" si="59"/>
        <v/>
      </c>
      <c r="AE698" s="354"/>
      <c r="AF698" s="354"/>
      <c r="AG698" s="354"/>
      <c r="AH698" s="356"/>
    </row>
    <row r="699" spans="1:35" s="1" customFormat="1" ht="15.75" customHeight="1" x14ac:dyDescent="0.15">
      <c r="A699" s="73" t="str">
        <f t="shared" si="57"/>
        <v>×</v>
      </c>
      <c r="E699" s="413"/>
      <c r="F699" s="372"/>
      <c r="G699" s="372"/>
      <c r="H699" s="353"/>
      <c r="I699" s="353"/>
      <c r="J699" s="353"/>
      <c r="K699" s="353"/>
      <c r="L699" s="103"/>
      <c r="M699" s="103"/>
      <c r="N699" s="103"/>
      <c r="O699" s="354" t="str">
        <f t="shared" si="58"/>
        <v/>
      </c>
      <c r="P699" s="354"/>
      <c r="Q699" s="354"/>
      <c r="R699" s="354"/>
      <c r="S699" s="355"/>
      <c r="T699" s="395"/>
      <c r="U699" s="372"/>
      <c r="V699" s="372"/>
      <c r="W699" s="353"/>
      <c r="X699" s="353"/>
      <c r="Y699" s="353"/>
      <c r="Z699" s="353"/>
      <c r="AA699" s="103"/>
      <c r="AB699" s="103"/>
      <c r="AC699" s="103"/>
      <c r="AD699" s="354" t="str">
        <f t="shared" si="59"/>
        <v/>
      </c>
      <c r="AE699" s="354"/>
      <c r="AF699" s="354"/>
      <c r="AG699" s="354"/>
      <c r="AH699" s="356"/>
    </row>
    <row r="700" spans="1:35" s="1" customFormat="1" ht="15.75" customHeight="1" x14ac:dyDescent="0.15">
      <c r="A700" s="73" t="str">
        <f t="shared" si="57"/>
        <v>×</v>
      </c>
      <c r="E700" s="414"/>
      <c r="F700" s="373"/>
      <c r="G700" s="373"/>
      <c r="H700" s="357"/>
      <c r="I700" s="357"/>
      <c r="J700" s="357"/>
      <c r="K700" s="357"/>
      <c r="L700" s="104"/>
      <c r="M700" s="104"/>
      <c r="N700" s="104"/>
      <c r="O700" s="358" t="str">
        <f t="shared" si="58"/>
        <v/>
      </c>
      <c r="P700" s="358"/>
      <c r="Q700" s="358"/>
      <c r="R700" s="358"/>
      <c r="S700" s="359"/>
      <c r="T700" s="396"/>
      <c r="U700" s="373"/>
      <c r="V700" s="373"/>
      <c r="W700" s="357"/>
      <c r="X700" s="357"/>
      <c r="Y700" s="357"/>
      <c r="Z700" s="357"/>
      <c r="AA700" s="104"/>
      <c r="AB700" s="104"/>
      <c r="AC700" s="104"/>
      <c r="AD700" s="358" t="str">
        <f t="shared" si="59"/>
        <v/>
      </c>
      <c r="AE700" s="358"/>
      <c r="AF700" s="358"/>
      <c r="AG700" s="358"/>
      <c r="AH700" s="360"/>
    </row>
    <row r="701" spans="1:35" s="1" customFormat="1" ht="15.75" customHeight="1" x14ac:dyDescent="0.15">
      <c r="E701" s="8"/>
      <c r="F701" s="8"/>
      <c r="G701" s="8"/>
      <c r="H701" s="8"/>
      <c r="I701" s="8"/>
      <c r="J701" s="8"/>
      <c r="K701" s="8"/>
      <c r="L701" s="8"/>
      <c r="M701" s="8"/>
      <c r="N701" s="8"/>
      <c r="O701" s="8"/>
      <c r="P701" s="8"/>
      <c r="AA701" s="2" t="s">
        <v>127</v>
      </c>
      <c r="AB701" s="1" t="s">
        <v>548</v>
      </c>
      <c r="AC701" s="76" t="s">
        <v>27</v>
      </c>
      <c r="AD701" s="304">
        <f>AD678</f>
        <v>3.1415926535897931</v>
      </c>
      <c r="AE701" s="304"/>
      <c r="AF701" s="304"/>
      <c r="AG701" s="7" t="s">
        <v>549</v>
      </c>
      <c r="AH701" s="76" t="s">
        <v>158</v>
      </c>
    </row>
    <row r="704" spans="1:35" s="1" customFormat="1" ht="15.75" customHeight="1" x14ac:dyDescent="0.15">
      <c r="A704" s="73" t="str">
        <f>IF(A$289="","","×")</f>
        <v>×</v>
      </c>
      <c r="E704" s="61" t="s">
        <v>588</v>
      </c>
      <c r="F704" s="302"/>
      <c r="G704" s="302"/>
      <c r="H704" s="302"/>
      <c r="I704" s="61"/>
      <c r="J704" s="61"/>
      <c r="K704" s="61"/>
      <c r="L704" s="61"/>
      <c r="M704" s="61"/>
      <c r="N704" s="61"/>
      <c r="O704" s="61"/>
      <c r="P704" s="61"/>
      <c r="Q704" s="61"/>
      <c r="R704" s="61"/>
      <c r="S704" s="61"/>
      <c r="T704" s="61"/>
      <c r="U704" s="61"/>
      <c r="V704" s="61"/>
      <c r="W704" s="61"/>
      <c r="X704" s="61"/>
      <c r="Y704" s="61"/>
      <c r="Z704" s="61"/>
      <c r="AA704" s="61"/>
      <c r="AB704" s="61"/>
      <c r="AC704" s="61"/>
      <c r="AD704" s="61"/>
      <c r="AE704" s="61"/>
      <c r="AF704" s="61"/>
      <c r="AG704" s="61"/>
      <c r="AH704" s="61"/>
      <c r="AI704" s="8"/>
    </row>
    <row r="705" spans="1:34" s="1" customFormat="1" ht="15.75" customHeight="1" x14ac:dyDescent="0.15">
      <c r="A705" s="73" t="str">
        <f>IF(A$289="","","×")</f>
        <v>×</v>
      </c>
      <c r="E705" s="294" t="s">
        <v>546</v>
      </c>
      <c r="F705" s="292"/>
      <c r="G705" s="292"/>
      <c r="H705" s="292"/>
      <c r="I705" s="292"/>
      <c r="J705" s="292"/>
      <c r="K705" s="292"/>
      <c r="L705" s="292"/>
      <c r="M705" s="292"/>
      <c r="N705" s="292"/>
      <c r="O705" s="292"/>
      <c r="P705" s="292"/>
      <c r="Q705" s="292"/>
      <c r="R705" s="292"/>
      <c r="S705" s="296"/>
      <c r="T705" s="273" t="s">
        <v>547</v>
      </c>
      <c r="U705" s="131"/>
      <c r="V705" s="131"/>
      <c r="W705" s="131"/>
      <c r="X705" s="131"/>
      <c r="Y705" s="131"/>
      <c r="Z705" s="131"/>
      <c r="AA705" s="131"/>
      <c r="AB705" s="131"/>
      <c r="AC705" s="131"/>
      <c r="AD705" s="131"/>
      <c r="AE705" s="131"/>
      <c r="AF705" s="131"/>
      <c r="AG705" s="131"/>
      <c r="AH705" s="132"/>
    </row>
    <row r="706" spans="1:34" s="1" customFormat="1" ht="15.75" customHeight="1" x14ac:dyDescent="0.15">
      <c r="A706" s="73" t="str">
        <f>IF(A$289="","","×")</f>
        <v>×</v>
      </c>
      <c r="E706" s="159" t="s">
        <v>78</v>
      </c>
      <c r="F706" s="160"/>
      <c r="G706" s="160"/>
      <c r="H706" s="160" t="s">
        <v>204</v>
      </c>
      <c r="I706" s="160"/>
      <c r="J706" s="160"/>
      <c r="K706" s="160"/>
      <c r="L706" s="291" t="s">
        <v>203</v>
      </c>
      <c r="M706" s="161"/>
      <c r="N706" s="161"/>
      <c r="O706" s="160" t="s">
        <v>545</v>
      </c>
      <c r="P706" s="160"/>
      <c r="Q706" s="160"/>
      <c r="R706" s="160"/>
      <c r="S706" s="223"/>
      <c r="T706" s="213" t="s">
        <v>78</v>
      </c>
      <c r="U706" s="160"/>
      <c r="V706" s="160"/>
      <c r="W706" s="160" t="s">
        <v>204</v>
      </c>
      <c r="X706" s="160"/>
      <c r="Y706" s="160"/>
      <c r="Z706" s="160"/>
      <c r="AA706" s="291" t="s">
        <v>203</v>
      </c>
      <c r="AB706" s="161"/>
      <c r="AC706" s="161"/>
      <c r="AD706" s="160" t="s">
        <v>545</v>
      </c>
      <c r="AE706" s="160"/>
      <c r="AF706" s="160"/>
      <c r="AG706" s="160"/>
      <c r="AH706" s="223"/>
    </row>
    <row r="707" spans="1:34" s="1" customFormat="1" ht="15.75" customHeight="1" x14ac:dyDescent="0.15">
      <c r="A707" s="73" t="str">
        <f>IF(A$289="","","×")</f>
        <v>×</v>
      </c>
      <c r="E707" s="295"/>
      <c r="F707" s="156"/>
      <c r="G707" s="156"/>
      <c r="H707" s="156"/>
      <c r="I707" s="156"/>
      <c r="J707" s="156"/>
      <c r="K707" s="156"/>
      <c r="L707" s="163"/>
      <c r="M707" s="163"/>
      <c r="N707" s="163"/>
      <c r="O707" s="156"/>
      <c r="P707" s="156"/>
      <c r="Q707" s="156"/>
      <c r="R707" s="156"/>
      <c r="S707" s="267"/>
      <c r="T707" s="290"/>
      <c r="U707" s="156"/>
      <c r="V707" s="156"/>
      <c r="W707" s="156"/>
      <c r="X707" s="156"/>
      <c r="Y707" s="156"/>
      <c r="Z707" s="156"/>
      <c r="AA707" s="163"/>
      <c r="AB707" s="163"/>
      <c r="AC707" s="163"/>
      <c r="AD707" s="156"/>
      <c r="AE707" s="156"/>
      <c r="AF707" s="156"/>
      <c r="AG707" s="156"/>
      <c r="AH707" s="267"/>
    </row>
    <row r="708" spans="1:34" s="1" customFormat="1" ht="15.75" customHeight="1" x14ac:dyDescent="0.15">
      <c r="A708" s="73" t="str">
        <f>IF(A$289="",IF(LEN(E708)+LEN(T708)=0,"×",""),"×")</f>
        <v>×</v>
      </c>
      <c r="E708" s="412">
        <v>3</v>
      </c>
      <c r="F708" s="398"/>
      <c r="G708" s="398"/>
      <c r="H708" s="349">
        <v>0</v>
      </c>
      <c r="I708" s="349"/>
      <c r="J708" s="349"/>
      <c r="K708" s="349"/>
      <c r="L708" s="125">
        <v>3</v>
      </c>
      <c r="M708" s="125"/>
      <c r="N708" s="125"/>
      <c r="O708" s="350">
        <f>IF(H708="","",H708*AD$724)</f>
        <v>0</v>
      </c>
      <c r="P708" s="350"/>
      <c r="Q708" s="350"/>
      <c r="R708" s="350"/>
      <c r="S708" s="351"/>
      <c r="T708" s="397">
        <v>3</v>
      </c>
      <c r="U708" s="398"/>
      <c r="V708" s="398"/>
      <c r="W708" s="349">
        <v>0</v>
      </c>
      <c r="X708" s="349"/>
      <c r="Y708" s="349"/>
      <c r="Z708" s="349"/>
      <c r="AA708" s="125">
        <v>3</v>
      </c>
      <c r="AB708" s="125"/>
      <c r="AC708" s="125"/>
      <c r="AD708" s="350">
        <f>IF(W708="","",W708*AD$724)</f>
        <v>0</v>
      </c>
      <c r="AE708" s="350"/>
      <c r="AF708" s="350"/>
      <c r="AG708" s="350"/>
      <c r="AH708" s="352"/>
    </row>
    <row r="709" spans="1:34" s="1" customFormat="1" ht="15.75" customHeight="1" x14ac:dyDescent="0.15">
      <c r="A709" s="73" t="str">
        <f t="shared" ref="A709:A723" si="60">IF(A$289="",IF(LEN(E709)+LEN(T709)=0,"×",""),"×")</f>
        <v>×</v>
      </c>
      <c r="E709" s="413">
        <v>4</v>
      </c>
      <c r="F709" s="372"/>
      <c r="G709" s="372"/>
      <c r="H709" s="353">
        <v>0</v>
      </c>
      <c r="I709" s="353"/>
      <c r="J709" s="353"/>
      <c r="K709" s="353"/>
      <c r="L709" s="103">
        <v>0.53999996185302734</v>
      </c>
      <c r="M709" s="103"/>
      <c r="N709" s="103"/>
      <c r="O709" s="354">
        <f t="shared" ref="O709:O723" si="61">IF(H709="","",H709*AD$724)</f>
        <v>0</v>
      </c>
      <c r="P709" s="354"/>
      <c r="Q709" s="354"/>
      <c r="R709" s="354"/>
      <c r="S709" s="355"/>
      <c r="T709" s="395">
        <v>4</v>
      </c>
      <c r="U709" s="372"/>
      <c r="V709" s="372"/>
      <c r="W709" s="353">
        <v>0</v>
      </c>
      <c r="X709" s="353"/>
      <c r="Y709" s="353"/>
      <c r="Z709" s="353"/>
      <c r="AA709" s="103">
        <v>0.53999996185302734</v>
      </c>
      <c r="AB709" s="103"/>
      <c r="AC709" s="103"/>
      <c r="AD709" s="354">
        <f t="shared" ref="AD709:AD723" si="62">IF(W709="","",W709*AD$724)</f>
        <v>0</v>
      </c>
      <c r="AE709" s="354"/>
      <c r="AF709" s="354"/>
      <c r="AG709" s="354"/>
      <c r="AH709" s="356"/>
    </row>
    <row r="710" spans="1:34" s="1" customFormat="1" ht="15.75" customHeight="1" x14ac:dyDescent="0.15">
      <c r="A710" s="73" t="str">
        <f t="shared" si="60"/>
        <v>×</v>
      </c>
      <c r="E710" s="413">
        <v>4</v>
      </c>
      <c r="F710" s="372"/>
      <c r="G710" s="372"/>
      <c r="H710" s="353">
        <v>5724</v>
      </c>
      <c r="I710" s="353"/>
      <c r="J710" s="353"/>
      <c r="K710" s="353"/>
      <c r="L710" s="103">
        <v>4.4600000381469727</v>
      </c>
      <c r="M710" s="103"/>
      <c r="N710" s="103"/>
      <c r="O710" s="354">
        <f t="shared" si="61"/>
        <v>17982.476349147975</v>
      </c>
      <c r="P710" s="354"/>
      <c r="Q710" s="354"/>
      <c r="R710" s="354"/>
      <c r="S710" s="355"/>
      <c r="T710" s="395">
        <v>4</v>
      </c>
      <c r="U710" s="372"/>
      <c r="V710" s="372"/>
      <c r="W710" s="353">
        <v>5724</v>
      </c>
      <c r="X710" s="353"/>
      <c r="Y710" s="353"/>
      <c r="Z710" s="353"/>
      <c r="AA710" s="103">
        <v>4.4600000381469727</v>
      </c>
      <c r="AB710" s="103"/>
      <c r="AC710" s="103"/>
      <c r="AD710" s="354">
        <f t="shared" si="62"/>
        <v>17982.476349147975</v>
      </c>
      <c r="AE710" s="354"/>
      <c r="AF710" s="354"/>
      <c r="AG710" s="354"/>
      <c r="AH710" s="356"/>
    </row>
    <row r="711" spans="1:34" s="1" customFormat="1" ht="15.75" customHeight="1" x14ac:dyDescent="0.15">
      <c r="A711" s="73" t="str">
        <f t="shared" si="60"/>
        <v>×</v>
      </c>
      <c r="E711" s="413">
        <v>5</v>
      </c>
      <c r="F711" s="372"/>
      <c r="G711" s="372"/>
      <c r="H711" s="353">
        <v>6514</v>
      </c>
      <c r="I711" s="353"/>
      <c r="J711" s="353"/>
      <c r="K711" s="353"/>
      <c r="L711" s="103">
        <v>8</v>
      </c>
      <c r="M711" s="103"/>
      <c r="N711" s="103"/>
      <c r="O711" s="354">
        <f t="shared" si="61"/>
        <v>20464.334545483911</v>
      </c>
      <c r="P711" s="354"/>
      <c r="Q711" s="354"/>
      <c r="R711" s="354"/>
      <c r="S711" s="355"/>
      <c r="T711" s="395">
        <v>5</v>
      </c>
      <c r="U711" s="372"/>
      <c r="V711" s="372"/>
      <c r="W711" s="353">
        <v>6514</v>
      </c>
      <c r="X711" s="353"/>
      <c r="Y711" s="353"/>
      <c r="Z711" s="353"/>
      <c r="AA711" s="103">
        <v>8</v>
      </c>
      <c r="AB711" s="103"/>
      <c r="AC711" s="103"/>
      <c r="AD711" s="354">
        <f t="shared" si="62"/>
        <v>20464.334545483911</v>
      </c>
      <c r="AE711" s="354"/>
      <c r="AF711" s="354"/>
      <c r="AG711" s="354"/>
      <c r="AH711" s="356"/>
    </row>
    <row r="712" spans="1:34" s="1" customFormat="1" ht="15.75" customHeight="1" x14ac:dyDescent="0.15">
      <c r="A712" s="73" t="str">
        <f t="shared" si="60"/>
        <v>×</v>
      </c>
      <c r="E712" s="413">
        <v>6</v>
      </c>
      <c r="F712" s="372"/>
      <c r="G712" s="372"/>
      <c r="H712" s="353">
        <v>9288</v>
      </c>
      <c r="I712" s="353"/>
      <c r="J712" s="353"/>
      <c r="K712" s="353"/>
      <c r="L712" s="103">
        <v>4</v>
      </c>
      <c r="M712" s="103"/>
      <c r="N712" s="103"/>
      <c r="O712" s="354">
        <f t="shared" si="61"/>
        <v>29179.112566541997</v>
      </c>
      <c r="P712" s="354"/>
      <c r="Q712" s="354"/>
      <c r="R712" s="354"/>
      <c r="S712" s="355"/>
      <c r="T712" s="395">
        <v>6</v>
      </c>
      <c r="U712" s="372"/>
      <c r="V712" s="372"/>
      <c r="W712" s="353">
        <v>9288</v>
      </c>
      <c r="X712" s="353"/>
      <c r="Y712" s="353"/>
      <c r="Z712" s="353"/>
      <c r="AA712" s="103">
        <v>4.5</v>
      </c>
      <c r="AB712" s="103"/>
      <c r="AC712" s="103"/>
      <c r="AD712" s="354">
        <f t="shared" si="62"/>
        <v>29179.112566541997</v>
      </c>
      <c r="AE712" s="354"/>
      <c r="AF712" s="354"/>
      <c r="AG712" s="354"/>
      <c r="AH712" s="356"/>
    </row>
    <row r="713" spans="1:34" s="1" customFormat="1" ht="15.75" customHeight="1" x14ac:dyDescent="0.15">
      <c r="A713" s="73" t="str">
        <f t="shared" si="60"/>
        <v>×</v>
      </c>
      <c r="E713" s="413">
        <v>6</v>
      </c>
      <c r="F713" s="372"/>
      <c r="G713" s="372"/>
      <c r="H713" s="353">
        <v>0</v>
      </c>
      <c r="I713" s="353"/>
      <c r="J713" s="353"/>
      <c r="K713" s="353"/>
      <c r="L713" s="103">
        <v>0.5</v>
      </c>
      <c r="M713" s="103"/>
      <c r="N713" s="103"/>
      <c r="O713" s="354">
        <f t="shared" si="61"/>
        <v>0</v>
      </c>
      <c r="P713" s="354"/>
      <c r="Q713" s="354"/>
      <c r="R713" s="354"/>
      <c r="S713" s="355"/>
      <c r="T713" s="395">
        <v>7</v>
      </c>
      <c r="U713" s="372"/>
      <c r="V713" s="372"/>
      <c r="W713" s="353">
        <v>18352</v>
      </c>
      <c r="X713" s="353"/>
      <c r="Y713" s="353"/>
      <c r="Z713" s="353"/>
      <c r="AA713" s="103">
        <v>0.5</v>
      </c>
      <c r="AB713" s="103"/>
      <c r="AC713" s="103"/>
      <c r="AD713" s="354">
        <f t="shared" si="62"/>
        <v>57654.508378679886</v>
      </c>
      <c r="AE713" s="354"/>
      <c r="AF713" s="354"/>
      <c r="AG713" s="354"/>
      <c r="AH713" s="356"/>
    </row>
    <row r="714" spans="1:34" s="1" customFormat="1" ht="15.75" customHeight="1" x14ac:dyDescent="0.15">
      <c r="A714" s="73" t="str">
        <f t="shared" si="60"/>
        <v>×</v>
      </c>
      <c r="E714" s="413">
        <v>7</v>
      </c>
      <c r="F714" s="372"/>
      <c r="G714" s="372"/>
      <c r="H714" s="353">
        <v>0</v>
      </c>
      <c r="I714" s="353"/>
      <c r="J714" s="353"/>
      <c r="K714" s="353"/>
      <c r="L714" s="103">
        <v>0.5</v>
      </c>
      <c r="M714" s="103"/>
      <c r="N714" s="103"/>
      <c r="O714" s="354">
        <f t="shared" si="61"/>
        <v>0</v>
      </c>
      <c r="P714" s="354"/>
      <c r="Q714" s="354"/>
      <c r="R714" s="354"/>
      <c r="S714" s="355"/>
      <c r="T714" s="395"/>
      <c r="U714" s="372"/>
      <c r="V714" s="372"/>
      <c r="W714" s="353"/>
      <c r="X714" s="353"/>
      <c r="Y714" s="353"/>
      <c r="Z714" s="353"/>
      <c r="AA714" s="103"/>
      <c r="AB714" s="103"/>
      <c r="AC714" s="103"/>
      <c r="AD714" s="354" t="str">
        <f t="shared" si="62"/>
        <v/>
      </c>
      <c r="AE714" s="354"/>
      <c r="AF714" s="354"/>
      <c r="AG714" s="354"/>
      <c r="AH714" s="356"/>
    </row>
    <row r="715" spans="1:34" s="1" customFormat="1" ht="15.75" customHeight="1" x14ac:dyDescent="0.15">
      <c r="A715" s="73" t="str">
        <f t="shared" si="60"/>
        <v>×</v>
      </c>
      <c r="E715" s="413"/>
      <c r="F715" s="372"/>
      <c r="G715" s="372"/>
      <c r="H715" s="353"/>
      <c r="I715" s="353"/>
      <c r="J715" s="353"/>
      <c r="K715" s="353"/>
      <c r="L715" s="103"/>
      <c r="M715" s="103"/>
      <c r="N715" s="103"/>
      <c r="O715" s="354" t="str">
        <f t="shared" si="61"/>
        <v/>
      </c>
      <c r="P715" s="354"/>
      <c r="Q715" s="354"/>
      <c r="R715" s="354"/>
      <c r="S715" s="355"/>
      <c r="T715" s="395"/>
      <c r="U715" s="372"/>
      <c r="V715" s="372"/>
      <c r="W715" s="353"/>
      <c r="X715" s="353"/>
      <c r="Y715" s="353"/>
      <c r="Z715" s="353"/>
      <c r="AA715" s="103"/>
      <c r="AB715" s="103"/>
      <c r="AC715" s="103"/>
      <c r="AD715" s="354" t="str">
        <f t="shared" si="62"/>
        <v/>
      </c>
      <c r="AE715" s="354"/>
      <c r="AF715" s="354"/>
      <c r="AG715" s="354"/>
      <c r="AH715" s="356"/>
    </row>
    <row r="716" spans="1:34" s="1" customFormat="1" ht="15.75" customHeight="1" x14ac:dyDescent="0.15">
      <c r="A716" s="73" t="str">
        <f t="shared" si="60"/>
        <v>×</v>
      </c>
      <c r="E716" s="413"/>
      <c r="F716" s="372"/>
      <c r="G716" s="372"/>
      <c r="H716" s="353"/>
      <c r="I716" s="353"/>
      <c r="J716" s="353"/>
      <c r="K716" s="353"/>
      <c r="L716" s="103"/>
      <c r="M716" s="103"/>
      <c r="N716" s="103"/>
      <c r="O716" s="354" t="str">
        <f t="shared" si="61"/>
        <v/>
      </c>
      <c r="P716" s="354"/>
      <c r="Q716" s="354"/>
      <c r="R716" s="354"/>
      <c r="S716" s="355"/>
      <c r="T716" s="395"/>
      <c r="U716" s="372"/>
      <c r="V716" s="372"/>
      <c r="W716" s="353"/>
      <c r="X716" s="353"/>
      <c r="Y716" s="353"/>
      <c r="Z716" s="353"/>
      <c r="AA716" s="103"/>
      <c r="AB716" s="103"/>
      <c r="AC716" s="103"/>
      <c r="AD716" s="354" t="str">
        <f t="shared" si="62"/>
        <v/>
      </c>
      <c r="AE716" s="354"/>
      <c r="AF716" s="354"/>
      <c r="AG716" s="354"/>
      <c r="AH716" s="356"/>
    </row>
    <row r="717" spans="1:34" s="1" customFormat="1" ht="15.75" customHeight="1" x14ac:dyDescent="0.15">
      <c r="A717" s="73" t="str">
        <f t="shared" si="60"/>
        <v>×</v>
      </c>
      <c r="E717" s="413"/>
      <c r="F717" s="372"/>
      <c r="G717" s="372"/>
      <c r="H717" s="353"/>
      <c r="I717" s="353"/>
      <c r="J717" s="353"/>
      <c r="K717" s="353"/>
      <c r="L717" s="103"/>
      <c r="M717" s="103"/>
      <c r="N717" s="103"/>
      <c r="O717" s="354" t="str">
        <f t="shared" si="61"/>
        <v/>
      </c>
      <c r="P717" s="354"/>
      <c r="Q717" s="354"/>
      <c r="R717" s="354"/>
      <c r="S717" s="355"/>
      <c r="T717" s="395"/>
      <c r="U717" s="372"/>
      <c r="V717" s="372"/>
      <c r="W717" s="353"/>
      <c r="X717" s="353"/>
      <c r="Y717" s="353"/>
      <c r="Z717" s="353"/>
      <c r="AA717" s="103"/>
      <c r="AB717" s="103"/>
      <c r="AC717" s="103"/>
      <c r="AD717" s="354" t="str">
        <f t="shared" si="62"/>
        <v/>
      </c>
      <c r="AE717" s="354"/>
      <c r="AF717" s="354"/>
      <c r="AG717" s="354"/>
      <c r="AH717" s="356"/>
    </row>
    <row r="718" spans="1:34" s="1" customFormat="1" ht="15.75" customHeight="1" x14ac:dyDescent="0.15">
      <c r="A718" s="73" t="str">
        <f t="shared" si="60"/>
        <v>×</v>
      </c>
      <c r="E718" s="413"/>
      <c r="F718" s="372"/>
      <c r="G718" s="372"/>
      <c r="H718" s="353"/>
      <c r="I718" s="353"/>
      <c r="J718" s="353"/>
      <c r="K718" s="353"/>
      <c r="L718" s="103"/>
      <c r="M718" s="103"/>
      <c r="N718" s="103"/>
      <c r="O718" s="354" t="str">
        <f t="shared" si="61"/>
        <v/>
      </c>
      <c r="P718" s="354"/>
      <c r="Q718" s="354"/>
      <c r="R718" s="354"/>
      <c r="S718" s="355"/>
      <c r="T718" s="395"/>
      <c r="U718" s="372"/>
      <c r="V718" s="372"/>
      <c r="W718" s="353"/>
      <c r="X718" s="353"/>
      <c r="Y718" s="353"/>
      <c r="Z718" s="353"/>
      <c r="AA718" s="103"/>
      <c r="AB718" s="103"/>
      <c r="AC718" s="103"/>
      <c r="AD718" s="354" t="str">
        <f t="shared" si="62"/>
        <v/>
      </c>
      <c r="AE718" s="354"/>
      <c r="AF718" s="354"/>
      <c r="AG718" s="354"/>
      <c r="AH718" s="356"/>
    </row>
    <row r="719" spans="1:34" s="1" customFormat="1" ht="15.75" customHeight="1" x14ac:dyDescent="0.15">
      <c r="A719" s="73" t="str">
        <f t="shared" si="60"/>
        <v>×</v>
      </c>
      <c r="E719" s="413"/>
      <c r="F719" s="372"/>
      <c r="G719" s="372"/>
      <c r="H719" s="353"/>
      <c r="I719" s="353"/>
      <c r="J719" s="353"/>
      <c r="K719" s="353"/>
      <c r="L719" s="103"/>
      <c r="M719" s="103"/>
      <c r="N719" s="103"/>
      <c r="O719" s="354" t="str">
        <f t="shared" si="61"/>
        <v/>
      </c>
      <c r="P719" s="354"/>
      <c r="Q719" s="354"/>
      <c r="R719" s="354"/>
      <c r="S719" s="355"/>
      <c r="T719" s="395"/>
      <c r="U719" s="372"/>
      <c r="V719" s="372"/>
      <c r="W719" s="353"/>
      <c r="X719" s="353"/>
      <c r="Y719" s="353"/>
      <c r="Z719" s="353"/>
      <c r="AA719" s="103"/>
      <c r="AB719" s="103"/>
      <c r="AC719" s="103"/>
      <c r="AD719" s="354" t="str">
        <f t="shared" si="62"/>
        <v/>
      </c>
      <c r="AE719" s="354"/>
      <c r="AF719" s="354"/>
      <c r="AG719" s="354"/>
      <c r="AH719" s="356"/>
    </row>
    <row r="720" spans="1:34" s="1" customFormat="1" ht="15.75" customHeight="1" x14ac:dyDescent="0.15">
      <c r="A720" s="73" t="str">
        <f t="shared" si="60"/>
        <v>×</v>
      </c>
      <c r="E720" s="413"/>
      <c r="F720" s="372"/>
      <c r="G720" s="372"/>
      <c r="H720" s="353"/>
      <c r="I720" s="353"/>
      <c r="J720" s="353"/>
      <c r="K720" s="353"/>
      <c r="L720" s="103"/>
      <c r="M720" s="103"/>
      <c r="N720" s="103"/>
      <c r="O720" s="354" t="str">
        <f t="shared" si="61"/>
        <v/>
      </c>
      <c r="P720" s="354"/>
      <c r="Q720" s="354"/>
      <c r="R720" s="354"/>
      <c r="S720" s="355"/>
      <c r="T720" s="395"/>
      <c r="U720" s="372"/>
      <c r="V720" s="372"/>
      <c r="W720" s="353"/>
      <c r="X720" s="353"/>
      <c r="Y720" s="353"/>
      <c r="Z720" s="353"/>
      <c r="AA720" s="103"/>
      <c r="AB720" s="103"/>
      <c r="AC720" s="103"/>
      <c r="AD720" s="354" t="str">
        <f t="shared" si="62"/>
        <v/>
      </c>
      <c r="AE720" s="354"/>
      <c r="AF720" s="354"/>
      <c r="AG720" s="354"/>
      <c r="AH720" s="356"/>
    </row>
    <row r="721" spans="1:35" s="1" customFormat="1" ht="15.75" customHeight="1" x14ac:dyDescent="0.15">
      <c r="A721" s="73" t="str">
        <f t="shared" si="60"/>
        <v>×</v>
      </c>
      <c r="E721" s="413"/>
      <c r="F721" s="372"/>
      <c r="G721" s="372"/>
      <c r="H721" s="353"/>
      <c r="I721" s="353"/>
      <c r="J721" s="353"/>
      <c r="K721" s="353"/>
      <c r="L721" s="103"/>
      <c r="M721" s="103"/>
      <c r="N721" s="103"/>
      <c r="O721" s="354" t="str">
        <f t="shared" si="61"/>
        <v/>
      </c>
      <c r="P721" s="354"/>
      <c r="Q721" s="354"/>
      <c r="R721" s="354"/>
      <c r="S721" s="355"/>
      <c r="T721" s="395"/>
      <c r="U721" s="372"/>
      <c r="V721" s="372"/>
      <c r="W721" s="353"/>
      <c r="X721" s="353"/>
      <c r="Y721" s="353"/>
      <c r="Z721" s="353"/>
      <c r="AA721" s="103"/>
      <c r="AB721" s="103"/>
      <c r="AC721" s="103"/>
      <c r="AD721" s="354" t="str">
        <f t="shared" si="62"/>
        <v/>
      </c>
      <c r="AE721" s="354"/>
      <c r="AF721" s="354"/>
      <c r="AG721" s="354"/>
      <c r="AH721" s="356"/>
    </row>
    <row r="722" spans="1:35" s="1" customFormat="1" ht="15.75" customHeight="1" x14ac:dyDescent="0.15">
      <c r="A722" s="73" t="str">
        <f t="shared" si="60"/>
        <v>×</v>
      </c>
      <c r="E722" s="413"/>
      <c r="F722" s="372"/>
      <c r="G722" s="372"/>
      <c r="H722" s="353"/>
      <c r="I722" s="353"/>
      <c r="J722" s="353"/>
      <c r="K722" s="353"/>
      <c r="L722" s="103"/>
      <c r="M722" s="103"/>
      <c r="N722" s="103"/>
      <c r="O722" s="354" t="str">
        <f t="shared" si="61"/>
        <v/>
      </c>
      <c r="P722" s="354"/>
      <c r="Q722" s="354"/>
      <c r="R722" s="354"/>
      <c r="S722" s="355"/>
      <c r="T722" s="395"/>
      <c r="U722" s="372"/>
      <c r="V722" s="372"/>
      <c r="W722" s="353"/>
      <c r="X722" s="353"/>
      <c r="Y722" s="353"/>
      <c r="Z722" s="353"/>
      <c r="AA722" s="103"/>
      <c r="AB722" s="103"/>
      <c r="AC722" s="103"/>
      <c r="AD722" s="354" t="str">
        <f t="shared" si="62"/>
        <v/>
      </c>
      <c r="AE722" s="354"/>
      <c r="AF722" s="354"/>
      <c r="AG722" s="354"/>
      <c r="AH722" s="356"/>
    </row>
    <row r="723" spans="1:35" s="1" customFormat="1" ht="15.75" customHeight="1" x14ac:dyDescent="0.15">
      <c r="A723" s="73" t="str">
        <f t="shared" si="60"/>
        <v>×</v>
      </c>
      <c r="E723" s="414"/>
      <c r="F723" s="373"/>
      <c r="G723" s="373"/>
      <c r="H723" s="357"/>
      <c r="I723" s="357"/>
      <c r="J723" s="357"/>
      <c r="K723" s="357"/>
      <c r="L723" s="104"/>
      <c r="M723" s="104"/>
      <c r="N723" s="104"/>
      <c r="O723" s="358" t="str">
        <f t="shared" si="61"/>
        <v/>
      </c>
      <c r="P723" s="358"/>
      <c r="Q723" s="358"/>
      <c r="R723" s="358"/>
      <c r="S723" s="359"/>
      <c r="T723" s="396"/>
      <c r="U723" s="373"/>
      <c r="V723" s="373"/>
      <c r="W723" s="357"/>
      <c r="X723" s="357"/>
      <c r="Y723" s="357"/>
      <c r="Z723" s="357"/>
      <c r="AA723" s="104"/>
      <c r="AB723" s="104"/>
      <c r="AC723" s="104"/>
      <c r="AD723" s="358" t="str">
        <f t="shared" si="62"/>
        <v/>
      </c>
      <c r="AE723" s="358"/>
      <c r="AF723" s="358"/>
      <c r="AG723" s="358"/>
      <c r="AH723" s="360"/>
    </row>
    <row r="724" spans="1:35" s="1" customFormat="1" ht="15.75" customHeight="1" x14ac:dyDescent="0.15">
      <c r="A724" s="73" t="str">
        <f>IF(A$289="","","×")</f>
        <v>×</v>
      </c>
      <c r="E724" s="8"/>
      <c r="F724" s="8"/>
      <c r="G724" s="8"/>
      <c r="H724" s="8"/>
      <c r="I724" s="8"/>
      <c r="J724" s="8"/>
      <c r="K724" s="8"/>
      <c r="L724" s="8"/>
      <c r="M724" s="8"/>
      <c r="N724" s="8"/>
      <c r="O724" s="8"/>
      <c r="P724" s="8"/>
      <c r="AA724" s="2" t="s">
        <v>127</v>
      </c>
      <c r="AB724" s="1" t="s">
        <v>548</v>
      </c>
      <c r="AC724" s="76" t="s">
        <v>27</v>
      </c>
      <c r="AD724" s="304">
        <f>AD701</f>
        <v>3.1415926535897931</v>
      </c>
      <c r="AE724" s="304"/>
      <c r="AF724" s="304"/>
      <c r="AG724" s="7" t="s">
        <v>549</v>
      </c>
      <c r="AH724" s="76" t="s">
        <v>158</v>
      </c>
    </row>
    <row r="725" spans="1:35" ht="15.75" customHeight="1" x14ac:dyDescent="0.15">
      <c r="A725" s="73" t="str">
        <f>IF(A$289="","","×")</f>
        <v>×</v>
      </c>
    </row>
    <row r="727" spans="1:35" s="1" customFormat="1" ht="15.75" customHeight="1" x14ac:dyDescent="0.15">
      <c r="A727" s="73" t="str">
        <f>IF(A$311="","","×")</f>
        <v>×</v>
      </c>
      <c r="E727" s="61" t="s">
        <v>589</v>
      </c>
      <c r="F727" s="302"/>
      <c r="G727" s="302"/>
      <c r="H727" s="302"/>
      <c r="I727" s="61"/>
      <c r="J727" s="61"/>
      <c r="K727" s="61"/>
      <c r="L727" s="61"/>
      <c r="M727" s="61"/>
      <c r="N727" s="61"/>
      <c r="O727" s="61"/>
      <c r="P727" s="61"/>
      <c r="Q727" s="61"/>
      <c r="R727" s="61"/>
      <c r="S727" s="61"/>
      <c r="T727" s="61"/>
      <c r="U727" s="61"/>
      <c r="V727" s="61"/>
      <c r="W727" s="61"/>
      <c r="X727" s="61"/>
      <c r="Y727" s="61"/>
      <c r="Z727" s="61"/>
      <c r="AA727" s="61"/>
      <c r="AB727" s="61"/>
      <c r="AC727" s="61"/>
      <c r="AD727" s="61"/>
      <c r="AE727" s="61"/>
      <c r="AF727" s="61"/>
      <c r="AG727" s="61"/>
      <c r="AH727" s="61"/>
      <c r="AI727" s="8"/>
    </row>
    <row r="728" spans="1:35" s="1" customFormat="1" ht="15.75" customHeight="1" x14ac:dyDescent="0.15">
      <c r="A728" s="73" t="str">
        <f>IF(A$311="","","×")</f>
        <v>×</v>
      </c>
      <c r="E728" s="294" t="s">
        <v>546</v>
      </c>
      <c r="F728" s="292"/>
      <c r="G728" s="292"/>
      <c r="H728" s="292"/>
      <c r="I728" s="292"/>
      <c r="J728" s="292"/>
      <c r="K728" s="292"/>
      <c r="L728" s="292"/>
      <c r="M728" s="292"/>
      <c r="N728" s="292"/>
      <c r="O728" s="292"/>
      <c r="P728" s="292"/>
      <c r="Q728" s="292"/>
      <c r="R728" s="292"/>
      <c r="S728" s="296"/>
      <c r="T728" s="273" t="s">
        <v>547</v>
      </c>
      <c r="U728" s="131"/>
      <c r="V728" s="131"/>
      <c r="W728" s="131"/>
      <c r="X728" s="131"/>
      <c r="Y728" s="131"/>
      <c r="Z728" s="131"/>
      <c r="AA728" s="131"/>
      <c r="AB728" s="131"/>
      <c r="AC728" s="131"/>
      <c r="AD728" s="131"/>
      <c r="AE728" s="131"/>
      <c r="AF728" s="131"/>
      <c r="AG728" s="131"/>
      <c r="AH728" s="132"/>
    </row>
    <row r="729" spans="1:35" s="1" customFormat="1" ht="15.75" customHeight="1" x14ac:dyDescent="0.15">
      <c r="A729" s="73" t="str">
        <f>IF(A$311="","","×")</f>
        <v>×</v>
      </c>
      <c r="E729" s="159" t="s">
        <v>78</v>
      </c>
      <c r="F729" s="160"/>
      <c r="G729" s="160"/>
      <c r="H729" s="160" t="s">
        <v>204</v>
      </c>
      <c r="I729" s="160"/>
      <c r="J729" s="160"/>
      <c r="K729" s="160"/>
      <c r="L729" s="291" t="s">
        <v>203</v>
      </c>
      <c r="M729" s="161"/>
      <c r="N729" s="161"/>
      <c r="O729" s="160" t="s">
        <v>545</v>
      </c>
      <c r="P729" s="160"/>
      <c r="Q729" s="160"/>
      <c r="R729" s="160"/>
      <c r="S729" s="223"/>
      <c r="T729" s="213" t="s">
        <v>78</v>
      </c>
      <c r="U729" s="160"/>
      <c r="V729" s="160"/>
      <c r="W729" s="160" t="s">
        <v>204</v>
      </c>
      <c r="X729" s="160"/>
      <c r="Y729" s="160"/>
      <c r="Z729" s="160"/>
      <c r="AA729" s="291" t="s">
        <v>203</v>
      </c>
      <c r="AB729" s="161"/>
      <c r="AC729" s="161"/>
      <c r="AD729" s="160" t="s">
        <v>545</v>
      </c>
      <c r="AE729" s="160"/>
      <c r="AF729" s="160"/>
      <c r="AG729" s="160"/>
      <c r="AH729" s="223"/>
    </row>
    <row r="730" spans="1:35" s="1" customFormat="1" ht="15.75" customHeight="1" x14ac:dyDescent="0.15">
      <c r="A730" s="73" t="str">
        <f>IF(A$311="","","×")</f>
        <v>×</v>
      </c>
      <c r="E730" s="295"/>
      <c r="F730" s="156"/>
      <c r="G730" s="156"/>
      <c r="H730" s="156"/>
      <c r="I730" s="156"/>
      <c r="J730" s="156"/>
      <c r="K730" s="156"/>
      <c r="L730" s="163"/>
      <c r="M730" s="163"/>
      <c r="N730" s="163"/>
      <c r="O730" s="156"/>
      <c r="P730" s="156"/>
      <c r="Q730" s="156"/>
      <c r="R730" s="156"/>
      <c r="S730" s="267"/>
      <c r="T730" s="290"/>
      <c r="U730" s="156"/>
      <c r="V730" s="156"/>
      <c r="W730" s="156"/>
      <c r="X730" s="156"/>
      <c r="Y730" s="156"/>
      <c r="Z730" s="156"/>
      <c r="AA730" s="163"/>
      <c r="AB730" s="163"/>
      <c r="AC730" s="163"/>
      <c r="AD730" s="156"/>
      <c r="AE730" s="156"/>
      <c r="AF730" s="156"/>
      <c r="AG730" s="156"/>
      <c r="AH730" s="267"/>
    </row>
    <row r="731" spans="1:35" s="1" customFormat="1" ht="15.75" customHeight="1" x14ac:dyDescent="0.15">
      <c r="A731" s="73" t="str">
        <f>IF(A$311="",IF(LEN(E731)+LEN(T731)=0,"×",""),"×")</f>
        <v>×</v>
      </c>
      <c r="E731" s="412">
        <v>3</v>
      </c>
      <c r="F731" s="398"/>
      <c r="G731" s="398"/>
      <c r="H731" s="349">
        <v>0</v>
      </c>
      <c r="I731" s="349"/>
      <c r="J731" s="349"/>
      <c r="K731" s="349"/>
      <c r="L731" s="125">
        <v>3</v>
      </c>
      <c r="M731" s="125"/>
      <c r="N731" s="125"/>
      <c r="O731" s="350">
        <f>IF(H731="","",H731*AD$747)</f>
        <v>0</v>
      </c>
      <c r="P731" s="350"/>
      <c r="Q731" s="350"/>
      <c r="R731" s="350"/>
      <c r="S731" s="351"/>
      <c r="T731" s="397">
        <v>3</v>
      </c>
      <c r="U731" s="398"/>
      <c r="V731" s="398"/>
      <c r="W731" s="349">
        <v>0</v>
      </c>
      <c r="X731" s="349"/>
      <c r="Y731" s="349"/>
      <c r="Z731" s="349"/>
      <c r="AA731" s="125">
        <v>3</v>
      </c>
      <c r="AB731" s="125"/>
      <c r="AC731" s="125"/>
      <c r="AD731" s="350">
        <f>IF(W731="","",W731*AD$747)</f>
        <v>0</v>
      </c>
      <c r="AE731" s="350"/>
      <c r="AF731" s="350"/>
      <c r="AG731" s="350"/>
      <c r="AH731" s="352"/>
    </row>
    <row r="732" spans="1:35" s="1" customFormat="1" ht="15.75" customHeight="1" x14ac:dyDescent="0.15">
      <c r="A732" s="73" t="str">
        <f t="shared" ref="A732:A746" si="63">IF(A$311="",IF(LEN(E732)+LEN(T732)=0,"×",""),"×")</f>
        <v>×</v>
      </c>
      <c r="E732" s="413">
        <v>4</v>
      </c>
      <c r="F732" s="372"/>
      <c r="G732" s="372"/>
      <c r="H732" s="353">
        <v>0</v>
      </c>
      <c r="I732" s="353"/>
      <c r="J732" s="353"/>
      <c r="K732" s="353"/>
      <c r="L732" s="103">
        <v>0.53999996185302734</v>
      </c>
      <c r="M732" s="103"/>
      <c r="N732" s="103"/>
      <c r="O732" s="354">
        <f t="shared" ref="O732:O746" si="64">IF(H732="","",H732*AD$747)</f>
        <v>0</v>
      </c>
      <c r="P732" s="354"/>
      <c r="Q732" s="354"/>
      <c r="R732" s="354"/>
      <c r="S732" s="355"/>
      <c r="T732" s="395">
        <v>4</v>
      </c>
      <c r="U732" s="372"/>
      <c r="V732" s="372"/>
      <c r="W732" s="353">
        <v>0</v>
      </c>
      <c r="X732" s="353"/>
      <c r="Y732" s="353"/>
      <c r="Z732" s="353"/>
      <c r="AA732" s="103">
        <v>0.53999996185302734</v>
      </c>
      <c r="AB732" s="103"/>
      <c r="AC732" s="103"/>
      <c r="AD732" s="354">
        <f t="shared" ref="AD732:AD746" si="65">IF(W732="","",W732*AD$747)</f>
        <v>0</v>
      </c>
      <c r="AE732" s="354"/>
      <c r="AF732" s="354"/>
      <c r="AG732" s="354"/>
      <c r="AH732" s="356"/>
    </row>
    <row r="733" spans="1:35" s="1" customFormat="1" ht="15.75" customHeight="1" x14ac:dyDescent="0.15">
      <c r="A733" s="73" t="str">
        <f t="shared" si="63"/>
        <v>×</v>
      </c>
      <c r="E733" s="413">
        <v>4</v>
      </c>
      <c r="F733" s="372"/>
      <c r="G733" s="372"/>
      <c r="H733" s="353">
        <v>5724</v>
      </c>
      <c r="I733" s="353"/>
      <c r="J733" s="353"/>
      <c r="K733" s="353"/>
      <c r="L733" s="103">
        <v>4.4600000381469727</v>
      </c>
      <c r="M733" s="103"/>
      <c r="N733" s="103"/>
      <c r="O733" s="354">
        <f t="shared" si="64"/>
        <v>17982.476349147975</v>
      </c>
      <c r="P733" s="354"/>
      <c r="Q733" s="354"/>
      <c r="R733" s="354"/>
      <c r="S733" s="355"/>
      <c r="T733" s="395">
        <v>4</v>
      </c>
      <c r="U733" s="372"/>
      <c r="V733" s="372"/>
      <c r="W733" s="353">
        <v>5724</v>
      </c>
      <c r="X733" s="353"/>
      <c r="Y733" s="353"/>
      <c r="Z733" s="353"/>
      <c r="AA733" s="103">
        <v>4.4600000381469727</v>
      </c>
      <c r="AB733" s="103"/>
      <c r="AC733" s="103"/>
      <c r="AD733" s="354">
        <f t="shared" si="65"/>
        <v>17982.476349147975</v>
      </c>
      <c r="AE733" s="354"/>
      <c r="AF733" s="354"/>
      <c r="AG733" s="354"/>
      <c r="AH733" s="356"/>
    </row>
    <row r="734" spans="1:35" s="1" customFormat="1" ht="15.75" customHeight="1" x14ac:dyDescent="0.15">
      <c r="A734" s="73" t="str">
        <f t="shared" si="63"/>
        <v>×</v>
      </c>
      <c r="E734" s="413">
        <v>5</v>
      </c>
      <c r="F734" s="372"/>
      <c r="G734" s="372"/>
      <c r="H734" s="353">
        <v>6514</v>
      </c>
      <c r="I734" s="353"/>
      <c r="J734" s="353"/>
      <c r="K734" s="353"/>
      <c r="L734" s="103">
        <v>8</v>
      </c>
      <c r="M734" s="103"/>
      <c r="N734" s="103"/>
      <c r="O734" s="354">
        <f t="shared" si="64"/>
        <v>20464.334545483911</v>
      </c>
      <c r="P734" s="354"/>
      <c r="Q734" s="354"/>
      <c r="R734" s="354"/>
      <c r="S734" s="355"/>
      <c r="T734" s="395">
        <v>5</v>
      </c>
      <c r="U734" s="372"/>
      <c r="V734" s="372"/>
      <c r="W734" s="353">
        <v>6514</v>
      </c>
      <c r="X734" s="353"/>
      <c r="Y734" s="353"/>
      <c r="Z734" s="353"/>
      <c r="AA734" s="103">
        <v>8</v>
      </c>
      <c r="AB734" s="103"/>
      <c r="AC734" s="103"/>
      <c r="AD734" s="354">
        <f t="shared" si="65"/>
        <v>20464.334545483911</v>
      </c>
      <c r="AE734" s="354"/>
      <c r="AF734" s="354"/>
      <c r="AG734" s="354"/>
      <c r="AH734" s="356"/>
    </row>
    <row r="735" spans="1:35" s="1" customFormat="1" ht="15.75" customHeight="1" x14ac:dyDescent="0.15">
      <c r="A735" s="73" t="str">
        <f t="shared" si="63"/>
        <v>×</v>
      </c>
      <c r="E735" s="413">
        <v>6</v>
      </c>
      <c r="F735" s="372"/>
      <c r="G735" s="372"/>
      <c r="H735" s="353">
        <v>9288</v>
      </c>
      <c r="I735" s="353"/>
      <c r="J735" s="353"/>
      <c r="K735" s="353"/>
      <c r="L735" s="103">
        <v>4</v>
      </c>
      <c r="M735" s="103"/>
      <c r="N735" s="103"/>
      <c r="O735" s="354">
        <f t="shared" si="64"/>
        <v>29179.112566541997</v>
      </c>
      <c r="P735" s="354"/>
      <c r="Q735" s="354"/>
      <c r="R735" s="354"/>
      <c r="S735" s="355"/>
      <c r="T735" s="395">
        <v>6</v>
      </c>
      <c r="U735" s="372"/>
      <c r="V735" s="372"/>
      <c r="W735" s="353">
        <v>9288</v>
      </c>
      <c r="X735" s="353"/>
      <c r="Y735" s="353"/>
      <c r="Z735" s="353"/>
      <c r="AA735" s="103">
        <v>4.5</v>
      </c>
      <c r="AB735" s="103"/>
      <c r="AC735" s="103"/>
      <c r="AD735" s="354">
        <f t="shared" si="65"/>
        <v>29179.112566541997</v>
      </c>
      <c r="AE735" s="354"/>
      <c r="AF735" s="354"/>
      <c r="AG735" s="354"/>
      <c r="AH735" s="356"/>
    </row>
    <row r="736" spans="1:35" s="1" customFormat="1" ht="15.75" customHeight="1" x14ac:dyDescent="0.15">
      <c r="A736" s="73" t="str">
        <f t="shared" si="63"/>
        <v>×</v>
      </c>
      <c r="E736" s="413">
        <v>6</v>
      </c>
      <c r="F736" s="372"/>
      <c r="G736" s="372"/>
      <c r="H736" s="353">
        <v>0</v>
      </c>
      <c r="I736" s="353"/>
      <c r="J736" s="353"/>
      <c r="K736" s="353"/>
      <c r="L736" s="103">
        <v>0.5</v>
      </c>
      <c r="M736" s="103"/>
      <c r="N736" s="103"/>
      <c r="O736" s="354">
        <f t="shared" si="64"/>
        <v>0</v>
      </c>
      <c r="P736" s="354"/>
      <c r="Q736" s="354"/>
      <c r="R736" s="354"/>
      <c r="S736" s="355"/>
      <c r="T736" s="395">
        <v>7</v>
      </c>
      <c r="U736" s="372"/>
      <c r="V736" s="372"/>
      <c r="W736" s="353">
        <v>18352</v>
      </c>
      <c r="X736" s="353"/>
      <c r="Y736" s="353"/>
      <c r="Z736" s="353"/>
      <c r="AA736" s="103">
        <v>0.5</v>
      </c>
      <c r="AB736" s="103"/>
      <c r="AC736" s="103"/>
      <c r="AD736" s="354">
        <f t="shared" si="65"/>
        <v>57654.508378679886</v>
      </c>
      <c r="AE736" s="354"/>
      <c r="AF736" s="354"/>
      <c r="AG736" s="354"/>
      <c r="AH736" s="356"/>
    </row>
    <row r="737" spans="1:35" s="1" customFormat="1" ht="15.75" customHeight="1" x14ac:dyDescent="0.15">
      <c r="A737" s="73" t="str">
        <f t="shared" si="63"/>
        <v>×</v>
      </c>
      <c r="E737" s="413">
        <v>7</v>
      </c>
      <c r="F737" s="372"/>
      <c r="G737" s="372"/>
      <c r="H737" s="353">
        <v>0</v>
      </c>
      <c r="I737" s="353"/>
      <c r="J737" s="353"/>
      <c r="K737" s="353"/>
      <c r="L737" s="103">
        <v>0.5</v>
      </c>
      <c r="M737" s="103"/>
      <c r="N737" s="103"/>
      <c r="O737" s="354">
        <f t="shared" si="64"/>
        <v>0</v>
      </c>
      <c r="P737" s="354"/>
      <c r="Q737" s="354"/>
      <c r="R737" s="354"/>
      <c r="S737" s="355"/>
      <c r="T737" s="395"/>
      <c r="U737" s="372"/>
      <c r="V737" s="372"/>
      <c r="W737" s="353"/>
      <c r="X737" s="353"/>
      <c r="Y737" s="353"/>
      <c r="Z737" s="353"/>
      <c r="AA737" s="103"/>
      <c r="AB737" s="103"/>
      <c r="AC737" s="103"/>
      <c r="AD737" s="354" t="str">
        <f t="shared" si="65"/>
        <v/>
      </c>
      <c r="AE737" s="354"/>
      <c r="AF737" s="354"/>
      <c r="AG737" s="354"/>
      <c r="AH737" s="356"/>
    </row>
    <row r="738" spans="1:35" s="1" customFormat="1" ht="15.75" customHeight="1" x14ac:dyDescent="0.15">
      <c r="A738" s="73" t="str">
        <f t="shared" si="63"/>
        <v>×</v>
      </c>
      <c r="E738" s="413"/>
      <c r="F738" s="372"/>
      <c r="G738" s="372"/>
      <c r="H738" s="353"/>
      <c r="I738" s="353"/>
      <c r="J738" s="353"/>
      <c r="K738" s="353"/>
      <c r="L738" s="103"/>
      <c r="M738" s="103"/>
      <c r="N738" s="103"/>
      <c r="O738" s="354" t="str">
        <f t="shared" si="64"/>
        <v/>
      </c>
      <c r="P738" s="354"/>
      <c r="Q738" s="354"/>
      <c r="R738" s="354"/>
      <c r="S738" s="355"/>
      <c r="T738" s="395"/>
      <c r="U738" s="372"/>
      <c r="V738" s="372"/>
      <c r="W738" s="353"/>
      <c r="X738" s="353"/>
      <c r="Y738" s="353"/>
      <c r="Z738" s="353"/>
      <c r="AA738" s="103"/>
      <c r="AB738" s="103"/>
      <c r="AC738" s="103"/>
      <c r="AD738" s="354" t="str">
        <f t="shared" si="65"/>
        <v/>
      </c>
      <c r="AE738" s="354"/>
      <c r="AF738" s="354"/>
      <c r="AG738" s="354"/>
      <c r="AH738" s="356"/>
    </row>
    <row r="739" spans="1:35" s="1" customFormat="1" ht="15.75" customHeight="1" x14ac:dyDescent="0.15">
      <c r="A739" s="73" t="str">
        <f t="shared" si="63"/>
        <v>×</v>
      </c>
      <c r="E739" s="413"/>
      <c r="F739" s="372"/>
      <c r="G739" s="372"/>
      <c r="H739" s="353"/>
      <c r="I739" s="353"/>
      <c r="J739" s="353"/>
      <c r="K739" s="353"/>
      <c r="L739" s="103"/>
      <c r="M739" s="103"/>
      <c r="N739" s="103"/>
      <c r="O739" s="354" t="str">
        <f t="shared" si="64"/>
        <v/>
      </c>
      <c r="P739" s="354"/>
      <c r="Q739" s="354"/>
      <c r="R739" s="354"/>
      <c r="S739" s="355"/>
      <c r="T739" s="395"/>
      <c r="U739" s="372"/>
      <c r="V739" s="372"/>
      <c r="W739" s="353"/>
      <c r="X739" s="353"/>
      <c r="Y739" s="353"/>
      <c r="Z739" s="353"/>
      <c r="AA739" s="103"/>
      <c r="AB739" s="103"/>
      <c r="AC739" s="103"/>
      <c r="AD739" s="354" t="str">
        <f t="shared" si="65"/>
        <v/>
      </c>
      <c r="AE739" s="354"/>
      <c r="AF739" s="354"/>
      <c r="AG739" s="354"/>
      <c r="AH739" s="356"/>
    </row>
    <row r="740" spans="1:35" s="1" customFormat="1" ht="15.75" customHeight="1" x14ac:dyDescent="0.15">
      <c r="A740" s="73" t="str">
        <f t="shared" si="63"/>
        <v>×</v>
      </c>
      <c r="E740" s="413"/>
      <c r="F740" s="372"/>
      <c r="G740" s="372"/>
      <c r="H740" s="353"/>
      <c r="I740" s="353"/>
      <c r="J740" s="353"/>
      <c r="K740" s="353"/>
      <c r="L740" s="103"/>
      <c r="M740" s="103"/>
      <c r="N740" s="103"/>
      <c r="O740" s="354" t="str">
        <f t="shared" si="64"/>
        <v/>
      </c>
      <c r="P740" s="354"/>
      <c r="Q740" s="354"/>
      <c r="R740" s="354"/>
      <c r="S740" s="355"/>
      <c r="T740" s="395"/>
      <c r="U740" s="372"/>
      <c r="V740" s="372"/>
      <c r="W740" s="353"/>
      <c r="X740" s="353"/>
      <c r="Y740" s="353"/>
      <c r="Z740" s="353"/>
      <c r="AA740" s="103"/>
      <c r="AB740" s="103"/>
      <c r="AC740" s="103"/>
      <c r="AD740" s="354" t="str">
        <f t="shared" si="65"/>
        <v/>
      </c>
      <c r="AE740" s="354"/>
      <c r="AF740" s="354"/>
      <c r="AG740" s="354"/>
      <c r="AH740" s="356"/>
    </row>
    <row r="741" spans="1:35" s="1" customFormat="1" ht="15.75" customHeight="1" x14ac:dyDescent="0.15">
      <c r="A741" s="73" t="str">
        <f t="shared" si="63"/>
        <v>×</v>
      </c>
      <c r="E741" s="413"/>
      <c r="F741" s="372"/>
      <c r="G741" s="372"/>
      <c r="H741" s="353"/>
      <c r="I741" s="353"/>
      <c r="J741" s="353"/>
      <c r="K741" s="353"/>
      <c r="L741" s="103"/>
      <c r="M741" s="103"/>
      <c r="N741" s="103"/>
      <c r="O741" s="354" t="str">
        <f t="shared" si="64"/>
        <v/>
      </c>
      <c r="P741" s="354"/>
      <c r="Q741" s="354"/>
      <c r="R741" s="354"/>
      <c r="S741" s="355"/>
      <c r="T741" s="395"/>
      <c r="U741" s="372"/>
      <c r="V741" s="372"/>
      <c r="W741" s="353"/>
      <c r="X741" s="353"/>
      <c r="Y741" s="353"/>
      <c r="Z741" s="353"/>
      <c r="AA741" s="103"/>
      <c r="AB741" s="103"/>
      <c r="AC741" s="103"/>
      <c r="AD741" s="354" t="str">
        <f t="shared" si="65"/>
        <v/>
      </c>
      <c r="AE741" s="354"/>
      <c r="AF741" s="354"/>
      <c r="AG741" s="354"/>
      <c r="AH741" s="356"/>
    </row>
    <row r="742" spans="1:35" s="1" customFormat="1" ht="15.75" customHeight="1" x14ac:dyDescent="0.15">
      <c r="A742" s="73" t="str">
        <f t="shared" si="63"/>
        <v>×</v>
      </c>
      <c r="E742" s="413"/>
      <c r="F742" s="372"/>
      <c r="G742" s="372"/>
      <c r="H742" s="353"/>
      <c r="I742" s="353"/>
      <c r="J742" s="353"/>
      <c r="K742" s="353"/>
      <c r="L742" s="103"/>
      <c r="M742" s="103"/>
      <c r="N742" s="103"/>
      <c r="O742" s="354" t="str">
        <f t="shared" si="64"/>
        <v/>
      </c>
      <c r="P742" s="354"/>
      <c r="Q742" s="354"/>
      <c r="R742" s="354"/>
      <c r="S742" s="355"/>
      <c r="T742" s="395"/>
      <c r="U742" s="372"/>
      <c r="V742" s="372"/>
      <c r="W742" s="353"/>
      <c r="X742" s="353"/>
      <c r="Y742" s="353"/>
      <c r="Z742" s="353"/>
      <c r="AA742" s="103"/>
      <c r="AB742" s="103"/>
      <c r="AC742" s="103"/>
      <c r="AD742" s="354" t="str">
        <f t="shared" si="65"/>
        <v/>
      </c>
      <c r="AE742" s="354"/>
      <c r="AF742" s="354"/>
      <c r="AG742" s="354"/>
      <c r="AH742" s="356"/>
    </row>
    <row r="743" spans="1:35" s="1" customFormat="1" ht="15.75" customHeight="1" x14ac:dyDescent="0.15">
      <c r="A743" s="73" t="str">
        <f t="shared" si="63"/>
        <v>×</v>
      </c>
      <c r="E743" s="413"/>
      <c r="F743" s="372"/>
      <c r="G743" s="372"/>
      <c r="H743" s="353"/>
      <c r="I743" s="353"/>
      <c r="J743" s="353"/>
      <c r="K743" s="353"/>
      <c r="L743" s="103"/>
      <c r="M743" s="103"/>
      <c r="N743" s="103"/>
      <c r="O743" s="354" t="str">
        <f t="shared" si="64"/>
        <v/>
      </c>
      <c r="P743" s="354"/>
      <c r="Q743" s="354"/>
      <c r="R743" s="354"/>
      <c r="S743" s="355"/>
      <c r="T743" s="395"/>
      <c r="U743" s="372"/>
      <c r="V743" s="372"/>
      <c r="W743" s="353"/>
      <c r="X743" s="353"/>
      <c r="Y743" s="353"/>
      <c r="Z743" s="353"/>
      <c r="AA743" s="103"/>
      <c r="AB743" s="103"/>
      <c r="AC743" s="103"/>
      <c r="AD743" s="354" t="str">
        <f t="shared" si="65"/>
        <v/>
      </c>
      <c r="AE743" s="354"/>
      <c r="AF743" s="354"/>
      <c r="AG743" s="354"/>
      <c r="AH743" s="356"/>
    </row>
    <row r="744" spans="1:35" s="1" customFormat="1" ht="15.75" customHeight="1" x14ac:dyDescent="0.15">
      <c r="A744" s="73" t="str">
        <f t="shared" si="63"/>
        <v>×</v>
      </c>
      <c r="E744" s="413"/>
      <c r="F744" s="372"/>
      <c r="G744" s="372"/>
      <c r="H744" s="353"/>
      <c r="I744" s="353"/>
      <c r="J744" s="353"/>
      <c r="K744" s="353"/>
      <c r="L744" s="103"/>
      <c r="M744" s="103"/>
      <c r="N744" s="103"/>
      <c r="O744" s="354" t="str">
        <f t="shared" si="64"/>
        <v/>
      </c>
      <c r="P744" s="354"/>
      <c r="Q744" s="354"/>
      <c r="R744" s="354"/>
      <c r="S744" s="355"/>
      <c r="T744" s="395"/>
      <c r="U744" s="372"/>
      <c r="V744" s="372"/>
      <c r="W744" s="353"/>
      <c r="X744" s="353"/>
      <c r="Y744" s="353"/>
      <c r="Z744" s="353"/>
      <c r="AA744" s="103"/>
      <c r="AB744" s="103"/>
      <c r="AC744" s="103"/>
      <c r="AD744" s="354" t="str">
        <f t="shared" si="65"/>
        <v/>
      </c>
      <c r="AE744" s="354"/>
      <c r="AF744" s="354"/>
      <c r="AG744" s="354"/>
      <c r="AH744" s="356"/>
    </row>
    <row r="745" spans="1:35" s="1" customFormat="1" ht="15.75" customHeight="1" x14ac:dyDescent="0.15">
      <c r="A745" s="73" t="str">
        <f t="shared" si="63"/>
        <v>×</v>
      </c>
      <c r="E745" s="413"/>
      <c r="F745" s="372"/>
      <c r="G745" s="372"/>
      <c r="H745" s="353"/>
      <c r="I745" s="353"/>
      <c r="J745" s="353"/>
      <c r="K745" s="353"/>
      <c r="L745" s="103"/>
      <c r="M745" s="103"/>
      <c r="N745" s="103"/>
      <c r="O745" s="354" t="str">
        <f t="shared" si="64"/>
        <v/>
      </c>
      <c r="P745" s="354"/>
      <c r="Q745" s="354"/>
      <c r="R745" s="354"/>
      <c r="S745" s="355"/>
      <c r="T745" s="395"/>
      <c r="U745" s="372"/>
      <c r="V745" s="372"/>
      <c r="W745" s="353"/>
      <c r="X745" s="353"/>
      <c r="Y745" s="353"/>
      <c r="Z745" s="353"/>
      <c r="AA745" s="103"/>
      <c r="AB745" s="103"/>
      <c r="AC745" s="103"/>
      <c r="AD745" s="354" t="str">
        <f t="shared" si="65"/>
        <v/>
      </c>
      <c r="AE745" s="354"/>
      <c r="AF745" s="354"/>
      <c r="AG745" s="354"/>
      <c r="AH745" s="356"/>
    </row>
    <row r="746" spans="1:35" s="1" customFormat="1" ht="15.75" customHeight="1" x14ac:dyDescent="0.15">
      <c r="A746" s="73" t="str">
        <f t="shared" si="63"/>
        <v>×</v>
      </c>
      <c r="E746" s="414"/>
      <c r="F746" s="373"/>
      <c r="G746" s="373"/>
      <c r="H746" s="357"/>
      <c r="I746" s="357"/>
      <c r="J746" s="357"/>
      <c r="K746" s="357"/>
      <c r="L746" s="104"/>
      <c r="M746" s="104"/>
      <c r="N746" s="104"/>
      <c r="O746" s="358" t="str">
        <f t="shared" si="64"/>
        <v/>
      </c>
      <c r="P746" s="358"/>
      <c r="Q746" s="358"/>
      <c r="R746" s="358"/>
      <c r="S746" s="359"/>
      <c r="T746" s="396"/>
      <c r="U746" s="373"/>
      <c r="V746" s="373"/>
      <c r="W746" s="357"/>
      <c r="X746" s="357"/>
      <c r="Y746" s="357"/>
      <c r="Z746" s="357"/>
      <c r="AA746" s="104"/>
      <c r="AB746" s="104"/>
      <c r="AC746" s="104"/>
      <c r="AD746" s="358" t="str">
        <f t="shared" si="65"/>
        <v/>
      </c>
      <c r="AE746" s="358"/>
      <c r="AF746" s="358"/>
      <c r="AG746" s="358"/>
      <c r="AH746" s="360"/>
    </row>
    <row r="747" spans="1:35" s="1" customFormat="1" ht="15.75" customHeight="1" x14ac:dyDescent="0.15">
      <c r="A747" s="73" t="str">
        <f>IF(A$311="","","×")</f>
        <v>×</v>
      </c>
      <c r="E747" s="8"/>
      <c r="F747" s="8"/>
      <c r="G747" s="8"/>
      <c r="H747" s="8"/>
      <c r="I747" s="8"/>
      <c r="J747" s="8"/>
      <c r="K747" s="8"/>
      <c r="L747" s="8"/>
      <c r="M747" s="8"/>
      <c r="N747" s="8"/>
      <c r="O747" s="8"/>
      <c r="P747" s="8"/>
      <c r="AA747" s="2" t="s">
        <v>127</v>
      </c>
      <c r="AB747" s="1" t="s">
        <v>548</v>
      </c>
      <c r="AC747" s="76" t="s">
        <v>27</v>
      </c>
      <c r="AD747" s="304">
        <f>AD724</f>
        <v>3.1415926535897931</v>
      </c>
      <c r="AE747" s="304"/>
      <c r="AF747" s="304"/>
      <c r="AG747" s="7" t="s">
        <v>549</v>
      </c>
      <c r="AH747" s="76" t="s">
        <v>158</v>
      </c>
    </row>
    <row r="748" spans="1:35" ht="15.75" customHeight="1" x14ac:dyDescent="0.15">
      <c r="A748" s="73" t="str">
        <f>IF(A$311="","","×")</f>
        <v>×</v>
      </c>
    </row>
    <row r="750" spans="1:35" s="1" customFormat="1" ht="15.75" customHeight="1" x14ac:dyDescent="0.15">
      <c r="E750" s="61" t="s">
        <v>596</v>
      </c>
      <c r="F750" s="302"/>
      <c r="G750" s="302"/>
      <c r="H750" s="302"/>
      <c r="I750" s="61"/>
      <c r="J750" s="61"/>
      <c r="K750" s="61"/>
      <c r="L750" s="61"/>
      <c r="M750" s="61"/>
      <c r="N750" s="61"/>
      <c r="O750" s="61"/>
      <c r="P750" s="61"/>
      <c r="Q750" s="61"/>
      <c r="R750" s="61"/>
      <c r="S750" s="61"/>
      <c r="T750" s="61"/>
      <c r="U750" s="61"/>
      <c r="V750" s="61"/>
      <c r="W750" s="61"/>
      <c r="X750" s="61"/>
      <c r="Y750" s="61"/>
      <c r="Z750" s="61"/>
      <c r="AA750" s="61"/>
      <c r="AB750" s="61"/>
      <c r="AC750" s="61"/>
      <c r="AD750" s="61"/>
      <c r="AE750" s="61"/>
      <c r="AF750" s="61"/>
      <c r="AG750" s="61"/>
      <c r="AH750" s="61"/>
      <c r="AI750" s="8"/>
    </row>
    <row r="751" spans="1:35" s="1" customFormat="1" ht="15.75" customHeight="1" x14ac:dyDescent="0.15">
      <c r="E751" s="294" t="s">
        <v>546</v>
      </c>
      <c r="F751" s="292"/>
      <c r="G751" s="292"/>
      <c r="H751" s="292"/>
      <c r="I751" s="292"/>
      <c r="J751" s="292"/>
      <c r="K751" s="292"/>
      <c r="L751" s="292"/>
      <c r="M751" s="292"/>
      <c r="N751" s="292"/>
      <c r="O751" s="292"/>
      <c r="P751" s="292"/>
      <c r="Q751" s="292"/>
      <c r="R751" s="292"/>
      <c r="S751" s="296"/>
      <c r="T751" s="273" t="s">
        <v>547</v>
      </c>
      <c r="U751" s="131"/>
      <c r="V751" s="131"/>
      <c r="W751" s="131"/>
      <c r="X751" s="131"/>
      <c r="Y751" s="131"/>
      <c r="Z751" s="131"/>
      <c r="AA751" s="131"/>
      <c r="AB751" s="131"/>
      <c r="AC751" s="131"/>
      <c r="AD751" s="131"/>
      <c r="AE751" s="131"/>
      <c r="AF751" s="131"/>
      <c r="AG751" s="131"/>
      <c r="AH751" s="132"/>
    </row>
    <row r="752" spans="1:35" s="1" customFormat="1" ht="15.75" customHeight="1" x14ac:dyDescent="0.15">
      <c r="E752" s="159" t="s">
        <v>78</v>
      </c>
      <c r="F752" s="160"/>
      <c r="G752" s="160"/>
      <c r="H752" s="160" t="s">
        <v>204</v>
      </c>
      <c r="I752" s="160"/>
      <c r="J752" s="160"/>
      <c r="K752" s="160"/>
      <c r="L752" s="291" t="s">
        <v>203</v>
      </c>
      <c r="M752" s="161"/>
      <c r="N752" s="161"/>
      <c r="O752" s="160" t="s">
        <v>545</v>
      </c>
      <c r="P752" s="160"/>
      <c r="Q752" s="160"/>
      <c r="R752" s="160"/>
      <c r="S752" s="223"/>
      <c r="T752" s="213" t="s">
        <v>78</v>
      </c>
      <c r="U752" s="160"/>
      <c r="V752" s="160"/>
      <c r="W752" s="160" t="s">
        <v>204</v>
      </c>
      <c r="X752" s="160"/>
      <c r="Y752" s="160"/>
      <c r="Z752" s="160"/>
      <c r="AA752" s="291" t="s">
        <v>203</v>
      </c>
      <c r="AB752" s="161"/>
      <c r="AC752" s="161"/>
      <c r="AD752" s="160" t="s">
        <v>545</v>
      </c>
      <c r="AE752" s="160"/>
      <c r="AF752" s="160"/>
      <c r="AG752" s="160"/>
      <c r="AH752" s="223"/>
    </row>
    <row r="753" spans="1:34" s="1" customFormat="1" ht="15.75" customHeight="1" x14ac:dyDescent="0.15">
      <c r="E753" s="295"/>
      <c r="F753" s="156"/>
      <c r="G753" s="156"/>
      <c r="H753" s="156"/>
      <c r="I753" s="156"/>
      <c r="J753" s="156"/>
      <c r="K753" s="156"/>
      <c r="L753" s="163"/>
      <c r="M753" s="163"/>
      <c r="N753" s="163"/>
      <c r="O753" s="156"/>
      <c r="P753" s="156"/>
      <c r="Q753" s="156"/>
      <c r="R753" s="156"/>
      <c r="S753" s="267"/>
      <c r="T753" s="290"/>
      <c r="U753" s="156"/>
      <c r="V753" s="156"/>
      <c r="W753" s="156"/>
      <c r="X753" s="156"/>
      <c r="Y753" s="156"/>
      <c r="Z753" s="156"/>
      <c r="AA753" s="163"/>
      <c r="AB753" s="163"/>
      <c r="AC753" s="163"/>
      <c r="AD753" s="156"/>
      <c r="AE753" s="156"/>
      <c r="AF753" s="156"/>
      <c r="AG753" s="156"/>
      <c r="AH753" s="267"/>
    </row>
    <row r="754" spans="1:34" s="1" customFormat="1" ht="15.75" customHeight="1" x14ac:dyDescent="0.15">
      <c r="A754" s="73" t="str">
        <f>IF(LEN(E754)+LEN(T754)=0,"×","")</f>
        <v/>
      </c>
      <c r="E754" s="412">
        <v>3</v>
      </c>
      <c r="F754" s="398"/>
      <c r="G754" s="398"/>
      <c r="H754" s="349">
        <v>0</v>
      </c>
      <c r="I754" s="349"/>
      <c r="J754" s="349"/>
      <c r="K754" s="349"/>
      <c r="L754" s="125">
        <v>3</v>
      </c>
      <c r="M754" s="125"/>
      <c r="N754" s="125"/>
      <c r="O754" s="350">
        <f>IF(H754="","",H754*AD$770)</f>
        <v>0</v>
      </c>
      <c r="P754" s="350"/>
      <c r="Q754" s="350"/>
      <c r="R754" s="350"/>
      <c r="S754" s="351"/>
      <c r="T754" s="397">
        <v>3</v>
      </c>
      <c r="U754" s="398"/>
      <c r="V754" s="398"/>
      <c r="W754" s="349">
        <v>0</v>
      </c>
      <c r="X754" s="349"/>
      <c r="Y754" s="349"/>
      <c r="Z754" s="349"/>
      <c r="AA754" s="125">
        <v>3</v>
      </c>
      <c r="AB754" s="125"/>
      <c r="AC754" s="125"/>
      <c r="AD754" s="350">
        <f>IF(W754="","",W754*AD$770)</f>
        <v>0</v>
      </c>
      <c r="AE754" s="350"/>
      <c r="AF754" s="350"/>
      <c r="AG754" s="350"/>
      <c r="AH754" s="352"/>
    </row>
    <row r="755" spans="1:34" s="1" customFormat="1" ht="15.75" customHeight="1" x14ac:dyDescent="0.15">
      <c r="A755" s="73" t="str">
        <f t="shared" ref="A755:A769" si="66">IF(LEN(E755)+LEN(T755)=0,"×","")</f>
        <v/>
      </c>
      <c r="E755" s="413">
        <v>4</v>
      </c>
      <c r="F755" s="372"/>
      <c r="G755" s="372"/>
      <c r="H755" s="353">
        <v>0</v>
      </c>
      <c r="I755" s="353"/>
      <c r="J755" s="353"/>
      <c r="K755" s="353"/>
      <c r="L755" s="103">
        <v>0.53999996185302734</v>
      </c>
      <c r="M755" s="103"/>
      <c r="N755" s="103"/>
      <c r="O755" s="354">
        <f t="shared" ref="O755:O769" si="67">IF(H755="","",H755*AD$770)</f>
        <v>0</v>
      </c>
      <c r="P755" s="354"/>
      <c r="Q755" s="354"/>
      <c r="R755" s="354"/>
      <c r="S755" s="355"/>
      <c r="T755" s="395">
        <v>4</v>
      </c>
      <c r="U755" s="372"/>
      <c r="V755" s="372"/>
      <c r="W755" s="353">
        <v>0</v>
      </c>
      <c r="X755" s="353"/>
      <c r="Y755" s="353"/>
      <c r="Z755" s="353"/>
      <c r="AA755" s="103">
        <v>0.53999996185302734</v>
      </c>
      <c r="AB755" s="103"/>
      <c r="AC755" s="103"/>
      <c r="AD755" s="354">
        <f t="shared" ref="AD755:AD769" si="68">IF(W755="","",W755*AD$770)</f>
        <v>0</v>
      </c>
      <c r="AE755" s="354"/>
      <c r="AF755" s="354"/>
      <c r="AG755" s="354"/>
      <c r="AH755" s="356"/>
    </row>
    <row r="756" spans="1:34" s="1" customFormat="1" ht="15.75" customHeight="1" x14ac:dyDescent="0.15">
      <c r="A756" s="73" t="str">
        <f t="shared" si="66"/>
        <v/>
      </c>
      <c r="E756" s="413">
        <v>4</v>
      </c>
      <c r="F756" s="372"/>
      <c r="G756" s="372"/>
      <c r="H756" s="353">
        <v>5724</v>
      </c>
      <c r="I756" s="353"/>
      <c r="J756" s="353"/>
      <c r="K756" s="353"/>
      <c r="L756" s="103">
        <v>4.4600000381469727</v>
      </c>
      <c r="M756" s="103"/>
      <c r="N756" s="103"/>
      <c r="O756" s="354">
        <f t="shared" si="67"/>
        <v>17982.476349147975</v>
      </c>
      <c r="P756" s="354"/>
      <c r="Q756" s="354"/>
      <c r="R756" s="354"/>
      <c r="S756" s="355"/>
      <c r="T756" s="395">
        <v>4</v>
      </c>
      <c r="U756" s="372"/>
      <c r="V756" s="372"/>
      <c r="W756" s="353">
        <v>5724</v>
      </c>
      <c r="X756" s="353"/>
      <c r="Y756" s="353"/>
      <c r="Z756" s="353"/>
      <c r="AA756" s="103">
        <v>4.4600000381469727</v>
      </c>
      <c r="AB756" s="103"/>
      <c r="AC756" s="103"/>
      <c r="AD756" s="354">
        <f t="shared" si="68"/>
        <v>17982.476349147975</v>
      </c>
      <c r="AE756" s="354"/>
      <c r="AF756" s="354"/>
      <c r="AG756" s="354"/>
      <c r="AH756" s="356"/>
    </row>
    <row r="757" spans="1:34" s="1" customFormat="1" ht="15.75" customHeight="1" x14ac:dyDescent="0.15">
      <c r="A757" s="73" t="str">
        <f t="shared" si="66"/>
        <v/>
      </c>
      <c r="E757" s="413">
        <v>5</v>
      </c>
      <c r="F757" s="372"/>
      <c r="G757" s="372"/>
      <c r="H757" s="353">
        <v>6514</v>
      </c>
      <c r="I757" s="353"/>
      <c r="J757" s="353"/>
      <c r="K757" s="353"/>
      <c r="L757" s="103">
        <v>8</v>
      </c>
      <c r="M757" s="103"/>
      <c r="N757" s="103"/>
      <c r="O757" s="354">
        <f t="shared" si="67"/>
        <v>20464.334545483911</v>
      </c>
      <c r="P757" s="354"/>
      <c r="Q757" s="354"/>
      <c r="R757" s="354"/>
      <c r="S757" s="355"/>
      <c r="T757" s="395">
        <v>5</v>
      </c>
      <c r="U757" s="372"/>
      <c r="V757" s="372"/>
      <c r="W757" s="353">
        <v>6514</v>
      </c>
      <c r="X757" s="353"/>
      <c r="Y757" s="353"/>
      <c r="Z757" s="353"/>
      <c r="AA757" s="103">
        <v>8</v>
      </c>
      <c r="AB757" s="103"/>
      <c r="AC757" s="103"/>
      <c r="AD757" s="354">
        <f t="shared" si="68"/>
        <v>20464.334545483911</v>
      </c>
      <c r="AE757" s="354"/>
      <c r="AF757" s="354"/>
      <c r="AG757" s="354"/>
      <c r="AH757" s="356"/>
    </row>
    <row r="758" spans="1:34" s="1" customFormat="1" ht="15.75" customHeight="1" x14ac:dyDescent="0.15">
      <c r="A758" s="73" t="str">
        <f t="shared" si="66"/>
        <v/>
      </c>
      <c r="E758" s="413">
        <v>6</v>
      </c>
      <c r="F758" s="372"/>
      <c r="G758" s="372"/>
      <c r="H758" s="353">
        <v>9288</v>
      </c>
      <c r="I758" s="353"/>
      <c r="J758" s="353"/>
      <c r="K758" s="353"/>
      <c r="L758" s="103">
        <v>4</v>
      </c>
      <c r="M758" s="103"/>
      <c r="N758" s="103"/>
      <c r="O758" s="354">
        <f t="shared" si="67"/>
        <v>29179.112566541997</v>
      </c>
      <c r="P758" s="354"/>
      <c r="Q758" s="354"/>
      <c r="R758" s="354"/>
      <c r="S758" s="355"/>
      <c r="T758" s="395">
        <v>6</v>
      </c>
      <c r="U758" s="372"/>
      <c r="V758" s="372"/>
      <c r="W758" s="353">
        <v>9288</v>
      </c>
      <c r="X758" s="353"/>
      <c r="Y758" s="353"/>
      <c r="Z758" s="353"/>
      <c r="AA758" s="103">
        <v>4.5</v>
      </c>
      <c r="AB758" s="103"/>
      <c r="AC758" s="103"/>
      <c r="AD758" s="354">
        <f t="shared" si="68"/>
        <v>29179.112566541997</v>
      </c>
      <c r="AE758" s="354"/>
      <c r="AF758" s="354"/>
      <c r="AG758" s="354"/>
      <c r="AH758" s="356"/>
    </row>
    <row r="759" spans="1:34" s="1" customFormat="1" ht="15.75" customHeight="1" x14ac:dyDescent="0.15">
      <c r="A759" s="73" t="str">
        <f t="shared" si="66"/>
        <v/>
      </c>
      <c r="E759" s="413">
        <v>6</v>
      </c>
      <c r="F759" s="372"/>
      <c r="G759" s="372"/>
      <c r="H759" s="353">
        <v>0</v>
      </c>
      <c r="I759" s="353"/>
      <c r="J759" s="353"/>
      <c r="K759" s="353"/>
      <c r="L759" s="103">
        <v>0.5</v>
      </c>
      <c r="M759" s="103"/>
      <c r="N759" s="103"/>
      <c r="O759" s="354">
        <f t="shared" si="67"/>
        <v>0</v>
      </c>
      <c r="P759" s="354"/>
      <c r="Q759" s="354"/>
      <c r="R759" s="354"/>
      <c r="S759" s="355"/>
      <c r="T759" s="395">
        <v>7</v>
      </c>
      <c r="U759" s="372"/>
      <c r="V759" s="372"/>
      <c r="W759" s="353">
        <v>18352</v>
      </c>
      <c r="X759" s="353"/>
      <c r="Y759" s="353"/>
      <c r="Z759" s="353"/>
      <c r="AA759" s="103">
        <v>0.5</v>
      </c>
      <c r="AB759" s="103"/>
      <c r="AC759" s="103"/>
      <c r="AD759" s="354">
        <f t="shared" si="68"/>
        <v>57654.508378679886</v>
      </c>
      <c r="AE759" s="354"/>
      <c r="AF759" s="354"/>
      <c r="AG759" s="354"/>
      <c r="AH759" s="356"/>
    </row>
    <row r="760" spans="1:34" s="1" customFormat="1" ht="15.75" customHeight="1" x14ac:dyDescent="0.15">
      <c r="A760" s="73" t="str">
        <f t="shared" si="66"/>
        <v/>
      </c>
      <c r="E760" s="413">
        <v>7</v>
      </c>
      <c r="F760" s="372"/>
      <c r="G760" s="372"/>
      <c r="H760" s="353">
        <v>0</v>
      </c>
      <c r="I760" s="353"/>
      <c r="J760" s="353"/>
      <c r="K760" s="353"/>
      <c r="L760" s="103">
        <v>0.5</v>
      </c>
      <c r="M760" s="103"/>
      <c r="N760" s="103"/>
      <c r="O760" s="354">
        <f t="shared" si="67"/>
        <v>0</v>
      </c>
      <c r="P760" s="354"/>
      <c r="Q760" s="354"/>
      <c r="R760" s="354"/>
      <c r="S760" s="355"/>
      <c r="T760" s="395"/>
      <c r="U760" s="372"/>
      <c r="V760" s="372"/>
      <c r="W760" s="353"/>
      <c r="X760" s="353"/>
      <c r="Y760" s="353"/>
      <c r="Z760" s="353"/>
      <c r="AA760" s="103"/>
      <c r="AB760" s="103"/>
      <c r="AC760" s="103"/>
      <c r="AD760" s="354" t="str">
        <f t="shared" si="68"/>
        <v/>
      </c>
      <c r="AE760" s="354"/>
      <c r="AF760" s="354"/>
      <c r="AG760" s="354"/>
      <c r="AH760" s="356"/>
    </row>
    <row r="761" spans="1:34" s="1" customFormat="1" ht="15.75" customHeight="1" x14ac:dyDescent="0.15">
      <c r="A761" s="73" t="str">
        <f t="shared" si="66"/>
        <v>×</v>
      </c>
      <c r="E761" s="413"/>
      <c r="F761" s="372"/>
      <c r="G761" s="372"/>
      <c r="H761" s="353"/>
      <c r="I761" s="353"/>
      <c r="J761" s="353"/>
      <c r="K761" s="353"/>
      <c r="L761" s="103"/>
      <c r="M761" s="103"/>
      <c r="N761" s="103"/>
      <c r="O761" s="354" t="str">
        <f t="shared" si="67"/>
        <v/>
      </c>
      <c r="P761" s="354"/>
      <c r="Q761" s="354"/>
      <c r="R761" s="354"/>
      <c r="S761" s="355"/>
      <c r="T761" s="395"/>
      <c r="U761" s="372"/>
      <c r="V761" s="372"/>
      <c r="W761" s="353"/>
      <c r="X761" s="353"/>
      <c r="Y761" s="353"/>
      <c r="Z761" s="353"/>
      <c r="AA761" s="103"/>
      <c r="AB761" s="103"/>
      <c r="AC761" s="103"/>
      <c r="AD761" s="354" t="str">
        <f t="shared" si="68"/>
        <v/>
      </c>
      <c r="AE761" s="354"/>
      <c r="AF761" s="354"/>
      <c r="AG761" s="354"/>
      <c r="AH761" s="356"/>
    </row>
    <row r="762" spans="1:34" s="1" customFormat="1" ht="15.75" customHeight="1" x14ac:dyDescent="0.15">
      <c r="A762" s="73" t="str">
        <f t="shared" si="66"/>
        <v>×</v>
      </c>
      <c r="E762" s="413"/>
      <c r="F762" s="372"/>
      <c r="G762" s="372"/>
      <c r="H762" s="353"/>
      <c r="I762" s="353"/>
      <c r="J762" s="353"/>
      <c r="K762" s="353"/>
      <c r="L762" s="103"/>
      <c r="M762" s="103"/>
      <c r="N762" s="103"/>
      <c r="O762" s="354" t="str">
        <f t="shared" si="67"/>
        <v/>
      </c>
      <c r="P762" s="354"/>
      <c r="Q762" s="354"/>
      <c r="R762" s="354"/>
      <c r="S762" s="355"/>
      <c r="T762" s="395"/>
      <c r="U762" s="372"/>
      <c r="V762" s="372"/>
      <c r="W762" s="353"/>
      <c r="X762" s="353"/>
      <c r="Y762" s="353"/>
      <c r="Z762" s="353"/>
      <c r="AA762" s="103"/>
      <c r="AB762" s="103"/>
      <c r="AC762" s="103"/>
      <c r="AD762" s="354" t="str">
        <f t="shared" si="68"/>
        <v/>
      </c>
      <c r="AE762" s="354"/>
      <c r="AF762" s="354"/>
      <c r="AG762" s="354"/>
      <c r="AH762" s="356"/>
    </row>
    <row r="763" spans="1:34" s="1" customFormat="1" ht="15.75" customHeight="1" x14ac:dyDescent="0.15">
      <c r="A763" s="73" t="str">
        <f t="shared" si="66"/>
        <v>×</v>
      </c>
      <c r="E763" s="413"/>
      <c r="F763" s="372"/>
      <c r="G763" s="372"/>
      <c r="H763" s="353"/>
      <c r="I763" s="353"/>
      <c r="J763" s="353"/>
      <c r="K763" s="353"/>
      <c r="L763" s="103"/>
      <c r="M763" s="103"/>
      <c r="N763" s="103"/>
      <c r="O763" s="354" t="str">
        <f t="shared" si="67"/>
        <v/>
      </c>
      <c r="P763" s="354"/>
      <c r="Q763" s="354"/>
      <c r="R763" s="354"/>
      <c r="S763" s="355"/>
      <c r="T763" s="395"/>
      <c r="U763" s="372"/>
      <c r="V763" s="372"/>
      <c r="W763" s="353"/>
      <c r="X763" s="353"/>
      <c r="Y763" s="353"/>
      <c r="Z763" s="353"/>
      <c r="AA763" s="103"/>
      <c r="AB763" s="103"/>
      <c r="AC763" s="103"/>
      <c r="AD763" s="354" t="str">
        <f t="shared" si="68"/>
        <v/>
      </c>
      <c r="AE763" s="354"/>
      <c r="AF763" s="354"/>
      <c r="AG763" s="354"/>
      <c r="AH763" s="356"/>
    </row>
    <row r="764" spans="1:34" s="1" customFormat="1" ht="15.75" customHeight="1" x14ac:dyDescent="0.15">
      <c r="A764" s="73" t="str">
        <f t="shared" si="66"/>
        <v>×</v>
      </c>
      <c r="E764" s="413"/>
      <c r="F764" s="372"/>
      <c r="G764" s="372"/>
      <c r="H764" s="353"/>
      <c r="I764" s="353"/>
      <c r="J764" s="353"/>
      <c r="K764" s="353"/>
      <c r="L764" s="103"/>
      <c r="M764" s="103"/>
      <c r="N764" s="103"/>
      <c r="O764" s="354" t="str">
        <f t="shared" si="67"/>
        <v/>
      </c>
      <c r="P764" s="354"/>
      <c r="Q764" s="354"/>
      <c r="R764" s="354"/>
      <c r="S764" s="355"/>
      <c r="T764" s="395"/>
      <c r="U764" s="372"/>
      <c r="V764" s="372"/>
      <c r="W764" s="353"/>
      <c r="X764" s="353"/>
      <c r="Y764" s="353"/>
      <c r="Z764" s="353"/>
      <c r="AA764" s="103"/>
      <c r="AB764" s="103"/>
      <c r="AC764" s="103"/>
      <c r="AD764" s="354" t="str">
        <f t="shared" si="68"/>
        <v/>
      </c>
      <c r="AE764" s="354"/>
      <c r="AF764" s="354"/>
      <c r="AG764" s="354"/>
      <c r="AH764" s="356"/>
    </row>
    <row r="765" spans="1:34" s="1" customFormat="1" ht="15.75" customHeight="1" x14ac:dyDescent="0.15">
      <c r="A765" s="73" t="str">
        <f t="shared" si="66"/>
        <v>×</v>
      </c>
      <c r="E765" s="413"/>
      <c r="F765" s="372"/>
      <c r="G765" s="372"/>
      <c r="H765" s="353"/>
      <c r="I765" s="353"/>
      <c r="J765" s="353"/>
      <c r="K765" s="353"/>
      <c r="L765" s="103"/>
      <c r="M765" s="103"/>
      <c r="N765" s="103"/>
      <c r="O765" s="354" t="str">
        <f t="shared" si="67"/>
        <v/>
      </c>
      <c r="P765" s="354"/>
      <c r="Q765" s="354"/>
      <c r="R765" s="354"/>
      <c r="S765" s="355"/>
      <c r="T765" s="395"/>
      <c r="U765" s="372"/>
      <c r="V765" s="372"/>
      <c r="W765" s="353"/>
      <c r="X765" s="353"/>
      <c r="Y765" s="353"/>
      <c r="Z765" s="353"/>
      <c r="AA765" s="103"/>
      <c r="AB765" s="103"/>
      <c r="AC765" s="103"/>
      <c r="AD765" s="354" t="str">
        <f t="shared" si="68"/>
        <v/>
      </c>
      <c r="AE765" s="354"/>
      <c r="AF765" s="354"/>
      <c r="AG765" s="354"/>
      <c r="AH765" s="356"/>
    </row>
    <row r="766" spans="1:34" s="1" customFormat="1" ht="15.75" customHeight="1" x14ac:dyDescent="0.15">
      <c r="A766" s="73" t="str">
        <f t="shared" si="66"/>
        <v>×</v>
      </c>
      <c r="E766" s="413"/>
      <c r="F766" s="372"/>
      <c r="G766" s="372"/>
      <c r="H766" s="353"/>
      <c r="I766" s="353"/>
      <c r="J766" s="353"/>
      <c r="K766" s="353"/>
      <c r="L766" s="103"/>
      <c r="M766" s="103"/>
      <c r="N766" s="103"/>
      <c r="O766" s="354" t="str">
        <f t="shared" si="67"/>
        <v/>
      </c>
      <c r="P766" s="354"/>
      <c r="Q766" s="354"/>
      <c r="R766" s="354"/>
      <c r="S766" s="355"/>
      <c r="T766" s="395"/>
      <c r="U766" s="372"/>
      <c r="V766" s="372"/>
      <c r="W766" s="353"/>
      <c r="X766" s="353"/>
      <c r="Y766" s="353"/>
      <c r="Z766" s="353"/>
      <c r="AA766" s="103"/>
      <c r="AB766" s="103"/>
      <c r="AC766" s="103"/>
      <c r="AD766" s="354" t="str">
        <f t="shared" si="68"/>
        <v/>
      </c>
      <c r="AE766" s="354"/>
      <c r="AF766" s="354"/>
      <c r="AG766" s="354"/>
      <c r="AH766" s="356"/>
    </row>
    <row r="767" spans="1:34" s="1" customFormat="1" ht="15.75" customHeight="1" x14ac:dyDescent="0.15">
      <c r="A767" s="73" t="str">
        <f t="shared" si="66"/>
        <v>×</v>
      </c>
      <c r="E767" s="413"/>
      <c r="F767" s="372"/>
      <c r="G767" s="372"/>
      <c r="H767" s="353"/>
      <c r="I767" s="353"/>
      <c r="J767" s="353"/>
      <c r="K767" s="353"/>
      <c r="L767" s="103"/>
      <c r="M767" s="103"/>
      <c r="N767" s="103"/>
      <c r="O767" s="354" t="str">
        <f t="shared" si="67"/>
        <v/>
      </c>
      <c r="P767" s="354"/>
      <c r="Q767" s="354"/>
      <c r="R767" s="354"/>
      <c r="S767" s="355"/>
      <c r="T767" s="395"/>
      <c r="U767" s="372"/>
      <c r="V767" s="372"/>
      <c r="W767" s="353"/>
      <c r="X767" s="353"/>
      <c r="Y767" s="353"/>
      <c r="Z767" s="353"/>
      <c r="AA767" s="103"/>
      <c r="AB767" s="103"/>
      <c r="AC767" s="103"/>
      <c r="AD767" s="354" t="str">
        <f t="shared" si="68"/>
        <v/>
      </c>
      <c r="AE767" s="354"/>
      <c r="AF767" s="354"/>
      <c r="AG767" s="354"/>
      <c r="AH767" s="356"/>
    </row>
    <row r="768" spans="1:34" s="1" customFormat="1" ht="15.75" customHeight="1" x14ac:dyDescent="0.15">
      <c r="A768" s="73" t="str">
        <f t="shared" si="66"/>
        <v>×</v>
      </c>
      <c r="E768" s="413"/>
      <c r="F768" s="372"/>
      <c r="G768" s="372"/>
      <c r="H768" s="353"/>
      <c r="I768" s="353"/>
      <c r="J768" s="353"/>
      <c r="K768" s="353"/>
      <c r="L768" s="103"/>
      <c r="M768" s="103"/>
      <c r="N768" s="103"/>
      <c r="O768" s="354" t="str">
        <f t="shared" si="67"/>
        <v/>
      </c>
      <c r="P768" s="354"/>
      <c r="Q768" s="354"/>
      <c r="R768" s="354"/>
      <c r="S768" s="355"/>
      <c r="T768" s="395"/>
      <c r="U768" s="372"/>
      <c r="V768" s="372"/>
      <c r="W768" s="353"/>
      <c r="X768" s="353"/>
      <c r="Y768" s="353"/>
      <c r="Z768" s="353"/>
      <c r="AA768" s="103"/>
      <c r="AB768" s="103"/>
      <c r="AC768" s="103"/>
      <c r="AD768" s="354" t="str">
        <f t="shared" si="68"/>
        <v/>
      </c>
      <c r="AE768" s="354"/>
      <c r="AF768" s="354"/>
      <c r="AG768" s="354"/>
      <c r="AH768" s="356"/>
    </row>
    <row r="769" spans="1:35" s="1" customFormat="1" ht="15.75" customHeight="1" x14ac:dyDescent="0.15">
      <c r="A769" s="73" t="str">
        <f t="shared" si="66"/>
        <v>×</v>
      </c>
      <c r="E769" s="414"/>
      <c r="F769" s="373"/>
      <c r="G769" s="373"/>
      <c r="H769" s="357"/>
      <c r="I769" s="357"/>
      <c r="J769" s="357"/>
      <c r="K769" s="357"/>
      <c r="L769" s="104"/>
      <c r="M769" s="104"/>
      <c r="N769" s="104"/>
      <c r="O769" s="358" t="str">
        <f t="shared" si="67"/>
        <v/>
      </c>
      <c r="P769" s="358"/>
      <c r="Q769" s="358"/>
      <c r="R769" s="358"/>
      <c r="S769" s="359"/>
      <c r="T769" s="396"/>
      <c r="U769" s="373"/>
      <c r="V769" s="373"/>
      <c r="W769" s="357"/>
      <c r="X769" s="357"/>
      <c r="Y769" s="357"/>
      <c r="Z769" s="357"/>
      <c r="AA769" s="104"/>
      <c r="AB769" s="104"/>
      <c r="AC769" s="104"/>
      <c r="AD769" s="358" t="str">
        <f t="shared" si="68"/>
        <v/>
      </c>
      <c r="AE769" s="358"/>
      <c r="AF769" s="358"/>
      <c r="AG769" s="358"/>
      <c r="AH769" s="360"/>
    </row>
    <row r="770" spans="1:35" s="1" customFormat="1" ht="15.75" customHeight="1" x14ac:dyDescent="0.15">
      <c r="E770" s="8"/>
      <c r="F770" s="8"/>
      <c r="G770" s="8"/>
      <c r="H770" s="8"/>
      <c r="I770" s="8"/>
      <c r="J770" s="8"/>
      <c r="K770" s="8"/>
      <c r="L770" s="8"/>
      <c r="M770" s="8"/>
      <c r="N770" s="8"/>
      <c r="O770" s="8"/>
      <c r="P770" s="8"/>
      <c r="AA770" s="2" t="s">
        <v>127</v>
      </c>
      <c r="AB770" s="1" t="s">
        <v>548</v>
      </c>
      <c r="AC770" s="76" t="s">
        <v>27</v>
      </c>
      <c r="AD770" s="304">
        <f>AD747</f>
        <v>3.1415926535897931</v>
      </c>
      <c r="AE770" s="304"/>
      <c r="AF770" s="304"/>
      <c r="AG770" s="7" t="s">
        <v>549</v>
      </c>
      <c r="AH770" s="76" t="s">
        <v>158</v>
      </c>
    </row>
    <row r="773" spans="1:35" s="1" customFormat="1" ht="15.75" customHeight="1" x14ac:dyDescent="0.15">
      <c r="A773" s="73" t="str">
        <f>IF(A$289="","","×")</f>
        <v>×</v>
      </c>
      <c r="E773" s="61" t="s">
        <v>597</v>
      </c>
      <c r="F773" s="302"/>
      <c r="G773" s="302"/>
      <c r="H773" s="302"/>
      <c r="I773" s="61"/>
      <c r="J773" s="61"/>
      <c r="K773" s="61"/>
      <c r="L773" s="61"/>
      <c r="M773" s="61"/>
      <c r="N773" s="61"/>
      <c r="O773" s="61"/>
      <c r="P773" s="61"/>
      <c r="Q773" s="61"/>
      <c r="R773" s="61"/>
      <c r="S773" s="61"/>
      <c r="T773" s="61"/>
      <c r="U773" s="61"/>
      <c r="V773" s="61"/>
      <c r="W773" s="61"/>
      <c r="X773" s="61"/>
      <c r="Y773" s="61"/>
      <c r="Z773" s="61"/>
      <c r="AA773" s="61"/>
      <c r="AB773" s="61"/>
      <c r="AC773" s="61"/>
      <c r="AD773" s="61"/>
      <c r="AE773" s="61"/>
      <c r="AF773" s="61"/>
      <c r="AG773" s="61"/>
      <c r="AH773" s="61"/>
      <c r="AI773" s="8"/>
    </row>
    <row r="774" spans="1:35" s="1" customFormat="1" ht="15.75" customHeight="1" x14ac:dyDescent="0.15">
      <c r="A774" s="73" t="str">
        <f>IF(A$289="","","×")</f>
        <v>×</v>
      </c>
      <c r="E774" s="294" t="s">
        <v>546</v>
      </c>
      <c r="F774" s="292"/>
      <c r="G774" s="292"/>
      <c r="H774" s="292"/>
      <c r="I774" s="292"/>
      <c r="J774" s="292"/>
      <c r="K774" s="292"/>
      <c r="L774" s="292"/>
      <c r="M774" s="292"/>
      <c r="N774" s="292"/>
      <c r="O774" s="292"/>
      <c r="P774" s="292"/>
      <c r="Q774" s="292"/>
      <c r="R774" s="292"/>
      <c r="S774" s="296"/>
      <c r="T774" s="273" t="s">
        <v>547</v>
      </c>
      <c r="U774" s="131"/>
      <c r="V774" s="131"/>
      <c r="W774" s="131"/>
      <c r="X774" s="131"/>
      <c r="Y774" s="131"/>
      <c r="Z774" s="131"/>
      <c r="AA774" s="131"/>
      <c r="AB774" s="131"/>
      <c r="AC774" s="131"/>
      <c r="AD774" s="131"/>
      <c r="AE774" s="131"/>
      <c r="AF774" s="131"/>
      <c r="AG774" s="131"/>
      <c r="AH774" s="132"/>
    </row>
    <row r="775" spans="1:35" s="1" customFormat="1" ht="15.75" customHeight="1" x14ac:dyDescent="0.15">
      <c r="A775" s="73" t="str">
        <f>IF(A$289="","","×")</f>
        <v>×</v>
      </c>
      <c r="E775" s="159" t="s">
        <v>78</v>
      </c>
      <c r="F775" s="160"/>
      <c r="G775" s="160"/>
      <c r="H775" s="160" t="s">
        <v>204</v>
      </c>
      <c r="I775" s="160"/>
      <c r="J775" s="160"/>
      <c r="K775" s="160"/>
      <c r="L775" s="291" t="s">
        <v>203</v>
      </c>
      <c r="M775" s="161"/>
      <c r="N775" s="161"/>
      <c r="O775" s="160" t="s">
        <v>545</v>
      </c>
      <c r="P775" s="160"/>
      <c r="Q775" s="160"/>
      <c r="R775" s="160"/>
      <c r="S775" s="223"/>
      <c r="T775" s="213" t="s">
        <v>78</v>
      </c>
      <c r="U775" s="160"/>
      <c r="V775" s="160"/>
      <c r="W775" s="160" t="s">
        <v>204</v>
      </c>
      <c r="X775" s="160"/>
      <c r="Y775" s="160"/>
      <c r="Z775" s="160"/>
      <c r="AA775" s="291" t="s">
        <v>203</v>
      </c>
      <c r="AB775" s="161"/>
      <c r="AC775" s="161"/>
      <c r="AD775" s="160" t="s">
        <v>545</v>
      </c>
      <c r="AE775" s="160"/>
      <c r="AF775" s="160"/>
      <c r="AG775" s="160"/>
      <c r="AH775" s="223"/>
    </row>
    <row r="776" spans="1:35" s="1" customFormat="1" ht="15.75" customHeight="1" x14ac:dyDescent="0.15">
      <c r="A776" s="73" t="str">
        <f>IF(A$289="","","×")</f>
        <v>×</v>
      </c>
      <c r="E776" s="295"/>
      <c r="F776" s="156"/>
      <c r="G776" s="156"/>
      <c r="H776" s="156"/>
      <c r="I776" s="156"/>
      <c r="J776" s="156"/>
      <c r="K776" s="156"/>
      <c r="L776" s="163"/>
      <c r="M776" s="163"/>
      <c r="N776" s="163"/>
      <c r="O776" s="156"/>
      <c r="P776" s="156"/>
      <c r="Q776" s="156"/>
      <c r="R776" s="156"/>
      <c r="S776" s="267"/>
      <c r="T776" s="290"/>
      <c r="U776" s="156"/>
      <c r="V776" s="156"/>
      <c r="W776" s="156"/>
      <c r="X776" s="156"/>
      <c r="Y776" s="156"/>
      <c r="Z776" s="156"/>
      <c r="AA776" s="163"/>
      <c r="AB776" s="163"/>
      <c r="AC776" s="163"/>
      <c r="AD776" s="156"/>
      <c r="AE776" s="156"/>
      <c r="AF776" s="156"/>
      <c r="AG776" s="156"/>
      <c r="AH776" s="267"/>
    </row>
    <row r="777" spans="1:35" s="1" customFormat="1" ht="15.75" customHeight="1" x14ac:dyDescent="0.15">
      <c r="A777" s="73" t="str">
        <f>IF(A$289="",IF(LEN(E777)+LEN(T777)=0,"×",""),"×")</f>
        <v>×</v>
      </c>
      <c r="E777" s="412">
        <v>3</v>
      </c>
      <c r="F777" s="398"/>
      <c r="G777" s="398"/>
      <c r="H777" s="349">
        <v>0</v>
      </c>
      <c r="I777" s="349"/>
      <c r="J777" s="349"/>
      <c r="K777" s="349"/>
      <c r="L777" s="125">
        <v>3</v>
      </c>
      <c r="M777" s="125"/>
      <c r="N777" s="125"/>
      <c r="O777" s="350">
        <f>IF(H777="","",H777*AD$793)</f>
        <v>0</v>
      </c>
      <c r="P777" s="350"/>
      <c r="Q777" s="350"/>
      <c r="R777" s="350"/>
      <c r="S777" s="351"/>
      <c r="T777" s="397">
        <v>3</v>
      </c>
      <c r="U777" s="398"/>
      <c r="V777" s="398"/>
      <c r="W777" s="349">
        <v>0</v>
      </c>
      <c r="X777" s="349"/>
      <c r="Y777" s="349"/>
      <c r="Z777" s="349"/>
      <c r="AA777" s="125">
        <v>3</v>
      </c>
      <c r="AB777" s="125"/>
      <c r="AC777" s="125"/>
      <c r="AD777" s="350">
        <f>IF(W777="","",W777*AD$793)</f>
        <v>0</v>
      </c>
      <c r="AE777" s="350"/>
      <c r="AF777" s="350"/>
      <c r="AG777" s="350"/>
      <c r="AH777" s="352"/>
    </row>
    <row r="778" spans="1:35" s="1" customFormat="1" ht="15.75" customHeight="1" x14ac:dyDescent="0.15">
      <c r="A778" s="73" t="str">
        <f t="shared" ref="A778:A792" si="69">IF(A$289="",IF(LEN(E778)+LEN(T778)=0,"×",""),"×")</f>
        <v>×</v>
      </c>
      <c r="E778" s="413">
        <v>4</v>
      </c>
      <c r="F778" s="372"/>
      <c r="G778" s="372"/>
      <c r="H778" s="353">
        <v>0</v>
      </c>
      <c r="I778" s="353"/>
      <c r="J778" s="353"/>
      <c r="K778" s="353"/>
      <c r="L778" s="103">
        <v>0.53999996185302734</v>
      </c>
      <c r="M778" s="103"/>
      <c r="N778" s="103"/>
      <c r="O778" s="354">
        <f t="shared" ref="O778:O792" si="70">IF(H778="","",H778*AD$793)</f>
        <v>0</v>
      </c>
      <c r="P778" s="354"/>
      <c r="Q778" s="354"/>
      <c r="R778" s="354"/>
      <c r="S778" s="355"/>
      <c r="T778" s="395">
        <v>4</v>
      </c>
      <c r="U778" s="372"/>
      <c r="V778" s="372"/>
      <c r="W778" s="353">
        <v>0</v>
      </c>
      <c r="X778" s="353"/>
      <c r="Y778" s="353"/>
      <c r="Z778" s="353"/>
      <c r="AA778" s="103">
        <v>0.53999996185302734</v>
      </c>
      <c r="AB778" s="103"/>
      <c r="AC778" s="103"/>
      <c r="AD778" s="354">
        <f t="shared" ref="AD778:AD792" si="71">IF(W778="","",W778*AD$793)</f>
        <v>0</v>
      </c>
      <c r="AE778" s="354"/>
      <c r="AF778" s="354"/>
      <c r="AG778" s="354"/>
      <c r="AH778" s="356"/>
    </row>
    <row r="779" spans="1:35" s="1" customFormat="1" ht="15.75" customHeight="1" x14ac:dyDescent="0.15">
      <c r="A779" s="73" t="str">
        <f t="shared" si="69"/>
        <v>×</v>
      </c>
      <c r="E779" s="413">
        <v>4</v>
      </c>
      <c r="F779" s="372"/>
      <c r="G779" s="372"/>
      <c r="H779" s="353">
        <v>5724</v>
      </c>
      <c r="I779" s="353"/>
      <c r="J779" s="353"/>
      <c r="K779" s="353"/>
      <c r="L779" s="103">
        <v>4.4600000381469727</v>
      </c>
      <c r="M779" s="103"/>
      <c r="N779" s="103"/>
      <c r="O779" s="354">
        <f t="shared" si="70"/>
        <v>17982.476349147975</v>
      </c>
      <c r="P779" s="354"/>
      <c r="Q779" s="354"/>
      <c r="R779" s="354"/>
      <c r="S779" s="355"/>
      <c r="T779" s="395">
        <v>4</v>
      </c>
      <c r="U779" s="372"/>
      <c r="V779" s="372"/>
      <c r="W779" s="353">
        <v>5724</v>
      </c>
      <c r="X779" s="353"/>
      <c r="Y779" s="353"/>
      <c r="Z779" s="353"/>
      <c r="AA779" s="103">
        <v>4.4600000381469727</v>
      </c>
      <c r="AB779" s="103"/>
      <c r="AC779" s="103"/>
      <c r="AD779" s="354">
        <f t="shared" si="71"/>
        <v>17982.476349147975</v>
      </c>
      <c r="AE779" s="354"/>
      <c r="AF779" s="354"/>
      <c r="AG779" s="354"/>
      <c r="AH779" s="356"/>
    </row>
    <row r="780" spans="1:35" s="1" customFormat="1" ht="15.75" customHeight="1" x14ac:dyDescent="0.15">
      <c r="A780" s="73" t="str">
        <f t="shared" si="69"/>
        <v>×</v>
      </c>
      <c r="E780" s="413">
        <v>5</v>
      </c>
      <c r="F780" s="372"/>
      <c r="G780" s="372"/>
      <c r="H780" s="353">
        <v>6514</v>
      </c>
      <c r="I780" s="353"/>
      <c r="J780" s="353"/>
      <c r="K780" s="353"/>
      <c r="L780" s="103">
        <v>8</v>
      </c>
      <c r="M780" s="103"/>
      <c r="N780" s="103"/>
      <c r="O780" s="354">
        <f t="shared" si="70"/>
        <v>20464.334545483911</v>
      </c>
      <c r="P780" s="354"/>
      <c r="Q780" s="354"/>
      <c r="R780" s="354"/>
      <c r="S780" s="355"/>
      <c r="T780" s="395">
        <v>5</v>
      </c>
      <c r="U780" s="372"/>
      <c r="V780" s="372"/>
      <c r="W780" s="353">
        <v>6514</v>
      </c>
      <c r="X780" s="353"/>
      <c r="Y780" s="353"/>
      <c r="Z780" s="353"/>
      <c r="AA780" s="103">
        <v>8</v>
      </c>
      <c r="AB780" s="103"/>
      <c r="AC780" s="103"/>
      <c r="AD780" s="354">
        <f t="shared" si="71"/>
        <v>20464.334545483911</v>
      </c>
      <c r="AE780" s="354"/>
      <c r="AF780" s="354"/>
      <c r="AG780" s="354"/>
      <c r="AH780" s="356"/>
    </row>
    <row r="781" spans="1:35" s="1" customFormat="1" ht="15.75" customHeight="1" x14ac:dyDescent="0.15">
      <c r="A781" s="73" t="str">
        <f t="shared" si="69"/>
        <v>×</v>
      </c>
      <c r="E781" s="413">
        <v>6</v>
      </c>
      <c r="F781" s="372"/>
      <c r="G781" s="372"/>
      <c r="H781" s="353">
        <v>9288</v>
      </c>
      <c r="I781" s="353"/>
      <c r="J781" s="353"/>
      <c r="K781" s="353"/>
      <c r="L781" s="103">
        <v>4</v>
      </c>
      <c r="M781" s="103"/>
      <c r="N781" s="103"/>
      <c r="O781" s="354">
        <f t="shared" si="70"/>
        <v>29179.112566541997</v>
      </c>
      <c r="P781" s="354"/>
      <c r="Q781" s="354"/>
      <c r="R781" s="354"/>
      <c r="S781" s="355"/>
      <c r="T781" s="395">
        <v>6</v>
      </c>
      <c r="U781" s="372"/>
      <c r="V781" s="372"/>
      <c r="W781" s="353">
        <v>9288</v>
      </c>
      <c r="X781" s="353"/>
      <c r="Y781" s="353"/>
      <c r="Z781" s="353"/>
      <c r="AA781" s="103">
        <v>4.5</v>
      </c>
      <c r="AB781" s="103"/>
      <c r="AC781" s="103"/>
      <c r="AD781" s="354">
        <f t="shared" si="71"/>
        <v>29179.112566541997</v>
      </c>
      <c r="AE781" s="354"/>
      <c r="AF781" s="354"/>
      <c r="AG781" s="354"/>
      <c r="AH781" s="356"/>
    </row>
    <row r="782" spans="1:35" s="1" customFormat="1" ht="15.75" customHeight="1" x14ac:dyDescent="0.15">
      <c r="A782" s="73" t="str">
        <f t="shared" si="69"/>
        <v>×</v>
      </c>
      <c r="E782" s="413">
        <v>6</v>
      </c>
      <c r="F782" s="372"/>
      <c r="G782" s="372"/>
      <c r="H782" s="353">
        <v>0</v>
      </c>
      <c r="I782" s="353"/>
      <c r="J782" s="353"/>
      <c r="K782" s="353"/>
      <c r="L782" s="103">
        <v>0.5</v>
      </c>
      <c r="M782" s="103"/>
      <c r="N782" s="103"/>
      <c r="O782" s="354">
        <f t="shared" si="70"/>
        <v>0</v>
      </c>
      <c r="P782" s="354"/>
      <c r="Q782" s="354"/>
      <c r="R782" s="354"/>
      <c r="S782" s="355"/>
      <c r="T782" s="395">
        <v>7</v>
      </c>
      <c r="U782" s="372"/>
      <c r="V782" s="372"/>
      <c r="W782" s="353">
        <v>18352</v>
      </c>
      <c r="X782" s="353"/>
      <c r="Y782" s="353"/>
      <c r="Z782" s="353"/>
      <c r="AA782" s="103">
        <v>0.5</v>
      </c>
      <c r="AB782" s="103"/>
      <c r="AC782" s="103"/>
      <c r="AD782" s="354">
        <f t="shared" si="71"/>
        <v>57654.508378679886</v>
      </c>
      <c r="AE782" s="354"/>
      <c r="AF782" s="354"/>
      <c r="AG782" s="354"/>
      <c r="AH782" s="356"/>
    </row>
    <row r="783" spans="1:35" s="1" customFormat="1" ht="15.75" customHeight="1" x14ac:dyDescent="0.15">
      <c r="A783" s="73" t="str">
        <f t="shared" si="69"/>
        <v>×</v>
      </c>
      <c r="E783" s="413">
        <v>7</v>
      </c>
      <c r="F783" s="372"/>
      <c r="G783" s="372"/>
      <c r="H783" s="353">
        <v>0</v>
      </c>
      <c r="I783" s="353"/>
      <c r="J783" s="353"/>
      <c r="K783" s="353"/>
      <c r="L783" s="103">
        <v>0.5</v>
      </c>
      <c r="M783" s="103"/>
      <c r="N783" s="103"/>
      <c r="O783" s="354">
        <f t="shared" si="70"/>
        <v>0</v>
      </c>
      <c r="P783" s="354"/>
      <c r="Q783" s="354"/>
      <c r="R783" s="354"/>
      <c r="S783" s="355"/>
      <c r="T783" s="395"/>
      <c r="U783" s="372"/>
      <c r="V783" s="372"/>
      <c r="W783" s="353"/>
      <c r="X783" s="353"/>
      <c r="Y783" s="353"/>
      <c r="Z783" s="353"/>
      <c r="AA783" s="103"/>
      <c r="AB783" s="103"/>
      <c r="AC783" s="103"/>
      <c r="AD783" s="354" t="str">
        <f t="shared" si="71"/>
        <v/>
      </c>
      <c r="AE783" s="354"/>
      <c r="AF783" s="354"/>
      <c r="AG783" s="354"/>
      <c r="AH783" s="356"/>
    </row>
    <row r="784" spans="1:35" s="1" customFormat="1" ht="15.75" customHeight="1" x14ac:dyDescent="0.15">
      <c r="A784" s="73" t="str">
        <f t="shared" si="69"/>
        <v>×</v>
      </c>
      <c r="E784" s="413"/>
      <c r="F784" s="372"/>
      <c r="G784" s="372"/>
      <c r="H784" s="353"/>
      <c r="I784" s="353"/>
      <c r="J784" s="353"/>
      <c r="K784" s="353"/>
      <c r="L784" s="103"/>
      <c r="M784" s="103"/>
      <c r="N784" s="103"/>
      <c r="O784" s="354" t="str">
        <f t="shared" si="70"/>
        <v/>
      </c>
      <c r="P784" s="354"/>
      <c r="Q784" s="354"/>
      <c r="R784" s="354"/>
      <c r="S784" s="355"/>
      <c r="T784" s="395"/>
      <c r="U784" s="372"/>
      <c r="V784" s="372"/>
      <c r="W784" s="353"/>
      <c r="X784" s="353"/>
      <c r="Y784" s="353"/>
      <c r="Z784" s="353"/>
      <c r="AA784" s="103"/>
      <c r="AB784" s="103"/>
      <c r="AC784" s="103"/>
      <c r="AD784" s="354" t="str">
        <f t="shared" si="71"/>
        <v/>
      </c>
      <c r="AE784" s="354"/>
      <c r="AF784" s="354"/>
      <c r="AG784" s="354"/>
      <c r="AH784" s="356"/>
    </row>
    <row r="785" spans="1:35" s="1" customFormat="1" ht="15.75" customHeight="1" x14ac:dyDescent="0.15">
      <c r="A785" s="73" t="str">
        <f t="shared" si="69"/>
        <v>×</v>
      </c>
      <c r="E785" s="413"/>
      <c r="F785" s="372"/>
      <c r="G785" s="372"/>
      <c r="H785" s="353"/>
      <c r="I785" s="353"/>
      <c r="J785" s="353"/>
      <c r="K785" s="353"/>
      <c r="L785" s="103"/>
      <c r="M785" s="103"/>
      <c r="N785" s="103"/>
      <c r="O785" s="354" t="str">
        <f t="shared" si="70"/>
        <v/>
      </c>
      <c r="P785" s="354"/>
      <c r="Q785" s="354"/>
      <c r="R785" s="354"/>
      <c r="S785" s="355"/>
      <c r="T785" s="395"/>
      <c r="U785" s="372"/>
      <c r="V785" s="372"/>
      <c r="W785" s="353"/>
      <c r="X785" s="353"/>
      <c r="Y785" s="353"/>
      <c r="Z785" s="353"/>
      <c r="AA785" s="103"/>
      <c r="AB785" s="103"/>
      <c r="AC785" s="103"/>
      <c r="AD785" s="354" t="str">
        <f t="shared" si="71"/>
        <v/>
      </c>
      <c r="AE785" s="354"/>
      <c r="AF785" s="354"/>
      <c r="AG785" s="354"/>
      <c r="AH785" s="356"/>
    </row>
    <row r="786" spans="1:35" s="1" customFormat="1" ht="15.75" customHeight="1" x14ac:dyDescent="0.15">
      <c r="A786" s="73" t="str">
        <f t="shared" si="69"/>
        <v>×</v>
      </c>
      <c r="E786" s="413"/>
      <c r="F786" s="372"/>
      <c r="G786" s="372"/>
      <c r="H786" s="353"/>
      <c r="I786" s="353"/>
      <c r="J786" s="353"/>
      <c r="K786" s="353"/>
      <c r="L786" s="103"/>
      <c r="M786" s="103"/>
      <c r="N786" s="103"/>
      <c r="O786" s="354" t="str">
        <f t="shared" si="70"/>
        <v/>
      </c>
      <c r="P786" s="354"/>
      <c r="Q786" s="354"/>
      <c r="R786" s="354"/>
      <c r="S786" s="355"/>
      <c r="T786" s="395"/>
      <c r="U786" s="372"/>
      <c r="V786" s="372"/>
      <c r="W786" s="353"/>
      <c r="X786" s="353"/>
      <c r="Y786" s="353"/>
      <c r="Z786" s="353"/>
      <c r="AA786" s="103"/>
      <c r="AB786" s="103"/>
      <c r="AC786" s="103"/>
      <c r="AD786" s="354" t="str">
        <f t="shared" si="71"/>
        <v/>
      </c>
      <c r="AE786" s="354"/>
      <c r="AF786" s="354"/>
      <c r="AG786" s="354"/>
      <c r="AH786" s="356"/>
    </row>
    <row r="787" spans="1:35" s="1" customFormat="1" ht="15.75" customHeight="1" x14ac:dyDescent="0.15">
      <c r="A787" s="73" t="str">
        <f t="shared" si="69"/>
        <v>×</v>
      </c>
      <c r="E787" s="413"/>
      <c r="F787" s="372"/>
      <c r="G787" s="372"/>
      <c r="H787" s="353"/>
      <c r="I787" s="353"/>
      <c r="J787" s="353"/>
      <c r="K787" s="353"/>
      <c r="L787" s="103"/>
      <c r="M787" s="103"/>
      <c r="N787" s="103"/>
      <c r="O787" s="354" t="str">
        <f t="shared" si="70"/>
        <v/>
      </c>
      <c r="P787" s="354"/>
      <c r="Q787" s="354"/>
      <c r="R787" s="354"/>
      <c r="S787" s="355"/>
      <c r="T787" s="395"/>
      <c r="U787" s="372"/>
      <c r="V787" s="372"/>
      <c r="W787" s="353"/>
      <c r="X787" s="353"/>
      <c r="Y787" s="353"/>
      <c r="Z787" s="353"/>
      <c r="AA787" s="103"/>
      <c r="AB787" s="103"/>
      <c r="AC787" s="103"/>
      <c r="AD787" s="354" t="str">
        <f t="shared" si="71"/>
        <v/>
      </c>
      <c r="AE787" s="354"/>
      <c r="AF787" s="354"/>
      <c r="AG787" s="354"/>
      <c r="AH787" s="356"/>
    </row>
    <row r="788" spans="1:35" s="1" customFormat="1" ht="15.75" customHeight="1" x14ac:dyDescent="0.15">
      <c r="A788" s="73" t="str">
        <f t="shared" si="69"/>
        <v>×</v>
      </c>
      <c r="E788" s="413"/>
      <c r="F788" s="372"/>
      <c r="G788" s="372"/>
      <c r="H788" s="353"/>
      <c r="I788" s="353"/>
      <c r="J788" s="353"/>
      <c r="K788" s="353"/>
      <c r="L788" s="103"/>
      <c r="M788" s="103"/>
      <c r="N788" s="103"/>
      <c r="O788" s="354" t="str">
        <f t="shared" si="70"/>
        <v/>
      </c>
      <c r="P788" s="354"/>
      <c r="Q788" s="354"/>
      <c r="R788" s="354"/>
      <c r="S788" s="355"/>
      <c r="T788" s="395"/>
      <c r="U788" s="372"/>
      <c r="V788" s="372"/>
      <c r="W788" s="353"/>
      <c r="X788" s="353"/>
      <c r="Y788" s="353"/>
      <c r="Z788" s="353"/>
      <c r="AA788" s="103"/>
      <c r="AB788" s="103"/>
      <c r="AC788" s="103"/>
      <c r="AD788" s="354" t="str">
        <f t="shared" si="71"/>
        <v/>
      </c>
      <c r="AE788" s="354"/>
      <c r="AF788" s="354"/>
      <c r="AG788" s="354"/>
      <c r="AH788" s="356"/>
    </row>
    <row r="789" spans="1:35" s="1" customFormat="1" ht="15.75" customHeight="1" x14ac:dyDescent="0.15">
      <c r="A789" s="73" t="str">
        <f t="shared" si="69"/>
        <v>×</v>
      </c>
      <c r="E789" s="413"/>
      <c r="F789" s="372"/>
      <c r="G789" s="372"/>
      <c r="H789" s="353"/>
      <c r="I789" s="353"/>
      <c r="J789" s="353"/>
      <c r="K789" s="353"/>
      <c r="L789" s="103"/>
      <c r="M789" s="103"/>
      <c r="N789" s="103"/>
      <c r="O789" s="354" t="str">
        <f t="shared" si="70"/>
        <v/>
      </c>
      <c r="P789" s="354"/>
      <c r="Q789" s="354"/>
      <c r="R789" s="354"/>
      <c r="S789" s="355"/>
      <c r="T789" s="395"/>
      <c r="U789" s="372"/>
      <c r="V789" s="372"/>
      <c r="W789" s="353"/>
      <c r="X789" s="353"/>
      <c r="Y789" s="353"/>
      <c r="Z789" s="353"/>
      <c r="AA789" s="103"/>
      <c r="AB789" s="103"/>
      <c r="AC789" s="103"/>
      <c r="AD789" s="354" t="str">
        <f t="shared" si="71"/>
        <v/>
      </c>
      <c r="AE789" s="354"/>
      <c r="AF789" s="354"/>
      <c r="AG789" s="354"/>
      <c r="AH789" s="356"/>
    </row>
    <row r="790" spans="1:35" s="1" customFormat="1" ht="15.75" customHeight="1" x14ac:dyDescent="0.15">
      <c r="A790" s="73" t="str">
        <f t="shared" si="69"/>
        <v>×</v>
      </c>
      <c r="E790" s="413"/>
      <c r="F790" s="372"/>
      <c r="G790" s="372"/>
      <c r="H790" s="353"/>
      <c r="I790" s="353"/>
      <c r="J790" s="353"/>
      <c r="K790" s="353"/>
      <c r="L790" s="103"/>
      <c r="M790" s="103"/>
      <c r="N790" s="103"/>
      <c r="O790" s="354" t="str">
        <f t="shared" si="70"/>
        <v/>
      </c>
      <c r="P790" s="354"/>
      <c r="Q790" s="354"/>
      <c r="R790" s="354"/>
      <c r="S790" s="355"/>
      <c r="T790" s="395"/>
      <c r="U790" s="372"/>
      <c r="V790" s="372"/>
      <c r="W790" s="353"/>
      <c r="X790" s="353"/>
      <c r="Y790" s="353"/>
      <c r="Z790" s="353"/>
      <c r="AA790" s="103"/>
      <c r="AB790" s="103"/>
      <c r="AC790" s="103"/>
      <c r="AD790" s="354" t="str">
        <f t="shared" si="71"/>
        <v/>
      </c>
      <c r="AE790" s="354"/>
      <c r="AF790" s="354"/>
      <c r="AG790" s="354"/>
      <c r="AH790" s="356"/>
    </row>
    <row r="791" spans="1:35" s="1" customFormat="1" ht="15.75" customHeight="1" x14ac:dyDescent="0.15">
      <c r="A791" s="73" t="str">
        <f t="shared" si="69"/>
        <v>×</v>
      </c>
      <c r="E791" s="413"/>
      <c r="F791" s="372"/>
      <c r="G791" s="372"/>
      <c r="H791" s="353"/>
      <c r="I791" s="353"/>
      <c r="J791" s="353"/>
      <c r="K791" s="353"/>
      <c r="L791" s="103"/>
      <c r="M791" s="103"/>
      <c r="N791" s="103"/>
      <c r="O791" s="354" t="str">
        <f t="shared" si="70"/>
        <v/>
      </c>
      <c r="P791" s="354"/>
      <c r="Q791" s="354"/>
      <c r="R791" s="354"/>
      <c r="S791" s="355"/>
      <c r="T791" s="395"/>
      <c r="U791" s="372"/>
      <c r="V791" s="372"/>
      <c r="W791" s="353"/>
      <c r="X791" s="353"/>
      <c r="Y791" s="353"/>
      <c r="Z791" s="353"/>
      <c r="AA791" s="103"/>
      <c r="AB791" s="103"/>
      <c r="AC791" s="103"/>
      <c r="AD791" s="354" t="str">
        <f t="shared" si="71"/>
        <v/>
      </c>
      <c r="AE791" s="354"/>
      <c r="AF791" s="354"/>
      <c r="AG791" s="354"/>
      <c r="AH791" s="356"/>
    </row>
    <row r="792" spans="1:35" s="1" customFormat="1" ht="15.75" customHeight="1" x14ac:dyDescent="0.15">
      <c r="A792" s="73" t="str">
        <f t="shared" si="69"/>
        <v>×</v>
      </c>
      <c r="E792" s="414"/>
      <c r="F792" s="373"/>
      <c r="G792" s="373"/>
      <c r="H792" s="357"/>
      <c r="I792" s="357"/>
      <c r="J792" s="357"/>
      <c r="K792" s="357"/>
      <c r="L792" s="104"/>
      <c r="M792" s="104"/>
      <c r="N792" s="104"/>
      <c r="O792" s="358" t="str">
        <f t="shared" si="70"/>
        <v/>
      </c>
      <c r="P792" s="358"/>
      <c r="Q792" s="358"/>
      <c r="R792" s="358"/>
      <c r="S792" s="359"/>
      <c r="T792" s="396"/>
      <c r="U792" s="373"/>
      <c r="V792" s="373"/>
      <c r="W792" s="357"/>
      <c r="X792" s="357"/>
      <c r="Y792" s="357"/>
      <c r="Z792" s="357"/>
      <c r="AA792" s="104"/>
      <c r="AB792" s="104"/>
      <c r="AC792" s="104"/>
      <c r="AD792" s="358" t="str">
        <f t="shared" si="71"/>
        <v/>
      </c>
      <c r="AE792" s="358"/>
      <c r="AF792" s="358"/>
      <c r="AG792" s="358"/>
      <c r="AH792" s="360"/>
    </row>
    <row r="793" spans="1:35" s="1" customFormat="1" ht="15.75" customHeight="1" x14ac:dyDescent="0.15">
      <c r="A793" s="73" t="str">
        <f>IF(A$289="","","×")</f>
        <v>×</v>
      </c>
      <c r="E793" s="8"/>
      <c r="F793" s="8"/>
      <c r="G793" s="8"/>
      <c r="H793" s="8"/>
      <c r="I793" s="8"/>
      <c r="J793" s="8"/>
      <c r="K793" s="8"/>
      <c r="L793" s="8"/>
      <c r="M793" s="8"/>
      <c r="N793" s="8"/>
      <c r="O793" s="8"/>
      <c r="P793" s="8"/>
      <c r="AA793" s="2" t="s">
        <v>127</v>
      </c>
      <c r="AB793" s="1" t="s">
        <v>548</v>
      </c>
      <c r="AC793" s="76" t="s">
        <v>27</v>
      </c>
      <c r="AD793" s="304">
        <f>AD770</f>
        <v>3.1415926535897931</v>
      </c>
      <c r="AE793" s="304"/>
      <c r="AF793" s="304"/>
      <c r="AG793" s="7" t="s">
        <v>549</v>
      </c>
      <c r="AH793" s="76" t="s">
        <v>158</v>
      </c>
    </row>
    <row r="794" spans="1:35" ht="15.75" customHeight="1" x14ac:dyDescent="0.15">
      <c r="A794" s="73" t="str">
        <f>IF(A$289="","","×")</f>
        <v>×</v>
      </c>
    </row>
    <row r="796" spans="1:35" s="1" customFormat="1" ht="15.75" customHeight="1" x14ac:dyDescent="0.15">
      <c r="A796" s="73" t="str">
        <f>IF(A$311="","","×")</f>
        <v>×</v>
      </c>
      <c r="E796" s="61" t="s">
        <v>598</v>
      </c>
      <c r="F796" s="302"/>
      <c r="G796" s="302"/>
      <c r="H796" s="302"/>
      <c r="I796" s="61"/>
      <c r="J796" s="61"/>
      <c r="K796" s="61"/>
      <c r="L796" s="61"/>
      <c r="M796" s="61"/>
      <c r="N796" s="61"/>
      <c r="O796" s="61"/>
      <c r="P796" s="61"/>
      <c r="Q796" s="61"/>
      <c r="R796" s="61"/>
      <c r="S796" s="61"/>
      <c r="T796" s="61"/>
      <c r="U796" s="61"/>
      <c r="V796" s="61"/>
      <c r="W796" s="61"/>
      <c r="X796" s="61"/>
      <c r="Y796" s="61"/>
      <c r="Z796" s="61"/>
      <c r="AA796" s="61"/>
      <c r="AB796" s="61"/>
      <c r="AC796" s="61"/>
      <c r="AD796" s="61"/>
      <c r="AE796" s="61"/>
      <c r="AF796" s="61"/>
      <c r="AG796" s="61"/>
      <c r="AH796" s="61"/>
      <c r="AI796" s="8"/>
    </row>
    <row r="797" spans="1:35" s="1" customFormat="1" ht="15.75" customHeight="1" x14ac:dyDescent="0.15">
      <c r="A797" s="73" t="str">
        <f>IF(A$311="","","×")</f>
        <v>×</v>
      </c>
      <c r="E797" s="294" t="s">
        <v>546</v>
      </c>
      <c r="F797" s="292"/>
      <c r="G797" s="292"/>
      <c r="H797" s="292"/>
      <c r="I797" s="292"/>
      <c r="J797" s="292"/>
      <c r="K797" s="292"/>
      <c r="L797" s="292"/>
      <c r="M797" s="292"/>
      <c r="N797" s="292"/>
      <c r="O797" s="292"/>
      <c r="P797" s="292"/>
      <c r="Q797" s="292"/>
      <c r="R797" s="292"/>
      <c r="S797" s="296"/>
      <c r="T797" s="273" t="s">
        <v>547</v>
      </c>
      <c r="U797" s="131"/>
      <c r="V797" s="131"/>
      <c r="W797" s="131"/>
      <c r="X797" s="131"/>
      <c r="Y797" s="131"/>
      <c r="Z797" s="131"/>
      <c r="AA797" s="131"/>
      <c r="AB797" s="131"/>
      <c r="AC797" s="131"/>
      <c r="AD797" s="131"/>
      <c r="AE797" s="131"/>
      <c r="AF797" s="131"/>
      <c r="AG797" s="131"/>
      <c r="AH797" s="132"/>
    </row>
    <row r="798" spans="1:35" s="1" customFormat="1" ht="15.75" customHeight="1" x14ac:dyDescent="0.15">
      <c r="A798" s="73" t="str">
        <f>IF(A$311="","","×")</f>
        <v>×</v>
      </c>
      <c r="E798" s="159" t="s">
        <v>78</v>
      </c>
      <c r="F798" s="160"/>
      <c r="G798" s="160"/>
      <c r="H798" s="160" t="s">
        <v>204</v>
      </c>
      <c r="I798" s="160"/>
      <c r="J798" s="160"/>
      <c r="K798" s="160"/>
      <c r="L798" s="291" t="s">
        <v>203</v>
      </c>
      <c r="M798" s="161"/>
      <c r="N798" s="161"/>
      <c r="O798" s="160" t="s">
        <v>545</v>
      </c>
      <c r="P798" s="160"/>
      <c r="Q798" s="160"/>
      <c r="R798" s="160"/>
      <c r="S798" s="223"/>
      <c r="T798" s="213" t="s">
        <v>78</v>
      </c>
      <c r="U798" s="160"/>
      <c r="V798" s="160"/>
      <c r="W798" s="160" t="s">
        <v>204</v>
      </c>
      <c r="X798" s="160"/>
      <c r="Y798" s="160"/>
      <c r="Z798" s="160"/>
      <c r="AA798" s="291" t="s">
        <v>203</v>
      </c>
      <c r="AB798" s="161"/>
      <c r="AC798" s="161"/>
      <c r="AD798" s="160" t="s">
        <v>545</v>
      </c>
      <c r="AE798" s="160"/>
      <c r="AF798" s="160"/>
      <c r="AG798" s="160"/>
      <c r="AH798" s="223"/>
    </row>
    <row r="799" spans="1:35" s="1" customFormat="1" ht="15.75" customHeight="1" x14ac:dyDescent="0.15">
      <c r="A799" s="73" t="str">
        <f>IF(A$311="","","×")</f>
        <v>×</v>
      </c>
      <c r="E799" s="295"/>
      <c r="F799" s="156"/>
      <c r="G799" s="156"/>
      <c r="H799" s="156"/>
      <c r="I799" s="156"/>
      <c r="J799" s="156"/>
      <c r="K799" s="156"/>
      <c r="L799" s="163"/>
      <c r="M799" s="163"/>
      <c r="N799" s="163"/>
      <c r="O799" s="156"/>
      <c r="P799" s="156"/>
      <c r="Q799" s="156"/>
      <c r="R799" s="156"/>
      <c r="S799" s="267"/>
      <c r="T799" s="290"/>
      <c r="U799" s="156"/>
      <c r="V799" s="156"/>
      <c r="W799" s="156"/>
      <c r="X799" s="156"/>
      <c r="Y799" s="156"/>
      <c r="Z799" s="156"/>
      <c r="AA799" s="163"/>
      <c r="AB799" s="163"/>
      <c r="AC799" s="163"/>
      <c r="AD799" s="156"/>
      <c r="AE799" s="156"/>
      <c r="AF799" s="156"/>
      <c r="AG799" s="156"/>
      <c r="AH799" s="267"/>
    </row>
    <row r="800" spans="1:35" s="1" customFormat="1" ht="15.75" customHeight="1" x14ac:dyDescent="0.15">
      <c r="A800" s="73" t="str">
        <f>IF(A$311="",IF(LEN(E800)+LEN(T800)=0,"×",""),"×")</f>
        <v>×</v>
      </c>
      <c r="E800" s="412">
        <v>3</v>
      </c>
      <c r="F800" s="398"/>
      <c r="G800" s="398"/>
      <c r="H800" s="349">
        <v>0</v>
      </c>
      <c r="I800" s="349"/>
      <c r="J800" s="349"/>
      <c r="K800" s="349"/>
      <c r="L800" s="125">
        <v>3</v>
      </c>
      <c r="M800" s="125"/>
      <c r="N800" s="125"/>
      <c r="O800" s="350">
        <f>IF(H800="","",H800*AD$816)</f>
        <v>0</v>
      </c>
      <c r="P800" s="350"/>
      <c r="Q800" s="350"/>
      <c r="R800" s="350"/>
      <c r="S800" s="351"/>
      <c r="T800" s="397">
        <v>3</v>
      </c>
      <c r="U800" s="398"/>
      <c r="V800" s="398"/>
      <c r="W800" s="349">
        <v>0</v>
      </c>
      <c r="X800" s="349"/>
      <c r="Y800" s="349"/>
      <c r="Z800" s="349"/>
      <c r="AA800" s="125">
        <v>3</v>
      </c>
      <c r="AB800" s="125"/>
      <c r="AC800" s="125"/>
      <c r="AD800" s="350">
        <f>IF(W800="","",W800*AD$816)</f>
        <v>0</v>
      </c>
      <c r="AE800" s="350"/>
      <c r="AF800" s="350"/>
      <c r="AG800" s="350"/>
      <c r="AH800" s="352"/>
    </row>
    <row r="801" spans="1:34" s="1" customFormat="1" ht="15.75" customHeight="1" x14ac:dyDescent="0.15">
      <c r="A801" s="73" t="str">
        <f t="shared" ref="A801:A815" si="72">IF(A$311="",IF(LEN(E801)+LEN(T801)=0,"×",""),"×")</f>
        <v>×</v>
      </c>
      <c r="E801" s="413">
        <v>4</v>
      </c>
      <c r="F801" s="372"/>
      <c r="G801" s="372"/>
      <c r="H801" s="353">
        <v>0</v>
      </c>
      <c r="I801" s="353"/>
      <c r="J801" s="353"/>
      <c r="K801" s="353"/>
      <c r="L801" s="103">
        <v>0.53999996185302734</v>
      </c>
      <c r="M801" s="103"/>
      <c r="N801" s="103"/>
      <c r="O801" s="354">
        <f t="shared" ref="O801:O815" si="73">IF(H801="","",H801*AD$816)</f>
        <v>0</v>
      </c>
      <c r="P801" s="354"/>
      <c r="Q801" s="354"/>
      <c r="R801" s="354"/>
      <c r="S801" s="355"/>
      <c r="T801" s="395">
        <v>4</v>
      </c>
      <c r="U801" s="372"/>
      <c r="V801" s="372"/>
      <c r="W801" s="353">
        <v>0</v>
      </c>
      <c r="X801" s="353"/>
      <c r="Y801" s="353"/>
      <c r="Z801" s="353"/>
      <c r="AA801" s="103">
        <v>0.53999996185302734</v>
      </c>
      <c r="AB801" s="103"/>
      <c r="AC801" s="103"/>
      <c r="AD801" s="354">
        <f t="shared" ref="AD801:AD815" si="74">IF(W801="","",W801*AD$816)</f>
        <v>0</v>
      </c>
      <c r="AE801" s="354"/>
      <c r="AF801" s="354"/>
      <c r="AG801" s="354"/>
      <c r="AH801" s="356"/>
    </row>
    <row r="802" spans="1:34" s="1" customFormat="1" ht="15.75" customHeight="1" x14ac:dyDescent="0.15">
      <c r="A802" s="73" t="str">
        <f t="shared" si="72"/>
        <v>×</v>
      </c>
      <c r="E802" s="413">
        <v>4</v>
      </c>
      <c r="F802" s="372"/>
      <c r="G802" s="372"/>
      <c r="H802" s="353">
        <v>5724</v>
      </c>
      <c r="I802" s="353"/>
      <c r="J802" s="353"/>
      <c r="K802" s="353"/>
      <c r="L802" s="103">
        <v>4.4600000381469727</v>
      </c>
      <c r="M802" s="103"/>
      <c r="N802" s="103"/>
      <c r="O802" s="354">
        <f t="shared" si="73"/>
        <v>17982.476349147975</v>
      </c>
      <c r="P802" s="354"/>
      <c r="Q802" s="354"/>
      <c r="R802" s="354"/>
      <c r="S802" s="355"/>
      <c r="T802" s="395">
        <v>4</v>
      </c>
      <c r="U802" s="372"/>
      <c r="V802" s="372"/>
      <c r="W802" s="353">
        <v>5724</v>
      </c>
      <c r="X802" s="353"/>
      <c r="Y802" s="353"/>
      <c r="Z802" s="353"/>
      <c r="AA802" s="103">
        <v>4.4600000381469727</v>
      </c>
      <c r="AB802" s="103"/>
      <c r="AC802" s="103"/>
      <c r="AD802" s="354">
        <f t="shared" si="74"/>
        <v>17982.476349147975</v>
      </c>
      <c r="AE802" s="354"/>
      <c r="AF802" s="354"/>
      <c r="AG802" s="354"/>
      <c r="AH802" s="356"/>
    </row>
    <row r="803" spans="1:34" s="1" customFormat="1" ht="15.75" customHeight="1" x14ac:dyDescent="0.15">
      <c r="A803" s="73" t="str">
        <f t="shared" si="72"/>
        <v>×</v>
      </c>
      <c r="E803" s="413">
        <v>5</v>
      </c>
      <c r="F803" s="372"/>
      <c r="G803" s="372"/>
      <c r="H803" s="353">
        <v>6514</v>
      </c>
      <c r="I803" s="353"/>
      <c r="J803" s="353"/>
      <c r="K803" s="353"/>
      <c r="L803" s="103">
        <v>8</v>
      </c>
      <c r="M803" s="103"/>
      <c r="N803" s="103"/>
      <c r="O803" s="354">
        <f t="shared" si="73"/>
        <v>20464.334545483911</v>
      </c>
      <c r="P803" s="354"/>
      <c r="Q803" s="354"/>
      <c r="R803" s="354"/>
      <c r="S803" s="355"/>
      <c r="T803" s="395">
        <v>5</v>
      </c>
      <c r="U803" s="372"/>
      <c r="V803" s="372"/>
      <c r="W803" s="353">
        <v>6514</v>
      </c>
      <c r="X803" s="353"/>
      <c r="Y803" s="353"/>
      <c r="Z803" s="353"/>
      <c r="AA803" s="103">
        <v>8</v>
      </c>
      <c r="AB803" s="103"/>
      <c r="AC803" s="103"/>
      <c r="AD803" s="354">
        <f t="shared" si="74"/>
        <v>20464.334545483911</v>
      </c>
      <c r="AE803" s="354"/>
      <c r="AF803" s="354"/>
      <c r="AG803" s="354"/>
      <c r="AH803" s="356"/>
    </row>
    <row r="804" spans="1:34" s="1" customFormat="1" ht="15.75" customHeight="1" x14ac:dyDescent="0.15">
      <c r="A804" s="73" t="str">
        <f t="shared" si="72"/>
        <v>×</v>
      </c>
      <c r="E804" s="413">
        <v>6</v>
      </c>
      <c r="F804" s="372"/>
      <c r="G804" s="372"/>
      <c r="H804" s="353">
        <v>9288</v>
      </c>
      <c r="I804" s="353"/>
      <c r="J804" s="353"/>
      <c r="K804" s="353"/>
      <c r="L804" s="103">
        <v>4</v>
      </c>
      <c r="M804" s="103"/>
      <c r="N804" s="103"/>
      <c r="O804" s="354">
        <f t="shared" si="73"/>
        <v>29179.112566541997</v>
      </c>
      <c r="P804" s="354"/>
      <c r="Q804" s="354"/>
      <c r="R804" s="354"/>
      <c r="S804" s="355"/>
      <c r="T804" s="395">
        <v>6</v>
      </c>
      <c r="U804" s="372"/>
      <c r="V804" s="372"/>
      <c r="W804" s="353">
        <v>9288</v>
      </c>
      <c r="X804" s="353"/>
      <c r="Y804" s="353"/>
      <c r="Z804" s="353"/>
      <c r="AA804" s="103">
        <v>4.5</v>
      </c>
      <c r="AB804" s="103"/>
      <c r="AC804" s="103"/>
      <c r="AD804" s="354">
        <f>IF(W804="","",W804*AD$816)</f>
        <v>29179.112566541997</v>
      </c>
      <c r="AE804" s="354"/>
      <c r="AF804" s="354"/>
      <c r="AG804" s="354"/>
      <c r="AH804" s="356"/>
    </row>
    <row r="805" spans="1:34" s="1" customFormat="1" ht="15.75" customHeight="1" x14ac:dyDescent="0.15">
      <c r="A805" s="73" t="str">
        <f t="shared" si="72"/>
        <v>×</v>
      </c>
      <c r="E805" s="413">
        <v>6</v>
      </c>
      <c r="F805" s="372"/>
      <c r="G805" s="372"/>
      <c r="H805" s="353">
        <v>0</v>
      </c>
      <c r="I805" s="353"/>
      <c r="J805" s="353"/>
      <c r="K805" s="353"/>
      <c r="L805" s="103">
        <v>0.5</v>
      </c>
      <c r="M805" s="103"/>
      <c r="N805" s="103"/>
      <c r="O805" s="354">
        <f t="shared" si="73"/>
        <v>0</v>
      </c>
      <c r="P805" s="354"/>
      <c r="Q805" s="354"/>
      <c r="R805" s="354"/>
      <c r="S805" s="355"/>
      <c r="T805" s="395">
        <v>7</v>
      </c>
      <c r="U805" s="372"/>
      <c r="V805" s="372"/>
      <c r="W805" s="353">
        <v>18352</v>
      </c>
      <c r="X805" s="353"/>
      <c r="Y805" s="353"/>
      <c r="Z805" s="353"/>
      <c r="AA805" s="103">
        <v>0.5</v>
      </c>
      <c r="AB805" s="103"/>
      <c r="AC805" s="103"/>
      <c r="AD805" s="354">
        <f t="shared" si="74"/>
        <v>57654.508378679886</v>
      </c>
      <c r="AE805" s="354"/>
      <c r="AF805" s="354"/>
      <c r="AG805" s="354"/>
      <c r="AH805" s="356"/>
    </row>
    <row r="806" spans="1:34" s="1" customFormat="1" ht="15.75" customHeight="1" x14ac:dyDescent="0.15">
      <c r="A806" s="73" t="str">
        <f t="shared" si="72"/>
        <v>×</v>
      </c>
      <c r="E806" s="413">
        <v>7</v>
      </c>
      <c r="F806" s="372"/>
      <c r="G806" s="372"/>
      <c r="H806" s="353">
        <v>0</v>
      </c>
      <c r="I806" s="353"/>
      <c r="J806" s="353"/>
      <c r="K806" s="353"/>
      <c r="L806" s="103">
        <v>0.5</v>
      </c>
      <c r="M806" s="103"/>
      <c r="N806" s="103"/>
      <c r="O806" s="354">
        <f t="shared" si="73"/>
        <v>0</v>
      </c>
      <c r="P806" s="354"/>
      <c r="Q806" s="354"/>
      <c r="R806" s="354"/>
      <c r="S806" s="355"/>
      <c r="T806" s="395"/>
      <c r="U806" s="372"/>
      <c r="V806" s="372"/>
      <c r="W806" s="353"/>
      <c r="X806" s="353"/>
      <c r="Y806" s="353"/>
      <c r="Z806" s="353"/>
      <c r="AA806" s="103"/>
      <c r="AB806" s="103"/>
      <c r="AC806" s="103"/>
      <c r="AD806" s="354" t="str">
        <f t="shared" si="74"/>
        <v/>
      </c>
      <c r="AE806" s="354"/>
      <c r="AF806" s="354"/>
      <c r="AG806" s="354"/>
      <c r="AH806" s="356"/>
    </row>
    <row r="807" spans="1:34" s="1" customFormat="1" ht="15.75" customHeight="1" x14ac:dyDescent="0.15">
      <c r="A807" s="73" t="str">
        <f t="shared" si="72"/>
        <v>×</v>
      </c>
      <c r="E807" s="413"/>
      <c r="F807" s="372"/>
      <c r="G807" s="372"/>
      <c r="H807" s="353"/>
      <c r="I807" s="353"/>
      <c r="J807" s="353"/>
      <c r="K807" s="353"/>
      <c r="L807" s="103"/>
      <c r="M807" s="103"/>
      <c r="N807" s="103"/>
      <c r="O807" s="354" t="str">
        <f t="shared" si="73"/>
        <v/>
      </c>
      <c r="P807" s="354"/>
      <c r="Q807" s="354"/>
      <c r="R807" s="354"/>
      <c r="S807" s="355"/>
      <c r="T807" s="395"/>
      <c r="U807" s="372"/>
      <c r="V807" s="372"/>
      <c r="W807" s="353"/>
      <c r="X807" s="353"/>
      <c r="Y807" s="353"/>
      <c r="Z807" s="353"/>
      <c r="AA807" s="103"/>
      <c r="AB807" s="103"/>
      <c r="AC807" s="103"/>
      <c r="AD807" s="354" t="str">
        <f t="shared" si="74"/>
        <v/>
      </c>
      <c r="AE807" s="354"/>
      <c r="AF807" s="354"/>
      <c r="AG807" s="354"/>
      <c r="AH807" s="356"/>
    </row>
    <row r="808" spans="1:34" s="1" customFormat="1" ht="15.75" customHeight="1" x14ac:dyDescent="0.15">
      <c r="A808" s="73" t="str">
        <f t="shared" si="72"/>
        <v>×</v>
      </c>
      <c r="E808" s="413"/>
      <c r="F808" s="372"/>
      <c r="G808" s="372"/>
      <c r="H808" s="353"/>
      <c r="I808" s="353"/>
      <c r="J808" s="353"/>
      <c r="K808" s="353"/>
      <c r="L808" s="103"/>
      <c r="M808" s="103"/>
      <c r="N808" s="103"/>
      <c r="O808" s="354" t="str">
        <f t="shared" si="73"/>
        <v/>
      </c>
      <c r="P808" s="354"/>
      <c r="Q808" s="354"/>
      <c r="R808" s="354"/>
      <c r="S808" s="355"/>
      <c r="T808" s="395"/>
      <c r="U808" s="372"/>
      <c r="V808" s="372"/>
      <c r="W808" s="353"/>
      <c r="X808" s="353"/>
      <c r="Y808" s="353"/>
      <c r="Z808" s="353"/>
      <c r="AA808" s="103"/>
      <c r="AB808" s="103"/>
      <c r="AC808" s="103"/>
      <c r="AD808" s="354" t="str">
        <f t="shared" si="74"/>
        <v/>
      </c>
      <c r="AE808" s="354"/>
      <c r="AF808" s="354"/>
      <c r="AG808" s="354"/>
      <c r="AH808" s="356"/>
    </row>
    <row r="809" spans="1:34" s="1" customFormat="1" ht="15.75" customHeight="1" x14ac:dyDescent="0.15">
      <c r="A809" s="73" t="str">
        <f t="shared" si="72"/>
        <v>×</v>
      </c>
      <c r="E809" s="413"/>
      <c r="F809" s="372"/>
      <c r="G809" s="372"/>
      <c r="H809" s="353"/>
      <c r="I809" s="353"/>
      <c r="J809" s="353"/>
      <c r="K809" s="353"/>
      <c r="L809" s="103"/>
      <c r="M809" s="103"/>
      <c r="N809" s="103"/>
      <c r="O809" s="354" t="str">
        <f t="shared" si="73"/>
        <v/>
      </c>
      <c r="P809" s="354"/>
      <c r="Q809" s="354"/>
      <c r="R809" s="354"/>
      <c r="S809" s="355"/>
      <c r="T809" s="395"/>
      <c r="U809" s="372"/>
      <c r="V809" s="372"/>
      <c r="W809" s="353"/>
      <c r="X809" s="353"/>
      <c r="Y809" s="353"/>
      <c r="Z809" s="353"/>
      <c r="AA809" s="103"/>
      <c r="AB809" s="103"/>
      <c r="AC809" s="103"/>
      <c r="AD809" s="354" t="str">
        <f t="shared" si="74"/>
        <v/>
      </c>
      <c r="AE809" s="354"/>
      <c r="AF809" s="354"/>
      <c r="AG809" s="354"/>
      <c r="AH809" s="356"/>
    </row>
    <row r="810" spans="1:34" s="1" customFormat="1" ht="15.75" customHeight="1" x14ac:dyDescent="0.15">
      <c r="A810" s="73" t="str">
        <f t="shared" si="72"/>
        <v>×</v>
      </c>
      <c r="E810" s="413"/>
      <c r="F810" s="372"/>
      <c r="G810" s="372"/>
      <c r="H810" s="353"/>
      <c r="I810" s="353"/>
      <c r="J810" s="353"/>
      <c r="K810" s="353"/>
      <c r="L810" s="103"/>
      <c r="M810" s="103"/>
      <c r="N810" s="103"/>
      <c r="O810" s="354" t="str">
        <f t="shared" si="73"/>
        <v/>
      </c>
      <c r="P810" s="354"/>
      <c r="Q810" s="354"/>
      <c r="R810" s="354"/>
      <c r="S810" s="355"/>
      <c r="T810" s="395"/>
      <c r="U810" s="372"/>
      <c r="V810" s="372"/>
      <c r="W810" s="353"/>
      <c r="X810" s="353"/>
      <c r="Y810" s="353"/>
      <c r="Z810" s="353"/>
      <c r="AA810" s="103"/>
      <c r="AB810" s="103"/>
      <c r="AC810" s="103"/>
      <c r="AD810" s="354" t="str">
        <f t="shared" si="74"/>
        <v/>
      </c>
      <c r="AE810" s="354"/>
      <c r="AF810" s="354"/>
      <c r="AG810" s="354"/>
      <c r="AH810" s="356"/>
    </row>
    <row r="811" spans="1:34" s="1" customFormat="1" ht="15.75" customHeight="1" x14ac:dyDescent="0.15">
      <c r="A811" s="73" t="str">
        <f t="shared" si="72"/>
        <v>×</v>
      </c>
      <c r="E811" s="413"/>
      <c r="F811" s="372"/>
      <c r="G811" s="372"/>
      <c r="H811" s="353"/>
      <c r="I811" s="353"/>
      <c r="J811" s="353"/>
      <c r="K811" s="353"/>
      <c r="L811" s="103"/>
      <c r="M811" s="103"/>
      <c r="N811" s="103"/>
      <c r="O811" s="354" t="str">
        <f t="shared" si="73"/>
        <v/>
      </c>
      <c r="P811" s="354"/>
      <c r="Q811" s="354"/>
      <c r="R811" s="354"/>
      <c r="S811" s="355"/>
      <c r="T811" s="395"/>
      <c r="U811" s="372"/>
      <c r="V811" s="372"/>
      <c r="W811" s="353"/>
      <c r="X811" s="353"/>
      <c r="Y811" s="353"/>
      <c r="Z811" s="353"/>
      <c r="AA811" s="103"/>
      <c r="AB811" s="103"/>
      <c r="AC811" s="103"/>
      <c r="AD811" s="354" t="str">
        <f t="shared" si="74"/>
        <v/>
      </c>
      <c r="AE811" s="354"/>
      <c r="AF811" s="354"/>
      <c r="AG811" s="354"/>
      <c r="AH811" s="356"/>
    </row>
    <row r="812" spans="1:34" s="1" customFormat="1" ht="15.75" customHeight="1" x14ac:dyDescent="0.15">
      <c r="A812" s="73" t="str">
        <f t="shared" si="72"/>
        <v>×</v>
      </c>
      <c r="E812" s="413"/>
      <c r="F812" s="372"/>
      <c r="G812" s="372"/>
      <c r="H812" s="353"/>
      <c r="I812" s="353"/>
      <c r="J812" s="353"/>
      <c r="K812" s="353"/>
      <c r="L812" s="103"/>
      <c r="M812" s="103"/>
      <c r="N812" s="103"/>
      <c r="O812" s="354" t="str">
        <f t="shared" si="73"/>
        <v/>
      </c>
      <c r="P812" s="354"/>
      <c r="Q812" s="354"/>
      <c r="R812" s="354"/>
      <c r="S812" s="355"/>
      <c r="T812" s="395"/>
      <c r="U812" s="372"/>
      <c r="V812" s="372"/>
      <c r="W812" s="353"/>
      <c r="X812" s="353"/>
      <c r="Y812" s="353"/>
      <c r="Z812" s="353"/>
      <c r="AA812" s="103"/>
      <c r="AB812" s="103"/>
      <c r="AC812" s="103"/>
      <c r="AD812" s="354" t="str">
        <f t="shared" si="74"/>
        <v/>
      </c>
      <c r="AE812" s="354"/>
      <c r="AF812" s="354"/>
      <c r="AG812" s="354"/>
      <c r="AH812" s="356"/>
    </row>
    <row r="813" spans="1:34" s="1" customFormat="1" ht="15.75" customHeight="1" x14ac:dyDescent="0.15">
      <c r="A813" s="73" t="str">
        <f t="shared" si="72"/>
        <v>×</v>
      </c>
      <c r="E813" s="413"/>
      <c r="F813" s="372"/>
      <c r="G813" s="372"/>
      <c r="H813" s="353"/>
      <c r="I813" s="353"/>
      <c r="J813" s="353"/>
      <c r="K813" s="353"/>
      <c r="L813" s="103"/>
      <c r="M813" s="103"/>
      <c r="N813" s="103"/>
      <c r="O813" s="354" t="str">
        <f t="shared" si="73"/>
        <v/>
      </c>
      <c r="P813" s="354"/>
      <c r="Q813" s="354"/>
      <c r="R813" s="354"/>
      <c r="S813" s="355"/>
      <c r="T813" s="395"/>
      <c r="U813" s="372"/>
      <c r="V813" s="372"/>
      <c r="W813" s="353"/>
      <c r="X813" s="353"/>
      <c r="Y813" s="353"/>
      <c r="Z813" s="353"/>
      <c r="AA813" s="103"/>
      <c r="AB813" s="103"/>
      <c r="AC813" s="103"/>
      <c r="AD813" s="354" t="str">
        <f t="shared" si="74"/>
        <v/>
      </c>
      <c r="AE813" s="354"/>
      <c r="AF813" s="354"/>
      <c r="AG813" s="354"/>
      <c r="AH813" s="356"/>
    </row>
    <row r="814" spans="1:34" s="1" customFormat="1" ht="15.75" customHeight="1" x14ac:dyDescent="0.15">
      <c r="A814" s="73" t="str">
        <f t="shared" si="72"/>
        <v>×</v>
      </c>
      <c r="E814" s="413"/>
      <c r="F814" s="372"/>
      <c r="G814" s="372"/>
      <c r="H814" s="353"/>
      <c r="I814" s="353"/>
      <c r="J814" s="353"/>
      <c r="K814" s="353"/>
      <c r="L814" s="103"/>
      <c r="M814" s="103"/>
      <c r="N814" s="103"/>
      <c r="O814" s="354" t="str">
        <f t="shared" si="73"/>
        <v/>
      </c>
      <c r="P814" s="354"/>
      <c r="Q814" s="354"/>
      <c r="R814" s="354"/>
      <c r="S814" s="355"/>
      <c r="T814" s="395"/>
      <c r="U814" s="372"/>
      <c r="V814" s="372"/>
      <c r="W814" s="353"/>
      <c r="X814" s="353"/>
      <c r="Y814" s="353"/>
      <c r="Z814" s="353"/>
      <c r="AA814" s="103"/>
      <c r="AB814" s="103"/>
      <c r="AC814" s="103"/>
      <c r="AD814" s="354" t="str">
        <f t="shared" si="74"/>
        <v/>
      </c>
      <c r="AE814" s="354"/>
      <c r="AF814" s="354"/>
      <c r="AG814" s="354"/>
      <c r="AH814" s="356"/>
    </row>
    <row r="815" spans="1:34" s="1" customFormat="1" ht="15.75" customHeight="1" x14ac:dyDescent="0.15">
      <c r="A815" s="73" t="str">
        <f t="shared" si="72"/>
        <v>×</v>
      </c>
      <c r="E815" s="414"/>
      <c r="F815" s="373"/>
      <c r="G815" s="373"/>
      <c r="H815" s="357"/>
      <c r="I815" s="357"/>
      <c r="J815" s="357"/>
      <c r="K815" s="357"/>
      <c r="L815" s="104"/>
      <c r="M815" s="104"/>
      <c r="N815" s="104"/>
      <c r="O815" s="358" t="str">
        <f t="shared" si="73"/>
        <v/>
      </c>
      <c r="P815" s="358"/>
      <c r="Q815" s="358"/>
      <c r="R815" s="358"/>
      <c r="S815" s="359"/>
      <c r="T815" s="396"/>
      <c r="U815" s="373"/>
      <c r="V815" s="373"/>
      <c r="W815" s="357"/>
      <c r="X815" s="357"/>
      <c r="Y815" s="357"/>
      <c r="Z815" s="357"/>
      <c r="AA815" s="104"/>
      <c r="AB815" s="104"/>
      <c r="AC815" s="104"/>
      <c r="AD815" s="358" t="str">
        <f t="shared" si="74"/>
        <v/>
      </c>
      <c r="AE815" s="358"/>
      <c r="AF815" s="358"/>
      <c r="AG815" s="358"/>
      <c r="AH815" s="360"/>
    </row>
    <row r="816" spans="1:34" s="1" customFormat="1" ht="15.75" customHeight="1" x14ac:dyDescent="0.15">
      <c r="A816" s="73" t="str">
        <f>IF(A$311="","","×")</f>
        <v>×</v>
      </c>
      <c r="E816" s="8"/>
      <c r="F816" s="8"/>
      <c r="G816" s="8"/>
      <c r="H816" s="8"/>
      <c r="I816" s="8"/>
      <c r="J816" s="8"/>
      <c r="K816" s="8"/>
      <c r="L816" s="8"/>
      <c r="M816" s="8"/>
      <c r="N816" s="8"/>
      <c r="O816" s="8"/>
      <c r="P816" s="8"/>
      <c r="AA816" s="2" t="s">
        <v>127</v>
      </c>
      <c r="AB816" s="1" t="s">
        <v>548</v>
      </c>
      <c r="AC816" s="76" t="s">
        <v>27</v>
      </c>
      <c r="AD816" s="304">
        <f>AD793</f>
        <v>3.1415926535897931</v>
      </c>
      <c r="AE816" s="304"/>
      <c r="AF816" s="304"/>
      <c r="AG816" s="7" t="s">
        <v>549</v>
      </c>
      <c r="AH816" s="76" t="s">
        <v>158</v>
      </c>
    </row>
    <row r="817" spans="1:12" ht="15.75" customHeight="1" x14ac:dyDescent="0.15">
      <c r="A817" s="73" t="str">
        <f>IF(A$311="","","×")</f>
        <v>×</v>
      </c>
    </row>
    <row r="818" spans="1:12" s="1" customFormat="1" ht="15.75" customHeight="1" x14ac:dyDescent="0.15"/>
    <row r="819" spans="1:12" s="1" customFormat="1" ht="15.75" customHeight="1" x14ac:dyDescent="0.15"/>
    <row r="820" spans="1:12" s="1" customFormat="1" ht="15.75" customHeight="1" x14ac:dyDescent="0.15">
      <c r="D820" s="10" t="s">
        <v>210</v>
      </c>
    </row>
    <row r="821" spans="1:12" s="1" customFormat="1" ht="15.75" customHeight="1" x14ac:dyDescent="0.15"/>
    <row r="822" spans="1:12" s="1" customFormat="1" ht="15.75" customHeight="1" x14ac:dyDescent="0.15">
      <c r="D822" s="10" t="s">
        <v>211</v>
      </c>
    </row>
    <row r="823" spans="1:12" s="1" customFormat="1" ht="15.75" customHeight="1" x14ac:dyDescent="0.15"/>
    <row r="824" spans="1:12" s="1" customFormat="1" ht="15.75" customHeight="1" x14ac:dyDescent="0.15">
      <c r="E824" s="162" t="s">
        <v>212</v>
      </c>
      <c r="F824" s="162"/>
      <c r="G824" s="76" t="s">
        <v>27</v>
      </c>
      <c r="H824" s="162" t="s">
        <v>213</v>
      </c>
      <c r="I824" s="162"/>
      <c r="J824" s="76" t="s">
        <v>6</v>
      </c>
      <c r="K824" s="162" t="s">
        <v>214</v>
      </c>
      <c r="L824" s="162"/>
    </row>
    <row r="825" spans="1:12" s="1" customFormat="1" ht="15.75" customHeight="1" x14ac:dyDescent="0.15"/>
    <row r="826" spans="1:12" s="1" customFormat="1" ht="15.75" customHeight="1" x14ac:dyDescent="0.15">
      <c r="F826" s="1" t="s">
        <v>3</v>
      </c>
      <c r="I826" s="361" t="s">
        <v>212</v>
      </c>
      <c r="J826" s="361"/>
      <c r="K826" s="76" t="s">
        <v>2</v>
      </c>
      <c r="L826" s="1" t="s">
        <v>216</v>
      </c>
    </row>
    <row r="827" spans="1:12" s="1" customFormat="1" ht="15.75" customHeight="1" x14ac:dyDescent="0.15">
      <c r="I827" s="361" t="s">
        <v>213</v>
      </c>
      <c r="J827" s="361"/>
      <c r="K827" s="76" t="s">
        <v>2</v>
      </c>
      <c r="L827" s="1" t="s">
        <v>217</v>
      </c>
    </row>
    <row r="828" spans="1:12" s="1" customFormat="1" ht="15.75" customHeight="1" x14ac:dyDescent="0.15">
      <c r="I828" s="361" t="s">
        <v>215</v>
      </c>
      <c r="J828" s="361"/>
      <c r="K828" s="76" t="s">
        <v>2</v>
      </c>
      <c r="L828" s="1" t="s">
        <v>218</v>
      </c>
    </row>
    <row r="829" spans="1:12" s="1" customFormat="1" ht="15.75" customHeight="1" x14ac:dyDescent="0.15"/>
    <row r="830" spans="1:12" s="1" customFormat="1" ht="15.75" customHeight="1" x14ac:dyDescent="0.15">
      <c r="E830" s="1" t="s">
        <v>219</v>
      </c>
    </row>
    <row r="831" spans="1:12" s="1" customFormat="1" ht="15.75" customHeight="1" x14ac:dyDescent="0.15">
      <c r="F831" s="1" t="s">
        <v>220</v>
      </c>
    </row>
    <row r="832" spans="1:12" ht="15.75" customHeight="1" x14ac:dyDescent="0.15">
      <c r="E832" s="76"/>
    </row>
    <row r="833" spans="5:58" s="1" customFormat="1" ht="15.75" customHeight="1" x14ac:dyDescent="0.15">
      <c r="E833" s="162" t="s">
        <v>213</v>
      </c>
      <c r="F833" s="162"/>
      <c r="G833" s="76" t="s">
        <v>27</v>
      </c>
      <c r="H833" s="162" t="s">
        <v>221</v>
      </c>
      <c r="I833" s="162"/>
      <c r="J833" s="76" t="s">
        <v>1</v>
      </c>
      <c r="K833" s="162" t="s">
        <v>222</v>
      </c>
      <c r="L833" s="162"/>
    </row>
    <row r="834" spans="5:58" s="1" customFormat="1" ht="15.75" customHeight="1" x14ac:dyDescent="0.15"/>
    <row r="835" spans="5:58" s="1" customFormat="1" ht="15.75" customHeight="1" x14ac:dyDescent="0.15">
      <c r="F835" s="1" t="s">
        <v>3</v>
      </c>
      <c r="I835" s="361" t="s">
        <v>213</v>
      </c>
      <c r="J835" s="361"/>
      <c r="K835" s="76" t="s">
        <v>2</v>
      </c>
      <c r="L835" s="1" t="s">
        <v>223</v>
      </c>
    </row>
    <row r="836" spans="5:58" s="1" customFormat="1" ht="15.75" customHeight="1" x14ac:dyDescent="0.15">
      <c r="I836" s="361" t="s">
        <v>221</v>
      </c>
      <c r="J836" s="361"/>
      <c r="K836" s="76" t="s">
        <v>2</v>
      </c>
      <c r="L836" s="1" t="s">
        <v>393</v>
      </c>
    </row>
    <row r="837" spans="5:58" s="1" customFormat="1" ht="15.75" customHeight="1" x14ac:dyDescent="0.15">
      <c r="I837" s="2"/>
      <c r="J837" s="2"/>
      <c r="K837" s="76"/>
      <c r="L837" s="1" t="s">
        <v>394</v>
      </c>
    </row>
    <row r="838" spans="5:58" s="1" customFormat="1" ht="15.75" customHeight="1" x14ac:dyDescent="0.15">
      <c r="I838" s="2"/>
      <c r="J838" s="2"/>
      <c r="K838" s="76"/>
      <c r="M838" s="1" t="s">
        <v>224</v>
      </c>
      <c r="R838" s="76" t="s">
        <v>2</v>
      </c>
      <c r="S838" s="162" t="s">
        <v>221</v>
      </c>
      <c r="T838" s="162"/>
      <c r="U838" s="76" t="s">
        <v>27</v>
      </c>
      <c r="V838" s="162" t="s">
        <v>227</v>
      </c>
      <c r="W838" s="162"/>
      <c r="X838" s="1" t="s">
        <v>228</v>
      </c>
      <c r="Y838" s="162">
        <v>3500</v>
      </c>
      <c r="Z838" s="162"/>
      <c r="AA838" s="1" t="s">
        <v>229</v>
      </c>
    </row>
    <row r="839" spans="5:58" s="1" customFormat="1" ht="15.75" customHeight="1" x14ac:dyDescent="0.15">
      <c r="I839" s="2"/>
      <c r="J839" s="2"/>
      <c r="K839" s="76"/>
      <c r="M839" s="1" t="s">
        <v>225</v>
      </c>
      <c r="R839" s="76" t="s">
        <v>2</v>
      </c>
      <c r="S839" s="162" t="s">
        <v>221</v>
      </c>
      <c r="T839" s="162"/>
      <c r="U839" s="76" t="s">
        <v>27</v>
      </c>
      <c r="V839" s="162" t="s">
        <v>227</v>
      </c>
      <c r="W839" s="162"/>
      <c r="X839" s="1" t="s">
        <v>228</v>
      </c>
      <c r="Y839" s="162">
        <v>7500</v>
      </c>
      <c r="Z839" s="162"/>
      <c r="AA839" s="1" t="s">
        <v>229</v>
      </c>
    </row>
    <row r="840" spans="5:58" s="1" customFormat="1" ht="15.75" customHeight="1" x14ac:dyDescent="0.15">
      <c r="I840" s="2"/>
      <c r="J840" s="2"/>
      <c r="K840" s="76"/>
      <c r="M840" s="1" t="s">
        <v>226</v>
      </c>
      <c r="N840" s="76" t="s">
        <v>2</v>
      </c>
      <c r="O840" s="1" t="s">
        <v>230</v>
      </c>
    </row>
    <row r="841" spans="5:58" s="1" customFormat="1" ht="15.75" customHeight="1" x14ac:dyDescent="0.15">
      <c r="I841" s="361" t="s">
        <v>222</v>
      </c>
      <c r="J841" s="361"/>
      <c r="K841" s="76" t="s">
        <v>2</v>
      </c>
      <c r="L841" s="1" t="s">
        <v>395</v>
      </c>
    </row>
    <row r="842" spans="5:58" ht="15.75" customHeight="1" x14ac:dyDescent="0.15">
      <c r="E842" s="76"/>
      <c r="L842" s="307" t="s">
        <v>396</v>
      </c>
    </row>
    <row r="843" spans="5:58" ht="15.75" customHeight="1" x14ac:dyDescent="0.15">
      <c r="E843" s="76"/>
    </row>
    <row r="845" spans="5:58" ht="15.75" customHeight="1" x14ac:dyDescent="0.15">
      <c r="E845" s="162" t="s">
        <v>221</v>
      </c>
      <c r="F845" s="162"/>
      <c r="G845" s="76" t="s">
        <v>27</v>
      </c>
      <c r="H845" s="362">
        <v>60</v>
      </c>
      <c r="I845" s="362"/>
      <c r="J845" s="76" t="s">
        <v>553</v>
      </c>
      <c r="K845" s="363" t="s">
        <v>602</v>
      </c>
      <c r="AC845" s="379"/>
      <c r="AD845" s="379"/>
      <c r="AE845" s="379"/>
      <c r="AF845" s="379"/>
      <c r="AG845" s="379"/>
      <c r="AH845" s="379"/>
      <c r="AI845" s="379"/>
      <c r="AJ845" s="379"/>
      <c r="AK845" s="379"/>
      <c r="AL845" s="379"/>
      <c r="AM845" s="379"/>
      <c r="AV845" s="76"/>
      <c r="AW845" s="76"/>
      <c r="AX845" s="76"/>
      <c r="AY845" s="76"/>
      <c r="AZ845" s="76"/>
      <c r="BA845" s="76"/>
      <c r="BB845" s="76"/>
      <c r="BC845" s="76"/>
      <c r="BD845" s="76"/>
      <c r="BE845" s="76"/>
      <c r="BF845" s="76"/>
    </row>
    <row r="846" spans="5:58" ht="15.75" customHeight="1" x14ac:dyDescent="0.15">
      <c r="G846" s="76" t="s">
        <v>27</v>
      </c>
      <c r="H846" s="162">
        <f>H845</f>
        <v>60</v>
      </c>
      <c r="I846" s="162"/>
      <c r="J846" s="76" t="s">
        <v>1</v>
      </c>
      <c r="K846" s="362">
        <v>70</v>
      </c>
      <c r="L846" s="362"/>
    </row>
    <row r="847" spans="5:58" ht="15.75" customHeight="1" x14ac:dyDescent="0.15">
      <c r="G847" s="76" t="s">
        <v>27</v>
      </c>
      <c r="H847" s="162">
        <f>H846*K846*Q850^2</f>
        <v>4200</v>
      </c>
      <c r="I847" s="162"/>
      <c r="J847" s="162"/>
      <c r="K847" s="1" t="s">
        <v>229</v>
      </c>
      <c r="N847" s="1" t="s">
        <v>228</v>
      </c>
      <c r="O847" s="362">
        <v>7500</v>
      </c>
      <c r="P847" s="362"/>
      <c r="Q847" s="1" t="s">
        <v>229</v>
      </c>
      <c r="S847" s="11"/>
      <c r="T847" s="11"/>
      <c r="U847" s="11"/>
      <c r="V847" s="364"/>
    </row>
    <row r="848" spans="5:58" ht="15.75" customHeight="1" x14ac:dyDescent="0.15">
      <c r="K848" s="289"/>
      <c r="L848" s="289"/>
      <c r="N848" s="365"/>
      <c r="O848" s="365"/>
      <c r="S848" s="11"/>
      <c r="T848" s="11"/>
      <c r="U848" s="11"/>
      <c r="V848" s="364"/>
    </row>
    <row r="849" spans="5:59" ht="15.75" customHeight="1" x14ac:dyDescent="0.15">
      <c r="E849" s="162" t="s">
        <v>213</v>
      </c>
      <c r="F849" s="162"/>
      <c r="G849" s="76" t="s">
        <v>27</v>
      </c>
      <c r="H849" s="162" t="s">
        <v>221</v>
      </c>
      <c r="I849" s="162"/>
      <c r="J849" s="76" t="s">
        <v>1</v>
      </c>
      <c r="K849" s="162" t="s">
        <v>222</v>
      </c>
      <c r="L849" s="162"/>
      <c r="N849" s="365"/>
      <c r="O849" s="365"/>
      <c r="S849" s="11"/>
      <c r="T849" s="11"/>
      <c r="U849" s="11"/>
      <c r="V849" s="364"/>
    </row>
    <row r="850" spans="5:59" ht="15.75" customHeight="1" x14ac:dyDescent="0.15">
      <c r="G850" s="76" t="s">
        <v>27</v>
      </c>
      <c r="H850" s="162">
        <f>MIN(H847,先端qtk上限)</f>
        <v>4200</v>
      </c>
      <c r="I850" s="162"/>
      <c r="J850" s="162"/>
      <c r="K850" s="76" t="s">
        <v>1</v>
      </c>
      <c r="L850" s="366">
        <v>0.25</v>
      </c>
      <c r="M850" s="366"/>
      <c r="N850" s="76" t="s">
        <v>1</v>
      </c>
      <c r="O850" s="76" t="s">
        <v>123</v>
      </c>
      <c r="P850" s="76" t="s">
        <v>1</v>
      </c>
      <c r="Q850" s="367">
        <f>Q92</f>
        <v>1</v>
      </c>
      <c r="R850" s="367"/>
      <c r="S850" s="367"/>
      <c r="T850" s="364" t="s">
        <v>232</v>
      </c>
      <c r="AN850" s="76"/>
      <c r="BG850" s="379"/>
    </row>
    <row r="851" spans="5:59" ht="15.75" customHeight="1" x14ac:dyDescent="0.15">
      <c r="G851" s="76" t="s">
        <v>27</v>
      </c>
      <c r="H851" s="244">
        <f>H847*L850*PI()*Q850^2</f>
        <v>3298.6722862692827</v>
      </c>
      <c r="I851" s="244"/>
      <c r="J851" s="244"/>
      <c r="K851" s="1" t="s">
        <v>574</v>
      </c>
      <c r="AI851" s="379"/>
      <c r="AJ851" s="379"/>
      <c r="AK851" s="379"/>
      <c r="AL851" s="379"/>
      <c r="AM851" s="379"/>
      <c r="BC851" s="76"/>
      <c r="BD851" s="76"/>
      <c r="BE851" s="76"/>
      <c r="BF851" s="76"/>
    </row>
    <row r="852" spans="5:59" ht="15.75" customHeight="1" x14ac:dyDescent="0.15">
      <c r="AK852" s="379"/>
      <c r="AL852" s="379"/>
      <c r="AM852" s="379"/>
      <c r="BE852" s="76"/>
      <c r="BF852" s="76"/>
    </row>
    <row r="854" spans="5:59" ht="15.75" customHeight="1" x14ac:dyDescent="0.15">
      <c r="F854" s="307" t="s">
        <v>233</v>
      </c>
    </row>
    <row r="857" spans="5:59" ht="15.75" customHeight="1" x14ac:dyDescent="0.15">
      <c r="E857" s="1" t="s">
        <v>234</v>
      </c>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row>
    <row r="858" spans="5:59" ht="15.75" customHeight="1" x14ac:dyDescent="0.15">
      <c r="F858" s="1" t="s">
        <v>235</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row>
    <row r="859" spans="5:59" ht="15.75" customHeight="1" x14ac:dyDescent="0.15">
      <c r="E859" s="76"/>
    </row>
    <row r="860" spans="5:59" ht="15.75" customHeight="1" x14ac:dyDescent="0.15">
      <c r="E860" s="162" t="s">
        <v>215</v>
      </c>
      <c r="F860" s="162"/>
      <c r="G860" s="76" t="s">
        <v>27</v>
      </c>
      <c r="H860" s="162" t="s">
        <v>236</v>
      </c>
      <c r="I860" s="162"/>
      <c r="J860" s="76" t="s">
        <v>1</v>
      </c>
      <c r="K860" s="162" t="s">
        <v>134</v>
      </c>
      <c r="L860" s="162"/>
      <c r="M860" s="1" t="s">
        <v>1</v>
      </c>
      <c r="N860" s="307" t="s">
        <v>238</v>
      </c>
      <c r="O860" s="1"/>
      <c r="P860" s="1"/>
      <c r="Q860" s="1"/>
      <c r="R860" s="1"/>
      <c r="S860" s="1"/>
      <c r="T860" s="1"/>
      <c r="U860" s="1"/>
      <c r="V860" s="1"/>
      <c r="W860" s="1"/>
      <c r="X860" s="1"/>
      <c r="Y860" s="1"/>
      <c r="Z860" s="1"/>
      <c r="AA860" s="1"/>
      <c r="AB860" s="1"/>
      <c r="AC860" s="1"/>
      <c r="AD860" s="1"/>
      <c r="AE860" s="1"/>
      <c r="AF860" s="1"/>
      <c r="AG860" s="1"/>
      <c r="AH860" s="1"/>
    </row>
    <row r="861" spans="5:59" ht="15.75" customHeight="1" x14ac:dyDescent="0.15">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row>
    <row r="862" spans="5:59" ht="15.75" customHeight="1" x14ac:dyDescent="0.15">
      <c r="F862" s="1" t="s">
        <v>3</v>
      </c>
      <c r="G862" s="1"/>
      <c r="H862" s="1"/>
      <c r="I862" s="162" t="s">
        <v>134</v>
      </c>
      <c r="J862" s="162"/>
      <c r="K862" s="76" t="s">
        <v>2</v>
      </c>
      <c r="L862" s="1" t="s">
        <v>239</v>
      </c>
      <c r="M862" s="1"/>
      <c r="N862" s="1"/>
      <c r="O862" s="1"/>
      <c r="P862" s="1"/>
      <c r="Q862" s="1"/>
      <c r="R862" s="1"/>
      <c r="S862" s="1"/>
      <c r="T862" s="1"/>
      <c r="U862" s="1"/>
      <c r="V862" s="1"/>
      <c r="W862" s="1"/>
      <c r="X862" s="1"/>
      <c r="Y862" s="1"/>
      <c r="Z862" s="1"/>
      <c r="AA862" s="1"/>
      <c r="AB862" s="1"/>
      <c r="AC862" s="1"/>
      <c r="AD862" s="1"/>
      <c r="AE862" s="1"/>
      <c r="AF862" s="1"/>
      <c r="AG862" s="1"/>
      <c r="AH862" s="1"/>
    </row>
    <row r="863" spans="5:59" ht="15.75" customHeight="1" x14ac:dyDescent="0.15">
      <c r="F863" s="1"/>
      <c r="G863" s="1"/>
      <c r="H863" s="1"/>
      <c r="I863" s="162" t="s">
        <v>236</v>
      </c>
      <c r="J863" s="162"/>
      <c r="K863" s="76" t="s">
        <v>2</v>
      </c>
      <c r="L863" s="1" t="s">
        <v>397</v>
      </c>
      <c r="M863" s="1"/>
      <c r="N863" s="1"/>
      <c r="O863" s="1"/>
      <c r="P863" s="1"/>
      <c r="Q863" s="1"/>
      <c r="R863" s="1"/>
      <c r="S863" s="1"/>
      <c r="T863" s="1"/>
      <c r="U863" s="1"/>
      <c r="V863" s="1"/>
      <c r="W863" s="1"/>
      <c r="X863" s="1"/>
      <c r="Y863" s="1"/>
      <c r="Z863" s="1"/>
      <c r="AA863" s="1"/>
      <c r="AB863" s="1"/>
      <c r="AC863" s="1"/>
      <c r="AD863" s="1"/>
      <c r="AE863" s="1"/>
      <c r="AF863" s="1"/>
      <c r="AG863" s="1"/>
      <c r="AH863" s="1"/>
    </row>
    <row r="864" spans="5:59" ht="15.75" customHeight="1" x14ac:dyDescent="0.15">
      <c r="F864" s="1"/>
      <c r="G864" s="1"/>
      <c r="H864" s="1"/>
      <c r="L864" s="1" t="s">
        <v>398</v>
      </c>
      <c r="M864" s="1"/>
      <c r="N864" s="1"/>
      <c r="O864" s="1"/>
      <c r="P864" s="1"/>
      <c r="Q864" s="1"/>
      <c r="R864" s="1"/>
      <c r="S864" s="1"/>
      <c r="T864" s="1"/>
      <c r="U864" s="1"/>
      <c r="V864" s="1"/>
      <c r="W864" s="1"/>
      <c r="X864" s="1"/>
      <c r="Y864" s="1"/>
      <c r="Z864" s="1"/>
      <c r="AF864" s="1"/>
      <c r="AG864" s="1"/>
      <c r="AH864" s="1"/>
    </row>
    <row r="865" spans="1:58" ht="15.75" customHeight="1" x14ac:dyDescent="0.15">
      <c r="F865" s="1"/>
      <c r="G865" s="1"/>
      <c r="H865" s="1"/>
      <c r="L865" s="368" t="s">
        <v>240</v>
      </c>
      <c r="M865" s="368"/>
      <c r="N865" s="368"/>
      <c r="O865" s="368"/>
      <c r="P865" s="368"/>
      <c r="Q865" s="368"/>
      <c r="R865" s="368"/>
      <c r="S865" s="368"/>
      <c r="T865" s="368"/>
      <c r="U865" s="76" t="s">
        <v>2</v>
      </c>
      <c r="V865" s="162" t="s">
        <v>558</v>
      </c>
      <c r="W865" s="162"/>
      <c r="X865" s="377">
        <v>3</v>
      </c>
      <c r="Y865" s="377"/>
      <c r="Z865" s="368" t="s">
        <v>556</v>
      </c>
      <c r="AA865" s="368"/>
      <c r="AB865" s="362">
        <v>150</v>
      </c>
      <c r="AC865" s="362"/>
      <c r="AD865" s="1" t="s">
        <v>229</v>
      </c>
      <c r="AE865" s="1"/>
      <c r="AF865" s="1"/>
      <c r="AG865" s="1"/>
      <c r="AH865" s="1"/>
      <c r="AI865" s="1"/>
      <c r="AJ865" s="1"/>
      <c r="AK865" s="1"/>
      <c r="AM865" s="379"/>
      <c r="BF865" s="76"/>
    </row>
    <row r="866" spans="1:58" ht="15.75" customHeight="1" x14ac:dyDescent="0.15">
      <c r="F866" s="1"/>
      <c r="G866" s="1"/>
      <c r="H866" s="1"/>
      <c r="L866" s="369" t="s">
        <v>241</v>
      </c>
      <c r="M866" s="369"/>
      <c r="N866" s="369"/>
      <c r="O866" s="369"/>
      <c r="P866" s="369"/>
      <c r="Q866" s="76" t="s">
        <v>2</v>
      </c>
      <c r="R866" s="162" t="s">
        <v>558</v>
      </c>
      <c r="S866" s="162"/>
      <c r="T866" s="362">
        <v>0.4</v>
      </c>
      <c r="U866" s="362"/>
      <c r="V866" s="368" t="s">
        <v>557</v>
      </c>
      <c r="W866" s="368"/>
      <c r="X866" s="362">
        <v>150</v>
      </c>
      <c r="Y866" s="362"/>
      <c r="Z866" s="148" t="s">
        <v>242</v>
      </c>
      <c r="AA866" s="148"/>
      <c r="AB866" s="378">
        <v>6</v>
      </c>
      <c r="AC866" s="368" t="s">
        <v>556</v>
      </c>
      <c r="AD866" s="368"/>
      <c r="AE866" s="362">
        <v>150</v>
      </c>
      <c r="AF866" s="362"/>
      <c r="AG866" s="1" t="s">
        <v>229</v>
      </c>
      <c r="AH866" s="1"/>
      <c r="AM866" s="379"/>
      <c r="BF866" s="76"/>
    </row>
    <row r="867" spans="1:58" ht="15.75" customHeight="1" x14ac:dyDescent="0.15">
      <c r="F867" s="1"/>
      <c r="G867" s="1"/>
      <c r="H867" s="1"/>
      <c r="L867" s="1"/>
      <c r="M867" s="2" t="s">
        <v>226</v>
      </c>
      <c r="N867" s="76" t="s">
        <v>2</v>
      </c>
      <c r="O867" s="1" t="s">
        <v>243</v>
      </c>
      <c r="P867" s="1"/>
      <c r="Q867" s="1"/>
      <c r="R867" s="1"/>
      <c r="S867" s="1"/>
      <c r="T867" s="1"/>
      <c r="U867" s="1"/>
      <c r="V867" s="1"/>
      <c r="W867" s="1"/>
      <c r="AD867" s="1"/>
      <c r="AE867" s="1"/>
      <c r="AF867" s="1"/>
      <c r="AG867" s="1"/>
      <c r="AH867" s="1"/>
    </row>
    <row r="868" spans="1:58" ht="15.75" customHeight="1" x14ac:dyDescent="0.15">
      <c r="E868" s="76"/>
      <c r="M868" s="2" t="s">
        <v>244</v>
      </c>
      <c r="N868" s="76" t="s">
        <v>2</v>
      </c>
      <c r="O868" s="307" t="s">
        <v>245</v>
      </c>
    </row>
    <row r="869" spans="1:58" ht="15.75" customHeight="1" x14ac:dyDescent="0.15">
      <c r="M869" s="2" t="s">
        <v>238</v>
      </c>
      <c r="N869" s="76" t="s">
        <v>2</v>
      </c>
      <c r="O869" s="307" t="s">
        <v>246</v>
      </c>
    </row>
    <row r="871" spans="1:58" ht="15.75" customHeight="1" x14ac:dyDescent="0.15">
      <c r="F871" s="307" t="s">
        <v>399</v>
      </c>
    </row>
    <row r="872" spans="1:58" s="307" customFormat="1" ht="15.75" customHeight="1" x14ac:dyDescent="0.15">
      <c r="F872" s="307" t="s">
        <v>400</v>
      </c>
    </row>
    <row r="873" spans="1:58" s="307" customFormat="1" ht="15.75" customHeight="1" x14ac:dyDescent="0.15"/>
    <row r="874" spans="1:58" s="1" customFormat="1" ht="15.75" customHeight="1" x14ac:dyDescent="0.15">
      <c r="E874" s="61" t="s">
        <v>578</v>
      </c>
      <c r="F874" s="302"/>
      <c r="G874" s="302"/>
      <c r="H874" s="61"/>
      <c r="I874" s="61"/>
      <c r="J874" s="61"/>
      <c r="K874" s="61"/>
      <c r="L874" s="61"/>
      <c r="M874" s="61"/>
      <c r="N874" s="61"/>
      <c r="O874" s="61"/>
      <c r="P874" s="61"/>
      <c r="Q874" s="61"/>
      <c r="R874" s="61"/>
      <c r="S874" s="61"/>
      <c r="T874" s="61"/>
      <c r="U874" s="61"/>
      <c r="V874" s="61"/>
      <c r="W874" s="61"/>
      <c r="X874" s="61"/>
      <c r="Y874" s="61"/>
      <c r="Z874" s="61"/>
      <c r="AA874" s="61"/>
      <c r="AB874" s="61"/>
      <c r="AC874" s="61"/>
      <c r="AD874" s="61"/>
      <c r="AE874" s="61"/>
      <c r="AF874" s="61"/>
      <c r="AG874" s="61"/>
      <c r="AH874" s="61"/>
      <c r="AI874" s="8"/>
    </row>
    <row r="875" spans="1:58" s="1" customFormat="1" ht="15.75" customHeight="1" x14ac:dyDescent="0.15">
      <c r="E875" s="294" t="s">
        <v>546</v>
      </c>
      <c r="F875" s="292"/>
      <c r="G875" s="292"/>
      <c r="H875" s="292"/>
      <c r="I875" s="292"/>
      <c r="J875" s="292"/>
      <c r="K875" s="292"/>
      <c r="L875" s="292"/>
      <c r="M875" s="292"/>
      <c r="N875" s="292"/>
      <c r="O875" s="292"/>
      <c r="P875" s="292"/>
      <c r="Q875" s="292"/>
      <c r="R875" s="292"/>
      <c r="S875" s="293"/>
      <c r="T875" s="273" t="s">
        <v>547</v>
      </c>
      <c r="U875" s="131"/>
      <c r="V875" s="131"/>
      <c r="W875" s="131"/>
      <c r="X875" s="131"/>
      <c r="Y875" s="131"/>
      <c r="Z875" s="131"/>
      <c r="AA875" s="131"/>
      <c r="AB875" s="131"/>
      <c r="AC875" s="131"/>
      <c r="AD875" s="131"/>
      <c r="AE875" s="131"/>
      <c r="AF875" s="131"/>
      <c r="AG875" s="131"/>
      <c r="AH875" s="132"/>
    </row>
    <row r="876" spans="1:58" s="1" customFormat="1" ht="15.75" customHeight="1" x14ac:dyDescent="0.15">
      <c r="E876" s="159" t="s">
        <v>78</v>
      </c>
      <c r="F876" s="160"/>
      <c r="G876" s="291" t="s">
        <v>203</v>
      </c>
      <c r="H876" s="161"/>
      <c r="I876" s="161"/>
      <c r="J876" s="222" t="s">
        <v>247</v>
      </c>
      <c r="K876" s="138"/>
      <c r="L876" s="215"/>
      <c r="M876" s="222" t="s">
        <v>580</v>
      </c>
      <c r="N876" s="138"/>
      <c r="O876" s="215"/>
      <c r="P876" s="222" t="s">
        <v>250</v>
      </c>
      <c r="Q876" s="138"/>
      <c r="R876" s="138"/>
      <c r="S876" s="139"/>
      <c r="T876" s="226" t="s">
        <v>78</v>
      </c>
      <c r="U876" s="106"/>
      <c r="V876" s="216" t="s">
        <v>203</v>
      </c>
      <c r="W876" s="121"/>
      <c r="X876" s="121"/>
      <c r="Y876" s="277" t="s">
        <v>247</v>
      </c>
      <c r="Z876" s="278"/>
      <c r="AA876" s="279"/>
      <c r="AB876" s="277" t="s">
        <v>580</v>
      </c>
      <c r="AC876" s="278"/>
      <c r="AD876" s="279"/>
      <c r="AE876" s="277" t="s">
        <v>250</v>
      </c>
      <c r="AF876" s="278"/>
      <c r="AG876" s="278"/>
      <c r="AH876" s="278"/>
    </row>
    <row r="877" spans="1:58" s="1" customFormat="1" ht="15.75" customHeight="1" x14ac:dyDescent="0.15">
      <c r="E877" s="295"/>
      <c r="F877" s="156"/>
      <c r="G877" s="163"/>
      <c r="H877" s="163"/>
      <c r="I877" s="163"/>
      <c r="J877" s="223"/>
      <c r="K877" s="140"/>
      <c r="L877" s="159"/>
      <c r="M877" s="223"/>
      <c r="N877" s="140"/>
      <c r="O877" s="159"/>
      <c r="P877" s="223"/>
      <c r="Q877" s="140"/>
      <c r="R877" s="140"/>
      <c r="S877" s="141"/>
      <c r="T877" s="290"/>
      <c r="U877" s="156"/>
      <c r="V877" s="163"/>
      <c r="W877" s="163"/>
      <c r="X877" s="163"/>
      <c r="Y877" s="223"/>
      <c r="Z877" s="140"/>
      <c r="AA877" s="159"/>
      <c r="AB877" s="223"/>
      <c r="AC877" s="140"/>
      <c r="AD877" s="159"/>
      <c r="AE877" s="223"/>
      <c r="AF877" s="140"/>
      <c r="AG877" s="140"/>
      <c r="AH877" s="140"/>
    </row>
    <row r="878" spans="1:58" s="1" customFormat="1" ht="15.75" customHeight="1" x14ac:dyDescent="0.15">
      <c r="A878" s="73" t="str">
        <f>IF(LEN(E878)+LEN(T878)=0,"×","")</f>
        <v/>
      </c>
      <c r="E878" s="412">
        <v>3</v>
      </c>
      <c r="F878" s="398"/>
      <c r="G878" s="125">
        <v>3</v>
      </c>
      <c r="H878" s="125"/>
      <c r="I878" s="125"/>
      <c r="J878" s="423" t="s">
        <v>582</v>
      </c>
      <c r="K878" s="424"/>
      <c r="L878" s="412"/>
      <c r="M878" s="426">
        <v>0</v>
      </c>
      <c r="N878" s="426"/>
      <c r="O878" s="426"/>
      <c r="P878" s="441">
        <f>IF(M878="","",M878*G878*$AD$895)</f>
        <v>0</v>
      </c>
      <c r="Q878" s="442"/>
      <c r="R878" s="442"/>
      <c r="S878" s="443"/>
      <c r="T878" s="397">
        <v>3</v>
      </c>
      <c r="U878" s="398"/>
      <c r="V878" s="125">
        <v>3</v>
      </c>
      <c r="W878" s="125"/>
      <c r="X878" s="125"/>
      <c r="Y878" s="423" t="s">
        <v>582</v>
      </c>
      <c r="Z878" s="424"/>
      <c r="AA878" s="412"/>
      <c r="AB878" s="426">
        <v>0</v>
      </c>
      <c r="AC878" s="426"/>
      <c r="AD878" s="426"/>
      <c r="AE878" s="441">
        <f>IF(AB878="","",AB878*V878*$AD$895)</f>
        <v>0</v>
      </c>
      <c r="AF878" s="442"/>
      <c r="AG878" s="442"/>
      <c r="AH878" s="442"/>
    </row>
    <row r="879" spans="1:58" s="1" customFormat="1" ht="15.75" customHeight="1" x14ac:dyDescent="0.15">
      <c r="A879" s="73" t="str">
        <f>IF(LEN(E879)+LEN(T879)=0,"×","")</f>
        <v/>
      </c>
      <c r="E879" s="413">
        <v>4</v>
      </c>
      <c r="F879" s="372"/>
      <c r="G879" s="103">
        <v>5</v>
      </c>
      <c r="H879" s="103"/>
      <c r="I879" s="103"/>
      <c r="J879" s="427" t="s">
        <v>516</v>
      </c>
      <c r="K879" s="428"/>
      <c r="L879" s="413"/>
      <c r="M879" s="429">
        <v>45</v>
      </c>
      <c r="N879" s="429"/>
      <c r="O879" s="429"/>
      <c r="P879" s="444">
        <f>IF(M879="","",M879*G879*$AD$895)</f>
        <v>706.85834705770344</v>
      </c>
      <c r="Q879" s="445"/>
      <c r="R879" s="445"/>
      <c r="S879" s="446"/>
      <c r="T879" s="395">
        <v>4</v>
      </c>
      <c r="U879" s="372"/>
      <c r="V879" s="103">
        <v>5</v>
      </c>
      <c r="W879" s="103"/>
      <c r="X879" s="103"/>
      <c r="Y879" s="427" t="s">
        <v>516</v>
      </c>
      <c r="Z879" s="428"/>
      <c r="AA879" s="413"/>
      <c r="AB879" s="429">
        <v>45</v>
      </c>
      <c r="AC879" s="429"/>
      <c r="AD879" s="429"/>
      <c r="AE879" s="444">
        <f>IF(AB879="","",AB879*V879*$AD$895)</f>
        <v>706.85834705770344</v>
      </c>
      <c r="AF879" s="445"/>
      <c r="AG879" s="445"/>
      <c r="AH879" s="445"/>
    </row>
    <row r="880" spans="1:58" s="1" customFormat="1" ht="15.75" customHeight="1" x14ac:dyDescent="0.15">
      <c r="A880" s="73" t="str">
        <f>IF(LEN(E880)+LEN(T880)=0,"×","")</f>
        <v/>
      </c>
      <c r="E880" s="413">
        <v>5</v>
      </c>
      <c r="F880" s="372"/>
      <c r="G880" s="103">
        <v>8</v>
      </c>
      <c r="H880" s="103"/>
      <c r="I880" s="103"/>
      <c r="J880" s="427" t="s">
        <v>582</v>
      </c>
      <c r="K880" s="428"/>
      <c r="L880" s="413"/>
      <c r="M880" s="429">
        <v>25</v>
      </c>
      <c r="N880" s="429"/>
      <c r="O880" s="429"/>
      <c r="P880" s="444">
        <f>IF(M880="","",M880*G880*$AD$895)</f>
        <v>628.31853071795865</v>
      </c>
      <c r="Q880" s="445"/>
      <c r="R880" s="445"/>
      <c r="S880" s="446"/>
      <c r="T880" s="395">
        <v>5</v>
      </c>
      <c r="U880" s="372"/>
      <c r="V880" s="103">
        <v>8</v>
      </c>
      <c r="W880" s="103"/>
      <c r="X880" s="103"/>
      <c r="Y880" s="427" t="s">
        <v>582</v>
      </c>
      <c r="Z880" s="428"/>
      <c r="AA880" s="413"/>
      <c r="AB880" s="429">
        <v>25</v>
      </c>
      <c r="AC880" s="429"/>
      <c r="AD880" s="429"/>
      <c r="AE880" s="444">
        <f>IF(AB880="","",AB880*V880*$AD$895)</f>
        <v>628.31853071795865</v>
      </c>
      <c r="AF880" s="445"/>
      <c r="AG880" s="445"/>
      <c r="AH880" s="445"/>
    </row>
    <row r="881" spans="1:37" s="1" customFormat="1" ht="15.75" customHeight="1" x14ac:dyDescent="0.15">
      <c r="A881" s="73" t="str">
        <f>IF(LEN(E881)+LEN(T881)=0,"×","")</f>
        <v/>
      </c>
      <c r="E881" s="413">
        <v>6</v>
      </c>
      <c r="F881" s="372"/>
      <c r="G881" s="103">
        <v>4</v>
      </c>
      <c r="H881" s="103"/>
      <c r="I881" s="103"/>
      <c r="J881" s="427" t="s">
        <v>582</v>
      </c>
      <c r="K881" s="428"/>
      <c r="L881" s="413"/>
      <c r="M881" s="429">
        <v>50</v>
      </c>
      <c r="N881" s="429"/>
      <c r="O881" s="429"/>
      <c r="P881" s="444">
        <f>IF(M881="","",M881*G881*$AD$895)</f>
        <v>628.31853071795865</v>
      </c>
      <c r="Q881" s="445"/>
      <c r="R881" s="445"/>
      <c r="S881" s="446"/>
      <c r="T881" s="395">
        <v>6</v>
      </c>
      <c r="U881" s="372"/>
      <c r="V881" s="103">
        <v>4.5</v>
      </c>
      <c r="W881" s="103"/>
      <c r="X881" s="103"/>
      <c r="Y881" s="427" t="s">
        <v>582</v>
      </c>
      <c r="Z881" s="428"/>
      <c r="AA881" s="413"/>
      <c r="AB881" s="429">
        <v>50</v>
      </c>
      <c r="AC881" s="429"/>
      <c r="AD881" s="429"/>
      <c r="AE881" s="444">
        <f>IF(AB881="","",AB881*V881*$AD$895)</f>
        <v>706.85834705770344</v>
      </c>
      <c r="AF881" s="445"/>
      <c r="AG881" s="445"/>
      <c r="AH881" s="445"/>
    </row>
    <row r="882" spans="1:37" s="1" customFormat="1" ht="15.75" customHeight="1" x14ac:dyDescent="0.15">
      <c r="A882" s="73" t="str">
        <f>IF(LEN(E882)+LEN(T882)=0,"×","")</f>
        <v/>
      </c>
      <c r="E882" s="413">
        <v>6</v>
      </c>
      <c r="F882" s="372"/>
      <c r="G882" s="103">
        <v>0.5</v>
      </c>
      <c r="H882" s="103"/>
      <c r="I882" s="103"/>
      <c r="J882" s="427" t="s">
        <v>582</v>
      </c>
      <c r="K882" s="428"/>
      <c r="L882" s="413"/>
      <c r="M882" s="429">
        <v>0</v>
      </c>
      <c r="N882" s="429"/>
      <c r="O882" s="429"/>
      <c r="P882" s="444">
        <f>IF(M882="","",M882*G882*$AD$895)</f>
        <v>0</v>
      </c>
      <c r="Q882" s="445"/>
      <c r="R882" s="445"/>
      <c r="S882" s="446"/>
      <c r="T882" s="395">
        <v>7</v>
      </c>
      <c r="U882" s="372"/>
      <c r="V882" s="103">
        <v>0.5</v>
      </c>
      <c r="W882" s="103"/>
      <c r="X882" s="103"/>
      <c r="Y882" s="427" t="s">
        <v>517</v>
      </c>
      <c r="Z882" s="428"/>
      <c r="AA882" s="413"/>
      <c r="AB882" s="429">
        <v>150</v>
      </c>
      <c r="AC882" s="429"/>
      <c r="AD882" s="429"/>
      <c r="AE882" s="444">
        <f>IF(AB882="","",AB882*V882*$AD$895)</f>
        <v>235.61944901923448</v>
      </c>
      <c r="AF882" s="445"/>
      <c r="AG882" s="445"/>
      <c r="AH882" s="445"/>
    </row>
    <row r="883" spans="1:37" s="1" customFormat="1" ht="15.75" customHeight="1" x14ac:dyDescent="0.15">
      <c r="A883" s="73" t="str">
        <f>IF(LEN(E883)+LEN(T883)=0,"×","")</f>
        <v/>
      </c>
      <c r="E883" s="413">
        <v>7</v>
      </c>
      <c r="F883" s="372"/>
      <c r="G883" s="103">
        <v>0.5</v>
      </c>
      <c r="H883" s="103"/>
      <c r="I883" s="103"/>
      <c r="J883" s="427" t="s">
        <v>517</v>
      </c>
      <c r="K883" s="428"/>
      <c r="L883" s="413"/>
      <c r="M883" s="429">
        <v>0</v>
      </c>
      <c r="N883" s="429"/>
      <c r="O883" s="429"/>
      <c r="P883" s="444">
        <f>IF(M883="","",M883*G883*$AD$895)</f>
        <v>0</v>
      </c>
      <c r="Q883" s="445"/>
      <c r="R883" s="445"/>
      <c r="S883" s="446"/>
      <c r="T883" s="395"/>
      <c r="U883" s="372"/>
      <c r="V883" s="103"/>
      <c r="W883" s="103"/>
      <c r="X883" s="103"/>
      <c r="Y883" s="427"/>
      <c r="Z883" s="428"/>
      <c r="AA883" s="413"/>
      <c r="AB883" s="429"/>
      <c r="AC883" s="429"/>
      <c r="AD883" s="429"/>
      <c r="AE883" s="444" t="str">
        <f>IF(AB883="","",AB883*V883*$AD$895)</f>
        <v/>
      </c>
      <c r="AF883" s="445"/>
      <c r="AG883" s="445"/>
      <c r="AH883" s="445"/>
    </row>
    <row r="884" spans="1:37" s="1" customFormat="1" ht="15.75" customHeight="1" x14ac:dyDescent="0.15">
      <c r="A884" s="73" t="str">
        <f>IF(LEN(E884)+LEN(T884)=0,"×","")</f>
        <v>×</v>
      </c>
      <c r="E884" s="413"/>
      <c r="F884" s="372"/>
      <c r="G884" s="103"/>
      <c r="H884" s="103"/>
      <c r="I884" s="103"/>
      <c r="J884" s="427"/>
      <c r="K884" s="428"/>
      <c r="L884" s="413"/>
      <c r="M884" s="429"/>
      <c r="N884" s="429"/>
      <c r="O884" s="429"/>
      <c r="P884" s="444" t="str">
        <f>IF(M884="","",M884*G884*$AD$895)</f>
        <v/>
      </c>
      <c r="Q884" s="445"/>
      <c r="R884" s="445"/>
      <c r="S884" s="446"/>
      <c r="T884" s="395"/>
      <c r="U884" s="372"/>
      <c r="V884" s="103"/>
      <c r="W884" s="103"/>
      <c r="X884" s="103"/>
      <c r="Y884" s="427"/>
      <c r="Z884" s="428"/>
      <c r="AA884" s="413"/>
      <c r="AB884" s="429"/>
      <c r="AC884" s="429"/>
      <c r="AD884" s="429"/>
      <c r="AE884" s="444" t="str">
        <f>IF(AB884="","",AB884*V884*$AD$895)</f>
        <v/>
      </c>
      <c r="AF884" s="445"/>
      <c r="AG884" s="445"/>
      <c r="AH884" s="445"/>
    </row>
    <row r="885" spans="1:37" s="1" customFormat="1" ht="15.75" customHeight="1" x14ac:dyDescent="0.15">
      <c r="A885" s="73" t="str">
        <f>IF(LEN(E885)+LEN(T885)=0,"×","")</f>
        <v>×</v>
      </c>
      <c r="E885" s="413"/>
      <c r="F885" s="372"/>
      <c r="G885" s="103"/>
      <c r="H885" s="103"/>
      <c r="I885" s="103"/>
      <c r="J885" s="427"/>
      <c r="K885" s="428"/>
      <c r="L885" s="413"/>
      <c r="M885" s="429"/>
      <c r="N885" s="429"/>
      <c r="O885" s="429"/>
      <c r="P885" s="444" t="str">
        <f>IF(M885="","",M885*G885*$AD$895)</f>
        <v/>
      </c>
      <c r="Q885" s="445"/>
      <c r="R885" s="445"/>
      <c r="S885" s="446"/>
      <c r="T885" s="395"/>
      <c r="U885" s="372"/>
      <c r="V885" s="103"/>
      <c r="W885" s="103"/>
      <c r="X885" s="103"/>
      <c r="Y885" s="427"/>
      <c r="Z885" s="428"/>
      <c r="AA885" s="413"/>
      <c r="AB885" s="429"/>
      <c r="AC885" s="429"/>
      <c r="AD885" s="429"/>
      <c r="AE885" s="444" t="str">
        <f>IF(AB885="","",AB885*V885*$AD$895)</f>
        <v/>
      </c>
      <c r="AF885" s="445"/>
      <c r="AG885" s="445"/>
      <c r="AH885" s="445"/>
    </row>
    <row r="886" spans="1:37" s="1" customFormat="1" ht="15.75" customHeight="1" x14ac:dyDescent="0.15">
      <c r="A886" s="73" t="str">
        <f>IF(LEN(E886)+LEN(T886)=0,"×","")</f>
        <v>×</v>
      </c>
      <c r="E886" s="413"/>
      <c r="F886" s="372"/>
      <c r="G886" s="103"/>
      <c r="H886" s="103"/>
      <c r="I886" s="103"/>
      <c r="J886" s="427"/>
      <c r="K886" s="428"/>
      <c r="L886" s="413"/>
      <c r="M886" s="429"/>
      <c r="N886" s="429"/>
      <c r="O886" s="429"/>
      <c r="P886" s="444" t="str">
        <f>IF(M886="","",M886*G886*$AD$895)</f>
        <v/>
      </c>
      <c r="Q886" s="445"/>
      <c r="R886" s="445"/>
      <c r="S886" s="446"/>
      <c r="T886" s="395"/>
      <c r="U886" s="372"/>
      <c r="V886" s="103"/>
      <c r="W886" s="103"/>
      <c r="X886" s="103"/>
      <c r="Y886" s="427"/>
      <c r="Z886" s="428"/>
      <c r="AA886" s="413"/>
      <c r="AB886" s="429"/>
      <c r="AC886" s="429"/>
      <c r="AD886" s="429"/>
      <c r="AE886" s="444" t="str">
        <f>IF(AB886="","",AB886*V886*$AD$895)</f>
        <v/>
      </c>
      <c r="AF886" s="445"/>
      <c r="AG886" s="445"/>
      <c r="AH886" s="445"/>
    </row>
    <row r="887" spans="1:37" s="1" customFormat="1" ht="15.75" customHeight="1" x14ac:dyDescent="0.15">
      <c r="A887" s="73" t="str">
        <f>IF(LEN(E887)+LEN(T887)=0,"×","")</f>
        <v>×</v>
      </c>
      <c r="E887" s="413"/>
      <c r="F887" s="372"/>
      <c r="G887" s="103"/>
      <c r="H887" s="103"/>
      <c r="I887" s="103"/>
      <c r="J887" s="427"/>
      <c r="K887" s="428"/>
      <c r="L887" s="413"/>
      <c r="M887" s="429"/>
      <c r="N887" s="429"/>
      <c r="O887" s="429"/>
      <c r="P887" s="444" t="str">
        <f>IF(M887="","",M887*G887*$AD$895)</f>
        <v/>
      </c>
      <c r="Q887" s="445"/>
      <c r="R887" s="445"/>
      <c r="S887" s="446"/>
      <c r="T887" s="395"/>
      <c r="U887" s="372"/>
      <c r="V887" s="103"/>
      <c r="W887" s="103"/>
      <c r="X887" s="103"/>
      <c r="Y887" s="427"/>
      <c r="Z887" s="428"/>
      <c r="AA887" s="413"/>
      <c r="AB887" s="429"/>
      <c r="AC887" s="429"/>
      <c r="AD887" s="429"/>
      <c r="AE887" s="444" t="str">
        <f>IF(AB887="","",AB887*V887*$AD$895)</f>
        <v/>
      </c>
      <c r="AF887" s="445"/>
      <c r="AG887" s="445"/>
      <c r="AH887" s="445"/>
    </row>
    <row r="888" spans="1:37" s="1" customFormat="1" ht="15.75" customHeight="1" x14ac:dyDescent="0.15">
      <c r="A888" s="73" t="str">
        <f>IF(LEN(E888)+LEN(T888)=0,"×","")</f>
        <v>×</v>
      </c>
      <c r="E888" s="413"/>
      <c r="F888" s="372"/>
      <c r="G888" s="103"/>
      <c r="H888" s="103"/>
      <c r="I888" s="103"/>
      <c r="J888" s="427"/>
      <c r="K888" s="428"/>
      <c r="L888" s="413"/>
      <c r="M888" s="429"/>
      <c r="N888" s="429"/>
      <c r="O888" s="429"/>
      <c r="P888" s="444" t="str">
        <f>IF(M888="","",M888*G888*$AD$895)</f>
        <v/>
      </c>
      <c r="Q888" s="445"/>
      <c r="R888" s="445"/>
      <c r="S888" s="446"/>
      <c r="T888" s="395"/>
      <c r="U888" s="372"/>
      <c r="V888" s="103"/>
      <c r="W888" s="103"/>
      <c r="X888" s="103"/>
      <c r="Y888" s="427"/>
      <c r="Z888" s="428"/>
      <c r="AA888" s="413"/>
      <c r="AB888" s="429"/>
      <c r="AC888" s="429"/>
      <c r="AD888" s="429"/>
      <c r="AE888" s="444" t="str">
        <f>IF(AB888="","",AB888*V888*$AD$895)</f>
        <v/>
      </c>
      <c r="AF888" s="445"/>
      <c r="AG888" s="445"/>
      <c r="AH888" s="445"/>
    </row>
    <row r="889" spans="1:37" s="1" customFormat="1" ht="15.75" customHeight="1" x14ac:dyDescent="0.15">
      <c r="A889" s="73" t="str">
        <f>IF(LEN(E889)+LEN(T889)=0,"×","")</f>
        <v>×</v>
      </c>
      <c r="E889" s="413"/>
      <c r="F889" s="372"/>
      <c r="G889" s="103"/>
      <c r="H889" s="103"/>
      <c r="I889" s="103"/>
      <c r="J889" s="427"/>
      <c r="K889" s="428"/>
      <c r="L889" s="413"/>
      <c r="M889" s="429"/>
      <c r="N889" s="429"/>
      <c r="O889" s="429"/>
      <c r="P889" s="444" t="str">
        <f>IF(M889="","",M889*G889*$AD$895)</f>
        <v/>
      </c>
      <c r="Q889" s="445"/>
      <c r="R889" s="445"/>
      <c r="S889" s="446"/>
      <c r="T889" s="395"/>
      <c r="U889" s="372"/>
      <c r="V889" s="103"/>
      <c r="W889" s="103"/>
      <c r="X889" s="103"/>
      <c r="Y889" s="427"/>
      <c r="Z889" s="428"/>
      <c r="AA889" s="413"/>
      <c r="AB889" s="429"/>
      <c r="AC889" s="429"/>
      <c r="AD889" s="429"/>
      <c r="AE889" s="444" t="str">
        <f>IF(AB889="","",AB889*V889*$AD$895)</f>
        <v/>
      </c>
      <c r="AF889" s="445"/>
      <c r="AG889" s="445"/>
      <c r="AH889" s="445"/>
    </row>
    <row r="890" spans="1:37" s="1" customFormat="1" ht="15.75" customHeight="1" x14ac:dyDescent="0.15">
      <c r="A890" s="73" t="str">
        <f>IF(LEN(E890)+LEN(T890)=0,"×","")</f>
        <v>×</v>
      </c>
      <c r="E890" s="413"/>
      <c r="F890" s="372"/>
      <c r="G890" s="103"/>
      <c r="H890" s="103"/>
      <c r="I890" s="103"/>
      <c r="J890" s="427"/>
      <c r="K890" s="428"/>
      <c r="L890" s="413"/>
      <c r="M890" s="429"/>
      <c r="N890" s="429"/>
      <c r="O890" s="429"/>
      <c r="P890" s="444" t="str">
        <f>IF(M890="","",M890*G890*$AD$895)</f>
        <v/>
      </c>
      <c r="Q890" s="445"/>
      <c r="R890" s="445"/>
      <c r="S890" s="446"/>
      <c r="T890" s="395"/>
      <c r="U890" s="372"/>
      <c r="V890" s="103"/>
      <c r="W890" s="103"/>
      <c r="X890" s="103"/>
      <c r="Y890" s="427"/>
      <c r="Z890" s="428"/>
      <c r="AA890" s="413"/>
      <c r="AB890" s="429"/>
      <c r="AC890" s="429"/>
      <c r="AD890" s="429"/>
      <c r="AE890" s="444" t="str">
        <f>IF(AB890="","",AB890*V890*$AD$895)</f>
        <v/>
      </c>
      <c r="AF890" s="445"/>
      <c r="AG890" s="445"/>
      <c r="AH890" s="445"/>
    </row>
    <row r="891" spans="1:37" s="1" customFormat="1" ht="15.75" customHeight="1" x14ac:dyDescent="0.15">
      <c r="A891" s="73" t="str">
        <f>IF(LEN(E891)+LEN(T891)=0,"×","")</f>
        <v>×</v>
      </c>
      <c r="E891" s="413"/>
      <c r="F891" s="372"/>
      <c r="G891" s="103"/>
      <c r="H891" s="103"/>
      <c r="I891" s="103"/>
      <c r="J891" s="427"/>
      <c r="K891" s="428"/>
      <c r="L891" s="413"/>
      <c r="M891" s="429"/>
      <c r="N891" s="429"/>
      <c r="O891" s="429"/>
      <c r="P891" s="444" t="str">
        <f>IF(M891="","",M891*G891*$AD$895)</f>
        <v/>
      </c>
      <c r="Q891" s="445"/>
      <c r="R891" s="445"/>
      <c r="S891" s="446"/>
      <c r="T891" s="395"/>
      <c r="U891" s="372"/>
      <c r="V891" s="103"/>
      <c r="W891" s="103"/>
      <c r="X891" s="103"/>
      <c r="Y891" s="427"/>
      <c r="Z891" s="428"/>
      <c r="AA891" s="413"/>
      <c r="AB891" s="429"/>
      <c r="AC891" s="429"/>
      <c r="AD891" s="429"/>
      <c r="AE891" s="444" t="str">
        <f>IF(AB891="","",AB891*V891*$AD$895)</f>
        <v/>
      </c>
      <c r="AF891" s="445"/>
      <c r="AG891" s="445"/>
      <c r="AH891" s="445"/>
    </row>
    <row r="892" spans="1:37" s="1" customFormat="1" ht="15.75" customHeight="1" x14ac:dyDescent="0.15">
      <c r="A892" s="73" t="str">
        <f>IF(LEN(E892)+LEN(T892)=0,"×","")</f>
        <v>×</v>
      </c>
      <c r="E892" s="413"/>
      <c r="F892" s="372"/>
      <c r="G892" s="103"/>
      <c r="H892" s="103"/>
      <c r="I892" s="103"/>
      <c r="J892" s="427"/>
      <c r="K892" s="428"/>
      <c r="L892" s="413"/>
      <c r="M892" s="429"/>
      <c r="N892" s="429"/>
      <c r="O892" s="429"/>
      <c r="P892" s="444" t="str">
        <f>IF(M892="","",M892*G892*$AD$895)</f>
        <v/>
      </c>
      <c r="Q892" s="445"/>
      <c r="R892" s="445"/>
      <c r="S892" s="446"/>
      <c r="T892" s="395"/>
      <c r="U892" s="372"/>
      <c r="V892" s="103"/>
      <c r="W892" s="103"/>
      <c r="X892" s="103"/>
      <c r="Y892" s="427"/>
      <c r="Z892" s="428"/>
      <c r="AA892" s="413"/>
      <c r="AB892" s="429"/>
      <c r="AC892" s="429"/>
      <c r="AD892" s="429"/>
      <c r="AE892" s="444" t="str">
        <f>IF(AB892="","",AB892*V892*$AD$895)</f>
        <v/>
      </c>
      <c r="AF892" s="445"/>
      <c r="AG892" s="445"/>
      <c r="AH892" s="445"/>
    </row>
    <row r="893" spans="1:37" s="1" customFormat="1" ht="15.75" customHeight="1" x14ac:dyDescent="0.15">
      <c r="A893" s="73" t="str">
        <f>IF(LEN(E893)+LEN(T893)=0,"×","")</f>
        <v>×</v>
      </c>
      <c r="E893" s="430"/>
      <c r="F893" s="431"/>
      <c r="G893" s="432"/>
      <c r="H893" s="432"/>
      <c r="I893" s="432"/>
      <c r="J893" s="433"/>
      <c r="K893" s="434"/>
      <c r="L893" s="430"/>
      <c r="M893" s="435"/>
      <c r="N893" s="435"/>
      <c r="O893" s="435"/>
      <c r="P893" s="447" t="str">
        <f>IF(M893="","",M893*G893*$AD$895)</f>
        <v/>
      </c>
      <c r="Q893" s="448"/>
      <c r="R893" s="448"/>
      <c r="S893" s="449"/>
      <c r="T893" s="436"/>
      <c r="U893" s="431"/>
      <c r="V893" s="432"/>
      <c r="W893" s="432"/>
      <c r="X893" s="432"/>
      <c r="Y893" s="433"/>
      <c r="Z893" s="434"/>
      <c r="AA893" s="430"/>
      <c r="AB893" s="435"/>
      <c r="AC893" s="435"/>
      <c r="AD893" s="435"/>
      <c r="AE893" s="447" t="str">
        <f>IF(AB893="","",AB893*V893*$AD$895)</f>
        <v/>
      </c>
      <c r="AF893" s="448"/>
      <c r="AG893" s="448"/>
      <c r="AH893" s="448"/>
    </row>
    <row r="894" spans="1:37" s="1" customFormat="1" ht="15.75" customHeight="1" x14ac:dyDescent="0.15">
      <c r="A894" s="76"/>
      <c r="E894" s="233" t="s">
        <v>581</v>
      </c>
      <c r="F894" s="234"/>
      <c r="G894" s="450">
        <f>ROUND(SUM(P878:S893),1)</f>
        <v>1963.5</v>
      </c>
      <c r="H894" s="451"/>
      <c r="I894" s="451"/>
      <c r="J894" s="451"/>
      <c r="K894" s="451"/>
      <c r="L894" s="451"/>
      <c r="M894" s="451"/>
      <c r="N894" s="451"/>
      <c r="O894" s="451"/>
      <c r="P894" s="451"/>
      <c r="Q894" s="451"/>
      <c r="R894" s="451"/>
      <c r="S894" s="452"/>
      <c r="T894" s="401" t="s">
        <v>581</v>
      </c>
      <c r="U894" s="234"/>
      <c r="V894" s="450">
        <f>ROUND(SUM(AE878:AH893),1)</f>
        <v>2277.6999999999998</v>
      </c>
      <c r="W894" s="451"/>
      <c r="X894" s="451"/>
      <c r="Y894" s="451"/>
      <c r="Z894" s="451"/>
      <c r="AA894" s="451"/>
      <c r="AB894" s="451"/>
      <c r="AC894" s="451"/>
      <c r="AD894" s="451"/>
      <c r="AE894" s="451"/>
      <c r="AF894" s="451"/>
      <c r="AG894" s="451"/>
      <c r="AH894" s="451"/>
    </row>
    <row r="895" spans="1:37" s="1" customFormat="1" ht="15.75" customHeight="1" x14ac:dyDescent="0.15">
      <c r="E895" s="8"/>
      <c r="F895" s="8"/>
      <c r="G895" s="8"/>
      <c r="H895" s="8"/>
      <c r="I895" s="8"/>
      <c r="J895" s="8"/>
      <c r="K895" s="8"/>
      <c r="L895" s="8"/>
      <c r="M895" s="8"/>
      <c r="N895" s="8"/>
      <c r="O895" s="8"/>
      <c r="AA895" s="2" t="s">
        <v>127</v>
      </c>
      <c r="AB895" s="1" t="s">
        <v>548</v>
      </c>
      <c r="AC895" s="76" t="s">
        <v>27</v>
      </c>
      <c r="AD895" s="304">
        <f>AD816</f>
        <v>3.1415926535897931</v>
      </c>
      <c r="AE895" s="304"/>
      <c r="AF895" s="304"/>
      <c r="AG895" s="7" t="s">
        <v>549</v>
      </c>
      <c r="AH895" s="76" t="s">
        <v>158</v>
      </c>
    </row>
    <row r="896" spans="1:37" s="1" customFormat="1" ht="15.75" customHeight="1" x14ac:dyDescent="0.15">
      <c r="I896" s="76"/>
      <c r="J896" s="76"/>
      <c r="K896" s="76"/>
      <c r="L896" s="9"/>
      <c r="M896" s="9"/>
      <c r="N896" s="9"/>
      <c r="O896" s="76"/>
      <c r="P896" s="76"/>
      <c r="Q896" s="76"/>
      <c r="R896" s="76"/>
      <c r="S896" s="76"/>
      <c r="T896" s="9"/>
      <c r="AG896" s="8"/>
      <c r="AH896" s="8"/>
      <c r="AI896" s="8"/>
      <c r="AJ896" s="8"/>
      <c r="AK896" s="8"/>
    </row>
    <row r="897" spans="1:39" s="1" customFormat="1" ht="15.75" customHeight="1" x14ac:dyDescent="0.15">
      <c r="T897" s="8"/>
      <c r="U897" s="8"/>
      <c r="V897" s="8"/>
      <c r="W897" s="8"/>
      <c r="X897" s="8"/>
      <c r="Y897" s="8"/>
      <c r="Z897" s="8"/>
      <c r="AA897" s="8"/>
      <c r="AB897" s="8"/>
      <c r="AC897" s="8"/>
      <c r="AD897" s="8"/>
      <c r="AE897" s="8"/>
      <c r="AF897" s="8"/>
      <c r="AG897" s="8"/>
      <c r="AH897" s="8"/>
      <c r="AI897" s="8"/>
      <c r="AJ897" s="8"/>
      <c r="AK897" s="8"/>
      <c r="AL897" s="8"/>
      <c r="AM897" s="8"/>
    </row>
    <row r="898" spans="1:39" s="1" customFormat="1" ht="15.75" customHeight="1" x14ac:dyDescent="0.15">
      <c r="E898" s="61" t="s">
        <v>579</v>
      </c>
      <c r="F898" s="302"/>
      <c r="G898" s="302"/>
      <c r="H898" s="61"/>
      <c r="I898" s="61"/>
      <c r="J898" s="61"/>
      <c r="K898" s="61"/>
      <c r="L898" s="61"/>
      <c r="M898" s="61"/>
      <c r="N898" s="61"/>
      <c r="O898" s="61"/>
      <c r="P898" s="61"/>
      <c r="Q898" s="61"/>
      <c r="R898" s="61"/>
      <c r="S898" s="61"/>
      <c r="T898" s="61"/>
      <c r="U898" s="61"/>
      <c r="V898" s="61"/>
      <c r="W898" s="61"/>
      <c r="X898" s="61"/>
      <c r="Y898" s="61"/>
      <c r="Z898" s="61"/>
      <c r="AA898" s="61"/>
      <c r="AB898" s="61"/>
      <c r="AC898" s="61"/>
      <c r="AD898" s="61"/>
      <c r="AE898" s="61"/>
      <c r="AF898" s="61"/>
      <c r="AG898" s="61"/>
      <c r="AH898" s="61"/>
      <c r="AI898" s="8"/>
    </row>
    <row r="899" spans="1:39" s="1" customFormat="1" ht="15.75" customHeight="1" x14ac:dyDescent="0.15">
      <c r="E899" s="294" t="s">
        <v>546</v>
      </c>
      <c r="F899" s="292"/>
      <c r="G899" s="292"/>
      <c r="H899" s="292"/>
      <c r="I899" s="292"/>
      <c r="J899" s="292"/>
      <c r="K899" s="292"/>
      <c r="L899" s="292"/>
      <c r="M899" s="292"/>
      <c r="N899" s="292"/>
      <c r="O899" s="292"/>
      <c r="P899" s="292"/>
      <c r="Q899" s="292"/>
      <c r="R899" s="292"/>
      <c r="S899" s="293"/>
      <c r="T899" s="273" t="s">
        <v>547</v>
      </c>
      <c r="U899" s="131"/>
      <c r="V899" s="131"/>
      <c r="W899" s="131"/>
      <c r="X899" s="131"/>
      <c r="Y899" s="131"/>
      <c r="Z899" s="131"/>
      <c r="AA899" s="131"/>
      <c r="AB899" s="131"/>
      <c r="AC899" s="131"/>
      <c r="AD899" s="131"/>
      <c r="AE899" s="131"/>
      <c r="AF899" s="131"/>
      <c r="AG899" s="131"/>
      <c r="AH899" s="132"/>
    </row>
    <row r="900" spans="1:39" s="1" customFormat="1" ht="15.75" customHeight="1" x14ac:dyDescent="0.15">
      <c r="E900" s="159" t="s">
        <v>78</v>
      </c>
      <c r="F900" s="160"/>
      <c r="G900" s="291" t="s">
        <v>203</v>
      </c>
      <c r="H900" s="161"/>
      <c r="I900" s="161"/>
      <c r="J900" s="222" t="s">
        <v>247</v>
      </c>
      <c r="K900" s="138"/>
      <c r="L900" s="215"/>
      <c r="M900" s="222" t="s">
        <v>580</v>
      </c>
      <c r="N900" s="138"/>
      <c r="O900" s="215"/>
      <c r="P900" s="222" t="s">
        <v>250</v>
      </c>
      <c r="Q900" s="138"/>
      <c r="R900" s="138"/>
      <c r="S900" s="139"/>
      <c r="T900" s="226" t="s">
        <v>78</v>
      </c>
      <c r="U900" s="106"/>
      <c r="V900" s="216" t="s">
        <v>203</v>
      </c>
      <c r="W900" s="121"/>
      <c r="X900" s="121"/>
      <c r="Y900" s="277" t="s">
        <v>247</v>
      </c>
      <c r="Z900" s="278"/>
      <c r="AA900" s="279"/>
      <c r="AB900" s="277" t="s">
        <v>580</v>
      </c>
      <c r="AC900" s="278"/>
      <c r="AD900" s="279"/>
      <c r="AE900" s="277" t="s">
        <v>250</v>
      </c>
      <c r="AF900" s="278"/>
      <c r="AG900" s="278"/>
      <c r="AH900" s="278"/>
    </row>
    <row r="901" spans="1:39" s="1" customFormat="1" ht="15.75" customHeight="1" x14ac:dyDescent="0.15">
      <c r="E901" s="295"/>
      <c r="F901" s="156"/>
      <c r="G901" s="163"/>
      <c r="H901" s="163"/>
      <c r="I901" s="163"/>
      <c r="J901" s="223"/>
      <c r="K901" s="140"/>
      <c r="L901" s="159"/>
      <c r="M901" s="223"/>
      <c r="N901" s="140"/>
      <c r="O901" s="159"/>
      <c r="P901" s="223"/>
      <c r="Q901" s="140"/>
      <c r="R901" s="140"/>
      <c r="S901" s="141"/>
      <c r="T901" s="290"/>
      <c r="U901" s="156"/>
      <c r="V901" s="163"/>
      <c r="W901" s="163"/>
      <c r="X901" s="163"/>
      <c r="Y901" s="223"/>
      <c r="Z901" s="140"/>
      <c r="AA901" s="159"/>
      <c r="AB901" s="223"/>
      <c r="AC901" s="140"/>
      <c r="AD901" s="159"/>
      <c r="AE901" s="223"/>
      <c r="AF901" s="140"/>
      <c r="AG901" s="140"/>
      <c r="AH901" s="140"/>
    </row>
    <row r="902" spans="1:39" s="1" customFormat="1" ht="15.75" customHeight="1" x14ac:dyDescent="0.15">
      <c r="A902" s="73" t="str">
        <f>IF(LEN(E902)+LEN(T902)=0,"×","")</f>
        <v/>
      </c>
      <c r="E902" s="412">
        <v>3</v>
      </c>
      <c r="F902" s="398"/>
      <c r="G902" s="125">
        <v>3</v>
      </c>
      <c r="H902" s="125"/>
      <c r="I902" s="125"/>
      <c r="J902" s="423" t="s">
        <v>582</v>
      </c>
      <c r="K902" s="424"/>
      <c r="L902" s="412"/>
      <c r="M902" s="426">
        <v>8</v>
      </c>
      <c r="N902" s="426"/>
      <c r="O902" s="426"/>
      <c r="P902" s="441">
        <f>IF(M902="","",M902*G902*$AD$919)</f>
        <v>75.398223686155035</v>
      </c>
      <c r="Q902" s="442"/>
      <c r="R902" s="442"/>
      <c r="S902" s="443"/>
      <c r="T902" s="397">
        <v>3</v>
      </c>
      <c r="U902" s="398"/>
      <c r="V902" s="125">
        <v>3</v>
      </c>
      <c r="W902" s="125"/>
      <c r="X902" s="125"/>
      <c r="Y902" s="423" t="s">
        <v>582</v>
      </c>
      <c r="Z902" s="424"/>
      <c r="AA902" s="412"/>
      <c r="AB902" s="426">
        <v>8</v>
      </c>
      <c r="AC902" s="426"/>
      <c r="AD902" s="426"/>
      <c r="AE902" s="441">
        <f>IF(AB902="","",AB902*V902*$AD$919)</f>
        <v>75.398223686155035</v>
      </c>
      <c r="AF902" s="442"/>
      <c r="AG902" s="442"/>
      <c r="AH902" s="442"/>
    </row>
    <row r="903" spans="1:39" s="1" customFormat="1" ht="15.75" customHeight="1" x14ac:dyDescent="0.15">
      <c r="A903" s="73" t="str">
        <f>IF(LEN(E903)+LEN(T903)=0,"×","")</f>
        <v/>
      </c>
      <c r="E903" s="413">
        <v>4</v>
      </c>
      <c r="F903" s="372"/>
      <c r="G903" s="103">
        <v>5</v>
      </c>
      <c r="H903" s="103"/>
      <c r="I903" s="103"/>
      <c r="J903" s="427" t="s">
        <v>516</v>
      </c>
      <c r="K903" s="428"/>
      <c r="L903" s="413"/>
      <c r="M903" s="429">
        <v>45</v>
      </c>
      <c r="N903" s="429"/>
      <c r="O903" s="429"/>
      <c r="P903" s="444">
        <f>IF(M903="","",M903*G903*$AD$919)</f>
        <v>706.85834705770344</v>
      </c>
      <c r="Q903" s="445"/>
      <c r="R903" s="445"/>
      <c r="S903" s="446"/>
      <c r="T903" s="395">
        <v>4</v>
      </c>
      <c r="U903" s="372"/>
      <c r="V903" s="103">
        <v>5</v>
      </c>
      <c r="W903" s="103"/>
      <c r="X903" s="103"/>
      <c r="Y903" s="427" t="s">
        <v>516</v>
      </c>
      <c r="Z903" s="428"/>
      <c r="AA903" s="413"/>
      <c r="AB903" s="429">
        <v>45</v>
      </c>
      <c r="AC903" s="429"/>
      <c r="AD903" s="429"/>
      <c r="AE903" s="444">
        <f>IF(AB903="","",AB903*V903*$AD$919)</f>
        <v>706.85834705770344</v>
      </c>
      <c r="AF903" s="445"/>
      <c r="AG903" s="445"/>
      <c r="AH903" s="445"/>
    </row>
    <row r="904" spans="1:39" s="1" customFormat="1" ht="15.75" customHeight="1" x14ac:dyDescent="0.15">
      <c r="A904" s="73" t="str">
        <f>IF(LEN(E904)+LEN(T904)=0,"×","")</f>
        <v/>
      </c>
      <c r="E904" s="413">
        <v>5</v>
      </c>
      <c r="F904" s="372"/>
      <c r="G904" s="103">
        <v>8</v>
      </c>
      <c r="H904" s="103"/>
      <c r="I904" s="103"/>
      <c r="J904" s="427" t="s">
        <v>582</v>
      </c>
      <c r="K904" s="428"/>
      <c r="L904" s="413"/>
      <c r="M904" s="429">
        <v>25</v>
      </c>
      <c r="N904" s="429"/>
      <c r="O904" s="429"/>
      <c r="P904" s="444">
        <f>IF(M904="","",M904*G904*$AD$919)</f>
        <v>628.31853071795865</v>
      </c>
      <c r="Q904" s="445"/>
      <c r="R904" s="445"/>
      <c r="S904" s="446"/>
      <c r="T904" s="395">
        <v>5</v>
      </c>
      <c r="U904" s="372"/>
      <c r="V904" s="103">
        <v>8</v>
      </c>
      <c r="W904" s="103"/>
      <c r="X904" s="103"/>
      <c r="Y904" s="427" t="s">
        <v>582</v>
      </c>
      <c r="Z904" s="428"/>
      <c r="AA904" s="413"/>
      <c r="AB904" s="429">
        <v>25</v>
      </c>
      <c r="AC904" s="429"/>
      <c r="AD904" s="429"/>
      <c r="AE904" s="444">
        <f>IF(AB904="","",AB904*V904*$AD$919)</f>
        <v>628.31853071795865</v>
      </c>
      <c r="AF904" s="445"/>
      <c r="AG904" s="445"/>
      <c r="AH904" s="445"/>
    </row>
    <row r="905" spans="1:39" s="1" customFormat="1" ht="15.75" customHeight="1" x14ac:dyDescent="0.15">
      <c r="A905" s="73" t="str">
        <f>IF(LEN(E905)+LEN(T905)=0,"×","")</f>
        <v/>
      </c>
      <c r="E905" s="413">
        <v>6</v>
      </c>
      <c r="F905" s="372"/>
      <c r="G905" s="103">
        <v>4</v>
      </c>
      <c r="H905" s="103"/>
      <c r="I905" s="103"/>
      <c r="J905" s="427" t="s">
        <v>582</v>
      </c>
      <c r="K905" s="428"/>
      <c r="L905" s="413"/>
      <c r="M905" s="429">
        <v>50</v>
      </c>
      <c r="N905" s="429"/>
      <c r="O905" s="429"/>
      <c r="P905" s="444">
        <f>IF(M905="","",M905*G905*$AD$919)</f>
        <v>628.31853071795865</v>
      </c>
      <c r="Q905" s="445"/>
      <c r="R905" s="445"/>
      <c r="S905" s="446"/>
      <c r="T905" s="395">
        <v>6</v>
      </c>
      <c r="U905" s="372"/>
      <c r="V905" s="103">
        <v>4.5</v>
      </c>
      <c r="W905" s="103"/>
      <c r="X905" s="103"/>
      <c r="Y905" s="427" t="s">
        <v>582</v>
      </c>
      <c r="Z905" s="428"/>
      <c r="AA905" s="413"/>
      <c r="AB905" s="429">
        <v>50</v>
      </c>
      <c r="AC905" s="429"/>
      <c r="AD905" s="429"/>
      <c r="AE905" s="444">
        <f>IF(AB905="","",AB905*V905*$AD$919)</f>
        <v>706.85834705770344</v>
      </c>
      <c r="AF905" s="445"/>
      <c r="AG905" s="445"/>
      <c r="AH905" s="445"/>
    </row>
    <row r="906" spans="1:39" s="1" customFormat="1" ht="15.75" customHeight="1" x14ac:dyDescent="0.15">
      <c r="A906" s="73" t="str">
        <f>IF(LEN(E906)+LEN(T906)=0,"×","")</f>
        <v/>
      </c>
      <c r="E906" s="413">
        <v>6</v>
      </c>
      <c r="F906" s="372"/>
      <c r="G906" s="103">
        <v>0.5</v>
      </c>
      <c r="H906" s="103"/>
      <c r="I906" s="103"/>
      <c r="J906" s="427" t="s">
        <v>582</v>
      </c>
      <c r="K906" s="428"/>
      <c r="L906" s="413"/>
      <c r="M906" s="429">
        <v>0</v>
      </c>
      <c r="N906" s="429"/>
      <c r="O906" s="429"/>
      <c r="P906" s="444">
        <f>IF(M906="","",M906*G906*$AD$919)</f>
        <v>0</v>
      </c>
      <c r="Q906" s="445"/>
      <c r="R906" s="445"/>
      <c r="S906" s="446"/>
      <c r="T906" s="395">
        <v>7</v>
      </c>
      <c r="U906" s="372"/>
      <c r="V906" s="103">
        <v>0.5</v>
      </c>
      <c r="W906" s="103"/>
      <c r="X906" s="103"/>
      <c r="Y906" s="427" t="s">
        <v>517</v>
      </c>
      <c r="Z906" s="428"/>
      <c r="AA906" s="413"/>
      <c r="AB906" s="429">
        <v>150</v>
      </c>
      <c r="AC906" s="429"/>
      <c r="AD906" s="429"/>
      <c r="AE906" s="444">
        <f>IF(AB906="","",AB906*V906*$AD$919)</f>
        <v>235.61944901923448</v>
      </c>
      <c r="AF906" s="445"/>
      <c r="AG906" s="445"/>
      <c r="AH906" s="445"/>
    </row>
    <row r="907" spans="1:39" s="1" customFormat="1" ht="15.75" customHeight="1" x14ac:dyDescent="0.15">
      <c r="A907" s="73" t="str">
        <f>IF(LEN(E907)+LEN(T907)=0,"×","")</f>
        <v/>
      </c>
      <c r="E907" s="413">
        <v>7</v>
      </c>
      <c r="F907" s="372"/>
      <c r="G907" s="103">
        <v>0.5</v>
      </c>
      <c r="H907" s="103"/>
      <c r="I907" s="103"/>
      <c r="J907" s="427" t="s">
        <v>517</v>
      </c>
      <c r="K907" s="428"/>
      <c r="L907" s="413"/>
      <c r="M907" s="429">
        <v>0</v>
      </c>
      <c r="N907" s="429"/>
      <c r="O907" s="429"/>
      <c r="P907" s="444">
        <f>IF(M907="","",M907*G907*$AD$919)</f>
        <v>0</v>
      </c>
      <c r="Q907" s="445"/>
      <c r="R907" s="445"/>
      <c r="S907" s="446"/>
      <c r="T907" s="395"/>
      <c r="U907" s="372"/>
      <c r="V907" s="103"/>
      <c r="W907" s="103"/>
      <c r="X907" s="103"/>
      <c r="Y907" s="427"/>
      <c r="Z907" s="428"/>
      <c r="AA907" s="413"/>
      <c r="AB907" s="429"/>
      <c r="AC907" s="429"/>
      <c r="AD907" s="429"/>
      <c r="AE907" s="444" t="str">
        <f>IF(AB907="","",AB907*V907*$AD$919)</f>
        <v/>
      </c>
      <c r="AF907" s="445"/>
      <c r="AG907" s="445"/>
      <c r="AH907" s="445"/>
    </row>
    <row r="908" spans="1:39" s="1" customFormat="1" ht="15.75" customHeight="1" x14ac:dyDescent="0.15">
      <c r="A908" s="73" t="str">
        <f>IF(LEN(E908)+LEN(T908)=0,"×","")</f>
        <v>×</v>
      </c>
      <c r="E908" s="413"/>
      <c r="F908" s="372"/>
      <c r="G908" s="103"/>
      <c r="H908" s="103"/>
      <c r="I908" s="103"/>
      <c r="J908" s="427"/>
      <c r="K908" s="428"/>
      <c r="L908" s="413"/>
      <c r="M908" s="429"/>
      <c r="N908" s="429"/>
      <c r="O908" s="429"/>
      <c r="P908" s="444" t="str">
        <f>IF(M908="","",M908*G908*$AD$919)</f>
        <v/>
      </c>
      <c r="Q908" s="445"/>
      <c r="R908" s="445"/>
      <c r="S908" s="446"/>
      <c r="T908" s="395"/>
      <c r="U908" s="372"/>
      <c r="V908" s="103"/>
      <c r="W908" s="103"/>
      <c r="X908" s="103"/>
      <c r="Y908" s="427"/>
      <c r="Z908" s="428"/>
      <c r="AA908" s="413"/>
      <c r="AB908" s="429"/>
      <c r="AC908" s="429"/>
      <c r="AD908" s="429"/>
      <c r="AE908" s="444" t="str">
        <f>IF(AB908="","",AB908*V908*$AD$919)</f>
        <v/>
      </c>
      <c r="AF908" s="445"/>
      <c r="AG908" s="445"/>
      <c r="AH908" s="445"/>
    </row>
    <row r="909" spans="1:39" s="1" customFormat="1" ht="15.75" customHeight="1" x14ac:dyDescent="0.15">
      <c r="A909" s="73" t="str">
        <f>IF(LEN(E909)+LEN(T909)=0,"×","")</f>
        <v>×</v>
      </c>
      <c r="E909" s="413"/>
      <c r="F909" s="372"/>
      <c r="G909" s="103"/>
      <c r="H909" s="103"/>
      <c r="I909" s="103"/>
      <c r="J909" s="427"/>
      <c r="K909" s="428"/>
      <c r="L909" s="413"/>
      <c r="M909" s="429"/>
      <c r="N909" s="429"/>
      <c r="O909" s="429"/>
      <c r="P909" s="444" t="str">
        <f>IF(M909="","",M909*G909*$AD$919)</f>
        <v/>
      </c>
      <c r="Q909" s="445"/>
      <c r="R909" s="445"/>
      <c r="S909" s="446"/>
      <c r="T909" s="395"/>
      <c r="U909" s="372"/>
      <c r="V909" s="103"/>
      <c r="W909" s="103"/>
      <c r="X909" s="103"/>
      <c r="Y909" s="427"/>
      <c r="Z909" s="428"/>
      <c r="AA909" s="413"/>
      <c r="AB909" s="429"/>
      <c r="AC909" s="429"/>
      <c r="AD909" s="429"/>
      <c r="AE909" s="444" t="str">
        <f>IF(AB909="","",AB909*V909*$AD$919)</f>
        <v/>
      </c>
      <c r="AF909" s="445"/>
      <c r="AG909" s="445"/>
      <c r="AH909" s="445"/>
    </row>
    <row r="910" spans="1:39" s="1" customFormat="1" ht="15.75" customHeight="1" x14ac:dyDescent="0.15">
      <c r="A910" s="73" t="str">
        <f>IF(LEN(E910)+LEN(T910)=0,"×","")</f>
        <v>×</v>
      </c>
      <c r="E910" s="413"/>
      <c r="F910" s="372"/>
      <c r="G910" s="103"/>
      <c r="H910" s="103"/>
      <c r="I910" s="103"/>
      <c r="J910" s="427"/>
      <c r="K910" s="428"/>
      <c r="L910" s="413"/>
      <c r="M910" s="429"/>
      <c r="N910" s="429"/>
      <c r="O910" s="429"/>
      <c r="P910" s="444" t="str">
        <f>IF(M910="","",M910*G910*$AD$919)</f>
        <v/>
      </c>
      <c r="Q910" s="445"/>
      <c r="R910" s="445"/>
      <c r="S910" s="446"/>
      <c r="T910" s="395"/>
      <c r="U910" s="372"/>
      <c r="V910" s="103"/>
      <c r="W910" s="103"/>
      <c r="X910" s="103"/>
      <c r="Y910" s="427"/>
      <c r="Z910" s="428"/>
      <c r="AA910" s="413"/>
      <c r="AB910" s="429"/>
      <c r="AC910" s="429"/>
      <c r="AD910" s="429"/>
      <c r="AE910" s="444" t="str">
        <f>IF(AB910="","",AB910*V910*$AD$919)</f>
        <v/>
      </c>
      <c r="AF910" s="445"/>
      <c r="AG910" s="445"/>
      <c r="AH910" s="445"/>
    </row>
    <row r="911" spans="1:39" s="1" customFormat="1" ht="15.75" customHeight="1" x14ac:dyDescent="0.15">
      <c r="A911" s="73" t="str">
        <f>IF(LEN(E911)+LEN(T911)=0,"×","")</f>
        <v>×</v>
      </c>
      <c r="E911" s="413"/>
      <c r="F911" s="372"/>
      <c r="G911" s="103"/>
      <c r="H911" s="103"/>
      <c r="I911" s="103"/>
      <c r="J911" s="427"/>
      <c r="K911" s="428"/>
      <c r="L911" s="413"/>
      <c r="M911" s="429"/>
      <c r="N911" s="429"/>
      <c r="O911" s="429"/>
      <c r="P911" s="444" t="str">
        <f>IF(M911="","",M911*G911*$AD$919)</f>
        <v/>
      </c>
      <c r="Q911" s="445"/>
      <c r="R911" s="445"/>
      <c r="S911" s="446"/>
      <c r="T911" s="395"/>
      <c r="U911" s="372"/>
      <c r="V911" s="103"/>
      <c r="W911" s="103"/>
      <c r="X911" s="103"/>
      <c r="Y911" s="427"/>
      <c r="Z911" s="428"/>
      <c r="AA911" s="413"/>
      <c r="AB911" s="429"/>
      <c r="AC911" s="429"/>
      <c r="AD911" s="429"/>
      <c r="AE911" s="444" t="str">
        <f>IF(AB911="","",AB911*V911*$AD$919)</f>
        <v/>
      </c>
      <c r="AF911" s="445"/>
      <c r="AG911" s="445"/>
      <c r="AH911" s="445"/>
    </row>
    <row r="912" spans="1:39" s="1" customFormat="1" ht="15.75" customHeight="1" x14ac:dyDescent="0.15">
      <c r="A912" s="73" t="str">
        <f>IF(LEN(E912)+LEN(T912)=0,"×","")</f>
        <v>×</v>
      </c>
      <c r="E912" s="413"/>
      <c r="F912" s="372"/>
      <c r="G912" s="103"/>
      <c r="H912" s="103"/>
      <c r="I912" s="103"/>
      <c r="J912" s="427"/>
      <c r="K912" s="428"/>
      <c r="L912" s="413"/>
      <c r="M912" s="429"/>
      <c r="N912" s="429"/>
      <c r="O912" s="429"/>
      <c r="P912" s="444" t="str">
        <f>IF(M912="","",M912*G912*$AD$919)</f>
        <v/>
      </c>
      <c r="Q912" s="445"/>
      <c r="R912" s="445"/>
      <c r="S912" s="446"/>
      <c r="T912" s="395"/>
      <c r="U912" s="372"/>
      <c r="V912" s="103"/>
      <c r="W912" s="103"/>
      <c r="X912" s="103"/>
      <c r="Y912" s="427"/>
      <c r="Z912" s="428"/>
      <c r="AA912" s="413"/>
      <c r="AB912" s="429"/>
      <c r="AC912" s="429"/>
      <c r="AD912" s="429"/>
      <c r="AE912" s="444" t="str">
        <f>IF(AB912="","",AB912*V912*$AD$919)</f>
        <v/>
      </c>
      <c r="AF912" s="445"/>
      <c r="AG912" s="445"/>
      <c r="AH912" s="445"/>
    </row>
    <row r="913" spans="1:39" s="1" customFormat="1" ht="15.75" customHeight="1" x14ac:dyDescent="0.15">
      <c r="A913" s="73" t="str">
        <f>IF(LEN(E913)+LEN(T913)=0,"×","")</f>
        <v>×</v>
      </c>
      <c r="E913" s="413"/>
      <c r="F913" s="372"/>
      <c r="G913" s="103"/>
      <c r="H913" s="103"/>
      <c r="I913" s="103"/>
      <c r="J913" s="427"/>
      <c r="K913" s="428"/>
      <c r="L913" s="413"/>
      <c r="M913" s="429"/>
      <c r="N913" s="429"/>
      <c r="O913" s="429"/>
      <c r="P913" s="444" t="str">
        <f>IF(M913="","",M913*G913*$AD$919)</f>
        <v/>
      </c>
      <c r="Q913" s="445"/>
      <c r="R913" s="445"/>
      <c r="S913" s="446"/>
      <c r="T913" s="395"/>
      <c r="U913" s="372"/>
      <c r="V913" s="103"/>
      <c r="W913" s="103"/>
      <c r="X913" s="103"/>
      <c r="Y913" s="427"/>
      <c r="Z913" s="428"/>
      <c r="AA913" s="413"/>
      <c r="AB913" s="429"/>
      <c r="AC913" s="429"/>
      <c r="AD913" s="429"/>
      <c r="AE913" s="444" t="str">
        <f>IF(AB913="","",AB913*V913*$AD$919)</f>
        <v/>
      </c>
      <c r="AF913" s="445"/>
      <c r="AG913" s="445"/>
      <c r="AH913" s="445"/>
    </row>
    <row r="914" spans="1:39" s="1" customFormat="1" ht="15.75" customHeight="1" x14ac:dyDescent="0.15">
      <c r="A914" s="73" t="str">
        <f>IF(LEN(E914)+LEN(T914)=0,"×","")</f>
        <v>×</v>
      </c>
      <c r="E914" s="413"/>
      <c r="F914" s="372"/>
      <c r="G914" s="103"/>
      <c r="H914" s="103"/>
      <c r="I914" s="103"/>
      <c r="J914" s="427"/>
      <c r="K914" s="428"/>
      <c r="L914" s="413"/>
      <c r="M914" s="429"/>
      <c r="N914" s="429"/>
      <c r="O914" s="429"/>
      <c r="P914" s="444" t="str">
        <f>IF(M914="","",M914*G914*$AD$919)</f>
        <v/>
      </c>
      <c r="Q914" s="445"/>
      <c r="R914" s="445"/>
      <c r="S914" s="446"/>
      <c r="T914" s="395"/>
      <c r="U914" s="372"/>
      <c r="V914" s="103"/>
      <c r="W914" s="103"/>
      <c r="X914" s="103"/>
      <c r="Y914" s="427"/>
      <c r="Z914" s="428"/>
      <c r="AA914" s="413"/>
      <c r="AB914" s="429"/>
      <c r="AC914" s="429"/>
      <c r="AD914" s="429"/>
      <c r="AE914" s="444" t="str">
        <f>IF(AB914="","",AB914*V914*$AD$919)</f>
        <v/>
      </c>
      <c r="AF914" s="445"/>
      <c r="AG914" s="445"/>
      <c r="AH914" s="445"/>
    </row>
    <row r="915" spans="1:39" s="1" customFormat="1" ht="15.75" customHeight="1" x14ac:dyDescent="0.15">
      <c r="A915" s="73" t="str">
        <f>IF(LEN(E915)+LEN(T915)=0,"×","")</f>
        <v>×</v>
      </c>
      <c r="E915" s="413"/>
      <c r="F915" s="372"/>
      <c r="G915" s="103"/>
      <c r="H915" s="103"/>
      <c r="I915" s="103"/>
      <c r="J915" s="427"/>
      <c r="K915" s="428"/>
      <c r="L915" s="413"/>
      <c r="M915" s="429"/>
      <c r="N915" s="429"/>
      <c r="O915" s="429"/>
      <c r="P915" s="444" t="str">
        <f>IF(M915="","",M915*G915*$AD$919)</f>
        <v/>
      </c>
      <c r="Q915" s="445"/>
      <c r="R915" s="445"/>
      <c r="S915" s="446"/>
      <c r="T915" s="395"/>
      <c r="U915" s="372"/>
      <c r="V915" s="103"/>
      <c r="W915" s="103"/>
      <c r="X915" s="103"/>
      <c r="Y915" s="427"/>
      <c r="Z915" s="428"/>
      <c r="AA915" s="413"/>
      <c r="AB915" s="429"/>
      <c r="AC915" s="429"/>
      <c r="AD915" s="429"/>
      <c r="AE915" s="444" t="str">
        <f>IF(AB915="","",AB915*V915*$AD$919)</f>
        <v/>
      </c>
      <c r="AF915" s="445"/>
      <c r="AG915" s="445"/>
      <c r="AH915" s="445"/>
    </row>
    <row r="916" spans="1:39" s="1" customFormat="1" ht="15.75" customHeight="1" x14ac:dyDescent="0.15">
      <c r="A916" s="73" t="str">
        <f>IF(LEN(E916)+LEN(T916)=0,"×","")</f>
        <v>×</v>
      </c>
      <c r="E916" s="413"/>
      <c r="F916" s="372"/>
      <c r="G916" s="103"/>
      <c r="H916" s="103"/>
      <c r="I916" s="103"/>
      <c r="J916" s="427"/>
      <c r="K916" s="428"/>
      <c r="L916" s="413"/>
      <c r="M916" s="429"/>
      <c r="N916" s="429"/>
      <c r="O916" s="429"/>
      <c r="P916" s="444" t="str">
        <f>IF(M916="","",M916*G916*$AD$919)</f>
        <v/>
      </c>
      <c r="Q916" s="445"/>
      <c r="R916" s="445"/>
      <c r="S916" s="446"/>
      <c r="T916" s="395"/>
      <c r="U916" s="372"/>
      <c r="V916" s="103"/>
      <c r="W916" s="103"/>
      <c r="X916" s="103"/>
      <c r="Y916" s="427"/>
      <c r="Z916" s="428"/>
      <c r="AA916" s="413"/>
      <c r="AB916" s="429"/>
      <c r="AC916" s="429"/>
      <c r="AD916" s="429"/>
      <c r="AE916" s="444" t="str">
        <f>IF(AB916="","",AB916*V916*$AD$919)</f>
        <v/>
      </c>
      <c r="AF916" s="445"/>
      <c r="AG916" s="445"/>
      <c r="AH916" s="445"/>
    </row>
    <row r="917" spans="1:39" s="1" customFormat="1" ht="15.75" customHeight="1" x14ac:dyDescent="0.15">
      <c r="A917" s="73" t="str">
        <f>IF(LEN(E917)+LEN(T917)=0,"×","")</f>
        <v>×</v>
      </c>
      <c r="E917" s="413"/>
      <c r="F917" s="372"/>
      <c r="G917" s="103"/>
      <c r="H917" s="103"/>
      <c r="I917" s="103"/>
      <c r="J917" s="427"/>
      <c r="K917" s="428"/>
      <c r="L917" s="413"/>
      <c r="M917" s="429"/>
      <c r="N917" s="429"/>
      <c r="O917" s="429"/>
      <c r="P917" s="444" t="str">
        <f>IF(M917="","",M917*G917*$AD$919)</f>
        <v/>
      </c>
      <c r="Q917" s="445"/>
      <c r="R917" s="445"/>
      <c r="S917" s="446"/>
      <c r="T917" s="395"/>
      <c r="U917" s="372"/>
      <c r="V917" s="103"/>
      <c r="W917" s="103"/>
      <c r="X917" s="103"/>
      <c r="Y917" s="427"/>
      <c r="Z917" s="428"/>
      <c r="AA917" s="413"/>
      <c r="AB917" s="429"/>
      <c r="AC917" s="429"/>
      <c r="AD917" s="429"/>
      <c r="AE917" s="444" t="str">
        <f>IF(AB917="","",AB917*V917*$AD$919)</f>
        <v/>
      </c>
      <c r="AF917" s="445"/>
      <c r="AG917" s="445"/>
      <c r="AH917" s="445"/>
    </row>
    <row r="918" spans="1:39" s="1" customFormat="1" ht="15.75" customHeight="1" x14ac:dyDescent="0.15">
      <c r="A918" s="76"/>
      <c r="E918" s="233" t="s">
        <v>581</v>
      </c>
      <c r="F918" s="234"/>
      <c r="G918" s="450">
        <f>ROUND(SUM(P902:S917),1)</f>
        <v>2038.9</v>
      </c>
      <c r="H918" s="451"/>
      <c r="I918" s="451"/>
      <c r="J918" s="451"/>
      <c r="K918" s="451"/>
      <c r="L918" s="451"/>
      <c r="M918" s="451"/>
      <c r="N918" s="451"/>
      <c r="O918" s="451"/>
      <c r="P918" s="451"/>
      <c r="Q918" s="451"/>
      <c r="R918" s="451"/>
      <c r="S918" s="452"/>
      <c r="T918" s="401" t="s">
        <v>581</v>
      </c>
      <c r="U918" s="234"/>
      <c r="V918" s="450">
        <f>ROUND(SUM(AE902:AH917),1)</f>
        <v>2353.1</v>
      </c>
      <c r="W918" s="451"/>
      <c r="X918" s="451"/>
      <c r="Y918" s="451"/>
      <c r="Z918" s="451"/>
      <c r="AA918" s="451"/>
      <c r="AB918" s="451"/>
      <c r="AC918" s="451"/>
      <c r="AD918" s="451"/>
      <c r="AE918" s="451"/>
      <c r="AF918" s="451"/>
      <c r="AG918" s="451"/>
      <c r="AH918" s="451"/>
    </row>
    <row r="919" spans="1:39" s="1" customFormat="1" ht="15.75" customHeight="1" x14ac:dyDescent="0.15">
      <c r="E919" s="8"/>
      <c r="F919" s="8"/>
      <c r="G919" s="8"/>
      <c r="H919" s="8"/>
      <c r="I919" s="8"/>
      <c r="J919" s="8"/>
      <c r="K919" s="8"/>
      <c r="L919" s="8"/>
      <c r="M919" s="8"/>
      <c r="N919" s="8"/>
      <c r="O919" s="8"/>
      <c r="AA919" s="2" t="s">
        <v>127</v>
      </c>
      <c r="AB919" s="1" t="s">
        <v>548</v>
      </c>
      <c r="AC919" s="76" t="s">
        <v>27</v>
      </c>
      <c r="AD919" s="304">
        <f>AD895</f>
        <v>3.1415926535897931</v>
      </c>
      <c r="AE919" s="304"/>
      <c r="AF919" s="304"/>
      <c r="AG919" s="7" t="s">
        <v>549</v>
      </c>
      <c r="AH919" s="76" t="s">
        <v>158</v>
      </c>
    </row>
    <row r="920" spans="1:39" s="1" customFormat="1" ht="15.75" customHeight="1" x14ac:dyDescent="0.15">
      <c r="I920" s="76"/>
      <c r="J920" s="76"/>
      <c r="K920" s="76"/>
      <c r="L920" s="9"/>
      <c r="M920" s="9"/>
      <c r="N920" s="9"/>
      <c r="O920" s="76"/>
      <c r="P920" s="76"/>
      <c r="Q920" s="76"/>
      <c r="R920" s="76"/>
      <c r="S920" s="76"/>
      <c r="T920" s="9"/>
      <c r="U920" s="76"/>
      <c r="V920" s="323"/>
      <c r="W920" s="323"/>
      <c r="X920" s="323"/>
      <c r="Y920" s="323"/>
      <c r="Z920" s="8"/>
      <c r="AG920" s="8"/>
      <c r="AH920" s="8"/>
      <c r="AI920" s="8"/>
      <c r="AJ920" s="8"/>
      <c r="AK920" s="8"/>
      <c r="AL920" s="8"/>
      <c r="AM920" s="8"/>
    </row>
    <row r="921" spans="1:39" s="1" customFormat="1" ht="15.75" customHeight="1" x14ac:dyDescent="0.15"/>
    <row r="922" spans="1:39" s="1" customFormat="1" ht="15.75" customHeight="1" x14ac:dyDescent="0.15">
      <c r="E922" s="61" t="s">
        <v>590</v>
      </c>
      <c r="F922" s="302"/>
      <c r="G922" s="302"/>
      <c r="H922" s="61"/>
      <c r="I922" s="61"/>
      <c r="J922" s="61"/>
      <c r="K922" s="61"/>
      <c r="L922" s="61"/>
      <c r="M922" s="61"/>
      <c r="N922" s="61"/>
      <c r="O922" s="61"/>
      <c r="P922" s="61"/>
      <c r="Q922" s="61"/>
      <c r="R922" s="61"/>
      <c r="S922" s="61"/>
      <c r="T922" s="61"/>
      <c r="U922" s="61"/>
      <c r="V922" s="61"/>
      <c r="W922" s="61"/>
      <c r="X922" s="61"/>
      <c r="Y922" s="61"/>
      <c r="Z922" s="61"/>
      <c r="AA922" s="61"/>
      <c r="AB922" s="61"/>
      <c r="AC922" s="61"/>
      <c r="AD922" s="61"/>
      <c r="AE922" s="61"/>
      <c r="AF922" s="61"/>
      <c r="AG922" s="61"/>
      <c r="AH922" s="61"/>
      <c r="AI922" s="8"/>
    </row>
    <row r="923" spans="1:39" s="1" customFormat="1" ht="15.75" customHeight="1" x14ac:dyDescent="0.15">
      <c r="E923" s="294" t="s">
        <v>546</v>
      </c>
      <c r="F923" s="292"/>
      <c r="G923" s="292"/>
      <c r="H923" s="292"/>
      <c r="I923" s="292"/>
      <c r="J923" s="292"/>
      <c r="K923" s="292"/>
      <c r="L923" s="292"/>
      <c r="M923" s="292"/>
      <c r="N923" s="292"/>
      <c r="O923" s="292"/>
      <c r="P923" s="292"/>
      <c r="Q923" s="292"/>
      <c r="R923" s="292"/>
      <c r="S923" s="293"/>
      <c r="T923" s="273" t="s">
        <v>547</v>
      </c>
      <c r="U923" s="131"/>
      <c r="V923" s="131"/>
      <c r="W923" s="131"/>
      <c r="X923" s="131"/>
      <c r="Y923" s="131"/>
      <c r="Z923" s="131"/>
      <c r="AA923" s="131"/>
      <c r="AB923" s="131"/>
      <c r="AC923" s="131"/>
      <c r="AD923" s="131"/>
      <c r="AE923" s="131"/>
      <c r="AF923" s="131"/>
      <c r="AG923" s="131"/>
      <c r="AH923" s="132"/>
    </row>
    <row r="924" spans="1:39" s="1" customFormat="1" ht="15.75" customHeight="1" x14ac:dyDescent="0.15">
      <c r="E924" s="159" t="s">
        <v>78</v>
      </c>
      <c r="F924" s="160"/>
      <c r="G924" s="291" t="s">
        <v>203</v>
      </c>
      <c r="H924" s="161"/>
      <c r="I924" s="161"/>
      <c r="J924" s="222" t="s">
        <v>247</v>
      </c>
      <c r="K924" s="138"/>
      <c r="L924" s="215"/>
      <c r="M924" s="222" t="s">
        <v>580</v>
      </c>
      <c r="N924" s="138"/>
      <c r="O924" s="215"/>
      <c r="P924" s="222" t="s">
        <v>250</v>
      </c>
      <c r="Q924" s="138"/>
      <c r="R924" s="138"/>
      <c r="S924" s="139"/>
      <c r="T924" s="226" t="s">
        <v>78</v>
      </c>
      <c r="U924" s="106"/>
      <c r="V924" s="216" t="s">
        <v>203</v>
      </c>
      <c r="W924" s="121"/>
      <c r="X924" s="121"/>
      <c r="Y924" s="277" t="s">
        <v>247</v>
      </c>
      <c r="Z924" s="278"/>
      <c r="AA924" s="279"/>
      <c r="AB924" s="277" t="s">
        <v>580</v>
      </c>
      <c r="AC924" s="278"/>
      <c r="AD924" s="279"/>
      <c r="AE924" s="277" t="s">
        <v>250</v>
      </c>
      <c r="AF924" s="278"/>
      <c r="AG924" s="278"/>
      <c r="AH924" s="278"/>
    </row>
    <row r="925" spans="1:39" s="1" customFormat="1" ht="15.75" customHeight="1" x14ac:dyDescent="0.15">
      <c r="E925" s="295"/>
      <c r="F925" s="156"/>
      <c r="G925" s="163"/>
      <c r="H925" s="163"/>
      <c r="I925" s="163"/>
      <c r="J925" s="223"/>
      <c r="K925" s="140"/>
      <c r="L925" s="159"/>
      <c r="M925" s="223"/>
      <c r="N925" s="140"/>
      <c r="O925" s="159"/>
      <c r="P925" s="223"/>
      <c r="Q925" s="140"/>
      <c r="R925" s="140"/>
      <c r="S925" s="141"/>
      <c r="T925" s="290"/>
      <c r="U925" s="156"/>
      <c r="V925" s="163"/>
      <c r="W925" s="163"/>
      <c r="X925" s="163"/>
      <c r="Y925" s="223"/>
      <c r="Z925" s="140"/>
      <c r="AA925" s="159"/>
      <c r="AB925" s="223"/>
      <c r="AC925" s="140"/>
      <c r="AD925" s="159"/>
      <c r="AE925" s="223"/>
      <c r="AF925" s="140"/>
      <c r="AG925" s="140"/>
      <c r="AH925" s="140"/>
    </row>
    <row r="926" spans="1:39" s="1" customFormat="1" ht="15.75" customHeight="1" x14ac:dyDescent="0.15">
      <c r="A926" s="73" t="str">
        <f>IF(LEN(E926)+LEN(T926)=0,"×","")</f>
        <v/>
      </c>
      <c r="E926" s="412">
        <v>3</v>
      </c>
      <c r="F926" s="398"/>
      <c r="G926" s="125">
        <v>3</v>
      </c>
      <c r="H926" s="125"/>
      <c r="I926" s="125"/>
      <c r="J926" s="423" t="s">
        <v>582</v>
      </c>
      <c r="K926" s="424"/>
      <c r="L926" s="412"/>
      <c r="M926" s="426">
        <v>0</v>
      </c>
      <c r="N926" s="426"/>
      <c r="O926" s="426"/>
      <c r="P926" s="441">
        <f>IF(M926="","",M926*G926*$AD$943)</f>
        <v>0</v>
      </c>
      <c r="Q926" s="442"/>
      <c r="R926" s="442"/>
      <c r="S926" s="443"/>
      <c r="T926" s="397">
        <v>3</v>
      </c>
      <c r="U926" s="398"/>
      <c r="V926" s="125">
        <v>3</v>
      </c>
      <c r="W926" s="125"/>
      <c r="X926" s="125"/>
      <c r="Y926" s="423" t="s">
        <v>582</v>
      </c>
      <c r="Z926" s="424"/>
      <c r="AA926" s="412"/>
      <c r="AB926" s="426">
        <v>0</v>
      </c>
      <c r="AC926" s="426"/>
      <c r="AD926" s="426"/>
      <c r="AE926" s="441">
        <f>IF(AB926="","",AB926*V926*$AD$943)</f>
        <v>0</v>
      </c>
      <c r="AF926" s="442"/>
      <c r="AG926" s="442"/>
      <c r="AH926" s="442"/>
    </row>
    <row r="927" spans="1:39" s="1" customFormat="1" ht="15.75" customHeight="1" x14ac:dyDescent="0.15">
      <c r="A927" s="73" t="str">
        <f>IF(LEN(E927)+LEN(T927)=0,"×","")</f>
        <v/>
      </c>
      <c r="E927" s="413">
        <v>4</v>
      </c>
      <c r="F927" s="372"/>
      <c r="G927" s="103">
        <v>0.53999996185302734</v>
      </c>
      <c r="H927" s="103"/>
      <c r="I927" s="103"/>
      <c r="J927" s="427" t="s">
        <v>516</v>
      </c>
      <c r="K927" s="428"/>
      <c r="L927" s="413"/>
      <c r="M927" s="429">
        <v>0</v>
      </c>
      <c r="N927" s="429"/>
      <c r="O927" s="429"/>
      <c r="P927" s="444">
        <f>IF(M927="","",M927*G927*$AD$943)</f>
        <v>0</v>
      </c>
      <c r="Q927" s="445"/>
      <c r="R927" s="445"/>
      <c r="S927" s="446"/>
      <c r="T927" s="395">
        <v>4</v>
      </c>
      <c r="U927" s="372"/>
      <c r="V927" s="103">
        <v>0.53999996185302734</v>
      </c>
      <c r="W927" s="103"/>
      <c r="X927" s="103"/>
      <c r="Y927" s="427" t="s">
        <v>516</v>
      </c>
      <c r="Z927" s="428"/>
      <c r="AA927" s="413"/>
      <c r="AB927" s="429">
        <v>0</v>
      </c>
      <c r="AC927" s="429"/>
      <c r="AD927" s="429"/>
      <c r="AE927" s="444">
        <f>IF(AB927="","",AB927*V927*$AD$943)</f>
        <v>0</v>
      </c>
      <c r="AF927" s="445"/>
      <c r="AG927" s="445"/>
      <c r="AH927" s="445"/>
    </row>
    <row r="928" spans="1:39" s="1" customFormat="1" ht="15.75" customHeight="1" x14ac:dyDescent="0.15">
      <c r="A928" s="73" t="str">
        <f>IF(LEN(E928)+LEN(T928)=0,"×","")</f>
        <v/>
      </c>
      <c r="E928" s="413">
        <v>4</v>
      </c>
      <c r="F928" s="372"/>
      <c r="G928" s="103">
        <v>4.4600000381469727</v>
      </c>
      <c r="H928" s="103"/>
      <c r="I928" s="103"/>
      <c r="J928" s="427" t="s">
        <v>516</v>
      </c>
      <c r="K928" s="428"/>
      <c r="L928" s="413"/>
      <c r="M928" s="429">
        <v>45</v>
      </c>
      <c r="N928" s="429"/>
      <c r="O928" s="429"/>
      <c r="P928" s="444">
        <f>IF(M928="","",M928*G928*$AD$943)</f>
        <v>630.51765096837266</v>
      </c>
      <c r="Q928" s="445"/>
      <c r="R928" s="445"/>
      <c r="S928" s="446"/>
      <c r="T928" s="395">
        <v>4</v>
      </c>
      <c r="U928" s="372"/>
      <c r="V928" s="103">
        <v>4.4600000381469727</v>
      </c>
      <c r="W928" s="103"/>
      <c r="X928" s="103"/>
      <c r="Y928" s="427" t="s">
        <v>516</v>
      </c>
      <c r="Z928" s="428"/>
      <c r="AA928" s="413"/>
      <c r="AB928" s="429">
        <v>45</v>
      </c>
      <c r="AC928" s="429"/>
      <c r="AD928" s="429"/>
      <c r="AE928" s="444">
        <f>IF(AB928="","",AB928*V928*$AD$943)</f>
        <v>630.51765096837266</v>
      </c>
      <c r="AF928" s="445"/>
      <c r="AG928" s="445"/>
      <c r="AH928" s="445"/>
    </row>
    <row r="929" spans="1:34" s="1" customFormat="1" ht="15.75" customHeight="1" x14ac:dyDescent="0.15">
      <c r="A929" s="73" t="str">
        <f>IF(LEN(E929)+LEN(T929)=0,"×","")</f>
        <v/>
      </c>
      <c r="E929" s="413">
        <v>5</v>
      </c>
      <c r="F929" s="372"/>
      <c r="G929" s="103">
        <v>8</v>
      </c>
      <c r="H929" s="103"/>
      <c r="I929" s="103"/>
      <c r="J929" s="427" t="s">
        <v>582</v>
      </c>
      <c r="K929" s="428"/>
      <c r="L929" s="413"/>
      <c r="M929" s="429">
        <v>25</v>
      </c>
      <c r="N929" s="429"/>
      <c r="O929" s="429"/>
      <c r="P929" s="444">
        <f>IF(M929="","",M929*G929*$AD$943)</f>
        <v>628.31853071795865</v>
      </c>
      <c r="Q929" s="445"/>
      <c r="R929" s="445"/>
      <c r="S929" s="446"/>
      <c r="T929" s="395">
        <v>5</v>
      </c>
      <c r="U929" s="372"/>
      <c r="V929" s="103">
        <v>8</v>
      </c>
      <c r="W929" s="103"/>
      <c r="X929" s="103"/>
      <c r="Y929" s="427" t="s">
        <v>582</v>
      </c>
      <c r="Z929" s="428"/>
      <c r="AA929" s="413"/>
      <c r="AB929" s="429">
        <v>25</v>
      </c>
      <c r="AC929" s="429"/>
      <c r="AD929" s="429"/>
      <c r="AE929" s="444">
        <f>IF(AB929="","",AB929*V929*$AD$943)</f>
        <v>628.31853071795865</v>
      </c>
      <c r="AF929" s="445"/>
      <c r="AG929" s="445"/>
      <c r="AH929" s="445"/>
    </row>
    <row r="930" spans="1:34" s="1" customFormat="1" ht="15.75" customHeight="1" x14ac:dyDescent="0.15">
      <c r="A930" s="73" t="str">
        <f>IF(LEN(E930)+LEN(T930)=0,"×","")</f>
        <v/>
      </c>
      <c r="E930" s="413">
        <v>6</v>
      </c>
      <c r="F930" s="372"/>
      <c r="G930" s="103">
        <v>4</v>
      </c>
      <c r="H930" s="103"/>
      <c r="I930" s="103"/>
      <c r="J930" s="427" t="s">
        <v>582</v>
      </c>
      <c r="K930" s="428"/>
      <c r="L930" s="413"/>
      <c r="M930" s="429">
        <v>50</v>
      </c>
      <c r="N930" s="429"/>
      <c r="O930" s="429"/>
      <c r="P930" s="444">
        <f>IF(M930="","",M930*G930*$AD$943)</f>
        <v>628.31853071795865</v>
      </c>
      <c r="Q930" s="445"/>
      <c r="R930" s="445"/>
      <c r="S930" s="446"/>
      <c r="T930" s="395">
        <v>6</v>
      </c>
      <c r="U930" s="372"/>
      <c r="V930" s="103">
        <v>4.5</v>
      </c>
      <c r="W930" s="103"/>
      <c r="X930" s="103"/>
      <c r="Y930" s="427" t="s">
        <v>582</v>
      </c>
      <c r="Z930" s="428"/>
      <c r="AA930" s="413"/>
      <c r="AB930" s="429">
        <v>50</v>
      </c>
      <c r="AC930" s="429"/>
      <c r="AD930" s="429"/>
      <c r="AE930" s="444">
        <f>IF(AB930="","",AB930*V930*$AD$943)</f>
        <v>706.85834705770344</v>
      </c>
      <c r="AF930" s="445"/>
      <c r="AG930" s="445"/>
      <c r="AH930" s="445"/>
    </row>
    <row r="931" spans="1:34" s="1" customFormat="1" ht="15.75" customHeight="1" x14ac:dyDescent="0.15">
      <c r="A931" s="73" t="str">
        <f>IF(LEN(E931)+LEN(T931)=0,"×","")</f>
        <v/>
      </c>
      <c r="E931" s="413">
        <v>6</v>
      </c>
      <c r="F931" s="372"/>
      <c r="G931" s="103">
        <v>0.5</v>
      </c>
      <c r="H931" s="103"/>
      <c r="I931" s="103"/>
      <c r="J931" s="427" t="s">
        <v>582</v>
      </c>
      <c r="K931" s="428"/>
      <c r="L931" s="413"/>
      <c r="M931" s="429">
        <v>0</v>
      </c>
      <c r="N931" s="429"/>
      <c r="O931" s="429"/>
      <c r="P931" s="444">
        <f>IF(M931="","",M931*G931*$AD$943)</f>
        <v>0</v>
      </c>
      <c r="Q931" s="445"/>
      <c r="R931" s="445"/>
      <c r="S931" s="446"/>
      <c r="T931" s="395">
        <v>7</v>
      </c>
      <c r="U931" s="372"/>
      <c r="V931" s="103">
        <v>0.5</v>
      </c>
      <c r="W931" s="103"/>
      <c r="X931" s="103"/>
      <c r="Y931" s="427" t="s">
        <v>517</v>
      </c>
      <c r="Z931" s="428"/>
      <c r="AA931" s="413"/>
      <c r="AB931" s="429">
        <v>150</v>
      </c>
      <c r="AC931" s="429"/>
      <c r="AD931" s="429"/>
      <c r="AE931" s="444">
        <f>IF(AB931="","",AB931*V931*$AD$943)</f>
        <v>235.61944901923448</v>
      </c>
      <c r="AF931" s="445"/>
      <c r="AG931" s="445"/>
      <c r="AH931" s="445"/>
    </row>
    <row r="932" spans="1:34" s="1" customFormat="1" ht="15.75" customHeight="1" x14ac:dyDescent="0.15">
      <c r="A932" s="73" t="str">
        <f>IF(LEN(E932)+LEN(T932)=0,"×","")</f>
        <v/>
      </c>
      <c r="E932" s="413">
        <v>7</v>
      </c>
      <c r="F932" s="372"/>
      <c r="G932" s="103">
        <v>0.5</v>
      </c>
      <c r="H932" s="103"/>
      <c r="I932" s="103"/>
      <c r="J932" s="427" t="s">
        <v>517</v>
      </c>
      <c r="K932" s="428"/>
      <c r="L932" s="413"/>
      <c r="M932" s="429">
        <v>0</v>
      </c>
      <c r="N932" s="429"/>
      <c r="O932" s="429"/>
      <c r="P932" s="444">
        <f>IF(M932="","",M932*G932*$AD$943)</f>
        <v>0</v>
      </c>
      <c r="Q932" s="445"/>
      <c r="R932" s="445"/>
      <c r="S932" s="446"/>
      <c r="T932" s="395"/>
      <c r="U932" s="372"/>
      <c r="V932" s="103"/>
      <c r="W932" s="103"/>
      <c r="X932" s="103"/>
      <c r="Y932" s="427"/>
      <c r="Z932" s="428"/>
      <c r="AA932" s="413"/>
      <c r="AB932" s="429"/>
      <c r="AC932" s="429"/>
      <c r="AD932" s="429"/>
      <c r="AE932" s="444" t="str">
        <f>IF(AB932="","",AB932*V932*$AD$943)</f>
        <v/>
      </c>
      <c r="AF932" s="445"/>
      <c r="AG932" s="445"/>
      <c r="AH932" s="445"/>
    </row>
    <row r="933" spans="1:34" s="1" customFormat="1" ht="15.75" customHeight="1" x14ac:dyDescent="0.15">
      <c r="A933" s="73" t="str">
        <f>IF(LEN(E933)+LEN(T933)=0,"×","")</f>
        <v>×</v>
      </c>
      <c r="E933" s="413"/>
      <c r="F933" s="372"/>
      <c r="G933" s="103"/>
      <c r="H933" s="103"/>
      <c r="I933" s="103"/>
      <c r="J933" s="427"/>
      <c r="K933" s="428"/>
      <c r="L933" s="413"/>
      <c r="M933" s="429"/>
      <c r="N933" s="429"/>
      <c r="O933" s="429"/>
      <c r="P933" s="444" t="str">
        <f>IF(M933="","",M933*G933*$AD$943)</f>
        <v/>
      </c>
      <c r="Q933" s="445"/>
      <c r="R933" s="445"/>
      <c r="S933" s="446"/>
      <c r="T933" s="395"/>
      <c r="U933" s="372"/>
      <c r="V933" s="103"/>
      <c r="W933" s="103"/>
      <c r="X933" s="103"/>
      <c r="Y933" s="427"/>
      <c r="Z933" s="428"/>
      <c r="AA933" s="413"/>
      <c r="AB933" s="429"/>
      <c r="AC933" s="429"/>
      <c r="AD933" s="429"/>
      <c r="AE933" s="444" t="str">
        <f>IF(AB933="","",AB933*V933*$AD$943)</f>
        <v/>
      </c>
      <c r="AF933" s="445"/>
      <c r="AG933" s="445"/>
      <c r="AH933" s="445"/>
    </row>
    <row r="934" spans="1:34" s="1" customFormat="1" ht="15.75" customHeight="1" x14ac:dyDescent="0.15">
      <c r="A934" s="73" t="str">
        <f>IF(LEN(E934)+LEN(T934)=0,"×","")</f>
        <v>×</v>
      </c>
      <c r="E934" s="413"/>
      <c r="F934" s="372"/>
      <c r="G934" s="103"/>
      <c r="H934" s="103"/>
      <c r="I934" s="103"/>
      <c r="J934" s="427"/>
      <c r="K934" s="428"/>
      <c r="L934" s="413"/>
      <c r="M934" s="429"/>
      <c r="N934" s="429"/>
      <c r="O934" s="429"/>
      <c r="P934" s="444" t="str">
        <f>IF(M934="","",M934*G934*$AD$943)</f>
        <v/>
      </c>
      <c r="Q934" s="445"/>
      <c r="R934" s="445"/>
      <c r="S934" s="446"/>
      <c r="T934" s="395"/>
      <c r="U934" s="372"/>
      <c r="V934" s="103"/>
      <c r="W934" s="103"/>
      <c r="X934" s="103"/>
      <c r="Y934" s="427"/>
      <c r="Z934" s="428"/>
      <c r="AA934" s="413"/>
      <c r="AB934" s="429"/>
      <c r="AC934" s="429"/>
      <c r="AD934" s="429"/>
      <c r="AE934" s="444" t="str">
        <f>IF(AB934="","",AB934*V934*$AD$943)</f>
        <v/>
      </c>
      <c r="AF934" s="445"/>
      <c r="AG934" s="445"/>
      <c r="AH934" s="445"/>
    </row>
    <row r="935" spans="1:34" s="1" customFormat="1" ht="15.75" customHeight="1" x14ac:dyDescent="0.15">
      <c r="A935" s="73" t="str">
        <f>IF(LEN(E935)+LEN(T935)=0,"×","")</f>
        <v>×</v>
      </c>
      <c r="E935" s="413"/>
      <c r="F935" s="372"/>
      <c r="G935" s="103"/>
      <c r="H935" s="103"/>
      <c r="I935" s="103"/>
      <c r="J935" s="427"/>
      <c r="K935" s="428"/>
      <c r="L935" s="413"/>
      <c r="M935" s="429"/>
      <c r="N935" s="429"/>
      <c r="O935" s="429"/>
      <c r="P935" s="444" t="str">
        <f>IF(M935="","",M935*G935*$AD$943)</f>
        <v/>
      </c>
      <c r="Q935" s="445"/>
      <c r="R935" s="445"/>
      <c r="S935" s="446"/>
      <c r="T935" s="395"/>
      <c r="U935" s="372"/>
      <c r="V935" s="103"/>
      <c r="W935" s="103"/>
      <c r="X935" s="103"/>
      <c r="Y935" s="427"/>
      <c r="Z935" s="428"/>
      <c r="AA935" s="413"/>
      <c r="AB935" s="429"/>
      <c r="AC935" s="429"/>
      <c r="AD935" s="429"/>
      <c r="AE935" s="444" t="str">
        <f>IF(AB935="","",AB935*V935*$AD$943)</f>
        <v/>
      </c>
      <c r="AF935" s="445"/>
      <c r="AG935" s="445"/>
      <c r="AH935" s="445"/>
    </row>
    <row r="936" spans="1:34" s="1" customFormat="1" ht="15.75" customHeight="1" x14ac:dyDescent="0.15">
      <c r="A936" s="73" t="str">
        <f>IF(LEN(E936)+LEN(T936)=0,"×","")</f>
        <v>×</v>
      </c>
      <c r="E936" s="413"/>
      <c r="F936" s="372"/>
      <c r="G936" s="103"/>
      <c r="H936" s="103"/>
      <c r="I936" s="103"/>
      <c r="J936" s="427"/>
      <c r="K936" s="428"/>
      <c r="L936" s="413"/>
      <c r="M936" s="429"/>
      <c r="N936" s="429"/>
      <c r="O936" s="429"/>
      <c r="P936" s="444" t="str">
        <f>IF(M936="","",M936*G936*$AD$943)</f>
        <v/>
      </c>
      <c r="Q936" s="445"/>
      <c r="R936" s="445"/>
      <c r="S936" s="446"/>
      <c r="T936" s="395"/>
      <c r="U936" s="372"/>
      <c r="V936" s="103"/>
      <c r="W936" s="103"/>
      <c r="X936" s="103"/>
      <c r="Y936" s="427"/>
      <c r="Z936" s="428"/>
      <c r="AA936" s="413"/>
      <c r="AB936" s="429"/>
      <c r="AC936" s="429"/>
      <c r="AD936" s="429"/>
      <c r="AE936" s="444" t="str">
        <f>IF(AB936="","",AB936*V936*$AD$943)</f>
        <v/>
      </c>
      <c r="AF936" s="445"/>
      <c r="AG936" s="445"/>
      <c r="AH936" s="445"/>
    </row>
    <row r="937" spans="1:34" s="1" customFormat="1" ht="15.75" customHeight="1" x14ac:dyDescent="0.15">
      <c r="A937" s="73" t="str">
        <f>IF(LEN(E937)+LEN(T937)=0,"×","")</f>
        <v>×</v>
      </c>
      <c r="E937" s="413"/>
      <c r="F937" s="372"/>
      <c r="G937" s="103"/>
      <c r="H937" s="103"/>
      <c r="I937" s="103"/>
      <c r="J937" s="427"/>
      <c r="K937" s="428"/>
      <c r="L937" s="413"/>
      <c r="M937" s="429"/>
      <c r="N937" s="429"/>
      <c r="O937" s="429"/>
      <c r="P937" s="444" t="str">
        <f>IF(M937="","",M937*G937*$AD$943)</f>
        <v/>
      </c>
      <c r="Q937" s="445"/>
      <c r="R937" s="445"/>
      <c r="S937" s="446"/>
      <c r="T937" s="395"/>
      <c r="U937" s="372"/>
      <c r="V937" s="103"/>
      <c r="W937" s="103"/>
      <c r="X937" s="103"/>
      <c r="Y937" s="427"/>
      <c r="Z937" s="428"/>
      <c r="AA937" s="413"/>
      <c r="AB937" s="429"/>
      <c r="AC937" s="429"/>
      <c r="AD937" s="429"/>
      <c r="AE937" s="444" t="str">
        <f>IF(AB937="","",AB937*V937*$AD$943)</f>
        <v/>
      </c>
      <c r="AF937" s="445"/>
      <c r="AG937" s="445"/>
      <c r="AH937" s="445"/>
    </row>
    <row r="938" spans="1:34" s="1" customFormat="1" ht="15.75" customHeight="1" x14ac:dyDescent="0.15">
      <c r="A938" s="73" t="str">
        <f>IF(LEN(E938)+LEN(T938)=0,"×","")</f>
        <v>×</v>
      </c>
      <c r="E938" s="413"/>
      <c r="F938" s="372"/>
      <c r="G938" s="103"/>
      <c r="H938" s="103"/>
      <c r="I938" s="103"/>
      <c r="J938" s="427"/>
      <c r="K938" s="428"/>
      <c r="L938" s="413"/>
      <c r="M938" s="429"/>
      <c r="N938" s="429"/>
      <c r="O938" s="429"/>
      <c r="P938" s="444" t="str">
        <f>IF(M938="","",M938*G938*$AD$943)</f>
        <v/>
      </c>
      <c r="Q938" s="445"/>
      <c r="R938" s="445"/>
      <c r="S938" s="446"/>
      <c r="T938" s="395"/>
      <c r="U938" s="372"/>
      <c r="V938" s="103"/>
      <c r="W938" s="103"/>
      <c r="X938" s="103"/>
      <c r="Y938" s="427"/>
      <c r="Z938" s="428"/>
      <c r="AA938" s="413"/>
      <c r="AB938" s="429"/>
      <c r="AC938" s="429"/>
      <c r="AD938" s="429"/>
      <c r="AE938" s="444" t="str">
        <f>IF(AB938="","",AB938*V938*$AD$943)</f>
        <v/>
      </c>
      <c r="AF938" s="445"/>
      <c r="AG938" s="445"/>
      <c r="AH938" s="445"/>
    </row>
    <row r="939" spans="1:34" s="1" customFormat="1" ht="15.75" customHeight="1" x14ac:dyDescent="0.15">
      <c r="A939" s="73" t="str">
        <f>IF(LEN(E939)+LEN(T939)=0,"×","")</f>
        <v>×</v>
      </c>
      <c r="E939" s="413"/>
      <c r="F939" s="372"/>
      <c r="G939" s="103"/>
      <c r="H939" s="103"/>
      <c r="I939" s="103"/>
      <c r="J939" s="427"/>
      <c r="K939" s="428"/>
      <c r="L939" s="413"/>
      <c r="M939" s="429"/>
      <c r="N939" s="429"/>
      <c r="O939" s="429"/>
      <c r="P939" s="444" t="str">
        <f>IF(M939="","",M939*G939*$AD$943)</f>
        <v/>
      </c>
      <c r="Q939" s="445"/>
      <c r="R939" s="445"/>
      <c r="S939" s="446"/>
      <c r="T939" s="395"/>
      <c r="U939" s="372"/>
      <c r="V939" s="103"/>
      <c r="W939" s="103"/>
      <c r="X939" s="103"/>
      <c r="Y939" s="427"/>
      <c r="Z939" s="428"/>
      <c r="AA939" s="413"/>
      <c r="AB939" s="429"/>
      <c r="AC939" s="429"/>
      <c r="AD939" s="429"/>
      <c r="AE939" s="444" t="str">
        <f>IF(AB939="","",AB939*V939*$AD$943)</f>
        <v/>
      </c>
      <c r="AF939" s="445"/>
      <c r="AG939" s="445"/>
      <c r="AH939" s="445"/>
    </row>
    <row r="940" spans="1:34" s="1" customFormat="1" ht="15.75" customHeight="1" x14ac:dyDescent="0.15">
      <c r="A940" s="73" t="str">
        <f>IF(LEN(E940)+LEN(T940)=0,"×","")</f>
        <v>×</v>
      </c>
      <c r="E940" s="413"/>
      <c r="F940" s="372"/>
      <c r="G940" s="103"/>
      <c r="H940" s="103"/>
      <c r="I940" s="103"/>
      <c r="J940" s="427"/>
      <c r="K940" s="428"/>
      <c r="L940" s="413"/>
      <c r="M940" s="429"/>
      <c r="N940" s="429"/>
      <c r="O940" s="429"/>
      <c r="P940" s="444" t="str">
        <f>IF(M940="","",M940*G940*$AD$943)</f>
        <v/>
      </c>
      <c r="Q940" s="445"/>
      <c r="R940" s="445"/>
      <c r="S940" s="446"/>
      <c r="T940" s="395"/>
      <c r="U940" s="372"/>
      <c r="V940" s="103"/>
      <c r="W940" s="103"/>
      <c r="X940" s="103"/>
      <c r="Y940" s="427"/>
      <c r="Z940" s="428"/>
      <c r="AA940" s="413"/>
      <c r="AB940" s="429"/>
      <c r="AC940" s="429"/>
      <c r="AD940" s="429"/>
      <c r="AE940" s="444" t="str">
        <f>IF(AB940="","",AB940*V940*$AD$943)</f>
        <v/>
      </c>
      <c r="AF940" s="445"/>
      <c r="AG940" s="445"/>
      <c r="AH940" s="445"/>
    </row>
    <row r="941" spans="1:34" s="1" customFormat="1" ht="15.75" customHeight="1" x14ac:dyDescent="0.15">
      <c r="A941" s="73" t="str">
        <f>IF(LEN(E941)+LEN(T941)=0,"×","")</f>
        <v>×</v>
      </c>
      <c r="E941" s="413"/>
      <c r="F941" s="372"/>
      <c r="G941" s="103"/>
      <c r="H941" s="103"/>
      <c r="I941" s="103"/>
      <c r="J941" s="427"/>
      <c r="K941" s="428"/>
      <c r="L941" s="413"/>
      <c r="M941" s="429"/>
      <c r="N941" s="429"/>
      <c r="O941" s="429"/>
      <c r="P941" s="444" t="str">
        <f>IF(M941="","",M941*G941*$AD$943)</f>
        <v/>
      </c>
      <c r="Q941" s="445"/>
      <c r="R941" s="445"/>
      <c r="S941" s="446"/>
      <c r="T941" s="395"/>
      <c r="U941" s="372"/>
      <c r="V941" s="103"/>
      <c r="W941" s="103"/>
      <c r="X941" s="103"/>
      <c r="Y941" s="427"/>
      <c r="Z941" s="428"/>
      <c r="AA941" s="413"/>
      <c r="AB941" s="429"/>
      <c r="AC941" s="429"/>
      <c r="AD941" s="429"/>
      <c r="AE941" s="444" t="str">
        <f>IF(AB941="","",AB941*V941*$AD$943)</f>
        <v/>
      </c>
      <c r="AF941" s="445"/>
      <c r="AG941" s="445"/>
      <c r="AH941" s="445"/>
    </row>
    <row r="942" spans="1:34" s="1" customFormat="1" ht="15.75" customHeight="1" x14ac:dyDescent="0.15">
      <c r="A942" s="76"/>
      <c r="E942" s="233" t="s">
        <v>581</v>
      </c>
      <c r="F942" s="234"/>
      <c r="G942" s="450">
        <f>ROUND(SUM(P926:S941),1)</f>
        <v>1887.2</v>
      </c>
      <c r="H942" s="451"/>
      <c r="I942" s="451"/>
      <c r="J942" s="451"/>
      <c r="K942" s="451"/>
      <c r="L942" s="451"/>
      <c r="M942" s="451"/>
      <c r="N942" s="451"/>
      <c r="O942" s="451"/>
      <c r="P942" s="451"/>
      <c r="Q942" s="451"/>
      <c r="R942" s="451"/>
      <c r="S942" s="452"/>
      <c r="T942" s="401" t="s">
        <v>581</v>
      </c>
      <c r="U942" s="234"/>
      <c r="V942" s="450">
        <f>ROUND(SUM(AE926:AH941),1)</f>
        <v>2201.3000000000002</v>
      </c>
      <c r="W942" s="451"/>
      <c r="X942" s="451"/>
      <c r="Y942" s="451"/>
      <c r="Z942" s="451"/>
      <c r="AA942" s="451"/>
      <c r="AB942" s="451"/>
      <c r="AC942" s="451"/>
      <c r="AD942" s="451"/>
      <c r="AE942" s="451"/>
      <c r="AF942" s="451"/>
      <c r="AG942" s="451"/>
      <c r="AH942" s="451"/>
    </row>
    <row r="943" spans="1:34" s="1" customFormat="1" ht="15.75" customHeight="1" x14ac:dyDescent="0.15">
      <c r="E943" s="8"/>
      <c r="F943" s="8"/>
      <c r="G943" s="8"/>
      <c r="H943" s="8"/>
      <c r="I943" s="8"/>
      <c r="J943" s="8"/>
      <c r="K943" s="8"/>
      <c r="L943" s="8"/>
      <c r="M943" s="8"/>
      <c r="N943" s="8"/>
      <c r="O943" s="8"/>
      <c r="AA943" s="2" t="s">
        <v>127</v>
      </c>
      <c r="AB943" s="1" t="s">
        <v>548</v>
      </c>
      <c r="AC943" s="76" t="s">
        <v>27</v>
      </c>
      <c r="AD943" s="304">
        <f>AD919</f>
        <v>3.1415926535897931</v>
      </c>
      <c r="AE943" s="304"/>
      <c r="AF943" s="304"/>
      <c r="AG943" s="7" t="s">
        <v>549</v>
      </c>
      <c r="AH943" s="76" t="s">
        <v>158</v>
      </c>
    </row>
    <row r="946" spans="1:35" s="1" customFormat="1" ht="15.75" customHeight="1" x14ac:dyDescent="0.15">
      <c r="A946" s="73" t="str">
        <f>IF(A$289="","","×")</f>
        <v>×</v>
      </c>
      <c r="E946" s="61" t="s">
        <v>591</v>
      </c>
      <c r="F946" s="302"/>
      <c r="G946" s="302"/>
      <c r="H946" s="61"/>
      <c r="I946" s="61"/>
      <c r="J946" s="61"/>
      <c r="K946" s="61"/>
      <c r="L946" s="61"/>
      <c r="M946" s="61"/>
      <c r="N946" s="61"/>
      <c r="O946" s="61"/>
      <c r="P946" s="61"/>
      <c r="Q946" s="61"/>
      <c r="R946" s="61"/>
      <c r="S946" s="61"/>
      <c r="T946" s="61"/>
      <c r="U946" s="61"/>
      <c r="V946" s="61"/>
      <c r="W946" s="61"/>
      <c r="X946" s="61"/>
      <c r="Y946" s="61"/>
      <c r="Z946" s="61"/>
      <c r="AA946" s="61"/>
      <c r="AB946" s="61"/>
      <c r="AC946" s="61"/>
      <c r="AD946" s="61"/>
      <c r="AE946" s="61"/>
      <c r="AF946" s="61"/>
      <c r="AG946" s="61"/>
      <c r="AH946" s="61"/>
      <c r="AI946" s="8"/>
    </row>
    <row r="947" spans="1:35" s="1" customFormat="1" ht="15.75" customHeight="1" x14ac:dyDescent="0.15">
      <c r="A947" s="73" t="str">
        <f>IF(A$289="","","×")</f>
        <v>×</v>
      </c>
      <c r="E947" s="294" t="s">
        <v>546</v>
      </c>
      <c r="F947" s="292"/>
      <c r="G947" s="292"/>
      <c r="H947" s="292"/>
      <c r="I947" s="292"/>
      <c r="J947" s="292"/>
      <c r="K947" s="292"/>
      <c r="L947" s="292"/>
      <c r="M947" s="292"/>
      <c r="N947" s="292"/>
      <c r="O947" s="292"/>
      <c r="P947" s="292"/>
      <c r="Q947" s="292"/>
      <c r="R947" s="292"/>
      <c r="S947" s="293"/>
      <c r="T947" s="273" t="s">
        <v>547</v>
      </c>
      <c r="U947" s="131"/>
      <c r="V947" s="131"/>
      <c r="W947" s="131"/>
      <c r="X947" s="131"/>
      <c r="Y947" s="131"/>
      <c r="Z947" s="131"/>
      <c r="AA947" s="131"/>
      <c r="AB947" s="131"/>
      <c r="AC947" s="131"/>
      <c r="AD947" s="131"/>
      <c r="AE947" s="131"/>
      <c r="AF947" s="131"/>
      <c r="AG947" s="131"/>
      <c r="AH947" s="132"/>
    </row>
    <row r="948" spans="1:35" s="1" customFormat="1" ht="15.75" customHeight="1" x14ac:dyDescent="0.15">
      <c r="A948" s="73" t="str">
        <f>IF(A$289="","","×")</f>
        <v>×</v>
      </c>
      <c r="E948" s="159" t="s">
        <v>78</v>
      </c>
      <c r="F948" s="160"/>
      <c r="G948" s="291" t="s">
        <v>203</v>
      </c>
      <c r="H948" s="161"/>
      <c r="I948" s="161"/>
      <c r="J948" s="222" t="s">
        <v>247</v>
      </c>
      <c r="K948" s="138"/>
      <c r="L948" s="215"/>
      <c r="M948" s="222" t="s">
        <v>580</v>
      </c>
      <c r="N948" s="138"/>
      <c r="O948" s="215"/>
      <c r="P948" s="222" t="s">
        <v>250</v>
      </c>
      <c r="Q948" s="138"/>
      <c r="R948" s="138"/>
      <c r="S948" s="139"/>
      <c r="T948" s="226" t="s">
        <v>78</v>
      </c>
      <c r="U948" s="106"/>
      <c r="V948" s="216" t="s">
        <v>203</v>
      </c>
      <c r="W948" s="121"/>
      <c r="X948" s="121"/>
      <c r="Y948" s="277" t="s">
        <v>247</v>
      </c>
      <c r="Z948" s="278"/>
      <c r="AA948" s="279"/>
      <c r="AB948" s="277" t="s">
        <v>580</v>
      </c>
      <c r="AC948" s="278"/>
      <c r="AD948" s="279"/>
      <c r="AE948" s="277" t="s">
        <v>250</v>
      </c>
      <c r="AF948" s="278"/>
      <c r="AG948" s="278"/>
      <c r="AH948" s="278"/>
    </row>
    <row r="949" spans="1:35" s="1" customFormat="1" ht="15.75" customHeight="1" x14ac:dyDescent="0.15">
      <c r="A949" s="73" t="str">
        <f>IF(A$289="","","×")</f>
        <v>×</v>
      </c>
      <c r="E949" s="295"/>
      <c r="F949" s="156"/>
      <c r="G949" s="163"/>
      <c r="H949" s="163"/>
      <c r="I949" s="163"/>
      <c r="J949" s="223"/>
      <c r="K949" s="140"/>
      <c r="L949" s="159"/>
      <c r="M949" s="223"/>
      <c r="N949" s="140"/>
      <c r="O949" s="159"/>
      <c r="P949" s="223"/>
      <c r="Q949" s="140"/>
      <c r="R949" s="140"/>
      <c r="S949" s="141"/>
      <c r="T949" s="290"/>
      <c r="U949" s="156"/>
      <c r="V949" s="163"/>
      <c r="W949" s="163"/>
      <c r="X949" s="163"/>
      <c r="Y949" s="223"/>
      <c r="Z949" s="140"/>
      <c r="AA949" s="159"/>
      <c r="AB949" s="223"/>
      <c r="AC949" s="140"/>
      <c r="AD949" s="159"/>
      <c r="AE949" s="223"/>
      <c r="AF949" s="140"/>
      <c r="AG949" s="140"/>
      <c r="AH949" s="140"/>
    </row>
    <row r="950" spans="1:35" s="1" customFormat="1" ht="15.75" customHeight="1" x14ac:dyDescent="0.15">
      <c r="A950" s="73" t="str">
        <f>IF(A$289="",IF(LEN(E950)+LEN(T950)=0,"×",""),"×")</f>
        <v>×</v>
      </c>
      <c r="E950" s="412">
        <v>3</v>
      </c>
      <c r="F950" s="398"/>
      <c r="G950" s="125">
        <v>3</v>
      </c>
      <c r="H950" s="125"/>
      <c r="I950" s="125"/>
      <c r="J950" s="423" t="s">
        <v>582</v>
      </c>
      <c r="K950" s="424"/>
      <c r="L950" s="412"/>
      <c r="M950" s="426">
        <v>0</v>
      </c>
      <c r="N950" s="426"/>
      <c r="O950" s="426"/>
      <c r="P950" s="441">
        <f>IF(M950="","",M950*G950*$AD$967)</f>
        <v>0</v>
      </c>
      <c r="Q950" s="442"/>
      <c r="R950" s="442"/>
      <c r="S950" s="443"/>
      <c r="T950" s="397">
        <v>3</v>
      </c>
      <c r="U950" s="398"/>
      <c r="V950" s="125">
        <v>3</v>
      </c>
      <c r="W950" s="125"/>
      <c r="X950" s="125"/>
      <c r="Y950" s="423" t="s">
        <v>582</v>
      </c>
      <c r="Z950" s="424"/>
      <c r="AA950" s="412"/>
      <c r="AB950" s="426">
        <v>0</v>
      </c>
      <c r="AC950" s="426"/>
      <c r="AD950" s="426"/>
      <c r="AE950" s="441">
        <f>IF(AB950="","",AB950*V950*$AD$967)</f>
        <v>0</v>
      </c>
      <c r="AF950" s="442"/>
      <c r="AG950" s="442"/>
      <c r="AH950" s="442"/>
    </row>
    <row r="951" spans="1:35" s="1" customFormat="1" ht="15.75" customHeight="1" x14ac:dyDescent="0.15">
      <c r="A951" s="73" t="str">
        <f>IF(A$289="",IF(LEN(E951)+LEN(T951)=0,"×",""),"×")</f>
        <v>×</v>
      </c>
      <c r="E951" s="413">
        <v>4</v>
      </c>
      <c r="F951" s="372"/>
      <c r="G951" s="103">
        <v>0.53999996185302734</v>
      </c>
      <c r="H951" s="103"/>
      <c r="I951" s="103"/>
      <c r="J951" s="427" t="s">
        <v>516</v>
      </c>
      <c r="K951" s="428"/>
      <c r="L951" s="413"/>
      <c r="M951" s="429">
        <v>0</v>
      </c>
      <c r="N951" s="429"/>
      <c r="O951" s="429"/>
      <c r="P951" s="444">
        <f>IF(M951="","",M951*G951*$AD$967)</f>
        <v>0</v>
      </c>
      <c r="Q951" s="445"/>
      <c r="R951" s="445"/>
      <c r="S951" s="446"/>
      <c r="T951" s="395">
        <v>4</v>
      </c>
      <c r="U951" s="372"/>
      <c r="V951" s="103">
        <v>0.53999996185302734</v>
      </c>
      <c r="W951" s="103"/>
      <c r="X951" s="103"/>
      <c r="Y951" s="427" t="s">
        <v>516</v>
      </c>
      <c r="Z951" s="428"/>
      <c r="AA951" s="413"/>
      <c r="AB951" s="429">
        <v>0</v>
      </c>
      <c r="AC951" s="429"/>
      <c r="AD951" s="429"/>
      <c r="AE951" s="444">
        <f>IF(AB951="","",AB951*V951*$AD$967)</f>
        <v>0</v>
      </c>
      <c r="AF951" s="445"/>
      <c r="AG951" s="445"/>
      <c r="AH951" s="445"/>
    </row>
    <row r="952" spans="1:35" s="1" customFormat="1" ht="15.75" customHeight="1" x14ac:dyDescent="0.15">
      <c r="A952" s="73" t="str">
        <f>IF(A$289="",IF(LEN(E952)+LEN(T952)=0,"×",""),"×")</f>
        <v>×</v>
      </c>
      <c r="E952" s="413">
        <v>4</v>
      </c>
      <c r="F952" s="372"/>
      <c r="G952" s="103">
        <v>4.4600000381469727</v>
      </c>
      <c r="H952" s="103"/>
      <c r="I952" s="103"/>
      <c r="J952" s="427" t="s">
        <v>516</v>
      </c>
      <c r="K952" s="428"/>
      <c r="L952" s="413"/>
      <c r="M952" s="429">
        <v>45</v>
      </c>
      <c r="N952" s="429"/>
      <c r="O952" s="429"/>
      <c r="P952" s="444">
        <f>IF(M952="","",M952*G952*$AD$967)</f>
        <v>630.51765096837266</v>
      </c>
      <c r="Q952" s="445"/>
      <c r="R952" s="445"/>
      <c r="S952" s="446"/>
      <c r="T952" s="395">
        <v>4</v>
      </c>
      <c r="U952" s="372"/>
      <c r="V952" s="103">
        <v>4.4600000381469727</v>
      </c>
      <c r="W952" s="103"/>
      <c r="X952" s="103"/>
      <c r="Y952" s="427" t="s">
        <v>516</v>
      </c>
      <c r="Z952" s="428"/>
      <c r="AA952" s="413"/>
      <c r="AB952" s="429">
        <v>45</v>
      </c>
      <c r="AC952" s="429"/>
      <c r="AD952" s="429"/>
      <c r="AE952" s="444">
        <f>IF(AB952="","",AB952*V952*$AD$967)</f>
        <v>630.51765096837266</v>
      </c>
      <c r="AF952" s="445"/>
      <c r="AG952" s="445"/>
      <c r="AH952" s="445"/>
    </row>
    <row r="953" spans="1:35" s="1" customFormat="1" ht="15.75" customHeight="1" x14ac:dyDescent="0.15">
      <c r="A953" s="73" t="str">
        <f>IF(A$289="",IF(LEN(E953)+LEN(T953)=0,"×",""),"×")</f>
        <v>×</v>
      </c>
      <c r="E953" s="413">
        <v>5</v>
      </c>
      <c r="F953" s="372"/>
      <c r="G953" s="103">
        <v>8</v>
      </c>
      <c r="H953" s="103"/>
      <c r="I953" s="103"/>
      <c r="J953" s="427" t="s">
        <v>582</v>
      </c>
      <c r="K953" s="428"/>
      <c r="L953" s="413"/>
      <c r="M953" s="429">
        <v>25</v>
      </c>
      <c r="N953" s="429"/>
      <c r="O953" s="429"/>
      <c r="P953" s="444">
        <f>IF(M953="","",M953*G953*$AD$967)</f>
        <v>628.31853071795865</v>
      </c>
      <c r="Q953" s="445"/>
      <c r="R953" s="445"/>
      <c r="S953" s="446"/>
      <c r="T953" s="395">
        <v>5</v>
      </c>
      <c r="U953" s="372"/>
      <c r="V953" s="103">
        <v>8</v>
      </c>
      <c r="W953" s="103"/>
      <c r="X953" s="103"/>
      <c r="Y953" s="427" t="s">
        <v>582</v>
      </c>
      <c r="Z953" s="428"/>
      <c r="AA953" s="413"/>
      <c r="AB953" s="429">
        <v>25</v>
      </c>
      <c r="AC953" s="429"/>
      <c r="AD953" s="429"/>
      <c r="AE953" s="444">
        <f>IF(AB953="","",AB953*V953*$AD$967)</f>
        <v>628.31853071795865</v>
      </c>
      <c r="AF953" s="445"/>
      <c r="AG953" s="445"/>
      <c r="AH953" s="445"/>
    </row>
    <row r="954" spans="1:35" s="1" customFormat="1" ht="15.75" customHeight="1" x14ac:dyDescent="0.15">
      <c r="A954" s="73" t="str">
        <f>IF(A$289="",IF(LEN(E954)+LEN(T954)=0,"×",""),"×")</f>
        <v>×</v>
      </c>
      <c r="E954" s="413">
        <v>6</v>
      </c>
      <c r="F954" s="372"/>
      <c r="G954" s="103">
        <v>4</v>
      </c>
      <c r="H954" s="103"/>
      <c r="I954" s="103"/>
      <c r="J954" s="427" t="s">
        <v>582</v>
      </c>
      <c r="K954" s="428"/>
      <c r="L954" s="413"/>
      <c r="M954" s="429">
        <v>50</v>
      </c>
      <c r="N954" s="429"/>
      <c r="O954" s="429"/>
      <c r="P954" s="444">
        <f>IF(M954="","",M954*G954*$AD$967)</f>
        <v>628.31853071795865</v>
      </c>
      <c r="Q954" s="445"/>
      <c r="R954" s="445"/>
      <c r="S954" s="446"/>
      <c r="T954" s="395">
        <v>6</v>
      </c>
      <c r="U954" s="372"/>
      <c r="V954" s="103">
        <v>4.5</v>
      </c>
      <c r="W954" s="103"/>
      <c r="X954" s="103"/>
      <c r="Y954" s="427" t="s">
        <v>582</v>
      </c>
      <c r="Z954" s="428"/>
      <c r="AA954" s="413"/>
      <c r="AB954" s="429">
        <v>50</v>
      </c>
      <c r="AC954" s="429"/>
      <c r="AD954" s="429"/>
      <c r="AE954" s="444">
        <f>IF(AB954="","",AB954*V954*$AD$967)</f>
        <v>706.85834705770344</v>
      </c>
      <c r="AF954" s="445"/>
      <c r="AG954" s="445"/>
      <c r="AH954" s="445"/>
    </row>
    <row r="955" spans="1:35" s="1" customFormat="1" ht="15.75" customHeight="1" x14ac:dyDescent="0.15">
      <c r="A955" s="73" t="str">
        <f>IF(A$289="",IF(LEN(E955)+LEN(T955)=0,"×",""),"×")</f>
        <v>×</v>
      </c>
      <c r="E955" s="413">
        <v>6</v>
      </c>
      <c r="F955" s="372"/>
      <c r="G955" s="103">
        <v>0.5</v>
      </c>
      <c r="H955" s="103"/>
      <c r="I955" s="103"/>
      <c r="J955" s="427" t="s">
        <v>582</v>
      </c>
      <c r="K955" s="428"/>
      <c r="L955" s="413"/>
      <c r="M955" s="429">
        <v>0</v>
      </c>
      <c r="N955" s="429"/>
      <c r="O955" s="429"/>
      <c r="P955" s="444">
        <f>IF(M955="","",M955*G955*$AD$967)</f>
        <v>0</v>
      </c>
      <c r="Q955" s="445"/>
      <c r="R955" s="445"/>
      <c r="S955" s="446"/>
      <c r="T955" s="395">
        <v>7</v>
      </c>
      <c r="U955" s="372"/>
      <c r="V955" s="103">
        <v>0.5</v>
      </c>
      <c r="W955" s="103"/>
      <c r="X955" s="103"/>
      <c r="Y955" s="427" t="s">
        <v>517</v>
      </c>
      <c r="Z955" s="428"/>
      <c r="AA955" s="413"/>
      <c r="AB955" s="429">
        <v>150</v>
      </c>
      <c r="AC955" s="429"/>
      <c r="AD955" s="429"/>
      <c r="AE955" s="444">
        <f>IF(AB955="","",AB955*V955*$AD$967)</f>
        <v>235.61944901923448</v>
      </c>
      <c r="AF955" s="445"/>
      <c r="AG955" s="445"/>
      <c r="AH955" s="445"/>
    </row>
    <row r="956" spans="1:35" s="1" customFormat="1" ht="15.75" customHeight="1" x14ac:dyDescent="0.15">
      <c r="A956" s="73" t="str">
        <f>IF(A$289="",IF(LEN(E956)+LEN(T956)=0,"×",""),"×")</f>
        <v>×</v>
      </c>
      <c r="E956" s="413">
        <v>7</v>
      </c>
      <c r="F956" s="372"/>
      <c r="G956" s="103">
        <v>0.5</v>
      </c>
      <c r="H956" s="103"/>
      <c r="I956" s="103"/>
      <c r="J956" s="427" t="s">
        <v>517</v>
      </c>
      <c r="K956" s="428"/>
      <c r="L956" s="413"/>
      <c r="M956" s="429">
        <v>0</v>
      </c>
      <c r="N956" s="429"/>
      <c r="O956" s="429"/>
      <c r="P956" s="444">
        <f>IF(M956="","",M956*G956*$AD$967)</f>
        <v>0</v>
      </c>
      <c r="Q956" s="445"/>
      <c r="R956" s="445"/>
      <c r="S956" s="446"/>
      <c r="T956" s="395"/>
      <c r="U956" s="372"/>
      <c r="V956" s="103"/>
      <c r="W956" s="103"/>
      <c r="X956" s="103"/>
      <c r="Y956" s="427"/>
      <c r="Z956" s="428"/>
      <c r="AA956" s="413"/>
      <c r="AB956" s="429"/>
      <c r="AC956" s="429"/>
      <c r="AD956" s="429"/>
      <c r="AE956" s="444" t="str">
        <f>IF(AB956="","",AB956*V956*$AD$967)</f>
        <v/>
      </c>
      <c r="AF956" s="445"/>
      <c r="AG956" s="445"/>
      <c r="AH956" s="445"/>
    </row>
    <row r="957" spans="1:35" s="1" customFormat="1" ht="15.75" customHeight="1" x14ac:dyDescent="0.15">
      <c r="A957" s="73" t="str">
        <f>IF(A$289="",IF(LEN(E957)+LEN(T957)=0,"×",""),"×")</f>
        <v>×</v>
      </c>
      <c r="E957" s="413"/>
      <c r="F957" s="372"/>
      <c r="G957" s="103"/>
      <c r="H957" s="103"/>
      <c r="I957" s="103"/>
      <c r="J957" s="427"/>
      <c r="K957" s="428"/>
      <c r="L957" s="413"/>
      <c r="M957" s="429"/>
      <c r="N957" s="429"/>
      <c r="O957" s="429"/>
      <c r="P957" s="444" t="str">
        <f>IF(M957="","",M957*G957*$AD$967)</f>
        <v/>
      </c>
      <c r="Q957" s="445"/>
      <c r="R957" s="445"/>
      <c r="S957" s="446"/>
      <c r="T957" s="395"/>
      <c r="U957" s="372"/>
      <c r="V957" s="103"/>
      <c r="W957" s="103"/>
      <c r="X957" s="103"/>
      <c r="Y957" s="427"/>
      <c r="Z957" s="428"/>
      <c r="AA957" s="413"/>
      <c r="AB957" s="429"/>
      <c r="AC957" s="429"/>
      <c r="AD957" s="429"/>
      <c r="AE957" s="444" t="str">
        <f>IF(AB957="","",AB957*V957*$AD$967)</f>
        <v/>
      </c>
      <c r="AF957" s="445"/>
      <c r="AG957" s="445"/>
      <c r="AH957" s="445"/>
    </row>
    <row r="958" spans="1:35" s="1" customFormat="1" ht="15.75" customHeight="1" x14ac:dyDescent="0.15">
      <c r="A958" s="73" t="str">
        <f>IF(A$289="",IF(LEN(E958)+LEN(T958)=0,"×",""),"×")</f>
        <v>×</v>
      </c>
      <c r="E958" s="413"/>
      <c r="F958" s="372"/>
      <c r="G958" s="103"/>
      <c r="H958" s="103"/>
      <c r="I958" s="103"/>
      <c r="J958" s="427"/>
      <c r="K958" s="428"/>
      <c r="L958" s="413"/>
      <c r="M958" s="429"/>
      <c r="N958" s="429"/>
      <c r="O958" s="429"/>
      <c r="P958" s="444" t="str">
        <f>IF(M958="","",M958*G958*$AD$967)</f>
        <v/>
      </c>
      <c r="Q958" s="445"/>
      <c r="R958" s="445"/>
      <c r="S958" s="446"/>
      <c r="T958" s="395"/>
      <c r="U958" s="372"/>
      <c r="V958" s="103"/>
      <c r="W958" s="103"/>
      <c r="X958" s="103"/>
      <c r="Y958" s="427"/>
      <c r="Z958" s="428"/>
      <c r="AA958" s="413"/>
      <c r="AB958" s="429"/>
      <c r="AC958" s="429"/>
      <c r="AD958" s="429"/>
      <c r="AE958" s="444" t="str">
        <f>IF(AB958="","",AB958*V958*$AD$967)</f>
        <v/>
      </c>
      <c r="AF958" s="445"/>
      <c r="AG958" s="445"/>
      <c r="AH958" s="445"/>
    </row>
    <row r="959" spans="1:35" s="1" customFormat="1" ht="15.75" customHeight="1" x14ac:dyDescent="0.15">
      <c r="A959" s="73" t="str">
        <f>IF(A$289="",IF(LEN(E959)+LEN(T959)=0,"×",""),"×")</f>
        <v>×</v>
      </c>
      <c r="E959" s="413"/>
      <c r="F959" s="372"/>
      <c r="G959" s="103"/>
      <c r="H959" s="103"/>
      <c r="I959" s="103"/>
      <c r="J959" s="427"/>
      <c r="K959" s="428"/>
      <c r="L959" s="413"/>
      <c r="M959" s="429"/>
      <c r="N959" s="429"/>
      <c r="O959" s="429"/>
      <c r="P959" s="444" t="str">
        <f>IF(M959="","",M959*G959*$AD$967)</f>
        <v/>
      </c>
      <c r="Q959" s="445"/>
      <c r="R959" s="445"/>
      <c r="S959" s="446"/>
      <c r="T959" s="395"/>
      <c r="U959" s="372"/>
      <c r="V959" s="103"/>
      <c r="W959" s="103"/>
      <c r="X959" s="103"/>
      <c r="Y959" s="427"/>
      <c r="Z959" s="428"/>
      <c r="AA959" s="413"/>
      <c r="AB959" s="429"/>
      <c r="AC959" s="429"/>
      <c r="AD959" s="429"/>
      <c r="AE959" s="444" t="str">
        <f>IF(AB959="","",AB959*V959*$AD$967)</f>
        <v/>
      </c>
      <c r="AF959" s="445"/>
      <c r="AG959" s="445"/>
      <c r="AH959" s="445"/>
    </row>
    <row r="960" spans="1:35" s="1" customFormat="1" ht="15.75" customHeight="1" x14ac:dyDescent="0.15">
      <c r="A960" s="73" t="str">
        <f>IF(A$289="",IF(LEN(E960)+LEN(T960)=0,"×",""),"×")</f>
        <v>×</v>
      </c>
      <c r="E960" s="413"/>
      <c r="F960" s="372"/>
      <c r="G960" s="103"/>
      <c r="H960" s="103"/>
      <c r="I960" s="103"/>
      <c r="J960" s="427"/>
      <c r="K960" s="428"/>
      <c r="L960" s="413"/>
      <c r="M960" s="429"/>
      <c r="N960" s="429"/>
      <c r="O960" s="429"/>
      <c r="P960" s="444" t="str">
        <f>IF(M960="","",M960*G960*$AD$967)</f>
        <v/>
      </c>
      <c r="Q960" s="445"/>
      <c r="R960" s="445"/>
      <c r="S960" s="446"/>
      <c r="T960" s="395"/>
      <c r="U960" s="372"/>
      <c r="V960" s="103"/>
      <c r="W960" s="103"/>
      <c r="X960" s="103"/>
      <c r="Y960" s="427"/>
      <c r="Z960" s="428"/>
      <c r="AA960" s="413"/>
      <c r="AB960" s="429"/>
      <c r="AC960" s="429"/>
      <c r="AD960" s="429"/>
      <c r="AE960" s="444" t="str">
        <f>IF(AB960="","",AB960*V960*$AD$967)</f>
        <v/>
      </c>
      <c r="AF960" s="445"/>
      <c r="AG960" s="445"/>
      <c r="AH960" s="445"/>
    </row>
    <row r="961" spans="1:35" s="1" customFormat="1" ht="15.75" customHeight="1" x14ac:dyDescent="0.15">
      <c r="A961" s="73" t="str">
        <f>IF(A$289="",IF(LEN(E961)+LEN(T961)=0,"×",""),"×")</f>
        <v>×</v>
      </c>
      <c r="E961" s="413"/>
      <c r="F961" s="372"/>
      <c r="G961" s="103"/>
      <c r="H961" s="103"/>
      <c r="I961" s="103"/>
      <c r="J961" s="427"/>
      <c r="K961" s="428"/>
      <c r="L961" s="413"/>
      <c r="M961" s="429"/>
      <c r="N961" s="429"/>
      <c r="O961" s="429"/>
      <c r="P961" s="444" t="str">
        <f>IF(M961="","",M961*G961*$AD$967)</f>
        <v/>
      </c>
      <c r="Q961" s="445"/>
      <c r="R961" s="445"/>
      <c r="S961" s="446"/>
      <c r="T961" s="395"/>
      <c r="U961" s="372"/>
      <c r="V961" s="103"/>
      <c r="W961" s="103"/>
      <c r="X961" s="103"/>
      <c r="Y961" s="427"/>
      <c r="Z961" s="428"/>
      <c r="AA961" s="413"/>
      <c r="AB961" s="429"/>
      <c r="AC961" s="429"/>
      <c r="AD961" s="429"/>
      <c r="AE961" s="444" t="str">
        <f>IF(AB961="","",AB961*V961*$AD$967)</f>
        <v/>
      </c>
      <c r="AF961" s="445"/>
      <c r="AG961" s="445"/>
      <c r="AH961" s="445"/>
    </row>
    <row r="962" spans="1:35" s="1" customFormat="1" ht="15.75" customHeight="1" x14ac:dyDescent="0.15">
      <c r="A962" s="73" t="str">
        <f>IF(A$289="",IF(LEN(E962)+LEN(T962)=0,"×",""),"×")</f>
        <v>×</v>
      </c>
      <c r="E962" s="413"/>
      <c r="F962" s="372"/>
      <c r="G962" s="103"/>
      <c r="H962" s="103"/>
      <c r="I962" s="103"/>
      <c r="J962" s="427"/>
      <c r="K962" s="428"/>
      <c r="L962" s="413"/>
      <c r="M962" s="429"/>
      <c r="N962" s="429"/>
      <c r="O962" s="429"/>
      <c r="P962" s="444" t="str">
        <f>IF(M962="","",M962*G962*$AD$967)</f>
        <v/>
      </c>
      <c r="Q962" s="445"/>
      <c r="R962" s="445"/>
      <c r="S962" s="446"/>
      <c r="T962" s="395"/>
      <c r="U962" s="372"/>
      <c r="V962" s="103"/>
      <c r="W962" s="103"/>
      <c r="X962" s="103"/>
      <c r="Y962" s="427"/>
      <c r="Z962" s="428"/>
      <c r="AA962" s="413"/>
      <c r="AB962" s="429"/>
      <c r="AC962" s="429"/>
      <c r="AD962" s="429"/>
      <c r="AE962" s="444" t="str">
        <f>IF(AB962="","",AB962*V962*$AD$967)</f>
        <v/>
      </c>
      <c r="AF962" s="445"/>
      <c r="AG962" s="445"/>
      <c r="AH962" s="445"/>
    </row>
    <row r="963" spans="1:35" s="1" customFormat="1" ht="15.75" customHeight="1" x14ac:dyDescent="0.15">
      <c r="A963" s="73" t="str">
        <f>IF(A$289="",IF(LEN(E963)+LEN(T963)=0,"×",""),"×")</f>
        <v>×</v>
      </c>
      <c r="E963" s="413"/>
      <c r="F963" s="372"/>
      <c r="G963" s="103"/>
      <c r="H963" s="103"/>
      <c r="I963" s="103"/>
      <c r="J963" s="427"/>
      <c r="K963" s="428"/>
      <c r="L963" s="413"/>
      <c r="M963" s="429"/>
      <c r="N963" s="429"/>
      <c r="O963" s="429"/>
      <c r="P963" s="444" t="str">
        <f>IF(M963="","",M963*G963*$AD$967)</f>
        <v/>
      </c>
      <c r="Q963" s="445"/>
      <c r="R963" s="445"/>
      <c r="S963" s="446"/>
      <c r="T963" s="395"/>
      <c r="U963" s="372"/>
      <c r="V963" s="103"/>
      <c r="W963" s="103"/>
      <c r="X963" s="103"/>
      <c r="Y963" s="427"/>
      <c r="Z963" s="428"/>
      <c r="AA963" s="413"/>
      <c r="AB963" s="429"/>
      <c r="AC963" s="429"/>
      <c r="AD963" s="429"/>
      <c r="AE963" s="444" t="str">
        <f>IF(AB963="","",AB963*V963*$AD$967)</f>
        <v/>
      </c>
      <c r="AF963" s="445"/>
      <c r="AG963" s="445"/>
      <c r="AH963" s="445"/>
    </row>
    <row r="964" spans="1:35" s="1" customFormat="1" ht="15.75" customHeight="1" x14ac:dyDescent="0.15">
      <c r="A964" s="73" t="str">
        <f>IF(A$289="",IF(LEN(E964)+LEN(T964)=0,"×",""),"×")</f>
        <v>×</v>
      </c>
      <c r="E964" s="413"/>
      <c r="F964" s="372"/>
      <c r="G964" s="103"/>
      <c r="H964" s="103"/>
      <c r="I964" s="103"/>
      <c r="J964" s="427"/>
      <c r="K964" s="428"/>
      <c r="L964" s="413"/>
      <c r="M964" s="429"/>
      <c r="N964" s="429"/>
      <c r="O964" s="429"/>
      <c r="P964" s="444" t="str">
        <f>IF(M964="","",M964*G964*$AD$967)</f>
        <v/>
      </c>
      <c r="Q964" s="445"/>
      <c r="R964" s="445"/>
      <c r="S964" s="446"/>
      <c r="T964" s="395"/>
      <c r="U964" s="372"/>
      <c r="V964" s="103"/>
      <c r="W964" s="103"/>
      <c r="X964" s="103"/>
      <c r="Y964" s="427"/>
      <c r="Z964" s="428"/>
      <c r="AA964" s="413"/>
      <c r="AB964" s="429"/>
      <c r="AC964" s="429"/>
      <c r="AD964" s="429"/>
      <c r="AE964" s="444" t="str">
        <f>IF(AB964="","",AB964*V964*$AD$967)</f>
        <v/>
      </c>
      <c r="AF964" s="445"/>
      <c r="AG964" s="445"/>
      <c r="AH964" s="445"/>
    </row>
    <row r="965" spans="1:35" s="1" customFormat="1" ht="15.75" customHeight="1" x14ac:dyDescent="0.15">
      <c r="A965" s="73" t="str">
        <f>IF(A$289="",IF(LEN(E965)+LEN(T965)=0,"×",""),"×")</f>
        <v>×</v>
      </c>
      <c r="E965" s="413"/>
      <c r="F965" s="372"/>
      <c r="G965" s="103"/>
      <c r="H965" s="103"/>
      <c r="I965" s="103"/>
      <c r="J965" s="427"/>
      <c r="K965" s="428"/>
      <c r="L965" s="413"/>
      <c r="M965" s="429"/>
      <c r="N965" s="429"/>
      <c r="O965" s="429"/>
      <c r="P965" s="444" t="str">
        <f>IF(M965="","",M965*G965*$AD$967)</f>
        <v/>
      </c>
      <c r="Q965" s="445"/>
      <c r="R965" s="445"/>
      <c r="S965" s="446"/>
      <c r="T965" s="395"/>
      <c r="U965" s="372"/>
      <c r="V965" s="103"/>
      <c r="W965" s="103"/>
      <c r="X965" s="103"/>
      <c r="Y965" s="427"/>
      <c r="Z965" s="428"/>
      <c r="AA965" s="413"/>
      <c r="AB965" s="429"/>
      <c r="AC965" s="429"/>
      <c r="AD965" s="429"/>
      <c r="AE965" s="444" t="str">
        <f>IF(AB965="","",AB965*V965*$AD$967)</f>
        <v/>
      </c>
      <c r="AF965" s="445"/>
      <c r="AG965" s="445"/>
      <c r="AH965" s="445"/>
    </row>
    <row r="966" spans="1:35" s="1" customFormat="1" ht="15.75" customHeight="1" x14ac:dyDescent="0.15">
      <c r="A966" s="73" t="str">
        <f>IF(A$289="","","×")</f>
        <v>×</v>
      </c>
      <c r="E966" s="233" t="s">
        <v>581</v>
      </c>
      <c r="F966" s="234"/>
      <c r="G966" s="450">
        <f>ROUND(SUM(P950:S965),1)</f>
        <v>1887.2</v>
      </c>
      <c r="H966" s="451"/>
      <c r="I966" s="451"/>
      <c r="J966" s="451"/>
      <c r="K966" s="451"/>
      <c r="L966" s="451"/>
      <c r="M966" s="451"/>
      <c r="N966" s="451"/>
      <c r="O966" s="451"/>
      <c r="P966" s="451"/>
      <c r="Q966" s="451"/>
      <c r="R966" s="451"/>
      <c r="S966" s="452"/>
      <c r="T966" s="401" t="s">
        <v>581</v>
      </c>
      <c r="U966" s="234"/>
      <c r="V966" s="450">
        <f>ROUND(SUM(AE950:AH965),1)</f>
        <v>2201.3000000000002</v>
      </c>
      <c r="W966" s="451"/>
      <c r="X966" s="451"/>
      <c r="Y966" s="451"/>
      <c r="Z966" s="451"/>
      <c r="AA966" s="451"/>
      <c r="AB966" s="451"/>
      <c r="AC966" s="451"/>
      <c r="AD966" s="451"/>
      <c r="AE966" s="451"/>
      <c r="AF966" s="451"/>
      <c r="AG966" s="451"/>
      <c r="AH966" s="451"/>
    </row>
    <row r="967" spans="1:35" s="1" customFormat="1" ht="15.75" customHeight="1" x14ac:dyDescent="0.15">
      <c r="A967" s="73" t="str">
        <f>IF(A$289="","","×")</f>
        <v>×</v>
      </c>
      <c r="E967" s="8"/>
      <c r="F967" s="8"/>
      <c r="G967" s="8"/>
      <c r="H967" s="8"/>
      <c r="I967" s="8"/>
      <c r="J967" s="8"/>
      <c r="K967" s="8"/>
      <c r="L967" s="8"/>
      <c r="M967" s="8"/>
      <c r="N967" s="8"/>
      <c r="O967" s="8"/>
      <c r="AA967" s="2" t="s">
        <v>127</v>
      </c>
      <c r="AB967" s="1" t="s">
        <v>548</v>
      </c>
      <c r="AC967" s="76" t="s">
        <v>27</v>
      </c>
      <c r="AD967" s="304">
        <f>AD943</f>
        <v>3.1415926535897931</v>
      </c>
      <c r="AE967" s="304"/>
      <c r="AF967" s="304"/>
      <c r="AG967" s="7" t="s">
        <v>549</v>
      </c>
      <c r="AH967" s="76" t="s">
        <v>158</v>
      </c>
    </row>
    <row r="968" spans="1:35" ht="15.75" customHeight="1" x14ac:dyDescent="0.15">
      <c r="A968" s="73" t="str">
        <f>IF(A$289="","","×")</f>
        <v>×</v>
      </c>
    </row>
    <row r="970" spans="1:35" s="1" customFormat="1" ht="15.75" customHeight="1" x14ac:dyDescent="0.15">
      <c r="A970" s="73" t="str">
        <f>IF(A$311="","","×")</f>
        <v>×</v>
      </c>
      <c r="E970" s="61" t="s">
        <v>592</v>
      </c>
      <c r="F970" s="302"/>
      <c r="G970" s="302"/>
      <c r="H970" s="61"/>
      <c r="I970" s="61"/>
      <c r="J970" s="61"/>
      <c r="K970" s="61"/>
      <c r="L970" s="61"/>
      <c r="M970" s="61"/>
      <c r="N970" s="61"/>
      <c r="O970" s="61"/>
      <c r="P970" s="61"/>
      <c r="Q970" s="61"/>
      <c r="R970" s="61"/>
      <c r="S970" s="61"/>
      <c r="T970" s="61"/>
      <c r="U970" s="61"/>
      <c r="V970" s="61"/>
      <c r="W970" s="61"/>
      <c r="X970" s="61"/>
      <c r="Y970" s="61"/>
      <c r="Z970" s="61"/>
      <c r="AA970" s="61"/>
      <c r="AB970" s="61"/>
      <c r="AC970" s="61"/>
      <c r="AD970" s="61"/>
      <c r="AE970" s="61"/>
      <c r="AF970" s="61"/>
      <c r="AG970" s="61"/>
      <c r="AH970" s="61"/>
      <c r="AI970" s="8"/>
    </row>
    <row r="971" spans="1:35" s="1" customFormat="1" ht="15.75" customHeight="1" x14ac:dyDescent="0.15">
      <c r="A971" s="73" t="str">
        <f>IF(A$311="","","×")</f>
        <v>×</v>
      </c>
      <c r="E971" s="294" t="s">
        <v>546</v>
      </c>
      <c r="F971" s="292"/>
      <c r="G971" s="292"/>
      <c r="H971" s="292"/>
      <c r="I971" s="292"/>
      <c r="J971" s="292"/>
      <c r="K971" s="292"/>
      <c r="L971" s="292"/>
      <c r="M971" s="292"/>
      <c r="N971" s="292"/>
      <c r="O971" s="292"/>
      <c r="P971" s="292"/>
      <c r="Q971" s="292"/>
      <c r="R971" s="292"/>
      <c r="S971" s="293"/>
      <c r="T971" s="273" t="s">
        <v>547</v>
      </c>
      <c r="U971" s="131"/>
      <c r="V971" s="131"/>
      <c r="W971" s="131"/>
      <c r="X971" s="131"/>
      <c r="Y971" s="131"/>
      <c r="Z971" s="131"/>
      <c r="AA971" s="131"/>
      <c r="AB971" s="131"/>
      <c r="AC971" s="131"/>
      <c r="AD971" s="131"/>
      <c r="AE971" s="131"/>
      <c r="AF971" s="131"/>
      <c r="AG971" s="131"/>
      <c r="AH971" s="132"/>
    </row>
    <row r="972" spans="1:35" s="1" customFormat="1" ht="15.75" customHeight="1" x14ac:dyDescent="0.15">
      <c r="A972" s="73" t="str">
        <f>IF(A$311="","","×")</f>
        <v>×</v>
      </c>
      <c r="E972" s="159" t="s">
        <v>78</v>
      </c>
      <c r="F972" s="160"/>
      <c r="G972" s="291" t="s">
        <v>203</v>
      </c>
      <c r="H972" s="161"/>
      <c r="I972" s="161"/>
      <c r="J972" s="222" t="s">
        <v>247</v>
      </c>
      <c r="K972" s="138"/>
      <c r="L972" s="215"/>
      <c r="M972" s="222" t="s">
        <v>580</v>
      </c>
      <c r="N972" s="138"/>
      <c r="O972" s="215"/>
      <c r="P972" s="222" t="s">
        <v>250</v>
      </c>
      <c r="Q972" s="138"/>
      <c r="R972" s="138"/>
      <c r="S972" s="139"/>
      <c r="T972" s="226" t="s">
        <v>78</v>
      </c>
      <c r="U972" s="106"/>
      <c r="V972" s="216" t="s">
        <v>203</v>
      </c>
      <c r="W972" s="121"/>
      <c r="X972" s="121"/>
      <c r="Y972" s="277" t="s">
        <v>247</v>
      </c>
      <c r="Z972" s="278"/>
      <c r="AA972" s="279"/>
      <c r="AB972" s="277" t="s">
        <v>580</v>
      </c>
      <c r="AC972" s="278"/>
      <c r="AD972" s="279"/>
      <c r="AE972" s="277" t="s">
        <v>250</v>
      </c>
      <c r="AF972" s="278"/>
      <c r="AG972" s="278"/>
      <c r="AH972" s="278"/>
    </row>
    <row r="973" spans="1:35" s="1" customFormat="1" ht="15.75" customHeight="1" x14ac:dyDescent="0.15">
      <c r="A973" s="73" t="str">
        <f>IF(A$311="","","×")</f>
        <v>×</v>
      </c>
      <c r="E973" s="295"/>
      <c r="F973" s="156"/>
      <c r="G973" s="163"/>
      <c r="H973" s="163"/>
      <c r="I973" s="163"/>
      <c r="J973" s="223"/>
      <c r="K973" s="140"/>
      <c r="L973" s="159"/>
      <c r="M973" s="223"/>
      <c r="N973" s="140"/>
      <c r="O973" s="159"/>
      <c r="P973" s="223"/>
      <c r="Q973" s="140"/>
      <c r="R973" s="140"/>
      <c r="S973" s="141"/>
      <c r="T973" s="290"/>
      <c r="U973" s="156"/>
      <c r="V973" s="163"/>
      <c r="W973" s="163"/>
      <c r="X973" s="163"/>
      <c r="Y973" s="223"/>
      <c r="Z973" s="140"/>
      <c r="AA973" s="159"/>
      <c r="AB973" s="223"/>
      <c r="AC973" s="140"/>
      <c r="AD973" s="159"/>
      <c r="AE973" s="223"/>
      <c r="AF973" s="140"/>
      <c r="AG973" s="140"/>
      <c r="AH973" s="140"/>
    </row>
    <row r="974" spans="1:35" s="1" customFormat="1" ht="15.75" customHeight="1" x14ac:dyDescent="0.15">
      <c r="A974" s="73" t="str">
        <f>IF(A$311="",IF(LEN(E974)+LEN(T974)=0,"×",""),"×")</f>
        <v>×</v>
      </c>
      <c r="E974" s="412">
        <v>3</v>
      </c>
      <c r="F974" s="398"/>
      <c r="G974" s="125">
        <v>3</v>
      </c>
      <c r="H974" s="125"/>
      <c r="I974" s="125"/>
      <c r="J974" s="423" t="s">
        <v>582</v>
      </c>
      <c r="K974" s="424"/>
      <c r="L974" s="412"/>
      <c r="M974" s="426">
        <v>0</v>
      </c>
      <c r="N974" s="426"/>
      <c r="O974" s="426"/>
      <c r="P974" s="441">
        <f>IF(M974="","",M974*G974*$AD$991)</f>
        <v>0</v>
      </c>
      <c r="Q974" s="442"/>
      <c r="R974" s="442"/>
      <c r="S974" s="443"/>
      <c r="T974" s="397">
        <v>3</v>
      </c>
      <c r="U974" s="398"/>
      <c r="V974" s="125">
        <v>3</v>
      </c>
      <c r="W974" s="125"/>
      <c r="X974" s="125"/>
      <c r="Y974" s="423" t="s">
        <v>582</v>
      </c>
      <c r="Z974" s="424"/>
      <c r="AA974" s="412"/>
      <c r="AB974" s="426">
        <v>0</v>
      </c>
      <c r="AC974" s="426"/>
      <c r="AD974" s="426"/>
      <c r="AE974" s="441">
        <f>IF(AB974="","",AB974*V974*$AD$991)</f>
        <v>0</v>
      </c>
      <c r="AF974" s="442"/>
      <c r="AG974" s="442"/>
      <c r="AH974" s="442"/>
    </row>
    <row r="975" spans="1:35" s="1" customFormat="1" ht="15.75" customHeight="1" x14ac:dyDescent="0.15">
      <c r="A975" s="73" t="str">
        <f>IF(A$311="",IF(LEN(E975)+LEN(T975)=0,"×",""),"×")</f>
        <v>×</v>
      </c>
      <c r="E975" s="413">
        <v>4</v>
      </c>
      <c r="F975" s="372"/>
      <c r="G975" s="103">
        <v>0.53999996185302734</v>
      </c>
      <c r="H975" s="103"/>
      <c r="I975" s="103"/>
      <c r="J975" s="427" t="s">
        <v>516</v>
      </c>
      <c r="K975" s="428"/>
      <c r="L975" s="413"/>
      <c r="M975" s="429">
        <v>0</v>
      </c>
      <c r="N975" s="429"/>
      <c r="O975" s="429"/>
      <c r="P975" s="444">
        <f>IF(M975="","",M975*G975*$AD$991)</f>
        <v>0</v>
      </c>
      <c r="Q975" s="445"/>
      <c r="R975" s="445"/>
      <c r="S975" s="446"/>
      <c r="T975" s="395">
        <v>4</v>
      </c>
      <c r="U975" s="372"/>
      <c r="V975" s="103">
        <v>0.53999996185302734</v>
      </c>
      <c r="W975" s="103"/>
      <c r="X975" s="103"/>
      <c r="Y975" s="427" t="s">
        <v>516</v>
      </c>
      <c r="Z975" s="428"/>
      <c r="AA975" s="413"/>
      <c r="AB975" s="429">
        <v>0</v>
      </c>
      <c r="AC975" s="429"/>
      <c r="AD975" s="429"/>
      <c r="AE975" s="444">
        <f>IF(AB975="","",AB975*V975*$AD$991)</f>
        <v>0</v>
      </c>
      <c r="AF975" s="445"/>
      <c r="AG975" s="445"/>
      <c r="AH975" s="445"/>
    </row>
    <row r="976" spans="1:35" s="1" customFormat="1" ht="15.75" customHeight="1" x14ac:dyDescent="0.15">
      <c r="A976" s="73" t="str">
        <f>IF(A$311="",IF(LEN(E976)+LEN(T976)=0,"×",""),"×")</f>
        <v>×</v>
      </c>
      <c r="E976" s="413">
        <v>4</v>
      </c>
      <c r="F976" s="372"/>
      <c r="G976" s="103">
        <v>4.4600000381469727</v>
      </c>
      <c r="H976" s="103"/>
      <c r="I976" s="103"/>
      <c r="J976" s="427" t="s">
        <v>516</v>
      </c>
      <c r="K976" s="428"/>
      <c r="L976" s="413"/>
      <c r="M976" s="429">
        <v>45</v>
      </c>
      <c r="N976" s="429"/>
      <c r="O976" s="429"/>
      <c r="P976" s="444">
        <f>IF(M976="","",M976*G976*$AD$991)</f>
        <v>630.51765096837266</v>
      </c>
      <c r="Q976" s="445"/>
      <c r="R976" s="445"/>
      <c r="S976" s="446"/>
      <c r="T976" s="395">
        <v>4</v>
      </c>
      <c r="U976" s="372"/>
      <c r="V976" s="103">
        <v>4.4600000381469727</v>
      </c>
      <c r="W976" s="103"/>
      <c r="X976" s="103"/>
      <c r="Y976" s="427" t="s">
        <v>516</v>
      </c>
      <c r="Z976" s="428"/>
      <c r="AA976" s="413"/>
      <c r="AB976" s="429">
        <v>45</v>
      </c>
      <c r="AC976" s="429"/>
      <c r="AD976" s="429"/>
      <c r="AE976" s="444">
        <f>IF(AB976="","",AB976*V976*$AD$991)</f>
        <v>630.51765096837266</v>
      </c>
      <c r="AF976" s="445"/>
      <c r="AG976" s="445"/>
      <c r="AH976" s="445"/>
    </row>
    <row r="977" spans="1:34" s="1" customFormat="1" ht="15.75" customHeight="1" x14ac:dyDescent="0.15">
      <c r="A977" s="73" t="str">
        <f>IF(A$311="",IF(LEN(E977)+LEN(T977)=0,"×",""),"×")</f>
        <v>×</v>
      </c>
      <c r="E977" s="413">
        <v>5</v>
      </c>
      <c r="F977" s="372"/>
      <c r="G977" s="103">
        <v>8</v>
      </c>
      <c r="H977" s="103"/>
      <c r="I977" s="103"/>
      <c r="J977" s="427" t="s">
        <v>582</v>
      </c>
      <c r="K977" s="428"/>
      <c r="L977" s="413"/>
      <c r="M977" s="429">
        <v>25</v>
      </c>
      <c r="N977" s="429"/>
      <c r="O977" s="429"/>
      <c r="P977" s="444">
        <f>IF(M977="","",M977*G977*$AD$991)</f>
        <v>628.31853071795865</v>
      </c>
      <c r="Q977" s="445"/>
      <c r="R977" s="445"/>
      <c r="S977" s="446"/>
      <c r="T977" s="395">
        <v>5</v>
      </c>
      <c r="U977" s="372"/>
      <c r="V977" s="103">
        <v>8</v>
      </c>
      <c r="W977" s="103"/>
      <c r="X977" s="103"/>
      <c r="Y977" s="427" t="s">
        <v>582</v>
      </c>
      <c r="Z977" s="428"/>
      <c r="AA977" s="413"/>
      <c r="AB977" s="429">
        <v>25</v>
      </c>
      <c r="AC977" s="429"/>
      <c r="AD977" s="429"/>
      <c r="AE977" s="444">
        <f>IF(AB977="","",AB977*V977*$AD$991)</f>
        <v>628.31853071795865</v>
      </c>
      <c r="AF977" s="445"/>
      <c r="AG977" s="445"/>
      <c r="AH977" s="445"/>
    </row>
    <row r="978" spans="1:34" s="1" customFormat="1" ht="15.75" customHeight="1" x14ac:dyDescent="0.15">
      <c r="A978" s="73" t="str">
        <f>IF(A$311="",IF(LEN(E978)+LEN(T978)=0,"×",""),"×")</f>
        <v>×</v>
      </c>
      <c r="E978" s="413">
        <v>6</v>
      </c>
      <c r="F978" s="372"/>
      <c r="G978" s="103">
        <v>4</v>
      </c>
      <c r="H978" s="103"/>
      <c r="I978" s="103"/>
      <c r="J978" s="427" t="s">
        <v>582</v>
      </c>
      <c r="K978" s="428"/>
      <c r="L978" s="413"/>
      <c r="M978" s="429">
        <v>50</v>
      </c>
      <c r="N978" s="429"/>
      <c r="O978" s="429"/>
      <c r="P978" s="444">
        <f>IF(M978="","",M978*G978*$AD$991)</f>
        <v>628.31853071795865</v>
      </c>
      <c r="Q978" s="445"/>
      <c r="R978" s="445"/>
      <c r="S978" s="446"/>
      <c r="T978" s="395">
        <v>6</v>
      </c>
      <c r="U978" s="372"/>
      <c r="V978" s="103">
        <v>4.5</v>
      </c>
      <c r="W978" s="103"/>
      <c r="X978" s="103"/>
      <c r="Y978" s="427" t="s">
        <v>582</v>
      </c>
      <c r="Z978" s="428"/>
      <c r="AA978" s="413"/>
      <c r="AB978" s="429">
        <v>50</v>
      </c>
      <c r="AC978" s="429"/>
      <c r="AD978" s="429"/>
      <c r="AE978" s="444">
        <f>IF(AB978="","",AB978*V978*$AD$991)</f>
        <v>706.85834705770344</v>
      </c>
      <c r="AF978" s="445"/>
      <c r="AG978" s="445"/>
      <c r="AH978" s="445"/>
    </row>
    <row r="979" spans="1:34" s="1" customFormat="1" ht="15.75" customHeight="1" x14ac:dyDescent="0.15">
      <c r="A979" s="73" t="str">
        <f>IF(A$311="",IF(LEN(E979)+LEN(T979)=0,"×",""),"×")</f>
        <v>×</v>
      </c>
      <c r="E979" s="413">
        <v>6</v>
      </c>
      <c r="F979" s="372"/>
      <c r="G979" s="103">
        <v>0.5</v>
      </c>
      <c r="H979" s="103"/>
      <c r="I979" s="103"/>
      <c r="J979" s="427" t="s">
        <v>582</v>
      </c>
      <c r="K979" s="428"/>
      <c r="L979" s="413"/>
      <c r="M979" s="429">
        <v>0</v>
      </c>
      <c r="N979" s="429"/>
      <c r="O979" s="429"/>
      <c r="P979" s="444">
        <f>IF(M979="","",M979*G979*$AD$991)</f>
        <v>0</v>
      </c>
      <c r="Q979" s="445"/>
      <c r="R979" s="445"/>
      <c r="S979" s="446"/>
      <c r="T979" s="395">
        <v>7</v>
      </c>
      <c r="U979" s="372"/>
      <c r="V979" s="103">
        <v>0.5</v>
      </c>
      <c r="W979" s="103"/>
      <c r="X979" s="103"/>
      <c r="Y979" s="427" t="s">
        <v>517</v>
      </c>
      <c r="Z979" s="428"/>
      <c r="AA979" s="413"/>
      <c r="AB979" s="429">
        <v>150</v>
      </c>
      <c r="AC979" s="429"/>
      <c r="AD979" s="429"/>
      <c r="AE979" s="444">
        <f>IF(AB979="","",AB979*V979*$AD$991)</f>
        <v>235.61944901923448</v>
      </c>
      <c r="AF979" s="445"/>
      <c r="AG979" s="445"/>
      <c r="AH979" s="445"/>
    </row>
    <row r="980" spans="1:34" s="1" customFormat="1" ht="15.75" customHeight="1" x14ac:dyDescent="0.15">
      <c r="A980" s="73" t="str">
        <f>IF(A$311="",IF(LEN(E980)+LEN(T980)=0,"×",""),"×")</f>
        <v>×</v>
      </c>
      <c r="E980" s="413">
        <v>7</v>
      </c>
      <c r="F980" s="372"/>
      <c r="G980" s="103">
        <v>0.5</v>
      </c>
      <c r="H980" s="103"/>
      <c r="I980" s="103"/>
      <c r="J980" s="427" t="s">
        <v>517</v>
      </c>
      <c r="K980" s="428"/>
      <c r="L980" s="413"/>
      <c r="M980" s="429">
        <v>0</v>
      </c>
      <c r="N980" s="429"/>
      <c r="O980" s="429"/>
      <c r="P980" s="444">
        <f>IF(M980="","",M980*G980*$AD$991)</f>
        <v>0</v>
      </c>
      <c r="Q980" s="445"/>
      <c r="R980" s="445"/>
      <c r="S980" s="446"/>
      <c r="T980" s="395"/>
      <c r="U980" s="372"/>
      <c r="V980" s="103"/>
      <c r="W980" s="103"/>
      <c r="X980" s="103"/>
      <c r="Y980" s="427"/>
      <c r="Z980" s="428"/>
      <c r="AA980" s="413"/>
      <c r="AB980" s="429"/>
      <c r="AC980" s="429"/>
      <c r="AD980" s="429"/>
      <c r="AE980" s="444" t="str">
        <f>IF(AB980="","",AB980*V980*$AD$991)</f>
        <v/>
      </c>
      <c r="AF980" s="445"/>
      <c r="AG980" s="445"/>
      <c r="AH980" s="445"/>
    </row>
    <row r="981" spans="1:34" s="1" customFormat="1" ht="15.75" customHeight="1" x14ac:dyDescent="0.15">
      <c r="A981" s="73" t="str">
        <f>IF(A$311="",IF(LEN(E981)+LEN(T981)=0,"×",""),"×")</f>
        <v>×</v>
      </c>
      <c r="E981" s="413"/>
      <c r="F981" s="372"/>
      <c r="G981" s="103"/>
      <c r="H981" s="103"/>
      <c r="I981" s="103"/>
      <c r="J981" s="427"/>
      <c r="K981" s="428"/>
      <c r="L981" s="413"/>
      <c r="M981" s="429"/>
      <c r="N981" s="429"/>
      <c r="O981" s="429"/>
      <c r="P981" s="444" t="str">
        <f>IF(M981="","",M981*G981*$AD$991)</f>
        <v/>
      </c>
      <c r="Q981" s="445"/>
      <c r="R981" s="445"/>
      <c r="S981" s="446"/>
      <c r="T981" s="395"/>
      <c r="U981" s="372"/>
      <c r="V981" s="103"/>
      <c r="W981" s="103"/>
      <c r="X981" s="103"/>
      <c r="Y981" s="427"/>
      <c r="Z981" s="428"/>
      <c r="AA981" s="413"/>
      <c r="AB981" s="429"/>
      <c r="AC981" s="429"/>
      <c r="AD981" s="429"/>
      <c r="AE981" s="444" t="str">
        <f>IF(AB981="","",AB981*V981*$AD$991)</f>
        <v/>
      </c>
      <c r="AF981" s="445"/>
      <c r="AG981" s="445"/>
      <c r="AH981" s="445"/>
    </row>
    <row r="982" spans="1:34" s="1" customFormat="1" ht="15.75" customHeight="1" x14ac:dyDescent="0.15">
      <c r="A982" s="73" t="str">
        <f>IF(A$311="",IF(LEN(E982)+LEN(T982)=0,"×",""),"×")</f>
        <v>×</v>
      </c>
      <c r="E982" s="413"/>
      <c r="F982" s="372"/>
      <c r="G982" s="103"/>
      <c r="H982" s="103"/>
      <c r="I982" s="103"/>
      <c r="J982" s="427"/>
      <c r="K982" s="428"/>
      <c r="L982" s="413"/>
      <c r="M982" s="429"/>
      <c r="N982" s="429"/>
      <c r="O982" s="429"/>
      <c r="P982" s="444" t="str">
        <f>IF(M982="","",M982*G982*$AD$991)</f>
        <v/>
      </c>
      <c r="Q982" s="445"/>
      <c r="R982" s="445"/>
      <c r="S982" s="446"/>
      <c r="T982" s="395"/>
      <c r="U982" s="372"/>
      <c r="V982" s="103"/>
      <c r="W982" s="103"/>
      <c r="X982" s="103"/>
      <c r="Y982" s="427"/>
      <c r="Z982" s="428"/>
      <c r="AA982" s="413"/>
      <c r="AB982" s="429"/>
      <c r="AC982" s="429"/>
      <c r="AD982" s="429"/>
      <c r="AE982" s="444" t="str">
        <f>IF(AB982="","",AB982*V982*$AD$991)</f>
        <v/>
      </c>
      <c r="AF982" s="445"/>
      <c r="AG982" s="445"/>
      <c r="AH982" s="445"/>
    </row>
    <row r="983" spans="1:34" s="1" customFormat="1" ht="15.75" customHeight="1" x14ac:dyDescent="0.15">
      <c r="A983" s="73" t="str">
        <f>IF(A$311="",IF(LEN(E983)+LEN(T983)=0,"×",""),"×")</f>
        <v>×</v>
      </c>
      <c r="E983" s="413"/>
      <c r="F983" s="372"/>
      <c r="G983" s="103"/>
      <c r="H983" s="103"/>
      <c r="I983" s="103"/>
      <c r="J983" s="427"/>
      <c r="K983" s="428"/>
      <c r="L983" s="413"/>
      <c r="M983" s="429"/>
      <c r="N983" s="429"/>
      <c r="O983" s="429"/>
      <c r="P983" s="444" t="str">
        <f>IF(M983="","",M983*G983*$AD$991)</f>
        <v/>
      </c>
      <c r="Q983" s="445"/>
      <c r="R983" s="445"/>
      <c r="S983" s="446"/>
      <c r="T983" s="395"/>
      <c r="U983" s="372"/>
      <c r="V983" s="103"/>
      <c r="W983" s="103"/>
      <c r="X983" s="103"/>
      <c r="Y983" s="427"/>
      <c r="Z983" s="428"/>
      <c r="AA983" s="413"/>
      <c r="AB983" s="429"/>
      <c r="AC983" s="429"/>
      <c r="AD983" s="429"/>
      <c r="AE983" s="444" t="str">
        <f>IF(AB983="","",AB983*V983*$AD$991)</f>
        <v/>
      </c>
      <c r="AF983" s="445"/>
      <c r="AG983" s="445"/>
      <c r="AH983" s="445"/>
    </row>
    <row r="984" spans="1:34" s="1" customFormat="1" ht="15.75" customHeight="1" x14ac:dyDescent="0.15">
      <c r="A984" s="73" t="str">
        <f>IF(A$311="",IF(LEN(E984)+LEN(T984)=0,"×",""),"×")</f>
        <v>×</v>
      </c>
      <c r="E984" s="413"/>
      <c r="F984" s="372"/>
      <c r="G984" s="103"/>
      <c r="H984" s="103"/>
      <c r="I984" s="103"/>
      <c r="J984" s="427"/>
      <c r="K984" s="428"/>
      <c r="L984" s="413"/>
      <c r="M984" s="429"/>
      <c r="N984" s="429"/>
      <c r="O984" s="429"/>
      <c r="P984" s="444" t="str">
        <f>IF(M984="","",M984*G984*$AD$991)</f>
        <v/>
      </c>
      <c r="Q984" s="445"/>
      <c r="R984" s="445"/>
      <c r="S984" s="446"/>
      <c r="T984" s="395"/>
      <c r="U984" s="372"/>
      <c r="V984" s="103"/>
      <c r="W984" s="103"/>
      <c r="X984" s="103"/>
      <c r="Y984" s="427"/>
      <c r="Z984" s="428"/>
      <c r="AA984" s="413"/>
      <c r="AB984" s="429"/>
      <c r="AC984" s="429"/>
      <c r="AD984" s="429"/>
      <c r="AE984" s="444" t="str">
        <f>IF(AB984="","",AB984*V984*$AD$991)</f>
        <v/>
      </c>
      <c r="AF984" s="445"/>
      <c r="AG984" s="445"/>
      <c r="AH984" s="445"/>
    </row>
    <row r="985" spans="1:34" s="1" customFormat="1" ht="15.75" customHeight="1" x14ac:dyDescent="0.15">
      <c r="A985" s="73" t="str">
        <f>IF(A$311="",IF(LEN(E985)+LEN(T985)=0,"×",""),"×")</f>
        <v>×</v>
      </c>
      <c r="E985" s="413"/>
      <c r="F985" s="372"/>
      <c r="G985" s="103"/>
      <c r="H985" s="103"/>
      <c r="I985" s="103"/>
      <c r="J985" s="427"/>
      <c r="K985" s="428"/>
      <c r="L985" s="413"/>
      <c r="M985" s="429"/>
      <c r="N985" s="429"/>
      <c r="O985" s="429"/>
      <c r="P985" s="444" t="str">
        <f>IF(M985="","",M985*G985*$AD$991)</f>
        <v/>
      </c>
      <c r="Q985" s="445"/>
      <c r="R985" s="445"/>
      <c r="S985" s="446"/>
      <c r="T985" s="395"/>
      <c r="U985" s="372"/>
      <c r="V985" s="103"/>
      <c r="W985" s="103"/>
      <c r="X985" s="103"/>
      <c r="Y985" s="427"/>
      <c r="Z985" s="428"/>
      <c r="AA985" s="413"/>
      <c r="AB985" s="429"/>
      <c r="AC985" s="429"/>
      <c r="AD985" s="429"/>
      <c r="AE985" s="444" t="str">
        <f>IF(AB985="","",AB985*V985*$AD$991)</f>
        <v/>
      </c>
      <c r="AF985" s="445"/>
      <c r="AG985" s="445"/>
      <c r="AH985" s="445"/>
    </row>
    <row r="986" spans="1:34" s="1" customFormat="1" ht="15.75" customHeight="1" x14ac:dyDescent="0.15">
      <c r="A986" s="73" t="str">
        <f>IF(A$311="",IF(LEN(E986)+LEN(T986)=0,"×",""),"×")</f>
        <v>×</v>
      </c>
      <c r="E986" s="413"/>
      <c r="F986" s="372"/>
      <c r="G986" s="103"/>
      <c r="H986" s="103"/>
      <c r="I986" s="103"/>
      <c r="J986" s="427"/>
      <c r="K986" s="428"/>
      <c r="L986" s="413"/>
      <c r="M986" s="429"/>
      <c r="N986" s="429"/>
      <c r="O986" s="429"/>
      <c r="P986" s="444" t="str">
        <f>IF(M986="","",M986*G986*$AD$991)</f>
        <v/>
      </c>
      <c r="Q986" s="445"/>
      <c r="R986" s="445"/>
      <c r="S986" s="446"/>
      <c r="T986" s="395"/>
      <c r="U986" s="372"/>
      <c r="V986" s="103"/>
      <c r="W986" s="103"/>
      <c r="X986" s="103"/>
      <c r="Y986" s="427"/>
      <c r="Z986" s="428"/>
      <c r="AA986" s="413"/>
      <c r="AB986" s="429"/>
      <c r="AC986" s="429"/>
      <c r="AD986" s="429"/>
      <c r="AE986" s="444" t="str">
        <f>IF(AB986="","",AB986*V986*$AD$991)</f>
        <v/>
      </c>
      <c r="AF986" s="445"/>
      <c r="AG986" s="445"/>
      <c r="AH986" s="445"/>
    </row>
    <row r="987" spans="1:34" s="1" customFormat="1" ht="15.75" customHeight="1" x14ac:dyDescent="0.15">
      <c r="A987" s="73" t="str">
        <f>IF(A$311="",IF(LEN(E987)+LEN(T987)=0,"×",""),"×")</f>
        <v>×</v>
      </c>
      <c r="E987" s="413"/>
      <c r="F987" s="372"/>
      <c r="G987" s="103"/>
      <c r="H987" s="103"/>
      <c r="I987" s="103"/>
      <c r="J987" s="427"/>
      <c r="K987" s="428"/>
      <c r="L987" s="413"/>
      <c r="M987" s="429"/>
      <c r="N987" s="429"/>
      <c r="O987" s="429"/>
      <c r="P987" s="444" t="str">
        <f>IF(M987="","",M987*G987*$AD$991)</f>
        <v/>
      </c>
      <c r="Q987" s="445"/>
      <c r="R987" s="445"/>
      <c r="S987" s="446"/>
      <c r="T987" s="395"/>
      <c r="U987" s="372"/>
      <c r="V987" s="103"/>
      <c r="W987" s="103"/>
      <c r="X987" s="103"/>
      <c r="Y987" s="427"/>
      <c r="Z987" s="428"/>
      <c r="AA987" s="413"/>
      <c r="AB987" s="429"/>
      <c r="AC987" s="429"/>
      <c r="AD987" s="429"/>
      <c r="AE987" s="444" t="str">
        <f>IF(AB987="","",AB987*V987*$AD$991)</f>
        <v/>
      </c>
      <c r="AF987" s="445"/>
      <c r="AG987" s="445"/>
      <c r="AH987" s="445"/>
    </row>
    <row r="988" spans="1:34" s="1" customFormat="1" ht="15.75" customHeight="1" x14ac:dyDescent="0.15">
      <c r="A988" s="73" t="str">
        <f>IF(A$311="",IF(LEN(E988)+LEN(T988)=0,"×",""),"×")</f>
        <v>×</v>
      </c>
      <c r="E988" s="413"/>
      <c r="F988" s="372"/>
      <c r="G988" s="103"/>
      <c r="H988" s="103"/>
      <c r="I988" s="103"/>
      <c r="J988" s="427"/>
      <c r="K988" s="428"/>
      <c r="L988" s="413"/>
      <c r="M988" s="429"/>
      <c r="N988" s="429"/>
      <c r="O988" s="429"/>
      <c r="P988" s="444" t="str">
        <f>IF(M988="","",M988*G988*$AD$991)</f>
        <v/>
      </c>
      <c r="Q988" s="445"/>
      <c r="R988" s="445"/>
      <c r="S988" s="446"/>
      <c r="T988" s="395"/>
      <c r="U988" s="372"/>
      <c r="V988" s="103"/>
      <c r="W988" s="103"/>
      <c r="X988" s="103"/>
      <c r="Y988" s="427"/>
      <c r="Z988" s="428"/>
      <c r="AA988" s="413"/>
      <c r="AB988" s="429"/>
      <c r="AC988" s="429"/>
      <c r="AD988" s="429"/>
      <c r="AE988" s="444" t="str">
        <f>IF(AB988="","",AB988*V988*$AD$991)</f>
        <v/>
      </c>
      <c r="AF988" s="445"/>
      <c r="AG988" s="445"/>
      <c r="AH988" s="445"/>
    </row>
    <row r="989" spans="1:34" s="1" customFormat="1" ht="15.75" customHeight="1" x14ac:dyDescent="0.15">
      <c r="A989" s="73" t="str">
        <f>IF(A$311="",IF(LEN(E989)+LEN(T989)=0,"×",""),"×")</f>
        <v>×</v>
      </c>
      <c r="E989" s="413"/>
      <c r="F989" s="372"/>
      <c r="G989" s="103"/>
      <c r="H989" s="103"/>
      <c r="I989" s="103"/>
      <c r="J989" s="427"/>
      <c r="K989" s="428"/>
      <c r="L989" s="413"/>
      <c r="M989" s="429"/>
      <c r="N989" s="429"/>
      <c r="O989" s="429"/>
      <c r="P989" s="444" t="str">
        <f>IF(M989="","",M989*G989*$AD$991)</f>
        <v/>
      </c>
      <c r="Q989" s="445"/>
      <c r="R989" s="445"/>
      <c r="S989" s="446"/>
      <c r="T989" s="395"/>
      <c r="U989" s="372"/>
      <c r="V989" s="103"/>
      <c r="W989" s="103"/>
      <c r="X989" s="103"/>
      <c r="Y989" s="427"/>
      <c r="Z989" s="428"/>
      <c r="AA989" s="413"/>
      <c r="AB989" s="429"/>
      <c r="AC989" s="429"/>
      <c r="AD989" s="429"/>
      <c r="AE989" s="444" t="str">
        <f>IF(AB989="","",AB989*V989*$AD$991)</f>
        <v/>
      </c>
      <c r="AF989" s="445"/>
      <c r="AG989" s="445"/>
      <c r="AH989" s="445"/>
    </row>
    <row r="990" spans="1:34" s="1" customFormat="1" ht="15.75" customHeight="1" x14ac:dyDescent="0.15">
      <c r="A990" s="73" t="str">
        <f>IF(A$311="","","×")</f>
        <v>×</v>
      </c>
      <c r="E990" s="233" t="s">
        <v>581</v>
      </c>
      <c r="F990" s="234"/>
      <c r="G990" s="450">
        <f>ROUND(SUM(P974:S989),1)</f>
        <v>1887.2</v>
      </c>
      <c r="H990" s="451"/>
      <c r="I990" s="451"/>
      <c r="J990" s="451"/>
      <c r="K990" s="451"/>
      <c r="L990" s="451"/>
      <c r="M990" s="451"/>
      <c r="N990" s="451"/>
      <c r="O990" s="451"/>
      <c r="P990" s="451"/>
      <c r="Q990" s="451"/>
      <c r="R990" s="451"/>
      <c r="S990" s="452"/>
      <c r="T990" s="401" t="s">
        <v>581</v>
      </c>
      <c r="U990" s="234"/>
      <c r="V990" s="450">
        <f>ROUND(SUM(AE974:AH989),1)</f>
        <v>2201.3000000000002</v>
      </c>
      <c r="W990" s="451"/>
      <c r="X990" s="451"/>
      <c r="Y990" s="451"/>
      <c r="Z990" s="451"/>
      <c r="AA990" s="451"/>
      <c r="AB990" s="451"/>
      <c r="AC990" s="451"/>
      <c r="AD990" s="451"/>
      <c r="AE990" s="451"/>
      <c r="AF990" s="451"/>
      <c r="AG990" s="451"/>
      <c r="AH990" s="451"/>
    </row>
    <row r="991" spans="1:34" s="1" customFormat="1" ht="15.75" customHeight="1" x14ac:dyDescent="0.15">
      <c r="A991" s="73" t="str">
        <f>IF(A$311="","","×")</f>
        <v>×</v>
      </c>
      <c r="E991" s="8"/>
      <c r="F991" s="8"/>
      <c r="G991" s="8"/>
      <c r="H991" s="8"/>
      <c r="I991" s="8"/>
      <c r="J991" s="8"/>
      <c r="K991" s="8"/>
      <c r="L991" s="8"/>
      <c r="M991" s="8"/>
      <c r="N991" s="8"/>
      <c r="O991" s="8"/>
      <c r="AA991" s="2" t="s">
        <v>127</v>
      </c>
      <c r="AB991" s="1" t="s">
        <v>548</v>
      </c>
      <c r="AC991" s="76" t="s">
        <v>27</v>
      </c>
      <c r="AD991" s="304">
        <f>AD967</f>
        <v>3.1415926535897931</v>
      </c>
      <c r="AE991" s="304"/>
      <c r="AF991" s="304"/>
      <c r="AG991" s="7" t="s">
        <v>549</v>
      </c>
      <c r="AH991" s="76" t="s">
        <v>158</v>
      </c>
    </row>
    <row r="992" spans="1:34" ht="15.75" customHeight="1" x14ac:dyDescent="0.15">
      <c r="A992" s="73" t="str">
        <f>IF(A$311="","","×")</f>
        <v>×</v>
      </c>
    </row>
    <row r="994" spans="1:35" s="1" customFormat="1" ht="15.75" customHeight="1" x14ac:dyDescent="0.15">
      <c r="E994" s="61" t="s">
        <v>599</v>
      </c>
      <c r="F994" s="302"/>
      <c r="G994" s="302"/>
      <c r="H994" s="61"/>
      <c r="I994" s="61"/>
      <c r="J994" s="61"/>
      <c r="K994" s="61"/>
      <c r="L994" s="61"/>
      <c r="M994" s="61"/>
      <c r="N994" s="61"/>
      <c r="O994" s="61"/>
      <c r="P994" s="61"/>
      <c r="Q994" s="61"/>
      <c r="R994" s="61"/>
      <c r="S994" s="61"/>
      <c r="T994" s="61"/>
      <c r="U994" s="61"/>
      <c r="V994" s="61"/>
      <c r="W994" s="61"/>
      <c r="X994" s="61"/>
      <c r="Y994" s="61"/>
      <c r="Z994" s="61"/>
      <c r="AA994" s="61"/>
      <c r="AB994" s="61"/>
      <c r="AC994" s="61"/>
      <c r="AD994" s="61"/>
      <c r="AE994" s="61"/>
      <c r="AF994" s="61"/>
      <c r="AG994" s="61"/>
      <c r="AH994" s="61"/>
      <c r="AI994" s="8"/>
    </row>
    <row r="995" spans="1:35" s="1" customFormat="1" ht="15.75" customHeight="1" x14ac:dyDescent="0.15">
      <c r="E995" s="294" t="s">
        <v>546</v>
      </c>
      <c r="F995" s="292"/>
      <c r="G995" s="292"/>
      <c r="H995" s="292"/>
      <c r="I995" s="292"/>
      <c r="J995" s="292"/>
      <c r="K995" s="292"/>
      <c r="L995" s="292"/>
      <c r="M995" s="292"/>
      <c r="N995" s="292"/>
      <c r="O995" s="292"/>
      <c r="P995" s="292"/>
      <c r="Q995" s="292"/>
      <c r="R995" s="292"/>
      <c r="S995" s="293"/>
      <c r="T995" s="273" t="s">
        <v>547</v>
      </c>
      <c r="U995" s="131"/>
      <c r="V995" s="131"/>
      <c r="W995" s="131"/>
      <c r="X995" s="131"/>
      <c r="Y995" s="131"/>
      <c r="Z995" s="131"/>
      <c r="AA995" s="131"/>
      <c r="AB995" s="131"/>
      <c r="AC995" s="131"/>
      <c r="AD995" s="131"/>
      <c r="AE995" s="131"/>
      <c r="AF995" s="131"/>
      <c r="AG995" s="131"/>
      <c r="AH995" s="132"/>
    </row>
    <row r="996" spans="1:35" s="1" customFormat="1" ht="15.75" customHeight="1" x14ac:dyDescent="0.15">
      <c r="E996" s="159" t="s">
        <v>78</v>
      </c>
      <c r="F996" s="160"/>
      <c r="G996" s="291" t="s">
        <v>203</v>
      </c>
      <c r="H996" s="161"/>
      <c r="I996" s="161"/>
      <c r="J996" s="222" t="s">
        <v>247</v>
      </c>
      <c r="K996" s="138"/>
      <c r="L996" s="215"/>
      <c r="M996" s="222" t="s">
        <v>580</v>
      </c>
      <c r="N996" s="138"/>
      <c r="O996" s="215"/>
      <c r="P996" s="222" t="s">
        <v>250</v>
      </c>
      <c r="Q996" s="138"/>
      <c r="R996" s="138"/>
      <c r="S996" s="139"/>
      <c r="T996" s="226" t="s">
        <v>78</v>
      </c>
      <c r="U996" s="106"/>
      <c r="V996" s="216" t="s">
        <v>203</v>
      </c>
      <c r="W996" s="121"/>
      <c r="X996" s="121"/>
      <c r="Y996" s="277" t="s">
        <v>247</v>
      </c>
      <c r="Z996" s="278"/>
      <c r="AA996" s="279"/>
      <c r="AB996" s="277" t="s">
        <v>580</v>
      </c>
      <c r="AC996" s="278"/>
      <c r="AD996" s="279"/>
      <c r="AE996" s="277" t="s">
        <v>250</v>
      </c>
      <c r="AF996" s="278"/>
      <c r="AG996" s="278"/>
      <c r="AH996" s="278"/>
    </row>
    <row r="997" spans="1:35" s="1" customFormat="1" ht="15.75" customHeight="1" x14ac:dyDescent="0.15">
      <c r="E997" s="295"/>
      <c r="F997" s="156"/>
      <c r="G997" s="163"/>
      <c r="H997" s="163"/>
      <c r="I997" s="163"/>
      <c r="J997" s="223"/>
      <c r="K997" s="140"/>
      <c r="L997" s="159"/>
      <c r="M997" s="223"/>
      <c r="N997" s="140"/>
      <c r="O997" s="159"/>
      <c r="P997" s="223"/>
      <c r="Q997" s="140"/>
      <c r="R997" s="140"/>
      <c r="S997" s="141"/>
      <c r="T997" s="290"/>
      <c r="U997" s="156"/>
      <c r="V997" s="163"/>
      <c r="W997" s="163"/>
      <c r="X997" s="163"/>
      <c r="Y997" s="223"/>
      <c r="Z997" s="140"/>
      <c r="AA997" s="159"/>
      <c r="AB997" s="223"/>
      <c r="AC997" s="140"/>
      <c r="AD997" s="159"/>
      <c r="AE997" s="223"/>
      <c r="AF997" s="140"/>
      <c r="AG997" s="140"/>
      <c r="AH997" s="140"/>
    </row>
    <row r="998" spans="1:35" s="1" customFormat="1" ht="15.75" customHeight="1" x14ac:dyDescent="0.15">
      <c r="A998" s="73" t="str">
        <f>IF(LEN(E998)+LEN(T998)=0,"×","")</f>
        <v/>
      </c>
      <c r="E998" s="412">
        <v>3</v>
      </c>
      <c r="F998" s="398"/>
      <c r="G998" s="125">
        <v>3</v>
      </c>
      <c r="H998" s="125"/>
      <c r="I998" s="125"/>
      <c r="J998" s="423" t="s">
        <v>582</v>
      </c>
      <c r="K998" s="424"/>
      <c r="L998" s="412"/>
      <c r="M998" s="426">
        <v>0</v>
      </c>
      <c r="N998" s="426"/>
      <c r="O998" s="426"/>
      <c r="P998" s="441">
        <f>IF(M998="","",M998*G998*$AD$1015)</f>
        <v>0</v>
      </c>
      <c r="Q998" s="442"/>
      <c r="R998" s="442"/>
      <c r="S998" s="443"/>
      <c r="T998" s="397">
        <v>3</v>
      </c>
      <c r="U998" s="398"/>
      <c r="V998" s="125">
        <v>3</v>
      </c>
      <c r="W998" s="125"/>
      <c r="X998" s="125"/>
      <c r="Y998" s="423" t="s">
        <v>582</v>
      </c>
      <c r="Z998" s="424"/>
      <c r="AA998" s="412"/>
      <c r="AB998" s="426">
        <v>0</v>
      </c>
      <c r="AC998" s="426"/>
      <c r="AD998" s="426"/>
      <c r="AE998" s="441">
        <f>IF(AB998="","",AB998*V998*$AD$1015)</f>
        <v>0</v>
      </c>
      <c r="AF998" s="442"/>
      <c r="AG998" s="442"/>
      <c r="AH998" s="442"/>
    </row>
    <row r="999" spans="1:35" s="1" customFormat="1" ht="15.75" customHeight="1" x14ac:dyDescent="0.15">
      <c r="A999" s="73" t="str">
        <f>IF(LEN(E999)+LEN(T999)=0,"×","")</f>
        <v/>
      </c>
      <c r="E999" s="413">
        <v>4</v>
      </c>
      <c r="F999" s="372"/>
      <c r="G999" s="103">
        <v>0.53999996185302734</v>
      </c>
      <c r="H999" s="103"/>
      <c r="I999" s="103"/>
      <c r="J999" s="427" t="s">
        <v>516</v>
      </c>
      <c r="K999" s="428"/>
      <c r="L999" s="413"/>
      <c r="M999" s="429">
        <v>0</v>
      </c>
      <c r="N999" s="429"/>
      <c r="O999" s="429"/>
      <c r="P999" s="444">
        <f>IF(M999="","",M999*G999*$AD$1015)</f>
        <v>0</v>
      </c>
      <c r="Q999" s="445"/>
      <c r="R999" s="445"/>
      <c r="S999" s="446"/>
      <c r="T999" s="395">
        <v>4</v>
      </c>
      <c r="U999" s="372"/>
      <c r="V999" s="103">
        <v>0.53999996185302734</v>
      </c>
      <c r="W999" s="103"/>
      <c r="X999" s="103"/>
      <c r="Y999" s="427" t="s">
        <v>516</v>
      </c>
      <c r="Z999" s="428"/>
      <c r="AA999" s="413"/>
      <c r="AB999" s="429">
        <v>0</v>
      </c>
      <c r="AC999" s="429"/>
      <c r="AD999" s="429"/>
      <c r="AE999" s="444">
        <f>IF(AB999="","",AB999*V999*$AD$1015)</f>
        <v>0</v>
      </c>
      <c r="AF999" s="445"/>
      <c r="AG999" s="445"/>
      <c r="AH999" s="445"/>
    </row>
    <row r="1000" spans="1:35" s="1" customFormat="1" ht="15.75" customHeight="1" x14ac:dyDescent="0.15">
      <c r="A1000" s="73" t="str">
        <f>IF(LEN(E1000)+LEN(T1000)=0,"×","")</f>
        <v/>
      </c>
      <c r="E1000" s="413">
        <v>4</v>
      </c>
      <c r="F1000" s="372"/>
      <c r="G1000" s="103">
        <v>4.4600000381469727</v>
      </c>
      <c r="H1000" s="103"/>
      <c r="I1000" s="103"/>
      <c r="J1000" s="427" t="s">
        <v>516</v>
      </c>
      <c r="K1000" s="428"/>
      <c r="L1000" s="413"/>
      <c r="M1000" s="429">
        <v>45</v>
      </c>
      <c r="N1000" s="429"/>
      <c r="O1000" s="429"/>
      <c r="P1000" s="444">
        <f>IF(M1000="","",M1000*G1000*$AD$1015)</f>
        <v>630.51765096837266</v>
      </c>
      <c r="Q1000" s="445"/>
      <c r="R1000" s="445"/>
      <c r="S1000" s="446"/>
      <c r="T1000" s="395">
        <v>4</v>
      </c>
      <c r="U1000" s="372"/>
      <c r="V1000" s="103">
        <v>4.4600000381469727</v>
      </c>
      <c r="W1000" s="103"/>
      <c r="X1000" s="103"/>
      <c r="Y1000" s="427" t="s">
        <v>516</v>
      </c>
      <c r="Z1000" s="428"/>
      <c r="AA1000" s="413"/>
      <c r="AB1000" s="429">
        <v>45</v>
      </c>
      <c r="AC1000" s="429"/>
      <c r="AD1000" s="429"/>
      <c r="AE1000" s="444">
        <f>IF(AB1000="","",AB1000*V1000*$AD$1015)</f>
        <v>630.51765096837266</v>
      </c>
      <c r="AF1000" s="445"/>
      <c r="AG1000" s="445"/>
      <c r="AH1000" s="445"/>
    </row>
    <row r="1001" spans="1:35" s="1" customFormat="1" ht="15.75" customHeight="1" x14ac:dyDescent="0.15">
      <c r="A1001" s="73" t="str">
        <f>IF(LEN(E1001)+LEN(T1001)=0,"×","")</f>
        <v/>
      </c>
      <c r="E1001" s="413">
        <v>5</v>
      </c>
      <c r="F1001" s="372"/>
      <c r="G1001" s="103">
        <v>8</v>
      </c>
      <c r="H1001" s="103"/>
      <c r="I1001" s="103"/>
      <c r="J1001" s="427" t="s">
        <v>582</v>
      </c>
      <c r="K1001" s="428"/>
      <c r="L1001" s="413"/>
      <c r="M1001" s="429">
        <v>25</v>
      </c>
      <c r="N1001" s="429"/>
      <c r="O1001" s="429"/>
      <c r="P1001" s="444">
        <f>IF(M1001="","",M1001*G1001*$AD$1015)</f>
        <v>628.31853071795865</v>
      </c>
      <c r="Q1001" s="445"/>
      <c r="R1001" s="445"/>
      <c r="S1001" s="446"/>
      <c r="T1001" s="395">
        <v>5</v>
      </c>
      <c r="U1001" s="372"/>
      <c r="V1001" s="103">
        <v>8</v>
      </c>
      <c r="W1001" s="103"/>
      <c r="X1001" s="103"/>
      <c r="Y1001" s="427" t="s">
        <v>582</v>
      </c>
      <c r="Z1001" s="428"/>
      <c r="AA1001" s="413"/>
      <c r="AB1001" s="429">
        <v>25</v>
      </c>
      <c r="AC1001" s="429"/>
      <c r="AD1001" s="429"/>
      <c r="AE1001" s="444">
        <f>IF(AB1001="","",AB1001*V1001*$AD$1015)</f>
        <v>628.31853071795865</v>
      </c>
      <c r="AF1001" s="445"/>
      <c r="AG1001" s="445"/>
      <c r="AH1001" s="445"/>
    </row>
    <row r="1002" spans="1:35" s="1" customFormat="1" ht="15.75" customHeight="1" x14ac:dyDescent="0.15">
      <c r="A1002" s="73" t="str">
        <f>IF(LEN(E1002)+LEN(T1002)=0,"×","")</f>
        <v/>
      </c>
      <c r="E1002" s="413">
        <v>6</v>
      </c>
      <c r="F1002" s="372"/>
      <c r="G1002" s="103">
        <v>4</v>
      </c>
      <c r="H1002" s="103"/>
      <c r="I1002" s="103"/>
      <c r="J1002" s="427" t="s">
        <v>582</v>
      </c>
      <c r="K1002" s="428"/>
      <c r="L1002" s="413"/>
      <c r="M1002" s="429">
        <v>50</v>
      </c>
      <c r="N1002" s="429"/>
      <c r="O1002" s="429"/>
      <c r="P1002" s="444">
        <f>IF(M1002="","",M1002*G1002*$AD$1015)</f>
        <v>628.31853071795865</v>
      </c>
      <c r="Q1002" s="445"/>
      <c r="R1002" s="445"/>
      <c r="S1002" s="446"/>
      <c r="T1002" s="395">
        <v>6</v>
      </c>
      <c r="U1002" s="372"/>
      <c r="V1002" s="103">
        <v>4.5</v>
      </c>
      <c r="W1002" s="103"/>
      <c r="X1002" s="103"/>
      <c r="Y1002" s="427" t="s">
        <v>582</v>
      </c>
      <c r="Z1002" s="428"/>
      <c r="AA1002" s="413"/>
      <c r="AB1002" s="429">
        <v>50</v>
      </c>
      <c r="AC1002" s="429"/>
      <c r="AD1002" s="429"/>
      <c r="AE1002" s="444">
        <f>IF(AB1002="","",AB1002*V1002*$AD$1015)</f>
        <v>706.85834705770344</v>
      </c>
      <c r="AF1002" s="445"/>
      <c r="AG1002" s="445"/>
      <c r="AH1002" s="445"/>
    </row>
    <row r="1003" spans="1:35" s="1" customFormat="1" ht="15.75" customHeight="1" x14ac:dyDescent="0.15">
      <c r="A1003" s="73" t="str">
        <f>IF(LEN(E1003)+LEN(T1003)=0,"×","")</f>
        <v/>
      </c>
      <c r="E1003" s="413">
        <v>6</v>
      </c>
      <c r="F1003" s="372"/>
      <c r="G1003" s="103">
        <v>0.5</v>
      </c>
      <c r="H1003" s="103"/>
      <c r="I1003" s="103"/>
      <c r="J1003" s="427" t="s">
        <v>582</v>
      </c>
      <c r="K1003" s="428"/>
      <c r="L1003" s="413"/>
      <c r="M1003" s="429">
        <v>0</v>
      </c>
      <c r="N1003" s="429"/>
      <c r="O1003" s="429"/>
      <c r="P1003" s="444">
        <f>IF(M1003="","",M1003*G1003*$AD$1015)</f>
        <v>0</v>
      </c>
      <c r="Q1003" s="445"/>
      <c r="R1003" s="445"/>
      <c r="S1003" s="446"/>
      <c r="T1003" s="395">
        <v>7</v>
      </c>
      <c r="U1003" s="372"/>
      <c r="V1003" s="103">
        <v>0.5</v>
      </c>
      <c r="W1003" s="103"/>
      <c r="X1003" s="103"/>
      <c r="Y1003" s="427" t="s">
        <v>517</v>
      </c>
      <c r="Z1003" s="428"/>
      <c r="AA1003" s="413"/>
      <c r="AB1003" s="429">
        <v>150</v>
      </c>
      <c r="AC1003" s="429"/>
      <c r="AD1003" s="429"/>
      <c r="AE1003" s="444">
        <f>IF(AB1003="","",AB1003*V1003*$AD$1015)</f>
        <v>235.61944901923448</v>
      </c>
      <c r="AF1003" s="445"/>
      <c r="AG1003" s="445"/>
      <c r="AH1003" s="445"/>
    </row>
    <row r="1004" spans="1:35" s="1" customFormat="1" ht="15.75" customHeight="1" x14ac:dyDescent="0.15">
      <c r="A1004" s="73" t="str">
        <f>IF(LEN(E1004)+LEN(T1004)=0,"×","")</f>
        <v/>
      </c>
      <c r="E1004" s="413">
        <v>7</v>
      </c>
      <c r="F1004" s="372"/>
      <c r="G1004" s="103">
        <v>0.5</v>
      </c>
      <c r="H1004" s="103"/>
      <c r="I1004" s="103"/>
      <c r="J1004" s="427" t="s">
        <v>517</v>
      </c>
      <c r="K1004" s="428"/>
      <c r="L1004" s="413"/>
      <c r="M1004" s="429">
        <v>0</v>
      </c>
      <c r="N1004" s="429"/>
      <c r="O1004" s="429"/>
      <c r="P1004" s="444">
        <f>IF(M1004="","",M1004*G1004*$AD$1015)</f>
        <v>0</v>
      </c>
      <c r="Q1004" s="445"/>
      <c r="R1004" s="445"/>
      <c r="S1004" s="446"/>
      <c r="T1004" s="395"/>
      <c r="U1004" s="372"/>
      <c r="V1004" s="103"/>
      <c r="W1004" s="103"/>
      <c r="X1004" s="103"/>
      <c r="Y1004" s="427"/>
      <c r="Z1004" s="428"/>
      <c r="AA1004" s="413"/>
      <c r="AB1004" s="429"/>
      <c r="AC1004" s="429"/>
      <c r="AD1004" s="429"/>
      <c r="AE1004" s="444" t="str">
        <f>IF(AB1004="","",AB1004*V1004*$AD$1015)</f>
        <v/>
      </c>
      <c r="AF1004" s="445"/>
      <c r="AG1004" s="445"/>
      <c r="AH1004" s="445"/>
    </row>
    <row r="1005" spans="1:35" s="1" customFormat="1" ht="15.75" customHeight="1" x14ac:dyDescent="0.15">
      <c r="A1005" s="73" t="str">
        <f>IF(LEN(E1005)+LEN(T1005)=0,"×","")</f>
        <v>×</v>
      </c>
      <c r="E1005" s="413"/>
      <c r="F1005" s="372"/>
      <c r="G1005" s="103"/>
      <c r="H1005" s="103"/>
      <c r="I1005" s="103"/>
      <c r="J1005" s="427"/>
      <c r="K1005" s="428"/>
      <c r="L1005" s="413"/>
      <c r="M1005" s="429"/>
      <c r="N1005" s="429"/>
      <c r="O1005" s="429"/>
      <c r="P1005" s="444" t="str">
        <f>IF(M1005="","",M1005*G1005*$AD$1015)</f>
        <v/>
      </c>
      <c r="Q1005" s="445"/>
      <c r="R1005" s="445"/>
      <c r="S1005" s="446"/>
      <c r="T1005" s="395"/>
      <c r="U1005" s="372"/>
      <c r="V1005" s="103"/>
      <c r="W1005" s="103"/>
      <c r="X1005" s="103"/>
      <c r="Y1005" s="427"/>
      <c r="Z1005" s="428"/>
      <c r="AA1005" s="413"/>
      <c r="AB1005" s="429"/>
      <c r="AC1005" s="429"/>
      <c r="AD1005" s="429"/>
      <c r="AE1005" s="444" t="str">
        <f>IF(AB1005="","",AB1005*V1005*$AD$1015)</f>
        <v/>
      </c>
      <c r="AF1005" s="445"/>
      <c r="AG1005" s="445"/>
      <c r="AH1005" s="445"/>
    </row>
    <row r="1006" spans="1:35" s="1" customFormat="1" ht="15.75" customHeight="1" x14ac:dyDescent="0.15">
      <c r="A1006" s="73" t="str">
        <f>IF(LEN(E1006)+LEN(T1006)=0,"×","")</f>
        <v>×</v>
      </c>
      <c r="E1006" s="413"/>
      <c r="F1006" s="372"/>
      <c r="G1006" s="103"/>
      <c r="H1006" s="103"/>
      <c r="I1006" s="103"/>
      <c r="J1006" s="427"/>
      <c r="K1006" s="428"/>
      <c r="L1006" s="413"/>
      <c r="M1006" s="429"/>
      <c r="N1006" s="429"/>
      <c r="O1006" s="429"/>
      <c r="P1006" s="444" t="str">
        <f>IF(M1006="","",M1006*G1006*$AD$1015)</f>
        <v/>
      </c>
      <c r="Q1006" s="445"/>
      <c r="R1006" s="445"/>
      <c r="S1006" s="446"/>
      <c r="T1006" s="395"/>
      <c r="U1006" s="372"/>
      <c r="V1006" s="103"/>
      <c r="W1006" s="103"/>
      <c r="X1006" s="103"/>
      <c r="Y1006" s="427"/>
      <c r="Z1006" s="428"/>
      <c r="AA1006" s="413"/>
      <c r="AB1006" s="429"/>
      <c r="AC1006" s="429"/>
      <c r="AD1006" s="429"/>
      <c r="AE1006" s="444" t="str">
        <f>IF(AB1006="","",AB1006*V1006*$AD$1015)</f>
        <v/>
      </c>
      <c r="AF1006" s="445"/>
      <c r="AG1006" s="445"/>
      <c r="AH1006" s="445"/>
    </row>
    <row r="1007" spans="1:35" s="1" customFormat="1" ht="15.75" customHeight="1" x14ac:dyDescent="0.15">
      <c r="A1007" s="73" t="str">
        <f>IF(LEN(E1007)+LEN(T1007)=0,"×","")</f>
        <v>×</v>
      </c>
      <c r="E1007" s="413"/>
      <c r="F1007" s="372"/>
      <c r="G1007" s="103"/>
      <c r="H1007" s="103"/>
      <c r="I1007" s="103"/>
      <c r="J1007" s="427"/>
      <c r="K1007" s="428"/>
      <c r="L1007" s="413"/>
      <c r="M1007" s="429"/>
      <c r="N1007" s="429"/>
      <c r="O1007" s="429"/>
      <c r="P1007" s="444" t="str">
        <f>IF(M1007="","",M1007*G1007*$AD$1015)</f>
        <v/>
      </c>
      <c r="Q1007" s="445"/>
      <c r="R1007" s="445"/>
      <c r="S1007" s="446"/>
      <c r="T1007" s="395"/>
      <c r="U1007" s="372"/>
      <c r="V1007" s="103"/>
      <c r="W1007" s="103"/>
      <c r="X1007" s="103"/>
      <c r="Y1007" s="427"/>
      <c r="Z1007" s="428"/>
      <c r="AA1007" s="413"/>
      <c r="AB1007" s="429"/>
      <c r="AC1007" s="429"/>
      <c r="AD1007" s="429"/>
      <c r="AE1007" s="444" t="str">
        <f>IF(AB1007="","",AB1007*V1007*$AD$1015)</f>
        <v/>
      </c>
      <c r="AF1007" s="445"/>
      <c r="AG1007" s="445"/>
      <c r="AH1007" s="445"/>
    </row>
    <row r="1008" spans="1:35" s="1" customFormat="1" ht="15.75" customHeight="1" x14ac:dyDescent="0.15">
      <c r="A1008" s="73" t="str">
        <f>IF(LEN(E1008)+LEN(T1008)=0,"×","")</f>
        <v>×</v>
      </c>
      <c r="E1008" s="413"/>
      <c r="F1008" s="372"/>
      <c r="G1008" s="103"/>
      <c r="H1008" s="103"/>
      <c r="I1008" s="103"/>
      <c r="J1008" s="427"/>
      <c r="K1008" s="428"/>
      <c r="L1008" s="413"/>
      <c r="M1008" s="429"/>
      <c r="N1008" s="429"/>
      <c r="O1008" s="429"/>
      <c r="P1008" s="444" t="str">
        <f>IF(M1008="","",M1008*G1008*$AD$1015)</f>
        <v/>
      </c>
      <c r="Q1008" s="445"/>
      <c r="R1008" s="445"/>
      <c r="S1008" s="446"/>
      <c r="T1008" s="395"/>
      <c r="U1008" s="372"/>
      <c r="V1008" s="103"/>
      <c r="W1008" s="103"/>
      <c r="X1008" s="103"/>
      <c r="Y1008" s="427"/>
      <c r="Z1008" s="428"/>
      <c r="AA1008" s="413"/>
      <c r="AB1008" s="429"/>
      <c r="AC1008" s="429"/>
      <c r="AD1008" s="429"/>
      <c r="AE1008" s="444" t="str">
        <f>IF(AB1008="","",AB1008*V1008*$AD$1015)</f>
        <v/>
      </c>
      <c r="AF1008" s="445"/>
      <c r="AG1008" s="445"/>
      <c r="AH1008" s="445"/>
    </row>
    <row r="1009" spans="1:35" s="1" customFormat="1" ht="15.75" customHeight="1" x14ac:dyDescent="0.15">
      <c r="A1009" s="73" t="str">
        <f>IF(LEN(E1009)+LEN(T1009)=0,"×","")</f>
        <v>×</v>
      </c>
      <c r="E1009" s="413"/>
      <c r="F1009" s="372"/>
      <c r="G1009" s="103"/>
      <c r="H1009" s="103"/>
      <c r="I1009" s="103"/>
      <c r="J1009" s="427"/>
      <c r="K1009" s="428"/>
      <c r="L1009" s="413"/>
      <c r="M1009" s="429"/>
      <c r="N1009" s="429"/>
      <c r="O1009" s="429"/>
      <c r="P1009" s="444" t="str">
        <f>IF(M1009="","",M1009*G1009*$AD$1015)</f>
        <v/>
      </c>
      <c r="Q1009" s="445"/>
      <c r="R1009" s="445"/>
      <c r="S1009" s="446"/>
      <c r="T1009" s="395"/>
      <c r="U1009" s="372"/>
      <c r="V1009" s="103"/>
      <c r="W1009" s="103"/>
      <c r="X1009" s="103"/>
      <c r="Y1009" s="427"/>
      <c r="Z1009" s="428"/>
      <c r="AA1009" s="413"/>
      <c r="AB1009" s="429"/>
      <c r="AC1009" s="429"/>
      <c r="AD1009" s="429"/>
      <c r="AE1009" s="444" t="str">
        <f>IF(AB1009="","",AB1009*V1009*$AD$1015)</f>
        <v/>
      </c>
      <c r="AF1009" s="445"/>
      <c r="AG1009" s="445"/>
      <c r="AH1009" s="445"/>
    </row>
    <row r="1010" spans="1:35" s="1" customFormat="1" ht="15.75" customHeight="1" x14ac:dyDescent="0.15">
      <c r="A1010" s="73" t="str">
        <f>IF(LEN(E1010)+LEN(T1010)=0,"×","")</f>
        <v>×</v>
      </c>
      <c r="E1010" s="413"/>
      <c r="F1010" s="372"/>
      <c r="G1010" s="103"/>
      <c r="H1010" s="103"/>
      <c r="I1010" s="103"/>
      <c r="J1010" s="427"/>
      <c r="K1010" s="428"/>
      <c r="L1010" s="413"/>
      <c r="M1010" s="429"/>
      <c r="N1010" s="429"/>
      <c r="O1010" s="429"/>
      <c r="P1010" s="444" t="str">
        <f>IF(M1010="","",M1010*G1010*$AD$1015)</f>
        <v/>
      </c>
      <c r="Q1010" s="445"/>
      <c r="R1010" s="445"/>
      <c r="S1010" s="446"/>
      <c r="T1010" s="395"/>
      <c r="U1010" s="372"/>
      <c r="V1010" s="103"/>
      <c r="W1010" s="103"/>
      <c r="X1010" s="103"/>
      <c r="Y1010" s="427"/>
      <c r="Z1010" s="428"/>
      <c r="AA1010" s="413"/>
      <c r="AB1010" s="429"/>
      <c r="AC1010" s="429"/>
      <c r="AD1010" s="429"/>
      <c r="AE1010" s="444" t="str">
        <f>IF(AB1010="","",AB1010*V1010*$AD$1015)</f>
        <v/>
      </c>
      <c r="AF1010" s="445"/>
      <c r="AG1010" s="445"/>
      <c r="AH1010" s="445"/>
    </row>
    <row r="1011" spans="1:35" s="1" customFormat="1" ht="15.75" customHeight="1" x14ac:dyDescent="0.15">
      <c r="A1011" s="73" t="str">
        <f>IF(LEN(E1011)+LEN(T1011)=0,"×","")</f>
        <v>×</v>
      </c>
      <c r="E1011" s="413"/>
      <c r="F1011" s="372"/>
      <c r="G1011" s="103"/>
      <c r="H1011" s="103"/>
      <c r="I1011" s="103"/>
      <c r="J1011" s="427"/>
      <c r="K1011" s="428"/>
      <c r="L1011" s="413"/>
      <c r="M1011" s="429"/>
      <c r="N1011" s="429"/>
      <c r="O1011" s="429"/>
      <c r="P1011" s="444" t="str">
        <f>IF(M1011="","",M1011*G1011*$AD$1015)</f>
        <v/>
      </c>
      <c r="Q1011" s="445"/>
      <c r="R1011" s="445"/>
      <c r="S1011" s="446"/>
      <c r="T1011" s="395"/>
      <c r="U1011" s="372"/>
      <c r="V1011" s="103"/>
      <c r="W1011" s="103"/>
      <c r="X1011" s="103"/>
      <c r="Y1011" s="427"/>
      <c r="Z1011" s="428"/>
      <c r="AA1011" s="413"/>
      <c r="AB1011" s="429"/>
      <c r="AC1011" s="429"/>
      <c r="AD1011" s="429"/>
      <c r="AE1011" s="444" t="str">
        <f>IF(AB1011="","",AB1011*V1011*$AD$1015)</f>
        <v/>
      </c>
      <c r="AF1011" s="445"/>
      <c r="AG1011" s="445"/>
      <c r="AH1011" s="445"/>
    </row>
    <row r="1012" spans="1:35" s="1" customFormat="1" ht="15.75" customHeight="1" x14ac:dyDescent="0.15">
      <c r="A1012" s="73" t="str">
        <f>IF(LEN(E1012)+LEN(T1012)=0,"×","")</f>
        <v>×</v>
      </c>
      <c r="E1012" s="413"/>
      <c r="F1012" s="372"/>
      <c r="G1012" s="103"/>
      <c r="H1012" s="103"/>
      <c r="I1012" s="103"/>
      <c r="J1012" s="427"/>
      <c r="K1012" s="428"/>
      <c r="L1012" s="413"/>
      <c r="M1012" s="429"/>
      <c r="N1012" s="429"/>
      <c r="O1012" s="429"/>
      <c r="P1012" s="444" t="str">
        <f>IF(M1012="","",M1012*G1012*$AD$1015)</f>
        <v/>
      </c>
      <c r="Q1012" s="445"/>
      <c r="R1012" s="445"/>
      <c r="S1012" s="446"/>
      <c r="T1012" s="395"/>
      <c r="U1012" s="372"/>
      <c r="V1012" s="103"/>
      <c r="W1012" s="103"/>
      <c r="X1012" s="103"/>
      <c r="Y1012" s="427"/>
      <c r="Z1012" s="428"/>
      <c r="AA1012" s="413"/>
      <c r="AB1012" s="429"/>
      <c r="AC1012" s="429"/>
      <c r="AD1012" s="429"/>
      <c r="AE1012" s="444" t="str">
        <f>IF(AB1012="","",AB1012*V1012*$AD$1015)</f>
        <v/>
      </c>
      <c r="AF1012" s="445"/>
      <c r="AG1012" s="445"/>
      <c r="AH1012" s="445"/>
    </row>
    <row r="1013" spans="1:35" s="1" customFormat="1" ht="15.75" customHeight="1" x14ac:dyDescent="0.15">
      <c r="A1013" s="73" t="str">
        <f>IF(LEN(E1013)+LEN(T1013)=0,"×","")</f>
        <v>×</v>
      </c>
      <c r="E1013" s="413"/>
      <c r="F1013" s="372"/>
      <c r="G1013" s="103"/>
      <c r="H1013" s="103"/>
      <c r="I1013" s="103"/>
      <c r="J1013" s="427"/>
      <c r="K1013" s="428"/>
      <c r="L1013" s="413"/>
      <c r="M1013" s="429"/>
      <c r="N1013" s="429"/>
      <c r="O1013" s="429"/>
      <c r="P1013" s="444" t="str">
        <f>IF(M1013="","",M1013*G1013*$AD$1015)</f>
        <v/>
      </c>
      <c r="Q1013" s="445"/>
      <c r="R1013" s="445"/>
      <c r="S1013" s="446"/>
      <c r="T1013" s="395"/>
      <c r="U1013" s="372"/>
      <c r="V1013" s="103"/>
      <c r="W1013" s="103"/>
      <c r="X1013" s="103"/>
      <c r="Y1013" s="427"/>
      <c r="Z1013" s="428"/>
      <c r="AA1013" s="413"/>
      <c r="AB1013" s="429"/>
      <c r="AC1013" s="429"/>
      <c r="AD1013" s="429"/>
      <c r="AE1013" s="444" t="str">
        <f>IF(AB1013="","",AB1013*V1013*$AD$1015)</f>
        <v/>
      </c>
      <c r="AF1013" s="445"/>
      <c r="AG1013" s="445"/>
      <c r="AH1013" s="445"/>
    </row>
    <row r="1014" spans="1:35" s="1" customFormat="1" ht="15.75" customHeight="1" x14ac:dyDescent="0.15">
      <c r="A1014" s="76"/>
      <c r="E1014" s="233" t="s">
        <v>581</v>
      </c>
      <c r="F1014" s="234"/>
      <c r="G1014" s="450">
        <f>ROUND(SUM(P998:S1013),1)</f>
        <v>1887.2</v>
      </c>
      <c r="H1014" s="451"/>
      <c r="I1014" s="451"/>
      <c r="J1014" s="451"/>
      <c r="K1014" s="451"/>
      <c r="L1014" s="451"/>
      <c r="M1014" s="451"/>
      <c r="N1014" s="451"/>
      <c r="O1014" s="451"/>
      <c r="P1014" s="451"/>
      <c r="Q1014" s="451"/>
      <c r="R1014" s="451"/>
      <c r="S1014" s="452"/>
      <c r="T1014" s="401" t="s">
        <v>581</v>
      </c>
      <c r="U1014" s="234"/>
      <c r="V1014" s="450">
        <f>ROUND(SUM(AE998:AH1013),1)</f>
        <v>2201.3000000000002</v>
      </c>
      <c r="W1014" s="451"/>
      <c r="X1014" s="451"/>
      <c r="Y1014" s="451"/>
      <c r="Z1014" s="451"/>
      <c r="AA1014" s="451"/>
      <c r="AB1014" s="451"/>
      <c r="AC1014" s="451"/>
      <c r="AD1014" s="451"/>
      <c r="AE1014" s="451"/>
      <c r="AF1014" s="451"/>
      <c r="AG1014" s="451"/>
      <c r="AH1014" s="451"/>
    </row>
    <row r="1015" spans="1:35" s="1" customFormat="1" ht="15.75" customHeight="1" x14ac:dyDescent="0.15">
      <c r="E1015" s="8"/>
      <c r="F1015" s="8"/>
      <c r="G1015" s="8"/>
      <c r="H1015" s="8"/>
      <c r="I1015" s="8"/>
      <c r="J1015" s="8"/>
      <c r="K1015" s="8"/>
      <c r="L1015" s="8"/>
      <c r="M1015" s="8"/>
      <c r="N1015" s="8"/>
      <c r="O1015" s="8"/>
      <c r="AA1015" s="2" t="s">
        <v>127</v>
      </c>
      <c r="AB1015" s="1" t="s">
        <v>548</v>
      </c>
      <c r="AC1015" s="76" t="s">
        <v>27</v>
      </c>
      <c r="AD1015" s="304">
        <f>AD991</f>
        <v>3.1415926535897931</v>
      </c>
      <c r="AE1015" s="304"/>
      <c r="AF1015" s="304"/>
      <c r="AG1015" s="7" t="s">
        <v>549</v>
      </c>
      <c r="AH1015" s="76" t="s">
        <v>158</v>
      </c>
    </row>
    <row r="1018" spans="1:35" s="1" customFormat="1" ht="15.75" customHeight="1" x14ac:dyDescent="0.15">
      <c r="A1018" s="73" t="str">
        <f>IF(A$289="","","×")</f>
        <v>×</v>
      </c>
      <c r="E1018" s="61" t="s">
        <v>600</v>
      </c>
      <c r="F1018" s="302"/>
      <c r="G1018" s="302"/>
      <c r="H1018" s="61"/>
      <c r="I1018" s="61"/>
      <c r="J1018" s="61"/>
      <c r="K1018" s="61"/>
      <c r="L1018" s="61"/>
      <c r="M1018" s="61"/>
      <c r="N1018" s="61"/>
      <c r="O1018" s="61"/>
      <c r="P1018" s="61"/>
      <c r="Q1018" s="61"/>
      <c r="R1018" s="61"/>
      <c r="S1018" s="61"/>
      <c r="T1018" s="61"/>
      <c r="U1018" s="61"/>
      <c r="V1018" s="61"/>
      <c r="W1018" s="61"/>
      <c r="X1018" s="61"/>
      <c r="Y1018" s="61"/>
      <c r="Z1018" s="61"/>
      <c r="AA1018" s="61"/>
      <c r="AB1018" s="61"/>
      <c r="AC1018" s="61"/>
      <c r="AD1018" s="61"/>
      <c r="AE1018" s="61"/>
      <c r="AF1018" s="61"/>
      <c r="AG1018" s="61"/>
      <c r="AH1018" s="61"/>
      <c r="AI1018" s="8"/>
    </row>
    <row r="1019" spans="1:35" s="1" customFormat="1" ht="15.75" customHeight="1" x14ac:dyDescent="0.15">
      <c r="A1019" s="73" t="str">
        <f>IF(A$289="","","×")</f>
        <v>×</v>
      </c>
      <c r="E1019" s="294" t="s">
        <v>546</v>
      </c>
      <c r="F1019" s="292"/>
      <c r="G1019" s="292"/>
      <c r="H1019" s="292"/>
      <c r="I1019" s="292"/>
      <c r="J1019" s="292"/>
      <c r="K1019" s="292"/>
      <c r="L1019" s="292"/>
      <c r="M1019" s="292"/>
      <c r="N1019" s="292"/>
      <c r="O1019" s="292"/>
      <c r="P1019" s="292"/>
      <c r="Q1019" s="292"/>
      <c r="R1019" s="292"/>
      <c r="S1019" s="293"/>
      <c r="T1019" s="273" t="s">
        <v>547</v>
      </c>
      <c r="U1019" s="131"/>
      <c r="V1019" s="131"/>
      <c r="W1019" s="131"/>
      <c r="X1019" s="131"/>
      <c r="Y1019" s="131"/>
      <c r="Z1019" s="131"/>
      <c r="AA1019" s="131"/>
      <c r="AB1019" s="131"/>
      <c r="AC1019" s="131"/>
      <c r="AD1019" s="131"/>
      <c r="AE1019" s="131"/>
      <c r="AF1019" s="131"/>
      <c r="AG1019" s="131"/>
      <c r="AH1019" s="132"/>
    </row>
    <row r="1020" spans="1:35" s="1" customFormat="1" ht="15.75" customHeight="1" x14ac:dyDescent="0.15">
      <c r="A1020" s="73" t="str">
        <f>IF(A$289="","","×")</f>
        <v>×</v>
      </c>
      <c r="E1020" s="159" t="s">
        <v>78</v>
      </c>
      <c r="F1020" s="160"/>
      <c r="G1020" s="291" t="s">
        <v>203</v>
      </c>
      <c r="H1020" s="161"/>
      <c r="I1020" s="161"/>
      <c r="J1020" s="222" t="s">
        <v>247</v>
      </c>
      <c r="K1020" s="138"/>
      <c r="L1020" s="215"/>
      <c r="M1020" s="222" t="s">
        <v>580</v>
      </c>
      <c r="N1020" s="138"/>
      <c r="O1020" s="215"/>
      <c r="P1020" s="222" t="s">
        <v>250</v>
      </c>
      <c r="Q1020" s="138"/>
      <c r="R1020" s="138"/>
      <c r="S1020" s="139"/>
      <c r="T1020" s="226" t="s">
        <v>78</v>
      </c>
      <c r="U1020" s="106"/>
      <c r="V1020" s="216" t="s">
        <v>203</v>
      </c>
      <c r="W1020" s="121"/>
      <c r="X1020" s="121"/>
      <c r="Y1020" s="277" t="s">
        <v>247</v>
      </c>
      <c r="Z1020" s="278"/>
      <c r="AA1020" s="279"/>
      <c r="AB1020" s="277" t="s">
        <v>580</v>
      </c>
      <c r="AC1020" s="278"/>
      <c r="AD1020" s="279"/>
      <c r="AE1020" s="277" t="s">
        <v>250</v>
      </c>
      <c r="AF1020" s="278"/>
      <c r="AG1020" s="278"/>
      <c r="AH1020" s="278"/>
    </row>
    <row r="1021" spans="1:35" s="1" customFormat="1" ht="15.75" customHeight="1" x14ac:dyDescent="0.15">
      <c r="A1021" s="73" t="str">
        <f>IF(A$289="","","×")</f>
        <v>×</v>
      </c>
      <c r="E1021" s="295"/>
      <c r="F1021" s="156"/>
      <c r="G1021" s="163"/>
      <c r="H1021" s="163"/>
      <c r="I1021" s="163"/>
      <c r="J1021" s="223"/>
      <c r="K1021" s="140"/>
      <c r="L1021" s="159"/>
      <c r="M1021" s="223"/>
      <c r="N1021" s="140"/>
      <c r="O1021" s="159"/>
      <c r="P1021" s="223"/>
      <c r="Q1021" s="140"/>
      <c r="R1021" s="140"/>
      <c r="S1021" s="141"/>
      <c r="T1021" s="290"/>
      <c r="U1021" s="156"/>
      <c r="V1021" s="163"/>
      <c r="W1021" s="163"/>
      <c r="X1021" s="163"/>
      <c r="Y1021" s="223"/>
      <c r="Z1021" s="140"/>
      <c r="AA1021" s="159"/>
      <c r="AB1021" s="223"/>
      <c r="AC1021" s="140"/>
      <c r="AD1021" s="159"/>
      <c r="AE1021" s="223"/>
      <c r="AF1021" s="140"/>
      <c r="AG1021" s="140"/>
      <c r="AH1021" s="140"/>
    </row>
    <row r="1022" spans="1:35" s="1" customFormat="1" ht="15.75" customHeight="1" x14ac:dyDescent="0.15">
      <c r="A1022" s="73" t="str">
        <f>IF(A$289="",IF(LEN(E1022)+LEN(T1022)=0,"×",""),"×")</f>
        <v>×</v>
      </c>
      <c r="E1022" s="412">
        <v>3</v>
      </c>
      <c r="F1022" s="398"/>
      <c r="G1022" s="125">
        <v>3</v>
      </c>
      <c r="H1022" s="125"/>
      <c r="I1022" s="125"/>
      <c r="J1022" s="423" t="s">
        <v>582</v>
      </c>
      <c r="K1022" s="424"/>
      <c r="L1022" s="412"/>
      <c r="M1022" s="426">
        <v>0</v>
      </c>
      <c r="N1022" s="426"/>
      <c r="O1022" s="426"/>
      <c r="P1022" s="441">
        <f>IF(M1022="","",M1022*G1022*$AD$1039)</f>
        <v>0</v>
      </c>
      <c r="Q1022" s="442"/>
      <c r="R1022" s="442"/>
      <c r="S1022" s="443"/>
      <c r="T1022" s="397">
        <v>3</v>
      </c>
      <c r="U1022" s="398"/>
      <c r="V1022" s="125">
        <v>3</v>
      </c>
      <c r="W1022" s="125"/>
      <c r="X1022" s="125"/>
      <c r="Y1022" s="423" t="s">
        <v>582</v>
      </c>
      <c r="Z1022" s="424"/>
      <c r="AA1022" s="412"/>
      <c r="AB1022" s="426">
        <v>0</v>
      </c>
      <c r="AC1022" s="426"/>
      <c r="AD1022" s="426"/>
      <c r="AE1022" s="441">
        <f>IF(AB1022="","",AB1022*V1022*$AD$1039)</f>
        <v>0</v>
      </c>
      <c r="AF1022" s="442"/>
      <c r="AG1022" s="442"/>
      <c r="AH1022" s="442"/>
    </row>
    <row r="1023" spans="1:35" s="1" customFormat="1" ht="15.75" customHeight="1" x14ac:dyDescent="0.15">
      <c r="A1023" s="73" t="str">
        <f>IF(A$289="",IF(LEN(E1023)+LEN(T1023)=0,"×",""),"×")</f>
        <v>×</v>
      </c>
      <c r="E1023" s="413">
        <v>4</v>
      </c>
      <c r="F1023" s="372"/>
      <c r="G1023" s="103">
        <v>0.53999996185302734</v>
      </c>
      <c r="H1023" s="103"/>
      <c r="I1023" s="103"/>
      <c r="J1023" s="427" t="s">
        <v>516</v>
      </c>
      <c r="K1023" s="428"/>
      <c r="L1023" s="413"/>
      <c r="M1023" s="429">
        <v>0</v>
      </c>
      <c r="N1023" s="429"/>
      <c r="O1023" s="429"/>
      <c r="P1023" s="444">
        <f>IF(M1023="","",M1023*G1023*$AD$1039)</f>
        <v>0</v>
      </c>
      <c r="Q1023" s="445"/>
      <c r="R1023" s="445"/>
      <c r="S1023" s="446"/>
      <c r="T1023" s="395">
        <v>4</v>
      </c>
      <c r="U1023" s="372"/>
      <c r="V1023" s="103">
        <v>0.53999996185302734</v>
      </c>
      <c r="W1023" s="103"/>
      <c r="X1023" s="103"/>
      <c r="Y1023" s="427" t="s">
        <v>516</v>
      </c>
      <c r="Z1023" s="428"/>
      <c r="AA1023" s="413"/>
      <c r="AB1023" s="429">
        <v>0</v>
      </c>
      <c r="AC1023" s="429"/>
      <c r="AD1023" s="429"/>
      <c r="AE1023" s="444">
        <f>IF(AB1023="","",AB1023*V1023*$AD$1039)</f>
        <v>0</v>
      </c>
      <c r="AF1023" s="445"/>
      <c r="AG1023" s="445"/>
      <c r="AH1023" s="445"/>
    </row>
    <row r="1024" spans="1:35" s="1" customFormat="1" ht="15.75" customHeight="1" x14ac:dyDescent="0.15">
      <c r="A1024" s="73" t="str">
        <f>IF(A$289="",IF(LEN(E1024)+LEN(T1024)=0,"×",""),"×")</f>
        <v>×</v>
      </c>
      <c r="E1024" s="413">
        <v>4</v>
      </c>
      <c r="F1024" s="372"/>
      <c r="G1024" s="103">
        <v>4.4600000381469727</v>
      </c>
      <c r="H1024" s="103"/>
      <c r="I1024" s="103"/>
      <c r="J1024" s="427" t="s">
        <v>516</v>
      </c>
      <c r="K1024" s="428"/>
      <c r="L1024" s="413"/>
      <c r="M1024" s="429">
        <v>45</v>
      </c>
      <c r="N1024" s="429"/>
      <c r="O1024" s="429"/>
      <c r="P1024" s="444">
        <f>IF(M1024="","",M1024*G1024*$AD$1039)</f>
        <v>630.51765096837266</v>
      </c>
      <c r="Q1024" s="445"/>
      <c r="R1024" s="445"/>
      <c r="S1024" s="446"/>
      <c r="T1024" s="395">
        <v>4</v>
      </c>
      <c r="U1024" s="372"/>
      <c r="V1024" s="103">
        <v>4.4600000381469727</v>
      </c>
      <c r="W1024" s="103"/>
      <c r="X1024" s="103"/>
      <c r="Y1024" s="427" t="s">
        <v>516</v>
      </c>
      <c r="Z1024" s="428"/>
      <c r="AA1024" s="413"/>
      <c r="AB1024" s="429">
        <v>45</v>
      </c>
      <c r="AC1024" s="429"/>
      <c r="AD1024" s="429"/>
      <c r="AE1024" s="444">
        <f>IF(AB1024="","",AB1024*V1024*$AD$1039)</f>
        <v>630.51765096837266</v>
      </c>
      <c r="AF1024" s="445"/>
      <c r="AG1024" s="445"/>
      <c r="AH1024" s="445"/>
    </row>
    <row r="1025" spans="1:34" s="1" customFormat="1" ht="15.75" customHeight="1" x14ac:dyDescent="0.15">
      <c r="A1025" s="73" t="str">
        <f>IF(A$289="",IF(LEN(E1025)+LEN(T1025)=0,"×",""),"×")</f>
        <v>×</v>
      </c>
      <c r="E1025" s="413">
        <v>5</v>
      </c>
      <c r="F1025" s="372"/>
      <c r="G1025" s="103">
        <v>8</v>
      </c>
      <c r="H1025" s="103"/>
      <c r="I1025" s="103"/>
      <c r="J1025" s="427" t="s">
        <v>582</v>
      </c>
      <c r="K1025" s="428"/>
      <c r="L1025" s="413"/>
      <c r="M1025" s="429">
        <v>25</v>
      </c>
      <c r="N1025" s="429"/>
      <c r="O1025" s="429"/>
      <c r="P1025" s="444">
        <f>IF(M1025="","",M1025*G1025*$AD$1039)</f>
        <v>628.31853071795865</v>
      </c>
      <c r="Q1025" s="445"/>
      <c r="R1025" s="445"/>
      <c r="S1025" s="446"/>
      <c r="T1025" s="395">
        <v>5</v>
      </c>
      <c r="U1025" s="372"/>
      <c r="V1025" s="103">
        <v>8</v>
      </c>
      <c r="W1025" s="103"/>
      <c r="X1025" s="103"/>
      <c r="Y1025" s="427" t="s">
        <v>582</v>
      </c>
      <c r="Z1025" s="428"/>
      <c r="AA1025" s="413"/>
      <c r="AB1025" s="429">
        <v>25</v>
      </c>
      <c r="AC1025" s="429"/>
      <c r="AD1025" s="429"/>
      <c r="AE1025" s="444">
        <f>IF(AB1025="","",AB1025*V1025*$AD$1039)</f>
        <v>628.31853071795865</v>
      </c>
      <c r="AF1025" s="445"/>
      <c r="AG1025" s="445"/>
      <c r="AH1025" s="445"/>
    </row>
    <row r="1026" spans="1:34" s="1" customFormat="1" ht="15.75" customHeight="1" x14ac:dyDescent="0.15">
      <c r="A1026" s="73" t="str">
        <f>IF(A$289="",IF(LEN(E1026)+LEN(T1026)=0,"×",""),"×")</f>
        <v>×</v>
      </c>
      <c r="E1026" s="413">
        <v>6</v>
      </c>
      <c r="F1026" s="372"/>
      <c r="G1026" s="103">
        <v>4</v>
      </c>
      <c r="H1026" s="103"/>
      <c r="I1026" s="103"/>
      <c r="J1026" s="427" t="s">
        <v>582</v>
      </c>
      <c r="K1026" s="428"/>
      <c r="L1026" s="413"/>
      <c r="M1026" s="429">
        <v>50</v>
      </c>
      <c r="N1026" s="429"/>
      <c r="O1026" s="429"/>
      <c r="P1026" s="444">
        <f>IF(M1026="","",M1026*G1026*$AD$1039)</f>
        <v>628.31853071795865</v>
      </c>
      <c r="Q1026" s="445"/>
      <c r="R1026" s="445"/>
      <c r="S1026" s="446"/>
      <c r="T1026" s="395">
        <v>6</v>
      </c>
      <c r="U1026" s="372"/>
      <c r="V1026" s="103">
        <v>4.5</v>
      </c>
      <c r="W1026" s="103"/>
      <c r="X1026" s="103"/>
      <c r="Y1026" s="427" t="s">
        <v>582</v>
      </c>
      <c r="Z1026" s="428"/>
      <c r="AA1026" s="413"/>
      <c r="AB1026" s="429">
        <v>50</v>
      </c>
      <c r="AC1026" s="429"/>
      <c r="AD1026" s="429"/>
      <c r="AE1026" s="444">
        <f>IF(AB1026="","",AB1026*V1026*$AD$1039)</f>
        <v>706.85834705770344</v>
      </c>
      <c r="AF1026" s="445"/>
      <c r="AG1026" s="445"/>
      <c r="AH1026" s="445"/>
    </row>
    <row r="1027" spans="1:34" s="1" customFormat="1" ht="15.75" customHeight="1" x14ac:dyDescent="0.15">
      <c r="A1027" s="73" t="str">
        <f>IF(A$289="",IF(LEN(E1027)+LEN(T1027)=0,"×",""),"×")</f>
        <v>×</v>
      </c>
      <c r="E1027" s="413">
        <v>6</v>
      </c>
      <c r="F1027" s="372"/>
      <c r="G1027" s="103">
        <v>0.5</v>
      </c>
      <c r="H1027" s="103"/>
      <c r="I1027" s="103"/>
      <c r="J1027" s="427" t="s">
        <v>582</v>
      </c>
      <c r="K1027" s="428"/>
      <c r="L1027" s="413"/>
      <c r="M1027" s="429">
        <v>0</v>
      </c>
      <c r="N1027" s="429"/>
      <c r="O1027" s="429"/>
      <c r="P1027" s="444">
        <f>IF(M1027="","",M1027*G1027*$AD$1039)</f>
        <v>0</v>
      </c>
      <c r="Q1027" s="445"/>
      <c r="R1027" s="445"/>
      <c r="S1027" s="446"/>
      <c r="T1027" s="395">
        <v>7</v>
      </c>
      <c r="U1027" s="372"/>
      <c r="V1027" s="103">
        <v>0.5</v>
      </c>
      <c r="W1027" s="103"/>
      <c r="X1027" s="103"/>
      <c r="Y1027" s="427" t="s">
        <v>517</v>
      </c>
      <c r="Z1027" s="428"/>
      <c r="AA1027" s="413"/>
      <c r="AB1027" s="429">
        <v>150</v>
      </c>
      <c r="AC1027" s="429"/>
      <c r="AD1027" s="429"/>
      <c r="AE1027" s="444">
        <f>IF(AB1027="","",AB1027*V1027*$AD$1039)</f>
        <v>235.61944901923448</v>
      </c>
      <c r="AF1027" s="445"/>
      <c r="AG1027" s="445"/>
      <c r="AH1027" s="445"/>
    </row>
    <row r="1028" spans="1:34" s="1" customFormat="1" ht="15.75" customHeight="1" x14ac:dyDescent="0.15">
      <c r="A1028" s="73" t="str">
        <f>IF(A$289="",IF(LEN(E1028)+LEN(T1028)=0,"×",""),"×")</f>
        <v>×</v>
      </c>
      <c r="E1028" s="413">
        <v>7</v>
      </c>
      <c r="F1028" s="372"/>
      <c r="G1028" s="103">
        <v>0.5</v>
      </c>
      <c r="H1028" s="103"/>
      <c r="I1028" s="103"/>
      <c r="J1028" s="427" t="s">
        <v>517</v>
      </c>
      <c r="K1028" s="428"/>
      <c r="L1028" s="413"/>
      <c r="M1028" s="429">
        <v>0</v>
      </c>
      <c r="N1028" s="429"/>
      <c r="O1028" s="429"/>
      <c r="P1028" s="444">
        <f>IF(M1028="","",M1028*G1028*$AD$1039)</f>
        <v>0</v>
      </c>
      <c r="Q1028" s="445"/>
      <c r="R1028" s="445"/>
      <c r="S1028" s="446"/>
      <c r="T1028" s="395"/>
      <c r="U1028" s="372"/>
      <c r="V1028" s="103"/>
      <c r="W1028" s="103"/>
      <c r="X1028" s="103"/>
      <c r="Y1028" s="427"/>
      <c r="Z1028" s="428"/>
      <c r="AA1028" s="413"/>
      <c r="AB1028" s="429"/>
      <c r="AC1028" s="429"/>
      <c r="AD1028" s="429"/>
      <c r="AE1028" s="444" t="str">
        <f>IF(AB1028="","",AB1028*V1028*$AD$1039)</f>
        <v/>
      </c>
      <c r="AF1028" s="445"/>
      <c r="AG1028" s="445"/>
      <c r="AH1028" s="445"/>
    </row>
    <row r="1029" spans="1:34" s="1" customFormat="1" ht="15.75" customHeight="1" x14ac:dyDescent="0.15">
      <c r="A1029" s="73" t="str">
        <f>IF(A$289="",IF(LEN(E1029)+LEN(T1029)=0,"×",""),"×")</f>
        <v>×</v>
      </c>
      <c r="E1029" s="413"/>
      <c r="F1029" s="372"/>
      <c r="G1029" s="103"/>
      <c r="H1029" s="103"/>
      <c r="I1029" s="103"/>
      <c r="J1029" s="427"/>
      <c r="K1029" s="428"/>
      <c r="L1029" s="413"/>
      <c r="M1029" s="429"/>
      <c r="N1029" s="429"/>
      <c r="O1029" s="429"/>
      <c r="P1029" s="444" t="str">
        <f>IF(M1029="","",M1029*G1029*$AD$1039)</f>
        <v/>
      </c>
      <c r="Q1029" s="445"/>
      <c r="R1029" s="445"/>
      <c r="S1029" s="446"/>
      <c r="T1029" s="395"/>
      <c r="U1029" s="372"/>
      <c r="V1029" s="103"/>
      <c r="W1029" s="103"/>
      <c r="X1029" s="103"/>
      <c r="Y1029" s="427"/>
      <c r="Z1029" s="428"/>
      <c r="AA1029" s="413"/>
      <c r="AB1029" s="429"/>
      <c r="AC1029" s="429"/>
      <c r="AD1029" s="429"/>
      <c r="AE1029" s="444" t="str">
        <f>IF(AB1029="","",AB1029*V1029*$AD$1039)</f>
        <v/>
      </c>
      <c r="AF1029" s="445"/>
      <c r="AG1029" s="445"/>
      <c r="AH1029" s="445"/>
    </row>
    <row r="1030" spans="1:34" s="1" customFormat="1" ht="15.75" customHeight="1" x14ac:dyDescent="0.15">
      <c r="A1030" s="73" t="str">
        <f>IF(A$289="",IF(LEN(E1030)+LEN(T1030)=0,"×",""),"×")</f>
        <v>×</v>
      </c>
      <c r="E1030" s="413"/>
      <c r="F1030" s="372"/>
      <c r="G1030" s="103"/>
      <c r="H1030" s="103"/>
      <c r="I1030" s="103"/>
      <c r="J1030" s="427"/>
      <c r="K1030" s="428"/>
      <c r="L1030" s="413"/>
      <c r="M1030" s="429"/>
      <c r="N1030" s="429"/>
      <c r="O1030" s="429"/>
      <c r="P1030" s="444" t="str">
        <f>IF(M1030="","",M1030*G1030*$AD$1039)</f>
        <v/>
      </c>
      <c r="Q1030" s="445"/>
      <c r="R1030" s="445"/>
      <c r="S1030" s="446"/>
      <c r="T1030" s="395"/>
      <c r="U1030" s="372"/>
      <c r="V1030" s="103"/>
      <c r="W1030" s="103"/>
      <c r="X1030" s="103"/>
      <c r="Y1030" s="427"/>
      <c r="Z1030" s="428"/>
      <c r="AA1030" s="413"/>
      <c r="AB1030" s="429"/>
      <c r="AC1030" s="429"/>
      <c r="AD1030" s="429"/>
      <c r="AE1030" s="444" t="str">
        <f>IF(AB1030="","",AB1030*V1030*$AD$1039)</f>
        <v/>
      </c>
      <c r="AF1030" s="445"/>
      <c r="AG1030" s="445"/>
      <c r="AH1030" s="445"/>
    </row>
    <row r="1031" spans="1:34" s="1" customFormat="1" ht="15.75" customHeight="1" x14ac:dyDescent="0.15">
      <c r="A1031" s="73" t="str">
        <f>IF(A$289="",IF(LEN(E1031)+LEN(T1031)=0,"×",""),"×")</f>
        <v>×</v>
      </c>
      <c r="E1031" s="413"/>
      <c r="F1031" s="372"/>
      <c r="G1031" s="103"/>
      <c r="H1031" s="103"/>
      <c r="I1031" s="103"/>
      <c r="J1031" s="427"/>
      <c r="K1031" s="428"/>
      <c r="L1031" s="413"/>
      <c r="M1031" s="429"/>
      <c r="N1031" s="429"/>
      <c r="O1031" s="429"/>
      <c r="P1031" s="444" t="str">
        <f>IF(M1031="","",M1031*G1031*$AD$1039)</f>
        <v/>
      </c>
      <c r="Q1031" s="445"/>
      <c r="R1031" s="445"/>
      <c r="S1031" s="446"/>
      <c r="T1031" s="395"/>
      <c r="U1031" s="372"/>
      <c r="V1031" s="103"/>
      <c r="W1031" s="103"/>
      <c r="X1031" s="103"/>
      <c r="Y1031" s="427"/>
      <c r="Z1031" s="428"/>
      <c r="AA1031" s="413"/>
      <c r="AB1031" s="429"/>
      <c r="AC1031" s="429"/>
      <c r="AD1031" s="429"/>
      <c r="AE1031" s="444" t="str">
        <f>IF(AB1031="","",AB1031*V1031*$AD$1039)</f>
        <v/>
      </c>
      <c r="AF1031" s="445"/>
      <c r="AG1031" s="445"/>
      <c r="AH1031" s="445"/>
    </row>
    <row r="1032" spans="1:34" s="1" customFormat="1" ht="15.75" customHeight="1" x14ac:dyDescent="0.15">
      <c r="A1032" s="73" t="str">
        <f>IF(A$289="",IF(LEN(E1032)+LEN(T1032)=0,"×",""),"×")</f>
        <v>×</v>
      </c>
      <c r="E1032" s="413"/>
      <c r="F1032" s="372"/>
      <c r="G1032" s="103"/>
      <c r="H1032" s="103"/>
      <c r="I1032" s="103"/>
      <c r="J1032" s="427"/>
      <c r="K1032" s="428"/>
      <c r="L1032" s="413"/>
      <c r="M1032" s="429"/>
      <c r="N1032" s="429"/>
      <c r="O1032" s="429"/>
      <c r="P1032" s="444" t="str">
        <f>IF(M1032="","",M1032*G1032*$AD$1039)</f>
        <v/>
      </c>
      <c r="Q1032" s="445"/>
      <c r="R1032" s="445"/>
      <c r="S1032" s="446"/>
      <c r="T1032" s="395"/>
      <c r="U1032" s="372"/>
      <c r="V1032" s="103"/>
      <c r="W1032" s="103"/>
      <c r="X1032" s="103"/>
      <c r="Y1032" s="427"/>
      <c r="Z1032" s="428"/>
      <c r="AA1032" s="413"/>
      <c r="AB1032" s="429"/>
      <c r="AC1032" s="429"/>
      <c r="AD1032" s="429"/>
      <c r="AE1032" s="444" t="str">
        <f>IF(AB1032="","",AB1032*V1032*$AD$1039)</f>
        <v/>
      </c>
      <c r="AF1032" s="445"/>
      <c r="AG1032" s="445"/>
      <c r="AH1032" s="445"/>
    </row>
    <row r="1033" spans="1:34" s="1" customFormat="1" ht="15.75" customHeight="1" x14ac:dyDescent="0.15">
      <c r="A1033" s="73" t="str">
        <f>IF(A$289="",IF(LEN(E1033)+LEN(T1033)=0,"×",""),"×")</f>
        <v>×</v>
      </c>
      <c r="E1033" s="413"/>
      <c r="F1033" s="372"/>
      <c r="G1033" s="103"/>
      <c r="H1033" s="103"/>
      <c r="I1033" s="103"/>
      <c r="J1033" s="427"/>
      <c r="K1033" s="428"/>
      <c r="L1033" s="413"/>
      <c r="M1033" s="429"/>
      <c r="N1033" s="429"/>
      <c r="O1033" s="429"/>
      <c r="P1033" s="444" t="str">
        <f>IF(M1033="","",M1033*G1033*$AD$1039)</f>
        <v/>
      </c>
      <c r="Q1033" s="445"/>
      <c r="R1033" s="445"/>
      <c r="S1033" s="446"/>
      <c r="T1033" s="395"/>
      <c r="U1033" s="372"/>
      <c r="V1033" s="103"/>
      <c r="W1033" s="103"/>
      <c r="X1033" s="103"/>
      <c r="Y1033" s="427"/>
      <c r="Z1033" s="428"/>
      <c r="AA1033" s="413"/>
      <c r="AB1033" s="429"/>
      <c r="AC1033" s="429"/>
      <c r="AD1033" s="429"/>
      <c r="AE1033" s="444" t="str">
        <f>IF(AB1033="","",AB1033*V1033*$AD$1039)</f>
        <v/>
      </c>
      <c r="AF1033" s="445"/>
      <c r="AG1033" s="445"/>
      <c r="AH1033" s="445"/>
    </row>
    <row r="1034" spans="1:34" s="1" customFormat="1" ht="15.75" customHeight="1" x14ac:dyDescent="0.15">
      <c r="A1034" s="73" t="str">
        <f>IF(A$289="",IF(LEN(E1034)+LEN(T1034)=0,"×",""),"×")</f>
        <v>×</v>
      </c>
      <c r="E1034" s="413"/>
      <c r="F1034" s="372"/>
      <c r="G1034" s="103"/>
      <c r="H1034" s="103"/>
      <c r="I1034" s="103"/>
      <c r="J1034" s="427"/>
      <c r="K1034" s="428"/>
      <c r="L1034" s="413"/>
      <c r="M1034" s="429"/>
      <c r="N1034" s="429"/>
      <c r="O1034" s="429"/>
      <c r="P1034" s="444" t="str">
        <f>IF(M1034="","",M1034*G1034*$AD$1039)</f>
        <v/>
      </c>
      <c r="Q1034" s="445"/>
      <c r="R1034" s="445"/>
      <c r="S1034" s="446"/>
      <c r="T1034" s="395"/>
      <c r="U1034" s="372"/>
      <c r="V1034" s="103"/>
      <c r="W1034" s="103"/>
      <c r="X1034" s="103"/>
      <c r="Y1034" s="427"/>
      <c r="Z1034" s="428"/>
      <c r="AA1034" s="413"/>
      <c r="AB1034" s="429"/>
      <c r="AC1034" s="429"/>
      <c r="AD1034" s="429"/>
      <c r="AE1034" s="444" t="str">
        <f>IF(AB1034="","",AB1034*V1034*$AD$1039)</f>
        <v/>
      </c>
      <c r="AF1034" s="445"/>
      <c r="AG1034" s="445"/>
      <c r="AH1034" s="445"/>
    </row>
    <row r="1035" spans="1:34" s="1" customFormat="1" ht="15.75" customHeight="1" x14ac:dyDescent="0.15">
      <c r="A1035" s="73" t="str">
        <f>IF(A$289="",IF(LEN(E1035)+LEN(T1035)=0,"×",""),"×")</f>
        <v>×</v>
      </c>
      <c r="E1035" s="413"/>
      <c r="F1035" s="372"/>
      <c r="G1035" s="103"/>
      <c r="H1035" s="103"/>
      <c r="I1035" s="103"/>
      <c r="J1035" s="427"/>
      <c r="K1035" s="428"/>
      <c r="L1035" s="413"/>
      <c r="M1035" s="429"/>
      <c r="N1035" s="429"/>
      <c r="O1035" s="429"/>
      <c r="P1035" s="444" t="str">
        <f>IF(M1035="","",M1035*G1035*$AD$1039)</f>
        <v/>
      </c>
      <c r="Q1035" s="445"/>
      <c r="R1035" s="445"/>
      <c r="S1035" s="446"/>
      <c r="T1035" s="395"/>
      <c r="U1035" s="372"/>
      <c r="V1035" s="103"/>
      <c r="W1035" s="103"/>
      <c r="X1035" s="103"/>
      <c r="Y1035" s="427"/>
      <c r="Z1035" s="428"/>
      <c r="AA1035" s="413"/>
      <c r="AB1035" s="429"/>
      <c r="AC1035" s="429"/>
      <c r="AD1035" s="429"/>
      <c r="AE1035" s="444" t="str">
        <f>IF(AB1035="","",AB1035*V1035*$AD$1039)</f>
        <v/>
      </c>
      <c r="AF1035" s="445"/>
      <c r="AG1035" s="445"/>
      <c r="AH1035" s="445"/>
    </row>
    <row r="1036" spans="1:34" s="1" customFormat="1" ht="15.75" customHeight="1" x14ac:dyDescent="0.15">
      <c r="A1036" s="73" t="str">
        <f>IF(A$289="",IF(LEN(E1036)+LEN(T1036)=0,"×",""),"×")</f>
        <v>×</v>
      </c>
      <c r="E1036" s="413"/>
      <c r="F1036" s="372"/>
      <c r="G1036" s="103"/>
      <c r="H1036" s="103"/>
      <c r="I1036" s="103"/>
      <c r="J1036" s="427"/>
      <c r="K1036" s="428"/>
      <c r="L1036" s="413"/>
      <c r="M1036" s="429"/>
      <c r="N1036" s="429"/>
      <c r="O1036" s="429"/>
      <c r="P1036" s="444" t="str">
        <f>IF(M1036="","",M1036*G1036*$AD$1039)</f>
        <v/>
      </c>
      <c r="Q1036" s="445"/>
      <c r="R1036" s="445"/>
      <c r="S1036" s="446"/>
      <c r="T1036" s="395"/>
      <c r="U1036" s="372"/>
      <c r="V1036" s="103"/>
      <c r="W1036" s="103"/>
      <c r="X1036" s="103"/>
      <c r="Y1036" s="427"/>
      <c r="Z1036" s="428"/>
      <c r="AA1036" s="413"/>
      <c r="AB1036" s="429"/>
      <c r="AC1036" s="429"/>
      <c r="AD1036" s="429"/>
      <c r="AE1036" s="444" t="str">
        <f>IF(AB1036="","",AB1036*V1036*$AD$1039)</f>
        <v/>
      </c>
      <c r="AF1036" s="445"/>
      <c r="AG1036" s="445"/>
      <c r="AH1036" s="445"/>
    </row>
    <row r="1037" spans="1:34" s="1" customFormat="1" ht="15.75" customHeight="1" x14ac:dyDescent="0.15">
      <c r="A1037" s="73" t="str">
        <f>IF(A$289="",IF(LEN(E1037)+LEN(T1037)=0,"×",""),"×")</f>
        <v>×</v>
      </c>
      <c r="E1037" s="413"/>
      <c r="F1037" s="372"/>
      <c r="G1037" s="103"/>
      <c r="H1037" s="103"/>
      <c r="I1037" s="103"/>
      <c r="J1037" s="427"/>
      <c r="K1037" s="428"/>
      <c r="L1037" s="413"/>
      <c r="M1037" s="429"/>
      <c r="N1037" s="429"/>
      <c r="O1037" s="429"/>
      <c r="P1037" s="444" t="str">
        <f>IF(M1037="","",M1037*G1037*$AD$1039)</f>
        <v/>
      </c>
      <c r="Q1037" s="445"/>
      <c r="R1037" s="445"/>
      <c r="S1037" s="446"/>
      <c r="T1037" s="395"/>
      <c r="U1037" s="372"/>
      <c r="V1037" s="103"/>
      <c r="W1037" s="103"/>
      <c r="X1037" s="103"/>
      <c r="Y1037" s="427"/>
      <c r="Z1037" s="428"/>
      <c r="AA1037" s="413"/>
      <c r="AB1037" s="429"/>
      <c r="AC1037" s="429"/>
      <c r="AD1037" s="429"/>
      <c r="AE1037" s="444" t="str">
        <f>IF(AB1037="","",AB1037*V1037*$AD$1039)</f>
        <v/>
      </c>
      <c r="AF1037" s="445"/>
      <c r="AG1037" s="445"/>
      <c r="AH1037" s="445"/>
    </row>
    <row r="1038" spans="1:34" s="1" customFormat="1" ht="15.75" customHeight="1" x14ac:dyDescent="0.15">
      <c r="A1038" s="73"/>
      <c r="E1038" s="233" t="s">
        <v>581</v>
      </c>
      <c r="F1038" s="234"/>
      <c r="G1038" s="450">
        <f>ROUND(SUM(P1022:S1037),1)</f>
        <v>1887.2</v>
      </c>
      <c r="H1038" s="451"/>
      <c r="I1038" s="451"/>
      <c r="J1038" s="451"/>
      <c r="K1038" s="451"/>
      <c r="L1038" s="451"/>
      <c r="M1038" s="451"/>
      <c r="N1038" s="451"/>
      <c r="O1038" s="451"/>
      <c r="P1038" s="451"/>
      <c r="Q1038" s="451"/>
      <c r="R1038" s="451"/>
      <c r="S1038" s="452"/>
      <c r="T1038" s="401" t="s">
        <v>581</v>
      </c>
      <c r="U1038" s="234"/>
      <c r="V1038" s="450">
        <f>ROUND(SUM(AE1022:AH1037),1)</f>
        <v>2201.3000000000002</v>
      </c>
      <c r="W1038" s="451"/>
      <c r="X1038" s="451"/>
      <c r="Y1038" s="451"/>
      <c r="Z1038" s="451"/>
      <c r="AA1038" s="451"/>
      <c r="AB1038" s="451"/>
      <c r="AC1038" s="451"/>
      <c r="AD1038" s="451"/>
      <c r="AE1038" s="451"/>
      <c r="AF1038" s="451"/>
      <c r="AG1038" s="451"/>
      <c r="AH1038" s="451"/>
    </row>
    <row r="1039" spans="1:34" s="1" customFormat="1" ht="15.75" customHeight="1" x14ac:dyDescent="0.15">
      <c r="A1039" s="73" t="str">
        <f>IF(A$289="","","×")</f>
        <v>×</v>
      </c>
      <c r="E1039" s="8"/>
      <c r="F1039" s="8"/>
      <c r="G1039" s="8"/>
      <c r="H1039" s="8"/>
      <c r="I1039" s="8"/>
      <c r="J1039" s="8"/>
      <c r="K1039" s="8"/>
      <c r="L1039" s="8"/>
      <c r="M1039" s="8"/>
      <c r="N1039" s="8"/>
      <c r="O1039" s="8"/>
      <c r="AA1039" s="2" t="s">
        <v>127</v>
      </c>
      <c r="AB1039" s="1" t="s">
        <v>548</v>
      </c>
      <c r="AC1039" s="76" t="s">
        <v>27</v>
      </c>
      <c r="AD1039" s="304">
        <f>AD1015</f>
        <v>3.1415926535897931</v>
      </c>
      <c r="AE1039" s="304"/>
      <c r="AF1039" s="304"/>
      <c r="AG1039" s="7" t="s">
        <v>549</v>
      </c>
      <c r="AH1039" s="76" t="s">
        <v>158</v>
      </c>
    </row>
    <row r="1040" spans="1:34" ht="15.75" customHeight="1" x14ac:dyDescent="0.15">
      <c r="A1040" s="73" t="str">
        <f>IF(A$289="","","×")</f>
        <v>×</v>
      </c>
    </row>
    <row r="1042" spans="1:35" s="1" customFormat="1" ht="15.75" customHeight="1" x14ac:dyDescent="0.15">
      <c r="A1042" s="73" t="str">
        <f>IF(A$311="","","×")</f>
        <v>×</v>
      </c>
      <c r="E1042" s="61" t="s">
        <v>601</v>
      </c>
      <c r="F1042" s="302"/>
      <c r="G1042" s="302"/>
      <c r="H1042" s="61"/>
      <c r="I1042" s="61"/>
      <c r="J1042" s="61"/>
      <c r="K1042" s="61"/>
      <c r="L1042" s="61"/>
      <c r="M1042" s="61"/>
      <c r="N1042" s="61"/>
      <c r="O1042" s="61"/>
      <c r="P1042" s="61"/>
      <c r="Q1042" s="61"/>
      <c r="R1042" s="61"/>
      <c r="S1042" s="61"/>
      <c r="T1042" s="61"/>
      <c r="U1042" s="61"/>
      <c r="V1042" s="61"/>
      <c r="W1042" s="61"/>
      <c r="X1042" s="61"/>
      <c r="Y1042" s="61"/>
      <c r="Z1042" s="61"/>
      <c r="AA1042" s="61"/>
      <c r="AB1042" s="61"/>
      <c r="AC1042" s="61"/>
      <c r="AD1042" s="61"/>
      <c r="AE1042" s="61"/>
      <c r="AF1042" s="61"/>
      <c r="AG1042" s="61"/>
      <c r="AH1042" s="61"/>
      <c r="AI1042" s="8"/>
    </row>
    <row r="1043" spans="1:35" s="1" customFormat="1" ht="15.75" customHeight="1" x14ac:dyDescent="0.15">
      <c r="A1043" s="73" t="str">
        <f>IF(A$311="","","×")</f>
        <v>×</v>
      </c>
      <c r="E1043" s="294" t="s">
        <v>546</v>
      </c>
      <c r="F1043" s="292"/>
      <c r="G1043" s="292"/>
      <c r="H1043" s="292"/>
      <c r="I1043" s="292"/>
      <c r="J1043" s="292"/>
      <c r="K1043" s="292"/>
      <c r="L1043" s="292"/>
      <c r="M1043" s="292"/>
      <c r="N1043" s="292"/>
      <c r="O1043" s="292"/>
      <c r="P1043" s="292"/>
      <c r="Q1043" s="292"/>
      <c r="R1043" s="292"/>
      <c r="S1043" s="293"/>
      <c r="T1043" s="273" t="s">
        <v>547</v>
      </c>
      <c r="U1043" s="131"/>
      <c r="V1043" s="131"/>
      <c r="W1043" s="131"/>
      <c r="X1043" s="131"/>
      <c r="Y1043" s="131"/>
      <c r="Z1043" s="131"/>
      <c r="AA1043" s="131"/>
      <c r="AB1043" s="131"/>
      <c r="AC1043" s="131"/>
      <c r="AD1043" s="131"/>
      <c r="AE1043" s="131"/>
      <c r="AF1043" s="131"/>
      <c r="AG1043" s="131"/>
      <c r="AH1043" s="132"/>
    </row>
    <row r="1044" spans="1:35" s="1" customFormat="1" ht="15.75" customHeight="1" x14ac:dyDescent="0.15">
      <c r="A1044" s="73" t="str">
        <f>IF(A$311="","","×")</f>
        <v>×</v>
      </c>
      <c r="E1044" s="159" t="s">
        <v>78</v>
      </c>
      <c r="F1044" s="160"/>
      <c r="G1044" s="291" t="s">
        <v>203</v>
      </c>
      <c r="H1044" s="161"/>
      <c r="I1044" s="161"/>
      <c r="J1044" s="222" t="s">
        <v>247</v>
      </c>
      <c r="K1044" s="138"/>
      <c r="L1044" s="215"/>
      <c r="M1044" s="222" t="s">
        <v>580</v>
      </c>
      <c r="N1044" s="138"/>
      <c r="O1044" s="215"/>
      <c r="P1044" s="222" t="s">
        <v>250</v>
      </c>
      <c r="Q1044" s="138"/>
      <c r="R1044" s="138"/>
      <c r="S1044" s="139"/>
      <c r="T1044" s="226" t="s">
        <v>78</v>
      </c>
      <c r="U1044" s="106"/>
      <c r="V1044" s="216" t="s">
        <v>203</v>
      </c>
      <c r="W1044" s="121"/>
      <c r="X1044" s="121"/>
      <c r="Y1044" s="277" t="s">
        <v>247</v>
      </c>
      <c r="Z1044" s="278"/>
      <c r="AA1044" s="279"/>
      <c r="AB1044" s="277" t="s">
        <v>580</v>
      </c>
      <c r="AC1044" s="278"/>
      <c r="AD1044" s="279"/>
      <c r="AE1044" s="277" t="s">
        <v>250</v>
      </c>
      <c r="AF1044" s="278"/>
      <c r="AG1044" s="278"/>
      <c r="AH1044" s="278"/>
    </row>
    <row r="1045" spans="1:35" s="1" customFormat="1" ht="15.75" customHeight="1" x14ac:dyDescent="0.15">
      <c r="A1045" s="73" t="str">
        <f>IF(A$311="","","×")</f>
        <v>×</v>
      </c>
      <c r="E1045" s="295"/>
      <c r="F1045" s="156"/>
      <c r="G1045" s="163"/>
      <c r="H1045" s="163"/>
      <c r="I1045" s="163"/>
      <c r="J1045" s="223"/>
      <c r="K1045" s="140"/>
      <c r="L1045" s="159"/>
      <c r="M1045" s="223"/>
      <c r="N1045" s="140"/>
      <c r="O1045" s="159"/>
      <c r="P1045" s="223"/>
      <c r="Q1045" s="140"/>
      <c r="R1045" s="140"/>
      <c r="S1045" s="141"/>
      <c r="T1045" s="290"/>
      <c r="U1045" s="156"/>
      <c r="V1045" s="163"/>
      <c r="W1045" s="163"/>
      <c r="X1045" s="163"/>
      <c r="Y1045" s="223"/>
      <c r="Z1045" s="140"/>
      <c r="AA1045" s="159"/>
      <c r="AB1045" s="223"/>
      <c r="AC1045" s="140"/>
      <c r="AD1045" s="159"/>
      <c r="AE1045" s="223"/>
      <c r="AF1045" s="140"/>
      <c r="AG1045" s="140"/>
      <c r="AH1045" s="140"/>
    </row>
    <row r="1046" spans="1:35" s="1" customFormat="1" ht="15.75" customHeight="1" x14ac:dyDescent="0.15">
      <c r="A1046" s="73" t="str">
        <f>IF(A$311="",IF(LEN(E1046)+LEN(T1046)=0,"×",""),"×")</f>
        <v>×</v>
      </c>
      <c r="E1046" s="412">
        <v>3</v>
      </c>
      <c r="F1046" s="398"/>
      <c r="G1046" s="125">
        <v>3</v>
      </c>
      <c r="H1046" s="125"/>
      <c r="I1046" s="125"/>
      <c r="J1046" s="423" t="s">
        <v>582</v>
      </c>
      <c r="K1046" s="424"/>
      <c r="L1046" s="412"/>
      <c r="M1046" s="426">
        <v>0</v>
      </c>
      <c r="N1046" s="426"/>
      <c r="O1046" s="426"/>
      <c r="P1046" s="441">
        <f>IF(M1046="","",M1046*G1046*$AD$1063)</f>
        <v>0</v>
      </c>
      <c r="Q1046" s="442"/>
      <c r="R1046" s="442"/>
      <c r="S1046" s="443"/>
      <c r="T1046" s="397">
        <v>3</v>
      </c>
      <c r="U1046" s="398"/>
      <c r="V1046" s="125">
        <v>3</v>
      </c>
      <c r="W1046" s="125"/>
      <c r="X1046" s="125"/>
      <c r="Y1046" s="423" t="s">
        <v>582</v>
      </c>
      <c r="Z1046" s="424"/>
      <c r="AA1046" s="412"/>
      <c r="AB1046" s="426">
        <v>0</v>
      </c>
      <c r="AC1046" s="426"/>
      <c r="AD1046" s="426"/>
      <c r="AE1046" s="441">
        <f>IF(AB1046="","",AB1046*V1046*$AD$1063)</f>
        <v>0</v>
      </c>
      <c r="AF1046" s="442"/>
      <c r="AG1046" s="442"/>
      <c r="AH1046" s="442"/>
    </row>
    <row r="1047" spans="1:35" s="1" customFormat="1" ht="15.75" customHeight="1" x14ac:dyDescent="0.15">
      <c r="A1047" s="73" t="str">
        <f>IF(A$311="",IF(LEN(E1047)+LEN(T1047)=0,"×",""),"×")</f>
        <v>×</v>
      </c>
      <c r="E1047" s="413">
        <v>4</v>
      </c>
      <c r="F1047" s="372"/>
      <c r="G1047" s="103">
        <v>0.53999996185302734</v>
      </c>
      <c r="H1047" s="103"/>
      <c r="I1047" s="103"/>
      <c r="J1047" s="427" t="s">
        <v>516</v>
      </c>
      <c r="K1047" s="428"/>
      <c r="L1047" s="413"/>
      <c r="M1047" s="429">
        <v>0</v>
      </c>
      <c r="N1047" s="429"/>
      <c r="O1047" s="429"/>
      <c r="P1047" s="444">
        <f>IF(M1047="","",M1047*G1047*$AD$1063)</f>
        <v>0</v>
      </c>
      <c r="Q1047" s="445"/>
      <c r="R1047" s="445"/>
      <c r="S1047" s="446"/>
      <c r="T1047" s="395">
        <v>4</v>
      </c>
      <c r="U1047" s="372"/>
      <c r="V1047" s="103">
        <v>0.53999996185302734</v>
      </c>
      <c r="W1047" s="103"/>
      <c r="X1047" s="103"/>
      <c r="Y1047" s="427" t="s">
        <v>516</v>
      </c>
      <c r="Z1047" s="428"/>
      <c r="AA1047" s="413"/>
      <c r="AB1047" s="429">
        <v>0</v>
      </c>
      <c r="AC1047" s="429"/>
      <c r="AD1047" s="429"/>
      <c r="AE1047" s="444">
        <f>IF(AB1047="","",AB1047*V1047*$AD$1063)</f>
        <v>0</v>
      </c>
      <c r="AF1047" s="445"/>
      <c r="AG1047" s="445"/>
      <c r="AH1047" s="445"/>
    </row>
    <row r="1048" spans="1:35" s="1" customFormat="1" ht="15.75" customHeight="1" x14ac:dyDescent="0.15">
      <c r="A1048" s="73" t="str">
        <f>IF(A$311="",IF(LEN(E1048)+LEN(T1048)=0,"×",""),"×")</f>
        <v>×</v>
      </c>
      <c r="E1048" s="413">
        <v>4</v>
      </c>
      <c r="F1048" s="372"/>
      <c r="G1048" s="103">
        <v>4.4600000381469727</v>
      </c>
      <c r="H1048" s="103"/>
      <c r="I1048" s="103"/>
      <c r="J1048" s="427" t="s">
        <v>516</v>
      </c>
      <c r="K1048" s="428"/>
      <c r="L1048" s="413"/>
      <c r="M1048" s="429">
        <v>45</v>
      </c>
      <c r="N1048" s="429"/>
      <c r="O1048" s="429"/>
      <c r="P1048" s="444">
        <f>IF(M1048="","",M1048*G1048*$AD$1063)</f>
        <v>630.51765096837266</v>
      </c>
      <c r="Q1048" s="445"/>
      <c r="R1048" s="445"/>
      <c r="S1048" s="446"/>
      <c r="T1048" s="395">
        <v>4</v>
      </c>
      <c r="U1048" s="372"/>
      <c r="V1048" s="103">
        <v>4.4600000381469727</v>
      </c>
      <c r="W1048" s="103"/>
      <c r="X1048" s="103"/>
      <c r="Y1048" s="427" t="s">
        <v>516</v>
      </c>
      <c r="Z1048" s="428"/>
      <c r="AA1048" s="413"/>
      <c r="AB1048" s="429">
        <v>45</v>
      </c>
      <c r="AC1048" s="429"/>
      <c r="AD1048" s="429"/>
      <c r="AE1048" s="444">
        <f>IF(AB1048="","",AB1048*V1048*$AD$1063)</f>
        <v>630.51765096837266</v>
      </c>
      <c r="AF1048" s="445"/>
      <c r="AG1048" s="445"/>
      <c r="AH1048" s="445"/>
    </row>
    <row r="1049" spans="1:35" s="1" customFormat="1" ht="15.75" customHeight="1" x14ac:dyDescent="0.15">
      <c r="A1049" s="73" t="str">
        <f>IF(A$311="",IF(LEN(E1049)+LEN(T1049)=0,"×",""),"×")</f>
        <v>×</v>
      </c>
      <c r="E1049" s="413">
        <v>5</v>
      </c>
      <c r="F1049" s="372"/>
      <c r="G1049" s="103">
        <v>8</v>
      </c>
      <c r="H1049" s="103"/>
      <c r="I1049" s="103"/>
      <c r="J1049" s="427" t="s">
        <v>582</v>
      </c>
      <c r="K1049" s="428"/>
      <c r="L1049" s="413"/>
      <c r="M1049" s="429">
        <v>25</v>
      </c>
      <c r="N1049" s="429"/>
      <c r="O1049" s="429"/>
      <c r="P1049" s="444">
        <f>IF(M1049="","",M1049*G1049*$AD$1063)</f>
        <v>628.31853071795865</v>
      </c>
      <c r="Q1049" s="445"/>
      <c r="R1049" s="445"/>
      <c r="S1049" s="446"/>
      <c r="T1049" s="395">
        <v>5</v>
      </c>
      <c r="U1049" s="372"/>
      <c r="V1049" s="103">
        <v>8</v>
      </c>
      <c r="W1049" s="103"/>
      <c r="X1049" s="103"/>
      <c r="Y1049" s="427" t="s">
        <v>582</v>
      </c>
      <c r="Z1049" s="428"/>
      <c r="AA1049" s="413"/>
      <c r="AB1049" s="429">
        <v>25</v>
      </c>
      <c r="AC1049" s="429"/>
      <c r="AD1049" s="429"/>
      <c r="AE1049" s="444">
        <f>IF(AB1049="","",AB1049*V1049*$AD$1063)</f>
        <v>628.31853071795865</v>
      </c>
      <c r="AF1049" s="445"/>
      <c r="AG1049" s="445"/>
      <c r="AH1049" s="445"/>
    </row>
    <row r="1050" spans="1:35" s="1" customFormat="1" ht="15.75" customHeight="1" x14ac:dyDescent="0.15">
      <c r="A1050" s="73" t="str">
        <f>IF(A$311="",IF(LEN(E1050)+LEN(T1050)=0,"×",""),"×")</f>
        <v>×</v>
      </c>
      <c r="E1050" s="413">
        <v>6</v>
      </c>
      <c r="F1050" s="372"/>
      <c r="G1050" s="103">
        <v>4</v>
      </c>
      <c r="H1050" s="103"/>
      <c r="I1050" s="103"/>
      <c r="J1050" s="427" t="s">
        <v>582</v>
      </c>
      <c r="K1050" s="428"/>
      <c r="L1050" s="413"/>
      <c r="M1050" s="429">
        <v>50</v>
      </c>
      <c r="N1050" s="429"/>
      <c r="O1050" s="429"/>
      <c r="P1050" s="444">
        <f>IF(M1050="","",M1050*G1050*$AD$1063)</f>
        <v>628.31853071795865</v>
      </c>
      <c r="Q1050" s="445"/>
      <c r="R1050" s="445"/>
      <c r="S1050" s="446"/>
      <c r="T1050" s="395">
        <v>6</v>
      </c>
      <c r="U1050" s="372"/>
      <c r="V1050" s="103">
        <v>4.5</v>
      </c>
      <c r="W1050" s="103"/>
      <c r="X1050" s="103"/>
      <c r="Y1050" s="427" t="s">
        <v>582</v>
      </c>
      <c r="Z1050" s="428"/>
      <c r="AA1050" s="413"/>
      <c r="AB1050" s="429">
        <v>50</v>
      </c>
      <c r="AC1050" s="429"/>
      <c r="AD1050" s="429"/>
      <c r="AE1050" s="444">
        <f>IF(AB1050="","",AB1050*V1050*$AD$1063)</f>
        <v>706.85834705770344</v>
      </c>
      <c r="AF1050" s="445"/>
      <c r="AG1050" s="445"/>
      <c r="AH1050" s="445"/>
    </row>
    <row r="1051" spans="1:35" s="1" customFormat="1" ht="15.75" customHeight="1" x14ac:dyDescent="0.15">
      <c r="A1051" s="73" t="str">
        <f>IF(A$311="",IF(LEN(E1051)+LEN(T1051)=0,"×",""),"×")</f>
        <v>×</v>
      </c>
      <c r="E1051" s="413">
        <v>6</v>
      </c>
      <c r="F1051" s="372"/>
      <c r="G1051" s="103">
        <v>0.5</v>
      </c>
      <c r="H1051" s="103"/>
      <c r="I1051" s="103"/>
      <c r="J1051" s="427" t="s">
        <v>582</v>
      </c>
      <c r="K1051" s="428"/>
      <c r="L1051" s="413"/>
      <c r="M1051" s="429">
        <v>0</v>
      </c>
      <c r="N1051" s="429"/>
      <c r="O1051" s="429"/>
      <c r="P1051" s="444">
        <f>IF(M1051="","",M1051*G1051*$AD$1063)</f>
        <v>0</v>
      </c>
      <c r="Q1051" s="445"/>
      <c r="R1051" s="445"/>
      <c r="S1051" s="446"/>
      <c r="T1051" s="395">
        <v>7</v>
      </c>
      <c r="U1051" s="372"/>
      <c r="V1051" s="103">
        <v>0.5</v>
      </c>
      <c r="W1051" s="103"/>
      <c r="X1051" s="103"/>
      <c r="Y1051" s="427" t="s">
        <v>517</v>
      </c>
      <c r="Z1051" s="428"/>
      <c r="AA1051" s="413"/>
      <c r="AB1051" s="429">
        <v>150</v>
      </c>
      <c r="AC1051" s="429"/>
      <c r="AD1051" s="429"/>
      <c r="AE1051" s="444">
        <f>IF(AB1051="","",AB1051*V1051*$AD$1063)</f>
        <v>235.61944901923448</v>
      </c>
      <c r="AF1051" s="445"/>
      <c r="AG1051" s="445"/>
      <c r="AH1051" s="445"/>
    </row>
    <row r="1052" spans="1:35" s="1" customFormat="1" ht="15.75" customHeight="1" x14ac:dyDescent="0.15">
      <c r="A1052" s="73" t="str">
        <f>IF(A$311="",IF(LEN(E1052)+LEN(T1052)=0,"×",""),"×")</f>
        <v>×</v>
      </c>
      <c r="E1052" s="413">
        <v>7</v>
      </c>
      <c r="F1052" s="372"/>
      <c r="G1052" s="103">
        <v>0.5</v>
      </c>
      <c r="H1052" s="103"/>
      <c r="I1052" s="103"/>
      <c r="J1052" s="427" t="s">
        <v>517</v>
      </c>
      <c r="K1052" s="428"/>
      <c r="L1052" s="413"/>
      <c r="M1052" s="429">
        <v>0</v>
      </c>
      <c r="N1052" s="429"/>
      <c r="O1052" s="429"/>
      <c r="P1052" s="444">
        <f>IF(M1052="","",M1052*G1052*$AD$1063)</f>
        <v>0</v>
      </c>
      <c r="Q1052" s="445"/>
      <c r="R1052" s="445"/>
      <c r="S1052" s="446"/>
      <c r="T1052" s="395"/>
      <c r="U1052" s="372"/>
      <c r="V1052" s="103"/>
      <c r="W1052" s="103"/>
      <c r="X1052" s="103"/>
      <c r="Y1052" s="427"/>
      <c r="Z1052" s="428"/>
      <c r="AA1052" s="413"/>
      <c r="AB1052" s="429"/>
      <c r="AC1052" s="429"/>
      <c r="AD1052" s="429"/>
      <c r="AE1052" s="444" t="str">
        <f>IF(AB1052="","",AB1052*V1052*$AD$1063)</f>
        <v/>
      </c>
      <c r="AF1052" s="445"/>
      <c r="AG1052" s="445"/>
      <c r="AH1052" s="445"/>
    </row>
    <row r="1053" spans="1:35" s="1" customFormat="1" ht="15.75" customHeight="1" x14ac:dyDescent="0.15">
      <c r="A1053" s="73" t="str">
        <f>IF(A$311="",IF(LEN(E1053)+LEN(T1053)=0,"×",""),"×")</f>
        <v>×</v>
      </c>
      <c r="E1053" s="413"/>
      <c r="F1053" s="372"/>
      <c r="G1053" s="103"/>
      <c r="H1053" s="103"/>
      <c r="I1053" s="103"/>
      <c r="J1053" s="427"/>
      <c r="K1053" s="428"/>
      <c r="L1053" s="413"/>
      <c r="M1053" s="429"/>
      <c r="N1053" s="429"/>
      <c r="O1053" s="429"/>
      <c r="P1053" s="444" t="str">
        <f>IF(M1053="","",M1053*G1053*$AD$1063)</f>
        <v/>
      </c>
      <c r="Q1053" s="445"/>
      <c r="R1053" s="445"/>
      <c r="S1053" s="446"/>
      <c r="T1053" s="395"/>
      <c r="U1053" s="372"/>
      <c r="V1053" s="103"/>
      <c r="W1053" s="103"/>
      <c r="X1053" s="103"/>
      <c r="Y1053" s="427"/>
      <c r="Z1053" s="428"/>
      <c r="AA1053" s="413"/>
      <c r="AB1053" s="429"/>
      <c r="AC1053" s="429"/>
      <c r="AD1053" s="429"/>
      <c r="AE1053" s="444" t="str">
        <f>IF(AB1053="","",AB1053*V1053*$AD$1063)</f>
        <v/>
      </c>
      <c r="AF1053" s="445"/>
      <c r="AG1053" s="445"/>
      <c r="AH1053" s="445"/>
    </row>
    <row r="1054" spans="1:35" s="1" customFormat="1" ht="15.75" customHeight="1" x14ac:dyDescent="0.15">
      <c r="A1054" s="73" t="str">
        <f>IF(A$311="",IF(LEN(E1054)+LEN(T1054)=0,"×",""),"×")</f>
        <v>×</v>
      </c>
      <c r="E1054" s="413"/>
      <c r="F1054" s="372"/>
      <c r="G1054" s="103"/>
      <c r="H1054" s="103"/>
      <c r="I1054" s="103"/>
      <c r="J1054" s="427"/>
      <c r="K1054" s="428"/>
      <c r="L1054" s="413"/>
      <c r="M1054" s="429"/>
      <c r="N1054" s="429"/>
      <c r="O1054" s="429"/>
      <c r="P1054" s="444" t="str">
        <f>IF(M1054="","",M1054*G1054*$AD$1063)</f>
        <v/>
      </c>
      <c r="Q1054" s="445"/>
      <c r="R1054" s="445"/>
      <c r="S1054" s="446"/>
      <c r="T1054" s="395"/>
      <c r="U1054" s="372"/>
      <c r="V1054" s="103"/>
      <c r="W1054" s="103"/>
      <c r="X1054" s="103"/>
      <c r="Y1054" s="427"/>
      <c r="Z1054" s="428"/>
      <c r="AA1054" s="413"/>
      <c r="AB1054" s="429"/>
      <c r="AC1054" s="429"/>
      <c r="AD1054" s="429"/>
      <c r="AE1054" s="444" t="str">
        <f>IF(AB1054="","",AB1054*V1054*$AD$1063)</f>
        <v/>
      </c>
      <c r="AF1054" s="445"/>
      <c r="AG1054" s="445"/>
      <c r="AH1054" s="445"/>
    </row>
    <row r="1055" spans="1:35" s="1" customFormat="1" ht="15.75" customHeight="1" x14ac:dyDescent="0.15">
      <c r="A1055" s="73" t="str">
        <f>IF(A$311="",IF(LEN(E1055)+LEN(T1055)=0,"×",""),"×")</f>
        <v>×</v>
      </c>
      <c r="E1055" s="413"/>
      <c r="F1055" s="372"/>
      <c r="G1055" s="103"/>
      <c r="H1055" s="103"/>
      <c r="I1055" s="103"/>
      <c r="J1055" s="427"/>
      <c r="K1055" s="428"/>
      <c r="L1055" s="413"/>
      <c r="M1055" s="429"/>
      <c r="N1055" s="429"/>
      <c r="O1055" s="429"/>
      <c r="P1055" s="444" t="str">
        <f>IF(M1055="","",M1055*G1055*$AD$1063)</f>
        <v/>
      </c>
      <c r="Q1055" s="445"/>
      <c r="R1055" s="445"/>
      <c r="S1055" s="446"/>
      <c r="T1055" s="395"/>
      <c r="U1055" s="372"/>
      <c r="V1055" s="103"/>
      <c r="W1055" s="103"/>
      <c r="X1055" s="103"/>
      <c r="Y1055" s="427"/>
      <c r="Z1055" s="428"/>
      <c r="AA1055" s="413"/>
      <c r="AB1055" s="429"/>
      <c r="AC1055" s="429"/>
      <c r="AD1055" s="429"/>
      <c r="AE1055" s="444" t="str">
        <f>IF(AB1055="","",AB1055*V1055*$AD$1063)</f>
        <v/>
      </c>
      <c r="AF1055" s="445"/>
      <c r="AG1055" s="445"/>
      <c r="AH1055" s="445"/>
    </row>
    <row r="1056" spans="1:35" s="1" customFormat="1" ht="15.75" customHeight="1" x14ac:dyDescent="0.15">
      <c r="A1056" s="73" t="str">
        <f>IF(A$311="",IF(LEN(E1056)+LEN(T1056)=0,"×",""),"×")</f>
        <v>×</v>
      </c>
      <c r="E1056" s="413"/>
      <c r="F1056" s="372"/>
      <c r="G1056" s="103"/>
      <c r="H1056" s="103"/>
      <c r="I1056" s="103"/>
      <c r="J1056" s="427"/>
      <c r="K1056" s="428"/>
      <c r="L1056" s="413"/>
      <c r="M1056" s="429"/>
      <c r="N1056" s="429"/>
      <c r="O1056" s="429"/>
      <c r="P1056" s="444" t="str">
        <f>IF(M1056="","",M1056*G1056*$AD$1063)</f>
        <v/>
      </c>
      <c r="Q1056" s="445"/>
      <c r="R1056" s="445"/>
      <c r="S1056" s="446"/>
      <c r="T1056" s="395"/>
      <c r="U1056" s="372"/>
      <c r="V1056" s="103"/>
      <c r="W1056" s="103"/>
      <c r="X1056" s="103"/>
      <c r="Y1056" s="427"/>
      <c r="Z1056" s="428"/>
      <c r="AA1056" s="413"/>
      <c r="AB1056" s="429"/>
      <c r="AC1056" s="429"/>
      <c r="AD1056" s="429"/>
      <c r="AE1056" s="444" t="str">
        <f>IF(AB1056="","",AB1056*V1056*$AD$1063)</f>
        <v/>
      </c>
      <c r="AF1056" s="445"/>
      <c r="AG1056" s="445"/>
      <c r="AH1056" s="445"/>
    </row>
    <row r="1057" spans="1:34" s="1" customFormat="1" ht="15.75" customHeight="1" x14ac:dyDescent="0.15">
      <c r="A1057" s="73" t="str">
        <f>IF(A$311="",IF(LEN(E1057)+LEN(T1057)=0,"×",""),"×")</f>
        <v>×</v>
      </c>
      <c r="E1057" s="413"/>
      <c r="F1057" s="372"/>
      <c r="G1057" s="103"/>
      <c r="H1057" s="103"/>
      <c r="I1057" s="103"/>
      <c r="J1057" s="427"/>
      <c r="K1057" s="428"/>
      <c r="L1057" s="413"/>
      <c r="M1057" s="429"/>
      <c r="N1057" s="429"/>
      <c r="O1057" s="429"/>
      <c r="P1057" s="444" t="str">
        <f>IF(M1057="","",M1057*G1057*$AD$1063)</f>
        <v/>
      </c>
      <c r="Q1057" s="445"/>
      <c r="R1057" s="445"/>
      <c r="S1057" s="446"/>
      <c r="T1057" s="395"/>
      <c r="U1057" s="372"/>
      <c r="V1057" s="103"/>
      <c r="W1057" s="103"/>
      <c r="X1057" s="103"/>
      <c r="Y1057" s="427"/>
      <c r="Z1057" s="428"/>
      <c r="AA1057" s="413"/>
      <c r="AB1057" s="429"/>
      <c r="AC1057" s="429"/>
      <c r="AD1057" s="429"/>
      <c r="AE1057" s="444" t="str">
        <f>IF(AB1057="","",AB1057*V1057*$AD$1063)</f>
        <v/>
      </c>
      <c r="AF1057" s="445"/>
      <c r="AG1057" s="445"/>
      <c r="AH1057" s="445"/>
    </row>
    <row r="1058" spans="1:34" s="1" customFormat="1" ht="15.75" customHeight="1" x14ac:dyDescent="0.15">
      <c r="A1058" s="73" t="str">
        <f>IF(A$311="",IF(LEN(E1058)+LEN(T1058)=0,"×",""),"×")</f>
        <v>×</v>
      </c>
      <c r="E1058" s="413"/>
      <c r="F1058" s="372"/>
      <c r="G1058" s="103"/>
      <c r="H1058" s="103"/>
      <c r="I1058" s="103"/>
      <c r="J1058" s="427"/>
      <c r="K1058" s="428"/>
      <c r="L1058" s="413"/>
      <c r="M1058" s="429"/>
      <c r="N1058" s="429"/>
      <c r="O1058" s="429"/>
      <c r="P1058" s="444" t="str">
        <f>IF(M1058="","",M1058*G1058*$AD$1063)</f>
        <v/>
      </c>
      <c r="Q1058" s="445"/>
      <c r="R1058" s="445"/>
      <c r="S1058" s="446"/>
      <c r="T1058" s="395"/>
      <c r="U1058" s="372"/>
      <c r="V1058" s="103"/>
      <c r="W1058" s="103"/>
      <c r="X1058" s="103"/>
      <c r="Y1058" s="427"/>
      <c r="Z1058" s="428"/>
      <c r="AA1058" s="413"/>
      <c r="AB1058" s="429"/>
      <c r="AC1058" s="429"/>
      <c r="AD1058" s="429"/>
      <c r="AE1058" s="444" t="str">
        <f>IF(AB1058="","",AB1058*V1058*$AD$1063)</f>
        <v/>
      </c>
      <c r="AF1058" s="445"/>
      <c r="AG1058" s="445"/>
      <c r="AH1058" s="445"/>
    </row>
    <row r="1059" spans="1:34" s="1" customFormat="1" ht="15.75" customHeight="1" x14ac:dyDescent="0.15">
      <c r="A1059" s="73" t="str">
        <f>IF(A$311="",IF(LEN(E1059)+LEN(T1059)=0,"×",""),"×")</f>
        <v>×</v>
      </c>
      <c r="E1059" s="413"/>
      <c r="F1059" s="372"/>
      <c r="G1059" s="103"/>
      <c r="H1059" s="103"/>
      <c r="I1059" s="103"/>
      <c r="J1059" s="427"/>
      <c r="K1059" s="428"/>
      <c r="L1059" s="413"/>
      <c r="M1059" s="429"/>
      <c r="N1059" s="429"/>
      <c r="O1059" s="429"/>
      <c r="P1059" s="444" t="str">
        <f>IF(M1059="","",M1059*G1059*$AD$1063)</f>
        <v/>
      </c>
      <c r="Q1059" s="445"/>
      <c r="R1059" s="445"/>
      <c r="S1059" s="446"/>
      <c r="T1059" s="395"/>
      <c r="U1059" s="372"/>
      <c r="V1059" s="103"/>
      <c r="W1059" s="103"/>
      <c r="X1059" s="103"/>
      <c r="Y1059" s="427"/>
      <c r="Z1059" s="428"/>
      <c r="AA1059" s="413"/>
      <c r="AB1059" s="429"/>
      <c r="AC1059" s="429"/>
      <c r="AD1059" s="429"/>
      <c r="AE1059" s="444" t="str">
        <f>IF(AB1059="","",AB1059*V1059*$AD$1063)</f>
        <v/>
      </c>
      <c r="AF1059" s="445"/>
      <c r="AG1059" s="445"/>
      <c r="AH1059" s="445"/>
    </row>
    <row r="1060" spans="1:34" s="1" customFormat="1" ht="15.75" customHeight="1" x14ac:dyDescent="0.15">
      <c r="A1060" s="73" t="str">
        <f>IF(A$311="",IF(LEN(E1060)+LEN(T1060)=0,"×",""),"×")</f>
        <v>×</v>
      </c>
      <c r="E1060" s="413"/>
      <c r="F1060" s="372"/>
      <c r="G1060" s="103"/>
      <c r="H1060" s="103"/>
      <c r="I1060" s="103"/>
      <c r="J1060" s="427"/>
      <c r="K1060" s="428"/>
      <c r="L1060" s="413"/>
      <c r="M1060" s="429"/>
      <c r="N1060" s="429"/>
      <c r="O1060" s="429"/>
      <c r="P1060" s="444" t="str">
        <f>IF(M1060="","",M1060*G1060*$AD$1063)</f>
        <v/>
      </c>
      <c r="Q1060" s="445"/>
      <c r="R1060" s="445"/>
      <c r="S1060" s="446"/>
      <c r="T1060" s="395"/>
      <c r="U1060" s="372"/>
      <c r="V1060" s="103"/>
      <c r="W1060" s="103"/>
      <c r="X1060" s="103"/>
      <c r="Y1060" s="427"/>
      <c r="Z1060" s="428"/>
      <c r="AA1060" s="413"/>
      <c r="AB1060" s="429"/>
      <c r="AC1060" s="429"/>
      <c r="AD1060" s="429"/>
      <c r="AE1060" s="444" t="str">
        <f>IF(AB1060="","",AB1060*V1060*$AD$1063)</f>
        <v/>
      </c>
      <c r="AF1060" s="445"/>
      <c r="AG1060" s="445"/>
      <c r="AH1060" s="445"/>
    </row>
    <row r="1061" spans="1:34" s="1" customFormat="1" ht="15.75" customHeight="1" x14ac:dyDescent="0.15">
      <c r="A1061" s="73" t="str">
        <f>IF(A$311="",IF(LEN(E1061)+LEN(T1061)=0,"×",""),"×")</f>
        <v>×</v>
      </c>
      <c r="E1061" s="413"/>
      <c r="F1061" s="372"/>
      <c r="G1061" s="103"/>
      <c r="H1061" s="103"/>
      <c r="I1061" s="103"/>
      <c r="J1061" s="427"/>
      <c r="K1061" s="428"/>
      <c r="L1061" s="413"/>
      <c r="M1061" s="429"/>
      <c r="N1061" s="429"/>
      <c r="O1061" s="429"/>
      <c r="P1061" s="444" t="str">
        <f>IF(M1061="","",M1061*G1061*$AD$1063)</f>
        <v/>
      </c>
      <c r="Q1061" s="445"/>
      <c r="R1061" s="445"/>
      <c r="S1061" s="446"/>
      <c r="T1061" s="395"/>
      <c r="U1061" s="372"/>
      <c r="V1061" s="103"/>
      <c r="W1061" s="103"/>
      <c r="X1061" s="103"/>
      <c r="Y1061" s="427"/>
      <c r="Z1061" s="428"/>
      <c r="AA1061" s="413"/>
      <c r="AB1061" s="429"/>
      <c r="AC1061" s="429"/>
      <c r="AD1061" s="429"/>
      <c r="AE1061" s="444" t="str">
        <f>IF(AB1061="","",AB1061*V1061*$AD$1063)</f>
        <v/>
      </c>
      <c r="AF1061" s="445"/>
      <c r="AG1061" s="445"/>
      <c r="AH1061" s="445"/>
    </row>
    <row r="1062" spans="1:34" s="1" customFormat="1" ht="15.75" customHeight="1" x14ac:dyDescent="0.15">
      <c r="A1062" s="73"/>
      <c r="E1062" s="233" t="s">
        <v>581</v>
      </c>
      <c r="F1062" s="234"/>
      <c r="G1062" s="450">
        <f>ROUND(SUM(P1046:S1061),1)</f>
        <v>1887.2</v>
      </c>
      <c r="H1062" s="451"/>
      <c r="I1062" s="451"/>
      <c r="J1062" s="451"/>
      <c r="K1062" s="451"/>
      <c r="L1062" s="451"/>
      <c r="M1062" s="451"/>
      <c r="N1062" s="451"/>
      <c r="O1062" s="451"/>
      <c r="P1062" s="451"/>
      <c r="Q1062" s="451"/>
      <c r="R1062" s="451"/>
      <c r="S1062" s="452"/>
      <c r="T1062" s="401" t="s">
        <v>581</v>
      </c>
      <c r="U1062" s="234"/>
      <c r="V1062" s="450">
        <f>ROUND(SUM(AE1046:AH1061),1)</f>
        <v>2201.3000000000002</v>
      </c>
      <c r="W1062" s="451"/>
      <c r="X1062" s="451"/>
      <c r="Y1062" s="451"/>
      <c r="Z1062" s="451"/>
      <c r="AA1062" s="451"/>
      <c r="AB1062" s="451"/>
      <c r="AC1062" s="451"/>
      <c r="AD1062" s="451"/>
      <c r="AE1062" s="451"/>
      <c r="AF1062" s="451"/>
      <c r="AG1062" s="451"/>
      <c r="AH1062" s="451"/>
    </row>
    <row r="1063" spans="1:34" s="1" customFormat="1" ht="15.75" customHeight="1" x14ac:dyDescent="0.15">
      <c r="A1063" s="73" t="str">
        <f>IF(A$311="","","×")</f>
        <v>×</v>
      </c>
      <c r="E1063" s="8"/>
      <c r="F1063" s="8"/>
      <c r="G1063" s="8"/>
      <c r="H1063" s="8"/>
      <c r="I1063" s="8"/>
      <c r="J1063" s="8"/>
      <c r="K1063" s="8"/>
      <c r="L1063" s="8"/>
      <c r="M1063" s="8"/>
      <c r="N1063" s="8"/>
      <c r="O1063" s="8"/>
      <c r="AA1063" s="2" t="s">
        <v>127</v>
      </c>
      <c r="AB1063" s="1" t="s">
        <v>548</v>
      </c>
      <c r="AC1063" s="76" t="s">
        <v>27</v>
      </c>
      <c r="AD1063" s="304">
        <f>AD1039</f>
        <v>3.1415926535897931</v>
      </c>
      <c r="AE1063" s="304"/>
      <c r="AF1063" s="304"/>
      <c r="AG1063" s="7" t="s">
        <v>549</v>
      </c>
      <c r="AH1063" s="76" t="s">
        <v>158</v>
      </c>
    </row>
    <row r="1064" spans="1:34" ht="15.75" customHeight="1" x14ac:dyDescent="0.15">
      <c r="A1064" s="73" t="str">
        <f>IF(A$311="","","×")</f>
        <v>×</v>
      </c>
    </row>
    <row r="1065" spans="1:34" s="1" customFormat="1" ht="15.75" customHeight="1" x14ac:dyDescent="0.15"/>
    <row r="1066" spans="1:34" s="307" customFormat="1" ht="15.75" customHeight="1" x14ac:dyDescent="0.15">
      <c r="G1066" s="76"/>
      <c r="H1066" s="76"/>
      <c r="I1066" s="76"/>
      <c r="J1066" s="9"/>
      <c r="K1066" s="9"/>
      <c r="L1066" s="9"/>
      <c r="M1066" s="76"/>
      <c r="N1066" s="76"/>
      <c r="O1066" s="76"/>
      <c r="P1066" s="76"/>
      <c r="Q1066" s="77"/>
      <c r="R1066" s="77"/>
      <c r="S1066" s="77"/>
      <c r="T1066" s="9"/>
      <c r="U1066" s="9"/>
      <c r="V1066" s="9"/>
      <c r="W1066" s="77"/>
      <c r="X1066" s="77"/>
      <c r="Y1066" s="77"/>
      <c r="Z1066" s="77"/>
      <c r="AA1066" s="77"/>
      <c r="AB1066" s="77"/>
      <c r="AC1066" s="77"/>
      <c r="AD1066" s="77"/>
    </row>
    <row r="1067" spans="1:34" s="307" customFormat="1" ht="15.75" customHeight="1" x14ac:dyDescent="0.15">
      <c r="D1067" s="10" t="s">
        <v>251</v>
      </c>
    </row>
    <row r="1068" spans="1:34" s="307" customFormat="1" ht="15.75" customHeight="1" x14ac:dyDescent="0.15"/>
    <row r="1069" spans="1:34" s="307" customFormat="1" ht="15.75" customHeight="1" x14ac:dyDescent="0.15">
      <c r="E1069" s="1" t="s">
        <v>252</v>
      </c>
    </row>
    <row r="1070" spans="1:34" s="307" customFormat="1" ht="15.75" customHeight="1" x14ac:dyDescent="0.15">
      <c r="F1070" s="307" t="s">
        <v>260</v>
      </c>
    </row>
    <row r="1071" spans="1:34" s="307" customFormat="1" ht="15.75" customHeight="1" x14ac:dyDescent="0.15">
      <c r="F1071" s="307" t="s">
        <v>261</v>
      </c>
    </row>
    <row r="1072" spans="1:34" s="307" customFormat="1" ht="15.75" customHeight="1" x14ac:dyDescent="0.15"/>
    <row r="1073" spans="5:31" s="307" customFormat="1" ht="15.75" customHeight="1" x14ac:dyDescent="0.15">
      <c r="E1073" s="162" t="s">
        <v>253</v>
      </c>
      <c r="F1073" s="162"/>
      <c r="G1073" s="76" t="s">
        <v>27</v>
      </c>
      <c r="H1073" s="162" t="s">
        <v>254</v>
      </c>
      <c r="I1073" s="162"/>
      <c r="J1073" s="307" t="s">
        <v>1</v>
      </c>
      <c r="K1073" s="162" t="s">
        <v>212</v>
      </c>
      <c r="L1073" s="162"/>
    </row>
    <row r="1074" spans="5:31" s="307" customFormat="1" ht="15.75" customHeight="1" x14ac:dyDescent="0.15">
      <c r="G1074" s="76" t="s">
        <v>27</v>
      </c>
      <c r="H1074" s="162" t="s">
        <v>254</v>
      </c>
      <c r="I1074" s="162"/>
      <c r="J1074" s="307" t="s">
        <v>1</v>
      </c>
      <c r="K1074" s="307" t="s">
        <v>255</v>
      </c>
    </row>
    <row r="1075" spans="5:31" s="307" customFormat="1" ht="15.75" customHeight="1" x14ac:dyDescent="0.15"/>
    <row r="1076" spans="5:31" s="307" customFormat="1" ht="15.75" customHeight="1" x14ac:dyDescent="0.15">
      <c r="F1076" s="1" t="s">
        <v>3</v>
      </c>
      <c r="G1076" s="1"/>
      <c r="H1076" s="1"/>
      <c r="I1076" s="162" t="s">
        <v>253</v>
      </c>
      <c r="J1076" s="162"/>
      <c r="K1076" s="76" t="s">
        <v>2</v>
      </c>
      <c r="L1076" s="1" t="s">
        <v>256</v>
      </c>
    </row>
    <row r="1077" spans="5:31" s="307" customFormat="1" ht="15.75" customHeight="1" x14ac:dyDescent="0.15">
      <c r="F1077" s="1"/>
      <c r="G1077" s="1"/>
      <c r="H1077" s="1"/>
      <c r="I1077" s="162" t="s">
        <v>212</v>
      </c>
      <c r="J1077" s="162"/>
      <c r="K1077" s="76" t="s">
        <v>2</v>
      </c>
      <c r="L1077" s="1" t="s">
        <v>257</v>
      </c>
    </row>
    <row r="1078" spans="5:31" s="307" customFormat="1" ht="15.75" customHeight="1" x14ac:dyDescent="0.15">
      <c r="I1078" s="162" t="s">
        <v>213</v>
      </c>
      <c r="J1078" s="162"/>
      <c r="K1078" s="76" t="s">
        <v>2</v>
      </c>
      <c r="L1078" s="1" t="s">
        <v>223</v>
      </c>
    </row>
    <row r="1079" spans="5:31" s="307" customFormat="1" ht="15.75" customHeight="1" x14ac:dyDescent="0.15">
      <c r="I1079" s="162" t="s">
        <v>215</v>
      </c>
      <c r="J1079" s="162"/>
      <c r="K1079" s="76" t="s">
        <v>2</v>
      </c>
      <c r="L1079" s="1" t="s">
        <v>258</v>
      </c>
    </row>
    <row r="1080" spans="5:31" s="307" customFormat="1" ht="15.75" customHeight="1" x14ac:dyDescent="0.15">
      <c r="I1080" s="162" t="s">
        <v>254</v>
      </c>
      <c r="J1080" s="162"/>
      <c r="K1080" s="76" t="s">
        <v>2</v>
      </c>
      <c r="L1080" s="307" t="s">
        <v>263</v>
      </c>
    </row>
    <row r="1081" spans="5:31" s="307" customFormat="1" ht="15.75" customHeight="1" x14ac:dyDescent="0.15">
      <c r="L1081" s="307" t="s">
        <v>264</v>
      </c>
    </row>
    <row r="1082" spans="5:31" s="307" customFormat="1" ht="15.75" customHeight="1" x14ac:dyDescent="0.15">
      <c r="L1082" s="307" t="s">
        <v>262</v>
      </c>
    </row>
    <row r="1083" spans="5:31" s="307" customFormat="1" ht="15.75" customHeight="1" x14ac:dyDescent="0.15">
      <c r="L1083" s="307" t="s">
        <v>259</v>
      </c>
    </row>
    <row r="1084" spans="5:31" s="307" customFormat="1" ht="15.75" customHeight="1" x14ac:dyDescent="0.15"/>
    <row r="1085" spans="5:31" ht="15.75" customHeight="1" x14ac:dyDescent="0.15">
      <c r="E1085" s="1" t="s">
        <v>604</v>
      </c>
    </row>
    <row r="1086" spans="5:31" ht="15.75" customHeight="1" x14ac:dyDescent="0.15">
      <c r="E1086" s="1" t="s">
        <v>605</v>
      </c>
    </row>
    <row r="1087" spans="5:31" s="307" customFormat="1" ht="15.75" customHeight="1" x14ac:dyDescent="0.15"/>
    <row r="1088" spans="5:31" s="307" customFormat="1" ht="15.75" customHeight="1" x14ac:dyDescent="0.15">
      <c r="E1088" s="61" t="s">
        <v>378</v>
      </c>
      <c r="F1088" s="302"/>
      <c r="G1088" s="302"/>
      <c r="H1088" s="302"/>
      <c r="I1088" s="302"/>
      <c r="J1088" s="302"/>
      <c r="K1088" s="61"/>
      <c r="L1088" s="61"/>
      <c r="M1088" s="61"/>
      <c r="N1088" s="61"/>
      <c r="O1088" s="61"/>
      <c r="P1088" s="61"/>
      <c r="Q1088" s="61"/>
      <c r="R1088" s="61"/>
      <c r="S1088" s="61"/>
      <c r="T1088" s="61"/>
      <c r="U1088" s="61"/>
      <c r="V1088" s="61"/>
      <c r="W1088" s="61"/>
      <c r="X1088" s="61"/>
      <c r="Y1088" s="61"/>
      <c r="Z1088" s="61"/>
      <c r="AA1088" s="302"/>
      <c r="AB1088" s="302"/>
      <c r="AC1088" s="302"/>
      <c r="AD1088" s="302"/>
      <c r="AE1088" s="302"/>
    </row>
    <row r="1089" spans="1:31" s="307" customFormat="1" ht="15.75" customHeight="1" x14ac:dyDescent="0.15">
      <c r="E1089" s="130" t="s">
        <v>265</v>
      </c>
      <c r="F1089" s="131"/>
      <c r="G1089" s="131"/>
      <c r="H1089" s="131" t="s">
        <v>267</v>
      </c>
      <c r="I1089" s="131"/>
      <c r="J1089" s="131"/>
      <c r="K1089" s="131"/>
      <c r="L1089" s="131"/>
      <c r="M1089" s="131"/>
      <c r="N1089" s="105" t="s">
        <v>268</v>
      </c>
      <c r="O1089" s="131"/>
      <c r="P1089" s="131"/>
      <c r="Q1089" s="105" t="s">
        <v>272</v>
      </c>
      <c r="R1089" s="131"/>
      <c r="S1089" s="131"/>
      <c r="T1089" s="105" t="s">
        <v>273</v>
      </c>
      <c r="U1089" s="131"/>
      <c r="V1089" s="131"/>
      <c r="W1089" s="105" t="s">
        <v>271</v>
      </c>
      <c r="X1089" s="131"/>
      <c r="Y1089" s="131"/>
      <c r="Z1089" s="105" t="s">
        <v>269</v>
      </c>
      <c r="AA1089" s="131"/>
      <c r="AB1089" s="131"/>
      <c r="AC1089" s="105" t="s">
        <v>270</v>
      </c>
      <c r="AD1089" s="131"/>
      <c r="AE1089" s="132"/>
    </row>
    <row r="1090" spans="1:31" s="307" customFormat="1" ht="15.75" customHeight="1" x14ac:dyDescent="0.15">
      <c r="E1090" s="98"/>
      <c r="F1090" s="99"/>
      <c r="G1090" s="99"/>
      <c r="H1090" s="99"/>
      <c r="I1090" s="99"/>
      <c r="J1090" s="99"/>
      <c r="K1090" s="99"/>
      <c r="L1090" s="99"/>
      <c r="M1090" s="99"/>
      <c r="N1090" s="99"/>
      <c r="O1090" s="99"/>
      <c r="P1090" s="99"/>
      <c r="Q1090" s="99"/>
      <c r="R1090" s="99"/>
      <c r="S1090" s="99"/>
      <c r="T1090" s="99"/>
      <c r="U1090" s="99"/>
      <c r="V1090" s="99"/>
      <c r="W1090" s="99"/>
      <c r="X1090" s="99"/>
      <c r="Y1090" s="99"/>
      <c r="Z1090" s="99"/>
      <c r="AA1090" s="99"/>
      <c r="AB1090" s="99"/>
      <c r="AC1090" s="99"/>
      <c r="AD1090" s="99"/>
      <c r="AE1090" s="133"/>
    </row>
    <row r="1091" spans="1:31" s="307" customFormat="1" ht="15.75" customHeight="1" x14ac:dyDescent="0.15">
      <c r="E1091" s="130" t="s">
        <v>276</v>
      </c>
      <c r="F1091" s="131"/>
      <c r="G1091" s="131"/>
      <c r="H1091" s="131" t="s">
        <v>274</v>
      </c>
      <c r="I1091" s="131"/>
      <c r="J1091" s="131"/>
      <c r="K1091" s="131"/>
      <c r="L1091" s="131"/>
      <c r="M1091" s="131"/>
      <c r="N1091" s="184">
        <f>H851</f>
        <v>3298.6722862692827</v>
      </c>
      <c r="O1091" s="184"/>
      <c r="P1091" s="184"/>
      <c r="Q1091" s="184">
        <f>G894</f>
        <v>1963.5</v>
      </c>
      <c r="R1091" s="184"/>
      <c r="S1091" s="184"/>
      <c r="T1091" s="184">
        <f>N1091+Q1091</f>
        <v>5262.1722862692823</v>
      </c>
      <c r="U1091" s="184"/>
      <c r="V1091" s="184"/>
      <c r="W1091" s="454">
        <f>N1091/T1091</f>
        <v>0.62686512467039346</v>
      </c>
      <c r="X1091" s="454"/>
      <c r="Y1091" s="454"/>
      <c r="Z1091" s="455">
        <f>g地盤抵抗係数(1,W1091)</f>
        <v>0.34699999999999998</v>
      </c>
      <c r="AA1091" s="455"/>
      <c r="AB1091" s="455"/>
      <c r="AC1091" s="184">
        <f>Z1091*T1091</f>
        <v>1825.9737833354409</v>
      </c>
      <c r="AD1091" s="184"/>
      <c r="AE1091" s="425"/>
    </row>
    <row r="1092" spans="1:31" s="307" customFormat="1" ht="15.75" customHeight="1" x14ac:dyDescent="0.15">
      <c r="E1092" s="93"/>
      <c r="F1092" s="94"/>
      <c r="G1092" s="94"/>
      <c r="H1092" s="94" t="s">
        <v>275</v>
      </c>
      <c r="I1092" s="94"/>
      <c r="J1092" s="94"/>
      <c r="K1092" s="94"/>
      <c r="L1092" s="94"/>
      <c r="M1092" s="94"/>
      <c r="N1092" s="96"/>
      <c r="O1092" s="96"/>
      <c r="P1092" s="96"/>
      <c r="Q1092" s="96">
        <f>G918</f>
        <v>2038.9</v>
      </c>
      <c r="R1092" s="96"/>
      <c r="S1092" s="96"/>
      <c r="T1092" s="96">
        <f>N1091+Q1092</f>
        <v>5337.5722862692828</v>
      </c>
      <c r="U1092" s="96"/>
      <c r="V1092" s="96"/>
      <c r="W1092" s="97">
        <f>N1091/T1092</f>
        <v>0.61800985716952284</v>
      </c>
      <c r="X1092" s="97"/>
      <c r="Y1092" s="97"/>
      <c r="Z1092" s="453">
        <f>g地盤抵抗係数(2,W1092)</f>
        <v>0.48799999999999999</v>
      </c>
      <c r="AA1092" s="453"/>
      <c r="AB1092" s="453"/>
      <c r="AC1092" s="96">
        <f>Z1092*T1092</f>
        <v>2604.7352756994101</v>
      </c>
      <c r="AD1092" s="96"/>
      <c r="AE1092" s="374"/>
    </row>
    <row r="1093" spans="1:31" s="307" customFormat="1" ht="15.75" customHeight="1" x14ac:dyDescent="0.15">
      <c r="E1093" s="93" t="s">
        <v>277</v>
      </c>
      <c r="F1093" s="94"/>
      <c r="G1093" s="94"/>
      <c r="H1093" s="94" t="s">
        <v>377</v>
      </c>
      <c r="I1093" s="94"/>
      <c r="J1093" s="94"/>
      <c r="K1093" s="94"/>
      <c r="L1093" s="94"/>
      <c r="M1093" s="94"/>
      <c r="N1093" s="96"/>
      <c r="O1093" s="96"/>
      <c r="P1093" s="96"/>
      <c r="Q1093" s="96"/>
      <c r="R1093" s="96"/>
      <c r="S1093" s="96"/>
      <c r="T1093" s="96"/>
      <c r="U1093" s="96"/>
      <c r="V1093" s="96"/>
      <c r="W1093" s="97"/>
      <c r="X1093" s="97"/>
      <c r="Y1093" s="97"/>
      <c r="Z1093" s="453">
        <f>g地盤抵抗係数(3,W1092)</f>
        <v>0.72</v>
      </c>
      <c r="AA1093" s="453"/>
      <c r="AB1093" s="453"/>
      <c r="AC1093" s="96">
        <f>Z1093*T1092</f>
        <v>3843.0520461138835</v>
      </c>
      <c r="AD1093" s="96"/>
      <c r="AE1093" s="374"/>
    </row>
    <row r="1094" spans="1:31" s="307" customFormat="1" ht="28.5" customHeight="1" x14ac:dyDescent="0.15">
      <c r="E1094" s="93" t="s">
        <v>278</v>
      </c>
      <c r="F1094" s="94"/>
      <c r="G1094" s="94"/>
      <c r="H1094" s="122" t="s">
        <v>279</v>
      </c>
      <c r="I1094" s="94"/>
      <c r="J1094" s="94"/>
      <c r="K1094" s="94"/>
      <c r="L1094" s="94"/>
      <c r="M1094" s="94"/>
      <c r="N1094" s="96"/>
      <c r="O1094" s="96"/>
      <c r="P1094" s="96"/>
      <c r="Q1094" s="96">
        <f>G942</f>
        <v>1887.2</v>
      </c>
      <c r="R1094" s="96"/>
      <c r="S1094" s="96"/>
      <c r="T1094" s="96">
        <f>N1091+Q1094</f>
        <v>5185.872286269283</v>
      </c>
      <c r="U1094" s="96"/>
      <c r="V1094" s="96"/>
      <c r="W1094" s="97">
        <f>N1091/T1094</f>
        <v>0.63608822280549215</v>
      </c>
      <c r="X1094" s="97"/>
      <c r="Y1094" s="97"/>
      <c r="Z1094" s="453">
        <f>g地盤抵抗係数(4,W1094)</f>
        <v>0.75800000000000001</v>
      </c>
      <c r="AA1094" s="453"/>
      <c r="AB1094" s="453"/>
      <c r="AC1094" s="96">
        <f>Z1094*T1094</f>
        <v>3930.8911929921164</v>
      </c>
      <c r="AD1094" s="96"/>
      <c r="AE1094" s="374"/>
    </row>
    <row r="1095" spans="1:31" s="307" customFormat="1" ht="28.5" customHeight="1" x14ac:dyDescent="0.15">
      <c r="E1095" s="93"/>
      <c r="F1095" s="94"/>
      <c r="G1095" s="94"/>
      <c r="H1095" s="122" t="s">
        <v>280</v>
      </c>
      <c r="I1095" s="94"/>
      <c r="J1095" s="94"/>
      <c r="K1095" s="94"/>
      <c r="L1095" s="94"/>
      <c r="M1095" s="94"/>
      <c r="N1095" s="96"/>
      <c r="O1095" s="96"/>
      <c r="P1095" s="96"/>
      <c r="Q1095" s="96"/>
      <c r="R1095" s="96"/>
      <c r="S1095" s="96"/>
      <c r="T1095" s="96"/>
      <c r="U1095" s="96"/>
      <c r="V1095" s="96"/>
      <c r="W1095" s="97"/>
      <c r="X1095" s="97"/>
      <c r="Y1095" s="97"/>
      <c r="Z1095" s="453">
        <f>g地盤抵抗係数(5,W1094)</f>
        <v>1.151</v>
      </c>
      <c r="AA1095" s="453"/>
      <c r="AB1095" s="453"/>
      <c r="AC1095" s="96">
        <f>Z1095*T1094</f>
        <v>5968.9390014959445</v>
      </c>
      <c r="AD1095" s="96"/>
      <c r="AE1095" s="374"/>
    </row>
    <row r="1096" spans="1:31" s="307" customFormat="1" ht="28.5" customHeight="1" x14ac:dyDescent="0.15">
      <c r="A1096" s="73" t="str">
        <f>IF(A$289="","","×")</f>
        <v>×</v>
      </c>
      <c r="E1096" s="127" t="s">
        <v>583</v>
      </c>
      <c r="F1096" s="94"/>
      <c r="G1096" s="94"/>
      <c r="H1096" s="122" t="s">
        <v>279</v>
      </c>
      <c r="I1096" s="94"/>
      <c r="J1096" s="94"/>
      <c r="K1096" s="94"/>
      <c r="L1096" s="94"/>
      <c r="M1096" s="94"/>
      <c r="N1096" s="96"/>
      <c r="O1096" s="96"/>
      <c r="P1096" s="96"/>
      <c r="Q1096" s="254">
        <f>G966</f>
        <v>1887.2</v>
      </c>
      <c r="R1096" s="254"/>
      <c r="S1096" s="254"/>
      <c r="T1096" s="254">
        <f>N1091+Q1096</f>
        <v>5185.872286269283</v>
      </c>
      <c r="U1096" s="254"/>
      <c r="V1096" s="254"/>
      <c r="W1096" s="166">
        <f>N1091/T1096</f>
        <v>0.63608822280549215</v>
      </c>
      <c r="X1096" s="166"/>
      <c r="Y1096" s="166"/>
      <c r="Z1096" s="453">
        <f>g地盤抵抗係数(4,W1096)</f>
        <v>0.75800000000000001</v>
      </c>
      <c r="AA1096" s="453"/>
      <c r="AB1096" s="453"/>
      <c r="AC1096" s="96">
        <f>Z1096*T1096</f>
        <v>3930.8911929921164</v>
      </c>
      <c r="AD1096" s="96"/>
      <c r="AE1096" s="374"/>
    </row>
    <row r="1097" spans="1:31" s="307" customFormat="1" ht="28.5" customHeight="1" x14ac:dyDescent="0.15">
      <c r="A1097" s="73" t="str">
        <f>IF(A$311="","","×")</f>
        <v>×</v>
      </c>
      <c r="E1097" s="98"/>
      <c r="F1097" s="99"/>
      <c r="G1097" s="99"/>
      <c r="H1097" s="106" t="s">
        <v>280</v>
      </c>
      <c r="I1097" s="99"/>
      <c r="J1097" s="99"/>
      <c r="K1097" s="99"/>
      <c r="L1097" s="99"/>
      <c r="M1097" s="99"/>
      <c r="N1097" s="101"/>
      <c r="O1097" s="101"/>
      <c r="P1097" s="101"/>
      <c r="Q1097" s="456">
        <f>G990</f>
        <v>1887.2</v>
      </c>
      <c r="R1097" s="456"/>
      <c r="S1097" s="456"/>
      <c r="T1097" s="456">
        <f>N1091+Q1097</f>
        <v>5185.872286269283</v>
      </c>
      <c r="U1097" s="456"/>
      <c r="V1097" s="456"/>
      <c r="W1097" s="457">
        <f>N1091/T1097</f>
        <v>0.63608822280549215</v>
      </c>
      <c r="X1097" s="457"/>
      <c r="Y1097" s="457"/>
      <c r="Z1097" s="458">
        <f>g地盤抵抗係数(5,W1097)</f>
        <v>1.151</v>
      </c>
      <c r="AA1097" s="458"/>
      <c r="AB1097" s="458"/>
      <c r="AC1097" s="101">
        <f>Z1097*T1097</f>
        <v>5968.9390014959445</v>
      </c>
      <c r="AD1097" s="101"/>
      <c r="AE1097" s="375"/>
    </row>
    <row r="1098" spans="1:31" s="307" customFormat="1" ht="15.75" customHeight="1" x14ac:dyDescent="0.15"/>
    <row r="1099" spans="1:31" s="307" customFormat="1" ht="15.75" customHeight="1" x14ac:dyDescent="0.15">
      <c r="E1099" s="61" t="s">
        <v>379</v>
      </c>
      <c r="F1099" s="302"/>
      <c r="G1099" s="302"/>
      <c r="H1099" s="302"/>
      <c r="I1099" s="302"/>
      <c r="J1099" s="302"/>
      <c r="K1099" s="61"/>
      <c r="L1099" s="61"/>
      <c r="M1099" s="61"/>
      <c r="N1099" s="61"/>
      <c r="O1099" s="61"/>
      <c r="P1099" s="61"/>
      <c r="Q1099" s="61"/>
      <c r="R1099" s="61"/>
      <c r="S1099" s="61"/>
      <c r="T1099" s="61"/>
      <c r="U1099" s="61"/>
      <c r="V1099" s="61"/>
      <c r="W1099" s="61"/>
      <c r="X1099" s="61"/>
      <c r="Y1099" s="61"/>
      <c r="Z1099" s="61"/>
      <c r="AA1099" s="302"/>
      <c r="AB1099" s="302"/>
      <c r="AC1099" s="302"/>
      <c r="AD1099" s="302"/>
      <c r="AE1099" s="302"/>
    </row>
    <row r="1100" spans="1:31" s="307" customFormat="1" ht="15.75" customHeight="1" x14ac:dyDescent="0.15">
      <c r="E1100" s="130" t="s">
        <v>265</v>
      </c>
      <c r="F1100" s="131"/>
      <c r="G1100" s="131"/>
      <c r="H1100" s="131" t="s">
        <v>267</v>
      </c>
      <c r="I1100" s="131"/>
      <c r="J1100" s="131"/>
      <c r="K1100" s="131"/>
      <c r="L1100" s="131"/>
      <c r="M1100" s="131"/>
      <c r="N1100" s="105" t="s">
        <v>268</v>
      </c>
      <c r="O1100" s="131"/>
      <c r="P1100" s="131"/>
      <c r="Q1100" s="105" t="s">
        <v>272</v>
      </c>
      <c r="R1100" s="131"/>
      <c r="S1100" s="131"/>
      <c r="T1100" s="105" t="s">
        <v>273</v>
      </c>
      <c r="U1100" s="131"/>
      <c r="V1100" s="131"/>
      <c r="W1100" s="105" t="s">
        <v>271</v>
      </c>
      <c r="X1100" s="131"/>
      <c r="Y1100" s="131"/>
      <c r="Z1100" s="105" t="s">
        <v>269</v>
      </c>
      <c r="AA1100" s="131"/>
      <c r="AB1100" s="131"/>
      <c r="AC1100" s="105" t="s">
        <v>270</v>
      </c>
      <c r="AD1100" s="131"/>
      <c r="AE1100" s="132"/>
    </row>
    <row r="1101" spans="1:31" s="307" customFormat="1" ht="15.75" customHeight="1" x14ac:dyDescent="0.15">
      <c r="E1101" s="98"/>
      <c r="F1101" s="99"/>
      <c r="G1101" s="99"/>
      <c r="H1101" s="99"/>
      <c r="I1101" s="99"/>
      <c r="J1101" s="99"/>
      <c r="K1101" s="99"/>
      <c r="L1101" s="99"/>
      <c r="M1101" s="99"/>
      <c r="N1101" s="99"/>
      <c r="O1101" s="99"/>
      <c r="P1101" s="99"/>
      <c r="Q1101" s="99"/>
      <c r="R1101" s="99"/>
      <c r="S1101" s="99"/>
      <c r="T1101" s="99"/>
      <c r="U1101" s="99"/>
      <c r="V1101" s="99"/>
      <c r="W1101" s="99"/>
      <c r="X1101" s="99"/>
      <c r="Y1101" s="99"/>
      <c r="Z1101" s="99"/>
      <c r="AA1101" s="99"/>
      <c r="AB1101" s="99"/>
      <c r="AC1101" s="99"/>
      <c r="AD1101" s="99"/>
      <c r="AE1101" s="133"/>
    </row>
    <row r="1102" spans="1:31" s="307" customFormat="1" ht="15.75" customHeight="1" x14ac:dyDescent="0.15">
      <c r="E1102" s="130" t="s">
        <v>276</v>
      </c>
      <c r="F1102" s="131"/>
      <c r="G1102" s="131"/>
      <c r="H1102" s="131" t="s">
        <v>274</v>
      </c>
      <c r="I1102" s="131"/>
      <c r="J1102" s="131"/>
      <c r="K1102" s="131"/>
      <c r="L1102" s="131"/>
      <c r="M1102" s="131"/>
      <c r="N1102" s="184">
        <f>H851</f>
        <v>3298.6722862692827</v>
      </c>
      <c r="O1102" s="184"/>
      <c r="P1102" s="184"/>
      <c r="Q1102" s="184">
        <f>G894</f>
        <v>1963.5</v>
      </c>
      <c r="R1102" s="184"/>
      <c r="S1102" s="184"/>
      <c r="T1102" s="184">
        <f>N1102+Q1102</f>
        <v>5262.1722862692823</v>
      </c>
      <c r="U1102" s="184"/>
      <c r="V1102" s="184"/>
      <c r="W1102" s="454">
        <f>N1102/T1102</f>
        <v>0.62686512467039346</v>
      </c>
      <c r="X1102" s="454"/>
      <c r="Y1102" s="454"/>
      <c r="Z1102" s="455">
        <f>g地盤抵抗係数(1,W1102)</f>
        <v>0.34699999999999998</v>
      </c>
      <c r="AA1102" s="455"/>
      <c r="AB1102" s="455"/>
      <c r="AC1102" s="184">
        <f>Z1102*T1102</f>
        <v>1825.9737833354409</v>
      </c>
      <c r="AD1102" s="184"/>
      <c r="AE1102" s="425"/>
    </row>
    <row r="1103" spans="1:31" s="307" customFormat="1" ht="15.75" customHeight="1" x14ac:dyDescent="0.15">
      <c r="E1103" s="93"/>
      <c r="F1103" s="94"/>
      <c r="G1103" s="94"/>
      <c r="H1103" s="94" t="s">
        <v>275</v>
      </c>
      <c r="I1103" s="94"/>
      <c r="J1103" s="94"/>
      <c r="K1103" s="94"/>
      <c r="L1103" s="94"/>
      <c r="M1103" s="94"/>
      <c r="N1103" s="96"/>
      <c r="O1103" s="96"/>
      <c r="P1103" s="96"/>
      <c r="Q1103" s="96">
        <f>G918</f>
        <v>2038.9</v>
      </c>
      <c r="R1103" s="96"/>
      <c r="S1103" s="96"/>
      <c r="T1103" s="96">
        <f>N1102+Q1103</f>
        <v>5337.5722862692828</v>
      </c>
      <c r="U1103" s="96"/>
      <c r="V1103" s="96"/>
      <c r="W1103" s="97">
        <f>N1102/T1103</f>
        <v>0.61800985716952284</v>
      </c>
      <c r="X1103" s="97"/>
      <c r="Y1103" s="97"/>
      <c r="Z1103" s="453">
        <f>g地盤抵抗係数(2,W1103)</f>
        <v>0.48799999999999999</v>
      </c>
      <c r="AA1103" s="453"/>
      <c r="AB1103" s="453"/>
      <c r="AC1103" s="96">
        <f>Z1103*T1103</f>
        <v>2604.7352756994101</v>
      </c>
      <c r="AD1103" s="96"/>
      <c r="AE1103" s="374"/>
    </row>
    <row r="1104" spans="1:31" s="307" customFormat="1" ht="15.75" customHeight="1" x14ac:dyDescent="0.15">
      <c r="E1104" s="93" t="s">
        <v>277</v>
      </c>
      <c r="F1104" s="94"/>
      <c r="G1104" s="94"/>
      <c r="H1104" s="94" t="s">
        <v>377</v>
      </c>
      <c r="I1104" s="94"/>
      <c r="J1104" s="94"/>
      <c r="K1104" s="94"/>
      <c r="L1104" s="94"/>
      <c r="M1104" s="94"/>
      <c r="N1104" s="96"/>
      <c r="O1104" s="96"/>
      <c r="P1104" s="96"/>
      <c r="Q1104" s="96"/>
      <c r="R1104" s="96"/>
      <c r="S1104" s="96"/>
      <c r="T1104" s="96"/>
      <c r="U1104" s="96"/>
      <c r="V1104" s="96"/>
      <c r="W1104" s="97"/>
      <c r="X1104" s="97"/>
      <c r="Y1104" s="97"/>
      <c r="Z1104" s="453">
        <f>g地盤抵抗係数(3,W1103)</f>
        <v>0.72</v>
      </c>
      <c r="AA1104" s="453"/>
      <c r="AB1104" s="453"/>
      <c r="AC1104" s="96">
        <f>Z1104*T1103</f>
        <v>3843.0520461138835</v>
      </c>
      <c r="AD1104" s="96"/>
      <c r="AE1104" s="374"/>
    </row>
    <row r="1105" spans="1:31" s="307" customFormat="1" ht="28.5" customHeight="1" x14ac:dyDescent="0.15">
      <c r="E1105" s="93" t="s">
        <v>278</v>
      </c>
      <c r="F1105" s="94"/>
      <c r="G1105" s="94"/>
      <c r="H1105" s="122" t="s">
        <v>279</v>
      </c>
      <c r="I1105" s="94"/>
      <c r="J1105" s="94"/>
      <c r="K1105" s="94"/>
      <c r="L1105" s="94"/>
      <c r="M1105" s="94"/>
      <c r="N1105" s="96"/>
      <c r="O1105" s="96"/>
      <c r="P1105" s="96"/>
      <c r="Q1105" s="96">
        <f>G1014</f>
        <v>1887.2</v>
      </c>
      <c r="R1105" s="96"/>
      <c r="S1105" s="96"/>
      <c r="T1105" s="96">
        <f>N1102+Q1105</f>
        <v>5185.872286269283</v>
      </c>
      <c r="U1105" s="96"/>
      <c r="V1105" s="96"/>
      <c r="W1105" s="97">
        <f>N1102/T1105</f>
        <v>0.63608822280549215</v>
      </c>
      <c r="X1105" s="97"/>
      <c r="Y1105" s="97"/>
      <c r="Z1105" s="453">
        <f>g地盤抵抗係数(4,W1105)</f>
        <v>0.75800000000000001</v>
      </c>
      <c r="AA1105" s="453"/>
      <c r="AB1105" s="453"/>
      <c r="AC1105" s="96">
        <f>Z1105*T1105</f>
        <v>3930.8911929921164</v>
      </c>
      <c r="AD1105" s="96"/>
      <c r="AE1105" s="374"/>
    </row>
    <row r="1106" spans="1:31" s="307" customFormat="1" ht="28.5" customHeight="1" x14ac:dyDescent="0.15">
      <c r="E1106" s="93"/>
      <c r="F1106" s="94"/>
      <c r="G1106" s="94"/>
      <c r="H1106" s="122" t="s">
        <v>280</v>
      </c>
      <c r="I1106" s="94"/>
      <c r="J1106" s="94"/>
      <c r="K1106" s="94"/>
      <c r="L1106" s="94"/>
      <c r="M1106" s="94"/>
      <c r="N1106" s="96"/>
      <c r="O1106" s="96"/>
      <c r="P1106" s="96"/>
      <c r="Q1106" s="96"/>
      <c r="R1106" s="96"/>
      <c r="S1106" s="96"/>
      <c r="T1106" s="96"/>
      <c r="U1106" s="96"/>
      <c r="V1106" s="96"/>
      <c r="W1106" s="97"/>
      <c r="X1106" s="97"/>
      <c r="Y1106" s="97"/>
      <c r="Z1106" s="453">
        <f>g地盤抵抗係数(5,W1105)</f>
        <v>1.151</v>
      </c>
      <c r="AA1106" s="453"/>
      <c r="AB1106" s="453"/>
      <c r="AC1106" s="96">
        <f>Z1106*T1105</f>
        <v>5968.9390014959445</v>
      </c>
      <c r="AD1106" s="96"/>
      <c r="AE1106" s="374"/>
    </row>
    <row r="1107" spans="1:31" s="307" customFormat="1" ht="28.5" customHeight="1" x14ac:dyDescent="0.15">
      <c r="A1107" s="73" t="str">
        <f>IF(A$289="","","×")</f>
        <v>×</v>
      </c>
      <c r="E1107" s="127" t="s">
        <v>583</v>
      </c>
      <c r="F1107" s="94"/>
      <c r="G1107" s="94"/>
      <c r="H1107" s="122" t="s">
        <v>279</v>
      </c>
      <c r="I1107" s="94"/>
      <c r="J1107" s="94"/>
      <c r="K1107" s="94"/>
      <c r="L1107" s="94"/>
      <c r="M1107" s="94"/>
      <c r="N1107" s="96"/>
      <c r="O1107" s="96"/>
      <c r="P1107" s="96"/>
      <c r="Q1107" s="254">
        <f>G1038</f>
        <v>1887.2</v>
      </c>
      <c r="R1107" s="254"/>
      <c r="S1107" s="254"/>
      <c r="T1107" s="254">
        <f>N1102+Q1107</f>
        <v>5185.872286269283</v>
      </c>
      <c r="U1107" s="254"/>
      <c r="V1107" s="254"/>
      <c r="W1107" s="166">
        <f>N1102/T1107</f>
        <v>0.63608822280549215</v>
      </c>
      <c r="X1107" s="166"/>
      <c r="Y1107" s="166"/>
      <c r="Z1107" s="453">
        <f>g地盤抵抗係数(4,W1107)</f>
        <v>0.75800000000000001</v>
      </c>
      <c r="AA1107" s="453"/>
      <c r="AB1107" s="453"/>
      <c r="AC1107" s="96">
        <f>Z1107*T1107</f>
        <v>3930.8911929921164</v>
      </c>
      <c r="AD1107" s="96"/>
      <c r="AE1107" s="374"/>
    </row>
    <row r="1108" spans="1:31" s="307" customFormat="1" ht="28.5" customHeight="1" x14ac:dyDescent="0.15">
      <c r="A1108" s="73" t="str">
        <f>IF(A$311="","","×")</f>
        <v>×</v>
      </c>
      <c r="E1108" s="98"/>
      <c r="F1108" s="99"/>
      <c r="G1108" s="99"/>
      <c r="H1108" s="106" t="s">
        <v>280</v>
      </c>
      <c r="I1108" s="99"/>
      <c r="J1108" s="99"/>
      <c r="K1108" s="99"/>
      <c r="L1108" s="99"/>
      <c r="M1108" s="99"/>
      <c r="N1108" s="101"/>
      <c r="O1108" s="101"/>
      <c r="P1108" s="101"/>
      <c r="Q1108" s="456">
        <f>G1062</f>
        <v>1887.2</v>
      </c>
      <c r="R1108" s="456"/>
      <c r="S1108" s="456"/>
      <c r="T1108" s="456">
        <f>N1102+Q1108</f>
        <v>5185.872286269283</v>
      </c>
      <c r="U1108" s="456"/>
      <c r="V1108" s="456"/>
      <c r="W1108" s="457">
        <f>N1102/T1108</f>
        <v>0.63608822280549215</v>
      </c>
      <c r="X1108" s="457"/>
      <c r="Y1108" s="457"/>
      <c r="Z1108" s="458">
        <f>g地盤抵抗係数(5,W1108)</f>
        <v>1.151</v>
      </c>
      <c r="AA1108" s="458"/>
      <c r="AB1108" s="458"/>
      <c r="AC1108" s="101">
        <f>Z1108*T1108</f>
        <v>5968.9390014959445</v>
      </c>
      <c r="AD1108" s="101"/>
      <c r="AE1108" s="375"/>
    </row>
    <row r="1109" spans="1:31" s="307" customFormat="1" ht="15.75" customHeight="1" x14ac:dyDescent="0.15"/>
    <row r="1110" spans="1:31" s="307" customFormat="1" ht="15.75" customHeight="1" x14ac:dyDescent="0.15"/>
    <row r="1111" spans="1:31" s="307" customFormat="1" ht="15.75" customHeight="1" x14ac:dyDescent="0.15">
      <c r="E1111" s="1" t="s">
        <v>281</v>
      </c>
    </row>
    <row r="1112" spans="1:31" s="307" customFormat="1" ht="15.75" customHeight="1" x14ac:dyDescent="0.15"/>
    <row r="1113" spans="1:31" s="307" customFormat="1" ht="15.75" customHeight="1" x14ac:dyDescent="0.15">
      <c r="E1113" s="162" t="s">
        <v>253</v>
      </c>
      <c r="F1113" s="162"/>
      <c r="G1113" s="76" t="s">
        <v>27</v>
      </c>
      <c r="H1113" s="162" t="s">
        <v>282</v>
      </c>
      <c r="I1113" s="162"/>
      <c r="J1113" s="307" t="s">
        <v>6</v>
      </c>
      <c r="K1113" s="162" t="s">
        <v>283</v>
      </c>
      <c r="L1113" s="162"/>
    </row>
    <row r="1114" spans="1:31" s="307" customFormat="1" ht="15.75" customHeight="1" x14ac:dyDescent="0.15"/>
    <row r="1115" spans="1:31" s="307" customFormat="1" ht="15.75" customHeight="1" x14ac:dyDescent="0.15">
      <c r="F1115" s="1" t="s">
        <v>3</v>
      </c>
      <c r="G1115" s="1"/>
      <c r="H1115" s="1"/>
      <c r="I1115" s="162" t="s">
        <v>213</v>
      </c>
      <c r="J1115" s="162"/>
      <c r="K1115" s="76" t="s">
        <v>2</v>
      </c>
      <c r="L1115" s="1" t="s">
        <v>223</v>
      </c>
    </row>
    <row r="1116" spans="1:31" s="307" customFormat="1" ht="15.75" customHeight="1" x14ac:dyDescent="0.15">
      <c r="F1116" s="1"/>
      <c r="G1116" s="1"/>
      <c r="H1116" s="1"/>
      <c r="I1116" s="162" t="s">
        <v>215</v>
      </c>
      <c r="J1116" s="162"/>
      <c r="K1116" s="76" t="s">
        <v>2</v>
      </c>
      <c r="L1116" s="1" t="s">
        <v>258</v>
      </c>
    </row>
    <row r="1117" spans="1:31" s="307" customFormat="1" ht="15.75" customHeight="1" x14ac:dyDescent="0.15">
      <c r="I1117" s="162" t="s">
        <v>284</v>
      </c>
      <c r="J1117" s="162"/>
      <c r="K1117" s="76" t="s">
        <v>2</v>
      </c>
      <c r="L1117" s="1" t="s">
        <v>286</v>
      </c>
    </row>
    <row r="1118" spans="1:31" s="307" customFormat="1" ht="15.75" customHeight="1" x14ac:dyDescent="0.15">
      <c r="I1118" s="162" t="s">
        <v>285</v>
      </c>
      <c r="J1118" s="162"/>
      <c r="K1118" s="76" t="s">
        <v>2</v>
      </c>
      <c r="L1118" s="1" t="s">
        <v>287</v>
      </c>
    </row>
    <row r="1119" spans="1:31" s="307" customFormat="1" ht="15.75" customHeight="1" x14ac:dyDescent="0.15">
      <c r="I1119" s="1"/>
      <c r="J1119" s="1"/>
      <c r="K1119" s="76"/>
    </row>
    <row r="1120" spans="1:31" s="307" customFormat="1" ht="15.75" customHeight="1" x14ac:dyDescent="0.15">
      <c r="E1120" s="162" t="s">
        <v>253</v>
      </c>
      <c r="F1120" s="162"/>
      <c r="G1120" s="76" t="s">
        <v>27</v>
      </c>
      <c r="H1120" s="162">
        <v>1.4</v>
      </c>
      <c r="I1120" s="162"/>
      <c r="J1120" s="307" t="s">
        <v>1</v>
      </c>
      <c r="K1120" s="244">
        <f>N1091</f>
        <v>3298.6722862692827</v>
      </c>
      <c r="L1120" s="244"/>
      <c r="M1120" s="244"/>
      <c r="N1120" s="307" t="s">
        <v>6</v>
      </c>
      <c r="O1120" s="162">
        <v>1.4</v>
      </c>
      <c r="P1120" s="162"/>
      <c r="Q1120" s="307" t="s">
        <v>1</v>
      </c>
      <c r="R1120" s="244">
        <f>Q1094</f>
        <v>1887.2</v>
      </c>
      <c r="S1120" s="244"/>
      <c r="T1120" s="244"/>
      <c r="U1120" s="76" t="s">
        <v>27</v>
      </c>
      <c r="V1120" s="244">
        <f>H1120*K1120+O1120*R1120</f>
        <v>7260.2212007769958</v>
      </c>
      <c r="W1120" s="244"/>
      <c r="X1120" s="244"/>
      <c r="Y1120" s="307" t="s">
        <v>288</v>
      </c>
      <c r="AA1120" s="307" t="s">
        <v>380</v>
      </c>
    </row>
    <row r="1121" spans="1:27" s="307" customFormat="1" ht="15.75" customHeight="1" x14ac:dyDescent="0.15">
      <c r="E1121" s="162" t="s">
        <v>253</v>
      </c>
      <c r="F1121" s="162"/>
      <c r="G1121" s="76" t="s">
        <v>27</v>
      </c>
      <c r="H1121" s="162">
        <v>1.4</v>
      </c>
      <c r="I1121" s="162"/>
      <c r="J1121" s="307" t="s">
        <v>1</v>
      </c>
      <c r="K1121" s="244">
        <f>N1102</f>
        <v>3298.6722862692827</v>
      </c>
      <c r="L1121" s="244"/>
      <c r="M1121" s="244"/>
      <c r="N1121" s="307" t="s">
        <v>6</v>
      </c>
      <c r="O1121" s="162">
        <v>1.4</v>
      </c>
      <c r="P1121" s="162"/>
      <c r="Q1121" s="307" t="s">
        <v>1</v>
      </c>
      <c r="R1121" s="244">
        <f>Q1105</f>
        <v>1887.2</v>
      </c>
      <c r="S1121" s="244"/>
      <c r="T1121" s="244"/>
      <c r="U1121" s="76" t="s">
        <v>27</v>
      </c>
      <c r="V1121" s="244">
        <f>H1121*K1121+O1121*R1121</f>
        <v>7260.2212007769958</v>
      </c>
      <c r="W1121" s="244"/>
      <c r="X1121" s="244"/>
      <c r="Y1121" s="307" t="s">
        <v>288</v>
      </c>
      <c r="AA1121" s="307" t="s">
        <v>381</v>
      </c>
    </row>
    <row r="1122" spans="1:27" s="307" customFormat="1" ht="15.75" customHeight="1" x14ac:dyDescent="0.15">
      <c r="E1122" s="76"/>
      <c r="F1122" s="76"/>
      <c r="G1122" s="76"/>
      <c r="H1122" s="76"/>
      <c r="I1122" s="76"/>
      <c r="K1122" s="77"/>
      <c r="L1122" s="77"/>
      <c r="M1122" s="77"/>
      <c r="O1122" s="76"/>
      <c r="P1122" s="76"/>
      <c r="R1122" s="77"/>
      <c r="S1122" s="77"/>
      <c r="T1122" s="77"/>
      <c r="U1122" s="76"/>
      <c r="V1122" s="77"/>
      <c r="W1122" s="77"/>
      <c r="X1122" s="77"/>
    </row>
    <row r="1123" spans="1:27" s="307" customFormat="1" ht="15.75" customHeight="1" x14ac:dyDescent="0.15">
      <c r="A1123" s="73" t="str">
        <f>IF(A$311="","","×")</f>
        <v>×</v>
      </c>
      <c r="E1123" s="307" t="s">
        <v>603</v>
      </c>
      <c r="I1123" s="1"/>
      <c r="J1123" s="1"/>
      <c r="K1123" s="76"/>
    </row>
    <row r="1124" spans="1:27" s="307" customFormat="1" ht="15.75" customHeight="1" x14ac:dyDescent="0.15">
      <c r="A1124" s="73" t="str">
        <f>IF(A$311="","","×")</f>
        <v>×</v>
      </c>
      <c r="E1124" s="162" t="s">
        <v>253</v>
      </c>
      <c r="F1124" s="162"/>
      <c r="G1124" s="76" t="s">
        <v>27</v>
      </c>
      <c r="H1124" s="162">
        <v>1.4</v>
      </c>
      <c r="I1124" s="162"/>
      <c r="J1124" s="307" t="s">
        <v>1</v>
      </c>
      <c r="K1124" s="244">
        <f>K1120</f>
        <v>3298.6722862692827</v>
      </c>
      <c r="L1124" s="244"/>
      <c r="M1124" s="244"/>
      <c r="N1124" s="307" t="s">
        <v>6</v>
      </c>
      <c r="O1124" s="162">
        <v>1.4</v>
      </c>
      <c r="P1124" s="162"/>
      <c r="Q1124" s="307" t="s">
        <v>1</v>
      </c>
      <c r="R1124" s="244">
        <f>Q1097</f>
        <v>1887.2</v>
      </c>
      <c r="S1124" s="244"/>
      <c r="T1124" s="244"/>
      <c r="U1124" s="76" t="s">
        <v>27</v>
      </c>
      <c r="V1124" s="244">
        <f>H1124*K1124+O1124*R1124</f>
        <v>7260.2212007769958</v>
      </c>
      <c r="W1124" s="244"/>
      <c r="X1124" s="244"/>
      <c r="Y1124" s="307" t="s">
        <v>288</v>
      </c>
      <c r="AA1124" s="307" t="s">
        <v>380</v>
      </c>
    </row>
    <row r="1125" spans="1:27" s="307" customFormat="1" ht="15.75" customHeight="1" x14ac:dyDescent="0.15">
      <c r="A1125" s="73" t="str">
        <f>IF(A$311="","","×")</f>
        <v>×</v>
      </c>
      <c r="E1125" s="162" t="s">
        <v>253</v>
      </c>
      <c r="F1125" s="162"/>
      <c r="G1125" s="76" t="s">
        <v>27</v>
      </c>
      <c r="H1125" s="162">
        <v>1.4</v>
      </c>
      <c r="I1125" s="162"/>
      <c r="J1125" s="307" t="s">
        <v>1</v>
      </c>
      <c r="K1125" s="244">
        <f>K1121</f>
        <v>3298.6722862692827</v>
      </c>
      <c r="L1125" s="244"/>
      <c r="M1125" s="244"/>
      <c r="N1125" s="307" t="s">
        <v>6</v>
      </c>
      <c r="O1125" s="162">
        <v>1.4</v>
      </c>
      <c r="P1125" s="162"/>
      <c r="Q1125" s="307" t="s">
        <v>1</v>
      </c>
      <c r="R1125" s="244">
        <f>Q1108</f>
        <v>1887.2</v>
      </c>
      <c r="S1125" s="244"/>
      <c r="T1125" s="244"/>
      <c r="U1125" s="76" t="s">
        <v>27</v>
      </c>
      <c r="V1125" s="244">
        <f>H1125*K1125+O1125*R1125</f>
        <v>7260.2212007769958</v>
      </c>
      <c r="W1125" s="244"/>
      <c r="X1125" s="244"/>
      <c r="Y1125" s="307" t="s">
        <v>288</v>
      </c>
      <c r="AA1125" s="307" t="s">
        <v>381</v>
      </c>
    </row>
    <row r="1126" spans="1:27" s="307" customFormat="1" ht="15.75" customHeight="1" x14ac:dyDescent="0.15"/>
    <row r="1127" spans="1:27" s="307" customFormat="1" ht="15.75" customHeight="1" x14ac:dyDescent="0.15"/>
    <row r="1128" spans="1:27" s="307" customFormat="1" ht="15.75" customHeight="1" x14ac:dyDescent="0.15"/>
    <row r="1129" spans="1:27" s="307" customFormat="1" ht="15.75" customHeight="1" x14ac:dyDescent="0.15">
      <c r="E1129" s="1" t="s">
        <v>289</v>
      </c>
    </row>
    <row r="1130" spans="1:27" s="307" customFormat="1" ht="15.75" customHeight="1" x14ac:dyDescent="0.15">
      <c r="F1130" s="307" t="s">
        <v>299</v>
      </c>
    </row>
    <row r="1131" spans="1:27" s="307" customFormat="1" ht="15.75" customHeight="1" x14ac:dyDescent="0.15">
      <c r="F1131" s="307" t="s">
        <v>290</v>
      </c>
    </row>
    <row r="1132" spans="1:27" s="307" customFormat="1" ht="15.75" customHeight="1" x14ac:dyDescent="0.15"/>
    <row r="1133" spans="1:27" s="307" customFormat="1" ht="15.75" customHeight="1" x14ac:dyDescent="0.15">
      <c r="E1133" s="162" t="s">
        <v>291</v>
      </c>
      <c r="F1133" s="162"/>
      <c r="G1133" s="76" t="s">
        <v>27</v>
      </c>
      <c r="H1133" s="162" t="s">
        <v>292</v>
      </c>
      <c r="I1133" s="162"/>
      <c r="J1133" s="307" t="s">
        <v>6</v>
      </c>
      <c r="K1133" s="162" t="s">
        <v>293</v>
      </c>
      <c r="L1133" s="162"/>
    </row>
    <row r="1134" spans="1:27" s="307" customFormat="1" ht="15.75" customHeight="1" x14ac:dyDescent="0.15"/>
    <row r="1135" spans="1:27" s="307" customFormat="1" ht="15.75" customHeight="1" x14ac:dyDescent="0.15">
      <c r="F1135" s="1" t="s">
        <v>3</v>
      </c>
      <c r="G1135" s="1"/>
      <c r="H1135" s="1"/>
      <c r="I1135" s="162" t="s">
        <v>291</v>
      </c>
      <c r="J1135" s="162"/>
      <c r="K1135" s="76" t="s">
        <v>2</v>
      </c>
      <c r="L1135" s="1" t="s">
        <v>294</v>
      </c>
    </row>
    <row r="1136" spans="1:27" s="307" customFormat="1" ht="15.75" customHeight="1" x14ac:dyDescent="0.15">
      <c r="F1136" s="1"/>
      <c r="G1136" s="1"/>
      <c r="H1136" s="1"/>
      <c r="I1136" s="162" t="s">
        <v>215</v>
      </c>
      <c r="J1136" s="162"/>
      <c r="K1136" s="76" t="s">
        <v>2</v>
      </c>
      <c r="L1136" s="1" t="s">
        <v>258</v>
      </c>
    </row>
    <row r="1137" spans="1:28" s="307" customFormat="1" ht="15.75" customHeight="1" x14ac:dyDescent="0.15">
      <c r="I1137" s="162" t="s">
        <v>254</v>
      </c>
      <c r="J1137" s="162"/>
      <c r="K1137" s="76" t="s">
        <v>2</v>
      </c>
      <c r="L1137" s="1" t="s">
        <v>295</v>
      </c>
    </row>
    <row r="1138" spans="1:28" s="307" customFormat="1" ht="15.75" customHeight="1" x14ac:dyDescent="0.15">
      <c r="I1138" s="162" t="s">
        <v>293</v>
      </c>
      <c r="J1138" s="162"/>
      <c r="K1138" s="76" t="s">
        <v>2</v>
      </c>
      <c r="L1138" s="1" t="s">
        <v>296</v>
      </c>
    </row>
    <row r="1139" spans="1:28" s="307" customFormat="1" ht="15.75" customHeight="1" x14ac:dyDescent="0.15">
      <c r="F1139" s="307" t="s">
        <v>297</v>
      </c>
    </row>
    <row r="1140" spans="1:28" s="307" customFormat="1" ht="15.75" customHeight="1" x14ac:dyDescent="0.15"/>
    <row r="1141" spans="1:28" s="307" customFormat="1" ht="15.75" customHeight="1" x14ac:dyDescent="0.15">
      <c r="E1141" s="162" t="s">
        <v>291</v>
      </c>
      <c r="F1141" s="162"/>
      <c r="G1141" s="76" t="s">
        <v>27</v>
      </c>
      <c r="H1141" s="162" t="s">
        <v>293</v>
      </c>
      <c r="I1141" s="162"/>
    </row>
    <row r="1142" spans="1:28" s="307" customFormat="1" ht="15.75" customHeight="1" x14ac:dyDescent="0.15">
      <c r="A1142" s="73" t="str">
        <f>IF(X1142=0,"×","")</f>
        <v>×</v>
      </c>
      <c r="G1142" s="76" t="s">
        <v>27</v>
      </c>
      <c r="H1142" s="162">
        <f>H1143-10</f>
        <v>14.5</v>
      </c>
      <c r="I1142" s="162"/>
      <c r="J1142" s="1" t="s">
        <v>608</v>
      </c>
      <c r="M1142" s="76" t="s">
        <v>1</v>
      </c>
      <c r="N1142" s="366">
        <v>0.25</v>
      </c>
      <c r="O1142" s="366"/>
      <c r="P1142" s="76" t="s">
        <v>1</v>
      </c>
      <c r="Q1142" s="76" t="s">
        <v>123</v>
      </c>
      <c r="R1142" s="76" t="s">
        <v>1</v>
      </c>
      <c r="S1142" s="367">
        <f>Q850</f>
        <v>1</v>
      </c>
      <c r="T1142" s="367"/>
      <c r="U1142" s="367"/>
      <c r="V1142" s="364" t="s">
        <v>232</v>
      </c>
      <c r="W1142" s="76" t="s">
        <v>1</v>
      </c>
      <c r="X1142" s="367">
        <f>MAX(0,-入力!G32)</f>
        <v>0</v>
      </c>
      <c r="Y1142" s="367"/>
      <c r="Z1142" s="367"/>
    </row>
    <row r="1143" spans="1:28" s="307" customFormat="1" ht="15.75" customHeight="1" x14ac:dyDescent="0.15">
      <c r="G1143" s="76" t="str">
        <f>IF(X1142=0,"＝","+")</f>
        <v>＝</v>
      </c>
      <c r="H1143" s="162">
        <f>入力!J29</f>
        <v>24.5</v>
      </c>
      <c r="I1143" s="162"/>
      <c r="J1143" s="1" t="s">
        <v>608</v>
      </c>
      <c r="M1143" s="76" t="s">
        <v>1</v>
      </c>
      <c r="N1143" s="366">
        <v>0.25</v>
      </c>
      <c r="O1143" s="366"/>
      <c r="P1143" s="76" t="s">
        <v>1</v>
      </c>
      <c r="Q1143" s="76" t="s">
        <v>123</v>
      </c>
      <c r="R1143" s="76" t="s">
        <v>1</v>
      </c>
      <c r="S1143" s="367">
        <f>S1142</f>
        <v>1</v>
      </c>
      <c r="T1143" s="367"/>
      <c r="U1143" s="367"/>
      <c r="V1143" s="364" t="s">
        <v>232</v>
      </c>
      <c r="W1143" s="76" t="s">
        <v>1</v>
      </c>
      <c r="X1143" s="367">
        <f>入力!G26-X1142</f>
        <v>21</v>
      </c>
      <c r="Y1143" s="367"/>
      <c r="Z1143" s="367"/>
    </row>
    <row r="1144" spans="1:28" s="307" customFormat="1" ht="15.75" customHeight="1" x14ac:dyDescent="0.15">
      <c r="G1144" s="76" t="s">
        <v>27</v>
      </c>
      <c r="H1144" s="244">
        <f>ROUND(H1142*N1142*PI()*S1142^V1142*X1142+H1143*N1143*PI()*S1143^V1143*X1143,1)</f>
        <v>404.1</v>
      </c>
      <c r="I1144" s="244"/>
      <c r="J1144" s="244"/>
      <c r="K1144" s="1" t="s">
        <v>574</v>
      </c>
    </row>
    <row r="1145" spans="1:28" s="307" customFormat="1" ht="15.75" customHeight="1" x14ac:dyDescent="0.15">
      <c r="G1145" s="76"/>
    </row>
    <row r="1146" spans="1:28" s="307" customFormat="1" ht="15.75" customHeight="1" x14ac:dyDescent="0.15">
      <c r="F1146" s="307" t="s">
        <v>607</v>
      </c>
    </row>
    <row r="1147" spans="1:28" s="307" customFormat="1" ht="15.75" customHeight="1" x14ac:dyDescent="0.15">
      <c r="F1147" s="307" t="s">
        <v>606</v>
      </c>
    </row>
    <row r="1148" spans="1:28" s="307" customFormat="1" ht="15.75" customHeight="1" x14ac:dyDescent="0.15"/>
    <row r="1149" spans="1:28" s="307" customFormat="1" ht="15.75" customHeight="1" x14ac:dyDescent="0.15">
      <c r="H1149" s="61" t="s">
        <v>382</v>
      </c>
      <c r="I1149" s="302"/>
      <c r="J1149" s="302"/>
      <c r="K1149" s="61"/>
      <c r="L1149" s="61"/>
      <c r="M1149" s="61"/>
      <c r="N1149" s="61"/>
      <c r="O1149" s="61"/>
      <c r="P1149" s="61"/>
      <c r="Q1149" s="61"/>
      <c r="R1149" s="61"/>
      <c r="S1149" s="61"/>
      <c r="T1149" s="61"/>
      <c r="U1149" s="61"/>
      <c r="V1149" s="61"/>
      <c r="W1149" s="61"/>
      <c r="X1149" s="61"/>
      <c r="Y1149" s="61"/>
      <c r="Z1149" s="61"/>
      <c r="AA1149" s="302"/>
      <c r="AB1149" s="302"/>
    </row>
    <row r="1150" spans="1:28" s="307" customFormat="1" ht="15.75" customHeight="1" x14ac:dyDescent="0.15">
      <c r="H1150" s="61"/>
      <c r="I1150" s="302"/>
      <c r="J1150" s="302"/>
      <c r="K1150" s="61"/>
      <c r="L1150" s="61"/>
      <c r="M1150" s="61"/>
      <c r="N1150" s="61"/>
      <c r="O1150" s="61"/>
      <c r="P1150" s="61"/>
      <c r="Q1150" s="61"/>
      <c r="R1150" s="61"/>
      <c r="S1150" s="61"/>
      <c r="T1150" s="61"/>
      <c r="U1150" s="61"/>
      <c r="V1150" s="61"/>
      <c r="W1150" s="61"/>
      <c r="X1150" s="61"/>
      <c r="Y1150" s="61"/>
      <c r="Z1150" s="61"/>
      <c r="AA1150" s="302"/>
      <c r="AB1150" s="302"/>
    </row>
    <row r="1151" spans="1:28" s="307" customFormat="1" ht="15.75" customHeight="1" x14ac:dyDescent="0.15">
      <c r="H1151" s="61"/>
      <c r="I1151" s="302"/>
      <c r="J1151" s="302"/>
      <c r="K1151" s="61"/>
      <c r="L1151" s="61"/>
      <c r="M1151" s="61"/>
      <c r="N1151" s="61"/>
      <c r="O1151" s="61"/>
      <c r="P1151" s="61"/>
      <c r="Q1151" s="61"/>
      <c r="R1151" s="61"/>
      <c r="S1151" s="61"/>
      <c r="T1151" s="61"/>
      <c r="U1151" s="61"/>
      <c r="V1151" s="61"/>
      <c r="W1151" s="61"/>
      <c r="X1151" s="61"/>
      <c r="Y1151" s="61"/>
      <c r="Z1151" s="61"/>
      <c r="AA1151" s="302"/>
      <c r="AB1151" s="302"/>
    </row>
    <row r="1152" spans="1:28" s="307" customFormat="1" ht="15.75" customHeight="1" x14ac:dyDescent="0.15">
      <c r="H1152" s="61"/>
      <c r="I1152" s="302"/>
      <c r="J1152" s="302"/>
      <c r="K1152" s="61"/>
      <c r="L1152" s="61"/>
      <c r="M1152" s="61"/>
      <c r="N1152" s="61"/>
      <c r="O1152" s="61"/>
      <c r="P1152" s="61"/>
      <c r="Q1152" s="61"/>
      <c r="R1152" s="61"/>
      <c r="S1152" s="61"/>
      <c r="T1152" s="61"/>
      <c r="U1152" s="61"/>
      <c r="V1152" s="61"/>
      <c r="W1152" s="61"/>
      <c r="X1152" s="61"/>
      <c r="Y1152" s="61"/>
      <c r="Z1152" s="61"/>
      <c r="AA1152" s="302"/>
      <c r="AB1152" s="302"/>
    </row>
    <row r="1153" spans="1:28" s="307" customFormat="1" ht="15.75" customHeight="1" x14ac:dyDescent="0.15">
      <c r="H1153" s="61"/>
      <c r="I1153" s="302"/>
      <c r="J1153" s="302"/>
      <c r="K1153" s="61"/>
      <c r="L1153" s="61"/>
      <c r="M1153" s="61"/>
      <c r="N1153" s="61"/>
      <c r="O1153" s="61"/>
      <c r="P1153" s="61"/>
      <c r="Q1153" s="61"/>
      <c r="R1153" s="61"/>
      <c r="S1153" s="61"/>
      <c r="T1153" s="61"/>
      <c r="U1153" s="61"/>
      <c r="V1153" s="61"/>
      <c r="W1153" s="61"/>
      <c r="X1153" s="61"/>
      <c r="Y1153" s="61"/>
      <c r="Z1153" s="61"/>
      <c r="AA1153" s="302"/>
      <c r="AB1153" s="302"/>
    </row>
    <row r="1154" spans="1:28" s="307" customFormat="1" ht="15.75" customHeight="1" x14ac:dyDescent="0.15">
      <c r="H1154" s="61"/>
      <c r="I1154" s="302"/>
      <c r="J1154" s="302"/>
      <c r="K1154" s="61"/>
      <c r="L1154" s="61"/>
      <c r="M1154" s="61"/>
      <c r="N1154" s="61"/>
      <c r="O1154" s="61"/>
      <c r="P1154" s="61"/>
      <c r="Q1154" s="61"/>
      <c r="R1154" s="61"/>
      <c r="S1154" s="61"/>
      <c r="T1154" s="61"/>
      <c r="U1154" s="61"/>
      <c r="V1154" s="61"/>
      <c r="W1154" s="61"/>
      <c r="X1154" s="61"/>
      <c r="Y1154" s="61"/>
      <c r="Z1154" s="61"/>
      <c r="AA1154" s="302"/>
      <c r="AB1154" s="302"/>
    </row>
    <row r="1155" spans="1:28" s="307" customFormat="1" ht="15.75" customHeight="1" x14ac:dyDescent="0.15">
      <c r="H1155" s="61"/>
      <c r="I1155" s="302"/>
      <c r="J1155" s="302"/>
      <c r="K1155" s="61"/>
      <c r="L1155" s="61"/>
      <c r="M1155" s="61"/>
      <c r="N1155" s="61"/>
      <c r="O1155" s="61"/>
      <c r="P1155" s="61"/>
      <c r="Q1155" s="61"/>
      <c r="R1155" s="61"/>
      <c r="S1155" s="61"/>
      <c r="T1155" s="61"/>
      <c r="U1155" s="61"/>
      <c r="V1155" s="61"/>
      <c r="W1155" s="61"/>
      <c r="X1155" s="61"/>
      <c r="Y1155" s="61"/>
      <c r="Z1155" s="61"/>
      <c r="AA1155" s="302"/>
      <c r="AB1155" s="302"/>
    </row>
    <row r="1156" spans="1:28" s="307" customFormat="1" ht="15.75" customHeight="1" x14ac:dyDescent="0.15">
      <c r="H1156" s="61"/>
      <c r="I1156" s="302"/>
      <c r="J1156" s="302"/>
      <c r="K1156" s="61"/>
      <c r="L1156" s="61"/>
      <c r="M1156" s="61"/>
      <c r="N1156" s="61"/>
      <c r="O1156" s="61"/>
      <c r="P1156" s="61"/>
      <c r="Q1156" s="61"/>
      <c r="R1156" s="61"/>
      <c r="S1156" s="61"/>
      <c r="T1156" s="61"/>
      <c r="U1156" s="61"/>
      <c r="V1156" s="61"/>
      <c r="W1156" s="61"/>
      <c r="X1156" s="61"/>
      <c r="Y1156" s="61"/>
      <c r="Z1156" s="61"/>
      <c r="AA1156" s="302"/>
      <c r="AB1156" s="302"/>
    </row>
    <row r="1157" spans="1:28" s="307" customFormat="1" ht="15.75" customHeight="1" x14ac:dyDescent="0.15">
      <c r="H1157" s="61"/>
      <c r="I1157" s="302"/>
      <c r="J1157" s="302"/>
      <c r="K1157" s="61"/>
      <c r="L1157" s="61"/>
      <c r="M1157" s="61"/>
      <c r="N1157" s="61"/>
      <c r="O1157" s="61"/>
      <c r="P1157" s="61"/>
      <c r="Q1157" s="61"/>
      <c r="R1157" s="61"/>
      <c r="S1157" s="61"/>
      <c r="T1157" s="61"/>
      <c r="U1157" s="61"/>
      <c r="V1157" s="61"/>
      <c r="W1157" s="61"/>
      <c r="X1157" s="61"/>
      <c r="Y1157" s="61"/>
      <c r="Z1157" s="61"/>
      <c r="AA1157" s="302"/>
      <c r="AB1157" s="302"/>
    </row>
    <row r="1158" spans="1:28" s="307" customFormat="1" ht="15.75" customHeight="1" x14ac:dyDescent="0.15">
      <c r="H1158" s="61"/>
      <c r="I1158" s="302"/>
      <c r="J1158" s="302"/>
      <c r="K1158" s="61"/>
      <c r="L1158" s="61"/>
      <c r="M1158" s="61"/>
      <c r="N1158" s="61"/>
      <c r="O1158" s="61"/>
      <c r="P1158" s="61"/>
      <c r="Q1158" s="61"/>
      <c r="R1158" s="61"/>
      <c r="S1158" s="61"/>
      <c r="T1158" s="61"/>
      <c r="U1158" s="61"/>
      <c r="V1158" s="61"/>
      <c r="W1158" s="61"/>
      <c r="X1158" s="61"/>
      <c r="Y1158" s="61"/>
      <c r="Z1158" s="61"/>
      <c r="AA1158" s="302"/>
      <c r="AB1158" s="302"/>
    </row>
    <row r="1159" spans="1:28" s="307" customFormat="1" ht="15.75" customHeight="1" x14ac:dyDescent="0.15">
      <c r="H1159" s="61"/>
      <c r="I1159" s="302"/>
      <c r="J1159" s="302"/>
      <c r="K1159" s="61"/>
      <c r="L1159" s="61"/>
      <c r="M1159" s="61"/>
      <c r="N1159" s="61"/>
      <c r="O1159" s="61"/>
      <c r="P1159" s="61"/>
      <c r="Q1159" s="61"/>
      <c r="R1159" s="61"/>
      <c r="S1159" s="61"/>
      <c r="T1159" s="61"/>
      <c r="U1159" s="61"/>
      <c r="V1159" s="61"/>
      <c r="W1159" s="61"/>
      <c r="X1159" s="61"/>
      <c r="Y1159" s="61"/>
      <c r="Z1159" s="61"/>
      <c r="AA1159" s="302"/>
      <c r="AB1159" s="302"/>
    </row>
    <row r="1160" spans="1:28" s="307" customFormat="1" ht="15.75" customHeight="1" x14ac:dyDescent="0.15">
      <c r="H1160" s="61"/>
      <c r="I1160" s="302"/>
      <c r="J1160" s="302"/>
      <c r="K1160" s="61"/>
      <c r="L1160" s="61"/>
      <c r="M1160" s="61"/>
      <c r="N1160" s="61"/>
      <c r="O1160" s="61"/>
      <c r="P1160" s="61"/>
      <c r="Q1160" s="61"/>
      <c r="R1160" s="61"/>
      <c r="S1160" s="61"/>
      <c r="T1160" s="61"/>
      <c r="U1160" s="61"/>
      <c r="V1160" s="61"/>
      <c r="W1160" s="61"/>
      <c r="X1160" s="61"/>
      <c r="Y1160" s="61"/>
      <c r="Z1160" s="61"/>
      <c r="AA1160" s="302"/>
      <c r="AB1160" s="302"/>
    </row>
    <row r="1161" spans="1:28" s="307" customFormat="1" ht="15.75" customHeight="1" x14ac:dyDescent="0.15">
      <c r="H1161" s="130" t="s">
        <v>265</v>
      </c>
      <c r="I1161" s="131"/>
      <c r="J1161" s="131"/>
      <c r="K1161" s="131" t="s">
        <v>267</v>
      </c>
      <c r="L1161" s="131"/>
      <c r="M1161" s="131"/>
      <c r="N1161" s="131"/>
      <c r="O1161" s="131"/>
      <c r="P1161" s="131"/>
      <c r="Q1161" s="105" t="s">
        <v>272</v>
      </c>
      <c r="R1161" s="131"/>
      <c r="S1161" s="131"/>
      <c r="T1161" s="105" t="s">
        <v>269</v>
      </c>
      <c r="U1161" s="131"/>
      <c r="V1161" s="131"/>
      <c r="W1161" s="105" t="s">
        <v>298</v>
      </c>
      <c r="X1161" s="131"/>
      <c r="Y1161" s="131"/>
      <c r="Z1161" s="105" t="s">
        <v>270</v>
      </c>
      <c r="AA1161" s="131"/>
      <c r="AB1161" s="132"/>
    </row>
    <row r="1162" spans="1:28" s="307" customFormat="1" ht="15.75" customHeight="1" x14ac:dyDescent="0.15">
      <c r="H1162" s="98"/>
      <c r="I1162" s="99"/>
      <c r="J1162" s="99"/>
      <c r="K1162" s="99"/>
      <c r="L1162" s="99"/>
      <c r="M1162" s="99"/>
      <c r="N1162" s="99"/>
      <c r="O1162" s="99"/>
      <c r="P1162" s="99"/>
      <c r="Q1162" s="99"/>
      <c r="R1162" s="99"/>
      <c r="S1162" s="99"/>
      <c r="T1162" s="99"/>
      <c r="U1162" s="99"/>
      <c r="V1162" s="99"/>
      <c r="W1162" s="99"/>
      <c r="X1162" s="99"/>
      <c r="Y1162" s="99"/>
      <c r="Z1162" s="99"/>
      <c r="AA1162" s="99"/>
      <c r="AB1162" s="133"/>
    </row>
    <row r="1163" spans="1:28" s="307" customFormat="1" ht="15.75" customHeight="1" x14ac:dyDescent="0.15">
      <c r="H1163" s="169" t="s">
        <v>276</v>
      </c>
      <c r="I1163" s="165"/>
      <c r="J1163" s="165"/>
      <c r="K1163" s="165" t="s">
        <v>274</v>
      </c>
      <c r="L1163" s="165"/>
      <c r="M1163" s="165"/>
      <c r="N1163" s="165"/>
      <c r="O1163" s="165"/>
      <c r="P1163" s="165"/>
      <c r="Q1163" s="254">
        <f>V894</f>
        <v>2277.6999999999998</v>
      </c>
      <c r="R1163" s="254"/>
      <c r="S1163" s="254"/>
      <c r="T1163" s="166" t="s">
        <v>190</v>
      </c>
      <c r="U1163" s="166"/>
      <c r="V1163" s="166"/>
      <c r="W1163" s="254">
        <f>H1144</f>
        <v>404.1</v>
      </c>
      <c r="X1163" s="254"/>
      <c r="Y1163" s="254"/>
      <c r="Z1163" s="254">
        <f>W1163</f>
        <v>404.1</v>
      </c>
      <c r="AA1163" s="254"/>
      <c r="AB1163" s="371"/>
    </row>
    <row r="1164" spans="1:28" s="307" customFormat="1" ht="15.75" customHeight="1" x14ac:dyDescent="0.15">
      <c r="H1164" s="93"/>
      <c r="I1164" s="94"/>
      <c r="J1164" s="94"/>
      <c r="K1164" s="94" t="s">
        <v>275</v>
      </c>
      <c r="L1164" s="94"/>
      <c r="M1164" s="94"/>
      <c r="N1164" s="94"/>
      <c r="O1164" s="94"/>
      <c r="P1164" s="94"/>
      <c r="Q1164" s="96">
        <f>V918</f>
        <v>2353.1</v>
      </c>
      <c r="R1164" s="96"/>
      <c r="S1164" s="96"/>
      <c r="T1164" s="453">
        <f>g地盤抵抗係数(2,0)</f>
        <v>0.58699999999999997</v>
      </c>
      <c r="U1164" s="453"/>
      <c r="V1164" s="453"/>
      <c r="W1164" s="96"/>
      <c r="X1164" s="96"/>
      <c r="Y1164" s="96"/>
      <c r="Z1164" s="96">
        <f>Q1163*T1164+$W$1163</f>
        <v>1741.1098999999999</v>
      </c>
      <c r="AA1164" s="96"/>
      <c r="AB1164" s="374"/>
    </row>
    <row r="1165" spans="1:28" s="307" customFormat="1" ht="15.75" customHeight="1" x14ac:dyDescent="0.15">
      <c r="H1165" s="93" t="s">
        <v>277</v>
      </c>
      <c r="I1165" s="94"/>
      <c r="J1165" s="94"/>
      <c r="K1165" s="94" t="s">
        <v>377</v>
      </c>
      <c r="L1165" s="94"/>
      <c r="M1165" s="94"/>
      <c r="N1165" s="94"/>
      <c r="O1165" s="94"/>
      <c r="P1165" s="94"/>
      <c r="Q1165" s="96"/>
      <c r="R1165" s="96"/>
      <c r="S1165" s="96"/>
      <c r="T1165" s="453">
        <f>g地盤抵抗係数(3,0)</f>
        <v>0.78600000000000003</v>
      </c>
      <c r="U1165" s="453"/>
      <c r="V1165" s="453"/>
      <c r="W1165" s="96"/>
      <c r="X1165" s="96"/>
      <c r="Y1165" s="96"/>
      <c r="Z1165" s="96">
        <f>Q1163*T1165+$W$1163</f>
        <v>2194.3721999999998</v>
      </c>
      <c r="AA1165" s="96"/>
      <c r="AB1165" s="374"/>
    </row>
    <row r="1166" spans="1:28" s="307" customFormat="1" ht="28.5" customHeight="1" x14ac:dyDescent="0.15">
      <c r="H1166" s="93" t="s">
        <v>278</v>
      </c>
      <c r="I1166" s="94"/>
      <c r="J1166" s="94"/>
      <c r="K1166" s="122" t="s">
        <v>279</v>
      </c>
      <c r="L1166" s="94"/>
      <c r="M1166" s="94"/>
      <c r="N1166" s="94"/>
      <c r="O1166" s="94"/>
      <c r="P1166" s="94"/>
      <c r="Q1166" s="96">
        <f>V942</f>
        <v>2201.3000000000002</v>
      </c>
      <c r="R1166" s="96"/>
      <c r="S1166" s="96"/>
      <c r="T1166" s="453">
        <f>g地盤抵抗係数(4,0)</f>
        <v>0.86499999999999999</v>
      </c>
      <c r="U1166" s="453"/>
      <c r="V1166" s="453"/>
      <c r="W1166" s="96"/>
      <c r="X1166" s="96"/>
      <c r="Y1166" s="96"/>
      <c r="Z1166" s="96">
        <f>Q1166*T1166+W1163</f>
        <v>2308.2245000000003</v>
      </c>
      <c r="AA1166" s="96"/>
      <c r="AB1166" s="374"/>
    </row>
    <row r="1167" spans="1:28" s="307" customFormat="1" ht="28.5" customHeight="1" x14ac:dyDescent="0.15">
      <c r="H1167" s="93"/>
      <c r="I1167" s="94"/>
      <c r="J1167" s="94"/>
      <c r="K1167" s="122" t="s">
        <v>280</v>
      </c>
      <c r="L1167" s="94"/>
      <c r="M1167" s="94"/>
      <c r="N1167" s="94"/>
      <c r="O1167" s="94"/>
      <c r="P1167" s="94"/>
      <c r="Q1167" s="96"/>
      <c r="R1167" s="96"/>
      <c r="S1167" s="96"/>
      <c r="T1167" s="453">
        <f>g地盤抵抗係数(5,0)</f>
        <v>1.1439999999999999</v>
      </c>
      <c r="U1167" s="453"/>
      <c r="V1167" s="453"/>
      <c r="W1167" s="96"/>
      <c r="X1167" s="96"/>
      <c r="Y1167" s="96"/>
      <c r="Z1167" s="96">
        <f>Q1166*T1167+W1163</f>
        <v>2922.3872000000001</v>
      </c>
      <c r="AA1167" s="96"/>
      <c r="AB1167" s="374"/>
    </row>
    <row r="1168" spans="1:28" s="307" customFormat="1" ht="28.5" customHeight="1" x14ac:dyDescent="0.15">
      <c r="A1168" s="73" t="str">
        <f>IF(A$289="","","×")</f>
        <v>×</v>
      </c>
      <c r="H1168" s="127" t="s">
        <v>583</v>
      </c>
      <c r="I1168" s="94"/>
      <c r="J1168" s="94"/>
      <c r="K1168" s="122" t="s">
        <v>279</v>
      </c>
      <c r="L1168" s="94"/>
      <c r="M1168" s="94"/>
      <c r="N1168" s="94"/>
      <c r="O1168" s="94"/>
      <c r="P1168" s="94"/>
      <c r="Q1168" s="96">
        <f>V966</f>
        <v>2201.3000000000002</v>
      </c>
      <c r="R1168" s="96"/>
      <c r="S1168" s="96"/>
      <c r="T1168" s="97">
        <f>T1166</f>
        <v>0.86499999999999999</v>
      </c>
      <c r="U1168" s="97"/>
      <c r="V1168" s="97"/>
      <c r="W1168" s="96"/>
      <c r="X1168" s="96"/>
      <c r="Y1168" s="96"/>
      <c r="Z1168" s="96">
        <f>Q1168*T1168+W1163</f>
        <v>2308.2245000000003</v>
      </c>
      <c r="AA1168" s="96"/>
      <c r="AB1168" s="374"/>
    </row>
    <row r="1169" spans="1:28" s="307" customFormat="1" ht="28.5" customHeight="1" x14ac:dyDescent="0.15">
      <c r="A1169" s="73" t="str">
        <f>IF(A$311="","","×")</f>
        <v>×</v>
      </c>
      <c r="H1169" s="98"/>
      <c r="I1169" s="99"/>
      <c r="J1169" s="99"/>
      <c r="K1169" s="106" t="s">
        <v>280</v>
      </c>
      <c r="L1169" s="99"/>
      <c r="M1169" s="99"/>
      <c r="N1169" s="99"/>
      <c r="O1169" s="99"/>
      <c r="P1169" s="99"/>
      <c r="Q1169" s="101">
        <f>V990</f>
        <v>2201.3000000000002</v>
      </c>
      <c r="R1169" s="101"/>
      <c r="S1169" s="101"/>
      <c r="T1169" s="102">
        <f>T1167</f>
        <v>1.1439999999999999</v>
      </c>
      <c r="U1169" s="102"/>
      <c r="V1169" s="102"/>
      <c r="W1169" s="101"/>
      <c r="X1169" s="101"/>
      <c r="Y1169" s="101"/>
      <c r="Z1169" s="101">
        <f>Q1168*T1169+W1163</f>
        <v>2922.3872000000001</v>
      </c>
      <c r="AA1169" s="101"/>
      <c r="AB1169" s="375"/>
    </row>
    <row r="1170" spans="1:28" s="307" customFormat="1" ht="15.75" customHeight="1" x14ac:dyDescent="0.15"/>
    <row r="1171" spans="1:28" s="307" customFormat="1" ht="15.75" customHeight="1" x14ac:dyDescent="0.15">
      <c r="H1171" s="61" t="s">
        <v>382</v>
      </c>
      <c r="I1171" s="302"/>
      <c r="J1171" s="302"/>
      <c r="K1171" s="61"/>
      <c r="L1171" s="61"/>
      <c r="M1171" s="61"/>
      <c r="N1171" s="61"/>
      <c r="O1171" s="61"/>
      <c r="P1171" s="61"/>
      <c r="Q1171" s="61"/>
      <c r="R1171" s="61"/>
      <c r="S1171" s="61"/>
      <c r="T1171" s="61"/>
      <c r="U1171" s="61"/>
      <c r="V1171" s="61"/>
      <c r="W1171" s="61"/>
      <c r="X1171" s="61"/>
      <c r="Y1171" s="61"/>
      <c r="Z1171" s="61"/>
      <c r="AA1171" s="302"/>
      <c r="AB1171" s="302"/>
    </row>
    <row r="1172" spans="1:28" s="307" customFormat="1" ht="15.75" customHeight="1" x14ac:dyDescent="0.15">
      <c r="H1172" s="154" t="s">
        <v>265</v>
      </c>
      <c r="I1172" s="143"/>
      <c r="J1172" s="143"/>
      <c r="K1172" s="143" t="s">
        <v>267</v>
      </c>
      <c r="L1172" s="143"/>
      <c r="M1172" s="143"/>
      <c r="N1172" s="143"/>
      <c r="O1172" s="143"/>
      <c r="P1172" s="143"/>
      <c r="Q1172" s="142" t="s">
        <v>272</v>
      </c>
      <c r="R1172" s="143"/>
      <c r="S1172" s="143"/>
      <c r="T1172" s="142" t="s">
        <v>269</v>
      </c>
      <c r="U1172" s="143"/>
      <c r="V1172" s="143"/>
      <c r="W1172" s="142" t="s">
        <v>298</v>
      </c>
      <c r="X1172" s="143"/>
      <c r="Y1172" s="143"/>
      <c r="Z1172" s="142" t="s">
        <v>270</v>
      </c>
      <c r="AA1172" s="143"/>
      <c r="AB1172" s="144"/>
    </row>
    <row r="1173" spans="1:28" s="307" customFormat="1" ht="15.75" customHeight="1" x14ac:dyDescent="0.15">
      <c r="H1173" s="154"/>
      <c r="I1173" s="143"/>
      <c r="J1173" s="143"/>
      <c r="K1173" s="143"/>
      <c r="L1173" s="143"/>
      <c r="M1173" s="143"/>
      <c r="N1173" s="143"/>
      <c r="O1173" s="143"/>
      <c r="P1173" s="143"/>
      <c r="Q1173" s="143"/>
      <c r="R1173" s="143"/>
      <c r="S1173" s="143"/>
      <c r="T1173" s="143"/>
      <c r="U1173" s="143"/>
      <c r="V1173" s="143"/>
      <c r="W1173" s="143"/>
      <c r="X1173" s="143"/>
      <c r="Y1173" s="143"/>
      <c r="Z1173" s="143"/>
      <c r="AA1173" s="143"/>
      <c r="AB1173" s="144"/>
    </row>
    <row r="1174" spans="1:28" s="307" customFormat="1" ht="15.75" customHeight="1" x14ac:dyDescent="0.15">
      <c r="H1174" s="154" t="s">
        <v>276</v>
      </c>
      <c r="I1174" s="143"/>
      <c r="J1174" s="143"/>
      <c r="K1174" s="143" t="s">
        <v>274</v>
      </c>
      <c r="L1174" s="143"/>
      <c r="M1174" s="143"/>
      <c r="N1174" s="143"/>
      <c r="O1174" s="143"/>
      <c r="P1174" s="143"/>
      <c r="Q1174" s="193" t="e">
        <f>#REF!</f>
        <v>#REF!</v>
      </c>
      <c r="R1174" s="193"/>
      <c r="S1174" s="193"/>
      <c r="T1174" s="253" t="s">
        <v>190</v>
      </c>
      <c r="U1174" s="253"/>
      <c r="V1174" s="253"/>
      <c r="W1174" s="235">
        <v>250.2</v>
      </c>
      <c r="X1174" s="236"/>
      <c r="Y1174" s="242"/>
      <c r="Z1174" s="193">
        <f>W1174</f>
        <v>250.2</v>
      </c>
      <c r="AA1174" s="193"/>
      <c r="AB1174" s="196"/>
    </row>
    <row r="1175" spans="1:28" s="307" customFormat="1" ht="15.75" customHeight="1" x14ac:dyDescent="0.15">
      <c r="H1175" s="154"/>
      <c r="I1175" s="143"/>
      <c r="J1175" s="143"/>
      <c r="K1175" s="143" t="s">
        <v>275</v>
      </c>
      <c r="L1175" s="143"/>
      <c r="M1175" s="143"/>
      <c r="N1175" s="143"/>
      <c r="O1175" s="143"/>
      <c r="P1175" s="143"/>
      <c r="Q1175" s="193"/>
      <c r="R1175" s="193"/>
      <c r="S1175" s="193"/>
      <c r="T1175" s="253">
        <f>g地盤抵抗係数(2,0)</f>
        <v>0.58699999999999997</v>
      </c>
      <c r="U1175" s="415"/>
      <c r="V1175" s="416"/>
      <c r="W1175" s="243"/>
      <c r="X1175" s="244"/>
      <c r="Y1175" s="245"/>
      <c r="Z1175" s="193" t="e">
        <f>Q1174*T1175+$W$1163</f>
        <v>#REF!</v>
      </c>
      <c r="AA1175" s="193"/>
      <c r="AB1175" s="196"/>
    </row>
    <row r="1176" spans="1:28" s="307" customFormat="1" ht="15.75" customHeight="1" x14ac:dyDescent="0.15">
      <c r="H1176" s="154" t="s">
        <v>277</v>
      </c>
      <c r="I1176" s="143"/>
      <c r="J1176" s="143"/>
      <c r="K1176" s="202" t="s">
        <v>266</v>
      </c>
      <c r="L1176" s="202"/>
      <c r="M1176" s="202"/>
      <c r="N1176" s="202"/>
      <c r="O1176" s="202"/>
      <c r="P1176" s="202"/>
      <c r="Q1176" s="193"/>
      <c r="R1176" s="193"/>
      <c r="S1176" s="193"/>
      <c r="T1176" s="253">
        <f>g地盤抵抗係数(3,0)</f>
        <v>0.78600000000000003</v>
      </c>
      <c r="U1176" s="415"/>
      <c r="V1176" s="416"/>
      <c r="W1176" s="243"/>
      <c r="X1176" s="244"/>
      <c r="Y1176" s="245"/>
      <c r="Z1176" s="193" t="e">
        <f>Q1174*T1176+$W$1163</f>
        <v>#REF!</v>
      </c>
      <c r="AA1176" s="193"/>
      <c r="AB1176" s="196"/>
    </row>
    <row r="1177" spans="1:28" s="307" customFormat="1" ht="15.75" customHeight="1" x14ac:dyDescent="0.15">
      <c r="H1177" s="247" t="s">
        <v>278</v>
      </c>
      <c r="I1177" s="247"/>
      <c r="J1177" s="185"/>
      <c r="K1177" s="251" t="s">
        <v>279</v>
      </c>
      <c r="L1177" s="247"/>
      <c r="M1177" s="247"/>
      <c r="N1177" s="247"/>
      <c r="O1177" s="247"/>
      <c r="P1177" s="185"/>
      <c r="Q1177" s="193" t="e">
        <f>#REF!</f>
        <v>#REF!</v>
      </c>
      <c r="R1177" s="193"/>
      <c r="S1177" s="193"/>
      <c r="T1177" s="417">
        <f>g地盤抵抗係数(4,0)</f>
        <v>0.86499999999999999</v>
      </c>
      <c r="U1177" s="418"/>
      <c r="V1177" s="419"/>
      <c r="W1177" s="243"/>
      <c r="X1177" s="244"/>
      <c r="Y1177" s="245"/>
      <c r="Z1177" s="235" t="e">
        <f>Q1177*T1177+W1174</f>
        <v>#REF!</v>
      </c>
      <c r="AA1177" s="236"/>
      <c r="AB1177" s="236"/>
    </row>
    <row r="1178" spans="1:28" s="307" customFormat="1" ht="15.75" customHeight="1" x14ac:dyDescent="0.15">
      <c r="H1178" s="162"/>
      <c r="I1178" s="162"/>
      <c r="J1178" s="248"/>
      <c r="K1178" s="252"/>
      <c r="L1178" s="249"/>
      <c r="M1178" s="249"/>
      <c r="N1178" s="249"/>
      <c r="O1178" s="249"/>
      <c r="P1178" s="250"/>
      <c r="Q1178" s="193"/>
      <c r="R1178" s="193"/>
      <c r="S1178" s="193"/>
      <c r="T1178" s="420"/>
      <c r="U1178" s="421"/>
      <c r="V1178" s="422"/>
      <c r="W1178" s="243"/>
      <c r="X1178" s="244"/>
      <c r="Y1178" s="245"/>
      <c r="Z1178" s="237"/>
      <c r="AA1178" s="238"/>
      <c r="AB1178" s="238"/>
    </row>
    <row r="1179" spans="1:28" s="307" customFormat="1" ht="15.75" customHeight="1" x14ac:dyDescent="0.15">
      <c r="H1179" s="162"/>
      <c r="I1179" s="162"/>
      <c r="J1179" s="248"/>
      <c r="K1179" s="251" t="s">
        <v>280</v>
      </c>
      <c r="L1179" s="247"/>
      <c r="M1179" s="247"/>
      <c r="N1179" s="247"/>
      <c r="O1179" s="247"/>
      <c r="P1179" s="185"/>
      <c r="Q1179" s="193"/>
      <c r="R1179" s="193"/>
      <c r="S1179" s="193"/>
      <c r="T1179" s="417">
        <f>g地盤抵抗係数(5,0)</f>
        <v>1.1439999999999999</v>
      </c>
      <c r="U1179" s="418"/>
      <c r="V1179" s="419"/>
      <c r="W1179" s="243"/>
      <c r="X1179" s="244"/>
      <c r="Y1179" s="245"/>
      <c r="Z1179" s="235" t="e">
        <f>Q1177*T1179+W1174</f>
        <v>#REF!</v>
      </c>
      <c r="AA1179" s="236"/>
      <c r="AB1179" s="236"/>
    </row>
    <row r="1180" spans="1:28" s="307" customFormat="1" ht="15.75" customHeight="1" x14ac:dyDescent="0.15">
      <c r="H1180" s="249"/>
      <c r="I1180" s="249"/>
      <c r="J1180" s="250"/>
      <c r="K1180" s="252"/>
      <c r="L1180" s="249"/>
      <c r="M1180" s="249"/>
      <c r="N1180" s="249"/>
      <c r="O1180" s="249"/>
      <c r="P1180" s="250"/>
      <c r="Q1180" s="193"/>
      <c r="R1180" s="193"/>
      <c r="S1180" s="193"/>
      <c r="T1180" s="420"/>
      <c r="U1180" s="421"/>
      <c r="V1180" s="422"/>
      <c r="W1180" s="237"/>
      <c r="X1180" s="238"/>
      <c r="Y1180" s="246"/>
      <c r="Z1180" s="237"/>
      <c r="AA1180" s="238"/>
      <c r="AB1180" s="238"/>
    </row>
    <row r="1181" spans="1:28" s="307" customFormat="1" ht="15.75" customHeight="1" x14ac:dyDescent="0.15"/>
    <row r="1182" spans="1:28" s="307" customFormat="1" ht="15.75" customHeight="1" x14ac:dyDescent="0.15">
      <c r="E1182" s="1" t="s">
        <v>401</v>
      </c>
    </row>
    <row r="1183" spans="1:28" s="307" customFormat="1" ht="15.75" customHeight="1" x14ac:dyDescent="0.15">
      <c r="E1183" s="307" t="s">
        <v>402</v>
      </c>
    </row>
    <row r="1184" spans="1:28" s="307" customFormat="1" ht="15.75" customHeight="1" x14ac:dyDescent="0.15"/>
    <row r="1185" spans="4:18" s="307" customFormat="1" ht="15.75" customHeight="1" x14ac:dyDescent="0.15"/>
    <row r="1186" spans="4:18" s="307" customFormat="1" ht="15.75" customHeight="1" x14ac:dyDescent="0.15"/>
    <row r="1187" spans="4:18" s="307" customFormat="1" ht="15.75" customHeight="1" x14ac:dyDescent="0.15">
      <c r="D1187" s="10" t="s">
        <v>300</v>
      </c>
    </row>
    <row r="1188" spans="4:18" s="307" customFormat="1" ht="15.75" customHeight="1" x14ac:dyDescent="0.15"/>
    <row r="1189" spans="4:18" s="307" customFormat="1" ht="15.75" customHeight="1" x14ac:dyDescent="0.15">
      <c r="E1189" s="307" t="s">
        <v>403</v>
      </c>
    </row>
    <row r="1190" spans="4:18" s="307" customFormat="1" ht="15.75" customHeight="1" x14ac:dyDescent="0.15"/>
    <row r="1191" spans="4:18" s="307" customFormat="1" ht="15.75" customHeight="1" x14ac:dyDescent="0.15">
      <c r="E1191" s="162" t="s">
        <v>305</v>
      </c>
      <c r="F1191" s="162"/>
      <c r="G1191" s="76" t="s">
        <v>27</v>
      </c>
      <c r="H1191" s="162" t="s">
        <v>301</v>
      </c>
      <c r="I1191" s="162"/>
      <c r="J1191" s="307" t="s">
        <v>93</v>
      </c>
      <c r="K1191" s="162" t="s">
        <v>303</v>
      </c>
      <c r="L1191" s="162"/>
      <c r="M1191" s="307" t="s">
        <v>93</v>
      </c>
      <c r="N1191" s="162" t="s">
        <v>304</v>
      </c>
      <c r="O1191" s="162"/>
      <c r="P1191" s="307" t="s">
        <v>228</v>
      </c>
      <c r="Q1191" s="162" t="s">
        <v>304</v>
      </c>
      <c r="R1191" s="162"/>
    </row>
    <row r="1192" spans="4:18" s="307" customFormat="1" ht="15.75" customHeight="1" x14ac:dyDescent="0.15"/>
    <row r="1193" spans="4:18" s="307" customFormat="1" ht="15.75" customHeight="1" x14ac:dyDescent="0.15">
      <c r="F1193" s="1" t="s">
        <v>3</v>
      </c>
      <c r="G1193" s="1"/>
      <c r="H1193" s="1"/>
      <c r="I1193" s="162" t="s">
        <v>305</v>
      </c>
      <c r="J1193" s="162"/>
      <c r="K1193" s="76" t="s">
        <v>2</v>
      </c>
      <c r="L1193" s="1" t="s">
        <v>307</v>
      </c>
    </row>
    <row r="1194" spans="4:18" s="307" customFormat="1" ht="15.75" customHeight="1" x14ac:dyDescent="0.15">
      <c r="F1194" s="1"/>
      <c r="G1194" s="1"/>
      <c r="H1194" s="1"/>
      <c r="I1194" s="162" t="s">
        <v>301</v>
      </c>
      <c r="J1194" s="162"/>
      <c r="K1194" s="76" t="s">
        <v>2</v>
      </c>
      <c r="L1194" s="1" t="s">
        <v>308</v>
      </c>
    </row>
    <row r="1195" spans="4:18" s="307" customFormat="1" ht="15.75" customHeight="1" x14ac:dyDescent="0.15">
      <c r="L1195" s="361" t="s">
        <v>249</v>
      </c>
      <c r="M1195" s="361"/>
      <c r="N1195" s="361"/>
      <c r="O1195" s="76" t="s">
        <v>2</v>
      </c>
      <c r="P1195" s="307" t="s">
        <v>309</v>
      </c>
    </row>
    <row r="1196" spans="4:18" s="307" customFormat="1" ht="15.75" customHeight="1" x14ac:dyDescent="0.15">
      <c r="L1196" s="361" t="s">
        <v>248</v>
      </c>
      <c r="M1196" s="361"/>
      <c r="N1196" s="361"/>
      <c r="O1196" s="76" t="s">
        <v>2</v>
      </c>
      <c r="P1196" s="307" t="s">
        <v>310</v>
      </c>
    </row>
    <row r="1197" spans="4:18" s="307" customFormat="1" ht="15.75" customHeight="1" x14ac:dyDescent="0.15">
      <c r="I1197" s="162" t="s">
        <v>303</v>
      </c>
      <c r="J1197" s="162"/>
      <c r="K1197" s="76" t="s">
        <v>2</v>
      </c>
      <c r="L1197" s="1" t="s">
        <v>311</v>
      </c>
    </row>
    <row r="1198" spans="4:18" s="307" customFormat="1" ht="15.75" customHeight="1" x14ac:dyDescent="0.15">
      <c r="L1198" s="361" t="s">
        <v>249</v>
      </c>
      <c r="M1198" s="361"/>
      <c r="N1198" s="361"/>
      <c r="O1198" s="76" t="s">
        <v>2</v>
      </c>
      <c r="P1198" s="307" t="s">
        <v>312</v>
      </c>
    </row>
    <row r="1199" spans="4:18" s="307" customFormat="1" ht="15.75" customHeight="1" x14ac:dyDescent="0.15">
      <c r="L1199" s="361" t="s">
        <v>248</v>
      </c>
      <c r="M1199" s="361"/>
      <c r="N1199" s="361"/>
      <c r="O1199" s="76" t="s">
        <v>2</v>
      </c>
      <c r="P1199" s="307" t="s">
        <v>313</v>
      </c>
    </row>
    <row r="1200" spans="4:18" s="307" customFormat="1" ht="15.75" customHeight="1" x14ac:dyDescent="0.15">
      <c r="I1200" s="162" t="s">
        <v>304</v>
      </c>
      <c r="J1200" s="162"/>
      <c r="K1200" s="76" t="s">
        <v>2</v>
      </c>
      <c r="L1200" s="307" t="s">
        <v>307</v>
      </c>
    </row>
    <row r="1201" spans="5:34" s="307" customFormat="1" ht="15.75" customHeight="1" x14ac:dyDescent="0.15">
      <c r="M1201" s="1" t="s">
        <v>224</v>
      </c>
      <c r="N1201" s="1"/>
      <c r="O1201" s="1"/>
      <c r="P1201" s="1"/>
      <c r="Q1201" s="1"/>
      <c r="R1201" s="76" t="s">
        <v>2</v>
      </c>
      <c r="S1201" s="162" t="s">
        <v>304</v>
      </c>
      <c r="T1201" s="162"/>
      <c r="U1201" s="76" t="s">
        <v>27</v>
      </c>
      <c r="V1201" s="307" t="s">
        <v>315</v>
      </c>
    </row>
    <row r="1202" spans="5:34" s="307" customFormat="1" ht="15.75" customHeight="1" x14ac:dyDescent="0.15">
      <c r="M1202" s="1" t="s">
        <v>241</v>
      </c>
      <c r="N1202" s="1"/>
      <c r="O1202" s="1"/>
      <c r="P1202" s="1"/>
      <c r="Q1202" s="1"/>
      <c r="R1202" s="76" t="s">
        <v>2</v>
      </c>
      <c r="S1202" s="162" t="s">
        <v>304</v>
      </c>
      <c r="T1202" s="162"/>
      <c r="U1202" s="76" t="s">
        <v>27</v>
      </c>
      <c r="V1202" s="307" t="s">
        <v>316</v>
      </c>
      <c r="AC1202" s="307" t="s">
        <v>228</v>
      </c>
      <c r="AD1202" s="307" t="s">
        <v>314</v>
      </c>
    </row>
    <row r="1203" spans="5:34" s="307" customFormat="1" ht="15.75" customHeight="1" x14ac:dyDescent="0.15">
      <c r="J1203" s="2" t="s">
        <v>317</v>
      </c>
      <c r="K1203" s="76" t="s">
        <v>2</v>
      </c>
      <c r="L1203" s="307" t="s">
        <v>318</v>
      </c>
    </row>
    <row r="1204" spans="5:34" s="307" customFormat="1" ht="15.75" customHeight="1" x14ac:dyDescent="0.15">
      <c r="J1204" s="2" t="s">
        <v>319</v>
      </c>
      <c r="K1204" s="76" t="s">
        <v>2</v>
      </c>
      <c r="L1204" s="307" t="s">
        <v>320</v>
      </c>
    </row>
    <row r="1205" spans="5:34" s="307" customFormat="1" ht="15.75" customHeight="1" x14ac:dyDescent="0.15">
      <c r="J1205" s="307" t="s">
        <v>321</v>
      </c>
      <c r="K1205" s="76" t="s">
        <v>2</v>
      </c>
      <c r="L1205" s="307" t="s">
        <v>322</v>
      </c>
    </row>
    <row r="1206" spans="5:34" s="307" customFormat="1" ht="15.75" customHeight="1" x14ac:dyDescent="0.15">
      <c r="J1206" s="2" t="s">
        <v>323</v>
      </c>
      <c r="K1206" s="76" t="s">
        <v>2</v>
      </c>
      <c r="L1206" s="307" t="s">
        <v>324</v>
      </c>
    </row>
    <row r="1207" spans="5:34" s="307" customFormat="1" ht="15.75" customHeight="1" x14ac:dyDescent="0.15">
      <c r="J1207" s="2" t="s">
        <v>4</v>
      </c>
      <c r="K1207" s="76" t="s">
        <v>2</v>
      </c>
      <c r="L1207" s="307" t="s">
        <v>325</v>
      </c>
    </row>
    <row r="1208" spans="5:34" s="307" customFormat="1" ht="15.75" customHeight="1" x14ac:dyDescent="0.15">
      <c r="J1208" s="2" t="s">
        <v>244</v>
      </c>
      <c r="K1208" s="76" t="s">
        <v>2</v>
      </c>
      <c r="L1208" s="307" t="s">
        <v>326</v>
      </c>
    </row>
    <row r="1209" spans="5:34" s="307" customFormat="1" ht="15.75" customHeight="1" x14ac:dyDescent="0.15"/>
    <row r="1210" spans="5:34" s="307" customFormat="1" ht="15.75" customHeight="1" x14ac:dyDescent="0.15">
      <c r="E1210" s="307" t="s">
        <v>327</v>
      </c>
    </row>
    <row r="1211" spans="5:34" s="307" customFormat="1" ht="15.75" customHeight="1" x14ac:dyDescent="0.15">
      <c r="E1211" s="307" t="s">
        <v>328</v>
      </c>
    </row>
    <row r="1212" spans="5:34" s="307" customFormat="1" ht="15.75" customHeight="1" x14ac:dyDescent="0.15">
      <c r="E1212" s="307" t="s">
        <v>329</v>
      </c>
    </row>
    <row r="1213" spans="5:34" s="307" customFormat="1" ht="15.75" customHeight="1" x14ac:dyDescent="0.15">
      <c r="E1213" s="307" t="s">
        <v>330</v>
      </c>
    </row>
    <row r="1214" spans="5:34" s="307" customFormat="1" ht="15.75" customHeight="1" x14ac:dyDescent="0.15">
      <c r="E1214" s="307" t="s">
        <v>331</v>
      </c>
    </row>
    <row r="1215" spans="5:34" s="307" customFormat="1" ht="15.75" customHeight="1" x14ac:dyDescent="0.15"/>
    <row r="1216" spans="5:34" ht="15.75" customHeight="1" x14ac:dyDescent="0.15">
      <c r="E1216" s="162" t="s">
        <v>332</v>
      </c>
      <c r="F1216" s="162"/>
      <c r="G1216" s="76" t="s">
        <v>27</v>
      </c>
      <c r="H1216" s="162" t="s">
        <v>333</v>
      </c>
      <c r="I1216" s="162"/>
      <c r="J1216" s="76" t="s">
        <v>1</v>
      </c>
      <c r="K1216" s="162" t="s">
        <v>65</v>
      </c>
      <c r="L1216" s="162"/>
      <c r="M1216" s="1" t="s">
        <v>1</v>
      </c>
      <c r="N1216" s="307" t="s">
        <v>238</v>
      </c>
      <c r="O1216" s="1"/>
      <c r="P1216" s="1"/>
      <c r="Q1216" s="1"/>
      <c r="R1216" s="1"/>
      <c r="S1216" s="1"/>
      <c r="T1216" s="1"/>
      <c r="U1216" s="1"/>
      <c r="V1216" s="1"/>
      <c r="W1216" s="1"/>
      <c r="X1216" s="1"/>
      <c r="Y1216" s="1"/>
      <c r="Z1216" s="1"/>
      <c r="AA1216" s="1"/>
      <c r="AB1216" s="1"/>
      <c r="AC1216" s="1"/>
      <c r="AD1216" s="1"/>
      <c r="AE1216" s="1"/>
      <c r="AF1216" s="1"/>
      <c r="AG1216" s="1"/>
      <c r="AH1216" s="1"/>
    </row>
    <row r="1217" spans="6:34" ht="15.75" customHeight="1" x14ac:dyDescent="0.15">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row>
    <row r="1218" spans="6:34" ht="15.75" customHeight="1" x14ac:dyDescent="0.15">
      <c r="F1218" s="1" t="s">
        <v>3</v>
      </c>
      <c r="G1218" s="1"/>
      <c r="H1218" s="1"/>
      <c r="I1218" s="162" t="s">
        <v>333</v>
      </c>
      <c r="J1218" s="162"/>
      <c r="K1218" s="76" t="s">
        <v>2</v>
      </c>
      <c r="L1218" s="1" t="s">
        <v>334</v>
      </c>
      <c r="M1218" s="1"/>
      <c r="N1218" s="1"/>
      <c r="O1218" s="1"/>
      <c r="P1218" s="1"/>
      <c r="Q1218" s="1"/>
      <c r="R1218" s="1"/>
      <c r="S1218" s="1"/>
      <c r="T1218" s="1"/>
      <c r="U1218" s="1"/>
      <c r="V1218" s="1"/>
      <c r="W1218" s="1"/>
      <c r="X1218" s="1"/>
      <c r="Y1218" s="1"/>
      <c r="Z1218" s="1"/>
      <c r="AA1218" s="1"/>
      <c r="AB1218" s="1"/>
      <c r="AC1218" s="1"/>
      <c r="AD1218" s="1"/>
      <c r="AE1218" s="1"/>
      <c r="AF1218" s="1"/>
      <c r="AG1218" s="1"/>
      <c r="AH1218" s="1"/>
    </row>
    <row r="1219" spans="6:34" s="307" customFormat="1" ht="15.75" customHeight="1" x14ac:dyDescent="0.15">
      <c r="I1219" s="162" t="s">
        <v>65</v>
      </c>
      <c r="J1219" s="162"/>
      <c r="K1219" s="76" t="s">
        <v>2</v>
      </c>
      <c r="L1219" s="307" t="s">
        <v>335</v>
      </c>
    </row>
    <row r="1220" spans="6:34" s="307" customFormat="1" ht="15.75" customHeight="1" x14ac:dyDescent="0.15">
      <c r="I1220" s="162" t="s">
        <v>238</v>
      </c>
      <c r="J1220" s="162"/>
      <c r="K1220" s="76" t="s">
        <v>2</v>
      </c>
      <c r="L1220" s="307" t="s">
        <v>336</v>
      </c>
    </row>
    <row r="1221" spans="6:34" s="307" customFormat="1" ht="15.75" customHeight="1" x14ac:dyDescent="0.15"/>
    <row r="1222" spans="6:34" s="307" customFormat="1" ht="15.75" customHeight="1" x14ac:dyDescent="0.15"/>
    <row r="1223" spans="6:34" s="307" customFormat="1" ht="15.75" customHeight="1" x14ac:dyDescent="0.15"/>
    <row r="1224" spans="6:34" s="307" customFormat="1" ht="15.75" customHeight="1" x14ac:dyDescent="0.15">
      <c r="H1224" s="61" t="s">
        <v>364</v>
      </c>
      <c r="I1224" s="302"/>
      <c r="J1224" s="302"/>
      <c r="K1224" s="302"/>
      <c r="L1224" s="61"/>
      <c r="M1224" s="61"/>
      <c r="N1224" s="61"/>
      <c r="O1224" s="61"/>
      <c r="P1224" s="61"/>
      <c r="Q1224" s="61"/>
      <c r="R1224" s="61"/>
      <c r="S1224" s="61"/>
      <c r="T1224" s="61"/>
      <c r="U1224" s="61"/>
      <c r="V1224" s="61"/>
      <c r="W1224" s="61"/>
      <c r="X1224" s="61"/>
      <c r="Y1224" s="61"/>
      <c r="Z1224" s="61"/>
      <c r="AA1224" s="61"/>
      <c r="AB1224" s="302"/>
      <c r="AC1224" s="302"/>
      <c r="AD1224" s="302"/>
      <c r="AE1224" s="302"/>
    </row>
    <row r="1225" spans="6:34" s="307" customFormat="1" ht="15.75" customHeight="1" x14ac:dyDescent="0.15">
      <c r="H1225" s="126" t="s">
        <v>8</v>
      </c>
      <c r="I1225" s="105"/>
      <c r="J1225" s="105" t="s">
        <v>384</v>
      </c>
      <c r="K1225" s="105"/>
      <c r="L1225" s="105"/>
      <c r="M1225" s="134" t="s">
        <v>203</v>
      </c>
      <c r="N1225" s="134"/>
      <c r="O1225" s="134" t="s">
        <v>338</v>
      </c>
      <c r="P1225" s="134"/>
      <c r="Q1225" s="105" t="s">
        <v>344</v>
      </c>
      <c r="R1225" s="131"/>
      <c r="S1225" s="131"/>
      <c r="T1225" s="105" t="s">
        <v>343</v>
      </c>
      <c r="U1225" s="131"/>
      <c r="V1225" s="131"/>
      <c r="W1225" s="105" t="s">
        <v>342</v>
      </c>
      <c r="X1225" s="131"/>
      <c r="Y1225" s="131"/>
      <c r="Z1225" s="131" t="s">
        <v>323</v>
      </c>
      <c r="AA1225" s="131"/>
      <c r="AB1225" s="131"/>
      <c r="AC1225" s="105" t="s">
        <v>345</v>
      </c>
      <c r="AD1225" s="131"/>
      <c r="AE1225" s="132"/>
    </row>
    <row r="1226" spans="6:34" s="307" customFormat="1" ht="15.75" customHeight="1" x14ac:dyDescent="0.15">
      <c r="H1226" s="128"/>
      <c r="I1226" s="106"/>
      <c r="J1226" s="106"/>
      <c r="K1226" s="106"/>
      <c r="L1226" s="106"/>
      <c r="M1226" s="216"/>
      <c r="N1226" s="216"/>
      <c r="O1226" s="216"/>
      <c r="P1226" s="216"/>
      <c r="Q1226" s="99"/>
      <c r="R1226" s="99"/>
      <c r="S1226" s="99"/>
      <c r="T1226" s="99"/>
      <c r="U1226" s="99"/>
      <c r="V1226" s="99"/>
      <c r="W1226" s="99"/>
      <c r="X1226" s="99"/>
      <c r="Y1226" s="99"/>
      <c r="Z1226" s="99"/>
      <c r="AA1226" s="99"/>
      <c r="AB1226" s="99"/>
      <c r="AC1226" s="99"/>
      <c r="AD1226" s="99"/>
      <c r="AE1226" s="133"/>
    </row>
    <row r="1227" spans="6:34" s="307" customFormat="1" ht="15.75" customHeight="1" x14ac:dyDescent="0.15">
      <c r="H1227" s="169">
        <v>1</v>
      </c>
      <c r="I1227" s="165"/>
      <c r="J1227" s="165" t="s">
        <v>383</v>
      </c>
      <c r="K1227" s="165"/>
      <c r="L1227" s="165"/>
      <c r="M1227" s="168">
        <v>1.3</v>
      </c>
      <c r="N1227" s="168"/>
      <c r="O1227" s="168">
        <v>0</v>
      </c>
      <c r="P1227" s="165"/>
      <c r="Q1227" s="254">
        <v>0</v>
      </c>
      <c r="R1227" s="254"/>
      <c r="S1227" s="254"/>
      <c r="T1227" s="168" t="s">
        <v>190</v>
      </c>
      <c r="U1227" s="168"/>
      <c r="V1227" s="168"/>
      <c r="W1227" s="166" t="s">
        <v>190</v>
      </c>
      <c r="X1227" s="166"/>
      <c r="Y1227" s="166"/>
      <c r="Z1227" s="166" t="s">
        <v>190</v>
      </c>
      <c r="AA1227" s="166"/>
      <c r="AB1227" s="166"/>
      <c r="AC1227" s="166" t="s">
        <v>190</v>
      </c>
      <c r="AD1227" s="166"/>
      <c r="AE1227" s="167"/>
    </row>
    <row r="1228" spans="6:34" s="307" customFormat="1" ht="15.75" customHeight="1" x14ac:dyDescent="0.15">
      <c r="H1228" s="93"/>
      <c r="I1228" s="94"/>
      <c r="J1228" s="94"/>
      <c r="K1228" s="94"/>
      <c r="L1228" s="94"/>
      <c r="M1228" s="95"/>
      <c r="N1228" s="95"/>
      <c r="O1228" s="95">
        <f>M1227+O1227</f>
        <v>1.3</v>
      </c>
      <c r="P1228" s="95"/>
      <c r="Q1228" s="96"/>
      <c r="R1228" s="96"/>
      <c r="S1228" s="96"/>
      <c r="T1228" s="95"/>
      <c r="U1228" s="95"/>
      <c r="V1228" s="95"/>
      <c r="W1228" s="97" t="s">
        <v>190</v>
      </c>
      <c r="X1228" s="97"/>
      <c r="Y1228" s="97"/>
      <c r="Z1228" s="97"/>
      <c r="AA1228" s="97"/>
      <c r="AB1228" s="97"/>
      <c r="AC1228" s="97" t="s">
        <v>190</v>
      </c>
      <c r="AD1228" s="97"/>
      <c r="AE1228" s="376"/>
    </row>
    <row r="1229" spans="6:34" s="307" customFormat="1" ht="15.75" customHeight="1" x14ac:dyDescent="0.15">
      <c r="H1229" s="93">
        <v>2</v>
      </c>
      <c r="I1229" s="94"/>
      <c r="J1229" s="94" t="s">
        <v>249</v>
      </c>
      <c r="K1229" s="94"/>
      <c r="L1229" s="94"/>
      <c r="M1229" s="95">
        <v>13</v>
      </c>
      <c r="N1229" s="95"/>
      <c r="O1229" s="95">
        <f>O1228</f>
        <v>1.3</v>
      </c>
      <c r="P1229" s="94"/>
      <c r="Q1229" s="96">
        <v>0</v>
      </c>
      <c r="R1229" s="96"/>
      <c r="S1229" s="96"/>
      <c r="T1229" s="95">
        <v>43</v>
      </c>
      <c r="U1229" s="95"/>
      <c r="V1229" s="95"/>
      <c r="W1229" s="95">
        <v>6</v>
      </c>
      <c r="X1229" s="95"/>
      <c r="Y1229" s="95"/>
      <c r="Z1229" s="97">
        <v>5.2889999999999997</v>
      </c>
      <c r="AA1229" s="97"/>
      <c r="AB1229" s="97"/>
      <c r="AC1229" s="96">
        <f>3*W1229*O1229*Z1229</f>
        <v>123.76260000000001</v>
      </c>
      <c r="AD1229" s="96"/>
      <c r="AE1229" s="374"/>
    </row>
    <row r="1230" spans="6:34" s="307" customFormat="1" ht="15.75" customHeight="1" x14ac:dyDescent="0.15">
      <c r="H1230" s="93"/>
      <c r="I1230" s="94"/>
      <c r="J1230" s="94"/>
      <c r="K1230" s="94"/>
      <c r="L1230" s="94"/>
      <c r="M1230" s="95"/>
      <c r="N1230" s="95"/>
      <c r="O1230" s="95">
        <f>M1229+O1229</f>
        <v>14.3</v>
      </c>
      <c r="P1230" s="95"/>
      <c r="Q1230" s="96"/>
      <c r="R1230" s="96"/>
      <c r="S1230" s="96"/>
      <c r="T1230" s="95"/>
      <c r="U1230" s="95"/>
      <c r="V1230" s="95"/>
      <c r="W1230" s="95">
        <v>9.6</v>
      </c>
      <c r="X1230" s="95"/>
      <c r="Y1230" s="95"/>
      <c r="Z1230" s="97"/>
      <c r="AA1230" s="97"/>
      <c r="AB1230" s="97"/>
      <c r="AC1230" s="96">
        <f>3*W1230*O1230*Z1229</f>
        <v>2178.2217599999999</v>
      </c>
      <c r="AD1230" s="96"/>
      <c r="AE1230" s="374"/>
    </row>
    <row r="1231" spans="6:34" s="307" customFormat="1" ht="15.75" customHeight="1" x14ac:dyDescent="0.15">
      <c r="H1231" s="93">
        <v>3</v>
      </c>
      <c r="I1231" s="94"/>
      <c r="J1231" s="94" t="s">
        <v>249</v>
      </c>
      <c r="K1231" s="94"/>
      <c r="L1231" s="94"/>
      <c r="M1231" s="95">
        <v>13</v>
      </c>
      <c r="N1231" s="95"/>
      <c r="O1231" s="95">
        <f>O1230</f>
        <v>14.3</v>
      </c>
      <c r="P1231" s="94"/>
      <c r="Q1231" s="96">
        <v>0</v>
      </c>
      <c r="R1231" s="96"/>
      <c r="S1231" s="96"/>
      <c r="T1231" s="95">
        <v>43</v>
      </c>
      <c r="U1231" s="95"/>
      <c r="V1231" s="95"/>
      <c r="W1231" s="95">
        <v>6</v>
      </c>
      <c r="X1231" s="95"/>
      <c r="Y1231" s="95"/>
      <c r="Z1231" s="97">
        <v>5.2889999999999997</v>
      </c>
      <c r="AA1231" s="97"/>
      <c r="AB1231" s="97"/>
      <c r="AC1231" s="96">
        <f>3*W1231*O1231*Z1231</f>
        <v>1361.3886</v>
      </c>
      <c r="AD1231" s="96"/>
      <c r="AE1231" s="374"/>
    </row>
    <row r="1232" spans="6:34" s="307" customFormat="1" ht="15.75" customHeight="1" x14ac:dyDescent="0.15">
      <c r="H1232" s="93"/>
      <c r="I1232" s="94"/>
      <c r="J1232" s="94"/>
      <c r="K1232" s="94"/>
      <c r="L1232" s="94"/>
      <c r="M1232" s="95"/>
      <c r="N1232" s="95"/>
      <c r="O1232" s="95">
        <f>M1231+O1231</f>
        <v>27.3</v>
      </c>
      <c r="P1232" s="95"/>
      <c r="Q1232" s="96"/>
      <c r="R1232" s="96"/>
      <c r="S1232" s="96"/>
      <c r="T1232" s="95"/>
      <c r="U1232" s="95"/>
      <c r="V1232" s="95"/>
      <c r="W1232" s="95">
        <v>9.6</v>
      </c>
      <c r="X1232" s="95"/>
      <c r="Y1232" s="95"/>
      <c r="Z1232" s="97"/>
      <c r="AA1232" s="97"/>
      <c r="AB1232" s="97"/>
      <c r="AC1232" s="96">
        <f>3*W1232*O1232*Z1231</f>
        <v>4158.4233599999989</v>
      </c>
      <c r="AD1232" s="96"/>
      <c r="AE1232" s="374"/>
    </row>
    <row r="1233" spans="8:31" s="307" customFormat="1" ht="15.75" customHeight="1" x14ac:dyDescent="0.15">
      <c r="H1233" s="93">
        <v>4</v>
      </c>
      <c r="I1233" s="94"/>
      <c r="J1233" s="94" t="s">
        <v>249</v>
      </c>
      <c r="K1233" s="94"/>
      <c r="L1233" s="94"/>
      <c r="M1233" s="95">
        <v>13</v>
      </c>
      <c r="N1233" s="95"/>
      <c r="O1233" s="95">
        <f>O1232</f>
        <v>27.3</v>
      </c>
      <c r="P1233" s="94"/>
      <c r="Q1233" s="96">
        <v>0</v>
      </c>
      <c r="R1233" s="96"/>
      <c r="S1233" s="96"/>
      <c r="T1233" s="95">
        <v>43</v>
      </c>
      <c r="U1233" s="95"/>
      <c r="V1233" s="95"/>
      <c r="W1233" s="95">
        <v>6</v>
      </c>
      <c r="X1233" s="95"/>
      <c r="Y1233" s="95"/>
      <c r="Z1233" s="97">
        <v>5.2889999999999997</v>
      </c>
      <c r="AA1233" s="97"/>
      <c r="AB1233" s="97"/>
      <c r="AC1233" s="96">
        <f>3*W1233*O1233*Z1233</f>
        <v>2599.0146</v>
      </c>
      <c r="AD1233" s="96"/>
      <c r="AE1233" s="374"/>
    </row>
    <row r="1234" spans="8:31" s="307" customFormat="1" ht="15.75" customHeight="1" x14ac:dyDescent="0.15">
      <c r="H1234" s="93"/>
      <c r="I1234" s="94"/>
      <c r="J1234" s="94"/>
      <c r="K1234" s="94"/>
      <c r="L1234" s="94"/>
      <c r="M1234" s="95"/>
      <c r="N1234" s="95"/>
      <c r="O1234" s="95">
        <f>M1233+O1233</f>
        <v>40.299999999999997</v>
      </c>
      <c r="P1234" s="95"/>
      <c r="Q1234" s="96"/>
      <c r="R1234" s="96"/>
      <c r="S1234" s="96"/>
      <c r="T1234" s="95"/>
      <c r="U1234" s="95"/>
      <c r="V1234" s="95"/>
      <c r="W1234" s="95">
        <v>9.6</v>
      </c>
      <c r="X1234" s="95"/>
      <c r="Y1234" s="95"/>
      <c r="Z1234" s="97"/>
      <c r="AA1234" s="97"/>
      <c r="AB1234" s="97"/>
      <c r="AC1234" s="96">
        <f>3*W1234*O1234*Z1233</f>
        <v>6138.6249599999992</v>
      </c>
      <c r="AD1234" s="96"/>
      <c r="AE1234" s="374"/>
    </row>
    <row r="1235" spans="8:31" s="307" customFormat="1" ht="15.75" customHeight="1" x14ac:dyDescent="0.15">
      <c r="H1235" s="93">
        <v>5</v>
      </c>
      <c r="I1235" s="94"/>
      <c r="J1235" s="94" t="s">
        <v>249</v>
      </c>
      <c r="K1235" s="94"/>
      <c r="L1235" s="94"/>
      <c r="M1235" s="95">
        <v>13</v>
      </c>
      <c r="N1235" s="95"/>
      <c r="O1235" s="95">
        <f>O1234</f>
        <v>40.299999999999997</v>
      </c>
      <c r="P1235" s="94"/>
      <c r="Q1235" s="96">
        <v>0</v>
      </c>
      <c r="R1235" s="96"/>
      <c r="S1235" s="96"/>
      <c r="T1235" s="95">
        <v>43</v>
      </c>
      <c r="U1235" s="95"/>
      <c r="V1235" s="95"/>
      <c r="W1235" s="95">
        <v>6</v>
      </c>
      <c r="X1235" s="95"/>
      <c r="Y1235" s="95"/>
      <c r="Z1235" s="97">
        <v>5.2889999999999997</v>
      </c>
      <c r="AA1235" s="97"/>
      <c r="AB1235" s="97"/>
      <c r="AC1235" s="96">
        <f>3*W1235*O1235*Z1235</f>
        <v>3836.6405999999997</v>
      </c>
      <c r="AD1235" s="96"/>
      <c r="AE1235" s="374"/>
    </row>
    <row r="1236" spans="8:31" s="307" customFormat="1" ht="15.75" customHeight="1" x14ac:dyDescent="0.15">
      <c r="H1236" s="93"/>
      <c r="I1236" s="94"/>
      <c r="J1236" s="94"/>
      <c r="K1236" s="94"/>
      <c r="L1236" s="94"/>
      <c r="M1236" s="95"/>
      <c r="N1236" s="95"/>
      <c r="O1236" s="95">
        <f>M1235+O1235</f>
        <v>53.3</v>
      </c>
      <c r="P1236" s="95"/>
      <c r="Q1236" s="96"/>
      <c r="R1236" s="96"/>
      <c r="S1236" s="96"/>
      <c r="T1236" s="95"/>
      <c r="U1236" s="95"/>
      <c r="V1236" s="95"/>
      <c r="W1236" s="95">
        <v>9.6</v>
      </c>
      <c r="X1236" s="95"/>
      <c r="Y1236" s="95"/>
      <c r="Z1236" s="97"/>
      <c r="AA1236" s="97"/>
      <c r="AB1236" s="97"/>
      <c r="AC1236" s="96">
        <f>3*W1236*O1236*Z1235</f>
        <v>8118.8265599999977</v>
      </c>
      <c r="AD1236" s="96"/>
      <c r="AE1236" s="374"/>
    </row>
    <row r="1237" spans="8:31" s="307" customFormat="1" ht="15.75" customHeight="1" x14ac:dyDescent="0.15">
      <c r="H1237" s="93">
        <v>6</v>
      </c>
      <c r="I1237" s="94"/>
      <c r="J1237" s="94" t="s">
        <v>249</v>
      </c>
      <c r="K1237" s="94"/>
      <c r="L1237" s="94"/>
      <c r="M1237" s="95">
        <v>13</v>
      </c>
      <c r="N1237" s="95"/>
      <c r="O1237" s="95">
        <f>O1236</f>
        <v>53.3</v>
      </c>
      <c r="P1237" s="94"/>
      <c r="Q1237" s="96">
        <v>0</v>
      </c>
      <c r="R1237" s="96"/>
      <c r="S1237" s="96"/>
      <c r="T1237" s="95">
        <v>43</v>
      </c>
      <c r="U1237" s="95"/>
      <c r="V1237" s="95"/>
      <c r="W1237" s="95">
        <v>6</v>
      </c>
      <c r="X1237" s="95"/>
      <c r="Y1237" s="95"/>
      <c r="Z1237" s="97">
        <v>5.2889999999999997</v>
      </c>
      <c r="AA1237" s="97"/>
      <c r="AB1237" s="97"/>
      <c r="AC1237" s="96">
        <f>3*W1237*O1237*Z1237</f>
        <v>5074.2665999999999</v>
      </c>
      <c r="AD1237" s="96"/>
      <c r="AE1237" s="374"/>
    </row>
    <row r="1238" spans="8:31" s="307" customFormat="1" ht="15.75" customHeight="1" x14ac:dyDescent="0.15">
      <c r="H1238" s="93"/>
      <c r="I1238" s="94"/>
      <c r="J1238" s="94"/>
      <c r="K1238" s="94"/>
      <c r="L1238" s="94"/>
      <c r="M1238" s="95"/>
      <c r="N1238" s="95"/>
      <c r="O1238" s="95">
        <f>M1237+O1237</f>
        <v>66.3</v>
      </c>
      <c r="P1238" s="95"/>
      <c r="Q1238" s="96"/>
      <c r="R1238" s="96"/>
      <c r="S1238" s="96"/>
      <c r="T1238" s="95"/>
      <c r="U1238" s="95"/>
      <c r="V1238" s="95"/>
      <c r="W1238" s="95">
        <v>9.6</v>
      </c>
      <c r="X1238" s="95"/>
      <c r="Y1238" s="95"/>
      <c r="Z1238" s="97"/>
      <c r="AA1238" s="97"/>
      <c r="AB1238" s="97"/>
      <c r="AC1238" s="96">
        <f>3*W1238*O1238*Z1237</f>
        <v>10099.028159999998</v>
      </c>
      <c r="AD1238" s="96"/>
      <c r="AE1238" s="374"/>
    </row>
    <row r="1239" spans="8:31" s="307" customFormat="1" ht="15.75" customHeight="1" x14ac:dyDescent="0.15">
      <c r="H1239" s="93">
        <v>7</v>
      </c>
      <c r="I1239" s="94"/>
      <c r="J1239" s="94" t="s">
        <v>249</v>
      </c>
      <c r="K1239" s="94"/>
      <c r="L1239" s="94"/>
      <c r="M1239" s="95">
        <v>13</v>
      </c>
      <c r="N1239" s="95"/>
      <c r="O1239" s="95">
        <f>O1238</f>
        <v>66.3</v>
      </c>
      <c r="P1239" s="94"/>
      <c r="Q1239" s="96">
        <v>0</v>
      </c>
      <c r="R1239" s="96"/>
      <c r="S1239" s="96"/>
      <c r="T1239" s="95">
        <v>43</v>
      </c>
      <c r="U1239" s="95"/>
      <c r="V1239" s="95"/>
      <c r="W1239" s="95">
        <v>6</v>
      </c>
      <c r="X1239" s="95"/>
      <c r="Y1239" s="95"/>
      <c r="Z1239" s="97">
        <v>5.2889999999999997</v>
      </c>
      <c r="AA1239" s="97"/>
      <c r="AB1239" s="97"/>
      <c r="AC1239" s="96">
        <f>3*W1239*O1239*Z1239</f>
        <v>6311.8925999999992</v>
      </c>
      <c r="AD1239" s="96"/>
      <c r="AE1239" s="374"/>
    </row>
    <row r="1240" spans="8:31" s="307" customFormat="1" ht="15.75" customHeight="1" x14ac:dyDescent="0.15">
      <c r="H1240" s="93"/>
      <c r="I1240" s="94"/>
      <c r="J1240" s="94"/>
      <c r="K1240" s="94"/>
      <c r="L1240" s="94"/>
      <c r="M1240" s="95"/>
      <c r="N1240" s="95"/>
      <c r="O1240" s="95">
        <f>M1239+O1239</f>
        <v>79.3</v>
      </c>
      <c r="P1240" s="95"/>
      <c r="Q1240" s="96"/>
      <c r="R1240" s="96"/>
      <c r="S1240" s="96"/>
      <c r="T1240" s="95"/>
      <c r="U1240" s="95"/>
      <c r="V1240" s="95"/>
      <c r="W1240" s="95">
        <v>9.6</v>
      </c>
      <c r="X1240" s="95"/>
      <c r="Y1240" s="95"/>
      <c r="Z1240" s="97"/>
      <c r="AA1240" s="97"/>
      <c r="AB1240" s="97"/>
      <c r="AC1240" s="96">
        <f>3*W1240*O1240*Z1239</f>
        <v>12079.229759999998</v>
      </c>
      <c r="AD1240" s="96"/>
      <c r="AE1240" s="374"/>
    </row>
    <row r="1241" spans="8:31" s="307" customFormat="1" ht="15.75" customHeight="1" x14ac:dyDescent="0.15">
      <c r="H1241" s="93">
        <v>8</v>
      </c>
      <c r="I1241" s="94"/>
      <c r="J1241" s="94" t="s">
        <v>249</v>
      </c>
      <c r="K1241" s="94"/>
      <c r="L1241" s="94"/>
      <c r="M1241" s="95">
        <v>13</v>
      </c>
      <c r="N1241" s="95"/>
      <c r="O1241" s="95">
        <f>O1240</f>
        <v>79.3</v>
      </c>
      <c r="P1241" s="94"/>
      <c r="Q1241" s="96">
        <v>0</v>
      </c>
      <c r="R1241" s="96"/>
      <c r="S1241" s="96"/>
      <c r="T1241" s="95">
        <v>43</v>
      </c>
      <c r="U1241" s="95"/>
      <c r="V1241" s="95"/>
      <c r="W1241" s="95">
        <v>6</v>
      </c>
      <c r="X1241" s="95"/>
      <c r="Y1241" s="95"/>
      <c r="Z1241" s="97">
        <v>5.2889999999999997</v>
      </c>
      <c r="AA1241" s="97"/>
      <c r="AB1241" s="97"/>
      <c r="AC1241" s="96">
        <f>3*W1241*O1241*Z1241</f>
        <v>7549.5185999999985</v>
      </c>
      <c r="AD1241" s="96"/>
      <c r="AE1241" s="374"/>
    </row>
    <row r="1242" spans="8:31" s="307" customFormat="1" ht="15.75" customHeight="1" x14ac:dyDescent="0.15">
      <c r="H1242" s="93"/>
      <c r="I1242" s="94"/>
      <c r="J1242" s="94"/>
      <c r="K1242" s="94"/>
      <c r="L1242" s="94"/>
      <c r="M1242" s="95"/>
      <c r="N1242" s="95"/>
      <c r="O1242" s="95">
        <f>M1241+O1241</f>
        <v>92.3</v>
      </c>
      <c r="P1242" s="95"/>
      <c r="Q1242" s="96"/>
      <c r="R1242" s="96"/>
      <c r="S1242" s="96"/>
      <c r="T1242" s="95"/>
      <c r="U1242" s="95"/>
      <c r="V1242" s="95"/>
      <c r="W1242" s="95">
        <v>9.6</v>
      </c>
      <c r="X1242" s="95"/>
      <c r="Y1242" s="95"/>
      <c r="Z1242" s="97"/>
      <c r="AA1242" s="97"/>
      <c r="AB1242" s="97"/>
      <c r="AC1242" s="96">
        <f>3*W1242*O1242*Z1241</f>
        <v>14059.431359999999</v>
      </c>
      <c r="AD1242" s="96"/>
      <c r="AE1242" s="374"/>
    </row>
    <row r="1243" spans="8:31" s="307" customFormat="1" ht="15.75" customHeight="1" x14ac:dyDescent="0.15">
      <c r="H1243" s="93">
        <v>9</v>
      </c>
      <c r="I1243" s="94"/>
      <c r="J1243" s="94" t="s">
        <v>249</v>
      </c>
      <c r="K1243" s="94"/>
      <c r="L1243" s="94"/>
      <c r="M1243" s="95">
        <v>13</v>
      </c>
      <c r="N1243" s="95"/>
      <c r="O1243" s="95">
        <f>O1242</f>
        <v>92.3</v>
      </c>
      <c r="P1243" s="94"/>
      <c r="Q1243" s="96">
        <v>0</v>
      </c>
      <c r="R1243" s="96"/>
      <c r="S1243" s="96"/>
      <c r="T1243" s="95">
        <v>43</v>
      </c>
      <c r="U1243" s="95"/>
      <c r="V1243" s="95"/>
      <c r="W1243" s="95">
        <v>6</v>
      </c>
      <c r="X1243" s="95"/>
      <c r="Y1243" s="95"/>
      <c r="Z1243" s="97">
        <v>5.2889999999999997</v>
      </c>
      <c r="AA1243" s="97"/>
      <c r="AB1243" s="97"/>
      <c r="AC1243" s="96">
        <f>3*W1243*O1243*Z1243</f>
        <v>8787.1445999999996</v>
      </c>
      <c r="AD1243" s="96"/>
      <c r="AE1243" s="374"/>
    </row>
    <row r="1244" spans="8:31" s="307" customFormat="1" ht="15.75" customHeight="1" x14ac:dyDescent="0.15">
      <c r="H1244" s="93"/>
      <c r="I1244" s="94"/>
      <c r="J1244" s="94"/>
      <c r="K1244" s="94"/>
      <c r="L1244" s="94"/>
      <c r="M1244" s="95"/>
      <c r="N1244" s="95"/>
      <c r="O1244" s="95">
        <f>M1243+O1243</f>
        <v>105.3</v>
      </c>
      <c r="P1244" s="95"/>
      <c r="Q1244" s="96"/>
      <c r="R1244" s="96"/>
      <c r="S1244" s="96"/>
      <c r="T1244" s="95"/>
      <c r="U1244" s="95"/>
      <c r="V1244" s="95"/>
      <c r="W1244" s="95">
        <v>9.6</v>
      </c>
      <c r="X1244" s="95"/>
      <c r="Y1244" s="95"/>
      <c r="Z1244" s="97"/>
      <c r="AA1244" s="97"/>
      <c r="AB1244" s="97"/>
      <c r="AC1244" s="96">
        <f>3*W1244*O1244*Z1243</f>
        <v>16039.632959999995</v>
      </c>
      <c r="AD1244" s="96"/>
      <c r="AE1244" s="374"/>
    </row>
    <row r="1245" spans="8:31" s="307" customFormat="1" ht="15.75" customHeight="1" x14ac:dyDescent="0.15">
      <c r="H1245" s="93">
        <v>10</v>
      </c>
      <c r="I1245" s="94"/>
      <c r="J1245" s="94" t="s">
        <v>249</v>
      </c>
      <c r="K1245" s="94"/>
      <c r="L1245" s="94"/>
      <c r="M1245" s="95">
        <v>13</v>
      </c>
      <c r="N1245" s="95"/>
      <c r="O1245" s="95">
        <f>O1244</f>
        <v>105.3</v>
      </c>
      <c r="P1245" s="94"/>
      <c r="Q1245" s="96">
        <v>0</v>
      </c>
      <c r="R1245" s="96"/>
      <c r="S1245" s="96"/>
      <c r="T1245" s="95">
        <v>43</v>
      </c>
      <c r="U1245" s="95"/>
      <c r="V1245" s="95"/>
      <c r="W1245" s="95">
        <v>6</v>
      </c>
      <c r="X1245" s="95"/>
      <c r="Y1245" s="95"/>
      <c r="Z1245" s="97">
        <v>5.2889999999999997</v>
      </c>
      <c r="AA1245" s="97"/>
      <c r="AB1245" s="97"/>
      <c r="AC1245" s="96">
        <f>3*W1245*O1245*Z1245</f>
        <v>10024.770599999998</v>
      </c>
      <c r="AD1245" s="96"/>
      <c r="AE1245" s="374"/>
    </row>
    <row r="1246" spans="8:31" s="307" customFormat="1" ht="15.75" customHeight="1" x14ac:dyDescent="0.15">
      <c r="H1246" s="93"/>
      <c r="I1246" s="94"/>
      <c r="J1246" s="94"/>
      <c r="K1246" s="94"/>
      <c r="L1246" s="94"/>
      <c r="M1246" s="95"/>
      <c r="N1246" s="95"/>
      <c r="O1246" s="95">
        <f>M1245+O1245</f>
        <v>118.3</v>
      </c>
      <c r="P1246" s="95"/>
      <c r="Q1246" s="96"/>
      <c r="R1246" s="96"/>
      <c r="S1246" s="96"/>
      <c r="T1246" s="95"/>
      <c r="U1246" s="95"/>
      <c r="V1246" s="95"/>
      <c r="W1246" s="95">
        <v>9.6</v>
      </c>
      <c r="X1246" s="95"/>
      <c r="Y1246" s="95"/>
      <c r="Z1246" s="97"/>
      <c r="AA1246" s="97"/>
      <c r="AB1246" s="97"/>
      <c r="AC1246" s="96">
        <f>3*W1246*O1246*Z1245</f>
        <v>18019.834559999996</v>
      </c>
      <c r="AD1246" s="96"/>
      <c r="AE1246" s="374"/>
    </row>
    <row r="1247" spans="8:31" s="307" customFormat="1" ht="15.75" customHeight="1" x14ac:dyDescent="0.15">
      <c r="H1247" s="93">
        <v>11</v>
      </c>
      <c r="I1247" s="94"/>
      <c r="J1247" s="94" t="s">
        <v>249</v>
      </c>
      <c r="K1247" s="94"/>
      <c r="L1247" s="94"/>
      <c r="M1247" s="95">
        <v>13</v>
      </c>
      <c r="N1247" s="95"/>
      <c r="O1247" s="95">
        <f>O1246</f>
        <v>118.3</v>
      </c>
      <c r="P1247" s="94"/>
      <c r="Q1247" s="96">
        <v>0</v>
      </c>
      <c r="R1247" s="96"/>
      <c r="S1247" s="96"/>
      <c r="T1247" s="95">
        <v>43</v>
      </c>
      <c r="U1247" s="95"/>
      <c r="V1247" s="95"/>
      <c r="W1247" s="95">
        <v>6</v>
      </c>
      <c r="X1247" s="95"/>
      <c r="Y1247" s="95"/>
      <c r="Z1247" s="97">
        <v>5.2889999999999997</v>
      </c>
      <c r="AA1247" s="97"/>
      <c r="AB1247" s="97"/>
      <c r="AC1247" s="96">
        <f>3*W1247*O1247*Z1247</f>
        <v>11262.3966</v>
      </c>
      <c r="AD1247" s="96"/>
      <c r="AE1247" s="374"/>
    </row>
    <row r="1248" spans="8:31" s="307" customFormat="1" ht="15.75" customHeight="1" x14ac:dyDescent="0.15">
      <c r="H1248" s="93"/>
      <c r="I1248" s="94"/>
      <c r="J1248" s="94"/>
      <c r="K1248" s="94"/>
      <c r="L1248" s="94"/>
      <c r="M1248" s="95"/>
      <c r="N1248" s="95"/>
      <c r="O1248" s="95">
        <f>M1247+O1247</f>
        <v>131.30000000000001</v>
      </c>
      <c r="P1248" s="95"/>
      <c r="Q1248" s="96"/>
      <c r="R1248" s="96"/>
      <c r="S1248" s="96"/>
      <c r="T1248" s="95"/>
      <c r="U1248" s="95"/>
      <c r="V1248" s="95"/>
      <c r="W1248" s="95">
        <v>9.6</v>
      </c>
      <c r="X1248" s="95"/>
      <c r="Y1248" s="95"/>
      <c r="Z1248" s="97"/>
      <c r="AA1248" s="97"/>
      <c r="AB1248" s="97"/>
      <c r="AC1248" s="96">
        <f>3*W1248*O1248*Z1247</f>
        <v>20000.03616</v>
      </c>
      <c r="AD1248" s="96"/>
      <c r="AE1248" s="374"/>
    </row>
    <row r="1249" spans="4:31" s="307" customFormat="1" ht="15.75" customHeight="1" x14ac:dyDescent="0.15">
      <c r="H1249" s="93">
        <v>12</v>
      </c>
      <c r="I1249" s="94"/>
      <c r="J1249" s="94" t="s">
        <v>249</v>
      </c>
      <c r="K1249" s="94"/>
      <c r="L1249" s="94"/>
      <c r="M1249" s="95">
        <v>13</v>
      </c>
      <c r="N1249" s="95"/>
      <c r="O1249" s="95">
        <f>O1248</f>
        <v>131.30000000000001</v>
      </c>
      <c r="P1249" s="94"/>
      <c r="Q1249" s="96">
        <v>0</v>
      </c>
      <c r="R1249" s="96"/>
      <c r="S1249" s="96"/>
      <c r="T1249" s="95">
        <v>43</v>
      </c>
      <c r="U1249" s="95"/>
      <c r="V1249" s="95"/>
      <c r="W1249" s="95">
        <v>6</v>
      </c>
      <c r="X1249" s="95"/>
      <c r="Y1249" s="95"/>
      <c r="Z1249" s="97">
        <v>5.2889999999999997</v>
      </c>
      <c r="AA1249" s="97"/>
      <c r="AB1249" s="97"/>
      <c r="AC1249" s="96">
        <f>3*W1249*O1249*Z1249</f>
        <v>12500.0226</v>
      </c>
      <c r="AD1249" s="96"/>
      <c r="AE1249" s="374"/>
    </row>
    <row r="1250" spans="4:31" s="307" customFormat="1" ht="15.75" customHeight="1" x14ac:dyDescent="0.15">
      <c r="H1250" s="93"/>
      <c r="I1250" s="94"/>
      <c r="J1250" s="94"/>
      <c r="K1250" s="94"/>
      <c r="L1250" s="94"/>
      <c r="M1250" s="95"/>
      <c r="N1250" s="95"/>
      <c r="O1250" s="95">
        <f>M1249+O1249</f>
        <v>144.30000000000001</v>
      </c>
      <c r="P1250" s="95"/>
      <c r="Q1250" s="96"/>
      <c r="R1250" s="96"/>
      <c r="S1250" s="96"/>
      <c r="T1250" s="95"/>
      <c r="U1250" s="95"/>
      <c r="V1250" s="95"/>
      <c r="W1250" s="95">
        <v>9.6</v>
      </c>
      <c r="X1250" s="95"/>
      <c r="Y1250" s="95"/>
      <c r="Z1250" s="97"/>
      <c r="AA1250" s="97"/>
      <c r="AB1250" s="97"/>
      <c r="AC1250" s="96">
        <f>3*W1250*O1250*Z1249</f>
        <v>21980.23776</v>
      </c>
      <c r="AD1250" s="96"/>
      <c r="AE1250" s="374"/>
    </row>
    <row r="1251" spans="4:31" s="307" customFormat="1" ht="15.75" customHeight="1" x14ac:dyDescent="0.15">
      <c r="H1251" s="93">
        <v>13</v>
      </c>
      <c r="I1251" s="94"/>
      <c r="J1251" s="94" t="s">
        <v>249</v>
      </c>
      <c r="K1251" s="94"/>
      <c r="L1251" s="94"/>
      <c r="M1251" s="95">
        <v>13</v>
      </c>
      <c r="N1251" s="95"/>
      <c r="O1251" s="95">
        <f>O1250</f>
        <v>144.30000000000001</v>
      </c>
      <c r="P1251" s="94"/>
      <c r="Q1251" s="96">
        <v>0</v>
      </c>
      <c r="R1251" s="96"/>
      <c r="S1251" s="96"/>
      <c r="T1251" s="95">
        <v>43</v>
      </c>
      <c r="U1251" s="95"/>
      <c r="V1251" s="95"/>
      <c r="W1251" s="95">
        <v>6</v>
      </c>
      <c r="X1251" s="95"/>
      <c r="Y1251" s="95"/>
      <c r="Z1251" s="97">
        <v>5.2889999999999997</v>
      </c>
      <c r="AA1251" s="97"/>
      <c r="AB1251" s="97"/>
      <c r="AC1251" s="96">
        <f>3*W1251*O1251*Z1251</f>
        <v>13737.6486</v>
      </c>
      <c r="AD1251" s="96"/>
      <c r="AE1251" s="374"/>
    </row>
    <row r="1252" spans="4:31" s="307" customFormat="1" ht="15.75" customHeight="1" x14ac:dyDescent="0.15">
      <c r="H1252" s="93"/>
      <c r="I1252" s="94"/>
      <c r="J1252" s="94"/>
      <c r="K1252" s="94"/>
      <c r="L1252" s="94"/>
      <c r="M1252" s="95"/>
      <c r="N1252" s="95"/>
      <c r="O1252" s="95">
        <f>M1251+O1251</f>
        <v>157.30000000000001</v>
      </c>
      <c r="P1252" s="95"/>
      <c r="Q1252" s="96"/>
      <c r="R1252" s="96"/>
      <c r="S1252" s="96"/>
      <c r="T1252" s="95"/>
      <c r="U1252" s="95"/>
      <c r="V1252" s="95"/>
      <c r="W1252" s="95">
        <v>9.6</v>
      </c>
      <c r="X1252" s="95"/>
      <c r="Y1252" s="95"/>
      <c r="Z1252" s="97"/>
      <c r="AA1252" s="97"/>
      <c r="AB1252" s="97"/>
      <c r="AC1252" s="96">
        <f>3*W1252*O1252*Z1251</f>
        <v>23960.439359999997</v>
      </c>
      <c r="AD1252" s="96"/>
      <c r="AE1252" s="374"/>
    </row>
    <row r="1253" spans="4:31" s="307" customFormat="1" ht="15.75" customHeight="1" x14ac:dyDescent="0.15">
      <c r="H1253" s="93">
        <v>14</v>
      </c>
      <c r="I1253" s="94"/>
      <c r="J1253" s="94" t="s">
        <v>249</v>
      </c>
      <c r="K1253" s="94"/>
      <c r="L1253" s="94"/>
      <c r="M1253" s="95">
        <v>13</v>
      </c>
      <c r="N1253" s="95"/>
      <c r="O1253" s="95">
        <f>O1252</f>
        <v>157.30000000000001</v>
      </c>
      <c r="P1253" s="94"/>
      <c r="Q1253" s="96">
        <v>0</v>
      </c>
      <c r="R1253" s="96"/>
      <c r="S1253" s="96"/>
      <c r="T1253" s="95">
        <v>43</v>
      </c>
      <c r="U1253" s="95"/>
      <c r="V1253" s="95"/>
      <c r="W1253" s="95">
        <v>6</v>
      </c>
      <c r="X1253" s="95"/>
      <c r="Y1253" s="95"/>
      <c r="Z1253" s="97">
        <v>5.2889999999999997</v>
      </c>
      <c r="AA1253" s="97"/>
      <c r="AB1253" s="97"/>
      <c r="AC1253" s="96">
        <f>3*W1253*O1253*Z1253</f>
        <v>14975.274599999999</v>
      </c>
      <c r="AD1253" s="96"/>
      <c r="AE1253" s="374"/>
    </row>
    <row r="1254" spans="4:31" s="307" customFormat="1" ht="15.75" customHeight="1" x14ac:dyDescent="0.15">
      <c r="H1254" s="93"/>
      <c r="I1254" s="94"/>
      <c r="J1254" s="94"/>
      <c r="K1254" s="94"/>
      <c r="L1254" s="94"/>
      <c r="M1254" s="95"/>
      <c r="N1254" s="95"/>
      <c r="O1254" s="95">
        <f>M1253+O1253</f>
        <v>170.3</v>
      </c>
      <c r="P1254" s="95"/>
      <c r="Q1254" s="96"/>
      <c r="R1254" s="96"/>
      <c r="S1254" s="96"/>
      <c r="T1254" s="95"/>
      <c r="U1254" s="95"/>
      <c r="V1254" s="95"/>
      <c r="W1254" s="95">
        <v>9.6</v>
      </c>
      <c r="X1254" s="95"/>
      <c r="Y1254" s="95"/>
      <c r="Z1254" s="97"/>
      <c r="AA1254" s="97"/>
      <c r="AB1254" s="97"/>
      <c r="AC1254" s="96">
        <f>3*W1254*O1254*Z1253</f>
        <v>25940.640959999997</v>
      </c>
      <c r="AD1254" s="96"/>
      <c r="AE1254" s="374"/>
    </row>
    <row r="1255" spans="4:31" s="307" customFormat="1" ht="15.75" customHeight="1" x14ac:dyDescent="0.15">
      <c r="H1255" s="93">
        <v>15</v>
      </c>
      <c r="I1255" s="94"/>
      <c r="J1255" s="94" t="s">
        <v>249</v>
      </c>
      <c r="K1255" s="94"/>
      <c r="L1255" s="94"/>
      <c r="M1255" s="95">
        <v>13</v>
      </c>
      <c r="N1255" s="95"/>
      <c r="O1255" s="95">
        <f>O1254</f>
        <v>170.3</v>
      </c>
      <c r="P1255" s="94"/>
      <c r="Q1255" s="96">
        <v>0</v>
      </c>
      <c r="R1255" s="96"/>
      <c r="S1255" s="96"/>
      <c r="T1255" s="95">
        <v>43</v>
      </c>
      <c r="U1255" s="95"/>
      <c r="V1255" s="95"/>
      <c r="W1255" s="95">
        <v>6</v>
      </c>
      <c r="X1255" s="95"/>
      <c r="Y1255" s="95"/>
      <c r="Z1255" s="97">
        <v>5.2889999999999997</v>
      </c>
      <c r="AA1255" s="97"/>
      <c r="AB1255" s="97"/>
      <c r="AC1255" s="96">
        <f>3*W1255*O1255*Z1255</f>
        <v>16212.900599999999</v>
      </c>
      <c r="AD1255" s="96"/>
      <c r="AE1255" s="374"/>
    </row>
    <row r="1256" spans="4:31" s="307" customFormat="1" ht="15.75" customHeight="1" x14ac:dyDescent="0.15">
      <c r="H1256" s="93"/>
      <c r="I1256" s="94"/>
      <c r="J1256" s="94"/>
      <c r="K1256" s="94"/>
      <c r="L1256" s="94"/>
      <c r="M1256" s="95"/>
      <c r="N1256" s="95"/>
      <c r="O1256" s="95">
        <f>M1255+O1255</f>
        <v>183.3</v>
      </c>
      <c r="P1256" s="95"/>
      <c r="Q1256" s="96"/>
      <c r="R1256" s="96"/>
      <c r="S1256" s="96"/>
      <c r="T1256" s="95"/>
      <c r="U1256" s="95"/>
      <c r="V1256" s="95"/>
      <c r="W1256" s="95">
        <v>9.6</v>
      </c>
      <c r="X1256" s="95"/>
      <c r="Y1256" s="95"/>
      <c r="Z1256" s="97"/>
      <c r="AA1256" s="97"/>
      <c r="AB1256" s="97"/>
      <c r="AC1256" s="96">
        <f>3*W1256*O1256*Z1255</f>
        <v>27920.842559999997</v>
      </c>
      <c r="AD1256" s="96"/>
      <c r="AE1256" s="374"/>
    </row>
    <row r="1257" spans="4:31" s="307" customFormat="1" ht="15.75" customHeight="1" x14ac:dyDescent="0.15">
      <c r="H1257" s="93">
        <v>16</v>
      </c>
      <c r="I1257" s="94"/>
      <c r="J1257" s="94" t="s">
        <v>249</v>
      </c>
      <c r="K1257" s="94"/>
      <c r="L1257" s="94"/>
      <c r="M1257" s="95">
        <v>13</v>
      </c>
      <c r="N1257" s="95"/>
      <c r="O1257" s="95">
        <f>O1256</f>
        <v>183.3</v>
      </c>
      <c r="P1257" s="94"/>
      <c r="Q1257" s="96">
        <v>0</v>
      </c>
      <c r="R1257" s="96"/>
      <c r="S1257" s="96"/>
      <c r="T1257" s="95">
        <v>43</v>
      </c>
      <c r="U1257" s="95"/>
      <c r="V1257" s="95"/>
      <c r="W1257" s="95">
        <v>6</v>
      </c>
      <c r="X1257" s="95"/>
      <c r="Y1257" s="95"/>
      <c r="Z1257" s="97">
        <v>5.2889999999999997</v>
      </c>
      <c r="AA1257" s="97"/>
      <c r="AB1257" s="97"/>
      <c r="AC1257" s="96">
        <f>3*W1257*O1257*Z1257</f>
        <v>17450.526600000001</v>
      </c>
      <c r="AD1257" s="96"/>
      <c r="AE1257" s="374"/>
    </row>
    <row r="1258" spans="4:31" s="307" customFormat="1" ht="15.75" customHeight="1" x14ac:dyDescent="0.15">
      <c r="H1258" s="98"/>
      <c r="I1258" s="99"/>
      <c r="J1258" s="99"/>
      <c r="K1258" s="99"/>
      <c r="L1258" s="99"/>
      <c r="M1258" s="100"/>
      <c r="N1258" s="100"/>
      <c r="O1258" s="100">
        <f>M1257+O1257</f>
        <v>196.3</v>
      </c>
      <c r="P1258" s="100"/>
      <c r="Q1258" s="101"/>
      <c r="R1258" s="101"/>
      <c r="S1258" s="101"/>
      <c r="T1258" s="100"/>
      <c r="U1258" s="100"/>
      <c r="V1258" s="100"/>
      <c r="W1258" s="100">
        <v>9.6</v>
      </c>
      <c r="X1258" s="100"/>
      <c r="Y1258" s="100"/>
      <c r="Z1258" s="102"/>
      <c r="AA1258" s="102"/>
      <c r="AB1258" s="102"/>
      <c r="AC1258" s="101">
        <f>3*W1258*O1258*Z1257</f>
        <v>29901.044159999998</v>
      </c>
      <c r="AD1258" s="101"/>
      <c r="AE1258" s="375"/>
    </row>
    <row r="1259" spans="4:31" s="307" customFormat="1" ht="15.75" customHeight="1" x14ac:dyDescent="0.15">
      <c r="H1259" s="76"/>
      <c r="I1259" s="76"/>
      <c r="J1259" s="76"/>
      <c r="K1259" s="76"/>
      <c r="L1259" s="76"/>
      <c r="M1259" s="9"/>
      <c r="N1259" s="9"/>
      <c r="O1259" s="9"/>
      <c r="P1259" s="9"/>
      <c r="Q1259" s="77"/>
      <c r="R1259" s="77"/>
      <c r="S1259" s="77"/>
      <c r="T1259" s="9"/>
      <c r="U1259" s="9"/>
      <c r="V1259" s="9"/>
      <c r="W1259" s="9"/>
      <c r="X1259" s="9"/>
      <c r="Y1259" s="9"/>
      <c r="Z1259" s="11"/>
      <c r="AA1259" s="11"/>
      <c r="AB1259" s="11"/>
      <c r="AC1259" s="77"/>
      <c r="AD1259" s="77"/>
      <c r="AE1259" s="77"/>
    </row>
    <row r="1260" spans="4:31" s="307" customFormat="1" ht="15.75" customHeight="1" x14ac:dyDescent="0.15">
      <c r="H1260" s="76"/>
      <c r="I1260" s="76"/>
      <c r="J1260" s="76"/>
      <c r="K1260" s="76"/>
      <c r="L1260" s="76"/>
      <c r="M1260" s="9"/>
      <c r="N1260" s="9"/>
      <c r="O1260" s="9"/>
      <c r="P1260" s="9"/>
      <c r="Q1260" s="77"/>
      <c r="R1260" s="77"/>
      <c r="S1260" s="77"/>
      <c r="T1260" s="9"/>
      <c r="U1260" s="9"/>
      <c r="V1260" s="9"/>
      <c r="W1260" s="9"/>
      <c r="X1260" s="9"/>
      <c r="Y1260" s="9"/>
      <c r="Z1260" s="11"/>
      <c r="AA1260" s="11"/>
      <c r="AB1260" s="11"/>
      <c r="AC1260" s="77"/>
      <c r="AD1260" s="77"/>
      <c r="AE1260" s="77"/>
    </row>
    <row r="1261" spans="4:31" s="307" customFormat="1" ht="15.75" customHeight="1" x14ac:dyDescent="0.15">
      <c r="H1261" s="76"/>
      <c r="I1261" s="76"/>
      <c r="J1261" s="76"/>
      <c r="K1261" s="76"/>
      <c r="L1261" s="76"/>
      <c r="M1261" s="9"/>
      <c r="N1261" s="9"/>
      <c r="O1261" s="9"/>
      <c r="P1261" s="9"/>
      <c r="Q1261" s="77"/>
      <c r="R1261" s="77"/>
      <c r="S1261" s="77"/>
      <c r="T1261" s="9"/>
      <c r="U1261" s="9"/>
      <c r="V1261" s="9"/>
      <c r="W1261" s="9"/>
      <c r="X1261" s="9"/>
      <c r="Y1261" s="9"/>
      <c r="Z1261" s="11"/>
      <c r="AA1261" s="11"/>
      <c r="AB1261" s="11"/>
      <c r="AC1261" s="77"/>
      <c r="AD1261" s="77"/>
      <c r="AE1261" s="77"/>
    </row>
    <row r="1262" spans="4:31" s="307" customFormat="1" ht="15.75" customHeight="1" x14ac:dyDescent="0.15"/>
    <row r="1263" spans="4:31" s="307" customFormat="1" ht="15.75" customHeight="1" x14ac:dyDescent="0.15">
      <c r="D1263" s="10" t="s">
        <v>346</v>
      </c>
    </row>
    <row r="1264" spans="4:31" s="307" customFormat="1" ht="15.75" customHeight="1" x14ac:dyDescent="0.15"/>
    <row r="1265" spans="5:13" s="307" customFormat="1" ht="15.75" customHeight="1" x14ac:dyDescent="0.15">
      <c r="E1265" s="307" t="s">
        <v>347</v>
      </c>
    </row>
    <row r="1266" spans="5:13" s="307" customFormat="1" ht="15.75" customHeight="1" x14ac:dyDescent="0.15"/>
    <row r="1267" spans="5:13" s="307" customFormat="1" ht="15.75" customHeight="1" x14ac:dyDescent="0.15">
      <c r="E1267" s="162" t="s">
        <v>348</v>
      </c>
      <c r="F1267" s="162"/>
      <c r="G1267" s="76" t="s">
        <v>27</v>
      </c>
      <c r="H1267" s="162" t="s">
        <v>368</v>
      </c>
      <c r="I1267" s="162"/>
      <c r="J1267" s="307" t="s">
        <v>1</v>
      </c>
      <c r="K1267" s="162" t="s">
        <v>213</v>
      </c>
      <c r="L1267" s="162"/>
    </row>
    <row r="1268" spans="5:13" s="307" customFormat="1" ht="15.75" customHeight="1" x14ac:dyDescent="0.15">
      <c r="E1268" s="162" t="s">
        <v>349</v>
      </c>
      <c r="F1268" s="162"/>
      <c r="G1268" s="76" t="s">
        <v>27</v>
      </c>
      <c r="H1268" s="162" t="s">
        <v>575</v>
      </c>
      <c r="I1268" s="162"/>
      <c r="J1268" s="307" t="s">
        <v>1</v>
      </c>
      <c r="K1268" s="162" t="s">
        <v>213</v>
      </c>
      <c r="L1268" s="162"/>
    </row>
    <row r="1269" spans="5:13" s="307" customFormat="1" ht="15.75" customHeight="1" x14ac:dyDescent="0.15"/>
    <row r="1270" spans="5:13" s="307" customFormat="1" ht="15.75" customHeight="1" x14ac:dyDescent="0.15">
      <c r="F1270" s="1" t="s">
        <v>3</v>
      </c>
      <c r="G1270" s="1"/>
      <c r="H1270" s="1"/>
      <c r="I1270" s="162" t="s">
        <v>348</v>
      </c>
      <c r="J1270" s="162"/>
      <c r="K1270" s="76" t="s">
        <v>2</v>
      </c>
      <c r="L1270" s="1" t="s">
        <v>350</v>
      </c>
    </row>
    <row r="1271" spans="5:13" s="307" customFormat="1" ht="15.75" customHeight="1" x14ac:dyDescent="0.15">
      <c r="F1271" s="1"/>
      <c r="G1271" s="1"/>
      <c r="H1271" s="1"/>
      <c r="I1271" s="162" t="s">
        <v>349</v>
      </c>
      <c r="J1271" s="162"/>
      <c r="K1271" s="76" t="s">
        <v>2</v>
      </c>
      <c r="L1271" s="1" t="s">
        <v>351</v>
      </c>
    </row>
    <row r="1272" spans="5:13" s="307" customFormat="1" ht="15.75" customHeight="1" x14ac:dyDescent="0.15">
      <c r="I1272" s="162" t="s">
        <v>368</v>
      </c>
      <c r="J1272" s="162"/>
      <c r="K1272" s="76" t="s">
        <v>2</v>
      </c>
      <c r="L1272" s="1" t="s">
        <v>373</v>
      </c>
    </row>
    <row r="1273" spans="5:13" s="307" customFormat="1" ht="15.75" customHeight="1" x14ac:dyDescent="0.15">
      <c r="I1273" s="162" t="s">
        <v>575</v>
      </c>
      <c r="J1273" s="162"/>
      <c r="K1273" s="76" t="s">
        <v>2</v>
      </c>
      <c r="L1273" s="1" t="s">
        <v>374</v>
      </c>
    </row>
    <row r="1274" spans="5:13" s="307" customFormat="1" ht="15.75" customHeight="1" x14ac:dyDescent="0.15">
      <c r="I1274" s="162" t="s">
        <v>213</v>
      </c>
      <c r="J1274" s="162"/>
      <c r="K1274" s="76" t="s">
        <v>2</v>
      </c>
      <c r="L1274" s="1" t="s">
        <v>223</v>
      </c>
    </row>
    <row r="1275" spans="5:13" s="307" customFormat="1" ht="15.75" customHeight="1" x14ac:dyDescent="0.15"/>
    <row r="1276" spans="5:13" s="307" customFormat="1" ht="15.75" customHeight="1" x14ac:dyDescent="0.15">
      <c r="E1276" s="162" t="s">
        <v>348</v>
      </c>
      <c r="F1276" s="162"/>
      <c r="G1276" s="76" t="s">
        <v>27</v>
      </c>
      <c r="H1276" s="162" t="s">
        <v>368</v>
      </c>
      <c r="I1276" s="162"/>
      <c r="J1276" s="307" t="s">
        <v>1</v>
      </c>
      <c r="K1276" s="162" t="s">
        <v>213</v>
      </c>
      <c r="L1276" s="162"/>
    </row>
    <row r="1277" spans="5:13" s="307" customFormat="1" ht="15.75" customHeight="1" x14ac:dyDescent="0.15">
      <c r="G1277" s="76" t="s">
        <v>27</v>
      </c>
      <c r="H1277" s="162">
        <v>0.6</v>
      </c>
      <c r="I1277" s="162"/>
      <c r="J1277" s="307" t="s">
        <v>1</v>
      </c>
      <c r="K1277" s="244">
        <f>N1091</f>
        <v>3298.6722862692827</v>
      </c>
      <c r="L1277" s="162"/>
      <c r="M1277" s="162"/>
    </row>
    <row r="1278" spans="5:13" s="307" customFormat="1" ht="15.75" customHeight="1" x14ac:dyDescent="0.15">
      <c r="G1278" s="76" t="s">
        <v>27</v>
      </c>
      <c r="H1278" s="244">
        <f>H1277*K1277</f>
        <v>1979.2033717615695</v>
      </c>
      <c r="I1278" s="162"/>
      <c r="J1278" s="162"/>
      <c r="K1278" s="307" t="s">
        <v>352</v>
      </c>
    </row>
    <row r="1279" spans="5:13" s="307" customFormat="1" ht="15.75" customHeight="1" x14ac:dyDescent="0.15"/>
    <row r="1280" spans="5:13" s="307" customFormat="1" ht="15.75" customHeight="1" x14ac:dyDescent="0.15">
      <c r="E1280" s="162" t="s">
        <v>349</v>
      </c>
      <c r="F1280" s="162"/>
      <c r="G1280" s="76" t="s">
        <v>27</v>
      </c>
      <c r="H1280" s="162" t="s">
        <v>575</v>
      </c>
      <c r="I1280" s="162"/>
      <c r="J1280" s="307" t="s">
        <v>1</v>
      </c>
      <c r="K1280" s="162" t="s">
        <v>213</v>
      </c>
      <c r="L1280" s="162"/>
    </row>
    <row r="1281" spans="4:13" s="307" customFormat="1" ht="15.75" customHeight="1" x14ac:dyDescent="0.15">
      <c r="G1281" s="76" t="s">
        <v>27</v>
      </c>
      <c r="H1281" s="162">
        <v>1.4</v>
      </c>
      <c r="I1281" s="162"/>
      <c r="J1281" s="307" t="s">
        <v>1</v>
      </c>
      <c r="K1281" s="244">
        <f>N1091</f>
        <v>3298.6722862692827</v>
      </c>
      <c r="L1281" s="162"/>
      <c r="M1281" s="162"/>
    </row>
    <row r="1282" spans="4:13" s="307" customFormat="1" ht="15.75" customHeight="1" x14ac:dyDescent="0.15">
      <c r="G1282" s="76" t="s">
        <v>27</v>
      </c>
      <c r="H1282" s="244">
        <f>H1281*K1281</f>
        <v>4618.1412007769959</v>
      </c>
      <c r="I1282" s="162"/>
      <c r="J1282" s="162"/>
      <c r="K1282" s="307" t="s">
        <v>352</v>
      </c>
    </row>
    <row r="1283" spans="4:13" s="307" customFormat="1" ht="15.75" customHeight="1" x14ac:dyDescent="0.15"/>
    <row r="1284" spans="4:13" s="307" customFormat="1" ht="15.75" customHeight="1" x14ac:dyDescent="0.15"/>
    <row r="1285" spans="4:13" s="307" customFormat="1" ht="15.75" customHeight="1" x14ac:dyDescent="0.15">
      <c r="D1285" s="10" t="s">
        <v>353</v>
      </c>
    </row>
    <row r="1286" spans="4:13" s="307" customFormat="1" ht="15.75" customHeight="1" x14ac:dyDescent="0.15"/>
    <row r="1287" spans="4:13" s="307" customFormat="1" ht="15.75" customHeight="1" x14ac:dyDescent="0.15">
      <c r="E1287" s="307" t="s">
        <v>354</v>
      </c>
    </row>
    <row r="1288" spans="4:13" s="307" customFormat="1" ht="15.75" customHeight="1" x14ac:dyDescent="0.15">
      <c r="E1288" s="307" t="s">
        <v>75</v>
      </c>
    </row>
    <row r="1289" spans="4:13" s="307" customFormat="1" ht="15.75" customHeight="1" x14ac:dyDescent="0.15"/>
    <row r="1290" spans="4:13" s="307" customFormat="1" ht="15.75" customHeight="1" x14ac:dyDescent="0.15">
      <c r="E1290" s="162" t="s">
        <v>355</v>
      </c>
      <c r="F1290" s="162"/>
      <c r="G1290" s="76" t="s">
        <v>27</v>
      </c>
      <c r="H1290" s="162" t="s">
        <v>576</v>
      </c>
      <c r="I1290" s="162"/>
      <c r="J1290" s="307" t="s">
        <v>1</v>
      </c>
      <c r="K1290" s="162" t="s">
        <v>215</v>
      </c>
      <c r="L1290" s="162"/>
    </row>
    <row r="1291" spans="4:13" s="307" customFormat="1" ht="15.75" customHeight="1" x14ac:dyDescent="0.15">
      <c r="E1291" s="162" t="s">
        <v>356</v>
      </c>
      <c r="F1291" s="162"/>
      <c r="G1291" s="76" t="s">
        <v>27</v>
      </c>
      <c r="H1291" s="162" t="s">
        <v>577</v>
      </c>
      <c r="I1291" s="162"/>
      <c r="J1291" s="307" t="s">
        <v>1</v>
      </c>
      <c r="K1291" s="162" t="s">
        <v>215</v>
      </c>
      <c r="L1291" s="162"/>
    </row>
    <row r="1292" spans="4:13" s="307" customFormat="1" ht="15.75" customHeight="1" x14ac:dyDescent="0.15"/>
    <row r="1293" spans="4:13" s="307" customFormat="1" ht="15.75" customHeight="1" x14ac:dyDescent="0.15">
      <c r="F1293" s="1" t="s">
        <v>3</v>
      </c>
      <c r="G1293" s="1"/>
      <c r="H1293" s="1"/>
      <c r="I1293" s="162" t="s">
        <v>348</v>
      </c>
      <c r="J1293" s="162"/>
      <c r="K1293" s="76" t="s">
        <v>2</v>
      </c>
      <c r="L1293" s="1" t="s">
        <v>357</v>
      </c>
    </row>
    <row r="1294" spans="4:13" s="307" customFormat="1" ht="15.75" customHeight="1" x14ac:dyDescent="0.15">
      <c r="F1294" s="1"/>
      <c r="G1294" s="1"/>
      <c r="H1294" s="1"/>
      <c r="I1294" s="162" t="s">
        <v>349</v>
      </c>
      <c r="J1294" s="162"/>
      <c r="K1294" s="76" t="s">
        <v>2</v>
      </c>
      <c r="L1294" s="1" t="s">
        <v>358</v>
      </c>
    </row>
    <row r="1295" spans="4:13" s="307" customFormat="1" ht="15.75" customHeight="1" x14ac:dyDescent="0.15">
      <c r="I1295" s="162" t="s">
        <v>576</v>
      </c>
      <c r="J1295" s="162"/>
      <c r="K1295" s="76" t="s">
        <v>2</v>
      </c>
      <c r="L1295" s="1" t="s">
        <v>371</v>
      </c>
    </row>
    <row r="1296" spans="4:13" s="307" customFormat="1" ht="15.75" customHeight="1" x14ac:dyDescent="0.15">
      <c r="I1296" s="162" t="s">
        <v>577</v>
      </c>
      <c r="J1296" s="162"/>
      <c r="K1296" s="76" t="s">
        <v>2</v>
      </c>
      <c r="L1296" s="1" t="s">
        <v>372</v>
      </c>
    </row>
    <row r="1297" spans="4:39" s="307" customFormat="1" ht="15.75" customHeight="1" x14ac:dyDescent="0.15">
      <c r="I1297" s="162" t="s">
        <v>213</v>
      </c>
      <c r="J1297" s="162"/>
      <c r="K1297" s="76" t="s">
        <v>2</v>
      </c>
      <c r="L1297" s="1" t="s">
        <v>218</v>
      </c>
    </row>
    <row r="1298" spans="4:39" s="307" customFormat="1" ht="15.75" customHeight="1" x14ac:dyDescent="0.15"/>
    <row r="1299" spans="4:39" s="307" customFormat="1" ht="15.75" customHeight="1" x14ac:dyDescent="0.15">
      <c r="I1299" s="1"/>
      <c r="J1299" s="1"/>
      <c r="K1299" s="1"/>
      <c r="L1299" s="155" t="s">
        <v>359</v>
      </c>
      <c r="M1299" s="155"/>
      <c r="N1299" s="155"/>
      <c r="O1299" s="155"/>
      <c r="P1299" s="155"/>
      <c r="Q1299" s="155"/>
      <c r="R1299" s="155"/>
      <c r="S1299" s="155"/>
      <c r="T1299" s="155"/>
      <c r="U1299" s="155"/>
      <c r="V1299" s="155"/>
      <c r="W1299" s="155"/>
      <c r="X1299" s="155"/>
      <c r="Y1299" s="155"/>
      <c r="Z1299" s="155"/>
      <c r="AA1299" s="155"/>
      <c r="AB1299" s="155"/>
      <c r="AC1299" s="8"/>
      <c r="AD1299" s="8"/>
      <c r="AE1299" s="8"/>
    </row>
    <row r="1300" spans="4:39" s="307" customFormat="1" ht="15.75" customHeight="1" x14ac:dyDescent="0.15">
      <c r="I1300" s="136" t="s">
        <v>78</v>
      </c>
      <c r="J1300" s="136"/>
      <c r="K1300" s="137"/>
      <c r="L1300" s="145" t="s">
        <v>250</v>
      </c>
      <c r="M1300" s="146"/>
      <c r="N1300" s="147"/>
      <c r="O1300" s="145" t="s">
        <v>369</v>
      </c>
      <c r="P1300" s="146"/>
      <c r="Q1300" s="147"/>
      <c r="R1300" s="145" t="s">
        <v>370</v>
      </c>
      <c r="S1300" s="146"/>
      <c r="T1300" s="147"/>
      <c r="U1300" s="142" t="s">
        <v>360</v>
      </c>
      <c r="V1300" s="142"/>
      <c r="W1300" s="142"/>
      <c r="X1300" s="152"/>
      <c r="Y1300" s="142" t="s">
        <v>361</v>
      </c>
      <c r="Z1300" s="142"/>
      <c r="AA1300" s="142"/>
      <c r="AB1300" s="152"/>
    </row>
    <row r="1301" spans="4:39" s="307" customFormat="1" ht="15.75" customHeight="1" x14ac:dyDescent="0.15">
      <c r="I1301" s="140"/>
      <c r="J1301" s="140"/>
      <c r="K1301" s="141"/>
      <c r="L1301" s="149"/>
      <c r="M1301" s="150"/>
      <c r="N1301" s="151"/>
      <c r="O1301" s="149"/>
      <c r="P1301" s="150"/>
      <c r="Q1301" s="151"/>
      <c r="R1301" s="149"/>
      <c r="S1301" s="150"/>
      <c r="T1301" s="151"/>
      <c r="U1301" s="142"/>
      <c r="V1301" s="142"/>
      <c r="W1301" s="142"/>
      <c r="X1301" s="152"/>
      <c r="Y1301" s="142"/>
      <c r="Z1301" s="142"/>
      <c r="AA1301" s="142"/>
      <c r="AB1301" s="152"/>
    </row>
    <row r="1302" spans="4:39" s="307" customFormat="1" ht="15.75" customHeight="1" x14ac:dyDescent="0.15">
      <c r="I1302" s="154" t="s">
        <v>79</v>
      </c>
      <c r="J1302" s="143"/>
      <c r="K1302" s="143"/>
      <c r="L1302" s="196">
        <f>Q1094</f>
        <v>1887.2</v>
      </c>
      <c r="M1302" s="266"/>
      <c r="N1302" s="192"/>
      <c r="O1302" s="196">
        <v>1.2</v>
      </c>
      <c r="P1302" s="266"/>
      <c r="Q1302" s="192"/>
      <c r="R1302" s="196">
        <v>1.4</v>
      </c>
      <c r="S1302" s="266"/>
      <c r="T1302" s="192"/>
      <c r="U1302" s="193">
        <f>L1302*$O$1302</f>
        <v>2264.64</v>
      </c>
      <c r="V1302" s="193"/>
      <c r="W1302" s="193"/>
      <c r="X1302" s="193"/>
      <c r="Y1302" s="193">
        <f>L1302*$R$1302</f>
        <v>2642.08</v>
      </c>
      <c r="Z1302" s="193"/>
      <c r="AA1302" s="193"/>
      <c r="AB1302" s="196"/>
      <c r="AH1302" s="1"/>
      <c r="AI1302" s="1"/>
      <c r="AJ1302" s="1"/>
      <c r="AK1302" s="1"/>
      <c r="AL1302" s="1"/>
      <c r="AM1302" s="1"/>
    </row>
    <row r="1303" spans="4:39" s="307" customFormat="1" ht="15.75" customHeight="1" x14ac:dyDescent="0.15">
      <c r="I1303" s="1"/>
      <c r="J1303" s="76"/>
      <c r="K1303" s="1"/>
      <c r="L1303" s="76"/>
      <c r="M1303" s="76"/>
      <c r="N1303" s="76"/>
      <c r="O1303" s="76"/>
      <c r="P1303" s="76"/>
      <c r="Q1303" s="76"/>
      <c r="R1303" s="76"/>
      <c r="S1303" s="76"/>
      <c r="T1303" s="76"/>
      <c r="U1303" s="76"/>
      <c r="V1303" s="8"/>
      <c r="W1303" s="10"/>
      <c r="X1303" s="76"/>
      <c r="Y1303" s="8"/>
      <c r="Z1303" s="8"/>
      <c r="AA1303" s="8"/>
      <c r="AB1303" s="8"/>
      <c r="AL1303" s="1"/>
      <c r="AM1303" s="1"/>
    </row>
    <row r="1304" spans="4:39" s="307" customFormat="1" ht="15.75" customHeight="1" x14ac:dyDescent="0.15"/>
    <row r="1305" spans="4:39" s="307" customFormat="1" ht="15.75" customHeight="1" x14ac:dyDescent="0.15"/>
    <row r="1306" spans="4:39" s="307" customFormat="1" ht="15.75" customHeight="1" x14ac:dyDescent="0.15">
      <c r="D1306" s="10" t="s">
        <v>362</v>
      </c>
    </row>
    <row r="1307" spans="4:39" s="307" customFormat="1" ht="15.75" customHeight="1" x14ac:dyDescent="0.15"/>
    <row r="1308" spans="4:39" s="307" customFormat="1" ht="15.75" customHeight="1" x14ac:dyDescent="0.15">
      <c r="E1308" s="307" t="s">
        <v>363</v>
      </c>
    </row>
    <row r="1309" spans="4:39" s="307" customFormat="1" ht="15.75" customHeight="1" x14ac:dyDescent="0.15"/>
    <row r="1310" spans="4:39" s="307" customFormat="1" ht="15.75" customHeight="1" x14ac:dyDescent="0.15">
      <c r="J1310" s="268" t="s">
        <v>365</v>
      </c>
      <c r="K1310" s="268"/>
      <c r="L1310" s="268"/>
      <c r="M1310" s="268"/>
      <c r="N1310" s="268"/>
      <c r="O1310" s="268"/>
      <c r="P1310" s="268"/>
      <c r="Q1310" s="268"/>
      <c r="R1310" s="268"/>
      <c r="S1310" s="268"/>
      <c r="T1310" s="268"/>
      <c r="U1310" s="268"/>
      <c r="V1310" s="268"/>
      <c r="W1310" s="268"/>
      <c r="X1310" s="268"/>
      <c r="Y1310" s="268"/>
      <c r="Z1310" s="268"/>
      <c r="AA1310" s="268"/>
    </row>
    <row r="1311" spans="4:39" s="307" customFormat="1" ht="15.75" customHeight="1" x14ac:dyDescent="0.15">
      <c r="I1311" s="136" t="s">
        <v>78</v>
      </c>
      <c r="J1311" s="136"/>
      <c r="K1311" s="251" t="s">
        <v>247</v>
      </c>
      <c r="L1311" s="136"/>
      <c r="M1311" s="137"/>
      <c r="N1311" s="145" t="s">
        <v>203</v>
      </c>
      <c r="O1311" s="263"/>
      <c r="P1311" s="145" t="s">
        <v>338</v>
      </c>
      <c r="Q1311" s="263"/>
      <c r="R1311" s="143" t="s">
        <v>339</v>
      </c>
      <c r="S1311" s="143"/>
      <c r="T1311" s="142" t="s">
        <v>345</v>
      </c>
      <c r="U1311" s="143"/>
      <c r="V1311" s="144"/>
      <c r="W1311" s="143" t="s">
        <v>366</v>
      </c>
      <c r="X1311" s="143"/>
      <c r="Y1311" s="142" t="s">
        <v>367</v>
      </c>
      <c r="Z1311" s="142"/>
      <c r="AA1311" s="142"/>
      <c r="AB1311" s="152"/>
    </row>
    <row r="1312" spans="4:39" s="307" customFormat="1" ht="15.75" customHeight="1" x14ac:dyDescent="0.15">
      <c r="I1312" s="140"/>
      <c r="J1312" s="140"/>
      <c r="K1312" s="262"/>
      <c r="L1312" s="140"/>
      <c r="M1312" s="141"/>
      <c r="N1312" s="264"/>
      <c r="O1312" s="265"/>
      <c r="P1312" s="264"/>
      <c r="Q1312" s="265"/>
      <c r="R1312" s="143"/>
      <c r="S1312" s="143"/>
      <c r="T1312" s="143"/>
      <c r="U1312" s="143"/>
      <c r="V1312" s="144"/>
      <c r="W1312" s="143"/>
      <c r="X1312" s="143"/>
      <c r="Y1312" s="142"/>
      <c r="Z1312" s="142"/>
      <c r="AA1312" s="142"/>
      <c r="AB1312" s="152"/>
    </row>
    <row r="1313" spans="9:28" s="307" customFormat="1" ht="15.75" customHeight="1" x14ac:dyDescent="0.15">
      <c r="I1313" s="259" t="s">
        <v>81</v>
      </c>
      <c r="J1313" s="154"/>
      <c r="K1313" s="144" t="s">
        <v>383</v>
      </c>
      <c r="L1313" s="259"/>
      <c r="M1313" s="154"/>
      <c r="N1313" s="260">
        <v>1.3</v>
      </c>
      <c r="O1313" s="261"/>
      <c r="P1313" s="195">
        <v>1.3</v>
      </c>
      <c r="Q1313" s="260"/>
      <c r="R1313" s="143" t="s">
        <v>340</v>
      </c>
      <c r="S1313" s="143"/>
      <c r="T1313" s="235" t="s">
        <v>190</v>
      </c>
      <c r="U1313" s="236"/>
      <c r="V1313" s="236"/>
      <c r="W1313" s="193">
        <f>Q92</f>
        <v>1</v>
      </c>
      <c r="X1313" s="193"/>
      <c r="Y1313" s="193" t="s">
        <v>190</v>
      </c>
      <c r="Z1313" s="193"/>
      <c r="AA1313" s="193"/>
      <c r="AB1313" s="196"/>
    </row>
    <row r="1314" spans="9:28" s="307" customFormat="1" ht="15.75" customHeight="1" x14ac:dyDescent="0.15">
      <c r="I1314" s="247" t="s">
        <v>79</v>
      </c>
      <c r="J1314" s="247"/>
      <c r="K1314" s="187" t="s">
        <v>249</v>
      </c>
      <c r="L1314" s="247"/>
      <c r="M1314" s="185"/>
      <c r="N1314" s="255">
        <f>入力!C5</f>
        <v>0.9</v>
      </c>
      <c r="O1314" s="256"/>
      <c r="P1314" s="195">
        <f>P1313</f>
        <v>1.3</v>
      </c>
      <c r="Q1314" s="144"/>
      <c r="R1314" s="143" t="s">
        <v>341</v>
      </c>
      <c r="S1314" s="143"/>
      <c r="T1314" s="235">
        <f>AC1229</f>
        <v>123.76260000000001</v>
      </c>
      <c r="U1314" s="236"/>
      <c r="V1314" s="236"/>
      <c r="W1314" s="193"/>
      <c r="X1314" s="193"/>
      <c r="Y1314" s="193">
        <f>T1314*$W$1313</f>
        <v>123.76260000000001</v>
      </c>
      <c r="Z1314" s="193"/>
      <c r="AA1314" s="193"/>
      <c r="AB1314" s="196"/>
    </row>
    <row r="1315" spans="9:28" s="307" customFormat="1" ht="15.75" customHeight="1" x14ac:dyDescent="0.15">
      <c r="I1315" s="249"/>
      <c r="J1315" s="249"/>
      <c r="K1315" s="252"/>
      <c r="L1315" s="249"/>
      <c r="M1315" s="250"/>
      <c r="N1315" s="257"/>
      <c r="O1315" s="258"/>
      <c r="P1315" s="195">
        <f>N1314+P1314</f>
        <v>2.2000000000000002</v>
      </c>
      <c r="Q1315" s="260"/>
      <c r="R1315" s="143" t="s">
        <v>340</v>
      </c>
      <c r="S1315" s="143"/>
      <c r="T1315" s="196">
        <f>AC1230</f>
        <v>2178.2217599999999</v>
      </c>
      <c r="U1315" s="266"/>
      <c r="V1315" s="192"/>
      <c r="W1315" s="193"/>
      <c r="X1315" s="193"/>
      <c r="Y1315" s="193">
        <f>T1315*$W$1313</f>
        <v>2178.2217599999999</v>
      </c>
      <c r="Z1315" s="193"/>
      <c r="AA1315" s="193"/>
      <c r="AB1315" s="196"/>
    </row>
    <row r="1316" spans="9:28" s="307" customFormat="1" ht="15.75" customHeight="1" x14ac:dyDescent="0.15"/>
    <row r="1317" spans="9:28" s="307" customFormat="1" ht="15.75" customHeight="1" x14ac:dyDescent="0.15"/>
    <row r="1318" spans="9:28" s="307" customFormat="1" ht="15.75" customHeight="1" x14ac:dyDescent="0.15"/>
    <row r="1319" spans="9:28" s="307" customFormat="1" ht="15.75" customHeight="1" x14ac:dyDescent="0.15"/>
    <row r="1320" spans="9:28" s="307" customFormat="1" ht="15.75" customHeight="1" x14ac:dyDescent="0.15"/>
    <row r="1321" spans="9:28" s="307" customFormat="1" ht="15.75" customHeight="1" x14ac:dyDescent="0.15"/>
    <row r="1322" spans="9:28" s="307" customFormat="1" ht="15.75" customHeight="1" x14ac:dyDescent="0.15"/>
    <row r="1323" spans="9:28" s="307" customFormat="1" ht="15.75" customHeight="1" x14ac:dyDescent="0.15"/>
    <row r="1324" spans="9:28" s="307" customFormat="1" ht="15.75" customHeight="1" x14ac:dyDescent="0.15"/>
    <row r="1325" spans="9:28" s="307" customFormat="1" ht="15.75" customHeight="1" x14ac:dyDescent="0.15"/>
    <row r="1326" spans="9:28" s="307" customFormat="1" ht="15.75" customHeight="1" x14ac:dyDescent="0.15"/>
    <row r="1327" spans="9:28" s="307" customFormat="1" ht="15.75" customHeight="1" x14ac:dyDescent="0.15"/>
    <row r="1328" spans="9:28" s="307" customFormat="1" ht="15.75" customHeight="1" x14ac:dyDescent="0.15"/>
    <row r="1329" s="307" customFormat="1" ht="15.75" customHeight="1" x14ac:dyDescent="0.15"/>
    <row r="1330" s="307" customFormat="1" ht="15.75" customHeight="1" x14ac:dyDescent="0.15"/>
    <row r="1331" s="307" customFormat="1" ht="15.75" customHeight="1" x14ac:dyDescent="0.15"/>
    <row r="1332" s="307" customFormat="1" ht="15.75" customHeight="1" x14ac:dyDescent="0.15"/>
    <row r="1333" s="307" customFormat="1" ht="15.75" customHeight="1" x14ac:dyDescent="0.15"/>
    <row r="1334" s="307" customFormat="1" ht="15.75" customHeight="1" x14ac:dyDescent="0.15"/>
    <row r="1335" s="307" customFormat="1" ht="15.75" customHeight="1" x14ac:dyDescent="0.15"/>
    <row r="1336" s="307" customFormat="1" ht="15.75" customHeight="1" x14ac:dyDescent="0.15"/>
    <row r="1337" s="307" customFormat="1" ht="15.75" customHeight="1" x14ac:dyDescent="0.15"/>
    <row r="1338" s="307" customFormat="1" ht="15.75" customHeight="1" x14ac:dyDescent="0.15"/>
    <row r="1339" s="307" customFormat="1" ht="15.75" customHeight="1" x14ac:dyDescent="0.15"/>
    <row r="1340" s="307" customFormat="1" ht="15.75" customHeight="1" x14ac:dyDescent="0.15"/>
    <row r="1341" s="307" customFormat="1" ht="15.75" customHeight="1" x14ac:dyDescent="0.15"/>
    <row r="1342" s="307" customFormat="1" ht="15.75" customHeight="1" x14ac:dyDescent="0.15"/>
    <row r="1343" s="307" customFormat="1" ht="15.75" customHeight="1" x14ac:dyDescent="0.15"/>
    <row r="1344" s="307" customFormat="1" ht="15.75" customHeight="1" x14ac:dyDescent="0.15"/>
    <row r="1345" s="307" customFormat="1" ht="15.75" customHeight="1" x14ac:dyDescent="0.15"/>
    <row r="1346" s="307" customFormat="1" ht="15.75" customHeight="1" x14ac:dyDescent="0.15"/>
    <row r="1347" s="307" customFormat="1" ht="15.75" customHeight="1" x14ac:dyDescent="0.15"/>
    <row r="1348" s="307" customFormat="1" ht="15.75" customHeight="1" x14ac:dyDescent="0.15"/>
    <row r="1349" s="307" customFormat="1" ht="15.75" customHeight="1" x14ac:dyDescent="0.15"/>
    <row r="1350" s="307" customFormat="1" ht="15.75" customHeight="1" x14ac:dyDescent="0.15"/>
    <row r="1351" s="307" customFormat="1" ht="15.75" customHeight="1" x14ac:dyDescent="0.15"/>
    <row r="1352" s="307" customFormat="1" ht="15.75" customHeight="1" x14ac:dyDescent="0.15"/>
    <row r="1353" s="307" customFormat="1" ht="15.75" customHeight="1" x14ac:dyDescent="0.15"/>
    <row r="1354" s="307" customFormat="1" ht="15.75" customHeight="1" x14ac:dyDescent="0.15"/>
    <row r="1355" s="307" customFormat="1" ht="15.75" customHeight="1" x14ac:dyDescent="0.15"/>
    <row r="1356" s="307" customFormat="1" ht="15.75" customHeight="1" x14ac:dyDescent="0.15"/>
    <row r="1357" s="307" customFormat="1" ht="15.75" customHeight="1" x14ac:dyDescent="0.15"/>
    <row r="1358" s="307" customFormat="1" ht="15.75" customHeight="1" x14ac:dyDescent="0.15"/>
    <row r="1359" s="307" customFormat="1" ht="15.75" customHeight="1" x14ac:dyDescent="0.15"/>
    <row r="1360" s="307" customFormat="1" ht="15.75" customHeight="1" x14ac:dyDescent="0.15"/>
    <row r="1361" s="307" customFormat="1" ht="15.75" customHeight="1" x14ac:dyDescent="0.15"/>
    <row r="1362" s="307" customFormat="1" ht="15.75" customHeight="1" x14ac:dyDescent="0.15"/>
    <row r="1363" s="307" customFormat="1" ht="15.75" customHeight="1" x14ac:dyDescent="0.15"/>
    <row r="1364" s="307" customFormat="1" ht="15.75" customHeight="1" x14ac:dyDescent="0.15"/>
    <row r="1365" s="307" customFormat="1" ht="15.75" customHeight="1" x14ac:dyDescent="0.15"/>
    <row r="1366" s="307" customFormat="1" ht="15.75" customHeight="1" x14ac:dyDescent="0.15"/>
    <row r="1367" s="307" customFormat="1" ht="15.75" customHeight="1" x14ac:dyDescent="0.15"/>
    <row r="1368" s="307" customFormat="1" ht="15.75" customHeight="1" x14ac:dyDescent="0.15"/>
    <row r="1369" s="307" customFormat="1" ht="15.75" customHeight="1" x14ac:dyDescent="0.15"/>
    <row r="1370" s="307" customFormat="1" ht="15.75" customHeight="1" x14ac:dyDescent="0.15"/>
    <row r="1371" s="307" customFormat="1" ht="15.75" customHeight="1" x14ac:dyDescent="0.15"/>
    <row r="1372" s="307" customFormat="1" ht="15.75" customHeight="1" x14ac:dyDescent="0.15"/>
    <row r="1373" s="307" customFormat="1" ht="15.75" customHeight="1" x14ac:dyDescent="0.15"/>
    <row r="1374" s="307" customFormat="1" ht="15.75" customHeight="1" x14ac:dyDescent="0.15"/>
    <row r="1375" s="307" customFormat="1" ht="15.75" customHeight="1" x14ac:dyDescent="0.15"/>
    <row r="1376" s="307" customFormat="1" ht="15.75" customHeight="1" x14ac:dyDescent="0.15"/>
    <row r="1377" s="307" customFormat="1" ht="15.75" customHeight="1" x14ac:dyDescent="0.15"/>
    <row r="1378" s="307" customFormat="1" ht="15.75" customHeight="1" x14ac:dyDescent="0.15"/>
    <row r="1379" s="307" customFormat="1" ht="15.75" customHeight="1" x14ac:dyDescent="0.15"/>
    <row r="1380" s="307" customFormat="1" ht="15.75" customHeight="1" x14ac:dyDescent="0.15"/>
    <row r="1381" s="307" customFormat="1" ht="15.75" customHeight="1" x14ac:dyDescent="0.15"/>
    <row r="1382" s="307" customFormat="1" ht="15.75" customHeight="1" x14ac:dyDescent="0.15"/>
    <row r="1383" s="307" customFormat="1" ht="15.75" customHeight="1" x14ac:dyDescent="0.15"/>
    <row r="1384" s="307" customFormat="1" ht="15.75" customHeight="1" x14ac:dyDescent="0.15"/>
    <row r="1385" s="307" customFormat="1" ht="15.75" customHeight="1" x14ac:dyDescent="0.15"/>
    <row r="1386" s="307" customFormat="1" ht="15.75" customHeight="1" x14ac:dyDescent="0.15"/>
    <row r="1387" s="307" customFormat="1" ht="15.75" customHeight="1" x14ac:dyDescent="0.15"/>
    <row r="1388" s="307" customFormat="1" ht="15.75" customHeight="1" x14ac:dyDescent="0.15"/>
    <row r="1389" s="307" customFormat="1" ht="15.75" customHeight="1" x14ac:dyDescent="0.15"/>
    <row r="1390" s="307" customFormat="1" ht="15.75" customHeight="1" x14ac:dyDescent="0.15"/>
    <row r="1391" s="307" customFormat="1" ht="15.75" customHeight="1" x14ac:dyDescent="0.15"/>
    <row r="1392" s="307" customFormat="1" ht="15.75" customHeight="1" x14ac:dyDescent="0.15"/>
    <row r="1393" s="307" customFormat="1" ht="15.75" customHeight="1" x14ac:dyDescent="0.15"/>
    <row r="1394" s="307" customFormat="1" ht="15.75" customHeight="1" x14ac:dyDescent="0.15"/>
    <row r="1395" s="307" customFormat="1" ht="15.75" customHeight="1" x14ac:dyDescent="0.15"/>
    <row r="1396" s="307" customFormat="1" ht="15.75" customHeight="1" x14ac:dyDescent="0.15"/>
    <row r="1397" s="307" customFormat="1" ht="15.75" customHeight="1" x14ac:dyDescent="0.15"/>
    <row r="1398" s="307" customFormat="1" ht="15.75" customHeight="1" x14ac:dyDescent="0.15"/>
    <row r="1399" s="307" customFormat="1" ht="15.75" customHeight="1" x14ac:dyDescent="0.15"/>
    <row r="1400" s="307" customFormat="1" ht="15.75" customHeight="1" x14ac:dyDescent="0.15"/>
    <row r="1401" s="307" customFormat="1" ht="15.75" customHeight="1" x14ac:dyDescent="0.15"/>
    <row r="1402" s="307" customFormat="1" ht="15.75" customHeight="1" x14ac:dyDescent="0.15"/>
    <row r="1403" s="307" customFormat="1" ht="15.75" customHeight="1" x14ac:dyDescent="0.15"/>
    <row r="1404" s="307" customFormat="1" ht="15.75" customHeight="1" x14ac:dyDescent="0.15"/>
    <row r="1405" s="307" customFormat="1" ht="15.75" customHeight="1" x14ac:dyDescent="0.15"/>
    <row r="1406" s="307" customFormat="1" ht="15.75" customHeight="1" x14ac:dyDescent="0.15"/>
    <row r="1407" s="307" customFormat="1" ht="15.75" customHeight="1" x14ac:dyDescent="0.15"/>
    <row r="1408" s="307" customFormat="1" ht="15.75" customHeight="1" x14ac:dyDescent="0.15"/>
    <row r="1409" s="307" customFormat="1" ht="15.75" customHeight="1" x14ac:dyDescent="0.15"/>
    <row r="1410" s="307" customFormat="1" ht="15.75" customHeight="1" x14ac:dyDescent="0.15"/>
    <row r="1411" s="307" customFormat="1" ht="15.75" customHeight="1" x14ac:dyDescent="0.15"/>
    <row r="1412" s="307" customFormat="1" ht="15.75" customHeight="1" x14ac:dyDescent="0.15"/>
    <row r="1413" s="307" customFormat="1" ht="15.75" customHeight="1" x14ac:dyDescent="0.15"/>
    <row r="1414" s="307" customFormat="1" ht="15.75" customHeight="1" x14ac:dyDescent="0.15"/>
    <row r="1415" s="307" customFormat="1" ht="15.75" customHeight="1" x14ac:dyDescent="0.15"/>
    <row r="1416" s="307" customFormat="1" ht="15.75" customHeight="1" x14ac:dyDescent="0.15"/>
    <row r="1417" s="307" customFormat="1" ht="15.75" customHeight="1" x14ac:dyDescent="0.15"/>
    <row r="1418" s="307" customFormat="1" ht="15.75" customHeight="1" x14ac:dyDescent="0.15"/>
    <row r="1419" s="307" customFormat="1" ht="15.75" customHeight="1" x14ac:dyDescent="0.15"/>
    <row r="1420" s="307" customFormat="1" ht="15.75" customHeight="1" x14ac:dyDescent="0.15"/>
    <row r="1421" s="307" customFormat="1" ht="15.75" customHeight="1" x14ac:dyDescent="0.15"/>
    <row r="1422" s="307" customFormat="1" ht="15.75" customHeight="1" x14ac:dyDescent="0.15"/>
    <row r="1423" s="307" customFormat="1" ht="15.75" customHeight="1" x14ac:dyDescent="0.15"/>
    <row r="1424" s="307" customFormat="1" ht="15.75" customHeight="1" x14ac:dyDescent="0.15"/>
    <row r="1425" s="307" customFormat="1" ht="15.75" customHeight="1" x14ac:dyDescent="0.15"/>
    <row r="1426" s="307" customFormat="1" ht="15.75" customHeight="1" x14ac:dyDescent="0.15"/>
    <row r="1427" s="307" customFormat="1" ht="15.75" customHeight="1" x14ac:dyDescent="0.15"/>
    <row r="1428" s="307" customFormat="1" ht="15.75" customHeight="1" x14ac:dyDescent="0.15"/>
    <row r="1429" s="307" customFormat="1" ht="15.75" customHeight="1" x14ac:dyDescent="0.15"/>
    <row r="1430" s="307" customFormat="1" ht="15.75" customHeight="1" x14ac:dyDescent="0.15"/>
    <row r="1431" s="307" customFormat="1" ht="15.75" customHeight="1" x14ac:dyDescent="0.15"/>
    <row r="1432" s="307" customFormat="1" ht="15.75" customHeight="1" x14ac:dyDescent="0.15"/>
    <row r="1433" s="307" customFormat="1" ht="15.75" customHeight="1" x14ac:dyDescent="0.15"/>
    <row r="1434" s="307" customFormat="1" ht="15.75" customHeight="1" x14ac:dyDescent="0.15"/>
    <row r="1435" s="307" customFormat="1" ht="15.75" customHeight="1" x14ac:dyDescent="0.15"/>
    <row r="1436" s="307" customFormat="1" ht="15.75" customHeight="1" x14ac:dyDescent="0.15"/>
    <row r="1437" s="307" customFormat="1" ht="15.75" customHeight="1" x14ac:dyDescent="0.15"/>
    <row r="1438" s="307" customFormat="1" ht="15.75" customHeight="1" x14ac:dyDescent="0.15"/>
    <row r="1439" s="307" customFormat="1" ht="15.75" customHeight="1" x14ac:dyDescent="0.15"/>
    <row r="1440" s="307" customFormat="1" ht="15.75" customHeight="1" x14ac:dyDescent="0.15"/>
    <row r="1441" s="307" customFormat="1" ht="15.75" customHeight="1" x14ac:dyDescent="0.15"/>
    <row r="1442" s="307" customFormat="1" ht="15.75" customHeight="1" x14ac:dyDescent="0.15"/>
    <row r="1443" s="307" customFormat="1" ht="15.75" customHeight="1" x14ac:dyDescent="0.15"/>
    <row r="1444" s="307" customFormat="1" ht="15.75" customHeight="1" x14ac:dyDescent="0.15"/>
    <row r="1445" s="307" customFormat="1" ht="15.75" customHeight="1" x14ac:dyDescent="0.15"/>
    <row r="1446" s="307" customFormat="1" ht="15.75" customHeight="1" x14ac:dyDescent="0.15"/>
    <row r="1447" s="307" customFormat="1" ht="15.75" customHeight="1" x14ac:dyDescent="0.15"/>
    <row r="1448" s="307" customFormat="1" ht="15.75" customHeight="1" x14ac:dyDescent="0.15"/>
    <row r="1449" s="307" customFormat="1" ht="15.75" customHeight="1" x14ac:dyDescent="0.15"/>
    <row r="1450" s="307" customFormat="1" ht="15.75" customHeight="1" x14ac:dyDescent="0.15"/>
    <row r="1451" s="307" customFormat="1" ht="15.75" customHeight="1" x14ac:dyDescent="0.15"/>
    <row r="1452" s="307" customFormat="1" ht="15.75" customHeight="1" x14ac:dyDescent="0.15"/>
    <row r="1453" s="307" customFormat="1" ht="15.75" customHeight="1" x14ac:dyDescent="0.15"/>
    <row r="1454" s="307" customFormat="1" ht="15.75" customHeight="1" x14ac:dyDescent="0.15"/>
    <row r="1455" s="307" customFormat="1" ht="15.75" customHeight="1" x14ac:dyDescent="0.15"/>
    <row r="1456" s="307" customFormat="1" ht="15.75" customHeight="1" x14ac:dyDescent="0.15"/>
    <row r="1457" s="307" customFormat="1" ht="15.75" customHeight="1" x14ac:dyDescent="0.15"/>
    <row r="1458" s="307" customFormat="1" ht="15.75" customHeight="1" x14ac:dyDescent="0.15"/>
    <row r="1459" s="307" customFormat="1" ht="15.75" customHeight="1" x14ac:dyDescent="0.15"/>
    <row r="1460" s="307" customFormat="1" ht="15.75" customHeight="1" x14ac:dyDescent="0.15"/>
    <row r="1461" s="307" customFormat="1" ht="15.75" customHeight="1" x14ac:dyDescent="0.15"/>
    <row r="1462" s="307" customFormat="1" ht="15.75" customHeight="1" x14ac:dyDescent="0.15"/>
    <row r="1463" s="307" customFormat="1" ht="15.75" customHeight="1" x14ac:dyDescent="0.15"/>
    <row r="1464" s="307" customFormat="1" ht="15.75" customHeight="1" x14ac:dyDescent="0.15"/>
    <row r="1465" s="307" customFormat="1" ht="15.75" customHeight="1" x14ac:dyDescent="0.15"/>
    <row r="1466" s="307" customFormat="1" ht="15.75" customHeight="1" x14ac:dyDescent="0.15"/>
    <row r="1467" s="307" customFormat="1" ht="15.75" customHeight="1" x14ac:dyDescent="0.15"/>
    <row r="1468" s="307" customFormat="1" ht="15.75" customHeight="1" x14ac:dyDescent="0.15"/>
    <row r="1469" s="307" customFormat="1" ht="15.75" customHeight="1" x14ac:dyDescent="0.15"/>
    <row r="1470" s="307" customFormat="1" ht="15.75" customHeight="1" x14ac:dyDescent="0.15"/>
    <row r="1471" s="307" customFormat="1" ht="15.75" customHeight="1" x14ac:dyDescent="0.15"/>
    <row r="1472" s="307" customFormat="1" ht="15.75" customHeight="1" x14ac:dyDescent="0.15"/>
    <row r="1473" s="307" customFormat="1" ht="15.75" customHeight="1" x14ac:dyDescent="0.15"/>
    <row r="1474" s="307" customFormat="1" ht="15.75" customHeight="1" x14ac:dyDescent="0.15"/>
    <row r="1475" s="307" customFormat="1" ht="15.75" customHeight="1" x14ac:dyDescent="0.15"/>
    <row r="1476" s="307" customFormat="1" ht="15.75" customHeight="1" x14ac:dyDescent="0.15"/>
    <row r="1477" s="307" customFormat="1" ht="15.75" customHeight="1" x14ac:dyDescent="0.15"/>
    <row r="1478" s="307" customFormat="1" ht="15.75" customHeight="1" x14ac:dyDescent="0.15"/>
    <row r="1479" s="307" customFormat="1" ht="15.75" customHeight="1" x14ac:dyDescent="0.15"/>
    <row r="1480" s="307" customFormat="1" ht="15.75" customHeight="1" x14ac:dyDescent="0.15"/>
    <row r="1481" s="307" customFormat="1" ht="15.75" customHeight="1" x14ac:dyDescent="0.15"/>
    <row r="1482" s="307" customFormat="1" ht="15.75" customHeight="1" x14ac:dyDescent="0.15"/>
    <row r="1483" s="307" customFormat="1" ht="15.75" customHeight="1" x14ac:dyDescent="0.15"/>
    <row r="1484" s="307" customFormat="1" ht="15.75" customHeight="1" x14ac:dyDescent="0.15"/>
    <row r="1485" s="307" customFormat="1" ht="15.75" customHeight="1" x14ac:dyDescent="0.15"/>
    <row r="1486" s="307" customFormat="1" ht="15.75" customHeight="1" x14ac:dyDescent="0.15"/>
    <row r="1487" s="307" customFormat="1" ht="15.75" customHeight="1" x14ac:dyDescent="0.15"/>
    <row r="1488" s="307" customFormat="1" ht="15.75" customHeight="1" x14ac:dyDescent="0.15"/>
    <row r="1489" s="307" customFormat="1" ht="15.75" customHeight="1" x14ac:dyDescent="0.15"/>
    <row r="1490" s="307" customFormat="1" ht="15.75" customHeight="1" x14ac:dyDescent="0.15"/>
    <row r="1491" s="307" customFormat="1" ht="15.75" customHeight="1" x14ac:dyDescent="0.15"/>
    <row r="1492" s="307" customFormat="1" ht="15.75" customHeight="1" x14ac:dyDescent="0.15"/>
    <row r="1493" s="307" customFormat="1" ht="15.75" customHeight="1" x14ac:dyDescent="0.15"/>
    <row r="1494" s="307" customFormat="1" ht="15.75" customHeight="1" x14ac:dyDescent="0.15"/>
    <row r="1495" s="307" customFormat="1" ht="15.75" customHeight="1" x14ac:dyDescent="0.15"/>
    <row r="1496" s="307" customFormat="1" ht="15.75" customHeight="1" x14ac:dyDescent="0.15"/>
    <row r="1497" s="307" customFormat="1" ht="15.75" customHeight="1" x14ac:dyDescent="0.15"/>
    <row r="1498" s="307" customFormat="1" ht="15.75" customHeight="1" x14ac:dyDescent="0.15"/>
    <row r="1499" s="307" customFormat="1" ht="15.75" customHeight="1" x14ac:dyDescent="0.15"/>
    <row r="1500" s="307" customFormat="1" ht="15.75" customHeight="1" x14ac:dyDescent="0.15"/>
    <row r="1501" s="307" customFormat="1" ht="15.75" customHeight="1" x14ac:dyDescent="0.15"/>
    <row r="1502" s="307" customFormat="1" ht="15.75" customHeight="1" x14ac:dyDescent="0.15"/>
    <row r="1503" s="307" customFormat="1" ht="15.75" customHeight="1" x14ac:dyDescent="0.15"/>
    <row r="1504" s="307" customFormat="1" ht="15.75" customHeight="1" x14ac:dyDescent="0.15"/>
    <row r="1505" s="307" customFormat="1" ht="15.75" customHeight="1" x14ac:dyDescent="0.15"/>
    <row r="1506" s="307" customFormat="1" ht="15.75" customHeight="1" x14ac:dyDescent="0.15"/>
    <row r="1507" s="307" customFormat="1" ht="15.75" customHeight="1" x14ac:dyDescent="0.15"/>
    <row r="1508" s="307" customFormat="1" ht="15.75" customHeight="1" x14ac:dyDescent="0.15"/>
    <row r="1509" s="307" customFormat="1" ht="15.75" customHeight="1" x14ac:dyDescent="0.15"/>
    <row r="1510" s="307" customFormat="1" ht="15.75" customHeight="1" x14ac:dyDescent="0.15"/>
    <row r="1511" s="307" customFormat="1" ht="15.75" customHeight="1" x14ac:dyDescent="0.15"/>
    <row r="1512" s="307" customFormat="1" ht="15.75" customHeight="1" x14ac:dyDescent="0.15"/>
    <row r="1513" s="307" customFormat="1" ht="15.75" customHeight="1" x14ac:dyDescent="0.15"/>
    <row r="1514" s="307" customFormat="1" ht="15.75" customHeight="1" x14ac:dyDescent="0.15"/>
    <row r="1515" s="307" customFormat="1" ht="15.75" customHeight="1" x14ac:dyDescent="0.15"/>
    <row r="1516" s="307" customFormat="1" ht="15.75" customHeight="1" x14ac:dyDescent="0.15"/>
    <row r="1517" s="307" customFormat="1" ht="15.75" customHeight="1" x14ac:dyDescent="0.15"/>
    <row r="1518" s="307" customFormat="1" ht="15.75" customHeight="1" x14ac:dyDescent="0.15"/>
    <row r="1519" s="307" customFormat="1" ht="15.75" customHeight="1" x14ac:dyDescent="0.15"/>
    <row r="1520" s="307" customFormat="1" ht="15.75" customHeight="1" x14ac:dyDescent="0.15"/>
    <row r="1521" s="307" customFormat="1" ht="15.75" customHeight="1" x14ac:dyDescent="0.15"/>
    <row r="1522" s="307" customFormat="1" ht="15.75" customHeight="1" x14ac:dyDescent="0.15"/>
    <row r="1523" s="307" customFormat="1" ht="15.75" customHeight="1" x14ac:dyDescent="0.15"/>
    <row r="1524" s="307" customFormat="1" ht="15.75" customHeight="1" x14ac:dyDescent="0.15"/>
    <row r="1525" s="307" customFormat="1" ht="15.75" customHeight="1" x14ac:dyDescent="0.15"/>
    <row r="1526" s="307" customFormat="1" ht="15.75" customHeight="1" x14ac:dyDescent="0.15"/>
    <row r="1527" s="307" customFormat="1" ht="15.75" customHeight="1" x14ac:dyDescent="0.15"/>
    <row r="1528" s="307" customFormat="1" ht="15.75" customHeight="1" x14ac:dyDescent="0.15"/>
    <row r="1529" s="307" customFormat="1" ht="15.75" customHeight="1" x14ac:dyDescent="0.15"/>
    <row r="1530" s="307" customFormat="1" ht="15.75" customHeight="1" x14ac:dyDescent="0.15"/>
    <row r="1531" s="307" customFormat="1" ht="15.75" customHeight="1" x14ac:dyDescent="0.15"/>
    <row r="1532" s="307" customFormat="1" ht="15.75" customHeight="1" x14ac:dyDescent="0.15"/>
    <row r="1533" s="307" customFormat="1" ht="15.75" customHeight="1" x14ac:dyDescent="0.15"/>
    <row r="1534" s="307" customFormat="1" ht="15.75" customHeight="1" x14ac:dyDescent="0.15"/>
    <row r="1535" s="307" customFormat="1" ht="15.75" customHeight="1" x14ac:dyDescent="0.15"/>
    <row r="1536" s="307" customFormat="1" ht="15.75" customHeight="1" x14ac:dyDescent="0.15"/>
    <row r="1537" s="307" customFormat="1" ht="15.75" customHeight="1" x14ac:dyDescent="0.15"/>
    <row r="1538" s="307" customFormat="1" ht="15.75" customHeight="1" x14ac:dyDescent="0.15"/>
    <row r="1539" s="307" customFormat="1" ht="15.75" customHeight="1" x14ac:dyDescent="0.15"/>
    <row r="1540" s="307" customFormat="1" ht="15.75" customHeight="1" x14ac:dyDescent="0.15"/>
    <row r="1541" s="307" customFormat="1" ht="15.75" customHeight="1" x14ac:dyDescent="0.15"/>
    <row r="1542" s="307" customFormat="1" ht="15.75" customHeight="1" x14ac:dyDescent="0.15"/>
    <row r="1543" s="307" customFormat="1" ht="15.75" customHeight="1" x14ac:dyDescent="0.15"/>
    <row r="1544" s="307" customFormat="1" ht="15.75" customHeight="1" x14ac:dyDescent="0.15"/>
    <row r="1545" s="307" customFormat="1" ht="15.75" customHeight="1" x14ac:dyDescent="0.15"/>
    <row r="1546" s="307" customFormat="1" ht="15.75" customHeight="1" x14ac:dyDescent="0.15"/>
    <row r="1547" s="307" customFormat="1" ht="15.75" customHeight="1" x14ac:dyDescent="0.15"/>
    <row r="1548" s="307" customFormat="1" ht="15.75" customHeight="1" x14ac:dyDescent="0.15"/>
    <row r="1549" s="307" customFormat="1" ht="15.75" customHeight="1" x14ac:dyDescent="0.15"/>
    <row r="1550" s="307" customFormat="1" ht="15.75" customHeight="1" x14ac:dyDescent="0.15"/>
    <row r="1551" s="307" customFormat="1" ht="15.75" customHeight="1" x14ac:dyDescent="0.15"/>
    <row r="1552" s="307" customFormat="1" ht="15.75" customHeight="1" x14ac:dyDescent="0.15"/>
    <row r="1553" s="307" customFormat="1" ht="15.75" customHeight="1" x14ac:dyDescent="0.15"/>
    <row r="1554" s="307" customFormat="1" ht="15.75" customHeight="1" x14ac:dyDescent="0.15"/>
    <row r="1555" s="307" customFormat="1" ht="15.75" customHeight="1" x14ac:dyDescent="0.15"/>
    <row r="1556" s="307" customFormat="1" ht="15.75" customHeight="1" x14ac:dyDescent="0.15"/>
    <row r="1557" s="307" customFormat="1" ht="15.75" customHeight="1" x14ac:dyDescent="0.15"/>
    <row r="1558" s="307" customFormat="1" ht="15.75" customHeight="1" x14ac:dyDescent="0.15"/>
    <row r="1559" s="307" customFormat="1" ht="15.75" customHeight="1" x14ac:dyDescent="0.15"/>
    <row r="1560" s="307" customFormat="1" ht="15.75" customHeight="1" x14ac:dyDescent="0.15"/>
    <row r="1561" s="307" customFormat="1" ht="15.75" customHeight="1" x14ac:dyDescent="0.15"/>
    <row r="1562" s="307" customFormat="1" ht="15.75" customHeight="1" x14ac:dyDescent="0.15"/>
    <row r="1563" s="307" customFormat="1" ht="15.75" customHeight="1" x14ac:dyDescent="0.15"/>
    <row r="1564" s="307" customFormat="1" ht="15.75" customHeight="1" x14ac:dyDescent="0.15"/>
    <row r="1565" s="307" customFormat="1" ht="15.75" customHeight="1" x14ac:dyDescent="0.15"/>
    <row r="1566" s="307" customFormat="1" ht="15.75" customHeight="1" x14ac:dyDescent="0.15"/>
    <row r="1567" s="307" customFormat="1" ht="15.75" customHeight="1" x14ac:dyDescent="0.15"/>
    <row r="1568" s="307" customFormat="1" ht="15.75" customHeight="1" x14ac:dyDescent="0.15"/>
    <row r="1569" s="307" customFormat="1" ht="15.75" customHeight="1" x14ac:dyDescent="0.15"/>
    <row r="1570" s="307" customFormat="1" ht="15.75" customHeight="1" x14ac:dyDescent="0.15"/>
    <row r="1571" s="307" customFormat="1" ht="15.75" customHeight="1" x14ac:dyDescent="0.15"/>
    <row r="1572" s="307" customFormat="1" ht="15.75" customHeight="1" x14ac:dyDescent="0.15"/>
    <row r="1573" s="307" customFormat="1" ht="15.75" customHeight="1" x14ac:dyDescent="0.15"/>
    <row r="1574" s="307" customFormat="1" ht="15.75" customHeight="1" x14ac:dyDescent="0.15"/>
    <row r="1575" s="307" customFormat="1" ht="15.75" customHeight="1" x14ac:dyDescent="0.15"/>
    <row r="1576" s="307" customFormat="1" ht="15.75" customHeight="1" x14ac:dyDescent="0.15"/>
    <row r="1577" s="307" customFormat="1" ht="15.75" customHeight="1" x14ac:dyDescent="0.15"/>
    <row r="1578" s="307" customFormat="1" ht="15.75" customHeight="1" x14ac:dyDescent="0.15"/>
    <row r="1579" s="307" customFormat="1" ht="15.75" customHeight="1" x14ac:dyDescent="0.15"/>
    <row r="1580" s="307" customFormat="1" ht="15.75" customHeight="1" x14ac:dyDescent="0.15"/>
    <row r="1581" s="307" customFormat="1" ht="15.75" customHeight="1" x14ac:dyDescent="0.15"/>
    <row r="1582" s="307" customFormat="1" ht="15.75" customHeight="1" x14ac:dyDescent="0.15"/>
    <row r="1583" s="307" customFormat="1" ht="15.75" customHeight="1" x14ac:dyDescent="0.15"/>
    <row r="1584" s="307" customFormat="1" ht="15.75" customHeight="1" x14ac:dyDescent="0.15"/>
    <row r="1585" s="307" customFormat="1" ht="15.75" customHeight="1" x14ac:dyDescent="0.15"/>
    <row r="1586" s="307" customFormat="1" ht="15.75" customHeight="1" x14ac:dyDescent="0.15"/>
    <row r="1587" s="307" customFormat="1" ht="15.75" customHeight="1" x14ac:dyDescent="0.15"/>
    <row r="1588" s="307" customFormat="1" ht="15.75" customHeight="1" x14ac:dyDescent="0.15"/>
    <row r="1589" s="307" customFormat="1" ht="15.75" customHeight="1" x14ac:dyDescent="0.15"/>
    <row r="1590" s="307" customFormat="1" ht="15.75" customHeight="1" x14ac:dyDescent="0.15"/>
    <row r="1591" s="307" customFormat="1" ht="15.75" customHeight="1" x14ac:dyDescent="0.15"/>
    <row r="1592" s="307" customFormat="1" ht="15.75" customHeight="1" x14ac:dyDescent="0.15"/>
    <row r="1593" s="307" customFormat="1" ht="15.75" customHeight="1" x14ac:dyDescent="0.15"/>
    <row r="1594" s="307" customFormat="1" ht="15.75" customHeight="1" x14ac:dyDescent="0.15"/>
    <row r="1595" s="307" customFormat="1" ht="15.75" customHeight="1" x14ac:dyDescent="0.15"/>
    <row r="1596" s="307" customFormat="1" ht="15.75" customHeight="1" x14ac:dyDescent="0.15"/>
    <row r="1597" s="307" customFormat="1" ht="15.75" customHeight="1" x14ac:dyDescent="0.15"/>
    <row r="1598" s="307" customFormat="1" ht="15.75" customHeight="1" x14ac:dyDescent="0.15"/>
    <row r="1599" s="307" customFormat="1" ht="15.75" customHeight="1" x14ac:dyDescent="0.15"/>
    <row r="1600" s="307" customFormat="1" ht="15.75" customHeight="1" x14ac:dyDescent="0.15"/>
    <row r="1601" s="307" customFormat="1" ht="15.75" customHeight="1" x14ac:dyDescent="0.15"/>
    <row r="1602" s="307" customFormat="1" ht="15.75" customHeight="1" x14ac:dyDescent="0.15"/>
    <row r="1603" s="307" customFormat="1" ht="15.75" customHeight="1" x14ac:dyDescent="0.15"/>
    <row r="1604" s="307" customFormat="1" ht="15.75" customHeight="1" x14ac:dyDescent="0.15"/>
    <row r="1605" s="307" customFormat="1" ht="15.75" customHeight="1" x14ac:dyDescent="0.15"/>
    <row r="1606" s="307" customFormat="1" ht="15.75" customHeight="1" x14ac:dyDescent="0.15"/>
    <row r="1607" s="307" customFormat="1" ht="15.75" customHeight="1" x14ac:dyDescent="0.15"/>
    <row r="1608" s="307" customFormat="1" ht="15.75" customHeight="1" x14ac:dyDescent="0.15"/>
    <row r="1609" s="307" customFormat="1" ht="15.75" customHeight="1" x14ac:dyDescent="0.15"/>
    <row r="1610" s="307" customFormat="1" ht="15.75" customHeight="1" x14ac:dyDescent="0.15"/>
    <row r="1611" s="307" customFormat="1" ht="15.75" customHeight="1" x14ac:dyDescent="0.15"/>
    <row r="1612" s="307" customFormat="1" ht="15.75" customHeight="1" x14ac:dyDescent="0.15"/>
    <row r="1613" s="307" customFormat="1" ht="15.75" customHeight="1" x14ac:dyDescent="0.15"/>
    <row r="1614" s="307" customFormat="1" ht="15.75" customHeight="1" x14ac:dyDescent="0.15"/>
    <row r="1615" s="307" customFormat="1" ht="15.75" customHeight="1" x14ac:dyDescent="0.15"/>
    <row r="1616" s="307" customFormat="1" ht="15.75" customHeight="1" x14ac:dyDescent="0.15"/>
    <row r="1617" s="307" customFormat="1" ht="15.75" customHeight="1" x14ac:dyDescent="0.15"/>
    <row r="1618" s="307" customFormat="1" ht="15.75" customHeight="1" x14ac:dyDescent="0.15"/>
    <row r="1619" s="307" customFormat="1" ht="15.75" customHeight="1" x14ac:dyDescent="0.15"/>
    <row r="1620" s="307" customFormat="1" ht="15.75" customHeight="1" x14ac:dyDescent="0.15"/>
    <row r="1621" s="307" customFormat="1" ht="15.75" customHeight="1" x14ac:dyDescent="0.15"/>
    <row r="1622" s="307" customFormat="1" ht="15.75" customHeight="1" x14ac:dyDescent="0.15"/>
    <row r="1623" s="307" customFormat="1" ht="15.75" customHeight="1" x14ac:dyDescent="0.15"/>
    <row r="1624" s="307" customFormat="1" ht="15.75" customHeight="1" x14ac:dyDescent="0.15"/>
    <row r="1625" s="307" customFormat="1" ht="15.75" customHeight="1" x14ac:dyDescent="0.15"/>
    <row r="1626" s="307" customFormat="1" ht="15.75" customHeight="1" x14ac:dyDescent="0.15"/>
    <row r="1627" s="307" customFormat="1" ht="15.75" customHeight="1" x14ac:dyDescent="0.15"/>
    <row r="1628" s="307" customFormat="1" ht="15.75" customHeight="1" x14ac:dyDescent="0.15"/>
    <row r="1629" s="307" customFormat="1" ht="15.75" customHeight="1" x14ac:dyDescent="0.15"/>
    <row r="1630" s="307" customFormat="1" ht="15.75" customHeight="1" x14ac:dyDescent="0.15"/>
    <row r="1631" s="307" customFormat="1" ht="15.75" customHeight="1" x14ac:dyDescent="0.15"/>
    <row r="1632" s="307" customFormat="1" ht="15.75" customHeight="1" x14ac:dyDescent="0.15"/>
    <row r="1633" s="307" customFormat="1" ht="15.75" customHeight="1" x14ac:dyDescent="0.15"/>
    <row r="1634" s="307" customFormat="1" ht="15.75" customHeight="1" x14ac:dyDescent="0.15"/>
    <row r="1635" s="307" customFormat="1" ht="15.75" customHeight="1" x14ac:dyDescent="0.15"/>
    <row r="1636" s="307" customFormat="1" ht="15.75" customHeight="1" x14ac:dyDescent="0.15"/>
    <row r="1637" s="307" customFormat="1" ht="15.75" customHeight="1" x14ac:dyDescent="0.15"/>
    <row r="1638" s="307" customFormat="1" ht="15.75" customHeight="1" x14ac:dyDescent="0.15"/>
    <row r="1639" s="307" customFormat="1" ht="15.75" customHeight="1" x14ac:dyDescent="0.15"/>
    <row r="1640" s="307" customFormat="1" ht="15.75" customHeight="1" x14ac:dyDescent="0.15"/>
    <row r="1641" s="307" customFormat="1" ht="15.75" customHeight="1" x14ac:dyDescent="0.15"/>
    <row r="1642" s="307" customFormat="1" ht="15.75" customHeight="1" x14ac:dyDescent="0.15"/>
    <row r="1643" s="307" customFormat="1" ht="15.75" customHeight="1" x14ac:dyDescent="0.15"/>
    <row r="1644" s="307" customFormat="1" ht="15.75" customHeight="1" x14ac:dyDescent="0.15"/>
    <row r="1645" s="307" customFormat="1" ht="15.75" customHeight="1" x14ac:dyDescent="0.15"/>
    <row r="1646" s="307" customFormat="1" ht="15.75" customHeight="1" x14ac:dyDescent="0.15"/>
    <row r="1647" s="307" customFormat="1" ht="15.75" customHeight="1" x14ac:dyDescent="0.15"/>
    <row r="1648" s="307" customFormat="1" ht="15.75" customHeight="1" x14ac:dyDescent="0.15"/>
    <row r="1649" s="307" customFormat="1" ht="15.75" customHeight="1" x14ac:dyDescent="0.15"/>
    <row r="1650" s="307" customFormat="1" ht="15.75" customHeight="1" x14ac:dyDescent="0.15"/>
    <row r="1651" s="307" customFormat="1" ht="15.75" customHeight="1" x14ac:dyDescent="0.15"/>
    <row r="1652" s="307" customFormat="1" ht="15.75" customHeight="1" x14ac:dyDescent="0.15"/>
    <row r="1653" s="307" customFormat="1" ht="15.75" customHeight="1" x14ac:dyDescent="0.15"/>
    <row r="1654" s="307" customFormat="1" ht="15.75" customHeight="1" x14ac:dyDescent="0.15"/>
    <row r="1655" s="307" customFormat="1" ht="15.75" customHeight="1" x14ac:dyDescent="0.15"/>
    <row r="1656" s="307" customFormat="1" ht="15.75" customHeight="1" x14ac:dyDescent="0.15"/>
    <row r="1657" s="307" customFormat="1" ht="15.75" customHeight="1" x14ac:dyDescent="0.15"/>
    <row r="1658" s="307" customFormat="1" ht="15.75" customHeight="1" x14ac:dyDescent="0.15"/>
    <row r="1659" s="307" customFormat="1" ht="15.75" customHeight="1" x14ac:dyDescent="0.15"/>
    <row r="1660" s="307" customFormat="1" ht="15.75" customHeight="1" x14ac:dyDescent="0.15"/>
    <row r="1661" s="307" customFormat="1" ht="15.75" customHeight="1" x14ac:dyDescent="0.15"/>
    <row r="1662" s="307" customFormat="1" ht="15.75" customHeight="1" x14ac:dyDescent="0.15"/>
    <row r="1663" s="307" customFormat="1" ht="15.75" customHeight="1" x14ac:dyDescent="0.15"/>
    <row r="1664" s="307" customFormat="1" ht="15.75" customHeight="1" x14ac:dyDescent="0.15"/>
    <row r="1665" s="307" customFormat="1" ht="15.75" customHeight="1" x14ac:dyDescent="0.15"/>
    <row r="1666" s="307" customFormat="1" ht="15.75" customHeight="1" x14ac:dyDescent="0.15"/>
    <row r="1667" s="307" customFormat="1" ht="15.75" customHeight="1" x14ac:dyDescent="0.15"/>
    <row r="1668" s="307" customFormat="1" ht="15.75" customHeight="1" x14ac:dyDescent="0.15"/>
    <row r="1669" s="307" customFormat="1" ht="15.75" customHeight="1" x14ac:dyDescent="0.15"/>
    <row r="1670" s="307" customFormat="1" ht="15.75" customHeight="1" x14ac:dyDescent="0.15"/>
    <row r="1671" s="307" customFormat="1" ht="15.75" customHeight="1" x14ac:dyDescent="0.15"/>
    <row r="1672" s="307" customFormat="1" ht="15.75" customHeight="1" x14ac:dyDescent="0.15"/>
    <row r="1673" s="307" customFormat="1" ht="15.75" customHeight="1" x14ac:dyDescent="0.15"/>
    <row r="1674" s="307" customFormat="1" ht="15.75" customHeight="1" x14ac:dyDescent="0.15"/>
    <row r="1675" s="307" customFormat="1" ht="15.75" customHeight="1" x14ac:dyDescent="0.15"/>
    <row r="1676" s="307" customFormat="1" ht="15.75" customHeight="1" x14ac:dyDescent="0.15"/>
    <row r="1677" s="307" customFormat="1" ht="15.75" customHeight="1" x14ac:dyDescent="0.15"/>
    <row r="1678" s="307" customFormat="1" ht="15.75" customHeight="1" x14ac:dyDescent="0.15"/>
    <row r="1679" s="307" customFormat="1" ht="15.75" customHeight="1" x14ac:dyDescent="0.15"/>
    <row r="1680" s="307" customFormat="1" ht="15.75" customHeight="1" x14ac:dyDescent="0.15"/>
    <row r="1681" s="307" customFormat="1" ht="15.75" customHeight="1" x14ac:dyDescent="0.15"/>
    <row r="1682" s="307" customFormat="1" ht="15.75" customHeight="1" x14ac:dyDescent="0.15"/>
    <row r="1683" s="307" customFormat="1" ht="15.75" customHeight="1" x14ac:dyDescent="0.15"/>
    <row r="1684" s="307" customFormat="1" ht="15.75" customHeight="1" x14ac:dyDescent="0.15"/>
    <row r="1685" s="307" customFormat="1" ht="15.75" customHeight="1" x14ac:dyDescent="0.15"/>
    <row r="1686" s="307" customFormat="1" ht="15.75" customHeight="1" x14ac:dyDescent="0.15"/>
    <row r="1687" s="307" customFormat="1" ht="15.75" customHeight="1" x14ac:dyDescent="0.15"/>
    <row r="1688" s="307" customFormat="1" ht="15.75" customHeight="1" x14ac:dyDescent="0.15"/>
    <row r="1689" s="307" customFormat="1" ht="15.75" customHeight="1" x14ac:dyDescent="0.15"/>
    <row r="1690" s="307" customFormat="1" ht="15.75" customHeight="1" x14ac:dyDescent="0.15"/>
    <row r="1691" s="307" customFormat="1" ht="15.75" customHeight="1" x14ac:dyDescent="0.15"/>
    <row r="1692" s="307" customFormat="1" ht="15.75" customHeight="1" x14ac:dyDescent="0.15"/>
    <row r="1693" s="307" customFormat="1" ht="15.75" customHeight="1" x14ac:dyDescent="0.15"/>
    <row r="1694" s="307" customFormat="1" ht="15.75" customHeight="1" x14ac:dyDescent="0.15"/>
    <row r="1695" s="307" customFormat="1" ht="15.75" customHeight="1" x14ac:dyDescent="0.15"/>
    <row r="1696" s="307" customFormat="1" ht="15.75" customHeight="1" x14ac:dyDescent="0.15"/>
    <row r="1697" s="307" customFormat="1" ht="15.75" customHeight="1" x14ac:dyDescent="0.15"/>
    <row r="1698" s="307" customFormat="1" ht="15.75" customHeight="1" x14ac:dyDescent="0.15"/>
    <row r="1699" s="307" customFormat="1" ht="15.75" customHeight="1" x14ac:dyDescent="0.15"/>
    <row r="1700" s="307" customFormat="1" ht="15.75" customHeight="1" x14ac:dyDescent="0.15"/>
    <row r="1701" s="307" customFormat="1" ht="15.75" customHeight="1" x14ac:dyDescent="0.15"/>
    <row r="1702" s="307" customFormat="1" ht="15.75" customHeight="1" x14ac:dyDescent="0.15"/>
    <row r="1703" s="307" customFormat="1" ht="15.75" customHeight="1" x14ac:dyDescent="0.15"/>
    <row r="1704" s="307" customFormat="1" ht="15.75" customHeight="1" x14ac:dyDescent="0.15"/>
    <row r="1705" s="307" customFormat="1" ht="15.75" customHeight="1" x14ac:dyDescent="0.15"/>
    <row r="1706" s="307" customFormat="1" ht="15.75" customHeight="1" x14ac:dyDescent="0.15"/>
    <row r="1707" s="307" customFormat="1" ht="15.75" customHeight="1" x14ac:dyDescent="0.15"/>
    <row r="1708" s="307" customFormat="1" ht="15.75" customHeight="1" x14ac:dyDescent="0.15"/>
    <row r="1709" s="307" customFormat="1" ht="15.75" customHeight="1" x14ac:dyDescent="0.15"/>
    <row r="1710" s="307" customFormat="1" ht="15.75" customHeight="1" x14ac:dyDescent="0.15"/>
    <row r="1711" s="307" customFormat="1" ht="15.75" customHeight="1" x14ac:dyDescent="0.15"/>
    <row r="1712" s="307" customFormat="1" ht="15.75" customHeight="1" x14ac:dyDescent="0.15"/>
    <row r="1713" s="307" customFormat="1" ht="15.75" customHeight="1" x14ac:dyDescent="0.15"/>
    <row r="1714" s="307" customFormat="1" ht="15.75" customHeight="1" x14ac:dyDescent="0.15"/>
    <row r="1715" s="307" customFormat="1" ht="15.75" customHeight="1" x14ac:dyDescent="0.15"/>
    <row r="1716" s="307" customFormat="1" ht="15.75" customHeight="1" x14ac:dyDescent="0.15"/>
    <row r="1717" s="307" customFormat="1" ht="15.75" customHeight="1" x14ac:dyDescent="0.15"/>
    <row r="1718" s="307" customFormat="1" ht="15.75" customHeight="1" x14ac:dyDescent="0.15"/>
    <row r="1719" s="307" customFormat="1" ht="15.75" customHeight="1" x14ac:dyDescent="0.15"/>
    <row r="1720" s="307" customFormat="1" ht="15.75" customHeight="1" x14ac:dyDescent="0.15"/>
    <row r="1721" s="307" customFormat="1" ht="15.75" customHeight="1" x14ac:dyDescent="0.15"/>
    <row r="1722" s="307" customFormat="1" ht="15.75" customHeight="1" x14ac:dyDescent="0.15"/>
    <row r="1723" s="307" customFormat="1" ht="15.75" customHeight="1" x14ac:dyDescent="0.15"/>
    <row r="1724" s="307" customFormat="1" ht="15.75" customHeight="1" x14ac:dyDescent="0.15"/>
    <row r="1725" s="307" customFormat="1" ht="15.75" customHeight="1" x14ac:dyDescent="0.15"/>
    <row r="1726" s="307" customFormat="1" ht="15.75" customHeight="1" x14ac:dyDescent="0.15"/>
    <row r="1727" s="307" customFormat="1" ht="15.75" customHeight="1" x14ac:dyDescent="0.15"/>
    <row r="1728" s="307" customFormat="1" ht="15.75" customHeight="1" x14ac:dyDescent="0.15"/>
    <row r="1729" s="307" customFormat="1" ht="15.75" customHeight="1" x14ac:dyDescent="0.15"/>
    <row r="1730" s="307" customFormat="1" ht="15.75" customHeight="1" x14ac:dyDescent="0.15"/>
    <row r="1731" s="307" customFormat="1" ht="15.75" customHeight="1" x14ac:dyDescent="0.15"/>
    <row r="1732" s="307" customFormat="1" ht="15.75" customHeight="1" x14ac:dyDescent="0.15"/>
    <row r="1733" s="307" customFormat="1" ht="15.75" customHeight="1" x14ac:dyDescent="0.15"/>
    <row r="1734" s="307" customFormat="1" ht="15.75" customHeight="1" x14ac:dyDescent="0.15"/>
    <row r="1735" s="307" customFormat="1" ht="15.75" customHeight="1" x14ac:dyDescent="0.15"/>
    <row r="1736" s="307" customFormat="1" ht="15.75" customHeight="1" x14ac:dyDescent="0.15"/>
    <row r="1737" s="307" customFormat="1" ht="15.75" customHeight="1" x14ac:dyDescent="0.15"/>
    <row r="1738" s="307" customFormat="1" ht="15.75" customHeight="1" x14ac:dyDescent="0.15"/>
    <row r="1739" s="307" customFormat="1" ht="15.75" customHeight="1" x14ac:dyDescent="0.15"/>
    <row r="1740" s="307" customFormat="1" ht="15.75" customHeight="1" x14ac:dyDescent="0.15"/>
    <row r="1741" s="307" customFormat="1" ht="15.75" customHeight="1" x14ac:dyDescent="0.15"/>
    <row r="1742" s="307" customFormat="1" ht="15.75" customHeight="1" x14ac:dyDescent="0.15"/>
    <row r="1743" s="307" customFormat="1" ht="15.75" customHeight="1" x14ac:dyDescent="0.15"/>
    <row r="1744" s="307" customFormat="1" ht="15.75" customHeight="1" x14ac:dyDescent="0.15"/>
    <row r="1745" s="307" customFormat="1" ht="15.75" customHeight="1" x14ac:dyDescent="0.15"/>
    <row r="1746" s="307" customFormat="1" ht="15.75" customHeight="1" x14ac:dyDescent="0.15"/>
    <row r="1747" s="307" customFormat="1" ht="15.75" customHeight="1" x14ac:dyDescent="0.15"/>
    <row r="1748" s="307" customFormat="1" ht="15.75" customHeight="1" x14ac:dyDescent="0.15"/>
    <row r="1749" s="307" customFormat="1" ht="15.75" customHeight="1" x14ac:dyDescent="0.15"/>
    <row r="1750" s="307" customFormat="1" ht="15.75" customHeight="1" x14ac:dyDescent="0.15"/>
    <row r="1751" s="307" customFormat="1" ht="15.75" customHeight="1" x14ac:dyDescent="0.15"/>
    <row r="1752" s="307" customFormat="1" ht="15.75" customHeight="1" x14ac:dyDescent="0.15"/>
    <row r="1753" s="307" customFormat="1" ht="15.75" customHeight="1" x14ac:dyDescent="0.15"/>
    <row r="1754" s="307" customFormat="1" ht="15.75" customHeight="1" x14ac:dyDescent="0.15"/>
    <row r="1755" s="307" customFormat="1" ht="15.75" customHeight="1" x14ac:dyDescent="0.15"/>
    <row r="1756" s="307" customFormat="1" ht="15.75" customHeight="1" x14ac:dyDescent="0.15"/>
    <row r="1757" s="307" customFormat="1" ht="15.75" customHeight="1" x14ac:dyDescent="0.15"/>
    <row r="1758" s="307" customFormat="1" ht="15.75" customHeight="1" x14ac:dyDescent="0.15"/>
    <row r="1759" s="307" customFormat="1" ht="15.75" customHeight="1" x14ac:dyDescent="0.15"/>
    <row r="1760" s="307" customFormat="1" ht="15.75" customHeight="1" x14ac:dyDescent="0.15"/>
    <row r="1761" s="307" customFormat="1" ht="15.75" customHeight="1" x14ac:dyDescent="0.15"/>
    <row r="1762" s="307" customFormat="1" ht="15.75" customHeight="1" x14ac:dyDescent="0.15"/>
    <row r="1763" s="307" customFormat="1" ht="15.75" customHeight="1" x14ac:dyDescent="0.15"/>
    <row r="1764" s="307" customFormat="1" ht="15.75" customHeight="1" x14ac:dyDescent="0.15"/>
    <row r="1765" s="307" customFormat="1" ht="15.75" customHeight="1" x14ac:dyDescent="0.15"/>
    <row r="1766" s="307" customFormat="1" ht="15.75" customHeight="1" x14ac:dyDescent="0.15"/>
    <row r="1767" s="307" customFormat="1" ht="15.75" customHeight="1" x14ac:dyDescent="0.15"/>
    <row r="1768" s="307" customFormat="1" ht="15.75" customHeight="1" x14ac:dyDescent="0.15"/>
    <row r="1769" s="307" customFormat="1" ht="15.75" customHeight="1" x14ac:dyDescent="0.15"/>
    <row r="1770" s="307" customFormat="1" ht="15.75" customHeight="1" x14ac:dyDescent="0.15"/>
    <row r="1771" s="307" customFormat="1" ht="15.75" customHeight="1" x14ac:dyDescent="0.15"/>
    <row r="1772" s="307" customFormat="1" ht="15.75" customHeight="1" x14ac:dyDescent="0.15"/>
    <row r="1773" s="307" customFormat="1" ht="15.75" customHeight="1" x14ac:dyDescent="0.15"/>
    <row r="1774" s="307" customFormat="1" ht="15.75" customHeight="1" x14ac:dyDescent="0.15"/>
    <row r="1775" s="307" customFormat="1" ht="15.75" customHeight="1" x14ac:dyDescent="0.15"/>
    <row r="1776" s="307" customFormat="1" ht="15.75" customHeight="1" x14ac:dyDescent="0.15"/>
    <row r="1777" s="307" customFormat="1" ht="15.75" customHeight="1" x14ac:dyDescent="0.15"/>
    <row r="1778" s="307" customFormat="1" ht="15.75" customHeight="1" x14ac:dyDescent="0.15"/>
    <row r="1779" s="307" customFormat="1" ht="15.75" customHeight="1" x14ac:dyDescent="0.15"/>
    <row r="1780" s="307" customFormat="1" ht="15.75" customHeight="1" x14ac:dyDescent="0.15"/>
    <row r="1781" s="307" customFormat="1" ht="15.75" customHeight="1" x14ac:dyDescent="0.15"/>
    <row r="1782" s="307" customFormat="1" ht="15.75" customHeight="1" x14ac:dyDescent="0.15"/>
    <row r="1783" s="307" customFormat="1" ht="15.75" customHeight="1" x14ac:dyDescent="0.15"/>
    <row r="1784" s="307" customFormat="1" ht="15.75" customHeight="1" x14ac:dyDescent="0.15"/>
    <row r="1785" s="307" customFormat="1" ht="15.75" customHeight="1" x14ac:dyDescent="0.15"/>
    <row r="1786" s="307" customFormat="1" ht="15.75" customHeight="1" x14ac:dyDescent="0.15"/>
    <row r="1787" s="307" customFormat="1" ht="15.75" customHeight="1" x14ac:dyDescent="0.15"/>
    <row r="1788" s="307" customFormat="1" ht="15.75" customHeight="1" x14ac:dyDescent="0.15"/>
    <row r="1789" s="307" customFormat="1" ht="15.75" customHeight="1" x14ac:dyDescent="0.15"/>
    <row r="1790" s="307" customFormat="1" ht="15.75" customHeight="1" x14ac:dyDescent="0.15"/>
    <row r="1791" s="307" customFormat="1" ht="15.75" customHeight="1" x14ac:dyDescent="0.15"/>
    <row r="1792" s="307" customFormat="1" ht="15.75" customHeight="1" x14ac:dyDescent="0.15"/>
    <row r="1793" s="307" customFormat="1" ht="15.75" customHeight="1" x14ac:dyDescent="0.15"/>
    <row r="1794" s="307" customFormat="1" ht="15.75" customHeight="1" x14ac:dyDescent="0.15"/>
    <row r="1795" s="307" customFormat="1" ht="15.75" customHeight="1" x14ac:dyDescent="0.15"/>
    <row r="1796" s="307" customFormat="1" ht="15.75" customHeight="1" x14ac:dyDescent="0.15"/>
    <row r="1797" s="307" customFormat="1" ht="15.75" customHeight="1" x14ac:dyDescent="0.15"/>
    <row r="1798" s="307" customFormat="1" ht="15.75" customHeight="1" x14ac:dyDescent="0.15"/>
    <row r="1799" s="307" customFormat="1" ht="15.75" customHeight="1" x14ac:dyDescent="0.15"/>
    <row r="1800" s="307" customFormat="1" ht="15.75" customHeight="1" x14ac:dyDescent="0.15"/>
    <row r="1801" s="307" customFormat="1" ht="15.75" customHeight="1" x14ac:dyDescent="0.15"/>
    <row r="1802" s="307" customFormat="1" ht="15.75" customHeight="1" x14ac:dyDescent="0.15"/>
    <row r="1803" s="307" customFormat="1" ht="15.75" customHeight="1" x14ac:dyDescent="0.15"/>
    <row r="1804" s="307" customFormat="1" ht="15.75" customHeight="1" x14ac:dyDescent="0.15"/>
    <row r="1805" s="307" customFormat="1" ht="15.75" customHeight="1" x14ac:dyDescent="0.15"/>
    <row r="1806" s="307" customFormat="1" ht="15.75" customHeight="1" x14ac:dyDescent="0.15"/>
    <row r="1807" s="307" customFormat="1" ht="15.75" customHeight="1" x14ac:dyDescent="0.15"/>
    <row r="1808" s="307" customFormat="1" ht="15.75" customHeight="1" x14ac:dyDescent="0.15"/>
    <row r="1809" s="307" customFormat="1" ht="15.75" customHeight="1" x14ac:dyDescent="0.15"/>
    <row r="1810" s="307" customFormat="1" ht="15.75" customHeight="1" x14ac:dyDescent="0.15"/>
    <row r="1811" s="307" customFormat="1" ht="15.75" customHeight="1" x14ac:dyDescent="0.15"/>
    <row r="1812" s="307" customFormat="1" ht="15.75" customHeight="1" x14ac:dyDescent="0.15"/>
    <row r="1813" s="307" customFormat="1" ht="15.75" customHeight="1" x14ac:dyDescent="0.15"/>
    <row r="1814" s="307" customFormat="1" ht="15.75" customHeight="1" x14ac:dyDescent="0.15"/>
    <row r="1815" s="307" customFormat="1" ht="15.75" customHeight="1" x14ac:dyDescent="0.15"/>
    <row r="1816" s="307" customFormat="1" ht="15.75" customHeight="1" x14ac:dyDescent="0.15"/>
    <row r="1817" s="307" customFormat="1" ht="15.75" customHeight="1" x14ac:dyDescent="0.15"/>
    <row r="1818" s="307" customFormat="1" ht="15.75" customHeight="1" x14ac:dyDescent="0.15"/>
    <row r="1819" s="307" customFormat="1" ht="15.75" customHeight="1" x14ac:dyDescent="0.15"/>
    <row r="1820" s="307" customFormat="1" ht="15.75" customHeight="1" x14ac:dyDescent="0.15"/>
    <row r="1821" s="307" customFormat="1" ht="15.75" customHeight="1" x14ac:dyDescent="0.15"/>
    <row r="1822" s="307" customFormat="1" ht="15.75" customHeight="1" x14ac:dyDescent="0.15"/>
    <row r="1823" s="307" customFormat="1" ht="15.75" customHeight="1" x14ac:dyDescent="0.15"/>
    <row r="1824" s="307" customFormat="1" ht="15.75" customHeight="1" x14ac:dyDescent="0.15"/>
    <row r="1825" s="307" customFormat="1" ht="15.75" customHeight="1" x14ac:dyDescent="0.15"/>
    <row r="1826" s="307" customFormat="1" ht="15.75" customHeight="1" x14ac:dyDescent="0.15"/>
    <row r="1827" s="307" customFormat="1" ht="15.75" customHeight="1" x14ac:dyDescent="0.15"/>
    <row r="1828" s="307" customFormat="1" ht="15.75" customHeight="1" x14ac:dyDescent="0.15"/>
    <row r="1829" s="307" customFormat="1" ht="15.75" customHeight="1" x14ac:dyDescent="0.15"/>
    <row r="1830" s="307" customFormat="1" ht="15.75" customHeight="1" x14ac:dyDescent="0.15"/>
    <row r="1831" s="307" customFormat="1" ht="15.75" customHeight="1" x14ac:dyDescent="0.15"/>
    <row r="1832" s="307" customFormat="1" ht="15.75" customHeight="1" x14ac:dyDescent="0.15"/>
    <row r="1833" s="307" customFormat="1" ht="15.75" customHeight="1" x14ac:dyDescent="0.15"/>
    <row r="1834" s="307" customFormat="1" ht="15.75" customHeight="1" x14ac:dyDescent="0.15"/>
    <row r="1835" s="307" customFormat="1" ht="15.75" customHeight="1" x14ac:dyDescent="0.15"/>
    <row r="1836" s="307" customFormat="1" ht="15.75" customHeight="1" x14ac:dyDescent="0.15"/>
    <row r="1837" s="307" customFormat="1" ht="15.75" customHeight="1" x14ac:dyDescent="0.15"/>
    <row r="1838" s="307" customFormat="1" ht="15.75" customHeight="1" x14ac:dyDescent="0.15"/>
    <row r="1839" s="307" customFormat="1" ht="15.75" customHeight="1" x14ac:dyDescent="0.15"/>
  </sheetData>
  <dataConsolidate/>
  <mergeCells count="5007">
    <mergeCell ref="R1315:S1315"/>
    <mergeCell ref="T1315:V1315"/>
    <mergeCell ref="Y1315:AB1315"/>
    <mergeCell ref="W1313:X1315"/>
    <mergeCell ref="Y1313:AB1313"/>
    <mergeCell ref="I1314:J1315"/>
    <mergeCell ref="K1314:M1315"/>
    <mergeCell ref="N1314:O1315"/>
    <mergeCell ref="P1314:Q1314"/>
    <mergeCell ref="R1314:S1314"/>
    <mergeCell ref="T1314:V1314"/>
    <mergeCell ref="Y1314:AB1314"/>
    <mergeCell ref="P1315:Q1315"/>
    <mergeCell ref="I1313:J1313"/>
    <mergeCell ref="K1313:M1313"/>
    <mergeCell ref="N1313:O1313"/>
    <mergeCell ref="P1313:Q1313"/>
    <mergeCell ref="R1313:S1313"/>
    <mergeCell ref="T1313:V1313"/>
    <mergeCell ref="J1310:AA1310"/>
    <mergeCell ref="I1311:J1312"/>
    <mergeCell ref="K1311:M1312"/>
    <mergeCell ref="N1311:O1312"/>
    <mergeCell ref="P1311:Q1312"/>
    <mergeCell ref="R1311:S1312"/>
    <mergeCell ref="T1311:V1312"/>
    <mergeCell ref="W1311:X1312"/>
    <mergeCell ref="Y1311:AB1312"/>
    <mergeCell ref="I1302:K1302"/>
    <mergeCell ref="L1302:N1302"/>
    <mergeCell ref="O1302:Q1302"/>
    <mergeCell ref="R1302:T1302"/>
    <mergeCell ref="U1302:X1302"/>
    <mergeCell ref="Y1302:AB1302"/>
    <mergeCell ref="I1296:J1296"/>
    <mergeCell ref="I1297:J1297"/>
    <mergeCell ref="L1299:AB1299"/>
    <mergeCell ref="I1300:K1301"/>
    <mergeCell ref="L1300:N1301"/>
    <mergeCell ref="O1300:Q1301"/>
    <mergeCell ref="R1300:T1301"/>
    <mergeCell ref="U1300:X1301"/>
    <mergeCell ref="Y1300:AB1301"/>
    <mergeCell ref="E1291:F1291"/>
    <mergeCell ref="H1291:I1291"/>
    <mergeCell ref="K1291:L1291"/>
    <mergeCell ref="I1293:J1293"/>
    <mergeCell ref="I1294:J1294"/>
    <mergeCell ref="I1295:J1295"/>
    <mergeCell ref="H1281:I1281"/>
    <mergeCell ref="K1281:M1281"/>
    <mergeCell ref="H1282:J1282"/>
    <mergeCell ref="E1290:F1290"/>
    <mergeCell ref="H1290:I1290"/>
    <mergeCell ref="K1290:L1290"/>
    <mergeCell ref="K1276:L1276"/>
    <mergeCell ref="H1277:I1277"/>
    <mergeCell ref="K1277:M1277"/>
    <mergeCell ref="H1278:J1278"/>
    <mergeCell ref="E1280:F1280"/>
    <mergeCell ref="H1280:I1280"/>
    <mergeCell ref="K1280:L1280"/>
    <mergeCell ref="I1270:J1270"/>
    <mergeCell ref="I1271:J1271"/>
    <mergeCell ref="I1272:J1272"/>
    <mergeCell ref="I1273:J1273"/>
    <mergeCell ref="I1274:J1274"/>
    <mergeCell ref="E1276:F1276"/>
    <mergeCell ref="H1276:I1276"/>
    <mergeCell ref="E1267:F1267"/>
    <mergeCell ref="H1267:I1267"/>
    <mergeCell ref="K1267:L1267"/>
    <mergeCell ref="E1268:F1268"/>
    <mergeCell ref="H1268:I1268"/>
    <mergeCell ref="K1268:L1268"/>
    <mergeCell ref="W1257:Y1257"/>
    <mergeCell ref="Z1257:AB1258"/>
    <mergeCell ref="AC1257:AE1257"/>
    <mergeCell ref="O1258:P1258"/>
    <mergeCell ref="W1258:Y1258"/>
    <mergeCell ref="AC1258:AE1258"/>
    <mergeCell ref="H1257:I1258"/>
    <mergeCell ref="J1257:L1258"/>
    <mergeCell ref="M1257:N1258"/>
    <mergeCell ref="O1257:P1257"/>
    <mergeCell ref="Q1257:S1258"/>
    <mergeCell ref="T1257:V1258"/>
    <mergeCell ref="W1255:Y1255"/>
    <mergeCell ref="Z1255:AB1256"/>
    <mergeCell ref="AC1255:AE1255"/>
    <mergeCell ref="O1256:P1256"/>
    <mergeCell ref="W1256:Y1256"/>
    <mergeCell ref="AC1256:AE1256"/>
    <mergeCell ref="H1255:I1256"/>
    <mergeCell ref="J1255:L1256"/>
    <mergeCell ref="M1255:N1256"/>
    <mergeCell ref="O1255:P1255"/>
    <mergeCell ref="Q1255:S1256"/>
    <mergeCell ref="T1255:V1256"/>
    <mergeCell ref="W1253:Y1253"/>
    <mergeCell ref="Z1253:AB1254"/>
    <mergeCell ref="AC1253:AE1253"/>
    <mergeCell ref="O1254:P1254"/>
    <mergeCell ref="W1254:Y1254"/>
    <mergeCell ref="AC1254:AE1254"/>
    <mergeCell ref="H1253:I1254"/>
    <mergeCell ref="J1253:L1254"/>
    <mergeCell ref="M1253:N1254"/>
    <mergeCell ref="O1253:P1253"/>
    <mergeCell ref="Q1253:S1254"/>
    <mergeCell ref="T1253:V1254"/>
    <mergeCell ref="W1251:Y1251"/>
    <mergeCell ref="Z1251:AB1252"/>
    <mergeCell ref="AC1251:AE1251"/>
    <mergeCell ref="O1252:P1252"/>
    <mergeCell ref="W1252:Y1252"/>
    <mergeCell ref="AC1252:AE1252"/>
    <mergeCell ref="H1251:I1252"/>
    <mergeCell ref="J1251:L1252"/>
    <mergeCell ref="M1251:N1252"/>
    <mergeCell ref="O1251:P1251"/>
    <mergeCell ref="Q1251:S1252"/>
    <mergeCell ref="T1251:V1252"/>
    <mergeCell ref="W1249:Y1249"/>
    <mergeCell ref="Z1249:AB1250"/>
    <mergeCell ref="AC1249:AE1249"/>
    <mergeCell ref="O1250:P1250"/>
    <mergeCell ref="W1250:Y1250"/>
    <mergeCell ref="AC1250:AE1250"/>
    <mergeCell ref="H1249:I1250"/>
    <mergeCell ref="J1249:L1250"/>
    <mergeCell ref="M1249:N1250"/>
    <mergeCell ref="O1249:P1249"/>
    <mergeCell ref="Q1249:S1250"/>
    <mergeCell ref="T1249:V1250"/>
    <mergeCell ref="W1247:Y1247"/>
    <mergeCell ref="Z1247:AB1248"/>
    <mergeCell ref="AC1247:AE1247"/>
    <mergeCell ref="O1248:P1248"/>
    <mergeCell ref="W1248:Y1248"/>
    <mergeCell ref="AC1248:AE1248"/>
    <mergeCell ref="H1247:I1248"/>
    <mergeCell ref="J1247:L1248"/>
    <mergeCell ref="M1247:N1248"/>
    <mergeCell ref="O1247:P1247"/>
    <mergeCell ref="Q1247:S1248"/>
    <mergeCell ref="T1247:V1248"/>
    <mergeCell ref="W1245:Y1245"/>
    <mergeCell ref="Z1245:AB1246"/>
    <mergeCell ref="AC1245:AE1245"/>
    <mergeCell ref="O1246:P1246"/>
    <mergeCell ref="W1246:Y1246"/>
    <mergeCell ref="AC1246:AE1246"/>
    <mergeCell ref="H1245:I1246"/>
    <mergeCell ref="J1245:L1246"/>
    <mergeCell ref="M1245:N1246"/>
    <mergeCell ref="O1245:P1245"/>
    <mergeCell ref="Q1245:S1246"/>
    <mergeCell ref="T1245:V1246"/>
    <mergeCell ref="W1243:Y1243"/>
    <mergeCell ref="Z1243:AB1244"/>
    <mergeCell ref="AC1243:AE1243"/>
    <mergeCell ref="O1244:P1244"/>
    <mergeCell ref="W1244:Y1244"/>
    <mergeCell ref="AC1244:AE1244"/>
    <mergeCell ref="H1243:I1244"/>
    <mergeCell ref="J1243:L1244"/>
    <mergeCell ref="M1243:N1244"/>
    <mergeCell ref="O1243:P1243"/>
    <mergeCell ref="Q1243:S1244"/>
    <mergeCell ref="T1243:V1244"/>
    <mergeCell ref="W1241:Y1241"/>
    <mergeCell ref="Z1241:AB1242"/>
    <mergeCell ref="AC1241:AE1241"/>
    <mergeCell ref="O1242:P1242"/>
    <mergeCell ref="W1242:Y1242"/>
    <mergeCell ref="AC1242:AE1242"/>
    <mergeCell ref="H1241:I1242"/>
    <mergeCell ref="J1241:L1242"/>
    <mergeCell ref="M1241:N1242"/>
    <mergeCell ref="O1241:P1241"/>
    <mergeCell ref="Q1241:S1242"/>
    <mergeCell ref="T1241:V1242"/>
    <mergeCell ref="W1239:Y1239"/>
    <mergeCell ref="Z1239:AB1240"/>
    <mergeCell ref="AC1239:AE1239"/>
    <mergeCell ref="O1240:P1240"/>
    <mergeCell ref="W1240:Y1240"/>
    <mergeCell ref="AC1240:AE1240"/>
    <mergeCell ref="H1239:I1240"/>
    <mergeCell ref="J1239:L1240"/>
    <mergeCell ref="M1239:N1240"/>
    <mergeCell ref="O1239:P1239"/>
    <mergeCell ref="Q1239:S1240"/>
    <mergeCell ref="T1239:V1240"/>
    <mergeCell ref="W1237:Y1237"/>
    <mergeCell ref="Z1237:AB1238"/>
    <mergeCell ref="AC1237:AE1237"/>
    <mergeCell ref="O1238:P1238"/>
    <mergeCell ref="W1238:Y1238"/>
    <mergeCell ref="AC1238:AE1238"/>
    <mergeCell ref="H1237:I1238"/>
    <mergeCell ref="J1237:L1238"/>
    <mergeCell ref="M1237:N1238"/>
    <mergeCell ref="O1237:P1237"/>
    <mergeCell ref="Q1237:S1238"/>
    <mergeCell ref="T1237:V1238"/>
    <mergeCell ref="W1235:Y1235"/>
    <mergeCell ref="Z1235:AB1236"/>
    <mergeCell ref="AC1235:AE1235"/>
    <mergeCell ref="O1236:P1236"/>
    <mergeCell ref="W1236:Y1236"/>
    <mergeCell ref="AC1236:AE1236"/>
    <mergeCell ref="H1235:I1236"/>
    <mergeCell ref="J1235:L1236"/>
    <mergeCell ref="M1235:N1236"/>
    <mergeCell ref="O1235:P1235"/>
    <mergeCell ref="Q1235:S1236"/>
    <mergeCell ref="T1235:V1236"/>
    <mergeCell ref="W1233:Y1233"/>
    <mergeCell ref="Z1233:AB1234"/>
    <mergeCell ref="AC1233:AE1233"/>
    <mergeCell ref="O1234:P1234"/>
    <mergeCell ref="W1234:Y1234"/>
    <mergeCell ref="AC1234:AE1234"/>
    <mergeCell ref="H1233:I1234"/>
    <mergeCell ref="J1233:L1234"/>
    <mergeCell ref="M1233:N1234"/>
    <mergeCell ref="O1233:P1233"/>
    <mergeCell ref="Q1233:S1234"/>
    <mergeCell ref="T1233:V1234"/>
    <mergeCell ref="W1231:Y1231"/>
    <mergeCell ref="Z1231:AB1232"/>
    <mergeCell ref="AC1231:AE1231"/>
    <mergeCell ref="O1232:P1232"/>
    <mergeCell ref="W1232:Y1232"/>
    <mergeCell ref="AC1232:AE1232"/>
    <mergeCell ref="H1231:I1232"/>
    <mergeCell ref="J1231:L1232"/>
    <mergeCell ref="M1231:N1232"/>
    <mergeCell ref="O1231:P1231"/>
    <mergeCell ref="Q1231:S1232"/>
    <mergeCell ref="T1231:V1232"/>
    <mergeCell ref="W1229:Y1229"/>
    <mergeCell ref="Z1229:AB1230"/>
    <mergeCell ref="AC1229:AE1229"/>
    <mergeCell ref="O1230:P1230"/>
    <mergeCell ref="W1230:Y1230"/>
    <mergeCell ref="AC1230:AE1230"/>
    <mergeCell ref="H1229:I1230"/>
    <mergeCell ref="J1229:L1230"/>
    <mergeCell ref="M1229:N1230"/>
    <mergeCell ref="O1229:P1229"/>
    <mergeCell ref="Q1229:S1230"/>
    <mergeCell ref="T1229:V1230"/>
    <mergeCell ref="W1227:Y1227"/>
    <mergeCell ref="Z1227:AB1228"/>
    <mergeCell ref="AC1227:AE1227"/>
    <mergeCell ref="O1228:P1228"/>
    <mergeCell ref="W1228:Y1228"/>
    <mergeCell ref="AC1228:AE1228"/>
    <mergeCell ref="H1227:I1228"/>
    <mergeCell ref="J1227:L1228"/>
    <mergeCell ref="M1227:N1228"/>
    <mergeCell ref="O1227:P1227"/>
    <mergeCell ref="Q1227:S1228"/>
    <mergeCell ref="T1227:V1228"/>
    <mergeCell ref="O1225:P1226"/>
    <mergeCell ref="Q1225:S1226"/>
    <mergeCell ref="T1225:V1226"/>
    <mergeCell ref="W1225:Y1226"/>
    <mergeCell ref="Z1225:AB1226"/>
    <mergeCell ref="AC1225:AE1226"/>
    <mergeCell ref="I1218:J1218"/>
    <mergeCell ref="I1219:J1219"/>
    <mergeCell ref="I1220:J1220"/>
    <mergeCell ref="H1225:I1226"/>
    <mergeCell ref="J1225:L1226"/>
    <mergeCell ref="M1225:N1226"/>
    <mergeCell ref="L1199:N1199"/>
    <mergeCell ref="I1200:J1200"/>
    <mergeCell ref="S1201:T1201"/>
    <mergeCell ref="S1202:T1202"/>
    <mergeCell ref="E1216:F1216"/>
    <mergeCell ref="H1216:I1216"/>
    <mergeCell ref="K1216:L1216"/>
    <mergeCell ref="I1193:J1193"/>
    <mergeCell ref="I1194:J1194"/>
    <mergeCell ref="L1195:N1195"/>
    <mergeCell ref="L1196:N1196"/>
    <mergeCell ref="I1197:J1197"/>
    <mergeCell ref="L1198:N1198"/>
    <mergeCell ref="Z1179:AB1180"/>
    <mergeCell ref="E1191:F1191"/>
    <mergeCell ref="H1191:I1191"/>
    <mergeCell ref="K1191:L1191"/>
    <mergeCell ref="N1191:O1191"/>
    <mergeCell ref="Q1191:R1191"/>
    <mergeCell ref="K1176:P1176"/>
    <mergeCell ref="T1176:V1176"/>
    <mergeCell ref="Z1176:AB1176"/>
    <mergeCell ref="H1177:J1180"/>
    <mergeCell ref="K1177:P1178"/>
    <mergeCell ref="Q1177:S1180"/>
    <mergeCell ref="T1177:V1178"/>
    <mergeCell ref="Z1177:AB1178"/>
    <mergeCell ref="K1179:P1180"/>
    <mergeCell ref="T1179:V1180"/>
    <mergeCell ref="H1174:J1175"/>
    <mergeCell ref="K1174:P1174"/>
    <mergeCell ref="Q1174:S1176"/>
    <mergeCell ref="T1174:V1174"/>
    <mergeCell ref="W1174:Y1180"/>
    <mergeCell ref="Z1174:AB1174"/>
    <mergeCell ref="K1175:P1175"/>
    <mergeCell ref="T1175:V1175"/>
    <mergeCell ref="Z1175:AB1175"/>
    <mergeCell ref="H1176:J1176"/>
    <mergeCell ref="Z1169:AB1169"/>
    <mergeCell ref="H1172:J1173"/>
    <mergeCell ref="K1172:P1173"/>
    <mergeCell ref="Q1172:S1173"/>
    <mergeCell ref="T1172:V1173"/>
    <mergeCell ref="W1172:Y1173"/>
    <mergeCell ref="Z1172:AB1173"/>
    <mergeCell ref="T1167:V1167"/>
    <mergeCell ref="Z1167:AB1167"/>
    <mergeCell ref="H1168:J1169"/>
    <mergeCell ref="K1168:P1168"/>
    <mergeCell ref="Q1168:S1168"/>
    <mergeCell ref="T1168:V1168"/>
    <mergeCell ref="Z1168:AB1168"/>
    <mergeCell ref="K1169:P1169"/>
    <mergeCell ref="Q1169:S1169"/>
    <mergeCell ref="T1169:V1169"/>
    <mergeCell ref="H1165:J1165"/>
    <mergeCell ref="K1165:P1165"/>
    <mergeCell ref="T1165:V1165"/>
    <mergeCell ref="Z1165:AB1165"/>
    <mergeCell ref="H1166:J1167"/>
    <mergeCell ref="K1166:P1166"/>
    <mergeCell ref="Q1166:S1167"/>
    <mergeCell ref="T1166:V1166"/>
    <mergeCell ref="Z1166:AB1166"/>
    <mergeCell ref="K1167:P1167"/>
    <mergeCell ref="H1163:J1164"/>
    <mergeCell ref="K1163:P1163"/>
    <mergeCell ref="Q1163:S1163"/>
    <mergeCell ref="T1163:V1163"/>
    <mergeCell ref="W1163:Y1169"/>
    <mergeCell ref="Z1163:AB1163"/>
    <mergeCell ref="K1164:P1164"/>
    <mergeCell ref="Q1164:S1165"/>
    <mergeCell ref="T1164:V1164"/>
    <mergeCell ref="Z1164:AB1164"/>
    <mergeCell ref="H1161:J1162"/>
    <mergeCell ref="K1161:P1162"/>
    <mergeCell ref="Q1161:S1162"/>
    <mergeCell ref="T1161:V1162"/>
    <mergeCell ref="W1161:Y1162"/>
    <mergeCell ref="Z1161:AB1162"/>
    <mergeCell ref="X1142:Z1142"/>
    <mergeCell ref="H1143:I1143"/>
    <mergeCell ref="N1143:O1143"/>
    <mergeCell ref="S1143:U1143"/>
    <mergeCell ref="X1143:Z1143"/>
    <mergeCell ref="H1144:J1144"/>
    <mergeCell ref="I1138:J1138"/>
    <mergeCell ref="E1141:F1141"/>
    <mergeCell ref="H1141:I1141"/>
    <mergeCell ref="H1142:I1142"/>
    <mergeCell ref="N1142:O1142"/>
    <mergeCell ref="S1142:U1142"/>
    <mergeCell ref="E1133:F1133"/>
    <mergeCell ref="H1133:I1133"/>
    <mergeCell ref="K1133:L1133"/>
    <mergeCell ref="I1135:J1135"/>
    <mergeCell ref="I1136:J1136"/>
    <mergeCell ref="I1137:J1137"/>
    <mergeCell ref="E1125:F1125"/>
    <mergeCell ref="H1125:I1125"/>
    <mergeCell ref="K1125:M1125"/>
    <mergeCell ref="O1125:P1125"/>
    <mergeCell ref="R1125:T1125"/>
    <mergeCell ref="V1125:X1125"/>
    <mergeCell ref="E1124:F1124"/>
    <mergeCell ref="H1124:I1124"/>
    <mergeCell ref="K1124:M1124"/>
    <mergeCell ref="O1124:P1124"/>
    <mergeCell ref="R1124:T1124"/>
    <mergeCell ref="V1124:X1124"/>
    <mergeCell ref="O1120:P1120"/>
    <mergeCell ref="R1120:T1120"/>
    <mergeCell ref="V1120:X1120"/>
    <mergeCell ref="E1121:F1121"/>
    <mergeCell ref="H1121:I1121"/>
    <mergeCell ref="K1121:M1121"/>
    <mergeCell ref="O1121:P1121"/>
    <mergeCell ref="R1121:T1121"/>
    <mergeCell ref="V1121:X1121"/>
    <mergeCell ref="I1116:J1116"/>
    <mergeCell ref="I1117:J1117"/>
    <mergeCell ref="I1118:J1118"/>
    <mergeCell ref="E1120:F1120"/>
    <mergeCell ref="H1120:I1120"/>
    <mergeCell ref="K1120:M1120"/>
    <mergeCell ref="Z1108:AB1108"/>
    <mergeCell ref="AC1108:AE1108"/>
    <mergeCell ref="E1113:F1113"/>
    <mergeCell ref="H1113:I1113"/>
    <mergeCell ref="K1113:L1113"/>
    <mergeCell ref="I1115:J1115"/>
    <mergeCell ref="AC1106:AE1106"/>
    <mergeCell ref="E1107:G1108"/>
    <mergeCell ref="H1107:M1107"/>
    <mergeCell ref="Q1107:S1107"/>
    <mergeCell ref="T1107:V1107"/>
    <mergeCell ref="W1107:Y1107"/>
    <mergeCell ref="Z1107:AB1107"/>
    <mergeCell ref="AC1107:AE1107"/>
    <mergeCell ref="H1108:M1108"/>
    <mergeCell ref="Q1108:S1108"/>
    <mergeCell ref="AC1104:AE1104"/>
    <mergeCell ref="E1105:G1106"/>
    <mergeCell ref="H1105:M1105"/>
    <mergeCell ref="Q1105:S1106"/>
    <mergeCell ref="T1105:V1106"/>
    <mergeCell ref="W1105:Y1106"/>
    <mergeCell ref="Z1105:AB1105"/>
    <mergeCell ref="AC1105:AE1105"/>
    <mergeCell ref="H1106:M1106"/>
    <mergeCell ref="Z1106:AB1106"/>
    <mergeCell ref="Z1102:AB1102"/>
    <mergeCell ref="AC1102:AE1102"/>
    <mergeCell ref="H1103:M1103"/>
    <mergeCell ref="Q1103:S1104"/>
    <mergeCell ref="T1103:V1104"/>
    <mergeCell ref="W1103:Y1104"/>
    <mergeCell ref="Z1103:AB1103"/>
    <mergeCell ref="AC1103:AE1103"/>
    <mergeCell ref="H1104:M1104"/>
    <mergeCell ref="Z1104:AB1104"/>
    <mergeCell ref="E1102:G1103"/>
    <mergeCell ref="H1102:M1102"/>
    <mergeCell ref="N1102:P1108"/>
    <mergeCell ref="Q1102:S1102"/>
    <mergeCell ref="T1102:V1102"/>
    <mergeCell ref="W1102:Y1102"/>
    <mergeCell ref="E1104:G1104"/>
    <mergeCell ref="T1108:V1108"/>
    <mergeCell ref="W1108:Y1108"/>
    <mergeCell ref="Z1097:AB1097"/>
    <mergeCell ref="AC1097:AE1097"/>
    <mergeCell ref="E1100:G1101"/>
    <mergeCell ref="H1100:M1101"/>
    <mergeCell ref="N1100:P1101"/>
    <mergeCell ref="Q1100:S1101"/>
    <mergeCell ref="T1100:V1101"/>
    <mergeCell ref="W1100:Y1101"/>
    <mergeCell ref="Z1100:AB1101"/>
    <mergeCell ref="AC1100:AE1101"/>
    <mergeCell ref="AC1095:AE1095"/>
    <mergeCell ref="E1096:G1097"/>
    <mergeCell ref="H1096:M1096"/>
    <mergeCell ref="Q1096:S1096"/>
    <mergeCell ref="T1096:V1096"/>
    <mergeCell ref="W1096:Y1096"/>
    <mergeCell ref="Z1096:AB1096"/>
    <mergeCell ref="AC1096:AE1096"/>
    <mergeCell ref="H1097:M1097"/>
    <mergeCell ref="Q1097:S1097"/>
    <mergeCell ref="AC1093:AE1093"/>
    <mergeCell ref="E1094:G1095"/>
    <mergeCell ref="H1094:M1094"/>
    <mergeCell ref="Q1094:S1095"/>
    <mergeCell ref="T1094:V1095"/>
    <mergeCell ref="W1094:Y1095"/>
    <mergeCell ref="Z1094:AB1094"/>
    <mergeCell ref="AC1094:AE1094"/>
    <mergeCell ref="H1095:M1095"/>
    <mergeCell ref="Z1095:AB1095"/>
    <mergeCell ref="Z1091:AB1091"/>
    <mergeCell ref="AC1091:AE1091"/>
    <mergeCell ref="H1092:M1092"/>
    <mergeCell ref="Q1092:S1093"/>
    <mergeCell ref="T1092:V1093"/>
    <mergeCell ref="W1092:Y1093"/>
    <mergeCell ref="Z1092:AB1092"/>
    <mergeCell ref="AC1092:AE1092"/>
    <mergeCell ref="H1093:M1093"/>
    <mergeCell ref="Z1093:AB1093"/>
    <mergeCell ref="E1091:G1092"/>
    <mergeCell ref="H1091:M1091"/>
    <mergeCell ref="N1091:P1097"/>
    <mergeCell ref="Q1091:S1091"/>
    <mergeCell ref="T1091:V1091"/>
    <mergeCell ref="W1091:Y1091"/>
    <mergeCell ref="E1093:G1093"/>
    <mergeCell ref="T1097:V1097"/>
    <mergeCell ref="W1097:Y1097"/>
    <mergeCell ref="N1089:P1090"/>
    <mergeCell ref="Q1089:S1090"/>
    <mergeCell ref="T1089:V1090"/>
    <mergeCell ref="W1089:Y1090"/>
    <mergeCell ref="Z1089:AB1090"/>
    <mergeCell ref="AC1089:AE1090"/>
    <mergeCell ref="I1077:J1077"/>
    <mergeCell ref="I1078:J1078"/>
    <mergeCell ref="I1079:J1079"/>
    <mergeCell ref="I1080:J1080"/>
    <mergeCell ref="E1089:G1090"/>
    <mergeCell ref="H1089:M1090"/>
    <mergeCell ref="AD1063:AF1063"/>
    <mergeCell ref="E1073:F1073"/>
    <mergeCell ref="H1073:I1073"/>
    <mergeCell ref="K1073:L1073"/>
    <mergeCell ref="H1074:I1074"/>
    <mergeCell ref="I1076:J1076"/>
    <mergeCell ref="Y1061:AA1061"/>
    <mergeCell ref="AB1061:AD1061"/>
    <mergeCell ref="AE1061:AH1061"/>
    <mergeCell ref="E1062:F1062"/>
    <mergeCell ref="G1062:S1062"/>
    <mergeCell ref="T1062:U1062"/>
    <mergeCell ref="V1062:AH1062"/>
    <mergeCell ref="Y1060:AA1060"/>
    <mergeCell ref="AB1060:AD1060"/>
    <mergeCell ref="AE1060:AH1060"/>
    <mergeCell ref="E1061:F1061"/>
    <mergeCell ref="G1061:I1061"/>
    <mergeCell ref="J1061:L1061"/>
    <mergeCell ref="M1061:O1061"/>
    <mergeCell ref="P1061:S1061"/>
    <mergeCell ref="T1061:U1061"/>
    <mergeCell ref="V1061:X1061"/>
    <mergeCell ref="Y1059:AA1059"/>
    <mergeCell ref="AB1059:AD1059"/>
    <mergeCell ref="AE1059:AH1059"/>
    <mergeCell ref="E1060:F1060"/>
    <mergeCell ref="G1060:I1060"/>
    <mergeCell ref="J1060:L1060"/>
    <mergeCell ref="M1060:O1060"/>
    <mergeCell ref="P1060:S1060"/>
    <mergeCell ref="T1060:U1060"/>
    <mergeCell ref="V1060:X1060"/>
    <mergeCell ref="Y1058:AA1058"/>
    <mergeCell ref="AB1058:AD1058"/>
    <mergeCell ref="AE1058:AH1058"/>
    <mergeCell ref="E1059:F1059"/>
    <mergeCell ref="G1059:I1059"/>
    <mergeCell ref="J1059:L1059"/>
    <mergeCell ref="M1059:O1059"/>
    <mergeCell ref="P1059:S1059"/>
    <mergeCell ref="T1059:U1059"/>
    <mergeCell ref="V1059:X1059"/>
    <mergeCell ref="Y1057:AA1057"/>
    <mergeCell ref="AB1057:AD1057"/>
    <mergeCell ref="AE1057:AH1057"/>
    <mergeCell ref="E1058:F1058"/>
    <mergeCell ref="G1058:I1058"/>
    <mergeCell ref="J1058:L1058"/>
    <mergeCell ref="M1058:O1058"/>
    <mergeCell ref="P1058:S1058"/>
    <mergeCell ref="T1058:U1058"/>
    <mergeCell ref="V1058:X1058"/>
    <mergeCell ref="Y1056:AA1056"/>
    <mergeCell ref="AB1056:AD1056"/>
    <mergeCell ref="AE1056:AH1056"/>
    <mergeCell ref="E1057:F1057"/>
    <mergeCell ref="G1057:I1057"/>
    <mergeCell ref="J1057:L1057"/>
    <mergeCell ref="M1057:O1057"/>
    <mergeCell ref="P1057:S1057"/>
    <mergeCell ref="T1057:U1057"/>
    <mergeCell ref="V1057:X1057"/>
    <mergeCell ref="Y1055:AA1055"/>
    <mergeCell ref="AB1055:AD1055"/>
    <mergeCell ref="AE1055:AH1055"/>
    <mergeCell ref="E1056:F1056"/>
    <mergeCell ref="G1056:I1056"/>
    <mergeCell ref="J1056:L1056"/>
    <mergeCell ref="M1056:O1056"/>
    <mergeCell ref="P1056:S1056"/>
    <mergeCell ref="T1056:U1056"/>
    <mergeCell ref="V1056:X1056"/>
    <mergeCell ref="Y1054:AA1054"/>
    <mergeCell ref="AB1054:AD1054"/>
    <mergeCell ref="AE1054:AH1054"/>
    <mergeCell ref="E1055:F1055"/>
    <mergeCell ref="G1055:I1055"/>
    <mergeCell ref="J1055:L1055"/>
    <mergeCell ref="M1055:O1055"/>
    <mergeCell ref="P1055:S1055"/>
    <mergeCell ref="T1055:U1055"/>
    <mergeCell ref="V1055:X1055"/>
    <mergeCell ref="Y1053:AA1053"/>
    <mergeCell ref="AB1053:AD1053"/>
    <mergeCell ref="AE1053:AH1053"/>
    <mergeCell ref="E1054:F1054"/>
    <mergeCell ref="G1054:I1054"/>
    <mergeCell ref="J1054:L1054"/>
    <mergeCell ref="M1054:O1054"/>
    <mergeCell ref="P1054:S1054"/>
    <mergeCell ref="T1054:U1054"/>
    <mergeCell ref="V1054:X1054"/>
    <mergeCell ref="Y1052:AA1052"/>
    <mergeCell ref="AB1052:AD1052"/>
    <mergeCell ref="AE1052:AH1052"/>
    <mergeCell ref="E1053:F1053"/>
    <mergeCell ref="G1053:I1053"/>
    <mergeCell ref="J1053:L1053"/>
    <mergeCell ref="M1053:O1053"/>
    <mergeCell ref="P1053:S1053"/>
    <mergeCell ref="T1053:U1053"/>
    <mergeCell ref="V1053:X1053"/>
    <mergeCell ref="Y1051:AA1051"/>
    <mergeCell ref="AB1051:AD1051"/>
    <mergeCell ref="AE1051:AH1051"/>
    <mergeCell ref="E1052:F1052"/>
    <mergeCell ref="G1052:I1052"/>
    <mergeCell ref="J1052:L1052"/>
    <mergeCell ref="M1052:O1052"/>
    <mergeCell ref="P1052:S1052"/>
    <mergeCell ref="T1052:U1052"/>
    <mergeCell ref="V1052:X1052"/>
    <mergeCell ref="Y1050:AA1050"/>
    <mergeCell ref="AB1050:AD1050"/>
    <mergeCell ref="AE1050:AH1050"/>
    <mergeCell ref="E1051:F1051"/>
    <mergeCell ref="G1051:I1051"/>
    <mergeCell ref="J1051:L1051"/>
    <mergeCell ref="M1051:O1051"/>
    <mergeCell ref="P1051:S1051"/>
    <mergeCell ref="T1051:U1051"/>
    <mergeCell ref="V1051:X1051"/>
    <mergeCell ref="Y1049:AA1049"/>
    <mergeCell ref="AB1049:AD1049"/>
    <mergeCell ref="AE1049:AH1049"/>
    <mergeCell ref="E1050:F1050"/>
    <mergeCell ref="G1050:I1050"/>
    <mergeCell ref="J1050:L1050"/>
    <mergeCell ref="M1050:O1050"/>
    <mergeCell ref="P1050:S1050"/>
    <mergeCell ref="T1050:U1050"/>
    <mergeCell ref="V1050:X1050"/>
    <mergeCell ref="Y1048:AA1048"/>
    <mergeCell ref="AB1048:AD1048"/>
    <mergeCell ref="AE1048:AH1048"/>
    <mergeCell ref="E1049:F1049"/>
    <mergeCell ref="G1049:I1049"/>
    <mergeCell ref="J1049:L1049"/>
    <mergeCell ref="M1049:O1049"/>
    <mergeCell ref="P1049:S1049"/>
    <mergeCell ref="T1049:U1049"/>
    <mergeCell ref="V1049:X1049"/>
    <mergeCell ref="Y1047:AA1047"/>
    <mergeCell ref="AB1047:AD1047"/>
    <mergeCell ref="AE1047:AH1047"/>
    <mergeCell ref="E1048:F1048"/>
    <mergeCell ref="G1048:I1048"/>
    <mergeCell ref="J1048:L1048"/>
    <mergeCell ref="M1048:O1048"/>
    <mergeCell ref="P1048:S1048"/>
    <mergeCell ref="T1048:U1048"/>
    <mergeCell ref="V1048:X1048"/>
    <mergeCell ref="Y1046:AA1046"/>
    <mergeCell ref="AB1046:AD1046"/>
    <mergeCell ref="AE1046:AH1046"/>
    <mergeCell ref="E1047:F1047"/>
    <mergeCell ref="G1047:I1047"/>
    <mergeCell ref="J1047:L1047"/>
    <mergeCell ref="M1047:O1047"/>
    <mergeCell ref="P1047:S1047"/>
    <mergeCell ref="T1047:U1047"/>
    <mergeCell ref="V1047:X1047"/>
    <mergeCell ref="Y1044:AA1045"/>
    <mergeCell ref="AB1044:AD1045"/>
    <mergeCell ref="AE1044:AH1045"/>
    <mergeCell ref="E1046:F1046"/>
    <mergeCell ref="G1046:I1046"/>
    <mergeCell ref="J1046:L1046"/>
    <mergeCell ref="M1046:O1046"/>
    <mergeCell ref="P1046:S1046"/>
    <mergeCell ref="T1046:U1046"/>
    <mergeCell ref="V1046:X1046"/>
    <mergeCell ref="AD1039:AF1039"/>
    <mergeCell ref="E1043:S1043"/>
    <mergeCell ref="T1043:AH1043"/>
    <mergeCell ref="E1044:F1045"/>
    <mergeCell ref="G1044:I1045"/>
    <mergeCell ref="J1044:L1045"/>
    <mergeCell ref="M1044:O1045"/>
    <mergeCell ref="P1044:S1045"/>
    <mergeCell ref="T1044:U1045"/>
    <mergeCell ref="V1044:X1045"/>
    <mergeCell ref="Y1037:AA1037"/>
    <mergeCell ref="AB1037:AD1037"/>
    <mergeCell ref="AE1037:AH1037"/>
    <mergeCell ref="E1038:F1038"/>
    <mergeCell ref="G1038:S1038"/>
    <mergeCell ref="T1038:U1038"/>
    <mergeCell ref="V1038:AH1038"/>
    <mergeCell ref="Y1036:AA1036"/>
    <mergeCell ref="AB1036:AD1036"/>
    <mergeCell ref="AE1036:AH1036"/>
    <mergeCell ref="E1037:F1037"/>
    <mergeCell ref="G1037:I1037"/>
    <mergeCell ref="J1037:L1037"/>
    <mergeCell ref="M1037:O1037"/>
    <mergeCell ref="P1037:S1037"/>
    <mergeCell ref="T1037:U1037"/>
    <mergeCell ref="V1037:X1037"/>
    <mergeCell ref="Y1035:AA1035"/>
    <mergeCell ref="AB1035:AD1035"/>
    <mergeCell ref="AE1035:AH1035"/>
    <mergeCell ref="E1036:F1036"/>
    <mergeCell ref="G1036:I1036"/>
    <mergeCell ref="J1036:L1036"/>
    <mergeCell ref="M1036:O1036"/>
    <mergeCell ref="P1036:S1036"/>
    <mergeCell ref="T1036:U1036"/>
    <mergeCell ref="V1036:X1036"/>
    <mergeCell ref="Y1034:AA1034"/>
    <mergeCell ref="AB1034:AD1034"/>
    <mergeCell ref="AE1034:AH1034"/>
    <mergeCell ref="E1035:F1035"/>
    <mergeCell ref="G1035:I1035"/>
    <mergeCell ref="J1035:L1035"/>
    <mergeCell ref="M1035:O1035"/>
    <mergeCell ref="P1035:S1035"/>
    <mergeCell ref="T1035:U1035"/>
    <mergeCell ref="V1035:X1035"/>
    <mergeCell ref="Y1033:AA1033"/>
    <mergeCell ref="AB1033:AD1033"/>
    <mergeCell ref="AE1033:AH1033"/>
    <mergeCell ref="E1034:F1034"/>
    <mergeCell ref="G1034:I1034"/>
    <mergeCell ref="J1034:L1034"/>
    <mergeCell ref="M1034:O1034"/>
    <mergeCell ref="P1034:S1034"/>
    <mergeCell ref="T1034:U1034"/>
    <mergeCell ref="V1034:X1034"/>
    <mergeCell ref="Y1032:AA1032"/>
    <mergeCell ref="AB1032:AD1032"/>
    <mergeCell ref="AE1032:AH1032"/>
    <mergeCell ref="E1033:F1033"/>
    <mergeCell ref="G1033:I1033"/>
    <mergeCell ref="J1033:L1033"/>
    <mergeCell ref="M1033:O1033"/>
    <mergeCell ref="P1033:S1033"/>
    <mergeCell ref="T1033:U1033"/>
    <mergeCell ref="V1033:X1033"/>
    <mergeCell ref="Y1031:AA1031"/>
    <mergeCell ref="AB1031:AD1031"/>
    <mergeCell ref="AE1031:AH1031"/>
    <mergeCell ref="E1032:F1032"/>
    <mergeCell ref="G1032:I1032"/>
    <mergeCell ref="J1032:L1032"/>
    <mergeCell ref="M1032:O1032"/>
    <mergeCell ref="P1032:S1032"/>
    <mergeCell ref="T1032:U1032"/>
    <mergeCell ref="V1032:X1032"/>
    <mergeCell ref="Y1030:AA1030"/>
    <mergeCell ref="AB1030:AD1030"/>
    <mergeCell ref="AE1030:AH1030"/>
    <mergeCell ref="E1031:F1031"/>
    <mergeCell ref="G1031:I1031"/>
    <mergeCell ref="J1031:L1031"/>
    <mergeCell ref="M1031:O1031"/>
    <mergeCell ref="P1031:S1031"/>
    <mergeCell ref="T1031:U1031"/>
    <mergeCell ref="V1031:X1031"/>
    <mergeCell ref="Y1029:AA1029"/>
    <mergeCell ref="AB1029:AD1029"/>
    <mergeCell ref="AE1029:AH1029"/>
    <mergeCell ref="E1030:F1030"/>
    <mergeCell ref="G1030:I1030"/>
    <mergeCell ref="J1030:L1030"/>
    <mergeCell ref="M1030:O1030"/>
    <mergeCell ref="P1030:S1030"/>
    <mergeCell ref="T1030:U1030"/>
    <mergeCell ref="V1030:X1030"/>
    <mergeCell ref="Y1028:AA1028"/>
    <mergeCell ref="AB1028:AD1028"/>
    <mergeCell ref="AE1028:AH1028"/>
    <mergeCell ref="E1029:F1029"/>
    <mergeCell ref="G1029:I1029"/>
    <mergeCell ref="J1029:L1029"/>
    <mergeCell ref="M1029:O1029"/>
    <mergeCell ref="P1029:S1029"/>
    <mergeCell ref="T1029:U1029"/>
    <mergeCell ref="V1029:X1029"/>
    <mergeCell ref="Y1027:AA1027"/>
    <mergeCell ref="AB1027:AD1027"/>
    <mergeCell ref="AE1027:AH1027"/>
    <mergeCell ref="E1028:F1028"/>
    <mergeCell ref="G1028:I1028"/>
    <mergeCell ref="J1028:L1028"/>
    <mergeCell ref="M1028:O1028"/>
    <mergeCell ref="P1028:S1028"/>
    <mergeCell ref="T1028:U1028"/>
    <mergeCell ref="V1028:X1028"/>
    <mergeCell ref="Y1026:AA1026"/>
    <mergeCell ref="AB1026:AD1026"/>
    <mergeCell ref="AE1026:AH1026"/>
    <mergeCell ref="E1027:F1027"/>
    <mergeCell ref="G1027:I1027"/>
    <mergeCell ref="J1027:L1027"/>
    <mergeCell ref="M1027:O1027"/>
    <mergeCell ref="P1027:S1027"/>
    <mergeCell ref="T1027:U1027"/>
    <mergeCell ref="V1027:X1027"/>
    <mergeCell ref="Y1025:AA1025"/>
    <mergeCell ref="AB1025:AD1025"/>
    <mergeCell ref="AE1025:AH1025"/>
    <mergeCell ref="E1026:F1026"/>
    <mergeCell ref="G1026:I1026"/>
    <mergeCell ref="J1026:L1026"/>
    <mergeCell ref="M1026:O1026"/>
    <mergeCell ref="P1026:S1026"/>
    <mergeCell ref="T1026:U1026"/>
    <mergeCell ref="V1026:X1026"/>
    <mergeCell ref="Y1024:AA1024"/>
    <mergeCell ref="AB1024:AD1024"/>
    <mergeCell ref="AE1024:AH1024"/>
    <mergeCell ref="E1025:F1025"/>
    <mergeCell ref="G1025:I1025"/>
    <mergeCell ref="J1025:L1025"/>
    <mergeCell ref="M1025:O1025"/>
    <mergeCell ref="P1025:S1025"/>
    <mergeCell ref="T1025:U1025"/>
    <mergeCell ref="V1025:X1025"/>
    <mergeCell ref="Y1023:AA1023"/>
    <mergeCell ref="AB1023:AD1023"/>
    <mergeCell ref="AE1023:AH1023"/>
    <mergeCell ref="E1024:F1024"/>
    <mergeCell ref="G1024:I1024"/>
    <mergeCell ref="J1024:L1024"/>
    <mergeCell ref="M1024:O1024"/>
    <mergeCell ref="P1024:S1024"/>
    <mergeCell ref="T1024:U1024"/>
    <mergeCell ref="V1024:X1024"/>
    <mergeCell ref="Y1022:AA1022"/>
    <mergeCell ref="AB1022:AD1022"/>
    <mergeCell ref="AE1022:AH1022"/>
    <mergeCell ref="E1023:F1023"/>
    <mergeCell ref="G1023:I1023"/>
    <mergeCell ref="J1023:L1023"/>
    <mergeCell ref="M1023:O1023"/>
    <mergeCell ref="P1023:S1023"/>
    <mergeCell ref="T1023:U1023"/>
    <mergeCell ref="V1023:X1023"/>
    <mergeCell ref="Y1020:AA1021"/>
    <mergeCell ref="AB1020:AD1021"/>
    <mergeCell ref="AE1020:AH1021"/>
    <mergeCell ref="E1022:F1022"/>
    <mergeCell ref="G1022:I1022"/>
    <mergeCell ref="J1022:L1022"/>
    <mergeCell ref="M1022:O1022"/>
    <mergeCell ref="P1022:S1022"/>
    <mergeCell ref="T1022:U1022"/>
    <mergeCell ref="V1022:X1022"/>
    <mergeCell ref="AD1015:AF1015"/>
    <mergeCell ref="E1019:S1019"/>
    <mergeCell ref="T1019:AH1019"/>
    <mergeCell ref="E1020:F1021"/>
    <mergeCell ref="G1020:I1021"/>
    <mergeCell ref="J1020:L1021"/>
    <mergeCell ref="M1020:O1021"/>
    <mergeCell ref="P1020:S1021"/>
    <mergeCell ref="T1020:U1021"/>
    <mergeCell ref="V1020:X1021"/>
    <mergeCell ref="Y1013:AA1013"/>
    <mergeCell ref="AB1013:AD1013"/>
    <mergeCell ref="AE1013:AH1013"/>
    <mergeCell ref="E1014:F1014"/>
    <mergeCell ref="G1014:S1014"/>
    <mergeCell ref="T1014:U1014"/>
    <mergeCell ref="V1014:AH1014"/>
    <mergeCell ref="Y1012:AA1012"/>
    <mergeCell ref="AB1012:AD1012"/>
    <mergeCell ref="AE1012:AH1012"/>
    <mergeCell ref="E1013:F1013"/>
    <mergeCell ref="G1013:I1013"/>
    <mergeCell ref="J1013:L1013"/>
    <mergeCell ref="M1013:O1013"/>
    <mergeCell ref="P1013:S1013"/>
    <mergeCell ref="T1013:U1013"/>
    <mergeCell ref="V1013:X1013"/>
    <mergeCell ref="Y1011:AA1011"/>
    <mergeCell ref="AB1011:AD1011"/>
    <mergeCell ref="AE1011:AH1011"/>
    <mergeCell ref="E1012:F1012"/>
    <mergeCell ref="G1012:I1012"/>
    <mergeCell ref="J1012:L1012"/>
    <mergeCell ref="M1012:O1012"/>
    <mergeCell ref="P1012:S1012"/>
    <mergeCell ref="T1012:U1012"/>
    <mergeCell ref="V1012:X1012"/>
    <mergeCell ref="Y1010:AA1010"/>
    <mergeCell ref="AB1010:AD1010"/>
    <mergeCell ref="AE1010:AH1010"/>
    <mergeCell ref="E1011:F1011"/>
    <mergeCell ref="G1011:I1011"/>
    <mergeCell ref="J1011:L1011"/>
    <mergeCell ref="M1011:O1011"/>
    <mergeCell ref="P1011:S1011"/>
    <mergeCell ref="T1011:U1011"/>
    <mergeCell ref="V1011:X1011"/>
    <mergeCell ref="Y1009:AA1009"/>
    <mergeCell ref="AB1009:AD1009"/>
    <mergeCell ref="AE1009:AH1009"/>
    <mergeCell ref="E1010:F1010"/>
    <mergeCell ref="G1010:I1010"/>
    <mergeCell ref="J1010:L1010"/>
    <mergeCell ref="M1010:O1010"/>
    <mergeCell ref="P1010:S1010"/>
    <mergeCell ref="T1010:U1010"/>
    <mergeCell ref="V1010:X1010"/>
    <mergeCell ref="Y1008:AA1008"/>
    <mergeCell ref="AB1008:AD1008"/>
    <mergeCell ref="AE1008:AH1008"/>
    <mergeCell ref="E1009:F1009"/>
    <mergeCell ref="G1009:I1009"/>
    <mergeCell ref="J1009:L1009"/>
    <mergeCell ref="M1009:O1009"/>
    <mergeCell ref="P1009:S1009"/>
    <mergeCell ref="T1009:U1009"/>
    <mergeCell ref="V1009:X1009"/>
    <mergeCell ref="Y1007:AA1007"/>
    <mergeCell ref="AB1007:AD1007"/>
    <mergeCell ref="AE1007:AH1007"/>
    <mergeCell ref="E1008:F1008"/>
    <mergeCell ref="G1008:I1008"/>
    <mergeCell ref="J1008:L1008"/>
    <mergeCell ref="M1008:O1008"/>
    <mergeCell ref="P1008:S1008"/>
    <mergeCell ref="T1008:U1008"/>
    <mergeCell ref="V1008:X1008"/>
    <mergeCell ref="Y1006:AA1006"/>
    <mergeCell ref="AB1006:AD1006"/>
    <mergeCell ref="AE1006:AH1006"/>
    <mergeCell ref="E1007:F1007"/>
    <mergeCell ref="G1007:I1007"/>
    <mergeCell ref="J1007:L1007"/>
    <mergeCell ref="M1007:O1007"/>
    <mergeCell ref="P1007:S1007"/>
    <mergeCell ref="T1007:U1007"/>
    <mergeCell ref="V1007:X1007"/>
    <mergeCell ref="Y1005:AA1005"/>
    <mergeCell ref="AB1005:AD1005"/>
    <mergeCell ref="AE1005:AH1005"/>
    <mergeCell ref="E1006:F1006"/>
    <mergeCell ref="G1006:I1006"/>
    <mergeCell ref="J1006:L1006"/>
    <mergeCell ref="M1006:O1006"/>
    <mergeCell ref="P1006:S1006"/>
    <mergeCell ref="T1006:U1006"/>
    <mergeCell ref="V1006:X1006"/>
    <mergeCell ref="Y1004:AA1004"/>
    <mergeCell ref="AB1004:AD1004"/>
    <mergeCell ref="AE1004:AH1004"/>
    <mergeCell ref="E1005:F1005"/>
    <mergeCell ref="G1005:I1005"/>
    <mergeCell ref="J1005:L1005"/>
    <mergeCell ref="M1005:O1005"/>
    <mergeCell ref="P1005:S1005"/>
    <mergeCell ref="T1005:U1005"/>
    <mergeCell ref="V1005:X1005"/>
    <mergeCell ref="Y1003:AA1003"/>
    <mergeCell ref="AB1003:AD1003"/>
    <mergeCell ref="AE1003:AH1003"/>
    <mergeCell ref="E1004:F1004"/>
    <mergeCell ref="G1004:I1004"/>
    <mergeCell ref="J1004:L1004"/>
    <mergeCell ref="M1004:O1004"/>
    <mergeCell ref="P1004:S1004"/>
    <mergeCell ref="T1004:U1004"/>
    <mergeCell ref="V1004:X1004"/>
    <mergeCell ref="Y1002:AA1002"/>
    <mergeCell ref="AB1002:AD1002"/>
    <mergeCell ref="AE1002:AH1002"/>
    <mergeCell ref="E1003:F1003"/>
    <mergeCell ref="G1003:I1003"/>
    <mergeCell ref="J1003:L1003"/>
    <mergeCell ref="M1003:O1003"/>
    <mergeCell ref="P1003:S1003"/>
    <mergeCell ref="T1003:U1003"/>
    <mergeCell ref="V1003:X1003"/>
    <mergeCell ref="Y1001:AA1001"/>
    <mergeCell ref="AB1001:AD1001"/>
    <mergeCell ref="AE1001:AH1001"/>
    <mergeCell ref="E1002:F1002"/>
    <mergeCell ref="G1002:I1002"/>
    <mergeCell ref="J1002:L1002"/>
    <mergeCell ref="M1002:O1002"/>
    <mergeCell ref="P1002:S1002"/>
    <mergeCell ref="T1002:U1002"/>
    <mergeCell ref="V1002:X1002"/>
    <mergeCell ref="Y1000:AA1000"/>
    <mergeCell ref="AB1000:AD1000"/>
    <mergeCell ref="AE1000:AH1000"/>
    <mergeCell ref="E1001:F1001"/>
    <mergeCell ref="G1001:I1001"/>
    <mergeCell ref="J1001:L1001"/>
    <mergeCell ref="M1001:O1001"/>
    <mergeCell ref="P1001:S1001"/>
    <mergeCell ref="T1001:U1001"/>
    <mergeCell ref="V1001:X1001"/>
    <mergeCell ref="Y999:AA999"/>
    <mergeCell ref="AB999:AD999"/>
    <mergeCell ref="AE999:AH999"/>
    <mergeCell ref="E1000:F1000"/>
    <mergeCell ref="G1000:I1000"/>
    <mergeCell ref="J1000:L1000"/>
    <mergeCell ref="M1000:O1000"/>
    <mergeCell ref="P1000:S1000"/>
    <mergeCell ref="T1000:U1000"/>
    <mergeCell ref="V1000:X1000"/>
    <mergeCell ref="Y998:AA998"/>
    <mergeCell ref="AB998:AD998"/>
    <mergeCell ref="AE998:AH998"/>
    <mergeCell ref="E999:F999"/>
    <mergeCell ref="G999:I999"/>
    <mergeCell ref="J999:L999"/>
    <mergeCell ref="M999:O999"/>
    <mergeCell ref="P999:S999"/>
    <mergeCell ref="T999:U999"/>
    <mergeCell ref="V999:X999"/>
    <mergeCell ref="Y996:AA997"/>
    <mergeCell ref="AB996:AD997"/>
    <mergeCell ref="AE996:AH997"/>
    <mergeCell ref="E998:F998"/>
    <mergeCell ref="G998:I998"/>
    <mergeCell ref="J998:L998"/>
    <mergeCell ref="M998:O998"/>
    <mergeCell ref="P998:S998"/>
    <mergeCell ref="T998:U998"/>
    <mergeCell ref="V998:X998"/>
    <mergeCell ref="AD991:AF991"/>
    <mergeCell ref="E995:S995"/>
    <mergeCell ref="T995:AH995"/>
    <mergeCell ref="E996:F997"/>
    <mergeCell ref="G996:I997"/>
    <mergeCell ref="J996:L997"/>
    <mergeCell ref="M996:O997"/>
    <mergeCell ref="P996:S997"/>
    <mergeCell ref="T996:U997"/>
    <mergeCell ref="V996:X997"/>
    <mergeCell ref="Y989:AA989"/>
    <mergeCell ref="AB989:AD989"/>
    <mergeCell ref="AE989:AH989"/>
    <mergeCell ref="E990:F990"/>
    <mergeCell ref="G990:S990"/>
    <mergeCell ref="T990:U990"/>
    <mergeCell ref="V990:AH990"/>
    <mergeCell ref="Y988:AA988"/>
    <mergeCell ref="AB988:AD988"/>
    <mergeCell ref="AE988:AH988"/>
    <mergeCell ref="E989:F989"/>
    <mergeCell ref="G989:I989"/>
    <mergeCell ref="J989:L989"/>
    <mergeCell ref="M989:O989"/>
    <mergeCell ref="P989:S989"/>
    <mergeCell ref="T989:U989"/>
    <mergeCell ref="V989:X989"/>
    <mergeCell ref="Y987:AA987"/>
    <mergeCell ref="AB987:AD987"/>
    <mergeCell ref="AE987:AH987"/>
    <mergeCell ref="E988:F988"/>
    <mergeCell ref="G988:I988"/>
    <mergeCell ref="J988:L988"/>
    <mergeCell ref="M988:O988"/>
    <mergeCell ref="P988:S988"/>
    <mergeCell ref="T988:U988"/>
    <mergeCell ref="V988:X988"/>
    <mergeCell ref="Y986:AA986"/>
    <mergeCell ref="AB986:AD986"/>
    <mergeCell ref="AE986:AH986"/>
    <mergeCell ref="E987:F987"/>
    <mergeCell ref="G987:I987"/>
    <mergeCell ref="J987:L987"/>
    <mergeCell ref="M987:O987"/>
    <mergeCell ref="P987:S987"/>
    <mergeCell ref="T987:U987"/>
    <mergeCell ref="V987:X987"/>
    <mergeCell ref="Y985:AA985"/>
    <mergeCell ref="AB985:AD985"/>
    <mergeCell ref="AE985:AH985"/>
    <mergeCell ref="E986:F986"/>
    <mergeCell ref="G986:I986"/>
    <mergeCell ref="J986:L986"/>
    <mergeCell ref="M986:O986"/>
    <mergeCell ref="P986:S986"/>
    <mergeCell ref="T986:U986"/>
    <mergeCell ref="V986:X986"/>
    <mergeCell ref="Y984:AA984"/>
    <mergeCell ref="AB984:AD984"/>
    <mergeCell ref="AE984:AH984"/>
    <mergeCell ref="E985:F985"/>
    <mergeCell ref="G985:I985"/>
    <mergeCell ref="J985:L985"/>
    <mergeCell ref="M985:O985"/>
    <mergeCell ref="P985:S985"/>
    <mergeCell ref="T985:U985"/>
    <mergeCell ref="V985:X985"/>
    <mergeCell ref="Y983:AA983"/>
    <mergeCell ref="AB983:AD983"/>
    <mergeCell ref="AE983:AH983"/>
    <mergeCell ref="E984:F984"/>
    <mergeCell ref="G984:I984"/>
    <mergeCell ref="J984:L984"/>
    <mergeCell ref="M984:O984"/>
    <mergeCell ref="P984:S984"/>
    <mergeCell ref="T984:U984"/>
    <mergeCell ref="V984:X984"/>
    <mergeCell ref="Y982:AA982"/>
    <mergeCell ref="AB982:AD982"/>
    <mergeCell ref="AE982:AH982"/>
    <mergeCell ref="E983:F983"/>
    <mergeCell ref="G983:I983"/>
    <mergeCell ref="J983:L983"/>
    <mergeCell ref="M983:O983"/>
    <mergeCell ref="P983:S983"/>
    <mergeCell ref="T983:U983"/>
    <mergeCell ref="V983:X983"/>
    <mergeCell ref="Y981:AA981"/>
    <mergeCell ref="AB981:AD981"/>
    <mergeCell ref="AE981:AH981"/>
    <mergeCell ref="E982:F982"/>
    <mergeCell ref="G982:I982"/>
    <mergeCell ref="J982:L982"/>
    <mergeCell ref="M982:O982"/>
    <mergeCell ref="P982:S982"/>
    <mergeCell ref="T982:U982"/>
    <mergeCell ref="V982:X982"/>
    <mergeCell ref="Y980:AA980"/>
    <mergeCell ref="AB980:AD980"/>
    <mergeCell ref="AE980:AH980"/>
    <mergeCell ref="E981:F981"/>
    <mergeCell ref="G981:I981"/>
    <mergeCell ref="J981:L981"/>
    <mergeCell ref="M981:O981"/>
    <mergeCell ref="P981:S981"/>
    <mergeCell ref="T981:U981"/>
    <mergeCell ref="V981:X981"/>
    <mergeCell ref="Y979:AA979"/>
    <mergeCell ref="AB979:AD979"/>
    <mergeCell ref="AE979:AH979"/>
    <mergeCell ref="E980:F980"/>
    <mergeCell ref="G980:I980"/>
    <mergeCell ref="J980:L980"/>
    <mergeCell ref="M980:O980"/>
    <mergeCell ref="P980:S980"/>
    <mergeCell ref="T980:U980"/>
    <mergeCell ref="V980:X980"/>
    <mergeCell ref="Y978:AA978"/>
    <mergeCell ref="AB978:AD978"/>
    <mergeCell ref="AE978:AH978"/>
    <mergeCell ref="E979:F979"/>
    <mergeCell ref="G979:I979"/>
    <mergeCell ref="J979:L979"/>
    <mergeCell ref="M979:O979"/>
    <mergeCell ref="P979:S979"/>
    <mergeCell ref="T979:U979"/>
    <mergeCell ref="V979:X979"/>
    <mergeCell ref="Y977:AA977"/>
    <mergeCell ref="AB977:AD977"/>
    <mergeCell ref="AE977:AH977"/>
    <mergeCell ref="E978:F978"/>
    <mergeCell ref="G978:I978"/>
    <mergeCell ref="J978:L978"/>
    <mergeCell ref="M978:O978"/>
    <mergeCell ref="P978:S978"/>
    <mergeCell ref="T978:U978"/>
    <mergeCell ref="V978:X978"/>
    <mergeCell ref="Y976:AA976"/>
    <mergeCell ref="AB976:AD976"/>
    <mergeCell ref="AE976:AH976"/>
    <mergeCell ref="E977:F977"/>
    <mergeCell ref="G977:I977"/>
    <mergeCell ref="J977:L977"/>
    <mergeCell ref="M977:O977"/>
    <mergeCell ref="P977:S977"/>
    <mergeCell ref="T977:U977"/>
    <mergeCell ref="V977:X977"/>
    <mergeCell ref="Y975:AA975"/>
    <mergeCell ref="AB975:AD975"/>
    <mergeCell ref="AE975:AH975"/>
    <mergeCell ref="E976:F976"/>
    <mergeCell ref="G976:I976"/>
    <mergeCell ref="J976:L976"/>
    <mergeCell ref="M976:O976"/>
    <mergeCell ref="P976:S976"/>
    <mergeCell ref="T976:U976"/>
    <mergeCell ref="V976:X976"/>
    <mergeCell ref="Y974:AA974"/>
    <mergeCell ref="AB974:AD974"/>
    <mergeCell ref="AE974:AH974"/>
    <mergeCell ref="E975:F975"/>
    <mergeCell ref="G975:I975"/>
    <mergeCell ref="J975:L975"/>
    <mergeCell ref="M975:O975"/>
    <mergeCell ref="P975:S975"/>
    <mergeCell ref="T975:U975"/>
    <mergeCell ref="V975:X975"/>
    <mergeCell ref="Y972:AA973"/>
    <mergeCell ref="AB972:AD973"/>
    <mergeCell ref="AE972:AH973"/>
    <mergeCell ref="E974:F974"/>
    <mergeCell ref="G974:I974"/>
    <mergeCell ref="J974:L974"/>
    <mergeCell ref="M974:O974"/>
    <mergeCell ref="P974:S974"/>
    <mergeCell ref="T974:U974"/>
    <mergeCell ref="V974:X974"/>
    <mergeCell ref="AD967:AF967"/>
    <mergeCell ref="E971:S971"/>
    <mergeCell ref="T971:AH971"/>
    <mergeCell ref="E972:F973"/>
    <mergeCell ref="G972:I973"/>
    <mergeCell ref="J972:L973"/>
    <mergeCell ref="M972:O973"/>
    <mergeCell ref="P972:S973"/>
    <mergeCell ref="T972:U973"/>
    <mergeCell ref="V972:X973"/>
    <mergeCell ref="Y965:AA965"/>
    <mergeCell ref="AB965:AD965"/>
    <mergeCell ref="AE965:AH965"/>
    <mergeCell ref="E966:F966"/>
    <mergeCell ref="G966:S966"/>
    <mergeCell ref="T966:U966"/>
    <mergeCell ref="V966:AH966"/>
    <mergeCell ref="Y964:AA964"/>
    <mergeCell ref="AB964:AD964"/>
    <mergeCell ref="AE964:AH964"/>
    <mergeCell ref="E965:F965"/>
    <mergeCell ref="G965:I965"/>
    <mergeCell ref="J965:L965"/>
    <mergeCell ref="M965:O965"/>
    <mergeCell ref="P965:S965"/>
    <mergeCell ref="T965:U965"/>
    <mergeCell ref="V965:X965"/>
    <mergeCell ref="Y963:AA963"/>
    <mergeCell ref="AB963:AD963"/>
    <mergeCell ref="AE963:AH963"/>
    <mergeCell ref="E964:F964"/>
    <mergeCell ref="G964:I964"/>
    <mergeCell ref="J964:L964"/>
    <mergeCell ref="M964:O964"/>
    <mergeCell ref="P964:S964"/>
    <mergeCell ref="T964:U964"/>
    <mergeCell ref="V964:X964"/>
    <mergeCell ref="Y962:AA962"/>
    <mergeCell ref="AB962:AD962"/>
    <mergeCell ref="AE962:AH962"/>
    <mergeCell ref="E963:F963"/>
    <mergeCell ref="G963:I963"/>
    <mergeCell ref="J963:L963"/>
    <mergeCell ref="M963:O963"/>
    <mergeCell ref="P963:S963"/>
    <mergeCell ref="T963:U963"/>
    <mergeCell ref="V963:X963"/>
    <mergeCell ref="Y961:AA961"/>
    <mergeCell ref="AB961:AD961"/>
    <mergeCell ref="AE961:AH961"/>
    <mergeCell ref="E962:F962"/>
    <mergeCell ref="G962:I962"/>
    <mergeCell ref="J962:L962"/>
    <mergeCell ref="M962:O962"/>
    <mergeCell ref="P962:S962"/>
    <mergeCell ref="T962:U962"/>
    <mergeCell ref="V962:X962"/>
    <mergeCell ref="Y960:AA960"/>
    <mergeCell ref="AB960:AD960"/>
    <mergeCell ref="AE960:AH960"/>
    <mergeCell ref="E961:F961"/>
    <mergeCell ref="G961:I961"/>
    <mergeCell ref="J961:L961"/>
    <mergeCell ref="M961:O961"/>
    <mergeCell ref="P961:S961"/>
    <mergeCell ref="T961:U961"/>
    <mergeCell ref="V961:X961"/>
    <mergeCell ref="Y959:AA959"/>
    <mergeCell ref="AB959:AD959"/>
    <mergeCell ref="AE959:AH959"/>
    <mergeCell ref="E960:F960"/>
    <mergeCell ref="G960:I960"/>
    <mergeCell ref="J960:L960"/>
    <mergeCell ref="M960:O960"/>
    <mergeCell ref="P960:S960"/>
    <mergeCell ref="T960:U960"/>
    <mergeCell ref="V960:X960"/>
    <mergeCell ref="Y958:AA958"/>
    <mergeCell ref="AB958:AD958"/>
    <mergeCell ref="AE958:AH958"/>
    <mergeCell ref="E959:F959"/>
    <mergeCell ref="G959:I959"/>
    <mergeCell ref="J959:L959"/>
    <mergeCell ref="M959:O959"/>
    <mergeCell ref="P959:S959"/>
    <mergeCell ref="T959:U959"/>
    <mergeCell ref="V959:X959"/>
    <mergeCell ref="Y957:AA957"/>
    <mergeCell ref="AB957:AD957"/>
    <mergeCell ref="AE957:AH957"/>
    <mergeCell ref="E958:F958"/>
    <mergeCell ref="G958:I958"/>
    <mergeCell ref="J958:L958"/>
    <mergeCell ref="M958:O958"/>
    <mergeCell ref="P958:S958"/>
    <mergeCell ref="T958:U958"/>
    <mergeCell ref="V958:X958"/>
    <mergeCell ref="Y956:AA956"/>
    <mergeCell ref="AB956:AD956"/>
    <mergeCell ref="AE956:AH956"/>
    <mergeCell ref="E957:F957"/>
    <mergeCell ref="G957:I957"/>
    <mergeCell ref="J957:L957"/>
    <mergeCell ref="M957:O957"/>
    <mergeCell ref="P957:S957"/>
    <mergeCell ref="T957:U957"/>
    <mergeCell ref="V957:X957"/>
    <mergeCell ref="Y955:AA955"/>
    <mergeCell ref="AB955:AD955"/>
    <mergeCell ref="AE955:AH955"/>
    <mergeCell ref="E956:F956"/>
    <mergeCell ref="G956:I956"/>
    <mergeCell ref="J956:L956"/>
    <mergeCell ref="M956:O956"/>
    <mergeCell ref="P956:S956"/>
    <mergeCell ref="T956:U956"/>
    <mergeCell ref="V956:X956"/>
    <mergeCell ref="Y954:AA954"/>
    <mergeCell ref="AB954:AD954"/>
    <mergeCell ref="AE954:AH954"/>
    <mergeCell ref="E955:F955"/>
    <mergeCell ref="G955:I955"/>
    <mergeCell ref="J955:L955"/>
    <mergeCell ref="M955:O955"/>
    <mergeCell ref="P955:S955"/>
    <mergeCell ref="T955:U955"/>
    <mergeCell ref="V955:X955"/>
    <mergeCell ref="Y953:AA953"/>
    <mergeCell ref="AB953:AD953"/>
    <mergeCell ref="AE953:AH953"/>
    <mergeCell ref="E954:F954"/>
    <mergeCell ref="G954:I954"/>
    <mergeCell ref="J954:L954"/>
    <mergeCell ref="M954:O954"/>
    <mergeCell ref="P954:S954"/>
    <mergeCell ref="T954:U954"/>
    <mergeCell ref="V954:X954"/>
    <mergeCell ref="Y952:AA952"/>
    <mergeCell ref="AB952:AD952"/>
    <mergeCell ref="AE952:AH952"/>
    <mergeCell ref="E953:F953"/>
    <mergeCell ref="G953:I953"/>
    <mergeCell ref="J953:L953"/>
    <mergeCell ref="M953:O953"/>
    <mergeCell ref="P953:S953"/>
    <mergeCell ref="T953:U953"/>
    <mergeCell ref="V953:X953"/>
    <mergeCell ref="Y951:AA951"/>
    <mergeCell ref="AB951:AD951"/>
    <mergeCell ref="AE951:AH951"/>
    <mergeCell ref="E952:F952"/>
    <mergeCell ref="G952:I952"/>
    <mergeCell ref="J952:L952"/>
    <mergeCell ref="M952:O952"/>
    <mergeCell ref="P952:S952"/>
    <mergeCell ref="T952:U952"/>
    <mergeCell ref="V952:X952"/>
    <mergeCell ref="Y950:AA950"/>
    <mergeCell ref="AB950:AD950"/>
    <mergeCell ref="AE950:AH950"/>
    <mergeCell ref="E951:F951"/>
    <mergeCell ref="G951:I951"/>
    <mergeCell ref="J951:L951"/>
    <mergeCell ref="M951:O951"/>
    <mergeCell ref="P951:S951"/>
    <mergeCell ref="T951:U951"/>
    <mergeCell ref="V951:X951"/>
    <mergeCell ref="Y948:AA949"/>
    <mergeCell ref="AB948:AD949"/>
    <mergeCell ref="AE948:AH949"/>
    <mergeCell ref="E950:F950"/>
    <mergeCell ref="G950:I950"/>
    <mergeCell ref="J950:L950"/>
    <mergeCell ref="M950:O950"/>
    <mergeCell ref="P950:S950"/>
    <mergeCell ref="T950:U950"/>
    <mergeCell ref="V950:X950"/>
    <mergeCell ref="AD943:AF943"/>
    <mergeCell ref="E947:S947"/>
    <mergeCell ref="T947:AH947"/>
    <mergeCell ref="E948:F949"/>
    <mergeCell ref="G948:I949"/>
    <mergeCell ref="J948:L949"/>
    <mergeCell ref="M948:O949"/>
    <mergeCell ref="P948:S949"/>
    <mergeCell ref="T948:U949"/>
    <mergeCell ref="V948:X949"/>
    <mergeCell ref="Y941:AA941"/>
    <mergeCell ref="AB941:AD941"/>
    <mergeCell ref="AE941:AH941"/>
    <mergeCell ref="E942:F942"/>
    <mergeCell ref="G942:S942"/>
    <mergeCell ref="T942:U942"/>
    <mergeCell ref="V942:AH942"/>
    <mergeCell ref="Y940:AA940"/>
    <mergeCell ref="AB940:AD940"/>
    <mergeCell ref="AE940:AH940"/>
    <mergeCell ref="E941:F941"/>
    <mergeCell ref="G941:I941"/>
    <mergeCell ref="J941:L941"/>
    <mergeCell ref="M941:O941"/>
    <mergeCell ref="P941:S941"/>
    <mergeCell ref="T941:U941"/>
    <mergeCell ref="V941:X941"/>
    <mergeCell ref="Y939:AA939"/>
    <mergeCell ref="AB939:AD939"/>
    <mergeCell ref="AE939:AH939"/>
    <mergeCell ref="E940:F940"/>
    <mergeCell ref="G940:I940"/>
    <mergeCell ref="J940:L940"/>
    <mergeCell ref="M940:O940"/>
    <mergeCell ref="P940:S940"/>
    <mergeCell ref="T940:U940"/>
    <mergeCell ref="V940:X940"/>
    <mergeCell ref="Y938:AA938"/>
    <mergeCell ref="AB938:AD938"/>
    <mergeCell ref="AE938:AH938"/>
    <mergeCell ref="E939:F939"/>
    <mergeCell ref="G939:I939"/>
    <mergeCell ref="J939:L939"/>
    <mergeCell ref="M939:O939"/>
    <mergeCell ref="P939:S939"/>
    <mergeCell ref="T939:U939"/>
    <mergeCell ref="V939:X939"/>
    <mergeCell ref="Y937:AA937"/>
    <mergeCell ref="AB937:AD937"/>
    <mergeCell ref="AE937:AH937"/>
    <mergeCell ref="E938:F938"/>
    <mergeCell ref="G938:I938"/>
    <mergeCell ref="J938:L938"/>
    <mergeCell ref="M938:O938"/>
    <mergeCell ref="P938:S938"/>
    <mergeCell ref="T938:U938"/>
    <mergeCell ref="V938:X938"/>
    <mergeCell ref="Y936:AA936"/>
    <mergeCell ref="AB936:AD936"/>
    <mergeCell ref="AE936:AH936"/>
    <mergeCell ref="E937:F937"/>
    <mergeCell ref="G937:I937"/>
    <mergeCell ref="J937:L937"/>
    <mergeCell ref="M937:O937"/>
    <mergeCell ref="P937:S937"/>
    <mergeCell ref="T937:U937"/>
    <mergeCell ref="V937:X937"/>
    <mergeCell ref="Y935:AA935"/>
    <mergeCell ref="AB935:AD935"/>
    <mergeCell ref="AE935:AH935"/>
    <mergeCell ref="E936:F936"/>
    <mergeCell ref="G936:I936"/>
    <mergeCell ref="J936:L936"/>
    <mergeCell ref="M936:O936"/>
    <mergeCell ref="P936:S936"/>
    <mergeCell ref="T936:U936"/>
    <mergeCell ref="V936:X936"/>
    <mergeCell ref="Y934:AA934"/>
    <mergeCell ref="AB934:AD934"/>
    <mergeCell ref="AE934:AH934"/>
    <mergeCell ref="E935:F935"/>
    <mergeCell ref="G935:I935"/>
    <mergeCell ref="J935:L935"/>
    <mergeCell ref="M935:O935"/>
    <mergeCell ref="P935:S935"/>
    <mergeCell ref="T935:U935"/>
    <mergeCell ref="V935:X935"/>
    <mergeCell ref="Y933:AA933"/>
    <mergeCell ref="AB933:AD933"/>
    <mergeCell ref="AE933:AH933"/>
    <mergeCell ref="E934:F934"/>
    <mergeCell ref="G934:I934"/>
    <mergeCell ref="J934:L934"/>
    <mergeCell ref="M934:O934"/>
    <mergeCell ref="P934:S934"/>
    <mergeCell ref="T934:U934"/>
    <mergeCell ref="V934:X934"/>
    <mergeCell ref="Y932:AA932"/>
    <mergeCell ref="AB932:AD932"/>
    <mergeCell ref="AE932:AH932"/>
    <mergeCell ref="E933:F933"/>
    <mergeCell ref="G933:I933"/>
    <mergeCell ref="J933:L933"/>
    <mergeCell ref="M933:O933"/>
    <mergeCell ref="P933:S933"/>
    <mergeCell ref="T933:U933"/>
    <mergeCell ref="V933:X933"/>
    <mergeCell ref="Y931:AA931"/>
    <mergeCell ref="AB931:AD931"/>
    <mergeCell ref="AE931:AH931"/>
    <mergeCell ref="E932:F932"/>
    <mergeCell ref="G932:I932"/>
    <mergeCell ref="J932:L932"/>
    <mergeCell ref="M932:O932"/>
    <mergeCell ref="P932:S932"/>
    <mergeCell ref="T932:U932"/>
    <mergeCell ref="V932:X932"/>
    <mergeCell ref="Y930:AA930"/>
    <mergeCell ref="AB930:AD930"/>
    <mergeCell ref="AE930:AH930"/>
    <mergeCell ref="E931:F931"/>
    <mergeCell ref="G931:I931"/>
    <mergeCell ref="J931:L931"/>
    <mergeCell ref="M931:O931"/>
    <mergeCell ref="P931:S931"/>
    <mergeCell ref="T931:U931"/>
    <mergeCell ref="V931:X931"/>
    <mergeCell ref="Y929:AA929"/>
    <mergeCell ref="AB929:AD929"/>
    <mergeCell ref="AE929:AH929"/>
    <mergeCell ref="E930:F930"/>
    <mergeCell ref="G930:I930"/>
    <mergeCell ref="J930:L930"/>
    <mergeCell ref="M930:O930"/>
    <mergeCell ref="P930:S930"/>
    <mergeCell ref="T930:U930"/>
    <mergeCell ref="V930:X930"/>
    <mergeCell ref="Y928:AA928"/>
    <mergeCell ref="AB928:AD928"/>
    <mergeCell ref="AE928:AH928"/>
    <mergeCell ref="E929:F929"/>
    <mergeCell ref="G929:I929"/>
    <mergeCell ref="J929:L929"/>
    <mergeCell ref="M929:O929"/>
    <mergeCell ref="P929:S929"/>
    <mergeCell ref="T929:U929"/>
    <mergeCell ref="V929:X929"/>
    <mergeCell ref="Y927:AA927"/>
    <mergeCell ref="AB927:AD927"/>
    <mergeCell ref="AE927:AH927"/>
    <mergeCell ref="E928:F928"/>
    <mergeCell ref="G928:I928"/>
    <mergeCell ref="J928:L928"/>
    <mergeCell ref="M928:O928"/>
    <mergeCell ref="P928:S928"/>
    <mergeCell ref="T928:U928"/>
    <mergeCell ref="V928:X928"/>
    <mergeCell ref="Y926:AA926"/>
    <mergeCell ref="AB926:AD926"/>
    <mergeCell ref="AE926:AH926"/>
    <mergeCell ref="E927:F927"/>
    <mergeCell ref="G927:I927"/>
    <mergeCell ref="J927:L927"/>
    <mergeCell ref="M927:O927"/>
    <mergeCell ref="P927:S927"/>
    <mergeCell ref="T927:U927"/>
    <mergeCell ref="V927:X927"/>
    <mergeCell ref="Y924:AA925"/>
    <mergeCell ref="AB924:AD925"/>
    <mergeCell ref="AE924:AH925"/>
    <mergeCell ref="E926:F926"/>
    <mergeCell ref="G926:I926"/>
    <mergeCell ref="J926:L926"/>
    <mergeCell ref="M926:O926"/>
    <mergeCell ref="P926:S926"/>
    <mergeCell ref="T926:U926"/>
    <mergeCell ref="V926:X926"/>
    <mergeCell ref="AD919:AF919"/>
    <mergeCell ref="E923:S923"/>
    <mergeCell ref="T923:AH923"/>
    <mergeCell ref="E924:F925"/>
    <mergeCell ref="G924:I925"/>
    <mergeCell ref="J924:L925"/>
    <mergeCell ref="M924:O925"/>
    <mergeCell ref="P924:S925"/>
    <mergeCell ref="T924:U925"/>
    <mergeCell ref="V924:X925"/>
    <mergeCell ref="Y917:AA917"/>
    <mergeCell ref="AB917:AD917"/>
    <mergeCell ref="AE917:AH917"/>
    <mergeCell ref="E918:F918"/>
    <mergeCell ref="G918:S918"/>
    <mergeCell ref="T918:U918"/>
    <mergeCell ref="V918:AH918"/>
    <mergeCell ref="Y916:AA916"/>
    <mergeCell ref="AB916:AD916"/>
    <mergeCell ref="AE916:AH916"/>
    <mergeCell ref="E917:F917"/>
    <mergeCell ref="G917:I917"/>
    <mergeCell ref="J917:L917"/>
    <mergeCell ref="M917:O917"/>
    <mergeCell ref="P917:S917"/>
    <mergeCell ref="T917:U917"/>
    <mergeCell ref="V917:X917"/>
    <mergeCell ref="Y915:AA915"/>
    <mergeCell ref="AB915:AD915"/>
    <mergeCell ref="AE915:AH915"/>
    <mergeCell ref="E916:F916"/>
    <mergeCell ref="G916:I916"/>
    <mergeCell ref="J916:L916"/>
    <mergeCell ref="M916:O916"/>
    <mergeCell ref="P916:S916"/>
    <mergeCell ref="T916:U916"/>
    <mergeCell ref="V916:X916"/>
    <mergeCell ref="Y914:AA914"/>
    <mergeCell ref="AB914:AD914"/>
    <mergeCell ref="AE914:AH914"/>
    <mergeCell ref="E915:F915"/>
    <mergeCell ref="G915:I915"/>
    <mergeCell ref="J915:L915"/>
    <mergeCell ref="M915:O915"/>
    <mergeCell ref="P915:S915"/>
    <mergeCell ref="T915:U915"/>
    <mergeCell ref="V915:X915"/>
    <mergeCell ref="Y913:AA913"/>
    <mergeCell ref="AB913:AD913"/>
    <mergeCell ref="AE913:AH913"/>
    <mergeCell ref="E914:F914"/>
    <mergeCell ref="G914:I914"/>
    <mergeCell ref="J914:L914"/>
    <mergeCell ref="M914:O914"/>
    <mergeCell ref="P914:S914"/>
    <mergeCell ref="T914:U914"/>
    <mergeCell ref="V914:X914"/>
    <mergeCell ref="Y912:AA912"/>
    <mergeCell ref="AB912:AD912"/>
    <mergeCell ref="AE912:AH912"/>
    <mergeCell ref="E913:F913"/>
    <mergeCell ref="G913:I913"/>
    <mergeCell ref="J913:L913"/>
    <mergeCell ref="M913:O913"/>
    <mergeCell ref="P913:S913"/>
    <mergeCell ref="T913:U913"/>
    <mergeCell ref="V913:X913"/>
    <mergeCell ref="Y911:AA911"/>
    <mergeCell ref="AB911:AD911"/>
    <mergeCell ref="AE911:AH911"/>
    <mergeCell ref="E912:F912"/>
    <mergeCell ref="G912:I912"/>
    <mergeCell ref="J912:L912"/>
    <mergeCell ref="M912:O912"/>
    <mergeCell ref="P912:S912"/>
    <mergeCell ref="T912:U912"/>
    <mergeCell ref="V912:X912"/>
    <mergeCell ref="Y910:AA910"/>
    <mergeCell ref="AB910:AD910"/>
    <mergeCell ref="AE910:AH910"/>
    <mergeCell ref="E911:F911"/>
    <mergeCell ref="G911:I911"/>
    <mergeCell ref="J911:L911"/>
    <mergeCell ref="M911:O911"/>
    <mergeCell ref="P911:S911"/>
    <mergeCell ref="T911:U911"/>
    <mergeCell ref="V911:X911"/>
    <mergeCell ref="Y909:AA909"/>
    <mergeCell ref="AB909:AD909"/>
    <mergeCell ref="AE909:AH909"/>
    <mergeCell ref="E910:F910"/>
    <mergeCell ref="G910:I910"/>
    <mergeCell ref="J910:L910"/>
    <mergeCell ref="M910:O910"/>
    <mergeCell ref="P910:S910"/>
    <mergeCell ref="T910:U910"/>
    <mergeCell ref="V910:X910"/>
    <mergeCell ref="Y908:AA908"/>
    <mergeCell ref="AB908:AD908"/>
    <mergeCell ref="AE908:AH908"/>
    <mergeCell ref="E909:F909"/>
    <mergeCell ref="G909:I909"/>
    <mergeCell ref="J909:L909"/>
    <mergeCell ref="M909:O909"/>
    <mergeCell ref="P909:S909"/>
    <mergeCell ref="T909:U909"/>
    <mergeCell ref="V909:X909"/>
    <mergeCell ref="Y907:AA907"/>
    <mergeCell ref="AB907:AD907"/>
    <mergeCell ref="AE907:AH907"/>
    <mergeCell ref="E908:F908"/>
    <mergeCell ref="G908:I908"/>
    <mergeCell ref="J908:L908"/>
    <mergeCell ref="M908:O908"/>
    <mergeCell ref="P908:S908"/>
    <mergeCell ref="T908:U908"/>
    <mergeCell ref="V908:X908"/>
    <mergeCell ref="Y906:AA906"/>
    <mergeCell ref="AB906:AD906"/>
    <mergeCell ref="AE906:AH906"/>
    <mergeCell ref="E907:F907"/>
    <mergeCell ref="G907:I907"/>
    <mergeCell ref="J907:L907"/>
    <mergeCell ref="M907:O907"/>
    <mergeCell ref="P907:S907"/>
    <mergeCell ref="T907:U907"/>
    <mergeCell ref="V907:X907"/>
    <mergeCell ref="Y905:AA905"/>
    <mergeCell ref="AB905:AD905"/>
    <mergeCell ref="AE905:AH905"/>
    <mergeCell ref="E906:F906"/>
    <mergeCell ref="G906:I906"/>
    <mergeCell ref="J906:L906"/>
    <mergeCell ref="M906:O906"/>
    <mergeCell ref="P906:S906"/>
    <mergeCell ref="T906:U906"/>
    <mergeCell ref="V906:X906"/>
    <mergeCell ref="Y904:AA904"/>
    <mergeCell ref="AB904:AD904"/>
    <mergeCell ref="AE904:AH904"/>
    <mergeCell ref="E905:F905"/>
    <mergeCell ref="G905:I905"/>
    <mergeCell ref="J905:L905"/>
    <mergeCell ref="M905:O905"/>
    <mergeCell ref="P905:S905"/>
    <mergeCell ref="T905:U905"/>
    <mergeCell ref="V905:X905"/>
    <mergeCell ref="Y903:AA903"/>
    <mergeCell ref="AB903:AD903"/>
    <mergeCell ref="AE903:AH903"/>
    <mergeCell ref="E904:F904"/>
    <mergeCell ref="G904:I904"/>
    <mergeCell ref="J904:L904"/>
    <mergeCell ref="M904:O904"/>
    <mergeCell ref="P904:S904"/>
    <mergeCell ref="T904:U904"/>
    <mergeCell ref="V904:X904"/>
    <mergeCell ref="Y902:AA902"/>
    <mergeCell ref="AB902:AD902"/>
    <mergeCell ref="AE902:AH902"/>
    <mergeCell ref="E903:F903"/>
    <mergeCell ref="G903:I903"/>
    <mergeCell ref="J903:L903"/>
    <mergeCell ref="M903:O903"/>
    <mergeCell ref="P903:S903"/>
    <mergeCell ref="T903:U903"/>
    <mergeCell ref="V903:X903"/>
    <mergeCell ref="Y900:AA901"/>
    <mergeCell ref="AB900:AD901"/>
    <mergeCell ref="AE900:AH901"/>
    <mergeCell ref="E902:F902"/>
    <mergeCell ref="G902:I902"/>
    <mergeCell ref="J902:L902"/>
    <mergeCell ref="M902:O902"/>
    <mergeCell ref="P902:S902"/>
    <mergeCell ref="T902:U902"/>
    <mergeCell ref="V902:X902"/>
    <mergeCell ref="AD895:AF895"/>
    <mergeCell ref="E899:S899"/>
    <mergeCell ref="T899:AH899"/>
    <mergeCell ref="E900:F901"/>
    <mergeCell ref="G900:I901"/>
    <mergeCell ref="J900:L901"/>
    <mergeCell ref="M900:O901"/>
    <mergeCell ref="P900:S901"/>
    <mergeCell ref="T900:U901"/>
    <mergeCell ref="V900:X901"/>
    <mergeCell ref="V893:X893"/>
    <mergeCell ref="Y893:AA893"/>
    <mergeCell ref="AB893:AD893"/>
    <mergeCell ref="AE893:AH893"/>
    <mergeCell ref="E894:F894"/>
    <mergeCell ref="G894:S894"/>
    <mergeCell ref="T894:U894"/>
    <mergeCell ref="V894:AH894"/>
    <mergeCell ref="V892:X892"/>
    <mergeCell ref="Y892:AA892"/>
    <mergeCell ref="AB892:AD892"/>
    <mergeCell ref="AE892:AH892"/>
    <mergeCell ref="E893:F893"/>
    <mergeCell ref="G893:I893"/>
    <mergeCell ref="J893:L893"/>
    <mergeCell ref="M893:O893"/>
    <mergeCell ref="P893:S893"/>
    <mergeCell ref="T893:U893"/>
    <mergeCell ref="V891:X891"/>
    <mergeCell ref="Y891:AA891"/>
    <mergeCell ref="AB891:AD891"/>
    <mergeCell ref="AE891:AH891"/>
    <mergeCell ref="E892:F892"/>
    <mergeCell ref="G892:I892"/>
    <mergeCell ref="J892:L892"/>
    <mergeCell ref="M892:O892"/>
    <mergeCell ref="P892:S892"/>
    <mergeCell ref="T892:U892"/>
    <mergeCell ref="V890:X890"/>
    <mergeCell ref="Y890:AA890"/>
    <mergeCell ref="AB890:AD890"/>
    <mergeCell ref="AE890:AH890"/>
    <mergeCell ref="E891:F891"/>
    <mergeCell ref="G891:I891"/>
    <mergeCell ref="J891:L891"/>
    <mergeCell ref="M891:O891"/>
    <mergeCell ref="P891:S891"/>
    <mergeCell ref="T891:U891"/>
    <mergeCell ref="V889:X889"/>
    <mergeCell ref="Y889:AA889"/>
    <mergeCell ref="AB889:AD889"/>
    <mergeCell ref="AE889:AH889"/>
    <mergeCell ref="E890:F890"/>
    <mergeCell ref="G890:I890"/>
    <mergeCell ref="J890:L890"/>
    <mergeCell ref="M890:O890"/>
    <mergeCell ref="P890:S890"/>
    <mergeCell ref="T890:U890"/>
    <mergeCell ref="V888:X888"/>
    <mergeCell ref="Y888:AA888"/>
    <mergeCell ref="AB888:AD888"/>
    <mergeCell ref="AE888:AH888"/>
    <mergeCell ref="E889:F889"/>
    <mergeCell ref="G889:I889"/>
    <mergeCell ref="J889:L889"/>
    <mergeCell ref="M889:O889"/>
    <mergeCell ref="P889:S889"/>
    <mergeCell ref="T889:U889"/>
    <mergeCell ref="V887:X887"/>
    <mergeCell ref="Y887:AA887"/>
    <mergeCell ref="AB887:AD887"/>
    <mergeCell ref="AE887:AH887"/>
    <mergeCell ref="E888:F888"/>
    <mergeCell ref="G888:I888"/>
    <mergeCell ref="J888:L888"/>
    <mergeCell ref="M888:O888"/>
    <mergeCell ref="P888:S888"/>
    <mergeCell ref="T888:U888"/>
    <mergeCell ref="V886:X886"/>
    <mergeCell ref="Y886:AA886"/>
    <mergeCell ref="AB886:AD886"/>
    <mergeCell ref="AE886:AH886"/>
    <mergeCell ref="E887:F887"/>
    <mergeCell ref="G887:I887"/>
    <mergeCell ref="J887:L887"/>
    <mergeCell ref="M887:O887"/>
    <mergeCell ref="P887:S887"/>
    <mergeCell ref="T887:U887"/>
    <mergeCell ref="V885:X885"/>
    <mergeCell ref="Y885:AA885"/>
    <mergeCell ref="AB885:AD885"/>
    <mergeCell ref="AE885:AH885"/>
    <mergeCell ref="E886:F886"/>
    <mergeCell ref="G886:I886"/>
    <mergeCell ref="J886:L886"/>
    <mergeCell ref="M886:O886"/>
    <mergeCell ref="P886:S886"/>
    <mergeCell ref="T886:U886"/>
    <mergeCell ref="V884:X884"/>
    <mergeCell ref="Y884:AA884"/>
    <mergeCell ref="AB884:AD884"/>
    <mergeCell ref="AE884:AH884"/>
    <mergeCell ref="E885:F885"/>
    <mergeCell ref="G885:I885"/>
    <mergeCell ref="J885:L885"/>
    <mergeCell ref="M885:O885"/>
    <mergeCell ref="P885:S885"/>
    <mergeCell ref="T885:U885"/>
    <mergeCell ref="V883:X883"/>
    <mergeCell ref="Y883:AA883"/>
    <mergeCell ref="AB883:AD883"/>
    <mergeCell ref="AE883:AH883"/>
    <mergeCell ref="E884:F884"/>
    <mergeCell ref="G884:I884"/>
    <mergeCell ref="J884:L884"/>
    <mergeCell ref="M884:O884"/>
    <mergeCell ref="P884:S884"/>
    <mergeCell ref="T884:U884"/>
    <mergeCell ref="V882:X882"/>
    <mergeCell ref="Y882:AA882"/>
    <mergeCell ref="AB882:AD882"/>
    <mergeCell ref="AE882:AH882"/>
    <mergeCell ref="E883:F883"/>
    <mergeCell ref="G883:I883"/>
    <mergeCell ref="J883:L883"/>
    <mergeCell ref="M883:O883"/>
    <mergeCell ref="P883:S883"/>
    <mergeCell ref="T883:U883"/>
    <mergeCell ref="V881:X881"/>
    <mergeCell ref="Y881:AA881"/>
    <mergeCell ref="AB881:AD881"/>
    <mergeCell ref="AE881:AH881"/>
    <mergeCell ref="E882:F882"/>
    <mergeCell ref="G882:I882"/>
    <mergeCell ref="J882:L882"/>
    <mergeCell ref="M882:O882"/>
    <mergeCell ref="P882:S882"/>
    <mergeCell ref="T882:U882"/>
    <mergeCell ref="V880:X880"/>
    <mergeCell ref="Y880:AA880"/>
    <mergeCell ref="AB880:AD880"/>
    <mergeCell ref="AE880:AH880"/>
    <mergeCell ref="E881:F881"/>
    <mergeCell ref="G881:I881"/>
    <mergeCell ref="J881:L881"/>
    <mergeCell ref="M881:O881"/>
    <mergeCell ref="P881:S881"/>
    <mergeCell ref="T881:U881"/>
    <mergeCell ref="V879:X879"/>
    <mergeCell ref="Y879:AA879"/>
    <mergeCell ref="AB879:AD879"/>
    <mergeCell ref="AE879:AH879"/>
    <mergeCell ref="E880:F880"/>
    <mergeCell ref="G880:I880"/>
    <mergeCell ref="J880:L880"/>
    <mergeCell ref="M880:O880"/>
    <mergeCell ref="P880:S880"/>
    <mergeCell ref="T880:U880"/>
    <mergeCell ref="V878:X878"/>
    <mergeCell ref="Y878:AA878"/>
    <mergeCell ref="AB878:AD878"/>
    <mergeCell ref="AE878:AH878"/>
    <mergeCell ref="E879:F879"/>
    <mergeCell ref="G879:I879"/>
    <mergeCell ref="J879:L879"/>
    <mergeCell ref="M879:O879"/>
    <mergeCell ref="P879:S879"/>
    <mergeCell ref="T879:U879"/>
    <mergeCell ref="V876:X877"/>
    <mergeCell ref="Y876:AA877"/>
    <mergeCell ref="AB876:AD877"/>
    <mergeCell ref="AE876:AH877"/>
    <mergeCell ref="E878:F878"/>
    <mergeCell ref="G878:I878"/>
    <mergeCell ref="J878:L878"/>
    <mergeCell ref="M878:O878"/>
    <mergeCell ref="P878:S878"/>
    <mergeCell ref="T878:U878"/>
    <mergeCell ref="AC866:AD866"/>
    <mergeCell ref="AE866:AF866"/>
    <mergeCell ref="E875:S875"/>
    <mergeCell ref="T875:AH875"/>
    <mergeCell ref="E876:F877"/>
    <mergeCell ref="G876:I877"/>
    <mergeCell ref="J876:L877"/>
    <mergeCell ref="M876:O877"/>
    <mergeCell ref="P876:S877"/>
    <mergeCell ref="T876:U877"/>
    <mergeCell ref="L866:P866"/>
    <mergeCell ref="R866:S866"/>
    <mergeCell ref="T866:U866"/>
    <mergeCell ref="V866:W866"/>
    <mergeCell ref="X866:Y866"/>
    <mergeCell ref="Z866:AA866"/>
    <mergeCell ref="I863:J863"/>
    <mergeCell ref="L865:T865"/>
    <mergeCell ref="V865:W865"/>
    <mergeCell ref="X865:Y865"/>
    <mergeCell ref="Z865:AA865"/>
    <mergeCell ref="AB865:AC865"/>
    <mergeCell ref="Q850:S850"/>
    <mergeCell ref="H851:J851"/>
    <mergeCell ref="E860:F860"/>
    <mergeCell ref="H860:I860"/>
    <mergeCell ref="K860:L860"/>
    <mergeCell ref="I862:J862"/>
    <mergeCell ref="O847:P847"/>
    <mergeCell ref="E849:F849"/>
    <mergeCell ref="H849:I849"/>
    <mergeCell ref="K849:L849"/>
    <mergeCell ref="H850:J850"/>
    <mergeCell ref="L850:M850"/>
    <mergeCell ref="I841:J841"/>
    <mergeCell ref="E845:F845"/>
    <mergeCell ref="H845:I845"/>
    <mergeCell ref="H846:I846"/>
    <mergeCell ref="K846:L846"/>
    <mergeCell ref="H847:J847"/>
    <mergeCell ref="I835:J835"/>
    <mergeCell ref="I836:J836"/>
    <mergeCell ref="S838:T838"/>
    <mergeCell ref="V838:W838"/>
    <mergeCell ref="Y838:Z838"/>
    <mergeCell ref="S839:T839"/>
    <mergeCell ref="V839:W839"/>
    <mergeCell ref="Y839:Z839"/>
    <mergeCell ref="I826:J826"/>
    <mergeCell ref="I827:J827"/>
    <mergeCell ref="I828:J828"/>
    <mergeCell ref="E833:F833"/>
    <mergeCell ref="H833:I833"/>
    <mergeCell ref="K833:L833"/>
    <mergeCell ref="AA815:AC815"/>
    <mergeCell ref="AD815:AH815"/>
    <mergeCell ref="AD816:AF816"/>
    <mergeCell ref="E824:F824"/>
    <mergeCell ref="H824:I824"/>
    <mergeCell ref="K824:L824"/>
    <mergeCell ref="E815:G815"/>
    <mergeCell ref="H815:K815"/>
    <mergeCell ref="L815:N815"/>
    <mergeCell ref="O815:S815"/>
    <mergeCell ref="T815:V815"/>
    <mergeCell ref="W815:Z815"/>
    <mergeCell ref="AA813:AC813"/>
    <mergeCell ref="AD813:AH813"/>
    <mergeCell ref="E814:G814"/>
    <mergeCell ref="H814:K814"/>
    <mergeCell ref="L814:N814"/>
    <mergeCell ref="O814:S814"/>
    <mergeCell ref="T814:V814"/>
    <mergeCell ref="W814:Z814"/>
    <mergeCell ref="AA814:AC814"/>
    <mergeCell ref="AD814:AH814"/>
    <mergeCell ref="E813:G813"/>
    <mergeCell ref="H813:K813"/>
    <mergeCell ref="L813:N813"/>
    <mergeCell ref="O813:S813"/>
    <mergeCell ref="T813:V813"/>
    <mergeCell ref="W813:Z813"/>
    <mergeCell ref="AA811:AC811"/>
    <mergeCell ref="AD811:AH811"/>
    <mergeCell ref="E812:G812"/>
    <mergeCell ref="H812:K812"/>
    <mergeCell ref="L812:N812"/>
    <mergeCell ref="O812:S812"/>
    <mergeCell ref="T812:V812"/>
    <mergeCell ref="W812:Z812"/>
    <mergeCell ref="AA812:AC812"/>
    <mergeCell ref="AD812:AH812"/>
    <mergeCell ref="E811:G811"/>
    <mergeCell ref="H811:K811"/>
    <mergeCell ref="L811:N811"/>
    <mergeCell ref="O811:S811"/>
    <mergeCell ref="T811:V811"/>
    <mergeCell ref="W811:Z811"/>
    <mergeCell ref="AA809:AC809"/>
    <mergeCell ref="AD809:AH809"/>
    <mergeCell ref="E810:G810"/>
    <mergeCell ref="H810:K810"/>
    <mergeCell ref="L810:N810"/>
    <mergeCell ref="O810:S810"/>
    <mergeCell ref="T810:V810"/>
    <mergeCell ref="W810:Z810"/>
    <mergeCell ref="AA810:AC810"/>
    <mergeCell ref="AD810:AH810"/>
    <mergeCell ref="E809:G809"/>
    <mergeCell ref="H809:K809"/>
    <mergeCell ref="L809:N809"/>
    <mergeCell ref="O809:S809"/>
    <mergeCell ref="T809:V809"/>
    <mergeCell ref="W809:Z809"/>
    <mergeCell ref="AA807:AC807"/>
    <mergeCell ref="AD807:AH807"/>
    <mergeCell ref="E808:G808"/>
    <mergeCell ref="H808:K808"/>
    <mergeCell ref="L808:N808"/>
    <mergeCell ref="O808:S808"/>
    <mergeCell ref="T808:V808"/>
    <mergeCell ref="W808:Z808"/>
    <mergeCell ref="AA808:AC808"/>
    <mergeCell ref="AD808:AH808"/>
    <mergeCell ref="E807:G807"/>
    <mergeCell ref="H807:K807"/>
    <mergeCell ref="L807:N807"/>
    <mergeCell ref="O807:S807"/>
    <mergeCell ref="T807:V807"/>
    <mergeCell ref="W807:Z807"/>
    <mergeCell ref="AA805:AC805"/>
    <mergeCell ref="AD805:AH805"/>
    <mergeCell ref="E806:G806"/>
    <mergeCell ref="H806:K806"/>
    <mergeCell ref="L806:N806"/>
    <mergeCell ref="O806:S806"/>
    <mergeCell ref="T806:V806"/>
    <mergeCell ref="W806:Z806"/>
    <mergeCell ref="AA806:AC806"/>
    <mergeCell ref="AD806:AH806"/>
    <mergeCell ref="E805:G805"/>
    <mergeCell ref="H805:K805"/>
    <mergeCell ref="L805:N805"/>
    <mergeCell ref="O805:S805"/>
    <mergeCell ref="T805:V805"/>
    <mergeCell ref="W805:Z805"/>
    <mergeCell ref="AA803:AC803"/>
    <mergeCell ref="AD803:AH803"/>
    <mergeCell ref="E804:G804"/>
    <mergeCell ref="H804:K804"/>
    <mergeCell ref="L804:N804"/>
    <mergeCell ref="O804:S804"/>
    <mergeCell ref="T804:V804"/>
    <mergeCell ref="W804:Z804"/>
    <mergeCell ref="AA804:AC804"/>
    <mergeCell ref="AD804:AH804"/>
    <mergeCell ref="E803:G803"/>
    <mergeCell ref="H803:K803"/>
    <mergeCell ref="L803:N803"/>
    <mergeCell ref="O803:S803"/>
    <mergeCell ref="T803:V803"/>
    <mergeCell ref="W803:Z803"/>
    <mergeCell ref="AA801:AC801"/>
    <mergeCell ref="AD801:AH801"/>
    <mergeCell ref="E802:G802"/>
    <mergeCell ref="H802:K802"/>
    <mergeCell ref="L802:N802"/>
    <mergeCell ref="O802:S802"/>
    <mergeCell ref="T802:V802"/>
    <mergeCell ref="W802:Z802"/>
    <mergeCell ref="AA802:AC802"/>
    <mergeCell ref="AD802:AH802"/>
    <mergeCell ref="E801:G801"/>
    <mergeCell ref="H801:K801"/>
    <mergeCell ref="L801:N801"/>
    <mergeCell ref="O801:S801"/>
    <mergeCell ref="T801:V801"/>
    <mergeCell ref="W801:Z801"/>
    <mergeCell ref="AD798:AH799"/>
    <mergeCell ref="E800:G800"/>
    <mergeCell ref="H800:K800"/>
    <mergeCell ref="L800:N800"/>
    <mergeCell ref="O800:S800"/>
    <mergeCell ref="T800:V800"/>
    <mergeCell ref="W800:Z800"/>
    <mergeCell ref="AA800:AC800"/>
    <mergeCell ref="AD800:AH800"/>
    <mergeCell ref="AD793:AF793"/>
    <mergeCell ref="E797:S797"/>
    <mergeCell ref="T797:AH797"/>
    <mergeCell ref="E798:G799"/>
    <mergeCell ref="H798:K799"/>
    <mergeCell ref="L798:N799"/>
    <mergeCell ref="O798:S799"/>
    <mergeCell ref="T798:V799"/>
    <mergeCell ref="W798:Z799"/>
    <mergeCell ref="AA798:AC799"/>
    <mergeCell ref="AA791:AC791"/>
    <mergeCell ref="AD791:AH791"/>
    <mergeCell ref="E792:G792"/>
    <mergeCell ref="H792:K792"/>
    <mergeCell ref="L792:N792"/>
    <mergeCell ref="O792:S792"/>
    <mergeCell ref="T792:V792"/>
    <mergeCell ref="W792:Z792"/>
    <mergeCell ref="AA792:AC792"/>
    <mergeCell ref="AD792:AH792"/>
    <mergeCell ref="E791:G791"/>
    <mergeCell ref="H791:K791"/>
    <mergeCell ref="L791:N791"/>
    <mergeCell ref="O791:S791"/>
    <mergeCell ref="T791:V791"/>
    <mergeCell ref="W791:Z791"/>
    <mergeCell ref="AA789:AC789"/>
    <mergeCell ref="AD789:AH789"/>
    <mergeCell ref="E790:G790"/>
    <mergeCell ref="H790:K790"/>
    <mergeCell ref="L790:N790"/>
    <mergeCell ref="O790:S790"/>
    <mergeCell ref="T790:V790"/>
    <mergeCell ref="W790:Z790"/>
    <mergeCell ref="AA790:AC790"/>
    <mergeCell ref="AD790:AH790"/>
    <mergeCell ref="E789:G789"/>
    <mergeCell ref="H789:K789"/>
    <mergeCell ref="L789:N789"/>
    <mergeCell ref="O789:S789"/>
    <mergeCell ref="T789:V789"/>
    <mergeCell ref="W789:Z789"/>
    <mergeCell ref="AA787:AC787"/>
    <mergeCell ref="AD787:AH787"/>
    <mergeCell ref="E788:G788"/>
    <mergeCell ref="H788:K788"/>
    <mergeCell ref="L788:N788"/>
    <mergeCell ref="O788:S788"/>
    <mergeCell ref="T788:V788"/>
    <mergeCell ref="W788:Z788"/>
    <mergeCell ref="AA788:AC788"/>
    <mergeCell ref="AD788:AH788"/>
    <mergeCell ref="E787:G787"/>
    <mergeCell ref="H787:K787"/>
    <mergeCell ref="L787:N787"/>
    <mergeCell ref="O787:S787"/>
    <mergeCell ref="T787:V787"/>
    <mergeCell ref="W787:Z787"/>
    <mergeCell ref="AA785:AC785"/>
    <mergeCell ref="AD785:AH785"/>
    <mergeCell ref="E786:G786"/>
    <mergeCell ref="H786:K786"/>
    <mergeCell ref="L786:N786"/>
    <mergeCell ref="O786:S786"/>
    <mergeCell ref="T786:V786"/>
    <mergeCell ref="W786:Z786"/>
    <mergeCell ref="AA786:AC786"/>
    <mergeCell ref="AD786:AH786"/>
    <mergeCell ref="E785:G785"/>
    <mergeCell ref="H785:K785"/>
    <mergeCell ref="L785:N785"/>
    <mergeCell ref="O785:S785"/>
    <mergeCell ref="T785:V785"/>
    <mergeCell ref="W785:Z785"/>
    <mergeCell ref="AA783:AC783"/>
    <mergeCell ref="AD783:AH783"/>
    <mergeCell ref="E784:G784"/>
    <mergeCell ref="H784:K784"/>
    <mergeCell ref="L784:N784"/>
    <mergeCell ref="O784:S784"/>
    <mergeCell ref="T784:V784"/>
    <mergeCell ref="W784:Z784"/>
    <mergeCell ref="AA784:AC784"/>
    <mergeCell ref="AD784:AH784"/>
    <mergeCell ref="E783:G783"/>
    <mergeCell ref="H783:K783"/>
    <mergeCell ref="L783:N783"/>
    <mergeCell ref="O783:S783"/>
    <mergeCell ref="T783:V783"/>
    <mergeCell ref="W783:Z783"/>
    <mergeCell ref="AA781:AC781"/>
    <mergeCell ref="AD781:AH781"/>
    <mergeCell ref="E782:G782"/>
    <mergeCell ref="H782:K782"/>
    <mergeCell ref="L782:N782"/>
    <mergeCell ref="O782:S782"/>
    <mergeCell ref="T782:V782"/>
    <mergeCell ref="W782:Z782"/>
    <mergeCell ref="AA782:AC782"/>
    <mergeCell ref="AD782:AH782"/>
    <mergeCell ref="E781:G781"/>
    <mergeCell ref="H781:K781"/>
    <mergeCell ref="L781:N781"/>
    <mergeCell ref="O781:S781"/>
    <mergeCell ref="T781:V781"/>
    <mergeCell ref="W781:Z781"/>
    <mergeCell ref="AA779:AC779"/>
    <mergeCell ref="AD779:AH779"/>
    <mergeCell ref="E780:G780"/>
    <mergeCell ref="H780:K780"/>
    <mergeCell ref="L780:N780"/>
    <mergeCell ref="O780:S780"/>
    <mergeCell ref="T780:V780"/>
    <mergeCell ref="W780:Z780"/>
    <mergeCell ref="AA780:AC780"/>
    <mergeCell ref="AD780:AH780"/>
    <mergeCell ref="E779:G779"/>
    <mergeCell ref="H779:K779"/>
    <mergeCell ref="L779:N779"/>
    <mergeCell ref="O779:S779"/>
    <mergeCell ref="T779:V779"/>
    <mergeCell ref="W779:Z779"/>
    <mergeCell ref="AD777:AH777"/>
    <mergeCell ref="E778:G778"/>
    <mergeCell ref="H778:K778"/>
    <mergeCell ref="L778:N778"/>
    <mergeCell ref="O778:S778"/>
    <mergeCell ref="T778:V778"/>
    <mergeCell ref="W778:Z778"/>
    <mergeCell ref="AA778:AC778"/>
    <mergeCell ref="AD778:AH778"/>
    <mergeCell ref="W775:Z776"/>
    <mergeCell ref="AA775:AC776"/>
    <mergeCell ref="AD775:AH776"/>
    <mergeCell ref="E777:G777"/>
    <mergeCell ref="H777:K777"/>
    <mergeCell ref="L777:N777"/>
    <mergeCell ref="O777:S777"/>
    <mergeCell ref="T777:V777"/>
    <mergeCell ref="W777:Z777"/>
    <mergeCell ref="AA777:AC777"/>
    <mergeCell ref="AA769:AC769"/>
    <mergeCell ref="AD769:AH769"/>
    <mergeCell ref="AD770:AF770"/>
    <mergeCell ref="E774:S774"/>
    <mergeCell ref="T774:AH774"/>
    <mergeCell ref="E775:G776"/>
    <mergeCell ref="H775:K776"/>
    <mergeCell ref="L775:N776"/>
    <mergeCell ref="O775:S776"/>
    <mergeCell ref="T775:V776"/>
    <mergeCell ref="E769:G769"/>
    <mergeCell ref="H769:K769"/>
    <mergeCell ref="L769:N769"/>
    <mergeCell ref="O769:S769"/>
    <mergeCell ref="T769:V769"/>
    <mergeCell ref="W769:Z769"/>
    <mergeCell ref="AA767:AC767"/>
    <mergeCell ref="AD767:AH767"/>
    <mergeCell ref="E768:G768"/>
    <mergeCell ref="H768:K768"/>
    <mergeCell ref="L768:N768"/>
    <mergeCell ref="O768:S768"/>
    <mergeCell ref="T768:V768"/>
    <mergeCell ref="W768:Z768"/>
    <mergeCell ref="AA768:AC768"/>
    <mergeCell ref="AD768:AH768"/>
    <mergeCell ref="E767:G767"/>
    <mergeCell ref="H767:K767"/>
    <mergeCell ref="L767:N767"/>
    <mergeCell ref="O767:S767"/>
    <mergeCell ref="T767:V767"/>
    <mergeCell ref="W767:Z767"/>
    <mergeCell ref="AA765:AC765"/>
    <mergeCell ref="AD765:AH765"/>
    <mergeCell ref="E766:G766"/>
    <mergeCell ref="H766:K766"/>
    <mergeCell ref="L766:N766"/>
    <mergeCell ref="O766:S766"/>
    <mergeCell ref="T766:V766"/>
    <mergeCell ref="W766:Z766"/>
    <mergeCell ref="AA766:AC766"/>
    <mergeCell ref="AD766:AH766"/>
    <mergeCell ref="E765:G765"/>
    <mergeCell ref="H765:K765"/>
    <mergeCell ref="L765:N765"/>
    <mergeCell ref="O765:S765"/>
    <mergeCell ref="T765:V765"/>
    <mergeCell ref="W765:Z765"/>
    <mergeCell ref="AA763:AC763"/>
    <mergeCell ref="AD763:AH763"/>
    <mergeCell ref="E764:G764"/>
    <mergeCell ref="H764:K764"/>
    <mergeCell ref="L764:N764"/>
    <mergeCell ref="O764:S764"/>
    <mergeCell ref="T764:V764"/>
    <mergeCell ref="W764:Z764"/>
    <mergeCell ref="AA764:AC764"/>
    <mergeCell ref="AD764:AH764"/>
    <mergeCell ref="E763:G763"/>
    <mergeCell ref="H763:K763"/>
    <mergeCell ref="L763:N763"/>
    <mergeCell ref="O763:S763"/>
    <mergeCell ref="T763:V763"/>
    <mergeCell ref="W763:Z763"/>
    <mergeCell ref="AA761:AC761"/>
    <mergeCell ref="AD761:AH761"/>
    <mergeCell ref="E762:G762"/>
    <mergeCell ref="H762:K762"/>
    <mergeCell ref="L762:N762"/>
    <mergeCell ref="O762:S762"/>
    <mergeCell ref="T762:V762"/>
    <mergeCell ref="W762:Z762"/>
    <mergeCell ref="AA762:AC762"/>
    <mergeCell ref="AD762:AH762"/>
    <mergeCell ref="E761:G761"/>
    <mergeCell ref="H761:K761"/>
    <mergeCell ref="L761:N761"/>
    <mergeCell ref="O761:S761"/>
    <mergeCell ref="T761:V761"/>
    <mergeCell ref="W761:Z761"/>
    <mergeCell ref="AA759:AC759"/>
    <mergeCell ref="AD759:AH759"/>
    <mergeCell ref="E760:G760"/>
    <mergeCell ref="H760:K760"/>
    <mergeCell ref="L760:N760"/>
    <mergeCell ref="O760:S760"/>
    <mergeCell ref="T760:V760"/>
    <mergeCell ref="W760:Z760"/>
    <mergeCell ref="AA760:AC760"/>
    <mergeCell ref="AD760:AH760"/>
    <mergeCell ref="E759:G759"/>
    <mergeCell ref="H759:K759"/>
    <mergeCell ref="L759:N759"/>
    <mergeCell ref="O759:S759"/>
    <mergeCell ref="T759:V759"/>
    <mergeCell ref="W759:Z759"/>
    <mergeCell ref="AA757:AC757"/>
    <mergeCell ref="AD757:AH757"/>
    <mergeCell ref="E758:G758"/>
    <mergeCell ref="H758:K758"/>
    <mergeCell ref="L758:N758"/>
    <mergeCell ref="O758:S758"/>
    <mergeCell ref="T758:V758"/>
    <mergeCell ref="W758:Z758"/>
    <mergeCell ref="AA758:AC758"/>
    <mergeCell ref="AD758:AH758"/>
    <mergeCell ref="E757:G757"/>
    <mergeCell ref="H757:K757"/>
    <mergeCell ref="L757:N757"/>
    <mergeCell ref="O757:S757"/>
    <mergeCell ref="T757:V757"/>
    <mergeCell ref="W757:Z757"/>
    <mergeCell ref="AA755:AC755"/>
    <mergeCell ref="AD755:AH755"/>
    <mergeCell ref="E756:G756"/>
    <mergeCell ref="H756:K756"/>
    <mergeCell ref="L756:N756"/>
    <mergeCell ref="O756:S756"/>
    <mergeCell ref="T756:V756"/>
    <mergeCell ref="W756:Z756"/>
    <mergeCell ref="AA756:AC756"/>
    <mergeCell ref="AD756:AH756"/>
    <mergeCell ref="E755:G755"/>
    <mergeCell ref="H755:K755"/>
    <mergeCell ref="L755:N755"/>
    <mergeCell ref="O755:S755"/>
    <mergeCell ref="T755:V755"/>
    <mergeCell ref="W755:Z755"/>
    <mergeCell ref="AD752:AH753"/>
    <mergeCell ref="E754:G754"/>
    <mergeCell ref="H754:K754"/>
    <mergeCell ref="L754:N754"/>
    <mergeCell ref="O754:S754"/>
    <mergeCell ref="T754:V754"/>
    <mergeCell ref="W754:Z754"/>
    <mergeCell ref="AA754:AC754"/>
    <mergeCell ref="AD754:AH754"/>
    <mergeCell ref="AD747:AF747"/>
    <mergeCell ref="E751:S751"/>
    <mergeCell ref="T751:AH751"/>
    <mergeCell ref="E752:G753"/>
    <mergeCell ref="H752:K753"/>
    <mergeCell ref="L752:N753"/>
    <mergeCell ref="O752:S753"/>
    <mergeCell ref="T752:V753"/>
    <mergeCell ref="W752:Z753"/>
    <mergeCell ref="AA752:AC753"/>
    <mergeCell ref="AA745:AC745"/>
    <mergeCell ref="AD745:AH745"/>
    <mergeCell ref="E746:G746"/>
    <mergeCell ref="H746:K746"/>
    <mergeCell ref="L746:N746"/>
    <mergeCell ref="O746:S746"/>
    <mergeCell ref="T746:V746"/>
    <mergeCell ref="W746:Z746"/>
    <mergeCell ref="AA746:AC746"/>
    <mergeCell ref="AD746:AH746"/>
    <mergeCell ref="E745:G745"/>
    <mergeCell ref="H745:K745"/>
    <mergeCell ref="L745:N745"/>
    <mergeCell ref="O745:S745"/>
    <mergeCell ref="T745:V745"/>
    <mergeCell ref="W745:Z745"/>
    <mergeCell ref="AA743:AC743"/>
    <mergeCell ref="AD743:AH743"/>
    <mergeCell ref="E744:G744"/>
    <mergeCell ref="H744:K744"/>
    <mergeCell ref="L744:N744"/>
    <mergeCell ref="O744:S744"/>
    <mergeCell ref="T744:V744"/>
    <mergeCell ref="W744:Z744"/>
    <mergeCell ref="AA744:AC744"/>
    <mergeCell ref="AD744:AH744"/>
    <mergeCell ref="E743:G743"/>
    <mergeCell ref="H743:K743"/>
    <mergeCell ref="L743:N743"/>
    <mergeCell ref="O743:S743"/>
    <mergeCell ref="T743:V743"/>
    <mergeCell ref="W743:Z743"/>
    <mergeCell ref="AA741:AC741"/>
    <mergeCell ref="AD741:AH741"/>
    <mergeCell ref="E742:G742"/>
    <mergeCell ref="H742:K742"/>
    <mergeCell ref="L742:N742"/>
    <mergeCell ref="O742:S742"/>
    <mergeCell ref="T742:V742"/>
    <mergeCell ref="W742:Z742"/>
    <mergeCell ref="AA742:AC742"/>
    <mergeCell ref="AD742:AH742"/>
    <mergeCell ref="E741:G741"/>
    <mergeCell ref="H741:K741"/>
    <mergeCell ref="L741:N741"/>
    <mergeCell ref="O741:S741"/>
    <mergeCell ref="T741:V741"/>
    <mergeCell ref="W741:Z741"/>
    <mergeCell ref="AA739:AC739"/>
    <mergeCell ref="AD739:AH739"/>
    <mergeCell ref="E740:G740"/>
    <mergeCell ref="H740:K740"/>
    <mergeCell ref="L740:N740"/>
    <mergeCell ref="O740:S740"/>
    <mergeCell ref="T740:V740"/>
    <mergeCell ref="W740:Z740"/>
    <mergeCell ref="AA740:AC740"/>
    <mergeCell ref="AD740:AH740"/>
    <mergeCell ref="E739:G739"/>
    <mergeCell ref="H739:K739"/>
    <mergeCell ref="L739:N739"/>
    <mergeCell ref="O739:S739"/>
    <mergeCell ref="T739:V739"/>
    <mergeCell ref="W739:Z739"/>
    <mergeCell ref="AA737:AC737"/>
    <mergeCell ref="AD737:AH737"/>
    <mergeCell ref="E738:G738"/>
    <mergeCell ref="H738:K738"/>
    <mergeCell ref="L738:N738"/>
    <mergeCell ref="O738:S738"/>
    <mergeCell ref="T738:V738"/>
    <mergeCell ref="W738:Z738"/>
    <mergeCell ref="AA738:AC738"/>
    <mergeCell ref="AD738:AH738"/>
    <mergeCell ref="E737:G737"/>
    <mergeCell ref="H737:K737"/>
    <mergeCell ref="L737:N737"/>
    <mergeCell ref="O737:S737"/>
    <mergeCell ref="T737:V737"/>
    <mergeCell ref="W737:Z737"/>
    <mergeCell ref="AA735:AC735"/>
    <mergeCell ref="AD735:AH735"/>
    <mergeCell ref="E736:G736"/>
    <mergeCell ref="H736:K736"/>
    <mergeCell ref="L736:N736"/>
    <mergeCell ref="O736:S736"/>
    <mergeCell ref="T736:V736"/>
    <mergeCell ref="W736:Z736"/>
    <mergeCell ref="AA736:AC736"/>
    <mergeCell ref="AD736:AH736"/>
    <mergeCell ref="E735:G735"/>
    <mergeCell ref="H735:K735"/>
    <mergeCell ref="L735:N735"/>
    <mergeCell ref="O735:S735"/>
    <mergeCell ref="T735:V735"/>
    <mergeCell ref="W735:Z735"/>
    <mergeCell ref="AA733:AC733"/>
    <mergeCell ref="AD733:AH733"/>
    <mergeCell ref="E734:G734"/>
    <mergeCell ref="H734:K734"/>
    <mergeCell ref="L734:N734"/>
    <mergeCell ref="O734:S734"/>
    <mergeCell ref="T734:V734"/>
    <mergeCell ref="W734:Z734"/>
    <mergeCell ref="AA734:AC734"/>
    <mergeCell ref="AD734:AH734"/>
    <mergeCell ref="E733:G733"/>
    <mergeCell ref="H733:K733"/>
    <mergeCell ref="L733:N733"/>
    <mergeCell ref="O733:S733"/>
    <mergeCell ref="T733:V733"/>
    <mergeCell ref="W733:Z733"/>
    <mergeCell ref="AD731:AH731"/>
    <mergeCell ref="E732:G732"/>
    <mergeCell ref="H732:K732"/>
    <mergeCell ref="L732:N732"/>
    <mergeCell ref="O732:S732"/>
    <mergeCell ref="T732:V732"/>
    <mergeCell ref="W732:Z732"/>
    <mergeCell ref="AA732:AC732"/>
    <mergeCell ref="AD732:AH732"/>
    <mergeCell ref="W729:Z730"/>
    <mergeCell ref="AA729:AC730"/>
    <mergeCell ref="AD729:AH730"/>
    <mergeCell ref="E731:G731"/>
    <mergeCell ref="H731:K731"/>
    <mergeCell ref="L731:N731"/>
    <mergeCell ref="O731:S731"/>
    <mergeCell ref="T731:V731"/>
    <mergeCell ref="W731:Z731"/>
    <mergeCell ref="AA731:AC731"/>
    <mergeCell ref="AA723:AC723"/>
    <mergeCell ref="AD723:AH723"/>
    <mergeCell ref="AD724:AF724"/>
    <mergeCell ref="E728:S728"/>
    <mergeCell ref="T728:AH728"/>
    <mergeCell ref="E729:G730"/>
    <mergeCell ref="H729:K730"/>
    <mergeCell ref="L729:N730"/>
    <mergeCell ref="O729:S730"/>
    <mergeCell ref="T729:V730"/>
    <mergeCell ref="E723:G723"/>
    <mergeCell ref="H723:K723"/>
    <mergeCell ref="L723:N723"/>
    <mergeCell ref="O723:S723"/>
    <mergeCell ref="T723:V723"/>
    <mergeCell ref="W723:Z723"/>
    <mergeCell ref="AA721:AC721"/>
    <mergeCell ref="AD721:AH721"/>
    <mergeCell ref="E722:G722"/>
    <mergeCell ref="H722:K722"/>
    <mergeCell ref="L722:N722"/>
    <mergeCell ref="O722:S722"/>
    <mergeCell ref="T722:V722"/>
    <mergeCell ref="W722:Z722"/>
    <mergeCell ref="AA722:AC722"/>
    <mergeCell ref="AD722:AH722"/>
    <mergeCell ref="E721:G721"/>
    <mergeCell ref="H721:K721"/>
    <mergeCell ref="L721:N721"/>
    <mergeCell ref="O721:S721"/>
    <mergeCell ref="T721:V721"/>
    <mergeCell ref="W721:Z721"/>
    <mergeCell ref="AA719:AC719"/>
    <mergeCell ref="AD719:AH719"/>
    <mergeCell ref="E720:G720"/>
    <mergeCell ref="H720:K720"/>
    <mergeCell ref="L720:N720"/>
    <mergeCell ref="O720:S720"/>
    <mergeCell ref="T720:V720"/>
    <mergeCell ref="W720:Z720"/>
    <mergeCell ref="AA720:AC720"/>
    <mergeCell ref="AD720:AH720"/>
    <mergeCell ref="E719:G719"/>
    <mergeCell ref="H719:K719"/>
    <mergeCell ref="L719:N719"/>
    <mergeCell ref="O719:S719"/>
    <mergeCell ref="T719:V719"/>
    <mergeCell ref="W719:Z719"/>
    <mergeCell ref="AA717:AC717"/>
    <mergeCell ref="AD717:AH717"/>
    <mergeCell ref="E718:G718"/>
    <mergeCell ref="H718:K718"/>
    <mergeCell ref="L718:N718"/>
    <mergeCell ref="O718:S718"/>
    <mergeCell ref="T718:V718"/>
    <mergeCell ref="W718:Z718"/>
    <mergeCell ref="AA718:AC718"/>
    <mergeCell ref="AD718:AH718"/>
    <mergeCell ref="E717:G717"/>
    <mergeCell ref="H717:K717"/>
    <mergeCell ref="L717:N717"/>
    <mergeCell ref="O717:S717"/>
    <mergeCell ref="T717:V717"/>
    <mergeCell ref="W717:Z717"/>
    <mergeCell ref="AA715:AC715"/>
    <mergeCell ref="AD715:AH715"/>
    <mergeCell ref="E716:G716"/>
    <mergeCell ref="H716:K716"/>
    <mergeCell ref="L716:N716"/>
    <mergeCell ref="O716:S716"/>
    <mergeCell ref="T716:V716"/>
    <mergeCell ref="W716:Z716"/>
    <mergeCell ref="AA716:AC716"/>
    <mergeCell ref="AD716:AH716"/>
    <mergeCell ref="E715:G715"/>
    <mergeCell ref="H715:K715"/>
    <mergeCell ref="L715:N715"/>
    <mergeCell ref="O715:S715"/>
    <mergeCell ref="T715:V715"/>
    <mergeCell ref="W715:Z715"/>
    <mergeCell ref="AA713:AC713"/>
    <mergeCell ref="AD713:AH713"/>
    <mergeCell ref="E714:G714"/>
    <mergeCell ref="H714:K714"/>
    <mergeCell ref="L714:N714"/>
    <mergeCell ref="O714:S714"/>
    <mergeCell ref="T714:V714"/>
    <mergeCell ref="W714:Z714"/>
    <mergeCell ref="AA714:AC714"/>
    <mergeCell ref="AD714:AH714"/>
    <mergeCell ref="E713:G713"/>
    <mergeCell ref="H713:K713"/>
    <mergeCell ref="L713:N713"/>
    <mergeCell ref="O713:S713"/>
    <mergeCell ref="T713:V713"/>
    <mergeCell ref="W713:Z713"/>
    <mergeCell ref="AA711:AC711"/>
    <mergeCell ref="AD711:AH711"/>
    <mergeCell ref="E712:G712"/>
    <mergeCell ref="H712:K712"/>
    <mergeCell ref="L712:N712"/>
    <mergeCell ref="O712:S712"/>
    <mergeCell ref="T712:V712"/>
    <mergeCell ref="W712:Z712"/>
    <mergeCell ref="AA712:AC712"/>
    <mergeCell ref="AD712:AH712"/>
    <mergeCell ref="E711:G711"/>
    <mergeCell ref="H711:K711"/>
    <mergeCell ref="L711:N711"/>
    <mergeCell ref="O711:S711"/>
    <mergeCell ref="T711:V711"/>
    <mergeCell ref="W711:Z711"/>
    <mergeCell ref="AA709:AC709"/>
    <mergeCell ref="AD709:AH709"/>
    <mergeCell ref="E710:G710"/>
    <mergeCell ref="H710:K710"/>
    <mergeCell ref="L710:N710"/>
    <mergeCell ref="O710:S710"/>
    <mergeCell ref="T710:V710"/>
    <mergeCell ref="W710:Z710"/>
    <mergeCell ref="AA710:AC710"/>
    <mergeCell ref="AD710:AH710"/>
    <mergeCell ref="E709:G709"/>
    <mergeCell ref="H709:K709"/>
    <mergeCell ref="L709:N709"/>
    <mergeCell ref="O709:S709"/>
    <mergeCell ref="T709:V709"/>
    <mergeCell ref="W709:Z709"/>
    <mergeCell ref="AD706:AH707"/>
    <mergeCell ref="E708:G708"/>
    <mergeCell ref="H708:K708"/>
    <mergeCell ref="L708:N708"/>
    <mergeCell ref="O708:S708"/>
    <mergeCell ref="T708:V708"/>
    <mergeCell ref="W708:Z708"/>
    <mergeCell ref="AA708:AC708"/>
    <mergeCell ref="AD708:AH708"/>
    <mergeCell ref="AD701:AF701"/>
    <mergeCell ref="E705:S705"/>
    <mergeCell ref="T705:AH705"/>
    <mergeCell ref="E706:G707"/>
    <mergeCell ref="H706:K707"/>
    <mergeCell ref="L706:N707"/>
    <mergeCell ref="O706:S707"/>
    <mergeCell ref="T706:V707"/>
    <mergeCell ref="W706:Z707"/>
    <mergeCell ref="AA706:AC707"/>
    <mergeCell ref="AA699:AC699"/>
    <mergeCell ref="AD699:AH699"/>
    <mergeCell ref="E700:G700"/>
    <mergeCell ref="H700:K700"/>
    <mergeCell ref="L700:N700"/>
    <mergeCell ref="O700:S700"/>
    <mergeCell ref="T700:V700"/>
    <mergeCell ref="W700:Z700"/>
    <mergeCell ref="AA700:AC700"/>
    <mergeCell ref="AD700:AH700"/>
    <mergeCell ref="E699:G699"/>
    <mergeCell ref="H699:K699"/>
    <mergeCell ref="L699:N699"/>
    <mergeCell ref="O699:S699"/>
    <mergeCell ref="T699:V699"/>
    <mergeCell ref="W699:Z699"/>
    <mergeCell ref="AA697:AC697"/>
    <mergeCell ref="AD697:AH697"/>
    <mergeCell ref="E698:G698"/>
    <mergeCell ref="H698:K698"/>
    <mergeCell ref="L698:N698"/>
    <mergeCell ref="O698:S698"/>
    <mergeCell ref="T698:V698"/>
    <mergeCell ref="W698:Z698"/>
    <mergeCell ref="AA698:AC698"/>
    <mergeCell ref="AD698:AH698"/>
    <mergeCell ref="E697:G697"/>
    <mergeCell ref="H697:K697"/>
    <mergeCell ref="L697:N697"/>
    <mergeCell ref="O697:S697"/>
    <mergeCell ref="T697:V697"/>
    <mergeCell ref="W697:Z697"/>
    <mergeCell ref="AA695:AC695"/>
    <mergeCell ref="AD695:AH695"/>
    <mergeCell ref="E696:G696"/>
    <mergeCell ref="H696:K696"/>
    <mergeCell ref="L696:N696"/>
    <mergeCell ref="O696:S696"/>
    <mergeCell ref="T696:V696"/>
    <mergeCell ref="W696:Z696"/>
    <mergeCell ref="AA696:AC696"/>
    <mergeCell ref="AD696:AH696"/>
    <mergeCell ref="E695:G695"/>
    <mergeCell ref="H695:K695"/>
    <mergeCell ref="L695:N695"/>
    <mergeCell ref="O695:S695"/>
    <mergeCell ref="T695:V695"/>
    <mergeCell ref="W695:Z695"/>
    <mergeCell ref="AA693:AC693"/>
    <mergeCell ref="AD693:AH693"/>
    <mergeCell ref="E694:G694"/>
    <mergeCell ref="H694:K694"/>
    <mergeCell ref="L694:N694"/>
    <mergeCell ref="O694:S694"/>
    <mergeCell ref="T694:V694"/>
    <mergeCell ref="W694:Z694"/>
    <mergeCell ref="AA694:AC694"/>
    <mergeCell ref="AD694:AH694"/>
    <mergeCell ref="E693:G693"/>
    <mergeCell ref="H693:K693"/>
    <mergeCell ref="L693:N693"/>
    <mergeCell ref="O693:S693"/>
    <mergeCell ref="T693:V693"/>
    <mergeCell ref="W693:Z693"/>
    <mergeCell ref="AA691:AC691"/>
    <mergeCell ref="AD691:AH691"/>
    <mergeCell ref="E692:G692"/>
    <mergeCell ref="H692:K692"/>
    <mergeCell ref="L692:N692"/>
    <mergeCell ref="O692:S692"/>
    <mergeCell ref="T692:V692"/>
    <mergeCell ref="W692:Z692"/>
    <mergeCell ref="AA692:AC692"/>
    <mergeCell ref="AD692:AH692"/>
    <mergeCell ref="E691:G691"/>
    <mergeCell ref="H691:K691"/>
    <mergeCell ref="L691:N691"/>
    <mergeCell ref="O691:S691"/>
    <mergeCell ref="T691:V691"/>
    <mergeCell ref="W691:Z691"/>
    <mergeCell ref="AA689:AC689"/>
    <mergeCell ref="AD689:AH689"/>
    <mergeCell ref="E690:G690"/>
    <mergeCell ref="H690:K690"/>
    <mergeCell ref="L690:N690"/>
    <mergeCell ref="O690:S690"/>
    <mergeCell ref="T690:V690"/>
    <mergeCell ref="W690:Z690"/>
    <mergeCell ref="AA690:AC690"/>
    <mergeCell ref="AD690:AH690"/>
    <mergeCell ref="E689:G689"/>
    <mergeCell ref="H689:K689"/>
    <mergeCell ref="L689:N689"/>
    <mergeCell ref="O689:S689"/>
    <mergeCell ref="T689:V689"/>
    <mergeCell ref="W689:Z689"/>
    <mergeCell ref="AA687:AC687"/>
    <mergeCell ref="AD687:AH687"/>
    <mergeCell ref="E688:G688"/>
    <mergeCell ref="H688:K688"/>
    <mergeCell ref="L688:N688"/>
    <mergeCell ref="O688:S688"/>
    <mergeCell ref="T688:V688"/>
    <mergeCell ref="W688:Z688"/>
    <mergeCell ref="AA688:AC688"/>
    <mergeCell ref="AD688:AH688"/>
    <mergeCell ref="E687:G687"/>
    <mergeCell ref="H687:K687"/>
    <mergeCell ref="L687:N687"/>
    <mergeCell ref="O687:S687"/>
    <mergeCell ref="T687:V687"/>
    <mergeCell ref="W687:Z687"/>
    <mergeCell ref="AD685:AH685"/>
    <mergeCell ref="E686:G686"/>
    <mergeCell ref="H686:K686"/>
    <mergeCell ref="L686:N686"/>
    <mergeCell ref="O686:S686"/>
    <mergeCell ref="T686:V686"/>
    <mergeCell ref="W686:Z686"/>
    <mergeCell ref="AA686:AC686"/>
    <mergeCell ref="AD686:AH686"/>
    <mergeCell ref="W683:Z684"/>
    <mergeCell ref="AA683:AC684"/>
    <mergeCell ref="AD683:AH684"/>
    <mergeCell ref="E685:G685"/>
    <mergeCell ref="H685:K685"/>
    <mergeCell ref="L685:N685"/>
    <mergeCell ref="O685:S685"/>
    <mergeCell ref="T685:V685"/>
    <mergeCell ref="W685:Z685"/>
    <mergeCell ref="AA685:AC685"/>
    <mergeCell ref="AA677:AC677"/>
    <mergeCell ref="AD677:AH677"/>
    <mergeCell ref="AD678:AF678"/>
    <mergeCell ref="E682:S682"/>
    <mergeCell ref="T682:AH682"/>
    <mergeCell ref="E683:G684"/>
    <mergeCell ref="H683:K684"/>
    <mergeCell ref="L683:N684"/>
    <mergeCell ref="O683:S684"/>
    <mergeCell ref="T683:V684"/>
    <mergeCell ref="E677:G677"/>
    <mergeCell ref="H677:K677"/>
    <mergeCell ref="L677:N677"/>
    <mergeCell ref="O677:S677"/>
    <mergeCell ref="T677:V677"/>
    <mergeCell ref="W677:Z677"/>
    <mergeCell ref="AA675:AC675"/>
    <mergeCell ref="AD675:AH675"/>
    <mergeCell ref="E676:G676"/>
    <mergeCell ref="H676:K676"/>
    <mergeCell ref="L676:N676"/>
    <mergeCell ref="O676:S676"/>
    <mergeCell ref="T676:V676"/>
    <mergeCell ref="W676:Z676"/>
    <mergeCell ref="AA676:AC676"/>
    <mergeCell ref="AD676:AH676"/>
    <mergeCell ref="E675:G675"/>
    <mergeCell ref="H675:K675"/>
    <mergeCell ref="L675:N675"/>
    <mergeCell ref="O675:S675"/>
    <mergeCell ref="T675:V675"/>
    <mergeCell ref="W675:Z675"/>
    <mergeCell ref="AA673:AC673"/>
    <mergeCell ref="AD673:AH673"/>
    <mergeCell ref="E674:G674"/>
    <mergeCell ref="H674:K674"/>
    <mergeCell ref="L674:N674"/>
    <mergeCell ref="O674:S674"/>
    <mergeCell ref="T674:V674"/>
    <mergeCell ref="W674:Z674"/>
    <mergeCell ref="AA674:AC674"/>
    <mergeCell ref="AD674:AH674"/>
    <mergeCell ref="E673:G673"/>
    <mergeCell ref="H673:K673"/>
    <mergeCell ref="L673:N673"/>
    <mergeCell ref="O673:S673"/>
    <mergeCell ref="T673:V673"/>
    <mergeCell ref="W673:Z673"/>
    <mergeCell ref="AA671:AC671"/>
    <mergeCell ref="AD671:AH671"/>
    <mergeCell ref="E672:G672"/>
    <mergeCell ref="H672:K672"/>
    <mergeCell ref="L672:N672"/>
    <mergeCell ref="O672:S672"/>
    <mergeCell ref="T672:V672"/>
    <mergeCell ref="W672:Z672"/>
    <mergeCell ref="AA672:AC672"/>
    <mergeCell ref="AD672:AH672"/>
    <mergeCell ref="E671:G671"/>
    <mergeCell ref="H671:K671"/>
    <mergeCell ref="L671:N671"/>
    <mergeCell ref="O671:S671"/>
    <mergeCell ref="T671:V671"/>
    <mergeCell ref="W671:Z671"/>
    <mergeCell ref="AA669:AC669"/>
    <mergeCell ref="AD669:AH669"/>
    <mergeCell ref="E670:G670"/>
    <mergeCell ref="H670:K670"/>
    <mergeCell ref="L670:N670"/>
    <mergeCell ref="O670:S670"/>
    <mergeCell ref="T670:V670"/>
    <mergeCell ref="W670:Z670"/>
    <mergeCell ref="AA670:AC670"/>
    <mergeCell ref="AD670:AH670"/>
    <mergeCell ref="E669:G669"/>
    <mergeCell ref="H669:K669"/>
    <mergeCell ref="L669:N669"/>
    <mergeCell ref="O669:S669"/>
    <mergeCell ref="T669:V669"/>
    <mergeCell ref="W669:Z669"/>
    <mergeCell ref="AA667:AC667"/>
    <mergeCell ref="AD667:AH667"/>
    <mergeCell ref="E668:G668"/>
    <mergeCell ref="H668:K668"/>
    <mergeCell ref="L668:N668"/>
    <mergeCell ref="O668:S668"/>
    <mergeCell ref="T668:V668"/>
    <mergeCell ref="W668:Z668"/>
    <mergeCell ref="AA668:AC668"/>
    <mergeCell ref="AD668:AH668"/>
    <mergeCell ref="E667:G667"/>
    <mergeCell ref="H667:K667"/>
    <mergeCell ref="L667:N667"/>
    <mergeCell ref="O667:S667"/>
    <mergeCell ref="T667:V667"/>
    <mergeCell ref="W667:Z667"/>
    <mergeCell ref="AA665:AC665"/>
    <mergeCell ref="AD665:AH665"/>
    <mergeCell ref="E666:G666"/>
    <mergeCell ref="H666:K666"/>
    <mergeCell ref="L666:N666"/>
    <mergeCell ref="O666:S666"/>
    <mergeCell ref="T666:V666"/>
    <mergeCell ref="W666:Z666"/>
    <mergeCell ref="AA666:AC666"/>
    <mergeCell ref="AD666:AH666"/>
    <mergeCell ref="E665:G665"/>
    <mergeCell ref="H665:K665"/>
    <mergeCell ref="L665:N665"/>
    <mergeCell ref="O665:S665"/>
    <mergeCell ref="T665:V665"/>
    <mergeCell ref="W665:Z665"/>
    <mergeCell ref="AA663:AC663"/>
    <mergeCell ref="AD663:AH663"/>
    <mergeCell ref="E664:G664"/>
    <mergeCell ref="H664:K664"/>
    <mergeCell ref="L664:N664"/>
    <mergeCell ref="O664:S664"/>
    <mergeCell ref="T664:V664"/>
    <mergeCell ref="W664:Z664"/>
    <mergeCell ref="AA664:AC664"/>
    <mergeCell ref="AD664:AH664"/>
    <mergeCell ref="E663:G663"/>
    <mergeCell ref="H663:K663"/>
    <mergeCell ref="L663:N663"/>
    <mergeCell ref="O663:S663"/>
    <mergeCell ref="T663:V663"/>
    <mergeCell ref="W663:Z663"/>
    <mergeCell ref="AD660:AH661"/>
    <mergeCell ref="E662:G662"/>
    <mergeCell ref="H662:K662"/>
    <mergeCell ref="L662:N662"/>
    <mergeCell ref="O662:S662"/>
    <mergeCell ref="T662:V662"/>
    <mergeCell ref="W662:Z662"/>
    <mergeCell ref="AA662:AC662"/>
    <mergeCell ref="AD662:AH662"/>
    <mergeCell ref="AD655:AF655"/>
    <mergeCell ref="E659:S659"/>
    <mergeCell ref="T659:AH659"/>
    <mergeCell ref="E660:G661"/>
    <mergeCell ref="H660:K661"/>
    <mergeCell ref="L660:N661"/>
    <mergeCell ref="O660:S661"/>
    <mergeCell ref="T660:V661"/>
    <mergeCell ref="W660:Z661"/>
    <mergeCell ref="AA660:AC661"/>
    <mergeCell ref="AA653:AC653"/>
    <mergeCell ref="AD653:AH653"/>
    <mergeCell ref="E654:G654"/>
    <mergeCell ref="H654:K654"/>
    <mergeCell ref="L654:N654"/>
    <mergeCell ref="O654:S654"/>
    <mergeCell ref="T654:V654"/>
    <mergeCell ref="W654:Z654"/>
    <mergeCell ref="AA654:AC654"/>
    <mergeCell ref="AD654:AH654"/>
    <mergeCell ref="E653:G653"/>
    <mergeCell ref="H653:K653"/>
    <mergeCell ref="L653:N653"/>
    <mergeCell ref="O653:S653"/>
    <mergeCell ref="T653:V653"/>
    <mergeCell ref="W653:Z653"/>
    <mergeCell ref="AA651:AC651"/>
    <mergeCell ref="AD651:AH651"/>
    <mergeCell ref="E652:G652"/>
    <mergeCell ref="H652:K652"/>
    <mergeCell ref="L652:N652"/>
    <mergeCell ref="O652:S652"/>
    <mergeCell ref="T652:V652"/>
    <mergeCell ref="W652:Z652"/>
    <mergeCell ref="AA652:AC652"/>
    <mergeCell ref="AD652:AH652"/>
    <mergeCell ref="E651:G651"/>
    <mergeCell ref="H651:K651"/>
    <mergeCell ref="L651:N651"/>
    <mergeCell ref="O651:S651"/>
    <mergeCell ref="T651:V651"/>
    <mergeCell ref="W651:Z651"/>
    <mergeCell ref="AA649:AC649"/>
    <mergeCell ref="AD649:AH649"/>
    <mergeCell ref="E650:G650"/>
    <mergeCell ref="H650:K650"/>
    <mergeCell ref="L650:N650"/>
    <mergeCell ref="O650:S650"/>
    <mergeCell ref="T650:V650"/>
    <mergeCell ref="W650:Z650"/>
    <mergeCell ref="AA650:AC650"/>
    <mergeCell ref="AD650:AH650"/>
    <mergeCell ref="E649:G649"/>
    <mergeCell ref="H649:K649"/>
    <mergeCell ref="L649:N649"/>
    <mergeCell ref="O649:S649"/>
    <mergeCell ref="T649:V649"/>
    <mergeCell ref="W649:Z649"/>
    <mergeCell ref="AA647:AC647"/>
    <mergeCell ref="AD647:AH647"/>
    <mergeCell ref="E648:G648"/>
    <mergeCell ref="H648:K648"/>
    <mergeCell ref="L648:N648"/>
    <mergeCell ref="O648:S648"/>
    <mergeCell ref="T648:V648"/>
    <mergeCell ref="W648:Z648"/>
    <mergeCell ref="AA648:AC648"/>
    <mergeCell ref="AD648:AH648"/>
    <mergeCell ref="E647:G647"/>
    <mergeCell ref="H647:K647"/>
    <mergeCell ref="L647:N647"/>
    <mergeCell ref="O647:S647"/>
    <mergeCell ref="T647:V647"/>
    <mergeCell ref="W647:Z647"/>
    <mergeCell ref="AA645:AC645"/>
    <mergeCell ref="AD645:AH645"/>
    <mergeCell ref="E646:G646"/>
    <mergeCell ref="H646:K646"/>
    <mergeCell ref="L646:N646"/>
    <mergeCell ref="O646:S646"/>
    <mergeCell ref="T646:V646"/>
    <mergeCell ref="W646:Z646"/>
    <mergeCell ref="AA646:AC646"/>
    <mergeCell ref="AD646:AH646"/>
    <mergeCell ref="E645:G645"/>
    <mergeCell ref="H645:K645"/>
    <mergeCell ref="L645:N645"/>
    <mergeCell ref="O645:S645"/>
    <mergeCell ref="T645:V645"/>
    <mergeCell ref="W645:Z645"/>
    <mergeCell ref="AA643:AC643"/>
    <mergeCell ref="AD643:AH643"/>
    <mergeCell ref="E644:G644"/>
    <mergeCell ref="H644:K644"/>
    <mergeCell ref="L644:N644"/>
    <mergeCell ref="O644:S644"/>
    <mergeCell ref="T644:V644"/>
    <mergeCell ref="W644:Z644"/>
    <mergeCell ref="AA644:AC644"/>
    <mergeCell ref="AD644:AH644"/>
    <mergeCell ref="E643:G643"/>
    <mergeCell ref="H643:K643"/>
    <mergeCell ref="L643:N643"/>
    <mergeCell ref="O643:S643"/>
    <mergeCell ref="T643:V643"/>
    <mergeCell ref="W643:Z643"/>
    <mergeCell ref="AA641:AC641"/>
    <mergeCell ref="AD641:AH641"/>
    <mergeCell ref="E642:G642"/>
    <mergeCell ref="H642:K642"/>
    <mergeCell ref="L642:N642"/>
    <mergeCell ref="O642:S642"/>
    <mergeCell ref="T642:V642"/>
    <mergeCell ref="W642:Z642"/>
    <mergeCell ref="AA642:AC642"/>
    <mergeCell ref="AD642:AH642"/>
    <mergeCell ref="E641:G641"/>
    <mergeCell ref="H641:K641"/>
    <mergeCell ref="L641:N641"/>
    <mergeCell ref="O641:S641"/>
    <mergeCell ref="T641:V641"/>
    <mergeCell ref="W641:Z641"/>
    <mergeCell ref="AA639:AC639"/>
    <mergeCell ref="AD639:AH639"/>
    <mergeCell ref="E640:G640"/>
    <mergeCell ref="H640:K640"/>
    <mergeCell ref="L640:N640"/>
    <mergeCell ref="O640:S640"/>
    <mergeCell ref="T640:V640"/>
    <mergeCell ref="W640:Z640"/>
    <mergeCell ref="AA640:AC640"/>
    <mergeCell ref="AD640:AH640"/>
    <mergeCell ref="E639:G639"/>
    <mergeCell ref="H639:K639"/>
    <mergeCell ref="L639:N639"/>
    <mergeCell ref="O639:S639"/>
    <mergeCell ref="T639:V639"/>
    <mergeCell ref="W639:Z639"/>
    <mergeCell ref="E636:S636"/>
    <mergeCell ref="T636:AH636"/>
    <mergeCell ref="E637:G638"/>
    <mergeCell ref="H637:K638"/>
    <mergeCell ref="L637:N638"/>
    <mergeCell ref="O637:S638"/>
    <mergeCell ref="T637:V638"/>
    <mergeCell ref="W637:Z638"/>
    <mergeCell ref="AA637:AC638"/>
    <mergeCell ref="AD637:AH638"/>
    <mergeCell ref="AB624:AE624"/>
    <mergeCell ref="U625:V625"/>
    <mergeCell ref="X625:AB625"/>
    <mergeCell ref="AC625:AD625"/>
    <mergeCell ref="E628:F628"/>
    <mergeCell ref="H628:J628"/>
    <mergeCell ref="E624:G624"/>
    <mergeCell ref="H624:J624"/>
    <mergeCell ref="K624:N624"/>
    <mergeCell ref="O624:S624"/>
    <mergeCell ref="T624:W624"/>
    <mergeCell ref="X624:AA624"/>
    <mergeCell ref="AB622:AE622"/>
    <mergeCell ref="E623:G623"/>
    <mergeCell ref="H623:J623"/>
    <mergeCell ref="K623:N623"/>
    <mergeCell ref="O623:S623"/>
    <mergeCell ref="T623:W623"/>
    <mergeCell ref="X623:AA623"/>
    <mergeCell ref="AB623:AE623"/>
    <mergeCell ref="E622:G622"/>
    <mergeCell ref="H622:J622"/>
    <mergeCell ref="K622:N622"/>
    <mergeCell ref="O622:S622"/>
    <mergeCell ref="T622:W622"/>
    <mergeCell ref="X622:AA622"/>
    <mergeCell ref="AB620:AE620"/>
    <mergeCell ref="E621:G621"/>
    <mergeCell ref="H621:J621"/>
    <mergeCell ref="K621:N621"/>
    <mergeCell ref="O621:S621"/>
    <mergeCell ref="T621:W621"/>
    <mergeCell ref="X621:AA621"/>
    <mergeCell ref="AB621:AE621"/>
    <mergeCell ref="E620:G620"/>
    <mergeCell ref="H620:J620"/>
    <mergeCell ref="K620:N620"/>
    <mergeCell ref="O620:S620"/>
    <mergeCell ref="T620:W620"/>
    <mergeCell ref="X620:AA620"/>
    <mergeCell ref="AB618:AE618"/>
    <mergeCell ref="E619:G619"/>
    <mergeCell ref="H619:J619"/>
    <mergeCell ref="K619:N619"/>
    <mergeCell ref="O619:S619"/>
    <mergeCell ref="T619:W619"/>
    <mergeCell ref="X619:AA619"/>
    <mergeCell ref="AB619:AE619"/>
    <mergeCell ref="E618:G618"/>
    <mergeCell ref="H618:J618"/>
    <mergeCell ref="K618:N618"/>
    <mergeCell ref="O618:S618"/>
    <mergeCell ref="T618:W618"/>
    <mergeCell ref="X618:AA618"/>
    <mergeCell ref="AB616:AE616"/>
    <mergeCell ref="E617:G617"/>
    <mergeCell ref="H617:J617"/>
    <mergeCell ref="K617:N617"/>
    <mergeCell ref="O617:S617"/>
    <mergeCell ref="T617:W617"/>
    <mergeCell ref="X617:AA617"/>
    <mergeCell ref="AB617:AE617"/>
    <mergeCell ref="E616:G616"/>
    <mergeCell ref="H616:J616"/>
    <mergeCell ref="K616:N616"/>
    <mergeCell ref="O616:S616"/>
    <mergeCell ref="T616:W616"/>
    <mergeCell ref="X616:AA616"/>
    <mergeCell ref="AB614:AE614"/>
    <mergeCell ref="E615:G615"/>
    <mergeCell ref="H615:J615"/>
    <mergeCell ref="K615:N615"/>
    <mergeCell ref="O615:S615"/>
    <mergeCell ref="T615:W615"/>
    <mergeCell ref="X615:AA615"/>
    <mergeCell ref="AB615:AE615"/>
    <mergeCell ref="E614:G614"/>
    <mergeCell ref="H614:J614"/>
    <mergeCell ref="K614:N614"/>
    <mergeCell ref="O614:S614"/>
    <mergeCell ref="T614:W614"/>
    <mergeCell ref="X614:AA614"/>
    <mergeCell ref="AB612:AE612"/>
    <mergeCell ref="E613:G613"/>
    <mergeCell ref="H613:J613"/>
    <mergeCell ref="K613:N613"/>
    <mergeCell ref="O613:S613"/>
    <mergeCell ref="T613:W613"/>
    <mergeCell ref="X613:AA613"/>
    <mergeCell ref="AB613:AE613"/>
    <mergeCell ref="E612:G612"/>
    <mergeCell ref="H612:J612"/>
    <mergeCell ref="K612:N612"/>
    <mergeCell ref="O612:S612"/>
    <mergeCell ref="T612:W612"/>
    <mergeCell ref="X612:AA612"/>
    <mergeCell ref="AB610:AE610"/>
    <mergeCell ref="E611:G611"/>
    <mergeCell ref="H611:J611"/>
    <mergeCell ref="K611:N611"/>
    <mergeCell ref="O611:S611"/>
    <mergeCell ref="T611:W611"/>
    <mergeCell ref="X611:AA611"/>
    <mergeCell ref="AB611:AE611"/>
    <mergeCell ref="E610:G610"/>
    <mergeCell ref="H610:J610"/>
    <mergeCell ref="K610:N610"/>
    <mergeCell ref="O610:S610"/>
    <mergeCell ref="T610:W610"/>
    <mergeCell ref="X610:AA610"/>
    <mergeCell ref="AB607:AE608"/>
    <mergeCell ref="E609:G609"/>
    <mergeCell ref="H609:J609"/>
    <mergeCell ref="K609:N609"/>
    <mergeCell ref="O609:S609"/>
    <mergeCell ref="T609:W609"/>
    <mergeCell ref="X609:AA609"/>
    <mergeCell ref="AB609:AE609"/>
    <mergeCell ref="E607:G608"/>
    <mergeCell ref="H607:J608"/>
    <mergeCell ref="K607:N608"/>
    <mergeCell ref="O607:S608"/>
    <mergeCell ref="T607:W608"/>
    <mergeCell ref="X607:AA608"/>
    <mergeCell ref="Y600:AB600"/>
    <mergeCell ref="L601:N601"/>
    <mergeCell ref="Q601:S601"/>
    <mergeCell ref="U601:V601"/>
    <mergeCell ref="Z601:AA601"/>
    <mergeCell ref="K605:L605"/>
    <mergeCell ref="N605:O605"/>
    <mergeCell ref="AB590:AE590"/>
    <mergeCell ref="U591:V591"/>
    <mergeCell ref="X591:AB591"/>
    <mergeCell ref="AC591:AD591"/>
    <mergeCell ref="E594:F594"/>
    <mergeCell ref="H594:J594"/>
    <mergeCell ref="E590:G590"/>
    <mergeCell ref="H590:J590"/>
    <mergeCell ref="K590:N590"/>
    <mergeCell ref="O590:S590"/>
    <mergeCell ref="T590:W590"/>
    <mergeCell ref="X590:AA590"/>
    <mergeCell ref="AB588:AE588"/>
    <mergeCell ref="E589:G589"/>
    <mergeCell ref="H589:J589"/>
    <mergeCell ref="K589:N589"/>
    <mergeCell ref="O589:S589"/>
    <mergeCell ref="T589:W589"/>
    <mergeCell ref="X589:AA589"/>
    <mergeCell ref="AB589:AE589"/>
    <mergeCell ref="E588:G588"/>
    <mergeCell ref="H588:J588"/>
    <mergeCell ref="K588:N588"/>
    <mergeCell ref="O588:S588"/>
    <mergeCell ref="T588:W588"/>
    <mergeCell ref="X588:AA588"/>
    <mergeCell ref="AB586:AE586"/>
    <mergeCell ref="E587:G587"/>
    <mergeCell ref="H587:J587"/>
    <mergeCell ref="K587:N587"/>
    <mergeCell ref="O587:S587"/>
    <mergeCell ref="T587:W587"/>
    <mergeCell ref="X587:AA587"/>
    <mergeCell ref="AB587:AE587"/>
    <mergeCell ref="E586:G586"/>
    <mergeCell ref="H586:J586"/>
    <mergeCell ref="K586:N586"/>
    <mergeCell ref="O586:S586"/>
    <mergeCell ref="T586:W586"/>
    <mergeCell ref="X586:AA586"/>
    <mergeCell ref="AB584:AE584"/>
    <mergeCell ref="E585:G585"/>
    <mergeCell ref="H585:J585"/>
    <mergeCell ref="K585:N585"/>
    <mergeCell ref="O585:S585"/>
    <mergeCell ref="T585:W585"/>
    <mergeCell ref="X585:AA585"/>
    <mergeCell ref="AB585:AE585"/>
    <mergeCell ref="E584:G584"/>
    <mergeCell ref="H584:J584"/>
    <mergeCell ref="K584:N584"/>
    <mergeCell ref="O584:S584"/>
    <mergeCell ref="T584:W584"/>
    <mergeCell ref="X584:AA584"/>
    <mergeCell ref="AB582:AE582"/>
    <mergeCell ref="E583:G583"/>
    <mergeCell ref="H583:J583"/>
    <mergeCell ref="K583:N583"/>
    <mergeCell ref="O583:S583"/>
    <mergeCell ref="T583:W583"/>
    <mergeCell ref="X583:AA583"/>
    <mergeCell ref="AB583:AE583"/>
    <mergeCell ref="E582:G582"/>
    <mergeCell ref="H582:J582"/>
    <mergeCell ref="K582:N582"/>
    <mergeCell ref="O582:S582"/>
    <mergeCell ref="T582:W582"/>
    <mergeCell ref="X582:AA582"/>
    <mergeCell ref="AB580:AE580"/>
    <mergeCell ref="E581:G581"/>
    <mergeCell ref="H581:J581"/>
    <mergeCell ref="K581:N581"/>
    <mergeCell ref="O581:S581"/>
    <mergeCell ref="T581:W581"/>
    <mergeCell ref="X581:AA581"/>
    <mergeCell ref="AB581:AE581"/>
    <mergeCell ref="E580:G580"/>
    <mergeCell ref="H580:J580"/>
    <mergeCell ref="K580:N580"/>
    <mergeCell ref="O580:S580"/>
    <mergeCell ref="T580:W580"/>
    <mergeCell ref="X580:AA580"/>
    <mergeCell ref="AB578:AE578"/>
    <mergeCell ref="E579:G579"/>
    <mergeCell ref="H579:J579"/>
    <mergeCell ref="K579:N579"/>
    <mergeCell ref="O579:S579"/>
    <mergeCell ref="T579:W579"/>
    <mergeCell ref="X579:AA579"/>
    <mergeCell ref="AB579:AE579"/>
    <mergeCell ref="E578:G578"/>
    <mergeCell ref="H578:J578"/>
    <mergeCell ref="K578:N578"/>
    <mergeCell ref="O578:S578"/>
    <mergeCell ref="T578:W578"/>
    <mergeCell ref="X578:AA578"/>
    <mergeCell ref="AB576:AE576"/>
    <mergeCell ref="E577:G577"/>
    <mergeCell ref="H577:J577"/>
    <mergeCell ref="K577:N577"/>
    <mergeCell ref="O577:S577"/>
    <mergeCell ref="T577:W577"/>
    <mergeCell ref="X577:AA577"/>
    <mergeCell ref="AB577:AE577"/>
    <mergeCell ref="E576:G576"/>
    <mergeCell ref="H576:J576"/>
    <mergeCell ref="K576:N576"/>
    <mergeCell ref="O576:S576"/>
    <mergeCell ref="T576:W576"/>
    <mergeCell ref="X576:AA576"/>
    <mergeCell ref="AB573:AE574"/>
    <mergeCell ref="E575:G575"/>
    <mergeCell ref="H575:J575"/>
    <mergeCell ref="K575:N575"/>
    <mergeCell ref="O575:S575"/>
    <mergeCell ref="T575:W575"/>
    <mergeCell ref="X575:AA575"/>
    <mergeCell ref="AB575:AE575"/>
    <mergeCell ref="E573:G574"/>
    <mergeCell ref="H573:J574"/>
    <mergeCell ref="K573:N574"/>
    <mergeCell ref="O573:S574"/>
    <mergeCell ref="T573:W574"/>
    <mergeCell ref="X573:AA574"/>
    <mergeCell ref="Y566:AB566"/>
    <mergeCell ref="L567:N567"/>
    <mergeCell ref="Q567:S567"/>
    <mergeCell ref="U567:V567"/>
    <mergeCell ref="Z567:AA567"/>
    <mergeCell ref="K571:L571"/>
    <mergeCell ref="N571:O571"/>
    <mergeCell ref="AB556:AE556"/>
    <mergeCell ref="U557:V557"/>
    <mergeCell ref="X557:AB557"/>
    <mergeCell ref="AC557:AD557"/>
    <mergeCell ref="E560:F560"/>
    <mergeCell ref="H560:J560"/>
    <mergeCell ref="E556:G556"/>
    <mergeCell ref="H556:J556"/>
    <mergeCell ref="K556:N556"/>
    <mergeCell ref="O556:S556"/>
    <mergeCell ref="T556:W556"/>
    <mergeCell ref="X556:AA556"/>
    <mergeCell ref="AB554:AE554"/>
    <mergeCell ref="E555:G555"/>
    <mergeCell ref="H555:J555"/>
    <mergeCell ref="K555:N555"/>
    <mergeCell ref="O555:S555"/>
    <mergeCell ref="T555:W555"/>
    <mergeCell ref="X555:AA555"/>
    <mergeCell ref="AB555:AE555"/>
    <mergeCell ref="E554:G554"/>
    <mergeCell ref="H554:J554"/>
    <mergeCell ref="K554:N554"/>
    <mergeCell ref="O554:S554"/>
    <mergeCell ref="T554:W554"/>
    <mergeCell ref="X554:AA554"/>
    <mergeCell ref="AB552:AE552"/>
    <mergeCell ref="E553:G553"/>
    <mergeCell ref="H553:J553"/>
    <mergeCell ref="K553:N553"/>
    <mergeCell ref="O553:S553"/>
    <mergeCell ref="T553:W553"/>
    <mergeCell ref="X553:AA553"/>
    <mergeCell ref="AB553:AE553"/>
    <mergeCell ref="E552:G552"/>
    <mergeCell ref="H552:J552"/>
    <mergeCell ref="K552:N552"/>
    <mergeCell ref="O552:S552"/>
    <mergeCell ref="T552:W552"/>
    <mergeCell ref="X552:AA552"/>
    <mergeCell ref="AB550:AE550"/>
    <mergeCell ref="E551:G551"/>
    <mergeCell ref="H551:J551"/>
    <mergeCell ref="K551:N551"/>
    <mergeCell ref="O551:S551"/>
    <mergeCell ref="T551:W551"/>
    <mergeCell ref="X551:AA551"/>
    <mergeCell ref="AB551:AE551"/>
    <mergeCell ref="E550:G550"/>
    <mergeCell ref="H550:J550"/>
    <mergeCell ref="K550:N550"/>
    <mergeCell ref="O550:S550"/>
    <mergeCell ref="T550:W550"/>
    <mergeCell ref="X550:AA550"/>
    <mergeCell ref="AB548:AE548"/>
    <mergeCell ref="E549:G549"/>
    <mergeCell ref="H549:J549"/>
    <mergeCell ref="K549:N549"/>
    <mergeCell ref="O549:S549"/>
    <mergeCell ref="T549:W549"/>
    <mergeCell ref="X549:AA549"/>
    <mergeCell ref="AB549:AE549"/>
    <mergeCell ref="E548:G548"/>
    <mergeCell ref="H548:J548"/>
    <mergeCell ref="K548:N548"/>
    <mergeCell ref="O548:S548"/>
    <mergeCell ref="T548:W548"/>
    <mergeCell ref="X548:AA548"/>
    <mergeCell ref="AB546:AE546"/>
    <mergeCell ref="E547:G547"/>
    <mergeCell ref="H547:J547"/>
    <mergeCell ref="K547:N547"/>
    <mergeCell ref="O547:S547"/>
    <mergeCell ref="T547:W547"/>
    <mergeCell ref="X547:AA547"/>
    <mergeCell ref="AB547:AE547"/>
    <mergeCell ref="E546:G546"/>
    <mergeCell ref="H546:J546"/>
    <mergeCell ref="K546:N546"/>
    <mergeCell ref="O546:S546"/>
    <mergeCell ref="T546:W546"/>
    <mergeCell ref="X546:AA546"/>
    <mergeCell ref="AB544:AE544"/>
    <mergeCell ref="E545:G545"/>
    <mergeCell ref="H545:J545"/>
    <mergeCell ref="K545:N545"/>
    <mergeCell ref="O545:S545"/>
    <mergeCell ref="T545:W545"/>
    <mergeCell ref="X545:AA545"/>
    <mergeCell ref="AB545:AE545"/>
    <mergeCell ref="E544:G544"/>
    <mergeCell ref="H544:J544"/>
    <mergeCell ref="K544:N544"/>
    <mergeCell ref="O544:S544"/>
    <mergeCell ref="T544:W544"/>
    <mergeCell ref="X544:AA544"/>
    <mergeCell ref="AB542:AE542"/>
    <mergeCell ref="E543:G543"/>
    <mergeCell ref="H543:J543"/>
    <mergeCell ref="K543:N543"/>
    <mergeCell ref="O543:S543"/>
    <mergeCell ref="T543:W543"/>
    <mergeCell ref="X543:AA543"/>
    <mergeCell ref="AB543:AE543"/>
    <mergeCell ref="E542:G542"/>
    <mergeCell ref="H542:J542"/>
    <mergeCell ref="K542:N542"/>
    <mergeCell ref="O542:S542"/>
    <mergeCell ref="T542:W542"/>
    <mergeCell ref="X542:AA542"/>
    <mergeCell ref="AB539:AE540"/>
    <mergeCell ref="E541:G541"/>
    <mergeCell ref="H541:J541"/>
    <mergeCell ref="K541:N541"/>
    <mergeCell ref="O541:S541"/>
    <mergeCell ref="T541:W541"/>
    <mergeCell ref="X541:AA541"/>
    <mergeCell ref="AB541:AE541"/>
    <mergeCell ref="E539:G540"/>
    <mergeCell ref="H539:J540"/>
    <mergeCell ref="K539:N540"/>
    <mergeCell ref="O539:S540"/>
    <mergeCell ref="T539:W540"/>
    <mergeCell ref="X539:AA540"/>
    <mergeCell ref="AB531:AE531"/>
    <mergeCell ref="U532:V532"/>
    <mergeCell ref="X532:AB532"/>
    <mergeCell ref="AC532:AD532"/>
    <mergeCell ref="E535:F535"/>
    <mergeCell ref="H535:J535"/>
    <mergeCell ref="E531:G531"/>
    <mergeCell ref="H531:J531"/>
    <mergeCell ref="K531:N531"/>
    <mergeCell ref="O531:S531"/>
    <mergeCell ref="T531:W531"/>
    <mergeCell ref="X531:AA531"/>
    <mergeCell ref="AB529:AE529"/>
    <mergeCell ref="E530:G530"/>
    <mergeCell ref="H530:J530"/>
    <mergeCell ref="K530:N530"/>
    <mergeCell ref="O530:S530"/>
    <mergeCell ref="T530:W530"/>
    <mergeCell ref="X530:AA530"/>
    <mergeCell ref="AB530:AE530"/>
    <mergeCell ref="E529:G529"/>
    <mergeCell ref="H529:J529"/>
    <mergeCell ref="K529:N529"/>
    <mergeCell ref="O529:S529"/>
    <mergeCell ref="T529:W529"/>
    <mergeCell ref="X529:AA529"/>
    <mergeCell ref="AB527:AE527"/>
    <mergeCell ref="E528:G528"/>
    <mergeCell ref="H528:J528"/>
    <mergeCell ref="K528:N528"/>
    <mergeCell ref="O528:S528"/>
    <mergeCell ref="T528:W528"/>
    <mergeCell ref="X528:AA528"/>
    <mergeCell ref="AB528:AE528"/>
    <mergeCell ref="E527:G527"/>
    <mergeCell ref="H527:J527"/>
    <mergeCell ref="K527:N527"/>
    <mergeCell ref="O527:S527"/>
    <mergeCell ref="T527:W527"/>
    <mergeCell ref="X527:AA527"/>
    <mergeCell ref="AB525:AE525"/>
    <mergeCell ref="E526:G526"/>
    <mergeCell ref="H526:J526"/>
    <mergeCell ref="K526:N526"/>
    <mergeCell ref="O526:S526"/>
    <mergeCell ref="T526:W526"/>
    <mergeCell ref="X526:AA526"/>
    <mergeCell ref="AB526:AE526"/>
    <mergeCell ref="E525:G525"/>
    <mergeCell ref="H525:J525"/>
    <mergeCell ref="K525:N525"/>
    <mergeCell ref="O525:S525"/>
    <mergeCell ref="T525:W525"/>
    <mergeCell ref="X525:AA525"/>
    <mergeCell ref="AB523:AE523"/>
    <mergeCell ref="E524:G524"/>
    <mergeCell ref="H524:J524"/>
    <mergeCell ref="K524:N524"/>
    <mergeCell ref="O524:S524"/>
    <mergeCell ref="T524:W524"/>
    <mergeCell ref="X524:AA524"/>
    <mergeCell ref="AB524:AE524"/>
    <mergeCell ref="E523:G523"/>
    <mergeCell ref="H523:J523"/>
    <mergeCell ref="K523:N523"/>
    <mergeCell ref="O523:S523"/>
    <mergeCell ref="T523:W523"/>
    <mergeCell ref="X523:AA523"/>
    <mergeCell ref="AB521:AE521"/>
    <mergeCell ref="E522:G522"/>
    <mergeCell ref="H522:J522"/>
    <mergeCell ref="K522:N522"/>
    <mergeCell ref="O522:S522"/>
    <mergeCell ref="T522:W522"/>
    <mergeCell ref="X522:AA522"/>
    <mergeCell ref="AB522:AE522"/>
    <mergeCell ref="E521:G521"/>
    <mergeCell ref="H521:J521"/>
    <mergeCell ref="K521:N521"/>
    <mergeCell ref="O521:S521"/>
    <mergeCell ref="T521:W521"/>
    <mergeCell ref="X521:AA521"/>
    <mergeCell ref="AB519:AE519"/>
    <mergeCell ref="E520:G520"/>
    <mergeCell ref="H520:J520"/>
    <mergeCell ref="K520:N520"/>
    <mergeCell ref="O520:S520"/>
    <mergeCell ref="T520:W520"/>
    <mergeCell ref="X520:AA520"/>
    <mergeCell ref="AB520:AE520"/>
    <mergeCell ref="E519:G519"/>
    <mergeCell ref="H519:J519"/>
    <mergeCell ref="K519:N519"/>
    <mergeCell ref="O519:S519"/>
    <mergeCell ref="T519:W519"/>
    <mergeCell ref="X519:AA519"/>
    <mergeCell ref="AB517:AE517"/>
    <mergeCell ref="E518:G518"/>
    <mergeCell ref="H518:J518"/>
    <mergeCell ref="K518:N518"/>
    <mergeCell ref="O518:S518"/>
    <mergeCell ref="T518:W518"/>
    <mergeCell ref="X518:AA518"/>
    <mergeCell ref="AB518:AE518"/>
    <mergeCell ref="E517:G517"/>
    <mergeCell ref="H517:J517"/>
    <mergeCell ref="K517:N517"/>
    <mergeCell ref="O517:S517"/>
    <mergeCell ref="T517:W517"/>
    <mergeCell ref="X517:AA517"/>
    <mergeCell ref="AB514:AE515"/>
    <mergeCell ref="E516:G516"/>
    <mergeCell ref="H516:J516"/>
    <mergeCell ref="K516:N516"/>
    <mergeCell ref="O516:S516"/>
    <mergeCell ref="T516:W516"/>
    <mergeCell ref="X516:AA516"/>
    <mergeCell ref="AB516:AE516"/>
    <mergeCell ref="E514:G515"/>
    <mergeCell ref="H514:J515"/>
    <mergeCell ref="K514:N515"/>
    <mergeCell ref="O514:S515"/>
    <mergeCell ref="T514:W515"/>
    <mergeCell ref="X514:AA515"/>
    <mergeCell ref="Y507:AB507"/>
    <mergeCell ref="L508:N508"/>
    <mergeCell ref="Q508:S508"/>
    <mergeCell ref="U508:V508"/>
    <mergeCell ref="Z508:AA508"/>
    <mergeCell ref="K512:L512"/>
    <mergeCell ref="N512:O512"/>
    <mergeCell ref="AB497:AE497"/>
    <mergeCell ref="U498:V498"/>
    <mergeCell ref="X498:AB498"/>
    <mergeCell ref="AC498:AD498"/>
    <mergeCell ref="E501:F501"/>
    <mergeCell ref="H501:J501"/>
    <mergeCell ref="E497:G497"/>
    <mergeCell ref="H497:J497"/>
    <mergeCell ref="K497:N497"/>
    <mergeCell ref="O497:S497"/>
    <mergeCell ref="T497:W497"/>
    <mergeCell ref="X497:AA497"/>
    <mergeCell ref="AB495:AE495"/>
    <mergeCell ref="E496:G496"/>
    <mergeCell ref="H496:J496"/>
    <mergeCell ref="K496:N496"/>
    <mergeCell ref="O496:S496"/>
    <mergeCell ref="T496:W496"/>
    <mergeCell ref="X496:AA496"/>
    <mergeCell ref="AB496:AE496"/>
    <mergeCell ref="E495:G495"/>
    <mergeCell ref="H495:J495"/>
    <mergeCell ref="K495:N495"/>
    <mergeCell ref="O495:S495"/>
    <mergeCell ref="T495:W495"/>
    <mergeCell ref="X495:AA495"/>
    <mergeCell ref="AB493:AE493"/>
    <mergeCell ref="E494:G494"/>
    <mergeCell ref="H494:J494"/>
    <mergeCell ref="K494:N494"/>
    <mergeCell ref="O494:S494"/>
    <mergeCell ref="T494:W494"/>
    <mergeCell ref="X494:AA494"/>
    <mergeCell ref="AB494:AE494"/>
    <mergeCell ref="E493:G493"/>
    <mergeCell ref="H493:J493"/>
    <mergeCell ref="K493:N493"/>
    <mergeCell ref="O493:S493"/>
    <mergeCell ref="T493:W493"/>
    <mergeCell ref="X493:AA493"/>
    <mergeCell ref="AB491:AE491"/>
    <mergeCell ref="E492:G492"/>
    <mergeCell ref="H492:J492"/>
    <mergeCell ref="K492:N492"/>
    <mergeCell ref="O492:S492"/>
    <mergeCell ref="T492:W492"/>
    <mergeCell ref="X492:AA492"/>
    <mergeCell ref="AB492:AE492"/>
    <mergeCell ref="E491:G491"/>
    <mergeCell ref="H491:J491"/>
    <mergeCell ref="K491:N491"/>
    <mergeCell ref="O491:S491"/>
    <mergeCell ref="T491:W491"/>
    <mergeCell ref="X491:AA491"/>
    <mergeCell ref="AB489:AE489"/>
    <mergeCell ref="E490:G490"/>
    <mergeCell ref="H490:J490"/>
    <mergeCell ref="K490:N490"/>
    <mergeCell ref="O490:S490"/>
    <mergeCell ref="T490:W490"/>
    <mergeCell ref="X490:AA490"/>
    <mergeCell ref="AB490:AE490"/>
    <mergeCell ref="E489:G489"/>
    <mergeCell ref="H489:J489"/>
    <mergeCell ref="K489:N489"/>
    <mergeCell ref="O489:S489"/>
    <mergeCell ref="T489:W489"/>
    <mergeCell ref="X489:AA489"/>
    <mergeCell ref="AB487:AE487"/>
    <mergeCell ref="E488:G488"/>
    <mergeCell ref="H488:J488"/>
    <mergeCell ref="K488:N488"/>
    <mergeCell ref="O488:S488"/>
    <mergeCell ref="T488:W488"/>
    <mergeCell ref="X488:AA488"/>
    <mergeCell ref="AB488:AE488"/>
    <mergeCell ref="E487:G487"/>
    <mergeCell ref="H487:J487"/>
    <mergeCell ref="K487:N487"/>
    <mergeCell ref="O487:S487"/>
    <mergeCell ref="T487:W487"/>
    <mergeCell ref="X487:AA487"/>
    <mergeCell ref="AB485:AE485"/>
    <mergeCell ref="E486:G486"/>
    <mergeCell ref="H486:J486"/>
    <mergeCell ref="K486:N486"/>
    <mergeCell ref="O486:S486"/>
    <mergeCell ref="T486:W486"/>
    <mergeCell ref="X486:AA486"/>
    <mergeCell ref="AB486:AE486"/>
    <mergeCell ref="E485:G485"/>
    <mergeCell ref="H485:J485"/>
    <mergeCell ref="K485:N485"/>
    <mergeCell ref="O485:S485"/>
    <mergeCell ref="T485:W485"/>
    <mergeCell ref="X485:AA485"/>
    <mergeCell ref="AB483:AE483"/>
    <mergeCell ref="E484:G484"/>
    <mergeCell ref="H484:J484"/>
    <mergeCell ref="K484:N484"/>
    <mergeCell ref="O484:S484"/>
    <mergeCell ref="T484:W484"/>
    <mergeCell ref="X484:AA484"/>
    <mergeCell ref="AB484:AE484"/>
    <mergeCell ref="E483:G483"/>
    <mergeCell ref="H483:J483"/>
    <mergeCell ref="K483:N483"/>
    <mergeCell ref="O483:S483"/>
    <mergeCell ref="T483:W483"/>
    <mergeCell ref="X483:AA483"/>
    <mergeCell ref="AB480:AE481"/>
    <mergeCell ref="E482:G482"/>
    <mergeCell ref="H482:J482"/>
    <mergeCell ref="K482:N482"/>
    <mergeCell ref="O482:S482"/>
    <mergeCell ref="T482:W482"/>
    <mergeCell ref="X482:AA482"/>
    <mergeCell ref="AB482:AE482"/>
    <mergeCell ref="E480:G481"/>
    <mergeCell ref="H480:J481"/>
    <mergeCell ref="K480:N481"/>
    <mergeCell ref="O480:S481"/>
    <mergeCell ref="T480:W481"/>
    <mergeCell ref="X480:AA481"/>
    <mergeCell ref="Y473:AB473"/>
    <mergeCell ref="L474:N474"/>
    <mergeCell ref="Q474:S474"/>
    <mergeCell ref="U474:V474"/>
    <mergeCell ref="Z474:AA474"/>
    <mergeCell ref="K478:L478"/>
    <mergeCell ref="N478:O478"/>
    <mergeCell ref="AB463:AE463"/>
    <mergeCell ref="U464:V464"/>
    <mergeCell ref="X464:AB464"/>
    <mergeCell ref="AC464:AD464"/>
    <mergeCell ref="E467:F467"/>
    <mergeCell ref="H467:J467"/>
    <mergeCell ref="E463:G463"/>
    <mergeCell ref="H463:J463"/>
    <mergeCell ref="K463:N463"/>
    <mergeCell ref="O463:S463"/>
    <mergeCell ref="T463:W463"/>
    <mergeCell ref="X463:AA463"/>
    <mergeCell ref="AB461:AE461"/>
    <mergeCell ref="E462:G462"/>
    <mergeCell ref="H462:J462"/>
    <mergeCell ref="K462:N462"/>
    <mergeCell ref="O462:S462"/>
    <mergeCell ref="T462:W462"/>
    <mergeCell ref="X462:AA462"/>
    <mergeCell ref="AB462:AE462"/>
    <mergeCell ref="E461:G461"/>
    <mergeCell ref="H461:J461"/>
    <mergeCell ref="K461:N461"/>
    <mergeCell ref="O461:S461"/>
    <mergeCell ref="T461:W461"/>
    <mergeCell ref="X461:AA461"/>
    <mergeCell ref="AB459:AE459"/>
    <mergeCell ref="E460:G460"/>
    <mergeCell ref="H460:J460"/>
    <mergeCell ref="K460:N460"/>
    <mergeCell ref="O460:S460"/>
    <mergeCell ref="T460:W460"/>
    <mergeCell ref="X460:AA460"/>
    <mergeCell ref="AB460:AE460"/>
    <mergeCell ref="E459:G459"/>
    <mergeCell ref="H459:J459"/>
    <mergeCell ref="K459:N459"/>
    <mergeCell ref="O459:S459"/>
    <mergeCell ref="T459:W459"/>
    <mergeCell ref="X459:AA459"/>
    <mergeCell ref="AB457:AE457"/>
    <mergeCell ref="E458:G458"/>
    <mergeCell ref="H458:J458"/>
    <mergeCell ref="K458:N458"/>
    <mergeCell ref="O458:S458"/>
    <mergeCell ref="T458:W458"/>
    <mergeCell ref="X458:AA458"/>
    <mergeCell ref="AB458:AE458"/>
    <mergeCell ref="E457:G457"/>
    <mergeCell ref="H457:J457"/>
    <mergeCell ref="K457:N457"/>
    <mergeCell ref="O457:S457"/>
    <mergeCell ref="T457:W457"/>
    <mergeCell ref="X457:AA457"/>
    <mergeCell ref="AB455:AE455"/>
    <mergeCell ref="E456:G456"/>
    <mergeCell ref="H456:J456"/>
    <mergeCell ref="K456:N456"/>
    <mergeCell ref="O456:S456"/>
    <mergeCell ref="T456:W456"/>
    <mergeCell ref="X456:AA456"/>
    <mergeCell ref="AB456:AE456"/>
    <mergeCell ref="E455:G455"/>
    <mergeCell ref="H455:J455"/>
    <mergeCell ref="K455:N455"/>
    <mergeCell ref="O455:S455"/>
    <mergeCell ref="T455:W455"/>
    <mergeCell ref="X455:AA455"/>
    <mergeCell ref="AB453:AE453"/>
    <mergeCell ref="E454:G454"/>
    <mergeCell ref="H454:J454"/>
    <mergeCell ref="K454:N454"/>
    <mergeCell ref="O454:S454"/>
    <mergeCell ref="T454:W454"/>
    <mergeCell ref="X454:AA454"/>
    <mergeCell ref="AB454:AE454"/>
    <mergeCell ref="E453:G453"/>
    <mergeCell ref="H453:J453"/>
    <mergeCell ref="K453:N453"/>
    <mergeCell ref="O453:S453"/>
    <mergeCell ref="T453:W453"/>
    <mergeCell ref="X453:AA453"/>
    <mergeCell ref="AB451:AE451"/>
    <mergeCell ref="E452:G452"/>
    <mergeCell ref="H452:J452"/>
    <mergeCell ref="K452:N452"/>
    <mergeCell ref="O452:S452"/>
    <mergeCell ref="T452:W452"/>
    <mergeCell ref="X452:AA452"/>
    <mergeCell ref="AB452:AE452"/>
    <mergeCell ref="E451:G451"/>
    <mergeCell ref="H451:J451"/>
    <mergeCell ref="K451:N451"/>
    <mergeCell ref="O451:S451"/>
    <mergeCell ref="T451:W451"/>
    <mergeCell ref="X451:AA451"/>
    <mergeCell ref="AB449:AE449"/>
    <mergeCell ref="E450:G450"/>
    <mergeCell ref="H450:J450"/>
    <mergeCell ref="K450:N450"/>
    <mergeCell ref="O450:S450"/>
    <mergeCell ref="T450:W450"/>
    <mergeCell ref="X450:AA450"/>
    <mergeCell ref="AB450:AE450"/>
    <mergeCell ref="E449:G449"/>
    <mergeCell ref="H449:J449"/>
    <mergeCell ref="K449:N449"/>
    <mergeCell ref="O449:S449"/>
    <mergeCell ref="T449:W449"/>
    <mergeCell ref="X449:AA449"/>
    <mergeCell ref="AB446:AE447"/>
    <mergeCell ref="E448:G448"/>
    <mergeCell ref="H448:J448"/>
    <mergeCell ref="K448:N448"/>
    <mergeCell ref="O448:S448"/>
    <mergeCell ref="T448:W448"/>
    <mergeCell ref="X448:AA448"/>
    <mergeCell ref="AB448:AE448"/>
    <mergeCell ref="V440:W440"/>
    <mergeCell ref="AB440:AC440"/>
    <mergeCell ref="J441:K441"/>
    <mergeCell ref="AD441:AG441"/>
    <mergeCell ref="E446:G447"/>
    <mergeCell ref="H446:J447"/>
    <mergeCell ref="K446:N447"/>
    <mergeCell ref="O446:S447"/>
    <mergeCell ref="T446:W447"/>
    <mergeCell ref="X446:AA447"/>
    <mergeCell ref="J436:K436"/>
    <mergeCell ref="J437:K437"/>
    <mergeCell ref="J438:K438"/>
    <mergeCell ref="R438:T438"/>
    <mergeCell ref="J439:K439"/>
    <mergeCell ref="J440:K440"/>
    <mergeCell ref="J416:K416"/>
    <mergeCell ref="S416:U416"/>
    <mergeCell ref="J417:K417"/>
    <mergeCell ref="F434:G434"/>
    <mergeCell ref="J434:K434"/>
    <mergeCell ref="O434:P434"/>
    <mergeCell ref="F411:G411"/>
    <mergeCell ref="I411:J411"/>
    <mergeCell ref="N411:O411"/>
    <mergeCell ref="J413:K413"/>
    <mergeCell ref="J414:K414"/>
    <mergeCell ref="J415:K415"/>
    <mergeCell ref="F403:H403"/>
    <mergeCell ref="I403:L403"/>
    <mergeCell ref="M403:P403"/>
    <mergeCell ref="Q403:T403"/>
    <mergeCell ref="U403:Y403"/>
    <mergeCell ref="Z403:AD403"/>
    <mergeCell ref="F402:H402"/>
    <mergeCell ref="I402:L402"/>
    <mergeCell ref="M402:P402"/>
    <mergeCell ref="Q402:T402"/>
    <mergeCell ref="U402:Y402"/>
    <mergeCell ref="Z402:AD402"/>
    <mergeCell ref="F401:H401"/>
    <mergeCell ref="I401:L401"/>
    <mergeCell ref="M401:P401"/>
    <mergeCell ref="Q401:T401"/>
    <mergeCell ref="U401:Y401"/>
    <mergeCell ref="Z401:AD401"/>
    <mergeCell ref="F400:H400"/>
    <mergeCell ref="I400:L400"/>
    <mergeCell ref="M400:P400"/>
    <mergeCell ref="Q400:T400"/>
    <mergeCell ref="U400:Y400"/>
    <mergeCell ref="Z400:AD400"/>
    <mergeCell ref="F399:H399"/>
    <mergeCell ref="I399:L399"/>
    <mergeCell ref="M399:P399"/>
    <mergeCell ref="Q399:T399"/>
    <mergeCell ref="U399:Y399"/>
    <mergeCell ref="Z399:AD399"/>
    <mergeCell ref="F398:H398"/>
    <mergeCell ref="I398:L398"/>
    <mergeCell ref="M398:P398"/>
    <mergeCell ref="Q398:T398"/>
    <mergeCell ref="U398:Y398"/>
    <mergeCell ref="Z398:AD398"/>
    <mergeCell ref="F397:H397"/>
    <mergeCell ref="I397:L397"/>
    <mergeCell ref="M397:P397"/>
    <mergeCell ref="Q397:T397"/>
    <mergeCell ref="U397:Y397"/>
    <mergeCell ref="Z397:AD397"/>
    <mergeCell ref="F396:H396"/>
    <mergeCell ref="I396:L396"/>
    <mergeCell ref="M396:P396"/>
    <mergeCell ref="Q396:T396"/>
    <mergeCell ref="U396:Y396"/>
    <mergeCell ref="Z396:AD396"/>
    <mergeCell ref="F395:H395"/>
    <mergeCell ref="I395:L395"/>
    <mergeCell ref="M395:P395"/>
    <mergeCell ref="Q395:T395"/>
    <mergeCell ref="U395:Y395"/>
    <mergeCell ref="Z395:AD395"/>
    <mergeCell ref="F394:H394"/>
    <mergeCell ref="I394:L394"/>
    <mergeCell ref="M394:P394"/>
    <mergeCell ref="Q394:T394"/>
    <mergeCell ref="U394:Y394"/>
    <mergeCell ref="Z394:AD394"/>
    <mergeCell ref="F393:H393"/>
    <mergeCell ref="I393:L393"/>
    <mergeCell ref="M393:P393"/>
    <mergeCell ref="Q393:T393"/>
    <mergeCell ref="U393:Y393"/>
    <mergeCell ref="Z393:AD393"/>
    <mergeCell ref="F392:H392"/>
    <mergeCell ref="I392:L392"/>
    <mergeCell ref="M392:P392"/>
    <mergeCell ref="Q392:T392"/>
    <mergeCell ref="U392:Y392"/>
    <mergeCell ref="Z392:AD392"/>
    <mergeCell ref="F391:H391"/>
    <mergeCell ref="I391:L391"/>
    <mergeCell ref="M391:P391"/>
    <mergeCell ref="Q391:T391"/>
    <mergeCell ref="U391:Y391"/>
    <mergeCell ref="Z391:AD391"/>
    <mergeCell ref="F390:H390"/>
    <mergeCell ref="I390:L390"/>
    <mergeCell ref="M390:P390"/>
    <mergeCell ref="Q390:T390"/>
    <mergeCell ref="U390:Y390"/>
    <mergeCell ref="Z390:AD390"/>
    <mergeCell ref="F389:H389"/>
    <mergeCell ref="I389:L389"/>
    <mergeCell ref="M389:P389"/>
    <mergeCell ref="Q389:T389"/>
    <mergeCell ref="U389:Y389"/>
    <mergeCell ref="Z389:AD389"/>
    <mergeCell ref="F388:H388"/>
    <mergeCell ref="I388:L388"/>
    <mergeCell ref="M388:P388"/>
    <mergeCell ref="Q388:T388"/>
    <mergeCell ref="U388:Y388"/>
    <mergeCell ref="Z388:AD388"/>
    <mergeCell ref="F385:H387"/>
    <mergeCell ref="I385:L387"/>
    <mergeCell ref="M385:P387"/>
    <mergeCell ref="Q385:AD385"/>
    <mergeCell ref="Q386:T387"/>
    <mergeCell ref="U386:Y387"/>
    <mergeCell ref="Z386:AD387"/>
    <mergeCell ref="F381:H381"/>
    <mergeCell ref="I381:L381"/>
    <mergeCell ref="M381:P381"/>
    <mergeCell ref="Q381:T381"/>
    <mergeCell ref="U381:Y381"/>
    <mergeCell ref="Z381:AD381"/>
    <mergeCell ref="F380:H380"/>
    <mergeCell ref="I380:L380"/>
    <mergeCell ref="M380:P380"/>
    <mergeCell ref="Q380:T380"/>
    <mergeCell ref="U380:Y380"/>
    <mergeCell ref="Z380:AD380"/>
    <mergeCell ref="F379:H379"/>
    <mergeCell ref="I379:L379"/>
    <mergeCell ref="M379:P379"/>
    <mergeCell ref="Q379:T379"/>
    <mergeCell ref="U379:Y379"/>
    <mergeCell ref="Z379:AD379"/>
    <mergeCell ref="F378:H378"/>
    <mergeCell ref="I378:L378"/>
    <mergeCell ref="M378:P378"/>
    <mergeCell ref="Q378:T378"/>
    <mergeCell ref="U378:Y378"/>
    <mergeCell ref="Z378:AD378"/>
    <mergeCell ref="F377:H377"/>
    <mergeCell ref="I377:L377"/>
    <mergeCell ref="M377:P377"/>
    <mergeCell ref="Q377:T377"/>
    <mergeCell ref="U377:Y377"/>
    <mergeCell ref="Z377:AD377"/>
    <mergeCell ref="F376:H376"/>
    <mergeCell ref="I376:L376"/>
    <mergeCell ref="M376:P376"/>
    <mergeCell ref="Q376:T376"/>
    <mergeCell ref="U376:Y376"/>
    <mergeCell ref="Z376:AD376"/>
    <mergeCell ref="F375:H375"/>
    <mergeCell ref="I375:L375"/>
    <mergeCell ref="M375:P375"/>
    <mergeCell ref="Q375:T375"/>
    <mergeCell ref="U375:Y375"/>
    <mergeCell ref="Z375:AD375"/>
    <mergeCell ref="F374:H374"/>
    <mergeCell ref="I374:L374"/>
    <mergeCell ref="M374:P374"/>
    <mergeCell ref="Q374:T374"/>
    <mergeCell ref="U374:Y374"/>
    <mergeCell ref="Z374:AD374"/>
    <mergeCell ref="F373:H373"/>
    <mergeCell ref="I373:L373"/>
    <mergeCell ref="M373:P373"/>
    <mergeCell ref="Q373:T373"/>
    <mergeCell ref="U373:Y373"/>
    <mergeCell ref="Z373:AD373"/>
    <mergeCell ref="F372:H372"/>
    <mergeCell ref="I372:L372"/>
    <mergeCell ref="M372:P372"/>
    <mergeCell ref="Q372:T372"/>
    <mergeCell ref="U372:Y372"/>
    <mergeCell ref="Z372:AD372"/>
    <mergeCell ref="F371:H371"/>
    <mergeCell ref="I371:L371"/>
    <mergeCell ref="M371:P371"/>
    <mergeCell ref="Q371:T371"/>
    <mergeCell ref="U371:Y371"/>
    <mergeCell ref="Z371:AD371"/>
    <mergeCell ref="F370:H370"/>
    <mergeCell ref="I370:L370"/>
    <mergeCell ref="M370:P370"/>
    <mergeCell ref="Q370:T370"/>
    <mergeCell ref="U370:Y370"/>
    <mergeCell ref="Z370:AD370"/>
    <mergeCell ref="F369:H369"/>
    <mergeCell ref="I369:L369"/>
    <mergeCell ref="M369:P369"/>
    <mergeCell ref="Q369:T369"/>
    <mergeCell ref="U369:Y369"/>
    <mergeCell ref="Z369:AD369"/>
    <mergeCell ref="F368:H368"/>
    <mergeCell ref="I368:L368"/>
    <mergeCell ref="M368:P368"/>
    <mergeCell ref="Q368:T368"/>
    <mergeCell ref="U368:Y368"/>
    <mergeCell ref="Z368:AD368"/>
    <mergeCell ref="F367:H367"/>
    <mergeCell ref="I367:L367"/>
    <mergeCell ref="M367:P367"/>
    <mergeCell ref="Q367:T367"/>
    <mergeCell ref="U367:Y367"/>
    <mergeCell ref="Z367:AD367"/>
    <mergeCell ref="F366:H366"/>
    <mergeCell ref="I366:L366"/>
    <mergeCell ref="M366:P366"/>
    <mergeCell ref="Q366:T366"/>
    <mergeCell ref="U366:Y366"/>
    <mergeCell ref="Z366:AD366"/>
    <mergeCell ref="F363:H365"/>
    <mergeCell ref="I363:L365"/>
    <mergeCell ref="M363:P365"/>
    <mergeCell ref="Q363:AD363"/>
    <mergeCell ref="Q364:T365"/>
    <mergeCell ref="U364:Y365"/>
    <mergeCell ref="Z364:AD365"/>
    <mergeCell ref="F353:H353"/>
    <mergeCell ref="I353:L353"/>
    <mergeCell ref="M353:P353"/>
    <mergeCell ref="Q353:T353"/>
    <mergeCell ref="U353:Y353"/>
    <mergeCell ref="Z353:AD353"/>
    <mergeCell ref="F352:H352"/>
    <mergeCell ref="I352:L352"/>
    <mergeCell ref="M352:P352"/>
    <mergeCell ref="Q352:T352"/>
    <mergeCell ref="U352:Y352"/>
    <mergeCell ref="Z352:AD352"/>
    <mergeCell ref="F351:H351"/>
    <mergeCell ref="I351:L351"/>
    <mergeCell ref="M351:P351"/>
    <mergeCell ref="Q351:T351"/>
    <mergeCell ref="U351:Y351"/>
    <mergeCell ref="Z351:AD351"/>
    <mergeCell ref="F350:H350"/>
    <mergeCell ref="I350:L350"/>
    <mergeCell ref="M350:P350"/>
    <mergeCell ref="Q350:T350"/>
    <mergeCell ref="U350:Y350"/>
    <mergeCell ref="Z350:AD350"/>
    <mergeCell ref="F349:H349"/>
    <mergeCell ref="I349:L349"/>
    <mergeCell ref="M349:P349"/>
    <mergeCell ref="Q349:T349"/>
    <mergeCell ref="U349:Y349"/>
    <mergeCell ref="Z349:AD349"/>
    <mergeCell ref="F348:H348"/>
    <mergeCell ref="I348:L348"/>
    <mergeCell ref="M348:P348"/>
    <mergeCell ref="Q348:T348"/>
    <mergeCell ref="U348:Y348"/>
    <mergeCell ref="Z348:AD348"/>
    <mergeCell ref="F347:H347"/>
    <mergeCell ref="I347:L347"/>
    <mergeCell ref="M347:P347"/>
    <mergeCell ref="Q347:T347"/>
    <mergeCell ref="U347:Y347"/>
    <mergeCell ref="Z347:AD347"/>
    <mergeCell ref="F346:H346"/>
    <mergeCell ref="I346:L346"/>
    <mergeCell ref="M346:P346"/>
    <mergeCell ref="Q346:T346"/>
    <mergeCell ref="U346:Y346"/>
    <mergeCell ref="Z346:AD346"/>
    <mergeCell ref="F345:H345"/>
    <mergeCell ref="I345:L345"/>
    <mergeCell ref="M345:P345"/>
    <mergeCell ref="Q345:T345"/>
    <mergeCell ref="U345:Y345"/>
    <mergeCell ref="Z345:AD345"/>
    <mergeCell ref="F344:H344"/>
    <mergeCell ref="I344:L344"/>
    <mergeCell ref="M344:P344"/>
    <mergeCell ref="Q344:T344"/>
    <mergeCell ref="U344:Y344"/>
    <mergeCell ref="Z344:AD344"/>
    <mergeCell ref="F343:H343"/>
    <mergeCell ref="I343:L343"/>
    <mergeCell ref="M343:P343"/>
    <mergeCell ref="Q343:T343"/>
    <mergeCell ref="U343:Y343"/>
    <mergeCell ref="Z343:AD343"/>
    <mergeCell ref="F342:H342"/>
    <mergeCell ref="I342:L342"/>
    <mergeCell ref="M342:P342"/>
    <mergeCell ref="Q342:T342"/>
    <mergeCell ref="U342:Y342"/>
    <mergeCell ref="Z342:AD342"/>
    <mergeCell ref="F341:H341"/>
    <mergeCell ref="I341:L341"/>
    <mergeCell ref="M341:P341"/>
    <mergeCell ref="Q341:T341"/>
    <mergeCell ref="U341:Y341"/>
    <mergeCell ref="Z341:AD341"/>
    <mergeCell ref="F340:H340"/>
    <mergeCell ref="I340:L340"/>
    <mergeCell ref="M340:P340"/>
    <mergeCell ref="Q340:T340"/>
    <mergeCell ref="U340:Y340"/>
    <mergeCell ref="Z340:AD340"/>
    <mergeCell ref="F339:H339"/>
    <mergeCell ref="I339:L339"/>
    <mergeCell ref="M339:P339"/>
    <mergeCell ref="Q339:T339"/>
    <mergeCell ref="U339:Y339"/>
    <mergeCell ref="Z339:AD339"/>
    <mergeCell ref="F338:H338"/>
    <mergeCell ref="I338:L338"/>
    <mergeCell ref="M338:P338"/>
    <mergeCell ref="Q338:T338"/>
    <mergeCell ref="U338:Y338"/>
    <mergeCell ref="Z338:AD338"/>
    <mergeCell ref="F335:H337"/>
    <mergeCell ref="I335:L337"/>
    <mergeCell ref="M335:P337"/>
    <mergeCell ref="Q335:T337"/>
    <mergeCell ref="U335:Y337"/>
    <mergeCell ref="Z335:AD337"/>
    <mergeCell ref="F331:H331"/>
    <mergeCell ref="I331:L331"/>
    <mergeCell ref="M331:P331"/>
    <mergeCell ref="Q331:T331"/>
    <mergeCell ref="U331:Y331"/>
    <mergeCell ref="Z331:AD331"/>
    <mergeCell ref="F330:H330"/>
    <mergeCell ref="I330:L330"/>
    <mergeCell ref="M330:P330"/>
    <mergeCell ref="Q330:T330"/>
    <mergeCell ref="U330:Y330"/>
    <mergeCell ref="Z330:AD330"/>
    <mergeCell ref="F329:H329"/>
    <mergeCell ref="I329:L329"/>
    <mergeCell ref="M329:P329"/>
    <mergeCell ref="Q329:T329"/>
    <mergeCell ref="U329:Y329"/>
    <mergeCell ref="Z329:AD329"/>
    <mergeCell ref="F328:H328"/>
    <mergeCell ref="I328:L328"/>
    <mergeCell ref="M328:P328"/>
    <mergeCell ref="Q328:T328"/>
    <mergeCell ref="U328:Y328"/>
    <mergeCell ref="Z328:AD328"/>
    <mergeCell ref="F327:H327"/>
    <mergeCell ref="I327:L327"/>
    <mergeCell ref="M327:P327"/>
    <mergeCell ref="Q327:T327"/>
    <mergeCell ref="U327:Y327"/>
    <mergeCell ref="Z327:AD327"/>
    <mergeCell ref="F326:H326"/>
    <mergeCell ref="I326:L326"/>
    <mergeCell ref="M326:P326"/>
    <mergeCell ref="Q326:T326"/>
    <mergeCell ref="U326:Y326"/>
    <mergeCell ref="Z326:AD326"/>
    <mergeCell ref="F325:H325"/>
    <mergeCell ref="I325:L325"/>
    <mergeCell ref="M325:P325"/>
    <mergeCell ref="Q325:T325"/>
    <mergeCell ref="U325:Y325"/>
    <mergeCell ref="Z325:AD325"/>
    <mergeCell ref="F324:H324"/>
    <mergeCell ref="I324:L324"/>
    <mergeCell ref="M324:P324"/>
    <mergeCell ref="Q324:T324"/>
    <mergeCell ref="U324:Y324"/>
    <mergeCell ref="Z324:AD324"/>
    <mergeCell ref="F323:H323"/>
    <mergeCell ref="I323:L323"/>
    <mergeCell ref="M323:P323"/>
    <mergeCell ref="Q323:T323"/>
    <mergeCell ref="U323:Y323"/>
    <mergeCell ref="Z323:AD323"/>
    <mergeCell ref="F322:H322"/>
    <mergeCell ref="I322:L322"/>
    <mergeCell ref="M322:P322"/>
    <mergeCell ref="Q322:T322"/>
    <mergeCell ref="U322:Y322"/>
    <mergeCell ref="Z322:AD322"/>
    <mergeCell ref="F321:H321"/>
    <mergeCell ref="I321:L321"/>
    <mergeCell ref="M321:P321"/>
    <mergeCell ref="Q321:T321"/>
    <mergeCell ref="U321:Y321"/>
    <mergeCell ref="Z321:AD321"/>
    <mergeCell ref="F320:H320"/>
    <mergeCell ref="I320:L320"/>
    <mergeCell ref="M320:P320"/>
    <mergeCell ref="Q320:T320"/>
    <mergeCell ref="U320:Y320"/>
    <mergeCell ref="Z320:AD320"/>
    <mergeCell ref="F319:H319"/>
    <mergeCell ref="I319:L319"/>
    <mergeCell ref="M319:P319"/>
    <mergeCell ref="Q319:T319"/>
    <mergeCell ref="U319:Y319"/>
    <mergeCell ref="Z319:AD319"/>
    <mergeCell ref="F318:H318"/>
    <mergeCell ref="I318:L318"/>
    <mergeCell ref="M318:P318"/>
    <mergeCell ref="Q318:T318"/>
    <mergeCell ref="U318:Y318"/>
    <mergeCell ref="Z318:AD318"/>
    <mergeCell ref="F317:H317"/>
    <mergeCell ref="I317:L317"/>
    <mergeCell ref="M317:P317"/>
    <mergeCell ref="Q317:T317"/>
    <mergeCell ref="U317:Y317"/>
    <mergeCell ref="Z317:AD317"/>
    <mergeCell ref="F316:H316"/>
    <mergeCell ref="I316:L316"/>
    <mergeCell ref="M316:P316"/>
    <mergeCell ref="Q316:T316"/>
    <mergeCell ref="U316:Y316"/>
    <mergeCell ref="Z316:AD316"/>
    <mergeCell ref="F313:H315"/>
    <mergeCell ref="I313:L315"/>
    <mergeCell ref="M313:P315"/>
    <mergeCell ref="Q313:AD313"/>
    <mergeCell ref="Q314:T315"/>
    <mergeCell ref="U314:Y315"/>
    <mergeCell ref="Z314:AD315"/>
    <mergeCell ref="F309:H309"/>
    <mergeCell ref="I309:L309"/>
    <mergeCell ref="M309:P309"/>
    <mergeCell ref="Q309:T309"/>
    <mergeCell ref="U309:Y309"/>
    <mergeCell ref="Z309:AD309"/>
    <mergeCell ref="F308:H308"/>
    <mergeCell ref="I308:L308"/>
    <mergeCell ref="M308:P308"/>
    <mergeCell ref="Q308:T308"/>
    <mergeCell ref="U308:Y308"/>
    <mergeCell ref="Z308:AD308"/>
    <mergeCell ref="F307:H307"/>
    <mergeCell ref="I307:L307"/>
    <mergeCell ref="M307:P307"/>
    <mergeCell ref="Q307:T307"/>
    <mergeCell ref="U307:Y307"/>
    <mergeCell ref="Z307:AD307"/>
    <mergeCell ref="F306:H306"/>
    <mergeCell ref="I306:L306"/>
    <mergeCell ref="M306:P306"/>
    <mergeCell ref="Q306:T306"/>
    <mergeCell ref="U306:Y306"/>
    <mergeCell ref="Z306:AD306"/>
    <mergeCell ref="F305:H305"/>
    <mergeCell ref="I305:L305"/>
    <mergeCell ref="M305:P305"/>
    <mergeCell ref="Q305:T305"/>
    <mergeCell ref="U305:Y305"/>
    <mergeCell ref="Z305:AD305"/>
    <mergeCell ref="F304:H304"/>
    <mergeCell ref="I304:L304"/>
    <mergeCell ref="M304:P304"/>
    <mergeCell ref="Q304:T304"/>
    <mergeCell ref="U304:Y304"/>
    <mergeCell ref="Z304:AD304"/>
    <mergeCell ref="F303:H303"/>
    <mergeCell ref="I303:L303"/>
    <mergeCell ref="M303:P303"/>
    <mergeCell ref="Q303:T303"/>
    <mergeCell ref="U303:Y303"/>
    <mergeCell ref="Z303:AD303"/>
    <mergeCell ref="F302:H302"/>
    <mergeCell ref="I302:L302"/>
    <mergeCell ref="M302:P302"/>
    <mergeCell ref="Q302:T302"/>
    <mergeCell ref="U302:Y302"/>
    <mergeCell ref="Z302:AD302"/>
    <mergeCell ref="F301:H301"/>
    <mergeCell ref="I301:L301"/>
    <mergeCell ref="M301:P301"/>
    <mergeCell ref="Q301:T301"/>
    <mergeCell ref="U301:Y301"/>
    <mergeCell ref="Z301:AD301"/>
    <mergeCell ref="F300:H300"/>
    <mergeCell ref="I300:L300"/>
    <mergeCell ref="M300:P300"/>
    <mergeCell ref="Q300:T300"/>
    <mergeCell ref="U300:Y300"/>
    <mergeCell ref="Z300:AD300"/>
    <mergeCell ref="F299:H299"/>
    <mergeCell ref="I299:L299"/>
    <mergeCell ref="M299:P299"/>
    <mergeCell ref="Q299:T299"/>
    <mergeCell ref="U299:Y299"/>
    <mergeCell ref="Z299:AD299"/>
    <mergeCell ref="F298:H298"/>
    <mergeCell ref="I298:L298"/>
    <mergeCell ref="M298:P298"/>
    <mergeCell ref="Q298:T298"/>
    <mergeCell ref="U298:Y298"/>
    <mergeCell ref="Z298:AD298"/>
    <mergeCell ref="F297:H297"/>
    <mergeCell ref="I297:L297"/>
    <mergeCell ref="M297:P297"/>
    <mergeCell ref="Q297:T297"/>
    <mergeCell ref="U297:Y297"/>
    <mergeCell ref="Z297:AD297"/>
    <mergeCell ref="F296:H296"/>
    <mergeCell ref="I296:L296"/>
    <mergeCell ref="M296:P296"/>
    <mergeCell ref="Q296:T296"/>
    <mergeCell ref="U296:Y296"/>
    <mergeCell ref="Z296:AD296"/>
    <mergeCell ref="F295:H295"/>
    <mergeCell ref="I295:L295"/>
    <mergeCell ref="M295:P295"/>
    <mergeCell ref="Q295:T295"/>
    <mergeCell ref="U295:Y295"/>
    <mergeCell ref="Z295:AD295"/>
    <mergeCell ref="F294:H294"/>
    <mergeCell ref="I294:L294"/>
    <mergeCell ref="M294:P294"/>
    <mergeCell ref="Q294:T294"/>
    <mergeCell ref="U294:Y294"/>
    <mergeCell ref="Z294:AD294"/>
    <mergeCell ref="F291:H293"/>
    <mergeCell ref="I291:L293"/>
    <mergeCell ref="M291:P293"/>
    <mergeCell ref="Q291:AD291"/>
    <mergeCell ref="Q292:T293"/>
    <mergeCell ref="U292:Y293"/>
    <mergeCell ref="Z292:AD293"/>
    <mergeCell ref="F287:H287"/>
    <mergeCell ref="I287:L287"/>
    <mergeCell ref="M287:P287"/>
    <mergeCell ref="Q287:S287"/>
    <mergeCell ref="T287:X287"/>
    <mergeCell ref="Y287:AC287"/>
    <mergeCell ref="F286:H286"/>
    <mergeCell ref="I286:L286"/>
    <mergeCell ref="M286:P286"/>
    <mergeCell ref="Q286:S286"/>
    <mergeCell ref="T286:X286"/>
    <mergeCell ref="Y286:AC286"/>
    <mergeCell ref="F285:H285"/>
    <mergeCell ref="I285:L285"/>
    <mergeCell ref="M285:P285"/>
    <mergeCell ref="Q285:S285"/>
    <mergeCell ref="T285:X285"/>
    <mergeCell ref="Y285:AC285"/>
    <mergeCell ref="F284:H284"/>
    <mergeCell ref="I284:L284"/>
    <mergeCell ref="M284:P284"/>
    <mergeCell ref="Q284:S284"/>
    <mergeCell ref="T284:X284"/>
    <mergeCell ref="Y284:AC284"/>
    <mergeCell ref="F283:H283"/>
    <mergeCell ref="I283:L283"/>
    <mergeCell ref="M283:P283"/>
    <mergeCell ref="Q283:S283"/>
    <mergeCell ref="T283:X283"/>
    <mergeCell ref="Y283:AC283"/>
    <mergeCell ref="F282:H282"/>
    <mergeCell ref="I282:L282"/>
    <mergeCell ref="M282:P282"/>
    <mergeCell ref="Q282:S282"/>
    <mergeCell ref="T282:X282"/>
    <mergeCell ref="Y282:AC282"/>
    <mergeCell ref="F281:H281"/>
    <mergeCell ref="I281:L281"/>
    <mergeCell ref="M281:P281"/>
    <mergeCell ref="Q281:S281"/>
    <mergeCell ref="T281:X281"/>
    <mergeCell ref="Y281:AC281"/>
    <mergeCell ref="F280:H280"/>
    <mergeCell ref="I280:L280"/>
    <mergeCell ref="M280:P280"/>
    <mergeCell ref="Q280:S280"/>
    <mergeCell ref="T280:X280"/>
    <mergeCell ref="Y280:AC280"/>
    <mergeCell ref="F279:H279"/>
    <mergeCell ref="I279:L279"/>
    <mergeCell ref="M279:P279"/>
    <mergeCell ref="Q279:S279"/>
    <mergeCell ref="T279:X279"/>
    <mergeCell ref="Y279:AC279"/>
    <mergeCell ref="F278:H278"/>
    <mergeCell ref="I278:L278"/>
    <mergeCell ref="M278:P278"/>
    <mergeCell ref="Q278:S278"/>
    <mergeCell ref="T278:X278"/>
    <mergeCell ref="Y278:AC278"/>
    <mergeCell ref="F277:H277"/>
    <mergeCell ref="I277:L277"/>
    <mergeCell ref="M277:P277"/>
    <mergeCell ref="Q277:S277"/>
    <mergeCell ref="T277:X277"/>
    <mergeCell ref="Y277:AC277"/>
    <mergeCell ref="F276:H276"/>
    <mergeCell ref="I276:L276"/>
    <mergeCell ref="M276:P276"/>
    <mergeCell ref="Q276:S276"/>
    <mergeCell ref="T276:X276"/>
    <mergeCell ref="Y276:AC276"/>
    <mergeCell ref="F275:H275"/>
    <mergeCell ref="I275:L275"/>
    <mergeCell ref="M275:P275"/>
    <mergeCell ref="Q275:S275"/>
    <mergeCell ref="T275:X275"/>
    <mergeCell ref="Y275:AC275"/>
    <mergeCell ref="F274:H274"/>
    <mergeCell ref="I274:L274"/>
    <mergeCell ref="M274:P274"/>
    <mergeCell ref="Q274:S274"/>
    <mergeCell ref="T274:X274"/>
    <mergeCell ref="Y274:AC274"/>
    <mergeCell ref="F273:H273"/>
    <mergeCell ref="I273:L273"/>
    <mergeCell ref="M273:P273"/>
    <mergeCell ref="Q273:S273"/>
    <mergeCell ref="T273:X273"/>
    <mergeCell ref="Y273:AC273"/>
    <mergeCell ref="F272:H272"/>
    <mergeCell ref="I272:L272"/>
    <mergeCell ref="M272:P272"/>
    <mergeCell ref="Q272:S272"/>
    <mergeCell ref="T272:X272"/>
    <mergeCell ref="Y272:AC272"/>
    <mergeCell ref="F269:H271"/>
    <mergeCell ref="I269:L271"/>
    <mergeCell ref="M269:P271"/>
    <mergeCell ref="Q269:S271"/>
    <mergeCell ref="T269:X271"/>
    <mergeCell ref="Y269:AC271"/>
    <mergeCell ref="F264:H264"/>
    <mergeCell ref="I264:L264"/>
    <mergeCell ref="M264:P264"/>
    <mergeCell ref="Q264:S264"/>
    <mergeCell ref="T264:X264"/>
    <mergeCell ref="Y264:AC264"/>
    <mergeCell ref="F263:H263"/>
    <mergeCell ref="I263:L263"/>
    <mergeCell ref="M263:P263"/>
    <mergeCell ref="Q263:S263"/>
    <mergeCell ref="T263:X263"/>
    <mergeCell ref="Y263:AC263"/>
    <mergeCell ref="F262:H262"/>
    <mergeCell ref="I262:L262"/>
    <mergeCell ref="M262:P262"/>
    <mergeCell ref="Q262:S262"/>
    <mergeCell ref="T262:X262"/>
    <mergeCell ref="Y262:AC262"/>
    <mergeCell ref="F261:H261"/>
    <mergeCell ref="I261:L261"/>
    <mergeCell ref="M261:P261"/>
    <mergeCell ref="Q261:S261"/>
    <mergeCell ref="T261:X261"/>
    <mergeCell ref="Y261:AC261"/>
    <mergeCell ref="F260:H260"/>
    <mergeCell ref="I260:L260"/>
    <mergeCell ref="M260:P260"/>
    <mergeCell ref="Q260:S260"/>
    <mergeCell ref="T260:X260"/>
    <mergeCell ref="Y260:AC260"/>
    <mergeCell ref="F259:H259"/>
    <mergeCell ref="I259:L259"/>
    <mergeCell ref="M259:P259"/>
    <mergeCell ref="Q259:S259"/>
    <mergeCell ref="T259:X259"/>
    <mergeCell ref="Y259:AC259"/>
    <mergeCell ref="F258:H258"/>
    <mergeCell ref="I258:L258"/>
    <mergeCell ref="M258:P258"/>
    <mergeCell ref="Q258:S258"/>
    <mergeCell ref="T258:X258"/>
    <mergeCell ref="Y258:AC258"/>
    <mergeCell ref="F257:H257"/>
    <mergeCell ref="I257:L257"/>
    <mergeCell ref="M257:P257"/>
    <mergeCell ref="Q257:S257"/>
    <mergeCell ref="T257:X257"/>
    <mergeCell ref="Y257:AC257"/>
    <mergeCell ref="F256:H256"/>
    <mergeCell ref="I256:L256"/>
    <mergeCell ref="M256:P256"/>
    <mergeCell ref="Q256:S256"/>
    <mergeCell ref="T256:X256"/>
    <mergeCell ref="Y256:AC256"/>
    <mergeCell ref="F255:H255"/>
    <mergeCell ref="I255:L255"/>
    <mergeCell ref="M255:P255"/>
    <mergeCell ref="Q255:S255"/>
    <mergeCell ref="T255:X255"/>
    <mergeCell ref="Y255:AC255"/>
    <mergeCell ref="F254:H254"/>
    <mergeCell ref="I254:L254"/>
    <mergeCell ref="M254:P254"/>
    <mergeCell ref="Q254:S254"/>
    <mergeCell ref="T254:X254"/>
    <mergeCell ref="Y254:AC254"/>
    <mergeCell ref="F253:H253"/>
    <mergeCell ref="I253:L253"/>
    <mergeCell ref="M253:P253"/>
    <mergeCell ref="Q253:S253"/>
    <mergeCell ref="T253:X253"/>
    <mergeCell ref="Y253:AC253"/>
    <mergeCell ref="F252:H252"/>
    <mergeCell ref="I252:L252"/>
    <mergeCell ref="M252:P252"/>
    <mergeCell ref="Q252:S252"/>
    <mergeCell ref="T252:X252"/>
    <mergeCell ref="Y252:AC252"/>
    <mergeCell ref="F251:H251"/>
    <mergeCell ref="I251:L251"/>
    <mergeCell ref="M251:P251"/>
    <mergeCell ref="Q251:S251"/>
    <mergeCell ref="T251:X251"/>
    <mergeCell ref="Y251:AC251"/>
    <mergeCell ref="F250:H250"/>
    <mergeCell ref="I250:L250"/>
    <mergeCell ref="M250:P250"/>
    <mergeCell ref="Q250:S250"/>
    <mergeCell ref="T250:X250"/>
    <mergeCell ref="Y250:AC250"/>
    <mergeCell ref="Y246:AC248"/>
    <mergeCell ref="F249:H249"/>
    <mergeCell ref="I249:L249"/>
    <mergeCell ref="M249:P249"/>
    <mergeCell ref="Q249:S249"/>
    <mergeCell ref="T249:X249"/>
    <mergeCell ref="Y249:AC249"/>
    <mergeCell ref="J243:K243"/>
    <mergeCell ref="F246:H248"/>
    <mergeCell ref="I246:L248"/>
    <mergeCell ref="M246:P248"/>
    <mergeCell ref="Q246:S248"/>
    <mergeCell ref="T246:X248"/>
    <mergeCell ref="F238:G238"/>
    <mergeCell ref="I238:J238"/>
    <mergeCell ref="J240:K240"/>
    <mergeCell ref="J241:K241"/>
    <mergeCell ref="J242:K242"/>
    <mergeCell ref="R242:T242"/>
    <mergeCell ref="J227:O227"/>
    <mergeCell ref="P227:U227"/>
    <mergeCell ref="V227:AA227"/>
    <mergeCell ref="J228:O228"/>
    <mergeCell ref="P228:U228"/>
    <mergeCell ref="V228:AA228"/>
    <mergeCell ref="J223:O223"/>
    <mergeCell ref="P223:U223"/>
    <mergeCell ref="V223:AA223"/>
    <mergeCell ref="J224:O224"/>
    <mergeCell ref="P224:U224"/>
    <mergeCell ref="V224:AA224"/>
    <mergeCell ref="M218:N218"/>
    <mergeCell ref="P218:Q218"/>
    <mergeCell ref="P219:Q219"/>
    <mergeCell ref="U219:W219"/>
    <mergeCell ref="Z219:AB219"/>
    <mergeCell ref="J220:K220"/>
    <mergeCell ref="U220:W220"/>
    <mergeCell ref="F213:G213"/>
    <mergeCell ref="I213:J213"/>
    <mergeCell ref="L213:M213"/>
    <mergeCell ref="J215:K215"/>
    <mergeCell ref="J216:K216"/>
    <mergeCell ref="J217:K217"/>
    <mergeCell ref="AA202:AC203"/>
    <mergeCell ref="AD202:AF202"/>
    <mergeCell ref="AG202:AI202"/>
    <mergeCell ref="G203:K203"/>
    <mergeCell ref="O203:Q203"/>
    <mergeCell ref="R203:T203"/>
    <mergeCell ref="U203:W203"/>
    <mergeCell ref="X203:Z203"/>
    <mergeCell ref="AD203:AF203"/>
    <mergeCell ref="AG203:AI203"/>
    <mergeCell ref="X201:Z201"/>
    <mergeCell ref="AA201:AC201"/>
    <mergeCell ref="AD201:AF201"/>
    <mergeCell ref="AG201:AI201"/>
    <mergeCell ref="G202:K202"/>
    <mergeCell ref="L202:N203"/>
    <mergeCell ref="O202:Q202"/>
    <mergeCell ref="R202:T202"/>
    <mergeCell ref="U202:W202"/>
    <mergeCell ref="X202:Z202"/>
    <mergeCell ref="J198:K198"/>
    <mergeCell ref="G201:K201"/>
    <mergeCell ref="L201:N201"/>
    <mergeCell ref="O201:Q201"/>
    <mergeCell ref="R201:T201"/>
    <mergeCell ref="U201:W201"/>
    <mergeCell ref="S192:T192"/>
    <mergeCell ref="Q193:T193"/>
    <mergeCell ref="J194:K194"/>
    <mergeCell ref="J195:K195"/>
    <mergeCell ref="J196:K196"/>
    <mergeCell ref="J197:K197"/>
    <mergeCell ref="M189:N189"/>
    <mergeCell ref="J190:K190"/>
    <mergeCell ref="J191:K191"/>
    <mergeCell ref="M192:N193"/>
    <mergeCell ref="O192:O193"/>
    <mergeCell ref="P192:Q192"/>
    <mergeCell ref="F182:G182"/>
    <mergeCell ref="I182:J182"/>
    <mergeCell ref="L182:M182"/>
    <mergeCell ref="J184:K184"/>
    <mergeCell ref="J185:K185"/>
    <mergeCell ref="J186:K186"/>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G157:I157"/>
    <mergeCell ref="J157:M157"/>
    <mergeCell ref="N157:P157"/>
    <mergeCell ref="Q157:T157"/>
    <mergeCell ref="U157:W157"/>
    <mergeCell ref="X157:AC157"/>
    <mergeCell ref="AD155:AI155"/>
    <mergeCell ref="G156:I156"/>
    <mergeCell ref="J156:M156"/>
    <mergeCell ref="N156:P156"/>
    <mergeCell ref="Q156:T156"/>
    <mergeCell ref="U156:W156"/>
    <mergeCell ref="X156:AC156"/>
    <mergeCell ref="AD156:AI156"/>
    <mergeCell ref="Q152:T154"/>
    <mergeCell ref="U152:W154"/>
    <mergeCell ref="X152:AC154"/>
    <mergeCell ref="AD152:AI154"/>
    <mergeCell ref="G155:I155"/>
    <mergeCell ref="J155:M155"/>
    <mergeCell ref="N155:P155"/>
    <mergeCell ref="Q155:T155"/>
    <mergeCell ref="U155:W155"/>
    <mergeCell ref="X155:AC155"/>
    <mergeCell ref="J145:K145"/>
    <mergeCell ref="J146:K146"/>
    <mergeCell ref="J147:K147"/>
    <mergeCell ref="J148:K148"/>
    <mergeCell ref="T148:V148"/>
    <mergeCell ref="G151:I154"/>
    <mergeCell ref="J151:M154"/>
    <mergeCell ref="N151:T151"/>
    <mergeCell ref="U151:AI151"/>
    <mergeCell ref="N152:P154"/>
    <mergeCell ref="F140:G140"/>
    <mergeCell ref="I140:J140"/>
    <mergeCell ref="K140:L140"/>
    <mergeCell ref="M140:N140"/>
    <mergeCell ref="P140:Q140"/>
    <mergeCell ref="F143:G143"/>
    <mergeCell ref="I143:J143"/>
    <mergeCell ref="K143:L143"/>
    <mergeCell ref="M143:N143"/>
    <mergeCell ref="P143:Q143"/>
    <mergeCell ref="H127:J127"/>
    <mergeCell ref="K127:P127"/>
    <mergeCell ref="Q127:S127"/>
    <mergeCell ref="T127:Y127"/>
    <mergeCell ref="Z127:AB127"/>
    <mergeCell ref="AC127:AH127"/>
    <mergeCell ref="H126:J126"/>
    <mergeCell ref="K126:P126"/>
    <mergeCell ref="Q126:S126"/>
    <mergeCell ref="T126:Y126"/>
    <mergeCell ref="Z126:AB126"/>
    <mergeCell ref="AC126:AH126"/>
    <mergeCell ref="H125:J125"/>
    <mergeCell ref="K125:P125"/>
    <mergeCell ref="Q125:S125"/>
    <mergeCell ref="T125:Y125"/>
    <mergeCell ref="Z125:AB125"/>
    <mergeCell ref="AC125:AH125"/>
    <mergeCell ref="H124:J124"/>
    <mergeCell ref="K124:P124"/>
    <mergeCell ref="Q124:S124"/>
    <mergeCell ref="T124:Y124"/>
    <mergeCell ref="Z124:AB124"/>
    <mergeCell ref="AC124:AH124"/>
    <mergeCell ref="H123:J123"/>
    <mergeCell ref="K123:P123"/>
    <mergeCell ref="Q123:S123"/>
    <mergeCell ref="T123:Y123"/>
    <mergeCell ref="Z123:AB123"/>
    <mergeCell ref="AC123:AH123"/>
    <mergeCell ref="H122:J122"/>
    <mergeCell ref="K122:P122"/>
    <mergeCell ref="Q122:S122"/>
    <mergeCell ref="T122:Y122"/>
    <mergeCell ref="Z122:AB122"/>
    <mergeCell ref="AC122:AH122"/>
    <mergeCell ref="H121:J121"/>
    <mergeCell ref="K121:P121"/>
    <mergeCell ref="Q121:S121"/>
    <mergeCell ref="T121:Y121"/>
    <mergeCell ref="Z121:AB121"/>
    <mergeCell ref="AC121:AH121"/>
    <mergeCell ref="H120:J120"/>
    <mergeCell ref="K120:P120"/>
    <mergeCell ref="Q120:S120"/>
    <mergeCell ref="T120:Y120"/>
    <mergeCell ref="Z120:AB120"/>
    <mergeCell ref="AC120:AH120"/>
    <mergeCell ref="H119:J119"/>
    <mergeCell ref="K119:P119"/>
    <mergeCell ref="Q119:S119"/>
    <mergeCell ref="T119:Y119"/>
    <mergeCell ref="Z119:AB119"/>
    <mergeCell ref="AC119:AH119"/>
    <mergeCell ref="H118:J118"/>
    <mergeCell ref="K118:P118"/>
    <mergeCell ref="Q118:S118"/>
    <mergeCell ref="T118:Y118"/>
    <mergeCell ref="Z118:AB118"/>
    <mergeCell ref="AC118:AH118"/>
    <mergeCell ref="H117:J117"/>
    <mergeCell ref="K117:P117"/>
    <mergeCell ref="Q117:S117"/>
    <mergeCell ref="T117:Y117"/>
    <mergeCell ref="Z117:AB117"/>
    <mergeCell ref="AC117:AH117"/>
    <mergeCell ref="H116:J116"/>
    <mergeCell ref="K116:P116"/>
    <mergeCell ref="Q116:S116"/>
    <mergeCell ref="T116:Y116"/>
    <mergeCell ref="Z116:AB116"/>
    <mergeCell ref="AC116:AH116"/>
    <mergeCell ref="H115:J115"/>
    <mergeCell ref="K115:P115"/>
    <mergeCell ref="Q115:S115"/>
    <mergeCell ref="T115:Y115"/>
    <mergeCell ref="Z115:AB115"/>
    <mergeCell ref="AC115:AH115"/>
    <mergeCell ref="H114:J114"/>
    <mergeCell ref="K114:P114"/>
    <mergeCell ref="Q114:S114"/>
    <mergeCell ref="T114:Y114"/>
    <mergeCell ref="Z114:AB114"/>
    <mergeCell ref="AC114:AH114"/>
    <mergeCell ref="H113:J113"/>
    <mergeCell ref="K113:P113"/>
    <mergeCell ref="Q113:S113"/>
    <mergeCell ref="T113:Y113"/>
    <mergeCell ref="Z113:AB113"/>
    <mergeCell ref="AC113:AH113"/>
    <mergeCell ref="H112:J112"/>
    <mergeCell ref="K112:P112"/>
    <mergeCell ref="Q112:S112"/>
    <mergeCell ref="T112:Y112"/>
    <mergeCell ref="Z112:AB112"/>
    <mergeCell ref="AC112:AH112"/>
    <mergeCell ref="J107:K107"/>
    <mergeCell ref="H110:J111"/>
    <mergeCell ref="K110:P111"/>
    <mergeCell ref="Q110:Y110"/>
    <mergeCell ref="Z110:AH110"/>
    <mergeCell ref="Q111:S111"/>
    <mergeCell ref="T111:Y111"/>
    <mergeCell ref="Z111:AB111"/>
    <mergeCell ref="AC111:AH111"/>
    <mergeCell ref="F103:G103"/>
    <mergeCell ref="I103:J103"/>
    <mergeCell ref="K103:L103"/>
    <mergeCell ref="M103:N103"/>
    <mergeCell ref="J105:K105"/>
    <mergeCell ref="J106:K106"/>
    <mergeCell ref="H95:J95"/>
    <mergeCell ref="K95:P95"/>
    <mergeCell ref="Q95:V95"/>
    <mergeCell ref="W95:AB95"/>
    <mergeCell ref="H96:J96"/>
    <mergeCell ref="K96:P96"/>
    <mergeCell ref="Q96:V96"/>
    <mergeCell ref="W96:AB96"/>
    <mergeCell ref="Q91:V91"/>
    <mergeCell ref="W91:AB91"/>
    <mergeCell ref="H92:J92"/>
    <mergeCell ref="K92:P92"/>
    <mergeCell ref="Q92:V92"/>
    <mergeCell ref="W92:AB92"/>
    <mergeCell ref="J85:K85"/>
    <mergeCell ref="J86:K86"/>
    <mergeCell ref="J87:K87"/>
    <mergeCell ref="J88:K88"/>
    <mergeCell ref="H91:J91"/>
    <mergeCell ref="K91:P91"/>
    <mergeCell ref="F74:K74"/>
    <mergeCell ref="L74:S74"/>
    <mergeCell ref="T74:AG74"/>
    <mergeCell ref="F83:G83"/>
    <mergeCell ref="I83:J83"/>
    <mergeCell ref="K83:L83"/>
    <mergeCell ref="M83:N83"/>
    <mergeCell ref="P83:Q83"/>
    <mergeCell ref="Q60:Y61"/>
    <mergeCell ref="Z60:AH61"/>
    <mergeCell ref="F72:K72"/>
    <mergeCell ref="L72:S72"/>
    <mergeCell ref="T72:AG72"/>
    <mergeCell ref="F73:K73"/>
    <mergeCell ref="L73:S73"/>
    <mergeCell ref="T73:AG73"/>
    <mergeCell ref="Z54:AH55"/>
    <mergeCell ref="D56:G57"/>
    <mergeCell ref="H56:P57"/>
    <mergeCell ref="Q56:Y57"/>
    <mergeCell ref="Z56:AH57"/>
    <mergeCell ref="D58:G61"/>
    <mergeCell ref="H58:P59"/>
    <mergeCell ref="Q58:Y59"/>
    <mergeCell ref="Z58:AH59"/>
    <mergeCell ref="H60:P61"/>
    <mergeCell ref="W29:X29"/>
    <mergeCell ref="E32:T32"/>
    <mergeCell ref="E43:T43"/>
    <mergeCell ref="D54:G55"/>
    <mergeCell ref="H54:P55"/>
    <mergeCell ref="Q54:Y55"/>
    <mergeCell ref="Y27:Z27"/>
    <mergeCell ref="AB27:AC27"/>
    <mergeCell ref="AE27:AF27"/>
    <mergeCell ref="Y28:Z28"/>
    <mergeCell ref="AB28:AC28"/>
    <mergeCell ref="AE28:AF28"/>
    <mergeCell ref="W18:X18"/>
    <mergeCell ref="E21:T21"/>
    <mergeCell ref="U25:AA25"/>
    <mergeCell ref="AB25:AE25"/>
    <mergeCell ref="AF25:AI25"/>
    <mergeCell ref="U26:AA26"/>
    <mergeCell ref="AB26:AE26"/>
    <mergeCell ref="AF26:AI26"/>
    <mergeCell ref="Y16:Z16"/>
    <mergeCell ref="AB16:AC16"/>
    <mergeCell ref="AE16:AF16"/>
    <mergeCell ref="Y17:Z17"/>
    <mergeCell ref="AB17:AC17"/>
    <mergeCell ref="AE17:AF17"/>
    <mergeCell ref="U14:AA14"/>
    <mergeCell ref="AB14:AE14"/>
    <mergeCell ref="AF14:AI14"/>
    <mergeCell ref="U15:AA15"/>
    <mergeCell ref="AB15:AE15"/>
    <mergeCell ref="AF15:AI15"/>
  </mergeCells>
  <phoneticPr fontId="1"/>
  <pageMargins left="0.74803149606299213" right="0.74803149606299213" top="0.98425196850393704" bottom="0.98425196850393704" header="0.51181102362204722" footer="0.51181102362204722"/>
  <pageSetup paperSize="9" scale="97" fitToHeight="0" orientation="portrait" blackAndWhite="1" r:id="rId1"/>
  <headerFooter alignWithMargins="0"/>
  <rowBreaks count="21" manualBreakCount="21">
    <brk id="46" max="16383" man="1"/>
    <brk id="96" max="16383" man="1"/>
    <brk id="130" max="16383" man="1"/>
    <brk id="175" max="16383" man="1"/>
    <brk id="204" max="16383" man="1"/>
    <brk id="231" max="16383" man="1"/>
    <brk id="266" min="1" max="34" man="1"/>
    <brk id="310" min="1" max="34" man="1"/>
    <brk id="405" min="1" max="34" man="1"/>
    <brk id="443" min="1" max="34" man="1"/>
    <brk id="679" min="1" max="34" man="1"/>
    <brk id="817" min="1" max="34" man="1"/>
    <brk id="855" min="1" max="34" man="1"/>
    <brk id="1065" min="1" max="34" man="1"/>
    <brk id="1109" min="1" max="34" man="1"/>
    <brk id="1127" min="1" max="34" man="1"/>
    <brk id="1185" min="1" max="34" man="1"/>
    <brk id="1222" min="1" max="34" man="1"/>
    <brk id="1261" min="1" max="34" man="1"/>
    <brk id="1283" min="1" max="34" man="1"/>
    <brk id="1304" min="1" max="3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13"/>
  <sheetViews>
    <sheetView topLeftCell="A85" zoomScaleNormal="100" workbookViewId="0">
      <selection activeCell="B30" sqref="B30"/>
    </sheetView>
  </sheetViews>
  <sheetFormatPr defaultRowHeight="13.5" x14ac:dyDescent="0.15"/>
  <cols>
    <col min="1" max="1" width="27.25" style="35" bestFit="1" customWidth="1"/>
    <col min="2" max="2" width="28.125" style="35" bestFit="1" customWidth="1"/>
    <col min="3" max="3" width="23.875" style="35" bestFit="1" customWidth="1"/>
    <col min="4" max="4" width="20" style="35" bestFit="1" customWidth="1"/>
    <col min="5" max="5" width="24.375" style="35" bestFit="1" customWidth="1"/>
    <col min="6" max="6" width="25.625" style="35" bestFit="1" customWidth="1"/>
    <col min="7" max="8" width="25.625" style="35" customWidth="1"/>
    <col min="9" max="256" width="9" style="35"/>
    <col min="257" max="257" width="27.25" style="35" bestFit="1" customWidth="1"/>
    <col min="258" max="258" width="28.125" style="35" bestFit="1" customWidth="1"/>
    <col min="259" max="259" width="23.875" style="35" bestFit="1" customWidth="1"/>
    <col min="260" max="260" width="20" style="35" bestFit="1" customWidth="1"/>
    <col min="261" max="261" width="24.375" style="35" bestFit="1" customWidth="1"/>
    <col min="262" max="262" width="25.625" style="35" bestFit="1" customWidth="1"/>
    <col min="263" max="264" width="25.625" style="35" customWidth="1"/>
    <col min="265" max="512" width="9" style="35"/>
    <col min="513" max="513" width="27.25" style="35" bestFit="1" customWidth="1"/>
    <col min="514" max="514" width="28.125" style="35" bestFit="1" customWidth="1"/>
    <col min="515" max="515" width="23.875" style="35" bestFit="1" customWidth="1"/>
    <col min="516" max="516" width="20" style="35" bestFit="1" customWidth="1"/>
    <col min="517" max="517" width="24.375" style="35" bestFit="1" customWidth="1"/>
    <col min="518" max="518" width="25.625" style="35" bestFit="1" customWidth="1"/>
    <col min="519" max="520" width="25.625" style="35" customWidth="1"/>
    <col min="521" max="768" width="9" style="35"/>
    <col min="769" max="769" width="27.25" style="35" bestFit="1" customWidth="1"/>
    <col min="770" max="770" width="28.125" style="35" bestFit="1" customWidth="1"/>
    <col min="771" max="771" width="23.875" style="35" bestFit="1" customWidth="1"/>
    <col min="772" max="772" width="20" style="35" bestFit="1" customWidth="1"/>
    <col min="773" max="773" width="24.375" style="35" bestFit="1" customWidth="1"/>
    <col min="774" max="774" width="25.625" style="35" bestFit="1" customWidth="1"/>
    <col min="775" max="776" width="25.625" style="35" customWidth="1"/>
    <col min="777" max="1024" width="9" style="35"/>
    <col min="1025" max="1025" width="27.25" style="35" bestFit="1" customWidth="1"/>
    <col min="1026" max="1026" width="28.125" style="35" bestFit="1" customWidth="1"/>
    <col min="1027" max="1027" width="23.875" style="35" bestFit="1" customWidth="1"/>
    <col min="1028" max="1028" width="20" style="35" bestFit="1" customWidth="1"/>
    <col min="1029" max="1029" width="24.375" style="35" bestFit="1" customWidth="1"/>
    <col min="1030" max="1030" width="25.625" style="35" bestFit="1" customWidth="1"/>
    <col min="1031" max="1032" width="25.625" style="35" customWidth="1"/>
    <col min="1033" max="1280" width="9" style="35"/>
    <col min="1281" max="1281" width="27.25" style="35" bestFit="1" customWidth="1"/>
    <col min="1282" max="1282" width="28.125" style="35" bestFit="1" customWidth="1"/>
    <col min="1283" max="1283" width="23.875" style="35" bestFit="1" customWidth="1"/>
    <col min="1284" max="1284" width="20" style="35" bestFit="1" customWidth="1"/>
    <col min="1285" max="1285" width="24.375" style="35" bestFit="1" customWidth="1"/>
    <col min="1286" max="1286" width="25.625" style="35" bestFit="1" customWidth="1"/>
    <col min="1287" max="1288" width="25.625" style="35" customWidth="1"/>
    <col min="1289" max="1536" width="9" style="35"/>
    <col min="1537" max="1537" width="27.25" style="35" bestFit="1" customWidth="1"/>
    <col min="1538" max="1538" width="28.125" style="35" bestFit="1" customWidth="1"/>
    <col min="1539" max="1539" width="23.875" style="35" bestFit="1" customWidth="1"/>
    <col min="1540" max="1540" width="20" style="35" bestFit="1" customWidth="1"/>
    <col min="1541" max="1541" width="24.375" style="35" bestFit="1" customWidth="1"/>
    <col min="1542" max="1542" width="25.625" style="35" bestFit="1" customWidth="1"/>
    <col min="1543" max="1544" width="25.625" style="35" customWidth="1"/>
    <col min="1545" max="1792" width="9" style="35"/>
    <col min="1793" max="1793" width="27.25" style="35" bestFit="1" customWidth="1"/>
    <col min="1794" max="1794" width="28.125" style="35" bestFit="1" customWidth="1"/>
    <col min="1795" max="1795" width="23.875" style="35" bestFit="1" customWidth="1"/>
    <col min="1796" max="1796" width="20" style="35" bestFit="1" customWidth="1"/>
    <col min="1797" max="1797" width="24.375" style="35" bestFit="1" customWidth="1"/>
    <col min="1798" max="1798" width="25.625" style="35" bestFit="1" customWidth="1"/>
    <col min="1799" max="1800" width="25.625" style="35" customWidth="1"/>
    <col min="1801" max="2048" width="9" style="35"/>
    <col min="2049" max="2049" width="27.25" style="35" bestFit="1" customWidth="1"/>
    <col min="2050" max="2050" width="28.125" style="35" bestFit="1" customWidth="1"/>
    <col min="2051" max="2051" width="23.875" style="35" bestFit="1" customWidth="1"/>
    <col min="2052" max="2052" width="20" style="35" bestFit="1" customWidth="1"/>
    <col min="2053" max="2053" width="24.375" style="35" bestFit="1" customWidth="1"/>
    <col min="2054" max="2054" width="25.625" style="35" bestFit="1" customWidth="1"/>
    <col min="2055" max="2056" width="25.625" style="35" customWidth="1"/>
    <col min="2057" max="2304" width="9" style="35"/>
    <col min="2305" max="2305" width="27.25" style="35" bestFit="1" customWidth="1"/>
    <col min="2306" max="2306" width="28.125" style="35" bestFit="1" customWidth="1"/>
    <col min="2307" max="2307" width="23.875" style="35" bestFit="1" customWidth="1"/>
    <col min="2308" max="2308" width="20" style="35" bestFit="1" customWidth="1"/>
    <col min="2309" max="2309" width="24.375" style="35" bestFit="1" customWidth="1"/>
    <col min="2310" max="2310" width="25.625" style="35" bestFit="1" customWidth="1"/>
    <col min="2311" max="2312" width="25.625" style="35" customWidth="1"/>
    <col min="2313" max="2560" width="9" style="35"/>
    <col min="2561" max="2561" width="27.25" style="35" bestFit="1" customWidth="1"/>
    <col min="2562" max="2562" width="28.125" style="35" bestFit="1" customWidth="1"/>
    <col min="2563" max="2563" width="23.875" style="35" bestFit="1" customWidth="1"/>
    <col min="2564" max="2564" width="20" style="35" bestFit="1" customWidth="1"/>
    <col min="2565" max="2565" width="24.375" style="35" bestFit="1" customWidth="1"/>
    <col min="2566" max="2566" width="25.625" style="35" bestFit="1" customWidth="1"/>
    <col min="2567" max="2568" width="25.625" style="35" customWidth="1"/>
    <col min="2569" max="2816" width="9" style="35"/>
    <col min="2817" max="2817" width="27.25" style="35" bestFit="1" customWidth="1"/>
    <col min="2818" max="2818" width="28.125" style="35" bestFit="1" customWidth="1"/>
    <col min="2819" max="2819" width="23.875" style="35" bestFit="1" customWidth="1"/>
    <col min="2820" max="2820" width="20" style="35" bestFit="1" customWidth="1"/>
    <col min="2821" max="2821" width="24.375" style="35" bestFit="1" customWidth="1"/>
    <col min="2822" max="2822" width="25.625" style="35" bestFit="1" customWidth="1"/>
    <col min="2823" max="2824" width="25.625" style="35" customWidth="1"/>
    <col min="2825" max="3072" width="9" style="35"/>
    <col min="3073" max="3073" width="27.25" style="35" bestFit="1" customWidth="1"/>
    <col min="3074" max="3074" width="28.125" style="35" bestFit="1" customWidth="1"/>
    <col min="3075" max="3075" width="23.875" style="35" bestFit="1" customWidth="1"/>
    <col min="3076" max="3076" width="20" style="35" bestFit="1" customWidth="1"/>
    <col min="3077" max="3077" width="24.375" style="35" bestFit="1" customWidth="1"/>
    <col min="3078" max="3078" width="25.625" style="35" bestFit="1" customWidth="1"/>
    <col min="3079" max="3080" width="25.625" style="35" customWidth="1"/>
    <col min="3081" max="3328" width="9" style="35"/>
    <col min="3329" max="3329" width="27.25" style="35" bestFit="1" customWidth="1"/>
    <col min="3330" max="3330" width="28.125" style="35" bestFit="1" customWidth="1"/>
    <col min="3331" max="3331" width="23.875" style="35" bestFit="1" customWidth="1"/>
    <col min="3332" max="3332" width="20" style="35" bestFit="1" customWidth="1"/>
    <col min="3333" max="3333" width="24.375" style="35" bestFit="1" customWidth="1"/>
    <col min="3334" max="3334" width="25.625" style="35" bestFit="1" customWidth="1"/>
    <col min="3335" max="3336" width="25.625" style="35" customWidth="1"/>
    <col min="3337" max="3584" width="9" style="35"/>
    <col min="3585" max="3585" width="27.25" style="35" bestFit="1" customWidth="1"/>
    <col min="3586" max="3586" width="28.125" style="35" bestFit="1" customWidth="1"/>
    <col min="3587" max="3587" width="23.875" style="35" bestFit="1" customWidth="1"/>
    <col min="3588" max="3588" width="20" style="35" bestFit="1" customWidth="1"/>
    <col min="3589" max="3589" width="24.375" style="35" bestFit="1" customWidth="1"/>
    <col min="3590" max="3590" width="25.625" style="35" bestFit="1" customWidth="1"/>
    <col min="3591" max="3592" width="25.625" style="35" customWidth="1"/>
    <col min="3593" max="3840" width="9" style="35"/>
    <col min="3841" max="3841" width="27.25" style="35" bestFit="1" customWidth="1"/>
    <col min="3842" max="3842" width="28.125" style="35" bestFit="1" customWidth="1"/>
    <col min="3843" max="3843" width="23.875" style="35" bestFit="1" customWidth="1"/>
    <col min="3844" max="3844" width="20" style="35" bestFit="1" customWidth="1"/>
    <col min="3845" max="3845" width="24.375" style="35" bestFit="1" customWidth="1"/>
    <col min="3846" max="3846" width="25.625" style="35" bestFit="1" customWidth="1"/>
    <col min="3847" max="3848" width="25.625" style="35" customWidth="1"/>
    <col min="3849" max="4096" width="9" style="35"/>
    <col min="4097" max="4097" width="27.25" style="35" bestFit="1" customWidth="1"/>
    <col min="4098" max="4098" width="28.125" style="35" bestFit="1" customWidth="1"/>
    <col min="4099" max="4099" width="23.875" style="35" bestFit="1" customWidth="1"/>
    <col min="4100" max="4100" width="20" style="35" bestFit="1" customWidth="1"/>
    <col min="4101" max="4101" width="24.375" style="35" bestFit="1" customWidth="1"/>
    <col min="4102" max="4102" width="25.625" style="35" bestFit="1" customWidth="1"/>
    <col min="4103" max="4104" width="25.625" style="35" customWidth="1"/>
    <col min="4105" max="4352" width="9" style="35"/>
    <col min="4353" max="4353" width="27.25" style="35" bestFit="1" customWidth="1"/>
    <col min="4354" max="4354" width="28.125" style="35" bestFit="1" customWidth="1"/>
    <col min="4355" max="4355" width="23.875" style="35" bestFit="1" customWidth="1"/>
    <col min="4356" max="4356" width="20" style="35" bestFit="1" customWidth="1"/>
    <col min="4357" max="4357" width="24.375" style="35" bestFit="1" customWidth="1"/>
    <col min="4358" max="4358" width="25.625" style="35" bestFit="1" customWidth="1"/>
    <col min="4359" max="4360" width="25.625" style="35" customWidth="1"/>
    <col min="4361" max="4608" width="9" style="35"/>
    <col min="4609" max="4609" width="27.25" style="35" bestFit="1" customWidth="1"/>
    <col min="4610" max="4610" width="28.125" style="35" bestFit="1" customWidth="1"/>
    <col min="4611" max="4611" width="23.875" style="35" bestFit="1" customWidth="1"/>
    <col min="4612" max="4612" width="20" style="35" bestFit="1" customWidth="1"/>
    <col min="4613" max="4613" width="24.375" style="35" bestFit="1" customWidth="1"/>
    <col min="4614" max="4614" width="25.625" style="35" bestFit="1" customWidth="1"/>
    <col min="4615" max="4616" width="25.625" style="35" customWidth="1"/>
    <col min="4617" max="4864" width="9" style="35"/>
    <col min="4865" max="4865" width="27.25" style="35" bestFit="1" customWidth="1"/>
    <col min="4866" max="4866" width="28.125" style="35" bestFit="1" customWidth="1"/>
    <col min="4867" max="4867" width="23.875" style="35" bestFit="1" customWidth="1"/>
    <col min="4868" max="4868" width="20" style="35" bestFit="1" customWidth="1"/>
    <col min="4869" max="4869" width="24.375" style="35" bestFit="1" customWidth="1"/>
    <col min="4870" max="4870" width="25.625" style="35" bestFit="1" customWidth="1"/>
    <col min="4871" max="4872" width="25.625" style="35" customWidth="1"/>
    <col min="4873" max="5120" width="9" style="35"/>
    <col min="5121" max="5121" width="27.25" style="35" bestFit="1" customWidth="1"/>
    <col min="5122" max="5122" width="28.125" style="35" bestFit="1" customWidth="1"/>
    <col min="5123" max="5123" width="23.875" style="35" bestFit="1" customWidth="1"/>
    <col min="5124" max="5124" width="20" style="35" bestFit="1" customWidth="1"/>
    <col min="5125" max="5125" width="24.375" style="35" bestFit="1" customWidth="1"/>
    <col min="5126" max="5126" width="25.625" style="35" bestFit="1" customWidth="1"/>
    <col min="5127" max="5128" width="25.625" style="35" customWidth="1"/>
    <col min="5129" max="5376" width="9" style="35"/>
    <col min="5377" max="5377" width="27.25" style="35" bestFit="1" customWidth="1"/>
    <col min="5378" max="5378" width="28.125" style="35" bestFit="1" customWidth="1"/>
    <col min="5379" max="5379" width="23.875" style="35" bestFit="1" customWidth="1"/>
    <col min="5380" max="5380" width="20" style="35" bestFit="1" customWidth="1"/>
    <col min="5381" max="5381" width="24.375" style="35" bestFit="1" customWidth="1"/>
    <col min="5382" max="5382" width="25.625" style="35" bestFit="1" customWidth="1"/>
    <col min="5383" max="5384" width="25.625" style="35" customWidth="1"/>
    <col min="5385" max="5632" width="9" style="35"/>
    <col min="5633" max="5633" width="27.25" style="35" bestFit="1" customWidth="1"/>
    <col min="5634" max="5634" width="28.125" style="35" bestFit="1" customWidth="1"/>
    <col min="5635" max="5635" width="23.875" style="35" bestFit="1" customWidth="1"/>
    <col min="5636" max="5636" width="20" style="35" bestFit="1" customWidth="1"/>
    <col min="5637" max="5637" width="24.375" style="35" bestFit="1" customWidth="1"/>
    <col min="5638" max="5638" width="25.625" style="35" bestFit="1" customWidth="1"/>
    <col min="5639" max="5640" width="25.625" style="35" customWidth="1"/>
    <col min="5641" max="5888" width="9" style="35"/>
    <col min="5889" max="5889" width="27.25" style="35" bestFit="1" customWidth="1"/>
    <col min="5890" max="5890" width="28.125" style="35" bestFit="1" customWidth="1"/>
    <col min="5891" max="5891" width="23.875" style="35" bestFit="1" customWidth="1"/>
    <col min="5892" max="5892" width="20" style="35" bestFit="1" customWidth="1"/>
    <col min="5893" max="5893" width="24.375" style="35" bestFit="1" customWidth="1"/>
    <col min="5894" max="5894" width="25.625" style="35" bestFit="1" customWidth="1"/>
    <col min="5895" max="5896" width="25.625" style="35" customWidth="1"/>
    <col min="5897" max="6144" width="9" style="35"/>
    <col min="6145" max="6145" width="27.25" style="35" bestFit="1" customWidth="1"/>
    <col min="6146" max="6146" width="28.125" style="35" bestFit="1" customWidth="1"/>
    <col min="6147" max="6147" width="23.875" style="35" bestFit="1" customWidth="1"/>
    <col min="6148" max="6148" width="20" style="35" bestFit="1" customWidth="1"/>
    <col min="6149" max="6149" width="24.375" style="35" bestFit="1" customWidth="1"/>
    <col min="6150" max="6150" width="25.625" style="35" bestFit="1" customWidth="1"/>
    <col min="6151" max="6152" width="25.625" style="35" customWidth="1"/>
    <col min="6153" max="6400" width="9" style="35"/>
    <col min="6401" max="6401" width="27.25" style="35" bestFit="1" customWidth="1"/>
    <col min="6402" max="6402" width="28.125" style="35" bestFit="1" customWidth="1"/>
    <col min="6403" max="6403" width="23.875" style="35" bestFit="1" customWidth="1"/>
    <col min="6404" max="6404" width="20" style="35" bestFit="1" customWidth="1"/>
    <col min="6405" max="6405" width="24.375" style="35" bestFit="1" customWidth="1"/>
    <col min="6406" max="6406" width="25.625" style="35" bestFit="1" customWidth="1"/>
    <col min="6407" max="6408" width="25.625" style="35" customWidth="1"/>
    <col min="6409" max="6656" width="9" style="35"/>
    <col min="6657" max="6657" width="27.25" style="35" bestFit="1" customWidth="1"/>
    <col min="6658" max="6658" width="28.125" style="35" bestFit="1" customWidth="1"/>
    <col min="6659" max="6659" width="23.875" style="35" bestFit="1" customWidth="1"/>
    <col min="6660" max="6660" width="20" style="35" bestFit="1" customWidth="1"/>
    <col min="6661" max="6661" width="24.375" style="35" bestFit="1" customWidth="1"/>
    <col min="6662" max="6662" width="25.625" style="35" bestFit="1" customWidth="1"/>
    <col min="6663" max="6664" width="25.625" style="35" customWidth="1"/>
    <col min="6665" max="6912" width="9" style="35"/>
    <col min="6913" max="6913" width="27.25" style="35" bestFit="1" customWidth="1"/>
    <col min="6914" max="6914" width="28.125" style="35" bestFit="1" customWidth="1"/>
    <col min="6915" max="6915" width="23.875" style="35" bestFit="1" customWidth="1"/>
    <col min="6916" max="6916" width="20" style="35" bestFit="1" customWidth="1"/>
    <col min="6917" max="6917" width="24.375" style="35" bestFit="1" customWidth="1"/>
    <col min="6918" max="6918" width="25.625" style="35" bestFit="1" customWidth="1"/>
    <col min="6919" max="6920" width="25.625" style="35" customWidth="1"/>
    <col min="6921" max="7168" width="9" style="35"/>
    <col min="7169" max="7169" width="27.25" style="35" bestFit="1" customWidth="1"/>
    <col min="7170" max="7170" width="28.125" style="35" bestFit="1" customWidth="1"/>
    <col min="7171" max="7171" width="23.875" style="35" bestFit="1" customWidth="1"/>
    <col min="7172" max="7172" width="20" style="35" bestFit="1" customWidth="1"/>
    <col min="7173" max="7173" width="24.375" style="35" bestFit="1" customWidth="1"/>
    <col min="7174" max="7174" width="25.625" style="35" bestFit="1" customWidth="1"/>
    <col min="7175" max="7176" width="25.625" style="35" customWidth="1"/>
    <col min="7177" max="7424" width="9" style="35"/>
    <col min="7425" max="7425" width="27.25" style="35" bestFit="1" customWidth="1"/>
    <col min="7426" max="7426" width="28.125" style="35" bestFit="1" customWidth="1"/>
    <col min="7427" max="7427" width="23.875" style="35" bestFit="1" customWidth="1"/>
    <col min="7428" max="7428" width="20" style="35" bestFit="1" customWidth="1"/>
    <col min="7429" max="7429" width="24.375" style="35" bestFit="1" customWidth="1"/>
    <col min="7430" max="7430" width="25.625" style="35" bestFit="1" customWidth="1"/>
    <col min="7431" max="7432" width="25.625" style="35" customWidth="1"/>
    <col min="7433" max="7680" width="9" style="35"/>
    <col min="7681" max="7681" width="27.25" style="35" bestFit="1" customWidth="1"/>
    <col min="7682" max="7682" width="28.125" style="35" bestFit="1" customWidth="1"/>
    <col min="7683" max="7683" width="23.875" style="35" bestFit="1" customWidth="1"/>
    <col min="7684" max="7684" width="20" style="35" bestFit="1" customWidth="1"/>
    <col min="7685" max="7685" width="24.375" style="35" bestFit="1" customWidth="1"/>
    <col min="7686" max="7686" width="25.625" style="35" bestFit="1" customWidth="1"/>
    <col min="7687" max="7688" width="25.625" style="35" customWidth="1"/>
    <col min="7689" max="7936" width="9" style="35"/>
    <col min="7937" max="7937" width="27.25" style="35" bestFit="1" customWidth="1"/>
    <col min="7938" max="7938" width="28.125" style="35" bestFit="1" customWidth="1"/>
    <col min="7939" max="7939" width="23.875" style="35" bestFit="1" customWidth="1"/>
    <col min="7940" max="7940" width="20" style="35" bestFit="1" customWidth="1"/>
    <col min="7941" max="7941" width="24.375" style="35" bestFit="1" customWidth="1"/>
    <col min="7942" max="7942" width="25.625" style="35" bestFit="1" customWidth="1"/>
    <col min="7943" max="7944" width="25.625" style="35" customWidth="1"/>
    <col min="7945" max="8192" width="9" style="35"/>
    <col min="8193" max="8193" width="27.25" style="35" bestFit="1" customWidth="1"/>
    <col min="8194" max="8194" width="28.125" style="35" bestFit="1" customWidth="1"/>
    <col min="8195" max="8195" width="23.875" style="35" bestFit="1" customWidth="1"/>
    <col min="8196" max="8196" width="20" style="35" bestFit="1" customWidth="1"/>
    <col min="8197" max="8197" width="24.375" style="35" bestFit="1" customWidth="1"/>
    <col min="8198" max="8198" width="25.625" style="35" bestFit="1" customWidth="1"/>
    <col min="8199" max="8200" width="25.625" style="35" customWidth="1"/>
    <col min="8201" max="8448" width="9" style="35"/>
    <col min="8449" max="8449" width="27.25" style="35" bestFit="1" customWidth="1"/>
    <col min="8450" max="8450" width="28.125" style="35" bestFit="1" customWidth="1"/>
    <col min="8451" max="8451" width="23.875" style="35" bestFit="1" customWidth="1"/>
    <col min="8452" max="8452" width="20" style="35" bestFit="1" customWidth="1"/>
    <col min="8453" max="8453" width="24.375" style="35" bestFit="1" customWidth="1"/>
    <col min="8454" max="8454" width="25.625" style="35" bestFit="1" customWidth="1"/>
    <col min="8455" max="8456" width="25.625" style="35" customWidth="1"/>
    <col min="8457" max="8704" width="9" style="35"/>
    <col min="8705" max="8705" width="27.25" style="35" bestFit="1" customWidth="1"/>
    <col min="8706" max="8706" width="28.125" style="35" bestFit="1" customWidth="1"/>
    <col min="8707" max="8707" width="23.875" style="35" bestFit="1" customWidth="1"/>
    <col min="8708" max="8708" width="20" style="35" bestFit="1" customWidth="1"/>
    <col min="8709" max="8709" width="24.375" style="35" bestFit="1" customWidth="1"/>
    <col min="8710" max="8710" width="25.625" style="35" bestFit="1" customWidth="1"/>
    <col min="8711" max="8712" width="25.625" style="35" customWidth="1"/>
    <col min="8713" max="8960" width="9" style="35"/>
    <col min="8961" max="8961" width="27.25" style="35" bestFit="1" customWidth="1"/>
    <col min="8962" max="8962" width="28.125" style="35" bestFit="1" customWidth="1"/>
    <col min="8963" max="8963" width="23.875" style="35" bestFit="1" customWidth="1"/>
    <col min="8964" max="8964" width="20" style="35" bestFit="1" customWidth="1"/>
    <col min="8965" max="8965" width="24.375" style="35" bestFit="1" customWidth="1"/>
    <col min="8966" max="8966" width="25.625" style="35" bestFit="1" customWidth="1"/>
    <col min="8967" max="8968" width="25.625" style="35" customWidth="1"/>
    <col min="8969" max="9216" width="9" style="35"/>
    <col min="9217" max="9217" width="27.25" style="35" bestFit="1" customWidth="1"/>
    <col min="9218" max="9218" width="28.125" style="35" bestFit="1" customWidth="1"/>
    <col min="9219" max="9219" width="23.875" style="35" bestFit="1" customWidth="1"/>
    <col min="9220" max="9220" width="20" style="35" bestFit="1" customWidth="1"/>
    <col min="9221" max="9221" width="24.375" style="35" bestFit="1" customWidth="1"/>
    <col min="9222" max="9222" width="25.625" style="35" bestFit="1" customWidth="1"/>
    <col min="9223" max="9224" width="25.625" style="35" customWidth="1"/>
    <col min="9225" max="9472" width="9" style="35"/>
    <col min="9473" max="9473" width="27.25" style="35" bestFit="1" customWidth="1"/>
    <col min="9474" max="9474" width="28.125" style="35" bestFit="1" customWidth="1"/>
    <col min="9475" max="9475" width="23.875" style="35" bestFit="1" customWidth="1"/>
    <col min="9476" max="9476" width="20" style="35" bestFit="1" customWidth="1"/>
    <col min="9477" max="9477" width="24.375" style="35" bestFit="1" customWidth="1"/>
    <col min="9478" max="9478" width="25.625" style="35" bestFit="1" customWidth="1"/>
    <col min="9479" max="9480" width="25.625" style="35" customWidth="1"/>
    <col min="9481" max="9728" width="9" style="35"/>
    <col min="9729" max="9729" width="27.25" style="35" bestFit="1" customWidth="1"/>
    <col min="9730" max="9730" width="28.125" style="35" bestFit="1" customWidth="1"/>
    <col min="9731" max="9731" width="23.875" style="35" bestFit="1" customWidth="1"/>
    <col min="9732" max="9732" width="20" style="35" bestFit="1" customWidth="1"/>
    <col min="9733" max="9733" width="24.375" style="35" bestFit="1" customWidth="1"/>
    <col min="9734" max="9734" width="25.625" style="35" bestFit="1" customWidth="1"/>
    <col min="9735" max="9736" width="25.625" style="35" customWidth="1"/>
    <col min="9737" max="9984" width="9" style="35"/>
    <col min="9985" max="9985" width="27.25" style="35" bestFit="1" customWidth="1"/>
    <col min="9986" max="9986" width="28.125" style="35" bestFit="1" customWidth="1"/>
    <col min="9987" max="9987" width="23.875" style="35" bestFit="1" customWidth="1"/>
    <col min="9988" max="9988" width="20" style="35" bestFit="1" customWidth="1"/>
    <col min="9989" max="9989" width="24.375" style="35" bestFit="1" customWidth="1"/>
    <col min="9990" max="9990" width="25.625" style="35" bestFit="1" customWidth="1"/>
    <col min="9991" max="9992" width="25.625" style="35" customWidth="1"/>
    <col min="9993" max="10240" width="9" style="35"/>
    <col min="10241" max="10241" width="27.25" style="35" bestFit="1" customWidth="1"/>
    <col min="10242" max="10242" width="28.125" style="35" bestFit="1" customWidth="1"/>
    <col min="10243" max="10243" width="23.875" style="35" bestFit="1" customWidth="1"/>
    <col min="10244" max="10244" width="20" style="35" bestFit="1" customWidth="1"/>
    <col min="10245" max="10245" width="24.375" style="35" bestFit="1" customWidth="1"/>
    <col min="10246" max="10246" width="25.625" style="35" bestFit="1" customWidth="1"/>
    <col min="10247" max="10248" width="25.625" style="35" customWidth="1"/>
    <col min="10249" max="10496" width="9" style="35"/>
    <col min="10497" max="10497" width="27.25" style="35" bestFit="1" customWidth="1"/>
    <col min="10498" max="10498" width="28.125" style="35" bestFit="1" customWidth="1"/>
    <col min="10499" max="10499" width="23.875" style="35" bestFit="1" customWidth="1"/>
    <col min="10500" max="10500" width="20" style="35" bestFit="1" customWidth="1"/>
    <col min="10501" max="10501" width="24.375" style="35" bestFit="1" customWidth="1"/>
    <col min="10502" max="10502" width="25.625" style="35" bestFit="1" customWidth="1"/>
    <col min="10503" max="10504" width="25.625" style="35" customWidth="1"/>
    <col min="10505" max="10752" width="9" style="35"/>
    <col min="10753" max="10753" width="27.25" style="35" bestFit="1" customWidth="1"/>
    <col min="10754" max="10754" width="28.125" style="35" bestFit="1" customWidth="1"/>
    <col min="10755" max="10755" width="23.875" style="35" bestFit="1" customWidth="1"/>
    <col min="10756" max="10756" width="20" style="35" bestFit="1" customWidth="1"/>
    <col min="10757" max="10757" width="24.375" style="35" bestFit="1" customWidth="1"/>
    <col min="10758" max="10758" width="25.625" style="35" bestFit="1" customWidth="1"/>
    <col min="10759" max="10760" width="25.625" style="35" customWidth="1"/>
    <col min="10761" max="11008" width="9" style="35"/>
    <col min="11009" max="11009" width="27.25" style="35" bestFit="1" customWidth="1"/>
    <col min="11010" max="11010" width="28.125" style="35" bestFit="1" customWidth="1"/>
    <col min="11011" max="11011" width="23.875" style="35" bestFit="1" customWidth="1"/>
    <col min="11012" max="11012" width="20" style="35" bestFit="1" customWidth="1"/>
    <col min="11013" max="11013" width="24.375" style="35" bestFit="1" customWidth="1"/>
    <col min="11014" max="11014" width="25.625" style="35" bestFit="1" customWidth="1"/>
    <col min="11015" max="11016" width="25.625" style="35" customWidth="1"/>
    <col min="11017" max="11264" width="9" style="35"/>
    <col min="11265" max="11265" width="27.25" style="35" bestFit="1" customWidth="1"/>
    <col min="11266" max="11266" width="28.125" style="35" bestFit="1" customWidth="1"/>
    <col min="11267" max="11267" width="23.875" style="35" bestFit="1" customWidth="1"/>
    <col min="11268" max="11268" width="20" style="35" bestFit="1" customWidth="1"/>
    <col min="11269" max="11269" width="24.375" style="35" bestFit="1" customWidth="1"/>
    <col min="11270" max="11270" width="25.625" style="35" bestFit="1" customWidth="1"/>
    <col min="11271" max="11272" width="25.625" style="35" customWidth="1"/>
    <col min="11273" max="11520" width="9" style="35"/>
    <col min="11521" max="11521" width="27.25" style="35" bestFit="1" customWidth="1"/>
    <col min="11522" max="11522" width="28.125" style="35" bestFit="1" customWidth="1"/>
    <col min="11523" max="11523" width="23.875" style="35" bestFit="1" customWidth="1"/>
    <col min="11524" max="11524" width="20" style="35" bestFit="1" customWidth="1"/>
    <col min="11525" max="11525" width="24.375" style="35" bestFit="1" customWidth="1"/>
    <col min="11526" max="11526" width="25.625" style="35" bestFit="1" customWidth="1"/>
    <col min="11527" max="11528" width="25.625" style="35" customWidth="1"/>
    <col min="11529" max="11776" width="9" style="35"/>
    <col min="11777" max="11777" width="27.25" style="35" bestFit="1" customWidth="1"/>
    <col min="11778" max="11778" width="28.125" style="35" bestFit="1" customWidth="1"/>
    <col min="11779" max="11779" width="23.875" style="35" bestFit="1" customWidth="1"/>
    <col min="11780" max="11780" width="20" style="35" bestFit="1" customWidth="1"/>
    <col min="11781" max="11781" width="24.375" style="35" bestFit="1" customWidth="1"/>
    <col min="11782" max="11782" width="25.625" style="35" bestFit="1" customWidth="1"/>
    <col min="11783" max="11784" width="25.625" style="35" customWidth="1"/>
    <col min="11785" max="12032" width="9" style="35"/>
    <col min="12033" max="12033" width="27.25" style="35" bestFit="1" customWidth="1"/>
    <col min="12034" max="12034" width="28.125" style="35" bestFit="1" customWidth="1"/>
    <col min="12035" max="12035" width="23.875" style="35" bestFit="1" customWidth="1"/>
    <col min="12036" max="12036" width="20" style="35" bestFit="1" customWidth="1"/>
    <col min="12037" max="12037" width="24.375" style="35" bestFit="1" customWidth="1"/>
    <col min="12038" max="12038" width="25.625" style="35" bestFit="1" customWidth="1"/>
    <col min="12039" max="12040" width="25.625" style="35" customWidth="1"/>
    <col min="12041" max="12288" width="9" style="35"/>
    <col min="12289" max="12289" width="27.25" style="35" bestFit="1" customWidth="1"/>
    <col min="12290" max="12290" width="28.125" style="35" bestFit="1" customWidth="1"/>
    <col min="12291" max="12291" width="23.875" style="35" bestFit="1" customWidth="1"/>
    <col min="12292" max="12292" width="20" style="35" bestFit="1" customWidth="1"/>
    <col min="12293" max="12293" width="24.375" style="35" bestFit="1" customWidth="1"/>
    <col min="12294" max="12294" width="25.625" style="35" bestFit="1" customWidth="1"/>
    <col min="12295" max="12296" width="25.625" style="35" customWidth="1"/>
    <col min="12297" max="12544" width="9" style="35"/>
    <col min="12545" max="12545" width="27.25" style="35" bestFit="1" customWidth="1"/>
    <col min="12546" max="12546" width="28.125" style="35" bestFit="1" customWidth="1"/>
    <col min="12547" max="12547" width="23.875" style="35" bestFit="1" customWidth="1"/>
    <col min="12548" max="12548" width="20" style="35" bestFit="1" customWidth="1"/>
    <col min="12549" max="12549" width="24.375" style="35" bestFit="1" customWidth="1"/>
    <col min="12550" max="12550" width="25.625" style="35" bestFit="1" customWidth="1"/>
    <col min="12551" max="12552" width="25.625" style="35" customWidth="1"/>
    <col min="12553" max="12800" width="9" style="35"/>
    <col min="12801" max="12801" width="27.25" style="35" bestFit="1" customWidth="1"/>
    <col min="12802" max="12802" width="28.125" style="35" bestFit="1" customWidth="1"/>
    <col min="12803" max="12803" width="23.875" style="35" bestFit="1" customWidth="1"/>
    <col min="12804" max="12804" width="20" style="35" bestFit="1" customWidth="1"/>
    <col min="12805" max="12805" width="24.375" style="35" bestFit="1" customWidth="1"/>
    <col min="12806" max="12806" width="25.625" style="35" bestFit="1" customWidth="1"/>
    <col min="12807" max="12808" width="25.625" style="35" customWidth="1"/>
    <col min="12809" max="13056" width="9" style="35"/>
    <col min="13057" max="13057" width="27.25" style="35" bestFit="1" customWidth="1"/>
    <col min="13058" max="13058" width="28.125" style="35" bestFit="1" customWidth="1"/>
    <col min="13059" max="13059" width="23.875" style="35" bestFit="1" customWidth="1"/>
    <col min="13060" max="13060" width="20" style="35" bestFit="1" customWidth="1"/>
    <col min="13061" max="13061" width="24.375" style="35" bestFit="1" customWidth="1"/>
    <col min="13062" max="13062" width="25.625" style="35" bestFit="1" customWidth="1"/>
    <col min="13063" max="13064" width="25.625" style="35" customWidth="1"/>
    <col min="13065" max="13312" width="9" style="35"/>
    <col min="13313" max="13313" width="27.25" style="35" bestFit="1" customWidth="1"/>
    <col min="13314" max="13314" width="28.125" style="35" bestFit="1" customWidth="1"/>
    <col min="13315" max="13315" width="23.875" style="35" bestFit="1" customWidth="1"/>
    <col min="13316" max="13316" width="20" style="35" bestFit="1" customWidth="1"/>
    <col min="13317" max="13317" width="24.375" style="35" bestFit="1" customWidth="1"/>
    <col min="13318" max="13318" width="25.625" style="35" bestFit="1" customWidth="1"/>
    <col min="13319" max="13320" width="25.625" style="35" customWidth="1"/>
    <col min="13321" max="13568" width="9" style="35"/>
    <col min="13569" max="13569" width="27.25" style="35" bestFit="1" customWidth="1"/>
    <col min="13570" max="13570" width="28.125" style="35" bestFit="1" customWidth="1"/>
    <col min="13571" max="13571" width="23.875" style="35" bestFit="1" customWidth="1"/>
    <col min="13572" max="13572" width="20" style="35" bestFit="1" customWidth="1"/>
    <col min="13573" max="13573" width="24.375" style="35" bestFit="1" customWidth="1"/>
    <col min="13574" max="13574" width="25.625" style="35" bestFit="1" customWidth="1"/>
    <col min="13575" max="13576" width="25.625" style="35" customWidth="1"/>
    <col min="13577" max="13824" width="9" style="35"/>
    <col min="13825" max="13825" width="27.25" style="35" bestFit="1" customWidth="1"/>
    <col min="13826" max="13826" width="28.125" style="35" bestFit="1" customWidth="1"/>
    <col min="13827" max="13827" width="23.875" style="35" bestFit="1" customWidth="1"/>
    <col min="13828" max="13828" width="20" style="35" bestFit="1" customWidth="1"/>
    <col min="13829" max="13829" width="24.375" style="35" bestFit="1" customWidth="1"/>
    <col min="13830" max="13830" width="25.625" style="35" bestFit="1" customWidth="1"/>
    <col min="13831" max="13832" width="25.625" style="35" customWidth="1"/>
    <col min="13833" max="14080" width="9" style="35"/>
    <col min="14081" max="14081" width="27.25" style="35" bestFit="1" customWidth="1"/>
    <col min="14082" max="14082" width="28.125" style="35" bestFit="1" customWidth="1"/>
    <col min="14083" max="14083" width="23.875" style="35" bestFit="1" customWidth="1"/>
    <col min="14084" max="14084" width="20" style="35" bestFit="1" customWidth="1"/>
    <col min="14085" max="14085" width="24.375" style="35" bestFit="1" customWidth="1"/>
    <col min="14086" max="14086" width="25.625" style="35" bestFit="1" customWidth="1"/>
    <col min="14087" max="14088" width="25.625" style="35" customWidth="1"/>
    <col min="14089" max="14336" width="9" style="35"/>
    <col min="14337" max="14337" width="27.25" style="35" bestFit="1" customWidth="1"/>
    <col min="14338" max="14338" width="28.125" style="35" bestFit="1" customWidth="1"/>
    <col min="14339" max="14339" width="23.875" style="35" bestFit="1" customWidth="1"/>
    <col min="14340" max="14340" width="20" style="35" bestFit="1" customWidth="1"/>
    <col min="14341" max="14341" width="24.375" style="35" bestFit="1" customWidth="1"/>
    <col min="14342" max="14342" width="25.625" style="35" bestFit="1" customWidth="1"/>
    <col min="14343" max="14344" width="25.625" style="35" customWidth="1"/>
    <col min="14345" max="14592" width="9" style="35"/>
    <col min="14593" max="14593" width="27.25" style="35" bestFit="1" customWidth="1"/>
    <col min="14594" max="14594" width="28.125" style="35" bestFit="1" customWidth="1"/>
    <col min="14595" max="14595" width="23.875" style="35" bestFit="1" customWidth="1"/>
    <col min="14596" max="14596" width="20" style="35" bestFit="1" customWidth="1"/>
    <col min="14597" max="14597" width="24.375" style="35" bestFit="1" customWidth="1"/>
    <col min="14598" max="14598" width="25.625" style="35" bestFit="1" customWidth="1"/>
    <col min="14599" max="14600" width="25.625" style="35" customWidth="1"/>
    <col min="14601" max="14848" width="9" style="35"/>
    <col min="14849" max="14849" width="27.25" style="35" bestFit="1" customWidth="1"/>
    <col min="14850" max="14850" width="28.125" style="35" bestFit="1" customWidth="1"/>
    <col min="14851" max="14851" width="23.875" style="35" bestFit="1" customWidth="1"/>
    <col min="14852" max="14852" width="20" style="35" bestFit="1" customWidth="1"/>
    <col min="14853" max="14853" width="24.375" style="35" bestFit="1" customWidth="1"/>
    <col min="14854" max="14854" width="25.625" style="35" bestFit="1" customWidth="1"/>
    <col min="14855" max="14856" width="25.625" style="35" customWidth="1"/>
    <col min="14857" max="15104" width="9" style="35"/>
    <col min="15105" max="15105" width="27.25" style="35" bestFit="1" customWidth="1"/>
    <col min="15106" max="15106" width="28.125" style="35" bestFit="1" customWidth="1"/>
    <col min="15107" max="15107" width="23.875" style="35" bestFit="1" customWidth="1"/>
    <col min="15108" max="15108" width="20" style="35" bestFit="1" customWidth="1"/>
    <col min="15109" max="15109" width="24.375" style="35" bestFit="1" customWidth="1"/>
    <col min="15110" max="15110" width="25.625" style="35" bestFit="1" customWidth="1"/>
    <col min="15111" max="15112" width="25.625" style="35" customWidth="1"/>
    <col min="15113" max="15360" width="9" style="35"/>
    <col min="15361" max="15361" width="27.25" style="35" bestFit="1" customWidth="1"/>
    <col min="15362" max="15362" width="28.125" style="35" bestFit="1" customWidth="1"/>
    <col min="15363" max="15363" width="23.875" style="35" bestFit="1" customWidth="1"/>
    <col min="15364" max="15364" width="20" style="35" bestFit="1" customWidth="1"/>
    <col min="15365" max="15365" width="24.375" style="35" bestFit="1" customWidth="1"/>
    <col min="15366" max="15366" width="25.625" style="35" bestFit="1" customWidth="1"/>
    <col min="15367" max="15368" width="25.625" style="35" customWidth="1"/>
    <col min="15369" max="15616" width="9" style="35"/>
    <col min="15617" max="15617" width="27.25" style="35" bestFit="1" customWidth="1"/>
    <col min="15618" max="15618" width="28.125" style="35" bestFit="1" customWidth="1"/>
    <col min="15619" max="15619" width="23.875" style="35" bestFit="1" customWidth="1"/>
    <col min="15620" max="15620" width="20" style="35" bestFit="1" customWidth="1"/>
    <col min="15621" max="15621" width="24.375" style="35" bestFit="1" customWidth="1"/>
    <col min="15622" max="15622" width="25.625" style="35" bestFit="1" customWidth="1"/>
    <col min="15623" max="15624" width="25.625" style="35" customWidth="1"/>
    <col min="15625" max="15872" width="9" style="35"/>
    <col min="15873" max="15873" width="27.25" style="35" bestFit="1" customWidth="1"/>
    <col min="15874" max="15874" width="28.125" style="35" bestFit="1" customWidth="1"/>
    <col min="15875" max="15875" width="23.875" style="35" bestFit="1" customWidth="1"/>
    <col min="15876" max="15876" width="20" style="35" bestFit="1" customWidth="1"/>
    <col min="15877" max="15877" width="24.375" style="35" bestFit="1" customWidth="1"/>
    <col min="15878" max="15878" width="25.625" style="35" bestFit="1" customWidth="1"/>
    <col min="15879" max="15880" width="25.625" style="35" customWidth="1"/>
    <col min="15881" max="16128" width="9" style="35"/>
    <col min="16129" max="16129" width="27.25" style="35" bestFit="1" customWidth="1"/>
    <col min="16130" max="16130" width="28.125" style="35" bestFit="1" customWidth="1"/>
    <col min="16131" max="16131" width="23.875" style="35" bestFit="1" customWidth="1"/>
    <col min="16132" max="16132" width="20" style="35" bestFit="1" customWidth="1"/>
    <col min="16133" max="16133" width="24.375" style="35" bestFit="1" customWidth="1"/>
    <col min="16134" max="16134" width="25.625" style="35" bestFit="1" customWidth="1"/>
    <col min="16135" max="16136" width="25.625" style="35" customWidth="1"/>
    <col min="16137" max="16384" width="9" style="35"/>
  </cols>
  <sheetData>
    <row r="1" spans="1:8" x14ac:dyDescent="0.15">
      <c r="A1" s="34" t="s">
        <v>433</v>
      </c>
    </row>
    <row r="2" spans="1:8" x14ac:dyDescent="0.15">
      <c r="A2" s="36" t="s">
        <v>434</v>
      </c>
    </row>
    <row r="3" spans="1:8" x14ac:dyDescent="0.15">
      <c r="A3" s="34" t="s">
        <v>435</v>
      </c>
      <c r="B3" s="34" t="s">
        <v>436</v>
      </c>
      <c r="C3" s="34" t="s">
        <v>437</v>
      </c>
      <c r="D3" s="34" t="s">
        <v>438</v>
      </c>
      <c r="E3" s="34" t="s">
        <v>439</v>
      </c>
      <c r="F3" s="34" t="s">
        <v>440</v>
      </c>
      <c r="G3" s="34" t="s">
        <v>441</v>
      </c>
      <c r="H3" s="34" t="s">
        <v>442</v>
      </c>
    </row>
    <row r="4" spans="1:8" x14ac:dyDescent="0.15">
      <c r="A4" s="36">
        <v>2</v>
      </c>
      <c r="B4" s="36">
        <v>1</v>
      </c>
      <c r="C4" s="36">
        <v>21</v>
      </c>
      <c r="D4" s="36">
        <v>1</v>
      </c>
      <c r="E4" s="36">
        <v>6</v>
      </c>
      <c r="F4" s="36">
        <v>2</v>
      </c>
      <c r="G4" s="36">
        <v>9.5649999999999995</v>
      </c>
      <c r="H4" s="36">
        <v>5</v>
      </c>
    </row>
    <row r="5" spans="1:8" x14ac:dyDescent="0.15">
      <c r="A5" s="34" t="s">
        <v>443</v>
      </c>
    </row>
    <row r="6" spans="1:8" x14ac:dyDescent="0.15">
      <c r="A6" s="34" t="s">
        <v>444</v>
      </c>
      <c r="B6" s="37" t="s">
        <v>445</v>
      </c>
    </row>
    <row r="7" spans="1:8" x14ac:dyDescent="0.15">
      <c r="A7" s="34" t="s">
        <v>446</v>
      </c>
      <c r="B7" s="34" t="s">
        <v>447</v>
      </c>
      <c r="C7" s="34" t="s">
        <v>448</v>
      </c>
      <c r="D7" s="37" t="s">
        <v>445</v>
      </c>
    </row>
    <row r="8" spans="1:8" x14ac:dyDescent="0.15">
      <c r="A8" s="36">
        <v>1</v>
      </c>
      <c r="B8" s="36"/>
      <c r="C8" s="36"/>
      <c r="D8" s="37" t="s">
        <v>445</v>
      </c>
    </row>
    <row r="9" spans="1:8" x14ac:dyDescent="0.15">
      <c r="A9" s="36">
        <v>2</v>
      </c>
      <c r="B9" s="36"/>
      <c r="C9" s="36"/>
      <c r="D9" s="37" t="s">
        <v>445</v>
      </c>
    </row>
    <row r="10" spans="1:8" x14ac:dyDescent="0.15">
      <c r="A10" s="36">
        <v>3</v>
      </c>
      <c r="B10" s="36"/>
      <c r="C10" s="36"/>
      <c r="D10" s="37" t="s">
        <v>445</v>
      </c>
    </row>
    <row r="11" spans="1:8" x14ac:dyDescent="0.15">
      <c r="A11" s="36">
        <v>4</v>
      </c>
      <c r="B11" s="36"/>
      <c r="C11" s="36"/>
      <c r="D11" s="37" t="s">
        <v>445</v>
      </c>
    </row>
    <row r="12" spans="1:8" x14ac:dyDescent="0.15">
      <c r="A12" s="36">
        <v>5</v>
      </c>
      <c r="B12" s="36"/>
      <c r="C12" s="36"/>
      <c r="D12" s="37" t="s">
        <v>445</v>
      </c>
    </row>
    <row r="13" spans="1:8" x14ac:dyDescent="0.15">
      <c r="A13" s="36">
        <v>6</v>
      </c>
      <c r="B13" s="36"/>
      <c r="C13" s="36"/>
      <c r="D13" s="37" t="s">
        <v>445</v>
      </c>
    </row>
    <row r="15" spans="1:8" x14ac:dyDescent="0.15">
      <c r="A15" s="34" t="s">
        <v>449</v>
      </c>
    </row>
    <row r="16" spans="1:8" x14ac:dyDescent="0.15">
      <c r="A16" s="34" t="s">
        <v>450</v>
      </c>
    </row>
    <row r="17" spans="1:7" x14ac:dyDescent="0.15">
      <c r="A17" s="34" t="s">
        <v>451</v>
      </c>
      <c r="B17" s="34" t="s">
        <v>452</v>
      </c>
      <c r="C17" s="34" t="s">
        <v>453</v>
      </c>
      <c r="D17" s="34" t="s">
        <v>454</v>
      </c>
      <c r="E17" s="34" t="s">
        <v>455</v>
      </c>
      <c r="F17" s="34" t="s">
        <v>456</v>
      </c>
      <c r="G17" s="34" t="s">
        <v>457</v>
      </c>
    </row>
    <row r="18" spans="1:7" x14ac:dyDescent="0.15">
      <c r="A18" s="34" t="s">
        <v>458</v>
      </c>
      <c r="B18" s="36"/>
      <c r="C18" s="36"/>
      <c r="D18" s="36"/>
      <c r="E18" s="36"/>
      <c r="F18" s="36"/>
      <c r="G18" s="36"/>
    </row>
    <row r="19" spans="1:7" x14ac:dyDescent="0.15">
      <c r="A19" s="34" t="s">
        <v>459</v>
      </c>
      <c r="B19" s="36"/>
      <c r="C19" s="36"/>
      <c r="D19" s="36"/>
      <c r="E19" s="36"/>
      <c r="F19" s="36"/>
      <c r="G19" s="36"/>
    </row>
    <row r="20" spans="1:7" x14ac:dyDescent="0.15">
      <c r="A20" s="34" t="s">
        <v>460</v>
      </c>
      <c r="B20" s="36"/>
      <c r="C20" s="36"/>
      <c r="D20" s="36"/>
      <c r="E20" s="36"/>
      <c r="F20" s="36"/>
      <c r="G20" s="36"/>
    </row>
    <row r="21" spans="1:7" x14ac:dyDescent="0.15">
      <c r="A21" s="34" t="s">
        <v>461</v>
      </c>
      <c r="B21" s="36"/>
      <c r="C21" s="36"/>
      <c r="D21" s="36"/>
      <c r="E21" s="36"/>
      <c r="F21" s="36"/>
      <c r="G21" s="36"/>
    </row>
    <row r="22" spans="1:7" x14ac:dyDescent="0.15">
      <c r="A22" s="34" t="s">
        <v>462</v>
      </c>
      <c r="B22" s="36"/>
      <c r="C22" s="36"/>
      <c r="D22" s="36"/>
      <c r="E22" s="36"/>
      <c r="F22" s="36"/>
      <c r="G22" s="36"/>
    </row>
    <row r="23" spans="1:7" x14ac:dyDescent="0.15">
      <c r="A23" s="38"/>
    </row>
    <row r="24" spans="1:7" x14ac:dyDescent="0.15">
      <c r="A24" s="34" t="s">
        <v>463</v>
      </c>
    </row>
    <row r="25" spans="1:7" x14ac:dyDescent="0.15">
      <c r="A25" s="34" t="s">
        <v>451</v>
      </c>
      <c r="B25" s="34" t="s">
        <v>453</v>
      </c>
      <c r="C25" s="34" t="s">
        <v>464</v>
      </c>
      <c r="D25" s="34" t="s">
        <v>456</v>
      </c>
      <c r="E25" s="34" t="s">
        <v>465</v>
      </c>
    </row>
    <row r="26" spans="1:7" x14ac:dyDescent="0.15">
      <c r="A26" s="34" t="s">
        <v>458</v>
      </c>
      <c r="B26" s="36"/>
      <c r="C26" s="36"/>
      <c r="D26" s="36"/>
      <c r="E26" s="36"/>
    </row>
    <row r="27" spans="1:7" x14ac:dyDescent="0.15">
      <c r="A27" s="34" t="s">
        <v>459</v>
      </c>
      <c r="B27" s="36"/>
      <c r="C27" s="36"/>
      <c r="D27" s="36"/>
      <c r="E27" s="36"/>
    </row>
    <row r="28" spans="1:7" x14ac:dyDescent="0.15">
      <c r="A28" s="34" t="s">
        <v>460</v>
      </c>
      <c r="B28" s="36"/>
      <c r="C28" s="36"/>
      <c r="D28" s="36"/>
      <c r="E28" s="36"/>
    </row>
    <row r="29" spans="1:7" x14ac:dyDescent="0.15">
      <c r="A29" s="34" t="s">
        <v>461</v>
      </c>
      <c r="B29" s="36"/>
      <c r="C29" s="36"/>
      <c r="D29" s="36"/>
      <c r="E29" s="36"/>
    </row>
    <row r="30" spans="1:7" x14ac:dyDescent="0.15">
      <c r="A30" s="34" t="s">
        <v>462</v>
      </c>
      <c r="B30" s="36"/>
      <c r="C30" s="36"/>
      <c r="D30" s="36"/>
      <c r="E30" s="36"/>
    </row>
    <row r="32" spans="1:7" x14ac:dyDescent="0.15">
      <c r="A32" s="34" t="s">
        <v>466</v>
      </c>
    </row>
    <row r="33" spans="1:4" x14ac:dyDescent="0.15">
      <c r="A33" s="34" t="s">
        <v>451</v>
      </c>
      <c r="B33" s="34" t="s">
        <v>467</v>
      </c>
      <c r="C33" s="34" t="s">
        <v>468</v>
      </c>
      <c r="D33" s="34" t="s">
        <v>469</v>
      </c>
    </row>
    <row r="34" spans="1:4" x14ac:dyDescent="0.15">
      <c r="A34" s="34" t="s">
        <v>458</v>
      </c>
      <c r="B34" s="36"/>
      <c r="C34" s="36"/>
      <c r="D34" s="36"/>
    </row>
    <row r="35" spans="1:4" x14ac:dyDescent="0.15">
      <c r="A35" s="34" t="s">
        <v>459</v>
      </c>
      <c r="B35" s="36"/>
      <c r="C35" s="36"/>
      <c r="D35" s="36"/>
    </row>
    <row r="36" spans="1:4" x14ac:dyDescent="0.15">
      <c r="A36" s="34" t="s">
        <v>460</v>
      </c>
      <c r="B36" s="36"/>
      <c r="C36" s="36"/>
      <c r="D36" s="36"/>
    </row>
    <row r="37" spans="1:4" x14ac:dyDescent="0.15">
      <c r="A37" s="34" t="s">
        <v>461</v>
      </c>
      <c r="B37" s="36"/>
      <c r="C37" s="36"/>
      <c r="D37" s="36"/>
    </row>
    <row r="38" spans="1:4" x14ac:dyDescent="0.15">
      <c r="A38" s="34" t="s">
        <v>462</v>
      </c>
      <c r="B38" s="36"/>
      <c r="C38" s="36"/>
      <c r="D38" s="36"/>
    </row>
    <row r="39" spans="1:4" x14ac:dyDescent="0.15">
      <c r="A39" s="38"/>
    </row>
    <row r="40" spans="1:4" x14ac:dyDescent="0.15">
      <c r="A40" s="34" t="s">
        <v>470</v>
      </c>
    </row>
    <row r="41" spans="1:4" x14ac:dyDescent="0.15">
      <c r="A41" s="34" t="s">
        <v>451</v>
      </c>
      <c r="B41" s="34" t="s">
        <v>471</v>
      </c>
    </row>
    <row r="42" spans="1:4" x14ac:dyDescent="0.15">
      <c r="A42" s="34" t="s">
        <v>458</v>
      </c>
      <c r="B42" s="36"/>
    </row>
    <row r="43" spans="1:4" x14ac:dyDescent="0.15">
      <c r="A43" s="34" t="s">
        <v>459</v>
      </c>
      <c r="B43" s="36"/>
    </row>
    <row r="44" spans="1:4" x14ac:dyDescent="0.15">
      <c r="A44" s="34" t="s">
        <v>460</v>
      </c>
      <c r="B44" s="36"/>
    </row>
    <row r="45" spans="1:4" x14ac:dyDescent="0.15">
      <c r="A45" s="34" t="s">
        <v>461</v>
      </c>
      <c r="B45" s="36"/>
    </row>
    <row r="46" spans="1:4" x14ac:dyDescent="0.15">
      <c r="A46" s="34" t="s">
        <v>462</v>
      </c>
      <c r="B46" s="36"/>
    </row>
    <row r="48" spans="1:4" x14ac:dyDescent="0.15">
      <c r="A48" s="34" t="s">
        <v>472</v>
      </c>
    </row>
    <row r="49" spans="1:7" x14ac:dyDescent="0.15">
      <c r="A49" s="39" t="s">
        <v>450</v>
      </c>
    </row>
    <row r="50" spans="1:7" x14ac:dyDescent="0.15">
      <c r="A50" s="34" t="s">
        <v>473</v>
      </c>
      <c r="B50" s="34"/>
      <c r="C50" s="34"/>
      <c r="D50" s="34" t="s">
        <v>474</v>
      </c>
      <c r="E50" s="34"/>
      <c r="F50" s="34"/>
      <c r="G50" s="34" t="s">
        <v>475</v>
      </c>
    </row>
    <row r="51" spans="1:7" x14ac:dyDescent="0.15">
      <c r="A51" s="34" t="s">
        <v>476</v>
      </c>
      <c r="B51" s="34" t="s">
        <v>452</v>
      </c>
      <c r="C51" s="34" t="s">
        <v>477</v>
      </c>
      <c r="D51" s="34" t="s">
        <v>478</v>
      </c>
      <c r="E51" s="34" t="s">
        <v>479</v>
      </c>
      <c r="F51" s="34" t="s">
        <v>480</v>
      </c>
      <c r="G51" s="34"/>
    </row>
    <row r="52" spans="1:7" x14ac:dyDescent="0.15">
      <c r="A52" s="36"/>
      <c r="B52" s="36"/>
      <c r="C52" s="36"/>
      <c r="D52" s="36"/>
      <c r="E52" s="36"/>
      <c r="F52" s="36"/>
      <c r="G52" s="36"/>
    </row>
    <row r="53" spans="1:7" x14ac:dyDescent="0.15">
      <c r="A53" s="38"/>
    </row>
    <row r="54" spans="1:7" x14ac:dyDescent="0.15">
      <c r="A54" s="34" t="s">
        <v>466</v>
      </c>
    </row>
    <row r="55" spans="1:7" x14ac:dyDescent="0.15">
      <c r="A55" s="34" t="s">
        <v>467</v>
      </c>
      <c r="B55" s="34" t="s">
        <v>468</v>
      </c>
      <c r="C55" s="34" t="s">
        <v>469</v>
      </c>
    </row>
    <row r="56" spans="1:7" x14ac:dyDescent="0.15">
      <c r="A56" s="36"/>
      <c r="B56" s="36"/>
      <c r="C56" s="36"/>
    </row>
    <row r="57" spans="1:7" x14ac:dyDescent="0.15">
      <c r="A57" s="38"/>
    </row>
    <row r="58" spans="1:7" x14ac:dyDescent="0.15">
      <c r="A58" s="34" t="s">
        <v>470</v>
      </c>
    </row>
    <row r="59" spans="1:7" x14ac:dyDescent="0.15">
      <c r="A59" s="34" t="s">
        <v>471</v>
      </c>
    </row>
    <row r="60" spans="1:7" x14ac:dyDescent="0.15">
      <c r="A60" s="36"/>
    </row>
    <row r="62" spans="1:7" x14ac:dyDescent="0.15">
      <c r="A62" s="34" t="s">
        <v>481</v>
      </c>
    </row>
    <row r="63" spans="1:7" x14ac:dyDescent="0.15">
      <c r="A63" s="34" t="s">
        <v>444</v>
      </c>
      <c r="B63" s="37" t="s">
        <v>445</v>
      </c>
    </row>
    <row r="64" spans="1:7" x14ac:dyDescent="0.15">
      <c r="A64" s="34" t="s">
        <v>446</v>
      </c>
      <c r="B64" s="34" t="s">
        <v>447</v>
      </c>
      <c r="C64" s="34" t="s">
        <v>448</v>
      </c>
      <c r="D64" s="37" t="s">
        <v>445</v>
      </c>
    </row>
    <row r="65" spans="1:7" x14ac:dyDescent="0.15">
      <c r="A65" s="36">
        <v>1</v>
      </c>
      <c r="B65" s="36">
        <v>0</v>
      </c>
      <c r="C65" s="36">
        <v>6</v>
      </c>
      <c r="D65" s="37" t="s">
        <v>445</v>
      </c>
    </row>
    <row r="66" spans="1:7" x14ac:dyDescent="0.15">
      <c r="A66" s="36">
        <v>2</v>
      </c>
      <c r="B66" s="36">
        <v>5</v>
      </c>
      <c r="C66" s="36">
        <v>6</v>
      </c>
      <c r="D66" s="37" t="s">
        <v>445</v>
      </c>
    </row>
    <row r="68" spans="1:7" x14ac:dyDescent="0.15">
      <c r="A68" s="34" t="s">
        <v>449</v>
      </c>
    </row>
    <row r="69" spans="1:7" x14ac:dyDescent="0.15">
      <c r="A69" s="34" t="s">
        <v>450</v>
      </c>
    </row>
    <row r="70" spans="1:7" x14ac:dyDescent="0.15">
      <c r="A70" s="34" t="s">
        <v>451</v>
      </c>
      <c r="B70" s="34" t="s">
        <v>452</v>
      </c>
      <c r="C70" s="34" t="s">
        <v>453</v>
      </c>
      <c r="D70" s="34" t="s">
        <v>454</v>
      </c>
      <c r="E70" s="34" t="s">
        <v>455</v>
      </c>
      <c r="F70" s="34" t="s">
        <v>456</v>
      </c>
      <c r="G70" s="34" t="s">
        <v>457</v>
      </c>
    </row>
    <row r="71" spans="1:7" x14ac:dyDescent="0.15">
      <c r="A71" s="34" t="s">
        <v>458</v>
      </c>
      <c r="B71" s="36"/>
      <c r="C71" s="36"/>
      <c r="D71" s="36"/>
      <c r="E71" s="36"/>
      <c r="F71" s="36"/>
      <c r="G71" s="36"/>
    </row>
    <row r="72" spans="1:7" x14ac:dyDescent="0.15">
      <c r="A72" s="34" t="s">
        <v>459</v>
      </c>
      <c r="B72" s="36"/>
      <c r="C72" s="36"/>
      <c r="D72" s="36"/>
      <c r="E72" s="36"/>
      <c r="F72" s="36"/>
      <c r="G72" s="36"/>
    </row>
    <row r="73" spans="1:7" x14ac:dyDescent="0.15">
      <c r="A73" s="34" t="s">
        <v>460</v>
      </c>
      <c r="B73" s="36"/>
      <c r="C73" s="36"/>
      <c r="D73" s="36"/>
      <c r="E73" s="36"/>
      <c r="F73" s="36"/>
      <c r="G73" s="36"/>
    </row>
    <row r="74" spans="1:7" x14ac:dyDescent="0.15">
      <c r="A74" s="34" t="s">
        <v>461</v>
      </c>
      <c r="B74" s="36"/>
      <c r="C74" s="36"/>
      <c r="D74" s="36"/>
      <c r="E74" s="36"/>
      <c r="F74" s="36"/>
      <c r="G74" s="36"/>
    </row>
    <row r="75" spans="1:7" x14ac:dyDescent="0.15">
      <c r="A75" s="34" t="s">
        <v>462</v>
      </c>
      <c r="B75" s="36"/>
      <c r="C75" s="36"/>
      <c r="D75" s="36"/>
      <c r="E75" s="36"/>
      <c r="F75" s="36"/>
      <c r="G75" s="36"/>
    </row>
    <row r="77" spans="1:7" x14ac:dyDescent="0.15">
      <c r="A77" s="34" t="s">
        <v>463</v>
      </c>
    </row>
    <row r="78" spans="1:7" x14ac:dyDescent="0.15">
      <c r="A78" s="34" t="s">
        <v>451</v>
      </c>
      <c r="B78" s="34" t="s">
        <v>453</v>
      </c>
      <c r="C78" s="34" t="s">
        <v>464</v>
      </c>
      <c r="D78" s="34" t="s">
        <v>456</v>
      </c>
      <c r="E78" s="34" t="s">
        <v>465</v>
      </c>
    </row>
    <row r="79" spans="1:7" x14ac:dyDescent="0.15">
      <c r="A79" s="34" t="s">
        <v>458</v>
      </c>
      <c r="B79" s="36"/>
      <c r="C79" s="36"/>
      <c r="D79" s="36"/>
      <c r="E79" s="36"/>
    </row>
    <row r="80" spans="1:7" x14ac:dyDescent="0.15">
      <c r="A80" s="34" t="s">
        <v>459</v>
      </c>
      <c r="B80" s="36"/>
      <c r="C80" s="36"/>
      <c r="D80" s="36"/>
      <c r="E80" s="36"/>
    </row>
    <row r="81" spans="1:5" x14ac:dyDescent="0.15">
      <c r="A81" s="34" t="s">
        <v>460</v>
      </c>
      <c r="B81" s="36"/>
      <c r="C81" s="36"/>
      <c r="D81" s="36"/>
      <c r="E81" s="36"/>
    </row>
    <row r="82" spans="1:5" x14ac:dyDescent="0.15">
      <c r="A82" s="34" t="s">
        <v>461</v>
      </c>
      <c r="B82" s="36"/>
      <c r="C82" s="36"/>
      <c r="D82" s="36"/>
      <c r="E82" s="36"/>
    </row>
    <row r="83" spans="1:5" x14ac:dyDescent="0.15">
      <c r="A83" s="34" t="s">
        <v>462</v>
      </c>
      <c r="B83" s="36"/>
      <c r="C83" s="36"/>
      <c r="D83" s="36"/>
      <c r="E83" s="36"/>
    </row>
    <row r="85" spans="1:5" x14ac:dyDescent="0.15">
      <c r="A85" s="34" t="s">
        <v>466</v>
      </c>
    </row>
    <row r="86" spans="1:5" x14ac:dyDescent="0.15">
      <c r="A86" s="34" t="s">
        <v>451</v>
      </c>
      <c r="B86" s="34" t="s">
        <v>467</v>
      </c>
      <c r="C86" s="34" t="s">
        <v>468</v>
      </c>
      <c r="D86" s="34" t="s">
        <v>469</v>
      </c>
    </row>
    <row r="87" spans="1:5" x14ac:dyDescent="0.15">
      <c r="A87" s="34" t="s">
        <v>458</v>
      </c>
      <c r="B87" s="36"/>
      <c r="C87" s="36"/>
      <c r="D87" s="36"/>
    </row>
    <row r="88" spans="1:5" x14ac:dyDescent="0.15">
      <c r="A88" s="34" t="s">
        <v>459</v>
      </c>
      <c r="B88" s="36"/>
      <c r="C88" s="36"/>
      <c r="D88" s="36"/>
    </row>
    <row r="89" spans="1:5" x14ac:dyDescent="0.15">
      <c r="A89" s="34" t="s">
        <v>460</v>
      </c>
      <c r="B89" s="36"/>
      <c r="C89" s="36"/>
      <c r="D89" s="36"/>
    </row>
    <row r="90" spans="1:5" x14ac:dyDescent="0.15">
      <c r="A90" s="34" t="s">
        <v>461</v>
      </c>
      <c r="B90" s="36"/>
      <c r="C90" s="36"/>
      <c r="D90" s="36"/>
    </row>
    <row r="91" spans="1:5" x14ac:dyDescent="0.15">
      <c r="A91" s="34" t="s">
        <v>462</v>
      </c>
      <c r="B91" s="36"/>
      <c r="C91" s="36"/>
      <c r="D91" s="36"/>
    </row>
    <row r="93" spans="1:5" x14ac:dyDescent="0.15">
      <c r="A93" s="34" t="s">
        <v>470</v>
      </c>
    </row>
    <row r="94" spans="1:5" x14ac:dyDescent="0.15">
      <c r="A94" s="34" t="s">
        <v>451</v>
      </c>
      <c r="B94" s="34" t="s">
        <v>471</v>
      </c>
    </row>
    <row r="95" spans="1:5" x14ac:dyDescent="0.15">
      <c r="A95" s="34" t="s">
        <v>458</v>
      </c>
      <c r="B95" s="36"/>
    </row>
    <row r="96" spans="1:5" x14ac:dyDescent="0.15">
      <c r="A96" s="34" t="s">
        <v>459</v>
      </c>
      <c r="B96" s="36"/>
    </row>
    <row r="97" spans="1:7" x14ac:dyDescent="0.15">
      <c r="A97" s="34" t="s">
        <v>460</v>
      </c>
      <c r="B97" s="36"/>
    </row>
    <row r="98" spans="1:7" x14ac:dyDescent="0.15">
      <c r="A98" s="34" t="s">
        <v>461</v>
      </c>
      <c r="B98" s="36"/>
    </row>
    <row r="99" spans="1:7" x14ac:dyDescent="0.15">
      <c r="A99" s="34" t="s">
        <v>462</v>
      </c>
      <c r="B99" s="36"/>
    </row>
    <row r="101" spans="1:7" x14ac:dyDescent="0.15">
      <c r="A101" s="34" t="s">
        <v>472</v>
      </c>
    </row>
    <row r="102" spans="1:7" x14ac:dyDescent="0.15">
      <c r="A102" s="39" t="s">
        <v>450</v>
      </c>
    </row>
    <row r="103" spans="1:7" x14ac:dyDescent="0.15">
      <c r="A103" s="34" t="s">
        <v>473</v>
      </c>
      <c r="B103" s="34"/>
      <c r="C103" s="34"/>
      <c r="D103" s="34" t="s">
        <v>474</v>
      </c>
      <c r="E103" s="34"/>
      <c r="F103" s="34"/>
      <c r="G103" s="34" t="s">
        <v>475</v>
      </c>
    </row>
    <row r="104" spans="1:7" x14ac:dyDescent="0.15">
      <c r="A104" s="34" t="s">
        <v>476</v>
      </c>
      <c r="B104" s="34" t="s">
        <v>452</v>
      </c>
      <c r="C104" s="34" t="s">
        <v>477</v>
      </c>
      <c r="D104" s="34" t="s">
        <v>478</v>
      </c>
      <c r="E104" s="34" t="s">
        <v>479</v>
      </c>
      <c r="F104" s="34" t="s">
        <v>480</v>
      </c>
      <c r="G104" s="34"/>
    </row>
    <row r="105" spans="1:7" x14ac:dyDescent="0.15">
      <c r="A105" s="36"/>
      <c r="B105" s="36"/>
      <c r="C105" s="36"/>
      <c r="D105" s="36"/>
      <c r="E105" s="36"/>
      <c r="F105" s="36"/>
      <c r="G105" s="36"/>
    </row>
    <row r="106" spans="1:7" x14ac:dyDescent="0.15">
      <c r="A106" s="38"/>
    </row>
    <row r="107" spans="1:7" x14ac:dyDescent="0.15">
      <c r="A107" s="34" t="s">
        <v>466</v>
      </c>
    </row>
    <row r="108" spans="1:7" x14ac:dyDescent="0.15">
      <c r="A108" s="34" t="s">
        <v>467</v>
      </c>
      <c r="B108" s="34" t="s">
        <v>468</v>
      </c>
      <c r="C108" s="34" t="s">
        <v>469</v>
      </c>
    </row>
    <row r="109" spans="1:7" x14ac:dyDescent="0.15">
      <c r="A109" s="36"/>
      <c r="B109" s="36"/>
      <c r="C109" s="36"/>
    </row>
    <row r="110" spans="1:7" x14ac:dyDescent="0.15">
      <c r="A110" s="38"/>
    </row>
    <row r="111" spans="1:7" x14ac:dyDescent="0.15">
      <c r="A111" s="34" t="s">
        <v>470</v>
      </c>
    </row>
    <row r="112" spans="1:7" x14ac:dyDescent="0.15">
      <c r="A112" s="34" t="s">
        <v>471</v>
      </c>
    </row>
    <row r="113" spans="1:1" x14ac:dyDescent="0.15">
      <c r="A113" s="36"/>
    </row>
  </sheetData>
  <phoneticPr fontId="1"/>
  <pageMargins left="0.7" right="0.7" top="0.75" bottom="0.75" header="0.3" footer="0.3"/>
  <pageSetup paperSize="9" scale="4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23"/>
  <sheetViews>
    <sheetView topLeftCell="A19" zoomScaleNormal="100" workbookViewId="0">
      <selection activeCell="B30" sqref="B30"/>
    </sheetView>
  </sheetViews>
  <sheetFormatPr defaultRowHeight="13.5" x14ac:dyDescent="0.15"/>
  <cols>
    <col min="1" max="1" width="27.25" style="35" bestFit="1" customWidth="1"/>
    <col min="2" max="2" width="28.125" style="35" bestFit="1" customWidth="1"/>
    <col min="3" max="3" width="23.875" style="35" bestFit="1" customWidth="1"/>
    <col min="4" max="4" width="20" style="35" bestFit="1" customWidth="1"/>
    <col min="5" max="5" width="24.375" style="35" bestFit="1" customWidth="1"/>
    <col min="6" max="6" width="25.625" style="35" bestFit="1" customWidth="1"/>
    <col min="7" max="8" width="25.625" style="35" customWidth="1"/>
    <col min="9" max="256" width="9" style="35"/>
    <col min="257" max="257" width="27.25" style="35" bestFit="1" customWidth="1"/>
    <col min="258" max="258" width="28.125" style="35" bestFit="1" customWidth="1"/>
    <col min="259" max="259" width="23.875" style="35" bestFit="1" customWidth="1"/>
    <col min="260" max="260" width="20" style="35" bestFit="1" customWidth="1"/>
    <col min="261" max="261" width="24.375" style="35" bestFit="1" customWidth="1"/>
    <col min="262" max="262" width="25.625" style="35" bestFit="1" customWidth="1"/>
    <col min="263" max="264" width="25.625" style="35" customWidth="1"/>
    <col min="265" max="512" width="9" style="35"/>
    <col min="513" max="513" width="27.25" style="35" bestFit="1" customWidth="1"/>
    <col min="514" max="514" width="28.125" style="35" bestFit="1" customWidth="1"/>
    <col min="515" max="515" width="23.875" style="35" bestFit="1" customWidth="1"/>
    <col min="516" max="516" width="20" style="35" bestFit="1" customWidth="1"/>
    <col min="517" max="517" width="24.375" style="35" bestFit="1" customWidth="1"/>
    <col min="518" max="518" width="25.625" style="35" bestFit="1" customWidth="1"/>
    <col min="519" max="520" width="25.625" style="35" customWidth="1"/>
    <col min="521" max="768" width="9" style="35"/>
    <col min="769" max="769" width="27.25" style="35" bestFit="1" customWidth="1"/>
    <col min="770" max="770" width="28.125" style="35" bestFit="1" customWidth="1"/>
    <col min="771" max="771" width="23.875" style="35" bestFit="1" customWidth="1"/>
    <col min="772" max="772" width="20" style="35" bestFit="1" customWidth="1"/>
    <col min="773" max="773" width="24.375" style="35" bestFit="1" customWidth="1"/>
    <col min="774" max="774" width="25.625" style="35" bestFit="1" customWidth="1"/>
    <col min="775" max="776" width="25.625" style="35" customWidth="1"/>
    <col min="777" max="1024" width="9" style="35"/>
    <col min="1025" max="1025" width="27.25" style="35" bestFit="1" customWidth="1"/>
    <col min="1026" max="1026" width="28.125" style="35" bestFit="1" customWidth="1"/>
    <col min="1027" max="1027" width="23.875" style="35" bestFit="1" customWidth="1"/>
    <col min="1028" max="1028" width="20" style="35" bestFit="1" customWidth="1"/>
    <col min="1029" max="1029" width="24.375" style="35" bestFit="1" customWidth="1"/>
    <col min="1030" max="1030" width="25.625" style="35" bestFit="1" customWidth="1"/>
    <col min="1031" max="1032" width="25.625" style="35" customWidth="1"/>
    <col min="1033" max="1280" width="9" style="35"/>
    <col min="1281" max="1281" width="27.25" style="35" bestFit="1" customWidth="1"/>
    <col min="1282" max="1282" width="28.125" style="35" bestFit="1" customWidth="1"/>
    <col min="1283" max="1283" width="23.875" style="35" bestFit="1" customWidth="1"/>
    <col min="1284" max="1284" width="20" style="35" bestFit="1" customWidth="1"/>
    <col min="1285" max="1285" width="24.375" style="35" bestFit="1" customWidth="1"/>
    <col min="1286" max="1286" width="25.625" style="35" bestFit="1" customWidth="1"/>
    <col min="1287" max="1288" width="25.625" style="35" customWidth="1"/>
    <col min="1289" max="1536" width="9" style="35"/>
    <col min="1537" max="1537" width="27.25" style="35" bestFit="1" customWidth="1"/>
    <col min="1538" max="1538" width="28.125" style="35" bestFit="1" customWidth="1"/>
    <col min="1539" max="1539" width="23.875" style="35" bestFit="1" customWidth="1"/>
    <col min="1540" max="1540" width="20" style="35" bestFit="1" customWidth="1"/>
    <col min="1541" max="1541" width="24.375" style="35" bestFit="1" customWidth="1"/>
    <col min="1542" max="1542" width="25.625" style="35" bestFit="1" customWidth="1"/>
    <col min="1543" max="1544" width="25.625" style="35" customWidth="1"/>
    <col min="1545" max="1792" width="9" style="35"/>
    <col min="1793" max="1793" width="27.25" style="35" bestFit="1" customWidth="1"/>
    <col min="1794" max="1794" width="28.125" style="35" bestFit="1" customWidth="1"/>
    <col min="1795" max="1795" width="23.875" style="35" bestFit="1" customWidth="1"/>
    <col min="1796" max="1796" width="20" style="35" bestFit="1" customWidth="1"/>
    <col min="1797" max="1797" width="24.375" style="35" bestFit="1" customWidth="1"/>
    <col min="1798" max="1798" width="25.625" style="35" bestFit="1" customWidth="1"/>
    <col min="1799" max="1800" width="25.625" style="35" customWidth="1"/>
    <col min="1801" max="2048" width="9" style="35"/>
    <col min="2049" max="2049" width="27.25" style="35" bestFit="1" customWidth="1"/>
    <col min="2050" max="2050" width="28.125" style="35" bestFit="1" customWidth="1"/>
    <col min="2051" max="2051" width="23.875" style="35" bestFit="1" customWidth="1"/>
    <col min="2052" max="2052" width="20" style="35" bestFit="1" customWidth="1"/>
    <col min="2053" max="2053" width="24.375" style="35" bestFit="1" customWidth="1"/>
    <col min="2054" max="2054" width="25.625" style="35" bestFit="1" customWidth="1"/>
    <col min="2055" max="2056" width="25.625" style="35" customWidth="1"/>
    <col min="2057" max="2304" width="9" style="35"/>
    <col min="2305" max="2305" width="27.25" style="35" bestFit="1" customWidth="1"/>
    <col min="2306" max="2306" width="28.125" style="35" bestFit="1" customWidth="1"/>
    <col min="2307" max="2307" width="23.875" style="35" bestFit="1" customWidth="1"/>
    <col min="2308" max="2308" width="20" style="35" bestFit="1" customWidth="1"/>
    <col min="2309" max="2309" width="24.375" style="35" bestFit="1" customWidth="1"/>
    <col min="2310" max="2310" width="25.625" style="35" bestFit="1" customWidth="1"/>
    <col min="2311" max="2312" width="25.625" style="35" customWidth="1"/>
    <col min="2313" max="2560" width="9" style="35"/>
    <col min="2561" max="2561" width="27.25" style="35" bestFit="1" customWidth="1"/>
    <col min="2562" max="2562" width="28.125" style="35" bestFit="1" customWidth="1"/>
    <col min="2563" max="2563" width="23.875" style="35" bestFit="1" customWidth="1"/>
    <col min="2564" max="2564" width="20" style="35" bestFit="1" customWidth="1"/>
    <col min="2565" max="2565" width="24.375" style="35" bestFit="1" customWidth="1"/>
    <col min="2566" max="2566" width="25.625" style="35" bestFit="1" customWidth="1"/>
    <col min="2567" max="2568" width="25.625" style="35" customWidth="1"/>
    <col min="2569" max="2816" width="9" style="35"/>
    <col min="2817" max="2817" width="27.25" style="35" bestFit="1" customWidth="1"/>
    <col min="2818" max="2818" width="28.125" style="35" bestFit="1" customWidth="1"/>
    <col min="2819" max="2819" width="23.875" style="35" bestFit="1" customWidth="1"/>
    <col min="2820" max="2820" width="20" style="35" bestFit="1" customWidth="1"/>
    <col min="2821" max="2821" width="24.375" style="35" bestFit="1" customWidth="1"/>
    <col min="2822" max="2822" width="25.625" style="35" bestFit="1" customWidth="1"/>
    <col min="2823" max="2824" width="25.625" style="35" customWidth="1"/>
    <col min="2825" max="3072" width="9" style="35"/>
    <col min="3073" max="3073" width="27.25" style="35" bestFit="1" customWidth="1"/>
    <col min="3074" max="3074" width="28.125" style="35" bestFit="1" customWidth="1"/>
    <col min="3075" max="3075" width="23.875" style="35" bestFit="1" customWidth="1"/>
    <col min="3076" max="3076" width="20" style="35" bestFit="1" customWidth="1"/>
    <col min="3077" max="3077" width="24.375" style="35" bestFit="1" customWidth="1"/>
    <col min="3078" max="3078" width="25.625" style="35" bestFit="1" customWidth="1"/>
    <col min="3079" max="3080" width="25.625" style="35" customWidth="1"/>
    <col min="3081" max="3328" width="9" style="35"/>
    <col min="3329" max="3329" width="27.25" style="35" bestFit="1" customWidth="1"/>
    <col min="3330" max="3330" width="28.125" style="35" bestFit="1" customWidth="1"/>
    <col min="3331" max="3331" width="23.875" style="35" bestFit="1" customWidth="1"/>
    <col min="3332" max="3332" width="20" style="35" bestFit="1" customWidth="1"/>
    <col min="3333" max="3333" width="24.375" style="35" bestFit="1" customWidth="1"/>
    <col min="3334" max="3334" width="25.625" style="35" bestFit="1" customWidth="1"/>
    <col min="3335" max="3336" width="25.625" style="35" customWidth="1"/>
    <col min="3337" max="3584" width="9" style="35"/>
    <col min="3585" max="3585" width="27.25" style="35" bestFit="1" customWidth="1"/>
    <col min="3586" max="3586" width="28.125" style="35" bestFit="1" customWidth="1"/>
    <col min="3587" max="3587" width="23.875" style="35" bestFit="1" customWidth="1"/>
    <col min="3588" max="3588" width="20" style="35" bestFit="1" customWidth="1"/>
    <col min="3589" max="3589" width="24.375" style="35" bestFit="1" customWidth="1"/>
    <col min="3590" max="3590" width="25.625" style="35" bestFit="1" customWidth="1"/>
    <col min="3591" max="3592" width="25.625" style="35" customWidth="1"/>
    <col min="3593" max="3840" width="9" style="35"/>
    <col min="3841" max="3841" width="27.25" style="35" bestFit="1" customWidth="1"/>
    <col min="3842" max="3842" width="28.125" style="35" bestFit="1" customWidth="1"/>
    <col min="3843" max="3843" width="23.875" style="35" bestFit="1" customWidth="1"/>
    <col min="3844" max="3844" width="20" style="35" bestFit="1" customWidth="1"/>
    <col min="3845" max="3845" width="24.375" style="35" bestFit="1" customWidth="1"/>
    <col min="3846" max="3846" width="25.625" style="35" bestFit="1" customWidth="1"/>
    <col min="3847" max="3848" width="25.625" style="35" customWidth="1"/>
    <col min="3849" max="4096" width="9" style="35"/>
    <col min="4097" max="4097" width="27.25" style="35" bestFit="1" customWidth="1"/>
    <col min="4098" max="4098" width="28.125" style="35" bestFit="1" customWidth="1"/>
    <col min="4099" max="4099" width="23.875" style="35" bestFit="1" customWidth="1"/>
    <col min="4100" max="4100" width="20" style="35" bestFit="1" customWidth="1"/>
    <col min="4101" max="4101" width="24.375" style="35" bestFit="1" customWidth="1"/>
    <col min="4102" max="4102" width="25.625" style="35" bestFit="1" customWidth="1"/>
    <col min="4103" max="4104" width="25.625" style="35" customWidth="1"/>
    <col min="4105" max="4352" width="9" style="35"/>
    <col min="4353" max="4353" width="27.25" style="35" bestFit="1" customWidth="1"/>
    <col min="4354" max="4354" width="28.125" style="35" bestFit="1" customWidth="1"/>
    <col min="4355" max="4355" width="23.875" style="35" bestFit="1" customWidth="1"/>
    <col min="4356" max="4356" width="20" style="35" bestFit="1" customWidth="1"/>
    <col min="4357" max="4357" width="24.375" style="35" bestFit="1" customWidth="1"/>
    <col min="4358" max="4358" width="25.625" style="35" bestFit="1" customWidth="1"/>
    <col min="4359" max="4360" width="25.625" style="35" customWidth="1"/>
    <col min="4361" max="4608" width="9" style="35"/>
    <col min="4609" max="4609" width="27.25" style="35" bestFit="1" customWidth="1"/>
    <col min="4610" max="4610" width="28.125" style="35" bestFit="1" customWidth="1"/>
    <col min="4611" max="4611" width="23.875" style="35" bestFit="1" customWidth="1"/>
    <col min="4612" max="4612" width="20" style="35" bestFit="1" customWidth="1"/>
    <col min="4613" max="4613" width="24.375" style="35" bestFit="1" customWidth="1"/>
    <col min="4614" max="4614" width="25.625" style="35" bestFit="1" customWidth="1"/>
    <col min="4615" max="4616" width="25.625" style="35" customWidth="1"/>
    <col min="4617" max="4864" width="9" style="35"/>
    <col min="4865" max="4865" width="27.25" style="35" bestFit="1" customWidth="1"/>
    <col min="4866" max="4866" width="28.125" style="35" bestFit="1" customWidth="1"/>
    <col min="4867" max="4867" width="23.875" style="35" bestFit="1" customWidth="1"/>
    <col min="4868" max="4868" width="20" style="35" bestFit="1" customWidth="1"/>
    <col min="4869" max="4869" width="24.375" style="35" bestFit="1" customWidth="1"/>
    <col min="4870" max="4870" width="25.625" style="35" bestFit="1" customWidth="1"/>
    <col min="4871" max="4872" width="25.625" style="35" customWidth="1"/>
    <col min="4873" max="5120" width="9" style="35"/>
    <col min="5121" max="5121" width="27.25" style="35" bestFit="1" customWidth="1"/>
    <col min="5122" max="5122" width="28.125" style="35" bestFit="1" customWidth="1"/>
    <col min="5123" max="5123" width="23.875" style="35" bestFit="1" customWidth="1"/>
    <col min="5124" max="5124" width="20" style="35" bestFit="1" customWidth="1"/>
    <col min="5125" max="5125" width="24.375" style="35" bestFit="1" customWidth="1"/>
    <col min="5126" max="5126" width="25.625" style="35" bestFit="1" customWidth="1"/>
    <col min="5127" max="5128" width="25.625" style="35" customWidth="1"/>
    <col min="5129" max="5376" width="9" style="35"/>
    <col min="5377" max="5377" width="27.25" style="35" bestFit="1" customWidth="1"/>
    <col min="5378" max="5378" width="28.125" style="35" bestFit="1" customWidth="1"/>
    <col min="5379" max="5379" width="23.875" style="35" bestFit="1" customWidth="1"/>
    <col min="5380" max="5380" width="20" style="35" bestFit="1" customWidth="1"/>
    <col min="5381" max="5381" width="24.375" style="35" bestFit="1" customWidth="1"/>
    <col min="5382" max="5382" width="25.625" style="35" bestFit="1" customWidth="1"/>
    <col min="5383" max="5384" width="25.625" style="35" customWidth="1"/>
    <col min="5385" max="5632" width="9" style="35"/>
    <col min="5633" max="5633" width="27.25" style="35" bestFit="1" customWidth="1"/>
    <col min="5634" max="5634" width="28.125" style="35" bestFit="1" customWidth="1"/>
    <col min="5635" max="5635" width="23.875" style="35" bestFit="1" customWidth="1"/>
    <col min="5636" max="5636" width="20" style="35" bestFit="1" customWidth="1"/>
    <col min="5637" max="5637" width="24.375" style="35" bestFit="1" customWidth="1"/>
    <col min="5638" max="5638" width="25.625" style="35" bestFit="1" customWidth="1"/>
    <col min="5639" max="5640" width="25.625" style="35" customWidth="1"/>
    <col min="5641" max="5888" width="9" style="35"/>
    <col min="5889" max="5889" width="27.25" style="35" bestFit="1" customWidth="1"/>
    <col min="5890" max="5890" width="28.125" style="35" bestFit="1" customWidth="1"/>
    <col min="5891" max="5891" width="23.875" style="35" bestFit="1" customWidth="1"/>
    <col min="5892" max="5892" width="20" style="35" bestFit="1" customWidth="1"/>
    <col min="5893" max="5893" width="24.375" style="35" bestFit="1" customWidth="1"/>
    <col min="5894" max="5894" width="25.625" style="35" bestFit="1" customWidth="1"/>
    <col min="5895" max="5896" width="25.625" style="35" customWidth="1"/>
    <col min="5897" max="6144" width="9" style="35"/>
    <col min="6145" max="6145" width="27.25" style="35" bestFit="1" customWidth="1"/>
    <col min="6146" max="6146" width="28.125" style="35" bestFit="1" customWidth="1"/>
    <col min="6147" max="6147" width="23.875" style="35" bestFit="1" customWidth="1"/>
    <col min="6148" max="6148" width="20" style="35" bestFit="1" customWidth="1"/>
    <col min="6149" max="6149" width="24.375" style="35" bestFit="1" customWidth="1"/>
    <col min="6150" max="6150" width="25.625" style="35" bestFit="1" customWidth="1"/>
    <col min="6151" max="6152" width="25.625" style="35" customWidth="1"/>
    <col min="6153" max="6400" width="9" style="35"/>
    <col min="6401" max="6401" width="27.25" style="35" bestFit="1" customWidth="1"/>
    <col min="6402" max="6402" width="28.125" style="35" bestFit="1" customWidth="1"/>
    <col min="6403" max="6403" width="23.875" style="35" bestFit="1" customWidth="1"/>
    <col min="6404" max="6404" width="20" style="35" bestFit="1" customWidth="1"/>
    <col min="6405" max="6405" width="24.375" style="35" bestFit="1" customWidth="1"/>
    <col min="6406" max="6406" width="25.625" style="35" bestFit="1" customWidth="1"/>
    <col min="6407" max="6408" width="25.625" style="35" customWidth="1"/>
    <col min="6409" max="6656" width="9" style="35"/>
    <col min="6657" max="6657" width="27.25" style="35" bestFit="1" customWidth="1"/>
    <col min="6658" max="6658" width="28.125" style="35" bestFit="1" customWidth="1"/>
    <col min="6659" max="6659" width="23.875" style="35" bestFit="1" customWidth="1"/>
    <col min="6660" max="6660" width="20" style="35" bestFit="1" customWidth="1"/>
    <col min="6661" max="6661" width="24.375" style="35" bestFit="1" customWidth="1"/>
    <col min="6662" max="6662" width="25.625" style="35" bestFit="1" customWidth="1"/>
    <col min="6663" max="6664" width="25.625" style="35" customWidth="1"/>
    <col min="6665" max="6912" width="9" style="35"/>
    <col min="6913" max="6913" width="27.25" style="35" bestFit="1" customWidth="1"/>
    <col min="6914" max="6914" width="28.125" style="35" bestFit="1" customWidth="1"/>
    <col min="6915" max="6915" width="23.875" style="35" bestFit="1" customWidth="1"/>
    <col min="6916" max="6916" width="20" style="35" bestFit="1" customWidth="1"/>
    <col min="6917" max="6917" width="24.375" style="35" bestFit="1" customWidth="1"/>
    <col min="6918" max="6918" width="25.625" style="35" bestFit="1" customWidth="1"/>
    <col min="6919" max="6920" width="25.625" style="35" customWidth="1"/>
    <col min="6921" max="7168" width="9" style="35"/>
    <col min="7169" max="7169" width="27.25" style="35" bestFit="1" customWidth="1"/>
    <col min="7170" max="7170" width="28.125" style="35" bestFit="1" customWidth="1"/>
    <col min="7171" max="7171" width="23.875" style="35" bestFit="1" customWidth="1"/>
    <col min="7172" max="7172" width="20" style="35" bestFit="1" customWidth="1"/>
    <col min="7173" max="7173" width="24.375" style="35" bestFit="1" customWidth="1"/>
    <col min="7174" max="7174" width="25.625" style="35" bestFit="1" customWidth="1"/>
    <col min="7175" max="7176" width="25.625" style="35" customWidth="1"/>
    <col min="7177" max="7424" width="9" style="35"/>
    <col min="7425" max="7425" width="27.25" style="35" bestFit="1" customWidth="1"/>
    <col min="7426" max="7426" width="28.125" style="35" bestFit="1" customWidth="1"/>
    <col min="7427" max="7427" width="23.875" style="35" bestFit="1" customWidth="1"/>
    <col min="7428" max="7428" width="20" style="35" bestFit="1" customWidth="1"/>
    <col min="7429" max="7429" width="24.375" style="35" bestFit="1" customWidth="1"/>
    <col min="7430" max="7430" width="25.625" style="35" bestFit="1" customWidth="1"/>
    <col min="7431" max="7432" width="25.625" style="35" customWidth="1"/>
    <col min="7433" max="7680" width="9" style="35"/>
    <col min="7681" max="7681" width="27.25" style="35" bestFit="1" customWidth="1"/>
    <col min="7682" max="7682" width="28.125" style="35" bestFit="1" customWidth="1"/>
    <col min="7683" max="7683" width="23.875" style="35" bestFit="1" customWidth="1"/>
    <col min="7684" max="7684" width="20" style="35" bestFit="1" customWidth="1"/>
    <col min="7685" max="7685" width="24.375" style="35" bestFit="1" customWidth="1"/>
    <col min="7686" max="7686" width="25.625" style="35" bestFit="1" customWidth="1"/>
    <col min="7687" max="7688" width="25.625" style="35" customWidth="1"/>
    <col min="7689" max="7936" width="9" style="35"/>
    <col min="7937" max="7937" width="27.25" style="35" bestFit="1" customWidth="1"/>
    <col min="7938" max="7938" width="28.125" style="35" bestFit="1" customWidth="1"/>
    <col min="7939" max="7939" width="23.875" style="35" bestFit="1" customWidth="1"/>
    <col min="7940" max="7940" width="20" style="35" bestFit="1" customWidth="1"/>
    <col min="7941" max="7941" width="24.375" style="35" bestFit="1" customWidth="1"/>
    <col min="7942" max="7942" width="25.625" style="35" bestFit="1" customWidth="1"/>
    <col min="7943" max="7944" width="25.625" style="35" customWidth="1"/>
    <col min="7945" max="8192" width="9" style="35"/>
    <col min="8193" max="8193" width="27.25" style="35" bestFit="1" customWidth="1"/>
    <col min="8194" max="8194" width="28.125" style="35" bestFit="1" customWidth="1"/>
    <col min="8195" max="8195" width="23.875" style="35" bestFit="1" customWidth="1"/>
    <col min="8196" max="8196" width="20" style="35" bestFit="1" customWidth="1"/>
    <col min="8197" max="8197" width="24.375" style="35" bestFit="1" customWidth="1"/>
    <col min="8198" max="8198" width="25.625" style="35" bestFit="1" customWidth="1"/>
    <col min="8199" max="8200" width="25.625" style="35" customWidth="1"/>
    <col min="8201" max="8448" width="9" style="35"/>
    <col min="8449" max="8449" width="27.25" style="35" bestFit="1" customWidth="1"/>
    <col min="8450" max="8450" width="28.125" style="35" bestFit="1" customWidth="1"/>
    <col min="8451" max="8451" width="23.875" style="35" bestFit="1" customWidth="1"/>
    <col min="8452" max="8452" width="20" style="35" bestFit="1" customWidth="1"/>
    <col min="8453" max="8453" width="24.375" style="35" bestFit="1" customWidth="1"/>
    <col min="8454" max="8454" width="25.625" style="35" bestFit="1" customWidth="1"/>
    <col min="8455" max="8456" width="25.625" style="35" customWidth="1"/>
    <col min="8457" max="8704" width="9" style="35"/>
    <col min="8705" max="8705" width="27.25" style="35" bestFit="1" customWidth="1"/>
    <col min="8706" max="8706" width="28.125" style="35" bestFit="1" customWidth="1"/>
    <col min="8707" max="8707" width="23.875" style="35" bestFit="1" customWidth="1"/>
    <col min="8708" max="8708" width="20" style="35" bestFit="1" customWidth="1"/>
    <col min="8709" max="8709" width="24.375" style="35" bestFit="1" customWidth="1"/>
    <col min="8710" max="8710" width="25.625" style="35" bestFit="1" customWidth="1"/>
    <col min="8711" max="8712" width="25.625" style="35" customWidth="1"/>
    <col min="8713" max="8960" width="9" style="35"/>
    <col min="8961" max="8961" width="27.25" style="35" bestFit="1" customWidth="1"/>
    <col min="8962" max="8962" width="28.125" style="35" bestFit="1" customWidth="1"/>
    <col min="8963" max="8963" width="23.875" style="35" bestFit="1" customWidth="1"/>
    <col min="8964" max="8964" width="20" style="35" bestFit="1" customWidth="1"/>
    <col min="8965" max="8965" width="24.375" style="35" bestFit="1" customWidth="1"/>
    <col min="8966" max="8966" width="25.625" style="35" bestFit="1" customWidth="1"/>
    <col min="8967" max="8968" width="25.625" style="35" customWidth="1"/>
    <col min="8969" max="9216" width="9" style="35"/>
    <col min="9217" max="9217" width="27.25" style="35" bestFit="1" customWidth="1"/>
    <col min="9218" max="9218" width="28.125" style="35" bestFit="1" customWidth="1"/>
    <col min="9219" max="9219" width="23.875" style="35" bestFit="1" customWidth="1"/>
    <col min="9220" max="9220" width="20" style="35" bestFit="1" customWidth="1"/>
    <col min="9221" max="9221" width="24.375" style="35" bestFit="1" customWidth="1"/>
    <col min="9222" max="9222" width="25.625" style="35" bestFit="1" customWidth="1"/>
    <col min="9223" max="9224" width="25.625" style="35" customWidth="1"/>
    <col min="9225" max="9472" width="9" style="35"/>
    <col min="9473" max="9473" width="27.25" style="35" bestFit="1" customWidth="1"/>
    <col min="9474" max="9474" width="28.125" style="35" bestFit="1" customWidth="1"/>
    <col min="9475" max="9475" width="23.875" style="35" bestFit="1" customWidth="1"/>
    <col min="9476" max="9476" width="20" style="35" bestFit="1" customWidth="1"/>
    <col min="9477" max="9477" width="24.375" style="35" bestFit="1" customWidth="1"/>
    <col min="9478" max="9478" width="25.625" style="35" bestFit="1" customWidth="1"/>
    <col min="9479" max="9480" width="25.625" style="35" customWidth="1"/>
    <col min="9481" max="9728" width="9" style="35"/>
    <col min="9729" max="9729" width="27.25" style="35" bestFit="1" customWidth="1"/>
    <col min="9730" max="9730" width="28.125" style="35" bestFit="1" customWidth="1"/>
    <col min="9731" max="9731" width="23.875" style="35" bestFit="1" customWidth="1"/>
    <col min="9732" max="9732" width="20" style="35" bestFit="1" customWidth="1"/>
    <col min="9733" max="9733" width="24.375" style="35" bestFit="1" customWidth="1"/>
    <col min="9734" max="9734" width="25.625" style="35" bestFit="1" customWidth="1"/>
    <col min="9735" max="9736" width="25.625" style="35" customWidth="1"/>
    <col min="9737" max="9984" width="9" style="35"/>
    <col min="9985" max="9985" width="27.25" style="35" bestFit="1" customWidth="1"/>
    <col min="9986" max="9986" width="28.125" style="35" bestFit="1" customWidth="1"/>
    <col min="9987" max="9987" width="23.875" style="35" bestFit="1" customWidth="1"/>
    <col min="9988" max="9988" width="20" style="35" bestFit="1" customWidth="1"/>
    <col min="9989" max="9989" width="24.375" style="35" bestFit="1" customWidth="1"/>
    <col min="9990" max="9990" width="25.625" style="35" bestFit="1" customWidth="1"/>
    <col min="9991" max="9992" width="25.625" style="35" customWidth="1"/>
    <col min="9993" max="10240" width="9" style="35"/>
    <col min="10241" max="10241" width="27.25" style="35" bestFit="1" customWidth="1"/>
    <col min="10242" max="10242" width="28.125" style="35" bestFit="1" customWidth="1"/>
    <col min="10243" max="10243" width="23.875" style="35" bestFit="1" customWidth="1"/>
    <col min="10244" max="10244" width="20" style="35" bestFit="1" customWidth="1"/>
    <col min="10245" max="10245" width="24.375" style="35" bestFit="1" customWidth="1"/>
    <col min="10246" max="10246" width="25.625" style="35" bestFit="1" customWidth="1"/>
    <col min="10247" max="10248" width="25.625" style="35" customWidth="1"/>
    <col min="10249" max="10496" width="9" style="35"/>
    <col min="10497" max="10497" width="27.25" style="35" bestFit="1" customWidth="1"/>
    <col min="10498" max="10498" width="28.125" style="35" bestFit="1" customWidth="1"/>
    <col min="10499" max="10499" width="23.875" style="35" bestFit="1" customWidth="1"/>
    <col min="10500" max="10500" width="20" style="35" bestFit="1" customWidth="1"/>
    <col min="10501" max="10501" width="24.375" style="35" bestFit="1" customWidth="1"/>
    <col min="10502" max="10502" width="25.625" style="35" bestFit="1" customWidth="1"/>
    <col min="10503" max="10504" width="25.625" style="35" customWidth="1"/>
    <col min="10505" max="10752" width="9" style="35"/>
    <col min="10753" max="10753" width="27.25" style="35" bestFit="1" customWidth="1"/>
    <col min="10754" max="10754" width="28.125" style="35" bestFit="1" customWidth="1"/>
    <col min="10755" max="10755" width="23.875" style="35" bestFit="1" customWidth="1"/>
    <col min="10756" max="10756" width="20" style="35" bestFit="1" customWidth="1"/>
    <col min="10757" max="10757" width="24.375" style="35" bestFit="1" customWidth="1"/>
    <col min="10758" max="10758" width="25.625" style="35" bestFit="1" customWidth="1"/>
    <col min="10759" max="10760" width="25.625" style="35" customWidth="1"/>
    <col min="10761" max="11008" width="9" style="35"/>
    <col min="11009" max="11009" width="27.25" style="35" bestFit="1" customWidth="1"/>
    <col min="11010" max="11010" width="28.125" style="35" bestFit="1" customWidth="1"/>
    <col min="11011" max="11011" width="23.875" style="35" bestFit="1" customWidth="1"/>
    <col min="11012" max="11012" width="20" style="35" bestFit="1" customWidth="1"/>
    <col min="11013" max="11013" width="24.375" style="35" bestFit="1" customWidth="1"/>
    <col min="11014" max="11014" width="25.625" style="35" bestFit="1" customWidth="1"/>
    <col min="11015" max="11016" width="25.625" style="35" customWidth="1"/>
    <col min="11017" max="11264" width="9" style="35"/>
    <col min="11265" max="11265" width="27.25" style="35" bestFit="1" customWidth="1"/>
    <col min="11266" max="11266" width="28.125" style="35" bestFit="1" customWidth="1"/>
    <col min="11267" max="11267" width="23.875" style="35" bestFit="1" customWidth="1"/>
    <col min="11268" max="11268" width="20" style="35" bestFit="1" customWidth="1"/>
    <col min="11269" max="11269" width="24.375" style="35" bestFit="1" customWidth="1"/>
    <col min="11270" max="11270" width="25.625" style="35" bestFit="1" customWidth="1"/>
    <col min="11271" max="11272" width="25.625" style="35" customWidth="1"/>
    <col min="11273" max="11520" width="9" style="35"/>
    <col min="11521" max="11521" width="27.25" style="35" bestFit="1" customWidth="1"/>
    <col min="11522" max="11522" width="28.125" style="35" bestFit="1" customWidth="1"/>
    <col min="11523" max="11523" width="23.875" style="35" bestFit="1" customWidth="1"/>
    <col min="11524" max="11524" width="20" style="35" bestFit="1" customWidth="1"/>
    <col min="11525" max="11525" width="24.375" style="35" bestFit="1" customWidth="1"/>
    <col min="11526" max="11526" width="25.625" style="35" bestFit="1" customWidth="1"/>
    <col min="11527" max="11528" width="25.625" style="35" customWidth="1"/>
    <col min="11529" max="11776" width="9" style="35"/>
    <col min="11777" max="11777" width="27.25" style="35" bestFit="1" customWidth="1"/>
    <col min="11778" max="11778" width="28.125" style="35" bestFit="1" customWidth="1"/>
    <col min="11779" max="11779" width="23.875" style="35" bestFit="1" customWidth="1"/>
    <col min="11780" max="11780" width="20" style="35" bestFit="1" customWidth="1"/>
    <col min="11781" max="11781" width="24.375" style="35" bestFit="1" customWidth="1"/>
    <col min="11782" max="11782" width="25.625" style="35" bestFit="1" customWidth="1"/>
    <col min="11783" max="11784" width="25.625" style="35" customWidth="1"/>
    <col min="11785" max="12032" width="9" style="35"/>
    <col min="12033" max="12033" width="27.25" style="35" bestFit="1" customWidth="1"/>
    <col min="12034" max="12034" width="28.125" style="35" bestFit="1" customWidth="1"/>
    <col min="12035" max="12035" width="23.875" style="35" bestFit="1" customWidth="1"/>
    <col min="12036" max="12036" width="20" style="35" bestFit="1" customWidth="1"/>
    <col min="12037" max="12037" width="24.375" style="35" bestFit="1" customWidth="1"/>
    <col min="12038" max="12038" width="25.625" style="35" bestFit="1" customWidth="1"/>
    <col min="12039" max="12040" width="25.625" style="35" customWidth="1"/>
    <col min="12041" max="12288" width="9" style="35"/>
    <col min="12289" max="12289" width="27.25" style="35" bestFit="1" customWidth="1"/>
    <col min="12290" max="12290" width="28.125" style="35" bestFit="1" customWidth="1"/>
    <col min="12291" max="12291" width="23.875" style="35" bestFit="1" customWidth="1"/>
    <col min="12292" max="12292" width="20" style="35" bestFit="1" customWidth="1"/>
    <col min="12293" max="12293" width="24.375" style="35" bestFit="1" customWidth="1"/>
    <col min="12294" max="12294" width="25.625" style="35" bestFit="1" customWidth="1"/>
    <col min="12295" max="12296" width="25.625" style="35" customWidth="1"/>
    <col min="12297" max="12544" width="9" style="35"/>
    <col min="12545" max="12545" width="27.25" style="35" bestFit="1" customWidth="1"/>
    <col min="12546" max="12546" width="28.125" style="35" bestFit="1" customWidth="1"/>
    <col min="12547" max="12547" width="23.875" style="35" bestFit="1" customWidth="1"/>
    <col min="12548" max="12548" width="20" style="35" bestFit="1" customWidth="1"/>
    <col min="12549" max="12549" width="24.375" style="35" bestFit="1" customWidth="1"/>
    <col min="12550" max="12550" width="25.625" style="35" bestFit="1" customWidth="1"/>
    <col min="12551" max="12552" width="25.625" style="35" customWidth="1"/>
    <col min="12553" max="12800" width="9" style="35"/>
    <col min="12801" max="12801" width="27.25" style="35" bestFit="1" customWidth="1"/>
    <col min="12802" max="12802" width="28.125" style="35" bestFit="1" customWidth="1"/>
    <col min="12803" max="12803" width="23.875" style="35" bestFit="1" customWidth="1"/>
    <col min="12804" max="12804" width="20" style="35" bestFit="1" customWidth="1"/>
    <col min="12805" max="12805" width="24.375" style="35" bestFit="1" customWidth="1"/>
    <col min="12806" max="12806" width="25.625" style="35" bestFit="1" customWidth="1"/>
    <col min="12807" max="12808" width="25.625" style="35" customWidth="1"/>
    <col min="12809" max="13056" width="9" style="35"/>
    <col min="13057" max="13057" width="27.25" style="35" bestFit="1" customWidth="1"/>
    <col min="13058" max="13058" width="28.125" style="35" bestFit="1" customWidth="1"/>
    <col min="13059" max="13059" width="23.875" style="35" bestFit="1" customWidth="1"/>
    <col min="13060" max="13060" width="20" style="35" bestFit="1" customWidth="1"/>
    <col min="13061" max="13061" width="24.375" style="35" bestFit="1" customWidth="1"/>
    <col min="13062" max="13062" width="25.625" style="35" bestFit="1" customWidth="1"/>
    <col min="13063" max="13064" width="25.625" style="35" customWidth="1"/>
    <col min="13065" max="13312" width="9" style="35"/>
    <col min="13313" max="13313" width="27.25" style="35" bestFit="1" customWidth="1"/>
    <col min="13314" max="13314" width="28.125" style="35" bestFit="1" customWidth="1"/>
    <col min="13315" max="13315" width="23.875" style="35" bestFit="1" customWidth="1"/>
    <col min="13316" max="13316" width="20" style="35" bestFit="1" customWidth="1"/>
    <col min="13317" max="13317" width="24.375" style="35" bestFit="1" customWidth="1"/>
    <col min="13318" max="13318" width="25.625" style="35" bestFit="1" customWidth="1"/>
    <col min="13319" max="13320" width="25.625" style="35" customWidth="1"/>
    <col min="13321" max="13568" width="9" style="35"/>
    <col min="13569" max="13569" width="27.25" style="35" bestFit="1" customWidth="1"/>
    <col min="13570" max="13570" width="28.125" style="35" bestFit="1" customWidth="1"/>
    <col min="13571" max="13571" width="23.875" style="35" bestFit="1" customWidth="1"/>
    <col min="13572" max="13572" width="20" style="35" bestFit="1" customWidth="1"/>
    <col min="13573" max="13573" width="24.375" style="35" bestFit="1" customWidth="1"/>
    <col min="13574" max="13574" width="25.625" style="35" bestFit="1" customWidth="1"/>
    <col min="13575" max="13576" width="25.625" style="35" customWidth="1"/>
    <col min="13577" max="13824" width="9" style="35"/>
    <col min="13825" max="13825" width="27.25" style="35" bestFit="1" customWidth="1"/>
    <col min="13826" max="13826" width="28.125" style="35" bestFit="1" customWidth="1"/>
    <col min="13827" max="13827" width="23.875" style="35" bestFit="1" customWidth="1"/>
    <col min="13828" max="13828" width="20" style="35" bestFit="1" customWidth="1"/>
    <col min="13829" max="13829" width="24.375" style="35" bestFit="1" customWidth="1"/>
    <col min="13830" max="13830" width="25.625" style="35" bestFit="1" customWidth="1"/>
    <col min="13831" max="13832" width="25.625" style="35" customWidth="1"/>
    <col min="13833" max="14080" width="9" style="35"/>
    <col min="14081" max="14081" width="27.25" style="35" bestFit="1" customWidth="1"/>
    <col min="14082" max="14082" width="28.125" style="35" bestFit="1" customWidth="1"/>
    <col min="14083" max="14083" width="23.875" style="35" bestFit="1" customWidth="1"/>
    <col min="14084" max="14084" width="20" style="35" bestFit="1" customWidth="1"/>
    <col min="14085" max="14085" width="24.375" style="35" bestFit="1" customWidth="1"/>
    <col min="14086" max="14086" width="25.625" style="35" bestFit="1" customWidth="1"/>
    <col min="14087" max="14088" width="25.625" style="35" customWidth="1"/>
    <col min="14089" max="14336" width="9" style="35"/>
    <col min="14337" max="14337" width="27.25" style="35" bestFit="1" customWidth="1"/>
    <col min="14338" max="14338" width="28.125" style="35" bestFit="1" customWidth="1"/>
    <col min="14339" max="14339" width="23.875" style="35" bestFit="1" customWidth="1"/>
    <col min="14340" max="14340" width="20" style="35" bestFit="1" customWidth="1"/>
    <col min="14341" max="14341" width="24.375" style="35" bestFit="1" customWidth="1"/>
    <col min="14342" max="14342" width="25.625" style="35" bestFit="1" customWidth="1"/>
    <col min="14343" max="14344" width="25.625" style="35" customWidth="1"/>
    <col min="14345" max="14592" width="9" style="35"/>
    <col min="14593" max="14593" width="27.25" style="35" bestFit="1" customWidth="1"/>
    <col min="14594" max="14594" width="28.125" style="35" bestFit="1" customWidth="1"/>
    <col min="14595" max="14595" width="23.875" style="35" bestFit="1" customWidth="1"/>
    <col min="14596" max="14596" width="20" style="35" bestFit="1" customWidth="1"/>
    <col min="14597" max="14597" width="24.375" style="35" bestFit="1" customWidth="1"/>
    <col min="14598" max="14598" width="25.625" style="35" bestFit="1" customWidth="1"/>
    <col min="14599" max="14600" width="25.625" style="35" customWidth="1"/>
    <col min="14601" max="14848" width="9" style="35"/>
    <col min="14849" max="14849" width="27.25" style="35" bestFit="1" customWidth="1"/>
    <col min="14850" max="14850" width="28.125" style="35" bestFit="1" customWidth="1"/>
    <col min="14851" max="14851" width="23.875" style="35" bestFit="1" customWidth="1"/>
    <col min="14852" max="14852" width="20" style="35" bestFit="1" customWidth="1"/>
    <col min="14853" max="14853" width="24.375" style="35" bestFit="1" customWidth="1"/>
    <col min="14854" max="14854" width="25.625" style="35" bestFit="1" customWidth="1"/>
    <col min="14855" max="14856" width="25.625" style="35" customWidth="1"/>
    <col min="14857" max="15104" width="9" style="35"/>
    <col min="15105" max="15105" width="27.25" style="35" bestFit="1" customWidth="1"/>
    <col min="15106" max="15106" width="28.125" style="35" bestFit="1" customWidth="1"/>
    <col min="15107" max="15107" width="23.875" style="35" bestFit="1" customWidth="1"/>
    <col min="15108" max="15108" width="20" style="35" bestFit="1" customWidth="1"/>
    <col min="15109" max="15109" width="24.375" style="35" bestFit="1" customWidth="1"/>
    <col min="15110" max="15110" width="25.625" style="35" bestFit="1" customWidth="1"/>
    <col min="15111" max="15112" width="25.625" style="35" customWidth="1"/>
    <col min="15113" max="15360" width="9" style="35"/>
    <col min="15361" max="15361" width="27.25" style="35" bestFit="1" customWidth="1"/>
    <col min="15362" max="15362" width="28.125" style="35" bestFit="1" customWidth="1"/>
    <col min="15363" max="15363" width="23.875" style="35" bestFit="1" customWidth="1"/>
    <col min="15364" max="15364" width="20" style="35" bestFit="1" customWidth="1"/>
    <col min="15365" max="15365" width="24.375" style="35" bestFit="1" customWidth="1"/>
    <col min="15366" max="15366" width="25.625" style="35" bestFit="1" customWidth="1"/>
    <col min="15367" max="15368" width="25.625" style="35" customWidth="1"/>
    <col min="15369" max="15616" width="9" style="35"/>
    <col min="15617" max="15617" width="27.25" style="35" bestFit="1" customWidth="1"/>
    <col min="15618" max="15618" width="28.125" style="35" bestFit="1" customWidth="1"/>
    <col min="15619" max="15619" width="23.875" style="35" bestFit="1" customWidth="1"/>
    <col min="15620" max="15620" width="20" style="35" bestFit="1" customWidth="1"/>
    <col min="15621" max="15621" width="24.375" style="35" bestFit="1" customWidth="1"/>
    <col min="15622" max="15622" width="25.625" style="35" bestFit="1" customWidth="1"/>
    <col min="15623" max="15624" width="25.625" style="35" customWidth="1"/>
    <col min="15625" max="15872" width="9" style="35"/>
    <col min="15873" max="15873" width="27.25" style="35" bestFit="1" customWidth="1"/>
    <col min="15874" max="15874" width="28.125" style="35" bestFit="1" customWidth="1"/>
    <col min="15875" max="15875" width="23.875" style="35" bestFit="1" customWidth="1"/>
    <col min="15876" max="15876" width="20" style="35" bestFit="1" customWidth="1"/>
    <col min="15877" max="15877" width="24.375" style="35" bestFit="1" customWidth="1"/>
    <col min="15878" max="15878" width="25.625" style="35" bestFit="1" customWidth="1"/>
    <col min="15879" max="15880" width="25.625" style="35" customWidth="1"/>
    <col min="15881" max="16128" width="9" style="35"/>
    <col min="16129" max="16129" width="27.25" style="35" bestFit="1" customWidth="1"/>
    <col min="16130" max="16130" width="28.125" style="35" bestFit="1" customWidth="1"/>
    <col min="16131" max="16131" width="23.875" style="35" bestFit="1" customWidth="1"/>
    <col min="16132" max="16132" width="20" style="35" bestFit="1" customWidth="1"/>
    <col min="16133" max="16133" width="24.375" style="35" bestFit="1" customWidth="1"/>
    <col min="16134" max="16134" width="25.625" style="35" bestFit="1" customWidth="1"/>
    <col min="16135" max="16136" width="25.625" style="35" customWidth="1"/>
    <col min="16137" max="16384" width="9" style="35"/>
  </cols>
  <sheetData>
    <row r="1" spans="1:8" x14ac:dyDescent="0.15">
      <c r="A1" s="34" t="s">
        <v>433</v>
      </c>
    </row>
    <row r="2" spans="1:8" x14ac:dyDescent="0.15">
      <c r="A2" s="36" t="s">
        <v>434</v>
      </c>
    </row>
    <row r="3" spans="1:8" x14ac:dyDescent="0.15">
      <c r="A3" s="34" t="s">
        <v>435</v>
      </c>
      <c r="B3" s="34" t="s">
        <v>436</v>
      </c>
      <c r="C3" s="34" t="s">
        <v>437</v>
      </c>
      <c r="D3" s="34" t="s">
        <v>438</v>
      </c>
      <c r="E3" s="34" t="s">
        <v>439</v>
      </c>
      <c r="F3" s="34" t="s">
        <v>440</v>
      </c>
      <c r="G3" s="34" t="s">
        <v>441</v>
      </c>
      <c r="H3" s="34" t="s">
        <v>442</v>
      </c>
    </row>
    <row r="4" spans="1:8" x14ac:dyDescent="0.15">
      <c r="A4" s="36">
        <v>2</v>
      </c>
      <c r="B4" s="36">
        <v>1</v>
      </c>
      <c r="C4" s="36">
        <v>21</v>
      </c>
      <c r="D4" s="36">
        <v>1</v>
      </c>
      <c r="E4" s="36">
        <v>6</v>
      </c>
      <c r="F4" s="36">
        <v>2</v>
      </c>
      <c r="G4" s="36">
        <v>9.5649999999999995</v>
      </c>
      <c r="H4" s="36">
        <v>5</v>
      </c>
    </row>
    <row r="5" spans="1:8" x14ac:dyDescent="0.15">
      <c r="A5" s="34" t="s">
        <v>443</v>
      </c>
    </row>
    <row r="6" spans="1:8" x14ac:dyDescent="0.15">
      <c r="A6" s="34" t="s">
        <v>444</v>
      </c>
      <c r="B6" s="37" t="s">
        <v>445</v>
      </c>
    </row>
    <row r="7" spans="1:8" x14ac:dyDescent="0.15">
      <c r="A7" s="34" t="s">
        <v>446</v>
      </c>
      <c r="B7" s="34" t="s">
        <v>447</v>
      </c>
      <c r="C7" s="34" t="s">
        <v>448</v>
      </c>
      <c r="D7" s="37" t="s">
        <v>445</v>
      </c>
      <c r="E7" s="37"/>
    </row>
    <row r="8" spans="1:8" x14ac:dyDescent="0.15">
      <c r="A8" s="36">
        <v>1</v>
      </c>
      <c r="B8" s="36"/>
      <c r="C8" s="36"/>
      <c r="D8" s="37" t="s">
        <v>445</v>
      </c>
    </row>
    <row r="9" spans="1:8" x14ac:dyDescent="0.15">
      <c r="A9" s="36">
        <v>2</v>
      </c>
      <c r="B9" s="36"/>
      <c r="C9" s="36"/>
      <c r="D9" s="37" t="s">
        <v>445</v>
      </c>
    </row>
    <row r="10" spans="1:8" x14ac:dyDescent="0.15">
      <c r="A10" s="36">
        <v>3</v>
      </c>
      <c r="B10" s="36"/>
      <c r="C10" s="36"/>
      <c r="D10" s="37" t="s">
        <v>445</v>
      </c>
    </row>
    <row r="11" spans="1:8" x14ac:dyDescent="0.15">
      <c r="A11" s="36">
        <v>4</v>
      </c>
      <c r="B11" s="36"/>
      <c r="C11" s="36"/>
      <c r="D11" s="37" t="s">
        <v>445</v>
      </c>
    </row>
    <row r="12" spans="1:8" x14ac:dyDescent="0.15">
      <c r="A12" s="36">
        <v>5</v>
      </c>
      <c r="B12" s="36"/>
      <c r="C12" s="36"/>
      <c r="D12" s="37" t="s">
        <v>445</v>
      </c>
    </row>
    <row r="13" spans="1:8" x14ac:dyDescent="0.15">
      <c r="A13" s="36">
        <v>6</v>
      </c>
      <c r="B13" s="36"/>
      <c r="C13" s="36"/>
      <c r="D13" s="37" t="s">
        <v>445</v>
      </c>
    </row>
    <row r="15" spans="1:8" x14ac:dyDescent="0.15">
      <c r="A15" s="34" t="s">
        <v>449</v>
      </c>
    </row>
    <row r="16" spans="1:8" x14ac:dyDescent="0.15">
      <c r="A16" s="34" t="s">
        <v>450</v>
      </c>
    </row>
    <row r="17" spans="1:7" x14ac:dyDescent="0.15">
      <c r="A17" s="34" t="s">
        <v>451</v>
      </c>
      <c r="B17" s="34" t="s">
        <v>452</v>
      </c>
      <c r="C17" s="34" t="s">
        <v>453</v>
      </c>
      <c r="D17" s="34" t="s">
        <v>454</v>
      </c>
      <c r="E17" s="34" t="s">
        <v>455</v>
      </c>
      <c r="F17" s="34" t="s">
        <v>456</v>
      </c>
      <c r="G17" s="34" t="s">
        <v>457</v>
      </c>
    </row>
    <row r="18" spans="1:7" x14ac:dyDescent="0.15">
      <c r="A18" s="34" t="s">
        <v>458</v>
      </c>
      <c r="B18" s="36"/>
      <c r="C18" s="36"/>
      <c r="D18" s="36"/>
      <c r="E18" s="36"/>
      <c r="F18" s="36"/>
      <c r="G18" s="36"/>
    </row>
    <row r="19" spans="1:7" x14ac:dyDescent="0.15">
      <c r="A19" s="34" t="s">
        <v>459</v>
      </c>
      <c r="B19" s="36"/>
      <c r="C19" s="36"/>
      <c r="D19" s="36"/>
      <c r="E19" s="36"/>
      <c r="F19" s="36"/>
      <c r="G19" s="36"/>
    </row>
    <row r="20" spans="1:7" x14ac:dyDescent="0.15">
      <c r="A20" s="34" t="s">
        <v>460</v>
      </c>
      <c r="B20" s="36"/>
      <c r="C20" s="36"/>
      <c r="D20" s="36"/>
      <c r="E20" s="36"/>
      <c r="F20" s="36"/>
      <c r="G20" s="36"/>
    </row>
    <row r="21" spans="1:7" x14ac:dyDescent="0.15">
      <c r="A21" s="34" t="s">
        <v>461</v>
      </c>
      <c r="B21" s="36"/>
      <c r="C21" s="36"/>
      <c r="D21" s="36"/>
      <c r="E21" s="36"/>
      <c r="F21" s="36"/>
      <c r="G21" s="36"/>
    </row>
    <row r="22" spans="1:7" x14ac:dyDescent="0.15">
      <c r="A22" s="34" t="s">
        <v>462</v>
      </c>
      <c r="B22" s="36"/>
      <c r="C22" s="36"/>
      <c r="D22" s="36"/>
      <c r="E22" s="36"/>
      <c r="F22" s="36"/>
      <c r="G22" s="36"/>
    </row>
    <row r="23" spans="1:7" x14ac:dyDescent="0.15">
      <c r="A23" s="38"/>
    </row>
    <row r="24" spans="1:7" x14ac:dyDescent="0.15">
      <c r="A24" s="34" t="s">
        <v>463</v>
      </c>
    </row>
    <row r="25" spans="1:7" x14ac:dyDescent="0.15">
      <c r="A25" s="34" t="s">
        <v>451</v>
      </c>
      <c r="B25" s="34" t="s">
        <v>482</v>
      </c>
      <c r="C25" s="34" t="s">
        <v>453</v>
      </c>
      <c r="D25" s="34" t="s">
        <v>464</v>
      </c>
      <c r="E25" s="34" t="s">
        <v>456</v>
      </c>
      <c r="F25" s="34" t="s">
        <v>483</v>
      </c>
      <c r="G25" s="40" t="s">
        <v>484</v>
      </c>
    </row>
    <row r="26" spans="1:7" x14ac:dyDescent="0.15">
      <c r="A26" s="34" t="s">
        <v>458</v>
      </c>
      <c r="B26" s="36"/>
      <c r="C26" s="36"/>
      <c r="D26" s="36"/>
      <c r="E26" s="36"/>
      <c r="F26" s="36"/>
    </row>
    <row r="27" spans="1:7" x14ac:dyDescent="0.15">
      <c r="A27" s="34" t="s">
        <v>459</v>
      </c>
      <c r="B27" s="36"/>
      <c r="C27" s="36"/>
      <c r="D27" s="36"/>
      <c r="E27" s="36"/>
      <c r="F27" s="36"/>
    </row>
    <row r="28" spans="1:7" x14ac:dyDescent="0.15">
      <c r="A28" s="34" t="s">
        <v>460</v>
      </c>
      <c r="B28" s="36"/>
      <c r="C28" s="36"/>
      <c r="D28" s="36"/>
      <c r="E28" s="36"/>
      <c r="F28" s="36"/>
    </row>
    <row r="29" spans="1:7" x14ac:dyDescent="0.15">
      <c r="A29" s="34" t="s">
        <v>461</v>
      </c>
      <c r="B29" s="36"/>
      <c r="C29" s="36"/>
      <c r="D29" s="36"/>
      <c r="E29" s="36"/>
      <c r="F29" s="36"/>
    </row>
    <row r="30" spans="1:7" x14ac:dyDescent="0.15">
      <c r="A30" s="34" t="s">
        <v>462</v>
      </c>
      <c r="B30" s="36"/>
      <c r="C30" s="36"/>
      <c r="D30" s="36"/>
      <c r="E30" s="36"/>
      <c r="F30" s="36"/>
    </row>
    <row r="32" spans="1:7" x14ac:dyDescent="0.15">
      <c r="A32" s="34" t="s">
        <v>466</v>
      </c>
    </row>
    <row r="33" spans="1:4" x14ac:dyDescent="0.15">
      <c r="A33" s="34" t="s">
        <v>451</v>
      </c>
      <c r="B33" s="34" t="s">
        <v>467</v>
      </c>
      <c r="C33" s="34" t="s">
        <v>468</v>
      </c>
      <c r="D33" s="34" t="s">
        <v>469</v>
      </c>
    </row>
    <row r="34" spans="1:4" x14ac:dyDescent="0.15">
      <c r="A34" s="34" t="s">
        <v>458</v>
      </c>
      <c r="B34" s="36"/>
      <c r="C34" s="36"/>
      <c r="D34" s="36"/>
    </row>
    <row r="35" spans="1:4" x14ac:dyDescent="0.15">
      <c r="A35" s="34" t="s">
        <v>459</v>
      </c>
      <c r="B35" s="36"/>
      <c r="C35" s="36"/>
      <c r="D35" s="36"/>
    </row>
    <row r="36" spans="1:4" x14ac:dyDescent="0.15">
      <c r="A36" s="34" t="s">
        <v>460</v>
      </c>
      <c r="B36" s="36"/>
      <c r="C36" s="36"/>
      <c r="D36" s="36"/>
    </row>
    <row r="37" spans="1:4" x14ac:dyDescent="0.15">
      <c r="A37" s="34" t="s">
        <v>461</v>
      </c>
      <c r="B37" s="36"/>
      <c r="C37" s="36"/>
      <c r="D37" s="36"/>
    </row>
    <row r="38" spans="1:4" x14ac:dyDescent="0.15">
      <c r="A38" s="34" t="s">
        <v>462</v>
      </c>
      <c r="B38" s="36"/>
      <c r="C38" s="36"/>
      <c r="D38" s="36"/>
    </row>
    <row r="39" spans="1:4" x14ac:dyDescent="0.15">
      <c r="A39" s="38"/>
    </row>
    <row r="40" spans="1:4" x14ac:dyDescent="0.15">
      <c r="A40" s="34" t="s">
        <v>470</v>
      </c>
    </row>
    <row r="41" spans="1:4" x14ac:dyDescent="0.15">
      <c r="A41" s="34" t="s">
        <v>451</v>
      </c>
      <c r="B41" s="34" t="s">
        <v>471</v>
      </c>
    </row>
    <row r="42" spans="1:4" x14ac:dyDescent="0.15">
      <c r="A42" s="34" t="s">
        <v>458</v>
      </c>
      <c r="B42" s="36"/>
    </row>
    <row r="43" spans="1:4" x14ac:dyDescent="0.15">
      <c r="A43" s="34" t="s">
        <v>459</v>
      </c>
      <c r="B43" s="36"/>
    </row>
    <row r="44" spans="1:4" x14ac:dyDescent="0.15">
      <c r="A44" s="34" t="s">
        <v>460</v>
      </c>
      <c r="B44" s="36"/>
    </row>
    <row r="45" spans="1:4" x14ac:dyDescent="0.15">
      <c r="A45" s="34" t="s">
        <v>461</v>
      </c>
      <c r="B45" s="36"/>
    </row>
    <row r="46" spans="1:4" x14ac:dyDescent="0.15">
      <c r="A46" s="34" t="s">
        <v>462</v>
      </c>
      <c r="B46" s="36"/>
    </row>
    <row r="48" spans="1:4" x14ac:dyDescent="0.15">
      <c r="A48" s="34" t="s">
        <v>472</v>
      </c>
    </row>
    <row r="49" spans="1:7" x14ac:dyDescent="0.15">
      <c r="A49" s="39" t="s">
        <v>450</v>
      </c>
    </row>
    <row r="50" spans="1:7" x14ac:dyDescent="0.15">
      <c r="A50" s="39" t="s">
        <v>485</v>
      </c>
      <c r="B50" s="40" t="s">
        <v>486</v>
      </c>
    </row>
    <row r="51" spans="1:7" x14ac:dyDescent="0.15">
      <c r="A51" s="34" t="s">
        <v>473</v>
      </c>
      <c r="B51" s="34"/>
      <c r="C51" s="34"/>
      <c r="D51" s="34" t="s">
        <v>474</v>
      </c>
      <c r="E51" s="34"/>
      <c r="F51" s="34"/>
      <c r="G51" s="34" t="s">
        <v>475</v>
      </c>
    </row>
    <row r="52" spans="1:7" x14ac:dyDescent="0.15">
      <c r="A52" s="34" t="s">
        <v>476</v>
      </c>
      <c r="B52" s="34" t="s">
        <v>452</v>
      </c>
      <c r="C52" s="34" t="s">
        <v>477</v>
      </c>
      <c r="D52" s="34" t="s">
        <v>478</v>
      </c>
      <c r="E52" s="34" t="s">
        <v>479</v>
      </c>
      <c r="F52" s="34" t="s">
        <v>480</v>
      </c>
      <c r="G52" s="34"/>
    </row>
    <row r="53" spans="1:7" x14ac:dyDescent="0.15">
      <c r="A53" s="36"/>
      <c r="B53" s="36"/>
      <c r="C53" s="36"/>
      <c r="D53" s="36"/>
      <c r="E53" s="36"/>
      <c r="F53" s="36"/>
      <c r="G53" s="36"/>
    </row>
    <row r="54" spans="1:7" x14ac:dyDescent="0.15">
      <c r="A54" s="39" t="s">
        <v>487</v>
      </c>
      <c r="B54" s="40" t="s">
        <v>486</v>
      </c>
    </row>
    <row r="55" spans="1:7" x14ac:dyDescent="0.15">
      <c r="A55" s="34" t="s">
        <v>473</v>
      </c>
      <c r="B55" s="34"/>
      <c r="C55" s="34"/>
      <c r="D55" s="34" t="s">
        <v>474</v>
      </c>
      <c r="E55" s="34"/>
      <c r="F55" s="34"/>
      <c r="G55" s="34" t="s">
        <v>475</v>
      </c>
    </row>
    <row r="56" spans="1:7" x14ac:dyDescent="0.15">
      <c r="A56" s="34" t="s">
        <v>476</v>
      </c>
      <c r="B56" s="34" t="s">
        <v>488</v>
      </c>
      <c r="C56" s="34" t="s">
        <v>477</v>
      </c>
      <c r="D56" s="34" t="s">
        <v>478</v>
      </c>
      <c r="E56" s="34" t="s">
        <v>479</v>
      </c>
      <c r="F56" s="34" t="s">
        <v>480</v>
      </c>
      <c r="G56" s="34"/>
    </row>
    <row r="57" spans="1:7" x14ac:dyDescent="0.15">
      <c r="A57" s="36"/>
      <c r="B57" s="36"/>
      <c r="C57" s="36"/>
      <c r="D57" s="36"/>
      <c r="E57" s="36"/>
      <c r="F57" s="36"/>
      <c r="G57" s="36"/>
    </row>
    <row r="58" spans="1:7" x14ac:dyDescent="0.15">
      <c r="A58" s="41"/>
    </row>
    <row r="59" spans="1:7" x14ac:dyDescent="0.15">
      <c r="A59" s="34" t="s">
        <v>466</v>
      </c>
    </row>
    <row r="60" spans="1:7" x14ac:dyDescent="0.15">
      <c r="A60" s="34" t="s">
        <v>467</v>
      </c>
      <c r="B60" s="34" t="s">
        <v>468</v>
      </c>
      <c r="C60" s="34" t="s">
        <v>469</v>
      </c>
    </row>
    <row r="61" spans="1:7" x14ac:dyDescent="0.15">
      <c r="A61" s="36"/>
      <c r="B61" s="36"/>
      <c r="C61" s="36"/>
    </row>
    <row r="62" spans="1:7" x14ac:dyDescent="0.15">
      <c r="A62" s="38"/>
    </row>
    <row r="63" spans="1:7" x14ac:dyDescent="0.15">
      <c r="A63" s="34" t="s">
        <v>470</v>
      </c>
    </row>
    <row r="64" spans="1:7" x14ac:dyDescent="0.15">
      <c r="A64" s="34" t="s">
        <v>471</v>
      </c>
    </row>
    <row r="65" spans="1:7" x14ac:dyDescent="0.15">
      <c r="A65" s="36"/>
    </row>
    <row r="67" spans="1:7" x14ac:dyDescent="0.15">
      <c r="A67" s="34" t="s">
        <v>481</v>
      </c>
    </row>
    <row r="68" spans="1:7" x14ac:dyDescent="0.15">
      <c r="A68" s="39" t="s">
        <v>444</v>
      </c>
      <c r="B68" s="37" t="s">
        <v>445</v>
      </c>
    </row>
    <row r="69" spans="1:7" x14ac:dyDescent="0.15">
      <c r="A69" s="34" t="s">
        <v>446</v>
      </c>
      <c r="B69" s="34" t="s">
        <v>447</v>
      </c>
      <c r="C69" s="34" t="s">
        <v>448</v>
      </c>
      <c r="D69" s="37" t="s">
        <v>445</v>
      </c>
    </row>
    <row r="70" spans="1:7" x14ac:dyDescent="0.15">
      <c r="A70" s="36">
        <v>1</v>
      </c>
      <c r="B70" s="36">
        <v>0</v>
      </c>
      <c r="C70" s="36">
        <v>6</v>
      </c>
      <c r="D70" s="37" t="s">
        <v>445</v>
      </c>
    </row>
    <row r="71" spans="1:7" x14ac:dyDescent="0.15">
      <c r="A71" s="36">
        <v>2</v>
      </c>
      <c r="B71" s="36">
        <v>5</v>
      </c>
      <c r="C71" s="36">
        <v>6</v>
      </c>
      <c r="D71" s="37" t="s">
        <v>445</v>
      </c>
    </row>
    <row r="73" spans="1:7" x14ac:dyDescent="0.15">
      <c r="A73" s="34" t="s">
        <v>449</v>
      </c>
    </row>
    <row r="74" spans="1:7" x14ac:dyDescent="0.15">
      <c r="A74" s="34" t="s">
        <v>450</v>
      </c>
    </row>
    <row r="75" spans="1:7" x14ac:dyDescent="0.15">
      <c r="A75" s="34" t="s">
        <v>451</v>
      </c>
      <c r="B75" s="34" t="s">
        <v>452</v>
      </c>
      <c r="C75" s="34" t="s">
        <v>453</v>
      </c>
      <c r="D75" s="34" t="s">
        <v>454</v>
      </c>
      <c r="E75" s="34" t="s">
        <v>455</v>
      </c>
      <c r="F75" s="34" t="s">
        <v>456</v>
      </c>
      <c r="G75" s="34" t="s">
        <v>457</v>
      </c>
    </row>
    <row r="76" spans="1:7" x14ac:dyDescent="0.15">
      <c r="A76" s="34" t="s">
        <v>458</v>
      </c>
      <c r="B76" s="36"/>
      <c r="C76" s="36"/>
      <c r="D76" s="36"/>
      <c r="E76" s="36"/>
      <c r="F76" s="36"/>
      <c r="G76" s="36"/>
    </row>
    <row r="77" spans="1:7" x14ac:dyDescent="0.15">
      <c r="A77" s="34" t="s">
        <v>459</v>
      </c>
      <c r="B77" s="36"/>
      <c r="C77" s="36"/>
      <c r="D77" s="36"/>
      <c r="E77" s="36"/>
      <c r="F77" s="36"/>
      <c r="G77" s="36"/>
    </row>
    <row r="78" spans="1:7" x14ac:dyDescent="0.15">
      <c r="A78" s="34" t="s">
        <v>460</v>
      </c>
      <c r="B78" s="36"/>
      <c r="C78" s="36"/>
      <c r="D78" s="36"/>
      <c r="E78" s="36"/>
      <c r="F78" s="36"/>
      <c r="G78" s="36"/>
    </row>
    <row r="79" spans="1:7" x14ac:dyDescent="0.15">
      <c r="A79" s="34" t="s">
        <v>461</v>
      </c>
      <c r="B79" s="36"/>
      <c r="C79" s="36"/>
      <c r="D79" s="36"/>
      <c r="E79" s="36"/>
      <c r="F79" s="36"/>
      <c r="G79" s="36"/>
    </row>
    <row r="80" spans="1:7" x14ac:dyDescent="0.15">
      <c r="A80" s="34" t="s">
        <v>462</v>
      </c>
      <c r="B80" s="36"/>
      <c r="C80" s="36"/>
      <c r="D80" s="36"/>
      <c r="E80" s="36"/>
      <c r="F80" s="36"/>
      <c r="G80" s="36"/>
    </row>
    <row r="81" spans="1:7" x14ac:dyDescent="0.15">
      <c r="A81" s="38"/>
    </row>
    <row r="82" spans="1:7" x14ac:dyDescent="0.15">
      <c r="A82" s="34" t="s">
        <v>463</v>
      </c>
    </row>
    <row r="83" spans="1:7" x14ac:dyDescent="0.15">
      <c r="A83" s="34" t="s">
        <v>451</v>
      </c>
      <c r="B83" s="34" t="s">
        <v>482</v>
      </c>
      <c r="C83" s="34" t="s">
        <v>453</v>
      </c>
      <c r="D83" s="34" t="s">
        <v>464</v>
      </c>
      <c r="E83" s="34" t="s">
        <v>456</v>
      </c>
      <c r="F83" s="34" t="s">
        <v>483</v>
      </c>
      <c r="G83" s="40" t="s">
        <v>484</v>
      </c>
    </row>
    <row r="84" spans="1:7" x14ac:dyDescent="0.15">
      <c r="A84" s="34" t="s">
        <v>458</v>
      </c>
      <c r="B84" s="36"/>
      <c r="C84" s="36"/>
      <c r="D84" s="36"/>
      <c r="E84" s="36"/>
      <c r="F84" s="36"/>
    </row>
    <row r="85" spans="1:7" x14ac:dyDescent="0.15">
      <c r="A85" s="34" t="s">
        <v>459</v>
      </c>
      <c r="B85" s="36"/>
      <c r="C85" s="36"/>
      <c r="D85" s="36"/>
      <c r="E85" s="36"/>
      <c r="F85" s="36"/>
    </row>
    <row r="86" spans="1:7" x14ac:dyDescent="0.15">
      <c r="A86" s="34" t="s">
        <v>460</v>
      </c>
      <c r="B86" s="36"/>
      <c r="C86" s="36"/>
      <c r="D86" s="36"/>
      <c r="E86" s="36"/>
      <c r="F86" s="36"/>
    </row>
    <row r="87" spans="1:7" x14ac:dyDescent="0.15">
      <c r="A87" s="34" t="s">
        <v>461</v>
      </c>
      <c r="B87" s="36"/>
      <c r="C87" s="36"/>
      <c r="D87" s="36"/>
      <c r="E87" s="36"/>
      <c r="F87" s="36"/>
    </row>
    <row r="88" spans="1:7" x14ac:dyDescent="0.15">
      <c r="A88" s="34" t="s">
        <v>462</v>
      </c>
      <c r="B88" s="36"/>
      <c r="C88" s="36"/>
      <c r="D88" s="36"/>
      <c r="E88" s="36"/>
      <c r="F88" s="36"/>
    </row>
    <row r="90" spans="1:7" x14ac:dyDescent="0.15">
      <c r="A90" s="34" t="s">
        <v>466</v>
      </c>
    </row>
    <row r="91" spans="1:7" x14ac:dyDescent="0.15">
      <c r="A91" s="34" t="s">
        <v>451</v>
      </c>
      <c r="B91" s="34" t="s">
        <v>467</v>
      </c>
      <c r="C91" s="34" t="s">
        <v>468</v>
      </c>
      <c r="D91" s="34" t="s">
        <v>469</v>
      </c>
    </row>
    <row r="92" spans="1:7" x14ac:dyDescent="0.15">
      <c r="A92" s="34" t="s">
        <v>458</v>
      </c>
      <c r="B92" s="36"/>
      <c r="C92" s="36"/>
      <c r="D92" s="36"/>
    </row>
    <row r="93" spans="1:7" x14ac:dyDescent="0.15">
      <c r="A93" s="34" t="s">
        <v>459</v>
      </c>
      <c r="B93" s="36"/>
      <c r="C93" s="36"/>
      <c r="D93" s="36"/>
    </row>
    <row r="94" spans="1:7" x14ac:dyDescent="0.15">
      <c r="A94" s="34" t="s">
        <v>460</v>
      </c>
      <c r="B94" s="36"/>
      <c r="C94" s="36"/>
      <c r="D94" s="36"/>
    </row>
    <row r="95" spans="1:7" x14ac:dyDescent="0.15">
      <c r="A95" s="34" t="s">
        <v>461</v>
      </c>
      <c r="B95" s="36"/>
      <c r="C95" s="36"/>
      <c r="D95" s="36"/>
    </row>
    <row r="96" spans="1:7" x14ac:dyDescent="0.15">
      <c r="A96" s="34" t="s">
        <v>462</v>
      </c>
      <c r="B96" s="36"/>
      <c r="C96" s="36"/>
      <c r="D96" s="36"/>
    </row>
    <row r="97" spans="1:7" x14ac:dyDescent="0.15">
      <c r="A97" s="38"/>
    </row>
    <row r="98" spans="1:7" x14ac:dyDescent="0.15">
      <c r="A98" s="34" t="s">
        <v>470</v>
      </c>
    </row>
    <row r="99" spans="1:7" x14ac:dyDescent="0.15">
      <c r="A99" s="34" t="s">
        <v>451</v>
      </c>
      <c r="B99" s="34" t="s">
        <v>471</v>
      </c>
    </row>
    <row r="100" spans="1:7" x14ac:dyDescent="0.15">
      <c r="A100" s="34" t="s">
        <v>458</v>
      </c>
      <c r="B100" s="36"/>
    </row>
    <row r="101" spans="1:7" x14ac:dyDescent="0.15">
      <c r="A101" s="34" t="s">
        <v>459</v>
      </c>
      <c r="B101" s="36"/>
    </row>
    <row r="102" spans="1:7" x14ac:dyDescent="0.15">
      <c r="A102" s="34" t="s">
        <v>460</v>
      </c>
      <c r="B102" s="36"/>
    </row>
    <row r="103" spans="1:7" x14ac:dyDescent="0.15">
      <c r="A103" s="34" t="s">
        <v>461</v>
      </c>
      <c r="B103" s="36"/>
    </row>
    <row r="104" spans="1:7" x14ac:dyDescent="0.15">
      <c r="A104" s="34" t="s">
        <v>462</v>
      </c>
      <c r="B104" s="36"/>
    </row>
    <row r="106" spans="1:7" x14ac:dyDescent="0.15">
      <c r="A106" s="34" t="s">
        <v>472</v>
      </c>
    </row>
    <row r="107" spans="1:7" x14ac:dyDescent="0.15">
      <c r="A107" s="39" t="s">
        <v>450</v>
      </c>
    </row>
    <row r="108" spans="1:7" x14ac:dyDescent="0.15">
      <c r="A108" s="39" t="s">
        <v>485</v>
      </c>
      <c r="B108" s="40" t="s">
        <v>486</v>
      </c>
    </row>
    <row r="109" spans="1:7" x14ac:dyDescent="0.15">
      <c r="A109" s="34" t="s">
        <v>473</v>
      </c>
      <c r="B109" s="34"/>
      <c r="C109" s="34"/>
      <c r="D109" s="34" t="s">
        <v>474</v>
      </c>
      <c r="E109" s="34"/>
      <c r="F109" s="34"/>
      <c r="G109" s="34" t="s">
        <v>475</v>
      </c>
    </row>
    <row r="110" spans="1:7" x14ac:dyDescent="0.15">
      <c r="A110" s="34" t="s">
        <v>476</v>
      </c>
      <c r="B110" s="34" t="s">
        <v>452</v>
      </c>
      <c r="C110" s="34" t="s">
        <v>477</v>
      </c>
      <c r="D110" s="34" t="s">
        <v>478</v>
      </c>
      <c r="E110" s="34" t="s">
        <v>479</v>
      </c>
      <c r="F110" s="34" t="s">
        <v>480</v>
      </c>
      <c r="G110" s="34"/>
    </row>
    <row r="111" spans="1:7" x14ac:dyDescent="0.15">
      <c r="A111" s="36"/>
      <c r="B111" s="36"/>
      <c r="C111" s="36"/>
      <c r="D111" s="36"/>
      <c r="E111" s="36"/>
      <c r="F111" s="36"/>
      <c r="G111" s="36"/>
    </row>
    <row r="112" spans="1:7" x14ac:dyDescent="0.15">
      <c r="A112" s="39" t="s">
        <v>487</v>
      </c>
      <c r="B112" s="40" t="s">
        <v>486</v>
      </c>
    </row>
    <row r="113" spans="1:7" x14ac:dyDescent="0.15">
      <c r="A113" s="34" t="s">
        <v>473</v>
      </c>
      <c r="B113" s="34"/>
      <c r="C113" s="34"/>
      <c r="D113" s="34" t="s">
        <v>474</v>
      </c>
      <c r="E113" s="34"/>
      <c r="F113" s="34"/>
      <c r="G113" s="34" t="s">
        <v>475</v>
      </c>
    </row>
    <row r="114" spans="1:7" x14ac:dyDescent="0.15">
      <c r="A114" s="34" t="s">
        <v>476</v>
      </c>
      <c r="B114" s="34" t="s">
        <v>488</v>
      </c>
      <c r="C114" s="34" t="s">
        <v>477</v>
      </c>
      <c r="D114" s="34" t="s">
        <v>478</v>
      </c>
      <c r="E114" s="34" t="s">
        <v>479</v>
      </c>
      <c r="F114" s="34" t="s">
        <v>480</v>
      </c>
      <c r="G114" s="34"/>
    </row>
    <row r="115" spans="1:7" x14ac:dyDescent="0.15">
      <c r="A115" s="36"/>
      <c r="B115" s="36"/>
      <c r="C115" s="36"/>
      <c r="D115" s="36"/>
      <c r="E115" s="36"/>
      <c r="F115" s="36"/>
      <c r="G115" s="36"/>
    </row>
    <row r="116" spans="1:7" x14ac:dyDescent="0.15">
      <c r="A116" s="41"/>
    </row>
    <row r="117" spans="1:7" x14ac:dyDescent="0.15">
      <c r="A117" s="34" t="s">
        <v>466</v>
      </c>
    </row>
    <row r="118" spans="1:7" x14ac:dyDescent="0.15">
      <c r="A118" s="34" t="s">
        <v>467</v>
      </c>
      <c r="B118" s="34" t="s">
        <v>468</v>
      </c>
      <c r="C118" s="34" t="s">
        <v>469</v>
      </c>
    </row>
    <row r="119" spans="1:7" x14ac:dyDescent="0.15">
      <c r="A119" s="36"/>
      <c r="B119" s="36"/>
      <c r="C119" s="36"/>
    </row>
    <row r="120" spans="1:7" x14ac:dyDescent="0.15">
      <c r="A120" s="38"/>
    </row>
    <row r="121" spans="1:7" x14ac:dyDescent="0.15">
      <c r="A121" s="34" t="s">
        <v>470</v>
      </c>
    </row>
    <row r="122" spans="1:7" x14ac:dyDescent="0.15">
      <c r="A122" s="34" t="s">
        <v>471</v>
      </c>
    </row>
    <row r="123" spans="1:7" x14ac:dyDescent="0.15">
      <c r="A123" s="36"/>
    </row>
  </sheetData>
  <phoneticPr fontId="1"/>
  <pageMargins left="0.7" right="0.7" top="0.75" bottom="0.75" header="0.3" footer="0.3"/>
  <pageSetup paperSize="9" scale="44" orientation="portrait"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C33D6702-8C08-407C-AC1B-6AD826B49447}">
  <ds:schemaRefs>
    <ds:schemaRef ds:uri="http://schemas.microsoft.com/SolverFoundationForExcel/Version"/>
  </ds:schemaRefs>
</ds:datastoreItem>
</file>

<file path=customXml/itemProps2.xml><?xml version="1.0" encoding="utf-8"?>
<ds:datastoreItem xmlns:ds="http://schemas.openxmlformats.org/officeDocument/2006/customXml" ds:itemID="{11C155C1-1291-47F7-A039-8880775231D0}">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162</vt:i4>
      </vt:variant>
    </vt:vector>
  </HeadingPairs>
  <TitlesOfParts>
    <vt:vector size="168" baseType="lpstr">
      <vt:lpstr>ご利用方法</vt:lpstr>
      <vt:lpstr>入力</vt:lpstr>
      <vt:lpstr>場所打ち杭</vt:lpstr>
      <vt:lpstr>場所打ち杭 (2)</vt:lpstr>
      <vt:lpstr>標準</vt:lpstr>
      <vt:lpstr>回転杭</vt:lpstr>
      <vt:lpstr>入力!DF</vt:lpstr>
      <vt:lpstr>入力!N値</vt:lpstr>
      <vt:lpstr>場所打ち杭!Print_Area</vt:lpstr>
      <vt:lpstr>'場所打ち杭 (2)'!Print_Area</vt:lpstr>
      <vt:lpstr>場所打ち杭!β1_線路</vt:lpstr>
      <vt:lpstr>'場所打ち杭 (2)'!β1_線路</vt:lpstr>
      <vt:lpstr>場所打ち杭!β1_線路液状L1</vt:lpstr>
      <vt:lpstr>'場所打ち杭 (2)'!β1_線路液状L1</vt:lpstr>
      <vt:lpstr>場所打ち杭!β1_線路液状L2</vt:lpstr>
      <vt:lpstr>'場所打ち杭 (2)'!β1_線路液状L2</vt:lpstr>
      <vt:lpstr>場所打ち杭!β1_直角</vt:lpstr>
      <vt:lpstr>'場所打ち杭 (2)'!β1_直角</vt:lpstr>
      <vt:lpstr>場所打ち杭!β1_直角液状L1</vt:lpstr>
      <vt:lpstr>'場所打ち杭 (2)'!β1_直角液状L1</vt:lpstr>
      <vt:lpstr>場所打ち杭!β1_直角液状L2</vt:lpstr>
      <vt:lpstr>'場所打ち杭 (2)'!β1_直角液状L2</vt:lpstr>
      <vt:lpstr>場所打ち杭!βL_線路</vt:lpstr>
      <vt:lpstr>'場所打ち杭 (2)'!βL_線路</vt:lpstr>
      <vt:lpstr>場所打ち杭!βL_線路液状L1</vt:lpstr>
      <vt:lpstr>'場所打ち杭 (2)'!βL_線路液状L1</vt:lpstr>
      <vt:lpstr>場所打ち杭!βL_線路液状L2</vt:lpstr>
      <vt:lpstr>'場所打ち杭 (2)'!βL_線路液状L2</vt:lpstr>
      <vt:lpstr>場所打ち杭!βL_直角</vt:lpstr>
      <vt:lpstr>'場所打ち杭 (2)'!βL_直角</vt:lpstr>
      <vt:lpstr>場所打ち杭!βL_直角液状L1</vt:lpstr>
      <vt:lpstr>'場所打ち杭 (2)'!βL_直角液状L1</vt:lpstr>
      <vt:lpstr>場所打ち杭!βL_直角液状L2</vt:lpstr>
      <vt:lpstr>'場所打ち杭 (2)'!βL_直角液状L2</vt:lpstr>
      <vt:lpstr>場所打ち杭!せん断バネTable線路_引</vt:lpstr>
      <vt:lpstr>'場所打ち杭 (2)'!せん断バネTable線路_引</vt:lpstr>
      <vt:lpstr>場所打ち杭!せん断バネTable線路_押</vt:lpstr>
      <vt:lpstr>'場所打ち杭 (2)'!せん断バネTable線路_押</vt:lpstr>
      <vt:lpstr>場所打ち杭!せん断バネTable線路液状L1_引</vt:lpstr>
      <vt:lpstr>'場所打ち杭 (2)'!せん断バネTable線路液状L1_引</vt:lpstr>
      <vt:lpstr>場所打ち杭!せん断バネTable線路液状L1_押</vt:lpstr>
      <vt:lpstr>'場所打ち杭 (2)'!せん断バネTable線路液状L1_押</vt:lpstr>
      <vt:lpstr>場所打ち杭!せん断バネTable線路液状L2_引</vt:lpstr>
      <vt:lpstr>'場所打ち杭 (2)'!せん断バネTable線路液状L2_引</vt:lpstr>
      <vt:lpstr>場所打ち杭!せん断バネTable線路液状L2_押</vt:lpstr>
      <vt:lpstr>'場所打ち杭 (2)'!せん断バネTable線路液状L2_押</vt:lpstr>
      <vt:lpstr>場所打ち杭!せん断バネTable短期_引</vt:lpstr>
      <vt:lpstr>'場所打ち杭 (2)'!せん断バネTable短期_引</vt:lpstr>
      <vt:lpstr>場所打ち杭!せん断バネTable短期_押</vt:lpstr>
      <vt:lpstr>'場所打ち杭 (2)'!せん断バネTable短期_押</vt:lpstr>
      <vt:lpstr>場所打ち杭!せん断バネTable長期_引</vt:lpstr>
      <vt:lpstr>'場所打ち杭 (2)'!せん断バネTable長期_引</vt:lpstr>
      <vt:lpstr>場所打ち杭!せん断バネTable長期_押</vt:lpstr>
      <vt:lpstr>'場所打ち杭 (2)'!せん断バネTable長期_押</vt:lpstr>
      <vt:lpstr>場所打ち杭!せん断バネTable直角_引</vt:lpstr>
      <vt:lpstr>'場所打ち杭 (2)'!せん断バネTable直角_引</vt:lpstr>
      <vt:lpstr>場所打ち杭!せん断バネTable直角_押</vt:lpstr>
      <vt:lpstr>'場所打ち杭 (2)'!せん断バネTable直角_押</vt:lpstr>
      <vt:lpstr>場所打ち杭!せん断バネTable直角液状L1_引</vt:lpstr>
      <vt:lpstr>'場所打ち杭 (2)'!せん断バネTable直角液状L1_引</vt:lpstr>
      <vt:lpstr>場所打ち杭!せん断バネTable直角液状L1_押</vt:lpstr>
      <vt:lpstr>'場所打ち杭 (2)'!せん断バネTable直角液状L1_押</vt:lpstr>
      <vt:lpstr>場所打ち杭!せん断バネTable直角液状L2_引</vt:lpstr>
      <vt:lpstr>'場所打ち杭 (2)'!せん断バネTable直角液状L2_引</vt:lpstr>
      <vt:lpstr>場所打ち杭!せん断バネTable直角液状L2_押</vt:lpstr>
      <vt:lpstr>'場所打ち杭 (2)'!せん断バネTable直角液状L2_押</vt:lpstr>
      <vt:lpstr>パスワード</vt:lpstr>
      <vt:lpstr>ユーザー名</vt:lpstr>
      <vt:lpstr>場所打ち杭!液状化DEL1</vt:lpstr>
      <vt:lpstr>'場所打ち杭 (2)'!液状化DEL1</vt:lpstr>
      <vt:lpstr>場所打ち杭!液状化DEL2</vt:lpstr>
      <vt:lpstr>'場所打ち杭 (2)'!液状化DEL2</vt:lpstr>
      <vt:lpstr>場所打ち杭!液状化L1の有無</vt:lpstr>
      <vt:lpstr>'場所打ち杭 (2)'!液状化L1の有無</vt:lpstr>
      <vt:lpstr>場所打ち杭!液状化L2の有無</vt:lpstr>
      <vt:lpstr>'場所打ち杭 (2)'!液状化L2の有無</vt:lpstr>
      <vt:lpstr>入力!液状化低減係数</vt:lpstr>
      <vt:lpstr>入力!杭径</vt:lpstr>
      <vt:lpstr>入力!杭種名称</vt:lpstr>
      <vt:lpstr>場所打ち杭!杭周面の土層厚</vt:lpstr>
      <vt:lpstr>'場所打ち杭 (2)'!杭周面の土層厚</vt:lpstr>
      <vt:lpstr>場所打ち杭!杭周面の土層番号</vt:lpstr>
      <vt:lpstr>'場所打ち杭 (2)'!杭周面の土層番号</vt:lpstr>
      <vt:lpstr>場所打ち杭!杭周面の変形係数</vt:lpstr>
      <vt:lpstr>'場所打ち杭 (2)'!杭周面の変形係数</vt:lpstr>
      <vt:lpstr>場所打ち杭!杭先端Ed</vt:lpstr>
      <vt:lpstr>'場所打ち杭 (2)'!杭先端Ed</vt:lpstr>
      <vt:lpstr>場所打ち杭!杭先端径</vt:lpstr>
      <vt:lpstr>'場所打ち杭 (2)'!杭先端径</vt:lpstr>
      <vt:lpstr>入力!杭長</vt:lpstr>
      <vt:lpstr>場所打ち杭!施工条件</vt:lpstr>
      <vt:lpstr>'場所打ち杭 (2)'!施工条件</vt:lpstr>
      <vt:lpstr>入力!施工条件</vt:lpstr>
      <vt:lpstr>入力!湿潤重量</vt:lpstr>
      <vt:lpstr>場所打ち杭!周面砂式</vt:lpstr>
      <vt:lpstr>'場所打ち杭 (2)'!周面砂式</vt:lpstr>
      <vt:lpstr>場所打ち杭!周面砂上限値</vt:lpstr>
      <vt:lpstr>'場所打ち杭 (2)'!周面砂上限値</vt:lpstr>
      <vt:lpstr>場所打ち杭!周面支持力Table線路_引</vt:lpstr>
      <vt:lpstr>'場所打ち杭 (2)'!周面支持力Table線路_引</vt:lpstr>
      <vt:lpstr>場所打ち杭!周面支持力Table線路_押</vt:lpstr>
      <vt:lpstr>'場所打ち杭 (2)'!周面支持力Table線路_押</vt:lpstr>
      <vt:lpstr>場所打ち杭!周面支持力Table線路液状L1_引</vt:lpstr>
      <vt:lpstr>'場所打ち杭 (2)'!周面支持力Table線路液状L1_引</vt:lpstr>
      <vt:lpstr>場所打ち杭!周面支持力Table線路液状L1_押</vt:lpstr>
      <vt:lpstr>'場所打ち杭 (2)'!周面支持力Table線路液状L1_押</vt:lpstr>
      <vt:lpstr>場所打ち杭!周面支持力Table線路液状L2_引</vt:lpstr>
      <vt:lpstr>'場所打ち杭 (2)'!周面支持力Table線路液状L2_引</vt:lpstr>
      <vt:lpstr>場所打ち杭!周面支持力Table線路液状L2_押</vt:lpstr>
      <vt:lpstr>'場所打ち杭 (2)'!周面支持力Table線路液状L2_押</vt:lpstr>
      <vt:lpstr>場所打ち杭!周面支持力Table短期_引</vt:lpstr>
      <vt:lpstr>'場所打ち杭 (2)'!周面支持力Table短期_引</vt:lpstr>
      <vt:lpstr>場所打ち杭!周面支持力Table短期_押</vt:lpstr>
      <vt:lpstr>'場所打ち杭 (2)'!周面支持力Table短期_押</vt:lpstr>
      <vt:lpstr>場所打ち杭!周面支持力Table長期_引</vt:lpstr>
      <vt:lpstr>'場所打ち杭 (2)'!周面支持力Table長期_引</vt:lpstr>
      <vt:lpstr>場所打ち杭!周面支持力Table長期_押</vt:lpstr>
      <vt:lpstr>'場所打ち杭 (2)'!周面支持力Table長期_押</vt:lpstr>
      <vt:lpstr>場所打ち杭!周面支持力Table直角_引</vt:lpstr>
      <vt:lpstr>'場所打ち杭 (2)'!周面支持力Table直角_引</vt:lpstr>
      <vt:lpstr>場所打ち杭!周面支持力Table直角_押</vt:lpstr>
      <vt:lpstr>'場所打ち杭 (2)'!周面支持力Table直角_押</vt:lpstr>
      <vt:lpstr>場所打ち杭!周面支持力Table直角液状L1_引</vt:lpstr>
      <vt:lpstr>'場所打ち杭 (2)'!周面支持力Table直角液状L1_引</vt:lpstr>
      <vt:lpstr>場所打ち杭!周面支持力Table直角液状L1_押</vt:lpstr>
      <vt:lpstr>'場所打ち杭 (2)'!周面支持力Table直角液状L1_押</vt:lpstr>
      <vt:lpstr>場所打ち杭!周面支持力Table直角液状L2_引</vt:lpstr>
      <vt:lpstr>'場所打ち杭 (2)'!周面支持力Table直角液状L2_引</vt:lpstr>
      <vt:lpstr>場所打ち杭!周面支持力Table直角液状L2_押</vt:lpstr>
      <vt:lpstr>'場所打ち杭 (2)'!周面支持力Table直角液状L2_押</vt:lpstr>
      <vt:lpstr>場所打ち杭!周面粘式c</vt:lpstr>
      <vt:lpstr>'場所打ち杭 (2)'!周面粘式c</vt:lpstr>
      <vt:lpstr>場所打ち杭!周面粘式c上限値</vt:lpstr>
      <vt:lpstr>'場所打ち杭 (2)'!周面粘式c上限値</vt:lpstr>
      <vt:lpstr>場所打ち杭!周面粘式N</vt:lpstr>
      <vt:lpstr>'場所打ち杭 (2)'!周面粘式N</vt:lpstr>
      <vt:lpstr>場所打ち杭!周面粘式N上限値</vt:lpstr>
      <vt:lpstr>'場所打ち杭 (2)'!周面粘式N上限値</vt:lpstr>
      <vt:lpstr>入力!水位</vt:lpstr>
      <vt:lpstr>入力!水中重量</vt:lpstr>
      <vt:lpstr>場所打ち杭!先端N</vt:lpstr>
      <vt:lpstr>'場所打ち杭 (2)'!先端N</vt:lpstr>
      <vt:lpstr>場所打ち杭!先端qtk</vt:lpstr>
      <vt:lpstr>'場所打ち杭 (2)'!先端qtk</vt:lpstr>
      <vt:lpstr>場所打ち杭!先端qtk式</vt:lpstr>
      <vt:lpstr>'場所打ち杭 (2)'!先端qtk式</vt:lpstr>
      <vt:lpstr>場所打ち杭!先端qtk上限</vt:lpstr>
      <vt:lpstr>'場所打ち杭 (2)'!先端qtk上限</vt:lpstr>
      <vt:lpstr>入力!線路_Lm</vt:lpstr>
      <vt:lpstr>入力!線路_Ln</vt:lpstr>
      <vt:lpstr>入力!線路_m</vt:lpstr>
      <vt:lpstr>入力!線路_n</vt:lpstr>
      <vt:lpstr>入力!層厚</vt:lpstr>
      <vt:lpstr>入力!層番</vt:lpstr>
      <vt:lpstr>入力!単位体積重量</vt:lpstr>
      <vt:lpstr>場所打ち杭!短期せん断地盤係数</vt:lpstr>
      <vt:lpstr>'場所打ち杭 (2)'!短期せん断地盤係数</vt:lpstr>
      <vt:lpstr>入力!弾性係数</vt:lpstr>
      <vt:lpstr>場所打ち杭!長期せん断地盤係数</vt:lpstr>
      <vt:lpstr>'場所打ち杭 (2)'!長期せん断地盤係数</vt:lpstr>
      <vt:lpstr>入力!直角_Lm</vt:lpstr>
      <vt:lpstr>入力!直角_Ln</vt:lpstr>
      <vt:lpstr>入力!直角_m</vt:lpstr>
      <vt:lpstr>入力!直角_n</vt:lpstr>
      <vt:lpstr>入力!土質区分</vt:lpstr>
      <vt:lpstr>入力!内部摩擦角</vt:lpstr>
      <vt:lpstr>入力!粘着力</vt:lpstr>
      <vt:lpstr>入力!変形係数</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2017-07-13T12:33:46Z</cp:lastPrinted>
  <dcterms:created xsi:type="dcterms:W3CDTF">1997-12-09T00:45:52Z</dcterms:created>
  <dcterms:modified xsi:type="dcterms:W3CDTF">2017-07-13T13:14:47Z</dcterms:modified>
</cp:coreProperties>
</file>