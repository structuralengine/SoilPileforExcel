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ocuments\Visual Studio 2017\Projects\SoilPileforExcel\"/>
    </mc:Choice>
  </mc:AlternateContent>
  <bookViews>
    <workbookView xWindow="0" yWindow="0" windowWidth="28800" windowHeight="12450" tabRatio="818" activeTab="1"/>
  </bookViews>
  <sheets>
    <sheet name="ご利用方法" sheetId="48" r:id="rId1"/>
    <sheet name="入力" sheetId="44" r:id="rId2"/>
    <sheet name="地盤のモデル化" sheetId="47" r:id="rId3"/>
    <sheet name="標準" sheetId="49" state="hidden" r:id="rId4"/>
    <sheet name="回転杭" sheetId="50" state="hidden" r:id="rId5"/>
  </sheets>
  <externalReferences>
    <externalReference r:id="rId6"/>
    <externalReference r:id="rId7"/>
    <externalReference r:id="rId8"/>
  </externalReferences>
  <definedNames>
    <definedName name="_1__123Graph_Aｸﾞﾗﾌ_1" hidden="1">#REF!</definedName>
    <definedName name="_10__123Graph_Cｸﾞﾗﾌ_4" hidden="1">#REF!</definedName>
    <definedName name="_11__123Graph_Dｸﾞﾗﾌ_1" hidden="1">[1]躯体の設計!$AO$1064:$AO$1065</definedName>
    <definedName name="_12__123Graph_Dｸﾞﾗﾌ_4" hidden="1">#REF!</definedName>
    <definedName name="_13__123Graph_Xｸﾞﾗﾌ_1" hidden="1">[1]躯体の設計!$AJ$1064:$AJ$1065</definedName>
    <definedName name="_14__123Graph_Xｸﾞﾗﾌ_2" hidden="1">#REF!</definedName>
    <definedName name="_15__123Graph_Xｸﾞﾗﾌ_3" hidden="1">#REF!</definedName>
    <definedName name="_2__123Graph_Aｸﾞﾗﾌ_2" hidden="1">#REF!</definedName>
    <definedName name="_3__123Graph_Aｸﾞﾗﾌ_3" hidden="1">#REF!</definedName>
    <definedName name="_4__123Graph_Aｸﾞﾗﾌ_4" hidden="1">#REF!</definedName>
    <definedName name="_5__123Graph_Bｸﾞﾗﾌ_1" hidden="1">#REF!</definedName>
    <definedName name="_6__123Graph_Bｸﾞﾗﾌ_2" hidden="1">#REF!</definedName>
    <definedName name="_7__123Graph_Bｸﾞﾗﾌ_3" hidden="1">#REF!</definedName>
    <definedName name="_8__123Graph_Bｸﾞﾗﾌ_4" hidden="1">#REF!</definedName>
    <definedName name="_9__123Graph_Cｸﾞﾗﾌ_1" hidden="1">[1]躯体の設計!$AN$1064:$AN$1065</definedName>
    <definedName name="_DEL2" hidden="1">#REF!</definedName>
    <definedName name="_Fill" hidden="1">#REF!</definedName>
    <definedName name="_xlnm._FilterDatabase" localSheetId="2" hidden="1">地盤のモデル化!#REF!</definedName>
    <definedName name="_xlnm._FilterDatabase" localSheetId="1" hidden="1">入力!#REF!</definedName>
    <definedName name="_Table1_In1" hidden="1">[2]ｽｲﾍｲ!$C$22</definedName>
    <definedName name="_Table1_Out" hidden="1">[2]ｽｲﾍｲ!$D$22</definedName>
    <definedName name="_Table2" hidden="1">[3]ｽｲﾍｲ!$D$22</definedName>
    <definedName name="anscount" hidden="1">1</definedName>
    <definedName name="DEL" hidden="1">#REF!</definedName>
    <definedName name="HTML_CodePage" hidden="1">932</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_xlnm.Print_Area" localSheetId="2">地盤のモデル化!$B$1:$AI$599</definedName>
    <definedName name="ええ" hidden="1">{"'表紙・目次 '!$A$8:$K$8"}</definedName>
    <definedName name="パスワード">ご利用方法!$B$16</definedName>
    <definedName name="ユーザー名">ご利用方法!$B$14</definedName>
    <definedName name="終局せん断" hidden="1">{"'表紙・目次 '!$A$8:$K$8"}</definedName>
    <definedName name="設計条件" hidden="1">{"'表紙・目次 '!$A$8:$K$8"}</definedName>
    <definedName name="抵抗モーメント" hidden="1">[3]ｽｲﾍｲ!$C$22</definedName>
    <definedName name="白紙" hidden="1">[2]ｽｲﾍｲ!$C$22</definedName>
  </definedNames>
  <calcPr calcId="152511"/>
</workbook>
</file>

<file path=xl/calcChain.xml><?xml version="1.0" encoding="utf-8"?>
<calcChain xmlns="http://schemas.openxmlformats.org/spreadsheetml/2006/main">
  <c r="U15" i="47" l="1"/>
  <c r="U26" i="47" s="1"/>
  <c r="H112" i="47" l="1"/>
  <c r="N597" i="47" l="1"/>
  <c r="W596" i="47"/>
  <c r="Z491" i="47"/>
  <c r="J398" i="47"/>
  <c r="Q392" i="47"/>
  <c r="J392" i="47"/>
  <c r="S365" i="47"/>
  <c r="H366" i="47" s="1"/>
  <c r="K331" i="47"/>
  <c r="S308" i="47"/>
  <c r="S304" i="47"/>
  <c r="H308" i="47"/>
  <c r="H304" i="47"/>
  <c r="I297" i="47"/>
  <c r="T270" i="47"/>
  <c r="T398" i="47" s="1"/>
  <c r="M276" i="47"/>
  <c r="M270" i="47"/>
  <c r="H247" i="47"/>
  <c r="L261" i="47" s="1"/>
  <c r="R239" i="47"/>
  <c r="AD242" i="47" s="1"/>
  <c r="T195" i="47"/>
  <c r="U194" i="47" s="1"/>
  <c r="AA177" i="47"/>
  <c r="AD178" i="47" s="1"/>
  <c r="AG178" i="47" s="1"/>
  <c r="T148" i="47"/>
  <c r="T142" i="47"/>
  <c r="N112" i="47"/>
  <c r="N117" i="47" s="1"/>
  <c r="Q92" i="47"/>
  <c r="Q96" i="47" s="1"/>
  <c r="K92" i="47"/>
  <c r="K96" i="47" s="1"/>
  <c r="P597" i="47"/>
  <c r="O541" i="47"/>
  <c r="O542" i="47" s="1"/>
  <c r="Z480" i="47"/>
  <c r="N366" i="47"/>
  <c r="T297" i="47"/>
  <c r="AD257" i="47"/>
  <c r="AB241" i="47"/>
  <c r="W194" i="47"/>
  <c r="P194" i="47"/>
  <c r="K117" i="47"/>
  <c r="K148" i="47" s="1"/>
  <c r="K112" i="47"/>
  <c r="U257" i="47"/>
  <c r="T493" i="47"/>
  <c r="T485" i="47"/>
  <c r="T492" i="47"/>
  <c r="T483" i="47"/>
  <c r="T496" i="47"/>
  <c r="T481" i="47"/>
  <c r="T494" i="47"/>
  <c r="T482" i="47"/>
  <c r="T276" i="47" l="1"/>
  <c r="W96" i="47"/>
  <c r="J203" i="47" s="1"/>
  <c r="R321" i="47" s="1"/>
  <c r="P598" i="47"/>
  <c r="AB248" i="47"/>
  <c r="W392" i="47"/>
  <c r="Z392" i="47" s="1"/>
  <c r="Q480" i="47" s="1"/>
  <c r="Z481" i="47" s="1"/>
  <c r="T112" i="47"/>
  <c r="R331" i="47" s="1"/>
  <c r="N331" i="47" s="1"/>
  <c r="O543" i="47"/>
  <c r="AC543" i="47" s="1"/>
  <c r="T598" i="47" s="1"/>
  <c r="Y598" i="47" s="1"/>
  <c r="AC542" i="47"/>
  <c r="T597" i="47" s="1"/>
  <c r="Y597" i="47" s="1"/>
  <c r="T117" i="47"/>
  <c r="Z331" i="47" s="1"/>
  <c r="V331" i="47" s="1"/>
  <c r="N148" i="47"/>
  <c r="AD148" i="47" s="1"/>
  <c r="H367" i="47"/>
  <c r="N437" i="47" s="1"/>
  <c r="N142" i="47"/>
  <c r="Y194" i="47"/>
  <c r="P203" i="47" s="1"/>
  <c r="AD177" i="47"/>
  <c r="AG177" i="47" s="1"/>
  <c r="W92" i="47"/>
  <c r="J199" i="47" s="1"/>
  <c r="M321" i="47" s="1"/>
  <c r="K142" i="47"/>
  <c r="Q426" i="47" l="1"/>
  <c r="Q491" i="47"/>
  <c r="Z492" i="47" s="1"/>
  <c r="V203" i="47"/>
  <c r="K308" i="47"/>
  <c r="V308" i="47" s="1"/>
  <c r="P270" i="47"/>
  <c r="W270" i="47" s="1"/>
  <c r="Q437" i="47"/>
  <c r="T437" i="47" s="1"/>
  <c r="W437" i="47" s="1"/>
  <c r="Z482" i="47"/>
  <c r="N426" i="47"/>
  <c r="X148" i="47"/>
  <c r="AA398" i="47" s="1"/>
  <c r="Q494" i="47" s="1"/>
  <c r="Z496" i="47" s="1"/>
  <c r="O308" i="47"/>
  <c r="AA308" i="47" s="1"/>
  <c r="P199" i="47"/>
  <c r="V199" i="47" s="1"/>
  <c r="X142" i="47"/>
  <c r="P297" i="47" s="1"/>
  <c r="AA297" i="47" s="1"/>
  <c r="P276" i="47"/>
  <c r="W276" i="47" s="1"/>
  <c r="K456" i="47"/>
  <c r="Z438" i="47"/>
  <c r="Z437" i="47"/>
  <c r="Z439" i="47"/>
  <c r="T426" i="47" l="1"/>
  <c r="W426" i="47" s="1"/>
  <c r="Z493" i="47"/>
  <c r="K560" i="47"/>
  <c r="H561" i="47" s="1"/>
  <c r="K455" i="47"/>
  <c r="K564" i="47"/>
  <c r="H565" i="47" s="1"/>
  <c r="K304" i="47"/>
  <c r="V304" i="47" s="1"/>
  <c r="Q440" i="47"/>
  <c r="R456" i="47" s="1"/>
  <c r="V456" i="47" s="1"/>
  <c r="O304" i="47"/>
  <c r="AA304" i="47" s="1"/>
  <c r="W398" i="47"/>
  <c r="Q483" i="47" s="1"/>
  <c r="Z485" i="47" s="1"/>
  <c r="Q429" i="47"/>
  <c r="T429" i="47" s="1"/>
  <c r="W429" i="47" s="1"/>
  <c r="Z494" i="47"/>
  <c r="K247" i="47"/>
  <c r="O247" i="47" s="1"/>
  <c r="S247" i="47" s="1"/>
  <c r="X247" i="47" s="1"/>
  <c r="AB247" i="47" s="1"/>
  <c r="AF247" i="47" s="1"/>
  <c r="L297" i="47"/>
  <c r="W297" i="47" s="1"/>
  <c r="AC438" i="47"/>
  <c r="AC439" i="47"/>
  <c r="AC437" i="47"/>
  <c r="Z426" i="47"/>
  <c r="Z427" i="47"/>
  <c r="Z428" i="47"/>
  <c r="Z431" i="47"/>
  <c r="Z429" i="47"/>
  <c r="AC428" i="47" l="1"/>
  <c r="AC427" i="47"/>
  <c r="AC426" i="47"/>
  <c r="Z483" i="47"/>
  <c r="T440" i="47"/>
  <c r="W440" i="47" s="1"/>
  <c r="AC429" i="47"/>
  <c r="AC431" i="47"/>
  <c r="P257" i="47"/>
  <c r="Y257" i="47" s="1"/>
  <c r="O261" i="47" s="1"/>
  <c r="R261" i="47" s="1"/>
  <c r="R455" i="47"/>
  <c r="V455" i="47" s="1"/>
  <c r="L585" i="47"/>
  <c r="Y585" i="47" s="1"/>
  <c r="Z442" i="47"/>
  <c r="Z440" i="47"/>
  <c r="AC442" i="47" l="1"/>
  <c r="AC440" i="47"/>
  <c r="U585" i="47"/>
</calcChain>
</file>

<file path=xl/sharedStrings.xml><?xml version="1.0" encoding="utf-8"?>
<sst xmlns="http://schemas.openxmlformats.org/spreadsheetml/2006/main" count="1440" uniqueCount="603">
  <si>
    <t>変形係数</t>
    <rPh sb="0" eb="2">
      <t>ヘンケイ</t>
    </rPh>
    <rPh sb="2" eb="4">
      <t>ケイスウ</t>
    </rPh>
    <phoneticPr fontId="1"/>
  </si>
  <si>
    <t>×</t>
    <phoneticPr fontId="1"/>
  </si>
  <si>
    <t>：</t>
    <phoneticPr fontId="1"/>
  </si>
  <si>
    <t>ここに、</t>
    <phoneticPr fontId="1"/>
  </si>
  <si>
    <t>φ</t>
    <phoneticPr fontId="1"/>
  </si>
  <si>
    <t>β</t>
    <phoneticPr fontId="1"/>
  </si>
  <si>
    <t>＋</t>
    <phoneticPr fontId="1"/>
  </si>
  <si>
    <t>／</t>
    <phoneticPr fontId="1"/>
  </si>
  <si>
    <t>層番</t>
    <rPh sb="0" eb="1">
      <t>ソウ</t>
    </rPh>
    <rPh sb="1" eb="2">
      <t>バン</t>
    </rPh>
    <phoneticPr fontId="1"/>
  </si>
  <si>
    <t>層厚
(m)</t>
    <rPh sb="0" eb="1">
      <t>ソウ</t>
    </rPh>
    <rPh sb="1" eb="2">
      <t>アツ</t>
    </rPh>
    <phoneticPr fontId="1"/>
  </si>
  <si>
    <t>土質区分</t>
    <rPh sb="0" eb="2">
      <t>ドシツ</t>
    </rPh>
    <rPh sb="2" eb="4">
      <t>クブン</t>
    </rPh>
    <phoneticPr fontId="1"/>
  </si>
  <si>
    <t>Ｎ値</t>
    <rPh sb="1" eb="2">
      <t>アタイ</t>
    </rPh>
    <phoneticPr fontId="1"/>
  </si>
  <si>
    <t>単位体積重量</t>
    <rPh sb="0" eb="2">
      <t>タンイ</t>
    </rPh>
    <rPh sb="2" eb="4">
      <t>タイセキ</t>
    </rPh>
    <rPh sb="4" eb="6">
      <t>ジュウリョウ</t>
    </rPh>
    <phoneticPr fontId="1"/>
  </si>
  <si>
    <t>内部摩擦角</t>
    <rPh sb="0" eb="2">
      <t>ナイブ</t>
    </rPh>
    <rPh sb="2" eb="4">
      <t>マサツ</t>
    </rPh>
    <rPh sb="4" eb="5">
      <t>カク</t>
    </rPh>
    <phoneticPr fontId="1"/>
  </si>
  <si>
    <t>一軸圧縮強度</t>
    <rPh sb="0" eb="1">
      <t>イチ</t>
    </rPh>
    <rPh sb="1" eb="2">
      <t>ジク</t>
    </rPh>
    <rPh sb="2" eb="4">
      <t>アッシュク</t>
    </rPh>
    <rPh sb="4" eb="6">
      <t>キョウド</t>
    </rPh>
    <phoneticPr fontId="1"/>
  </si>
  <si>
    <t>湿潤</t>
    <rPh sb="0" eb="2">
      <t>シツジュン</t>
    </rPh>
    <phoneticPr fontId="1"/>
  </si>
  <si>
    <t>水中</t>
    <rPh sb="0" eb="2">
      <t>スイチュウ</t>
    </rPh>
    <phoneticPr fontId="1"/>
  </si>
  <si>
    <t>φd(°)</t>
    <phoneticPr fontId="1"/>
  </si>
  <si>
    <r>
      <t>qu(kN/m</t>
    </r>
    <r>
      <rPr>
        <vertAlign val="superscript"/>
        <sz val="10"/>
        <rFont val="ＭＳ ゴシック"/>
        <family val="3"/>
        <charset val="128"/>
      </rPr>
      <t>2</t>
    </r>
    <r>
      <rPr>
        <sz val="10"/>
        <rFont val="ＭＳ ゴシック"/>
        <family val="3"/>
        <charset val="128"/>
      </rPr>
      <t>)</t>
    </r>
    <phoneticPr fontId="1"/>
  </si>
  <si>
    <r>
      <t>Ed(kN/m</t>
    </r>
    <r>
      <rPr>
        <vertAlign val="superscript"/>
        <sz val="10"/>
        <rFont val="ＭＳ ゴシック"/>
        <family val="3"/>
        <charset val="128"/>
      </rPr>
      <t>2</t>
    </r>
    <r>
      <rPr>
        <sz val="10"/>
        <rFont val="ＭＳ ゴシック"/>
        <family val="3"/>
        <charset val="128"/>
      </rPr>
      <t>)</t>
    </r>
    <phoneticPr fontId="1"/>
  </si>
  <si>
    <t>1.1.2　地盤のモデル化</t>
    <rPh sb="6" eb="8">
      <t>ジバン</t>
    </rPh>
    <rPh sb="12" eb="13">
      <t>カ</t>
    </rPh>
    <phoneticPr fontId="1"/>
  </si>
  <si>
    <t>ここでは、地震時も含めた地盤のモデル化を行う。</t>
    <rPh sb="5" eb="8">
      <t>ジシンジ</t>
    </rPh>
    <rPh sb="9" eb="10">
      <t>フク</t>
    </rPh>
    <rPh sb="12" eb="14">
      <t>ジバン</t>
    </rPh>
    <rPh sb="18" eb="19">
      <t>カ</t>
    </rPh>
    <rPh sb="20" eb="21">
      <t>オコナ</t>
    </rPh>
    <phoneticPr fontId="1"/>
  </si>
  <si>
    <t>(1) 地盤抵抗のモデル化と地盤反力の折れ曲がり点（降伏、終局）または上限値</t>
    <rPh sb="4" eb="6">
      <t>ジバン</t>
    </rPh>
    <rPh sb="6" eb="8">
      <t>テイコウ</t>
    </rPh>
    <rPh sb="12" eb="13">
      <t>カ</t>
    </rPh>
    <rPh sb="14" eb="16">
      <t>ジバン</t>
    </rPh>
    <rPh sb="16" eb="18">
      <t>ハンリョク</t>
    </rPh>
    <rPh sb="19" eb="20">
      <t>オ</t>
    </rPh>
    <rPh sb="21" eb="22">
      <t>マ</t>
    </rPh>
    <rPh sb="24" eb="25">
      <t>テン</t>
    </rPh>
    <rPh sb="26" eb="28">
      <t>コウフク</t>
    </rPh>
    <rPh sb="29" eb="31">
      <t>シュウキョク</t>
    </rPh>
    <rPh sb="35" eb="37">
      <t>ジョウゲン</t>
    </rPh>
    <rPh sb="37" eb="38">
      <t>チ</t>
    </rPh>
    <phoneticPr fontId="1"/>
  </si>
  <si>
    <t>(a) 地盤抵抗のモデル化</t>
    <rPh sb="4" eb="6">
      <t>ジバン</t>
    </rPh>
    <rPh sb="6" eb="8">
      <t>テイコウ</t>
    </rPh>
    <rPh sb="12" eb="13">
      <t>カ</t>
    </rPh>
    <phoneticPr fontId="1"/>
  </si>
  <si>
    <t>【基礎標準 第Ⅱ編 15.2.2.5】</t>
    <rPh sb="1" eb="3">
      <t>キソ</t>
    </rPh>
    <rPh sb="3" eb="5">
      <t>ヒョウジュン</t>
    </rPh>
    <rPh sb="6" eb="7">
      <t>ダイ</t>
    </rPh>
    <rPh sb="8" eb="9">
      <t>ヘン</t>
    </rPh>
    <phoneticPr fontId="1"/>
  </si>
  <si>
    <t>モデル化する。</t>
    <phoneticPr fontId="1"/>
  </si>
  <si>
    <t>杭工法</t>
    <rPh sb="0" eb="1">
      <t>クイ</t>
    </rPh>
    <rPh sb="1" eb="3">
      <t>コウホウ</t>
    </rPh>
    <phoneticPr fontId="1"/>
  </si>
  <si>
    <r>
      <t>降伏 ρ</t>
    </r>
    <r>
      <rPr>
        <vertAlign val="subscript"/>
        <sz val="10"/>
        <rFont val="ＭＳ 明朝"/>
        <family val="1"/>
        <charset val="128"/>
      </rPr>
      <t>gty</t>
    </r>
    <rPh sb="0" eb="2">
      <t>コウフク</t>
    </rPh>
    <phoneticPr fontId="1"/>
  </si>
  <si>
    <r>
      <t>終局 ρ</t>
    </r>
    <r>
      <rPr>
        <vertAlign val="subscript"/>
        <sz val="10"/>
        <rFont val="ＭＳ 明朝"/>
        <family val="1"/>
        <charset val="128"/>
      </rPr>
      <t>gtu</t>
    </r>
    <rPh sb="0" eb="2">
      <t>シュウキョク</t>
    </rPh>
    <phoneticPr fontId="1"/>
  </si>
  <si>
    <t>＝</t>
    <phoneticPr fontId="1"/>
  </si>
  <si>
    <r>
      <t>Ｒ</t>
    </r>
    <r>
      <rPr>
        <vertAlign val="subscript"/>
        <sz val="10"/>
        <rFont val="ＭＳ 明朝"/>
        <family val="1"/>
        <charset val="128"/>
      </rPr>
      <t>ty</t>
    </r>
    <phoneticPr fontId="1"/>
  </si>
  <si>
    <r>
      <t>Ｒ</t>
    </r>
    <r>
      <rPr>
        <vertAlign val="subscript"/>
        <sz val="10"/>
        <rFont val="ＭＳ 明朝"/>
        <family val="1"/>
        <charset val="128"/>
      </rPr>
      <t>tu</t>
    </r>
    <phoneticPr fontId="1"/>
  </si>
  <si>
    <r>
      <t>ρ</t>
    </r>
    <r>
      <rPr>
        <vertAlign val="subscript"/>
        <sz val="10"/>
        <rFont val="ＭＳ 明朝"/>
        <family val="1"/>
        <charset val="128"/>
      </rPr>
      <t>gty</t>
    </r>
    <phoneticPr fontId="1"/>
  </si>
  <si>
    <r>
      <t>ρ</t>
    </r>
    <r>
      <rPr>
        <vertAlign val="subscript"/>
        <sz val="10"/>
        <rFont val="ＭＳ 明朝"/>
        <family val="1"/>
        <charset val="128"/>
      </rPr>
      <t>gtu</t>
    </r>
    <phoneticPr fontId="1"/>
  </si>
  <si>
    <r>
      <t>Ｒ</t>
    </r>
    <r>
      <rPr>
        <vertAlign val="subscript"/>
        <sz val="10"/>
        <rFont val="ＭＳ 明朝"/>
        <family val="1"/>
        <charset val="128"/>
      </rPr>
      <t>tk</t>
    </r>
    <phoneticPr fontId="1"/>
  </si>
  <si>
    <t>基準先端支持力（kN）</t>
    <rPh sb="0" eb="2">
      <t>キジュン</t>
    </rPh>
    <rPh sb="2" eb="4">
      <t>センタン</t>
    </rPh>
    <rPh sb="4" eb="7">
      <t>シジリョク</t>
    </rPh>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</si>
  <si>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tv</t>
    </r>
    <phoneticPr fontId="1"/>
  </si>
  <si>
    <r>
      <t>降伏 ρ</t>
    </r>
    <r>
      <rPr>
        <vertAlign val="subscript"/>
        <sz val="10"/>
        <rFont val="ＭＳ 明朝"/>
        <family val="1"/>
        <charset val="128"/>
      </rPr>
      <t>gfy</t>
    </r>
    <rPh sb="0" eb="2">
      <t>コウフク</t>
    </rPh>
    <phoneticPr fontId="1"/>
  </si>
  <si>
    <r>
      <t>終局 ρ</t>
    </r>
    <r>
      <rPr>
        <vertAlign val="subscript"/>
        <sz val="10"/>
        <rFont val="ＭＳ 明朝"/>
        <family val="1"/>
        <charset val="128"/>
      </rPr>
      <t>gfu</t>
    </r>
    <rPh sb="0" eb="2">
      <t>シュウキョク</t>
    </rPh>
    <phoneticPr fontId="1"/>
  </si>
  <si>
    <r>
      <t>Ｒ</t>
    </r>
    <r>
      <rPr>
        <vertAlign val="subscript"/>
        <sz val="10"/>
        <rFont val="ＭＳ 明朝"/>
        <family val="1"/>
        <charset val="128"/>
      </rPr>
      <t>fy</t>
    </r>
    <phoneticPr fontId="1"/>
  </si>
  <si>
    <r>
      <t>Ｒ</t>
    </r>
    <r>
      <rPr>
        <vertAlign val="subscript"/>
        <sz val="10"/>
        <rFont val="ＭＳ 明朝"/>
        <family val="1"/>
        <charset val="128"/>
      </rPr>
      <t>fu</t>
    </r>
    <phoneticPr fontId="1"/>
  </si>
  <si>
    <r>
      <t>ρ</t>
    </r>
    <r>
      <rPr>
        <vertAlign val="subscript"/>
        <sz val="10"/>
        <rFont val="ＭＳ 明朝"/>
        <family val="1"/>
        <charset val="128"/>
      </rPr>
      <t>gfy</t>
    </r>
    <phoneticPr fontId="1"/>
  </si>
  <si>
    <r>
      <t>ρ</t>
    </r>
    <r>
      <rPr>
        <vertAlign val="subscript"/>
        <sz val="10"/>
        <rFont val="ＭＳ 明朝"/>
        <family val="1"/>
        <charset val="128"/>
      </rPr>
      <t>gfu</t>
    </r>
    <phoneticPr fontId="1"/>
  </si>
  <si>
    <r>
      <t>Ｒ</t>
    </r>
    <r>
      <rPr>
        <vertAlign val="subscript"/>
        <sz val="10"/>
        <rFont val="ＭＳ 明朝"/>
        <family val="1"/>
        <charset val="128"/>
      </rPr>
      <t>fk</t>
    </r>
    <phoneticPr fontId="1"/>
  </si>
  <si>
    <t>各層での基準周面支持力（kN）</t>
    <rPh sb="0" eb="1">
      <t>カク</t>
    </rPh>
    <rPh sb="1" eb="2">
      <t>ソウ</t>
    </rPh>
    <rPh sb="4" eb="6">
      <t>キジュン</t>
    </rPh>
    <rPh sb="6" eb="8">
      <t>シュウメン</t>
    </rPh>
    <rPh sb="8" eb="11">
      <t>シジリョク</t>
    </rPh>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</si>
  <si>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fv</t>
    </r>
    <phoneticPr fontId="1"/>
  </si>
  <si>
    <r>
      <t>tan</t>
    </r>
    <r>
      <rPr>
        <vertAlign val="superscript"/>
        <sz val="9"/>
        <rFont val="ＭＳ 明朝"/>
        <family val="1"/>
        <charset val="128"/>
      </rPr>
      <t>-1</t>
    </r>
    <r>
      <rPr>
        <sz val="9"/>
        <rFont val="ＭＳ 明朝"/>
        <family val="1"/>
        <charset val="128"/>
      </rPr>
      <t>K</t>
    </r>
    <r>
      <rPr>
        <vertAlign val="subscript"/>
        <sz val="9"/>
        <rFont val="ＭＳ 明朝"/>
        <family val="1"/>
        <charset val="128"/>
      </rPr>
      <t>h</t>
    </r>
    <phoneticPr fontId="1"/>
  </si>
  <si>
    <t>(b) 地盤抵抗の折れ曲がり点（降伏、終局）または上限値</t>
    <rPh sb="4" eb="6">
      <t>ジバン</t>
    </rPh>
    <rPh sb="6" eb="8">
      <t>テイコウ</t>
    </rPh>
    <rPh sb="9" eb="10">
      <t>オ</t>
    </rPh>
    <rPh sb="11" eb="12">
      <t>マ</t>
    </rPh>
    <rPh sb="14" eb="15">
      <t>テン</t>
    </rPh>
    <rPh sb="16" eb="18">
      <t>コウフク</t>
    </rPh>
    <rPh sb="19" eb="21">
      <t>シュウキョク</t>
    </rPh>
    <rPh sb="25" eb="28">
      <t>ジョウゲンチ</t>
    </rPh>
    <phoneticPr fontId="1"/>
  </si>
  <si>
    <t>に示す。</t>
    <rPh sb="1" eb="2">
      <t>シメ</t>
    </rPh>
    <phoneticPr fontId="1"/>
  </si>
  <si>
    <t>水平方向</t>
    <rPh sb="0" eb="2">
      <t>スイヘイ</t>
    </rPh>
    <rPh sb="2" eb="4">
      <t>ホウコウ</t>
    </rPh>
    <phoneticPr fontId="1"/>
  </si>
  <si>
    <t>鉛直方向</t>
    <rPh sb="0" eb="2">
      <t>エンチョク</t>
    </rPh>
    <rPh sb="2" eb="4">
      <t>ホウコウ</t>
    </rPh>
    <phoneticPr fontId="1"/>
  </si>
  <si>
    <t>杭周面の水平地盤ばね定数</t>
    <rPh sb="0" eb="1">
      <t>クイ</t>
    </rPh>
    <rPh sb="1" eb="3">
      <t>シュウメン</t>
    </rPh>
    <rPh sb="4" eb="6">
      <t>スイヘイ</t>
    </rPh>
    <rPh sb="6" eb="8">
      <t>ジバン</t>
    </rPh>
    <rPh sb="10" eb="12">
      <t>テイスウ</t>
    </rPh>
    <phoneticPr fontId="1"/>
  </si>
  <si>
    <t>水平地盤抵抗</t>
    <rPh sb="0" eb="2">
      <t>スイヘイ</t>
    </rPh>
    <rPh sb="2" eb="4">
      <t>ジバン</t>
    </rPh>
    <rPh sb="4" eb="6">
      <t>テイコウ</t>
    </rPh>
    <phoneticPr fontId="1"/>
  </si>
  <si>
    <t>設計ばね定数の種類</t>
    <rPh sb="0" eb="2">
      <t>セッケイ</t>
    </rPh>
    <rPh sb="4" eb="6">
      <t>テイスウ</t>
    </rPh>
    <rPh sb="7" eb="9">
      <t>シュルイ</t>
    </rPh>
    <phoneticPr fontId="1"/>
  </si>
  <si>
    <t>地盤抵抗の種別</t>
    <rPh sb="0" eb="2">
      <t>ジバン</t>
    </rPh>
    <rPh sb="2" eb="4">
      <t>テイコウ</t>
    </rPh>
    <rPh sb="5" eb="7">
      <t>シュベツ</t>
    </rPh>
    <phoneticPr fontId="1"/>
  </si>
  <si>
    <t>杭周面の鉛直せん断
地盤ばね定数</t>
    <rPh sb="0" eb="1">
      <t>クイ</t>
    </rPh>
    <rPh sb="1" eb="3">
      <t>シュウメン</t>
    </rPh>
    <rPh sb="4" eb="6">
      <t>エンチョク</t>
    </rPh>
    <rPh sb="8" eb="9">
      <t>ダン</t>
    </rPh>
    <rPh sb="10" eb="12">
      <t>ジバン</t>
    </rPh>
    <rPh sb="14" eb="16">
      <t>テイスウ</t>
    </rPh>
    <phoneticPr fontId="1"/>
  </si>
  <si>
    <t>杭先端の鉛直
地盤ばね定数</t>
    <rPh sb="0" eb="1">
      <t>クイ</t>
    </rPh>
    <rPh sb="1" eb="3">
      <t>センタン</t>
    </rPh>
    <rPh sb="4" eb="6">
      <t>エンチョク</t>
    </rPh>
    <rPh sb="7" eb="9">
      <t>ジバン</t>
    </rPh>
    <rPh sb="11" eb="13">
      <t>テイスウ</t>
    </rPh>
    <phoneticPr fontId="1"/>
  </si>
  <si>
    <t>杭周面の鉛直せん断
地盤抵抗</t>
    <rPh sb="0" eb="1">
      <t>クイ</t>
    </rPh>
    <rPh sb="1" eb="3">
      <t>シュウメン</t>
    </rPh>
    <rPh sb="4" eb="6">
      <t>エンチョク</t>
    </rPh>
    <rPh sb="8" eb="9">
      <t>ダン</t>
    </rPh>
    <rPh sb="10" eb="12">
      <t>ジバン</t>
    </rPh>
    <rPh sb="12" eb="14">
      <t>テイコウ</t>
    </rPh>
    <phoneticPr fontId="1"/>
  </si>
  <si>
    <t>地盤反力の折れ曲がり点
または上限値</t>
    <rPh sb="0" eb="2">
      <t>ジバン</t>
    </rPh>
    <rPh sb="2" eb="4">
      <t>ハンリョク</t>
    </rPh>
    <rPh sb="5" eb="6">
      <t>オ</t>
    </rPh>
    <rPh sb="7" eb="8">
      <t>マ</t>
    </rPh>
    <rPh sb="10" eb="11">
      <t>テン</t>
    </rPh>
    <rPh sb="15" eb="18">
      <t>ジョウゲンチ</t>
    </rPh>
    <phoneticPr fontId="1"/>
  </si>
  <si>
    <t>杭先端の鉛直地盤抵抗</t>
    <rPh sb="0" eb="1">
      <t>クイ</t>
    </rPh>
    <rPh sb="1" eb="3">
      <t>センタン</t>
    </rPh>
    <rPh sb="4" eb="6">
      <t>エンチョク</t>
    </rPh>
    <rPh sb="6" eb="8">
      <t>ジバン</t>
    </rPh>
    <rPh sb="8" eb="10">
      <t>テイコウ</t>
    </rPh>
    <phoneticPr fontId="1"/>
  </si>
  <si>
    <t>降伏周面支持力
終局周面支持力</t>
    <rPh sb="0" eb="2">
      <t>コウフク</t>
    </rPh>
    <rPh sb="2" eb="4">
      <t>シュウメン</t>
    </rPh>
    <rPh sb="4" eb="7">
      <t>シジリョク</t>
    </rPh>
    <rPh sb="8" eb="10">
      <t>シュウキョク</t>
    </rPh>
    <rPh sb="10" eb="12">
      <t>シュウメン</t>
    </rPh>
    <rPh sb="12" eb="15">
      <t>シジリョク</t>
    </rPh>
    <phoneticPr fontId="1"/>
  </si>
  <si>
    <t>降伏先端支持力
終局先端支持力</t>
    <rPh sb="0" eb="2">
      <t>コウフク</t>
    </rPh>
    <rPh sb="2" eb="4">
      <t>センタン</t>
    </rPh>
    <rPh sb="4" eb="7">
      <t>シジリョク</t>
    </rPh>
    <rPh sb="8" eb="10">
      <t>シュウキョク</t>
    </rPh>
    <rPh sb="10" eb="12">
      <t>センタン</t>
    </rPh>
    <rPh sb="12" eb="15">
      <t>シジリョク</t>
    </rPh>
    <phoneticPr fontId="1"/>
  </si>
  <si>
    <t>方　向</t>
    <rPh sb="0" eb="1">
      <t>ホウ</t>
    </rPh>
    <rPh sb="2" eb="3">
      <t>ムケ</t>
    </rPh>
    <phoneticPr fontId="1"/>
  </si>
  <si>
    <t>(2) 地盤反力係数の算定　【基礎標準 第Ⅱ編 15.2.2.2】</t>
    <rPh sb="4" eb="6">
      <t>ジバン</t>
    </rPh>
    <rPh sb="6" eb="8">
      <t>ハンリョク</t>
    </rPh>
    <rPh sb="8" eb="10">
      <t>ケイスウ</t>
    </rPh>
    <rPh sb="11" eb="13">
      <t>サンテイ</t>
    </rPh>
    <rPh sb="15" eb="17">
      <t>キソ</t>
    </rPh>
    <rPh sb="17" eb="19">
      <t>ヒョウジュン</t>
    </rPh>
    <rPh sb="20" eb="21">
      <t>ダイ</t>
    </rPh>
    <rPh sb="22" eb="23">
      <t>ヘン</t>
    </rPh>
    <phoneticPr fontId="1"/>
  </si>
  <si>
    <r>
      <t>(a) 地盤反力係数に関する修正係数 ρ</t>
    </r>
    <r>
      <rPr>
        <vertAlign val="subscript"/>
        <sz val="10"/>
        <rFont val="ＭＳ 明朝"/>
        <family val="1"/>
        <charset val="128"/>
      </rPr>
      <t>gk</t>
    </r>
    <rPh sb="4" eb="6">
      <t>ジバン</t>
    </rPh>
    <rPh sb="6" eb="8">
      <t>ハンリョク</t>
    </rPh>
    <rPh sb="8" eb="10">
      <t>ケイスウ</t>
    </rPh>
    <rPh sb="11" eb="12">
      <t>カン</t>
    </rPh>
    <rPh sb="14" eb="16">
      <t>シュウセイ</t>
    </rPh>
    <rPh sb="16" eb="18">
      <t>ケイスウ</t>
    </rPh>
    <phoneticPr fontId="1"/>
  </si>
  <si>
    <t>作用の継続時間</t>
    <rPh sb="0" eb="2">
      <t>サヨウ</t>
    </rPh>
    <rPh sb="3" eb="5">
      <t>ケイゾク</t>
    </rPh>
    <rPh sb="5" eb="7">
      <t>ジカン</t>
    </rPh>
    <phoneticPr fontId="1"/>
  </si>
  <si>
    <t>短　期</t>
    <rPh sb="0" eb="1">
      <t>タン</t>
    </rPh>
    <rPh sb="2" eb="3">
      <t>キ</t>
    </rPh>
    <phoneticPr fontId="1"/>
  </si>
  <si>
    <t>長　期</t>
    <rPh sb="0" eb="1">
      <t>チョウ</t>
    </rPh>
    <rPh sb="2" eb="3">
      <t>キ</t>
    </rPh>
    <phoneticPr fontId="1"/>
  </si>
  <si>
    <t>変動作用、偶発作用</t>
    <rPh sb="0" eb="2">
      <t>ヘンドウ</t>
    </rPh>
    <rPh sb="2" eb="4">
      <t>サヨウ</t>
    </rPh>
    <rPh sb="5" eb="7">
      <t>グウハツ</t>
    </rPh>
    <rPh sb="7" eb="9">
      <t>サヨウ</t>
    </rPh>
    <phoneticPr fontId="1"/>
  </si>
  <si>
    <t>永久作用</t>
    <rPh sb="0" eb="2">
      <t>エイキュウ</t>
    </rPh>
    <rPh sb="2" eb="4">
      <t>サヨウ</t>
    </rPh>
    <phoneticPr fontId="1"/>
  </si>
  <si>
    <t>考慮する作用</t>
    <rPh sb="0" eb="2">
      <t>コウリョ</t>
    </rPh>
    <rPh sb="4" eb="6">
      <t>サヨウ</t>
    </rPh>
    <phoneticPr fontId="1"/>
  </si>
  <si>
    <r>
      <t>地盤反力係数に関する地盤修正係数ρ</t>
    </r>
    <r>
      <rPr>
        <vertAlign val="subscript"/>
        <sz val="10"/>
        <rFont val="ＭＳ 明朝"/>
        <family val="1"/>
        <charset val="128"/>
      </rPr>
      <t>gk</t>
    </r>
    <rPh sb="0" eb="2">
      <t>ジバン</t>
    </rPh>
    <rPh sb="2" eb="4">
      <t>ハンリョク</t>
    </rPh>
    <rPh sb="4" eb="6">
      <t>ケイスウ</t>
    </rPh>
    <rPh sb="7" eb="8">
      <t>カン</t>
    </rPh>
    <rPh sb="10" eb="12">
      <t>ジバン</t>
    </rPh>
    <rPh sb="12" eb="14">
      <t>シュウセイ</t>
    </rPh>
    <rPh sb="14" eb="16">
      <t>ケイスウ</t>
    </rPh>
    <phoneticPr fontId="1"/>
  </si>
  <si>
    <r>
      <t>有効抵抗土圧力度</t>
    </r>
    <r>
      <rPr>
        <vertAlign val="superscript"/>
        <sz val="10"/>
        <rFont val="ＭＳ 明朝"/>
        <family val="1"/>
        <charset val="128"/>
      </rPr>
      <t>＊</t>
    </r>
    <rPh sb="0" eb="2">
      <t>ユウコウ</t>
    </rPh>
    <rPh sb="2" eb="4">
      <t>テイコウ</t>
    </rPh>
    <rPh sb="4" eb="6">
      <t>ドアツ</t>
    </rPh>
    <rPh sb="6" eb="7">
      <t>リョク</t>
    </rPh>
    <rPh sb="7" eb="8">
      <t>ド</t>
    </rPh>
    <phoneticPr fontId="1"/>
  </si>
  <si>
    <t>＊群杭の場合には、その影響を考慮する。</t>
    <rPh sb="1" eb="2">
      <t>グン</t>
    </rPh>
    <rPh sb="2" eb="3">
      <t>クイ</t>
    </rPh>
    <rPh sb="4" eb="6">
      <t>バアイ</t>
    </rPh>
    <rPh sb="11" eb="13">
      <t>エイキョウ</t>
    </rPh>
    <rPh sb="14" eb="16">
      <t>コウリョ</t>
    </rPh>
    <phoneticPr fontId="1"/>
  </si>
  <si>
    <r>
      <t>＊地震時の応答値の算定では、永久作用に対しても ρ</t>
    </r>
    <r>
      <rPr>
        <vertAlign val="subscript"/>
        <sz val="10"/>
        <rFont val="ＭＳ 明朝"/>
        <family val="1"/>
        <charset val="128"/>
      </rPr>
      <t>gk</t>
    </r>
    <r>
      <rPr>
        <sz val="10"/>
        <rFont val="ＭＳ 明朝"/>
        <family val="1"/>
        <charset val="128"/>
      </rPr>
      <t>＝1.0 としてよい。</t>
    </r>
    <rPh sb="1" eb="4">
      <t>ジシンジ</t>
    </rPh>
    <rPh sb="5" eb="7">
      <t>オウトウ</t>
    </rPh>
    <rPh sb="7" eb="8">
      <t>チ</t>
    </rPh>
    <rPh sb="9" eb="11">
      <t>サンテイ</t>
    </rPh>
    <rPh sb="14" eb="16">
      <t>エイキュウ</t>
    </rPh>
    <rPh sb="16" eb="18">
      <t>サヨウ</t>
    </rPh>
    <rPh sb="19" eb="20">
      <t>タイ</t>
    </rPh>
    <phoneticPr fontId="1"/>
  </si>
  <si>
    <t>である。</t>
    <phoneticPr fontId="1"/>
  </si>
  <si>
    <r>
      <t>(b) 杭先端の鉛直地盤反力係数 ｋ</t>
    </r>
    <r>
      <rPr>
        <vertAlign val="subscript"/>
        <sz val="10"/>
        <rFont val="ＭＳ 明朝"/>
        <family val="1"/>
        <charset val="128"/>
      </rPr>
      <t xml:space="preserve">tv </t>
    </r>
    <r>
      <rPr>
        <sz val="10"/>
        <rFont val="ＭＳ 明朝"/>
        <family val="1"/>
        <charset val="128"/>
      </rPr>
      <t>の計算（場所打ち杭工法）</t>
    </r>
    <rPh sb="4" eb="5">
      <t>クイ</t>
    </rPh>
    <rPh sb="5" eb="7">
      <t>センタン</t>
    </rPh>
    <rPh sb="8" eb="10">
      <t>エンチョク</t>
    </rPh>
    <rPh sb="10" eb="12">
      <t>ジバン</t>
    </rPh>
    <rPh sb="12" eb="14">
      <t>ハンリョク</t>
    </rPh>
    <rPh sb="14" eb="16">
      <t>ケイスウ</t>
    </rPh>
    <rPh sb="22" eb="24">
      <t>ケイサン</t>
    </rPh>
    <rPh sb="25" eb="27">
      <t>バショ</t>
    </rPh>
    <rPh sb="27" eb="28">
      <t>ウ</t>
    </rPh>
    <rPh sb="29" eb="30">
      <t>クイ</t>
    </rPh>
    <rPh sb="30" eb="32">
      <t>コウホウ</t>
    </rPh>
    <phoneticPr fontId="1"/>
  </si>
  <si>
    <r>
      <t>ｋ</t>
    </r>
    <r>
      <rPr>
        <vertAlign val="subscript"/>
        <sz val="10"/>
        <rFont val="ＭＳ 明朝"/>
        <family val="1"/>
        <charset val="128"/>
      </rPr>
      <t>tv</t>
    </r>
    <phoneticPr fontId="1"/>
  </si>
  <si>
    <r>
      <t>ρ</t>
    </r>
    <r>
      <rPr>
        <vertAlign val="subscript"/>
        <sz val="10"/>
        <rFont val="ＭＳ 明朝"/>
        <family val="1"/>
        <charset val="128"/>
      </rPr>
      <t>gk</t>
    </r>
    <phoneticPr fontId="1"/>
  </si>
  <si>
    <r>
      <t>Ｅ</t>
    </r>
    <r>
      <rPr>
        <vertAlign val="subscript"/>
        <sz val="10"/>
        <rFont val="ＭＳ 明朝"/>
        <family val="1"/>
        <charset val="128"/>
      </rPr>
      <t>d</t>
    </r>
    <phoneticPr fontId="1"/>
  </si>
  <si>
    <t>Ｄ</t>
    <phoneticPr fontId="1"/>
  </si>
  <si>
    <t>ここに、</t>
    <phoneticPr fontId="1"/>
  </si>
  <si>
    <r>
      <t>杭先端の鉛直地盤反力係数（kN/m</t>
    </r>
    <r>
      <rPr>
        <vertAlign val="superscript"/>
        <sz val="10"/>
        <rFont val="ＭＳ 明朝"/>
        <family val="1"/>
        <charset val="128"/>
      </rPr>
      <t>3</t>
    </r>
    <r>
      <rPr>
        <sz val="10"/>
        <rFont val="ＭＳ 明朝"/>
        <family val="1"/>
        <charset val="128"/>
      </rPr>
      <t>）</t>
    </r>
    <rPh sb="0" eb="1">
      <t>クイ</t>
    </rPh>
    <rPh sb="1" eb="3">
      <t>センタン</t>
    </rPh>
    <rPh sb="4" eb="6">
      <t>エンチョク</t>
    </rPh>
    <rPh sb="6" eb="8">
      <t>ジバン</t>
    </rPh>
    <rPh sb="8" eb="10">
      <t>ハンリョク</t>
    </rPh>
    <rPh sb="10" eb="12">
      <t>ケイスウ</t>
    </rPh>
    <phoneticPr fontId="1"/>
  </si>
  <si>
    <t>杭径（m）</t>
    <rPh sb="0" eb="1">
      <t>クイ</t>
    </rPh>
    <rPh sb="1" eb="2">
      <t>ケイ</t>
    </rPh>
    <phoneticPr fontId="1"/>
  </si>
  <si>
    <r>
      <t>ρ</t>
    </r>
    <r>
      <rPr>
        <vertAlign val="subscript"/>
        <sz val="10"/>
        <rFont val="ＭＳ 明朝"/>
        <family val="1"/>
        <charset val="128"/>
      </rPr>
      <t>k</t>
    </r>
    <phoneticPr fontId="1"/>
  </si>
  <si>
    <r>
      <t>地盤の変形係数の設計用値（kN/m</t>
    </r>
    <r>
      <rPr>
        <vertAlign val="superscript"/>
        <sz val="10"/>
        <rFont val="ＭＳ 明朝"/>
        <family val="1"/>
        <charset val="128"/>
      </rPr>
      <t>2</t>
    </r>
    <r>
      <rPr>
        <sz val="10"/>
        <rFont val="ＭＳ 明朝"/>
        <family val="1"/>
        <charset val="128"/>
      </rPr>
      <t>）</t>
    </r>
    <rPh sb="0" eb="2">
      <t>ジバン</t>
    </rPh>
    <rPh sb="3" eb="5">
      <t>ヘンケイ</t>
    </rPh>
    <rPh sb="5" eb="7">
      <t>ケイスウ</t>
    </rPh>
    <rPh sb="8" eb="10">
      <t>セッケイ</t>
    </rPh>
    <rPh sb="10" eb="11">
      <t>ヨウ</t>
    </rPh>
    <rPh sb="11" eb="12">
      <t>チ</t>
    </rPh>
    <phoneticPr fontId="1"/>
  </si>
  <si>
    <r>
      <t>Ｅ</t>
    </r>
    <r>
      <rPr>
        <vertAlign val="subscript"/>
        <sz val="10"/>
        <rFont val="ＭＳ 明朝"/>
        <family val="1"/>
        <charset val="128"/>
      </rPr>
      <t>d</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</si>
  <si>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t>Ｄ（m）</t>
    <phoneticPr fontId="1"/>
  </si>
  <si>
    <r>
      <t>ｋ</t>
    </r>
    <r>
      <rPr>
        <vertAlign val="subscript"/>
        <sz val="10"/>
        <rFont val="ＭＳ 明朝"/>
        <family val="1"/>
        <charset val="128"/>
      </rPr>
      <t>tv</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</si>
  <si>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r>
      <t>(c) 杭周面の鉛直せん断地盤反力係数 ｋ</t>
    </r>
    <r>
      <rPr>
        <vertAlign val="subscript"/>
        <sz val="10"/>
        <rFont val="ＭＳ 明朝"/>
        <family val="1"/>
        <charset val="128"/>
      </rPr>
      <t xml:space="preserve">fv </t>
    </r>
    <r>
      <rPr>
        <sz val="10"/>
        <rFont val="ＭＳ 明朝"/>
        <family val="1"/>
        <charset val="128"/>
      </rPr>
      <t>の計算（場所打ち杭工法）</t>
    </r>
    <rPh sb="4" eb="5">
      <t>クイ</t>
    </rPh>
    <rPh sb="5" eb="7">
      <t>シュウメン</t>
    </rPh>
    <rPh sb="8" eb="10">
      <t>エンチョク</t>
    </rPh>
    <rPh sb="12" eb="13">
      <t>ダン</t>
    </rPh>
    <rPh sb="13" eb="15">
      <t>ジバン</t>
    </rPh>
    <rPh sb="15" eb="17">
      <t>ハンリョク</t>
    </rPh>
    <rPh sb="17" eb="19">
      <t>ケイスウ</t>
    </rPh>
    <rPh sb="25" eb="27">
      <t>ケイサン</t>
    </rPh>
    <rPh sb="28" eb="30">
      <t>バショ</t>
    </rPh>
    <rPh sb="30" eb="31">
      <t>ウ</t>
    </rPh>
    <rPh sb="32" eb="33">
      <t>クイ</t>
    </rPh>
    <rPh sb="33" eb="35">
      <t>コウホウ</t>
    </rPh>
    <phoneticPr fontId="1"/>
  </si>
  <si>
    <t>とおりである。</t>
    <phoneticPr fontId="1"/>
  </si>
  <si>
    <r>
      <t>ｋ</t>
    </r>
    <r>
      <rPr>
        <vertAlign val="subscript"/>
        <sz val="10"/>
        <rFont val="ＭＳ 明朝"/>
        <family val="1"/>
        <charset val="128"/>
      </rPr>
      <t>fv</t>
    </r>
    <phoneticPr fontId="1"/>
  </si>
  <si>
    <t>地盤反力係数に関する地盤修正係数</t>
    <rPh sb="0" eb="2">
      <t>ジバン</t>
    </rPh>
    <rPh sb="2" eb="4">
      <t>ハンリョク</t>
    </rPh>
    <rPh sb="4" eb="6">
      <t>ケイスウ</t>
    </rPh>
    <rPh sb="7" eb="8">
      <t>カン</t>
    </rPh>
    <rPh sb="10" eb="12">
      <t>ジバン</t>
    </rPh>
    <rPh sb="12" eb="14">
      <t>シュウセイ</t>
    </rPh>
    <rPh sb="14" eb="16">
      <t>ケイスウ</t>
    </rPh>
    <phoneticPr fontId="1"/>
  </si>
  <si>
    <t>土層
番号</t>
    <rPh sb="0" eb="2">
      <t>ドソウ</t>
    </rPh>
    <rPh sb="3" eb="5">
      <t>バンゴウ</t>
    </rPh>
    <phoneticPr fontId="1"/>
  </si>
  <si>
    <t>②</t>
    <phoneticPr fontId="1"/>
  </si>
  <si>
    <r>
      <t>(d) 水平地盤反力係数 ｋ</t>
    </r>
    <r>
      <rPr>
        <vertAlign val="subscript"/>
        <sz val="10"/>
        <rFont val="ＭＳ 明朝"/>
        <family val="1"/>
        <charset val="128"/>
      </rPr>
      <t xml:space="preserve">h </t>
    </r>
    <r>
      <rPr>
        <sz val="10"/>
        <rFont val="ＭＳ 明朝"/>
        <family val="1"/>
        <charset val="128"/>
      </rPr>
      <t>の計算（場所打ち杭工法）</t>
    </r>
    <rPh sb="4" eb="6">
      <t>スイヘイ</t>
    </rPh>
    <rPh sb="6" eb="8">
      <t>ジバン</t>
    </rPh>
    <rPh sb="8" eb="10">
      <t>ハンリョク</t>
    </rPh>
    <rPh sb="10" eb="12">
      <t>ケイスウ</t>
    </rPh>
    <rPh sb="17" eb="19">
      <t>ケイサン</t>
    </rPh>
    <rPh sb="20" eb="22">
      <t>バショ</t>
    </rPh>
    <rPh sb="22" eb="23">
      <t>ウ</t>
    </rPh>
    <rPh sb="24" eb="25">
      <t>クイ</t>
    </rPh>
    <rPh sb="25" eb="27">
      <t>コウホウ</t>
    </rPh>
    <phoneticPr fontId="1"/>
  </si>
  <si>
    <t>①</t>
    <phoneticPr fontId="1"/>
  </si>
  <si>
    <t>基本計算</t>
    <rPh sb="0" eb="2">
      <t>キホン</t>
    </rPh>
    <rPh sb="2" eb="4">
      <t>ケイサン</t>
    </rPh>
    <phoneticPr fontId="1"/>
  </si>
  <si>
    <t>である。</t>
    <phoneticPr fontId="1"/>
  </si>
  <si>
    <t>線形解析または杭の特性値βの算定の場合</t>
    <rPh sb="0" eb="2">
      <t>センケイ</t>
    </rPh>
    <rPh sb="2" eb="4">
      <t>カイセキ</t>
    </rPh>
    <rPh sb="7" eb="8">
      <t>クイ</t>
    </rPh>
    <rPh sb="9" eb="11">
      <t>トクセイ</t>
    </rPh>
    <rPh sb="11" eb="12">
      <t>チ</t>
    </rPh>
    <rPh sb="14" eb="16">
      <t>サンテイ</t>
    </rPh>
    <rPh sb="17" eb="19">
      <t>バアイ</t>
    </rPh>
    <phoneticPr fontId="1"/>
  </si>
  <si>
    <r>
      <t>ｋ</t>
    </r>
    <r>
      <rPr>
        <vertAlign val="subscript"/>
        <sz val="10"/>
        <rFont val="ＭＳ 明朝"/>
        <family val="1"/>
        <charset val="128"/>
      </rPr>
      <t>h</t>
    </r>
    <phoneticPr fontId="1"/>
  </si>
  <si>
    <t>非設計解析（バイリニア型）の場合</t>
    <rPh sb="0" eb="1">
      <t>ヒ</t>
    </rPh>
    <rPh sb="1" eb="3">
      <t>セッケイ</t>
    </rPh>
    <rPh sb="3" eb="5">
      <t>カイセキ</t>
    </rPh>
    <rPh sb="11" eb="12">
      <t>カタ</t>
    </rPh>
    <rPh sb="14" eb="16">
      <t>バアイ</t>
    </rPh>
    <phoneticPr fontId="1"/>
  </si>
  <si>
    <r>
      <t>ｋ</t>
    </r>
    <r>
      <rPr>
        <vertAlign val="subscript"/>
        <sz val="10"/>
        <rFont val="ＭＳ 明朝"/>
        <family val="1"/>
        <charset val="128"/>
      </rPr>
      <t>h</t>
    </r>
    <phoneticPr fontId="1"/>
  </si>
  <si>
    <r>
      <t>水平地盤反力係数（kN/m</t>
    </r>
    <r>
      <rPr>
        <vertAlign val="superscript"/>
        <sz val="10"/>
        <rFont val="ＭＳ 明朝"/>
        <family val="1"/>
        <charset val="128"/>
      </rPr>
      <t>3</t>
    </r>
    <r>
      <rPr>
        <sz val="10"/>
        <rFont val="ＭＳ 明朝"/>
        <family val="1"/>
        <charset val="128"/>
      </rPr>
      <t>）</t>
    </r>
    <rPh sb="0" eb="2">
      <t>スイヘイ</t>
    </rPh>
    <rPh sb="2" eb="4">
      <t>ジバン</t>
    </rPh>
    <rPh sb="4" eb="6">
      <t>ハンリョク</t>
    </rPh>
    <rPh sb="6" eb="8">
      <t>ケイスウ</t>
    </rPh>
    <phoneticPr fontId="1"/>
  </si>
  <si>
    <t>杭の載荷幅（m）</t>
    <rPh sb="0" eb="1">
      <t>クイ</t>
    </rPh>
    <rPh sb="2" eb="4">
      <t>サイカ</t>
    </rPh>
    <rPh sb="4" eb="5">
      <t>ハバ</t>
    </rPh>
    <phoneticPr fontId="1"/>
  </si>
  <si>
    <t>Ｄ（m）</t>
    <phoneticPr fontId="1"/>
  </si>
  <si>
    <r>
      <t>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</si>
  <si>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r>
      <t>線形解析
特性値βの算定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2">
      <t>センケイ</t>
    </rPh>
    <rPh sb="2" eb="4">
      <t>カイセキ</t>
    </rPh>
    <rPh sb="5" eb="8">
      <t>トクセイチ</t>
    </rPh>
    <rPh sb="10" eb="12">
      <t>サンテイ</t>
    </rPh>
    <phoneticPr fontId="1"/>
  </si>
  <si>
    <r>
      <t>非線形解析
ｋ</t>
    </r>
    <r>
      <rPr>
        <vertAlign val="subscript"/>
        <sz val="10"/>
        <rFont val="ＭＳ 明朝"/>
        <family val="1"/>
        <charset val="128"/>
      </rPr>
      <t>h</t>
    </r>
    <r>
      <rPr>
        <sz val="10"/>
        <rFont val="ＭＳ 明朝"/>
        <family val="1"/>
        <charset val="128"/>
      </rPr>
      <t>（kN/m</t>
    </r>
    <r>
      <rPr>
        <vertAlign val="superscript"/>
        <sz val="10"/>
        <rFont val="ＭＳ 明朝"/>
        <family val="1"/>
        <charset val="128"/>
      </rPr>
      <t>3</t>
    </r>
    <r>
      <rPr>
        <sz val="10"/>
        <rFont val="ＭＳ 明朝"/>
        <family val="1"/>
        <charset val="128"/>
      </rPr>
      <t>）</t>
    </r>
    <rPh sb="0" eb="1">
      <t>ヒ</t>
    </rPh>
    <rPh sb="1" eb="3">
      <t>センケイ</t>
    </rPh>
    <rPh sb="3" eb="5">
      <t>カイセキ</t>
    </rPh>
    <phoneticPr fontId="1"/>
  </si>
  <si>
    <t>群杭による水平地盤反力係数の補正</t>
    <rPh sb="0" eb="1">
      <t>グン</t>
    </rPh>
    <rPh sb="1" eb="2">
      <t>クイ</t>
    </rPh>
    <rPh sb="5" eb="7">
      <t>スイヘイ</t>
    </rPh>
    <rPh sb="7" eb="9">
      <t>ジバン</t>
    </rPh>
    <rPh sb="9" eb="11">
      <t>ハンリョク</t>
    </rPh>
    <rPh sb="11" eb="13">
      <t>ケイスウ</t>
    </rPh>
    <rPh sb="14" eb="16">
      <t>ホセイ</t>
    </rPh>
    <phoneticPr fontId="1"/>
  </si>
  <si>
    <r>
      <t>ｋ</t>
    </r>
    <r>
      <rPr>
        <vertAlign val="subscript"/>
        <sz val="10"/>
        <rFont val="ＭＳ 明朝"/>
        <family val="1"/>
        <charset val="128"/>
      </rPr>
      <t>hg</t>
    </r>
    <phoneticPr fontId="1"/>
  </si>
  <si>
    <r>
      <t>ｅ</t>
    </r>
    <r>
      <rPr>
        <vertAlign val="subscript"/>
        <sz val="10"/>
        <rFont val="ＭＳ 明朝"/>
        <family val="1"/>
        <charset val="128"/>
      </rPr>
      <t>g</t>
    </r>
    <phoneticPr fontId="1"/>
  </si>
  <si>
    <t>・</t>
    <phoneticPr fontId="1"/>
  </si>
  <si>
    <r>
      <t>群杭の水平地盤反力係数（kN/m</t>
    </r>
    <r>
      <rPr>
        <vertAlign val="superscript"/>
        <sz val="10"/>
        <rFont val="ＭＳ 明朝"/>
        <family val="1"/>
        <charset val="128"/>
      </rPr>
      <t>3</t>
    </r>
    <r>
      <rPr>
        <sz val="10"/>
        <rFont val="ＭＳ 明朝"/>
        <family val="1"/>
        <charset val="128"/>
      </rPr>
      <t>）</t>
    </r>
    <rPh sb="0" eb="1">
      <t>グン</t>
    </rPh>
    <rPh sb="1" eb="2">
      <t>クイ</t>
    </rPh>
    <rPh sb="3" eb="5">
      <t>スイヘイ</t>
    </rPh>
    <rPh sb="5" eb="7">
      <t>ジバン</t>
    </rPh>
    <rPh sb="7" eb="9">
      <t>ハンリョク</t>
    </rPh>
    <rPh sb="9" eb="11">
      <t>ケイスウ</t>
    </rPh>
    <phoneticPr fontId="1"/>
  </si>
  <si>
    <r>
      <t>単杭の水平地盤反力係数（kN/m</t>
    </r>
    <r>
      <rPr>
        <vertAlign val="superscript"/>
        <sz val="10"/>
        <rFont val="ＭＳ 明朝"/>
        <family val="1"/>
        <charset val="128"/>
      </rPr>
      <t>3</t>
    </r>
    <r>
      <rPr>
        <sz val="10"/>
        <rFont val="ＭＳ 明朝"/>
        <family val="1"/>
        <charset val="128"/>
      </rPr>
      <t>）</t>
    </r>
    <rPh sb="0" eb="1">
      <t>タン</t>
    </rPh>
    <rPh sb="1" eb="2">
      <t>クイ</t>
    </rPh>
    <rPh sb="3" eb="5">
      <t>スイヘイ</t>
    </rPh>
    <rPh sb="5" eb="7">
      <t>ジバン</t>
    </rPh>
    <rPh sb="7" eb="9">
      <t>ハンリョク</t>
    </rPh>
    <rPh sb="9" eb="11">
      <t>ケイスウ</t>
    </rPh>
    <phoneticPr fontId="1"/>
  </si>
  <si>
    <t>群杭の補正係数で、次式もしくは</t>
    <rPh sb="0" eb="1">
      <t>グン</t>
    </rPh>
    <rPh sb="1" eb="2">
      <t>クイ</t>
    </rPh>
    <rPh sb="3" eb="5">
      <t>ホセイ</t>
    </rPh>
    <rPh sb="5" eb="7">
      <t>ケイスウ</t>
    </rPh>
    <rPh sb="9" eb="11">
      <t>ジシキ</t>
    </rPh>
    <phoneticPr fontId="1"/>
  </si>
  <si>
    <t>用いて求める。</t>
    <rPh sb="0" eb="1">
      <t>モチ</t>
    </rPh>
    <rPh sb="3" eb="4">
      <t>モト</t>
    </rPh>
    <phoneticPr fontId="1"/>
  </si>
  <si>
    <t>ｋ</t>
    <phoneticPr fontId="1"/>
  </si>
  <si>
    <t>杭頭固定度（0.6とする）</t>
    <rPh sb="0" eb="2">
      <t>クイトウ</t>
    </rPh>
    <rPh sb="2" eb="4">
      <t>コテイ</t>
    </rPh>
    <rPh sb="4" eb="5">
      <t>ド</t>
    </rPh>
    <phoneticPr fontId="1"/>
  </si>
  <si>
    <t>ｄ</t>
  </si>
  <si>
    <t>ｄ</t>
    <phoneticPr fontId="1"/>
  </si>
  <si>
    <t>杭間隔係数で杭間隔が異なる場合は、次式による。</t>
    <rPh sb="0" eb="1">
      <t>クイ</t>
    </rPh>
    <rPh sb="1" eb="3">
      <t>カンカク</t>
    </rPh>
    <rPh sb="3" eb="5">
      <t>ケイスウ</t>
    </rPh>
    <rPh sb="6" eb="7">
      <t>クイ</t>
    </rPh>
    <rPh sb="7" eb="9">
      <t>カンカク</t>
    </rPh>
    <rPh sb="10" eb="11">
      <t>コト</t>
    </rPh>
    <rPh sb="13" eb="15">
      <t>バアイ</t>
    </rPh>
    <rPh sb="17" eb="19">
      <t>ジシキ</t>
    </rPh>
    <phoneticPr fontId="1"/>
  </si>
  <si>
    <r>
      <t>ｎＬ</t>
    </r>
    <r>
      <rPr>
        <vertAlign val="subscript"/>
        <sz val="10"/>
        <rFont val="ＭＳ 明朝"/>
        <family val="1"/>
        <charset val="128"/>
      </rPr>
      <t>n</t>
    </r>
    <phoneticPr fontId="1"/>
  </si>
  <si>
    <r>
      <t>ｍＬ</t>
    </r>
    <r>
      <rPr>
        <vertAlign val="subscript"/>
        <sz val="10"/>
        <rFont val="ＭＳ 明朝"/>
        <family val="1"/>
        <charset val="128"/>
      </rPr>
      <t>m</t>
    </r>
    <phoneticPr fontId="1"/>
  </si>
  <si>
    <t>（ｍ＋ｎ）</t>
    <phoneticPr fontId="1"/>
  </si>
  <si>
    <r>
      <t>Ｌ</t>
    </r>
    <r>
      <rPr>
        <vertAlign val="subscript"/>
        <sz val="10"/>
        <rFont val="ＭＳ 明朝"/>
        <family val="1"/>
        <charset val="128"/>
      </rPr>
      <t>m</t>
    </r>
    <phoneticPr fontId="1"/>
  </si>
  <si>
    <r>
      <t>Ｌ</t>
    </r>
    <r>
      <rPr>
        <vertAlign val="subscript"/>
        <sz val="10"/>
        <rFont val="ＭＳ 明朝"/>
        <family val="1"/>
        <charset val="128"/>
      </rPr>
      <t>n</t>
    </r>
    <phoneticPr fontId="1"/>
  </si>
  <si>
    <t>水平荷重の作用方向の杭本数</t>
    <rPh sb="0" eb="2">
      <t>スイヘイ</t>
    </rPh>
    <rPh sb="2" eb="4">
      <t>カジュウ</t>
    </rPh>
    <rPh sb="5" eb="7">
      <t>サヨウ</t>
    </rPh>
    <rPh sb="7" eb="9">
      <t>ホウコウ</t>
    </rPh>
    <rPh sb="10" eb="11">
      <t>クイ</t>
    </rPh>
    <rPh sb="11" eb="13">
      <t>ホンスウ</t>
    </rPh>
    <phoneticPr fontId="1"/>
  </si>
  <si>
    <t>水平荷重の作用直角方向の杭本数</t>
    <rPh sb="0" eb="2">
      <t>スイヘイ</t>
    </rPh>
    <rPh sb="2" eb="4">
      <t>カジュウ</t>
    </rPh>
    <rPh sb="5" eb="7">
      <t>サヨウ</t>
    </rPh>
    <rPh sb="7" eb="9">
      <t>チョッカク</t>
    </rPh>
    <rPh sb="9" eb="11">
      <t>ホウコウ</t>
    </rPh>
    <rPh sb="12" eb="13">
      <t>クイ</t>
    </rPh>
    <rPh sb="13" eb="15">
      <t>ホンスウ</t>
    </rPh>
    <phoneticPr fontId="1"/>
  </si>
  <si>
    <t>ｍ</t>
    <phoneticPr fontId="1"/>
  </si>
  <si>
    <t>ｎ</t>
    <phoneticPr fontId="1"/>
  </si>
  <si>
    <t>水平荷重の作用方向の杭中心間隔（m）</t>
    <rPh sb="0" eb="2">
      <t>スイヘイ</t>
    </rPh>
    <rPh sb="2" eb="4">
      <t>カジュウ</t>
    </rPh>
    <rPh sb="5" eb="7">
      <t>サヨウ</t>
    </rPh>
    <rPh sb="7" eb="9">
      <t>ホウコウ</t>
    </rPh>
    <rPh sb="10" eb="11">
      <t>クイ</t>
    </rPh>
    <rPh sb="11" eb="13">
      <t>チュウシン</t>
    </rPh>
    <rPh sb="13" eb="15">
      <t>カンカク</t>
    </rPh>
    <phoneticPr fontId="1"/>
  </si>
  <si>
    <t>水平荷重の作用直角方向の杭中心間隔（m）</t>
    <rPh sb="0" eb="2">
      <t>スイヘイ</t>
    </rPh>
    <rPh sb="2" eb="4">
      <t>カジュウ</t>
    </rPh>
    <rPh sb="5" eb="7">
      <t>サヨウ</t>
    </rPh>
    <rPh sb="7" eb="9">
      <t>チョッカク</t>
    </rPh>
    <rPh sb="9" eb="11">
      <t>ホウコウ</t>
    </rPh>
    <rPh sb="12" eb="13">
      <t>クイ</t>
    </rPh>
    <rPh sb="13" eb="15">
      <t>チュウシン</t>
    </rPh>
    <rPh sb="15" eb="17">
      <t>カンカク</t>
    </rPh>
    <phoneticPr fontId="1"/>
  </si>
  <si>
    <t>橋軸直角</t>
    <rPh sb="0" eb="2">
      <t>キョウジク</t>
    </rPh>
    <rPh sb="2" eb="4">
      <t>チョッカク</t>
    </rPh>
    <phoneticPr fontId="1"/>
  </si>
  <si>
    <t>橋　軸</t>
    <rPh sb="0" eb="1">
      <t>キョウ</t>
    </rPh>
    <rPh sb="2" eb="3">
      <t>ジク</t>
    </rPh>
    <phoneticPr fontId="1"/>
  </si>
  <si>
    <t>ｍ（本）</t>
    <rPh sb="2" eb="3">
      <t>ホン</t>
    </rPh>
    <phoneticPr fontId="1"/>
  </si>
  <si>
    <t>ｎ（本）</t>
    <rPh sb="2" eb="3">
      <t>ホン</t>
    </rPh>
    <phoneticPr fontId="1"/>
  </si>
  <si>
    <r>
      <t>Ｌ</t>
    </r>
    <r>
      <rPr>
        <vertAlign val="subscript"/>
        <sz val="10"/>
        <rFont val="ＭＳ 明朝"/>
        <family val="1"/>
        <charset val="128"/>
      </rPr>
      <t>m</t>
    </r>
    <r>
      <rPr>
        <sz val="10"/>
        <rFont val="ＭＳ 明朝"/>
        <family val="1"/>
        <charset val="128"/>
      </rPr>
      <t>（本）</t>
    </r>
    <rPh sb="3" eb="4">
      <t>ホン</t>
    </rPh>
    <phoneticPr fontId="1"/>
  </si>
  <si>
    <r>
      <t>Ｌ</t>
    </r>
    <r>
      <rPr>
        <vertAlign val="subscript"/>
        <sz val="10"/>
        <rFont val="ＭＳ 明朝"/>
        <family val="1"/>
        <charset val="128"/>
      </rPr>
      <t>n</t>
    </r>
    <r>
      <rPr>
        <sz val="10"/>
        <rFont val="ＭＳ 明朝"/>
        <family val="1"/>
        <charset val="128"/>
      </rPr>
      <t>（本）</t>
    </r>
    <rPh sb="3" eb="4">
      <t>ホン</t>
    </rPh>
    <phoneticPr fontId="1"/>
  </si>
  <si>
    <t>Ｄ（m）</t>
    <phoneticPr fontId="1"/>
  </si>
  <si>
    <r>
      <t>ｅ</t>
    </r>
    <r>
      <rPr>
        <vertAlign val="subscript"/>
        <sz val="10"/>
        <rFont val="ＭＳ 明朝"/>
        <family val="1"/>
        <charset val="128"/>
      </rPr>
      <t>g</t>
    </r>
    <phoneticPr fontId="1"/>
  </si>
  <si>
    <r>
      <t>[1 - 5 {1 -(0.6 - 0.25k)d</t>
    </r>
    <r>
      <rPr>
        <vertAlign val="superscript"/>
        <sz val="10"/>
        <rFont val="ＭＳ 明朝"/>
        <family val="1"/>
        <charset val="128"/>
      </rPr>
      <t xml:space="preserve">(0.3+0.2k) </t>
    </r>
    <r>
      <rPr>
        <sz val="10"/>
        <rFont val="ＭＳ 明朝"/>
        <family val="1"/>
        <charset val="128"/>
      </rPr>
      <t>}×{1 - m</t>
    </r>
    <r>
      <rPr>
        <vertAlign val="superscript"/>
        <sz val="10"/>
        <rFont val="ＭＳ 明朝"/>
        <family val="1"/>
        <charset val="128"/>
      </rPr>
      <t>-0.22</t>
    </r>
    <r>
      <rPr>
        <sz val="10"/>
        <rFont val="ＭＳ 明朝"/>
        <family val="1"/>
        <charset val="128"/>
      </rPr>
      <t>n</t>
    </r>
    <r>
      <rPr>
        <vertAlign val="superscript"/>
        <sz val="10"/>
        <rFont val="ＭＳ 明朝"/>
        <family val="1"/>
        <charset val="128"/>
      </rPr>
      <t>-0.09</t>
    </r>
    <r>
      <rPr>
        <sz val="10"/>
        <rFont val="ＭＳ 明朝"/>
        <family val="1"/>
        <charset val="128"/>
      </rPr>
      <t>}]</t>
    </r>
    <r>
      <rPr>
        <vertAlign val="superscript"/>
        <sz val="10"/>
        <rFont val="ＭＳ 明朝"/>
        <family val="1"/>
        <charset val="128"/>
      </rPr>
      <t>4/3</t>
    </r>
    <phoneticPr fontId="1"/>
  </si>
  <si>
    <t>(3) 地盤ばね定数の計算　【基礎標準 第Ⅱ編 15.2.2.2】</t>
    <rPh sb="4" eb="6">
      <t>ジバン</t>
    </rPh>
    <rPh sb="8" eb="10">
      <t>テイスウ</t>
    </rPh>
    <rPh sb="11" eb="13">
      <t>ケイサン</t>
    </rPh>
    <rPh sb="15" eb="17">
      <t>キソ</t>
    </rPh>
    <rPh sb="17" eb="19">
      <t>ヒョウジュン</t>
    </rPh>
    <rPh sb="20" eb="21">
      <t>ダイ</t>
    </rPh>
    <rPh sb="22" eb="23">
      <t>ヘン</t>
    </rPh>
    <phoneticPr fontId="1"/>
  </si>
  <si>
    <t>(a) 杭先端の鉛直地盤ばね定数（場所打ち杭工法）</t>
    <rPh sb="4" eb="5">
      <t>クイ</t>
    </rPh>
    <rPh sb="5" eb="7">
      <t>センタン</t>
    </rPh>
    <rPh sb="8" eb="10">
      <t>エンチョク</t>
    </rPh>
    <rPh sb="10" eb="12">
      <t>ジバン</t>
    </rPh>
    <rPh sb="14" eb="16">
      <t>テイスウ</t>
    </rPh>
    <rPh sb="17" eb="19">
      <t>バショ</t>
    </rPh>
    <rPh sb="19" eb="20">
      <t>ウ</t>
    </rPh>
    <rPh sb="21" eb="22">
      <t>クイ</t>
    </rPh>
    <rPh sb="22" eb="24">
      <t>コウホウ</t>
    </rPh>
    <phoneticPr fontId="1"/>
  </si>
  <si>
    <r>
      <t>ｋ</t>
    </r>
    <r>
      <rPr>
        <vertAlign val="subscript"/>
        <sz val="10"/>
        <rFont val="ＭＳ 明朝"/>
        <family val="1"/>
        <charset val="128"/>
      </rPr>
      <t>tv</t>
    </r>
    <phoneticPr fontId="1"/>
  </si>
  <si>
    <r>
      <t>K</t>
    </r>
    <r>
      <rPr>
        <vertAlign val="subscript"/>
        <sz val="10"/>
        <rFont val="ＭＳ 明朝"/>
        <family val="1"/>
        <charset val="128"/>
      </rPr>
      <t>tv</t>
    </r>
    <phoneticPr fontId="1"/>
  </si>
  <si>
    <r>
      <t>Ａ</t>
    </r>
    <r>
      <rPr>
        <vertAlign val="subscript"/>
        <sz val="10"/>
        <rFont val="ＭＳ 明朝"/>
        <family val="1"/>
        <charset val="128"/>
      </rPr>
      <t>v</t>
    </r>
    <phoneticPr fontId="1"/>
  </si>
  <si>
    <t>杭先端の鉛直地盤ばね定数（kN/m）</t>
    <rPh sb="0" eb="1">
      <t>クイ</t>
    </rPh>
    <rPh sb="1" eb="3">
      <t>センタン</t>
    </rPh>
    <rPh sb="4" eb="6">
      <t>エンチョク</t>
    </rPh>
    <rPh sb="6" eb="8">
      <t>ジバン</t>
    </rPh>
    <rPh sb="10" eb="12">
      <t>テイスウ</t>
    </rPh>
    <phoneticPr fontId="1"/>
  </si>
  <si>
    <r>
      <t>杭先端の面積（m</t>
    </r>
    <r>
      <rPr>
        <vertAlign val="superscript"/>
        <sz val="10"/>
        <rFont val="ＭＳ 明朝"/>
        <family val="1"/>
        <charset val="128"/>
      </rPr>
      <t>2</t>
    </r>
    <r>
      <rPr>
        <sz val="10"/>
        <rFont val="ＭＳ 明朝"/>
        <family val="1"/>
        <charset val="128"/>
      </rPr>
      <t>）</t>
    </r>
    <rPh sb="0" eb="1">
      <t>クイ</t>
    </rPh>
    <rPh sb="1" eb="3">
      <t>センタン</t>
    </rPh>
    <rPh sb="4" eb="6">
      <t>メンセキ</t>
    </rPh>
    <phoneticPr fontId="1"/>
  </si>
  <si>
    <t>π</t>
    <phoneticPr fontId="1"/>
  </si>
  <si>
    <t>×</t>
    <phoneticPr fontId="1"/>
  </si>
  <si>
    <r>
      <t>m</t>
    </r>
    <r>
      <rPr>
        <vertAlign val="superscript"/>
        <sz val="10"/>
        <rFont val="ＭＳ 明朝"/>
        <family val="1"/>
        <charset val="128"/>
      </rPr>
      <t>2</t>
    </r>
    <phoneticPr fontId="1"/>
  </si>
  <si>
    <t>杭先端の公称径</t>
    <rPh sb="0" eb="1">
      <t>クイ</t>
    </rPh>
    <rPh sb="1" eb="3">
      <t>センタン</t>
    </rPh>
    <rPh sb="4" eb="6">
      <t>コウショウ</t>
    </rPh>
    <rPh sb="6" eb="7">
      <t>ケイ</t>
    </rPh>
    <phoneticPr fontId="1"/>
  </si>
  <si>
    <t>（</t>
    <phoneticPr fontId="1"/>
  </si>
  <si>
    <t>m）</t>
    <phoneticPr fontId="1"/>
  </si>
  <si>
    <t>表1.1.2.9(1) 杭先端の鉛直地盤ばね定数（長期）</t>
    <rPh sb="0" eb="1">
      <t>ヒョウ</t>
    </rPh>
    <rPh sb="12" eb="13">
      <t>クイ</t>
    </rPh>
    <rPh sb="13" eb="15">
      <t>センタン</t>
    </rPh>
    <rPh sb="16" eb="18">
      <t>エンチョク</t>
    </rPh>
    <rPh sb="18" eb="20">
      <t>ジバン</t>
    </rPh>
    <rPh sb="22" eb="24">
      <t>テイスウ</t>
    </rPh>
    <rPh sb="25" eb="27">
      <t>チョウキ</t>
    </rPh>
    <phoneticPr fontId="1"/>
  </si>
  <si>
    <r>
      <t>Ａ</t>
    </r>
    <r>
      <rPr>
        <vertAlign val="subscript"/>
        <sz val="10"/>
        <rFont val="ＭＳ 明朝"/>
        <family val="1"/>
        <charset val="128"/>
      </rPr>
      <t>v</t>
    </r>
    <r>
      <rPr>
        <sz val="10"/>
        <rFont val="ＭＳ 明朝"/>
        <family val="1"/>
        <charset val="128"/>
      </rPr>
      <t>（m</t>
    </r>
    <r>
      <rPr>
        <vertAlign val="superscript"/>
        <sz val="10"/>
        <rFont val="ＭＳ 明朝"/>
        <family val="1"/>
        <charset val="128"/>
      </rPr>
      <t>2</t>
    </r>
    <r>
      <rPr>
        <sz val="10"/>
        <rFont val="ＭＳ 明朝"/>
        <family val="1"/>
        <charset val="128"/>
      </rPr>
      <t>）</t>
    </r>
    <phoneticPr fontId="1"/>
  </si>
  <si>
    <r>
      <t>Ｋ</t>
    </r>
    <r>
      <rPr>
        <vertAlign val="subscript"/>
        <sz val="10"/>
        <rFont val="ＭＳ 明朝"/>
        <family val="1"/>
        <charset val="128"/>
      </rPr>
      <t>tv</t>
    </r>
    <r>
      <rPr>
        <sz val="10"/>
        <rFont val="ＭＳ 明朝"/>
        <family val="1"/>
        <charset val="128"/>
      </rPr>
      <t>（kN/m</t>
    </r>
    <r>
      <rPr>
        <sz val="10"/>
        <rFont val="ＭＳ 明朝"/>
        <family val="1"/>
        <charset val="128"/>
      </rPr>
      <t>）</t>
    </r>
    <phoneticPr fontId="1"/>
  </si>
  <si>
    <t>表1.1.2.9(2) 杭先端の鉛直地盤ばね定数（短期）</t>
    <rPh sb="0" eb="1">
      <t>ヒョウ</t>
    </rPh>
    <rPh sb="12" eb="13">
      <t>クイ</t>
    </rPh>
    <rPh sb="13" eb="15">
      <t>センタン</t>
    </rPh>
    <rPh sb="16" eb="18">
      <t>エンチョク</t>
    </rPh>
    <rPh sb="18" eb="20">
      <t>ジバン</t>
    </rPh>
    <rPh sb="22" eb="24">
      <t>テイスウ</t>
    </rPh>
    <rPh sb="25" eb="27">
      <t>タンキ</t>
    </rPh>
    <phoneticPr fontId="1"/>
  </si>
  <si>
    <t>(b) 杭周面の鉛直せん断地盤ばね定数</t>
    <rPh sb="4" eb="5">
      <t>クイ</t>
    </rPh>
    <rPh sb="5" eb="7">
      <t>シュウメン</t>
    </rPh>
    <rPh sb="8" eb="10">
      <t>エンチョク</t>
    </rPh>
    <rPh sb="12" eb="13">
      <t>ダン</t>
    </rPh>
    <rPh sb="13" eb="15">
      <t>ジバン</t>
    </rPh>
    <rPh sb="17" eb="19">
      <t>テイスウ</t>
    </rPh>
    <phoneticPr fontId="1"/>
  </si>
  <si>
    <t>杭周面の鉛直せん断地盤ばね定数は、次式により算定する。</t>
    <rPh sb="0" eb="1">
      <t>クイ</t>
    </rPh>
    <rPh sb="1" eb="3">
      <t>シュウメン</t>
    </rPh>
    <rPh sb="4" eb="6">
      <t>エンチョク</t>
    </rPh>
    <rPh sb="8" eb="9">
      <t>ダン</t>
    </rPh>
    <rPh sb="9" eb="11">
      <t>ジバン</t>
    </rPh>
    <rPh sb="13" eb="15">
      <t>テイスウ</t>
    </rPh>
    <rPh sb="17" eb="19">
      <t>ジシキ</t>
    </rPh>
    <rPh sb="22" eb="24">
      <t>サンテイ</t>
    </rPh>
    <phoneticPr fontId="1"/>
  </si>
  <si>
    <r>
      <t>K</t>
    </r>
    <r>
      <rPr>
        <vertAlign val="subscript"/>
        <sz val="10"/>
        <rFont val="ＭＳ 明朝"/>
        <family val="1"/>
        <charset val="128"/>
      </rPr>
      <t>fv</t>
    </r>
    <phoneticPr fontId="1"/>
  </si>
  <si>
    <r>
      <t>ｋ</t>
    </r>
    <r>
      <rPr>
        <vertAlign val="subscript"/>
        <sz val="10"/>
        <rFont val="ＭＳ 明朝"/>
        <family val="1"/>
        <charset val="128"/>
      </rPr>
      <t>fv</t>
    </r>
    <phoneticPr fontId="1"/>
  </si>
  <si>
    <t>Ｕ</t>
    <phoneticPr fontId="1"/>
  </si>
  <si>
    <t>Δ1</t>
    <phoneticPr fontId="1"/>
  </si>
  <si>
    <t>杭周面の鉛直せん断地盤ばね定数（kN/m）</t>
    <rPh sb="0" eb="1">
      <t>クイ</t>
    </rPh>
    <rPh sb="1" eb="3">
      <t>シュウメン</t>
    </rPh>
    <rPh sb="4" eb="6">
      <t>エンチョク</t>
    </rPh>
    <rPh sb="8" eb="9">
      <t>ダン</t>
    </rPh>
    <rPh sb="9" eb="11">
      <t>ジバン</t>
    </rPh>
    <rPh sb="13" eb="15">
      <t>テイスウ</t>
    </rPh>
    <phoneticPr fontId="1"/>
  </si>
  <si>
    <r>
      <t>杭周面の鉛直せん断地盤反力係数（kN/m</t>
    </r>
    <r>
      <rPr>
        <vertAlign val="superscript"/>
        <sz val="10"/>
        <rFont val="ＭＳ 明朝"/>
        <family val="1"/>
        <charset val="128"/>
      </rPr>
      <t>3</t>
    </r>
    <r>
      <rPr>
        <sz val="10"/>
        <rFont val="ＭＳ 明朝"/>
        <family val="1"/>
        <charset val="128"/>
      </rPr>
      <t>）</t>
    </r>
    <rPh sb="0" eb="1">
      <t>クイ</t>
    </rPh>
    <rPh sb="1" eb="3">
      <t>シュウメン</t>
    </rPh>
    <rPh sb="4" eb="6">
      <t>エンチョク</t>
    </rPh>
    <rPh sb="8" eb="9">
      <t>ダン</t>
    </rPh>
    <rPh sb="9" eb="11">
      <t>ジバン</t>
    </rPh>
    <rPh sb="11" eb="13">
      <t>ハンリョク</t>
    </rPh>
    <rPh sb="13" eb="15">
      <t>ケイスウ</t>
    </rPh>
    <phoneticPr fontId="1"/>
  </si>
  <si>
    <r>
      <t>杭の周長（m</t>
    </r>
    <r>
      <rPr>
        <sz val="10"/>
        <rFont val="ＭＳ 明朝"/>
        <family val="1"/>
        <charset val="128"/>
      </rPr>
      <t>）</t>
    </r>
    <rPh sb="0" eb="1">
      <t>クイ</t>
    </rPh>
    <rPh sb="2" eb="4">
      <t>シュウチョウ</t>
    </rPh>
    <phoneticPr fontId="1"/>
  </si>
  <si>
    <t>杭の直径</t>
    <rPh sb="0" eb="1">
      <t>クイ</t>
    </rPh>
    <rPh sb="2" eb="4">
      <t>チョッケイ</t>
    </rPh>
    <phoneticPr fontId="1"/>
  </si>
  <si>
    <t>杭周面の鉛直せん断地盤ばね定数を算定する区間長さ（m）</t>
    <rPh sb="0" eb="1">
      <t>クイ</t>
    </rPh>
    <rPh sb="1" eb="3">
      <t>シュウメン</t>
    </rPh>
    <rPh sb="4" eb="6">
      <t>エンチョク</t>
    </rPh>
    <rPh sb="8" eb="9">
      <t>ダン</t>
    </rPh>
    <rPh sb="9" eb="11">
      <t>ジバン</t>
    </rPh>
    <rPh sb="13" eb="15">
      <t>テイスウ</t>
    </rPh>
    <rPh sb="16" eb="18">
      <t>サンテイ</t>
    </rPh>
    <rPh sb="20" eb="22">
      <t>クカン</t>
    </rPh>
    <rPh sb="22" eb="23">
      <t>ナガ</t>
    </rPh>
    <phoneticPr fontId="1"/>
  </si>
  <si>
    <t>なお、杭周面のせん断ばねについては、以下の範囲では考慮しない。</t>
    <rPh sb="3" eb="4">
      <t>クイ</t>
    </rPh>
    <rPh sb="4" eb="6">
      <t>シュウメン</t>
    </rPh>
    <rPh sb="9" eb="10">
      <t>ダン</t>
    </rPh>
    <rPh sb="18" eb="20">
      <t>イカ</t>
    </rPh>
    <rPh sb="21" eb="23">
      <t>ハンイ</t>
    </rPh>
    <rPh sb="25" eb="27">
      <t>コウリョ</t>
    </rPh>
    <phoneticPr fontId="1"/>
  </si>
  <si>
    <t>【基礎標準 第Ⅱ編 15.2.2.1】</t>
    <phoneticPr fontId="1"/>
  </si>
  <si>
    <t>1)</t>
    <phoneticPr fontId="1"/>
  </si>
  <si>
    <t>2)</t>
  </si>
  <si>
    <t>3)</t>
  </si>
  <si>
    <t>照査において、その土層とそれより上方の土層の杭周面のせん断地盤抵抗を無視する。</t>
    <rPh sb="0" eb="2">
      <t>ショウサ</t>
    </rPh>
    <rPh sb="9" eb="11">
      <t>ドソウ</t>
    </rPh>
    <rPh sb="16" eb="18">
      <t>ジョウホウ</t>
    </rPh>
    <rPh sb="19" eb="21">
      <t>ドソウ</t>
    </rPh>
    <rPh sb="22" eb="23">
      <t>クイ</t>
    </rPh>
    <rPh sb="23" eb="25">
      <t>シュウメン</t>
    </rPh>
    <rPh sb="28" eb="29">
      <t>ダン</t>
    </rPh>
    <rPh sb="29" eb="31">
      <t>ジバン</t>
    </rPh>
    <rPh sb="31" eb="33">
      <t>テイコウ</t>
    </rPh>
    <rPh sb="34" eb="36">
      <t>ムシ</t>
    </rPh>
    <phoneticPr fontId="1"/>
  </si>
  <si>
    <t>杭の水平変位が大きくなる地震時においては、杭頭から1/β（β：杭の特性値で</t>
    <rPh sb="0" eb="1">
      <t>クイ</t>
    </rPh>
    <rPh sb="2" eb="4">
      <t>スイヘイ</t>
    </rPh>
    <rPh sb="4" eb="6">
      <t>ヘンイ</t>
    </rPh>
    <rPh sb="7" eb="8">
      <t>オオ</t>
    </rPh>
    <rPh sb="12" eb="15">
      <t>ジシンジ</t>
    </rPh>
    <rPh sb="21" eb="23">
      <t>クイトウ</t>
    </rPh>
    <rPh sb="31" eb="32">
      <t>クイ</t>
    </rPh>
    <rPh sb="33" eb="36">
      <t>トクセイチ</t>
    </rPh>
    <phoneticPr fontId="1"/>
  </si>
  <si>
    <r>
      <t>β＝</t>
    </r>
    <r>
      <rPr>
        <vertAlign val="superscript"/>
        <sz val="10"/>
        <rFont val="ＭＳ 明朝"/>
        <family val="1"/>
        <charset val="128"/>
      </rPr>
      <t>4</t>
    </r>
    <r>
      <rPr>
        <sz val="10"/>
        <rFont val="ＭＳ 明朝"/>
        <family val="1"/>
        <charset val="128"/>
      </rPr>
      <t>√ｋ</t>
    </r>
    <r>
      <rPr>
        <vertAlign val="subscript"/>
        <sz val="10"/>
        <rFont val="ＭＳ 明朝"/>
        <family val="1"/>
        <charset val="128"/>
      </rPr>
      <t>hg</t>
    </r>
    <r>
      <rPr>
        <sz val="10"/>
        <rFont val="ＭＳ 明朝"/>
        <family val="1"/>
        <charset val="128"/>
      </rPr>
      <t>Ｄ/4ＥＩ）の深さまでの杭周面の鉛直せん断地盤抵抗を考慮しないものとする。</t>
    </r>
    <rPh sb="14" eb="15">
      <t>フカ</t>
    </rPh>
    <rPh sb="19" eb="20">
      <t>クイ</t>
    </rPh>
    <rPh sb="20" eb="22">
      <t>シュウメン</t>
    </rPh>
    <rPh sb="23" eb="25">
      <t>エンチョク</t>
    </rPh>
    <rPh sb="27" eb="28">
      <t>ダン</t>
    </rPh>
    <rPh sb="28" eb="30">
      <t>ジバン</t>
    </rPh>
    <rPh sb="30" eb="32">
      <t>テイコウ</t>
    </rPh>
    <rPh sb="33" eb="35">
      <t>コウリョ</t>
    </rPh>
    <phoneticPr fontId="1"/>
  </si>
  <si>
    <r>
      <t>一軸圧縮強さが50kN/m</t>
    </r>
    <r>
      <rPr>
        <vertAlign val="superscript"/>
        <sz val="10"/>
        <rFont val="ＭＳ 明朝"/>
        <family val="1"/>
        <charset val="128"/>
      </rPr>
      <t>2</t>
    </r>
    <r>
      <rPr>
        <sz val="10"/>
        <rFont val="ＭＳ 明朝"/>
        <family val="1"/>
        <charset val="128"/>
      </rPr>
      <t>未満の軟弱な粘性土層である場合は、杭基礎の長期支持性能の</t>
    </r>
    <rPh sb="0" eb="1">
      <t>イチ</t>
    </rPh>
    <rPh sb="1" eb="2">
      <t>ジク</t>
    </rPh>
    <rPh sb="2" eb="4">
      <t>アッシュク</t>
    </rPh>
    <rPh sb="4" eb="5">
      <t>ツヨ</t>
    </rPh>
    <rPh sb="14" eb="16">
      <t>ミマン</t>
    </rPh>
    <rPh sb="17" eb="19">
      <t>ナンジャク</t>
    </rPh>
    <rPh sb="20" eb="22">
      <t>ネンセイ</t>
    </rPh>
    <rPh sb="22" eb="24">
      <t>ドソウ</t>
    </rPh>
    <rPh sb="27" eb="29">
      <t>バアイ</t>
    </rPh>
    <rPh sb="31" eb="32">
      <t>クイ</t>
    </rPh>
    <rPh sb="32" eb="34">
      <t>キソ</t>
    </rPh>
    <rPh sb="35" eb="37">
      <t>チョウキ</t>
    </rPh>
    <rPh sb="37" eb="39">
      <t>シジ</t>
    </rPh>
    <rPh sb="39" eb="41">
      <t>セイノウ</t>
    </rPh>
    <phoneticPr fontId="1"/>
  </si>
  <si>
    <t>1/βの位置</t>
    <rPh sb="4" eb="6">
      <t>イチ</t>
    </rPh>
    <phoneticPr fontId="1"/>
  </si>
  <si>
    <t>βは、次式により求める。</t>
    <rPh sb="3" eb="5">
      <t>ジシキ</t>
    </rPh>
    <rPh sb="8" eb="9">
      <t>モト</t>
    </rPh>
    <phoneticPr fontId="1"/>
  </si>
  <si>
    <t>ＥＩ</t>
    <phoneticPr fontId="1"/>
  </si>
  <si>
    <t>Ｅ</t>
    <phoneticPr fontId="1"/>
  </si>
  <si>
    <t>Ｉ</t>
    <phoneticPr fontId="1"/>
  </si>
  <si>
    <r>
      <t>杭の特性値（m</t>
    </r>
    <r>
      <rPr>
        <vertAlign val="superscript"/>
        <sz val="10"/>
        <rFont val="ＭＳ 明朝"/>
        <family val="1"/>
        <charset val="128"/>
      </rPr>
      <t>-1</t>
    </r>
    <r>
      <rPr>
        <sz val="10"/>
        <rFont val="ＭＳ 明朝"/>
        <family val="1"/>
        <charset val="128"/>
      </rPr>
      <t>）</t>
    </r>
    <rPh sb="0" eb="1">
      <t>クイ</t>
    </rPh>
    <rPh sb="2" eb="5">
      <t>トクセイチ</t>
    </rPh>
    <phoneticPr fontId="1"/>
  </si>
  <si>
    <r>
      <t>杭の曲げ剛性（kN･m</t>
    </r>
    <r>
      <rPr>
        <vertAlign val="superscript"/>
        <sz val="10"/>
        <rFont val="ＭＳ 明朝"/>
        <family val="1"/>
        <charset val="128"/>
      </rPr>
      <t>2</t>
    </r>
    <r>
      <rPr>
        <sz val="10"/>
        <rFont val="ＭＳ 明朝"/>
        <family val="1"/>
        <charset val="128"/>
      </rPr>
      <t>）</t>
    </r>
    <rPh sb="0" eb="1">
      <t>クイ</t>
    </rPh>
    <rPh sb="2" eb="3">
      <t>マ</t>
    </rPh>
    <rPh sb="4" eb="6">
      <t>ゴウセイ</t>
    </rPh>
    <phoneticPr fontId="1"/>
  </si>
  <si>
    <r>
      <t>ヤング係数（kN/m</t>
    </r>
    <r>
      <rPr>
        <vertAlign val="superscript"/>
        <sz val="10"/>
        <rFont val="ＭＳ 明朝"/>
        <family val="1"/>
        <charset val="128"/>
      </rPr>
      <t>2</t>
    </r>
    <r>
      <rPr>
        <sz val="10"/>
        <rFont val="ＭＳ 明朝"/>
        <family val="1"/>
        <charset val="128"/>
      </rPr>
      <t>）</t>
    </r>
    <rPh sb="3" eb="5">
      <t>ケイスウ</t>
    </rPh>
    <phoneticPr fontId="1"/>
  </si>
  <si>
    <r>
      <t>断面二次モーメント（m</t>
    </r>
    <r>
      <rPr>
        <vertAlign val="superscript"/>
        <sz val="10"/>
        <rFont val="ＭＳ 明朝"/>
        <family val="1"/>
        <charset val="128"/>
      </rPr>
      <t>4</t>
    </r>
    <r>
      <rPr>
        <sz val="10"/>
        <rFont val="ＭＳ 明朝"/>
        <family val="1"/>
        <charset val="128"/>
      </rPr>
      <t>）</t>
    </r>
    <rPh sb="0" eb="2">
      <t>ダンメン</t>
    </rPh>
    <rPh sb="2" eb="4">
      <t>ニジ</t>
    </rPh>
    <phoneticPr fontId="1"/>
  </si>
  <si>
    <r>
      <t>kN/mm</t>
    </r>
    <r>
      <rPr>
        <vertAlign val="superscript"/>
        <sz val="10"/>
        <rFont val="ＭＳ 明朝"/>
        <family val="1"/>
        <charset val="128"/>
      </rPr>
      <t>2</t>
    </r>
    <phoneticPr fontId="1"/>
  </si>
  <si>
    <r>
      <t>kN/m</t>
    </r>
    <r>
      <rPr>
        <vertAlign val="superscript"/>
        <sz val="10"/>
        <rFont val="ＭＳ 明朝"/>
        <family val="1"/>
        <charset val="128"/>
      </rPr>
      <t>2</t>
    </r>
    <r>
      <rPr>
        <sz val="10"/>
        <rFont val="ＭＳ 明朝"/>
        <family val="1"/>
        <charset val="128"/>
      </rPr>
      <t>）</t>
    </r>
    <phoneticPr fontId="1"/>
  </si>
  <si>
    <t>）</t>
    <phoneticPr fontId="1"/>
  </si>
  <si>
    <t>表1.1.2.10 各層の杭の特性値β</t>
    <rPh sb="0" eb="1">
      <t>ヒョウ</t>
    </rPh>
    <rPh sb="10" eb="11">
      <t>カク</t>
    </rPh>
    <rPh sb="13" eb="14">
      <t>クイ</t>
    </rPh>
    <rPh sb="15" eb="18">
      <t>トクセイチ</t>
    </rPh>
    <phoneticPr fontId="1"/>
  </si>
  <si>
    <r>
      <t>ｋ</t>
    </r>
    <r>
      <rPr>
        <vertAlign val="subscript"/>
        <sz val="10"/>
        <rFont val="ＭＳ 明朝"/>
        <family val="1"/>
        <charset val="128"/>
      </rPr>
      <t xml:space="preserve">hg
</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</si>
  <si>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t>層厚
ｌ（m）</t>
    <rPh sb="0" eb="2">
      <t>ソウアツ</t>
    </rPh>
    <phoneticPr fontId="1"/>
  </si>
  <si>
    <r>
      <t>ｋ</t>
    </r>
    <r>
      <rPr>
        <vertAlign val="subscript"/>
        <sz val="10"/>
        <rFont val="ＭＳ 明朝"/>
        <family val="1"/>
        <charset val="128"/>
      </rPr>
      <t>hg</t>
    </r>
    <r>
      <rPr>
        <sz val="10"/>
        <rFont val="ＭＳ 明朝"/>
        <family val="1"/>
        <charset val="128"/>
      </rPr>
      <t>･Ｄ</t>
    </r>
    <r>
      <rPr>
        <vertAlign val="subscript"/>
        <sz val="10"/>
        <rFont val="ＭＳ 明朝"/>
        <family val="1"/>
        <charset val="128"/>
      </rPr>
      <t xml:space="preserve">
</t>
    </r>
    <r>
      <rPr>
        <sz val="10"/>
        <rFont val="ＭＳ 明朝"/>
        <family val="1"/>
        <charset val="128"/>
      </rPr>
      <t>（kN/m</t>
    </r>
    <r>
      <rPr>
        <vertAlign val="superscript"/>
        <sz val="10"/>
        <rFont val="ＭＳ 明朝"/>
        <family val="1"/>
        <charset val="128"/>
      </rPr>
      <t>2</t>
    </r>
    <r>
      <rPr>
        <sz val="10"/>
        <rFont val="ＭＳ 明朝"/>
        <family val="1"/>
        <charset val="128"/>
      </rPr>
      <t>）</t>
    </r>
    <phoneticPr fontId="1"/>
  </si>
  <si>
    <r>
      <t>β</t>
    </r>
    <r>
      <rPr>
        <vertAlign val="subscript"/>
        <sz val="10"/>
        <rFont val="ＭＳ 明朝"/>
        <family val="1"/>
        <charset val="128"/>
      </rPr>
      <t xml:space="preserve">
</t>
    </r>
    <r>
      <rPr>
        <sz val="10"/>
        <rFont val="ＭＳ 明朝"/>
        <family val="1"/>
        <charset val="128"/>
      </rPr>
      <t>（l/m）</t>
    </r>
    <phoneticPr fontId="1"/>
  </si>
  <si>
    <t>β･ｌ</t>
    <phoneticPr fontId="1"/>
  </si>
  <si>
    <t>Σ(β･ｌ)</t>
    <phoneticPr fontId="1"/>
  </si>
  <si>
    <r>
      <t>ｋ</t>
    </r>
    <r>
      <rPr>
        <vertAlign val="subscript"/>
        <sz val="10"/>
        <rFont val="ＭＳ 明朝"/>
        <family val="1"/>
        <charset val="128"/>
      </rPr>
      <t>hg</t>
    </r>
    <r>
      <rPr>
        <sz val="10"/>
        <rFont val="ＭＳ 明朝"/>
        <family val="1"/>
        <charset val="128"/>
      </rPr>
      <t>･Ｄ/4ＥＩ</t>
    </r>
    <r>
      <rPr>
        <vertAlign val="subscript"/>
        <sz val="10"/>
        <rFont val="ＭＳ 明朝"/>
        <family val="1"/>
        <charset val="128"/>
      </rPr>
      <t xml:space="preserve">
</t>
    </r>
    <r>
      <rPr>
        <sz val="10"/>
        <rFont val="ＭＳ 明朝"/>
        <family val="1"/>
        <charset val="128"/>
      </rPr>
      <t>（l/m</t>
    </r>
    <r>
      <rPr>
        <vertAlign val="superscript"/>
        <sz val="10"/>
        <rFont val="ＭＳ 明朝"/>
        <family val="1"/>
        <charset val="128"/>
      </rPr>
      <t>4</t>
    </r>
    <r>
      <rPr>
        <sz val="10"/>
        <rFont val="ＭＳ 明朝"/>
        <family val="1"/>
        <charset val="128"/>
      </rPr>
      <t>）</t>
    </r>
    <phoneticPr fontId="1"/>
  </si>
  <si>
    <t>ＥＩ</t>
    <phoneticPr fontId="1"/>
  </si>
  <si>
    <r>
      <t>kN･m</t>
    </r>
    <r>
      <rPr>
        <vertAlign val="superscript"/>
        <sz val="10"/>
        <rFont val="ＭＳ 明朝"/>
        <family val="1"/>
        <charset val="128"/>
      </rPr>
      <t>2</t>
    </r>
    <phoneticPr fontId="1"/>
  </si>
  <si>
    <t>）</t>
    <phoneticPr fontId="1"/>
  </si>
  <si>
    <r>
      <rPr>
        <sz val="10"/>
        <rFont val="ＭＳ ゴシック"/>
        <family val="3"/>
        <charset val="128"/>
      </rPr>
      <t>【基礎標準 第Ⅱ編 15.2.2.2 解説図 15.2.2.2-1】</t>
    </r>
    <r>
      <rPr>
        <sz val="10"/>
        <rFont val="ＭＳ 明朝"/>
        <family val="1"/>
        <charset val="128"/>
      </rPr>
      <t>のノモグラムを</t>
    </r>
    <phoneticPr fontId="1"/>
  </si>
  <si>
    <r>
      <t>超えた第2層にあるもの想定して、β</t>
    </r>
    <r>
      <rPr>
        <vertAlign val="subscript"/>
        <sz val="10"/>
        <rFont val="ＭＳ 明朝"/>
        <family val="1"/>
        <charset val="128"/>
      </rPr>
      <t>1</t>
    </r>
    <r>
      <rPr>
        <sz val="10"/>
        <rFont val="ＭＳ 明朝"/>
        <family val="1"/>
        <charset val="128"/>
      </rPr>
      <t>ｌ</t>
    </r>
    <r>
      <rPr>
        <vertAlign val="subscript"/>
        <sz val="10"/>
        <rFont val="ＭＳ 明朝"/>
        <family val="1"/>
        <charset val="128"/>
      </rPr>
      <t>1</t>
    </r>
    <r>
      <rPr>
        <sz val="10"/>
        <rFont val="ＭＳ 明朝"/>
        <family val="1"/>
        <charset val="128"/>
      </rPr>
      <t>＋β</t>
    </r>
    <r>
      <rPr>
        <vertAlign val="subscript"/>
        <sz val="10"/>
        <rFont val="ＭＳ 明朝"/>
        <family val="1"/>
        <charset val="128"/>
      </rPr>
      <t>2</t>
    </r>
    <r>
      <rPr>
        <sz val="10"/>
        <rFont val="ＭＳ 明朝"/>
        <family val="1"/>
        <charset val="128"/>
      </rPr>
      <t>ｌ</t>
    </r>
    <r>
      <rPr>
        <vertAlign val="subscript"/>
        <sz val="10"/>
        <rFont val="ＭＳ 明朝"/>
        <family val="1"/>
        <charset val="128"/>
      </rPr>
      <t>2</t>
    </r>
    <r>
      <rPr>
        <sz val="10"/>
        <rFont val="ＭＳ 明朝"/>
        <family val="1"/>
        <charset val="128"/>
      </rPr>
      <t>＝1を満たすｌ</t>
    </r>
    <r>
      <rPr>
        <vertAlign val="subscript"/>
        <sz val="10"/>
        <rFont val="ＭＳ 明朝"/>
        <family val="1"/>
        <charset val="128"/>
      </rPr>
      <t>2</t>
    </r>
    <r>
      <rPr>
        <sz val="10"/>
        <rFont val="ＭＳ 明朝"/>
        <family val="1"/>
        <charset val="128"/>
      </rPr>
      <t>を求める。</t>
    </r>
    <rPh sb="0" eb="1">
      <t>コ</t>
    </rPh>
    <rPh sb="3" eb="4">
      <t>ダイ</t>
    </rPh>
    <rPh sb="5" eb="6">
      <t>ソウ</t>
    </rPh>
    <rPh sb="11" eb="13">
      <t>ソウテイ</t>
    </rPh>
    <rPh sb="28" eb="29">
      <t>ミ</t>
    </rPh>
    <rPh sb="34" eb="35">
      <t>モト</t>
    </rPh>
    <phoneticPr fontId="1"/>
  </si>
  <si>
    <r>
      <t>杭基礎の地盤抵抗は、</t>
    </r>
    <r>
      <rPr>
        <sz val="10"/>
        <rFont val="ＭＳ ゴシック"/>
        <family val="3"/>
        <charset val="128"/>
      </rPr>
      <t>図1.1.12</t>
    </r>
    <r>
      <rPr>
        <sz val="10"/>
        <rFont val="ＭＳ 明朝"/>
        <family val="1"/>
        <charset val="128"/>
      </rPr>
      <t xml:space="preserve"> に示す3種類を考慮して、弾塑性体（バイリニア型）で</t>
    </r>
    <rPh sb="0" eb="1">
      <t>クイ</t>
    </rPh>
    <rPh sb="1" eb="3">
      <t>キソ</t>
    </rPh>
    <rPh sb="4" eb="6">
      <t>ジバン</t>
    </rPh>
    <rPh sb="6" eb="8">
      <t>テイコウ</t>
    </rPh>
    <rPh sb="10" eb="11">
      <t>ズ</t>
    </rPh>
    <rPh sb="19" eb="20">
      <t>シメ</t>
    </rPh>
    <rPh sb="22" eb="24">
      <t>シュルイ</t>
    </rPh>
    <rPh sb="25" eb="27">
      <t>コウリョ</t>
    </rPh>
    <rPh sb="30" eb="33">
      <t>ダンソセイ</t>
    </rPh>
    <rPh sb="33" eb="34">
      <t>タイ</t>
    </rPh>
    <rPh sb="40" eb="41">
      <t>カタ</t>
    </rPh>
    <phoneticPr fontId="1"/>
  </si>
  <si>
    <t>図1.1.12(1) 杭先端の鉛直地盤抵抗の非線形特性</t>
    <rPh sb="0" eb="1">
      <t>ズ</t>
    </rPh>
    <rPh sb="11" eb="12">
      <t>クイ</t>
    </rPh>
    <rPh sb="12" eb="14">
      <t>センタン</t>
    </rPh>
    <rPh sb="15" eb="17">
      <t>エンチョク</t>
    </rPh>
    <rPh sb="17" eb="19">
      <t>ジバン</t>
    </rPh>
    <rPh sb="19" eb="21">
      <t>テイコウ</t>
    </rPh>
    <rPh sb="22" eb="23">
      <t>ヒ</t>
    </rPh>
    <rPh sb="23" eb="25">
      <t>センケイ</t>
    </rPh>
    <rPh sb="25" eb="27">
      <t>トクセイ</t>
    </rPh>
    <phoneticPr fontId="1"/>
  </si>
  <si>
    <t>図1.1.12(2) 杭周面のせん断地盤抵抗の非線形特性</t>
    <rPh sb="0" eb="1">
      <t>ズ</t>
    </rPh>
    <rPh sb="11" eb="12">
      <t>クイ</t>
    </rPh>
    <rPh sb="12" eb="14">
      <t>シュウメン</t>
    </rPh>
    <rPh sb="17" eb="18">
      <t>ダン</t>
    </rPh>
    <rPh sb="18" eb="20">
      <t>ジバン</t>
    </rPh>
    <rPh sb="20" eb="22">
      <t>テイコウ</t>
    </rPh>
    <rPh sb="23" eb="24">
      <t>ヒ</t>
    </rPh>
    <rPh sb="24" eb="26">
      <t>センケイ</t>
    </rPh>
    <rPh sb="26" eb="28">
      <t>トクセイ</t>
    </rPh>
    <phoneticPr fontId="1"/>
  </si>
  <si>
    <t>図1.1.12(3) 杭周面の水平地盤抵抗の非線形特性</t>
    <rPh sb="0" eb="1">
      <t>ズ</t>
    </rPh>
    <rPh sb="11" eb="12">
      <t>クイ</t>
    </rPh>
    <rPh sb="12" eb="14">
      <t>シュウメン</t>
    </rPh>
    <rPh sb="15" eb="17">
      <t>スイヘイ</t>
    </rPh>
    <rPh sb="17" eb="19">
      <t>ジバン</t>
    </rPh>
    <rPh sb="19" eb="21">
      <t>テイコウ</t>
    </rPh>
    <rPh sb="22" eb="23">
      <t>ヒ</t>
    </rPh>
    <rPh sb="23" eb="25">
      <t>センケイ</t>
    </rPh>
    <rPh sb="25" eb="27">
      <t>トクセイ</t>
    </rPh>
    <phoneticPr fontId="1"/>
  </si>
  <si>
    <t>表1.1.7(1) 先端支持力に関する地盤修正係数</t>
    <rPh sb="0" eb="1">
      <t>ヒョウ</t>
    </rPh>
    <rPh sb="10" eb="12">
      <t>センタン</t>
    </rPh>
    <rPh sb="12" eb="15">
      <t>シジリョク</t>
    </rPh>
    <rPh sb="16" eb="17">
      <t>カン</t>
    </rPh>
    <rPh sb="19" eb="21">
      <t>ジバン</t>
    </rPh>
    <rPh sb="21" eb="23">
      <t>シュウセイ</t>
    </rPh>
    <rPh sb="23" eb="25">
      <t>ケイスウ</t>
    </rPh>
    <phoneticPr fontId="1"/>
  </si>
  <si>
    <t>表1.1.7(2) 周面支持力に関する地盤修正係数</t>
    <rPh sb="0" eb="1">
      <t>ヒョウ</t>
    </rPh>
    <rPh sb="10" eb="12">
      <t>シュウメン</t>
    </rPh>
    <rPh sb="12" eb="15">
      <t>シジリョク</t>
    </rPh>
    <rPh sb="16" eb="17">
      <t>カン</t>
    </rPh>
    <rPh sb="19" eb="21">
      <t>ジバン</t>
    </rPh>
    <rPh sb="21" eb="23">
      <t>シュウセイ</t>
    </rPh>
    <rPh sb="23" eb="25">
      <t>ケイスウ</t>
    </rPh>
    <phoneticPr fontId="1"/>
  </si>
  <si>
    <r>
      <t>地盤ばねの種類と地盤反力の折れ曲がり点（降伏、終局）または上限値の関係を</t>
    </r>
    <r>
      <rPr>
        <sz val="10"/>
        <rFont val="ＭＳ ゴシック"/>
        <family val="3"/>
        <charset val="128"/>
      </rPr>
      <t>表1.1.8</t>
    </r>
    <rPh sb="0" eb="2">
      <t>ジバン</t>
    </rPh>
    <rPh sb="5" eb="7">
      <t>シュルイ</t>
    </rPh>
    <rPh sb="8" eb="10">
      <t>ジバン</t>
    </rPh>
    <rPh sb="10" eb="12">
      <t>ハンリョク</t>
    </rPh>
    <rPh sb="13" eb="14">
      <t>オ</t>
    </rPh>
    <rPh sb="15" eb="16">
      <t>マ</t>
    </rPh>
    <rPh sb="18" eb="19">
      <t>テン</t>
    </rPh>
    <rPh sb="20" eb="22">
      <t>コウフク</t>
    </rPh>
    <rPh sb="23" eb="25">
      <t>シュウキョク</t>
    </rPh>
    <rPh sb="29" eb="32">
      <t>ジョウゲンチ</t>
    </rPh>
    <rPh sb="33" eb="35">
      <t>カンケイ</t>
    </rPh>
    <rPh sb="36" eb="37">
      <t>ヒョウ</t>
    </rPh>
    <phoneticPr fontId="1"/>
  </si>
  <si>
    <t>表1.1.7 解析に用いる地盤ばね及び地盤反力の限界値</t>
    <rPh sb="0" eb="1">
      <t>ヒョウ</t>
    </rPh>
    <rPh sb="7" eb="9">
      <t>カイセキ</t>
    </rPh>
    <rPh sb="10" eb="11">
      <t>モチ</t>
    </rPh>
    <rPh sb="13" eb="15">
      <t>ジバン</t>
    </rPh>
    <rPh sb="17" eb="18">
      <t>オヨ</t>
    </rPh>
    <rPh sb="19" eb="21">
      <t>ジバン</t>
    </rPh>
    <rPh sb="21" eb="23">
      <t>ハンリョク</t>
    </rPh>
    <rPh sb="24" eb="26">
      <t>ゲンカイ</t>
    </rPh>
    <rPh sb="26" eb="27">
      <t>チ</t>
    </rPh>
    <phoneticPr fontId="1"/>
  </si>
  <si>
    <r>
      <t>地盤反力係数に関する修正係数ρ</t>
    </r>
    <r>
      <rPr>
        <vertAlign val="subscript"/>
        <sz val="10"/>
        <rFont val="ＭＳ 明朝"/>
        <family val="1"/>
        <charset val="128"/>
      </rPr>
      <t>gk</t>
    </r>
    <r>
      <rPr>
        <sz val="10"/>
        <rFont val="ＭＳ 明朝"/>
        <family val="1"/>
        <charset val="128"/>
      </rPr>
      <t>は</t>
    </r>
    <r>
      <rPr>
        <sz val="10"/>
        <rFont val="ＭＳ ゴシック"/>
        <family val="3"/>
        <charset val="128"/>
      </rPr>
      <t>表1.1.9</t>
    </r>
    <r>
      <rPr>
        <sz val="10"/>
        <rFont val="ＭＳ 明朝"/>
        <family val="1"/>
        <charset val="128"/>
      </rPr>
      <t>に示すとおりである。</t>
    </r>
    <rPh sb="0" eb="2">
      <t>ジバン</t>
    </rPh>
    <rPh sb="2" eb="4">
      <t>ハンリョク</t>
    </rPh>
    <rPh sb="4" eb="6">
      <t>ケイスウ</t>
    </rPh>
    <rPh sb="7" eb="8">
      <t>カン</t>
    </rPh>
    <rPh sb="10" eb="12">
      <t>シュウセイ</t>
    </rPh>
    <rPh sb="12" eb="14">
      <t>ケイスウ</t>
    </rPh>
    <rPh sb="18" eb="19">
      <t>ヒョウ</t>
    </rPh>
    <rPh sb="25" eb="26">
      <t>シメ</t>
    </rPh>
    <phoneticPr fontId="1"/>
  </si>
  <si>
    <r>
      <t>表1.1.8 地盤反力係数に関する地盤修正係数ρ</t>
    </r>
    <r>
      <rPr>
        <vertAlign val="subscript"/>
        <sz val="10"/>
        <rFont val="ＭＳ ゴシック"/>
        <family val="3"/>
        <charset val="128"/>
      </rPr>
      <t>gk</t>
    </r>
    <rPh sb="0" eb="1">
      <t>ヒョウ</t>
    </rPh>
    <rPh sb="7" eb="9">
      <t>ジバン</t>
    </rPh>
    <rPh sb="9" eb="11">
      <t>ハンリョク</t>
    </rPh>
    <rPh sb="11" eb="13">
      <t>ケイスウ</t>
    </rPh>
    <rPh sb="14" eb="15">
      <t>カン</t>
    </rPh>
    <rPh sb="17" eb="19">
      <t>ジバン</t>
    </rPh>
    <rPh sb="19" eb="21">
      <t>シュウセイ</t>
    </rPh>
    <rPh sb="21" eb="23">
      <t>ケイスウ</t>
    </rPh>
    <phoneticPr fontId="1"/>
  </si>
  <si>
    <r>
      <t>杭先端の鉛直地盤反力係数ｋ</t>
    </r>
    <r>
      <rPr>
        <vertAlign val="subscript"/>
        <sz val="10"/>
        <rFont val="ＭＳ 明朝"/>
        <family val="1"/>
        <charset val="128"/>
      </rPr>
      <t>tv</t>
    </r>
    <r>
      <rPr>
        <sz val="10"/>
        <rFont val="ＭＳ 明朝"/>
        <family val="1"/>
        <charset val="128"/>
      </rPr>
      <t>は次式により求め、計算結果は</t>
    </r>
    <r>
      <rPr>
        <sz val="10"/>
        <rFont val="ＭＳ ゴシック"/>
        <family val="3"/>
        <charset val="128"/>
      </rPr>
      <t>表1.1.10(1)(2)</t>
    </r>
    <r>
      <rPr>
        <sz val="10"/>
        <rFont val="ＭＳ 明朝"/>
        <family val="1"/>
        <charset val="128"/>
      </rPr>
      <t>に示すとおり</t>
    </r>
    <rPh sb="0" eb="1">
      <t>クイ</t>
    </rPh>
    <rPh sb="1" eb="3">
      <t>センタン</t>
    </rPh>
    <rPh sb="4" eb="6">
      <t>エンチョク</t>
    </rPh>
    <rPh sb="6" eb="8">
      <t>ジバン</t>
    </rPh>
    <rPh sb="8" eb="10">
      <t>ハンリョク</t>
    </rPh>
    <rPh sb="10" eb="12">
      <t>ケイスウ</t>
    </rPh>
    <rPh sb="16" eb="18">
      <t>ジシキ</t>
    </rPh>
    <rPh sb="21" eb="22">
      <t>モト</t>
    </rPh>
    <rPh sb="24" eb="26">
      <t>ケイサン</t>
    </rPh>
    <rPh sb="26" eb="28">
      <t>ケッカ</t>
    </rPh>
    <rPh sb="29" eb="30">
      <t>ヒョウ</t>
    </rPh>
    <phoneticPr fontId="1"/>
  </si>
  <si>
    <t>表1.1.9(1) 杭先端の鉛直地盤反力係数（長期）</t>
    <rPh sb="0" eb="1">
      <t>ヒョウ</t>
    </rPh>
    <rPh sb="10" eb="11">
      <t>クイ</t>
    </rPh>
    <rPh sb="11" eb="13">
      <t>センタン</t>
    </rPh>
    <rPh sb="14" eb="16">
      <t>エンチョク</t>
    </rPh>
    <rPh sb="16" eb="18">
      <t>ジバン</t>
    </rPh>
    <rPh sb="18" eb="20">
      <t>ハンリョク</t>
    </rPh>
    <rPh sb="20" eb="22">
      <t>ケイスウ</t>
    </rPh>
    <rPh sb="23" eb="25">
      <t>チョウキ</t>
    </rPh>
    <phoneticPr fontId="1"/>
  </si>
  <si>
    <t>表1.1.10(1) 杭先端の鉛直地盤反力係数（短期）</t>
    <rPh sb="0" eb="1">
      <t>ヒョウ</t>
    </rPh>
    <rPh sb="11" eb="12">
      <t>クイ</t>
    </rPh>
    <rPh sb="12" eb="14">
      <t>センタン</t>
    </rPh>
    <rPh sb="15" eb="17">
      <t>エンチョク</t>
    </rPh>
    <rPh sb="17" eb="19">
      <t>ジバン</t>
    </rPh>
    <rPh sb="19" eb="21">
      <t>ハンリョク</t>
    </rPh>
    <rPh sb="21" eb="23">
      <t>ケイスウ</t>
    </rPh>
    <rPh sb="24" eb="26">
      <t>タンキ</t>
    </rPh>
    <phoneticPr fontId="1"/>
  </si>
  <si>
    <r>
      <t>杭周面の鉛直せん断地盤反力係数ｋ</t>
    </r>
    <r>
      <rPr>
        <vertAlign val="subscript"/>
        <sz val="10"/>
        <rFont val="ＭＳ 明朝"/>
        <family val="1"/>
        <charset val="128"/>
      </rPr>
      <t>fv</t>
    </r>
    <r>
      <rPr>
        <sz val="10"/>
        <rFont val="ＭＳ 明朝"/>
        <family val="1"/>
        <charset val="128"/>
      </rPr>
      <t>は次式により求め、計算結果は</t>
    </r>
    <r>
      <rPr>
        <sz val="10"/>
        <rFont val="ＭＳ ゴシック"/>
        <family val="3"/>
        <charset val="128"/>
      </rPr>
      <t>表1.1.11(1)(2)</t>
    </r>
    <r>
      <rPr>
        <sz val="10"/>
        <rFont val="ＭＳ 明朝"/>
        <family val="1"/>
        <charset val="128"/>
      </rPr>
      <t>に示す</t>
    </r>
    <rPh sb="0" eb="1">
      <t>クイ</t>
    </rPh>
    <rPh sb="1" eb="3">
      <t>シュウメン</t>
    </rPh>
    <rPh sb="4" eb="6">
      <t>エンチョク</t>
    </rPh>
    <rPh sb="8" eb="9">
      <t>ダン</t>
    </rPh>
    <rPh sb="9" eb="11">
      <t>ジバン</t>
    </rPh>
    <rPh sb="11" eb="13">
      <t>ハンリョク</t>
    </rPh>
    <rPh sb="13" eb="15">
      <t>ケイスウ</t>
    </rPh>
    <rPh sb="19" eb="21">
      <t>ジシキ</t>
    </rPh>
    <rPh sb="24" eb="25">
      <t>モト</t>
    </rPh>
    <rPh sb="27" eb="29">
      <t>ケイサン</t>
    </rPh>
    <rPh sb="29" eb="31">
      <t>ケッカ</t>
    </rPh>
    <rPh sb="32" eb="33">
      <t>ヒョウ</t>
    </rPh>
    <phoneticPr fontId="1"/>
  </si>
  <si>
    <r>
      <t>杭周面の鉛直せん断地盤反力係数（kN/m</t>
    </r>
    <r>
      <rPr>
        <vertAlign val="superscript"/>
        <sz val="10"/>
        <rFont val="ＭＳ 明朝"/>
        <family val="1"/>
        <charset val="128"/>
      </rPr>
      <t>3</t>
    </r>
    <r>
      <rPr>
        <sz val="10"/>
        <rFont val="ＭＳ 明朝"/>
        <family val="1"/>
        <charset val="128"/>
      </rPr>
      <t>）</t>
    </r>
    <rPh sb="0" eb="1">
      <t>クイ</t>
    </rPh>
    <rPh sb="1" eb="2">
      <t>シュウ</t>
    </rPh>
    <rPh sb="2" eb="3">
      <t>メン</t>
    </rPh>
    <rPh sb="4" eb="6">
      <t>エンチョク</t>
    </rPh>
    <rPh sb="8" eb="9">
      <t>ダン</t>
    </rPh>
    <rPh sb="9" eb="11">
      <t>ジバン</t>
    </rPh>
    <rPh sb="11" eb="13">
      <t>ハンリョク</t>
    </rPh>
    <rPh sb="13" eb="15">
      <t>ケイスウ</t>
    </rPh>
    <phoneticPr fontId="1"/>
  </si>
  <si>
    <t>表1.1.10(1) 杭周面のせん断地盤反力係数（長期）</t>
    <rPh sb="0" eb="1">
      <t>ヒョウ</t>
    </rPh>
    <rPh sb="11" eb="12">
      <t>クイ</t>
    </rPh>
    <rPh sb="12" eb="14">
      <t>シュウメン</t>
    </rPh>
    <rPh sb="17" eb="18">
      <t>ダン</t>
    </rPh>
    <rPh sb="18" eb="20">
      <t>ジバン</t>
    </rPh>
    <rPh sb="20" eb="22">
      <t>ハンリョク</t>
    </rPh>
    <rPh sb="22" eb="24">
      <t>ケイスウ</t>
    </rPh>
    <rPh sb="25" eb="27">
      <t>チョウキ</t>
    </rPh>
    <phoneticPr fontId="1"/>
  </si>
  <si>
    <t>表1.1.11(2) 杭周面のせん断地盤反力係数（短期）</t>
    <rPh sb="0" eb="1">
      <t>ヒョウ</t>
    </rPh>
    <rPh sb="11" eb="12">
      <t>クイ</t>
    </rPh>
    <rPh sb="12" eb="14">
      <t>シュウメン</t>
    </rPh>
    <rPh sb="17" eb="18">
      <t>ダン</t>
    </rPh>
    <rPh sb="18" eb="20">
      <t>ジバン</t>
    </rPh>
    <rPh sb="20" eb="22">
      <t>ハンリョク</t>
    </rPh>
    <rPh sb="22" eb="24">
      <t>ケイスウ</t>
    </rPh>
    <rPh sb="25" eb="26">
      <t>タン</t>
    </rPh>
    <phoneticPr fontId="1"/>
  </si>
  <si>
    <r>
      <t>単杭の水平地盤反力係数ｋ</t>
    </r>
    <r>
      <rPr>
        <vertAlign val="subscript"/>
        <sz val="10"/>
        <rFont val="ＭＳ 明朝"/>
        <family val="1"/>
        <charset val="128"/>
      </rPr>
      <t>h</t>
    </r>
    <r>
      <rPr>
        <sz val="10"/>
        <rFont val="ＭＳ 明朝"/>
        <family val="1"/>
        <charset val="128"/>
      </rPr>
      <t>は次式により求め、計算結果は</t>
    </r>
    <r>
      <rPr>
        <sz val="10"/>
        <rFont val="ＭＳ ゴシック"/>
        <family val="3"/>
        <charset val="128"/>
      </rPr>
      <t>表1.1.12(1)(2)</t>
    </r>
    <r>
      <rPr>
        <sz val="10"/>
        <rFont val="ＭＳ 明朝"/>
        <family val="1"/>
        <charset val="128"/>
      </rPr>
      <t>に示すとおり</t>
    </r>
    <rPh sb="0" eb="1">
      <t>タン</t>
    </rPh>
    <rPh sb="1" eb="2">
      <t>クイ</t>
    </rPh>
    <rPh sb="3" eb="5">
      <t>スイヘイ</t>
    </rPh>
    <rPh sb="5" eb="7">
      <t>ジバン</t>
    </rPh>
    <rPh sb="7" eb="9">
      <t>ハンリョク</t>
    </rPh>
    <rPh sb="9" eb="11">
      <t>ケイスウ</t>
    </rPh>
    <rPh sb="14" eb="16">
      <t>ジシキ</t>
    </rPh>
    <rPh sb="19" eb="20">
      <t>モト</t>
    </rPh>
    <rPh sb="22" eb="24">
      <t>ケイサン</t>
    </rPh>
    <rPh sb="24" eb="26">
      <t>ケッカ</t>
    </rPh>
    <rPh sb="27" eb="28">
      <t>ヒョウ</t>
    </rPh>
    <phoneticPr fontId="1"/>
  </si>
  <si>
    <t>表1.1.11(1) 単杭の水平地盤反力係数（長期）</t>
    <rPh sb="0" eb="1">
      <t>ヒョウ</t>
    </rPh>
    <rPh sb="11" eb="12">
      <t>タン</t>
    </rPh>
    <rPh sb="12" eb="13">
      <t>クイ</t>
    </rPh>
    <rPh sb="14" eb="16">
      <t>スイヘイ</t>
    </rPh>
    <rPh sb="16" eb="18">
      <t>ジバン</t>
    </rPh>
    <rPh sb="18" eb="20">
      <t>ハンリョク</t>
    </rPh>
    <rPh sb="20" eb="22">
      <t>ケイスウ</t>
    </rPh>
    <rPh sb="23" eb="25">
      <t>チョウキ</t>
    </rPh>
    <phoneticPr fontId="1"/>
  </si>
  <si>
    <t>表1.1.12(2) 単杭の水平地盤反力係数（短期）</t>
    <rPh sb="0" eb="1">
      <t>ヒョウ</t>
    </rPh>
    <rPh sb="11" eb="12">
      <t>タン</t>
    </rPh>
    <rPh sb="12" eb="13">
      <t>クイ</t>
    </rPh>
    <rPh sb="14" eb="16">
      <t>スイヘイ</t>
    </rPh>
    <rPh sb="16" eb="18">
      <t>ジバン</t>
    </rPh>
    <rPh sb="18" eb="20">
      <t>ハンリョク</t>
    </rPh>
    <rPh sb="20" eb="22">
      <t>ケイスウ</t>
    </rPh>
    <rPh sb="23" eb="25">
      <t>タンキ</t>
    </rPh>
    <phoneticPr fontId="1"/>
  </si>
  <si>
    <t>表1.1.123 群杭に対する補正係数</t>
    <rPh sb="0" eb="1">
      <t>ヒョウ</t>
    </rPh>
    <rPh sb="9" eb="10">
      <t>グン</t>
    </rPh>
    <rPh sb="10" eb="11">
      <t>クイ</t>
    </rPh>
    <rPh sb="12" eb="13">
      <t>タイ</t>
    </rPh>
    <rPh sb="15" eb="17">
      <t>ホセイ</t>
    </rPh>
    <rPh sb="17" eb="19">
      <t>ケイスウ</t>
    </rPh>
    <phoneticPr fontId="1"/>
  </si>
  <si>
    <r>
      <t>杭先端の鉛直地盤ばね定数は次式により算定し、計算結果は</t>
    </r>
    <r>
      <rPr>
        <sz val="10"/>
        <rFont val="ＭＳ ゴシック"/>
        <family val="3"/>
        <charset val="128"/>
      </rPr>
      <t>表1.1.14(1)(2)</t>
    </r>
    <r>
      <rPr>
        <sz val="10"/>
        <rFont val="ＭＳ 明朝"/>
        <family val="1"/>
        <charset val="128"/>
      </rPr>
      <t>に示す</t>
    </r>
    <rPh sb="0" eb="1">
      <t>クイ</t>
    </rPh>
    <rPh sb="1" eb="3">
      <t>センタン</t>
    </rPh>
    <rPh sb="4" eb="6">
      <t>エンチョク</t>
    </rPh>
    <rPh sb="6" eb="8">
      <t>ジバン</t>
    </rPh>
    <rPh sb="10" eb="12">
      <t>テイスウ</t>
    </rPh>
    <rPh sb="13" eb="15">
      <t>ジシキ</t>
    </rPh>
    <rPh sb="18" eb="20">
      <t>サンテイ</t>
    </rPh>
    <rPh sb="22" eb="24">
      <t>ケイサン</t>
    </rPh>
    <rPh sb="24" eb="26">
      <t>ケッカ</t>
    </rPh>
    <rPh sb="27" eb="28">
      <t>ヒョウ</t>
    </rPh>
    <phoneticPr fontId="1"/>
  </si>
  <si>
    <r>
      <t>l</t>
    </r>
    <r>
      <rPr>
        <vertAlign val="subscript"/>
        <sz val="10"/>
        <rFont val="ＭＳ 明朝"/>
        <family val="1"/>
        <charset val="128"/>
      </rPr>
      <t>2</t>
    </r>
    <phoneticPr fontId="1"/>
  </si>
  <si>
    <r>
      <t>( 1-β</t>
    </r>
    <r>
      <rPr>
        <vertAlign val="subscript"/>
        <sz val="10"/>
        <rFont val="ＭＳ 明朝"/>
        <family val="1"/>
        <charset val="128"/>
      </rPr>
      <t>1</t>
    </r>
    <r>
      <rPr>
        <sz val="10"/>
        <rFont val="ＭＳ 明朝"/>
        <family val="1"/>
        <charset val="128"/>
      </rPr>
      <t>l</t>
    </r>
    <r>
      <rPr>
        <vertAlign val="subscript"/>
        <sz val="10"/>
        <rFont val="ＭＳ 明朝"/>
        <family val="1"/>
        <charset val="128"/>
      </rPr>
      <t>1</t>
    </r>
    <r>
      <rPr>
        <sz val="10"/>
        <rFont val="ＭＳ 明朝"/>
        <family val="1"/>
        <charset val="128"/>
      </rPr>
      <t>) / β</t>
    </r>
    <r>
      <rPr>
        <vertAlign val="subscript"/>
        <sz val="10"/>
        <rFont val="ＭＳ 明朝"/>
        <family val="1"/>
        <charset val="128"/>
      </rPr>
      <t>2</t>
    </r>
    <phoneticPr fontId="1"/>
  </si>
  <si>
    <t>-</t>
    <phoneticPr fontId="1"/>
  </si>
  <si>
    <t>－</t>
    <phoneticPr fontId="1"/>
  </si>
  <si>
    <t>)</t>
    <phoneticPr fontId="1"/>
  </si>
  <si>
    <t>/</t>
    <phoneticPr fontId="1"/>
  </si>
  <si>
    <r>
      <rPr>
        <sz val="10"/>
        <rFont val="ＭＳ ゴシック"/>
        <family val="3"/>
        <charset val="128"/>
      </rPr>
      <t>表1.1.15</t>
    </r>
    <r>
      <rPr>
        <sz val="10"/>
        <rFont val="ＭＳ 明朝"/>
        <family val="1"/>
        <charset val="128"/>
      </rPr>
      <t>より、β</t>
    </r>
    <r>
      <rPr>
        <vertAlign val="subscript"/>
        <sz val="10"/>
        <rFont val="ＭＳ 明朝"/>
        <family val="1"/>
        <charset val="128"/>
      </rPr>
      <t>1</t>
    </r>
    <r>
      <rPr>
        <sz val="10"/>
        <rFont val="ＭＳ 明朝"/>
        <family val="1"/>
        <charset val="128"/>
      </rPr>
      <t>ｌ</t>
    </r>
    <r>
      <rPr>
        <vertAlign val="subscript"/>
        <sz val="10"/>
        <rFont val="ＭＳ 明朝"/>
        <family val="1"/>
        <charset val="128"/>
      </rPr>
      <t>1</t>
    </r>
    <r>
      <rPr>
        <sz val="10"/>
        <rFont val="ＭＳ 明朝"/>
        <family val="1"/>
        <charset val="128"/>
      </rPr>
      <t>＝0.2748×3.00＝0.8244＜1となるため、1/βの深さは、第1層を</t>
    </r>
    <rPh sb="0" eb="1">
      <t>ヒョウ</t>
    </rPh>
    <rPh sb="45" eb="46">
      <t>フカ</t>
    </rPh>
    <rPh sb="49" eb="50">
      <t>ダイ</t>
    </rPh>
    <rPh sb="51" eb="52">
      <t>ソウ</t>
    </rPh>
    <phoneticPr fontId="1"/>
  </si>
  <si>
    <t>(m)</t>
    <phoneticPr fontId="1"/>
  </si>
  <si>
    <t xml:space="preserve">(m) ＜ </t>
    <phoneticPr fontId="1"/>
  </si>
  <si>
    <t>（第2層の層厚）</t>
    <rPh sb="1" eb="2">
      <t>ダイ</t>
    </rPh>
    <rPh sb="3" eb="4">
      <t>ソウ</t>
    </rPh>
    <rPh sb="5" eb="6">
      <t>ソウ</t>
    </rPh>
    <rPh sb="6" eb="7">
      <t>アツ</t>
    </rPh>
    <phoneticPr fontId="1"/>
  </si>
  <si>
    <t>以上より、杭周面の設計せん断地盤反力係数および周面支持力を考慮しない深さ位置1/βは、</t>
    <rPh sb="0" eb="2">
      <t>イジョウ</t>
    </rPh>
    <rPh sb="5" eb="6">
      <t>クイ</t>
    </rPh>
    <rPh sb="6" eb="7">
      <t>シュウ</t>
    </rPh>
    <rPh sb="7" eb="8">
      <t>メン</t>
    </rPh>
    <rPh sb="9" eb="11">
      <t>セッケイ</t>
    </rPh>
    <rPh sb="13" eb="14">
      <t>ダン</t>
    </rPh>
    <rPh sb="14" eb="16">
      <t>ジバン</t>
    </rPh>
    <rPh sb="16" eb="17">
      <t>ハン</t>
    </rPh>
    <rPh sb="17" eb="18">
      <t>リョク</t>
    </rPh>
    <rPh sb="18" eb="20">
      <t>ケイスウ</t>
    </rPh>
    <rPh sb="23" eb="24">
      <t>シュウ</t>
    </rPh>
    <rPh sb="24" eb="25">
      <t>メン</t>
    </rPh>
    <rPh sb="25" eb="27">
      <t>シジ</t>
    </rPh>
    <rPh sb="27" eb="28">
      <t>リョク</t>
    </rPh>
    <rPh sb="29" eb="31">
      <t>コウリョ</t>
    </rPh>
    <rPh sb="34" eb="35">
      <t>フカ</t>
    </rPh>
    <rPh sb="36" eb="38">
      <t>イチ</t>
    </rPh>
    <phoneticPr fontId="1"/>
  </si>
  <si>
    <t>1/β</t>
    <phoneticPr fontId="1"/>
  </si>
  <si>
    <r>
      <t>l</t>
    </r>
    <r>
      <rPr>
        <vertAlign val="subscript"/>
        <sz val="10"/>
        <rFont val="ＭＳ 明朝"/>
        <family val="1"/>
        <charset val="128"/>
      </rPr>
      <t>1</t>
    </r>
    <phoneticPr fontId="1"/>
  </si>
  <si>
    <t>杭周面の鉛直せん断地盤ばね定数の計算</t>
    <rPh sb="0" eb="1">
      <t>クイ</t>
    </rPh>
    <rPh sb="1" eb="2">
      <t>シュウ</t>
    </rPh>
    <rPh sb="2" eb="3">
      <t>メン</t>
    </rPh>
    <rPh sb="4" eb="6">
      <t>エンチョク</t>
    </rPh>
    <rPh sb="8" eb="9">
      <t>ダン</t>
    </rPh>
    <rPh sb="9" eb="11">
      <t>ジバン</t>
    </rPh>
    <rPh sb="13" eb="15">
      <t>テイスウ</t>
    </rPh>
    <rPh sb="16" eb="18">
      <t>ケイサン</t>
    </rPh>
    <phoneticPr fontId="1"/>
  </si>
  <si>
    <t>杭周面の鉛直せん断地盤ばね定数を表 1.1.16(1),(2)に示す。</t>
    <rPh sb="0" eb="1">
      <t>クイ</t>
    </rPh>
    <rPh sb="1" eb="2">
      <t>シュウ</t>
    </rPh>
    <rPh sb="2" eb="3">
      <t>メン</t>
    </rPh>
    <rPh sb="4" eb="6">
      <t>エンチョク</t>
    </rPh>
    <rPh sb="8" eb="9">
      <t>ダン</t>
    </rPh>
    <rPh sb="9" eb="11">
      <t>ジバン</t>
    </rPh>
    <rPh sb="13" eb="15">
      <t>テイスウ</t>
    </rPh>
    <rPh sb="16" eb="17">
      <t>ヒョウ</t>
    </rPh>
    <rPh sb="32" eb="33">
      <t>シメ</t>
    </rPh>
    <phoneticPr fontId="1"/>
  </si>
  <si>
    <t>層厚
（m）</t>
    <rPh sb="0" eb="2">
      <t>ソウアツ</t>
    </rPh>
    <phoneticPr fontId="1"/>
  </si>
  <si>
    <r>
      <t>ｋ</t>
    </r>
    <r>
      <rPr>
        <vertAlign val="subscript"/>
        <sz val="10"/>
        <rFont val="ＭＳ 明朝"/>
        <family val="1"/>
        <charset val="128"/>
      </rPr>
      <t>fv</t>
    </r>
    <phoneticPr fontId="1"/>
  </si>
  <si>
    <r>
      <t>ｋ</t>
    </r>
    <r>
      <rPr>
        <vertAlign val="subscript"/>
        <sz val="10"/>
        <rFont val="ＭＳ 明朝"/>
        <family val="1"/>
        <charset val="128"/>
      </rPr>
      <t>fv</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</si>
  <si>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t>U
（m）</t>
    <phoneticPr fontId="1"/>
  </si>
  <si>
    <t>※</t>
    <phoneticPr fontId="1"/>
  </si>
  <si>
    <r>
      <t>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3</t>
    </r>
    <r>
      <rPr>
        <sz val="10"/>
        <rFont val="ＭＳ 明朝"/>
        <family val="1"/>
        <charset val="128"/>
      </rPr>
      <t>）</t>
    </r>
    <phoneticPr fontId="1"/>
  </si>
  <si>
    <r>
      <t>K</t>
    </r>
    <r>
      <rPr>
        <vertAlign val="subscript"/>
        <sz val="10"/>
        <rFont val="ＭＳ ゴシック"/>
        <family val="3"/>
        <charset val="128"/>
      </rPr>
      <t>fv</t>
    </r>
    <phoneticPr fontId="1"/>
  </si>
  <si>
    <r>
      <t>U・k</t>
    </r>
    <r>
      <rPr>
        <vertAlign val="subscript"/>
        <sz val="10"/>
        <rFont val="ＭＳ ゴシック"/>
        <family val="3"/>
        <charset val="128"/>
      </rPr>
      <t>fv</t>
    </r>
    <phoneticPr fontId="1"/>
  </si>
  <si>
    <t>表1.1.16(2) 杭周面の鉛直せん断地盤ばね定数（短期）</t>
    <rPh sb="0" eb="1">
      <t>ヒョウ</t>
    </rPh>
    <rPh sb="11" eb="12">
      <t>クイ</t>
    </rPh>
    <rPh sb="12" eb="13">
      <t>シュウ</t>
    </rPh>
    <rPh sb="13" eb="14">
      <t>メン</t>
    </rPh>
    <rPh sb="15" eb="17">
      <t>エンチョク</t>
    </rPh>
    <rPh sb="19" eb="20">
      <t>ダン</t>
    </rPh>
    <rPh sb="20" eb="22">
      <t>ジバン</t>
    </rPh>
    <rPh sb="24" eb="26">
      <t>テイスウ</t>
    </rPh>
    <rPh sb="27" eb="29">
      <t>タンキ</t>
    </rPh>
    <phoneticPr fontId="1"/>
  </si>
  <si>
    <t>表1.1.16(1) 杭周面の鉛直せん断地盤ばね定数（長期）</t>
    <rPh sb="0" eb="1">
      <t>ヒョウ</t>
    </rPh>
    <rPh sb="11" eb="12">
      <t>クイ</t>
    </rPh>
    <rPh sb="12" eb="13">
      <t>シュウ</t>
    </rPh>
    <rPh sb="13" eb="14">
      <t>メン</t>
    </rPh>
    <rPh sb="15" eb="17">
      <t>エンチョク</t>
    </rPh>
    <rPh sb="19" eb="20">
      <t>ダン</t>
    </rPh>
    <rPh sb="20" eb="22">
      <t>ジバン</t>
    </rPh>
    <rPh sb="24" eb="26">
      <t>テイスウ</t>
    </rPh>
    <rPh sb="27" eb="29">
      <t>チョウキ</t>
    </rPh>
    <phoneticPr fontId="1"/>
  </si>
  <si>
    <r>
      <t>地震時は、K</t>
    </r>
    <r>
      <rPr>
        <vertAlign val="subscript"/>
        <sz val="10"/>
        <rFont val="ＭＳ ゴシック"/>
        <family val="3"/>
        <charset val="128"/>
      </rPr>
      <t>fv</t>
    </r>
    <r>
      <rPr>
        <sz val="10"/>
        <rFont val="ＭＳ ゴシック"/>
        <family val="3"/>
        <charset val="128"/>
      </rPr>
      <t>=0</t>
    </r>
    <rPh sb="0" eb="2">
      <t>ジシン</t>
    </rPh>
    <rPh sb="2" eb="3">
      <t>ジ</t>
    </rPh>
    <phoneticPr fontId="1"/>
  </si>
  <si>
    <t>(c) 杭周面の水平地盤ばね定数</t>
    <rPh sb="4" eb="5">
      <t>クイ</t>
    </rPh>
    <rPh sb="5" eb="7">
      <t>シュウメン</t>
    </rPh>
    <rPh sb="8" eb="10">
      <t>スイヘイ</t>
    </rPh>
    <rPh sb="10" eb="12">
      <t>ジバン</t>
    </rPh>
    <rPh sb="14" eb="16">
      <t>テイスウ</t>
    </rPh>
    <phoneticPr fontId="1"/>
  </si>
  <si>
    <r>
      <t>K</t>
    </r>
    <r>
      <rPr>
        <vertAlign val="subscript"/>
        <sz val="10"/>
        <rFont val="ＭＳ 明朝"/>
        <family val="1"/>
        <charset val="128"/>
      </rPr>
      <t>h</t>
    </r>
    <phoneticPr fontId="1"/>
  </si>
  <si>
    <r>
      <t>ｋ</t>
    </r>
    <r>
      <rPr>
        <vertAlign val="subscript"/>
        <sz val="10"/>
        <rFont val="ＭＳ 明朝"/>
        <family val="1"/>
        <charset val="128"/>
      </rPr>
      <t>hg</t>
    </r>
    <phoneticPr fontId="1"/>
  </si>
  <si>
    <t>杭周面の水平地盤ばね定数（kN/m）</t>
    <rPh sb="0" eb="1">
      <t>クイ</t>
    </rPh>
    <rPh sb="1" eb="3">
      <t>シュウメン</t>
    </rPh>
    <rPh sb="4" eb="6">
      <t>スイヘイ</t>
    </rPh>
    <rPh sb="6" eb="8">
      <t>ジバン</t>
    </rPh>
    <rPh sb="10" eb="12">
      <t>テイスウ</t>
    </rPh>
    <phoneticPr fontId="1"/>
  </si>
  <si>
    <r>
      <t>杭周面の水平地盤反力係数（kN/m</t>
    </r>
    <r>
      <rPr>
        <vertAlign val="superscript"/>
        <sz val="10"/>
        <rFont val="ＭＳ 明朝"/>
        <family val="1"/>
        <charset val="128"/>
      </rPr>
      <t>3</t>
    </r>
    <r>
      <rPr>
        <sz val="10"/>
        <rFont val="ＭＳ 明朝"/>
        <family val="1"/>
        <charset val="128"/>
      </rPr>
      <t>）</t>
    </r>
    <rPh sb="0" eb="1">
      <t>クイ</t>
    </rPh>
    <rPh sb="1" eb="3">
      <t>シュウメン</t>
    </rPh>
    <rPh sb="4" eb="6">
      <t>スイヘイ</t>
    </rPh>
    <rPh sb="6" eb="8">
      <t>ジバン</t>
    </rPh>
    <rPh sb="8" eb="10">
      <t>ハンリョク</t>
    </rPh>
    <rPh sb="10" eb="12">
      <t>ケイスウ</t>
    </rPh>
    <phoneticPr fontId="1"/>
  </si>
  <si>
    <t>杭周面の水平地盤ばね定数を算定する区間長さ（m）</t>
    <rPh sb="0" eb="1">
      <t>クイ</t>
    </rPh>
    <rPh sb="1" eb="3">
      <t>シュウメン</t>
    </rPh>
    <rPh sb="4" eb="6">
      <t>スイヘイ</t>
    </rPh>
    <rPh sb="6" eb="8">
      <t>ジバン</t>
    </rPh>
    <rPh sb="10" eb="12">
      <t>テイスウ</t>
    </rPh>
    <rPh sb="13" eb="15">
      <t>サンテイ</t>
    </rPh>
    <rPh sb="17" eb="19">
      <t>クカン</t>
    </rPh>
    <rPh sb="19" eb="20">
      <t>ナガ</t>
    </rPh>
    <phoneticPr fontId="1"/>
  </si>
  <si>
    <t>表1.1.17(1)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1"/>
  </si>
  <si>
    <t>Ｄ
（m）</t>
    <phoneticPr fontId="1"/>
  </si>
  <si>
    <r>
      <t>K</t>
    </r>
    <r>
      <rPr>
        <vertAlign val="subscript"/>
        <sz val="10"/>
        <rFont val="ＭＳ ゴシック"/>
        <family val="3"/>
        <charset val="128"/>
      </rPr>
      <t>h</t>
    </r>
    <phoneticPr fontId="1"/>
  </si>
  <si>
    <r>
      <t>Ｄ・k</t>
    </r>
    <r>
      <rPr>
        <vertAlign val="subscript"/>
        <sz val="10"/>
        <rFont val="ＭＳ ゴシック"/>
        <family val="3"/>
        <charset val="128"/>
      </rPr>
      <t>hg</t>
    </r>
    <phoneticPr fontId="1"/>
  </si>
  <si>
    <t>(d) 地盤ばね定数の総括</t>
    <rPh sb="4" eb="6">
      <t>ジバン</t>
    </rPh>
    <rPh sb="8" eb="10">
      <t>テイスウ</t>
    </rPh>
    <rPh sb="11" eb="13">
      <t>ソウカツ</t>
    </rPh>
    <phoneticPr fontId="1"/>
  </si>
  <si>
    <t>①杭先端の鉛直地盤ばね定数</t>
    <rPh sb="1" eb="2">
      <t>クイ</t>
    </rPh>
    <rPh sb="2" eb="4">
      <t>センタン</t>
    </rPh>
    <rPh sb="5" eb="7">
      <t>エンチョク</t>
    </rPh>
    <rPh sb="7" eb="9">
      <t>ジバン</t>
    </rPh>
    <rPh sb="11" eb="13">
      <t>テイスウ</t>
    </rPh>
    <phoneticPr fontId="1"/>
  </si>
  <si>
    <t>杭先端の鉛直地盤ばね定数の総括を表 1.1.18に示す。</t>
    <rPh sb="0" eb="1">
      <t>クイ</t>
    </rPh>
    <rPh sb="1" eb="3">
      <t>センタン</t>
    </rPh>
    <rPh sb="4" eb="6">
      <t>エンチョク</t>
    </rPh>
    <rPh sb="6" eb="8">
      <t>ジバン</t>
    </rPh>
    <rPh sb="10" eb="12">
      <t>テイスウ</t>
    </rPh>
    <rPh sb="13" eb="15">
      <t>ソウカツ</t>
    </rPh>
    <rPh sb="16" eb="17">
      <t>ヒョウ</t>
    </rPh>
    <rPh sb="25" eb="26">
      <t>シメ</t>
    </rPh>
    <phoneticPr fontId="1"/>
  </si>
  <si>
    <t>表1.1.17 杭先端の鉛直地盤ばね定数</t>
    <rPh sb="0" eb="1">
      <t>ヒョウ</t>
    </rPh>
    <rPh sb="8" eb="9">
      <t>クイ</t>
    </rPh>
    <rPh sb="9" eb="11">
      <t>センタン</t>
    </rPh>
    <rPh sb="12" eb="14">
      <t>エンチョク</t>
    </rPh>
    <rPh sb="14" eb="16">
      <t>ジバン</t>
    </rPh>
    <rPh sb="18" eb="20">
      <t>テイスウ</t>
    </rPh>
    <phoneticPr fontId="1"/>
  </si>
  <si>
    <r>
      <t>長期
K</t>
    </r>
    <r>
      <rPr>
        <vertAlign val="subscript"/>
        <sz val="10"/>
        <rFont val="ＭＳ 明朝"/>
        <family val="1"/>
        <charset val="128"/>
      </rPr>
      <t>tv</t>
    </r>
    <r>
      <rPr>
        <sz val="10"/>
        <rFont val="ＭＳ 明朝"/>
        <family val="1"/>
        <charset val="128"/>
      </rPr>
      <t>(kN/m)</t>
    </r>
    <rPh sb="0" eb="2">
      <t>チョウキ</t>
    </rPh>
    <phoneticPr fontId="1"/>
  </si>
  <si>
    <r>
      <t>短期
K</t>
    </r>
    <r>
      <rPr>
        <vertAlign val="subscript"/>
        <sz val="10"/>
        <rFont val="ＭＳ 明朝"/>
        <family val="1"/>
        <charset val="128"/>
      </rPr>
      <t>tv</t>
    </r>
    <r>
      <rPr>
        <sz val="10"/>
        <rFont val="ＭＳ 明朝"/>
        <family val="1"/>
        <charset val="128"/>
      </rPr>
      <t>(kN/m)</t>
    </r>
    <rPh sb="0" eb="2">
      <t>タンキ</t>
    </rPh>
    <phoneticPr fontId="1"/>
  </si>
  <si>
    <t>②杭周面の鉛直せん断地盤ばね定数</t>
    <rPh sb="1" eb="2">
      <t>クイ</t>
    </rPh>
    <rPh sb="2" eb="3">
      <t>シュウ</t>
    </rPh>
    <rPh sb="3" eb="4">
      <t>メン</t>
    </rPh>
    <rPh sb="5" eb="7">
      <t>エンチョク</t>
    </rPh>
    <rPh sb="9" eb="10">
      <t>ダン</t>
    </rPh>
    <rPh sb="10" eb="12">
      <t>ジバン</t>
    </rPh>
    <rPh sb="14" eb="16">
      <t>テイスウ</t>
    </rPh>
    <phoneticPr fontId="1"/>
  </si>
  <si>
    <t>設計水平ばね定数及び杭周面の設計せん断ばね定数は、 表 1.1.19 に示すとおりである。</t>
    <rPh sb="0" eb="2">
      <t>セッケイ</t>
    </rPh>
    <rPh sb="2" eb="4">
      <t>スイヘイ</t>
    </rPh>
    <rPh sb="6" eb="8">
      <t>テイスウ</t>
    </rPh>
    <rPh sb="8" eb="9">
      <t>オヨ</t>
    </rPh>
    <rPh sb="10" eb="11">
      <t>クイ</t>
    </rPh>
    <rPh sb="11" eb="12">
      <t>シュウ</t>
    </rPh>
    <rPh sb="12" eb="13">
      <t>メン</t>
    </rPh>
    <rPh sb="14" eb="16">
      <t>セッケイ</t>
    </rPh>
    <rPh sb="18" eb="19">
      <t>ダン</t>
    </rPh>
    <rPh sb="21" eb="23">
      <t>テイスウ</t>
    </rPh>
    <rPh sb="26" eb="27">
      <t>ヒョウ</t>
    </rPh>
    <rPh sb="36" eb="37">
      <t>シメ</t>
    </rPh>
    <phoneticPr fontId="1"/>
  </si>
  <si>
    <t>表1.1.19(1) 杭周面の水平および鉛直地盤ばね定数</t>
    <rPh sb="0" eb="1">
      <t>ヒョウ</t>
    </rPh>
    <rPh sb="11" eb="12">
      <t>クイ</t>
    </rPh>
    <rPh sb="12" eb="13">
      <t>シュウ</t>
    </rPh>
    <rPh sb="13" eb="14">
      <t>メン</t>
    </rPh>
    <rPh sb="15" eb="17">
      <t>スイヘイ</t>
    </rPh>
    <rPh sb="20" eb="22">
      <t>エンチョク</t>
    </rPh>
    <rPh sb="22" eb="24">
      <t>ジバン</t>
    </rPh>
    <rPh sb="26" eb="28">
      <t>テイスウ</t>
    </rPh>
    <phoneticPr fontId="1"/>
  </si>
  <si>
    <t>(4) 支持力と水平地盤反力の上限値（有効抵抗土圧力)</t>
    <rPh sb="4" eb="6">
      <t>シジ</t>
    </rPh>
    <rPh sb="6" eb="7">
      <t>リョク</t>
    </rPh>
    <rPh sb="8" eb="10">
      <t>スイヘイ</t>
    </rPh>
    <rPh sb="10" eb="12">
      <t>ジバン</t>
    </rPh>
    <rPh sb="12" eb="13">
      <t>ハン</t>
    </rPh>
    <rPh sb="13" eb="14">
      <t>リョク</t>
    </rPh>
    <rPh sb="15" eb="18">
      <t>ジョウゲンチ</t>
    </rPh>
    <rPh sb="19" eb="21">
      <t>ユウコウ</t>
    </rPh>
    <rPh sb="21" eb="23">
      <t>テイコウ</t>
    </rPh>
    <rPh sb="23" eb="24">
      <t>ド</t>
    </rPh>
    <rPh sb="24" eb="26">
      <t>アツリョク</t>
    </rPh>
    <phoneticPr fontId="1"/>
  </si>
  <si>
    <t>(a) 基準支持力 【基礎標準 第Ⅱ編 15.2.2.3】</t>
    <rPh sb="4" eb="6">
      <t>キジュン</t>
    </rPh>
    <rPh sb="6" eb="8">
      <t>シジ</t>
    </rPh>
    <rPh sb="8" eb="9">
      <t>リョク</t>
    </rPh>
    <phoneticPr fontId="1"/>
  </si>
  <si>
    <r>
      <t>R</t>
    </r>
    <r>
      <rPr>
        <vertAlign val="subscript"/>
        <sz val="10"/>
        <rFont val="ＭＳ 明朝"/>
        <family val="1"/>
        <charset val="128"/>
      </rPr>
      <t>k</t>
    </r>
    <phoneticPr fontId="1"/>
  </si>
  <si>
    <r>
      <t>R</t>
    </r>
    <r>
      <rPr>
        <vertAlign val="subscript"/>
        <sz val="10"/>
        <rFont val="ＭＳ 明朝"/>
        <family val="1"/>
        <charset val="128"/>
      </rPr>
      <t>tk</t>
    </r>
    <phoneticPr fontId="1"/>
  </si>
  <si>
    <r>
      <t>ΣR</t>
    </r>
    <r>
      <rPr>
        <vertAlign val="subscript"/>
        <sz val="10"/>
        <rFont val="ＭＳ 明朝"/>
        <family val="1"/>
        <charset val="128"/>
      </rPr>
      <t>fk</t>
    </r>
    <phoneticPr fontId="1"/>
  </si>
  <si>
    <r>
      <t>R</t>
    </r>
    <r>
      <rPr>
        <vertAlign val="subscript"/>
        <sz val="10"/>
        <rFont val="ＭＳ 明朝"/>
        <family val="1"/>
        <charset val="128"/>
      </rPr>
      <t>fk</t>
    </r>
    <phoneticPr fontId="1"/>
  </si>
  <si>
    <t>押込み側の基準支持力（kN）</t>
    <rPh sb="0" eb="2">
      <t>オシコ</t>
    </rPh>
    <rPh sb="3" eb="4">
      <t>ガワ</t>
    </rPh>
    <rPh sb="5" eb="7">
      <t>キジュン</t>
    </rPh>
    <rPh sb="7" eb="9">
      <t>シジ</t>
    </rPh>
    <rPh sb="9" eb="10">
      <t>リョク</t>
    </rPh>
    <phoneticPr fontId="1"/>
  </si>
  <si>
    <t>基準先端支持力（kN）（押込み側のみ）</t>
    <rPh sb="0" eb="2">
      <t>キジュン</t>
    </rPh>
    <rPh sb="2" eb="4">
      <t>センタン</t>
    </rPh>
    <rPh sb="4" eb="6">
      <t>シジ</t>
    </rPh>
    <rPh sb="6" eb="7">
      <t>リョク</t>
    </rPh>
    <rPh sb="12" eb="14">
      <t>オシコ</t>
    </rPh>
    <rPh sb="15" eb="16">
      <t>ガワ</t>
    </rPh>
    <phoneticPr fontId="1"/>
  </si>
  <si>
    <t>各層での基準周面支持力（kN）</t>
    <rPh sb="0" eb="2">
      <t>カクソウ</t>
    </rPh>
    <rPh sb="4" eb="6">
      <t>キジュン</t>
    </rPh>
    <rPh sb="6" eb="7">
      <t>シュウ</t>
    </rPh>
    <rPh sb="7" eb="8">
      <t>メン</t>
    </rPh>
    <rPh sb="8" eb="10">
      <t>シジ</t>
    </rPh>
    <rPh sb="10" eb="11">
      <t>リョク</t>
    </rPh>
    <phoneticPr fontId="1"/>
  </si>
  <si>
    <t>①基準先端支持力 【基礎標準 第Ⅱ編 15.2.2.3】</t>
    <rPh sb="1" eb="3">
      <t>キジュン</t>
    </rPh>
    <rPh sb="3" eb="5">
      <t>センタン</t>
    </rPh>
    <rPh sb="5" eb="7">
      <t>シジ</t>
    </rPh>
    <rPh sb="7" eb="8">
      <t>リョク</t>
    </rPh>
    <phoneticPr fontId="1"/>
  </si>
  <si>
    <t>基準先端支持力は、次式により求める。</t>
    <rPh sb="0" eb="2">
      <t>キジュン</t>
    </rPh>
    <rPh sb="2" eb="4">
      <t>センタン</t>
    </rPh>
    <rPh sb="4" eb="6">
      <t>シジ</t>
    </rPh>
    <rPh sb="6" eb="7">
      <t>リョク</t>
    </rPh>
    <rPh sb="9" eb="11">
      <t>ジシキ</t>
    </rPh>
    <rPh sb="14" eb="15">
      <t>モト</t>
    </rPh>
    <phoneticPr fontId="1"/>
  </si>
  <si>
    <r>
      <t>q</t>
    </r>
    <r>
      <rPr>
        <vertAlign val="subscript"/>
        <sz val="10"/>
        <rFont val="ＭＳ 明朝"/>
        <family val="1"/>
        <charset val="128"/>
      </rPr>
      <t>tk</t>
    </r>
    <phoneticPr fontId="1"/>
  </si>
  <si>
    <r>
      <t>A</t>
    </r>
    <r>
      <rPr>
        <vertAlign val="subscript"/>
        <sz val="10"/>
        <rFont val="ＭＳ 明朝"/>
        <family val="1"/>
        <charset val="128"/>
      </rPr>
      <t>t</t>
    </r>
    <phoneticPr fontId="1"/>
  </si>
  <si>
    <t>基準先端支持力（kN）</t>
    <rPh sb="0" eb="2">
      <t>キジュン</t>
    </rPh>
    <rPh sb="2" eb="4">
      <t>センタン</t>
    </rPh>
    <rPh sb="4" eb="6">
      <t>シジ</t>
    </rPh>
    <rPh sb="6" eb="7">
      <t>リョク</t>
    </rPh>
    <phoneticPr fontId="1"/>
  </si>
  <si>
    <t>砂質土の場合</t>
    <rPh sb="0" eb="1">
      <t>サ</t>
    </rPh>
    <rPh sb="1" eb="2">
      <t>シツ</t>
    </rPh>
    <rPh sb="2" eb="3">
      <t>ド</t>
    </rPh>
    <rPh sb="4" eb="6">
      <t>バアイ</t>
    </rPh>
    <phoneticPr fontId="1"/>
  </si>
  <si>
    <t>砂礫の場合</t>
    <rPh sb="0" eb="2">
      <t>サレキ</t>
    </rPh>
    <rPh sb="3" eb="5">
      <t>バアイ</t>
    </rPh>
    <phoneticPr fontId="1"/>
  </si>
  <si>
    <t>N</t>
    <phoneticPr fontId="1"/>
  </si>
  <si>
    <t>60N</t>
    <phoneticPr fontId="1"/>
  </si>
  <si>
    <t>≦</t>
    <phoneticPr fontId="1"/>
  </si>
  <si>
    <r>
      <t>(kN/m</t>
    </r>
    <r>
      <rPr>
        <vertAlign val="superscript"/>
        <sz val="10"/>
        <rFont val="ＭＳ 明朝"/>
        <family val="1"/>
        <charset val="128"/>
      </rPr>
      <t>2</t>
    </r>
    <r>
      <rPr>
        <sz val="10"/>
        <rFont val="ＭＳ 明朝"/>
        <family val="1"/>
        <charset val="128"/>
      </rPr>
      <t>)</t>
    </r>
    <phoneticPr fontId="1"/>
  </si>
  <si>
    <t>杭先端から下方3Dの区間の最小N値</t>
    <rPh sb="0" eb="1">
      <t>クイ</t>
    </rPh>
    <rPh sb="1" eb="3">
      <t>センタン</t>
    </rPh>
    <rPh sb="5" eb="7">
      <t>カホウ</t>
    </rPh>
    <rPh sb="10" eb="12">
      <t>クカン</t>
    </rPh>
    <rPh sb="13" eb="15">
      <t>サイショウ</t>
    </rPh>
    <rPh sb="16" eb="17">
      <t>チ</t>
    </rPh>
    <phoneticPr fontId="1"/>
  </si>
  <si>
    <t>・ N×</t>
    <phoneticPr fontId="1"/>
  </si>
  <si>
    <t>π</t>
    <phoneticPr fontId="1"/>
  </si>
  <si>
    <r>
      <t>Ｄ</t>
    </r>
    <r>
      <rPr>
        <vertAlign val="superscript"/>
        <sz val="10"/>
        <rFont val="ＭＳ 明朝"/>
        <family val="1"/>
        <charset val="128"/>
      </rPr>
      <t>2</t>
    </r>
    <phoneticPr fontId="1"/>
  </si>
  <si>
    <r>
      <t xml:space="preserve"> </t>
    </r>
    <r>
      <rPr>
        <vertAlign val="superscript"/>
        <sz val="10"/>
        <rFont val="ＭＳ 明朝"/>
        <family val="1"/>
        <charset val="128"/>
      </rPr>
      <t>2</t>
    </r>
    <phoneticPr fontId="1"/>
  </si>
  <si>
    <r>
      <t>(m</t>
    </r>
    <r>
      <rPr>
        <vertAlign val="superscript"/>
        <sz val="10"/>
        <rFont val="ＭＳ 明朝"/>
        <family val="1"/>
        <charset val="128"/>
      </rPr>
      <t>2</t>
    </r>
    <r>
      <rPr>
        <sz val="10"/>
        <rFont val="ＭＳ 明朝"/>
        <family val="1"/>
        <charset val="128"/>
      </rPr>
      <t>)</t>
    </r>
    <phoneticPr fontId="1"/>
  </si>
  <si>
    <r>
      <t>(kN</t>
    </r>
    <r>
      <rPr>
        <sz val="10"/>
        <rFont val="ＭＳ 明朝"/>
        <family val="1"/>
        <charset val="128"/>
      </rPr>
      <t>)</t>
    </r>
    <phoneticPr fontId="1"/>
  </si>
  <si>
    <t>なお、基準先端引抜き抵抗力に杭先端での引抜き抵抗は考慮しない。</t>
    <rPh sb="3" eb="5">
      <t>キジュン</t>
    </rPh>
    <rPh sb="5" eb="7">
      <t>センタン</t>
    </rPh>
    <rPh sb="7" eb="9">
      <t>ヒキヌ</t>
    </rPh>
    <rPh sb="10" eb="13">
      <t>テイコウリョク</t>
    </rPh>
    <rPh sb="14" eb="15">
      <t>クイ</t>
    </rPh>
    <rPh sb="15" eb="17">
      <t>センタン</t>
    </rPh>
    <rPh sb="19" eb="21">
      <t>ヒキヌ</t>
    </rPh>
    <rPh sb="22" eb="24">
      <t>テイコウ</t>
    </rPh>
    <rPh sb="25" eb="27">
      <t>コウリョ</t>
    </rPh>
    <phoneticPr fontId="1"/>
  </si>
  <si>
    <t>②各層での基準周面支持力 【基礎標準 第Ⅱ編 15.2.2.3】</t>
    <rPh sb="1" eb="3">
      <t>カクソウ</t>
    </rPh>
    <rPh sb="5" eb="7">
      <t>キジュン</t>
    </rPh>
    <rPh sb="7" eb="8">
      <t>シュウ</t>
    </rPh>
    <rPh sb="8" eb="9">
      <t>メン</t>
    </rPh>
    <rPh sb="9" eb="11">
      <t>シジ</t>
    </rPh>
    <rPh sb="11" eb="12">
      <t>リョク</t>
    </rPh>
    <phoneticPr fontId="1"/>
  </si>
  <si>
    <t>各層での基準周面支持力は次式のより求め、計算結果は表 1.2.20に示すとおりである。</t>
    <rPh sb="0" eb="2">
      <t>カクソウ</t>
    </rPh>
    <rPh sb="4" eb="6">
      <t>キジュン</t>
    </rPh>
    <rPh sb="6" eb="7">
      <t>シュウ</t>
    </rPh>
    <rPh sb="7" eb="8">
      <t>メン</t>
    </rPh>
    <rPh sb="8" eb="10">
      <t>シジ</t>
    </rPh>
    <rPh sb="10" eb="11">
      <t>リョク</t>
    </rPh>
    <rPh sb="12" eb="14">
      <t>ジシキ</t>
    </rPh>
    <rPh sb="17" eb="18">
      <t>モト</t>
    </rPh>
    <rPh sb="20" eb="22">
      <t>ケイサン</t>
    </rPh>
    <rPh sb="22" eb="24">
      <t>ケッカ</t>
    </rPh>
    <rPh sb="25" eb="26">
      <t>ヒョウ</t>
    </rPh>
    <rPh sb="34" eb="35">
      <t>シメ</t>
    </rPh>
    <phoneticPr fontId="1"/>
  </si>
  <si>
    <r>
      <t>r</t>
    </r>
    <r>
      <rPr>
        <vertAlign val="subscript"/>
        <sz val="10"/>
        <rFont val="ＭＳ 明朝"/>
        <family val="1"/>
        <charset val="128"/>
      </rPr>
      <t>fk</t>
    </r>
    <phoneticPr fontId="1"/>
  </si>
  <si>
    <t>Ｕ</t>
    <phoneticPr fontId="1"/>
  </si>
  <si>
    <t>⊿l</t>
    <phoneticPr fontId="1"/>
  </si>
  <si>
    <t>杭の周長</t>
    <rPh sb="0" eb="1">
      <t>クイ</t>
    </rPh>
    <rPh sb="2" eb="3">
      <t>シュウ</t>
    </rPh>
    <rPh sb="3" eb="4">
      <t>チョウ</t>
    </rPh>
    <phoneticPr fontId="1"/>
  </si>
  <si>
    <t>砂質土または砂礫の場合</t>
    <rPh sb="0" eb="1">
      <t>サ</t>
    </rPh>
    <rPh sb="1" eb="2">
      <t>シツ</t>
    </rPh>
    <rPh sb="2" eb="3">
      <t>ド</t>
    </rPh>
    <rPh sb="6" eb="8">
      <t>サレキ</t>
    </rPh>
    <rPh sb="9" eb="11">
      <t>バアイ</t>
    </rPh>
    <phoneticPr fontId="1"/>
  </si>
  <si>
    <t>3・N</t>
    <phoneticPr fontId="1"/>
  </si>
  <si>
    <t>粘性土の場合</t>
    <rPh sb="0" eb="2">
      <t>ネンセイ</t>
    </rPh>
    <rPh sb="2" eb="3">
      <t>ド</t>
    </rPh>
    <rPh sb="4" eb="6">
      <t>バアイ</t>
    </rPh>
    <phoneticPr fontId="1"/>
  </si>
  <si>
    <t>0.4c</t>
    <phoneticPr fontId="1"/>
  </si>
  <si>
    <t>または</t>
    <phoneticPr fontId="1"/>
  </si>
  <si>
    <t>6・N</t>
    <phoneticPr fontId="1"/>
  </si>
  <si>
    <t>標準貫入試験のN値</t>
    <rPh sb="0" eb="2">
      <t>ヒョウジュン</t>
    </rPh>
    <rPh sb="2" eb="3">
      <t>カン</t>
    </rPh>
    <rPh sb="3" eb="4">
      <t>ニュウ</t>
    </rPh>
    <rPh sb="4" eb="6">
      <t>シケン</t>
    </rPh>
    <rPh sb="8" eb="9">
      <t>チ</t>
    </rPh>
    <phoneticPr fontId="1"/>
  </si>
  <si>
    <t>c</t>
    <phoneticPr fontId="1"/>
  </si>
  <si>
    <r>
      <t>粘着力度（kN/m</t>
    </r>
    <r>
      <rPr>
        <vertAlign val="superscript"/>
        <sz val="10"/>
        <rFont val="ＭＳ 明朝"/>
        <family val="1"/>
        <charset val="128"/>
      </rPr>
      <t>2</t>
    </r>
    <r>
      <rPr>
        <sz val="10"/>
        <rFont val="ＭＳ 明朝"/>
        <family val="1"/>
        <charset val="128"/>
      </rPr>
      <t>）</t>
    </r>
    <rPh sb="0" eb="2">
      <t>ネンチャク</t>
    </rPh>
    <rPh sb="2" eb="3">
      <t>リョク</t>
    </rPh>
    <rPh sb="3" eb="4">
      <t>ド</t>
    </rPh>
    <phoneticPr fontId="1"/>
  </si>
  <si>
    <t>基準周面支持力を算定する区間の長さ（m）</t>
    <rPh sb="0" eb="2">
      <t>キジュン</t>
    </rPh>
    <rPh sb="2" eb="3">
      <t>シュウ</t>
    </rPh>
    <rPh sb="3" eb="4">
      <t>メン</t>
    </rPh>
    <rPh sb="4" eb="6">
      <t>シジ</t>
    </rPh>
    <rPh sb="6" eb="7">
      <t>リョク</t>
    </rPh>
    <rPh sb="8" eb="10">
      <t>サンテイ</t>
    </rPh>
    <rPh sb="12" eb="14">
      <t>クカン</t>
    </rPh>
    <rPh sb="15" eb="16">
      <t>ナガ</t>
    </rPh>
    <phoneticPr fontId="1"/>
  </si>
  <si>
    <t>表1.1.18(1) 各層での基準周面支持力（地震時以外）</t>
    <rPh sb="0" eb="1">
      <t>ヒョウ</t>
    </rPh>
    <rPh sb="11" eb="13">
      <t>カクソウ</t>
    </rPh>
    <rPh sb="15" eb="17">
      <t>キジュン</t>
    </rPh>
    <rPh sb="17" eb="18">
      <t>シュウ</t>
    </rPh>
    <rPh sb="18" eb="19">
      <t>メン</t>
    </rPh>
    <rPh sb="19" eb="21">
      <t>シジ</t>
    </rPh>
    <rPh sb="21" eb="22">
      <t>リョク</t>
    </rPh>
    <rPh sb="23" eb="25">
      <t>ジシン</t>
    </rPh>
    <rPh sb="25" eb="26">
      <t>ジ</t>
    </rPh>
    <rPh sb="26" eb="28">
      <t>イガイ</t>
    </rPh>
    <phoneticPr fontId="1"/>
  </si>
  <si>
    <t>土質</t>
    <rPh sb="0" eb="2">
      <t>ドシツ</t>
    </rPh>
    <phoneticPr fontId="1"/>
  </si>
  <si>
    <t>粘性土</t>
    <rPh sb="0" eb="2">
      <t>ネンセイ</t>
    </rPh>
    <rPh sb="2" eb="3">
      <t>ド</t>
    </rPh>
    <phoneticPr fontId="1"/>
  </si>
  <si>
    <t>砂質土</t>
    <rPh sb="0" eb="1">
      <t>サ</t>
    </rPh>
    <rPh sb="1" eb="2">
      <t>シツ</t>
    </rPh>
    <rPh sb="2" eb="3">
      <t>ド</t>
    </rPh>
    <phoneticPr fontId="1"/>
  </si>
  <si>
    <t>N値
（回）</t>
    <rPh sb="1" eb="2">
      <t>チ</t>
    </rPh>
    <rPh sb="4" eb="5">
      <t>カイ</t>
    </rPh>
    <phoneticPr fontId="1"/>
  </si>
  <si>
    <t>Ｕ
（m）</t>
    <phoneticPr fontId="1"/>
  </si>
  <si>
    <r>
      <t>r</t>
    </r>
    <r>
      <rPr>
        <vertAlign val="subscript"/>
        <sz val="10"/>
        <rFont val="ＭＳ 明朝"/>
        <family val="1"/>
        <charset val="128"/>
      </rPr>
      <t xml:space="preserve">fk
</t>
    </r>
    <r>
      <rPr>
        <sz val="10"/>
        <rFont val="ＭＳ 明朝"/>
        <family val="1"/>
        <charset val="128"/>
      </rPr>
      <t>（kN）</t>
    </r>
    <phoneticPr fontId="1"/>
  </si>
  <si>
    <r>
      <t>R</t>
    </r>
    <r>
      <rPr>
        <vertAlign val="subscript"/>
        <sz val="10"/>
        <rFont val="ＭＳ 明朝"/>
        <family val="1"/>
        <charset val="128"/>
      </rPr>
      <t>fk</t>
    </r>
    <r>
      <rPr>
        <sz val="10"/>
        <rFont val="ＭＳ 明朝"/>
        <family val="1"/>
        <charset val="128"/>
      </rPr>
      <t xml:space="preserve">
（kN）</t>
    </r>
    <phoneticPr fontId="1"/>
  </si>
  <si>
    <t>表1.1.19(1) 各層での基準周面支持力（地震時）</t>
    <rPh sb="0" eb="1">
      <t>ヒョウ</t>
    </rPh>
    <rPh sb="11" eb="13">
      <t>カクソウ</t>
    </rPh>
    <rPh sb="15" eb="17">
      <t>キジュン</t>
    </rPh>
    <rPh sb="17" eb="18">
      <t>シュウ</t>
    </rPh>
    <rPh sb="18" eb="19">
      <t>メン</t>
    </rPh>
    <rPh sb="19" eb="21">
      <t>シジ</t>
    </rPh>
    <rPh sb="21" eb="22">
      <t>リョク</t>
    </rPh>
    <rPh sb="23" eb="25">
      <t>ジシン</t>
    </rPh>
    <rPh sb="25" eb="26">
      <t>ジ</t>
    </rPh>
    <phoneticPr fontId="1"/>
  </si>
  <si>
    <t>(b) 設計鉛直支持力および設計引抜き抵抗力 【基礎標準 第Ⅱ編 15.3.2.2】</t>
    <rPh sb="4" eb="6">
      <t>セッケイ</t>
    </rPh>
    <rPh sb="6" eb="8">
      <t>エンチョク</t>
    </rPh>
    <rPh sb="8" eb="10">
      <t>シジ</t>
    </rPh>
    <rPh sb="10" eb="11">
      <t>リョク</t>
    </rPh>
    <rPh sb="14" eb="16">
      <t>セッケイ</t>
    </rPh>
    <rPh sb="16" eb="18">
      <t>ヒキヌ</t>
    </rPh>
    <rPh sb="19" eb="22">
      <t>テイコウリョク</t>
    </rPh>
    <phoneticPr fontId="1"/>
  </si>
  <si>
    <t>①設計鉛直支持力</t>
    <rPh sb="1" eb="3">
      <t>セッケイ</t>
    </rPh>
    <rPh sb="3" eb="5">
      <t>エンチョク</t>
    </rPh>
    <rPh sb="5" eb="7">
      <t>シジ</t>
    </rPh>
    <rPh sb="7" eb="8">
      <t>リョク</t>
    </rPh>
    <phoneticPr fontId="1"/>
  </si>
  <si>
    <r>
      <t>R</t>
    </r>
    <r>
      <rPr>
        <vertAlign val="subscript"/>
        <sz val="10"/>
        <rFont val="ＭＳ 明朝"/>
        <family val="1"/>
        <charset val="128"/>
      </rPr>
      <t>vd</t>
    </r>
    <phoneticPr fontId="1"/>
  </si>
  <si>
    <r>
      <t>f</t>
    </r>
    <r>
      <rPr>
        <vertAlign val="subscript"/>
        <sz val="10"/>
        <rFont val="ＭＳ 明朝"/>
        <family val="1"/>
        <charset val="128"/>
      </rPr>
      <t>r</t>
    </r>
    <phoneticPr fontId="1"/>
  </si>
  <si>
    <r>
      <t>(R</t>
    </r>
    <r>
      <rPr>
        <vertAlign val="subscript"/>
        <sz val="10"/>
        <rFont val="ＭＳ 明朝"/>
        <family val="1"/>
        <charset val="128"/>
      </rPr>
      <t>tk</t>
    </r>
    <r>
      <rPr>
        <sz val="10"/>
        <rFont val="ＭＳ 明朝"/>
        <family val="1"/>
        <charset val="128"/>
      </rPr>
      <t xml:space="preserve"> ＋ R</t>
    </r>
    <r>
      <rPr>
        <vertAlign val="subscript"/>
        <sz val="10"/>
        <rFont val="ＭＳ 明朝"/>
        <family val="1"/>
        <charset val="128"/>
      </rPr>
      <t>fk</t>
    </r>
    <r>
      <rPr>
        <sz val="10"/>
        <rFont val="ＭＳ 明朝"/>
        <family val="1"/>
        <charset val="128"/>
      </rPr>
      <t>)</t>
    </r>
    <phoneticPr fontId="1"/>
  </si>
  <si>
    <t>設計鉛直支持力（kN）</t>
    <rPh sb="0" eb="2">
      <t>セッケイ</t>
    </rPh>
    <rPh sb="2" eb="4">
      <t>エンチョク</t>
    </rPh>
    <rPh sb="4" eb="6">
      <t>シジ</t>
    </rPh>
    <rPh sb="6" eb="7">
      <t>リョク</t>
    </rPh>
    <phoneticPr fontId="1"/>
  </si>
  <si>
    <t>基準支持力（kN）</t>
    <rPh sb="0" eb="2">
      <t>キジュン</t>
    </rPh>
    <rPh sb="2" eb="4">
      <t>シジ</t>
    </rPh>
    <rPh sb="4" eb="5">
      <t>リョク</t>
    </rPh>
    <phoneticPr fontId="1"/>
  </si>
  <si>
    <t>基準周面支持力（kN）</t>
    <rPh sb="0" eb="2">
      <t>キジュン</t>
    </rPh>
    <rPh sb="2" eb="3">
      <t>シュウ</t>
    </rPh>
    <rPh sb="3" eb="4">
      <t>メン</t>
    </rPh>
    <rPh sb="4" eb="6">
      <t>シジ</t>
    </rPh>
    <rPh sb="6" eb="7">
      <t>リョク</t>
    </rPh>
    <phoneticPr fontId="1"/>
  </si>
  <si>
    <t>解説図 15.3.4.2-1(残留鉛直変位)より算定する。</t>
    <phoneticPr fontId="1"/>
  </si>
  <si>
    <t>　地震時以外の基礎の安定と基礎の支持性能、および残留鉛直変位の照査に用いる設計鉛直</t>
    <rPh sb="1" eb="3">
      <t>ジシン</t>
    </rPh>
    <rPh sb="3" eb="4">
      <t>ジ</t>
    </rPh>
    <rPh sb="4" eb="6">
      <t>イガイ</t>
    </rPh>
    <rPh sb="7" eb="9">
      <t>キソ</t>
    </rPh>
    <rPh sb="10" eb="12">
      <t>アンテイ</t>
    </rPh>
    <rPh sb="13" eb="15">
      <t>キソ</t>
    </rPh>
    <rPh sb="16" eb="18">
      <t>シジ</t>
    </rPh>
    <rPh sb="18" eb="20">
      <t>セイノウ</t>
    </rPh>
    <rPh sb="24" eb="26">
      <t>ザンリュウ</t>
    </rPh>
    <rPh sb="26" eb="28">
      <t>エンチョク</t>
    </rPh>
    <rPh sb="28" eb="30">
      <t>ヘンイ</t>
    </rPh>
    <rPh sb="31" eb="33">
      <t>ショウサ</t>
    </rPh>
    <rPh sb="34" eb="35">
      <t>モチ</t>
    </rPh>
    <rPh sb="37" eb="39">
      <t>セッケイ</t>
    </rPh>
    <rPh sb="39" eb="41">
      <t>エンチョク</t>
    </rPh>
    <phoneticPr fontId="1"/>
  </si>
  <si>
    <t>支持力Rvdは、次式により算出する。</t>
    <rPh sb="8" eb="10">
      <t>ジシキ</t>
    </rPh>
    <rPh sb="13" eb="15">
      <t>サンシュツ</t>
    </rPh>
    <phoneticPr fontId="1"/>
  </si>
  <si>
    <t>(支持【基礎標準 第Ⅱ編15.3.2.2】性能)、【基礎標準 第Ⅱ編 15.3.4.2】</t>
    <rPh sb="21" eb="23">
      <t>セイノウ</t>
    </rPh>
    <rPh sb="26" eb="28">
      <t>キソ</t>
    </rPh>
    <rPh sb="28" eb="30">
      <t>ヒョウジュン</t>
    </rPh>
    <rPh sb="31" eb="32">
      <t>ダイ</t>
    </rPh>
    <rPh sb="33" eb="34">
      <t>ヘン</t>
    </rPh>
    <phoneticPr fontId="1"/>
  </si>
  <si>
    <r>
      <t>地盤抵抗係数で、先端支持力比(pt=R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)に応じて、解説図 15.3.2.2-1</t>
    </r>
    <rPh sb="0" eb="2">
      <t>ジバン</t>
    </rPh>
    <rPh sb="2" eb="4">
      <t>テイコウ</t>
    </rPh>
    <rPh sb="4" eb="6">
      <t>ケイスウ</t>
    </rPh>
    <rPh sb="8" eb="10">
      <t>センタン</t>
    </rPh>
    <rPh sb="10" eb="12">
      <t>シジ</t>
    </rPh>
    <rPh sb="12" eb="13">
      <t>リョク</t>
    </rPh>
    <rPh sb="13" eb="14">
      <t>ヒ</t>
    </rPh>
    <rPh sb="26" eb="27">
      <t>オウ</t>
    </rPh>
    <phoneticPr fontId="1"/>
  </si>
  <si>
    <t>(安定)、【基礎標準 第Ⅱ編15.3.3.2】解説図 15.3.3.2-1</t>
    <rPh sb="6" eb="8">
      <t>キソ</t>
    </rPh>
    <rPh sb="8" eb="10">
      <t>ヒョウジュン</t>
    </rPh>
    <rPh sb="11" eb="12">
      <t>ダイ</t>
    </rPh>
    <rPh sb="13" eb="14">
      <t>ヘン</t>
    </rPh>
    <rPh sb="23" eb="25">
      <t>カイセツ</t>
    </rPh>
    <rPh sb="25" eb="26">
      <t>ズ</t>
    </rPh>
    <phoneticPr fontId="1"/>
  </si>
  <si>
    <t>要求性能</t>
    <rPh sb="0" eb="2">
      <t>ヨウキュウ</t>
    </rPh>
    <rPh sb="2" eb="4">
      <t>セイノウ</t>
    </rPh>
    <phoneticPr fontId="1"/>
  </si>
  <si>
    <t>安定（地震時以外）</t>
    <rPh sb="0" eb="2">
      <t>アンテイ</t>
    </rPh>
    <rPh sb="3" eb="5">
      <t>ジシン</t>
    </rPh>
    <rPh sb="5" eb="6">
      <t>ジ</t>
    </rPh>
    <rPh sb="6" eb="8">
      <t>イガイ</t>
    </rPh>
    <phoneticPr fontId="1"/>
  </si>
  <si>
    <t>性能項目</t>
    <rPh sb="0" eb="2">
      <t>セイノウ</t>
    </rPh>
    <rPh sb="2" eb="4">
      <t>コウモク</t>
    </rPh>
    <phoneticPr fontId="1"/>
  </si>
  <si>
    <r>
      <t>R</t>
    </r>
    <r>
      <rPr>
        <vertAlign val="subscript"/>
        <sz val="10"/>
        <rFont val="ＭＳ 明朝"/>
        <family val="1"/>
        <charset val="128"/>
      </rPr>
      <t>tk</t>
    </r>
    <r>
      <rPr>
        <sz val="10"/>
        <rFont val="ＭＳ 明朝"/>
        <family val="1"/>
        <charset val="128"/>
      </rPr>
      <t xml:space="preserve">
(kN)</t>
    </r>
    <phoneticPr fontId="1"/>
  </si>
  <si>
    <t>fr</t>
    <phoneticPr fontId="1"/>
  </si>
  <si>
    <r>
      <t>R</t>
    </r>
    <r>
      <rPr>
        <vertAlign val="subscript"/>
        <sz val="10"/>
        <rFont val="ＭＳ 明朝"/>
        <family val="1"/>
        <charset val="128"/>
      </rPr>
      <t>vd</t>
    </r>
    <r>
      <rPr>
        <sz val="10"/>
        <rFont val="ＭＳ 明朝"/>
        <family val="1"/>
        <charset val="128"/>
      </rPr>
      <t xml:space="preserve">
(kN)</t>
    </r>
    <phoneticPr fontId="1"/>
  </si>
  <si>
    <r>
      <t>P</t>
    </r>
    <r>
      <rPr>
        <vertAlign val="subscript"/>
        <sz val="10"/>
        <rFont val="ＭＳ 明朝"/>
        <family val="1"/>
        <charset val="128"/>
      </rPr>
      <t>t</t>
    </r>
    <r>
      <rPr>
        <sz val="10"/>
        <rFont val="ＭＳ 明朝"/>
        <family val="1"/>
        <charset val="128"/>
      </rPr>
      <t xml:space="preserve">
(R</t>
    </r>
    <r>
      <rPr>
        <vertAlign val="subscript"/>
        <sz val="10"/>
        <rFont val="ＭＳ 明朝"/>
        <family val="1"/>
        <charset val="128"/>
      </rPr>
      <t>tk</t>
    </r>
    <r>
      <rPr>
        <sz val="10"/>
        <rFont val="ＭＳ 明朝"/>
        <family val="1"/>
        <charset val="128"/>
      </rPr>
      <t>/R</t>
    </r>
    <r>
      <rPr>
        <vertAlign val="subscript"/>
        <sz val="10"/>
        <rFont val="ＭＳ 明朝"/>
        <family val="1"/>
        <charset val="128"/>
      </rPr>
      <t>k</t>
    </r>
    <r>
      <rPr>
        <sz val="10"/>
        <rFont val="ＭＳ 明朝"/>
        <family val="1"/>
        <charset val="128"/>
      </rPr>
      <t>)</t>
    </r>
    <phoneticPr fontId="1"/>
  </si>
  <si>
    <r>
      <t>ΣR</t>
    </r>
    <r>
      <rPr>
        <vertAlign val="subscript"/>
        <sz val="10"/>
        <rFont val="ＭＳ 明朝"/>
        <family val="1"/>
        <charset val="128"/>
      </rPr>
      <t>fk</t>
    </r>
    <r>
      <rPr>
        <sz val="10"/>
        <rFont val="ＭＳ 明朝"/>
        <family val="1"/>
        <charset val="128"/>
      </rPr>
      <t xml:space="preserve">
(kN)</t>
    </r>
    <phoneticPr fontId="1"/>
  </si>
  <si>
    <r>
      <t>R</t>
    </r>
    <r>
      <rPr>
        <vertAlign val="subscript"/>
        <sz val="10"/>
        <rFont val="ＭＳ 明朝"/>
        <family val="1"/>
        <charset val="128"/>
      </rPr>
      <t>k</t>
    </r>
    <r>
      <rPr>
        <sz val="10"/>
        <rFont val="ＭＳ 明朝"/>
        <family val="1"/>
        <charset val="128"/>
      </rPr>
      <t xml:space="preserve">
(kN)</t>
    </r>
    <phoneticPr fontId="1"/>
  </si>
  <si>
    <t>長期支持性能</t>
    <rPh sb="0" eb="2">
      <t>チョウキ</t>
    </rPh>
    <rPh sb="2" eb="4">
      <t>シジ</t>
    </rPh>
    <rPh sb="4" eb="6">
      <t>セイノウ</t>
    </rPh>
    <phoneticPr fontId="1"/>
  </si>
  <si>
    <t>短期支持性能</t>
    <rPh sb="0" eb="2">
      <t>タンキ</t>
    </rPh>
    <rPh sb="2" eb="4">
      <t>シジ</t>
    </rPh>
    <rPh sb="4" eb="6">
      <t>セイノウ</t>
    </rPh>
    <phoneticPr fontId="1"/>
  </si>
  <si>
    <t>使用性</t>
    <rPh sb="0" eb="2">
      <t>シヨウ</t>
    </rPh>
    <rPh sb="2" eb="3">
      <t>セイ</t>
    </rPh>
    <phoneticPr fontId="1"/>
  </si>
  <si>
    <t>安全性</t>
    <rPh sb="0" eb="3">
      <t>アンゼンセイ</t>
    </rPh>
    <phoneticPr fontId="1"/>
  </si>
  <si>
    <t>復旧性</t>
    <rPh sb="0" eb="2">
      <t>フッキュウ</t>
    </rPh>
    <rPh sb="2" eb="3">
      <t>セイ</t>
    </rPh>
    <phoneticPr fontId="1"/>
  </si>
  <si>
    <t>残留鉛直変位
（性能レベル１）</t>
    <rPh sb="0" eb="2">
      <t>ザンリュウ</t>
    </rPh>
    <rPh sb="2" eb="4">
      <t>エンチョク</t>
    </rPh>
    <rPh sb="4" eb="6">
      <t>ヘンイ</t>
    </rPh>
    <rPh sb="8" eb="10">
      <t>セイノウ</t>
    </rPh>
    <phoneticPr fontId="1"/>
  </si>
  <si>
    <t>残留鉛直変位
（性能レベル２）</t>
    <rPh sb="0" eb="2">
      <t>ザンリュウ</t>
    </rPh>
    <rPh sb="2" eb="4">
      <t>エンチョク</t>
    </rPh>
    <rPh sb="4" eb="6">
      <t>ヘンイ</t>
    </rPh>
    <rPh sb="8" eb="10">
      <t>セイノウ</t>
    </rPh>
    <phoneticPr fontId="1"/>
  </si>
  <si>
    <r>
      <t>地震時の基礎の安定の照査に用いる設計鉛直支持力R</t>
    </r>
    <r>
      <rPr>
        <vertAlign val="subscript"/>
        <sz val="10"/>
        <rFont val="ＭＳ 明朝"/>
        <family val="1"/>
        <charset val="128"/>
      </rPr>
      <t>wd</t>
    </r>
    <r>
      <rPr>
        <sz val="10"/>
        <rFont val="ＭＳ 明朝"/>
        <family val="1"/>
        <charset val="128"/>
      </rPr>
      <t>は、次式により算出する。</t>
    </r>
    <rPh sb="0" eb="2">
      <t>ジシン</t>
    </rPh>
    <rPh sb="2" eb="3">
      <t>ジ</t>
    </rPh>
    <rPh sb="4" eb="6">
      <t>キソ</t>
    </rPh>
    <rPh sb="7" eb="9">
      <t>アンテイ</t>
    </rPh>
    <rPh sb="10" eb="12">
      <t>ショウサ</t>
    </rPh>
    <rPh sb="13" eb="14">
      <t>モチ</t>
    </rPh>
    <rPh sb="16" eb="18">
      <t>セッケイ</t>
    </rPh>
    <rPh sb="18" eb="20">
      <t>エンチョク</t>
    </rPh>
    <rPh sb="20" eb="22">
      <t>シジ</t>
    </rPh>
    <rPh sb="22" eb="23">
      <t>リョク</t>
    </rPh>
    <rPh sb="28" eb="30">
      <t>ジシキ</t>
    </rPh>
    <rPh sb="33" eb="35">
      <t>サンシュツ</t>
    </rPh>
    <phoneticPr fontId="1"/>
  </si>
  <si>
    <r>
      <t>f</t>
    </r>
    <r>
      <rPr>
        <vertAlign val="subscript"/>
        <sz val="10"/>
        <rFont val="ＭＳ 明朝"/>
        <family val="1"/>
        <charset val="128"/>
      </rPr>
      <t>rt</t>
    </r>
    <r>
      <rPr>
        <sz val="10"/>
        <rFont val="ＭＳ 明朝"/>
        <family val="1"/>
        <charset val="128"/>
      </rPr>
      <t>R</t>
    </r>
    <r>
      <rPr>
        <vertAlign val="subscript"/>
        <sz val="10"/>
        <rFont val="ＭＳ 明朝"/>
        <family val="1"/>
        <charset val="128"/>
      </rPr>
      <t>tk</t>
    </r>
    <phoneticPr fontId="1"/>
  </si>
  <si>
    <r>
      <t>f</t>
    </r>
    <r>
      <rPr>
        <vertAlign val="subscript"/>
        <sz val="10"/>
        <rFont val="ＭＳ 明朝"/>
        <family val="1"/>
        <charset val="128"/>
      </rPr>
      <t>rf</t>
    </r>
    <r>
      <rPr>
        <sz val="10"/>
        <rFont val="ＭＳ 明朝"/>
        <family val="1"/>
        <charset val="128"/>
      </rPr>
      <t>R</t>
    </r>
    <r>
      <rPr>
        <vertAlign val="subscript"/>
        <sz val="10"/>
        <rFont val="ＭＳ 明朝"/>
        <family val="1"/>
        <charset val="128"/>
      </rPr>
      <t>fk</t>
    </r>
    <phoneticPr fontId="1"/>
  </si>
  <si>
    <r>
      <t>f</t>
    </r>
    <r>
      <rPr>
        <vertAlign val="subscript"/>
        <sz val="10"/>
        <rFont val="ＭＳ 明朝"/>
        <family val="1"/>
        <charset val="128"/>
      </rPr>
      <t>rt</t>
    </r>
    <phoneticPr fontId="1"/>
  </si>
  <si>
    <r>
      <t>f</t>
    </r>
    <r>
      <rPr>
        <vertAlign val="subscript"/>
        <sz val="10"/>
        <rFont val="ＭＳ 明朝"/>
        <family val="1"/>
        <charset val="128"/>
      </rPr>
      <t>rf</t>
    </r>
    <phoneticPr fontId="1"/>
  </si>
  <si>
    <t>杭先端の地盤抵抗係数</t>
    <rPh sb="0" eb="1">
      <t>クイ</t>
    </rPh>
    <rPh sb="1" eb="3">
      <t>センタン</t>
    </rPh>
    <rPh sb="4" eb="6">
      <t>ジバン</t>
    </rPh>
    <rPh sb="6" eb="8">
      <t>テイコウ</t>
    </rPh>
    <rPh sb="8" eb="10">
      <t>ケイスウ</t>
    </rPh>
    <phoneticPr fontId="1"/>
  </si>
  <si>
    <t>杭周面の地盤抵抗係数</t>
    <rPh sb="0" eb="1">
      <t>クイ</t>
    </rPh>
    <rPh sb="1" eb="2">
      <t>シュウ</t>
    </rPh>
    <rPh sb="2" eb="3">
      <t>メン</t>
    </rPh>
    <rPh sb="4" eb="6">
      <t>ジバン</t>
    </rPh>
    <rPh sb="6" eb="8">
      <t>テイコウ</t>
    </rPh>
    <rPh sb="8" eb="10">
      <t>ケイスウ</t>
    </rPh>
    <phoneticPr fontId="1"/>
  </si>
  <si>
    <t>kN</t>
    <phoneticPr fontId="1"/>
  </si>
  <si>
    <t>②設計引抜き抵抗力</t>
    <rPh sb="1" eb="3">
      <t>セッケイ</t>
    </rPh>
    <rPh sb="3" eb="5">
      <t>ヒキヌ</t>
    </rPh>
    <rPh sb="6" eb="9">
      <t>テイコウリョク</t>
    </rPh>
    <phoneticPr fontId="1"/>
  </si>
  <si>
    <t>引抜き抵抗力は、次式により算出する。</t>
    <rPh sb="3" eb="6">
      <t>テイコウリョク</t>
    </rPh>
    <rPh sb="8" eb="10">
      <t>ジシキ</t>
    </rPh>
    <rPh sb="13" eb="15">
      <t>サンシュツ</t>
    </rPh>
    <phoneticPr fontId="1"/>
  </si>
  <si>
    <r>
      <t>R</t>
    </r>
    <r>
      <rPr>
        <vertAlign val="subscript"/>
        <sz val="10"/>
        <rFont val="ＭＳ 明朝"/>
        <family val="1"/>
        <charset val="128"/>
      </rPr>
      <t>ud</t>
    </r>
    <phoneticPr fontId="1"/>
  </si>
  <si>
    <r>
      <t>f</t>
    </r>
    <r>
      <rPr>
        <vertAlign val="subscript"/>
        <sz val="10"/>
        <rFont val="ＭＳ 明朝"/>
        <family val="1"/>
        <charset val="128"/>
      </rPr>
      <t>r</t>
    </r>
    <r>
      <rPr>
        <sz val="10"/>
        <rFont val="ＭＳ 明朝"/>
        <family val="1"/>
        <charset val="128"/>
      </rPr>
      <t>R</t>
    </r>
    <r>
      <rPr>
        <vertAlign val="subscript"/>
        <sz val="10"/>
        <rFont val="ＭＳ 明朝"/>
        <family val="1"/>
        <charset val="128"/>
      </rPr>
      <t>fk</t>
    </r>
    <phoneticPr fontId="1"/>
  </si>
  <si>
    <r>
      <t>W</t>
    </r>
    <r>
      <rPr>
        <vertAlign val="subscript"/>
        <sz val="10"/>
        <rFont val="ＭＳ 明朝"/>
        <family val="1"/>
        <charset val="128"/>
      </rPr>
      <t>p</t>
    </r>
    <phoneticPr fontId="1"/>
  </si>
  <si>
    <t>設計引抜き抵抗力（kN）</t>
    <rPh sb="0" eb="2">
      <t>セッケイ</t>
    </rPh>
    <rPh sb="2" eb="4">
      <t>ヒキヌ</t>
    </rPh>
    <rPh sb="5" eb="7">
      <t>テイコウ</t>
    </rPh>
    <rPh sb="7" eb="8">
      <t>リョク</t>
    </rPh>
    <phoneticPr fontId="1"/>
  </si>
  <si>
    <t>地盤抵抗係数</t>
    <rPh sb="0" eb="2">
      <t>ジバン</t>
    </rPh>
    <rPh sb="2" eb="4">
      <t>テイコウ</t>
    </rPh>
    <rPh sb="4" eb="6">
      <t>ケイスウ</t>
    </rPh>
    <phoneticPr fontId="1"/>
  </si>
  <si>
    <t>杭の有効自重（kN）</t>
    <rPh sb="0" eb="1">
      <t>クイ</t>
    </rPh>
    <rPh sb="2" eb="4">
      <t>ユウコウ</t>
    </rPh>
    <rPh sb="4" eb="6">
      <t>ジジュウ</t>
    </rPh>
    <phoneticPr fontId="1"/>
  </si>
  <si>
    <t>　長期支持性能の照査に用いる設計引抜き抵抗力は、次式により算定する。</t>
    <rPh sb="1" eb="3">
      <t>チョウキ</t>
    </rPh>
    <rPh sb="3" eb="5">
      <t>シジ</t>
    </rPh>
    <rPh sb="5" eb="7">
      <t>セイノウ</t>
    </rPh>
    <rPh sb="8" eb="10">
      <t>ショウサ</t>
    </rPh>
    <rPh sb="11" eb="12">
      <t>モチ</t>
    </rPh>
    <rPh sb="14" eb="16">
      <t>セッケイ</t>
    </rPh>
    <rPh sb="16" eb="18">
      <t>ヒキヌ</t>
    </rPh>
    <rPh sb="19" eb="21">
      <t>テイコウ</t>
    </rPh>
    <rPh sb="21" eb="22">
      <t>リョク</t>
    </rPh>
    <rPh sb="24" eb="26">
      <t>ジシキ</t>
    </rPh>
    <rPh sb="29" eb="31">
      <t>サンテイ</t>
    </rPh>
    <phoneticPr fontId="1"/>
  </si>
  <si>
    <r>
      <t>W</t>
    </r>
    <r>
      <rPr>
        <vertAlign val="subscript"/>
        <sz val="10"/>
        <rFont val="ＭＳ 明朝"/>
        <family val="1"/>
        <charset val="128"/>
      </rPr>
      <t>P</t>
    </r>
    <r>
      <rPr>
        <sz val="10"/>
        <rFont val="ＭＳ 明朝"/>
        <family val="1"/>
        <charset val="128"/>
      </rPr>
      <t xml:space="preserve">
(kN)</t>
    </r>
    <phoneticPr fontId="1"/>
  </si>
  <si>
    <t>　地震時以外の基礎の安定と短期支持性能、および残留鉛直変位(性能レベル1)に用いる設計</t>
    <rPh sb="1" eb="3">
      <t>ジシン</t>
    </rPh>
    <rPh sb="3" eb="4">
      <t>ジ</t>
    </rPh>
    <rPh sb="4" eb="6">
      <t>イガイ</t>
    </rPh>
    <rPh sb="7" eb="9">
      <t>キソ</t>
    </rPh>
    <rPh sb="10" eb="12">
      <t>アンテイ</t>
    </rPh>
    <rPh sb="13" eb="15">
      <t>タンキ</t>
    </rPh>
    <rPh sb="15" eb="17">
      <t>シジ</t>
    </rPh>
    <rPh sb="17" eb="19">
      <t>セイノウ</t>
    </rPh>
    <rPh sb="23" eb="25">
      <t>ザンリュウ</t>
    </rPh>
    <rPh sb="25" eb="27">
      <t>エンチョク</t>
    </rPh>
    <rPh sb="27" eb="29">
      <t>ヘンイ</t>
    </rPh>
    <rPh sb="30" eb="32">
      <t>セイノウ</t>
    </rPh>
    <rPh sb="38" eb="39">
      <t>モチ</t>
    </rPh>
    <rPh sb="41" eb="43">
      <t>セッケイ</t>
    </rPh>
    <phoneticPr fontId="1"/>
  </si>
  <si>
    <t>(c) 有効抵抗土圧力の計算 【基礎標準 第Ⅱ編 15.2.2.4】</t>
    <rPh sb="4" eb="6">
      <t>ユウコウ</t>
    </rPh>
    <rPh sb="6" eb="8">
      <t>テイコウ</t>
    </rPh>
    <rPh sb="8" eb="9">
      <t>ド</t>
    </rPh>
    <rPh sb="9" eb="10">
      <t>アツ</t>
    </rPh>
    <rPh sb="10" eb="11">
      <t>リョク</t>
    </rPh>
    <rPh sb="12" eb="14">
      <t>ケイサン</t>
    </rPh>
    <phoneticPr fontId="1"/>
  </si>
  <si>
    <r>
      <t>η</t>
    </r>
    <r>
      <rPr>
        <vertAlign val="subscript"/>
        <sz val="10"/>
        <rFont val="ＭＳ 明朝"/>
        <family val="1"/>
        <charset val="128"/>
      </rPr>
      <t>m</t>
    </r>
    <phoneticPr fontId="1"/>
  </si>
  <si>
    <t>・</t>
    <phoneticPr fontId="1"/>
  </si>
  <si>
    <r>
      <t>η</t>
    </r>
    <r>
      <rPr>
        <vertAlign val="subscript"/>
        <sz val="10"/>
        <rFont val="ＭＳ 明朝"/>
        <family val="1"/>
        <charset val="128"/>
      </rPr>
      <t>n</t>
    </r>
    <phoneticPr fontId="1"/>
  </si>
  <si>
    <r>
      <t>p</t>
    </r>
    <r>
      <rPr>
        <vertAlign val="subscript"/>
        <sz val="10"/>
        <rFont val="ＭＳ 明朝"/>
        <family val="1"/>
        <charset val="128"/>
      </rPr>
      <t>e</t>
    </r>
    <r>
      <rPr>
        <sz val="10"/>
        <rFont val="ＭＳ 明朝"/>
        <family val="1"/>
        <charset val="128"/>
      </rPr>
      <t>(z)</t>
    </r>
    <phoneticPr fontId="1"/>
  </si>
  <si>
    <r>
      <t>p</t>
    </r>
    <r>
      <rPr>
        <vertAlign val="subscript"/>
        <sz val="10"/>
        <rFont val="ＭＳ 明朝"/>
        <family val="1"/>
        <charset val="128"/>
      </rPr>
      <t>eg</t>
    </r>
    <r>
      <rPr>
        <sz val="10"/>
        <rFont val="ＭＳ 明朝"/>
        <family val="1"/>
        <charset val="128"/>
      </rPr>
      <t>(z)</t>
    </r>
    <phoneticPr fontId="1"/>
  </si>
  <si>
    <t>≦</t>
    <phoneticPr fontId="1"/>
  </si>
  <si>
    <r>
      <t>深さzにおける群杭の有効抵抗土圧力度（kN/m</t>
    </r>
    <r>
      <rPr>
        <vertAlign val="superscript"/>
        <sz val="10"/>
        <rFont val="ＭＳ 明朝"/>
        <family val="1"/>
        <charset val="128"/>
      </rPr>
      <t>2</t>
    </r>
    <r>
      <rPr>
        <sz val="10"/>
        <rFont val="ＭＳ 明朝"/>
        <family val="1"/>
        <charset val="128"/>
      </rPr>
      <t>）</t>
    </r>
    <rPh sb="0" eb="1">
      <t>フカ</t>
    </rPh>
    <rPh sb="7" eb="8">
      <t>グン</t>
    </rPh>
    <rPh sb="8" eb="9">
      <t>クイ</t>
    </rPh>
    <rPh sb="10" eb="12">
      <t>ユウコウ</t>
    </rPh>
    <rPh sb="12" eb="14">
      <t>テイコウ</t>
    </rPh>
    <rPh sb="14" eb="15">
      <t>ド</t>
    </rPh>
    <rPh sb="15" eb="17">
      <t>アツリョク</t>
    </rPh>
    <rPh sb="17" eb="18">
      <t>ド</t>
    </rPh>
    <phoneticPr fontId="1"/>
  </si>
  <si>
    <t>群杭の載荷方向の杭列による抵抗分担係数</t>
    <rPh sb="0" eb="1">
      <t>グン</t>
    </rPh>
    <rPh sb="1" eb="2">
      <t>クイ</t>
    </rPh>
    <rPh sb="3" eb="4">
      <t>サイ</t>
    </rPh>
    <rPh sb="4" eb="5">
      <t>カ</t>
    </rPh>
    <rPh sb="5" eb="7">
      <t>ホウコウ</t>
    </rPh>
    <rPh sb="8" eb="9">
      <t>クイ</t>
    </rPh>
    <rPh sb="9" eb="10">
      <t>レツ</t>
    </rPh>
    <rPh sb="13" eb="15">
      <t>テイコウ</t>
    </rPh>
    <rPh sb="15" eb="17">
      <t>ブンタン</t>
    </rPh>
    <rPh sb="17" eb="19">
      <t>ケイスウ</t>
    </rPh>
    <phoneticPr fontId="1"/>
  </si>
  <si>
    <t>【基礎標準 第Ⅱ編 15.2.2.4】解説表 15.2.2.4-1に示す値</t>
    <rPh sb="19" eb="21">
      <t>カイセツ</t>
    </rPh>
    <rPh sb="21" eb="22">
      <t>ヒョウ</t>
    </rPh>
    <rPh sb="34" eb="35">
      <t>シメ</t>
    </rPh>
    <rPh sb="36" eb="37">
      <t>アタイ</t>
    </rPh>
    <phoneticPr fontId="1"/>
  </si>
  <si>
    <r>
      <t>各列ともη</t>
    </r>
    <r>
      <rPr>
        <vertAlign val="subscript"/>
        <sz val="10"/>
        <rFont val="ＭＳ 明朝"/>
        <family val="1"/>
        <charset val="128"/>
      </rPr>
      <t>m</t>
    </r>
    <r>
      <rPr>
        <sz val="10"/>
        <rFont val="ＭＳ 明朝"/>
        <family val="1"/>
        <charset val="128"/>
      </rPr>
      <t>＝1.0</t>
    </r>
    <rPh sb="0" eb="2">
      <t>カクレツ</t>
    </rPh>
    <phoneticPr fontId="1"/>
  </si>
  <si>
    <t>群杭の載荷方向の杭本数による抵抗補正係数</t>
    <rPh sb="0" eb="1">
      <t>グン</t>
    </rPh>
    <rPh sb="1" eb="2">
      <t>クイ</t>
    </rPh>
    <rPh sb="3" eb="4">
      <t>サイ</t>
    </rPh>
    <rPh sb="4" eb="5">
      <t>カ</t>
    </rPh>
    <rPh sb="5" eb="7">
      <t>ホウコウ</t>
    </rPh>
    <rPh sb="8" eb="9">
      <t>クイ</t>
    </rPh>
    <rPh sb="9" eb="11">
      <t>ホンスウ</t>
    </rPh>
    <rPh sb="14" eb="16">
      <t>テイコウ</t>
    </rPh>
    <rPh sb="16" eb="18">
      <t>ホセイ</t>
    </rPh>
    <rPh sb="18" eb="20">
      <t>ケイスウ</t>
    </rPh>
    <phoneticPr fontId="1"/>
  </si>
  <si>
    <t>【基礎標準 第Ⅱ編 15.2.2.4】解説表 15.2.2.4-3に示す値</t>
    <rPh sb="19" eb="21">
      <t>カイセツ</t>
    </rPh>
    <rPh sb="21" eb="22">
      <t>ヒョウ</t>
    </rPh>
    <rPh sb="34" eb="35">
      <t>シメ</t>
    </rPh>
    <rPh sb="36" eb="37">
      <t>アタイ</t>
    </rPh>
    <phoneticPr fontId="1"/>
  </si>
  <si>
    <r>
      <t>η</t>
    </r>
    <r>
      <rPr>
        <vertAlign val="subscript"/>
        <sz val="10"/>
        <rFont val="ＭＳ 明朝"/>
        <family val="1"/>
        <charset val="128"/>
      </rPr>
      <t>n</t>
    </r>
    <r>
      <rPr>
        <sz val="10"/>
        <rFont val="ＭＳ 明朝"/>
        <family val="1"/>
        <charset val="128"/>
      </rPr>
      <t>＝1.0</t>
    </r>
    <phoneticPr fontId="1"/>
  </si>
  <si>
    <t>9c</t>
    <phoneticPr fontId="1"/>
  </si>
  <si>
    <r>
      <t>α</t>
    </r>
    <r>
      <rPr>
        <vertAlign val="subscript"/>
        <sz val="10"/>
        <rFont val="ＭＳ 明朝"/>
        <family val="1"/>
        <charset val="128"/>
      </rPr>
      <t>h</t>
    </r>
    <r>
      <rPr>
        <sz val="10"/>
        <rFont val="ＭＳ 明朝"/>
        <family val="1"/>
        <charset val="128"/>
      </rPr>
      <t>γ</t>
    </r>
    <r>
      <rPr>
        <vertAlign val="subscript"/>
        <sz val="10"/>
        <rFont val="ＭＳ 明朝"/>
        <family val="1"/>
        <charset val="128"/>
      </rPr>
      <t>e</t>
    </r>
    <r>
      <rPr>
        <sz val="10"/>
        <rFont val="ＭＳ 明朝"/>
        <family val="1"/>
        <charset val="128"/>
      </rPr>
      <t>zK</t>
    </r>
    <r>
      <rPr>
        <vertAlign val="subscript"/>
        <sz val="10"/>
        <rFont val="ＭＳ 明朝"/>
        <family val="1"/>
        <charset val="128"/>
      </rPr>
      <t>p</t>
    </r>
    <phoneticPr fontId="1"/>
  </si>
  <si>
    <r>
      <t>(1＋z/2D)(γ</t>
    </r>
    <r>
      <rPr>
        <vertAlign val="subscript"/>
        <sz val="10"/>
        <rFont val="ＭＳ 明朝"/>
        <family val="1"/>
        <charset val="128"/>
      </rPr>
      <t>e</t>
    </r>
    <r>
      <rPr>
        <sz val="10"/>
        <rFont val="ＭＳ 明朝"/>
        <family val="1"/>
        <charset val="128"/>
      </rPr>
      <t>z＋2c)</t>
    </r>
    <phoneticPr fontId="1"/>
  </si>
  <si>
    <t>z</t>
    <phoneticPr fontId="1"/>
  </si>
  <si>
    <t>有効抵抗土圧力度を求める深さ（m）</t>
    <rPh sb="0" eb="2">
      <t>ユウコウ</t>
    </rPh>
    <rPh sb="2" eb="4">
      <t>テイコウ</t>
    </rPh>
    <rPh sb="4" eb="5">
      <t>ド</t>
    </rPh>
    <rPh sb="5" eb="7">
      <t>アツリョク</t>
    </rPh>
    <rPh sb="7" eb="8">
      <t>ド</t>
    </rPh>
    <rPh sb="9" eb="10">
      <t>モト</t>
    </rPh>
    <rPh sb="12" eb="13">
      <t>フカ</t>
    </rPh>
    <phoneticPr fontId="1"/>
  </si>
  <si>
    <r>
      <t>α</t>
    </r>
    <r>
      <rPr>
        <vertAlign val="subscript"/>
        <sz val="10"/>
        <rFont val="ＭＳ 明朝"/>
        <family val="1"/>
        <charset val="128"/>
      </rPr>
      <t>h</t>
    </r>
    <r>
      <rPr>
        <sz val="10"/>
        <rFont val="ＭＳ 明朝"/>
        <family val="1"/>
        <charset val="128"/>
      </rPr>
      <t/>
    </r>
    <phoneticPr fontId="1"/>
  </si>
  <si>
    <t>杭前面の形状係数(=3.0)</t>
    <rPh sb="0" eb="1">
      <t>クイ</t>
    </rPh>
    <rPh sb="1" eb="3">
      <t>ゼンメン</t>
    </rPh>
    <rPh sb="4" eb="6">
      <t>ケイジョウ</t>
    </rPh>
    <rPh sb="6" eb="8">
      <t>ケイスウ</t>
    </rPh>
    <phoneticPr fontId="1"/>
  </si>
  <si>
    <r>
      <t>γ</t>
    </r>
    <r>
      <rPr>
        <vertAlign val="subscript"/>
        <sz val="10"/>
        <rFont val="ＭＳ 明朝"/>
        <family val="1"/>
        <charset val="128"/>
      </rPr>
      <t>e</t>
    </r>
    <r>
      <rPr>
        <sz val="10"/>
        <rFont val="ＭＳ 明朝"/>
        <family val="1"/>
        <charset val="128"/>
      </rPr>
      <t/>
    </r>
    <phoneticPr fontId="1"/>
  </si>
  <si>
    <r>
      <t>深さzまでの平均有効単位体積重量（kN/m</t>
    </r>
    <r>
      <rPr>
        <vertAlign val="superscript"/>
        <sz val="10"/>
        <rFont val="ＭＳ 明朝"/>
        <family val="1"/>
        <charset val="128"/>
      </rPr>
      <t>3</t>
    </r>
    <r>
      <rPr>
        <sz val="10"/>
        <rFont val="ＭＳ 明朝"/>
        <family val="1"/>
        <charset val="128"/>
      </rPr>
      <t>）</t>
    </r>
    <rPh sb="0" eb="1">
      <t>フカ</t>
    </rPh>
    <rPh sb="6" eb="8">
      <t>ヘイキン</t>
    </rPh>
    <rPh sb="8" eb="10">
      <t>ユウコウ</t>
    </rPh>
    <rPh sb="10" eb="16">
      <t>タンイタイセキジュウリョウ</t>
    </rPh>
    <phoneticPr fontId="1"/>
  </si>
  <si>
    <r>
      <t>K</t>
    </r>
    <r>
      <rPr>
        <vertAlign val="subscript"/>
        <sz val="10"/>
        <rFont val="ＭＳ 明朝"/>
        <family val="1"/>
        <charset val="128"/>
      </rPr>
      <t>p</t>
    </r>
    <phoneticPr fontId="1"/>
  </si>
  <si>
    <r>
      <t>受動土圧係数(=tan</t>
    </r>
    <r>
      <rPr>
        <vertAlign val="superscript"/>
        <sz val="10"/>
        <rFont val="ＭＳ 明朝"/>
        <family val="1"/>
        <charset val="128"/>
      </rPr>
      <t>2</t>
    </r>
    <r>
      <rPr>
        <sz val="10"/>
        <rFont val="ＭＳ 明朝"/>
        <family val="1"/>
        <charset val="128"/>
      </rPr>
      <t>(45°+φ/2))</t>
    </r>
    <rPh sb="0" eb="2">
      <t>ジュドウ</t>
    </rPh>
    <rPh sb="2" eb="3">
      <t>ド</t>
    </rPh>
    <rPh sb="3" eb="4">
      <t>アツ</t>
    </rPh>
    <rPh sb="4" eb="6">
      <t>ケイスウ</t>
    </rPh>
    <phoneticPr fontId="1"/>
  </si>
  <si>
    <t>深さzの土の内部摩擦角(度）</t>
    <rPh sb="0" eb="1">
      <t>フカ</t>
    </rPh>
    <rPh sb="4" eb="5">
      <t>ツチ</t>
    </rPh>
    <rPh sb="6" eb="8">
      <t>ナイブ</t>
    </rPh>
    <rPh sb="8" eb="10">
      <t>マサツ</t>
    </rPh>
    <rPh sb="10" eb="11">
      <t>カク</t>
    </rPh>
    <rPh sb="12" eb="13">
      <t>ド</t>
    </rPh>
    <phoneticPr fontId="1"/>
  </si>
  <si>
    <r>
      <t>粘性土の粘着力度(kN/m</t>
    </r>
    <r>
      <rPr>
        <vertAlign val="superscript"/>
        <sz val="10"/>
        <rFont val="ＭＳ 明朝"/>
        <family val="1"/>
        <charset val="128"/>
      </rPr>
      <t>2</t>
    </r>
    <r>
      <rPr>
        <sz val="10"/>
        <rFont val="ＭＳ 明朝"/>
        <family val="1"/>
        <charset val="128"/>
      </rPr>
      <t>)</t>
    </r>
    <rPh sb="0" eb="2">
      <t>ネンセイ</t>
    </rPh>
    <rPh sb="2" eb="3">
      <t>ド</t>
    </rPh>
    <rPh sb="4" eb="7">
      <t>ネンチャクリョク</t>
    </rPh>
    <rPh sb="7" eb="8">
      <t>ド</t>
    </rPh>
    <phoneticPr fontId="1"/>
  </si>
  <si>
    <t>　なお、本設計計算例のおいて、郡杭の杭本数による抵抗補正係数ηmおよびηnは、設計水平</t>
    <rPh sb="4" eb="5">
      <t>ホン</t>
    </rPh>
    <rPh sb="5" eb="7">
      <t>セッケイ</t>
    </rPh>
    <rPh sb="7" eb="9">
      <t>ケイサン</t>
    </rPh>
    <rPh sb="9" eb="10">
      <t>レイ</t>
    </rPh>
    <rPh sb="15" eb="16">
      <t>グン</t>
    </rPh>
    <rPh sb="16" eb="17">
      <t>クイ</t>
    </rPh>
    <rPh sb="18" eb="19">
      <t>クイ</t>
    </rPh>
    <rPh sb="19" eb="21">
      <t>ホンスウ</t>
    </rPh>
    <rPh sb="24" eb="26">
      <t>テイコウ</t>
    </rPh>
    <rPh sb="26" eb="28">
      <t>ホセイ</t>
    </rPh>
    <rPh sb="28" eb="30">
      <t>ケイスウ</t>
    </rPh>
    <rPh sb="39" eb="41">
      <t>セッケイ</t>
    </rPh>
    <rPh sb="41" eb="43">
      <t>スイヘイ</t>
    </rPh>
    <phoneticPr fontId="1"/>
  </si>
  <si>
    <t>地盤反力係数の補正計算にもあったように、群杭の杭本数による影響が小さいものと判断されること</t>
    <rPh sb="7" eb="9">
      <t>ホセイ</t>
    </rPh>
    <rPh sb="9" eb="11">
      <t>ケイサン</t>
    </rPh>
    <rPh sb="20" eb="21">
      <t>グン</t>
    </rPh>
    <rPh sb="21" eb="22">
      <t>クイ</t>
    </rPh>
    <rPh sb="23" eb="24">
      <t>クイ</t>
    </rPh>
    <rPh sb="24" eb="26">
      <t>ホンスウ</t>
    </rPh>
    <rPh sb="29" eb="31">
      <t>エイキョウ</t>
    </rPh>
    <rPh sb="32" eb="33">
      <t>チイ</t>
    </rPh>
    <rPh sb="38" eb="40">
      <t>ハンダン</t>
    </rPh>
    <phoneticPr fontId="1"/>
  </si>
  <si>
    <t>から考慮しない。</t>
    <phoneticPr fontId="1"/>
  </si>
  <si>
    <t>　杭の有効抵抗土圧力について、有効抵抗土圧力度に抵抗面積を考慮した有効土圧は、次式により</t>
    <rPh sb="1" eb="2">
      <t>クイ</t>
    </rPh>
    <rPh sb="3" eb="5">
      <t>ユウコウ</t>
    </rPh>
    <rPh sb="5" eb="7">
      <t>テイコウ</t>
    </rPh>
    <rPh sb="7" eb="8">
      <t>ド</t>
    </rPh>
    <rPh sb="8" eb="10">
      <t>アツリョク</t>
    </rPh>
    <rPh sb="15" eb="17">
      <t>ユウコウ</t>
    </rPh>
    <rPh sb="17" eb="19">
      <t>テイコウ</t>
    </rPh>
    <rPh sb="19" eb="20">
      <t>ド</t>
    </rPh>
    <rPh sb="20" eb="22">
      <t>アツリョク</t>
    </rPh>
    <rPh sb="22" eb="23">
      <t>ド</t>
    </rPh>
    <rPh sb="24" eb="26">
      <t>テイコウ</t>
    </rPh>
    <rPh sb="26" eb="28">
      <t>メンセキ</t>
    </rPh>
    <rPh sb="29" eb="31">
      <t>コウリョ</t>
    </rPh>
    <rPh sb="33" eb="35">
      <t>ユウコウ</t>
    </rPh>
    <rPh sb="35" eb="36">
      <t>ド</t>
    </rPh>
    <rPh sb="36" eb="37">
      <t>アツ</t>
    </rPh>
    <rPh sb="39" eb="41">
      <t>ジシキ</t>
    </rPh>
    <phoneticPr fontId="1"/>
  </si>
  <si>
    <t>算定する。</t>
  </si>
  <si>
    <r>
      <t>P</t>
    </r>
    <r>
      <rPr>
        <vertAlign val="subscript"/>
        <sz val="10"/>
        <rFont val="ＭＳ 明朝"/>
        <family val="1"/>
        <charset val="128"/>
      </rPr>
      <t>e</t>
    </r>
    <phoneticPr fontId="1"/>
  </si>
  <si>
    <r>
      <t>p</t>
    </r>
    <r>
      <rPr>
        <vertAlign val="subscript"/>
        <sz val="10"/>
        <rFont val="ＭＳ 明朝"/>
        <family val="1"/>
        <charset val="128"/>
      </rPr>
      <t>e</t>
    </r>
    <phoneticPr fontId="1"/>
  </si>
  <si>
    <t>有効抵抗土圧力度（kN/m2）で、群杭の場合はpegとする。</t>
    <rPh sb="0" eb="2">
      <t>ユウコウ</t>
    </rPh>
    <rPh sb="2" eb="4">
      <t>テイコウ</t>
    </rPh>
    <rPh sb="4" eb="5">
      <t>ド</t>
    </rPh>
    <rPh sb="5" eb="7">
      <t>アツリョク</t>
    </rPh>
    <rPh sb="7" eb="8">
      <t>ド</t>
    </rPh>
    <rPh sb="17" eb="18">
      <t>グン</t>
    </rPh>
    <rPh sb="18" eb="19">
      <t>クイ</t>
    </rPh>
    <rPh sb="20" eb="22">
      <t>バアイ</t>
    </rPh>
    <phoneticPr fontId="1"/>
  </si>
  <si>
    <t>杭の載荷幅(m)で、場所打ち杭の場合には公称径とする。</t>
    <rPh sb="0" eb="1">
      <t>クイ</t>
    </rPh>
    <rPh sb="2" eb="3">
      <t>サイ</t>
    </rPh>
    <rPh sb="3" eb="4">
      <t>カ</t>
    </rPh>
    <rPh sb="4" eb="5">
      <t>ハバ</t>
    </rPh>
    <rPh sb="10" eb="12">
      <t>バショ</t>
    </rPh>
    <rPh sb="12" eb="13">
      <t>ウ</t>
    </rPh>
    <rPh sb="14" eb="15">
      <t>クイ</t>
    </rPh>
    <rPh sb="16" eb="18">
      <t>バアイ</t>
    </rPh>
    <rPh sb="20" eb="21">
      <t>コウ</t>
    </rPh>
    <rPh sb="21" eb="22">
      <t>ショウ</t>
    </rPh>
    <rPh sb="22" eb="23">
      <t>ケイ</t>
    </rPh>
    <phoneticPr fontId="1"/>
  </si>
  <si>
    <t>有効抵抗土圧を算定する区間の長さ(m)</t>
    <rPh sb="0" eb="2">
      <t>ユウコウ</t>
    </rPh>
    <rPh sb="2" eb="4">
      <t>テイコウ</t>
    </rPh>
    <rPh sb="4" eb="5">
      <t>ツチ</t>
    </rPh>
    <rPh sb="5" eb="6">
      <t>アツ</t>
    </rPh>
    <rPh sb="7" eb="9">
      <t>サンテイ</t>
    </rPh>
    <rPh sb="11" eb="13">
      <t>クカン</t>
    </rPh>
    <rPh sb="14" eb="15">
      <t>ナガ</t>
    </rPh>
    <phoneticPr fontId="1"/>
  </si>
  <si>
    <t>②</t>
    <phoneticPr fontId="1"/>
  </si>
  <si>
    <t>Ｚ
（m）</t>
    <phoneticPr fontId="1"/>
  </si>
  <si>
    <t>位置</t>
    <rPh sb="0" eb="2">
      <t>イチ</t>
    </rPh>
    <phoneticPr fontId="1"/>
  </si>
  <si>
    <t>下面</t>
    <rPh sb="0" eb="1">
      <t>シタ</t>
    </rPh>
    <rPh sb="1" eb="2">
      <t>メン</t>
    </rPh>
    <phoneticPr fontId="1"/>
  </si>
  <si>
    <t>上面</t>
    <rPh sb="0" eb="1">
      <t>ウエ</t>
    </rPh>
    <rPh sb="1" eb="2">
      <t>メン</t>
    </rPh>
    <phoneticPr fontId="1"/>
  </si>
  <si>
    <r>
      <t>γ</t>
    </r>
    <r>
      <rPr>
        <vertAlign val="subscript"/>
        <sz val="10"/>
        <rFont val="ＭＳ 明朝"/>
        <family val="1"/>
        <charset val="128"/>
      </rPr>
      <t>e</t>
    </r>
    <r>
      <rPr>
        <sz val="10"/>
        <rFont val="ＭＳ 明朝"/>
        <family val="1"/>
        <charset val="128"/>
      </rPr>
      <t xml:space="preserve">
(kN/m</t>
    </r>
    <r>
      <rPr>
        <vertAlign val="superscript"/>
        <sz val="10"/>
        <rFont val="ＭＳ 明朝"/>
        <family val="1"/>
        <charset val="128"/>
      </rPr>
      <t>3</t>
    </r>
    <r>
      <rPr>
        <sz val="10"/>
        <rFont val="ＭＳ 明朝"/>
        <family val="1"/>
        <charset val="128"/>
      </rPr>
      <t>)</t>
    </r>
    <phoneticPr fontId="1"/>
  </si>
  <si>
    <t>φ
（度）</t>
    <rPh sb="3" eb="4">
      <t>ド</t>
    </rPh>
    <phoneticPr fontId="1"/>
  </si>
  <si>
    <r>
      <t>c
(kN/m</t>
    </r>
    <r>
      <rPr>
        <vertAlign val="superscript"/>
        <sz val="10"/>
        <rFont val="ＭＳ 明朝"/>
        <family val="1"/>
        <charset val="128"/>
      </rPr>
      <t>2</t>
    </r>
    <r>
      <rPr>
        <sz val="10"/>
        <rFont val="ＭＳ 明朝"/>
        <family val="1"/>
        <charset val="128"/>
      </rPr>
      <t>)</t>
    </r>
    <phoneticPr fontId="1"/>
  </si>
  <si>
    <r>
      <t>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1"/>
  </si>
  <si>
    <t>(d) 杭先端の鉛直地盤抵抗の非線形特性 【基礎標準 第Ⅱ編 15.2.2.5】</t>
    <rPh sb="4" eb="5">
      <t>クイ</t>
    </rPh>
    <rPh sb="5" eb="7">
      <t>センタン</t>
    </rPh>
    <rPh sb="8" eb="10">
      <t>エンチョク</t>
    </rPh>
    <rPh sb="10" eb="12">
      <t>ジバン</t>
    </rPh>
    <rPh sb="12" eb="14">
      <t>テイコウ</t>
    </rPh>
    <rPh sb="15" eb="18">
      <t>ヒセンケイ</t>
    </rPh>
    <rPh sb="18" eb="20">
      <t>トクセイ</t>
    </rPh>
    <phoneticPr fontId="1"/>
  </si>
  <si>
    <t>杭の降伏先端支持力および終局先端支持力は次式により求める。</t>
    <rPh sb="0" eb="1">
      <t>クイ</t>
    </rPh>
    <rPh sb="2" eb="4">
      <t>コウフク</t>
    </rPh>
    <rPh sb="4" eb="6">
      <t>センタン</t>
    </rPh>
    <rPh sb="6" eb="8">
      <t>シジ</t>
    </rPh>
    <rPh sb="8" eb="9">
      <t>リョク</t>
    </rPh>
    <rPh sb="12" eb="14">
      <t>シュウキョク</t>
    </rPh>
    <rPh sb="14" eb="16">
      <t>センタン</t>
    </rPh>
    <rPh sb="16" eb="18">
      <t>シジ</t>
    </rPh>
    <rPh sb="18" eb="19">
      <t>リョク</t>
    </rPh>
    <rPh sb="20" eb="22">
      <t>ジシキ</t>
    </rPh>
    <rPh sb="25" eb="26">
      <t>モト</t>
    </rPh>
    <phoneticPr fontId="1"/>
  </si>
  <si>
    <r>
      <t>R</t>
    </r>
    <r>
      <rPr>
        <vertAlign val="subscript"/>
        <sz val="10"/>
        <rFont val="ＭＳ 明朝"/>
        <family val="1"/>
        <charset val="128"/>
      </rPr>
      <t>ty</t>
    </r>
    <phoneticPr fontId="1"/>
  </si>
  <si>
    <r>
      <t>R</t>
    </r>
    <r>
      <rPr>
        <vertAlign val="subscript"/>
        <sz val="10"/>
        <rFont val="ＭＳ 明朝"/>
        <family val="1"/>
        <charset val="128"/>
      </rPr>
      <t>tu</t>
    </r>
    <phoneticPr fontId="1"/>
  </si>
  <si>
    <t>降伏時先端支持力（kN）</t>
    <rPh sb="0" eb="2">
      <t>コウフク</t>
    </rPh>
    <rPh sb="2" eb="3">
      <t>ジ</t>
    </rPh>
    <rPh sb="3" eb="5">
      <t>センタン</t>
    </rPh>
    <rPh sb="5" eb="7">
      <t>シジ</t>
    </rPh>
    <rPh sb="7" eb="8">
      <t>リョク</t>
    </rPh>
    <phoneticPr fontId="1"/>
  </si>
  <si>
    <t>終局時先端支持力（kN）</t>
    <rPh sb="0" eb="2">
      <t>シュウキョク</t>
    </rPh>
    <rPh sb="2" eb="3">
      <t>ジ</t>
    </rPh>
    <rPh sb="3" eb="5">
      <t>センタン</t>
    </rPh>
    <rPh sb="5" eb="7">
      <t>シジ</t>
    </rPh>
    <rPh sb="7" eb="8">
      <t>リョク</t>
    </rPh>
    <phoneticPr fontId="1"/>
  </si>
  <si>
    <t>（kN）</t>
    <phoneticPr fontId="1"/>
  </si>
  <si>
    <t>(e) 杭周面の鉛直せん断地盤抵抗の非線形特性 【基礎標準 第Ⅱ編 15.2.2.5】</t>
    <rPh sb="4" eb="5">
      <t>クイ</t>
    </rPh>
    <rPh sb="5" eb="6">
      <t>シュウ</t>
    </rPh>
    <rPh sb="6" eb="7">
      <t>メン</t>
    </rPh>
    <rPh sb="8" eb="10">
      <t>エンチョク</t>
    </rPh>
    <rPh sb="12" eb="13">
      <t>ダン</t>
    </rPh>
    <rPh sb="13" eb="15">
      <t>ジバン</t>
    </rPh>
    <rPh sb="15" eb="17">
      <t>テイコウ</t>
    </rPh>
    <rPh sb="18" eb="21">
      <t>ヒセンケイ</t>
    </rPh>
    <rPh sb="21" eb="23">
      <t>トクセイ</t>
    </rPh>
    <phoneticPr fontId="1"/>
  </si>
  <si>
    <t>　杭周面の降伏周面支持力および終局周面支持力は次式により求め、計算結果は表 1.1.24に示す</t>
    <rPh sb="1" eb="2">
      <t>クイ</t>
    </rPh>
    <rPh sb="2" eb="3">
      <t>シュウ</t>
    </rPh>
    <rPh sb="3" eb="4">
      <t>メン</t>
    </rPh>
    <rPh sb="5" eb="7">
      <t>コウフク</t>
    </rPh>
    <rPh sb="7" eb="8">
      <t>シュウ</t>
    </rPh>
    <rPh sb="8" eb="9">
      <t>メン</t>
    </rPh>
    <rPh sb="9" eb="11">
      <t>シジ</t>
    </rPh>
    <rPh sb="11" eb="12">
      <t>リョク</t>
    </rPh>
    <rPh sb="15" eb="17">
      <t>シュウキョク</t>
    </rPh>
    <rPh sb="17" eb="18">
      <t>シュウ</t>
    </rPh>
    <rPh sb="18" eb="19">
      <t>メン</t>
    </rPh>
    <rPh sb="19" eb="21">
      <t>シジ</t>
    </rPh>
    <rPh sb="21" eb="22">
      <t>リョク</t>
    </rPh>
    <rPh sb="23" eb="25">
      <t>ジシキ</t>
    </rPh>
    <rPh sb="28" eb="29">
      <t>モト</t>
    </rPh>
    <rPh sb="31" eb="33">
      <t>ケイサン</t>
    </rPh>
    <rPh sb="33" eb="35">
      <t>ケッカ</t>
    </rPh>
    <rPh sb="36" eb="37">
      <t>ヒョウ</t>
    </rPh>
    <rPh sb="45" eb="46">
      <t>シメ</t>
    </rPh>
    <phoneticPr fontId="1"/>
  </si>
  <si>
    <r>
      <t>R</t>
    </r>
    <r>
      <rPr>
        <vertAlign val="subscript"/>
        <sz val="10"/>
        <rFont val="ＭＳ 明朝"/>
        <family val="1"/>
        <charset val="128"/>
      </rPr>
      <t>fy</t>
    </r>
    <phoneticPr fontId="1"/>
  </si>
  <si>
    <r>
      <t>R</t>
    </r>
    <r>
      <rPr>
        <vertAlign val="subscript"/>
        <sz val="10"/>
        <rFont val="ＭＳ 明朝"/>
        <family val="1"/>
        <charset val="128"/>
      </rPr>
      <t>fu</t>
    </r>
    <phoneticPr fontId="1"/>
  </si>
  <si>
    <t>降伏周面支持力（kN）</t>
    <rPh sb="0" eb="2">
      <t>コウフク</t>
    </rPh>
    <rPh sb="2" eb="3">
      <t>シュウ</t>
    </rPh>
    <rPh sb="3" eb="4">
      <t>メン</t>
    </rPh>
    <rPh sb="4" eb="6">
      <t>シジ</t>
    </rPh>
    <rPh sb="6" eb="7">
      <t>リョク</t>
    </rPh>
    <phoneticPr fontId="1"/>
  </si>
  <si>
    <t>終局周面支持力（kN）</t>
    <rPh sb="0" eb="2">
      <t>シュウキョク</t>
    </rPh>
    <rPh sb="2" eb="3">
      <t>シュウ</t>
    </rPh>
    <rPh sb="3" eb="4">
      <t>メン</t>
    </rPh>
    <rPh sb="4" eb="6">
      <t>シジ</t>
    </rPh>
    <rPh sb="6" eb="7">
      <t>リョク</t>
    </rPh>
    <phoneticPr fontId="1"/>
  </si>
  <si>
    <t>表1.1.24(1) 降伏周面支持力および終局周面支持力</t>
    <rPh sb="0" eb="1">
      <t>ヒョウ</t>
    </rPh>
    <rPh sb="11" eb="13">
      <t>コウフク</t>
    </rPh>
    <rPh sb="13" eb="14">
      <t>シュウ</t>
    </rPh>
    <rPh sb="14" eb="15">
      <t>メン</t>
    </rPh>
    <rPh sb="15" eb="17">
      <t>シジ</t>
    </rPh>
    <rPh sb="17" eb="18">
      <t>リョク</t>
    </rPh>
    <rPh sb="21" eb="23">
      <t>シュウキョク</t>
    </rPh>
    <rPh sb="23" eb="24">
      <t>シュウ</t>
    </rPh>
    <rPh sb="24" eb="25">
      <t>メン</t>
    </rPh>
    <rPh sb="25" eb="27">
      <t>シジ</t>
    </rPh>
    <rPh sb="27" eb="28">
      <t>リョク</t>
    </rPh>
    <phoneticPr fontId="1"/>
  </si>
  <si>
    <r>
      <t>R</t>
    </r>
    <r>
      <rPr>
        <vertAlign val="subscript"/>
        <sz val="10"/>
        <rFont val="ＭＳ 明朝"/>
        <family val="1"/>
        <charset val="128"/>
      </rPr>
      <t>fy</t>
    </r>
    <r>
      <rPr>
        <sz val="10"/>
        <rFont val="ＭＳ 明朝"/>
        <family val="1"/>
        <charset val="128"/>
      </rPr>
      <t xml:space="preserve">
（kN）</t>
    </r>
    <phoneticPr fontId="1"/>
  </si>
  <si>
    <r>
      <t>R</t>
    </r>
    <r>
      <rPr>
        <vertAlign val="subscript"/>
        <sz val="10"/>
        <rFont val="ＭＳ 明朝"/>
        <family val="1"/>
        <charset val="128"/>
      </rPr>
      <t>fu</t>
    </r>
    <r>
      <rPr>
        <sz val="10"/>
        <rFont val="ＭＳ 明朝"/>
        <family val="1"/>
        <charset val="128"/>
      </rPr>
      <t xml:space="preserve">
（kN）</t>
    </r>
    <phoneticPr fontId="1"/>
  </si>
  <si>
    <t>(f) 杭周面の水平地盤抵抗の非線形特性 【基礎標準 第Ⅱ編 15.2.2.5】</t>
    <rPh sb="4" eb="5">
      <t>クイ</t>
    </rPh>
    <rPh sb="5" eb="6">
      <t>シュウ</t>
    </rPh>
    <rPh sb="6" eb="7">
      <t>メン</t>
    </rPh>
    <rPh sb="8" eb="10">
      <t>スイヘイ</t>
    </rPh>
    <rPh sb="10" eb="12">
      <t>ジバン</t>
    </rPh>
    <rPh sb="12" eb="14">
      <t>テイコウ</t>
    </rPh>
    <rPh sb="15" eb="18">
      <t>ヒセンケイ</t>
    </rPh>
    <rPh sb="18" eb="20">
      <t>トクセイ</t>
    </rPh>
    <phoneticPr fontId="1"/>
  </si>
  <si>
    <r>
      <t>　杭周面の水平地盤抵抗の上限値は、有効抵抗土圧P</t>
    </r>
    <r>
      <rPr>
        <vertAlign val="subscript"/>
        <sz val="10"/>
        <rFont val="ＭＳ 明朝"/>
        <family val="1"/>
        <charset val="128"/>
      </rPr>
      <t>e</t>
    </r>
    <r>
      <rPr>
        <sz val="10"/>
        <rFont val="ＭＳ 明朝"/>
        <family val="1"/>
        <charset val="128"/>
      </rPr>
      <t>（または有効抵抗土圧力p</t>
    </r>
    <r>
      <rPr>
        <vertAlign val="subscript"/>
        <sz val="10"/>
        <rFont val="ＭＳ 明朝"/>
        <family val="1"/>
        <charset val="128"/>
      </rPr>
      <t>e</t>
    </r>
    <r>
      <rPr>
        <sz val="10"/>
        <rFont val="ＭＳ 明朝"/>
        <family val="1"/>
        <charset val="128"/>
      </rPr>
      <t>）とする。</t>
    </r>
    <rPh sb="1" eb="2">
      <t>クイ</t>
    </rPh>
    <rPh sb="2" eb="3">
      <t>シュウ</t>
    </rPh>
    <rPh sb="3" eb="4">
      <t>メン</t>
    </rPh>
    <rPh sb="5" eb="7">
      <t>スイヘイ</t>
    </rPh>
    <rPh sb="7" eb="9">
      <t>ジバン</t>
    </rPh>
    <rPh sb="9" eb="11">
      <t>テイコウ</t>
    </rPh>
    <rPh sb="12" eb="15">
      <t>ジョウゲンチ</t>
    </rPh>
    <rPh sb="17" eb="19">
      <t>ユウコウ</t>
    </rPh>
    <rPh sb="19" eb="21">
      <t>テイコウ</t>
    </rPh>
    <rPh sb="21" eb="22">
      <t>ド</t>
    </rPh>
    <rPh sb="22" eb="23">
      <t>アツ</t>
    </rPh>
    <rPh sb="29" eb="31">
      <t>ユウコウ</t>
    </rPh>
    <rPh sb="31" eb="33">
      <t>テイコウ</t>
    </rPh>
    <rPh sb="33" eb="34">
      <t>ド</t>
    </rPh>
    <rPh sb="34" eb="36">
      <t>アツリョク</t>
    </rPh>
    <phoneticPr fontId="1"/>
  </si>
  <si>
    <t>表1.1.24 杭の水平有効抵抗土圧力度</t>
    <rPh sb="0" eb="1">
      <t>ヒョウ</t>
    </rPh>
    <rPh sb="8" eb="9">
      <t>クイ</t>
    </rPh>
    <rPh sb="10" eb="12">
      <t>スイヘイ</t>
    </rPh>
    <rPh sb="12" eb="14">
      <t>ユウコウ</t>
    </rPh>
    <rPh sb="14" eb="16">
      <t>テイコウ</t>
    </rPh>
    <rPh sb="16" eb="17">
      <t>ド</t>
    </rPh>
    <rPh sb="17" eb="19">
      <t>アツリョク</t>
    </rPh>
    <rPh sb="19" eb="20">
      <t>ド</t>
    </rPh>
    <phoneticPr fontId="1"/>
  </si>
  <si>
    <t>表1.1.25 杭周面の水平地盤抵抗の上限値</t>
    <rPh sb="0" eb="1">
      <t>ヒョウ</t>
    </rPh>
    <rPh sb="8" eb="9">
      <t>クイ</t>
    </rPh>
    <rPh sb="9" eb="10">
      <t>シュウ</t>
    </rPh>
    <rPh sb="10" eb="11">
      <t>メン</t>
    </rPh>
    <rPh sb="12" eb="14">
      <t>スイヘイ</t>
    </rPh>
    <rPh sb="14" eb="16">
      <t>ジバン</t>
    </rPh>
    <rPh sb="16" eb="18">
      <t>テイコウ</t>
    </rPh>
    <rPh sb="19" eb="22">
      <t>ジョウゲンチ</t>
    </rPh>
    <phoneticPr fontId="1"/>
  </si>
  <si>
    <t>D(m)</t>
    <phoneticPr fontId="1"/>
  </si>
  <si>
    <r>
      <t>D×P</t>
    </r>
    <r>
      <rPr>
        <vertAlign val="subscript"/>
        <sz val="10"/>
        <rFont val="ＭＳ 明朝"/>
        <family val="1"/>
        <charset val="128"/>
      </rPr>
      <t>e</t>
    </r>
    <r>
      <rPr>
        <sz val="10"/>
        <rFont val="ＭＳ 明朝"/>
        <family val="1"/>
        <charset val="128"/>
      </rPr>
      <t>(z)
(kN/m</t>
    </r>
    <r>
      <rPr>
        <vertAlign val="superscript"/>
        <sz val="10"/>
        <rFont val="ＭＳ 明朝"/>
        <family val="1"/>
        <charset val="128"/>
      </rPr>
      <t>2</t>
    </r>
    <r>
      <rPr>
        <sz val="10"/>
        <rFont val="ＭＳ 明朝"/>
        <family val="1"/>
        <charset val="128"/>
      </rPr>
      <t>)</t>
    </r>
    <phoneticPr fontId="1"/>
  </si>
  <si>
    <r>
      <t>ρ</t>
    </r>
    <r>
      <rPr>
        <vertAlign val="subscript"/>
        <sz val="10"/>
        <rFont val="ＭＳ 明朝"/>
        <family val="1"/>
        <charset val="128"/>
      </rPr>
      <t>gty</t>
    </r>
    <phoneticPr fontId="1"/>
  </si>
  <si>
    <r>
      <t>ρ</t>
    </r>
    <r>
      <rPr>
        <vertAlign val="subscript"/>
        <sz val="10"/>
        <rFont val="ＭＳ 明朝"/>
        <family val="1"/>
        <charset val="128"/>
      </rPr>
      <t>fy</t>
    </r>
    <r>
      <rPr>
        <sz val="10"/>
        <rFont val="ＭＳ 明朝"/>
        <family val="1"/>
        <charset val="128"/>
      </rPr>
      <t xml:space="preserve">
（m）</t>
    </r>
    <phoneticPr fontId="1"/>
  </si>
  <si>
    <r>
      <t>ρ</t>
    </r>
    <r>
      <rPr>
        <vertAlign val="subscript"/>
        <sz val="10"/>
        <rFont val="ＭＳ 明朝"/>
        <family val="1"/>
        <charset val="128"/>
      </rPr>
      <t>fu</t>
    </r>
    <r>
      <rPr>
        <sz val="10"/>
        <rFont val="ＭＳ 明朝"/>
        <family val="1"/>
        <charset val="128"/>
      </rPr>
      <t xml:space="preserve">
（m）</t>
    </r>
    <phoneticPr fontId="1"/>
  </si>
  <si>
    <r>
      <t>降伏周面支持力に関する地盤修正係数で、場所打ち杭工法の場合ρ</t>
    </r>
    <r>
      <rPr>
        <vertAlign val="subscript"/>
        <sz val="10"/>
        <rFont val="ＭＳ 明朝"/>
        <family val="1"/>
        <charset val="128"/>
      </rPr>
      <t>gfy</t>
    </r>
    <r>
      <rPr>
        <sz val="10"/>
        <rFont val="ＭＳ 明朝"/>
        <family val="1"/>
        <charset val="128"/>
      </rPr>
      <t>=1.2</t>
    </r>
    <rPh sb="0" eb="2">
      <t>コウフク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1"/>
  </si>
  <si>
    <r>
      <t>終局周面支持力に関する地盤修正係数で、場所打ち杭工法の場合ρ</t>
    </r>
    <r>
      <rPr>
        <vertAlign val="subscript"/>
        <sz val="10"/>
        <rFont val="ＭＳ 明朝"/>
        <family val="1"/>
        <charset val="128"/>
      </rPr>
      <t>gfu</t>
    </r>
    <r>
      <rPr>
        <sz val="10"/>
        <rFont val="ＭＳ 明朝"/>
        <family val="1"/>
        <charset val="128"/>
      </rPr>
      <t>=1.4</t>
    </r>
    <rPh sb="0" eb="2">
      <t>シュウキョク</t>
    </rPh>
    <rPh sb="2" eb="3">
      <t>シュウ</t>
    </rPh>
    <rPh sb="3" eb="4">
      <t>メン</t>
    </rPh>
    <rPh sb="4" eb="6">
      <t>シジ</t>
    </rPh>
    <rPh sb="6" eb="7">
      <t>リョク</t>
    </rPh>
    <rPh sb="8" eb="9">
      <t>カン</t>
    </rPh>
    <rPh sb="11" eb="13">
      <t>ジバン</t>
    </rPh>
    <rPh sb="13" eb="15">
      <t>シュウセイ</t>
    </rPh>
    <rPh sb="15" eb="17">
      <t>ケイスウ</t>
    </rPh>
    <rPh sb="19" eb="21">
      <t>バショ</t>
    </rPh>
    <rPh sb="21" eb="22">
      <t>ウ</t>
    </rPh>
    <rPh sb="23" eb="24">
      <t>クイ</t>
    </rPh>
    <rPh sb="24" eb="26">
      <t>コウホウ</t>
    </rPh>
    <rPh sb="27" eb="29">
      <t>バアイ</t>
    </rPh>
    <phoneticPr fontId="1"/>
  </si>
  <si>
    <r>
      <t>降伏時先端支持力に関する地盤修正係数で、場所打ち杭工法の場合ρ</t>
    </r>
    <r>
      <rPr>
        <vertAlign val="subscript"/>
        <sz val="10"/>
        <rFont val="ＭＳ 明朝"/>
        <family val="1"/>
        <charset val="128"/>
      </rPr>
      <t>gty</t>
    </r>
    <r>
      <rPr>
        <sz val="10"/>
        <rFont val="ＭＳ 明朝"/>
        <family val="1"/>
        <charset val="128"/>
      </rPr>
      <t>=0.6</t>
    </r>
    <rPh sb="0" eb="2">
      <t>コウフク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1"/>
  </si>
  <si>
    <r>
      <t>終局時先端支持力に関する地盤修正係数で、場所打ち杭工法の場合ρ</t>
    </r>
    <r>
      <rPr>
        <vertAlign val="subscript"/>
        <sz val="10"/>
        <rFont val="ＭＳ 明朝"/>
        <family val="1"/>
        <charset val="128"/>
      </rPr>
      <t>gtu</t>
    </r>
    <r>
      <rPr>
        <sz val="10"/>
        <rFont val="ＭＳ 明朝"/>
        <family val="1"/>
        <charset val="128"/>
      </rPr>
      <t>=1.4</t>
    </r>
    <rPh sb="0" eb="2">
      <t>シュウキョク</t>
    </rPh>
    <rPh sb="2" eb="3">
      <t>ジ</t>
    </rPh>
    <rPh sb="3" eb="5">
      <t>センタン</t>
    </rPh>
    <rPh sb="5" eb="7">
      <t>シジ</t>
    </rPh>
    <rPh sb="7" eb="8">
      <t>リョク</t>
    </rPh>
    <rPh sb="9" eb="10">
      <t>カン</t>
    </rPh>
    <rPh sb="12" eb="14">
      <t>ジバン</t>
    </rPh>
    <rPh sb="14" eb="16">
      <t>シュウセイ</t>
    </rPh>
    <rPh sb="16" eb="18">
      <t>ケイスウ</t>
    </rPh>
    <rPh sb="20" eb="22">
      <t>バショ</t>
    </rPh>
    <rPh sb="22" eb="23">
      <t>ウ</t>
    </rPh>
    <rPh sb="24" eb="25">
      <t>クイ</t>
    </rPh>
    <rPh sb="25" eb="27">
      <t>コウホウ</t>
    </rPh>
    <rPh sb="28" eb="30">
      <t>バアイ</t>
    </rPh>
    <phoneticPr fontId="1"/>
  </si>
  <si>
    <t>杭長</t>
    <rPh sb="0" eb="1">
      <t>クイ</t>
    </rPh>
    <rPh sb="1" eb="2">
      <t>チョウ</t>
    </rPh>
    <phoneticPr fontId="1"/>
  </si>
  <si>
    <t>杭径</t>
    <rPh sb="0" eb="1">
      <t>クイ</t>
    </rPh>
    <rPh sb="1" eb="2">
      <t>ケイ</t>
    </rPh>
    <phoneticPr fontId="1"/>
  </si>
  <si>
    <t>表1.1.17(2) 杭周面の水平地盤ばね定数（長期）</t>
    <rPh sb="0" eb="1">
      <t>ヒョウ</t>
    </rPh>
    <rPh sb="11" eb="12">
      <t>クイ</t>
    </rPh>
    <rPh sb="12" eb="13">
      <t>シュウ</t>
    </rPh>
    <rPh sb="13" eb="14">
      <t>メン</t>
    </rPh>
    <rPh sb="15" eb="17">
      <t>スイヘイ</t>
    </rPh>
    <rPh sb="17" eb="19">
      <t>ジバン</t>
    </rPh>
    <rPh sb="21" eb="23">
      <t>テイスウ</t>
    </rPh>
    <rPh sb="24" eb="26">
      <t>チョウキ</t>
    </rPh>
    <phoneticPr fontId="1"/>
  </si>
  <si>
    <r>
      <t>ｋ</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rPh sb="11" eb="12">
      <t>ハシ</t>
    </rPh>
    <rPh sb="12" eb="13">
      <t>ジク</t>
    </rPh>
    <rPh sb="13" eb="15">
      <t>ホウコウ</t>
    </rPh>
    <phoneticPr fontId="1"/>
  </si>
  <si>
    <r>
      <t>ｋ</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rPh sb="11" eb="13">
      <t>チョッカク</t>
    </rPh>
    <rPh sb="13" eb="15">
      <t>ホウコウ</t>
    </rPh>
    <phoneticPr fontId="1"/>
  </si>
  <si>
    <r>
      <t>K</t>
    </r>
    <r>
      <rPr>
        <vertAlign val="subscript"/>
        <sz val="10"/>
        <rFont val="ＭＳ 明朝"/>
        <family val="1"/>
        <charset val="128"/>
      </rPr>
      <t xml:space="preserve">h
</t>
    </r>
    <r>
      <rPr>
        <sz val="10"/>
        <rFont val="ＭＳ 明朝"/>
        <family val="1"/>
        <charset val="128"/>
      </rPr>
      <t>（kN/m/m）
橋軸方向</t>
    </r>
    <phoneticPr fontId="1"/>
  </si>
  <si>
    <r>
      <t>K</t>
    </r>
    <r>
      <rPr>
        <vertAlign val="subscript"/>
        <sz val="10"/>
        <rFont val="ＭＳ 明朝"/>
        <family val="1"/>
        <charset val="128"/>
      </rPr>
      <t xml:space="preserve">h
</t>
    </r>
    <r>
      <rPr>
        <sz val="10"/>
        <rFont val="ＭＳ 明朝"/>
        <family val="1"/>
        <charset val="128"/>
      </rPr>
      <t>（kN/m/m）
直角方向</t>
    </r>
    <phoneticPr fontId="1"/>
  </si>
  <si>
    <r>
      <t>線形解析
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rPh sb="0" eb="2">
      <t>センケイ</t>
    </rPh>
    <rPh sb="2" eb="4">
      <t>カイセキ</t>
    </rPh>
    <phoneticPr fontId="1"/>
  </si>
  <si>
    <r>
      <t>非線形解析
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橋軸方向</t>
    </r>
    <rPh sb="0" eb="1">
      <t>ヒ</t>
    </rPh>
    <rPh sb="1" eb="3">
      <t>センケイ</t>
    </rPh>
    <rPh sb="3" eb="5">
      <t>カイセキ</t>
    </rPh>
    <phoneticPr fontId="1"/>
  </si>
  <si>
    <r>
      <t>線形解析
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rPh sb="0" eb="2">
      <t>センケイ</t>
    </rPh>
    <rPh sb="2" eb="4">
      <t>カイセキ</t>
    </rPh>
    <phoneticPr fontId="1"/>
  </si>
  <si>
    <r>
      <t>非線形解析
k</t>
    </r>
    <r>
      <rPr>
        <vertAlign val="subscript"/>
        <sz val="10"/>
        <rFont val="ＭＳ 明朝"/>
        <family val="1"/>
        <charset val="128"/>
      </rPr>
      <t>hg</t>
    </r>
    <r>
      <rPr>
        <sz val="10"/>
        <rFont val="ＭＳ 明朝"/>
        <family val="1"/>
        <charset val="128"/>
      </rPr>
      <t>(kN/m</t>
    </r>
    <r>
      <rPr>
        <vertAlign val="superscript"/>
        <sz val="10"/>
        <rFont val="ＭＳ 明朝"/>
        <family val="1"/>
        <charset val="128"/>
      </rPr>
      <t>3</t>
    </r>
    <r>
      <rPr>
        <sz val="10"/>
        <rFont val="ＭＳ 明朝"/>
        <family val="1"/>
        <charset val="128"/>
      </rPr>
      <t>)
直角方向</t>
    </r>
    <rPh sb="0" eb="1">
      <t>ヒ</t>
    </rPh>
    <rPh sb="1" eb="3">
      <t>センケイ</t>
    </rPh>
    <rPh sb="3" eb="5">
      <t>カイセキ</t>
    </rPh>
    <phoneticPr fontId="1"/>
  </si>
  <si>
    <r>
      <t>線形解析
K</t>
    </r>
    <r>
      <rPr>
        <vertAlign val="subscript"/>
        <sz val="10"/>
        <rFont val="ＭＳ 明朝"/>
        <family val="1"/>
        <charset val="128"/>
      </rPr>
      <t>h</t>
    </r>
    <r>
      <rPr>
        <sz val="10"/>
        <rFont val="ＭＳ 明朝"/>
        <family val="1"/>
        <charset val="128"/>
      </rPr>
      <t>（kN/m/m）
橋軸方向</t>
    </r>
    <phoneticPr fontId="1"/>
  </si>
  <si>
    <r>
      <t>非線形解析
K</t>
    </r>
    <r>
      <rPr>
        <vertAlign val="subscript"/>
        <sz val="10"/>
        <rFont val="ＭＳ 明朝"/>
        <family val="1"/>
        <charset val="128"/>
      </rPr>
      <t>h</t>
    </r>
    <r>
      <rPr>
        <sz val="10"/>
        <rFont val="ＭＳ 明朝"/>
        <family val="1"/>
        <charset val="128"/>
      </rPr>
      <t>（kN/m/m）
橋軸方向</t>
    </r>
    <phoneticPr fontId="1"/>
  </si>
  <si>
    <r>
      <t>線形解析
K</t>
    </r>
    <r>
      <rPr>
        <vertAlign val="subscript"/>
        <sz val="10"/>
        <rFont val="ＭＳ 明朝"/>
        <family val="1"/>
        <charset val="128"/>
      </rPr>
      <t>h</t>
    </r>
    <r>
      <rPr>
        <sz val="10"/>
        <rFont val="ＭＳ 明朝"/>
        <family val="1"/>
        <charset val="128"/>
      </rPr>
      <t>（kN/m/m）
直角方向</t>
    </r>
    <phoneticPr fontId="1"/>
  </si>
  <si>
    <r>
      <t>非線形解析
K</t>
    </r>
    <r>
      <rPr>
        <vertAlign val="subscript"/>
        <sz val="10"/>
        <rFont val="ＭＳ 明朝"/>
        <family val="1"/>
        <charset val="128"/>
      </rPr>
      <t>h</t>
    </r>
    <r>
      <rPr>
        <sz val="10"/>
        <rFont val="ＭＳ 明朝"/>
        <family val="1"/>
        <charset val="128"/>
      </rPr>
      <t>（kN/m/m）
直角方向</t>
    </r>
    <phoneticPr fontId="1"/>
  </si>
  <si>
    <r>
      <t>長期
K</t>
    </r>
    <r>
      <rPr>
        <vertAlign val="subscript"/>
        <sz val="10"/>
        <rFont val="ＭＳ 明朝"/>
        <family val="1"/>
        <charset val="128"/>
      </rPr>
      <t xml:space="preserve">fv
</t>
    </r>
    <r>
      <rPr>
        <sz val="10"/>
        <rFont val="ＭＳ 明朝"/>
        <family val="1"/>
        <charset val="128"/>
      </rPr>
      <t>（kN/m）</t>
    </r>
    <rPh sb="0" eb="2">
      <t>チョウキ</t>
    </rPh>
    <phoneticPr fontId="1"/>
  </si>
  <si>
    <r>
      <t>長期
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3</t>
    </r>
    <r>
      <rPr>
        <sz val="10"/>
        <rFont val="ＭＳ 明朝"/>
        <family val="1"/>
        <charset val="128"/>
      </rPr>
      <t>)</t>
    </r>
    <rPh sb="0" eb="2">
      <t>チョウキ</t>
    </rPh>
    <phoneticPr fontId="1"/>
  </si>
  <si>
    <r>
      <t>短期
k</t>
    </r>
    <r>
      <rPr>
        <vertAlign val="subscript"/>
        <sz val="10"/>
        <rFont val="ＭＳ 明朝"/>
        <family val="1"/>
        <charset val="128"/>
      </rPr>
      <t xml:space="preserve">fv
</t>
    </r>
    <r>
      <rPr>
        <sz val="10"/>
        <rFont val="ＭＳ 明朝"/>
        <family val="1"/>
        <charset val="128"/>
      </rPr>
      <t>(kN/m</t>
    </r>
    <r>
      <rPr>
        <vertAlign val="superscript"/>
        <sz val="10"/>
        <rFont val="ＭＳ 明朝"/>
        <family val="1"/>
        <charset val="128"/>
      </rPr>
      <t>3</t>
    </r>
    <r>
      <rPr>
        <sz val="10"/>
        <rFont val="ＭＳ 明朝"/>
        <family val="1"/>
        <charset val="128"/>
      </rPr>
      <t>)</t>
    </r>
    <rPh sb="0" eb="2">
      <t>タンキ</t>
    </rPh>
    <phoneticPr fontId="1"/>
  </si>
  <si>
    <r>
      <t>短期
K</t>
    </r>
    <r>
      <rPr>
        <vertAlign val="subscript"/>
        <sz val="10"/>
        <rFont val="ＭＳ 明朝"/>
        <family val="1"/>
        <charset val="128"/>
      </rPr>
      <t xml:space="preserve">fv
</t>
    </r>
    <r>
      <rPr>
        <sz val="10"/>
        <rFont val="ＭＳ 明朝"/>
        <family val="1"/>
        <charset val="128"/>
      </rPr>
      <t>(kN/m)</t>
    </r>
    <rPh sb="0" eb="2">
      <t>タンキ</t>
    </rPh>
    <phoneticPr fontId="1"/>
  </si>
  <si>
    <t>安定(地震時以外)</t>
    <rPh sb="0" eb="2">
      <t>アンテイ</t>
    </rPh>
    <rPh sb="3" eb="5">
      <t>ジシン</t>
    </rPh>
    <rPh sb="5" eb="6">
      <t>ジ</t>
    </rPh>
    <rPh sb="6" eb="8">
      <t>イガイ</t>
    </rPh>
    <phoneticPr fontId="1"/>
  </si>
  <si>
    <r>
      <t>R</t>
    </r>
    <r>
      <rPr>
        <vertAlign val="subscript"/>
        <sz val="10"/>
        <rFont val="ＭＳ 明朝"/>
        <family val="1"/>
        <charset val="128"/>
      </rPr>
      <t>fk</t>
    </r>
    <r>
      <rPr>
        <sz val="10"/>
        <rFont val="ＭＳ 明朝"/>
        <family val="1"/>
        <charset val="128"/>
      </rPr>
      <t>（kN）
橋軸方向</t>
    </r>
    <rPh sb="8" eb="9">
      <t>ハシ</t>
    </rPh>
    <rPh sb="9" eb="12">
      <t>ジクホウコウ</t>
    </rPh>
    <phoneticPr fontId="1"/>
  </si>
  <si>
    <r>
      <t>R</t>
    </r>
    <r>
      <rPr>
        <vertAlign val="subscript"/>
        <sz val="10"/>
        <rFont val="ＭＳ 明朝"/>
        <family val="1"/>
        <charset val="128"/>
      </rPr>
      <t>fk</t>
    </r>
    <r>
      <rPr>
        <sz val="10"/>
        <rFont val="ＭＳ 明朝"/>
        <family val="1"/>
        <charset val="128"/>
      </rPr>
      <t>（kN）
直角方向</t>
    </r>
    <rPh sb="8" eb="10">
      <t>チョッカク</t>
    </rPh>
    <rPh sb="10" eb="12">
      <t>ホウコウ</t>
    </rPh>
    <phoneticPr fontId="1"/>
  </si>
  <si>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1"/>
  </si>
  <si>
    <t>表1.1.20(1) 設計鉛直支持力（直角方向）</t>
    <rPh sb="0" eb="1">
      <t>ヒョウ</t>
    </rPh>
    <rPh sb="11" eb="13">
      <t>セッケイ</t>
    </rPh>
    <rPh sb="13" eb="15">
      <t>エンチョク</t>
    </rPh>
    <rPh sb="15" eb="17">
      <t>シジ</t>
    </rPh>
    <rPh sb="17" eb="18">
      <t>リョク</t>
    </rPh>
    <rPh sb="19" eb="21">
      <t>チョッカク</t>
    </rPh>
    <rPh sb="21" eb="23">
      <t>ホウコウ</t>
    </rPh>
    <phoneticPr fontId="1"/>
  </si>
  <si>
    <t>【橋軸方向】</t>
    <rPh sb="1" eb="2">
      <t>ハシ</t>
    </rPh>
    <rPh sb="2" eb="5">
      <t>ジクホウコウ</t>
    </rPh>
    <phoneticPr fontId="1"/>
  </si>
  <si>
    <t>【直角方向】</t>
    <rPh sb="1" eb="3">
      <t>チョッカク</t>
    </rPh>
    <rPh sb="3" eb="5">
      <t>ホウコウ</t>
    </rPh>
    <phoneticPr fontId="1"/>
  </si>
  <si>
    <t>表1.1.20(1) 設計鉛直支持力【橋軸方向】</t>
    <rPh sb="0" eb="1">
      <t>ヒョウ</t>
    </rPh>
    <rPh sb="11" eb="13">
      <t>セッケイ</t>
    </rPh>
    <rPh sb="13" eb="15">
      <t>エンチョク</t>
    </rPh>
    <rPh sb="15" eb="17">
      <t>シジ</t>
    </rPh>
    <rPh sb="17" eb="18">
      <t>リョク</t>
    </rPh>
    <rPh sb="19" eb="20">
      <t>ハシ</t>
    </rPh>
    <rPh sb="20" eb="23">
      <t>ジクホウコウ</t>
    </rPh>
    <phoneticPr fontId="1"/>
  </si>
  <si>
    <t>上載土</t>
    <rPh sb="0" eb="1">
      <t>ウエ</t>
    </rPh>
    <rPh sb="1" eb="2">
      <t>サイ</t>
    </rPh>
    <rPh sb="2" eb="3">
      <t>ド</t>
    </rPh>
    <phoneticPr fontId="1"/>
  </si>
  <si>
    <t>層種別</t>
    <rPh sb="0" eb="1">
      <t>ソウ</t>
    </rPh>
    <rPh sb="1" eb="3">
      <t>シュベツ</t>
    </rPh>
    <phoneticPr fontId="1"/>
  </si>
  <si>
    <r>
      <t>水平地盤反力係数の群杭に対する補正は次式により行い、補正係数ｅ</t>
    </r>
    <r>
      <rPr>
        <vertAlign val="subscript"/>
        <sz val="10"/>
        <rFont val="ＭＳ 明朝"/>
        <family val="1"/>
        <charset val="128"/>
      </rPr>
      <t>g</t>
    </r>
    <r>
      <rPr>
        <sz val="10"/>
        <rFont val="ＭＳ 明朝"/>
        <family val="1"/>
        <charset val="128"/>
      </rPr>
      <t>は</t>
    </r>
    <r>
      <rPr>
        <sz val="10"/>
        <rFont val="ＭＳ ゴシック"/>
        <family val="3"/>
        <charset val="128"/>
      </rPr>
      <t>表1.1.13</t>
    </r>
    <r>
      <rPr>
        <sz val="10"/>
        <rFont val="ＭＳ 明朝"/>
        <family val="1"/>
        <charset val="128"/>
      </rPr>
      <t>に示すように</t>
    </r>
    <rPh sb="0" eb="2">
      <t>スイヘイ</t>
    </rPh>
    <rPh sb="2" eb="4">
      <t>ジバン</t>
    </rPh>
    <rPh sb="4" eb="6">
      <t>ハンリョク</t>
    </rPh>
    <rPh sb="6" eb="8">
      <t>ケイスウ</t>
    </rPh>
    <rPh sb="9" eb="10">
      <t>グン</t>
    </rPh>
    <rPh sb="10" eb="11">
      <t>クイ</t>
    </rPh>
    <rPh sb="12" eb="13">
      <t>タイ</t>
    </rPh>
    <rPh sb="15" eb="17">
      <t>ホセイ</t>
    </rPh>
    <rPh sb="18" eb="20">
      <t>ジシキ</t>
    </rPh>
    <rPh sb="23" eb="24">
      <t>オコナ</t>
    </rPh>
    <rPh sb="26" eb="28">
      <t>ホセイ</t>
    </rPh>
    <rPh sb="28" eb="30">
      <t>ケイスウ</t>
    </rPh>
    <rPh sb="33" eb="34">
      <t>ヒョウ</t>
    </rPh>
    <rPh sb="41" eb="42">
      <t>シメ</t>
    </rPh>
    <phoneticPr fontId="1"/>
  </si>
  <si>
    <t>橋軸方向、橋軸直角方向ともに1.0以上となるため、群杭に対する補正は行わない。</t>
    <rPh sb="2" eb="4">
      <t>ホウコウ</t>
    </rPh>
    <rPh sb="5" eb="6">
      <t>ハシ</t>
    </rPh>
    <rPh sb="6" eb="7">
      <t>ジク</t>
    </rPh>
    <rPh sb="7" eb="9">
      <t>チョッカク</t>
    </rPh>
    <rPh sb="9" eb="11">
      <t>ホウコウ</t>
    </rPh>
    <rPh sb="17" eb="19">
      <t>イジョウ</t>
    </rPh>
    <rPh sb="25" eb="26">
      <t>グン</t>
    </rPh>
    <rPh sb="26" eb="27">
      <t>クイ</t>
    </rPh>
    <rPh sb="28" eb="29">
      <t>タイ</t>
    </rPh>
    <rPh sb="31" eb="33">
      <t>ホセイ</t>
    </rPh>
    <rPh sb="34" eb="35">
      <t>オコナ</t>
    </rPh>
    <phoneticPr fontId="1"/>
  </si>
  <si>
    <t>押込み側の杭の鉛直地盤抵抗の算定において、杭先端から上方に支持層への最小根入れ</t>
    <rPh sb="0" eb="2">
      <t>オシコ</t>
    </rPh>
    <rPh sb="3" eb="4">
      <t>ガワ</t>
    </rPh>
    <rPh sb="5" eb="6">
      <t>クイ</t>
    </rPh>
    <rPh sb="7" eb="9">
      <t>エンチョク</t>
    </rPh>
    <rPh sb="9" eb="11">
      <t>ジバン</t>
    </rPh>
    <rPh sb="11" eb="13">
      <t>テイコウ</t>
    </rPh>
    <rPh sb="14" eb="16">
      <t>サンテイ</t>
    </rPh>
    <rPh sb="21" eb="22">
      <t>クイ</t>
    </rPh>
    <rPh sb="22" eb="24">
      <t>センタン</t>
    </rPh>
    <rPh sb="26" eb="28">
      <t>ジョウホウ</t>
    </rPh>
    <rPh sb="29" eb="32">
      <t>シジソウ</t>
    </rPh>
    <rPh sb="34" eb="36">
      <t>サイショウ</t>
    </rPh>
    <rPh sb="36" eb="38">
      <t>ネイ</t>
    </rPh>
    <phoneticPr fontId="1"/>
  </si>
  <si>
    <r>
      <t>深さＤ</t>
    </r>
    <r>
      <rPr>
        <vertAlign val="subscript"/>
        <sz val="10"/>
        <rFont val="ＭＳ 明朝"/>
        <family val="1"/>
        <charset val="128"/>
      </rPr>
      <t>fo</t>
    </r>
    <r>
      <rPr>
        <sz val="10"/>
        <rFont val="ＭＳ 明朝"/>
        <family val="1"/>
        <charset val="128"/>
      </rPr>
      <t>の範囲の鉛直せん断地盤抵抗は、杭先端の鉛直地盤抵抗に含めてモデル化されて</t>
    </r>
    <rPh sb="6" eb="8">
      <t>ハンイ</t>
    </rPh>
    <rPh sb="9" eb="11">
      <t>エンチョク</t>
    </rPh>
    <rPh sb="13" eb="14">
      <t>ダン</t>
    </rPh>
    <rPh sb="14" eb="16">
      <t>ジバン</t>
    </rPh>
    <rPh sb="16" eb="18">
      <t>テイコウ</t>
    </rPh>
    <rPh sb="20" eb="21">
      <t>クイ</t>
    </rPh>
    <rPh sb="21" eb="23">
      <t>センタン</t>
    </rPh>
    <rPh sb="24" eb="26">
      <t>エンチョク</t>
    </rPh>
    <rPh sb="26" eb="28">
      <t>ジバン</t>
    </rPh>
    <rPh sb="28" eb="30">
      <t>テイコウ</t>
    </rPh>
    <rPh sb="31" eb="32">
      <t>フク</t>
    </rPh>
    <rPh sb="37" eb="38">
      <t>カ</t>
    </rPh>
    <phoneticPr fontId="1"/>
  </si>
  <si>
    <t>いるため、設計上はこの範囲の杭周面の鉛直せん断地盤抵抗を無視する。一方、引抜き</t>
    <rPh sb="5" eb="7">
      <t>セッケイ</t>
    </rPh>
    <rPh sb="7" eb="8">
      <t>ジョウ</t>
    </rPh>
    <rPh sb="11" eb="13">
      <t>ハンイ</t>
    </rPh>
    <rPh sb="14" eb="15">
      <t>クイ</t>
    </rPh>
    <rPh sb="15" eb="17">
      <t>シュウメン</t>
    </rPh>
    <rPh sb="18" eb="20">
      <t>エンチョク</t>
    </rPh>
    <rPh sb="22" eb="23">
      <t>ダン</t>
    </rPh>
    <rPh sb="23" eb="25">
      <t>ジバン</t>
    </rPh>
    <rPh sb="25" eb="27">
      <t>テイコウ</t>
    </rPh>
    <rPh sb="28" eb="30">
      <t>ムシ</t>
    </rPh>
    <rPh sb="33" eb="35">
      <t>イッポウ</t>
    </rPh>
    <rPh sb="36" eb="38">
      <t>ヒキヌ</t>
    </rPh>
    <phoneticPr fontId="1"/>
  </si>
  <si>
    <t>側についてはこの範囲の鉛直せん断地盤抵抗を考慮してよい。</t>
    <rPh sb="8" eb="10">
      <t>ハンイ</t>
    </rPh>
    <rPh sb="11" eb="13">
      <t>エンチョク</t>
    </rPh>
    <rPh sb="15" eb="16">
      <t>ダン</t>
    </rPh>
    <rPh sb="16" eb="18">
      <t>ジバン</t>
    </rPh>
    <rPh sb="18" eb="20">
      <t>テイコウ</t>
    </rPh>
    <rPh sb="21" eb="23">
      <t>コウリョ</t>
    </rPh>
    <phoneticPr fontId="1"/>
  </si>
  <si>
    <t>のようになる。</t>
    <phoneticPr fontId="1"/>
  </si>
  <si>
    <t>杭周面の水平地盤ばね定数は、次式により求め、橋軸方向、橋軸直角方向ともに表 1.1.17(1)(2)</t>
    <rPh sb="0" eb="1">
      <t>クイ</t>
    </rPh>
    <rPh sb="1" eb="2">
      <t>シュウ</t>
    </rPh>
    <rPh sb="2" eb="3">
      <t>メン</t>
    </rPh>
    <rPh sb="4" eb="6">
      <t>スイヘイ</t>
    </rPh>
    <rPh sb="6" eb="8">
      <t>ジバン</t>
    </rPh>
    <rPh sb="10" eb="12">
      <t>テイスウ</t>
    </rPh>
    <rPh sb="14" eb="16">
      <t>ジシキ</t>
    </rPh>
    <rPh sb="19" eb="20">
      <t>モト</t>
    </rPh>
    <rPh sb="22" eb="23">
      <t>ハシ</t>
    </rPh>
    <rPh sb="23" eb="26">
      <t>ジクホウコウ</t>
    </rPh>
    <rPh sb="27" eb="28">
      <t>ハシ</t>
    </rPh>
    <rPh sb="28" eb="29">
      <t>ジク</t>
    </rPh>
    <rPh sb="29" eb="31">
      <t>チョッカク</t>
    </rPh>
    <rPh sb="31" eb="33">
      <t>ホウコウ</t>
    </rPh>
    <rPh sb="36" eb="37">
      <t>ヒョウ</t>
    </rPh>
    <phoneticPr fontId="1"/>
  </si>
  <si>
    <t>基準先端支持力度（kN/m2）で、場所打ち杭工法の場合、次式により算定さ</t>
    <rPh sb="0" eb="2">
      <t>キジュン</t>
    </rPh>
    <rPh sb="2" eb="4">
      <t>センタン</t>
    </rPh>
    <rPh sb="4" eb="6">
      <t>シジ</t>
    </rPh>
    <rPh sb="6" eb="7">
      <t>リョク</t>
    </rPh>
    <rPh sb="7" eb="8">
      <t>ド</t>
    </rPh>
    <rPh sb="17" eb="19">
      <t>バショ</t>
    </rPh>
    <rPh sb="19" eb="20">
      <t>ウ</t>
    </rPh>
    <rPh sb="21" eb="22">
      <t>クイ</t>
    </rPh>
    <rPh sb="22" eb="23">
      <t>コウ</t>
    </rPh>
    <rPh sb="23" eb="24">
      <t>ホウ</t>
    </rPh>
    <rPh sb="25" eb="27">
      <t>バアイ</t>
    </rPh>
    <rPh sb="28" eb="30">
      <t>ジシキ</t>
    </rPh>
    <rPh sb="33" eb="35">
      <t>サンテイ</t>
    </rPh>
    <phoneticPr fontId="1"/>
  </si>
  <si>
    <t>れる。</t>
    <phoneticPr fontId="1"/>
  </si>
  <si>
    <r>
      <t>杭先端の面積（m</t>
    </r>
    <r>
      <rPr>
        <vertAlign val="superscript"/>
        <sz val="10"/>
        <rFont val="ＭＳ 明朝"/>
        <family val="1"/>
        <charset val="128"/>
      </rPr>
      <t>2</t>
    </r>
    <r>
      <rPr>
        <sz val="10"/>
        <rFont val="ＭＳ 明朝"/>
        <family val="1"/>
        <charset val="128"/>
      </rPr>
      <t>）で、場所打ち杭工法の場合、公称径Dを直径とする円の</t>
    </r>
    <rPh sb="0" eb="1">
      <t>クイ</t>
    </rPh>
    <rPh sb="1" eb="3">
      <t>センタン</t>
    </rPh>
    <rPh sb="4" eb="6">
      <t>メンセキ</t>
    </rPh>
    <rPh sb="12" eb="14">
      <t>バショ</t>
    </rPh>
    <rPh sb="14" eb="15">
      <t>ウ</t>
    </rPh>
    <rPh sb="16" eb="17">
      <t>クイ</t>
    </rPh>
    <rPh sb="17" eb="19">
      <t>コウホウ</t>
    </rPh>
    <rPh sb="20" eb="22">
      <t>バアイ</t>
    </rPh>
    <rPh sb="23" eb="24">
      <t>コウ</t>
    </rPh>
    <rPh sb="24" eb="25">
      <t>ショウ</t>
    </rPh>
    <rPh sb="25" eb="26">
      <t>ケイ</t>
    </rPh>
    <rPh sb="28" eb="30">
      <t>チョッケイ</t>
    </rPh>
    <rPh sb="33" eb="34">
      <t>エン</t>
    </rPh>
    <phoneticPr fontId="1"/>
  </si>
  <si>
    <t>面積とする。</t>
    <phoneticPr fontId="1"/>
  </si>
  <si>
    <t>　本設計計算例における杭先端支持層は、N値70の砂礫層のため、杭の基準先端支持力は、橋軸</t>
    <rPh sb="1" eb="2">
      <t>ホン</t>
    </rPh>
    <rPh sb="2" eb="4">
      <t>セッケイ</t>
    </rPh>
    <rPh sb="4" eb="6">
      <t>ケイサン</t>
    </rPh>
    <rPh sb="6" eb="7">
      <t>レイ</t>
    </rPh>
    <rPh sb="11" eb="12">
      <t>クイ</t>
    </rPh>
    <rPh sb="12" eb="14">
      <t>センタン</t>
    </rPh>
    <rPh sb="14" eb="17">
      <t>シジソウ</t>
    </rPh>
    <rPh sb="20" eb="21">
      <t>チ</t>
    </rPh>
    <rPh sb="24" eb="26">
      <t>サレキ</t>
    </rPh>
    <rPh sb="26" eb="27">
      <t>ソウ</t>
    </rPh>
    <rPh sb="31" eb="32">
      <t>クイ</t>
    </rPh>
    <rPh sb="33" eb="35">
      <t>キジュン</t>
    </rPh>
    <rPh sb="35" eb="37">
      <t>センタン</t>
    </rPh>
    <rPh sb="37" eb="39">
      <t>シジ</t>
    </rPh>
    <rPh sb="39" eb="40">
      <t>リョク</t>
    </rPh>
    <rPh sb="42" eb="43">
      <t>ハシ</t>
    </rPh>
    <rPh sb="43" eb="44">
      <t>ジク</t>
    </rPh>
    <phoneticPr fontId="1"/>
  </si>
  <si>
    <t>方向・橋軸直角方向ともに次のようになる。</t>
    <rPh sb="4" eb="5">
      <t>ジク</t>
    </rPh>
    <rPh sb="5" eb="7">
      <t>チョッカク</t>
    </rPh>
    <rPh sb="7" eb="9">
      <t>ホウコウ</t>
    </rPh>
    <rPh sb="12" eb="13">
      <t>ツギ</t>
    </rPh>
    <phoneticPr fontId="1"/>
  </si>
  <si>
    <t>基準周面支持力度で、場所打ち杭工法（自然泥水）の場合、各土層の土質に</t>
    <rPh sb="0" eb="2">
      <t>キジュン</t>
    </rPh>
    <rPh sb="2" eb="3">
      <t>シュウ</t>
    </rPh>
    <rPh sb="3" eb="4">
      <t>メン</t>
    </rPh>
    <rPh sb="4" eb="6">
      <t>シジ</t>
    </rPh>
    <rPh sb="6" eb="7">
      <t>リョク</t>
    </rPh>
    <rPh sb="7" eb="8">
      <t>ド</t>
    </rPh>
    <rPh sb="10" eb="12">
      <t>バショ</t>
    </rPh>
    <rPh sb="12" eb="13">
      <t>ウ</t>
    </rPh>
    <rPh sb="14" eb="15">
      <t>クイ</t>
    </rPh>
    <rPh sb="15" eb="17">
      <t>コウホウ</t>
    </rPh>
    <rPh sb="18" eb="20">
      <t>シゼン</t>
    </rPh>
    <rPh sb="20" eb="22">
      <t>デイスイ</t>
    </rPh>
    <rPh sb="24" eb="26">
      <t>バアイ</t>
    </rPh>
    <rPh sb="27" eb="28">
      <t>カク</t>
    </rPh>
    <rPh sb="28" eb="29">
      <t>ツチ</t>
    </rPh>
    <rPh sb="29" eb="30">
      <t>ソウ</t>
    </rPh>
    <rPh sb="31" eb="33">
      <t>ドシツ</t>
    </rPh>
    <phoneticPr fontId="1"/>
  </si>
  <si>
    <t>応じて継の各式より算定する。</t>
    <rPh sb="3" eb="4">
      <t>ツギ</t>
    </rPh>
    <rPh sb="5" eb="7">
      <t>カクシキ</t>
    </rPh>
    <rPh sb="9" eb="11">
      <t>サンテイ</t>
    </rPh>
    <phoneticPr fontId="1"/>
  </si>
  <si>
    <r>
      <t>　なお、支持層の根入れ部分のうち、杭先端から上方に最小根入れ深さD</t>
    </r>
    <r>
      <rPr>
        <vertAlign val="subscript"/>
        <sz val="10"/>
        <rFont val="ＭＳ 明朝"/>
        <family val="1"/>
        <charset val="128"/>
      </rPr>
      <t>f0</t>
    </r>
    <r>
      <rPr>
        <sz val="10"/>
        <rFont val="ＭＳ 明朝"/>
        <family val="1"/>
        <charset val="128"/>
      </rPr>
      <t>の範囲については、</t>
    </r>
    <rPh sb="4" eb="7">
      <t>シジソウ</t>
    </rPh>
    <rPh sb="8" eb="9">
      <t>ネ</t>
    </rPh>
    <rPh sb="9" eb="10">
      <t>イ</t>
    </rPh>
    <rPh sb="11" eb="13">
      <t>ブブン</t>
    </rPh>
    <rPh sb="17" eb="18">
      <t>クイ</t>
    </rPh>
    <rPh sb="18" eb="20">
      <t>センタン</t>
    </rPh>
    <rPh sb="22" eb="23">
      <t>ウエ</t>
    </rPh>
    <rPh sb="23" eb="24">
      <t>ホウ</t>
    </rPh>
    <rPh sb="25" eb="27">
      <t>サイショウ</t>
    </rPh>
    <rPh sb="27" eb="28">
      <t>ネ</t>
    </rPh>
    <rPh sb="28" eb="29">
      <t>イ</t>
    </rPh>
    <rPh sb="30" eb="31">
      <t>フカ</t>
    </rPh>
    <rPh sb="36" eb="38">
      <t>ハンイ</t>
    </rPh>
    <phoneticPr fontId="1"/>
  </si>
  <si>
    <t>押込み側の周面抵抗は考慮しないものとする。</t>
    <rPh sb="3" eb="4">
      <t>ガワ</t>
    </rPh>
    <rPh sb="10" eb="12">
      <t>コウリョ</t>
    </rPh>
    <phoneticPr fontId="1"/>
  </si>
  <si>
    <t>　本設計計算例における、地震時以外の基礎の安定と基礎の支持性能、および残留鉛直変位の照査</t>
    <rPh sb="1" eb="2">
      <t>ホン</t>
    </rPh>
    <rPh sb="2" eb="4">
      <t>セッケイ</t>
    </rPh>
    <rPh sb="4" eb="6">
      <t>ケイサン</t>
    </rPh>
    <rPh sb="6" eb="7">
      <t>レイ</t>
    </rPh>
    <rPh sb="12" eb="14">
      <t>ジシン</t>
    </rPh>
    <rPh sb="14" eb="15">
      <t>ジ</t>
    </rPh>
    <rPh sb="15" eb="17">
      <t>イガイ</t>
    </rPh>
    <rPh sb="18" eb="20">
      <t>キソ</t>
    </rPh>
    <rPh sb="21" eb="23">
      <t>アンテイ</t>
    </rPh>
    <rPh sb="24" eb="26">
      <t>キソ</t>
    </rPh>
    <rPh sb="27" eb="29">
      <t>シジ</t>
    </rPh>
    <rPh sb="29" eb="31">
      <t>セイノウ</t>
    </rPh>
    <rPh sb="35" eb="37">
      <t>ザンリュウ</t>
    </rPh>
    <rPh sb="37" eb="39">
      <t>エンチョク</t>
    </rPh>
    <rPh sb="39" eb="41">
      <t>ヘンイ</t>
    </rPh>
    <rPh sb="42" eb="44">
      <t>ショウサ</t>
    </rPh>
    <phoneticPr fontId="1"/>
  </si>
  <si>
    <r>
      <t>に用いる設計鉛直支持力R</t>
    </r>
    <r>
      <rPr>
        <vertAlign val="subscript"/>
        <sz val="10"/>
        <rFont val="ＭＳ 明朝"/>
        <family val="1"/>
        <charset val="128"/>
      </rPr>
      <t>wd</t>
    </r>
    <r>
      <rPr>
        <sz val="10"/>
        <rFont val="ＭＳ 明朝"/>
        <family val="1"/>
        <charset val="128"/>
      </rPr>
      <t>は、次のようになる。</t>
    </r>
    <rPh sb="1" eb="2">
      <t>モチ</t>
    </rPh>
    <rPh sb="4" eb="6">
      <t>セッケイ</t>
    </rPh>
    <rPh sb="6" eb="10">
      <t>エンチョクシジ</t>
    </rPh>
    <rPh sb="10" eb="11">
      <t>チカラ</t>
    </rPh>
    <rPh sb="16" eb="17">
      <t>ツギ</t>
    </rPh>
    <phoneticPr fontId="1"/>
  </si>
  <si>
    <t>　本設計計算例における、地震時以外の基礎の安定と基礎の支持性能、および残留鉛直変位(性</t>
    <rPh sb="1" eb="2">
      <t>ホン</t>
    </rPh>
    <rPh sb="2" eb="4">
      <t>セッケイ</t>
    </rPh>
    <rPh sb="4" eb="6">
      <t>ケイサン</t>
    </rPh>
    <rPh sb="6" eb="7">
      <t>レイ</t>
    </rPh>
    <rPh sb="12" eb="15">
      <t>ジシンジ</t>
    </rPh>
    <rPh sb="15" eb="17">
      <t>イガイ</t>
    </rPh>
    <rPh sb="18" eb="20">
      <t>キソ</t>
    </rPh>
    <rPh sb="21" eb="23">
      <t>アンテイ</t>
    </rPh>
    <rPh sb="24" eb="26">
      <t>キソ</t>
    </rPh>
    <rPh sb="27" eb="29">
      <t>シジ</t>
    </rPh>
    <rPh sb="29" eb="31">
      <t>セイノウ</t>
    </rPh>
    <rPh sb="35" eb="37">
      <t>ザンリュウ</t>
    </rPh>
    <rPh sb="37" eb="39">
      <t>エンチョク</t>
    </rPh>
    <rPh sb="39" eb="41">
      <t>ヘンイ</t>
    </rPh>
    <rPh sb="42" eb="43">
      <t>セイ</t>
    </rPh>
    <phoneticPr fontId="1"/>
  </si>
  <si>
    <r>
      <t>能レベル1)に用いる設計引抜き抵抗力R</t>
    </r>
    <r>
      <rPr>
        <vertAlign val="subscript"/>
        <sz val="10"/>
        <rFont val="ＭＳ 明朝"/>
        <family val="1"/>
        <charset val="128"/>
      </rPr>
      <t>ud</t>
    </r>
    <r>
      <rPr>
        <sz val="10"/>
        <rFont val="ＭＳ 明朝"/>
        <family val="1"/>
        <charset val="128"/>
      </rPr>
      <t>は、次のようになる。</t>
    </r>
    <rPh sb="7" eb="8">
      <t>モチ</t>
    </rPh>
    <rPh sb="10" eb="12">
      <t>セッケイ</t>
    </rPh>
    <rPh sb="12" eb="14">
      <t>ヒキヌ</t>
    </rPh>
    <rPh sb="15" eb="18">
      <t>テイコウリョク</t>
    </rPh>
    <rPh sb="23" eb="24">
      <t>ツギ</t>
    </rPh>
    <phoneticPr fontId="1"/>
  </si>
  <si>
    <t>地震時の基礎の安定、および残留鉛直変位(性能レベル2)の照査では引抜き力に対する照査は行わ</t>
    <rPh sb="0" eb="2">
      <t>ジシン</t>
    </rPh>
    <rPh sb="2" eb="3">
      <t>ジ</t>
    </rPh>
    <rPh sb="4" eb="6">
      <t>キソ</t>
    </rPh>
    <rPh sb="7" eb="9">
      <t>アンテイ</t>
    </rPh>
    <rPh sb="13" eb="15">
      <t>ザンリュウ</t>
    </rPh>
    <rPh sb="15" eb="17">
      <t>エンチョク</t>
    </rPh>
    <rPh sb="17" eb="19">
      <t>ヘンイ</t>
    </rPh>
    <rPh sb="20" eb="22">
      <t>セイノウ</t>
    </rPh>
    <rPh sb="28" eb="30">
      <t>ショウサ</t>
    </rPh>
    <rPh sb="32" eb="34">
      <t>ヒキヌ</t>
    </rPh>
    <rPh sb="35" eb="36">
      <t>リョク</t>
    </rPh>
    <rPh sb="37" eb="38">
      <t>タイ</t>
    </rPh>
    <rPh sb="40" eb="42">
      <t>ショウサ</t>
    </rPh>
    <rPh sb="43" eb="44">
      <t>オコナ</t>
    </rPh>
    <phoneticPr fontId="1"/>
  </si>
  <si>
    <t>ない。</t>
    <phoneticPr fontId="1"/>
  </si>
  <si>
    <t>有効抵抗土圧力度は次式により求め、各土層の有効抵抗土圧力度をまとめたものを表1.1.23に示す。</t>
    <rPh sb="0" eb="2">
      <t>ユウコウ</t>
    </rPh>
    <rPh sb="2" eb="4">
      <t>テイコウ</t>
    </rPh>
    <rPh sb="4" eb="5">
      <t>ド</t>
    </rPh>
    <rPh sb="5" eb="6">
      <t>アツ</t>
    </rPh>
    <rPh sb="6" eb="7">
      <t>リョク</t>
    </rPh>
    <rPh sb="7" eb="8">
      <t>ド</t>
    </rPh>
    <rPh sb="9" eb="11">
      <t>ジシキ</t>
    </rPh>
    <rPh sb="14" eb="15">
      <t>モト</t>
    </rPh>
    <rPh sb="17" eb="18">
      <t>カク</t>
    </rPh>
    <rPh sb="18" eb="19">
      <t>ド</t>
    </rPh>
    <rPh sb="19" eb="20">
      <t>ソウ</t>
    </rPh>
    <rPh sb="21" eb="23">
      <t>ユウコウ</t>
    </rPh>
    <rPh sb="23" eb="25">
      <t>テイコウ</t>
    </rPh>
    <rPh sb="25" eb="26">
      <t>ド</t>
    </rPh>
    <rPh sb="26" eb="28">
      <t>アツリョク</t>
    </rPh>
    <rPh sb="28" eb="29">
      <t>ド</t>
    </rPh>
    <rPh sb="37" eb="38">
      <t>ヒョウ</t>
    </rPh>
    <rPh sb="45" eb="46">
      <t>シメ</t>
    </rPh>
    <phoneticPr fontId="1"/>
  </si>
  <si>
    <t>は じ め に</t>
    <phoneticPr fontId="1"/>
  </si>
  <si>
    <t>本ファイルを利用するには マクロを有効にしてください。</t>
    <rPh sb="0" eb="1">
      <t>ホン</t>
    </rPh>
    <rPh sb="6" eb="8">
      <t>リヨウ</t>
    </rPh>
    <rPh sb="17" eb="19">
      <t>ユウコウ</t>
    </rPh>
    <phoneticPr fontId="1"/>
  </si>
  <si>
    <t>Office ドキュメントのマクロを有効または無効にする</t>
    <phoneticPr fontId="1"/>
  </si>
  <si>
    <t>本ファイルを利用するには ユーザー名とパスワードを入力してください</t>
    <rPh sb="0" eb="1">
      <t>ホン</t>
    </rPh>
    <rPh sb="6" eb="8">
      <t>リヨウ</t>
    </rPh>
    <rPh sb="17" eb="18">
      <t>メイ</t>
    </rPh>
    <rPh sb="25" eb="27">
      <t>ニュウリョク</t>
    </rPh>
    <phoneticPr fontId="1"/>
  </si>
  <si>
    <t>ユーザー名またはメールアドレス</t>
    <phoneticPr fontId="1"/>
  </si>
  <si>
    <t>パスワード</t>
    <phoneticPr fontId="1"/>
  </si>
  <si>
    <t>※ユーザー名, パスワード を １行目に記したテキストファイルを それぞれ用意し</t>
    <rPh sb="5" eb="6">
      <t>メイ</t>
    </rPh>
    <rPh sb="17" eb="19">
      <t>ギョウメ</t>
    </rPh>
    <rPh sb="20" eb="21">
      <t>シル</t>
    </rPh>
    <rPh sb="37" eb="39">
      <t>ヨウイ</t>
    </rPh>
    <phoneticPr fontId="1"/>
  </si>
  <si>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1"/>
  </si>
  <si>
    <t>省略できます</t>
    <rPh sb="0" eb="2">
      <t>ショウリャク</t>
    </rPh>
    <phoneticPr fontId="1"/>
  </si>
  <si>
    <t>免責事項</t>
    <phoneticPr fontId="1"/>
  </si>
  <si>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</si>
  <si>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</si>
  <si>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</si>
  <si>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</si>
  <si>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</si>
  <si>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開発者向け（本システムの概要）</t>
    <rPh sb="0" eb="3">
      <t>カイハツシャ</t>
    </rPh>
    <rPh sb="3" eb="4">
      <t>ム</t>
    </rPh>
    <rPh sb="6" eb="7">
      <t>ホン</t>
    </rPh>
    <rPh sb="12" eb="14">
      <t>ガイヨウ</t>
    </rPh>
    <phoneticPr fontId="1"/>
  </si>
  <si>
    <t>データの送受信には json 形式の 文字列で通信します。</t>
    <rPh sb="4" eb="7">
      <t>ソウジュシン</t>
    </rPh>
    <rPh sb="15" eb="17">
      <t>ケイシキ</t>
    </rPh>
    <rPh sb="19" eb="22">
      <t>モジレツ</t>
    </rPh>
    <rPh sb="23" eb="25">
      <t>ツウシン</t>
    </rPh>
    <phoneticPr fontId="1"/>
  </si>
  <si>
    <t>ｖ</t>
    <phoneticPr fontId="1"/>
  </si>
  <si>
    <t>お問い合わせ</t>
    <rPh sb="1" eb="2">
      <t>ト</t>
    </rPh>
    <rPh sb="3" eb="4">
      <t>ア</t>
    </rPh>
    <phoneticPr fontId="1"/>
  </si>
  <si>
    <r>
      <rPr>
        <sz val="11"/>
        <rFont val="ＭＳ Ｐゴシック"/>
        <family val="3"/>
        <charset val="128"/>
      </rPr>
      <t>┃株式会社　ささこう</t>
    </r>
    <r>
      <rPr>
        <sz val="11"/>
        <rFont val="Courier New"/>
        <family val="3"/>
      </rPr>
      <t> </t>
    </r>
    <phoneticPr fontId="1"/>
  </si>
  <si>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1"/>
  </si>
  <si>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1"/>
  </si>
  <si>
    <r>
      <rPr>
        <sz val="11"/>
        <rFont val="ＭＳ Ｐゴシック"/>
        <family val="3"/>
        <charset val="128"/>
      </rPr>
      <t>┃　　　　　　　　　　エトワール石神井</t>
    </r>
    <r>
      <rPr>
        <sz val="11"/>
        <rFont val="Courier New"/>
        <family val="3"/>
      </rPr>
      <t>202</t>
    </r>
    <phoneticPr fontId="1"/>
  </si>
  <si>
    <r>
      <rPr>
        <sz val="11"/>
        <rFont val="ＭＳ Ｐゴシック"/>
        <family val="3"/>
        <charset val="128"/>
      </rPr>
      <t>┃　　ＴＥＬ：</t>
    </r>
    <r>
      <rPr>
        <sz val="11"/>
        <rFont val="ＭＳ Ｐゴシック"/>
        <family val="3"/>
        <charset val="128"/>
      </rPr>
      <t>050-5806-0301</t>
    </r>
    <phoneticPr fontId="1"/>
  </si>
  <si>
    <t>┃　　Ｍail ：sasaicco@gmail.com </t>
    <phoneticPr fontId="1"/>
  </si>
  <si>
    <r>
      <t>┃　　ＵＲＬ：http://structuralengine.</t>
    </r>
    <r>
      <rPr>
        <sz val="11"/>
        <rFont val="ＭＳ Ｐゴシック"/>
        <family val="3"/>
        <charset val="128"/>
      </rPr>
      <t>jp</t>
    </r>
    <phoneticPr fontId="1"/>
  </si>
  <si>
    <t>本システムは、「鉄道構造物等設計標準・同解説（基礎構造物）平成24年版」</t>
    <rPh sb="23" eb="25">
      <t>キソ</t>
    </rPh>
    <phoneticPr fontId="1"/>
  </si>
  <si>
    <t>（以下 【基礎標準】と記す)に対応した 杭の地盤抵抗係数 を算定するシステムです。</t>
    <rPh sb="5" eb="7">
      <t>キソ</t>
    </rPh>
    <rPh sb="20" eb="21">
      <t>クイ</t>
    </rPh>
    <rPh sb="22" eb="24">
      <t>ジバン</t>
    </rPh>
    <rPh sb="24" eb="26">
      <t>テイコウ</t>
    </rPh>
    <rPh sb="26" eb="28">
      <t>ケイスウ</t>
    </rPh>
    <rPh sb="30" eb="32">
      <t>サンテイ</t>
    </rPh>
    <phoneticPr fontId="1"/>
  </si>
  <si>
    <t>"SoilPile" --- 地盤抵抗係数算定プログラム</t>
    <rPh sb="15" eb="17">
      <t>ジバン</t>
    </rPh>
    <rPh sb="17" eb="19">
      <t>テイコウ</t>
    </rPh>
    <rPh sb="19" eb="21">
      <t>ケイスウ</t>
    </rPh>
    <rPh sb="21" eb="23">
      <t>サンテイ</t>
    </rPh>
    <phoneticPr fontId="1"/>
  </si>
  <si>
    <t>Ver.1.0.6</t>
  </si>
  <si>
    <t>ＲＣラーメン高架橋</t>
  </si>
  <si>
    <t>フーチング有無</t>
  </si>
  <si>
    <t>杭種</t>
  </si>
  <si>
    <t>杭長</t>
  </si>
  <si>
    <t>杭径</t>
  </si>
  <si>
    <t>橋軸杭本数</t>
  </si>
  <si>
    <t>直角杭本数</t>
  </si>
  <si>
    <t>橋軸杭間隔</t>
  </si>
  <si>
    <t>直角杭間隔</t>
  </si>
  <si>
    <t>(1)橋軸方向</t>
  </si>
  <si>
    <t>【杭配置情報】</t>
  </si>
  <si>
    <t>←杭配置情報がある場合、挿入される</t>
    <rPh sb="1" eb="2">
      <t>クイ</t>
    </rPh>
    <rPh sb="2" eb="4">
      <t>ハイチ</t>
    </rPh>
    <rPh sb="4" eb="6">
      <t>ジョウホウ</t>
    </rPh>
    <rPh sb="9" eb="11">
      <t>バアイ</t>
    </rPh>
    <rPh sb="12" eb="14">
      <t>ソウニュウ</t>
    </rPh>
    <phoneticPr fontId="1"/>
  </si>
  <si>
    <t>番号</t>
  </si>
  <si>
    <t>1列目からの距離</t>
  </si>
  <si>
    <t>杭本数</t>
  </si>
  <si>
    <t>地震時以外</t>
  </si>
  <si>
    <t>【設計鉛直支持力の算定】</t>
  </si>
  <si>
    <t>性能項目</t>
  </si>
  <si>
    <t>基準先端支持力Rtk(kN)</t>
  </si>
  <si>
    <t>基準周面支持力ΣRfk(kN)</t>
  </si>
  <si>
    <t>基準支持力Rk(kN)</t>
  </si>
  <si>
    <t>先端支持力比Pt</t>
  </si>
  <si>
    <t>地盤抵抗係数fr</t>
  </si>
  <si>
    <t>設計鉛直支持力Rvd(kN)</t>
  </si>
  <si>
    <t>長期支持性能</t>
  </si>
  <si>
    <t>短期支持性能</t>
  </si>
  <si>
    <t>安定(地震時以外)</t>
  </si>
  <si>
    <t>残留鉛直変位(L1)</t>
  </si>
  <si>
    <t>残留鉛直変位(L2)</t>
  </si>
  <si>
    <t>【設計引き抜き抵抗力の算定】</t>
  </si>
  <si>
    <t>杭の有効自重Wp(kN)</t>
  </si>
  <si>
    <t>設計引き抜き抵抗力vd(kN)</t>
  </si>
  <si>
    <t>【水平変位の照査】</t>
  </si>
  <si>
    <t>設計限界値δL(mm)</t>
  </si>
  <si>
    <t>設計限界値の指標</t>
  </si>
  <si>
    <t>抵抗幅</t>
  </si>
  <si>
    <t>【回転角の照査】</t>
  </si>
  <si>
    <t>設計限界値θL(mm)</t>
  </si>
  <si>
    <t>地震時</t>
  </si>
  <si>
    <t>杭先端支持力</t>
  </si>
  <si>
    <t>杭周面支持力</t>
  </si>
  <si>
    <t>鉛直支持力</t>
  </si>
  <si>
    <t>終局時修正係数ρgtu</t>
  </si>
  <si>
    <t>先端終局支持力Rtu(kN)</t>
  </si>
  <si>
    <t>終局時修正係数ρgfu</t>
  </si>
  <si>
    <t>基準周面支持力Rfk(kN)</t>
  </si>
  <si>
    <t>周面終局支持力Rfu(kN)</t>
  </si>
  <si>
    <t>(2)直角方向</t>
  </si>
  <si>
    <t>基準先端引抜き抵抗力Ruk(kN)</t>
  </si>
  <si>
    <t>設計引き抜き抵抗力Rvd(kN)</t>
  </si>
  <si>
    <t>←回転杭の場合、これに代わる</t>
    <rPh sb="1" eb="3">
      <t>カイテン</t>
    </rPh>
    <rPh sb="3" eb="4">
      <t>クイ</t>
    </rPh>
    <rPh sb="5" eb="7">
      <t>バアイ</t>
    </rPh>
    <rPh sb="11" eb="12">
      <t>カ</t>
    </rPh>
    <phoneticPr fontId="1"/>
  </si>
  <si>
    <t>【押込み側】</t>
    <phoneticPr fontId="1"/>
  </si>
  <si>
    <t>←回転杭の場合、これが入る</t>
    <rPh sb="1" eb="3">
      <t>カイテン</t>
    </rPh>
    <rPh sb="3" eb="4">
      <t>クイ</t>
    </rPh>
    <rPh sb="5" eb="7">
      <t>バアイ</t>
    </rPh>
    <rPh sb="11" eb="12">
      <t>ハイ</t>
    </rPh>
    <phoneticPr fontId="1"/>
  </si>
  <si>
    <t>【引抜き側】</t>
    <phoneticPr fontId="1"/>
  </si>
  <si>
    <t>基準先端引抜き抵抗Ruk(kN)</t>
  </si>
  <si>
    <t>本システムは、入力データをサーバーに送出し, 地盤抵抗係数をサーバーから受け取ります</t>
    <rPh sb="18" eb="20">
      <t>ソウシュツ</t>
    </rPh>
    <rPh sb="23" eb="25">
      <t>ジバン</t>
    </rPh>
    <rPh sb="25" eb="27">
      <t>テイコウ</t>
    </rPh>
    <rPh sb="27" eb="29">
      <t>ケイスウ</t>
    </rPh>
    <rPh sb="36" eb="37">
      <t>ウ</t>
    </rPh>
    <rPh sb="38" eb="39">
      <t>ト</t>
    </rPh>
    <phoneticPr fontId="1"/>
  </si>
  <si>
    <t>Df</t>
    <phoneticPr fontId="1"/>
  </si>
  <si>
    <t>水位</t>
    <rPh sb="0" eb="2">
      <t>スイイ</t>
    </rPh>
    <phoneticPr fontId="1"/>
  </si>
  <si>
    <t>液状化低減係数DE</t>
    <rPh sb="0" eb="3">
      <t>エキジョウカ</t>
    </rPh>
    <rPh sb="3" eb="5">
      <t>テイゲン</t>
    </rPh>
    <rPh sb="5" eb="7">
      <t>ケイスウ</t>
    </rPh>
    <phoneticPr fontId="1"/>
  </si>
  <si>
    <t>L1地震動</t>
    <rPh sb="2" eb="4">
      <t>ジシン</t>
    </rPh>
    <rPh sb="4" eb="5">
      <t>ドウ</t>
    </rPh>
    <phoneticPr fontId="1"/>
  </si>
  <si>
    <t>L2地震動</t>
    <rPh sb="2" eb="4">
      <t>ジシン</t>
    </rPh>
    <rPh sb="4" eb="5">
      <t>ドウ</t>
    </rPh>
    <phoneticPr fontId="1"/>
  </si>
  <si>
    <t>杭種</t>
    <rPh sb="0" eb="1">
      <t>クイ</t>
    </rPh>
    <rPh sb="1" eb="2">
      <t>シュ</t>
    </rPh>
    <phoneticPr fontId="1"/>
  </si>
  <si>
    <t>場所打ち杭</t>
    <rPh sb="0" eb="2">
      <t>バショ</t>
    </rPh>
    <rPh sb="2" eb="3">
      <t>ウ</t>
    </rPh>
    <rPh sb="4" eb="5">
      <t>クイ</t>
    </rPh>
    <phoneticPr fontId="1"/>
  </si>
  <si>
    <t>群杭に対する補正係数</t>
    <rPh sb="0" eb="1">
      <t>グン</t>
    </rPh>
    <rPh sb="1" eb="2">
      <t>クイ</t>
    </rPh>
    <rPh sb="3" eb="4">
      <t>タイ</t>
    </rPh>
    <rPh sb="6" eb="8">
      <t>ホセイ</t>
    </rPh>
    <rPh sb="8" eb="10">
      <t>ケイスウ</t>
    </rPh>
    <phoneticPr fontId="1"/>
  </si>
  <si>
    <t>弾性係数</t>
    <rPh sb="0" eb="2">
      <t>ダンセイ</t>
    </rPh>
    <rPh sb="2" eb="4">
      <t>ケイスウ</t>
    </rPh>
    <phoneticPr fontId="1"/>
  </si>
  <si>
    <t>Lm ＝</t>
    <phoneticPr fontId="1"/>
  </si>
  <si>
    <t>m ＝</t>
    <phoneticPr fontId="1"/>
  </si>
  <si>
    <t>Ln ＝</t>
    <phoneticPr fontId="1"/>
  </si>
  <si>
    <t>n ＝</t>
    <phoneticPr fontId="1"/>
  </si>
  <si>
    <t>直角方向</t>
    <rPh sb="0" eb="2">
      <t>チョッカク</t>
    </rPh>
    <rPh sb="2" eb="4">
      <t>ホウコウ</t>
    </rPh>
    <phoneticPr fontId="1"/>
  </si>
  <si>
    <t>橋軸方向</t>
    <rPh sb="0" eb="1">
      <t>ハシ</t>
    </rPh>
    <rPh sb="1" eb="2">
      <t>ジク</t>
    </rPh>
    <rPh sb="2" eb="4">
      <t>ホウコウ</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</si>
</sst>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0.000_ "/>
    <numFmt numFmtId="177" formatCode="0.0"/>
    <numFmt numFmtId="178" formatCode="0.000"/>
    <numFmt numFmtId="179" formatCode="0.0000"/>
    <numFmt numFmtId="180" formatCode="0.0_ "/>
    <numFmt numFmtId="181" formatCode="#,##0_ "/>
    <numFmt numFmtId="182" formatCode="#\ ?/4"/>
    <numFmt numFmtId="183" formatCode="\(0"/>
    <numFmt numFmtId="184" formatCode="0.00_ "/>
  </numFmts>
  <fonts count="25" x14ac:knownFonts="1">
    <font>
      <sz val="11"/>
      <name val="ＭＳ Ｐゴシック"/>
      <family val="3"/>
      <charset val="128"/>
    </font>
    <font>
      <sz val="6"/>
      <name val="ＭＳ Ｐゴシック"/>
      <family val="3"/>
      <charset val="128"/>
    </font>
    <font>
      <sz val="11"/>
      <name val="ＭＳ Ｐゴシック"/>
      <family val="3"/>
      <charset val="128"/>
    </font>
    <font>
      <sz val="10"/>
      <name val="ＭＳ 明朝"/>
      <family val="1"/>
      <charset val="128"/>
    </font>
    <font>
      <vertAlign val="subscript"/>
      <sz val="10"/>
      <name val="ＭＳ 明朝"/>
      <family val="1"/>
      <charset val="128"/>
    </font>
    <font>
      <vertAlign val="superscript"/>
      <sz val="10"/>
      <name val="ＭＳ 明朝"/>
      <family val="1"/>
      <charset val="128"/>
    </font>
    <font>
      <sz val="10"/>
      <name val="ＭＳ ゴシック"/>
      <family val="3"/>
      <charset val="128"/>
    </font>
    <font>
      <vertAlign val="superscript"/>
      <sz val="10"/>
      <name val="ＭＳ ゴシック"/>
      <family val="3"/>
      <charset val="128"/>
    </font>
    <font>
      <sz val="10"/>
      <color indexed="8"/>
      <name val="ＭＳ ゴシック"/>
      <family val="3"/>
      <charset val="128"/>
    </font>
    <font>
      <sz val="9"/>
      <name val="ＭＳ 明朝"/>
      <family val="1"/>
      <charset val="128"/>
    </font>
    <font>
      <vertAlign val="superscript"/>
      <sz val="9"/>
      <name val="ＭＳ 明朝"/>
      <family val="1"/>
      <charset val="128"/>
    </font>
    <font>
      <vertAlign val="subscript"/>
      <sz val="9"/>
      <name val="ＭＳ 明朝"/>
      <family val="1"/>
      <charset val="128"/>
    </font>
    <font>
      <vertAlign val="subscript"/>
      <sz val="10"/>
      <name val="ＭＳ ゴシック"/>
      <family val="3"/>
      <charset val="128"/>
    </font>
    <font>
      <b/>
      <u/>
      <sz val="14"/>
      <name val="ＭＳ Ｐゴシック"/>
      <family val="3"/>
      <charset val="128"/>
    </font>
    <font>
      <sz val="14"/>
      <name val="ＭＳ Ｐゴシック"/>
      <family val="3"/>
      <charset val="128"/>
    </font>
    <font>
      <b/>
      <u/>
      <sz val="10"/>
      <name val="ＭＳ Ｐゴシック"/>
      <family val="3"/>
      <charset val="128"/>
    </font>
    <font>
      <sz val="10"/>
      <color indexed="8"/>
      <name val="ＭＳ 明朝"/>
      <family val="1"/>
      <charset val="128"/>
    </font>
    <font>
      <sz val="11"/>
      <color indexed="8"/>
      <name val="ＭＳ Ｐゴシック"/>
      <family val="3"/>
      <charset val="128"/>
    </font>
    <font>
      <u/>
      <sz val="11"/>
      <color indexed="12"/>
      <name val="ＭＳ Ｐゴシック"/>
      <family val="3"/>
      <charset val="128"/>
    </font>
    <font>
      <sz val="10"/>
      <color indexed="55"/>
      <name val="ＭＳ ゴシック"/>
      <family val="3"/>
      <charset val="128"/>
    </font>
    <font>
      <sz val="11"/>
      <name val="Courier New"/>
      <family val="3"/>
    </font>
    <font>
      <sz val="10"/>
      <color rgb="FF0070C0"/>
      <name val="ＭＳ 明朝"/>
      <family val="1"/>
      <charset val="128"/>
    </font>
    <font>
      <sz val="11"/>
      <color theme="1"/>
      <name val="ＭＳ Ｐゴシック"/>
      <family val="3"/>
      <charset val="128"/>
      <scheme val="minor"/>
    </font>
    <font>
      <sz val="11"/>
      <color rgb="FFFF0000"/>
      <name val="ＭＳ Ｐゴシック"/>
      <family val="3"/>
      <charset val="128"/>
      <scheme val="minor"/>
    </font>
    <font>
      <sz val="10"/>
      <color rgb="FFFF0000"/>
      <name val="ＭＳ 明朝"/>
      <family val="1"/>
      <charset val="128"/>
    </font>
  </fonts>
  <fills count="5">
    <fill>
      <patternFill patternType="none"/>
    </fill>
    <fill>
      <patternFill patternType="gray125"/>
    </fill>
    <fill>
      <patternFill patternType="solid">
        <fgColor indexed="43"/>
        <bgColor indexed="64"/>
      </patternFill>
    </fill>
    <fill>
      <patternFill patternType="solid">
        <fgColor theme="0" tint="-4.9989318521683403E-2"/>
        <bgColor indexed="64"/>
      </patternFill>
    </fill>
    <fill>
      <patternFill patternType="solid">
        <fgColor rgb="FFFFFF00"/>
        <bgColor indexed="64"/>
      </patternFill>
    </fill>
  </fills>
  <borders count="16">
    <border>
      <left/>
      <right/>
      <top/>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7" fillId="0" borderId="0">
      <alignment vertical="center"/>
    </xf>
    <xf numFmtId="0" fontId="18" fillId="0" borderId="0" applyNumberFormat="0" applyFill="0" applyBorder="0" applyAlignment="0" applyProtection="0">
      <alignment vertical="top"/>
      <protection locked="0"/>
    </xf>
    <xf numFmtId="0" fontId="22" fillId="0" borderId="0">
      <alignment vertical="center"/>
    </xf>
  </cellStyleXfs>
  <cellXfs count="236">
    <xf numFmtId="0" fontId="0" fillId="0" borderId="0" xfId="0"/>
    <xf numFmtId="0" fontId="3" fillId="0" borderId="0" xfId="0" applyNumberFormat="1" applyFont="1" applyBorder="1" applyAlignment="1">
      <alignment horizontal="center" vertical="center"/>
    </xf>
    <xf numFmtId="0" fontId="3" fillId="0" borderId="0" xfId="0" applyNumberFormat="1" applyFont="1" applyBorder="1" applyAlignment="1">
      <alignment vertical="center"/>
    </xf>
    <xf numFmtId="0" fontId="3" fillId="0" borderId="0" xfId="0" applyNumberFormat="1" applyFont="1" applyBorder="1" applyAlignment="1">
      <alignment horizontal="right" vertical="center"/>
    </xf>
    <xf numFmtId="177" fontId="3" fillId="0" borderId="0" xfId="0" applyNumberFormat="1" applyFont="1" applyBorder="1" applyAlignment="1">
      <alignment horizontal="center" vertical="center"/>
    </xf>
    <xf numFmtId="0" fontId="6" fillId="0" borderId="0" xfId="0" applyNumberFormat="1" applyFont="1" applyBorder="1" applyAlignment="1">
      <alignment horizontal="left"/>
    </xf>
    <xf numFmtId="0" fontId="3" fillId="0" borderId="0" xfId="0" applyNumberFormat="1" applyFont="1" applyBorder="1" applyAlignment="1">
      <alignment horizontal="center"/>
    </xf>
    <xf numFmtId="0" fontId="3" fillId="0" borderId="0" xfId="0" applyNumberFormat="1" applyFont="1" applyBorder="1" applyAlignment="1"/>
    <xf numFmtId="0" fontId="3" fillId="0" borderId="0" xfId="0" applyNumberFormat="1" applyFont="1" applyBorder="1" applyAlignment="1">
      <alignment horizontal="right"/>
    </xf>
    <xf numFmtId="0" fontId="3" fillId="0" borderId="0" xfId="0" applyNumberFormat="1" applyFont="1" applyBorder="1" applyAlignment="1">
      <alignment horizontal="left"/>
    </xf>
    <xf numFmtId="0" fontId="5" fillId="0" borderId="0" xfId="0" applyNumberFormat="1" applyFont="1" applyBorder="1" applyAlignment="1">
      <alignment horizontal="left"/>
    </xf>
    <xf numFmtId="0" fontId="3" fillId="0" borderId="0" xfId="0" applyNumberFormat="1" applyFont="1" applyBorder="1" applyAlignment="1">
      <alignment horizontal="center" shrinkToFit="1"/>
    </xf>
    <xf numFmtId="0" fontId="6" fillId="0" borderId="0" xfId="0" applyNumberFormat="1" applyFont="1" applyBorder="1" applyAlignment="1"/>
    <xf numFmtId="0" fontId="9" fillId="0" borderId="0" xfId="0" applyNumberFormat="1" applyFont="1" applyBorder="1" applyAlignment="1">
      <alignment vertical="top"/>
    </xf>
    <xf numFmtId="0" fontId="3" fillId="0" borderId="0" xfId="0" applyNumberFormat="1" applyFont="1" applyBorder="1" applyAlignment="1">
      <alignment vertical="center" shrinkToFit="1"/>
    </xf>
    <xf numFmtId="0" fontId="6" fillId="0" borderId="0" xfId="0" applyNumberFormat="1" applyFont="1" applyBorder="1" applyAlignment="1">
      <alignment vertical="center" shrinkToFit="1"/>
    </xf>
    <xf numFmtId="2" fontId="3" fillId="0" borderId="0" xfId="0" applyNumberFormat="1" applyFont="1" applyBorder="1" applyAlignment="1">
      <alignment horizontal="center" vertical="center"/>
    </xf>
    <xf numFmtId="0" fontId="5" fillId="0" borderId="0" xfId="0" applyNumberFormat="1" applyFont="1" applyBorder="1" applyAlignment="1">
      <alignment horizontal="center"/>
    </xf>
    <xf numFmtId="2" fontId="3" fillId="0" borderId="0" xfId="0" applyNumberFormat="1" applyFont="1" applyBorder="1" applyAlignment="1">
      <alignment horizontal="center"/>
    </xf>
    <xf numFmtId="0" fontId="6" fillId="0" borderId="0" xfId="0" applyNumberFormat="1" applyFont="1" applyBorder="1" applyAlignment="1">
      <alignment horizontal="right"/>
    </xf>
    <xf numFmtId="0" fontId="3" fillId="0" borderId="0" xfId="0" quotePrefix="1" applyNumberFormat="1" applyFont="1" applyBorder="1" applyAlignment="1"/>
    <xf numFmtId="183" fontId="3" fillId="0" borderId="0" xfId="0" applyNumberFormat="1" applyFont="1" applyBorder="1" applyAlignment="1"/>
    <xf numFmtId="2" fontId="3" fillId="0" borderId="0" xfId="0" applyNumberFormat="1" applyFont="1" applyBorder="1" applyAlignment="1"/>
    <xf numFmtId="0" fontId="6" fillId="0" borderId="0" xfId="0" applyNumberFormat="1" applyFont="1" applyBorder="1" applyAlignment="1">
      <alignment vertical="center"/>
    </xf>
    <xf numFmtId="0" fontId="6" fillId="0" borderId="1" xfId="0" applyNumberFormat="1" applyFont="1" applyBorder="1" applyAlignment="1">
      <alignment vertical="center" shrinkToFit="1"/>
    </xf>
    <xf numFmtId="0" fontId="3" fillId="0" borderId="0" xfId="0" quotePrefix="1" applyNumberFormat="1" applyFont="1" applyBorder="1" applyAlignment="1">
      <alignment horizontal="center"/>
    </xf>
    <xf numFmtId="1" fontId="3" fillId="0" borderId="0" xfId="0" applyNumberFormat="1" applyFont="1" applyBorder="1" applyAlignment="1">
      <alignment horizontal="center"/>
    </xf>
    <xf numFmtId="0" fontId="3" fillId="0" borderId="0" xfId="0" applyNumberFormat="1" applyFont="1" applyBorder="1" applyAlignment="1">
      <alignment horizontal="center"/>
    </xf>
    <xf numFmtId="177" fontId="3" fillId="0" borderId="0" xfId="0" applyNumberFormat="1" applyFont="1" applyBorder="1" applyAlignment="1">
      <alignment horizontal="center"/>
    </xf>
    <xf numFmtId="0" fontId="3" fillId="0" borderId="0" xfId="0" applyNumberFormat="1" applyFont="1" applyBorder="1" applyAlignment="1">
      <alignment horizontal="center" vertical="center"/>
    </xf>
    <xf numFmtId="177" fontId="3" fillId="0" borderId="0" xfId="0" applyNumberFormat="1" applyFont="1" applyBorder="1" applyAlignment="1">
      <alignment horizontal="center" vertical="center"/>
    </xf>
    <xf numFmtId="2" fontId="3" fillId="0" borderId="0" xfId="0" applyNumberFormat="1" applyFont="1" applyBorder="1" applyAlignment="1">
      <alignment horizontal="center"/>
    </xf>
    <xf numFmtId="178" fontId="3" fillId="0" borderId="0" xfId="0" applyNumberFormat="1" applyFont="1" applyBorder="1" applyAlignment="1">
      <alignment horizontal="center" vertical="center"/>
    </xf>
    <xf numFmtId="0" fontId="3" fillId="0" borderId="0" xfId="0" applyNumberFormat="1" applyFont="1" applyBorder="1" applyAlignment="1">
      <alignment horizontal="center"/>
    </xf>
    <xf numFmtId="0" fontId="3" fillId="0" borderId="6" xfId="0" applyNumberFormat="1" applyFont="1" applyBorder="1" applyAlignment="1">
      <alignment horizontal="center"/>
    </xf>
    <xf numFmtId="0" fontId="3" fillId="0" borderId="7" xfId="0" applyNumberFormat="1" applyFont="1" applyBorder="1" applyAlignment="1">
      <alignment horizontal="center"/>
    </xf>
    <xf numFmtId="0" fontId="3" fillId="0" borderId="10" xfId="0" applyNumberFormat="1" applyFont="1" applyBorder="1" applyAlignment="1">
      <alignment horizontal="center"/>
    </xf>
    <xf numFmtId="0" fontId="13" fillId="0" borderId="0" xfId="0" applyFont="1" applyFill="1" applyAlignment="1">
      <alignment horizontal="centerContinuous"/>
    </xf>
    <xf numFmtId="0" fontId="14" fillId="0" borderId="0" xfId="0" applyFont="1" applyFill="1" applyAlignment="1">
      <alignment horizontal="centerContinuous"/>
    </xf>
    <xf numFmtId="0" fontId="14" fillId="0" borderId="0" xfId="0" applyFont="1" applyFill="1"/>
    <xf numFmtId="0" fontId="3" fillId="0" borderId="0" xfId="0" applyFont="1" applyFill="1"/>
    <xf numFmtId="0" fontId="15" fillId="0" borderId="0" xfId="0" applyFont="1" applyFill="1"/>
    <xf numFmtId="0" fontId="16" fillId="0" borderId="0" xfId="0" applyFont="1" applyFill="1"/>
    <xf numFmtId="0" fontId="16" fillId="0" borderId="0" xfId="1" applyFont="1" applyFill="1" applyBorder="1">
      <alignment vertical="center"/>
    </xf>
    <xf numFmtId="0" fontId="16" fillId="0" borderId="0" xfId="1" applyFont="1" applyFill="1">
      <alignment vertical="center"/>
    </xf>
    <xf numFmtId="0" fontId="18" fillId="0" borderId="0" xfId="2" applyFill="1" applyAlignment="1" applyProtection="1">
      <alignment vertical="center"/>
    </xf>
    <xf numFmtId="0" fontId="8" fillId="0" borderId="0" xfId="1" applyFont="1" applyFill="1" applyBorder="1">
      <alignment vertical="center"/>
    </xf>
    <xf numFmtId="0" fontId="19" fillId="0" borderId="0" xfId="0" applyFont="1" applyFill="1"/>
    <xf numFmtId="0" fontId="8" fillId="0" borderId="0" xfId="1" applyFont="1" applyFill="1">
      <alignment vertical="center"/>
    </xf>
    <xf numFmtId="0" fontId="16" fillId="0" borderId="0" xfId="1" applyFont="1" applyFill="1" applyAlignment="1">
      <alignment horizontal="left" vertical="center" indent="1"/>
    </xf>
    <xf numFmtId="0" fontId="16" fillId="0" borderId="0" xfId="1" applyFont="1" applyFill="1" applyBorder="1" applyAlignment="1">
      <alignment horizontal="center" vertical="center"/>
    </xf>
    <xf numFmtId="0" fontId="20" fillId="0" borderId="0" xfId="0" applyFont="1" applyAlignment="1">
      <alignment horizontal="left"/>
    </xf>
    <xf numFmtId="0" fontId="0" fillId="0" borderId="0" xfId="0" applyFont="1" applyAlignment="1">
      <alignment horizontal="left"/>
    </xf>
    <xf numFmtId="0" fontId="2" fillId="0" borderId="0" xfId="0" applyFont="1"/>
    <xf numFmtId="0" fontId="0" fillId="0" borderId="0" xfId="0" applyFont="1"/>
    <xf numFmtId="0" fontId="22" fillId="3" borderId="10" xfId="3" applyFill="1" applyBorder="1">
      <alignment vertical="center"/>
    </xf>
    <xf numFmtId="0" fontId="22" fillId="0" borderId="0" xfId="3">
      <alignment vertical="center"/>
    </xf>
    <xf numFmtId="0" fontId="22" fillId="4" borderId="10" xfId="3" applyFill="1" applyBorder="1">
      <alignment vertical="center"/>
    </xf>
    <xf numFmtId="0" fontId="23" fillId="0" borderId="0" xfId="3" applyFont="1">
      <alignment vertical="center"/>
    </xf>
    <xf numFmtId="0" fontId="22" fillId="0" borderId="10" xfId="3" applyBorder="1">
      <alignment vertical="center"/>
    </xf>
    <xf numFmtId="0" fontId="22" fillId="3" borderId="13" xfId="3" applyFill="1" applyBorder="1">
      <alignment vertical="center"/>
    </xf>
    <xf numFmtId="0" fontId="23" fillId="0" borderId="14" xfId="3" applyFont="1" applyFill="1" applyBorder="1">
      <alignment vertical="center"/>
    </xf>
    <xf numFmtId="0" fontId="22" fillId="0" borderId="15" xfId="3" applyBorder="1">
      <alignment vertical="center"/>
    </xf>
    <xf numFmtId="0" fontId="6" fillId="0" borderId="5" xfId="0" applyFont="1" applyFill="1" applyBorder="1" applyAlignment="1">
      <alignment horizontal="left" vertical="center"/>
    </xf>
    <xf numFmtId="0" fontId="6" fillId="0" borderId="6" xfId="0" applyFont="1" applyFill="1" applyBorder="1" applyAlignment="1">
      <alignment horizontal="left" vertical="center"/>
    </xf>
    <xf numFmtId="0" fontId="6" fillId="0" borderId="7" xfId="0" applyFont="1" applyFill="1" applyBorder="1" applyAlignment="1">
      <alignment horizontal="left" vertical="center"/>
    </xf>
    <xf numFmtId="0" fontId="8" fillId="0" borderId="5" xfId="1" applyFont="1" applyFill="1" applyBorder="1" applyAlignment="1">
      <alignment horizontal="left" vertical="center"/>
    </xf>
    <xf numFmtId="0" fontId="8" fillId="0" borderId="6" xfId="1" applyFont="1" applyFill="1" applyBorder="1" applyAlignment="1">
      <alignment horizontal="left" vertical="center"/>
    </xf>
    <xf numFmtId="0" fontId="8" fillId="0" borderId="7" xfId="1" applyFont="1" applyFill="1" applyBorder="1" applyAlignment="1">
      <alignment horizontal="left" vertical="center"/>
    </xf>
    <xf numFmtId="0" fontId="3" fillId="0" borderId="0" xfId="0" applyNumberFormat="1" applyFont="1" applyBorder="1" applyAlignment="1">
      <alignment horizontal="center"/>
    </xf>
    <xf numFmtId="177" fontId="3" fillId="0" borderId="10" xfId="0" applyNumberFormat="1" applyFont="1" applyBorder="1" applyAlignment="1">
      <alignment horizontal="center"/>
    </xf>
    <xf numFmtId="177" fontId="3" fillId="0" borderId="5" xfId="0" applyNumberFormat="1" applyFont="1" applyBorder="1" applyAlignment="1">
      <alignment horizontal="center"/>
    </xf>
    <xf numFmtId="0" fontId="3" fillId="0" borderId="10" xfId="0" applyNumberFormat="1" applyFont="1" applyBorder="1" applyAlignment="1">
      <alignment horizontal="center" vertical="center"/>
    </xf>
    <xf numFmtId="177" fontId="3" fillId="0" borderId="10" xfId="0" applyNumberFormat="1" applyFont="1" applyBorder="1" applyAlignment="1">
      <alignment horizontal="center" vertical="center"/>
    </xf>
    <xf numFmtId="177" fontId="3" fillId="0" borderId="2" xfId="0" applyNumberFormat="1" applyFont="1" applyBorder="1" applyAlignment="1">
      <alignment horizontal="center"/>
    </xf>
    <xf numFmtId="177" fontId="3" fillId="0" borderId="1" xfId="0" applyNumberFormat="1" applyFont="1" applyBorder="1" applyAlignment="1">
      <alignment horizontal="center"/>
    </xf>
    <xf numFmtId="2" fontId="3" fillId="0" borderId="10" xfId="0" applyNumberFormat="1" applyFont="1" applyBorder="1" applyAlignment="1">
      <alignment horizontal="center" vertical="center"/>
    </xf>
    <xf numFmtId="2" fontId="3" fillId="0" borderId="5" xfId="0" applyNumberFormat="1" applyFont="1" applyBorder="1" applyAlignment="1">
      <alignment horizontal="center" vertical="center"/>
    </xf>
    <xf numFmtId="0" fontId="3" fillId="0" borderId="10" xfId="0" applyNumberFormat="1" applyFont="1" applyBorder="1" applyAlignment="1">
      <alignment horizontal="center"/>
    </xf>
    <xf numFmtId="0" fontId="3" fillId="0" borderId="10" xfId="0" applyNumberFormat="1" applyFont="1" applyBorder="1" applyAlignment="1">
      <alignment horizontal="center" vertical="center" wrapText="1"/>
    </xf>
    <xf numFmtId="0" fontId="3" fillId="0" borderId="5" xfId="0" applyNumberFormat="1" applyFont="1" applyBorder="1" applyAlignment="1">
      <alignment horizontal="center" vertical="center" wrapText="1"/>
    </xf>
    <xf numFmtId="1" fontId="3" fillId="0" borderId="10" xfId="0" applyNumberFormat="1" applyFont="1" applyBorder="1" applyAlignment="1">
      <alignment horizontal="center"/>
    </xf>
    <xf numFmtId="1" fontId="3" fillId="0" borderId="5" xfId="0" applyNumberFormat="1" applyFont="1" applyBorder="1" applyAlignment="1">
      <alignment horizontal="center"/>
    </xf>
    <xf numFmtId="0" fontId="6" fillId="0" borderId="0" xfId="0" applyNumberFormat="1" applyFont="1" applyBorder="1" applyAlignment="1">
      <alignment horizontal="center" vertical="center" shrinkToFit="1"/>
    </xf>
    <xf numFmtId="0" fontId="3" fillId="0" borderId="2" xfId="0" applyNumberFormat="1" applyFont="1" applyBorder="1" applyAlignment="1">
      <alignment horizontal="center" vertical="center" wrapText="1" shrinkToFit="1"/>
    </xf>
    <xf numFmtId="0" fontId="3" fillId="0" borderId="1" xfId="0" applyNumberFormat="1" applyFont="1" applyBorder="1" applyAlignment="1">
      <alignment horizontal="center" vertical="center" shrinkToFit="1"/>
    </xf>
    <xf numFmtId="0" fontId="3" fillId="0" borderId="8" xfId="0" applyNumberFormat="1" applyFont="1" applyBorder="1" applyAlignment="1">
      <alignment horizontal="center" vertical="center" shrinkToFit="1"/>
    </xf>
    <xf numFmtId="0" fontId="3" fillId="0" borderId="3" xfId="0" applyNumberFormat="1" applyFont="1" applyBorder="1" applyAlignment="1">
      <alignment horizontal="center" vertical="center" shrinkToFit="1"/>
    </xf>
    <xf numFmtId="0" fontId="3" fillId="0" borderId="4" xfId="0" applyNumberFormat="1" applyFont="1" applyBorder="1" applyAlignment="1">
      <alignment horizontal="center" vertical="center" shrinkToFit="1"/>
    </xf>
    <xf numFmtId="0" fontId="3" fillId="0" borderId="9" xfId="0" applyNumberFormat="1" applyFont="1" applyBorder="1" applyAlignment="1">
      <alignment horizontal="center" vertical="center" shrinkToFit="1"/>
    </xf>
    <xf numFmtId="0" fontId="3" fillId="0" borderId="6" xfId="0" applyNumberFormat="1" applyFont="1" applyBorder="1" applyAlignment="1">
      <alignment horizontal="center" vertical="center"/>
    </xf>
    <xf numFmtId="0" fontId="3" fillId="0" borderId="7" xfId="0" applyNumberFormat="1" applyFont="1" applyBorder="1" applyAlignment="1">
      <alignment horizontal="center" vertical="center"/>
    </xf>
    <xf numFmtId="0" fontId="3" fillId="0" borderId="5" xfId="0" applyNumberFormat="1" applyFont="1" applyBorder="1" applyAlignment="1">
      <alignment horizontal="center"/>
    </xf>
    <xf numFmtId="0" fontId="3" fillId="0" borderId="6" xfId="0" applyNumberFormat="1" applyFont="1" applyBorder="1" applyAlignment="1">
      <alignment horizontal="center"/>
    </xf>
    <xf numFmtId="0" fontId="3" fillId="0" borderId="7" xfId="0" applyNumberFormat="1" applyFont="1" applyBorder="1" applyAlignment="1">
      <alignment horizontal="center"/>
    </xf>
    <xf numFmtId="2" fontId="3" fillId="0" borderId="6" xfId="0" applyNumberFormat="1" applyFont="1" applyBorder="1" applyAlignment="1">
      <alignment horizontal="center" vertical="center"/>
    </xf>
    <xf numFmtId="0" fontId="3" fillId="0" borderId="1" xfId="0" applyNumberFormat="1" applyFont="1" applyBorder="1" applyAlignment="1">
      <alignment horizontal="center" vertical="center"/>
    </xf>
    <xf numFmtId="0" fontId="3" fillId="0" borderId="4" xfId="0" applyNumberFormat="1" applyFont="1" applyBorder="1" applyAlignment="1">
      <alignment horizontal="center" vertical="center"/>
    </xf>
    <xf numFmtId="0" fontId="3" fillId="0" borderId="2" xfId="0" applyNumberFormat="1" applyFont="1" applyBorder="1" applyAlignment="1">
      <alignment horizontal="center" vertical="center"/>
    </xf>
    <xf numFmtId="0" fontId="3" fillId="0" borderId="8" xfId="0" applyNumberFormat="1" applyFont="1" applyBorder="1" applyAlignment="1">
      <alignment horizontal="center" vertical="center"/>
    </xf>
    <xf numFmtId="0" fontId="3" fillId="0" borderId="3" xfId="0" applyNumberFormat="1" applyFont="1" applyBorder="1" applyAlignment="1">
      <alignment horizontal="center" vertical="center"/>
    </xf>
    <xf numFmtId="0" fontId="3" fillId="0" borderId="9" xfId="0" applyNumberFormat="1" applyFont="1" applyBorder="1" applyAlignment="1">
      <alignment horizontal="center" vertical="center"/>
    </xf>
    <xf numFmtId="2" fontId="3" fillId="0" borderId="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3" fillId="0" borderId="3" xfId="0" applyNumberFormat="1" applyFont="1" applyBorder="1" applyAlignment="1">
      <alignment horizontal="center" vertical="center"/>
    </xf>
    <xf numFmtId="2" fontId="3" fillId="0" borderId="4" xfId="0" applyNumberFormat="1" applyFont="1" applyBorder="1" applyAlignment="1">
      <alignment horizontal="center" vertical="center"/>
    </xf>
    <xf numFmtId="2" fontId="3" fillId="0" borderId="10" xfId="0" applyNumberFormat="1" applyFont="1" applyBorder="1" applyAlignment="1">
      <alignment horizontal="center"/>
    </xf>
    <xf numFmtId="177" fontId="3" fillId="0" borderId="6" xfId="0" applyNumberFormat="1" applyFont="1" applyBorder="1" applyAlignment="1">
      <alignment horizontal="center"/>
    </xf>
    <xf numFmtId="177" fontId="3" fillId="0" borderId="7" xfId="0" applyNumberFormat="1" applyFont="1" applyBorder="1" applyAlignment="1">
      <alignment horizontal="center"/>
    </xf>
    <xf numFmtId="0" fontId="3" fillId="0" borderId="1" xfId="0" applyNumberFormat="1" applyFont="1" applyBorder="1" applyAlignment="1">
      <alignment horizontal="center" vertical="center" wrapText="1"/>
    </xf>
    <xf numFmtId="0" fontId="3" fillId="0" borderId="4" xfId="0" applyNumberFormat="1" applyFont="1" applyBorder="1" applyAlignment="1">
      <alignment horizontal="center" vertical="center" wrapText="1"/>
    </xf>
    <xf numFmtId="0" fontId="3" fillId="0" borderId="2" xfId="0" applyNumberFormat="1" applyFont="1" applyBorder="1" applyAlignment="1">
      <alignment horizontal="center" vertical="center" wrapText="1"/>
    </xf>
    <xf numFmtId="0" fontId="3" fillId="0" borderId="8" xfId="0" applyNumberFormat="1" applyFont="1" applyBorder="1" applyAlignment="1">
      <alignment horizontal="center" vertical="center" wrapText="1"/>
    </xf>
    <xf numFmtId="0" fontId="3" fillId="0" borderId="3" xfId="0" applyNumberFormat="1" applyFont="1" applyBorder="1" applyAlignment="1">
      <alignment horizontal="center" vertical="center" wrapText="1"/>
    </xf>
    <xf numFmtId="0" fontId="3" fillId="0" borderId="9" xfId="0" applyNumberFormat="1" applyFont="1" applyBorder="1" applyAlignment="1">
      <alignment horizontal="center" vertical="center" wrapText="1"/>
    </xf>
    <xf numFmtId="0" fontId="3" fillId="0" borderId="1" xfId="0" applyNumberFormat="1" applyFont="1" applyBorder="1" applyAlignment="1">
      <alignment horizontal="center" vertical="center" wrapText="1" shrinkToFit="1"/>
    </xf>
    <xf numFmtId="0" fontId="3" fillId="0" borderId="3" xfId="0" applyNumberFormat="1" applyFont="1" applyBorder="1" applyAlignment="1">
      <alignment horizontal="center" vertical="center" wrapText="1" shrinkToFit="1"/>
    </xf>
    <xf numFmtId="0" fontId="3" fillId="0" borderId="4" xfId="0" applyNumberFormat="1" applyFont="1" applyBorder="1" applyAlignment="1">
      <alignment horizontal="center" vertical="center" wrapText="1" shrinkToFit="1"/>
    </xf>
    <xf numFmtId="177" fontId="3" fillId="0" borderId="5" xfId="0" applyNumberFormat="1" applyFont="1" applyBorder="1" applyAlignment="1">
      <alignment horizontal="center" vertical="center"/>
    </xf>
    <xf numFmtId="177" fontId="3" fillId="0" borderId="6" xfId="0" applyNumberFormat="1" applyFont="1" applyBorder="1" applyAlignment="1">
      <alignment horizontal="center" vertical="center"/>
    </xf>
    <xf numFmtId="177" fontId="3" fillId="0" borderId="7" xfId="0" applyNumberFormat="1" applyFont="1" applyBorder="1" applyAlignment="1">
      <alignment horizontal="center" vertical="center"/>
    </xf>
    <xf numFmtId="0" fontId="3" fillId="0" borderId="5" xfId="0" applyNumberFormat="1" applyFont="1" applyBorder="1" applyAlignment="1">
      <alignment horizontal="center" vertical="center"/>
    </xf>
    <xf numFmtId="0" fontId="6" fillId="0" borderId="4" xfId="0" applyNumberFormat="1" applyFont="1" applyBorder="1" applyAlignment="1">
      <alignment horizontal="center" vertical="center" shrinkToFit="1"/>
    </xf>
    <xf numFmtId="2" fontId="3" fillId="0" borderId="8" xfId="0" applyNumberFormat="1" applyFont="1" applyBorder="1" applyAlignment="1">
      <alignment horizontal="center" vertical="center"/>
    </xf>
    <xf numFmtId="2" fontId="3" fillId="0" borderId="9" xfId="0" applyNumberFormat="1" applyFont="1" applyBorder="1" applyAlignment="1">
      <alignment horizontal="center" vertical="center"/>
    </xf>
    <xf numFmtId="178" fontId="3" fillId="0" borderId="2" xfId="0" applyNumberFormat="1" applyFont="1" applyBorder="1" applyAlignment="1">
      <alignment horizontal="center"/>
    </xf>
    <xf numFmtId="178" fontId="3" fillId="0" borderId="1" xfId="0" applyNumberFormat="1" applyFont="1" applyBorder="1" applyAlignment="1">
      <alignment horizontal="center"/>
    </xf>
    <xf numFmtId="2" fontId="3" fillId="0" borderId="2" xfId="0" applyNumberFormat="1" applyFont="1" applyBorder="1" applyAlignment="1">
      <alignment horizontal="center"/>
    </xf>
    <xf numFmtId="2" fontId="3" fillId="0" borderId="1" xfId="0" applyNumberFormat="1" applyFont="1" applyBorder="1" applyAlignment="1">
      <alignment horizontal="center"/>
    </xf>
    <xf numFmtId="2" fontId="3" fillId="0" borderId="5" xfId="0" applyNumberFormat="1" applyFont="1" applyBorder="1" applyAlignment="1">
      <alignment horizontal="center"/>
    </xf>
    <xf numFmtId="2" fontId="3" fillId="0" borderId="6" xfId="0" applyNumberFormat="1" applyFont="1" applyBorder="1" applyAlignment="1">
      <alignment horizontal="center"/>
    </xf>
    <xf numFmtId="177" fontId="3" fillId="0" borderId="2" xfId="0" applyNumberFormat="1" applyFont="1" applyBorder="1" applyAlignment="1">
      <alignment horizontal="center" vertical="center"/>
    </xf>
    <xf numFmtId="177" fontId="3" fillId="0" borderId="1" xfId="0" applyNumberFormat="1" applyFont="1" applyBorder="1" applyAlignment="1">
      <alignment horizontal="center" vertical="center"/>
    </xf>
    <xf numFmtId="177" fontId="3" fillId="0" borderId="8" xfId="0" applyNumberFormat="1" applyFont="1" applyBorder="1" applyAlignment="1">
      <alignment horizontal="center" vertical="center"/>
    </xf>
    <xf numFmtId="177" fontId="3" fillId="0" borderId="3" xfId="0" applyNumberFormat="1" applyFont="1" applyBorder="1" applyAlignment="1">
      <alignment horizontal="center" vertical="center"/>
    </xf>
    <xf numFmtId="177" fontId="3" fillId="0" borderId="4" xfId="0" applyNumberFormat="1" applyFont="1" applyBorder="1" applyAlignment="1">
      <alignment horizontal="center" vertical="center"/>
    </xf>
    <xf numFmtId="177" fontId="3" fillId="0" borderId="9" xfId="0" applyNumberFormat="1" applyFont="1" applyBorder="1" applyAlignment="1">
      <alignment horizontal="center" vertical="center"/>
    </xf>
    <xf numFmtId="178" fontId="3" fillId="0" borderId="2" xfId="0" applyNumberFormat="1" applyFont="1" applyBorder="1" applyAlignment="1">
      <alignment horizontal="center" vertical="center"/>
    </xf>
    <xf numFmtId="178" fontId="3" fillId="0" borderId="1" xfId="0" applyNumberFormat="1" applyFont="1" applyBorder="1" applyAlignment="1">
      <alignment horizontal="center" vertical="center"/>
    </xf>
    <xf numFmtId="178" fontId="3" fillId="0" borderId="8" xfId="0" applyNumberFormat="1" applyFont="1" applyBorder="1" applyAlignment="1">
      <alignment horizontal="center" vertical="center"/>
    </xf>
    <xf numFmtId="178" fontId="3" fillId="0" borderId="3" xfId="0" applyNumberFormat="1" applyFont="1" applyBorder="1" applyAlignment="1">
      <alignment horizontal="center" vertical="center"/>
    </xf>
    <xf numFmtId="178" fontId="3" fillId="0" borderId="4" xfId="0" applyNumberFormat="1" applyFont="1" applyBorder="1" applyAlignment="1">
      <alignment horizontal="center" vertical="center"/>
    </xf>
    <xf numFmtId="178" fontId="3" fillId="0" borderId="9" xfId="0" applyNumberFormat="1" applyFont="1" applyBorder="1" applyAlignment="1">
      <alignment horizontal="center" vertical="center"/>
    </xf>
    <xf numFmtId="177" fontId="3" fillId="0" borderId="0" xfId="0" applyNumberFormat="1" applyFont="1" applyBorder="1" applyAlignment="1">
      <alignment horizontal="center"/>
    </xf>
    <xf numFmtId="0" fontId="3" fillId="0" borderId="0" xfId="0" applyNumberFormat="1" applyFont="1" applyBorder="1" applyAlignment="1">
      <alignment horizontal="right"/>
    </xf>
    <xf numFmtId="178" fontId="3" fillId="0" borderId="10" xfId="0" applyNumberFormat="1" applyFont="1" applyBorder="1" applyAlignment="1">
      <alignment horizontal="center"/>
    </xf>
    <xf numFmtId="0" fontId="3" fillId="0" borderId="0" xfId="0" applyNumberFormat="1" applyFont="1" applyBorder="1" applyAlignment="1">
      <alignment horizontal="center" vertical="center"/>
    </xf>
    <xf numFmtId="0" fontId="3" fillId="0" borderId="11" xfId="0" applyNumberFormat="1" applyFont="1" applyBorder="1" applyAlignment="1">
      <alignment horizontal="center" vertical="center"/>
    </xf>
    <xf numFmtId="178" fontId="21" fillId="0" borderId="2" xfId="0" applyNumberFormat="1" applyFont="1" applyBorder="1" applyAlignment="1">
      <alignment horizontal="center" vertical="center"/>
    </xf>
    <xf numFmtId="178" fontId="21" fillId="0" borderId="1" xfId="0" applyNumberFormat="1" applyFont="1" applyBorder="1" applyAlignment="1">
      <alignment horizontal="center" vertical="center"/>
    </xf>
    <xf numFmtId="178" fontId="21" fillId="0" borderId="8" xfId="0" applyNumberFormat="1" applyFont="1" applyBorder="1" applyAlignment="1">
      <alignment horizontal="center" vertical="center"/>
    </xf>
    <xf numFmtId="178" fontId="21" fillId="0" borderId="3" xfId="0" applyNumberFormat="1" applyFont="1" applyBorder="1" applyAlignment="1">
      <alignment horizontal="center" vertical="center"/>
    </xf>
    <xf numFmtId="178" fontId="21" fillId="0" borderId="4" xfId="0" applyNumberFormat="1" applyFont="1" applyBorder="1" applyAlignment="1">
      <alignment horizontal="center" vertical="center"/>
    </xf>
    <xf numFmtId="178" fontId="21" fillId="0" borderId="9" xfId="0" applyNumberFormat="1" applyFont="1" applyBorder="1" applyAlignment="1">
      <alignment horizontal="center" vertical="center"/>
    </xf>
    <xf numFmtId="177" fontId="3" fillId="0" borderId="12" xfId="0" applyNumberFormat="1" applyFont="1" applyBorder="1" applyAlignment="1">
      <alignment horizontal="center" vertical="center"/>
    </xf>
    <xf numFmtId="177" fontId="3" fillId="0" borderId="0" xfId="0" applyNumberFormat="1" applyFont="1" applyBorder="1" applyAlignment="1">
      <alignment horizontal="center" vertical="center"/>
    </xf>
    <xf numFmtId="177" fontId="3" fillId="0" borderId="11" xfId="0" applyNumberFormat="1" applyFont="1" applyBorder="1" applyAlignment="1">
      <alignment horizontal="center" vertical="center"/>
    </xf>
    <xf numFmtId="0" fontId="3" fillId="0" borderId="10" xfId="0" applyNumberFormat="1" applyFont="1" applyBorder="1" applyAlignment="1">
      <alignment horizontal="center" shrinkToFit="1"/>
    </xf>
    <xf numFmtId="178" fontId="21" fillId="0" borderId="10" xfId="0" applyNumberFormat="1" applyFont="1" applyBorder="1" applyAlignment="1">
      <alignment horizontal="center"/>
    </xf>
    <xf numFmtId="178" fontId="21" fillId="0" borderId="6" xfId="0" applyNumberFormat="1" applyFont="1" applyBorder="1" applyAlignment="1">
      <alignment horizontal="center"/>
    </xf>
    <xf numFmtId="178" fontId="21" fillId="0" borderId="7" xfId="0" applyNumberFormat="1" applyFont="1" applyBorder="1" applyAlignment="1">
      <alignment horizontal="center"/>
    </xf>
    <xf numFmtId="178" fontId="3" fillId="0" borderId="10" xfId="0" applyNumberFormat="1" applyFont="1" applyBorder="1" applyAlignment="1">
      <alignment horizontal="center" vertical="center"/>
    </xf>
    <xf numFmtId="2" fontId="3" fillId="0" borderId="7" xfId="0" applyNumberFormat="1" applyFont="1" applyBorder="1" applyAlignment="1">
      <alignment horizontal="center" vertical="center"/>
    </xf>
    <xf numFmtId="0" fontId="3" fillId="0" borderId="0" xfId="0" applyNumberFormat="1" applyFont="1" applyBorder="1" applyAlignment="1">
      <alignment horizontal="center" shrinkToFit="1"/>
    </xf>
    <xf numFmtId="0" fontId="3" fillId="0" borderId="0" xfId="0" applyNumberFormat="1" applyFont="1" applyBorder="1" applyAlignment="1">
      <alignment horizontal="right" shrinkToFit="1"/>
    </xf>
    <xf numFmtId="178" fontId="3" fillId="0" borderId="0" xfId="0" applyNumberFormat="1" applyFont="1" applyBorder="1" applyAlignment="1">
      <alignment horizontal="center"/>
    </xf>
    <xf numFmtId="12" fontId="3" fillId="0" borderId="0" xfId="0" applyNumberFormat="1" applyFont="1" applyBorder="1" applyAlignment="1">
      <alignment horizontal="center"/>
    </xf>
    <xf numFmtId="1" fontId="3" fillId="0" borderId="6" xfId="0" applyNumberFormat="1" applyFont="1" applyBorder="1" applyAlignment="1">
      <alignment horizontal="center"/>
    </xf>
    <xf numFmtId="1" fontId="3" fillId="0" borderId="7" xfId="0" applyNumberFormat="1" applyFont="1" applyBorder="1" applyAlignment="1">
      <alignment horizontal="center"/>
    </xf>
    <xf numFmtId="0" fontId="3" fillId="0" borderId="0" xfId="0" applyNumberFormat="1" applyFont="1" applyBorder="1" applyAlignment="1">
      <alignment horizontal="center" vertical="center" wrapText="1"/>
    </xf>
    <xf numFmtId="0" fontId="3" fillId="0" borderId="11" xfId="0" applyNumberFormat="1" applyFont="1" applyBorder="1" applyAlignment="1">
      <alignment horizontal="center" vertical="center" wrapText="1"/>
    </xf>
    <xf numFmtId="0" fontId="3" fillId="0" borderId="8" xfId="0" applyNumberFormat="1" applyFont="1" applyBorder="1" applyAlignment="1">
      <alignment horizontal="center" vertical="center" wrapText="1" shrinkToFit="1"/>
    </xf>
    <xf numFmtId="0" fontId="3" fillId="0" borderId="12" xfId="0" applyNumberFormat="1" applyFont="1" applyBorder="1" applyAlignment="1">
      <alignment horizontal="center" vertical="center" wrapText="1" shrinkToFit="1"/>
    </xf>
    <xf numFmtId="0" fontId="3" fillId="0" borderId="0" xfId="0" applyNumberFormat="1" applyFont="1" applyBorder="1" applyAlignment="1">
      <alignment horizontal="center" vertical="center" wrapText="1" shrinkToFit="1"/>
    </xf>
    <xf numFmtId="0" fontId="3" fillId="0" borderId="11" xfId="0" applyNumberFormat="1" applyFont="1" applyBorder="1" applyAlignment="1">
      <alignment horizontal="center" vertical="center" wrapText="1" shrinkToFit="1"/>
    </xf>
    <xf numFmtId="0" fontId="3" fillId="0" borderId="9" xfId="0" applyNumberFormat="1" applyFont="1" applyBorder="1" applyAlignment="1">
      <alignment horizontal="center" vertical="center" wrapText="1" shrinkToFit="1"/>
    </xf>
    <xf numFmtId="0" fontId="3" fillId="0" borderId="12" xfId="0" applyNumberFormat="1" applyFont="1" applyBorder="1" applyAlignment="1">
      <alignment horizontal="center" vertical="center" wrapText="1"/>
    </xf>
    <xf numFmtId="0" fontId="3" fillId="0" borderId="7" xfId="0" applyNumberFormat="1" applyFont="1" applyBorder="1" applyAlignment="1">
      <alignment horizontal="center" vertical="center" wrapText="1"/>
    </xf>
    <xf numFmtId="2" fontId="3" fillId="0" borderId="0" xfId="0" applyNumberFormat="1" applyFont="1" applyBorder="1" applyAlignment="1">
      <alignment horizontal="center"/>
    </xf>
    <xf numFmtId="0" fontId="3" fillId="0" borderId="12" xfId="0" applyNumberFormat="1" applyFont="1" applyBorder="1" applyAlignment="1">
      <alignment horizontal="center" vertical="center"/>
    </xf>
    <xf numFmtId="0" fontId="3" fillId="0" borderId="10" xfId="0" applyNumberFormat="1" applyFont="1" applyBorder="1" applyAlignment="1">
      <alignment horizontal="center" vertical="center" shrinkToFit="1"/>
    </xf>
    <xf numFmtId="179" fontId="3" fillId="0" borderId="0" xfId="0" applyNumberFormat="1" applyFont="1" applyBorder="1" applyAlignment="1">
      <alignment horizontal="center"/>
    </xf>
    <xf numFmtId="0" fontId="6" fillId="0" borderId="0" xfId="0" applyNumberFormat="1" applyFont="1" applyBorder="1" applyAlignment="1">
      <alignment horizontal="center" shrinkToFit="1"/>
    </xf>
    <xf numFmtId="0" fontId="3" fillId="0" borderId="1" xfId="0" applyNumberFormat="1" applyFont="1" applyBorder="1" applyAlignment="1">
      <alignment horizontal="center"/>
    </xf>
    <xf numFmtId="182" fontId="5" fillId="0" borderId="0" xfId="0" applyNumberFormat="1" applyFont="1" applyBorder="1" applyAlignment="1">
      <alignment horizontal="left"/>
    </xf>
    <xf numFmtId="0" fontId="3" fillId="0" borderId="10" xfId="0" applyNumberFormat="1" applyFont="1" applyBorder="1" applyAlignment="1">
      <alignment horizontal="center" vertical="center" wrapText="1" shrinkToFit="1"/>
    </xf>
    <xf numFmtId="0" fontId="3" fillId="0" borderId="5" xfId="0" applyNumberFormat="1" applyFont="1" applyBorder="1" applyAlignment="1">
      <alignment horizontal="center" vertical="center" wrapText="1" shrinkToFit="1"/>
    </xf>
    <xf numFmtId="0" fontId="3" fillId="0" borderId="5" xfId="0" applyNumberFormat="1" applyFont="1" applyBorder="1" applyAlignment="1">
      <alignment horizontal="center" vertical="center" shrinkToFit="1"/>
    </xf>
    <xf numFmtId="178" fontId="3" fillId="0" borderId="5" xfId="0" applyNumberFormat="1" applyFont="1" applyBorder="1" applyAlignment="1">
      <alignment horizontal="center" vertical="center"/>
    </xf>
    <xf numFmtId="182" fontId="3" fillId="0" borderId="0" xfId="0" applyNumberFormat="1" applyFont="1" applyBorder="1" applyAlignment="1">
      <alignment horizontal="right"/>
    </xf>
    <xf numFmtId="0" fontId="3" fillId="0" borderId="0" xfId="0" applyNumberFormat="1" applyFont="1" applyBorder="1" applyAlignment="1">
      <alignment horizontal="center" vertical="center" shrinkToFit="1"/>
    </xf>
    <xf numFmtId="0" fontId="3" fillId="0" borderId="11" xfId="0" applyNumberFormat="1" applyFont="1" applyBorder="1" applyAlignment="1">
      <alignment horizontal="center" vertical="center" shrinkToFit="1"/>
    </xf>
    <xf numFmtId="0" fontId="3" fillId="0" borderId="1" xfId="0" applyNumberFormat="1" applyFont="1" applyBorder="1" applyAlignment="1">
      <alignment horizontal="center" shrinkToFit="1"/>
    </xf>
    <xf numFmtId="181" fontId="3" fillId="0" borderId="1" xfId="0" applyNumberFormat="1" applyFont="1" applyBorder="1" applyAlignment="1">
      <alignment horizontal="center"/>
    </xf>
    <xf numFmtId="179" fontId="3" fillId="0" borderId="5" xfId="0" applyNumberFormat="1" applyFont="1" applyBorder="1" applyAlignment="1">
      <alignment horizontal="center"/>
    </xf>
    <xf numFmtId="179" fontId="3" fillId="0" borderId="6" xfId="0" applyNumberFormat="1" applyFont="1" applyBorder="1" applyAlignment="1">
      <alignment horizontal="center"/>
    </xf>
    <xf numFmtId="179" fontId="3" fillId="0" borderId="7" xfId="0" applyNumberFormat="1" applyFont="1" applyBorder="1" applyAlignment="1">
      <alignment horizontal="center"/>
    </xf>
    <xf numFmtId="0" fontId="24" fillId="0" borderId="0" xfId="0" applyNumberFormat="1" applyFont="1" applyBorder="1" applyAlignment="1">
      <alignment horizontal="center"/>
    </xf>
    <xf numFmtId="0" fontId="6" fillId="2" borderId="10" xfId="0" applyFont="1" applyFill="1" applyBorder="1" applyAlignment="1">
      <alignment horizontal="center" vertical="center" wrapText="1"/>
    </xf>
    <xf numFmtId="0" fontId="6" fillId="2" borderId="10" xfId="0" applyFont="1" applyFill="1" applyBorder="1" applyAlignment="1">
      <alignment horizontal="center"/>
    </xf>
    <xf numFmtId="0" fontId="6" fillId="2" borderId="10" xfId="0" applyFont="1" applyFill="1" applyBorder="1" applyAlignment="1">
      <alignment horizontal="center" vertical="center" shrinkToFit="1"/>
    </xf>
    <xf numFmtId="0" fontId="6" fillId="2" borderId="10" xfId="0" applyFont="1" applyFill="1" applyBorder="1" applyAlignment="1">
      <alignment horizontal="center" vertical="center" shrinkToFit="1"/>
    </xf>
    <xf numFmtId="0" fontId="6" fillId="2" borderId="10" xfId="0" applyFont="1" applyFill="1" applyBorder="1" applyAlignment="1">
      <alignment horizontal="center" vertical="center"/>
    </xf>
    <xf numFmtId="0" fontId="6" fillId="2" borderId="10" xfId="0" applyFont="1" applyFill="1" applyBorder="1" applyAlignment="1">
      <alignment horizontal="center"/>
    </xf>
    <xf numFmtId="0" fontId="6" fillId="2" borderId="10" xfId="0" applyFont="1" applyFill="1" applyBorder="1" applyAlignment="1">
      <alignment horizontal="center" vertical="center" wrapText="1"/>
    </xf>
    <xf numFmtId="0" fontId="24" fillId="0" borderId="10" xfId="0" applyNumberFormat="1" applyFont="1" applyBorder="1" applyAlignment="1">
      <alignment horizontal="center"/>
    </xf>
    <xf numFmtId="0" fontId="24" fillId="0" borderId="5" xfId="0" applyNumberFormat="1" applyFont="1" applyBorder="1" applyAlignment="1">
      <alignment horizontal="center"/>
    </xf>
    <xf numFmtId="0" fontId="24" fillId="0" borderId="5" xfId="0" applyNumberFormat="1" applyFont="1" applyBorder="1" applyAlignment="1"/>
    <xf numFmtId="0" fontId="24" fillId="0" borderId="7" xfId="0" applyNumberFormat="1" applyFont="1" applyBorder="1" applyAlignment="1"/>
    <xf numFmtId="0" fontId="24" fillId="0" borderId="10" xfId="0" applyNumberFormat="1" applyFont="1" applyBorder="1" applyAlignment="1">
      <alignment horizontal="right"/>
    </xf>
    <xf numFmtId="181" fontId="24" fillId="0" borderId="10" xfId="0" applyNumberFormat="1" applyFont="1" applyBorder="1" applyAlignment="1">
      <alignment horizontal="right"/>
    </xf>
    <xf numFmtId="0" fontId="24" fillId="0" borderId="10" xfId="0" applyFont="1" applyBorder="1" applyAlignment="1">
      <alignment horizontal="center"/>
    </xf>
    <xf numFmtId="176" fontId="24" fillId="0" borderId="10" xfId="0" applyNumberFormat="1" applyFont="1" applyBorder="1" applyAlignment="1">
      <alignment horizontal="right"/>
    </xf>
    <xf numFmtId="176" fontId="24" fillId="0" borderId="10" xfId="0" applyNumberFormat="1" applyFont="1" applyBorder="1" applyAlignment="1">
      <alignment horizontal="center"/>
    </xf>
    <xf numFmtId="180" fontId="24" fillId="0" borderId="10" xfId="0" applyNumberFormat="1" applyFont="1" applyBorder="1" applyAlignment="1">
      <alignment horizontal="right"/>
    </xf>
    <xf numFmtId="184" fontId="24" fillId="0" borderId="0" xfId="0" applyNumberFormat="1" applyFont="1" applyBorder="1" applyAlignment="1">
      <alignment horizontal="center"/>
    </xf>
    <xf numFmtId="176" fontId="24" fillId="0" borderId="0" xfId="0" applyNumberFormat="1" applyFont="1" applyBorder="1" applyAlignment="1">
      <alignment horizontal="center"/>
    </xf>
    <xf numFmtId="0" fontId="6" fillId="2" borderId="5" xfId="0" applyFont="1" applyFill="1" applyBorder="1" applyAlignment="1">
      <alignment horizontal="center" vertical="center" shrinkToFit="1"/>
    </xf>
    <xf numFmtId="0" fontId="6" fillId="2" borderId="7" xfId="0" applyFont="1" applyFill="1" applyBorder="1" applyAlignment="1">
      <alignment horizontal="center" vertical="center" shrinkToFit="1"/>
    </xf>
    <xf numFmtId="184" fontId="24" fillId="0" borderId="10" xfId="0" applyNumberFormat="1" applyFont="1" applyBorder="1" applyAlignment="1">
      <alignment horizontal="center"/>
    </xf>
    <xf numFmtId="176" fontId="24" fillId="0" borderId="10" xfId="0" applyNumberFormat="1" applyFont="1" applyBorder="1" applyAlignment="1">
      <alignment horizontal="center"/>
    </xf>
    <xf numFmtId="184" fontId="24" fillId="0" borderId="10" xfId="0" applyNumberFormat="1" applyFont="1" applyBorder="1" applyAlignment="1">
      <alignment horizontal="center"/>
    </xf>
    <xf numFmtId="0" fontId="3" fillId="0" borderId="12" xfId="0" applyNumberFormat="1" applyFont="1" applyBorder="1" applyAlignment="1">
      <alignment horizontal="center"/>
    </xf>
    <xf numFmtId="0" fontId="3" fillId="0" borderId="11" xfId="0" applyNumberFormat="1" applyFont="1" applyBorder="1" applyAlignment="1">
      <alignment horizontal="center"/>
    </xf>
    <xf numFmtId="0" fontId="3" fillId="0" borderId="12" xfId="0" applyNumberFormat="1" applyFont="1" applyBorder="1" applyAlignment="1">
      <alignment horizontal="left"/>
    </xf>
    <xf numFmtId="0" fontId="24" fillId="0" borderId="11" xfId="0" applyNumberFormat="1" applyFont="1" applyBorder="1" applyAlignment="1">
      <alignment horizontal="center"/>
    </xf>
    <xf numFmtId="0" fontId="3" fillId="0" borderId="3" xfId="0" applyNumberFormat="1" applyFont="1" applyBorder="1" applyAlignment="1">
      <alignment horizontal="center"/>
    </xf>
    <xf numFmtId="0" fontId="3" fillId="0" borderId="4" xfId="0" applyNumberFormat="1" applyFont="1" applyBorder="1" applyAlignment="1">
      <alignment horizontal="center"/>
    </xf>
    <xf numFmtId="0" fontId="3" fillId="0" borderId="9" xfId="0" applyNumberFormat="1" applyFont="1" applyBorder="1" applyAlignment="1">
      <alignment horizontal="center"/>
    </xf>
    <xf numFmtId="0" fontId="3" fillId="0" borderId="5" xfId="0" applyNumberFormat="1" applyFont="1" applyBorder="1" applyAlignment="1">
      <alignment horizontal="left"/>
    </xf>
    <xf numFmtId="0" fontId="24" fillId="0" borderId="0" xfId="0" applyFont="1" applyBorder="1" applyAlignment="1">
      <alignment horizontal="center"/>
    </xf>
    <xf numFmtId="176" fontId="24" fillId="0" borderId="0" xfId="0" applyNumberFormat="1" applyFont="1" applyBorder="1" applyAlignment="1">
      <alignment horizontal="right"/>
    </xf>
    <xf numFmtId="0" fontId="24" fillId="0" borderId="0" xfId="0" applyNumberFormat="1" applyFont="1" applyBorder="1" applyAlignment="1">
      <alignment horizontal="right"/>
    </xf>
    <xf numFmtId="180" fontId="24" fillId="0" borderId="0" xfId="0" applyNumberFormat="1" applyFont="1" applyBorder="1" applyAlignment="1">
      <alignment horizontal="right"/>
    </xf>
    <xf numFmtId="0" fontId="24" fillId="0" borderId="0" xfId="0" applyNumberFormat="1" applyFont="1" applyBorder="1" applyAlignment="1"/>
    <xf numFmtId="181" fontId="24" fillId="0" borderId="0" xfId="0" applyNumberFormat="1" applyFont="1" applyBorder="1" applyAlignment="1">
      <alignment horizontal="right"/>
    </xf>
  </cellXfs>
  <cellStyles count="4">
    <cellStyle name="ハイパーリンク" xfId="2" builtinId="8"/>
    <cellStyle name="標準" xfId="0" builtinId="0"/>
    <cellStyle name="標準 2" xfId="3"/>
    <cellStyle name="標準_600_断面性照査" xfId="1"/>
  </cellStyles>
  <dxfs count="8">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4</xdr:col>
      <xdr:colOff>510261</xdr:colOff>
      <xdr:row>43</xdr:row>
      <xdr:rowOff>113348</xdr:rowOff>
    </xdr:from>
    <xdr:to>
      <xdr:col>6</xdr:col>
      <xdr:colOff>64965</xdr:colOff>
      <xdr:row>52</xdr:row>
      <xdr:rowOff>66676</xdr:rowOff>
    </xdr:to>
    <xdr:pic>
      <xdr:nvPicPr>
        <xdr:cNvPr id="5" name="Picture 47"/>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8206" t="10243" r="7265" b="9268"/>
        <a:stretch>
          <a:fillRect/>
        </a:stretch>
      </xdr:blipFill>
      <xdr:spPr bwMode="auto">
        <a:xfrm>
          <a:off x="3605886" y="14953298"/>
          <a:ext cx="1440654" cy="1582103"/>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14142</xdr:colOff>
      <xdr:row>40</xdr:row>
      <xdr:rowOff>42609</xdr:rowOff>
    </xdr:from>
    <xdr:to>
      <xdr:col>7</xdr:col>
      <xdr:colOff>829786</xdr:colOff>
      <xdr:row>41</xdr:row>
      <xdr:rowOff>82170</xdr:rowOff>
    </xdr:to>
    <xdr:sp macro="" textlink="">
      <xdr:nvSpPr>
        <xdr:cNvPr id="6" name="Arc 24"/>
        <xdr:cNvSpPr>
          <a:spLocks/>
        </xdr:cNvSpPr>
      </xdr:nvSpPr>
      <xdr:spPr bwMode="auto">
        <a:xfrm>
          <a:off x="3109767" y="14339634"/>
          <a:ext cx="3644569"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23683</xdr:colOff>
      <xdr:row>42</xdr:row>
      <xdr:rowOff>102553</xdr:rowOff>
    </xdr:from>
    <xdr:to>
      <xdr:col>7</xdr:col>
      <xdr:colOff>791623</xdr:colOff>
      <xdr:row>43</xdr:row>
      <xdr:rowOff>142114</xdr:rowOff>
    </xdr:to>
    <xdr:sp macro="" textlink="">
      <xdr:nvSpPr>
        <xdr:cNvPr id="7" name="Arc 26"/>
        <xdr:cNvSpPr>
          <a:spLocks/>
        </xdr:cNvSpPr>
      </xdr:nvSpPr>
      <xdr:spPr bwMode="auto">
        <a:xfrm flipH="1">
          <a:off x="3119308" y="14761528"/>
          <a:ext cx="3596865" cy="22053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clientData/>
  </xdr:twoCellAnchor>
  <xdr:twoCellAnchor>
    <xdr:from>
      <xdr:col>4</xdr:col>
      <xdr:colOff>195416</xdr:colOff>
      <xdr:row>38</xdr:row>
      <xdr:rowOff>30607</xdr:rowOff>
    </xdr:from>
    <xdr:to>
      <xdr:col>5</xdr:col>
      <xdr:colOff>130191</xdr:colOff>
      <xdr:row>39</xdr:row>
      <xdr:rowOff>175641</xdr:rowOff>
    </xdr:to>
    <xdr:sp macro="" textlink="">
      <xdr:nvSpPr>
        <xdr:cNvPr id="8" name="Text Box 30"/>
        <xdr:cNvSpPr txBox="1">
          <a:spLocks noChangeArrowheads="1"/>
        </xdr:cNvSpPr>
      </xdr:nvSpPr>
      <xdr:spPr bwMode="auto">
        <a:xfrm>
          <a:off x="3291041" y="13965682"/>
          <a:ext cx="87775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杭データ</a:t>
          </a:r>
        </a:p>
      </xdr:txBody>
    </xdr:sp>
    <xdr:clientData/>
  </xdr:twoCellAnchor>
  <xdr:twoCellAnchor>
    <xdr:from>
      <xdr:col>2</xdr:col>
      <xdr:colOff>106429</xdr:colOff>
      <xdr:row>36</xdr:row>
      <xdr:rowOff>85725</xdr:rowOff>
    </xdr:from>
    <xdr:to>
      <xdr:col>2</xdr:col>
      <xdr:colOff>593008</xdr:colOff>
      <xdr:row>37</xdr:row>
      <xdr:rowOff>77343</xdr:rowOff>
    </xdr:to>
    <xdr:sp macro="" textlink="">
      <xdr:nvSpPr>
        <xdr:cNvPr id="9" name="Text Box 32"/>
        <xdr:cNvSpPr txBox="1">
          <a:spLocks noChangeArrowheads="1"/>
        </xdr:cNvSpPr>
      </xdr:nvSpPr>
      <xdr:spPr bwMode="auto">
        <a:xfrm>
          <a:off x="1316104" y="13658850"/>
          <a:ext cx="486579" cy="17259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clientData/>
  </xdr:twoCellAnchor>
  <xdr:twoCellAnchor>
    <xdr:from>
      <xdr:col>7</xdr:col>
      <xdr:colOff>629430</xdr:colOff>
      <xdr:row>38</xdr:row>
      <xdr:rowOff>49784</xdr:rowOff>
    </xdr:from>
    <xdr:to>
      <xdr:col>10</xdr:col>
      <xdr:colOff>147531</xdr:colOff>
      <xdr:row>48</xdr:row>
      <xdr:rowOff>157734</xdr:rowOff>
    </xdr:to>
    <xdr:pic>
      <xdr:nvPicPr>
        <xdr:cNvPr id="10" name="Picture 34" descr="「サーバー」の画像検索結果"/>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53980" y="13984859"/>
          <a:ext cx="2347026" cy="191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196976</xdr:colOff>
      <xdr:row>38</xdr:row>
      <xdr:rowOff>88138</xdr:rowOff>
    </xdr:from>
    <xdr:to>
      <xdr:col>6</xdr:col>
      <xdr:colOff>484759</xdr:colOff>
      <xdr:row>45</xdr:row>
      <xdr:rowOff>58230</xdr:rowOff>
    </xdr:to>
    <xdr:pic>
      <xdr:nvPicPr>
        <xdr:cNvPr id="11" name="Picture 35" descr="「インターネット」の画像検索結果"/>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235576" y="14023213"/>
          <a:ext cx="1230758" cy="123691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47625</xdr:colOff>
      <xdr:row>38</xdr:row>
      <xdr:rowOff>97727</xdr:rowOff>
    </xdr:from>
    <xdr:to>
      <xdr:col>3</xdr:col>
      <xdr:colOff>871250</xdr:colOff>
      <xdr:row>48</xdr:row>
      <xdr:rowOff>167323</xdr:rowOff>
    </xdr:to>
    <xdr:pic>
      <xdr:nvPicPr>
        <xdr:cNvPr id="12" name="Picture 43" descr="「excel」の画像検索結果"/>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4325" y="14032802"/>
          <a:ext cx="2709575" cy="1879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47444</xdr:colOff>
      <xdr:row>36</xdr:row>
      <xdr:rowOff>85725</xdr:rowOff>
    </xdr:from>
    <xdr:to>
      <xdr:col>10</xdr:col>
      <xdr:colOff>433754</xdr:colOff>
      <xdr:row>38</xdr:row>
      <xdr:rowOff>49784</xdr:rowOff>
    </xdr:to>
    <xdr:sp macro="" textlink="">
      <xdr:nvSpPr>
        <xdr:cNvPr id="13" name="Text Box 45"/>
        <xdr:cNvSpPr txBox="1">
          <a:spLocks noChangeArrowheads="1"/>
        </xdr:cNvSpPr>
      </xdr:nvSpPr>
      <xdr:spPr bwMode="auto">
        <a:xfrm>
          <a:off x="5971994" y="13658850"/>
          <a:ext cx="3215235"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no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en-US" altLang="ja-JP" sz="1000" b="0" i="0" u="none" strike="noStrike" baseline="0">
              <a:solidFill>
                <a:srgbClr val="000000"/>
              </a:solidFill>
              <a:latin typeface="ＭＳ Ｐゴシック"/>
              <a:ea typeface="ＭＳ Ｐゴシック"/>
            </a:rPr>
            <a:t>http://www.structuralengine.com/SoilStructure/api/values/</a:t>
          </a:r>
          <a:endParaRPr lang="ja-JP" altLang="en-US" sz="1000" b="0" i="0" u="none" strike="noStrike" baseline="0">
            <a:solidFill>
              <a:srgbClr val="000000"/>
            </a:solidFill>
            <a:latin typeface="ＭＳ Ｐゴシック"/>
            <a:ea typeface="ＭＳ Ｐゴシック"/>
          </a:endParaRPr>
        </a:p>
      </xdr:txBody>
    </xdr:sp>
    <xdr:clientData/>
  </xdr:twoCellAnchor>
  <xdr:twoCellAnchor>
    <xdr:from>
      <xdr:col>6</xdr:col>
      <xdr:colOff>446596</xdr:colOff>
      <xdr:row>43</xdr:row>
      <xdr:rowOff>94171</xdr:rowOff>
    </xdr:from>
    <xdr:to>
      <xdr:col>7</xdr:col>
      <xdr:colOff>763001</xdr:colOff>
      <xdr:row>45</xdr:row>
      <xdr:rowOff>58230</xdr:rowOff>
    </xdr:to>
    <xdr:sp macro="" textlink="">
      <xdr:nvSpPr>
        <xdr:cNvPr id="14" name="Text Box 48"/>
        <xdr:cNvSpPr txBox="1">
          <a:spLocks noChangeArrowheads="1"/>
        </xdr:cNvSpPr>
      </xdr:nvSpPr>
      <xdr:spPr bwMode="auto">
        <a:xfrm>
          <a:off x="5428171" y="14934121"/>
          <a:ext cx="1259380" cy="32600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data地盤抵抗係数</a:t>
          </a:r>
        </a:p>
      </xdr:txBody>
    </xdr:sp>
    <xdr:clientData/>
  </xdr:twoCellAnchor>
  <xdr:twoCellAnchor>
    <xdr:from>
      <xdr:col>1</xdr:col>
      <xdr:colOff>695325</xdr:colOff>
      <xdr:row>56</xdr:row>
      <xdr:rowOff>13606</xdr:rowOff>
    </xdr:from>
    <xdr:to>
      <xdr:col>6</xdr:col>
      <xdr:colOff>217714</xdr:colOff>
      <xdr:row>89</xdr:row>
      <xdr:rowOff>123263</xdr:rowOff>
    </xdr:to>
    <xdr:sp macro="" textlink="">
      <xdr:nvSpPr>
        <xdr:cNvPr id="15" name="text  box 57"/>
        <xdr:cNvSpPr txBox="1">
          <a:spLocks noChangeArrowheads="1"/>
        </xdr:cNvSpPr>
      </xdr:nvSpPr>
      <xdr:spPr bwMode="auto">
        <a:xfrm>
          <a:off x="962025" y="21911581"/>
          <a:ext cx="4237264" cy="6081832"/>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horzOverflow="clip" wrap="square">
          <a:noAutofit/>
        </a:bodyPr>
        <a:lstStyle/>
        <a:p>
          <a:r>
            <a:rPr lang="en-US" altLang="ja-JP"/>
            <a:t>{"Md":200.35,"Nd":1800,"Sections":[{"Height":800,"WTop":800,"WBottom":800,"ElasticID":"C"}],"SectionElastic":[{"fck":24,"rc":1.3,"Ec":25,"dmax":25,"rm":1,"ElasticID":"C","</a:t>
          </a:r>
          <a:r>
            <a:rPr lang="el-GR" altLang="ja-JP"/>
            <a:t>σ</a:t>
          </a:r>
          <a:r>
            <a:rPr lang="en-US" altLang="ja-JP"/>
            <a:t>cMode":0}],"Steels":[{"Depth":75,"i":"D32","n":8,"IsTensionBar":false,"ElasticID":"S"},{"Depth":167.857142857143,"i":"D32","n":2,"IsTensionBar":false,"ElasticID":"S"},{"Depth":260.714285714286,"i":"D32","n":2,"IsTensionBar":false,"ElasticID":"S"},{"Depth":353.571428571429,"i":"D32","n":2,"IsTensionBar":false,"ElasticID":"S"},{"Depth":446.428571428571,"i":"D32","n":2,"IsTensionBar":false,"ElasticID":"S"},{"Depth":539.285714285714,"i":"D32","n":2,"IsTensionBar":false,"ElasticID":"S"},{"Depth":632.142857142857,"i":"D32","n":2,"IsTensionBar":false,"ElasticID":"S"},{"Depth":725,"i":"D32","n":8,"IsTensionBar":true,"ElasticID":"S"}],"SteelElastic":[{"fsk":345,"rs":1,"Es":200,"rm":1,"c":92.9,"pw":0.1188,"kw":1,"ElasticID":"S"}]}</a:t>
          </a:r>
          <a:endParaRPr lang="ja-JP" altLang="en-US"/>
        </a:p>
      </xdr:txBody>
    </xdr:sp>
    <xdr:clientData/>
  </xdr:twoCellAnchor>
  <xdr:twoCellAnchor>
    <xdr:from>
      <xdr:col>1</xdr:col>
      <xdr:colOff>671946</xdr:colOff>
      <xdr:row>54</xdr:row>
      <xdr:rowOff>107373</xdr:rowOff>
    </xdr:from>
    <xdr:to>
      <xdr:col>3</xdr:col>
      <xdr:colOff>462396</xdr:colOff>
      <xdr:row>55</xdr:row>
      <xdr:rowOff>135948</xdr:rowOff>
    </xdr:to>
    <xdr:sp macro="" textlink="">
      <xdr:nvSpPr>
        <xdr:cNvPr id="16" name="Text Box 58"/>
        <xdr:cNvSpPr txBox="1">
          <a:spLocks noChangeArrowheads="1"/>
        </xdr:cNvSpPr>
      </xdr:nvSpPr>
      <xdr:spPr bwMode="auto">
        <a:xfrm>
          <a:off x="938646" y="21643398"/>
          <a:ext cx="1676400"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44904</xdr:colOff>
      <xdr:row>55</xdr:row>
      <xdr:rowOff>149679</xdr:rowOff>
    </xdr:from>
    <xdr:to>
      <xdr:col>11</xdr:col>
      <xdr:colOff>925286</xdr:colOff>
      <xdr:row>89</xdr:row>
      <xdr:rowOff>95250</xdr:rowOff>
    </xdr:to>
    <xdr:sp macro="" textlink="">
      <xdr:nvSpPr>
        <xdr:cNvPr id="17" name="text box 67"/>
        <xdr:cNvSpPr txBox="1">
          <a:spLocks noChangeArrowheads="1"/>
        </xdr:cNvSpPr>
      </xdr:nvSpPr>
      <xdr:spPr bwMode="auto">
        <a:xfrm>
          <a:off x="5969454" y="21866679"/>
          <a:ext cx="4652282" cy="6098721"/>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FF" mc:Ignorable="a14" a14:legacySpreadsheetColorIndex="12"/>
          </a:solidFill>
          <a:miter lim="800000"/>
          <a:headEnd/>
          <a:tailEnd/>
        </a:ln>
      </xdr:spPr>
      <xdr:txBody>
        <a:bodyPr/>
        <a:lstStyle/>
        <a:p>
          <a:r>
            <a:rPr lang="en-US" altLang="ja-JP"/>
            <a:t>{"Reactions":[],"ResultSigma":{"Md":200.35,"Nd":1800,"fi":1.7129529277503353E-07,"sc":[{"Depth":4.5454545454545459,"s":3.8942462749405329},{"Depth":13.636363636363637,"s":3.8553155265825705},{"Depth":22.72727272727273,"s":3.8163847782246085},{"Depth":31.81818181818182,"s":3.7774540298666461},{"Depth":40.909090909090914,"s":3.7385232815086846},{"Depth":50.000000000000007,"s":3.6995925331507218},{"Depth":59.090909090909093,"s":3.6606617847927594},{"Depth":68.181818181818187,"s":3.6217310364347974},{"Depth":77.27272727272728,"s":3.5828002880768355},{"Depth":86.363636363636374,"s":3.5438695397188735},{"Depth":95.454545454545467,"s":3.5049387913609107},{"Depth":104.54545454545456,"s":3.4660080430029487},{"Depth":113.63636363636364,"s":3.4270772946449868},{"Depth":122.72727272727273,"s":3.3881465462870244},{"Depth":131.81818181818181,"s":3.3492157979290633},{"Depth":140.90909090909091,"s":3.3102850495711005},{"Depth":150,"s":3.2713543012131385},{"Depth":159.09090909090909,"s":3.2324235528551757},{"Depth":168.18181818181819,"s":3.1934928044972137},{"Depth":177.27272727272728,"s":3.1545620561392518},{"Depth":186.36363636363637,"s":3.1156313077812894},{"Depth":195.45454545454547,"s":3.0767005594233274},{"Depth":204.54545454545456,"s":3.0377698110653655},{"Depth":213.63636363636365,"s":2.9988390627074031},{"Depth":222.72727272727272,"s":2.9599083143494407},{"Depth":231.81818181818181,"s":2.9209775659914787},{"Depth":240.90909090909091,"s":2.8820468176335163},{"Depth":250,"s":2.8431160692755544},{"Depth":259.09090909090912,"s":2.804185320917592},{"Depth":268.18181818181824,"s":2.7652545725596296},{"Depth":277.27272727272731,"s":2.7263238242016676},{"Depth":286.36363636363643,"s":2.6873930758437052},{"Depth":295.4545454545455,"s":2.6484623274857433},{"Depth":304.54545454545456,"s":2.6095315791277813},{"Depth":313.63636363636368,"s":2.5706008307698185},{"Depth":322.72727272727275,"s":2.531670082411857},{"Depth":331.81818181818187,"s":2.4927393340538946},{"Depth":340.90909090909093,"s":2.4538085856959322},{"Depth":350.00000000000006,"s":2.4148778373379702},{"Depth":359.09090909090912,"s":2.3759470889800078},{"Depth":368.18181818181824,"s":2.3370163406220459},{"Depth":377.27272727272731,"s":2.2980855922640844},{"Depth":386.36363636363643,"s":2.2591548439061215},{"Depth":395.4545454545455,"s":2.2202240955481596},{"Depth":404.54545454545462,"s":2.1812933471901972},{"Depth":413.63636363636368,"s":2.1423625988322352},{"Depth":422.7272727272728,"s":2.1034318504742728},{"Depth":431.81818181818187,"s":2.0645011021163109},{"Depth":440.90909090909093,"s":2.0255703537583489},{"Depth":450.00000000000006,"s":1.9866396054003861},{"Depth":459.09090909090912,"s":1.9477088570424244},{"Depth":468.18181818181824,"s":1.908778108684462},{"Depth":477.27272727272731,"s":1.8698473603265},{"Depth":486.36363636363643,"s":1.8309166119685376},{"Depth":495.4545454545455,"s":1.7919858636105757},{"Depth":504.54545454545462,"s":1.7530551152526135},{"Depth":513.63636363636363,"s":1.7141243668946513},{"Depth":522.72727272727275,"s":1.6751936185366894},{"Depth":531.81818181818187,"s":1.636262870178727},{"Depth":540.90909090909088,"s":1.597332121820765},{"Depth":550,"s":1.5584013734628026},{"Depth":559.09090909090912,"s":1.5194706251048404},{"Depth":568.18181818181824,"s":1.480539876746878},{"Depth":577.27272727272725,"s":1.4416091283889163},{"Depth":586.36363636363637,"s":1.4026783800309541},{"Depth":595.4545454545455,"s":1.3637476316729917},{"Depth":604.5454545454545,"s":1.32481688331503},{"Depth":613.63636363636363,"s":1.2858861349570676},{"Depth":622.72727272727275,"s":1.2469553865991052},{"Depth":631.81818181818187,"s":1.208024638241143},{"Depth":640.90909090909088,"s":1.1690938898831813},{"Depth":650,"s":1.1301631415252191},{"Depth":659.09090909090912,"s":1.0912323931672567},{"Depth":668.18181818181824,"s":1.0523016448092943},{"Depth":677.27272727272725,"s":1.0133708964513324},{"Depth":686.36363636363637,"s":0.97444014809337021},{"Depth":695.4545454545455,"s":0.93550939973540792},{"Depth":704.54545454545462,"s":0.89657865137744552},{"Depth":713.63636363636363,"s":0.8576479030194839},{"Depth":722.72727272727275,"s":0.81871715466152151},{"Depth":731.81818181818187,"s":0.77978640630355922},{"Depth":740.90909090909088,"s":0.74085565794559738},{"Depth":750,"s":0.70192490958763509},{"Depth":759.09090909090912,"s":0.66299416122967281},{"Depth":768.18181818181824,"s":0.62406341287171041},{"Depth":777.27272727272725,"s":0.58513266451374879},{"Depth":786.36363636363637,"s":0.54620191615578639},{"Depth":795.4545454545455,"s":0.50727116779782411}],"st":[{"Depth":75,"s":28.740263801330606},{"Depth":167.857142857143,"s":25.559065506937124},{"Depth":260.714285714286,"s":22.377867212543638},{"Depth":353.571428571429,"s":19.196668918150152},{"Depth":446.428571428571,"s":16.015470623756702},{"Depth":539.285714285714,"s":12.83427232936322},{"Depth":632.142857142857,"s":9.6530740349697339},{"Depth":725,"s":6.4718757405762481}],"x":913.909912109375}}</a:t>
          </a:r>
          <a:endParaRPr lang="ja-JP" altLang="en-US"/>
        </a:p>
      </xdr:txBody>
    </xdr:sp>
    <xdr:clientData/>
  </xdr:twoCellAnchor>
  <xdr:twoCellAnchor>
    <xdr:from>
      <xdr:col>7</xdr:col>
      <xdr:colOff>77561</xdr:colOff>
      <xdr:row>54</xdr:row>
      <xdr:rowOff>50347</xdr:rowOff>
    </xdr:from>
    <xdr:to>
      <xdr:col>9</xdr:col>
      <xdr:colOff>835479</xdr:colOff>
      <xdr:row>55</xdr:row>
      <xdr:rowOff>78922</xdr:rowOff>
    </xdr:to>
    <xdr:sp macro="" textlink="">
      <xdr:nvSpPr>
        <xdr:cNvPr id="18" name="Text Box 62"/>
        <xdr:cNvSpPr txBox="1">
          <a:spLocks noChangeArrowheads="1"/>
        </xdr:cNvSpPr>
      </xdr:nvSpPr>
      <xdr:spPr bwMode="auto">
        <a:xfrm>
          <a:off x="6002111" y="21586372"/>
          <a:ext cx="2643868" cy="2095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21</xdr:row>
      <xdr:rowOff>88901</xdr:rowOff>
    </xdr:from>
    <xdr:to>
      <xdr:col>5</xdr:col>
      <xdr:colOff>123480</xdr:colOff>
      <xdr:row>31</xdr:row>
      <xdr:rowOff>78317</xdr:rowOff>
    </xdr:to>
    <xdr:grpSp>
      <xdr:nvGrpSpPr>
        <xdr:cNvPr id="46" name="グループ化 45"/>
        <xdr:cNvGrpSpPr/>
      </xdr:nvGrpSpPr>
      <xdr:grpSpPr>
        <a:xfrm>
          <a:off x="180975" y="4375151"/>
          <a:ext cx="2663934" cy="2030487"/>
          <a:chOff x="201084" y="4462518"/>
          <a:chExt cx="2672165" cy="1960106"/>
        </a:xfrm>
      </xdr:grpSpPr>
      <xdr:sp macro="" textlink="">
        <xdr:nvSpPr>
          <xdr:cNvPr id="2" name="Line 2101"/>
          <xdr:cNvSpPr>
            <a:spLocks noChangeShapeType="1"/>
          </xdr:cNvSpPr>
        </xdr:nvSpPr>
        <xdr:spPr bwMode="auto">
          <a:xfrm>
            <a:off x="609597" y="4610830"/>
            <a:ext cx="0" cy="74557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 name="Line 2102"/>
          <xdr:cNvSpPr>
            <a:spLocks noChangeShapeType="1"/>
          </xdr:cNvSpPr>
        </xdr:nvSpPr>
        <xdr:spPr bwMode="auto">
          <a:xfrm>
            <a:off x="609597" y="5356407"/>
            <a:ext cx="105898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 name="Line 2103"/>
          <xdr:cNvSpPr>
            <a:spLocks noChangeShapeType="1"/>
          </xdr:cNvSpPr>
        </xdr:nvSpPr>
        <xdr:spPr bwMode="auto">
          <a:xfrm>
            <a:off x="1668585" y="5356407"/>
            <a:ext cx="0" cy="597264"/>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 name="Line 2104"/>
          <xdr:cNvSpPr>
            <a:spLocks noChangeShapeType="1"/>
          </xdr:cNvSpPr>
        </xdr:nvSpPr>
        <xdr:spPr bwMode="auto">
          <a:xfrm flipH="1">
            <a:off x="304943" y="5953671"/>
            <a:ext cx="136364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 name="Freeform 2105"/>
          <xdr:cNvSpPr>
            <a:spLocks/>
          </xdr:cNvSpPr>
        </xdr:nvSpPr>
        <xdr:spPr bwMode="auto">
          <a:xfrm>
            <a:off x="201084" y="4548514"/>
            <a:ext cx="498524" cy="124631"/>
          </a:xfrm>
          <a:custGeom>
            <a:avLst/>
            <a:gdLst>
              <a:gd name="T0" fmla="*/ 2147483646 w 81"/>
              <a:gd name="T1" fmla="*/ 2147483646 h 16"/>
              <a:gd name="T2" fmla="*/ 2147483646 w 81"/>
              <a:gd name="T3" fmla="*/ 2147483646 h 16"/>
              <a:gd name="T4" fmla="*/ 2147483646 w 81"/>
              <a:gd name="T5" fmla="*/ 2147483646 h 16"/>
              <a:gd name="T6" fmla="*/ 2147483646 w 81"/>
              <a:gd name="T7" fmla="*/ 0 h 16"/>
              <a:gd name="T8" fmla="*/ 2147483646 w 81"/>
              <a:gd name="T9" fmla="*/ 2147483646 h 16"/>
              <a:gd name="T10" fmla="*/ 0 w 81"/>
              <a:gd name="T11" fmla="*/ 2147483646 h 16"/>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81" h="16">
                <a:moveTo>
                  <a:pt x="81" y="7"/>
                </a:moveTo>
                <a:lnTo>
                  <a:pt x="48" y="7"/>
                </a:lnTo>
                <a:lnTo>
                  <a:pt x="48" y="16"/>
                </a:lnTo>
                <a:lnTo>
                  <a:pt x="29" y="0"/>
                </a:lnTo>
                <a:lnTo>
                  <a:pt x="29" y="8"/>
                </a:lnTo>
                <a:lnTo>
                  <a:pt x="0" y="8"/>
                </a:lnTo>
              </a:path>
            </a:pathLst>
          </a:custGeom>
          <a:noFill/>
          <a:ln w="3175"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val="FFFFFF"/>
                </a:solidFill>
              </a14:hiddenFill>
            </a:ext>
          </a:extLst>
        </xdr:spPr>
      </xdr:sp>
      <xdr:sp macro="" textlink="">
        <xdr:nvSpPr>
          <xdr:cNvPr id="7" name="Line 2106"/>
          <xdr:cNvSpPr>
            <a:spLocks noChangeShapeType="1"/>
          </xdr:cNvSpPr>
        </xdr:nvSpPr>
        <xdr:spPr bwMode="auto">
          <a:xfrm flipV="1">
            <a:off x="304943" y="4462518"/>
            <a:ext cx="0" cy="1643479"/>
          </a:xfrm>
          <a:prstGeom prst="line">
            <a:avLst/>
          </a:prstGeom>
          <a:noFill/>
          <a:ln w="317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 name="Line 2107"/>
          <xdr:cNvSpPr>
            <a:spLocks noChangeShapeType="1"/>
          </xdr:cNvSpPr>
        </xdr:nvSpPr>
        <xdr:spPr bwMode="auto">
          <a:xfrm>
            <a:off x="609597" y="4732378"/>
            <a:ext cx="153845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1" name="Line 2112"/>
          <xdr:cNvSpPr>
            <a:spLocks noChangeShapeType="1"/>
          </xdr:cNvSpPr>
        </xdr:nvSpPr>
        <xdr:spPr bwMode="auto">
          <a:xfrm>
            <a:off x="1723978" y="5953671"/>
            <a:ext cx="11400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2" name="Line 2113"/>
          <xdr:cNvSpPr>
            <a:spLocks noChangeShapeType="1"/>
          </xdr:cNvSpPr>
        </xdr:nvSpPr>
        <xdr:spPr bwMode="auto">
          <a:xfrm flipV="1">
            <a:off x="2148052" y="4732378"/>
            <a:ext cx="0" cy="1221291"/>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grpSp>
        <xdr:nvGrpSpPr>
          <xdr:cNvPr id="14" name="Group 2116"/>
          <xdr:cNvGrpSpPr>
            <a:grpSpLocks/>
          </xdr:cNvGrpSpPr>
        </xdr:nvGrpSpPr>
        <xdr:grpSpPr bwMode="auto">
          <a:xfrm>
            <a:off x="910600" y="4729655"/>
            <a:ext cx="422361" cy="62315"/>
            <a:chOff x="465" y="133"/>
            <a:chExt cx="59" cy="9"/>
          </a:xfrm>
        </xdr:grpSpPr>
        <xdr:sp macro="" textlink="">
          <xdr:nvSpPr>
            <xdr:cNvPr id="15" name="Line 2117"/>
            <xdr:cNvSpPr>
              <a:spLocks noChangeShapeType="1"/>
            </xdr:cNvSpPr>
          </xdr:nvSpPr>
          <xdr:spPr bwMode="auto">
            <a:xfrm flipH="1">
              <a:off x="470"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6" name="Line 2118"/>
            <xdr:cNvSpPr>
              <a:spLocks noChangeShapeType="1"/>
            </xdr:cNvSpPr>
          </xdr:nvSpPr>
          <xdr:spPr bwMode="auto">
            <a:xfrm flipH="1">
              <a:off x="476"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7" name="Line 2119"/>
            <xdr:cNvSpPr>
              <a:spLocks noChangeShapeType="1"/>
            </xdr:cNvSpPr>
          </xdr:nvSpPr>
          <xdr:spPr bwMode="auto">
            <a:xfrm flipH="1">
              <a:off x="465"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8" name="Line 2120"/>
            <xdr:cNvSpPr>
              <a:spLocks noChangeShapeType="1"/>
            </xdr:cNvSpPr>
          </xdr:nvSpPr>
          <xdr:spPr bwMode="auto">
            <a:xfrm>
              <a:off x="48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9" name="Line 2121"/>
            <xdr:cNvSpPr>
              <a:spLocks noChangeShapeType="1"/>
            </xdr:cNvSpPr>
          </xdr:nvSpPr>
          <xdr:spPr bwMode="auto">
            <a:xfrm>
              <a:off x="481"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0" name="Line 2122"/>
            <xdr:cNvSpPr>
              <a:spLocks noChangeShapeType="1"/>
            </xdr:cNvSpPr>
          </xdr:nvSpPr>
          <xdr:spPr bwMode="auto">
            <a:xfrm>
              <a:off x="479"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1" name="Line 2123"/>
            <xdr:cNvSpPr>
              <a:spLocks noChangeShapeType="1"/>
            </xdr:cNvSpPr>
          </xdr:nvSpPr>
          <xdr:spPr bwMode="auto">
            <a:xfrm flipH="1">
              <a:off x="49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2124"/>
            <xdr:cNvSpPr>
              <a:spLocks noChangeShapeType="1"/>
            </xdr:cNvSpPr>
          </xdr:nvSpPr>
          <xdr:spPr bwMode="auto">
            <a:xfrm flipH="1">
              <a:off x="49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2125"/>
            <xdr:cNvSpPr>
              <a:spLocks noChangeShapeType="1"/>
            </xdr:cNvSpPr>
          </xdr:nvSpPr>
          <xdr:spPr bwMode="auto">
            <a:xfrm flipH="1">
              <a:off x="48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2126"/>
            <xdr:cNvSpPr>
              <a:spLocks noChangeShapeType="1"/>
            </xdr:cNvSpPr>
          </xdr:nvSpPr>
          <xdr:spPr bwMode="auto">
            <a:xfrm>
              <a:off x="504" y="133"/>
              <a:ext cx="5" cy="7"/>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5" name="Line 2127"/>
            <xdr:cNvSpPr>
              <a:spLocks noChangeShapeType="1"/>
            </xdr:cNvSpPr>
          </xdr:nvSpPr>
          <xdr:spPr bwMode="auto">
            <a:xfrm>
              <a:off x="502" y="136"/>
              <a:ext cx="4" cy="6"/>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2128"/>
            <xdr:cNvSpPr>
              <a:spLocks noChangeShapeType="1"/>
            </xdr:cNvSpPr>
          </xdr:nvSpPr>
          <xdr:spPr bwMode="auto">
            <a:xfrm>
              <a:off x="500" y="139"/>
              <a:ext cx="2" cy="3"/>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2129"/>
            <xdr:cNvSpPr>
              <a:spLocks noChangeShapeType="1"/>
            </xdr:cNvSpPr>
          </xdr:nvSpPr>
          <xdr:spPr bwMode="auto">
            <a:xfrm flipH="1">
              <a:off x="512"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2130"/>
            <xdr:cNvSpPr>
              <a:spLocks noChangeShapeType="1"/>
            </xdr:cNvSpPr>
          </xdr:nvSpPr>
          <xdr:spPr bwMode="auto">
            <a:xfrm flipH="1">
              <a:off x="51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2131"/>
            <xdr:cNvSpPr>
              <a:spLocks noChangeShapeType="1"/>
            </xdr:cNvSpPr>
          </xdr:nvSpPr>
          <xdr:spPr bwMode="auto">
            <a:xfrm flipH="1">
              <a:off x="507" y="133"/>
              <a:ext cx="7" cy="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31" name="Line 2134"/>
          <xdr:cNvSpPr>
            <a:spLocks noChangeShapeType="1"/>
          </xdr:cNvSpPr>
        </xdr:nvSpPr>
        <xdr:spPr bwMode="auto">
          <a:xfrm>
            <a:off x="2333905" y="5143470"/>
            <a:ext cx="530165"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2135"/>
          <xdr:cNvSpPr>
            <a:spLocks noChangeShapeType="1"/>
          </xdr:cNvSpPr>
        </xdr:nvSpPr>
        <xdr:spPr bwMode="auto">
          <a:xfrm>
            <a:off x="2388397" y="5191938"/>
            <a:ext cx="15232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2136"/>
          <xdr:cNvSpPr>
            <a:spLocks noChangeShapeType="1"/>
          </xdr:cNvSpPr>
        </xdr:nvSpPr>
        <xdr:spPr bwMode="auto">
          <a:xfrm>
            <a:off x="2429941" y="5240406"/>
            <a:ext cx="553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nvGrpSpPr>
          <xdr:cNvPr id="34" name="Group 2137"/>
          <xdr:cNvGrpSpPr>
            <a:grpSpLocks/>
          </xdr:cNvGrpSpPr>
        </xdr:nvGrpSpPr>
        <xdr:grpSpPr bwMode="auto">
          <a:xfrm>
            <a:off x="902105" y="5953671"/>
            <a:ext cx="456244" cy="468953"/>
            <a:chOff x="437" y="1092"/>
            <a:chExt cx="57" cy="47"/>
          </a:xfrm>
        </xdr:grpSpPr>
        <xdr:sp macro="" textlink="">
          <xdr:nvSpPr>
            <xdr:cNvPr id="35" name="Line 2138"/>
            <xdr:cNvSpPr>
              <a:spLocks noChangeShapeType="1"/>
            </xdr:cNvSpPr>
          </xdr:nvSpPr>
          <xdr:spPr bwMode="auto">
            <a:xfrm>
              <a:off x="494"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6" name="Line 2139"/>
            <xdr:cNvSpPr>
              <a:spLocks noChangeShapeType="1"/>
            </xdr:cNvSpPr>
          </xdr:nvSpPr>
          <xdr:spPr bwMode="auto">
            <a:xfrm>
              <a:off x="437" y="1092"/>
              <a:ext cx="0" cy="4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nvGrpSpPr>
            <xdr:cNvPr id="37" name="Group 2140"/>
            <xdr:cNvGrpSpPr>
              <a:grpSpLocks/>
            </xdr:cNvGrpSpPr>
          </xdr:nvGrpSpPr>
          <xdr:grpSpPr bwMode="auto">
            <a:xfrm flipV="1">
              <a:off x="437" y="1130"/>
              <a:ext cx="57" cy="9"/>
              <a:chOff x="437" y="1113"/>
              <a:chExt cx="76" cy="21"/>
            </a:xfrm>
          </xdr:grpSpPr>
          <xdr:sp macro="" textlink="">
            <xdr:nvSpPr>
              <xdr:cNvPr id="38" name="Arc 2141"/>
              <xdr:cNvSpPr>
                <a:spLocks/>
              </xdr:cNvSpPr>
            </xdr:nvSpPr>
            <xdr:spPr bwMode="auto">
              <a:xfrm rot="16200000" flipV="1">
                <a:off x="446"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39" name="Arc 2142"/>
              <xdr:cNvSpPr>
                <a:spLocks/>
              </xdr:cNvSpPr>
            </xdr:nvSpPr>
            <xdr:spPr bwMode="auto">
              <a:xfrm rot="16200000" flipV="1">
                <a:off x="484" y="1106"/>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40" name="Arc 2143"/>
              <xdr:cNvSpPr>
                <a:spLocks/>
              </xdr:cNvSpPr>
            </xdr:nvSpPr>
            <xdr:spPr bwMode="auto">
              <a:xfrm rot="5400000">
                <a:off x="484" y="1104"/>
                <a:ext cx="19" cy="38"/>
              </a:xfrm>
              <a:custGeom>
                <a:avLst/>
                <a:gdLst>
                  <a:gd name="T0" fmla="*/ 0 w 21600"/>
                  <a:gd name="T1" fmla="*/ 0 h 35775"/>
                  <a:gd name="T2" fmla="*/ 0 w 21600"/>
                  <a:gd name="T3" fmla="*/ 0 h 35775"/>
                  <a:gd name="T4" fmla="*/ 0 w 21600"/>
                  <a:gd name="T5" fmla="*/ 0 h 35775"/>
                  <a:gd name="T6" fmla="*/ 0 60000 65536"/>
                  <a:gd name="T7" fmla="*/ 0 60000 65536"/>
                  <a:gd name="T8" fmla="*/ 0 60000 65536"/>
                </a:gdLst>
                <a:ahLst/>
                <a:cxnLst>
                  <a:cxn ang="T6">
                    <a:pos x="T0" y="T1"/>
                  </a:cxn>
                  <a:cxn ang="T7">
                    <a:pos x="T2" y="T3"/>
                  </a:cxn>
                  <a:cxn ang="T8">
                    <a:pos x="T4" y="T5"/>
                  </a:cxn>
                </a:cxnLst>
                <a:rect l="0" t="0" r="r" b="b"/>
                <a:pathLst>
                  <a:path w="21600" h="35775" fill="none" extrusionOk="0">
                    <a:moveTo>
                      <a:pt x="12037" y="0"/>
                    </a:moveTo>
                    <a:cubicBezTo>
                      <a:pt x="18014" y="4011"/>
                      <a:pt x="21600" y="10736"/>
                      <a:pt x="21600" y="17935"/>
                    </a:cubicBezTo>
                    <a:cubicBezTo>
                      <a:pt x="21600" y="25073"/>
                      <a:pt x="18073" y="31750"/>
                      <a:pt x="12177" y="35775"/>
                    </a:cubicBezTo>
                  </a:path>
                  <a:path w="21600" h="35775" stroke="0" extrusionOk="0">
                    <a:moveTo>
                      <a:pt x="12037" y="0"/>
                    </a:moveTo>
                    <a:cubicBezTo>
                      <a:pt x="18014" y="4011"/>
                      <a:pt x="21600" y="10736"/>
                      <a:pt x="21600" y="17935"/>
                    </a:cubicBezTo>
                    <a:cubicBezTo>
                      <a:pt x="21600" y="25073"/>
                      <a:pt x="18073" y="31750"/>
                      <a:pt x="12177" y="35775"/>
                    </a:cubicBezTo>
                    <a:lnTo>
                      <a:pt x="0" y="17935"/>
                    </a:lnTo>
                    <a:lnTo>
                      <a:pt x="12037"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grpSp>
      </xdr:grpSp>
      <xdr:sp macro="" textlink="">
        <xdr:nvSpPr>
          <xdr:cNvPr id="41" name="Line 2144"/>
          <xdr:cNvSpPr>
            <a:spLocks noChangeShapeType="1"/>
          </xdr:cNvSpPr>
        </xdr:nvSpPr>
        <xdr:spPr bwMode="auto">
          <a:xfrm flipV="1">
            <a:off x="2873249" y="5154240"/>
            <a:ext cx="0" cy="79943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42" name="二等辺三角形 41"/>
          <xdr:cNvSpPr/>
        </xdr:nvSpPr>
        <xdr:spPr bwMode="auto">
          <a:xfrm flipV="1">
            <a:off x="2384550" y="5024285"/>
            <a:ext cx="146173" cy="121996"/>
          </a:xfrm>
          <a:prstGeom prst="triangle">
            <a:avLst/>
          </a:prstGeom>
          <a:solidFill>
            <a:srgbClr val="FFFFFF"/>
          </a:solidFill>
          <a:ln w="3175" cap="flat" cmpd="sng" algn="ctr">
            <a:solidFill>
              <a:srgbClr val="000000"/>
            </a:solidFill>
            <a:prstDash val="solid"/>
            <a:round/>
            <a:headEnd type="arrow" w="sm" len="sm"/>
            <a:tailEnd type="arrow" w="sm" len="sm"/>
          </a:ln>
          <a:effectLst/>
        </xdr:spPr>
        <xdr:txBody>
          <a:bodyPr vertOverflow="clip" horzOverflow="clip" wrap="square" lIns="18288" tIns="0" rIns="0" bIns="0" rtlCol="0" anchor="t" upright="1"/>
          <a:lstStyle/>
          <a:p>
            <a:pPr algn="l"/>
            <a:endParaRPr kumimoji="1" lang="ja-JP" altLang="en-US" sz="1100"/>
          </a:p>
        </xdr:txBody>
      </xdr:sp>
      <xdr:sp macro="" textlink="">
        <xdr:nvSpPr>
          <xdr:cNvPr id="44" name="テキスト ボックス 43"/>
          <xdr:cNvSpPr txBox="1"/>
        </xdr:nvSpPr>
        <xdr:spPr>
          <a:xfrm>
            <a:off x="1819603" y="5222328"/>
            <a:ext cx="348156"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000">
                <a:latin typeface="ＭＳ 明朝" panose="02020609040205080304" pitchFamily="17" charset="-128"/>
                <a:ea typeface="ＭＳ 明朝" panose="02020609040205080304" pitchFamily="17" charset="-128"/>
              </a:rPr>
              <a:t>Df</a:t>
            </a:r>
            <a:endParaRPr kumimoji="1" lang="ja-JP" altLang="en-US" sz="1000">
              <a:latin typeface="ＭＳ 明朝" panose="02020609040205080304" pitchFamily="17" charset="-128"/>
              <a:ea typeface="ＭＳ 明朝" panose="02020609040205080304" pitchFamily="17" charset="-128"/>
            </a:endParaRPr>
          </a:p>
        </xdr:txBody>
      </xdr:sp>
      <xdr:sp macro="" textlink="">
        <xdr:nvSpPr>
          <xdr:cNvPr id="45" name="テキスト ボックス 44"/>
          <xdr:cNvSpPr txBox="1"/>
        </xdr:nvSpPr>
        <xdr:spPr>
          <a:xfrm>
            <a:off x="2397672" y="5432535"/>
            <a:ext cx="472967" cy="25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ja-JP" altLang="en-US" sz="1000">
                <a:latin typeface="ＭＳ 明朝" panose="02020609040205080304" pitchFamily="17" charset="-128"/>
                <a:ea typeface="ＭＳ 明朝" panose="02020609040205080304" pitchFamily="17" charset="-128"/>
              </a:rPr>
              <a:t>水位</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24</xdr:col>
      <xdr:colOff>141431</xdr:colOff>
      <xdr:row>274</xdr:row>
      <xdr:rowOff>174626</xdr:rowOff>
    </xdr:from>
    <xdr:to>
      <xdr:col>25</xdr:col>
      <xdr:colOff>141431</xdr:colOff>
      <xdr:row>275</xdr:row>
      <xdr:rowOff>158750</xdr:rowOff>
    </xdr:to>
    <xdr:sp macro="" textlink="">
      <xdr:nvSpPr>
        <xdr:cNvPr id="2" name="テキスト ボックス 1"/>
        <xdr:cNvSpPr txBox="1"/>
      </xdr:nvSpPr>
      <xdr:spPr>
        <a:xfrm>
          <a:off x="5475431" y="74062649"/>
          <a:ext cx="199159" cy="183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800">
              <a:latin typeface="ＭＳ 明朝" panose="02020609040205080304" pitchFamily="17" charset="-128"/>
              <a:ea typeface="ＭＳ 明朝" panose="02020609040205080304" pitchFamily="17" charset="-128"/>
            </a:rPr>
            <a:t>※</a:t>
          </a:r>
          <a:endParaRPr kumimoji="1" lang="ja-JP" altLang="en-US" sz="800">
            <a:latin typeface="ＭＳ 明朝" panose="02020609040205080304" pitchFamily="17" charset="-128"/>
            <a:ea typeface="ＭＳ 明朝" panose="02020609040205080304" pitchFamily="17" charset="-128"/>
          </a:endParaRPr>
        </a:p>
      </xdr:txBody>
    </xdr:sp>
    <xdr:clientData/>
  </xdr:twoCellAnchor>
  <xdr:twoCellAnchor>
    <xdr:from>
      <xdr:col>5</xdr:col>
      <xdr:colOff>200025</xdr:colOff>
      <xdr:row>12</xdr:row>
      <xdr:rowOff>0</xdr:rowOff>
    </xdr:from>
    <xdr:to>
      <xdr:col>17</xdr:col>
      <xdr:colOff>47625</xdr:colOff>
      <xdr:row>19</xdr:row>
      <xdr:rowOff>57150</xdr:rowOff>
    </xdr:to>
    <xdr:grpSp>
      <xdr:nvGrpSpPr>
        <xdr:cNvPr id="73601" name="グループ化 68"/>
        <xdr:cNvGrpSpPr>
          <a:grpSpLocks/>
        </xdr:cNvGrpSpPr>
      </xdr:nvGrpSpPr>
      <xdr:grpSpPr bwMode="auto">
        <a:xfrm>
          <a:off x="1752600" y="2400300"/>
          <a:ext cx="2247900" cy="1457325"/>
          <a:chOff x="1755733" y="2400300"/>
          <a:chExt cx="2243398" cy="1437761"/>
        </a:xfrm>
      </xdr:grpSpPr>
      <xdr:cxnSp macro="">
        <xdr:nvCxnSpPr>
          <xdr:cNvPr id="73634" name="直線コネクタ 3"/>
          <xdr:cNvCxnSpPr>
            <a:cxnSpLocks noChangeShapeType="1"/>
          </xdr:cNvCxnSpPr>
        </xdr:nvCxnSpPr>
        <xdr:spPr bwMode="auto">
          <a:xfrm>
            <a:off x="2157412" y="240030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5" name="直線コネクタ 5"/>
          <xdr:cNvCxnSpPr>
            <a:cxnSpLocks noChangeShapeType="1"/>
          </xdr:cNvCxnSpPr>
        </xdr:nvCxnSpPr>
        <xdr:spPr bwMode="auto">
          <a:xfrm>
            <a:off x="2152650" y="360045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6" name="直線コネクタ 7"/>
          <xdr:cNvCxnSpPr>
            <a:cxnSpLocks noChangeShapeType="1"/>
          </xdr:cNvCxnSpPr>
        </xdr:nvCxnSpPr>
        <xdr:spPr bwMode="auto">
          <a:xfrm flipV="1">
            <a:off x="2166938" y="3000375"/>
            <a:ext cx="290512" cy="595313"/>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7" name="直線コネクタ 9"/>
          <xdr:cNvCxnSpPr>
            <a:cxnSpLocks noChangeShapeType="1"/>
          </xdr:cNvCxnSpPr>
        </xdr:nvCxnSpPr>
        <xdr:spPr bwMode="auto">
          <a:xfrm flipV="1">
            <a:off x="2447925" y="2400300"/>
            <a:ext cx="1514475" cy="604838"/>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38" name="直線コネクタ 12"/>
          <xdr:cNvCxnSpPr>
            <a:cxnSpLocks noChangeShapeType="1"/>
          </xdr:cNvCxnSpPr>
        </xdr:nvCxnSpPr>
        <xdr:spPr bwMode="auto">
          <a:xfrm>
            <a:off x="2157413" y="2600325"/>
            <a:ext cx="1309687"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39" name="直線コネクタ 17"/>
          <xdr:cNvCxnSpPr>
            <a:cxnSpLocks noChangeShapeType="1"/>
          </xdr:cNvCxnSpPr>
        </xdr:nvCxnSpPr>
        <xdr:spPr bwMode="auto">
          <a:xfrm>
            <a:off x="3457575" y="2605088"/>
            <a:ext cx="0" cy="1000125"/>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40" name="直線コネクタ 20"/>
          <xdr:cNvCxnSpPr>
            <a:cxnSpLocks noChangeShapeType="1"/>
          </xdr:cNvCxnSpPr>
        </xdr:nvCxnSpPr>
        <xdr:spPr bwMode="auto">
          <a:xfrm>
            <a:off x="2147888" y="2995613"/>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23" name="テキスト ボックス 22"/>
          <xdr:cNvSpPr txBox="1"/>
        </xdr:nvSpPr>
        <xdr:spPr>
          <a:xfrm>
            <a:off x="2116958" y="2409697"/>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tu</a:t>
            </a:r>
          </a:p>
        </xdr:txBody>
      </xdr:sp>
      <xdr:sp macro="" textlink="">
        <xdr:nvSpPr>
          <xdr:cNvPr id="24" name="テキスト ボックス 23"/>
          <xdr:cNvSpPr txBox="1"/>
        </xdr:nvSpPr>
        <xdr:spPr>
          <a:xfrm>
            <a:off x="2116958" y="2794979"/>
            <a:ext cx="332707" cy="2349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ty</a:t>
            </a:r>
          </a:p>
        </xdr:txBody>
      </xdr:sp>
      <xdr:sp macro="" textlink="">
        <xdr:nvSpPr>
          <xdr:cNvPr id="25" name="テキスト ボックス 24"/>
          <xdr:cNvSpPr txBox="1"/>
        </xdr:nvSpPr>
        <xdr:spPr>
          <a:xfrm>
            <a:off x="3419270" y="3386999"/>
            <a:ext cx="408755"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0" name="円弧 29"/>
          <xdr:cNvSpPr/>
        </xdr:nvSpPr>
        <xdr:spPr bwMode="auto">
          <a:xfrm>
            <a:off x="1974369" y="3415190"/>
            <a:ext cx="361225" cy="366488"/>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32" name="テキスト ボックス 31"/>
          <xdr:cNvSpPr txBox="1"/>
        </xdr:nvSpPr>
        <xdr:spPr>
          <a:xfrm>
            <a:off x="3352728" y="3621927"/>
            <a:ext cx="646403" cy="24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33" name="テキスト ボックス 32"/>
          <xdr:cNvSpPr txBox="1"/>
        </xdr:nvSpPr>
        <xdr:spPr>
          <a:xfrm rot="16200000">
            <a:off x="1504186" y="2820886"/>
            <a:ext cx="883330" cy="3992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6</xdr:col>
      <xdr:colOff>0</xdr:colOff>
      <xdr:row>22</xdr:row>
      <xdr:rowOff>123825</xdr:rowOff>
    </xdr:from>
    <xdr:to>
      <xdr:col>17</xdr:col>
      <xdr:colOff>142875</xdr:colOff>
      <xdr:row>30</xdr:row>
      <xdr:rowOff>57150</xdr:rowOff>
    </xdr:to>
    <xdr:grpSp>
      <xdr:nvGrpSpPr>
        <xdr:cNvPr id="73602" name="グループ化 69"/>
        <xdr:cNvGrpSpPr>
          <a:grpSpLocks/>
        </xdr:cNvGrpSpPr>
      </xdr:nvGrpSpPr>
      <xdr:grpSpPr bwMode="auto">
        <a:xfrm>
          <a:off x="1752600" y="4524375"/>
          <a:ext cx="2343150" cy="1533525"/>
          <a:chOff x="1755733" y="4600575"/>
          <a:chExt cx="2243398" cy="1437761"/>
        </a:xfrm>
      </xdr:grpSpPr>
      <xdr:cxnSp macro="">
        <xdr:nvCxnSpPr>
          <xdr:cNvPr id="73621" name="直線コネクタ 35"/>
          <xdr:cNvCxnSpPr>
            <a:cxnSpLocks noChangeShapeType="1"/>
          </xdr:cNvCxnSpPr>
        </xdr:nvCxnSpPr>
        <xdr:spPr bwMode="auto">
          <a:xfrm>
            <a:off x="2157412" y="4600576"/>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2" name="直線コネクタ 36"/>
          <xdr:cNvCxnSpPr>
            <a:cxnSpLocks noChangeShapeType="1"/>
          </xdr:cNvCxnSpPr>
        </xdr:nvCxnSpPr>
        <xdr:spPr bwMode="auto">
          <a:xfrm>
            <a:off x="2152650" y="5800725"/>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3" name="直線コネクタ 37"/>
          <xdr:cNvCxnSpPr>
            <a:cxnSpLocks noChangeShapeType="1"/>
          </xdr:cNvCxnSpPr>
        </xdr:nvCxnSpPr>
        <xdr:spPr bwMode="auto">
          <a:xfrm flipV="1">
            <a:off x="2166938" y="4900613"/>
            <a:ext cx="304800" cy="895351"/>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4" name="直線コネクタ 38"/>
          <xdr:cNvCxnSpPr>
            <a:cxnSpLocks noChangeShapeType="1"/>
          </xdr:cNvCxnSpPr>
        </xdr:nvCxnSpPr>
        <xdr:spPr bwMode="auto">
          <a:xfrm flipV="1">
            <a:off x="2462213" y="4686300"/>
            <a:ext cx="1485900" cy="2238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25" name="直線コネクタ 39"/>
          <xdr:cNvCxnSpPr>
            <a:cxnSpLocks noChangeShapeType="1"/>
          </xdr:cNvCxnSpPr>
        </xdr:nvCxnSpPr>
        <xdr:spPr bwMode="auto">
          <a:xfrm>
            <a:off x="2157413" y="4738687"/>
            <a:ext cx="1419225"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6" name="直線コネクタ 40"/>
          <xdr:cNvCxnSpPr>
            <a:cxnSpLocks noChangeShapeType="1"/>
          </xdr:cNvCxnSpPr>
        </xdr:nvCxnSpPr>
        <xdr:spPr bwMode="auto">
          <a:xfrm>
            <a:off x="3567113" y="4743450"/>
            <a:ext cx="0" cy="1062038"/>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cxnSp macro="">
        <xdr:nvCxnSpPr>
          <xdr:cNvPr id="73627" name="直線コネクタ 41"/>
          <xdr:cNvCxnSpPr>
            <a:cxnSpLocks noChangeShapeType="1"/>
          </xdr:cNvCxnSpPr>
        </xdr:nvCxnSpPr>
        <xdr:spPr bwMode="auto">
          <a:xfrm>
            <a:off x="2147888" y="4905375"/>
            <a:ext cx="309562"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43" name="テキスト ボックス 42"/>
          <xdr:cNvSpPr txBox="1"/>
        </xdr:nvSpPr>
        <xdr:spPr>
          <a:xfrm>
            <a:off x="2111394" y="4520203"/>
            <a:ext cx="337422"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fu</a:t>
            </a:r>
          </a:p>
        </xdr:txBody>
      </xdr:sp>
      <xdr:sp macro="" textlink="">
        <xdr:nvSpPr>
          <xdr:cNvPr id="44" name="テキスト ボックス 43"/>
          <xdr:cNvSpPr txBox="1"/>
        </xdr:nvSpPr>
        <xdr:spPr>
          <a:xfrm>
            <a:off x="2129633" y="4859551"/>
            <a:ext cx="328302"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R</a:t>
            </a:r>
            <a:r>
              <a:rPr kumimoji="1" lang="en-US" altLang="ja-JP" sz="700">
                <a:latin typeface="ＭＳ 明朝" panose="02020609040205080304" pitchFamily="17" charset="-128"/>
                <a:ea typeface="ＭＳ 明朝" panose="02020609040205080304" pitchFamily="17" charset="-128"/>
              </a:rPr>
              <a:t>fy</a:t>
            </a:r>
          </a:p>
        </xdr:txBody>
      </xdr:sp>
      <xdr:sp macro="" textlink="">
        <xdr:nvSpPr>
          <xdr:cNvPr id="45" name="テキスト ボックス 44"/>
          <xdr:cNvSpPr txBox="1"/>
        </xdr:nvSpPr>
        <xdr:spPr>
          <a:xfrm>
            <a:off x="3561395" y="5582896"/>
            <a:ext cx="419497" cy="250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0.1D</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6" name="円弧 45"/>
          <xdr:cNvSpPr/>
        </xdr:nvSpPr>
        <xdr:spPr bwMode="auto">
          <a:xfrm>
            <a:off x="1974601" y="5618617"/>
            <a:ext cx="364780" cy="366138"/>
          </a:xfrm>
          <a:prstGeom prst="arc">
            <a:avLst>
              <a:gd name="adj1" fmla="val 17448854"/>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47" name="テキスト ボックス 46"/>
          <xdr:cNvSpPr txBox="1"/>
        </xdr:nvSpPr>
        <xdr:spPr>
          <a:xfrm>
            <a:off x="3178376" y="5824011"/>
            <a:ext cx="921070" cy="2411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鉛直変位（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48" name="テキスト ボックス 47"/>
          <xdr:cNvSpPr txBox="1"/>
        </xdr:nvSpPr>
        <xdr:spPr>
          <a:xfrm rot="16200000">
            <a:off x="1509758" y="5025154"/>
            <a:ext cx="884089" cy="392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000"/>
              </a:lnSpc>
            </a:pPr>
            <a:r>
              <a:rPr kumimoji="1" lang="ja-JP" altLang="en-US" sz="900">
                <a:latin typeface="ＭＳ 明朝" panose="02020609040205080304" pitchFamily="17" charset="-128"/>
                <a:ea typeface="ＭＳ 明朝" panose="02020609040205080304" pitchFamily="17" charset="-128"/>
              </a:rPr>
              <a:t>杭先端の鉛直</a:t>
            </a:r>
            <a:endParaRPr kumimoji="1" lang="en-US" altLang="ja-JP" sz="900">
              <a:latin typeface="ＭＳ 明朝" panose="02020609040205080304" pitchFamily="17" charset="-128"/>
              <a:ea typeface="ＭＳ 明朝" panose="02020609040205080304" pitchFamily="17" charset="-128"/>
            </a:endParaRPr>
          </a:p>
          <a:p>
            <a:pPr>
              <a:lnSpc>
                <a:spcPts val="9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5</xdr:col>
      <xdr:colOff>200025</xdr:colOff>
      <xdr:row>34</xdr:row>
      <xdr:rowOff>0</xdr:rowOff>
    </xdr:from>
    <xdr:to>
      <xdr:col>17</xdr:col>
      <xdr:colOff>161925</xdr:colOff>
      <xdr:row>41</xdr:row>
      <xdr:rowOff>47625</xdr:rowOff>
    </xdr:to>
    <xdr:grpSp>
      <xdr:nvGrpSpPr>
        <xdr:cNvPr id="73603" name="グループ化 74"/>
        <xdr:cNvGrpSpPr>
          <a:grpSpLocks/>
        </xdr:cNvGrpSpPr>
      </xdr:nvGrpSpPr>
      <xdr:grpSpPr bwMode="auto">
        <a:xfrm>
          <a:off x="1752600" y="6800850"/>
          <a:ext cx="2362200" cy="1447800"/>
          <a:chOff x="1755733" y="6800850"/>
          <a:chExt cx="2243398" cy="1437761"/>
        </a:xfrm>
      </xdr:grpSpPr>
      <xdr:cxnSp macro="">
        <xdr:nvCxnSpPr>
          <xdr:cNvPr id="73613" name="直線コネクタ 49"/>
          <xdr:cNvCxnSpPr>
            <a:cxnSpLocks noChangeShapeType="1"/>
          </xdr:cNvCxnSpPr>
        </xdr:nvCxnSpPr>
        <xdr:spPr bwMode="auto">
          <a:xfrm>
            <a:off x="2157412" y="6800851"/>
            <a:ext cx="0" cy="120015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4" name="直線コネクタ 50"/>
          <xdr:cNvCxnSpPr>
            <a:cxnSpLocks noChangeShapeType="1"/>
          </xdr:cNvCxnSpPr>
        </xdr:nvCxnSpPr>
        <xdr:spPr bwMode="auto">
          <a:xfrm>
            <a:off x="2152650" y="8001000"/>
            <a:ext cx="1804988"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5" name="直線コネクタ 51"/>
          <xdr:cNvCxnSpPr>
            <a:cxnSpLocks noChangeShapeType="1"/>
          </xdr:cNvCxnSpPr>
        </xdr:nvCxnSpPr>
        <xdr:spPr bwMode="auto">
          <a:xfrm flipV="1">
            <a:off x="2166938" y="7200900"/>
            <a:ext cx="395287" cy="795339"/>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xnSp macro="">
        <xdr:nvCxnSpPr>
          <xdr:cNvPr id="73616" name="直線コネクタ 53"/>
          <xdr:cNvCxnSpPr>
            <a:cxnSpLocks noChangeShapeType="1"/>
          </xdr:cNvCxnSpPr>
        </xdr:nvCxnSpPr>
        <xdr:spPr bwMode="auto">
          <a:xfrm>
            <a:off x="2157413" y="7200900"/>
            <a:ext cx="381000" cy="0"/>
          </a:xfrm>
          <a:prstGeom prst="line">
            <a:avLst/>
          </a:prstGeom>
          <a:noFill/>
          <a:ln w="6350" algn="ctr">
            <a:solidFill>
              <a:srgbClr val="000000"/>
            </a:solidFill>
            <a:prstDash val="lgDash"/>
            <a:round/>
            <a:headEnd type="none" w="sm" len="sm"/>
            <a:tailEnd type="none" w="sm" len="sm"/>
          </a:ln>
          <a:extLst>
            <a:ext uri="{909E8E84-426E-40DD-AFC4-6F175D3DCCD1}">
              <a14:hiddenFill xmlns:a14="http://schemas.microsoft.com/office/drawing/2010/main">
                <a:noFill/>
              </a14:hiddenFill>
            </a:ext>
          </a:extLst>
        </xdr:spPr>
      </xdr:cxnSp>
      <xdr:sp macro="" textlink="">
        <xdr:nvSpPr>
          <xdr:cNvPr id="57" name="テキスト ボックス 56"/>
          <xdr:cNvSpPr txBox="1"/>
        </xdr:nvSpPr>
        <xdr:spPr>
          <a:xfrm>
            <a:off x="2913616" y="6990029"/>
            <a:ext cx="334701" cy="236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en-US" altLang="ja-JP" sz="900">
                <a:latin typeface="ＭＳ 明朝" panose="02020609040205080304" pitchFamily="17" charset="-128"/>
                <a:ea typeface="ＭＳ 明朝" panose="02020609040205080304" pitchFamily="17" charset="-128"/>
              </a:rPr>
              <a:t>P</a:t>
            </a:r>
            <a:r>
              <a:rPr kumimoji="1" lang="en-US" altLang="ja-JP" sz="700">
                <a:latin typeface="ＭＳ 明朝" panose="02020609040205080304" pitchFamily="17" charset="-128"/>
                <a:ea typeface="ＭＳ 明朝" panose="02020609040205080304" pitchFamily="17" charset="-128"/>
              </a:rPr>
              <a:t>e</a:t>
            </a:r>
          </a:p>
        </xdr:txBody>
      </xdr:sp>
      <xdr:sp macro="" textlink="">
        <xdr:nvSpPr>
          <xdr:cNvPr id="60" name="円弧 59"/>
          <xdr:cNvSpPr/>
        </xdr:nvSpPr>
        <xdr:spPr bwMode="auto">
          <a:xfrm>
            <a:off x="1972836" y="7822417"/>
            <a:ext cx="361838" cy="368899"/>
          </a:xfrm>
          <a:prstGeom prst="arc">
            <a:avLst>
              <a:gd name="adj1" fmla="val 17847051"/>
              <a:gd name="adj2" fmla="val 0"/>
            </a:avLst>
          </a:prstGeom>
          <a:noFill/>
          <a:ln w="6350" cap="flat" cmpd="sng" algn="ctr">
            <a:solidFill>
              <a:srgbClr val="000000"/>
            </a:solidFill>
            <a:prstDash val="solid"/>
            <a:round/>
            <a:headEnd type="none" w="sm" len="sm"/>
            <a:tailEnd type="none" w="sm" len="sm"/>
          </a:ln>
          <a:effectLst/>
        </xdr:spPr>
        <xdr:txBody>
          <a:bodyPr vertOverflow="clip" horzOverflow="clip" rtlCol="0" anchor="t"/>
          <a:lstStyle/>
          <a:p>
            <a:endParaRPr lang="ja-JP" altLang="en-US"/>
          </a:p>
        </xdr:txBody>
      </xdr:sp>
      <xdr:sp macro="" textlink="">
        <xdr:nvSpPr>
          <xdr:cNvPr id="61" name="テキスト ボックス 60"/>
          <xdr:cNvSpPr txBox="1"/>
        </xdr:nvSpPr>
        <xdr:spPr>
          <a:xfrm>
            <a:off x="3184995" y="8021055"/>
            <a:ext cx="922688" cy="2270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900">
                <a:latin typeface="ＭＳ 明朝" panose="02020609040205080304" pitchFamily="17" charset="-128"/>
                <a:ea typeface="ＭＳ 明朝" panose="02020609040205080304" pitchFamily="17" charset="-128"/>
              </a:rPr>
              <a:t>水平変位（</a:t>
            </a:r>
            <a:r>
              <a:rPr kumimoji="1" lang="en-US" altLang="ja-JP" sz="900">
                <a:latin typeface="ＭＳ 明朝" panose="02020609040205080304" pitchFamily="17" charset="-128"/>
                <a:ea typeface="ＭＳ 明朝" panose="02020609040205080304" pitchFamily="17" charset="-128"/>
              </a:rPr>
              <a:t>m</a:t>
            </a:r>
            <a:r>
              <a:rPr kumimoji="1" lang="ja-JP" altLang="en-US" sz="900">
                <a:latin typeface="ＭＳ 明朝" panose="02020609040205080304" pitchFamily="17" charset="-128"/>
                <a:ea typeface="ＭＳ 明朝" panose="02020609040205080304" pitchFamily="17" charset="-128"/>
              </a:rPr>
              <a:t>）</a:t>
            </a:r>
            <a:endParaRPr kumimoji="1" lang="en-US" altLang="ja-JP" sz="700">
              <a:latin typeface="ＭＳ 明朝" panose="02020609040205080304" pitchFamily="17" charset="-128"/>
              <a:ea typeface="ＭＳ 明朝" panose="02020609040205080304" pitchFamily="17" charset="-128"/>
            </a:endParaRPr>
          </a:p>
        </xdr:txBody>
      </xdr:sp>
      <xdr:sp macro="" textlink="">
        <xdr:nvSpPr>
          <xdr:cNvPr id="62" name="テキスト ボックス 61"/>
          <xdr:cNvSpPr txBox="1"/>
        </xdr:nvSpPr>
        <xdr:spPr>
          <a:xfrm rot="16200000">
            <a:off x="1505856" y="7230860"/>
            <a:ext cx="879683" cy="398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nSpc>
                <a:spcPts val="1100"/>
              </a:lnSpc>
            </a:pPr>
            <a:r>
              <a:rPr kumimoji="1" lang="ja-JP" altLang="en-US" sz="900">
                <a:latin typeface="ＭＳ 明朝" panose="02020609040205080304" pitchFamily="17" charset="-128"/>
                <a:ea typeface="ＭＳ 明朝" panose="02020609040205080304" pitchFamily="17" charset="-128"/>
              </a:rPr>
              <a:t>杭周面の水平</a:t>
            </a:r>
            <a:endParaRPr kumimoji="1" lang="en-US" altLang="ja-JP" sz="900">
              <a:latin typeface="ＭＳ 明朝" panose="02020609040205080304" pitchFamily="17" charset="-128"/>
              <a:ea typeface="ＭＳ 明朝" panose="02020609040205080304" pitchFamily="17" charset="-128"/>
            </a:endParaRPr>
          </a:p>
          <a:p>
            <a:pPr>
              <a:lnSpc>
                <a:spcPts val="1000"/>
              </a:lnSpc>
            </a:pPr>
            <a:r>
              <a:rPr kumimoji="1" lang="ja-JP" altLang="en-US" sz="900">
                <a:latin typeface="ＭＳ 明朝" panose="02020609040205080304" pitchFamily="17" charset="-128"/>
                <a:ea typeface="ＭＳ 明朝" panose="02020609040205080304" pitchFamily="17" charset="-128"/>
              </a:rPr>
              <a:t>地盤反力</a:t>
            </a:r>
            <a:endParaRPr kumimoji="1" lang="en-US" altLang="ja-JP" sz="700">
              <a:latin typeface="ＭＳ 明朝" panose="02020609040205080304" pitchFamily="17" charset="-128"/>
              <a:ea typeface="ＭＳ 明朝" panose="02020609040205080304" pitchFamily="17" charset="-128"/>
            </a:endParaRPr>
          </a:p>
        </xdr:txBody>
      </xdr:sp>
    </xdr:grpSp>
    <xdr:clientData/>
  </xdr:twoCellAnchor>
  <xdr:twoCellAnchor>
    <xdr:from>
      <xdr:col>10</xdr:col>
      <xdr:colOff>9525</xdr:colOff>
      <xdr:row>36</xdr:row>
      <xdr:rowOff>9525</xdr:rowOff>
    </xdr:from>
    <xdr:to>
      <xdr:col>17</xdr:col>
      <xdr:colOff>0</xdr:colOff>
      <xdr:row>36</xdr:row>
      <xdr:rowOff>9525</xdr:rowOff>
    </xdr:to>
    <xdr:cxnSp macro="">
      <xdr:nvCxnSpPr>
        <xdr:cNvPr id="73604" name="直線コネクタ 72"/>
        <xdr:cNvCxnSpPr>
          <a:cxnSpLocks noChangeShapeType="1"/>
        </xdr:cNvCxnSpPr>
      </xdr:nvCxnSpPr>
      <xdr:spPr bwMode="auto">
        <a:xfrm>
          <a:off x="2562225" y="7210425"/>
          <a:ext cx="1390650" cy="0"/>
        </a:xfrm>
        <a:prstGeom prst="line">
          <a:avLst/>
        </a:prstGeom>
        <a:noFill/>
        <a:ln w="9525"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oneCellAnchor>
    <xdr:from>
      <xdr:col>26</xdr:col>
      <xdr:colOff>85725</xdr:colOff>
      <xdr:row>72</xdr:row>
      <xdr:rowOff>180975</xdr:rowOff>
    </xdr:from>
    <xdr:ext cx="254942" cy="264560"/>
    <xdr:sp macro="" textlink="">
      <xdr:nvSpPr>
        <xdr:cNvPr id="76" name="テキスト ボックス 75"/>
        <xdr:cNvSpPr txBox="1"/>
      </xdr:nvSpPr>
      <xdr:spPr>
        <a:xfrm>
          <a:off x="5864225" y="22099058"/>
          <a:ext cx="25494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a:t>
          </a:r>
          <a:endParaRPr kumimoji="1" lang="ja-JP" altLang="en-US" sz="1100"/>
        </a:p>
      </xdr:txBody>
    </xdr:sp>
    <xdr:clientData/>
  </xdr:oneCellAnchor>
  <xdr:twoCellAnchor>
    <xdr:from>
      <xdr:col>15</xdr:col>
      <xdr:colOff>9525</xdr:colOff>
      <xdr:row>167</xdr:row>
      <xdr:rowOff>0</xdr:rowOff>
    </xdr:from>
    <xdr:to>
      <xdr:col>20</xdr:col>
      <xdr:colOff>0</xdr:colOff>
      <xdr:row>167</xdr:row>
      <xdr:rowOff>0</xdr:rowOff>
    </xdr:to>
    <xdr:cxnSp macro="">
      <xdr:nvCxnSpPr>
        <xdr:cNvPr id="73606" name="直線コネクタ 2"/>
        <xdr:cNvCxnSpPr>
          <a:cxnSpLocks noChangeShapeType="1"/>
        </xdr:cNvCxnSpPr>
      </xdr:nvCxnSpPr>
      <xdr:spPr bwMode="auto">
        <a:xfrm>
          <a:off x="3562350" y="50006250"/>
          <a:ext cx="990600"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8</xdr:col>
      <xdr:colOff>123825</xdr:colOff>
      <xdr:row>234</xdr:row>
      <xdr:rowOff>9525</xdr:rowOff>
    </xdr:from>
    <xdr:to>
      <xdr:col>9</xdr:col>
      <xdr:colOff>28575</xdr:colOff>
      <xdr:row>234</xdr:row>
      <xdr:rowOff>180975</xdr:rowOff>
    </xdr:to>
    <xdr:sp macro="" textlink="">
      <xdr:nvSpPr>
        <xdr:cNvPr id="73607" name="フリーフォーム 7"/>
        <xdr:cNvSpPr>
          <a:spLocks/>
        </xdr:cNvSpPr>
      </xdr:nvSpPr>
      <xdr:spPr bwMode="auto">
        <a:xfrm>
          <a:off x="2276475" y="68018025"/>
          <a:ext cx="104775" cy="171450"/>
        </a:xfrm>
        <a:custGeom>
          <a:avLst/>
          <a:gdLst>
            <a:gd name="T0" fmla="*/ 0 w 142875"/>
            <a:gd name="T1" fmla="*/ 18609 h 230981"/>
            <a:gd name="T2" fmla="*/ 3579 w 142875"/>
            <a:gd name="T3" fmla="*/ 14931 h 230981"/>
            <a:gd name="T4" fmla="*/ 5367 w 142875"/>
            <a:gd name="T5" fmla="*/ 20989 h 230981"/>
            <a:gd name="T6" fmla="*/ 11928 w 142875"/>
            <a:gd name="T7" fmla="*/ 0 h 230981"/>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2875" h="230981">
              <a:moveTo>
                <a:pt x="0" y="204787"/>
              </a:moveTo>
              <a:lnTo>
                <a:pt x="42862" y="164306"/>
              </a:lnTo>
              <a:lnTo>
                <a:pt x="64293" y="230981"/>
              </a:lnTo>
              <a:lnTo>
                <a:pt x="142875" y="0"/>
              </a:lnTo>
            </a:path>
          </a:pathLst>
        </a:custGeom>
        <a:noFill/>
        <a:ln w="6350" cap="flat" cmpd="sng" algn="ctr">
          <a:solidFill>
            <a:srgbClr val="000000"/>
          </a:solidFill>
          <a:prstDash val="solid"/>
          <a:round/>
          <a:headEnd type="none" w="sm" len="sm"/>
          <a:tailEnd type="none" w="sm" len="sm"/>
        </a:ln>
        <a:extLst>
          <a:ext uri="{909E8E84-426E-40DD-AFC4-6F175D3DCCD1}">
            <a14:hiddenFill xmlns:a14="http://schemas.microsoft.com/office/drawing/2010/main">
              <a:solidFill>
                <a:srgbClr val="FFFFFF"/>
              </a:solidFill>
            </a14:hiddenFill>
          </a:ext>
        </a:extLst>
      </xdr:spPr>
    </xdr:sp>
    <xdr:clientData/>
  </xdr:twoCellAnchor>
  <xdr:twoCellAnchor>
    <xdr:from>
      <xdr:col>9</xdr:col>
      <xdr:colOff>28575</xdr:colOff>
      <xdr:row>234</xdr:row>
      <xdr:rowOff>9525</xdr:rowOff>
    </xdr:from>
    <xdr:to>
      <xdr:col>16</xdr:col>
      <xdr:colOff>9525</xdr:colOff>
      <xdr:row>234</xdr:row>
      <xdr:rowOff>9525</xdr:rowOff>
    </xdr:to>
    <xdr:cxnSp macro="">
      <xdr:nvCxnSpPr>
        <xdr:cNvPr id="73608" name="直線コネクタ 9"/>
        <xdr:cNvCxnSpPr>
          <a:cxnSpLocks noChangeShapeType="1"/>
        </xdr:cNvCxnSpPr>
      </xdr:nvCxnSpPr>
      <xdr:spPr bwMode="auto">
        <a:xfrm>
          <a:off x="2381250" y="68018025"/>
          <a:ext cx="13811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27</xdr:col>
      <xdr:colOff>96837</xdr:colOff>
      <xdr:row>330</xdr:row>
      <xdr:rowOff>152399</xdr:rowOff>
    </xdr:from>
    <xdr:to>
      <xdr:col>28</xdr:col>
      <xdr:colOff>96836</xdr:colOff>
      <xdr:row>331</xdr:row>
      <xdr:rowOff>0</xdr:rowOff>
    </xdr:to>
    <xdr:sp macro="" textlink="">
      <xdr:nvSpPr>
        <xdr:cNvPr id="51" name="テキスト ボックス 50"/>
        <xdr:cNvSpPr txBox="1"/>
      </xdr:nvSpPr>
      <xdr:spPr>
        <a:xfrm>
          <a:off x="6605587" y="92624274"/>
          <a:ext cx="198437" cy="1825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800">
              <a:latin typeface="ＭＳ 明朝" panose="02020609040205080304" pitchFamily="17" charset="-128"/>
              <a:ea typeface="ＭＳ 明朝" panose="02020609040205080304" pitchFamily="17" charset="-128"/>
            </a:rPr>
            <a:t>※</a:t>
          </a:r>
          <a:endParaRPr kumimoji="1" lang="ja-JP" altLang="en-US" sz="800">
            <a:latin typeface="ＭＳ 明朝" panose="02020609040205080304" pitchFamily="17" charset="-128"/>
            <a:ea typeface="ＭＳ 明朝" panose="02020609040205080304" pitchFamily="17" charset="-128"/>
          </a:endParaRPr>
        </a:p>
      </xdr:txBody>
    </xdr:sp>
    <xdr:clientData/>
  </xdr:twoCellAnchor>
  <xdr:twoCellAnchor>
    <xdr:from>
      <xdr:col>22</xdr:col>
      <xdr:colOff>28575</xdr:colOff>
      <xdr:row>515</xdr:row>
      <xdr:rowOff>57150</xdr:rowOff>
    </xdr:from>
    <xdr:to>
      <xdr:col>22</xdr:col>
      <xdr:colOff>114300</xdr:colOff>
      <xdr:row>515</xdr:row>
      <xdr:rowOff>57150</xdr:rowOff>
    </xdr:to>
    <xdr:cxnSp macro="">
      <xdr:nvCxnSpPr>
        <xdr:cNvPr id="73610" name="直線コネクタ 3"/>
        <xdr:cNvCxnSpPr>
          <a:cxnSpLocks noChangeShapeType="1"/>
        </xdr:cNvCxnSpPr>
      </xdr:nvCxnSpPr>
      <xdr:spPr bwMode="auto">
        <a:xfrm flipV="1">
          <a:off x="4981575" y="1222724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24</xdr:col>
      <xdr:colOff>85725</xdr:colOff>
      <xdr:row>516</xdr:row>
      <xdr:rowOff>47625</xdr:rowOff>
    </xdr:from>
    <xdr:to>
      <xdr:col>24</xdr:col>
      <xdr:colOff>171450</xdr:colOff>
      <xdr:row>516</xdr:row>
      <xdr:rowOff>47625</xdr:rowOff>
    </xdr:to>
    <xdr:cxnSp macro="">
      <xdr:nvCxnSpPr>
        <xdr:cNvPr id="73611" name="直線コネクタ 53"/>
        <xdr:cNvCxnSpPr>
          <a:cxnSpLocks noChangeShapeType="1"/>
        </xdr:cNvCxnSpPr>
      </xdr:nvCxnSpPr>
      <xdr:spPr bwMode="auto">
        <a:xfrm flipV="1">
          <a:off x="5438775" y="1224629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twoCellAnchor>
    <xdr:from>
      <xdr:col>9</xdr:col>
      <xdr:colOff>57150</xdr:colOff>
      <xdr:row>519</xdr:row>
      <xdr:rowOff>57150</xdr:rowOff>
    </xdr:from>
    <xdr:to>
      <xdr:col>9</xdr:col>
      <xdr:colOff>142875</xdr:colOff>
      <xdr:row>519</xdr:row>
      <xdr:rowOff>57150</xdr:rowOff>
    </xdr:to>
    <xdr:cxnSp macro="">
      <xdr:nvCxnSpPr>
        <xdr:cNvPr id="73612" name="直線コネクタ 54"/>
        <xdr:cNvCxnSpPr>
          <a:cxnSpLocks noChangeShapeType="1"/>
        </xdr:cNvCxnSpPr>
      </xdr:nvCxnSpPr>
      <xdr:spPr bwMode="auto">
        <a:xfrm flipV="1">
          <a:off x="2409825" y="123072525"/>
          <a:ext cx="85725" cy="0"/>
        </a:xfrm>
        <a:prstGeom prst="line">
          <a:avLst/>
        </a:prstGeom>
        <a:noFill/>
        <a:ln w="6350" algn="ctr">
          <a:solidFill>
            <a:srgbClr val="000000"/>
          </a:solidFill>
          <a:round/>
          <a:headEnd type="none" w="sm" len="sm"/>
          <a:tailEnd type="none" w="sm" len="sm"/>
        </a:ln>
        <a:extLst>
          <a:ext uri="{909E8E84-426E-40DD-AFC4-6F175D3DCCD1}">
            <a14:hiddenFill xmlns:a14="http://schemas.microsoft.com/office/drawing/2010/main">
              <a:noFill/>
            </a14:hiddenFill>
          </a:ext>
        </a:extLst>
      </xdr:spPr>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arrow" w="sm" len="sm"/>
          <a:tailEnd type="arrow" w="sm" len="sm"/>
        </a:ln>
        <a:effectLst/>
      </a:spPr>
      <a:bodyPr vertOverflow="clip" wrap="square" lIns="18288" tIns="0" rIns="0" bIns="0" upright="1"/>
      <a:lstStyle/>
    </a:spDef>
    <a:lnDef>
      <a:spPr bwMode="auto">
        <a:solidFill>
          <a:srgbClr val="FFFFFF"/>
        </a:solidFill>
        <a:ln w="6350" cap="flat" cmpd="sng" algn="ctr">
          <a:solidFill>
            <a:srgbClr val="000000"/>
          </a:solidFill>
          <a:prstDash val="solid"/>
          <a:round/>
          <a:headEnd type="none" w="sm" len="sm"/>
          <a:tailEnd type="none" w="sm" len="sm"/>
        </a:ln>
        <a:effectLst/>
      </a:spPr>
      <a:bodyPr/>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putSheet"/>
  <dimension ref="A1:AO100"/>
  <sheetViews>
    <sheetView topLeftCell="A46" zoomScaleNormal="100" workbookViewId="0">
      <selection activeCell="H23" sqref="H23"/>
    </sheetView>
  </sheetViews>
  <sheetFormatPr defaultColWidth="12.375" defaultRowHeight="14.25" customHeight="1" x14ac:dyDescent="0.15"/>
  <cols>
    <col min="1" max="1" width="3.5" style="43" customWidth="1"/>
    <col min="2" max="5" width="12.375" style="44" customWidth="1"/>
    <col min="6" max="6" width="12.375" style="43" customWidth="1"/>
    <col min="7" max="12" width="12.375" style="44" customWidth="1"/>
    <col min="13" max="13" width="12.375" style="43" customWidth="1"/>
    <col min="14" max="18" width="12.375" style="44" customWidth="1"/>
    <col min="19" max="19" width="12.375" style="43" customWidth="1"/>
    <col min="20" max="16384" width="12.375" style="44"/>
  </cols>
  <sheetData>
    <row r="1" spans="1:19" s="39" customFormat="1" ht="15.75" customHeight="1" x14ac:dyDescent="0.2">
      <c r="A1" s="37" t="s">
        <v>530</v>
      </c>
      <c r="B1" s="38"/>
      <c r="C1" s="38"/>
      <c r="D1" s="38"/>
      <c r="E1" s="38"/>
      <c r="F1" s="38"/>
      <c r="G1" s="38"/>
      <c r="H1" s="38"/>
      <c r="I1" s="38"/>
      <c r="J1" s="38"/>
    </row>
    <row r="3" spans="1:19" s="40" customFormat="1" ht="14.25" customHeight="1" x14ac:dyDescent="0.15">
      <c r="B3" s="41" t="s">
        <v>502</v>
      </c>
      <c r="K3" s="42"/>
    </row>
    <row r="4" spans="1:19" s="40" customFormat="1" ht="7.5" customHeight="1" x14ac:dyDescent="0.15"/>
    <row r="5" spans="1:19" s="40" customFormat="1" ht="14.25" customHeight="1" x14ac:dyDescent="0.15">
      <c r="B5" s="40" t="s">
        <v>528</v>
      </c>
    </row>
    <row r="6" spans="1:19" s="40" customFormat="1" ht="14.25" customHeight="1" x14ac:dyDescent="0.15">
      <c r="B6" s="40" t="s">
        <v>529</v>
      </c>
    </row>
    <row r="7" spans="1:19" s="40" customFormat="1" ht="14.25" customHeight="1" x14ac:dyDescent="0.15"/>
    <row r="8" spans="1:19" ht="14.25" customHeight="1" x14ac:dyDescent="0.15">
      <c r="B8" s="44" t="s">
        <v>503</v>
      </c>
    </row>
    <row r="9" spans="1:19" ht="14.25" customHeight="1" x14ac:dyDescent="0.15">
      <c r="B9" s="45" t="s">
        <v>504</v>
      </c>
    </row>
    <row r="11" spans="1:19" ht="14.25" customHeight="1" x14ac:dyDescent="0.15">
      <c r="B11" s="44" t="s">
        <v>505</v>
      </c>
    </row>
    <row r="13" spans="1:19" s="48" customFormat="1" ht="14.25" customHeight="1" x14ac:dyDescent="0.15">
      <c r="A13" s="46"/>
      <c r="B13" s="47" t="s">
        <v>506</v>
      </c>
      <c r="F13" s="46"/>
      <c r="M13" s="46"/>
      <c r="S13" s="46"/>
    </row>
    <row r="14" spans="1:19" s="48" customFormat="1" ht="14.25" customHeight="1" x14ac:dyDescent="0.15">
      <c r="A14" s="46"/>
      <c r="B14" s="63"/>
      <c r="C14" s="64"/>
      <c r="D14" s="64"/>
      <c r="E14" s="64"/>
      <c r="F14" s="64"/>
      <c r="G14" s="64"/>
      <c r="H14" s="65"/>
      <c r="M14" s="46"/>
      <c r="S14" s="46"/>
    </row>
    <row r="15" spans="1:19" s="48" customFormat="1" ht="14.25" customHeight="1" x14ac:dyDescent="0.15">
      <c r="A15" s="46"/>
      <c r="B15" s="47" t="s">
        <v>507</v>
      </c>
      <c r="F15" s="46"/>
      <c r="M15" s="46"/>
      <c r="S15" s="46"/>
    </row>
    <row r="16" spans="1:19" s="48" customFormat="1" ht="14.25" customHeight="1" x14ac:dyDescent="0.15">
      <c r="A16" s="46"/>
      <c r="B16" s="66"/>
      <c r="C16" s="67"/>
      <c r="D16" s="67"/>
      <c r="E16" s="67"/>
      <c r="F16" s="67"/>
      <c r="G16" s="67"/>
      <c r="H16" s="68"/>
      <c r="M16" s="46"/>
      <c r="S16" s="46"/>
    </row>
    <row r="18" spans="2:11" ht="14.25" customHeight="1" x14ac:dyDescent="0.15">
      <c r="B18" s="44" t="s">
        <v>508</v>
      </c>
    </row>
    <row r="19" spans="2:11" ht="14.25" customHeight="1" x14ac:dyDescent="0.15">
      <c r="B19" s="49" t="s">
        <v>509</v>
      </c>
    </row>
    <row r="20" spans="2:11" ht="14.25" customHeight="1" x14ac:dyDescent="0.15">
      <c r="B20" s="49" t="s">
        <v>510</v>
      </c>
    </row>
    <row r="23" spans="2:11" s="40" customFormat="1" ht="14.25" customHeight="1" x14ac:dyDescent="0.15">
      <c r="B23" s="41" t="s">
        <v>511</v>
      </c>
      <c r="K23" s="42"/>
    </row>
    <row r="24" spans="2:11" s="40" customFormat="1" ht="7.5" customHeight="1" x14ac:dyDescent="0.15"/>
    <row r="25" spans="2:11" ht="14.25" customHeight="1" x14ac:dyDescent="0.15">
      <c r="B25" s="44" t="s">
        <v>512</v>
      </c>
    </row>
    <row r="26" spans="2:11" ht="14.25" customHeight="1" x14ac:dyDescent="0.15">
      <c r="B26" s="44" t="s">
        <v>513</v>
      </c>
    </row>
    <row r="27" spans="2:11" ht="14.25" customHeight="1" x14ac:dyDescent="0.15">
      <c r="B27" s="44" t="s">
        <v>514</v>
      </c>
    </row>
    <row r="28" spans="2:11" ht="14.25" customHeight="1" x14ac:dyDescent="0.15">
      <c r="B28" s="44" t="s">
        <v>515</v>
      </c>
    </row>
    <row r="29" spans="2:11" ht="14.25" customHeight="1" x14ac:dyDescent="0.15">
      <c r="B29" s="44" t="s">
        <v>516</v>
      </c>
    </row>
    <row r="32" spans="2:11" s="40" customFormat="1" ht="14.25" customHeight="1" x14ac:dyDescent="0.15">
      <c r="B32" s="41" t="s">
        <v>517</v>
      </c>
      <c r="K32" s="42"/>
    </row>
    <row r="33" spans="2:21" s="40" customFormat="1" ht="7.5" customHeight="1" x14ac:dyDescent="0.15"/>
    <row r="34" spans="2:21" ht="14.25" customHeight="1" x14ac:dyDescent="0.15">
      <c r="B34" s="40" t="s">
        <v>587</v>
      </c>
    </row>
    <row r="35" spans="2:21" ht="14.25" customHeight="1" x14ac:dyDescent="0.15">
      <c r="B35" s="44" t="s">
        <v>518</v>
      </c>
    </row>
    <row r="37" spans="2:21" ht="14.25" customHeight="1" x14ac:dyDescent="0.15">
      <c r="U37"/>
    </row>
    <row r="42" spans="2:21" ht="14.25" customHeight="1" x14ac:dyDescent="0.15">
      <c r="N42"/>
    </row>
    <row r="43" spans="2:21" ht="14.25" customHeight="1" x14ac:dyDescent="0.15">
      <c r="N43" s="44" t="s">
        <v>519</v>
      </c>
    </row>
    <row r="44" spans="2:21" ht="14.25" customHeight="1" x14ac:dyDescent="0.15">
      <c r="K44"/>
    </row>
    <row r="46" spans="2:21" ht="14.25" customHeight="1" x14ac:dyDescent="0.15">
      <c r="L46"/>
      <c r="T46"/>
    </row>
    <row r="48" spans="2:21" ht="14.25" customHeight="1" x14ac:dyDescent="0.15">
      <c r="G48"/>
      <c r="L48"/>
    </row>
    <row r="49" spans="1:41" ht="14.25" customHeight="1" x14ac:dyDescent="0.15">
      <c r="K49"/>
    </row>
    <row r="54" spans="1:41" s="43" customFormat="1" ht="14.25" customHeight="1" x14ac:dyDescent="0.15">
      <c r="A54" s="50"/>
      <c r="B54" s="50"/>
      <c r="C54" s="50"/>
      <c r="D54" s="50"/>
      <c r="E54" s="50"/>
      <c r="F54" s="50"/>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row>
    <row r="60" spans="1:41" ht="14.25" customHeight="1" x14ac:dyDescent="0.15">
      <c r="N60"/>
    </row>
    <row r="92" spans="2:11" s="40" customFormat="1" ht="14.25" customHeight="1" x14ac:dyDescent="0.15">
      <c r="B92" s="41" t="s">
        <v>520</v>
      </c>
      <c r="K92" s="42"/>
    </row>
    <row r="93" spans="2:11" s="40" customFormat="1" ht="7.5" customHeight="1" x14ac:dyDescent="0.15"/>
    <row r="94" spans="2:11" ht="14.25" customHeight="1" x14ac:dyDescent="0.25">
      <c r="B94" s="51" t="s">
        <v>521</v>
      </c>
    </row>
    <row r="95" spans="2:11" ht="14.25" customHeight="1" x14ac:dyDescent="0.25">
      <c r="B95" s="51" t="s">
        <v>522</v>
      </c>
    </row>
    <row r="96" spans="2:11" ht="14.25" customHeight="1" x14ac:dyDescent="0.25">
      <c r="B96" s="51" t="s">
        <v>523</v>
      </c>
    </row>
    <row r="97" spans="2:2" ht="14.25" customHeight="1" x14ac:dyDescent="0.25">
      <c r="B97" s="51" t="s">
        <v>524</v>
      </c>
    </row>
    <row r="98" spans="2:2" ht="14.25" customHeight="1" x14ac:dyDescent="0.15">
      <c r="B98" s="52" t="s">
        <v>525</v>
      </c>
    </row>
    <row r="99" spans="2:2" ht="14.25" customHeight="1" x14ac:dyDescent="0.15">
      <c r="B99" s="53" t="s">
        <v>526</v>
      </c>
    </row>
    <row r="100" spans="2:2" ht="14.25" customHeight="1" x14ac:dyDescent="0.15">
      <c r="B100" s="54" t="s">
        <v>527</v>
      </c>
    </row>
  </sheetData>
  <mergeCells count="2">
    <mergeCell ref="B14:H14"/>
    <mergeCell ref="B16:H16"/>
  </mergeCells>
  <phoneticPr fontId="1"/>
  <hyperlinks>
    <hyperlink ref="B9" r:id="rId1"/>
  </hyperlinks>
  <pageMargins left="0.75" right="0.75" top="1" bottom="1" header="0.51200000000000001" footer="0.5120000000000000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P32"/>
  <sheetViews>
    <sheetView tabSelected="1" zoomScale="70" zoomScaleNormal="70" zoomScaleSheetLayoutView="85" workbookViewId="0">
      <selection activeCell="F21" sqref="F21"/>
    </sheetView>
  </sheetViews>
  <sheetFormatPr defaultColWidth="9.375" defaultRowHeight="15.75" customHeight="1" x14ac:dyDescent="0.15"/>
  <cols>
    <col min="1" max="1" width="9.375" style="33"/>
    <col min="2" max="2" width="5" style="6" bestFit="1" customWidth="1"/>
    <col min="3" max="3" width="7.625" style="7" bestFit="1" customWidth="1"/>
    <col min="4" max="4" width="8.5" style="6" bestFit="1" customWidth="1"/>
    <col min="5" max="5" width="5" style="6" bestFit="1" customWidth="1"/>
    <col min="6" max="9" width="6.125" style="6" customWidth="1"/>
    <col min="10" max="10" width="12.25" style="6" bestFit="1" customWidth="1"/>
    <col min="11" max="11" width="11.5" style="6" customWidth="1"/>
    <col min="12" max="13" width="8.5" style="6" bestFit="1" customWidth="1"/>
    <col min="14" max="14" width="9.375" style="6"/>
    <col min="15" max="15" width="5.25" style="6" bestFit="1" customWidth="1"/>
    <col min="16" max="16" width="5.5" style="6" customWidth="1"/>
    <col min="17" max="16384" width="9.375" style="6"/>
  </cols>
  <sheetData>
    <row r="2" spans="2:13" ht="15.75" customHeight="1" x14ac:dyDescent="0.15">
      <c r="B2" s="198" t="s">
        <v>8</v>
      </c>
      <c r="C2" s="198" t="s">
        <v>9</v>
      </c>
      <c r="D2" s="198" t="s">
        <v>10</v>
      </c>
      <c r="E2" s="198" t="s">
        <v>11</v>
      </c>
      <c r="F2" s="199" t="s">
        <v>12</v>
      </c>
      <c r="G2" s="199"/>
      <c r="H2" s="200" t="s">
        <v>13</v>
      </c>
      <c r="I2" s="200"/>
      <c r="J2" s="201" t="s">
        <v>14</v>
      </c>
      <c r="K2" s="201" t="s">
        <v>0</v>
      </c>
      <c r="L2" s="217" t="s">
        <v>590</v>
      </c>
      <c r="M2" s="218"/>
    </row>
    <row r="3" spans="2:13" ht="15.75" customHeight="1" x14ac:dyDescent="0.15">
      <c r="B3" s="202"/>
      <c r="C3" s="198"/>
      <c r="D3" s="198"/>
      <c r="E3" s="198"/>
      <c r="F3" s="203" t="s">
        <v>15</v>
      </c>
      <c r="G3" s="203" t="s">
        <v>16</v>
      </c>
      <c r="H3" s="198" t="s">
        <v>17</v>
      </c>
      <c r="I3" s="198"/>
      <c r="J3" s="204" t="s">
        <v>18</v>
      </c>
      <c r="K3" s="204" t="s">
        <v>19</v>
      </c>
      <c r="L3" s="204" t="s">
        <v>591</v>
      </c>
      <c r="M3" s="204" t="s">
        <v>592</v>
      </c>
    </row>
    <row r="4" spans="2:13" ht="15.75" customHeight="1" x14ac:dyDescent="0.15">
      <c r="B4" s="205">
        <v>1</v>
      </c>
      <c r="C4" s="212">
        <v>1</v>
      </c>
      <c r="D4" s="205" t="s">
        <v>317</v>
      </c>
      <c r="E4" s="205">
        <v>2</v>
      </c>
      <c r="F4" s="205">
        <v>16</v>
      </c>
      <c r="G4" s="205">
        <v>6</v>
      </c>
      <c r="H4" s="206">
        <v>43</v>
      </c>
      <c r="I4" s="208">
        <v>49</v>
      </c>
      <c r="J4" s="209"/>
      <c r="K4" s="205">
        <v>76923</v>
      </c>
      <c r="L4" s="205">
        <v>1</v>
      </c>
      <c r="M4" s="205">
        <v>1</v>
      </c>
    </row>
    <row r="5" spans="2:13" ht="15.75" customHeight="1" x14ac:dyDescent="0.15">
      <c r="B5" s="205">
        <v>2</v>
      </c>
      <c r="C5" s="212">
        <v>0.2</v>
      </c>
      <c r="D5" s="205" t="s">
        <v>318</v>
      </c>
      <c r="E5" s="205">
        <v>50</v>
      </c>
      <c r="F5" s="205">
        <v>20</v>
      </c>
      <c r="G5" s="205">
        <v>10</v>
      </c>
      <c r="H5" s="206">
        <v>43</v>
      </c>
      <c r="I5" s="208">
        <v>49</v>
      </c>
      <c r="J5" s="209"/>
      <c r="K5" s="205">
        <v>76923</v>
      </c>
      <c r="L5" s="205">
        <v>1</v>
      </c>
      <c r="M5" s="205">
        <v>1</v>
      </c>
    </row>
    <row r="6" spans="2:13" ht="15.75" customHeight="1" x14ac:dyDescent="0.15">
      <c r="B6" s="211">
        <v>3</v>
      </c>
      <c r="C6" s="212">
        <v>4.3</v>
      </c>
      <c r="D6" s="205" t="s">
        <v>318</v>
      </c>
      <c r="E6" s="205">
        <v>50</v>
      </c>
      <c r="F6" s="205">
        <v>20</v>
      </c>
      <c r="G6" s="205">
        <v>10</v>
      </c>
      <c r="H6" s="206">
        <v>43</v>
      </c>
      <c r="I6" s="208">
        <v>49</v>
      </c>
      <c r="J6" s="209"/>
      <c r="K6" s="205">
        <v>76923</v>
      </c>
      <c r="L6" s="205">
        <v>1</v>
      </c>
      <c r="M6" s="205">
        <v>1</v>
      </c>
    </row>
    <row r="7" spans="2:13" ht="15.75" customHeight="1" x14ac:dyDescent="0.15">
      <c r="B7" s="211">
        <v>4</v>
      </c>
      <c r="C7" s="212">
        <v>2.2000000000000002</v>
      </c>
      <c r="D7" s="205" t="s">
        <v>318</v>
      </c>
      <c r="E7" s="205">
        <v>50</v>
      </c>
      <c r="F7" s="205">
        <v>20</v>
      </c>
      <c r="G7" s="205">
        <v>10</v>
      </c>
      <c r="H7" s="206">
        <v>43</v>
      </c>
      <c r="I7" s="208">
        <v>49</v>
      </c>
      <c r="J7" s="209"/>
      <c r="K7" s="205">
        <v>76923</v>
      </c>
      <c r="L7" s="205">
        <v>1</v>
      </c>
      <c r="M7" s="205">
        <v>1</v>
      </c>
    </row>
    <row r="8" spans="2:13" ht="15.75" customHeight="1" x14ac:dyDescent="0.15">
      <c r="B8" s="211">
        <v>5</v>
      </c>
      <c r="C8" s="212">
        <v>10</v>
      </c>
      <c r="D8" s="205" t="s">
        <v>318</v>
      </c>
      <c r="E8" s="205">
        <v>50</v>
      </c>
      <c r="F8" s="205">
        <v>20</v>
      </c>
      <c r="G8" s="205">
        <v>10</v>
      </c>
      <c r="H8" s="206">
        <v>43</v>
      </c>
      <c r="I8" s="208">
        <v>49</v>
      </c>
      <c r="J8" s="209"/>
      <c r="K8" s="205">
        <v>76923</v>
      </c>
      <c r="L8" s="205">
        <v>1</v>
      </c>
      <c r="M8" s="205">
        <v>1</v>
      </c>
    </row>
    <row r="9" spans="2:13" ht="15.75" customHeight="1" x14ac:dyDescent="0.15">
      <c r="B9" s="211">
        <v>6</v>
      </c>
      <c r="C9" s="212">
        <v>20</v>
      </c>
      <c r="D9" s="205" t="s">
        <v>318</v>
      </c>
      <c r="E9" s="205">
        <v>50</v>
      </c>
      <c r="F9" s="205">
        <v>20</v>
      </c>
      <c r="G9" s="205">
        <v>10</v>
      </c>
      <c r="H9" s="206">
        <v>43</v>
      </c>
      <c r="I9" s="208">
        <v>49</v>
      </c>
      <c r="J9" s="209"/>
      <c r="K9" s="205">
        <v>76923</v>
      </c>
      <c r="L9" s="205">
        <v>1</v>
      </c>
      <c r="M9" s="205">
        <v>1</v>
      </c>
    </row>
    <row r="10" spans="2:13" s="33" customFormat="1" ht="15.75" customHeight="1" x14ac:dyDescent="0.15">
      <c r="B10" s="211"/>
      <c r="C10" s="212"/>
      <c r="D10" s="213"/>
      <c r="E10" s="209"/>
      <c r="F10" s="214"/>
      <c r="G10" s="214"/>
      <c r="H10" s="207"/>
      <c r="I10" s="208"/>
      <c r="J10" s="209"/>
      <c r="K10" s="210"/>
      <c r="L10" s="205"/>
      <c r="M10" s="205"/>
    </row>
    <row r="11" spans="2:13" s="33" customFormat="1" ht="15.75" customHeight="1" x14ac:dyDescent="0.15">
      <c r="B11" s="211"/>
      <c r="C11" s="212"/>
      <c r="D11" s="213"/>
      <c r="E11" s="209"/>
      <c r="F11" s="214"/>
      <c r="G11" s="214"/>
      <c r="H11" s="207"/>
      <c r="I11" s="208"/>
      <c r="J11" s="209"/>
      <c r="K11" s="210"/>
      <c r="L11" s="205"/>
      <c r="M11" s="205"/>
    </row>
    <row r="12" spans="2:13" s="33" customFormat="1" ht="15.75" customHeight="1" x14ac:dyDescent="0.15">
      <c r="B12" s="211"/>
      <c r="C12" s="212"/>
      <c r="D12" s="213"/>
      <c r="E12" s="209"/>
      <c r="F12" s="214"/>
      <c r="G12" s="214"/>
      <c r="H12" s="207"/>
      <c r="I12" s="208"/>
      <c r="J12" s="209"/>
      <c r="K12" s="210"/>
      <c r="L12" s="205"/>
      <c r="M12" s="205"/>
    </row>
    <row r="13" spans="2:13" s="33" customFormat="1" ht="15.75" customHeight="1" x14ac:dyDescent="0.15">
      <c r="B13" s="211"/>
      <c r="C13" s="212"/>
      <c r="D13" s="213"/>
      <c r="E13" s="209"/>
      <c r="F13" s="214"/>
      <c r="G13" s="214"/>
      <c r="H13" s="207"/>
      <c r="I13" s="208"/>
      <c r="J13" s="209"/>
      <c r="K13" s="210"/>
      <c r="L13" s="205"/>
      <c r="M13" s="205"/>
    </row>
    <row r="14" spans="2:13" s="33" customFormat="1" ht="15.75" customHeight="1" x14ac:dyDescent="0.15">
      <c r="B14" s="211"/>
      <c r="C14" s="212"/>
      <c r="D14" s="213"/>
      <c r="E14" s="209"/>
      <c r="F14" s="214"/>
      <c r="G14" s="214"/>
      <c r="H14" s="207"/>
      <c r="I14" s="208"/>
      <c r="J14" s="209"/>
      <c r="K14" s="210"/>
      <c r="L14" s="205"/>
      <c r="M14" s="205"/>
    </row>
    <row r="15" spans="2:13" ht="15.75" customHeight="1" x14ac:dyDescent="0.15">
      <c r="B15" s="211"/>
      <c r="C15" s="212"/>
      <c r="D15" s="213"/>
      <c r="E15" s="209"/>
      <c r="F15" s="214"/>
      <c r="G15" s="214"/>
      <c r="H15" s="207"/>
      <c r="I15" s="208"/>
      <c r="J15" s="209"/>
      <c r="K15" s="210"/>
      <c r="L15" s="205"/>
      <c r="M15" s="205"/>
    </row>
    <row r="16" spans="2:13" ht="15.75" customHeight="1" x14ac:dyDescent="0.15">
      <c r="B16" s="211"/>
      <c r="C16" s="212"/>
      <c r="D16" s="213"/>
      <c r="E16" s="209"/>
      <c r="F16" s="214"/>
      <c r="G16" s="214"/>
      <c r="H16" s="207"/>
      <c r="I16" s="208"/>
      <c r="J16" s="209"/>
      <c r="K16" s="210"/>
      <c r="L16" s="205"/>
      <c r="M16" s="205"/>
    </row>
    <row r="17" spans="2:16" ht="15.75" customHeight="1" x14ac:dyDescent="0.15">
      <c r="B17" s="211"/>
      <c r="C17" s="212"/>
      <c r="D17" s="213"/>
      <c r="E17" s="209"/>
      <c r="F17" s="214"/>
      <c r="G17" s="214"/>
      <c r="H17" s="207"/>
      <c r="I17" s="208"/>
      <c r="J17" s="209"/>
      <c r="K17" s="210"/>
      <c r="L17" s="205"/>
      <c r="M17" s="205"/>
    </row>
    <row r="18" spans="2:16" ht="15.75" customHeight="1" x14ac:dyDescent="0.15">
      <c r="B18" s="211"/>
      <c r="C18" s="212"/>
      <c r="D18" s="213"/>
      <c r="E18" s="209"/>
      <c r="F18" s="214"/>
      <c r="G18" s="214"/>
      <c r="H18" s="207"/>
      <c r="I18" s="208"/>
      <c r="J18" s="209"/>
      <c r="K18" s="210"/>
      <c r="L18" s="205"/>
      <c r="M18" s="205"/>
    </row>
    <row r="19" spans="2:16" ht="15.75" customHeight="1" x14ac:dyDescent="0.15">
      <c r="B19" s="211"/>
      <c r="C19" s="212"/>
      <c r="D19" s="213"/>
      <c r="E19" s="209"/>
      <c r="F19" s="214"/>
      <c r="G19" s="214"/>
      <c r="H19" s="207"/>
      <c r="I19" s="208"/>
      <c r="J19" s="209"/>
      <c r="K19" s="210"/>
      <c r="L19" s="205"/>
      <c r="M19" s="205"/>
    </row>
    <row r="20" spans="2:16" s="33" customFormat="1" ht="15.75" customHeight="1" x14ac:dyDescent="0.15">
      <c r="B20" s="230"/>
      <c r="C20" s="231"/>
      <c r="D20" s="216"/>
      <c r="E20" s="232"/>
      <c r="F20" s="233"/>
      <c r="G20" s="233"/>
      <c r="H20" s="234"/>
      <c r="I20" s="234"/>
      <c r="J20" s="232"/>
      <c r="K20" s="235"/>
      <c r="L20" s="197"/>
      <c r="M20" s="197"/>
    </row>
    <row r="21" spans="2:16" ht="15.75" customHeight="1" x14ac:dyDescent="0.15">
      <c r="B21" s="7"/>
      <c r="C21" s="5"/>
      <c r="D21" s="5"/>
      <c r="E21" s="5"/>
      <c r="F21" s="7"/>
      <c r="G21" s="7"/>
      <c r="H21" s="7"/>
      <c r="I21" s="7"/>
      <c r="J21" s="7"/>
      <c r="K21" s="7"/>
    </row>
    <row r="22" spans="2:16" ht="15.75" customHeight="1" x14ac:dyDescent="0.15">
      <c r="G22" s="78" t="s">
        <v>449</v>
      </c>
      <c r="H22" s="78"/>
      <c r="J22" s="36" t="s">
        <v>593</v>
      </c>
      <c r="L22" s="229" t="s">
        <v>595</v>
      </c>
      <c r="M22" s="34"/>
      <c r="N22" s="34"/>
      <c r="O22" s="34"/>
      <c r="P22" s="35"/>
    </row>
    <row r="23" spans="2:16" ht="15.75" customHeight="1" x14ac:dyDescent="0.15">
      <c r="C23" s="6"/>
      <c r="G23" s="219">
        <v>1.3</v>
      </c>
      <c r="H23" s="219"/>
      <c r="J23" s="221" t="s">
        <v>594</v>
      </c>
      <c r="L23" s="222"/>
      <c r="M23" s="33"/>
      <c r="N23" s="33"/>
      <c r="O23" s="33"/>
      <c r="P23" s="223"/>
    </row>
    <row r="24" spans="2:16" ht="15.75" customHeight="1" x14ac:dyDescent="0.15">
      <c r="C24" s="6"/>
      <c r="G24" s="7"/>
      <c r="H24" s="7"/>
      <c r="L24" s="224" t="s">
        <v>602</v>
      </c>
      <c r="M24" s="33" t="s">
        <v>597</v>
      </c>
      <c r="N24" s="215">
        <v>1.3</v>
      </c>
      <c r="O24" s="33" t="s">
        <v>598</v>
      </c>
      <c r="P24" s="225">
        <v>1</v>
      </c>
    </row>
    <row r="25" spans="2:16" ht="15.75" customHeight="1" x14ac:dyDescent="0.15">
      <c r="G25" s="78" t="s">
        <v>448</v>
      </c>
      <c r="H25" s="78"/>
      <c r="J25" s="36" t="s">
        <v>12</v>
      </c>
      <c r="L25" s="222"/>
      <c r="M25" s="33" t="s">
        <v>599</v>
      </c>
      <c r="N25" s="215">
        <v>1.3</v>
      </c>
      <c r="O25" s="33" t="s">
        <v>600</v>
      </c>
      <c r="P25" s="225">
        <v>1</v>
      </c>
    </row>
    <row r="26" spans="2:16" ht="15.75" customHeight="1" x14ac:dyDescent="0.15">
      <c r="G26" s="220">
        <v>13</v>
      </c>
      <c r="H26" s="220"/>
      <c r="J26" s="221">
        <v>24.5</v>
      </c>
      <c r="L26" s="222"/>
      <c r="M26" s="33"/>
      <c r="N26" s="33"/>
      <c r="O26" s="33"/>
      <c r="P26" s="223"/>
    </row>
    <row r="27" spans="2:16" ht="15.75" customHeight="1" x14ac:dyDescent="0.15">
      <c r="G27" s="7"/>
      <c r="H27" s="7"/>
      <c r="L27" s="224" t="s">
        <v>601</v>
      </c>
      <c r="M27" s="33" t="s">
        <v>597</v>
      </c>
      <c r="N27" s="215">
        <v>1.3</v>
      </c>
      <c r="O27" s="33" t="s">
        <v>598</v>
      </c>
      <c r="P27" s="225">
        <v>1</v>
      </c>
    </row>
    <row r="28" spans="2:16" ht="15.75" customHeight="1" x14ac:dyDescent="0.15">
      <c r="G28" s="78" t="s">
        <v>588</v>
      </c>
      <c r="H28" s="78"/>
      <c r="J28" s="36" t="s">
        <v>596</v>
      </c>
      <c r="L28" s="222"/>
      <c r="M28" s="33" t="s">
        <v>599</v>
      </c>
      <c r="N28" s="215">
        <v>1.3</v>
      </c>
      <c r="O28" s="33" t="s">
        <v>600</v>
      </c>
      <c r="P28" s="225">
        <v>1</v>
      </c>
    </row>
    <row r="29" spans="2:16" ht="15.75" customHeight="1" x14ac:dyDescent="0.15">
      <c r="G29" s="220">
        <v>2.2999999999999998</v>
      </c>
      <c r="H29" s="220"/>
      <c r="J29" s="221">
        <v>22.4</v>
      </c>
      <c r="L29" s="226"/>
      <c r="M29" s="227"/>
      <c r="N29" s="227"/>
      <c r="O29" s="227"/>
      <c r="P29" s="228"/>
    </row>
    <row r="30" spans="2:16" ht="15.75" customHeight="1" x14ac:dyDescent="0.15">
      <c r="G30" s="7"/>
      <c r="H30" s="7"/>
    </row>
    <row r="31" spans="2:16" ht="15.75" customHeight="1" x14ac:dyDescent="0.15">
      <c r="G31" s="78" t="s">
        <v>589</v>
      </c>
      <c r="H31" s="78"/>
    </row>
    <row r="32" spans="2:16" ht="15.75" customHeight="1" x14ac:dyDescent="0.15">
      <c r="G32" s="220">
        <v>2</v>
      </c>
      <c r="H32" s="220"/>
    </row>
  </sheetData>
  <mergeCells count="16">
    <mergeCell ref="G31:H31"/>
    <mergeCell ref="G32:H32"/>
    <mergeCell ref="L2:M2"/>
    <mergeCell ref="G22:H22"/>
    <mergeCell ref="G23:H23"/>
    <mergeCell ref="G25:H25"/>
    <mergeCell ref="G26:H26"/>
    <mergeCell ref="G28:H28"/>
    <mergeCell ref="G29:H29"/>
    <mergeCell ref="B2:B3"/>
    <mergeCell ref="C2:C3"/>
    <mergeCell ref="D2:D3"/>
    <mergeCell ref="H3:I3"/>
    <mergeCell ref="E2:E3"/>
    <mergeCell ref="F2:G2"/>
    <mergeCell ref="H2:I2"/>
  </mergeCells>
  <phoneticPr fontId="1"/>
  <pageMargins left="1.0629921259842521" right="0.19685039370078741" top="0.98425196850393704" bottom="0.59055118110236227" header="0.51181102362204722" footer="0.51181102362204722"/>
  <pageSetup paperSize="9"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CE1122"/>
  <sheetViews>
    <sheetView view="pageBreakPreview" topLeftCell="A337" zoomScaleNormal="90" zoomScaleSheetLayoutView="100" workbookViewId="0">
      <selection activeCell="A11" sqref="A11"/>
    </sheetView>
  </sheetViews>
  <sheetFormatPr defaultColWidth="2.625" defaultRowHeight="15.75" customHeight="1" x14ac:dyDescent="0.15"/>
  <cols>
    <col min="1" max="1" width="9.75" style="6" customWidth="1"/>
    <col min="2" max="2" width="2.75" style="6" customWidth="1"/>
    <col min="3" max="3" width="2.625" style="7" customWidth="1"/>
    <col min="4" max="4" width="2.625" style="6" customWidth="1"/>
    <col min="5" max="5" width="2.625" style="7" customWidth="1"/>
    <col min="6" max="10" width="2.625" style="6"/>
    <col min="11" max="11" width="2.625" style="6" customWidth="1"/>
    <col min="12" max="13" width="2.625" style="6"/>
    <col min="14" max="14" width="2.625" style="6" customWidth="1"/>
    <col min="15" max="15" width="2.625" style="6"/>
    <col min="16" max="16" width="2.625" style="6" customWidth="1"/>
    <col min="17" max="39" width="2.625" style="6"/>
    <col min="57" max="57" width="2.625" style="6"/>
    <col min="58" max="58" width="2.625" style="33"/>
    <col min="59" max="59" width="2.625" style="6"/>
    <col min="60" max="60" width="2.625" style="33"/>
    <col min="61" max="61" width="2.625" style="6"/>
    <col min="62" max="62" width="2.625" style="33"/>
    <col min="63" max="63" width="2.625" style="6"/>
    <col min="64" max="65" width="2.625" style="33"/>
    <col min="66" max="66" width="2.625" style="6"/>
    <col min="67" max="70" width="2.625" style="33"/>
    <col min="71" max="71" width="2.625" style="6"/>
    <col min="72" max="74" width="2.625" style="33"/>
    <col min="75" max="75" width="2.625" style="6"/>
    <col min="76" max="77" width="2.625" style="33"/>
    <col min="78" max="78" width="2.625" style="6"/>
    <col min="79" max="79" width="2.625" style="33"/>
    <col min="80" max="16384" width="2.625" style="6"/>
  </cols>
  <sheetData>
    <row r="2" spans="3:35" ht="15.75" customHeight="1" x14ac:dyDescent="0.15">
      <c r="C2" s="5" t="s">
        <v>20</v>
      </c>
    </row>
    <row r="3" spans="3:35" ht="15.75" customHeight="1" x14ac:dyDescent="0.15">
      <c r="E3" s="7" t="s">
        <v>21</v>
      </c>
    </row>
    <row r="5" spans="3:35" ht="15.75" customHeight="1" x14ac:dyDescent="0.15">
      <c r="D5" s="5" t="s">
        <v>22</v>
      </c>
    </row>
    <row r="7" spans="3:35" ht="15.75" customHeight="1" x14ac:dyDescent="0.15">
      <c r="D7" s="7" t="s">
        <v>23</v>
      </c>
      <c r="M7" s="12" t="s">
        <v>24</v>
      </c>
    </row>
    <row r="8" spans="3:35" ht="15.75" customHeight="1" x14ac:dyDescent="0.15">
      <c r="D8" s="7"/>
      <c r="M8" s="12"/>
    </row>
    <row r="9" spans="3:35" s="7" customFormat="1" ht="15.75" customHeight="1" x14ac:dyDescent="0.15">
      <c r="F9" s="7" t="s">
        <v>204</v>
      </c>
    </row>
    <row r="10" spans="3:35" s="7" customFormat="1" ht="15.75" customHeight="1" x14ac:dyDescent="0.15">
      <c r="F10" s="7" t="s">
        <v>25</v>
      </c>
    </row>
    <row r="11" spans="3:35" s="7" customFormat="1" ht="15.75" customHeight="1" x14ac:dyDescent="0.15"/>
    <row r="12" spans="3:35" s="7" customFormat="1" ht="15.75" customHeight="1" x14ac:dyDescent="0.15"/>
    <row r="13" spans="3:35" s="7" customFormat="1" ht="15.75" customHeight="1" x14ac:dyDescent="0.15">
      <c r="U13" s="122" t="s">
        <v>208</v>
      </c>
      <c r="V13" s="122"/>
      <c r="W13" s="122"/>
      <c r="X13" s="122"/>
      <c r="Y13" s="122"/>
      <c r="Z13" s="122"/>
      <c r="AA13" s="122"/>
      <c r="AB13" s="122"/>
      <c r="AC13" s="122"/>
      <c r="AD13" s="122"/>
      <c r="AE13" s="122"/>
      <c r="AF13" s="122"/>
      <c r="AG13" s="122"/>
      <c r="AH13" s="122"/>
      <c r="AI13" s="122"/>
    </row>
    <row r="14" spans="3:35" s="7" customFormat="1" ht="15.75" customHeight="1" x14ac:dyDescent="0.15">
      <c r="U14" s="72" t="s">
        <v>26</v>
      </c>
      <c r="V14" s="72"/>
      <c r="W14" s="72"/>
      <c r="X14" s="72"/>
      <c r="Y14" s="72"/>
      <c r="Z14" s="72"/>
      <c r="AA14" s="72"/>
      <c r="AB14" s="72" t="s">
        <v>27</v>
      </c>
      <c r="AC14" s="72"/>
      <c r="AD14" s="72"/>
      <c r="AE14" s="72"/>
      <c r="AF14" s="72" t="s">
        <v>28</v>
      </c>
      <c r="AG14" s="72"/>
      <c r="AH14" s="72"/>
      <c r="AI14" s="72"/>
    </row>
    <row r="15" spans="3:35" s="7" customFormat="1" ht="15.75" customHeight="1" x14ac:dyDescent="0.15">
      <c r="U15" s="72" t="str">
        <f>入力!J23</f>
        <v>場所打ち杭</v>
      </c>
      <c r="V15" s="72"/>
      <c r="W15" s="72"/>
      <c r="X15" s="72"/>
      <c r="Y15" s="72"/>
      <c r="Z15" s="72"/>
      <c r="AA15" s="72"/>
      <c r="AB15" s="72">
        <v>0.6</v>
      </c>
      <c r="AC15" s="72"/>
      <c r="AD15" s="72"/>
      <c r="AE15" s="72"/>
      <c r="AF15" s="72">
        <v>1.4</v>
      </c>
      <c r="AG15" s="72"/>
      <c r="AH15" s="72"/>
      <c r="AI15" s="72"/>
    </row>
    <row r="16" spans="3:35" s="7" customFormat="1" ht="15.75" customHeight="1" x14ac:dyDescent="0.2">
      <c r="Y16" s="183" t="s">
        <v>30</v>
      </c>
      <c r="Z16" s="183"/>
      <c r="AA16" s="6" t="s">
        <v>29</v>
      </c>
      <c r="AB16" s="183" t="s">
        <v>32</v>
      </c>
      <c r="AC16" s="183"/>
      <c r="AD16" s="6" t="s">
        <v>1</v>
      </c>
      <c r="AE16" s="69" t="s">
        <v>34</v>
      </c>
      <c r="AF16" s="69"/>
    </row>
    <row r="17" spans="5:35" s="7" customFormat="1" ht="15.75" customHeight="1" x14ac:dyDescent="0.2">
      <c r="Y17" s="69" t="s">
        <v>31</v>
      </c>
      <c r="Z17" s="69"/>
      <c r="AA17" s="6" t="s">
        <v>29</v>
      </c>
      <c r="AB17" s="69" t="s">
        <v>33</v>
      </c>
      <c r="AC17" s="69"/>
      <c r="AD17" s="6" t="s">
        <v>1</v>
      </c>
      <c r="AE17" s="69" t="s">
        <v>34</v>
      </c>
      <c r="AF17" s="69"/>
    </row>
    <row r="18" spans="5:35" s="7" customFormat="1" ht="15.75" customHeight="1" x14ac:dyDescent="0.2">
      <c r="J18" s="13" t="s">
        <v>36</v>
      </c>
      <c r="W18" s="69" t="s">
        <v>34</v>
      </c>
      <c r="X18" s="69"/>
      <c r="Y18" s="6" t="s">
        <v>2</v>
      </c>
      <c r="Z18" s="7" t="s">
        <v>35</v>
      </c>
    </row>
    <row r="19" spans="5:35" s="7" customFormat="1" ht="15.75" customHeight="1" x14ac:dyDescent="0.15"/>
    <row r="20" spans="5:35" s="7" customFormat="1" ht="15.75" customHeight="1" x14ac:dyDescent="0.15"/>
    <row r="21" spans="5:35" s="7" customFormat="1" ht="15.75" customHeight="1" x14ac:dyDescent="0.15">
      <c r="E21" s="182" t="s">
        <v>205</v>
      </c>
      <c r="F21" s="182"/>
      <c r="G21" s="182"/>
      <c r="H21" s="182"/>
      <c r="I21" s="182"/>
      <c r="J21" s="182"/>
      <c r="K21" s="182"/>
      <c r="L21" s="182"/>
      <c r="M21" s="182"/>
      <c r="N21" s="182"/>
      <c r="O21" s="182"/>
      <c r="P21" s="182"/>
      <c r="Q21" s="182"/>
      <c r="R21" s="182"/>
      <c r="S21" s="182"/>
      <c r="T21" s="182"/>
    </row>
    <row r="22" spans="5:35" s="7" customFormat="1" ht="15.75" customHeight="1" x14ac:dyDescent="0.15"/>
    <row r="23" spans="5:35" s="7" customFormat="1" ht="15.75" customHeight="1" x14ac:dyDescent="0.15"/>
    <row r="24" spans="5:35" s="7" customFormat="1" ht="15.75" customHeight="1" x14ac:dyDescent="0.15">
      <c r="U24" s="122" t="s">
        <v>209</v>
      </c>
      <c r="V24" s="122"/>
      <c r="W24" s="122"/>
      <c r="X24" s="122"/>
      <c r="Y24" s="122"/>
      <c r="Z24" s="122"/>
      <c r="AA24" s="122"/>
      <c r="AB24" s="122"/>
      <c r="AC24" s="122"/>
      <c r="AD24" s="122"/>
      <c r="AE24" s="122"/>
      <c r="AF24" s="122"/>
      <c r="AG24" s="122"/>
      <c r="AH24" s="122"/>
      <c r="AI24" s="122"/>
    </row>
    <row r="25" spans="5:35" s="7" customFormat="1" ht="15.75" customHeight="1" x14ac:dyDescent="0.15">
      <c r="U25" s="72" t="s">
        <v>26</v>
      </c>
      <c r="V25" s="72"/>
      <c r="W25" s="72"/>
      <c r="X25" s="72"/>
      <c r="Y25" s="72"/>
      <c r="Z25" s="72"/>
      <c r="AA25" s="72"/>
      <c r="AB25" s="72" t="s">
        <v>37</v>
      </c>
      <c r="AC25" s="72"/>
      <c r="AD25" s="72"/>
      <c r="AE25" s="72"/>
      <c r="AF25" s="72" t="s">
        <v>38</v>
      </c>
      <c r="AG25" s="72"/>
      <c r="AH25" s="72"/>
      <c r="AI25" s="72"/>
    </row>
    <row r="26" spans="5:35" s="7" customFormat="1" ht="15.75" customHeight="1" x14ac:dyDescent="0.15">
      <c r="U26" s="72" t="str">
        <f>U15</f>
        <v>場所打ち杭</v>
      </c>
      <c r="V26" s="72"/>
      <c r="W26" s="72"/>
      <c r="X26" s="72"/>
      <c r="Y26" s="72"/>
      <c r="Z26" s="72"/>
      <c r="AA26" s="72"/>
      <c r="AB26" s="72">
        <v>1.2</v>
      </c>
      <c r="AC26" s="72"/>
      <c r="AD26" s="72"/>
      <c r="AE26" s="72"/>
      <c r="AF26" s="72">
        <v>1.4</v>
      </c>
      <c r="AG26" s="72"/>
      <c r="AH26" s="72"/>
      <c r="AI26" s="72"/>
    </row>
    <row r="27" spans="5:35" s="7" customFormat="1" ht="15.75" customHeight="1" x14ac:dyDescent="0.2">
      <c r="Y27" s="183" t="s">
        <v>39</v>
      </c>
      <c r="Z27" s="183"/>
      <c r="AA27" s="6" t="s">
        <v>29</v>
      </c>
      <c r="AB27" s="183" t="s">
        <v>41</v>
      </c>
      <c r="AC27" s="183"/>
      <c r="AD27" s="6" t="s">
        <v>1</v>
      </c>
      <c r="AE27" s="69" t="s">
        <v>43</v>
      </c>
      <c r="AF27" s="69"/>
    </row>
    <row r="28" spans="5:35" s="7" customFormat="1" ht="15.75" customHeight="1" x14ac:dyDescent="0.2">
      <c r="Y28" s="69" t="s">
        <v>40</v>
      </c>
      <c r="Z28" s="69"/>
      <c r="AA28" s="6" t="s">
        <v>29</v>
      </c>
      <c r="AB28" s="69" t="s">
        <v>42</v>
      </c>
      <c r="AC28" s="69"/>
      <c r="AD28" s="6" t="s">
        <v>1</v>
      </c>
      <c r="AE28" s="69" t="s">
        <v>43</v>
      </c>
      <c r="AF28" s="69"/>
    </row>
    <row r="29" spans="5:35" s="7" customFormat="1" ht="15.75" customHeight="1" x14ac:dyDescent="0.2">
      <c r="J29" s="13" t="s">
        <v>45</v>
      </c>
      <c r="W29" s="69" t="s">
        <v>43</v>
      </c>
      <c r="X29" s="69"/>
      <c r="Y29" s="6" t="s">
        <v>2</v>
      </c>
      <c r="Z29" s="7" t="s">
        <v>44</v>
      </c>
    </row>
    <row r="30" spans="5:35" s="7" customFormat="1" ht="15.75" customHeight="1" x14ac:dyDescent="0.15"/>
    <row r="31" spans="5:35" s="7" customFormat="1" ht="15.75" customHeight="1" x14ac:dyDescent="0.15"/>
    <row r="32" spans="5:35" s="7" customFormat="1" ht="15.75" customHeight="1" x14ac:dyDescent="0.15">
      <c r="E32" s="182" t="s">
        <v>206</v>
      </c>
      <c r="F32" s="182"/>
      <c r="G32" s="182"/>
      <c r="H32" s="182"/>
      <c r="I32" s="182"/>
      <c r="J32" s="182"/>
      <c r="K32" s="182"/>
      <c r="L32" s="182"/>
      <c r="M32" s="182"/>
      <c r="N32" s="182"/>
      <c r="O32" s="182"/>
      <c r="P32" s="182"/>
      <c r="Q32" s="182"/>
      <c r="R32" s="182"/>
      <c r="S32" s="182"/>
      <c r="T32" s="182"/>
    </row>
    <row r="33" spans="4:20" s="7" customFormat="1" ht="15.75" customHeight="1" x14ac:dyDescent="0.15"/>
    <row r="34" spans="4:20" s="7" customFormat="1" ht="15.75" customHeight="1" x14ac:dyDescent="0.15"/>
    <row r="35" spans="4:20" s="7" customFormat="1" ht="15.75" customHeight="1" x14ac:dyDescent="0.15"/>
    <row r="36" spans="4:20" s="7" customFormat="1" ht="15.75" customHeight="1" x14ac:dyDescent="0.15"/>
    <row r="37" spans="4:20" s="7" customFormat="1" ht="15.75" customHeight="1" x14ac:dyDescent="0.15"/>
    <row r="38" spans="4:20" s="7" customFormat="1" ht="15.75" customHeight="1" x14ac:dyDescent="0.15"/>
    <row r="39" spans="4:20" s="7" customFormat="1" ht="15.75" customHeight="1" x14ac:dyDescent="0.15"/>
    <row r="40" spans="4:20" s="7" customFormat="1" ht="15.75" customHeight="1" x14ac:dyDescent="0.15">
      <c r="J40" s="13" t="s">
        <v>46</v>
      </c>
    </row>
    <row r="41" spans="4:20" s="7" customFormat="1" ht="15.75" customHeight="1" x14ac:dyDescent="0.15"/>
    <row r="42" spans="4:20" s="7" customFormat="1" ht="15.75" customHeight="1" x14ac:dyDescent="0.15"/>
    <row r="43" spans="4:20" s="7" customFormat="1" ht="15.75" customHeight="1" x14ac:dyDescent="0.15">
      <c r="E43" s="182" t="s">
        <v>207</v>
      </c>
      <c r="F43" s="182"/>
      <c r="G43" s="182"/>
      <c r="H43" s="182"/>
      <c r="I43" s="182"/>
      <c r="J43" s="182"/>
      <c r="K43" s="182"/>
      <c r="L43" s="182"/>
      <c r="M43" s="182"/>
      <c r="N43" s="182"/>
      <c r="O43" s="182"/>
      <c r="P43" s="182"/>
      <c r="Q43" s="182"/>
      <c r="R43" s="182"/>
      <c r="S43" s="182"/>
      <c r="T43" s="182"/>
    </row>
    <row r="44" spans="4:20" s="7" customFormat="1" ht="15.75" customHeight="1" x14ac:dyDescent="0.15"/>
    <row r="45" spans="4:20" s="7" customFormat="1" ht="15.75" customHeight="1" x14ac:dyDescent="0.15"/>
    <row r="46" spans="4:20" s="7" customFormat="1" ht="15.75" customHeight="1" x14ac:dyDescent="0.15"/>
    <row r="47" spans="4:20" s="7" customFormat="1" ht="15.75" customHeight="1" x14ac:dyDescent="0.15"/>
    <row r="48" spans="4:20" ht="15.75" customHeight="1" x14ac:dyDescent="0.15">
      <c r="D48" s="7" t="s">
        <v>47</v>
      </c>
      <c r="M48" s="12"/>
    </row>
    <row r="49" spans="4:36" s="7" customFormat="1" ht="15.75" customHeight="1" x14ac:dyDescent="0.15"/>
    <row r="50" spans="4:36" s="7" customFormat="1" ht="15.75" customHeight="1" x14ac:dyDescent="0.15">
      <c r="F50" s="7" t="s">
        <v>210</v>
      </c>
    </row>
    <row r="51" spans="4:36" s="7" customFormat="1" ht="15.75" customHeight="1" x14ac:dyDescent="0.15">
      <c r="F51" s="7" t="s">
        <v>48</v>
      </c>
    </row>
    <row r="52" spans="4:36" s="7" customFormat="1" ht="15.75" customHeight="1" x14ac:dyDescent="0.15"/>
    <row r="53" spans="4:36" s="7" customFormat="1" ht="15.75" customHeight="1" x14ac:dyDescent="0.15">
      <c r="D53" s="83" t="s">
        <v>211</v>
      </c>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row>
    <row r="54" spans="4:36" s="7" customFormat="1" ht="15.75" customHeight="1" x14ac:dyDescent="0.15">
      <c r="D54" s="91" t="s">
        <v>62</v>
      </c>
      <c r="E54" s="72"/>
      <c r="F54" s="72"/>
      <c r="G54" s="72"/>
      <c r="H54" s="72" t="s">
        <v>53</v>
      </c>
      <c r="I54" s="72"/>
      <c r="J54" s="72"/>
      <c r="K54" s="72"/>
      <c r="L54" s="72"/>
      <c r="M54" s="72"/>
      <c r="N54" s="72"/>
      <c r="O54" s="72"/>
      <c r="P54" s="72"/>
      <c r="Q54" s="72" t="s">
        <v>54</v>
      </c>
      <c r="R54" s="72"/>
      <c r="S54" s="72"/>
      <c r="T54" s="72"/>
      <c r="U54" s="72"/>
      <c r="V54" s="72"/>
      <c r="W54" s="72"/>
      <c r="X54" s="72"/>
      <c r="Y54" s="72"/>
      <c r="Z54" s="185" t="s">
        <v>58</v>
      </c>
      <c r="AA54" s="185"/>
      <c r="AB54" s="185"/>
      <c r="AC54" s="185"/>
      <c r="AD54" s="185"/>
      <c r="AE54" s="185"/>
      <c r="AF54" s="185"/>
      <c r="AG54" s="185"/>
      <c r="AH54" s="186"/>
      <c r="AI54" s="14"/>
      <c r="AJ54" s="14"/>
    </row>
    <row r="55" spans="4:36" s="7" customFormat="1" ht="15.75" customHeight="1" x14ac:dyDescent="0.15">
      <c r="D55" s="91"/>
      <c r="E55" s="72"/>
      <c r="F55" s="72"/>
      <c r="G55" s="72"/>
      <c r="H55" s="72"/>
      <c r="I55" s="72"/>
      <c r="J55" s="72"/>
      <c r="K55" s="72"/>
      <c r="L55" s="72"/>
      <c r="M55" s="72"/>
      <c r="N55" s="72"/>
      <c r="O55" s="72"/>
      <c r="P55" s="72"/>
      <c r="Q55" s="72"/>
      <c r="R55" s="72"/>
      <c r="S55" s="72"/>
      <c r="T55" s="72"/>
      <c r="U55" s="72"/>
      <c r="V55" s="72"/>
      <c r="W55" s="72"/>
      <c r="X55" s="72"/>
      <c r="Y55" s="72"/>
      <c r="Z55" s="185"/>
      <c r="AA55" s="185"/>
      <c r="AB55" s="185"/>
      <c r="AC55" s="185"/>
      <c r="AD55" s="185"/>
      <c r="AE55" s="185"/>
      <c r="AF55" s="185"/>
      <c r="AG55" s="185"/>
      <c r="AH55" s="186"/>
      <c r="AI55" s="14"/>
      <c r="AJ55" s="14"/>
    </row>
    <row r="56" spans="4:36" s="7" customFormat="1" ht="15.75" customHeight="1" x14ac:dyDescent="0.15">
      <c r="D56" s="91" t="s">
        <v>49</v>
      </c>
      <c r="E56" s="72"/>
      <c r="F56" s="72"/>
      <c r="G56" s="72"/>
      <c r="H56" s="180" t="s">
        <v>51</v>
      </c>
      <c r="I56" s="180"/>
      <c r="J56" s="180"/>
      <c r="K56" s="180"/>
      <c r="L56" s="180"/>
      <c r="M56" s="180"/>
      <c r="N56" s="180"/>
      <c r="O56" s="180"/>
      <c r="P56" s="180"/>
      <c r="Q56" s="72" t="s">
        <v>52</v>
      </c>
      <c r="R56" s="72"/>
      <c r="S56" s="72"/>
      <c r="T56" s="72"/>
      <c r="U56" s="72"/>
      <c r="V56" s="72"/>
      <c r="W56" s="72"/>
      <c r="X56" s="72"/>
      <c r="Y56" s="72"/>
      <c r="Z56" s="72" t="s">
        <v>72</v>
      </c>
      <c r="AA56" s="72"/>
      <c r="AB56" s="72"/>
      <c r="AC56" s="72"/>
      <c r="AD56" s="72"/>
      <c r="AE56" s="72"/>
      <c r="AF56" s="72"/>
      <c r="AG56" s="72"/>
      <c r="AH56" s="121"/>
      <c r="AI56" s="2"/>
      <c r="AJ56" s="2"/>
    </row>
    <row r="57" spans="4:36" s="7" customFormat="1" ht="15.75" customHeight="1" x14ac:dyDescent="0.15">
      <c r="D57" s="91"/>
      <c r="E57" s="72"/>
      <c r="F57" s="72"/>
      <c r="G57" s="72"/>
      <c r="H57" s="180"/>
      <c r="I57" s="180"/>
      <c r="J57" s="180"/>
      <c r="K57" s="180"/>
      <c r="L57" s="180"/>
      <c r="M57" s="180"/>
      <c r="N57" s="180"/>
      <c r="O57" s="180"/>
      <c r="P57" s="180"/>
      <c r="Q57" s="72"/>
      <c r="R57" s="72"/>
      <c r="S57" s="72"/>
      <c r="T57" s="72"/>
      <c r="U57" s="72"/>
      <c r="V57" s="72"/>
      <c r="W57" s="72"/>
      <c r="X57" s="72"/>
      <c r="Y57" s="72"/>
      <c r="Z57" s="72"/>
      <c r="AA57" s="72"/>
      <c r="AB57" s="72"/>
      <c r="AC57" s="72"/>
      <c r="AD57" s="72"/>
      <c r="AE57" s="72"/>
      <c r="AF57" s="72"/>
      <c r="AG57" s="72"/>
      <c r="AH57" s="121"/>
      <c r="AI57" s="2"/>
      <c r="AJ57" s="2"/>
    </row>
    <row r="58" spans="4:36" s="7" customFormat="1" ht="15.75" customHeight="1" x14ac:dyDescent="0.15">
      <c r="D58" s="91" t="s">
        <v>50</v>
      </c>
      <c r="E58" s="72"/>
      <c r="F58" s="72"/>
      <c r="G58" s="72"/>
      <c r="H58" s="79" t="s">
        <v>55</v>
      </c>
      <c r="I58" s="72"/>
      <c r="J58" s="72"/>
      <c r="K58" s="72"/>
      <c r="L58" s="72"/>
      <c r="M58" s="72"/>
      <c r="N58" s="72"/>
      <c r="O58" s="72"/>
      <c r="P58" s="72"/>
      <c r="Q58" s="79" t="s">
        <v>57</v>
      </c>
      <c r="R58" s="72"/>
      <c r="S58" s="72"/>
      <c r="T58" s="72"/>
      <c r="U58" s="72"/>
      <c r="V58" s="72"/>
      <c r="W58" s="72"/>
      <c r="X58" s="72"/>
      <c r="Y58" s="72"/>
      <c r="Z58" s="79" t="s">
        <v>60</v>
      </c>
      <c r="AA58" s="72"/>
      <c r="AB58" s="72"/>
      <c r="AC58" s="72"/>
      <c r="AD58" s="72"/>
      <c r="AE58" s="72"/>
      <c r="AF58" s="72"/>
      <c r="AG58" s="72"/>
      <c r="AH58" s="121"/>
      <c r="AI58" s="2"/>
      <c r="AJ58" s="2"/>
    </row>
    <row r="59" spans="4:36" s="7" customFormat="1" ht="15.75" customHeight="1" x14ac:dyDescent="0.15">
      <c r="D59" s="91"/>
      <c r="E59" s="72"/>
      <c r="F59" s="72"/>
      <c r="G59" s="72"/>
      <c r="H59" s="72"/>
      <c r="I59" s="72"/>
      <c r="J59" s="72"/>
      <c r="K59" s="72"/>
      <c r="L59" s="72"/>
      <c r="M59" s="72"/>
      <c r="N59" s="72"/>
      <c r="O59" s="72"/>
      <c r="P59" s="72"/>
      <c r="Q59" s="72"/>
      <c r="R59" s="72"/>
      <c r="S59" s="72"/>
      <c r="T59" s="72"/>
      <c r="U59" s="72"/>
      <c r="V59" s="72"/>
      <c r="W59" s="72"/>
      <c r="X59" s="72"/>
      <c r="Y59" s="72"/>
      <c r="Z59" s="72"/>
      <c r="AA59" s="72"/>
      <c r="AB59" s="72"/>
      <c r="AC59" s="72"/>
      <c r="AD59" s="72"/>
      <c r="AE59" s="72"/>
      <c r="AF59" s="72"/>
      <c r="AG59" s="72"/>
      <c r="AH59" s="121"/>
      <c r="AI59" s="2"/>
      <c r="AJ59" s="2"/>
    </row>
    <row r="60" spans="4:36" s="7" customFormat="1" ht="15.75" customHeight="1" x14ac:dyDescent="0.15">
      <c r="D60" s="91"/>
      <c r="E60" s="72"/>
      <c r="F60" s="72"/>
      <c r="G60" s="72"/>
      <c r="H60" s="79" t="s">
        <v>56</v>
      </c>
      <c r="I60" s="72"/>
      <c r="J60" s="72"/>
      <c r="K60" s="72"/>
      <c r="L60" s="72"/>
      <c r="M60" s="72"/>
      <c r="N60" s="72"/>
      <c r="O60" s="72"/>
      <c r="P60" s="72"/>
      <c r="Q60" s="79" t="s">
        <v>59</v>
      </c>
      <c r="R60" s="72"/>
      <c r="S60" s="72"/>
      <c r="T60" s="72"/>
      <c r="U60" s="72"/>
      <c r="V60" s="72"/>
      <c r="W60" s="72"/>
      <c r="X60" s="72"/>
      <c r="Y60" s="72"/>
      <c r="Z60" s="79" t="s">
        <v>61</v>
      </c>
      <c r="AA60" s="72"/>
      <c r="AB60" s="72"/>
      <c r="AC60" s="72"/>
      <c r="AD60" s="72"/>
      <c r="AE60" s="72"/>
      <c r="AF60" s="72"/>
      <c r="AG60" s="72"/>
      <c r="AH60" s="121"/>
      <c r="AI60" s="2"/>
      <c r="AJ60" s="2"/>
    </row>
    <row r="61" spans="4:36" s="7" customFormat="1" ht="15.75" customHeight="1" x14ac:dyDescent="0.15">
      <c r="D61" s="91"/>
      <c r="E61" s="72"/>
      <c r="F61" s="72"/>
      <c r="G61" s="72"/>
      <c r="H61" s="72"/>
      <c r="I61" s="72"/>
      <c r="J61" s="72"/>
      <c r="K61" s="72"/>
      <c r="L61" s="72"/>
      <c r="M61" s="72"/>
      <c r="N61" s="72"/>
      <c r="O61" s="72"/>
      <c r="P61" s="72"/>
      <c r="Q61" s="72"/>
      <c r="R61" s="72"/>
      <c r="S61" s="72"/>
      <c r="T61" s="72"/>
      <c r="U61" s="72"/>
      <c r="V61" s="72"/>
      <c r="W61" s="72"/>
      <c r="X61" s="72"/>
      <c r="Y61" s="72"/>
      <c r="Z61" s="72"/>
      <c r="AA61" s="72"/>
      <c r="AB61" s="72"/>
      <c r="AC61" s="72"/>
      <c r="AD61" s="72"/>
      <c r="AE61" s="72"/>
      <c r="AF61" s="72"/>
      <c r="AG61" s="72"/>
      <c r="AH61" s="121"/>
      <c r="AI61" s="2"/>
      <c r="AJ61" s="2"/>
    </row>
    <row r="62" spans="4:36" s="7" customFormat="1" ht="15.75" customHeight="1" x14ac:dyDescent="0.15">
      <c r="H62" s="7" t="s">
        <v>73</v>
      </c>
    </row>
    <row r="63" spans="4:36" s="7" customFormat="1" ht="15.75" customHeight="1" x14ac:dyDescent="0.15"/>
    <row r="64" spans="4:36" s="7" customFormat="1" ht="15.75" customHeight="1" x14ac:dyDescent="0.15"/>
    <row r="65" spans="4:36" ht="15.75" customHeight="1" x14ac:dyDescent="0.15">
      <c r="D65" s="5" t="s">
        <v>63</v>
      </c>
    </row>
    <row r="67" spans="4:36" ht="15.75" customHeight="1" x14ac:dyDescent="0.2">
      <c r="D67" s="7" t="s">
        <v>64</v>
      </c>
      <c r="M67" s="12"/>
    </row>
    <row r="68" spans="4:36" s="7" customFormat="1" ht="15.75" customHeight="1" x14ac:dyDescent="0.15"/>
    <row r="69" spans="4:36" s="7" customFormat="1" ht="15.75" customHeight="1" x14ac:dyDescent="0.2">
      <c r="F69" s="7" t="s">
        <v>212</v>
      </c>
    </row>
    <row r="70" spans="4:36" s="7" customFormat="1" ht="15.75" customHeight="1" x14ac:dyDescent="0.15"/>
    <row r="71" spans="4:36" s="7" customFormat="1" ht="15.75" customHeight="1" x14ac:dyDescent="0.15">
      <c r="F71" s="83" t="s">
        <v>213</v>
      </c>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15"/>
      <c r="AI71" s="15"/>
      <c r="AJ71" s="15"/>
    </row>
    <row r="72" spans="4:36" s="7" customFormat="1" ht="15.75" customHeight="1" x14ac:dyDescent="0.15">
      <c r="F72" s="91" t="s">
        <v>65</v>
      </c>
      <c r="G72" s="72"/>
      <c r="H72" s="72"/>
      <c r="I72" s="72"/>
      <c r="J72" s="72"/>
      <c r="K72" s="72"/>
      <c r="L72" s="72" t="s">
        <v>70</v>
      </c>
      <c r="M72" s="72"/>
      <c r="N72" s="72"/>
      <c r="O72" s="72"/>
      <c r="P72" s="72"/>
      <c r="Q72" s="72"/>
      <c r="R72" s="72"/>
      <c r="S72" s="72"/>
      <c r="T72" s="72" t="s">
        <v>71</v>
      </c>
      <c r="U72" s="72"/>
      <c r="V72" s="72"/>
      <c r="W72" s="72"/>
      <c r="X72" s="72"/>
      <c r="Y72" s="72"/>
      <c r="Z72" s="72"/>
      <c r="AA72" s="72"/>
      <c r="AB72" s="72"/>
      <c r="AC72" s="72"/>
      <c r="AD72" s="72"/>
      <c r="AE72" s="72"/>
      <c r="AF72" s="72"/>
      <c r="AG72" s="121"/>
    </row>
    <row r="73" spans="4:36" s="7" customFormat="1" ht="15.75" customHeight="1" x14ac:dyDescent="0.15">
      <c r="F73" s="91" t="s">
        <v>66</v>
      </c>
      <c r="G73" s="72"/>
      <c r="H73" s="72"/>
      <c r="I73" s="72"/>
      <c r="J73" s="72"/>
      <c r="K73" s="72"/>
      <c r="L73" s="72" t="s">
        <v>68</v>
      </c>
      <c r="M73" s="72"/>
      <c r="N73" s="72"/>
      <c r="O73" s="72"/>
      <c r="P73" s="72"/>
      <c r="Q73" s="72"/>
      <c r="R73" s="72"/>
      <c r="S73" s="72"/>
      <c r="T73" s="73">
        <v>1</v>
      </c>
      <c r="U73" s="73"/>
      <c r="V73" s="73"/>
      <c r="W73" s="73"/>
      <c r="X73" s="73"/>
      <c r="Y73" s="73"/>
      <c r="Z73" s="73"/>
      <c r="AA73" s="73"/>
      <c r="AB73" s="73"/>
      <c r="AC73" s="73"/>
      <c r="AD73" s="73"/>
      <c r="AE73" s="73"/>
      <c r="AF73" s="73"/>
      <c r="AG73" s="118"/>
    </row>
    <row r="74" spans="4:36" s="7" customFormat="1" ht="15.75" customHeight="1" x14ac:dyDescent="0.15">
      <c r="F74" s="91" t="s">
        <v>67</v>
      </c>
      <c r="G74" s="72"/>
      <c r="H74" s="72"/>
      <c r="I74" s="72"/>
      <c r="J74" s="72"/>
      <c r="K74" s="72"/>
      <c r="L74" s="72" t="s">
        <v>69</v>
      </c>
      <c r="M74" s="72"/>
      <c r="N74" s="72"/>
      <c r="O74" s="72"/>
      <c r="P74" s="72"/>
      <c r="Q74" s="72"/>
      <c r="R74" s="72"/>
      <c r="S74" s="72"/>
      <c r="T74" s="72">
        <v>0.5</v>
      </c>
      <c r="U74" s="72"/>
      <c r="V74" s="72"/>
      <c r="W74" s="72"/>
      <c r="X74" s="72"/>
      <c r="Y74" s="72"/>
      <c r="Z74" s="72"/>
      <c r="AA74" s="72"/>
      <c r="AB74" s="72"/>
      <c r="AC74" s="72"/>
      <c r="AD74" s="72"/>
      <c r="AE74" s="72"/>
      <c r="AF74" s="72"/>
      <c r="AG74" s="121"/>
    </row>
    <row r="75" spans="4:36" s="7" customFormat="1" ht="15.75" customHeight="1" x14ac:dyDescent="0.2">
      <c r="J75" s="7" t="s">
        <v>74</v>
      </c>
    </row>
    <row r="76" spans="4:36" s="7" customFormat="1" ht="15.75" customHeight="1" x14ac:dyDescent="0.15"/>
    <row r="77" spans="4:36" s="7" customFormat="1" ht="15.75" customHeight="1" x14ac:dyDescent="0.15"/>
    <row r="78" spans="4:36" ht="15.75" customHeight="1" x14ac:dyDescent="0.2">
      <c r="D78" s="7" t="s">
        <v>76</v>
      </c>
      <c r="M78" s="12"/>
    </row>
    <row r="79" spans="4:36" s="7" customFormat="1" ht="15.75" customHeight="1" x14ac:dyDescent="0.15"/>
    <row r="80" spans="4:36" s="7" customFormat="1" ht="15.75" customHeight="1" x14ac:dyDescent="0.2">
      <c r="F80" s="7" t="s">
        <v>214</v>
      </c>
    </row>
    <row r="81" spans="6:35" s="7" customFormat="1" ht="15.75" customHeight="1" x14ac:dyDescent="0.15">
      <c r="F81" s="7" t="s">
        <v>75</v>
      </c>
    </row>
    <row r="82" spans="6:35" s="7" customFormat="1" ht="15.75" customHeight="1" x14ac:dyDescent="0.15"/>
    <row r="83" spans="6:35" s="7" customFormat="1" ht="15.75" customHeight="1" x14ac:dyDescent="0.2">
      <c r="F83" s="69" t="s">
        <v>77</v>
      </c>
      <c r="G83" s="69"/>
      <c r="H83" s="6" t="s">
        <v>29</v>
      </c>
      <c r="I83" s="69">
        <v>1.4</v>
      </c>
      <c r="J83" s="69"/>
      <c r="K83" s="69" t="s">
        <v>78</v>
      </c>
      <c r="L83" s="69"/>
      <c r="M83" s="69" t="s">
        <v>79</v>
      </c>
      <c r="N83" s="69"/>
      <c r="O83" s="6" t="s">
        <v>80</v>
      </c>
      <c r="P83" s="184">
        <v>-0.75</v>
      </c>
      <c r="Q83" s="184"/>
    </row>
    <row r="84" spans="6:35" s="7" customFormat="1" ht="15.75" customHeight="1" x14ac:dyDescent="0.15"/>
    <row r="85" spans="6:35" s="7" customFormat="1" ht="15.75" customHeight="1" x14ac:dyDescent="0.2">
      <c r="G85" s="7" t="s">
        <v>81</v>
      </c>
      <c r="J85" s="69" t="s">
        <v>77</v>
      </c>
      <c r="K85" s="69"/>
      <c r="L85" s="6" t="s">
        <v>2</v>
      </c>
      <c r="M85" s="7" t="s">
        <v>82</v>
      </c>
    </row>
    <row r="86" spans="6:35" s="7" customFormat="1" ht="15.75" customHeight="1" x14ac:dyDescent="0.2">
      <c r="J86" s="69" t="s">
        <v>78</v>
      </c>
      <c r="K86" s="69"/>
      <c r="L86" s="6" t="s">
        <v>2</v>
      </c>
      <c r="M86" s="7" t="s">
        <v>92</v>
      </c>
    </row>
    <row r="87" spans="6:35" s="7" customFormat="1" ht="15.75" customHeight="1" x14ac:dyDescent="0.2">
      <c r="J87" s="69" t="s">
        <v>79</v>
      </c>
      <c r="K87" s="69"/>
      <c r="L87" s="6" t="s">
        <v>2</v>
      </c>
      <c r="M87" s="7" t="s">
        <v>85</v>
      </c>
    </row>
    <row r="88" spans="6:35" s="7" customFormat="1" ht="15.75" customHeight="1" x14ac:dyDescent="0.15">
      <c r="J88" s="69" t="s">
        <v>80</v>
      </c>
      <c r="K88" s="69"/>
      <c r="L88" s="6" t="s">
        <v>2</v>
      </c>
      <c r="M88" s="7" t="s">
        <v>83</v>
      </c>
    </row>
    <row r="89" spans="6:35" s="7" customFormat="1" ht="15.75" customHeight="1" x14ac:dyDescent="0.15"/>
    <row r="90" spans="6:35" s="7" customFormat="1" ht="15.75" customHeight="1" x14ac:dyDescent="0.15">
      <c r="H90" s="83" t="s">
        <v>215</v>
      </c>
      <c r="I90" s="83"/>
      <c r="J90" s="83"/>
      <c r="K90" s="83"/>
      <c r="L90" s="83"/>
      <c r="M90" s="83"/>
      <c r="N90" s="83"/>
      <c r="O90" s="83"/>
      <c r="P90" s="83"/>
      <c r="Q90" s="83"/>
      <c r="R90" s="83"/>
      <c r="S90" s="83"/>
      <c r="T90" s="83"/>
      <c r="U90" s="83"/>
      <c r="V90" s="83"/>
      <c r="W90" s="83"/>
      <c r="X90" s="83"/>
      <c r="Y90" s="83"/>
      <c r="Z90" s="83"/>
      <c r="AA90" s="83"/>
      <c r="AB90" s="83"/>
      <c r="AC90" s="15"/>
      <c r="AD90" s="15"/>
      <c r="AE90" s="15"/>
      <c r="AF90" s="15"/>
      <c r="AG90" s="15"/>
      <c r="AH90" s="15"/>
      <c r="AI90" s="15"/>
    </row>
    <row r="91" spans="6:35" s="7" customFormat="1" ht="15.75" customHeight="1" x14ac:dyDescent="0.15">
      <c r="H91" s="91" t="s">
        <v>84</v>
      </c>
      <c r="I91" s="72"/>
      <c r="J91" s="72"/>
      <c r="K91" s="72" t="s">
        <v>86</v>
      </c>
      <c r="L91" s="72"/>
      <c r="M91" s="72"/>
      <c r="N91" s="72"/>
      <c r="O91" s="72"/>
      <c r="P91" s="72"/>
      <c r="Q91" s="72" t="s">
        <v>87</v>
      </c>
      <c r="R91" s="72"/>
      <c r="S91" s="72"/>
      <c r="T91" s="72"/>
      <c r="U91" s="72"/>
      <c r="V91" s="72"/>
      <c r="W91" s="72" t="s">
        <v>88</v>
      </c>
      <c r="X91" s="72"/>
      <c r="Y91" s="72"/>
      <c r="Z91" s="72"/>
      <c r="AA91" s="72"/>
      <c r="AB91" s="121"/>
    </row>
    <row r="92" spans="6:35" s="7" customFormat="1" ht="15.75" customHeight="1" x14ac:dyDescent="0.15">
      <c r="H92" s="120">
        <v>0.5</v>
      </c>
      <c r="I92" s="73"/>
      <c r="J92" s="73"/>
      <c r="K92" s="72">
        <f>入力!K5</f>
        <v>76923</v>
      </c>
      <c r="L92" s="72"/>
      <c r="M92" s="72"/>
      <c r="N92" s="72"/>
      <c r="O92" s="72"/>
      <c r="P92" s="72"/>
      <c r="Q92" s="76">
        <f>入力!G23</f>
        <v>1.3</v>
      </c>
      <c r="R92" s="76"/>
      <c r="S92" s="76"/>
      <c r="T92" s="76"/>
      <c r="U92" s="76"/>
      <c r="V92" s="76"/>
      <c r="W92" s="72">
        <f>ROUND(I83*H92*K92*Q92^P83,0)</f>
        <v>44228</v>
      </c>
      <c r="X92" s="72"/>
      <c r="Y92" s="72"/>
      <c r="Z92" s="72"/>
      <c r="AA92" s="72"/>
      <c r="AB92" s="121"/>
    </row>
    <row r="93" spans="6:35" s="7" customFormat="1" ht="15.75" customHeight="1" x14ac:dyDescent="0.15"/>
    <row r="94" spans="6:35" s="7" customFormat="1" ht="15.75" customHeight="1" x14ac:dyDescent="0.15">
      <c r="H94" s="83" t="s">
        <v>216</v>
      </c>
      <c r="I94" s="83"/>
      <c r="J94" s="83"/>
      <c r="K94" s="83"/>
      <c r="L94" s="83"/>
      <c r="M94" s="83"/>
      <c r="N94" s="83"/>
      <c r="O94" s="83"/>
      <c r="P94" s="83"/>
      <c r="Q94" s="83"/>
      <c r="R94" s="83"/>
      <c r="S94" s="83"/>
      <c r="T94" s="83"/>
      <c r="U94" s="83"/>
      <c r="V94" s="83"/>
      <c r="W94" s="83"/>
      <c r="X94" s="83"/>
      <c r="Y94" s="83"/>
      <c r="Z94" s="83"/>
      <c r="AA94" s="83"/>
      <c r="AB94" s="83"/>
    </row>
    <row r="95" spans="6:35" s="7" customFormat="1" ht="15.75" customHeight="1" x14ac:dyDescent="0.15">
      <c r="H95" s="91" t="s">
        <v>84</v>
      </c>
      <c r="I95" s="72"/>
      <c r="J95" s="72"/>
      <c r="K95" s="72" t="s">
        <v>86</v>
      </c>
      <c r="L95" s="72"/>
      <c r="M95" s="72"/>
      <c r="N95" s="72"/>
      <c r="O95" s="72"/>
      <c r="P95" s="72"/>
      <c r="Q95" s="72" t="s">
        <v>87</v>
      </c>
      <c r="R95" s="72"/>
      <c r="S95" s="72"/>
      <c r="T95" s="72"/>
      <c r="U95" s="72"/>
      <c r="V95" s="72"/>
      <c r="W95" s="72" t="s">
        <v>88</v>
      </c>
      <c r="X95" s="72"/>
      <c r="Y95" s="72"/>
      <c r="Z95" s="72"/>
      <c r="AA95" s="72"/>
      <c r="AB95" s="121"/>
    </row>
    <row r="96" spans="6:35" s="7" customFormat="1" ht="15.75" customHeight="1" x14ac:dyDescent="0.15">
      <c r="H96" s="120">
        <v>1</v>
      </c>
      <c r="I96" s="73"/>
      <c r="J96" s="73"/>
      <c r="K96" s="72">
        <f>K92</f>
        <v>76923</v>
      </c>
      <c r="L96" s="72"/>
      <c r="M96" s="72"/>
      <c r="N96" s="72"/>
      <c r="O96" s="72"/>
      <c r="P96" s="72"/>
      <c r="Q96" s="76">
        <f>Q92</f>
        <v>1.3</v>
      </c>
      <c r="R96" s="76"/>
      <c r="S96" s="76"/>
      <c r="T96" s="76"/>
      <c r="U96" s="76"/>
      <c r="V96" s="76"/>
      <c r="W96" s="72">
        <f>ROUND(I83*H96*K96*Q96^P83,0)</f>
        <v>88456</v>
      </c>
      <c r="X96" s="72"/>
      <c r="Y96" s="72"/>
      <c r="Z96" s="72"/>
      <c r="AA96" s="72"/>
      <c r="AB96" s="121"/>
    </row>
    <row r="97" spans="4:35" s="7" customFormat="1" ht="15.75" customHeight="1" x14ac:dyDescent="0.15">
      <c r="H97" s="4"/>
      <c r="I97" s="4"/>
      <c r="J97" s="4"/>
      <c r="K97" s="1"/>
      <c r="L97" s="1"/>
      <c r="M97" s="1"/>
      <c r="N97" s="1"/>
      <c r="O97" s="1"/>
      <c r="P97" s="1"/>
      <c r="Q97" s="16"/>
      <c r="R97" s="16"/>
      <c r="S97" s="16"/>
      <c r="T97" s="16"/>
      <c r="U97" s="16"/>
      <c r="V97" s="16"/>
      <c r="W97" s="1"/>
      <c r="X97" s="1"/>
      <c r="Y97" s="1"/>
      <c r="Z97" s="1"/>
      <c r="AA97" s="1"/>
      <c r="AB97" s="1"/>
    </row>
    <row r="98" spans="4:35" ht="15.75" customHeight="1" x14ac:dyDescent="0.2">
      <c r="D98" s="7" t="s">
        <v>89</v>
      </c>
      <c r="M98" s="12"/>
    </row>
    <row r="99" spans="4:35" s="7" customFormat="1" ht="15.75" customHeight="1" x14ac:dyDescent="0.15"/>
    <row r="100" spans="4:35" s="7" customFormat="1" ht="15.75" customHeight="1" x14ac:dyDescent="0.2">
      <c r="F100" s="7" t="s">
        <v>217</v>
      </c>
    </row>
    <row r="101" spans="4:35" s="7" customFormat="1" ht="15.75" customHeight="1" x14ac:dyDescent="0.15">
      <c r="F101" s="7" t="s">
        <v>90</v>
      </c>
    </row>
    <row r="102" spans="4:35" s="7" customFormat="1" ht="15.75" customHeight="1" x14ac:dyDescent="0.15"/>
    <row r="103" spans="4:35" s="7" customFormat="1" ht="15.75" customHeight="1" x14ac:dyDescent="0.2">
      <c r="F103" s="69" t="s">
        <v>91</v>
      </c>
      <c r="G103" s="69"/>
      <c r="H103" s="6" t="s">
        <v>29</v>
      </c>
      <c r="I103" s="69">
        <v>0.2</v>
      </c>
      <c r="J103" s="69"/>
      <c r="K103" s="69" t="s">
        <v>78</v>
      </c>
      <c r="L103" s="69"/>
      <c r="M103" s="69" t="s">
        <v>79</v>
      </c>
      <c r="N103" s="69"/>
    </row>
    <row r="104" spans="4:35" s="7" customFormat="1" ht="15.75" customHeight="1" x14ac:dyDescent="0.15"/>
    <row r="105" spans="4:35" s="7" customFormat="1" ht="15.75" customHeight="1" x14ac:dyDescent="0.2">
      <c r="G105" s="7" t="s">
        <v>81</v>
      </c>
      <c r="J105" s="69" t="s">
        <v>242</v>
      </c>
      <c r="K105" s="69"/>
      <c r="L105" s="6" t="s">
        <v>2</v>
      </c>
      <c r="M105" s="7" t="s">
        <v>218</v>
      </c>
    </row>
    <row r="106" spans="4:35" s="7" customFormat="1" ht="15.75" customHeight="1" x14ac:dyDescent="0.2">
      <c r="J106" s="69" t="s">
        <v>78</v>
      </c>
      <c r="K106" s="69"/>
      <c r="L106" s="6" t="s">
        <v>2</v>
      </c>
      <c r="M106" s="7" t="s">
        <v>92</v>
      </c>
    </row>
    <row r="107" spans="4:35" s="7" customFormat="1" ht="15.75" customHeight="1" x14ac:dyDescent="0.2">
      <c r="J107" s="69" t="s">
        <v>79</v>
      </c>
      <c r="K107" s="69"/>
      <c r="L107" s="6" t="s">
        <v>2</v>
      </c>
      <c r="M107" s="7" t="s">
        <v>85</v>
      </c>
    </row>
    <row r="108" spans="4:35" s="7" customFormat="1" ht="15.75" customHeight="1" x14ac:dyDescent="0.15"/>
    <row r="109" spans="4:35" s="7" customFormat="1" ht="15.75" customHeight="1" x14ac:dyDescent="0.15">
      <c r="H109" s="83" t="s">
        <v>219</v>
      </c>
      <c r="I109" s="83"/>
      <c r="J109" s="83"/>
      <c r="K109" s="83"/>
      <c r="L109" s="83"/>
      <c r="M109" s="83"/>
      <c r="N109" s="83"/>
      <c r="O109" s="83"/>
      <c r="P109" s="83"/>
      <c r="Q109" s="83"/>
      <c r="R109" s="83"/>
      <c r="S109" s="83"/>
      <c r="T109" s="83"/>
      <c r="U109" s="83"/>
      <c r="V109" s="83"/>
      <c r="W109" s="83"/>
      <c r="X109" s="83"/>
      <c r="Y109" s="83"/>
      <c r="Z109" s="15"/>
      <c r="AA109" s="15"/>
      <c r="AB109" s="15"/>
      <c r="AC109" s="15"/>
      <c r="AD109" s="15"/>
      <c r="AE109" s="15"/>
      <c r="AF109" s="15"/>
      <c r="AG109" s="15"/>
      <c r="AH109" s="15"/>
      <c r="AI109" s="15"/>
    </row>
    <row r="110" spans="4:35" s="7" customFormat="1" ht="15.75" customHeight="1" x14ac:dyDescent="0.15">
      <c r="H110" s="177" t="s">
        <v>93</v>
      </c>
      <c r="I110" s="72"/>
      <c r="J110" s="72"/>
      <c r="K110" s="72" t="s">
        <v>84</v>
      </c>
      <c r="L110" s="72"/>
      <c r="M110" s="72"/>
      <c r="N110" s="72" t="s">
        <v>86</v>
      </c>
      <c r="O110" s="72"/>
      <c r="P110" s="72"/>
      <c r="Q110" s="72"/>
      <c r="R110" s="72"/>
      <c r="S110" s="72"/>
      <c r="T110" s="72" t="s">
        <v>243</v>
      </c>
      <c r="U110" s="72"/>
      <c r="V110" s="72"/>
      <c r="W110" s="72"/>
      <c r="X110" s="72"/>
      <c r="Y110" s="121"/>
    </row>
    <row r="111" spans="4:35" s="7" customFormat="1" ht="15.75" customHeight="1" x14ac:dyDescent="0.15">
      <c r="H111" s="91"/>
      <c r="I111" s="72"/>
      <c r="J111" s="72"/>
      <c r="K111" s="72"/>
      <c r="L111" s="72"/>
      <c r="M111" s="72"/>
      <c r="N111" s="72"/>
      <c r="O111" s="72"/>
      <c r="P111" s="72"/>
      <c r="Q111" s="72"/>
      <c r="R111" s="72"/>
      <c r="S111" s="72"/>
      <c r="T111" s="72"/>
      <c r="U111" s="72"/>
      <c r="V111" s="72"/>
      <c r="W111" s="72"/>
      <c r="X111" s="72"/>
      <c r="Y111" s="121"/>
    </row>
    <row r="112" spans="4:35" s="7" customFormat="1" ht="15.75" customHeight="1" x14ac:dyDescent="0.15">
      <c r="H112" s="91" t="e">
        <f>入力!#REF!</f>
        <v>#REF!</v>
      </c>
      <c r="I112" s="72"/>
      <c r="J112" s="72"/>
      <c r="K112" s="73">
        <f>H92</f>
        <v>0.5</v>
      </c>
      <c r="L112" s="73"/>
      <c r="M112" s="73"/>
      <c r="N112" s="72">
        <f>入力!K5</f>
        <v>76923</v>
      </c>
      <c r="O112" s="72"/>
      <c r="P112" s="72"/>
      <c r="Q112" s="72"/>
      <c r="R112" s="72"/>
      <c r="S112" s="72"/>
      <c r="T112" s="72">
        <f>ROUND($I$103*$K$112*N112,0)</f>
        <v>7692</v>
      </c>
      <c r="U112" s="72"/>
      <c r="V112" s="72"/>
      <c r="W112" s="72"/>
      <c r="X112" s="72"/>
      <c r="Y112" s="121"/>
    </row>
    <row r="113" spans="4:35" s="7" customFormat="1" ht="15.75" customHeight="1" x14ac:dyDescent="0.15"/>
    <row r="114" spans="4:35" s="7" customFormat="1" ht="15.75" customHeight="1" x14ac:dyDescent="0.15">
      <c r="H114" s="83" t="s">
        <v>220</v>
      </c>
      <c r="I114" s="83"/>
      <c r="J114" s="83"/>
      <c r="K114" s="83"/>
      <c r="L114" s="83"/>
      <c r="M114" s="83"/>
      <c r="N114" s="83"/>
      <c r="O114" s="83"/>
      <c r="P114" s="83"/>
      <c r="Q114" s="83"/>
      <c r="R114" s="83"/>
      <c r="S114" s="83"/>
      <c r="T114" s="83"/>
      <c r="U114" s="83"/>
      <c r="V114" s="83"/>
      <c r="W114" s="83"/>
      <c r="X114" s="83"/>
      <c r="Y114" s="83"/>
      <c r="Z114" s="15"/>
      <c r="AA114" s="15"/>
      <c r="AB114" s="15"/>
      <c r="AC114" s="15"/>
      <c r="AD114" s="15"/>
      <c r="AE114" s="15"/>
      <c r="AF114" s="15"/>
      <c r="AG114" s="15"/>
      <c r="AH114" s="15"/>
      <c r="AI114" s="15"/>
    </row>
    <row r="115" spans="4:35" s="7" customFormat="1" ht="15.75" customHeight="1" x14ac:dyDescent="0.15">
      <c r="H115" s="177" t="s">
        <v>93</v>
      </c>
      <c r="I115" s="72"/>
      <c r="J115" s="72"/>
      <c r="K115" s="72" t="s">
        <v>84</v>
      </c>
      <c r="L115" s="72"/>
      <c r="M115" s="72"/>
      <c r="N115" s="72" t="s">
        <v>86</v>
      </c>
      <c r="O115" s="72"/>
      <c r="P115" s="72"/>
      <c r="Q115" s="72"/>
      <c r="R115" s="72"/>
      <c r="S115" s="72"/>
      <c r="T115" s="72" t="s">
        <v>243</v>
      </c>
      <c r="U115" s="72"/>
      <c r="V115" s="72"/>
      <c r="W115" s="72"/>
      <c r="X115" s="72"/>
      <c r="Y115" s="121"/>
    </row>
    <row r="116" spans="4:35" s="7" customFormat="1" ht="15.75" customHeight="1" x14ac:dyDescent="0.15">
      <c r="H116" s="91"/>
      <c r="I116" s="72"/>
      <c r="J116" s="72"/>
      <c r="K116" s="72"/>
      <c r="L116" s="72"/>
      <c r="M116" s="72"/>
      <c r="N116" s="72"/>
      <c r="O116" s="72"/>
      <c r="P116" s="72"/>
      <c r="Q116" s="72"/>
      <c r="R116" s="72"/>
      <c r="S116" s="72"/>
      <c r="T116" s="72"/>
      <c r="U116" s="72"/>
      <c r="V116" s="72"/>
      <c r="W116" s="72"/>
      <c r="X116" s="72"/>
      <c r="Y116" s="121"/>
    </row>
    <row r="117" spans="4:35" s="7" customFormat="1" ht="15.75" customHeight="1" x14ac:dyDescent="0.15">
      <c r="H117" s="91" t="s">
        <v>94</v>
      </c>
      <c r="I117" s="72"/>
      <c r="J117" s="72"/>
      <c r="K117" s="73">
        <f>H96</f>
        <v>1</v>
      </c>
      <c r="L117" s="73"/>
      <c r="M117" s="73"/>
      <c r="N117" s="72">
        <f>N112</f>
        <v>76923</v>
      </c>
      <c r="O117" s="72"/>
      <c r="P117" s="72"/>
      <c r="Q117" s="72"/>
      <c r="R117" s="72"/>
      <c r="S117" s="72"/>
      <c r="T117" s="72">
        <f>ROUND($I$103*$K$117*N117,0)</f>
        <v>15385</v>
      </c>
      <c r="U117" s="72"/>
      <c r="V117" s="72"/>
      <c r="W117" s="72"/>
      <c r="X117" s="72"/>
      <c r="Y117" s="121"/>
    </row>
    <row r="118" spans="4:35" s="7" customFormat="1" ht="15.75" customHeight="1" x14ac:dyDescent="0.15"/>
    <row r="119" spans="4:35" s="7" customFormat="1" ht="15.75" customHeight="1" x14ac:dyDescent="0.15"/>
    <row r="120" spans="4:35" s="7" customFormat="1" ht="15.75" customHeight="1" x14ac:dyDescent="0.15"/>
    <row r="121" spans="4:35" ht="15.75" customHeight="1" x14ac:dyDescent="0.2">
      <c r="D121" s="7" t="s">
        <v>95</v>
      </c>
      <c r="M121" s="12"/>
    </row>
    <row r="122" spans="4:35" s="7" customFormat="1" ht="15.75" customHeight="1" x14ac:dyDescent="0.15"/>
    <row r="123" spans="4:35" s="7" customFormat="1" ht="15.75" customHeight="1" x14ac:dyDescent="0.15">
      <c r="E123" s="7" t="s">
        <v>96</v>
      </c>
      <c r="F123" s="7" t="s">
        <v>97</v>
      </c>
    </row>
    <row r="124" spans="4:35" s="7" customFormat="1" ht="15.75" customHeight="1" x14ac:dyDescent="0.15"/>
    <row r="125" spans="4:35" s="7" customFormat="1" ht="15.75" customHeight="1" x14ac:dyDescent="0.2">
      <c r="F125" s="7" t="s">
        <v>221</v>
      </c>
    </row>
    <row r="126" spans="4:35" s="7" customFormat="1" ht="15.75" customHeight="1" x14ac:dyDescent="0.15">
      <c r="F126" s="7" t="s">
        <v>98</v>
      </c>
    </row>
    <row r="127" spans="4:35" s="7" customFormat="1" ht="15.75" customHeight="1" x14ac:dyDescent="0.15"/>
    <row r="128" spans="4:35" s="7" customFormat="1" ht="15.75" customHeight="1" x14ac:dyDescent="0.15">
      <c r="F128" s="7" t="s">
        <v>99</v>
      </c>
    </row>
    <row r="129" spans="6:35" s="7" customFormat="1" ht="15.75" customHeight="1" x14ac:dyDescent="0.2">
      <c r="F129" s="69" t="s">
        <v>100</v>
      </c>
      <c r="G129" s="69"/>
      <c r="H129" s="6" t="s">
        <v>29</v>
      </c>
      <c r="I129" s="69">
        <v>1.8</v>
      </c>
      <c r="J129" s="69"/>
      <c r="K129" s="69" t="s">
        <v>78</v>
      </c>
      <c r="L129" s="69"/>
      <c r="M129" s="69" t="s">
        <v>79</v>
      </c>
      <c r="N129" s="69"/>
      <c r="O129" s="6" t="s">
        <v>80</v>
      </c>
      <c r="P129" s="184">
        <v>-0.75</v>
      </c>
      <c r="Q129" s="184"/>
    </row>
    <row r="130" spans="6:35" s="7" customFormat="1" ht="15.75" customHeight="1" x14ac:dyDescent="0.15"/>
    <row r="131" spans="6:35" s="7" customFormat="1" ht="15.75" customHeight="1" x14ac:dyDescent="0.15">
      <c r="F131" s="7" t="s">
        <v>101</v>
      </c>
    </row>
    <row r="132" spans="6:35" s="7" customFormat="1" ht="15.75" customHeight="1" x14ac:dyDescent="0.2">
      <c r="F132" s="69" t="s">
        <v>100</v>
      </c>
      <c r="G132" s="69"/>
      <c r="H132" s="6" t="s">
        <v>29</v>
      </c>
      <c r="I132" s="69">
        <v>3.6</v>
      </c>
      <c r="J132" s="69"/>
      <c r="K132" s="69" t="s">
        <v>78</v>
      </c>
      <c r="L132" s="69"/>
      <c r="M132" s="69" t="s">
        <v>79</v>
      </c>
      <c r="N132" s="69"/>
      <c r="O132" s="6" t="s">
        <v>80</v>
      </c>
      <c r="P132" s="184">
        <v>-0.75</v>
      </c>
      <c r="Q132" s="184"/>
    </row>
    <row r="133" spans="6:35" s="7" customFormat="1" ht="15.75" customHeight="1" x14ac:dyDescent="0.15"/>
    <row r="134" spans="6:35" s="7" customFormat="1" ht="15.75" customHeight="1" x14ac:dyDescent="0.2">
      <c r="G134" s="7" t="s">
        <v>81</v>
      </c>
      <c r="J134" s="69" t="s">
        <v>102</v>
      </c>
      <c r="K134" s="69"/>
      <c r="L134" s="6" t="s">
        <v>2</v>
      </c>
      <c r="M134" s="7" t="s">
        <v>103</v>
      </c>
    </row>
    <row r="135" spans="6:35" s="7" customFormat="1" ht="15.75" customHeight="1" x14ac:dyDescent="0.2">
      <c r="J135" s="69" t="s">
        <v>78</v>
      </c>
      <c r="K135" s="69"/>
      <c r="L135" s="6" t="s">
        <v>2</v>
      </c>
      <c r="M135" s="7" t="s">
        <v>92</v>
      </c>
    </row>
    <row r="136" spans="6:35" s="7" customFormat="1" ht="15.75" customHeight="1" x14ac:dyDescent="0.2">
      <c r="J136" s="69" t="s">
        <v>79</v>
      </c>
      <c r="K136" s="69"/>
      <c r="L136" s="6" t="s">
        <v>2</v>
      </c>
      <c r="M136" s="7" t="s">
        <v>85</v>
      </c>
    </row>
    <row r="137" spans="6:35" s="7" customFormat="1" ht="15.75" customHeight="1" x14ac:dyDescent="0.15">
      <c r="J137" s="69" t="s">
        <v>80</v>
      </c>
      <c r="K137" s="69"/>
      <c r="L137" s="6" t="s">
        <v>2</v>
      </c>
      <c r="M137" s="7" t="s">
        <v>104</v>
      </c>
    </row>
    <row r="138" spans="6:35" s="7" customFormat="1" ht="15.75" customHeight="1" x14ac:dyDescent="0.15">
      <c r="J138" s="6"/>
      <c r="K138" s="6"/>
      <c r="L138" s="6"/>
    </row>
    <row r="139" spans="6:35" s="7" customFormat="1" ht="15.75" customHeight="1" x14ac:dyDescent="0.15">
      <c r="H139" s="122" t="s">
        <v>222</v>
      </c>
      <c r="I139" s="122"/>
      <c r="J139" s="122"/>
      <c r="K139" s="122"/>
      <c r="L139" s="122"/>
      <c r="M139" s="122"/>
      <c r="N139" s="122"/>
      <c r="O139" s="122"/>
      <c r="P139" s="122"/>
      <c r="Q139" s="122"/>
      <c r="R139" s="122"/>
      <c r="S139" s="122"/>
      <c r="T139" s="122"/>
      <c r="U139" s="122"/>
      <c r="V139" s="122"/>
      <c r="W139" s="122"/>
      <c r="X139" s="122"/>
      <c r="Y139" s="122"/>
      <c r="Z139" s="122"/>
      <c r="AA139" s="122"/>
      <c r="AB139" s="122"/>
      <c r="AC139" s="122"/>
      <c r="AD139" s="15"/>
      <c r="AE139" s="15"/>
      <c r="AF139" s="15"/>
      <c r="AG139" s="15"/>
      <c r="AH139" s="15"/>
      <c r="AI139" s="15"/>
    </row>
    <row r="140" spans="6:35" s="7" customFormat="1" ht="15.75" customHeight="1" x14ac:dyDescent="0.15">
      <c r="H140" s="177" t="s">
        <v>93</v>
      </c>
      <c r="I140" s="72"/>
      <c r="J140" s="72"/>
      <c r="K140" s="72" t="s">
        <v>84</v>
      </c>
      <c r="L140" s="72"/>
      <c r="M140" s="72"/>
      <c r="N140" s="72" t="s">
        <v>86</v>
      </c>
      <c r="O140" s="72"/>
      <c r="P140" s="72"/>
      <c r="Q140" s="72"/>
      <c r="R140" s="72"/>
      <c r="S140" s="72"/>
      <c r="T140" s="98" t="s">
        <v>105</v>
      </c>
      <c r="U140" s="96"/>
      <c r="V140" s="96"/>
      <c r="W140" s="99"/>
      <c r="X140" s="72" t="s">
        <v>106</v>
      </c>
      <c r="Y140" s="72"/>
      <c r="Z140" s="72"/>
      <c r="AA140" s="72"/>
      <c r="AB140" s="72"/>
      <c r="AC140" s="121"/>
    </row>
    <row r="141" spans="6:35" s="7" customFormat="1" ht="15.75" customHeight="1" x14ac:dyDescent="0.15">
      <c r="H141" s="91"/>
      <c r="I141" s="72"/>
      <c r="J141" s="72"/>
      <c r="K141" s="72"/>
      <c r="L141" s="72"/>
      <c r="M141" s="72"/>
      <c r="N141" s="72"/>
      <c r="O141" s="72"/>
      <c r="P141" s="72"/>
      <c r="Q141" s="72"/>
      <c r="R141" s="72"/>
      <c r="S141" s="72"/>
      <c r="T141" s="100"/>
      <c r="U141" s="97"/>
      <c r="V141" s="97"/>
      <c r="W141" s="101"/>
      <c r="X141" s="72"/>
      <c r="Y141" s="72"/>
      <c r="Z141" s="72"/>
      <c r="AA141" s="72"/>
      <c r="AB141" s="72"/>
      <c r="AC141" s="121"/>
    </row>
    <row r="142" spans="6:35" s="7" customFormat="1" ht="15.75" customHeight="1" x14ac:dyDescent="0.15">
      <c r="H142" s="91" t="s">
        <v>94</v>
      </c>
      <c r="I142" s="72"/>
      <c r="J142" s="72"/>
      <c r="K142" s="73">
        <f>K112</f>
        <v>0.5</v>
      </c>
      <c r="L142" s="73"/>
      <c r="M142" s="73"/>
      <c r="N142" s="72">
        <f>N112</f>
        <v>76923</v>
      </c>
      <c r="O142" s="72"/>
      <c r="P142" s="72"/>
      <c r="Q142" s="72"/>
      <c r="R142" s="72"/>
      <c r="S142" s="72"/>
      <c r="T142" s="77">
        <f>入力!G23</f>
        <v>1.3</v>
      </c>
      <c r="U142" s="95"/>
      <c r="V142" s="95"/>
      <c r="W142" s="162"/>
      <c r="X142" s="72">
        <f>ROUND($I$129*$K$142*N142*$T$142^$P$129,0)</f>
        <v>56864</v>
      </c>
      <c r="Y142" s="72"/>
      <c r="Z142" s="72"/>
      <c r="AA142" s="72"/>
      <c r="AB142" s="72"/>
      <c r="AC142" s="121"/>
    </row>
    <row r="143" spans="6:35" s="7" customFormat="1" ht="15.75" customHeight="1" x14ac:dyDescent="0.15"/>
    <row r="144" spans="6:35" s="7" customFormat="1" ht="15.75" customHeight="1" x14ac:dyDescent="0.15">
      <c r="H144" s="122" t="s">
        <v>223</v>
      </c>
      <c r="I144" s="122"/>
      <c r="J144" s="122"/>
      <c r="K144" s="122"/>
      <c r="L144" s="122"/>
      <c r="M144" s="122"/>
      <c r="N144" s="122"/>
      <c r="O144" s="122"/>
      <c r="P144" s="122"/>
      <c r="Q144" s="122"/>
      <c r="R144" s="122"/>
      <c r="S144" s="122"/>
      <c r="T144" s="122"/>
      <c r="U144" s="122"/>
      <c r="V144" s="122"/>
      <c r="W144" s="122"/>
      <c r="X144" s="122"/>
      <c r="Y144" s="122"/>
      <c r="Z144" s="122"/>
      <c r="AA144" s="122"/>
      <c r="AB144" s="122"/>
      <c r="AC144" s="122"/>
      <c r="AD144" s="15"/>
      <c r="AE144" s="15"/>
      <c r="AF144" s="15"/>
      <c r="AG144" s="15"/>
      <c r="AH144" s="15"/>
      <c r="AI144" s="15"/>
    </row>
    <row r="145" spans="5:35" s="7" customFormat="1" ht="15.75" customHeight="1" x14ac:dyDescent="0.15">
      <c r="H145" s="177" t="s">
        <v>93</v>
      </c>
      <c r="I145" s="72"/>
      <c r="J145" s="72"/>
      <c r="K145" s="72" t="s">
        <v>84</v>
      </c>
      <c r="L145" s="72"/>
      <c r="M145" s="72"/>
      <c r="N145" s="72" t="s">
        <v>86</v>
      </c>
      <c r="O145" s="72"/>
      <c r="P145" s="72"/>
      <c r="Q145" s="72"/>
      <c r="R145" s="72"/>
      <c r="S145" s="72"/>
      <c r="T145" s="98" t="s">
        <v>105</v>
      </c>
      <c r="U145" s="96"/>
      <c r="V145" s="96"/>
      <c r="W145" s="99"/>
      <c r="X145" s="79" t="s">
        <v>107</v>
      </c>
      <c r="Y145" s="72"/>
      <c r="Z145" s="72"/>
      <c r="AA145" s="72"/>
      <c r="AB145" s="72"/>
      <c r="AC145" s="121"/>
      <c r="AD145" s="79" t="s">
        <v>108</v>
      </c>
      <c r="AE145" s="72"/>
      <c r="AF145" s="72"/>
      <c r="AG145" s="72"/>
      <c r="AH145" s="72"/>
      <c r="AI145" s="121"/>
    </row>
    <row r="146" spans="5:35" s="7" customFormat="1" ht="15.75" customHeight="1" x14ac:dyDescent="0.15">
      <c r="H146" s="177"/>
      <c r="I146" s="72"/>
      <c r="J146" s="72"/>
      <c r="K146" s="72"/>
      <c r="L146" s="72"/>
      <c r="M146" s="72"/>
      <c r="N146" s="72"/>
      <c r="O146" s="72"/>
      <c r="P146" s="72"/>
      <c r="Q146" s="72"/>
      <c r="R146" s="72"/>
      <c r="S146" s="72"/>
      <c r="T146" s="179"/>
      <c r="U146" s="146"/>
      <c r="V146" s="146"/>
      <c r="W146" s="147"/>
      <c r="X146" s="79"/>
      <c r="Y146" s="72"/>
      <c r="Z146" s="72"/>
      <c r="AA146" s="72"/>
      <c r="AB146" s="72"/>
      <c r="AC146" s="121"/>
      <c r="AD146" s="79"/>
      <c r="AE146" s="72"/>
      <c r="AF146" s="72"/>
      <c r="AG146" s="72"/>
      <c r="AH146" s="72"/>
      <c r="AI146" s="121"/>
    </row>
    <row r="147" spans="5:35" s="7" customFormat="1" ht="15.75" customHeight="1" x14ac:dyDescent="0.15">
      <c r="H147" s="91"/>
      <c r="I147" s="72"/>
      <c r="J147" s="72"/>
      <c r="K147" s="72"/>
      <c r="L147" s="72"/>
      <c r="M147" s="72"/>
      <c r="N147" s="72"/>
      <c r="O147" s="72"/>
      <c r="P147" s="72"/>
      <c r="Q147" s="72"/>
      <c r="R147" s="72"/>
      <c r="S147" s="72"/>
      <c r="T147" s="100"/>
      <c r="U147" s="97"/>
      <c r="V147" s="97"/>
      <c r="W147" s="101"/>
      <c r="X147" s="72"/>
      <c r="Y147" s="72"/>
      <c r="Z147" s="72"/>
      <c r="AA147" s="72"/>
      <c r="AB147" s="72"/>
      <c r="AC147" s="121"/>
      <c r="AD147" s="72"/>
      <c r="AE147" s="72"/>
      <c r="AF147" s="72"/>
      <c r="AG147" s="72"/>
      <c r="AH147" s="72"/>
      <c r="AI147" s="121"/>
    </row>
    <row r="148" spans="5:35" s="7" customFormat="1" ht="15.75" customHeight="1" x14ac:dyDescent="0.15">
      <c r="H148" s="91" t="s">
        <v>94</v>
      </c>
      <c r="I148" s="72"/>
      <c r="J148" s="72"/>
      <c r="K148" s="73">
        <f>K117</f>
        <v>1</v>
      </c>
      <c r="L148" s="73"/>
      <c r="M148" s="73"/>
      <c r="N148" s="72">
        <f>N117</f>
        <v>76923</v>
      </c>
      <c r="O148" s="72"/>
      <c r="P148" s="72"/>
      <c r="Q148" s="72"/>
      <c r="R148" s="72"/>
      <c r="S148" s="72"/>
      <c r="T148" s="77">
        <f>入力!G23</f>
        <v>1.3</v>
      </c>
      <c r="U148" s="95"/>
      <c r="V148" s="95"/>
      <c r="W148" s="162"/>
      <c r="X148" s="72">
        <f>ROUND($I$129*$K$148*N148*$T$148^$P$132,0)</f>
        <v>113729</v>
      </c>
      <c r="Y148" s="72"/>
      <c r="Z148" s="72"/>
      <c r="AA148" s="72"/>
      <c r="AB148" s="72"/>
      <c r="AC148" s="121"/>
      <c r="AD148" s="72">
        <f>ROUND($I$132*$K$148*N148*$T$148^$P$132,0)</f>
        <v>227458</v>
      </c>
      <c r="AE148" s="72"/>
      <c r="AF148" s="72"/>
      <c r="AG148" s="72"/>
      <c r="AH148" s="72"/>
      <c r="AI148" s="121"/>
    </row>
    <row r="149" spans="5:35" s="7" customFormat="1" ht="15.75" customHeight="1" x14ac:dyDescent="0.15"/>
    <row r="150" spans="5:35" s="7" customFormat="1" ht="15.75" customHeight="1" x14ac:dyDescent="0.15"/>
    <row r="151" spans="5:35" s="7" customFormat="1" ht="15.75" customHeight="1" x14ac:dyDescent="0.15"/>
    <row r="152" spans="5:35" s="7" customFormat="1" ht="15.75" customHeight="1" x14ac:dyDescent="0.15">
      <c r="E152" s="7" t="s">
        <v>94</v>
      </c>
      <c r="F152" s="7" t="s">
        <v>109</v>
      </c>
    </row>
    <row r="153" spans="5:35" s="7" customFormat="1" ht="15.75" customHeight="1" x14ac:dyDescent="0.15"/>
    <row r="154" spans="5:35" s="7" customFormat="1" ht="15.75" customHeight="1" x14ac:dyDescent="0.2">
      <c r="F154" s="7" t="s">
        <v>477</v>
      </c>
    </row>
    <row r="155" spans="5:35" s="7" customFormat="1" ht="15.75" customHeight="1" x14ac:dyDescent="0.15">
      <c r="F155" s="7" t="s">
        <v>478</v>
      </c>
    </row>
    <row r="156" spans="5:35" s="7" customFormat="1" ht="15.75" customHeight="1" x14ac:dyDescent="0.15"/>
    <row r="157" spans="5:35" s="7" customFormat="1" ht="15.75" customHeight="1" x14ac:dyDescent="0.2">
      <c r="F157" s="69" t="s">
        <v>110</v>
      </c>
      <c r="G157" s="69"/>
      <c r="H157" s="6" t="s">
        <v>29</v>
      </c>
      <c r="I157" s="69" t="s">
        <v>111</v>
      </c>
      <c r="J157" s="69"/>
      <c r="K157" s="6" t="s">
        <v>112</v>
      </c>
      <c r="L157" s="69" t="s">
        <v>100</v>
      </c>
      <c r="M157" s="69"/>
    </row>
    <row r="158" spans="5:35" s="7" customFormat="1" ht="15.75" customHeight="1" x14ac:dyDescent="0.15"/>
    <row r="159" spans="5:35" s="7" customFormat="1" ht="15.75" customHeight="1" x14ac:dyDescent="0.2">
      <c r="G159" s="7" t="s">
        <v>3</v>
      </c>
      <c r="J159" s="69" t="s">
        <v>110</v>
      </c>
      <c r="K159" s="69"/>
      <c r="L159" s="6" t="s">
        <v>2</v>
      </c>
      <c r="M159" s="7" t="s">
        <v>113</v>
      </c>
    </row>
    <row r="160" spans="5:35" s="7" customFormat="1" ht="15.75" customHeight="1" x14ac:dyDescent="0.2">
      <c r="J160" s="69" t="s">
        <v>100</v>
      </c>
      <c r="K160" s="69"/>
      <c r="L160" s="6" t="s">
        <v>2</v>
      </c>
      <c r="M160" s="7" t="s">
        <v>114</v>
      </c>
    </row>
    <row r="161" spans="7:35" s="7" customFormat="1" ht="15.75" customHeight="1" x14ac:dyDescent="0.2">
      <c r="J161" s="69" t="s">
        <v>111</v>
      </c>
      <c r="K161" s="69"/>
      <c r="L161" s="6" t="s">
        <v>2</v>
      </c>
      <c r="M161" s="7" t="s">
        <v>115</v>
      </c>
    </row>
    <row r="162" spans="7:35" s="7" customFormat="1" ht="15.75" customHeight="1" x14ac:dyDescent="0.15">
      <c r="J162" s="6"/>
      <c r="K162" s="6"/>
      <c r="L162" s="6"/>
      <c r="M162" s="7" t="s">
        <v>202</v>
      </c>
    </row>
    <row r="163" spans="7:35" s="7" customFormat="1" ht="15.75" customHeight="1" x14ac:dyDescent="0.15">
      <c r="J163" s="6"/>
      <c r="K163" s="6"/>
      <c r="L163" s="6"/>
      <c r="M163" s="7" t="s">
        <v>116</v>
      </c>
    </row>
    <row r="164" spans="7:35" s="7" customFormat="1" ht="15.75" customHeight="1" x14ac:dyDescent="0.2">
      <c r="J164" s="6"/>
      <c r="K164" s="6"/>
      <c r="L164" s="6"/>
      <c r="M164" s="69" t="s">
        <v>111</v>
      </c>
      <c r="N164" s="69"/>
      <c r="O164" s="6" t="s">
        <v>29</v>
      </c>
      <c r="P164" s="7" t="s">
        <v>141</v>
      </c>
    </row>
    <row r="165" spans="7:35" s="7" customFormat="1" ht="15.75" customHeight="1" x14ac:dyDescent="0.15">
      <c r="J165" s="69" t="s">
        <v>117</v>
      </c>
      <c r="K165" s="69"/>
      <c r="L165" s="6" t="s">
        <v>2</v>
      </c>
      <c r="M165" s="7" t="s">
        <v>118</v>
      </c>
    </row>
    <row r="166" spans="7:35" s="7" customFormat="1" ht="15.75" customHeight="1" x14ac:dyDescent="0.15">
      <c r="J166" s="69" t="s">
        <v>120</v>
      </c>
      <c r="K166" s="69"/>
      <c r="L166" s="6" t="s">
        <v>2</v>
      </c>
      <c r="M166" s="7" t="s">
        <v>121</v>
      </c>
    </row>
    <row r="167" spans="7:35" s="2" customFormat="1" ht="15.75" customHeight="1" x14ac:dyDescent="0.15">
      <c r="J167" s="1"/>
      <c r="K167" s="1"/>
      <c r="L167" s="1"/>
      <c r="M167" s="146" t="s">
        <v>120</v>
      </c>
      <c r="N167" s="146"/>
      <c r="O167" s="146" t="s">
        <v>29</v>
      </c>
      <c r="P167" s="146" t="s">
        <v>123</v>
      </c>
      <c r="Q167" s="146"/>
      <c r="R167" s="1" t="s">
        <v>6</v>
      </c>
      <c r="S167" s="146" t="s">
        <v>122</v>
      </c>
      <c r="T167" s="146"/>
    </row>
    <row r="168" spans="7:35" s="2" customFormat="1" ht="15.75" customHeight="1" x14ac:dyDescent="0.15">
      <c r="J168" s="1"/>
      <c r="K168" s="1"/>
      <c r="L168" s="1"/>
      <c r="M168" s="146"/>
      <c r="N168" s="146"/>
      <c r="O168" s="146"/>
      <c r="P168" s="3" t="s">
        <v>80</v>
      </c>
      <c r="Q168" s="146" t="s">
        <v>124</v>
      </c>
      <c r="R168" s="146"/>
      <c r="S168" s="146"/>
      <c r="T168" s="146"/>
    </row>
    <row r="169" spans="7:35" s="7" customFormat="1" ht="15.75" customHeight="1" x14ac:dyDescent="0.15">
      <c r="J169" s="146" t="s">
        <v>125</v>
      </c>
      <c r="K169" s="146"/>
      <c r="L169" s="6" t="s">
        <v>2</v>
      </c>
      <c r="M169" s="7" t="s">
        <v>131</v>
      </c>
    </row>
    <row r="170" spans="7:35" s="7" customFormat="1" ht="15.75" customHeight="1" x14ac:dyDescent="0.15">
      <c r="J170" s="146" t="s">
        <v>126</v>
      </c>
      <c r="K170" s="146"/>
      <c r="L170" s="6" t="s">
        <v>2</v>
      </c>
      <c r="M170" s="7" t="s">
        <v>132</v>
      </c>
    </row>
    <row r="171" spans="7:35" s="7" customFormat="1" ht="15.75" customHeight="1" x14ac:dyDescent="0.15">
      <c r="J171" s="69" t="s">
        <v>80</v>
      </c>
      <c r="K171" s="69"/>
      <c r="L171" s="6" t="s">
        <v>2</v>
      </c>
      <c r="M171" s="7" t="s">
        <v>83</v>
      </c>
    </row>
    <row r="172" spans="7:35" s="7" customFormat="1" ht="15.75" customHeight="1" x14ac:dyDescent="0.15">
      <c r="J172" s="146" t="s">
        <v>129</v>
      </c>
      <c r="K172" s="146"/>
      <c r="L172" s="6" t="s">
        <v>2</v>
      </c>
      <c r="M172" s="7" t="s">
        <v>127</v>
      </c>
    </row>
    <row r="173" spans="7:35" s="7" customFormat="1" ht="15.75" customHeight="1" x14ac:dyDescent="0.15">
      <c r="J173" s="146" t="s">
        <v>130</v>
      </c>
      <c r="K173" s="146"/>
      <c r="L173" s="6" t="s">
        <v>2</v>
      </c>
      <c r="M173" s="7" t="s">
        <v>128</v>
      </c>
    </row>
    <row r="174" spans="7:35" s="7" customFormat="1" ht="15.75" customHeight="1" x14ac:dyDescent="0.15"/>
    <row r="175" spans="7:35" s="7" customFormat="1" ht="15.75" customHeight="1" x14ac:dyDescent="0.15">
      <c r="G175" s="83" t="s">
        <v>224</v>
      </c>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row>
    <row r="176" spans="7:35" s="7" customFormat="1" ht="15.75" customHeight="1" x14ac:dyDescent="0.15">
      <c r="G176" s="91" t="s">
        <v>62</v>
      </c>
      <c r="H176" s="72"/>
      <c r="I176" s="72"/>
      <c r="J176" s="72"/>
      <c r="K176" s="72"/>
      <c r="L176" s="72" t="s">
        <v>117</v>
      </c>
      <c r="M176" s="72"/>
      <c r="N176" s="72"/>
      <c r="O176" s="180" t="s">
        <v>135</v>
      </c>
      <c r="P176" s="180"/>
      <c r="Q176" s="180"/>
      <c r="R176" s="180" t="s">
        <v>136</v>
      </c>
      <c r="S176" s="180"/>
      <c r="T176" s="180"/>
      <c r="U176" s="180" t="s">
        <v>137</v>
      </c>
      <c r="V176" s="180"/>
      <c r="W176" s="180"/>
      <c r="X176" s="180" t="s">
        <v>138</v>
      </c>
      <c r="Y176" s="180"/>
      <c r="Z176" s="180"/>
      <c r="AA176" s="180" t="s">
        <v>139</v>
      </c>
      <c r="AB176" s="180"/>
      <c r="AC176" s="180"/>
      <c r="AD176" s="180" t="s">
        <v>119</v>
      </c>
      <c r="AE176" s="180"/>
      <c r="AF176" s="180"/>
      <c r="AG176" s="180" t="s">
        <v>140</v>
      </c>
      <c r="AH176" s="180"/>
      <c r="AI176" s="187"/>
    </row>
    <row r="177" spans="4:35" s="7" customFormat="1" ht="15.75" customHeight="1" x14ac:dyDescent="0.15">
      <c r="G177" s="91" t="s">
        <v>134</v>
      </c>
      <c r="H177" s="72"/>
      <c r="I177" s="72"/>
      <c r="J177" s="72"/>
      <c r="K177" s="72"/>
      <c r="L177" s="72">
        <v>0.6</v>
      </c>
      <c r="M177" s="72"/>
      <c r="N177" s="72"/>
      <c r="O177" s="72">
        <v>3</v>
      </c>
      <c r="P177" s="72"/>
      <c r="Q177" s="72"/>
      <c r="R177" s="72">
        <v>2</v>
      </c>
      <c r="S177" s="72"/>
      <c r="T177" s="72"/>
      <c r="U177" s="76">
        <v>3.45</v>
      </c>
      <c r="V177" s="76"/>
      <c r="W177" s="76"/>
      <c r="X177" s="76">
        <v>3.9</v>
      </c>
      <c r="Y177" s="76"/>
      <c r="Z177" s="76"/>
      <c r="AA177" s="76">
        <f>入力!G23</f>
        <v>1.3</v>
      </c>
      <c r="AB177" s="76"/>
      <c r="AC177" s="76"/>
      <c r="AD177" s="161">
        <f>(O177*U177+R177*X177)/((O177+R177)*$AA$177)</f>
        <v>2.7923076923076926</v>
      </c>
      <c r="AE177" s="161"/>
      <c r="AF177" s="161"/>
      <c r="AG177" s="161">
        <f>(1-5*(1-(0.6-0.25*$L$177)*AD177^(0.3+0.2*$L$177))*(1-O177^(-0.22)*R177^(-0.09)))^(4/3)</f>
        <v>0.50277411895632818</v>
      </c>
      <c r="AH177" s="161"/>
      <c r="AI177" s="188"/>
    </row>
    <row r="178" spans="4:35" s="7" customFormat="1" ht="15.75" customHeight="1" x14ac:dyDescent="0.15">
      <c r="G178" s="91" t="s">
        <v>133</v>
      </c>
      <c r="H178" s="72"/>
      <c r="I178" s="72"/>
      <c r="J178" s="72"/>
      <c r="K178" s="72"/>
      <c r="L178" s="72"/>
      <c r="M178" s="72"/>
      <c r="N178" s="72"/>
      <c r="O178" s="72">
        <v>2</v>
      </c>
      <c r="P178" s="72"/>
      <c r="Q178" s="72"/>
      <c r="R178" s="72">
        <v>3</v>
      </c>
      <c r="S178" s="72"/>
      <c r="T178" s="72"/>
      <c r="U178" s="76">
        <v>3.9</v>
      </c>
      <c r="V178" s="76"/>
      <c r="W178" s="76"/>
      <c r="X178" s="76">
        <v>3.45</v>
      </c>
      <c r="Y178" s="76"/>
      <c r="Z178" s="76"/>
      <c r="AA178" s="76"/>
      <c r="AB178" s="76"/>
      <c r="AC178" s="76"/>
      <c r="AD178" s="161">
        <f>(O178*U178+R178*X178)/((O178+R178)*$AA$177)</f>
        <v>2.7923076923076926</v>
      </c>
      <c r="AE178" s="161"/>
      <c r="AF178" s="161"/>
      <c r="AG178" s="161">
        <f>(1-5*(1-(0.6-0.25*$L$177)*AD178^(0.3+0.2*$L$177))*(1-O178^(-0.22)*R178^(-0.09)))^(4/3)</f>
        <v>0.57282725102687593</v>
      </c>
      <c r="AH178" s="161"/>
      <c r="AI178" s="188"/>
    </row>
    <row r="179" spans="4:35" s="7" customFormat="1" ht="15.75" customHeight="1" x14ac:dyDescent="0.15"/>
    <row r="180" spans="4:35" s="7" customFormat="1" ht="15.75" customHeight="1" x14ac:dyDescent="0.15"/>
    <row r="181" spans="4:35" s="7" customFormat="1" ht="15.75" customHeight="1" x14ac:dyDescent="0.15">
      <c r="D181" s="12" t="s">
        <v>142</v>
      </c>
    </row>
    <row r="182" spans="4:35" s="7" customFormat="1" ht="15.75" customHeight="1" x14ac:dyDescent="0.15"/>
    <row r="183" spans="4:35" s="7" customFormat="1" ht="15.75" customHeight="1" x14ac:dyDescent="0.15">
      <c r="D183" s="7" t="s">
        <v>143</v>
      </c>
      <c r="M183" s="12"/>
    </row>
    <row r="184" spans="4:35" s="7" customFormat="1" ht="15.75" customHeight="1" x14ac:dyDescent="0.15"/>
    <row r="185" spans="4:35" s="7" customFormat="1" ht="15.75" customHeight="1" x14ac:dyDescent="0.15">
      <c r="F185" s="7" t="s">
        <v>225</v>
      </c>
    </row>
    <row r="186" spans="4:35" s="7" customFormat="1" ht="15.75" customHeight="1" x14ac:dyDescent="0.15">
      <c r="F186" s="7" t="s">
        <v>90</v>
      </c>
    </row>
    <row r="187" spans="4:35" s="7" customFormat="1" ht="15.75" customHeight="1" x14ac:dyDescent="0.15"/>
    <row r="188" spans="4:35" s="7" customFormat="1" ht="15.75" customHeight="1" x14ac:dyDescent="0.2">
      <c r="F188" s="69" t="s">
        <v>145</v>
      </c>
      <c r="G188" s="69"/>
      <c r="H188" s="6" t="s">
        <v>29</v>
      </c>
      <c r="I188" s="69" t="s">
        <v>144</v>
      </c>
      <c r="J188" s="69"/>
      <c r="K188" s="6" t="s">
        <v>112</v>
      </c>
      <c r="L188" s="69" t="s">
        <v>146</v>
      </c>
      <c r="M188" s="69"/>
    </row>
    <row r="189" spans="4:35" s="7" customFormat="1" ht="15.75" customHeight="1" x14ac:dyDescent="0.15"/>
    <row r="190" spans="4:35" s="7" customFormat="1" ht="15.75" customHeight="1" x14ac:dyDescent="0.2">
      <c r="G190" s="7" t="s">
        <v>3</v>
      </c>
      <c r="J190" s="69" t="s">
        <v>145</v>
      </c>
      <c r="K190" s="69"/>
      <c r="L190" s="6" t="s">
        <v>2</v>
      </c>
      <c r="M190" s="7" t="s">
        <v>147</v>
      </c>
    </row>
    <row r="191" spans="4:35" s="7" customFormat="1" ht="15.75" customHeight="1" x14ac:dyDescent="0.2">
      <c r="J191" s="69" t="s">
        <v>100</v>
      </c>
      <c r="K191" s="69"/>
      <c r="L191" s="6" t="s">
        <v>2</v>
      </c>
      <c r="M191" s="7" t="s">
        <v>82</v>
      </c>
    </row>
    <row r="192" spans="4:35" s="7" customFormat="1" ht="15.75" customHeight="1" x14ac:dyDescent="0.2">
      <c r="J192" s="69" t="s">
        <v>146</v>
      </c>
      <c r="K192" s="69"/>
      <c r="L192" s="6" t="s">
        <v>2</v>
      </c>
      <c r="M192" s="7" t="s">
        <v>148</v>
      </c>
    </row>
    <row r="193" spans="4:37" s="7" customFormat="1" ht="15.75" customHeight="1" x14ac:dyDescent="0.2">
      <c r="J193" s="6"/>
      <c r="K193" s="6"/>
      <c r="L193" s="6"/>
      <c r="M193" s="69" t="s">
        <v>146</v>
      </c>
      <c r="N193" s="69"/>
      <c r="O193" s="6" t="s">
        <v>29</v>
      </c>
      <c r="P193" s="189">
        <v>0.25</v>
      </c>
      <c r="Q193" s="189"/>
      <c r="R193" s="6" t="s">
        <v>112</v>
      </c>
      <c r="S193" s="6" t="s">
        <v>149</v>
      </c>
      <c r="T193" s="6" t="s">
        <v>112</v>
      </c>
      <c r="U193" s="8" t="s">
        <v>80</v>
      </c>
      <c r="V193" s="10">
        <v>2</v>
      </c>
    </row>
    <row r="194" spans="4:37" s="7" customFormat="1" ht="15.75" customHeight="1" x14ac:dyDescent="0.15">
      <c r="J194" s="6"/>
      <c r="K194" s="6"/>
      <c r="L194" s="6"/>
      <c r="M194" s="6"/>
      <c r="N194" s="6"/>
      <c r="O194" s="6" t="s">
        <v>29</v>
      </c>
      <c r="P194" s="189">
        <f>P193</f>
        <v>0.25</v>
      </c>
      <c r="Q194" s="189"/>
      <c r="R194" s="6" t="s">
        <v>150</v>
      </c>
      <c r="S194" s="6" t="s">
        <v>149</v>
      </c>
      <c r="T194" s="6" t="s">
        <v>150</v>
      </c>
      <c r="U194" s="178">
        <f>T195</f>
        <v>1.3</v>
      </c>
      <c r="V194" s="178"/>
      <c r="W194" s="10">
        <f>V193</f>
        <v>2</v>
      </c>
      <c r="X194" s="6" t="s">
        <v>29</v>
      </c>
      <c r="Y194" s="69">
        <f>ROUND(P194*PI()*U194^W194,3)</f>
        <v>1.327</v>
      </c>
      <c r="Z194" s="69"/>
      <c r="AA194" s="69"/>
      <c r="AB194" s="7" t="s">
        <v>151</v>
      </c>
    </row>
    <row r="195" spans="4:37" s="7" customFormat="1" ht="15.75" customHeight="1" x14ac:dyDescent="0.15">
      <c r="J195" s="69" t="s">
        <v>80</v>
      </c>
      <c r="K195" s="69"/>
      <c r="L195" s="6" t="s">
        <v>2</v>
      </c>
      <c r="M195" s="7" t="s">
        <v>152</v>
      </c>
      <c r="R195" s="8" t="s">
        <v>153</v>
      </c>
      <c r="S195" s="6" t="s">
        <v>29</v>
      </c>
      <c r="T195" s="178">
        <f>入力!G23</f>
        <v>1.3</v>
      </c>
      <c r="U195" s="178"/>
      <c r="V195" s="7" t="s">
        <v>154</v>
      </c>
    </row>
    <row r="196" spans="4:37" s="7" customFormat="1" ht="15.75" customHeight="1" x14ac:dyDescent="0.15">
      <c r="J196" s="6"/>
      <c r="K196" s="6"/>
      <c r="L196" s="6"/>
      <c r="R196" s="8"/>
      <c r="S196" s="6"/>
      <c r="T196" s="18"/>
      <c r="U196" s="18"/>
    </row>
    <row r="197" spans="4:37" s="7" customFormat="1" ht="15.75" customHeight="1" x14ac:dyDescent="0.15">
      <c r="J197" s="122" t="s">
        <v>155</v>
      </c>
      <c r="K197" s="122"/>
      <c r="L197" s="122"/>
      <c r="M197" s="122"/>
      <c r="N197" s="122"/>
      <c r="O197" s="122"/>
      <c r="P197" s="122"/>
      <c r="Q197" s="122"/>
      <c r="R197" s="122"/>
      <c r="S197" s="122"/>
      <c r="T197" s="122"/>
      <c r="U197" s="122"/>
      <c r="V197" s="122"/>
      <c r="W197" s="122"/>
      <c r="X197" s="122"/>
      <c r="Y197" s="122"/>
      <c r="Z197" s="122"/>
      <c r="AA197" s="122"/>
      <c r="AB197" s="15"/>
      <c r="AC197" s="15"/>
      <c r="AD197" s="15"/>
      <c r="AE197" s="15"/>
      <c r="AF197" s="15"/>
      <c r="AG197" s="15"/>
      <c r="AH197" s="15"/>
      <c r="AI197" s="15"/>
      <c r="AJ197" s="15"/>
      <c r="AK197" s="15"/>
    </row>
    <row r="198" spans="4:37" s="7" customFormat="1" ht="15.75" customHeight="1" x14ac:dyDescent="0.15">
      <c r="J198" s="91" t="s">
        <v>88</v>
      </c>
      <c r="K198" s="72"/>
      <c r="L198" s="72"/>
      <c r="M198" s="72"/>
      <c r="N198" s="72"/>
      <c r="O198" s="72"/>
      <c r="P198" s="72" t="s">
        <v>156</v>
      </c>
      <c r="Q198" s="72"/>
      <c r="R198" s="72"/>
      <c r="S198" s="72"/>
      <c r="T198" s="72"/>
      <c r="U198" s="72"/>
      <c r="V198" s="72" t="s">
        <v>157</v>
      </c>
      <c r="W198" s="72"/>
      <c r="X198" s="72"/>
      <c r="Y198" s="72"/>
      <c r="Z198" s="72"/>
      <c r="AA198" s="121"/>
    </row>
    <row r="199" spans="4:37" s="7" customFormat="1" ht="15.75" customHeight="1" x14ac:dyDescent="0.15">
      <c r="J199" s="91">
        <f>W92</f>
        <v>44228</v>
      </c>
      <c r="K199" s="72"/>
      <c r="L199" s="72"/>
      <c r="M199" s="72"/>
      <c r="N199" s="72"/>
      <c r="O199" s="72"/>
      <c r="P199" s="161">
        <f>ROUND(Y194,3)</f>
        <v>1.327</v>
      </c>
      <c r="Q199" s="161"/>
      <c r="R199" s="161"/>
      <c r="S199" s="161"/>
      <c r="T199" s="161"/>
      <c r="U199" s="161"/>
      <c r="V199" s="72">
        <f>ROUND(J199*P199,0)</f>
        <v>58691</v>
      </c>
      <c r="W199" s="72"/>
      <c r="X199" s="72"/>
      <c r="Y199" s="72"/>
      <c r="Z199" s="72"/>
      <c r="AA199" s="121"/>
    </row>
    <row r="200" spans="4:37" s="7" customFormat="1" ht="15.75" customHeight="1" x14ac:dyDescent="0.15"/>
    <row r="201" spans="4:37" s="7" customFormat="1" ht="15.75" customHeight="1" x14ac:dyDescent="0.15">
      <c r="J201" s="122" t="s">
        <v>158</v>
      </c>
      <c r="K201" s="122"/>
      <c r="L201" s="122"/>
      <c r="M201" s="122"/>
      <c r="N201" s="122"/>
      <c r="O201" s="122"/>
      <c r="P201" s="122"/>
      <c r="Q201" s="122"/>
      <c r="R201" s="122"/>
      <c r="S201" s="122"/>
      <c r="T201" s="122"/>
      <c r="U201" s="122"/>
      <c r="V201" s="122"/>
      <c r="W201" s="122"/>
      <c r="X201" s="122"/>
      <c r="Y201" s="122"/>
      <c r="Z201" s="122"/>
      <c r="AA201" s="122"/>
      <c r="AB201" s="15"/>
      <c r="AC201" s="15"/>
      <c r="AD201" s="15"/>
      <c r="AE201" s="15"/>
      <c r="AF201" s="15"/>
      <c r="AG201" s="15"/>
      <c r="AH201" s="15"/>
      <c r="AI201" s="15"/>
      <c r="AJ201" s="15"/>
      <c r="AK201" s="15"/>
    </row>
    <row r="202" spans="4:37" s="7" customFormat="1" ht="15.75" customHeight="1" x14ac:dyDescent="0.15">
      <c r="J202" s="91" t="s">
        <v>88</v>
      </c>
      <c r="K202" s="72"/>
      <c r="L202" s="72"/>
      <c r="M202" s="72"/>
      <c r="N202" s="72"/>
      <c r="O202" s="72"/>
      <c r="P202" s="72" t="s">
        <v>156</v>
      </c>
      <c r="Q202" s="72"/>
      <c r="R202" s="72"/>
      <c r="S202" s="72"/>
      <c r="T202" s="72"/>
      <c r="U202" s="72"/>
      <c r="V202" s="72" t="s">
        <v>157</v>
      </c>
      <c r="W202" s="72"/>
      <c r="X202" s="72"/>
      <c r="Y202" s="72"/>
      <c r="Z202" s="72"/>
      <c r="AA202" s="121"/>
    </row>
    <row r="203" spans="4:37" s="7" customFormat="1" ht="15.75" customHeight="1" x14ac:dyDescent="0.15">
      <c r="J203" s="91">
        <f>W96</f>
        <v>88456</v>
      </c>
      <c r="K203" s="72"/>
      <c r="L203" s="72"/>
      <c r="M203" s="72"/>
      <c r="N203" s="72"/>
      <c r="O203" s="72"/>
      <c r="P203" s="161">
        <f>ROUND(Y194,3)</f>
        <v>1.327</v>
      </c>
      <c r="Q203" s="161"/>
      <c r="R203" s="161"/>
      <c r="S203" s="161"/>
      <c r="T203" s="161"/>
      <c r="U203" s="161"/>
      <c r="V203" s="72">
        <f>ROUND(J203*P203,0)</f>
        <v>117381</v>
      </c>
      <c r="W203" s="72"/>
      <c r="X203" s="72"/>
      <c r="Y203" s="72"/>
      <c r="Z203" s="72"/>
      <c r="AA203" s="121"/>
    </row>
    <row r="208" spans="4:37" ht="15.75" customHeight="1" x14ac:dyDescent="0.15">
      <c r="D208" s="7" t="s">
        <v>159</v>
      </c>
      <c r="M208" s="12"/>
    </row>
    <row r="210" spans="6:35" ht="15.75" customHeight="1" x14ac:dyDescent="0.15">
      <c r="F210" s="7" t="s">
        <v>160</v>
      </c>
    </row>
    <row r="212" spans="6:35" s="7" customFormat="1" ht="15.75" customHeight="1" x14ac:dyDescent="0.2">
      <c r="F212" s="69" t="s">
        <v>161</v>
      </c>
      <c r="G212" s="69"/>
      <c r="H212" s="6" t="s">
        <v>29</v>
      </c>
      <c r="I212" s="69" t="s">
        <v>162</v>
      </c>
      <c r="J212" s="69"/>
      <c r="K212" s="6" t="s">
        <v>112</v>
      </c>
      <c r="L212" s="6" t="s">
        <v>163</v>
      </c>
      <c r="M212" s="6" t="s">
        <v>112</v>
      </c>
      <c r="N212" s="69" t="s">
        <v>164</v>
      </c>
      <c r="O212" s="69"/>
    </row>
    <row r="213" spans="6:35" s="7" customFormat="1" ht="15.75" customHeight="1" x14ac:dyDescent="0.15"/>
    <row r="214" spans="6:35" s="7" customFormat="1" ht="15.75" customHeight="1" x14ac:dyDescent="0.2">
      <c r="G214" s="7" t="s">
        <v>3</v>
      </c>
      <c r="J214" s="69" t="s">
        <v>161</v>
      </c>
      <c r="K214" s="69"/>
      <c r="L214" s="6" t="s">
        <v>2</v>
      </c>
      <c r="M214" s="7" t="s">
        <v>165</v>
      </c>
    </row>
    <row r="215" spans="6:35" s="7" customFormat="1" ht="15.75" customHeight="1" x14ac:dyDescent="0.2">
      <c r="J215" s="69" t="s">
        <v>162</v>
      </c>
      <c r="K215" s="69"/>
      <c r="L215" s="6" t="s">
        <v>2</v>
      </c>
      <c r="M215" s="7" t="s">
        <v>166</v>
      </c>
    </row>
    <row r="216" spans="6:35" s="7" customFormat="1" ht="15.75" customHeight="1" x14ac:dyDescent="0.15">
      <c r="J216" s="69" t="s">
        <v>163</v>
      </c>
      <c r="K216" s="69"/>
      <c r="L216" s="6" t="s">
        <v>2</v>
      </c>
      <c r="M216" s="7" t="s">
        <v>167</v>
      </c>
      <c r="R216" s="6" t="s">
        <v>29</v>
      </c>
      <c r="S216" s="6" t="s">
        <v>149</v>
      </c>
      <c r="T216" s="6" t="s">
        <v>112</v>
      </c>
      <c r="U216" s="8" t="s">
        <v>80</v>
      </c>
    </row>
    <row r="217" spans="6:35" s="7" customFormat="1" ht="15.75" customHeight="1" x14ac:dyDescent="0.15">
      <c r="J217" s="69" t="s">
        <v>80</v>
      </c>
      <c r="K217" s="69"/>
      <c r="L217" s="6" t="s">
        <v>2</v>
      </c>
      <c r="M217" s="7" t="s">
        <v>168</v>
      </c>
      <c r="P217" s="8" t="s">
        <v>153</v>
      </c>
      <c r="Q217" s="6" t="s">
        <v>29</v>
      </c>
      <c r="R217" s="178">
        <v>1</v>
      </c>
      <c r="S217" s="178"/>
      <c r="T217" s="7" t="s">
        <v>154</v>
      </c>
    </row>
    <row r="218" spans="6:35" ht="15.75" customHeight="1" x14ac:dyDescent="0.15">
      <c r="J218" s="69" t="s">
        <v>164</v>
      </c>
      <c r="K218" s="69"/>
      <c r="L218" s="6" t="s">
        <v>2</v>
      </c>
      <c r="M218" s="7" t="s">
        <v>169</v>
      </c>
    </row>
    <row r="220" spans="6:35" s="7" customFormat="1" ht="15.75" customHeight="1" x14ac:dyDescent="0.15">
      <c r="F220" s="7" t="s">
        <v>170</v>
      </c>
    </row>
    <row r="221" spans="6:35" s="7" customFormat="1" ht="15.75" customHeight="1" x14ac:dyDescent="0.15">
      <c r="AI221" s="19" t="s">
        <v>171</v>
      </c>
    </row>
    <row r="222" spans="6:35" s="7" customFormat="1" ht="15.75" customHeight="1" x14ac:dyDescent="0.15">
      <c r="G222" s="20" t="s">
        <v>172</v>
      </c>
      <c r="H222" s="7" t="s">
        <v>178</v>
      </c>
    </row>
    <row r="223" spans="6:35" s="7" customFormat="1" ht="15.75" customHeight="1" x14ac:dyDescent="0.15">
      <c r="G223" s="20"/>
      <c r="H223" s="7" t="s">
        <v>175</v>
      </c>
    </row>
    <row r="224" spans="6:35" s="7" customFormat="1" ht="15.75" customHeight="1" x14ac:dyDescent="0.15">
      <c r="G224" s="20" t="s">
        <v>173</v>
      </c>
      <c r="H224" s="7" t="s">
        <v>176</v>
      </c>
    </row>
    <row r="225" spans="5:20" s="7" customFormat="1" ht="15.75" customHeight="1" x14ac:dyDescent="0.2">
      <c r="G225" s="20"/>
      <c r="H225" s="7" t="s">
        <v>177</v>
      </c>
    </row>
    <row r="226" spans="5:20" s="7" customFormat="1" ht="15.75" customHeight="1" x14ac:dyDescent="0.15">
      <c r="G226" s="20" t="s">
        <v>174</v>
      </c>
      <c r="H226" s="7" t="s">
        <v>479</v>
      </c>
    </row>
    <row r="227" spans="5:20" s="7" customFormat="1" ht="15.75" customHeight="1" x14ac:dyDescent="0.2">
      <c r="H227" s="7" t="s">
        <v>480</v>
      </c>
    </row>
    <row r="228" spans="5:20" s="7" customFormat="1" ht="15.75" customHeight="1" x14ac:dyDescent="0.15">
      <c r="H228" s="7" t="s">
        <v>481</v>
      </c>
    </row>
    <row r="229" spans="5:20" s="7" customFormat="1" ht="15.75" customHeight="1" x14ac:dyDescent="0.15">
      <c r="H229" s="7" t="s">
        <v>482</v>
      </c>
    </row>
    <row r="230" spans="5:20" s="7" customFormat="1" ht="15.75" customHeight="1" x14ac:dyDescent="0.15"/>
    <row r="231" spans="5:20" s="7" customFormat="1" ht="15.75" customHeight="1" x14ac:dyDescent="0.15">
      <c r="E231" s="7" t="s">
        <v>96</v>
      </c>
      <c r="F231" s="7" t="s">
        <v>179</v>
      </c>
    </row>
    <row r="232" spans="5:20" s="7" customFormat="1" ht="15.75" customHeight="1" x14ac:dyDescent="0.15"/>
    <row r="233" spans="5:20" s="7" customFormat="1" ht="15.75" customHeight="1" x14ac:dyDescent="0.15">
      <c r="F233" s="7" t="s">
        <v>180</v>
      </c>
    </row>
    <row r="234" spans="5:20" s="7" customFormat="1" ht="15.75" customHeight="1" x14ac:dyDescent="0.15"/>
    <row r="235" spans="5:20" s="7" customFormat="1" ht="15.75" customHeight="1" x14ac:dyDescent="0.2">
      <c r="F235" s="69" t="s">
        <v>5</v>
      </c>
      <c r="G235" s="69"/>
      <c r="H235" s="6" t="s">
        <v>29</v>
      </c>
      <c r="I235" s="17">
        <v>4</v>
      </c>
      <c r="J235" s="69" t="s">
        <v>110</v>
      </c>
      <c r="K235" s="69"/>
      <c r="L235" s="6" t="s">
        <v>80</v>
      </c>
      <c r="M235" s="7" t="s">
        <v>7</v>
      </c>
      <c r="N235" s="6">
        <v>4</v>
      </c>
      <c r="O235" s="69" t="s">
        <v>181</v>
      </c>
      <c r="P235" s="69"/>
    </row>
    <row r="236" spans="5:20" s="7" customFormat="1" ht="15.75" customHeight="1" x14ac:dyDescent="0.15"/>
    <row r="237" spans="5:20" s="7" customFormat="1" ht="15.75" customHeight="1" x14ac:dyDescent="0.15">
      <c r="G237" s="7" t="s">
        <v>3</v>
      </c>
      <c r="J237" s="69" t="s">
        <v>5</v>
      </c>
      <c r="K237" s="69"/>
      <c r="L237" s="6" t="s">
        <v>2</v>
      </c>
      <c r="M237" s="7" t="s">
        <v>184</v>
      </c>
    </row>
    <row r="238" spans="5:20" s="7" customFormat="1" ht="15.75" customHeight="1" x14ac:dyDescent="0.2">
      <c r="J238" s="69" t="s">
        <v>110</v>
      </c>
      <c r="K238" s="69"/>
      <c r="L238" s="6" t="s">
        <v>2</v>
      </c>
      <c r="M238" s="7" t="s">
        <v>113</v>
      </c>
    </row>
    <row r="239" spans="5:20" s="7" customFormat="1" ht="15.75" customHeight="1" x14ac:dyDescent="0.15">
      <c r="J239" s="69" t="s">
        <v>80</v>
      </c>
      <c r="K239" s="69"/>
      <c r="L239" s="6" t="s">
        <v>2</v>
      </c>
      <c r="M239" s="7" t="s">
        <v>168</v>
      </c>
      <c r="P239" s="8" t="s">
        <v>153</v>
      </c>
      <c r="Q239" s="6" t="s">
        <v>29</v>
      </c>
      <c r="R239" s="178">
        <f>入力!G23</f>
        <v>1.3</v>
      </c>
      <c r="S239" s="178"/>
      <c r="T239" s="7" t="s">
        <v>154</v>
      </c>
    </row>
    <row r="240" spans="5:20" ht="15.75" customHeight="1" x14ac:dyDescent="0.15">
      <c r="J240" s="69" t="s">
        <v>181</v>
      </c>
      <c r="K240" s="69"/>
      <c r="L240" s="6" t="s">
        <v>2</v>
      </c>
      <c r="M240" s="7" t="s">
        <v>185</v>
      </c>
    </row>
    <row r="241" spans="5:35" ht="15.75" customHeight="1" x14ac:dyDescent="0.15">
      <c r="J241" s="69" t="s">
        <v>182</v>
      </c>
      <c r="K241" s="69"/>
      <c r="L241" s="6" t="s">
        <v>2</v>
      </c>
      <c r="M241" s="7" t="s">
        <v>186</v>
      </c>
      <c r="T241" s="8" t="s">
        <v>153</v>
      </c>
      <c r="U241" s="6" t="s">
        <v>29</v>
      </c>
      <c r="V241" s="69">
        <v>22.4</v>
      </c>
      <c r="W241" s="69"/>
      <c r="X241" s="7" t="s">
        <v>188</v>
      </c>
      <c r="AA241" s="6" t="s">
        <v>29</v>
      </c>
      <c r="AB241" s="69">
        <f>V241</f>
        <v>22.4</v>
      </c>
      <c r="AC241" s="69"/>
      <c r="AD241" s="6" t="s">
        <v>1</v>
      </c>
      <c r="AE241" s="11">
        <v>10</v>
      </c>
      <c r="AF241" s="10">
        <v>6</v>
      </c>
      <c r="AG241" s="7" t="s">
        <v>189</v>
      </c>
    </row>
    <row r="242" spans="5:35" ht="15.75" customHeight="1" x14ac:dyDescent="0.15">
      <c r="J242" s="69" t="s">
        <v>183</v>
      </c>
      <c r="K242" s="69"/>
      <c r="L242" s="6" t="s">
        <v>2</v>
      </c>
      <c r="M242" s="7" t="s">
        <v>187</v>
      </c>
      <c r="V242" s="8" t="s">
        <v>153</v>
      </c>
      <c r="W242" s="6" t="s">
        <v>29</v>
      </c>
      <c r="X242" s="6" t="s">
        <v>149</v>
      </c>
      <c r="Y242" s="8" t="s">
        <v>80</v>
      </c>
      <c r="Z242" s="10">
        <v>4</v>
      </c>
      <c r="AA242" s="7" t="s">
        <v>7</v>
      </c>
      <c r="AB242" s="11">
        <v>64</v>
      </c>
      <c r="AC242" s="6" t="s">
        <v>29</v>
      </c>
      <c r="AD242" s="69">
        <f>ROUND(PI()*R239^Z242/AB242,5)</f>
        <v>0.14019999999999999</v>
      </c>
      <c r="AE242" s="69"/>
      <c r="AF242" s="69"/>
      <c r="AG242" s="69"/>
      <c r="AH242" s="6" t="s">
        <v>190</v>
      </c>
    </row>
    <row r="244" spans="5:35" s="7" customFormat="1" ht="15.75" customHeight="1" x14ac:dyDescent="0.15">
      <c r="E244" s="122" t="s">
        <v>191</v>
      </c>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c r="AB244" s="122"/>
      <c r="AC244" s="122"/>
      <c r="AD244" s="122"/>
      <c r="AE244" s="122"/>
      <c r="AF244" s="122"/>
      <c r="AG244" s="122"/>
      <c r="AH244" s="122"/>
      <c r="AI244" s="122"/>
    </row>
    <row r="245" spans="5:35" s="7" customFormat="1" ht="15.75" customHeight="1" x14ac:dyDescent="0.15">
      <c r="E245" s="109" t="s">
        <v>93</v>
      </c>
      <c r="F245" s="109"/>
      <c r="G245" s="112"/>
      <c r="H245" s="84" t="s">
        <v>193</v>
      </c>
      <c r="I245" s="85"/>
      <c r="J245" s="86"/>
      <c r="K245" s="111" t="s">
        <v>192</v>
      </c>
      <c r="L245" s="109"/>
      <c r="M245" s="109"/>
      <c r="N245" s="109"/>
      <c r="O245" s="111" t="s">
        <v>194</v>
      </c>
      <c r="P245" s="109"/>
      <c r="Q245" s="109"/>
      <c r="R245" s="109"/>
      <c r="S245" s="111" t="s">
        <v>198</v>
      </c>
      <c r="T245" s="109"/>
      <c r="U245" s="109"/>
      <c r="V245" s="109"/>
      <c r="W245" s="109"/>
      <c r="X245" s="111" t="s">
        <v>195</v>
      </c>
      <c r="Y245" s="109"/>
      <c r="Z245" s="109"/>
      <c r="AA245" s="109"/>
      <c r="AB245" s="111" t="s">
        <v>196</v>
      </c>
      <c r="AC245" s="109"/>
      <c r="AD245" s="109"/>
      <c r="AE245" s="109"/>
      <c r="AF245" s="111" t="s">
        <v>197</v>
      </c>
      <c r="AG245" s="109"/>
      <c r="AH245" s="109"/>
      <c r="AI245" s="109"/>
    </row>
    <row r="246" spans="5:35" s="7" customFormat="1" ht="15.75" customHeight="1" x14ac:dyDescent="0.15">
      <c r="E246" s="110"/>
      <c r="F246" s="110"/>
      <c r="G246" s="114"/>
      <c r="H246" s="87"/>
      <c r="I246" s="88"/>
      <c r="J246" s="89"/>
      <c r="K246" s="113"/>
      <c r="L246" s="110"/>
      <c r="M246" s="110"/>
      <c r="N246" s="110"/>
      <c r="O246" s="113"/>
      <c r="P246" s="110"/>
      <c r="Q246" s="110"/>
      <c r="R246" s="110"/>
      <c r="S246" s="113"/>
      <c r="T246" s="110"/>
      <c r="U246" s="110"/>
      <c r="V246" s="110"/>
      <c r="W246" s="110"/>
      <c r="X246" s="113"/>
      <c r="Y246" s="110"/>
      <c r="Z246" s="110"/>
      <c r="AA246" s="110"/>
      <c r="AB246" s="113"/>
      <c r="AC246" s="110"/>
      <c r="AD246" s="110"/>
      <c r="AE246" s="110"/>
      <c r="AF246" s="113"/>
      <c r="AG246" s="110"/>
      <c r="AH246" s="110"/>
      <c r="AI246" s="110"/>
    </row>
    <row r="247" spans="5:35" s="7" customFormat="1" ht="15.75" customHeight="1" x14ac:dyDescent="0.15">
      <c r="E247" s="91" t="s">
        <v>94</v>
      </c>
      <c r="F247" s="72"/>
      <c r="G247" s="72"/>
      <c r="H247" s="77">
        <f>入力!C5</f>
        <v>0.2</v>
      </c>
      <c r="I247" s="95"/>
      <c r="J247" s="162"/>
      <c r="K247" s="92">
        <f>X142</f>
        <v>56864</v>
      </c>
      <c r="L247" s="93"/>
      <c r="M247" s="93"/>
      <c r="N247" s="94"/>
      <c r="O247" s="92">
        <f>ROUND(K247*$R$239,0)</f>
        <v>73923</v>
      </c>
      <c r="P247" s="93"/>
      <c r="Q247" s="93"/>
      <c r="R247" s="94"/>
      <c r="S247" s="92">
        <f>ROUND(O247/$AB$248,6)</f>
        <v>5.8849999999999996E-3</v>
      </c>
      <c r="T247" s="93"/>
      <c r="U247" s="93"/>
      <c r="V247" s="93"/>
      <c r="W247" s="94"/>
      <c r="X247" s="92">
        <f>ROUND(S247^0.25,4)</f>
        <v>0.27700000000000002</v>
      </c>
      <c r="Y247" s="93"/>
      <c r="Z247" s="93"/>
      <c r="AA247" s="94"/>
      <c r="AB247" s="194">
        <f>ROUND(X247*H247,4)</f>
        <v>5.5399999999999998E-2</v>
      </c>
      <c r="AC247" s="195"/>
      <c r="AD247" s="195"/>
      <c r="AE247" s="196"/>
      <c r="AF247" s="194">
        <f>AB247</f>
        <v>5.5399999999999998E-2</v>
      </c>
      <c r="AG247" s="195"/>
      <c r="AH247" s="195"/>
      <c r="AI247" s="195"/>
    </row>
    <row r="248" spans="5:35" ht="15.75" customHeight="1" x14ac:dyDescent="0.15">
      <c r="E248" s="6"/>
      <c r="W248" s="8" t="s">
        <v>153</v>
      </c>
      <c r="X248" s="6">
        <v>4</v>
      </c>
      <c r="Y248" s="69" t="s">
        <v>199</v>
      </c>
      <c r="Z248" s="69"/>
      <c r="AA248" s="6" t="s">
        <v>29</v>
      </c>
      <c r="AB248" s="193">
        <f>ROUND(4*AB241*AE241^AF241*AD242,0)</f>
        <v>12561920</v>
      </c>
      <c r="AC248" s="193"/>
      <c r="AD248" s="193"/>
      <c r="AE248" s="193"/>
      <c r="AF248" s="193"/>
      <c r="AG248" s="192" t="s">
        <v>200</v>
      </c>
      <c r="AH248" s="192"/>
      <c r="AI248" s="6" t="s">
        <v>201</v>
      </c>
    </row>
    <row r="249" spans="5:35" ht="15.75" customHeight="1" x14ac:dyDescent="0.15">
      <c r="E249" s="6"/>
    </row>
    <row r="253" spans="5:35" ht="15.75" hidden="1" customHeight="1" x14ac:dyDescent="0.15"/>
    <row r="254" spans="5:35" s="7" customFormat="1" ht="15.75" hidden="1" customHeight="1" x14ac:dyDescent="0.2">
      <c r="F254" s="7" t="s">
        <v>232</v>
      </c>
    </row>
    <row r="255" spans="5:35" s="7" customFormat="1" ht="15.75" hidden="1" customHeight="1" x14ac:dyDescent="0.2">
      <c r="F255" s="7" t="s">
        <v>203</v>
      </c>
    </row>
    <row r="256" spans="5:35" s="7" customFormat="1" ht="15.75" hidden="1" customHeight="1" x14ac:dyDescent="0.15">
      <c r="AC256" s="163" t="s">
        <v>235</v>
      </c>
      <c r="AD256" s="163"/>
      <c r="AE256" s="163"/>
      <c r="AF256" s="163"/>
    </row>
    <row r="257" spans="5:39" s="7" customFormat="1" ht="15.75" hidden="1" customHeight="1" x14ac:dyDescent="0.2">
      <c r="F257" s="8" t="s">
        <v>226</v>
      </c>
      <c r="G257" s="6" t="s">
        <v>29</v>
      </c>
      <c r="H257" s="7" t="s">
        <v>227</v>
      </c>
      <c r="M257" s="6" t="s">
        <v>29</v>
      </c>
      <c r="N257" s="21">
        <v>1</v>
      </c>
      <c r="O257" s="6" t="s">
        <v>229</v>
      </c>
      <c r="P257" s="181">
        <f>AB247</f>
        <v>5.5399999999999998E-2</v>
      </c>
      <c r="Q257" s="69"/>
      <c r="R257" s="69"/>
      <c r="S257" s="7" t="s">
        <v>230</v>
      </c>
      <c r="T257" s="7" t="s">
        <v>231</v>
      </c>
      <c r="U257" s="181" t="e">
        <f>#REF!</f>
        <v>#REF!</v>
      </c>
      <c r="V257" s="69"/>
      <c r="W257" s="69"/>
      <c r="X257" s="6" t="s">
        <v>29</v>
      </c>
      <c r="Y257" s="178" t="e">
        <f>(N257-P257)/U257</f>
        <v>#REF!</v>
      </c>
      <c r="Z257" s="178"/>
      <c r="AA257" s="22" t="s">
        <v>234</v>
      </c>
      <c r="AD257" s="178" t="e">
        <f>#REF!</f>
        <v>#REF!</v>
      </c>
      <c r="AE257" s="178"/>
      <c r="AF257" s="22" t="s">
        <v>233</v>
      </c>
    </row>
    <row r="258" spans="5:39" s="7" customFormat="1" ht="15.75" hidden="1" customHeight="1" x14ac:dyDescent="0.15"/>
    <row r="259" spans="5:39" s="7" customFormat="1" ht="15.75" hidden="1" customHeight="1" x14ac:dyDescent="0.15">
      <c r="F259" s="7" t="s">
        <v>236</v>
      </c>
    </row>
    <row r="260" spans="5:39" s="7" customFormat="1" ht="15.75" hidden="1" customHeight="1" x14ac:dyDescent="0.15"/>
    <row r="261" spans="5:39" s="7" customFormat="1" ht="15.75" hidden="1" customHeight="1" x14ac:dyDescent="0.2">
      <c r="F261" s="8" t="s">
        <v>237</v>
      </c>
      <c r="G261" s="6" t="s">
        <v>29</v>
      </c>
      <c r="H261" s="8" t="s">
        <v>238</v>
      </c>
      <c r="I261" s="1" t="s">
        <v>6</v>
      </c>
      <c r="J261" s="8" t="s">
        <v>226</v>
      </c>
      <c r="K261" s="6" t="s">
        <v>29</v>
      </c>
      <c r="L261" s="178">
        <f>H247</f>
        <v>0.2</v>
      </c>
      <c r="M261" s="178"/>
      <c r="N261" s="1" t="s">
        <v>6</v>
      </c>
      <c r="O261" s="178" t="e">
        <f>Y257</f>
        <v>#REF!</v>
      </c>
      <c r="P261" s="178"/>
      <c r="Q261" s="6" t="s">
        <v>29</v>
      </c>
      <c r="R261" s="178" t="e">
        <f>L261+O261</f>
        <v>#REF!</v>
      </c>
      <c r="S261" s="178"/>
      <c r="T261" s="22" t="s">
        <v>233</v>
      </c>
    </row>
    <row r="262" spans="5:39" s="7" customFormat="1" ht="15.75" customHeight="1" x14ac:dyDescent="0.15"/>
    <row r="263" spans="5:39" s="7" customFormat="1" ht="15.75" customHeight="1" x14ac:dyDescent="0.15">
      <c r="E263" s="7" t="s">
        <v>94</v>
      </c>
      <c r="F263" s="7" t="s">
        <v>239</v>
      </c>
    </row>
    <row r="264" spans="5:39" s="7" customFormat="1" ht="15.75" customHeight="1" x14ac:dyDescent="0.15"/>
    <row r="265" spans="5:39" s="7" customFormat="1" ht="15.75" customHeight="1" x14ac:dyDescent="0.15">
      <c r="F265" s="7" t="s">
        <v>240</v>
      </c>
    </row>
    <row r="266" spans="5:39" s="7" customFormat="1" ht="15.75" customHeight="1" x14ac:dyDescent="0.15"/>
    <row r="267" spans="5:39" s="7" customFormat="1" ht="15.75" customHeight="1" x14ac:dyDescent="0.15">
      <c r="J267" s="83" t="s">
        <v>250</v>
      </c>
      <c r="K267" s="83"/>
      <c r="L267" s="83"/>
      <c r="M267" s="83"/>
      <c r="N267" s="83"/>
      <c r="O267" s="83"/>
      <c r="P267" s="83"/>
      <c r="Q267" s="83"/>
      <c r="R267" s="83"/>
      <c r="S267" s="83"/>
      <c r="T267" s="83"/>
      <c r="U267" s="83"/>
      <c r="V267" s="83"/>
      <c r="W267" s="83"/>
      <c r="X267" s="83"/>
      <c r="Y267" s="83"/>
      <c r="Z267" s="83"/>
      <c r="AA267" s="15"/>
      <c r="AB267" s="15"/>
      <c r="AC267" s="15"/>
      <c r="AD267" s="15"/>
      <c r="AE267" s="15"/>
      <c r="AF267" s="15"/>
      <c r="AG267" s="15"/>
      <c r="AH267" s="15"/>
      <c r="AI267" s="15"/>
      <c r="AJ267" s="15"/>
      <c r="AK267" s="15"/>
      <c r="AL267" s="15"/>
    </row>
    <row r="268" spans="5:39" s="7" customFormat="1" ht="15.75" customHeight="1" x14ac:dyDescent="0.15">
      <c r="J268" s="109" t="s">
        <v>93</v>
      </c>
      <c r="K268" s="109"/>
      <c r="L268" s="112"/>
      <c r="M268" s="84" t="s">
        <v>241</v>
      </c>
      <c r="N268" s="85"/>
      <c r="O268" s="86"/>
      <c r="P268" s="79" t="s">
        <v>243</v>
      </c>
      <c r="Q268" s="79"/>
      <c r="R268" s="79"/>
      <c r="S268" s="79"/>
      <c r="T268" s="79" t="s">
        <v>244</v>
      </c>
      <c r="U268" s="79"/>
      <c r="V268" s="79"/>
      <c r="W268" s="79" t="s">
        <v>246</v>
      </c>
      <c r="X268" s="79"/>
      <c r="Y268" s="79"/>
      <c r="Z268" s="80"/>
      <c r="AA268" s="15"/>
      <c r="AB268" s="15"/>
      <c r="AC268" s="15"/>
      <c r="AD268" s="15"/>
      <c r="AE268" s="15"/>
      <c r="AF268" s="15"/>
      <c r="AG268" s="15"/>
      <c r="AH268" s="15"/>
      <c r="AI268" s="15"/>
      <c r="AJ268" s="15"/>
      <c r="AK268" s="15"/>
      <c r="AL268" s="15"/>
    </row>
    <row r="269" spans="5:39" s="7" customFormat="1" ht="15.75" customHeight="1" x14ac:dyDescent="0.15">
      <c r="J269" s="110"/>
      <c r="K269" s="110"/>
      <c r="L269" s="114"/>
      <c r="M269" s="87"/>
      <c r="N269" s="88"/>
      <c r="O269" s="89"/>
      <c r="P269" s="79"/>
      <c r="Q269" s="79"/>
      <c r="R269" s="79"/>
      <c r="S269" s="79"/>
      <c r="T269" s="79"/>
      <c r="U269" s="79"/>
      <c r="V269" s="79"/>
      <c r="W269" s="79"/>
      <c r="X269" s="79"/>
      <c r="Y269" s="79"/>
      <c r="Z269" s="80"/>
      <c r="AA269" s="15"/>
      <c r="AB269" s="15"/>
      <c r="AC269" s="15"/>
      <c r="AD269" s="15"/>
      <c r="AE269" s="15"/>
      <c r="AF269" s="15"/>
      <c r="AG269" s="15"/>
      <c r="AH269" s="15"/>
      <c r="AI269" s="15"/>
      <c r="AJ269" s="15"/>
      <c r="AK269" s="15"/>
      <c r="AL269" s="15"/>
    </row>
    <row r="270" spans="5:39" s="7" customFormat="1" ht="15.75" customHeight="1" x14ac:dyDescent="0.15">
      <c r="J270" s="91" t="s">
        <v>94</v>
      </c>
      <c r="K270" s="72"/>
      <c r="L270" s="72"/>
      <c r="M270" s="77">
        <f>入力!C5</f>
        <v>0.2</v>
      </c>
      <c r="N270" s="95"/>
      <c r="O270" s="162"/>
      <c r="P270" s="78">
        <f>T112</f>
        <v>7692</v>
      </c>
      <c r="Q270" s="78"/>
      <c r="R270" s="78"/>
      <c r="S270" s="78"/>
      <c r="T270" s="106">
        <f>PI()*入力!G23</f>
        <v>4.0840704496667311</v>
      </c>
      <c r="U270" s="106"/>
      <c r="V270" s="106"/>
      <c r="W270" s="81">
        <f>ROUND(M270*P270*T270,-1)</f>
        <v>6280</v>
      </c>
      <c r="X270" s="81"/>
      <c r="Y270" s="81"/>
      <c r="Z270" s="82"/>
      <c r="AA270" s="15"/>
      <c r="AB270" s="15"/>
      <c r="AC270" s="15"/>
      <c r="AD270" s="15"/>
      <c r="AE270" s="15"/>
      <c r="AF270" s="15"/>
      <c r="AG270" s="15"/>
      <c r="AH270" s="15"/>
      <c r="AI270" s="15"/>
      <c r="AJ270" s="15"/>
      <c r="AK270" s="15"/>
      <c r="AL270" s="15"/>
      <c r="AM270" s="15"/>
    </row>
    <row r="271" spans="5:39" s="7" customFormat="1" ht="15.75" customHeight="1" x14ac:dyDescent="0.15">
      <c r="H271" s="6"/>
      <c r="J271" s="6"/>
      <c r="K271" s="6"/>
      <c r="L271" s="6"/>
      <c r="M271" s="6"/>
      <c r="N271" s="6"/>
      <c r="O271" s="6"/>
      <c r="P271" s="6"/>
      <c r="Q271" s="6"/>
      <c r="R271" s="6"/>
      <c r="S271" s="6"/>
      <c r="T271" s="15"/>
      <c r="U271" s="15" t="s">
        <v>245</v>
      </c>
      <c r="V271" s="15" t="s">
        <v>247</v>
      </c>
      <c r="W271" s="6" t="s">
        <v>29</v>
      </c>
      <c r="X271" s="83" t="s">
        <v>248</v>
      </c>
      <c r="Y271" s="83"/>
      <c r="Z271" s="15"/>
      <c r="AA271" s="15"/>
      <c r="AB271" s="15"/>
      <c r="AC271" s="15"/>
      <c r="AD271" s="15"/>
      <c r="AE271" s="15"/>
      <c r="AF271" s="15"/>
      <c r="AG271" s="15"/>
      <c r="AH271" s="15"/>
      <c r="AI271" s="15"/>
      <c r="AJ271" s="15"/>
      <c r="AK271" s="15"/>
      <c r="AL271" s="15"/>
      <c r="AM271" s="15"/>
    </row>
    <row r="272" spans="5:39" s="7" customFormat="1" ht="15.75" customHeight="1" x14ac:dyDescent="0.15">
      <c r="T272" s="15"/>
      <c r="U272" s="15"/>
      <c r="V272" s="15"/>
      <c r="W272" s="15"/>
      <c r="X272" s="15"/>
      <c r="Y272" s="15"/>
      <c r="Z272" s="15"/>
      <c r="AA272" s="15"/>
      <c r="AB272" s="15"/>
      <c r="AC272" s="15"/>
      <c r="AD272" s="15"/>
      <c r="AE272" s="15"/>
      <c r="AF272" s="15"/>
      <c r="AG272" s="15"/>
      <c r="AH272" s="15"/>
      <c r="AI272" s="15"/>
      <c r="AJ272" s="15"/>
      <c r="AK272" s="15"/>
      <c r="AL272" s="15"/>
      <c r="AM272" s="15"/>
    </row>
    <row r="273" spans="4:39" s="7" customFormat="1" ht="15.75" customHeight="1" x14ac:dyDescent="0.15">
      <c r="J273" s="83" t="s">
        <v>249</v>
      </c>
      <c r="K273" s="83"/>
      <c r="L273" s="83"/>
      <c r="M273" s="83"/>
      <c r="N273" s="83"/>
      <c r="O273" s="83"/>
      <c r="P273" s="83"/>
      <c r="Q273" s="83"/>
      <c r="R273" s="83"/>
      <c r="S273" s="83"/>
      <c r="T273" s="83"/>
      <c r="U273" s="83"/>
      <c r="V273" s="83"/>
      <c r="W273" s="83"/>
      <c r="X273" s="83"/>
      <c r="Y273" s="83"/>
      <c r="Z273" s="83"/>
      <c r="AA273" s="15"/>
      <c r="AB273" s="15"/>
      <c r="AI273" s="15"/>
      <c r="AJ273" s="15"/>
      <c r="AK273" s="15"/>
      <c r="AL273" s="15"/>
      <c r="AM273" s="15"/>
    </row>
    <row r="274" spans="4:39" s="7" customFormat="1" ht="15.75" customHeight="1" x14ac:dyDescent="0.15">
      <c r="J274" s="109" t="s">
        <v>93</v>
      </c>
      <c r="K274" s="109"/>
      <c r="L274" s="112"/>
      <c r="M274" s="84" t="s">
        <v>241</v>
      </c>
      <c r="N274" s="85"/>
      <c r="O274" s="86"/>
      <c r="P274" s="79" t="s">
        <v>243</v>
      </c>
      <c r="Q274" s="79"/>
      <c r="R274" s="79"/>
      <c r="S274" s="79"/>
      <c r="T274" s="79" t="s">
        <v>244</v>
      </c>
      <c r="U274" s="79"/>
      <c r="V274" s="79"/>
      <c r="W274" s="79" t="s">
        <v>246</v>
      </c>
      <c r="X274" s="79"/>
      <c r="Y274" s="79"/>
      <c r="Z274" s="80"/>
      <c r="AA274" s="15"/>
      <c r="AB274" s="15"/>
      <c r="AI274" s="15"/>
      <c r="AJ274" s="15"/>
      <c r="AK274" s="15"/>
      <c r="AL274" s="15"/>
      <c r="AM274" s="15"/>
    </row>
    <row r="275" spans="4:39" s="7" customFormat="1" ht="15.75" customHeight="1" x14ac:dyDescent="0.15">
      <c r="J275" s="110"/>
      <c r="K275" s="110"/>
      <c r="L275" s="114"/>
      <c r="M275" s="87"/>
      <c r="N275" s="88"/>
      <c r="O275" s="89"/>
      <c r="P275" s="79"/>
      <c r="Q275" s="79"/>
      <c r="R275" s="79"/>
      <c r="S275" s="79"/>
      <c r="T275" s="79"/>
      <c r="U275" s="79"/>
      <c r="V275" s="79"/>
      <c r="W275" s="79"/>
      <c r="X275" s="79"/>
      <c r="Y275" s="79"/>
      <c r="Z275" s="80"/>
      <c r="AA275" s="15"/>
      <c r="AB275" s="15"/>
      <c r="AI275" s="15"/>
      <c r="AJ275" s="15"/>
      <c r="AK275" s="15"/>
      <c r="AL275" s="15"/>
      <c r="AM275" s="15"/>
    </row>
    <row r="276" spans="4:39" s="7" customFormat="1" ht="15.75" customHeight="1" x14ac:dyDescent="0.15">
      <c r="J276" s="91" t="s">
        <v>94</v>
      </c>
      <c r="K276" s="72"/>
      <c r="L276" s="72"/>
      <c r="M276" s="77">
        <f>入力!C5</f>
        <v>0.2</v>
      </c>
      <c r="N276" s="95"/>
      <c r="O276" s="162"/>
      <c r="P276" s="78">
        <f>T117</f>
        <v>15385</v>
      </c>
      <c r="Q276" s="78"/>
      <c r="R276" s="78"/>
      <c r="S276" s="78"/>
      <c r="T276" s="106">
        <f>T270</f>
        <v>4.0840704496667311</v>
      </c>
      <c r="U276" s="78"/>
      <c r="V276" s="78"/>
      <c r="W276" s="81">
        <f>ROUND(M276*P276*T276,-1)</f>
        <v>12570</v>
      </c>
      <c r="X276" s="81"/>
      <c r="Y276" s="81"/>
      <c r="Z276" s="82"/>
      <c r="AA276" s="15"/>
      <c r="AB276" s="15"/>
      <c r="AC276" s="15"/>
      <c r="AD276" s="15"/>
      <c r="AE276" s="15"/>
      <c r="AF276" s="15"/>
      <c r="AG276" s="15"/>
      <c r="AH276" s="15"/>
      <c r="AI276" s="15"/>
      <c r="AJ276" s="15"/>
      <c r="AK276" s="15"/>
      <c r="AL276" s="15"/>
      <c r="AM276" s="15"/>
    </row>
    <row r="277" spans="4:39" s="7" customFormat="1" ht="15.75" customHeight="1" x14ac:dyDescent="0.15">
      <c r="H277" s="6"/>
      <c r="J277" s="6"/>
      <c r="K277" s="6"/>
      <c r="L277" s="6"/>
      <c r="M277" s="6"/>
      <c r="N277" s="6"/>
      <c r="O277" s="6"/>
      <c r="P277" s="6"/>
      <c r="Q277" s="6"/>
      <c r="R277" s="6"/>
      <c r="S277" s="6"/>
      <c r="T277" s="15"/>
      <c r="U277" s="15" t="s">
        <v>245</v>
      </c>
      <c r="V277" s="23" t="s">
        <v>251</v>
      </c>
      <c r="W277" s="6"/>
      <c r="X277" s="15"/>
      <c r="Y277" s="15"/>
      <c r="Z277" s="15"/>
      <c r="AA277" s="15"/>
      <c r="AB277" s="15"/>
      <c r="AC277" s="15"/>
      <c r="AD277" s="15"/>
      <c r="AE277" s="15"/>
      <c r="AF277" s="15"/>
      <c r="AG277" s="15"/>
      <c r="AH277" s="15"/>
      <c r="AI277" s="15"/>
      <c r="AJ277" s="15"/>
      <c r="AK277" s="15"/>
      <c r="AL277" s="15"/>
      <c r="AM277" s="15"/>
    </row>
    <row r="278" spans="4:39" s="7" customFormat="1" ht="15.75" customHeight="1" x14ac:dyDescent="0.15">
      <c r="H278" s="27"/>
      <c r="J278" s="27"/>
      <c r="K278" s="27"/>
      <c r="L278" s="27"/>
      <c r="M278" s="27"/>
      <c r="N278" s="27"/>
      <c r="O278" s="27"/>
      <c r="P278" s="27"/>
      <c r="Q278" s="27"/>
      <c r="R278" s="27"/>
      <c r="S278" s="27"/>
      <c r="T278" s="15"/>
      <c r="U278" s="15"/>
      <c r="V278" s="23"/>
      <c r="W278" s="27"/>
      <c r="X278" s="15"/>
      <c r="Y278" s="15"/>
      <c r="Z278" s="15"/>
      <c r="AA278" s="15"/>
      <c r="AB278" s="15"/>
      <c r="AC278" s="15"/>
      <c r="AD278" s="15"/>
      <c r="AE278" s="15"/>
      <c r="AF278" s="15"/>
      <c r="AG278" s="15"/>
      <c r="AH278" s="15"/>
      <c r="AI278" s="15"/>
      <c r="AJ278" s="15"/>
      <c r="AK278" s="15"/>
      <c r="AL278" s="15"/>
      <c r="AM278" s="15"/>
    </row>
    <row r="279" spans="4:39" s="7" customFormat="1" ht="15.75" customHeight="1" x14ac:dyDescent="0.15"/>
    <row r="280" spans="4:39" s="7" customFormat="1" ht="15.75" customHeight="1" x14ac:dyDescent="0.15"/>
    <row r="281" spans="4:39" s="7" customFormat="1" ht="15.75" customHeight="1" x14ac:dyDescent="0.15">
      <c r="D281" s="7" t="s">
        <v>252</v>
      </c>
    </row>
    <row r="282" spans="4:39" s="7" customFormat="1" ht="15.75" customHeight="1" x14ac:dyDescent="0.15"/>
    <row r="283" spans="4:39" s="7" customFormat="1" ht="15.75" customHeight="1" x14ac:dyDescent="0.15">
      <c r="F283" s="7" t="s">
        <v>484</v>
      </c>
    </row>
    <row r="284" spans="4:39" s="7" customFormat="1" ht="15.75" customHeight="1" x14ac:dyDescent="0.15">
      <c r="F284" s="7" t="s">
        <v>483</v>
      </c>
    </row>
    <row r="285" spans="4:39" s="7" customFormat="1" ht="15.75" customHeight="1" x14ac:dyDescent="0.15"/>
    <row r="286" spans="4:39" s="7" customFormat="1" ht="15.75" customHeight="1" x14ac:dyDescent="0.2">
      <c r="F286" s="69" t="s">
        <v>253</v>
      </c>
      <c r="G286" s="69"/>
      <c r="H286" s="6" t="s">
        <v>29</v>
      </c>
      <c r="I286" s="69" t="s">
        <v>254</v>
      </c>
      <c r="J286" s="69"/>
      <c r="K286" s="6" t="s">
        <v>112</v>
      </c>
      <c r="L286" s="6" t="s">
        <v>80</v>
      </c>
      <c r="M286" s="6" t="s">
        <v>112</v>
      </c>
      <c r="N286" s="69" t="s">
        <v>164</v>
      </c>
      <c r="O286" s="69"/>
    </row>
    <row r="287" spans="4:39" s="7" customFormat="1" ht="15.75" customHeight="1" x14ac:dyDescent="0.15"/>
    <row r="288" spans="4:39" s="7" customFormat="1" ht="15.75" customHeight="1" x14ac:dyDescent="0.2">
      <c r="G288" s="7" t="s">
        <v>3</v>
      </c>
      <c r="J288" s="69" t="s">
        <v>253</v>
      </c>
      <c r="K288" s="69"/>
      <c r="L288" s="6" t="s">
        <v>2</v>
      </c>
      <c r="M288" s="7" t="s">
        <v>255</v>
      </c>
    </row>
    <row r="289" spans="5:83" s="7" customFormat="1" ht="15.75" customHeight="1" x14ac:dyDescent="0.2">
      <c r="J289" s="69" t="s">
        <v>254</v>
      </c>
      <c r="K289" s="69"/>
      <c r="L289" s="6" t="s">
        <v>2</v>
      </c>
      <c r="M289" s="7" t="s">
        <v>256</v>
      </c>
    </row>
    <row r="290" spans="5:83" s="7" customFormat="1" ht="15.75" customHeight="1" x14ac:dyDescent="0.15">
      <c r="J290" s="69" t="s">
        <v>80</v>
      </c>
      <c r="K290" s="69"/>
      <c r="L290" s="6" t="s">
        <v>2</v>
      </c>
      <c r="M290" s="7" t="s">
        <v>168</v>
      </c>
      <c r="P290" s="8" t="s">
        <v>153</v>
      </c>
      <c r="Q290" s="6" t="s">
        <v>29</v>
      </c>
      <c r="R290" s="178">
        <v>1.3</v>
      </c>
      <c r="S290" s="178"/>
      <c r="T290" s="7" t="s">
        <v>154</v>
      </c>
    </row>
    <row r="291" spans="5:83" ht="15.75" customHeight="1" x14ac:dyDescent="0.15">
      <c r="J291" s="69" t="s">
        <v>164</v>
      </c>
      <c r="K291" s="69"/>
      <c r="L291" s="6" t="s">
        <v>2</v>
      </c>
      <c r="M291" s="7" t="s">
        <v>257</v>
      </c>
    </row>
    <row r="292" spans="5:83" s="7" customFormat="1" ht="15.75" customHeight="1" x14ac:dyDescent="0.15"/>
    <row r="293" spans="5:83" s="7" customFormat="1" ht="15.75" customHeight="1" x14ac:dyDescent="0.15">
      <c r="J293" s="83" t="s">
        <v>258</v>
      </c>
      <c r="K293" s="83"/>
      <c r="L293" s="83"/>
      <c r="M293" s="83"/>
      <c r="N293" s="83"/>
      <c r="O293" s="83"/>
      <c r="P293" s="83"/>
      <c r="Q293" s="83"/>
      <c r="R293" s="83"/>
      <c r="S293" s="83"/>
      <c r="T293" s="83"/>
      <c r="U293" s="83"/>
      <c r="V293" s="83"/>
      <c r="W293" s="83"/>
      <c r="X293" s="83"/>
      <c r="Y293" s="83"/>
      <c r="Z293" s="83"/>
      <c r="AA293" s="15"/>
      <c r="AB293" s="15"/>
      <c r="AI293" s="15"/>
      <c r="AJ293" s="15"/>
      <c r="AK293" s="15"/>
      <c r="AL293" s="15"/>
      <c r="AM293" s="15"/>
    </row>
    <row r="294" spans="5:83" s="7" customFormat="1" ht="15.75" customHeight="1" x14ac:dyDescent="0.15">
      <c r="F294" s="109" t="s">
        <v>93</v>
      </c>
      <c r="G294" s="109"/>
      <c r="H294" s="112"/>
      <c r="I294" s="84" t="s">
        <v>241</v>
      </c>
      <c r="J294" s="115"/>
      <c r="K294" s="171"/>
      <c r="L294" s="111" t="s">
        <v>451</v>
      </c>
      <c r="M294" s="109"/>
      <c r="N294" s="109"/>
      <c r="O294" s="112"/>
      <c r="P294" s="111" t="s">
        <v>452</v>
      </c>
      <c r="Q294" s="109"/>
      <c r="R294" s="109"/>
      <c r="S294" s="112"/>
      <c r="T294" s="111" t="s">
        <v>259</v>
      </c>
      <c r="U294" s="109"/>
      <c r="V294" s="112"/>
      <c r="W294" s="111" t="s">
        <v>453</v>
      </c>
      <c r="X294" s="109"/>
      <c r="Y294" s="109"/>
      <c r="Z294" s="112"/>
      <c r="AA294" s="111" t="s">
        <v>454</v>
      </c>
      <c r="AB294" s="109"/>
      <c r="AC294" s="109"/>
      <c r="AD294" s="109"/>
      <c r="AI294" s="15"/>
      <c r="AJ294" s="15"/>
      <c r="AK294" s="15"/>
      <c r="AL294" s="15"/>
      <c r="AM294" s="15"/>
    </row>
    <row r="295" spans="5:83" s="7" customFormat="1" ht="15.75" customHeight="1" x14ac:dyDescent="0.15">
      <c r="F295" s="169"/>
      <c r="G295" s="169"/>
      <c r="H295" s="170"/>
      <c r="I295" s="172"/>
      <c r="J295" s="173"/>
      <c r="K295" s="174"/>
      <c r="L295" s="176"/>
      <c r="M295" s="169"/>
      <c r="N295" s="169"/>
      <c r="O295" s="170"/>
      <c r="P295" s="176"/>
      <c r="Q295" s="169"/>
      <c r="R295" s="169"/>
      <c r="S295" s="170"/>
      <c r="T295" s="176"/>
      <c r="U295" s="169"/>
      <c r="V295" s="170"/>
      <c r="W295" s="176"/>
      <c r="X295" s="169"/>
      <c r="Y295" s="169"/>
      <c r="Z295" s="170"/>
      <c r="AA295" s="176"/>
      <c r="AB295" s="169"/>
      <c r="AC295" s="169"/>
      <c r="AD295" s="169"/>
      <c r="AI295" s="15"/>
      <c r="AJ295" s="15"/>
      <c r="AK295" s="15"/>
      <c r="AL295" s="15"/>
      <c r="AM295" s="15"/>
    </row>
    <row r="296" spans="5:83" s="7" customFormat="1" ht="15.75" customHeight="1" x14ac:dyDescent="0.15">
      <c r="F296" s="110"/>
      <c r="G296" s="110"/>
      <c r="H296" s="114"/>
      <c r="I296" s="116"/>
      <c r="J296" s="117"/>
      <c r="K296" s="175"/>
      <c r="L296" s="113"/>
      <c r="M296" s="110"/>
      <c r="N296" s="110"/>
      <c r="O296" s="114"/>
      <c r="P296" s="113"/>
      <c r="Q296" s="110"/>
      <c r="R296" s="110"/>
      <c r="S296" s="114"/>
      <c r="T296" s="113"/>
      <c r="U296" s="110"/>
      <c r="V296" s="114"/>
      <c r="W296" s="113"/>
      <c r="X296" s="110"/>
      <c r="Y296" s="110"/>
      <c r="Z296" s="114"/>
      <c r="AA296" s="113"/>
      <c r="AB296" s="110"/>
      <c r="AC296" s="110"/>
      <c r="AD296" s="110"/>
      <c r="AI296" s="15"/>
      <c r="AJ296" s="15"/>
      <c r="AK296" s="15"/>
      <c r="AL296" s="15"/>
      <c r="AM296" s="15"/>
    </row>
    <row r="297" spans="5:83" s="7" customFormat="1" ht="15.75" customHeight="1" x14ac:dyDescent="0.15">
      <c r="F297" s="91" t="s">
        <v>94</v>
      </c>
      <c r="G297" s="72"/>
      <c r="H297" s="72"/>
      <c r="I297" s="77">
        <f>入力!C5</f>
        <v>0.2</v>
      </c>
      <c r="J297" s="95"/>
      <c r="K297" s="162"/>
      <c r="L297" s="81">
        <f>X142*AG177</f>
        <v>28589.747500332647</v>
      </c>
      <c r="M297" s="81"/>
      <c r="N297" s="81"/>
      <c r="O297" s="81"/>
      <c r="P297" s="81">
        <f>X142*AG178</f>
        <v>32573.248802392274</v>
      </c>
      <c r="Q297" s="81"/>
      <c r="R297" s="81"/>
      <c r="S297" s="81"/>
      <c r="T297" s="76">
        <f>R290</f>
        <v>1.3</v>
      </c>
      <c r="U297" s="76"/>
      <c r="V297" s="76"/>
      <c r="W297" s="81">
        <f>ROUND(L297*T297*I297,-1)</f>
        <v>7430</v>
      </c>
      <c r="X297" s="81"/>
      <c r="Y297" s="81"/>
      <c r="Z297" s="82"/>
      <c r="AA297" s="81">
        <f>ROUND(I297*P297*T297,-1)</f>
        <v>8470</v>
      </c>
      <c r="AB297" s="81"/>
      <c r="AC297" s="81"/>
      <c r="AD297" s="82"/>
      <c r="AE297" s="15"/>
      <c r="AF297" s="15"/>
      <c r="AG297" s="15"/>
      <c r="AH297" s="15"/>
      <c r="AI297" s="15"/>
      <c r="AJ297" s="15"/>
      <c r="AK297" s="15"/>
      <c r="AL297" s="15"/>
      <c r="AM297" s="15"/>
    </row>
    <row r="298" spans="5:83" s="7" customFormat="1" ht="15.75" customHeight="1" x14ac:dyDescent="0.15">
      <c r="H298" s="6"/>
      <c r="J298" s="6"/>
      <c r="K298" s="6"/>
      <c r="L298" s="6"/>
      <c r="M298" s="6"/>
      <c r="N298" s="6"/>
      <c r="O298" s="6"/>
      <c r="P298" s="6"/>
      <c r="Q298" s="6"/>
      <c r="R298" s="6"/>
      <c r="S298" s="6"/>
      <c r="T298" s="15"/>
      <c r="Y298" s="15" t="s">
        <v>245</v>
      </c>
      <c r="Z298" s="15" t="s">
        <v>260</v>
      </c>
      <c r="AA298" s="6" t="s">
        <v>29</v>
      </c>
      <c r="AB298" s="83" t="s">
        <v>261</v>
      </c>
      <c r="AC298" s="83"/>
      <c r="AD298" s="15"/>
      <c r="AE298" s="15"/>
      <c r="AF298" s="15"/>
      <c r="AG298" s="15"/>
      <c r="AH298" s="15"/>
      <c r="AI298" s="15"/>
      <c r="AJ298" s="15"/>
      <c r="AK298" s="15"/>
      <c r="AL298" s="15"/>
      <c r="AM298" s="15"/>
      <c r="BE298" s="15"/>
      <c r="BF298" s="15"/>
      <c r="BG298" s="15"/>
      <c r="BH298" s="15"/>
      <c r="BI298" s="15"/>
      <c r="BJ298" s="15"/>
      <c r="BK298" s="15"/>
      <c r="BL298" s="15"/>
      <c r="BM298" s="15"/>
      <c r="BN298" s="15"/>
      <c r="BO298" s="15"/>
      <c r="BP298" s="15"/>
      <c r="BQ298" s="15"/>
      <c r="BR298" s="15"/>
      <c r="BS298" s="15"/>
      <c r="BT298" s="15"/>
      <c r="BU298" s="15"/>
      <c r="BV298" s="15"/>
      <c r="BW298" s="15"/>
      <c r="BX298" s="15"/>
      <c r="BY298" s="15"/>
      <c r="BZ298" s="15"/>
      <c r="CA298" s="15"/>
    </row>
    <row r="299" spans="5:83" s="7" customFormat="1" ht="15.75" customHeight="1" x14ac:dyDescent="0.15">
      <c r="AM299" s="15"/>
      <c r="BE299" s="15"/>
      <c r="BF299" s="15"/>
      <c r="BG299" s="15"/>
      <c r="BH299" s="15"/>
      <c r="BI299" s="15"/>
      <c r="BJ299" s="15"/>
      <c r="BK299" s="15"/>
      <c r="BL299" s="15"/>
      <c r="BM299" s="15"/>
      <c r="BN299" s="15"/>
      <c r="BO299" s="15"/>
      <c r="BP299" s="15"/>
      <c r="BQ299" s="15"/>
      <c r="BR299" s="15"/>
      <c r="BS299" s="15"/>
      <c r="BT299" s="15"/>
      <c r="BU299" s="15"/>
      <c r="BV299" s="15"/>
      <c r="BW299" s="15"/>
      <c r="BX299" s="15"/>
      <c r="BY299" s="15"/>
      <c r="BZ299" s="15"/>
      <c r="CA299" s="15"/>
    </row>
    <row r="300" spans="5:83" s="7" customFormat="1" ht="15.75" customHeight="1" x14ac:dyDescent="0.15">
      <c r="J300" s="83" t="s">
        <v>450</v>
      </c>
      <c r="K300" s="83"/>
      <c r="L300" s="83"/>
      <c r="M300" s="83"/>
      <c r="N300" s="83"/>
      <c r="O300" s="83"/>
      <c r="P300" s="83"/>
      <c r="Q300" s="83"/>
      <c r="R300" s="83"/>
      <c r="S300" s="83"/>
      <c r="T300" s="83"/>
      <c r="U300" s="83"/>
      <c r="V300" s="83"/>
      <c r="W300" s="83"/>
      <c r="X300" s="83"/>
      <c r="Y300" s="83"/>
      <c r="Z300" s="83"/>
      <c r="AA300" s="15"/>
      <c r="AB300" s="15"/>
      <c r="AC300" s="15"/>
      <c r="AD300" s="15"/>
      <c r="AE300" s="15"/>
      <c r="AF300" s="15"/>
      <c r="AG300" s="15"/>
      <c r="AH300" s="15"/>
      <c r="AI300" s="15"/>
      <c r="AJ300" s="15"/>
      <c r="AK300" s="15"/>
      <c r="AL300" s="15"/>
      <c r="AM300" s="15"/>
      <c r="BE300" s="15"/>
      <c r="BF300" s="15"/>
      <c r="BG300" s="15"/>
      <c r="BH300" s="15"/>
      <c r="BI300" s="15"/>
      <c r="BJ300" s="15"/>
      <c r="BK300" s="15"/>
      <c r="BL300" s="15"/>
      <c r="BM300" s="15"/>
      <c r="BN300" s="15"/>
      <c r="BO300" s="15"/>
      <c r="BP300" s="15"/>
      <c r="BQ300" s="15"/>
      <c r="BR300" s="15"/>
      <c r="BS300" s="15"/>
      <c r="BT300" s="15"/>
      <c r="BU300" s="15"/>
      <c r="BV300" s="15"/>
      <c r="BW300" s="15"/>
      <c r="BX300" s="15"/>
      <c r="BY300" s="15"/>
      <c r="BZ300" s="15"/>
      <c r="CA300" s="15"/>
    </row>
    <row r="301" spans="5:83" s="7" customFormat="1" ht="15.75" customHeight="1" x14ac:dyDescent="0.15">
      <c r="E301" s="109" t="s">
        <v>93</v>
      </c>
      <c r="F301" s="109"/>
      <c r="G301" s="112"/>
      <c r="H301" s="84" t="s">
        <v>241</v>
      </c>
      <c r="I301" s="115"/>
      <c r="J301" s="171"/>
      <c r="K301" s="177" t="s">
        <v>455</v>
      </c>
      <c r="L301" s="72"/>
      <c r="M301" s="72"/>
      <c r="N301" s="72"/>
      <c r="O301" s="79" t="s">
        <v>457</v>
      </c>
      <c r="P301" s="72"/>
      <c r="Q301" s="72"/>
      <c r="R301" s="72"/>
      <c r="S301" s="111" t="s">
        <v>259</v>
      </c>
      <c r="T301" s="109"/>
      <c r="U301" s="112"/>
      <c r="V301" s="79" t="s">
        <v>459</v>
      </c>
      <c r="W301" s="79"/>
      <c r="X301" s="79"/>
      <c r="Y301" s="79"/>
      <c r="Z301" s="79"/>
      <c r="AA301" s="79" t="s">
        <v>461</v>
      </c>
      <c r="AB301" s="79"/>
      <c r="AC301" s="79"/>
      <c r="AD301" s="79"/>
      <c r="AE301" s="80"/>
      <c r="AJ301" s="15"/>
      <c r="AK301" s="15"/>
      <c r="AL301" s="15"/>
      <c r="AM301" s="15"/>
      <c r="BE301" s="15"/>
      <c r="BF301" s="15"/>
      <c r="BG301" s="15"/>
      <c r="BH301" s="15"/>
      <c r="BI301" s="15"/>
      <c r="BJ301" s="15"/>
      <c r="BK301" s="15"/>
      <c r="BL301" s="15"/>
      <c r="BM301" s="15"/>
      <c r="BN301" s="15"/>
      <c r="BO301" s="15"/>
      <c r="BP301" s="15"/>
      <c r="BQ301" s="15"/>
      <c r="BR301" s="15"/>
      <c r="BS301" s="15"/>
      <c r="BT301" s="15"/>
      <c r="BU301" s="15"/>
      <c r="BV301" s="15"/>
      <c r="BW301" s="15"/>
      <c r="BX301" s="15"/>
      <c r="BY301" s="15"/>
      <c r="BZ301" s="15"/>
      <c r="CA301" s="15"/>
      <c r="CB301" s="15"/>
      <c r="CC301" s="15"/>
      <c r="CD301" s="15"/>
      <c r="CE301" s="15"/>
    </row>
    <row r="302" spans="5:83" s="7" customFormat="1" ht="15.75" customHeight="1" x14ac:dyDescent="0.15">
      <c r="E302" s="169"/>
      <c r="F302" s="169"/>
      <c r="G302" s="170"/>
      <c r="H302" s="172"/>
      <c r="I302" s="173"/>
      <c r="J302" s="174"/>
      <c r="K302" s="177"/>
      <c r="L302" s="72"/>
      <c r="M302" s="72"/>
      <c r="N302" s="72"/>
      <c r="O302" s="79"/>
      <c r="P302" s="72"/>
      <c r="Q302" s="72"/>
      <c r="R302" s="72"/>
      <c r="S302" s="176"/>
      <c r="T302" s="169"/>
      <c r="U302" s="170"/>
      <c r="V302" s="79"/>
      <c r="W302" s="79"/>
      <c r="X302" s="79"/>
      <c r="Y302" s="79"/>
      <c r="Z302" s="79"/>
      <c r="AA302" s="79"/>
      <c r="AB302" s="79"/>
      <c r="AC302" s="79"/>
      <c r="AD302" s="79"/>
      <c r="AE302" s="80"/>
      <c r="AJ302" s="15"/>
      <c r="AK302" s="15"/>
      <c r="AL302" s="15"/>
      <c r="AM302" s="15"/>
      <c r="BE302" s="15"/>
      <c r="BF302" s="15"/>
      <c r="BG302" s="15"/>
      <c r="BH302" s="15"/>
      <c r="BI302" s="15"/>
      <c r="BJ302" s="15"/>
      <c r="BK302" s="15"/>
      <c r="BL302" s="15"/>
      <c r="BM302" s="15"/>
      <c r="BN302" s="15"/>
      <c r="BO302" s="15"/>
      <c r="BP302" s="15"/>
      <c r="BQ302" s="15"/>
      <c r="BR302" s="15"/>
      <c r="BS302" s="15"/>
      <c r="BT302" s="15"/>
      <c r="BU302" s="15"/>
      <c r="BV302" s="15"/>
      <c r="BW302" s="15"/>
      <c r="BX302" s="15"/>
      <c r="BY302" s="15"/>
      <c r="BZ302" s="15"/>
      <c r="CA302" s="15"/>
      <c r="CB302" s="15"/>
      <c r="CC302" s="15"/>
      <c r="CD302" s="15"/>
      <c r="CE302" s="15"/>
    </row>
    <row r="303" spans="5:83" s="7" customFormat="1" ht="15.75" customHeight="1" x14ac:dyDescent="0.15">
      <c r="E303" s="110"/>
      <c r="F303" s="110"/>
      <c r="G303" s="114"/>
      <c r="H303" s="116"/>
      <c r="I303" s="117"/>
      <c r="J303" s="175"/>
      <c r="K303" s="91"/>
      <c r="L303" s="72"/>
      <c r="M303" s="72"/>
      <c r="N303" s="72"/>
      <c r="O303" s="72"/>
      <c r="P303" s="72"/>
      <c r="Q303" s="72"/>
      <c r="R303" s="72"/>
      <c r="S303" s="113"/>
      <c r="T303" s="110"/>
      <c r="U303" s="114"/>
      <c r="V303" s="79"/>
      <c r="W303" s="79"/>
      <c r="X303" s="79"/>
      <c r="Y303" s="79"/>
      <c r="Z303" s="79"/>
      <c r="AA303" s="79"/>
      <c r="AB303" s="79"/>
      <c r="AC303" s="79"/>
      <c r="AD303" s="79"/>
      <c r="AE303" s="80"/>
      <c r="AJ303" s="15"/>
      <c r="AK303" s="15"/>
      <c r="AL303" s="15"/>
      <c r="AM303" s="15"/>
      <c r="BE303" s="15"/>
      <c r="BF303" s="15"/>
      <c r="BG303" s="15"/>
      <c r="BH303" s="15"/>
      <c r="BI303" s="15"/>
      <c r="BJ303" s="15"/>
      <c r="BK303" s="15"/>
      <c r="BL303" s="15"/>
      <c r="BM303" s="15"/>
      <c r="BN303" s="15"/>
      <c r="BO303" s="15"/>
      <c r="BP303" s="15"/>
      <c r="BQ303" s="15"/>
      <c r="BR303" s="15"/>
      <c r="BS303" s="15"/>
      <c r="BT303" s="15"/>
      <c r="BU303" s="15"/>
      <c r="BV303" s="15"/>
      <c r="BW303" s="15"/>
      <c r="BX303" s="15"/>
      <c r="BY303" s="15"/>
      <c r="BZ303" s="15"/>
      <c r="CA303" s="15"/>
      <c r="CB303" s="15"/>
      <c r="CC303" s="15"/>
      <c r="CD303" s="15"/>
      <c r="CE303" s="15"/>
    </row>
    <row r="304" spans="5:83" s="7" customFormat="1" ht="15.75" customHeight="1" x14ac:dyDescent="0.15">
      <c r="E304" s="91" t="s">
        <v>94</v>
      </c>
      <c r="F304" s="72"/>
      <c r="G304" s="72"/>
      <c r="H304" s="77">
        <f>入力!C5</f>
        <v>0.2</v>
      </c>
      <c r="I304" s="95"/>
      <c r="J304" s="162"/>
      <c r="K304" s="168">
        <f>X148*AG177</f>
        <v>57179.997774784249</v>
      </c>
      <c r="L304" s="81"/>
      <c r="M304" s="81"/>
      <c r="N304" s="81"/>
      <c r="O304" s="81">
        <f>X148*AG178</f>
        <v>65147.070432035573</v>
      </c>
      <c r="P304" s="81"/>
      <c r="Q304" s="81"/>
      <c r="R304" s="81"/>
      <c r="S304" s="76">
        <f>R290</f>
        <v>1.3</v>
      </c>
      <c r="T304" s="76"/>
      <c r="U304" s="76"/>
      <c r="V304" s="82">
        <f>ROUND(K304*S304*H304,-1)</f>
        <v>14870</v>
      </c>
      <c r="W304" s="167"/>
      <c r="X304" s="167"/>
      <c r="Y304" s="167"/>
      <c r="Z304" s="168"/>
      <c r="AA304" s="81">
        <f>ROUND(O304*S304*H304,-1)</f>
        <v>16940</v>
      </c>
      <c r="AB304" s="81"/>
      <c r="AC304" s="81"/>
      <c r="AD304" s="81"/>
      <c r="AE304" s="82"/>
      <c r="AJ304" s="15"/>
      <c r="AK304" s="15"/>
      <c r="AL304" s="15"/>
      <c r="AM304" s="15"/>
      <c r="CC304" s="15"/>
      <c r="CD304" s="15"/>
      <c r="CE304" s="15"/>
    </row>
    <row r="305" spans="4:83" s="7" customFormat="1" ht="15.75" customHeight="1" x14ac:dyDescent="0.15">
      <c r="E305" s="109" t="s">
        <v>93</v>
      </c>
      <c r="F305" s="109"/>
      <c r="G305" s="112"/>
      <c r="H305" s="84" t="s">
        <v>241</v>
      </c>
      <c r="I305" s="115"/>
      <c r="J305" s="171"/>
      <c r="K305" s="177" t="s">
        <v>456</v>
      </c>
      <c r="L305" s="72"/>
      <c r="M305" s="72"/>
      <c r="N305" s="72"/>
      <c r="O305" s="79" t="s">
        <v>458</v>
      </c>
      <c r="P305" s="72"/>
      <c r="Q305" s="72"/>
      <c r="R305" s="72"/>
      <c r="S305" s="111" t="s">
        <v>259</v>
      </c>
      <c r="T305" s="109"/>
      <c r="U305" s="112"/>
      <c r="V305" s="79" t="s">
        <v>460</v>
      </c>
      <c r="W305" s="79"/>
      <c r="X305" s="79"/>
      <c r="Y305" s="79"/>
      <c r="Z305" s="80"/>
      <c r="AA305" s="79" t="s">
        <v>462</v>
      </c>
      <c r="AB305" s="79"/>
      <c r="AC305" s="79"/>
      <c r="AD305" s="79"/>
      <c r="AE305" s="80"/>
      <c r="AF305" s="26"/>
      <c r="AG305" s="26"/>
      <c r="AH305" s="26"/>
      <c r="AI305" s="26"/>
      <c r="AJ305" s="15"/>
      <c r="AK305" s="15"/>
      <c r="AL305" s="15"/>
      <c r="AM305" s="15"/>
      <c r="CC305" s="15"/>
      <c r="CD305" s="15"/>
      <c r="CE305" s="15"/>
    </row>
    <row r="306" spans="4:83" s="7" customFormat="1" ht="15.75" customHeight="1" x14ac:dyDescent="0.15">
      <c r="E306" s="169"/>
      <c r="F306" s="169"/>
      <c r="G306" s="170"/>
      <c r="H306" s="172"/>
      <c r="I306" s="173"/>
      <c r="J306" s="174"/>
      <c r="K306" s="177"/>
      <c r="L306" s="72"/>
      <c r="M306" s="72"/>
      <c r="N306" s="72"/>
      <c r="O306" s="79"/>
      <c r="P306" s="72"/>
      <c r="Q306" s="72"/>
      <c r="R306" s="72"/>
      <c r="S306" s="176"/>
      <c r="T306" s="169"/>
      <c r="U306" s="170"/>
      <c r="V306" s="79"/>
      <c r="W306" s="79"/>
      <c r="X306" s="79"/>
      <c r="Y306" s="79"/>
      <c r="Z306" s="80"/>
      <c r="AA306" s="79"/>
      <c r="AB306" s="79"/>
      <c r="AC306" s="79"/>
      <c r="AD306" s="79"/>
      <c r="AE306" s="80"/>
      <c r="AF306" s="26"/>
      <c r="AG306" s="26"/>
      <c r="AH306" s="26"/>
      <c r="AI306" s="26"/>
      <c r="AJ306" s="15"/>
      <c r="AK306" s="15"/>
      <c r="AL306" s="15"/>
      <c r="AM306" s="15"/>
      <c r="CC306" s="15"/>
      <c r="CD306" s="15"/>
      <c r="CE306" s="15"/>
    </row>
    <row r="307" spans="4:83" s="7" customFormat="1" ht="15.75" customHeight="1" x14ac:dyDescent="0.15">
      <c r="E307" s="110"/>
      <c r="F307" s="110"/>
      <c r="G307" s="114"/>
      <c r="H307" s="116"/>
      <c r="I307" s="117"/>
      <c r="J307" s="175"/>
      <c r="K307" s="91"/>
      <c r="L307" s="72"/>
      <c r="M307" s="72"/>
      <c r="N307" s="72"/>
      <c r="O307" s="72"/>
      <c r="P307" s="72"/>
      <c r="Q307" s="72"/>
      <c r="R307" s="72"/>
      <c r="S307" s="113"/>
      <c r="T307" s="110"/>
      <c r="U307" s="114"/>
      <c r="V307" s="79"/>
      <c r="W307" s="79"/>
      <c r="X307" s="79"/>
      <c r="Y307" s="79"/>
      <c r="Z307" s="80"/>
      <c r="AA307" s="79"/>
      <c r="AB307" s="79"/>
      <c r="AC307" s="79"/>
      <c r="AD307" s="79"/>
      <c r="AE307" s="80"/>
      <c r="AF307" s="26"/>
      <c r="AG307" s="26"/>
      <c r="AH307" s="26"/>
      <c r="AI307" s="26"/>
      <c r="AJ307" s="15"/>
      <c r="AK307" s="15"/>
      <c r="AL307" s="15"/>
      <c r="AM307" s="15"/>
      <c r="CC307" s="15"/>
      <c r="CD307" s="15"/>
      <c r="CE307" s="15"/>
    </row>
    <row r="308" spans="4:83" s="7" customFormat="1" ht="15.75" customHeight="1" x14ac:dyDescent="0.15">
      <c r="E308" s="91" t="s">
        <v>94</v>
      </c>
      <c r="F308" s="72"/>
      <c r="G308" s="72"/>
      <c r="H308" s="77">
        <f>入力!C5</f>
        <v>0.2</v>
      </c>
      <c r="I308" s="95"/>
      <c r="J308" s="162"/>
      <c r="K308" s="168">
        <f>AD148*AG177</f>
        <v>114359.9955495685</v>
      </c>
      <c r="L308" s="81"/>
      <c r="M308" s="81"/>
      <c r="N308" s="81"/>
      <c r="O308" s="81">
        <f>AD148*AG178</f>
        <v>130294.14086407115</v>
      </c>
      <c r="P308" s="81"/>
      <c r="Q308" s="81"/>
      <c r="R308" s="81"/>
      <c r="S308" s="76">
        <f>R290</f>
        <v>1.3</v>
      </c>
      <c r="T308" s="76"/>
      <c r="U308" s="76"/>
      <c r="V308" s="82">
        <f>ROUND(K308*S308*H308,-1)</f>
        <v>29730</v>
      </c>
      <c r="W308" s="167"/>
      <c r="X308" s="167"/>
      <c r="Y308" s="167"/>
      <c r="Z308" s="168"/>
      <c r="AA308" s="81">
        <f>ROUND(O308*S308*H308,-1)</f>
        <v>33880</v>
      </c>
      <c r="AB308" s="81"/>
      <c r="AC308" s="81"/>
      <c r="AD308" s="81"/>
      <c r="AE308" s="82"/>
      <c r="AF308" s="26"/>
      <c r="AG308" s="26"/>
      <c r="AH308" s="26"/>
      <c r="AI308" s="26"/>
      <c r="AJ308" s="15"/>
      <c r="AK308" s="15"/>
      <c r="AL308" s="15"/>
      <c r="AM308" s="15"/>
      <c r="CC308" s="15"/>
      <c r="CD308" s="15"/>
      <c r="CE308" s="15"/>
    </row>
    <row r="309" spans="4:83" s="7" customFormat="1" ht="15.75" customHeight="1" x14ac:dyDescent="0.15">
      <c r="H309" s="6"/>
      <c r="J309" s="6"/>
      <c r="K309" s="6"/>
      <c r="L309" s="6"/>
      <c r="M309" s="6"/>
      <c r="N309" s="6"/>
      <c r="O309" s="6"/>
      <c r="P309" s="6"/>
      <c r="Q309" s="6"/>
      <c r="R309" s="6"/>
      <c r="S309" s="6"/>
      <c r="T309" s="6"/>
      <c r="U309" s="6"/>
      <c r="V309" s="6"/>
      <c r="W309" s="6"/>
      <c r="X309" s="15"/>
      <c r="Y309" s="15" t="s">
        <v>245</v>
      </c>
      <c r="Z309" s="15" t="s">
        <v>260</v>
      </c>
      <c r="AA309" s="6" t="s">
        <v>29</v>
      </c>
      <c r="AB309" s="83" t="s">
        <v>261</v>
      </c>
      <c r="AC309" s="83"/>
      <c r="AD309" s="15"/>
      <c r="AE309" s="15"/>
      <c r="AF309" s="15"/>
      <c r="AG309" s="15"/>
      <c r="AH309" s="15"/>
      <c r="AI309" s="15"/>
      <c r="AJ309" s="15"/>
      <c r="AK309" s="15"/>
      <c r="AL309" s="15"/>
      <c r="AM309" s="15"/>
      <c r="BS309" s="15"/>
      <c r="BT309" s="15"/>
      <c r="BU309" s="15"/>
      <c r="BV309" s="15"/>
      <c r="BW309" s="15"/>
      <c r="BX309" s="15"/>
      <c r="BY309" s="15"/>
      <c r="BZ309" s="15"/>
      <c r="CA309" s="15"/>
    </row>
    <row r="310" spans="4:83" s="7" customFormat="1" ht="15.75" customHeight="1" x14ac:dyDescent="0.15">
      <c r="AM310" s="15"/>
      <c r="BS310" s="15"/>
      <c r="BT310" s="15"/>
      <c r="BU310" s="15"/>
      <c r="BV310" s="15"/>
      <c r="BW310" s="15"/>
      <c r="BX310" s="15"/>
      <c r="BY310" s="15"/>
      <c r="BZ310" s="15"/>
      <c r="CA310" s="15"/>
    </row>
    <row r="311" spans="4:83" s="7" customFormat="1" ht="15.75" customHeight="1" x14ac:dyDescent="0.15">
      <c r="AM311" s="15"/>
      <c r="BS311" s="15"/>
      <c r="BT311" s="15"/>
      <c r="BU311" s="15"/>
      <c r="BV311" s="15"/>
      <c r="BW311" s="15"/>
      <c r="BX311" s="15"/>
      <c r="BY311" s="15"/>
      <c r="BZ311" s="15"/>
      <c r="CA311" s="15"/>
    </row>
    <row r="312" spans="4:83" s="7" customFormat="1" ht="15.75" customHeight="1" x14ac:dyDescent="0.15">
      <c r="AM312" s="15"/>
      <c r="BE312" s="15"/>
      <c r="BF312" s="15"/>
      <c r="BG312" s="15"/>
      <c r="BH312" s="15"/>
      <c r="BI312" s="15"/>
      <c r="BJ312" s="15"/>
      <c r="BK312" s="15"/>
      <c r="BL312" s="15"/>
      <c r="BM312" s="15"/>
      <c r="BN312" s="15"/>
      <c r="BO312" s="15"/>
      <c r="BP312" s="15"/>
      <c r="BQ312" s="15"/>
      <c r="BR312" s="15"/>
      <c r="BS312" s="15"/>
      <c r="BT312" s="15"/>
      <c r="BU312" s="15"/>
      <c r="BV312" s="15"/>
      <c r="BW312" s="15"/>
      <c r="BX312" s="15"/>
      <c r="BY312" s="15"/>
      <c r="BZ312" s="15"/>
      <c r="CA312" s="15"/>
    </row>
    <row r="313" spans="4:83" s="7" customFormat="1" ht="15.75" customHeight="1" x14ac:dyDescent="0.15">
      <c r="D313" s="7" t="s">
        <v>262</v>
      </c>
      <c r="AM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row>
    <row r="314" spans="4:83" s="7" customFormat="1" ht="15.75" customHeight="1" x14ac:dyDescent="0.15">
      <c r="AM314" s="15"/>
      <c r="BE314" s="15"/>
      <c r="BF314" s="15"/>
      <c r="BG314" s="15"/>
      <c r="BH314" s="15"/>
      <c r="BI314" s="15"/>
      <c r="BJ314" s="15"/>
      <c r="BK314" s="15"/>
      <c r="BL314" s="15"/>
      <c r="BM314" s="15"/>
      <c r="BN314" s="15"/>
      <c r="BO314" s="15"/>
      <c r="BP314" s="15"/>
      <c r="BQ314" s="15"/>
      <c r="BR314" s="15"/>
      <c r="BS314" s="15"/>
      <c r="BT314" s="15"/>
      <c r="BU314" s="15"/>
      <c r="BV314" s="15"/>
      <c r="BW314" s="15"/>
      <c r="BX314" s="15"/>
      <c r="BY314" s="15"/>
      <c r="BZ314" s="15"/>
      <c r="CA314" s="15"/>
    </row>
    <row r="315" spans="4:83" s="7" customFormat="1" ht="15.75" customHeight="1" x14ac:dyDescent="0.15">
      <c r="F315" s="7" t="s">
        <v>263</v>
      </c>
      <c r="AM315" s="15"/>
      <c r="BE315" s="15"/>
      <c r="BF315" s="15"/>
      <c r="BG315" s="15"/>
      <c r="BH315" s="15"/>
      <c r="BI315" s="15"/>
      <c r="BJ315" s="15"/>
      <c r="BK315" s="15"/>
      <c r="BL315" s="15"/>
      <c r="BM315" s="15"/>
      <c r="BN315" s="15"/>
      <c r="BO315" s="15"/>
      <c r="BP315" s="15"/>
      <c r="BQ315" s="15"/>
      <c r="BR315" s="15"/>
      <c r="BS315" s="15"/>
      <c r="BT315" s="15"/>
      <c r="BU315" s="15"/>
      <c r="BV315" s="15"/>
      <c r="BW315" s="15"/>
      <c r="BX315" s="15"/>
      <c r="BY315" s="15"/>
      <c r="BZ315" s="15"/>
      <c r="CA315" s="15"/>
    </row>
    <row r="316" spans="4:83" s="7" customFormat="1" ht="15.75" customHeight="1" x14ac:dyDescent="0.15">
      <c r="G316" s="7" t="s">
        <v>264</v>
      </c>
    </row>
    <row r="317" spans="4:83" s="7" customFormat="1" ht="15.75" customHeight="1" x14ac:dyDescent="0.15"/>
    <row r="318" spans="4:83" s="7" customFormat="1" ht="15.75" customHeight="1" x14ac:dyDescent="0.15">
      <c r="J318" s="83" t="s">
        <v>265</v>
      </c>
      <c r="K318" s="83"/>
      <c r="L318" s="83"/>
      <c r="M318" s="83"/>
      <c r="N318" s="83"/>
      <c r="O318" s="83"/>
      <c r="P318" s="83"/>
      <c r="Q318" s="83"/>
      <c r="R318" s="83"/>
      <c r="S318" s="83"/>
      <c r="T318" s="83"/>
      <c r="U318" s="83"/>
      <c r="V318" s="83"/>
      <c r="W318" s="83"/>
      <c r="X318" s="83"/>
      <c r="Y318" s="83"/>
      <c r="Z318" s="83"/>
    </row>
    <row r="319" spans="4:83" s="7" customFormat="1" ht="15.75" customHeight="1" x14ac:dyDescent="0.15">
      <c r="M319" s="177" t="s">
        <v>266</v>
      </c>
      <c r="N319" s="72"/>
      <c r="O319" s="72"/>
      <c r="P319" s="72"/>
      <c r="Q319" s="72"/>
      <c r="R319" s="79" t="s">
        <v>267</v>
      </c>
      <c r="S319" s="72"/>
      <c r="T319" s="72"/>
      <c r="U319" s="72"/>
      <c r="V319" s="121"/>
    </row>
    <row r="320" spans="4:83" s="7" customFormat="1" ht="15.75" customHeight="1" x14ac:dyDescent="0.15">
      <c r="M320" s="91"/>
      <c r="N320" s="72"/>
      <c r="O320" s="72"/>
      <c r="P320" s="72"/>
      <c r="Q320" s="72"/>
      <c r="R320" s="72"/>
      <c r="S320" s="72"/>
      <c r="T320" s="72"/>
      <c r="U320" s="72"/>
      <c r="V320" s="121"/>
    </row>
    <row r="321" spans="4:31" s="7" customFormat="1" ht="15.75" customHeight="1" x14ac:dyDescent="0.15">
      <c r="M321" s="168">
        <f>J199*0.65^2*PI()</f>
        <v>58704.837050554561</v>
      </c>
      <c r="N321" s="81"/>
      <c r="O321" s="81"/>
      <c r="P321" s="81"/>
      <c r="Q321" s="81"/>
      <c r="R321" s="81">
        <f>J203*0.65^2*PI()</f>
        <v>117409.67410110912</v>
      </c>
      <c r="S321" s="81"/>
      <c r="T321" s="81"/>
      <c r="U321" s="81"/>
      <c r="V321" s="82"/>
    </row>
    <row r="322" spans="4:31" s="7" customFormat="1" ht="15.75" customHeight="1" x14ac:dyDescent="0.15"/>
    <row r="323" spans="4:31" s="7" customFormat="1" ht="15.75" customHeight="1" x14ac:dyDescent="0.15"/>
    <row r="324" spans="4:31" s="7" customFormat="1" ht="15.75" customHeight="1" x14ac:dyDescent="0.15">
      <c r="F324" s="7" t="s">
        <v>268</v>
      </c>
    </row>
    <row r="325" spans="4:31" s="7" customFormat="1" ht="15.75" customHeight="1" x14ac:dyDescent="0.15">
      <c r="G325" s="7" t="s">
        <v>269</v>
      </c>
    </row>
    <row r="326" spans="4:31" s="7" customFormat="1" ht="15.75" customHeight="1" x14ac:dyDescent="0.15"/>
    <row r="327" spans="4:31" s="7" customFormat="1" ht="15.75" customHeight="1" x14ac:dyDescent="0.15">
      <c r="J327" s="83" t="s">
        <v>270</v>
      </c>
      <c r="K327" s="83"/>
      <c r="L327" s="83"/>
      <c r="M327" s="83"/>
      <c r="N327" s="83"/>
      <c r="O327" s="83"/>
      <c r="P327" s="83"/>
      <c r="Q327" s="83"/>
      <c r="R327" s="83"/>
      <c r="S327" s="83"/>
      <c r="T327" s="83"/>
      <c r="U327" s="83"/>
      <c r="V327" s="83"/>
      <c r="W327" s="83"/>
      <c r="X327" s="83"/>
      <c r="Y327" s="83"/>
      <c r="Z327" s="83"/>
      <c r="AA327" s="15"/>
      <c r="AB327" s="15"/>
      <c r="AC327" s="15"/>
      <c r="AD327" s="15"/>
      <c r="AE327" s="15"/>
    </row>
    <row r="328" spans="4:31" s="7" customFormat="1" ht="15.75" customHeight="1" x14ac:dyDescent="0.15">
      <c r="H328" s="109" t="s">
        <v>93</v>
      </c>
      <c r="I328" s="109"/>
      <c r="J328" s="112"/>
      <c r="K328" s="84" t="s">
        <v>241</v>
      </c>
      <c r="L328" s="85"/>
      <c r="M328" s="86"/>
      <c r="N328" s="79" t="s">
        <v>463</v>
      </c>
      <c r="O328" s="79"/>
      <c r="P328" s="79"/>
      <c r="Q328" s="80"/>
      <c r="R328" s="79" t="s">
        <v>464</v>
      </c>
      <c r="S328" s="72"/>
      <c r="T328" s="72"/>
      <c r="U328" s="72"/>
      <c r="V328" s="79" t="s">
        <v>466</v>
      </c>
      <c r="W328" s="72"/>
      <c r="X328" s="72"/>
      <c r="Y328" s="72"/>
      <c r="Z328" s="79" t="s">
        <v>465</v>
      </c>
      <c r="AA328" s="72"/>
      <c r="AB328" s="72"/>
      <c r="AC328" s="121"/>
    </row>
    <row r="329" spans="4:31" s="7" customFormat="1" ht="15.75" customHeight="1" x14ac:dyDescent="0.15">
      <c r="H329" s="169"/>
      <c r="I329" s="169"/>
      <c r="J329" s="170"/>
      <c r="K329" s="172"/>
      <c r="L329" s="190"/>
      <c r="M329" s="191"/>
      <c r="N329" s="79"/>
      <c r="O329" s="79"/>
      <c r="P329" s="79"/>
      <c r="Q329" s="80"/>
      <c r="R329" s="79"/>
      <c r="S329" s="72"/>
      <c r="T329" s="72"/>
      <c r="U329" s="72"/>
      <c r="V329" s="79"/>
      <c r="W329" s="72"/>
      <c r="X329" s="72"/>
      <c r="Y329" s="72"/>
      <c r="Z329" s="79"/>
      <c r="AA329" s="72"/>
      <c r="AB329" s="72"/>
      <c r="AC329" s="121"/>
    </row>
    <row r="330" spans="4:31" s="7" customFormat="1" ht="15.75" customHeight="1" x14ac:dyDescent="0.15">
      <c r="H330" s="110"/>
      <c r="I330" s="110"/>
      <c r="J330" s="114"/>
      <c r="K330" s="87"/>
      <c r="L330" s="88"/>
      <c r="M330" s="89"/>
      <c r="N330" s="79"/>
      <c r="O330" s="79"/>
      <c r="P330" s="79"/>
      <c r="Q330" s="80"/>
      <c r="R330" s="72"/>
      <c r="S330" s="72"/>
      <c r="T330" s="72"/>
      <c r="U330" s="72"/>
      <c r="V330" s="72"/>
      <c r="W330" s="72"/>
      <c r="X330" s="72"/>
      <c r="Y330" s="72"/>
      <c r="Z330" s="72"/>
      <c r="AA330" s="72"/>
      <c r="AB330" s="72"/>
      <c r="AC330" s="121"/>
    </row>
    <row r="331" spans="4:31" s="7" customFormat="1" ht="15.75" customHeight="1" x14ac:dyDescent="0.15">
      <c r="H331" s="91" t="s">
        <v>94</v>
      </c>
      <c r="I331" s="72"/>
      <c r="J331" s="72"/>
      <c r="K331" s="77">
        <f>入力!C5</f>
        <v>0.2</v>
      </c>
      <c r="L331" s="95"/>
      <c r="M331" s="162"/>
      <c r="N331" s="81">
        <f>R331*T270*K331</f>
        <v>6282.9339797672992</v>
      </c>
      <c r="O331" s="78"/>
      <c r="P331" s="78"/>
      <c r="Q331" s="78"/>
      <c r="R331" s="81">
        <f>T112</f>
        <v>7692</v>
      </c>
      <c r="S331" s="78"/>
      <c r="T331" s="78"/>
      <c r="U331" s="78"/>
      <c r="V331" s="81">
        <f>Z331*T270*K331</f>
        <v>12566.684773624533</v>
      </c>
      <c r="W331" s="78"/>
      <c r="X331" s="78"/>
      <c r="Y331" s="78"/>
      <c r="Z331" s="81">
        <f>T117</f>
        <v>15385</v>
      </c>
      <c r="AA331" s="81"/>
      <c r="AB331" s="81"/>
      <c r="AC331" s="82"/>
    </row>
    <row r="332" spans="4:31" s="7" customFormat="1" ht="15.75" customHeight="1" x14ac:dyDescent="0.15">
      <c r="H332" s="6"/>
      <c r="J332" s="6"/>
      <c r="K332" s="6"/>
      <c r="L332" s="6"/>
      <c r="M332" s="6"/>
      <c r="N332" s="6"/>
      <c r="O332" s="6"/>
      <c r="P332" s="6"/>
      <c r="Q332" s="6"/>
      <c r="R332" s="6"/>
      <c r="S332" s="6"/>
      <c r="T332" s="6"/>
      <c r="U332" s="6"/>
      <c r="V332" s="6"/>
      <c r="W332" s="6"/>
      <c r="X332" s="15"/>
      <c r="Y332" s="15"/>
      <c r="Z332" s="23"/>
      <c r="AA332" s="6"/>
      <c r="AB332" s="24"/>
      <c r="AC332" s="24"/>
      <c r="AD332" s="15"/>
      <c r="AE332" s="15"/>
    </row>
    <row r="333" spans="4:31" s="7" customFormat="1" ht="15.75" customHeight="1" x14ac:dyDescent="0.15"/>
    <row r="334" spans="4:31" s="7" customFormat="1" ht="15.75" customHeight="1" x14ac:dyDescent="0.15"/>
    <row r="335" spans="4:31" s="7" customFormat="1" ht="15.75" customHeight="1" x14ac:dyDescent="0.15"/>
    <row r="336" spans="4:31" s="7" customFormat="1" ht="15.75" customHeight="1" x14ac:dyDescent="0.15">
      <c r="D336" s="12" t="s">
        <v>271</v>
      </c>
    </row>
    <row r="337" spans="4:12" s="7" customFormat="1" ht="15.75" customHeight="1" x14ac:dyDescent="0.15"/>
    <row r="338" spans="4:12" s="7" customFormat="1" ht="15.75" customHeight="1" x14ac:dyDescent="0.15">
      <c r="D338" s="12" t="s">
        <v>272</v>
      </c>
    </row>
    <row r="339" spans="4:12" s="7" customFormat="1" ht="15.75" customHeight="1" x14ac:dyDescent="0.15"/>
    <row r="340" spans="4:12" s="7" customFormat="1" ht="15.75" customHeight="1" x14ac:dyDescent="0.2">
      <c r="E340" s="69" t="s">
        <v>273</v>
      </c>
      <c r="F340" s="69"/>
      <c r="G340" s="6" t="s">
        <v>29</v>
      </c>
      <c r="H340" s="69" t="s">
        <v>274</v>
      </c>
      <c r="I340" s="69"/>
      <c r="J340" s="6" t="s">
        <v>6</v>
      </c>
      <c r="K340" s="69" t="s">
        <v>275</v>
      </c>
      <c r="L340" s="69"/>
    </row>
    <row r="341" spans="4:12" s="7" customFormat="1" ht="15.75" customHeight="1" x14ac:dyDescent="0.15"/>
    <row r="342" spans="4:12" s="7" customFormat="1" ht="15.75" customHeight="1" x14ac:dyDescent="0.2">
      <c r="F342" s="7" t="s">
        <v>3</v>
      </c>
      <c r="I342" s="144" t="s">
        <v>273</v>
      </c>
      <c r="J342" s="144"/>
      <c r="K342" s="6" t="s">
        <v>2</v>
      </c>
      <c r="L342" s="7" t="s">
        <v>277</v>
      </c>
    </row>
    <row r="343" spans="4:12" s="7" customFormat="1" ht="15.75" customHeight="1" x14ac:dyDescent="0.2">
      <c r="I343" s="144" t="s">
        <v>274</v>
      </c>
      <c r="J343" s="144"/>
      <c r="K343" s="6" t="s">
        <v>2</v>
      </c>
      <c r="L343" s="7" t="s">
        <v>278</v>
      </c>
    </row>
    <row r="344" spans="4:12" s="7" customFormat="1" ht="15.75" customHeight="1" x14ac:dyDescent="0.2">
      <c r="I344" s="144" t="s">
        <v>276</v>
      </c>
      <c r="J344" s="144"/>
      <c r="K344" s="6" t="s">
        <v>2</v>
      </c>
      <c r="L344" s="7" t="s">
        <v>279</v>
      </c>
    </row>
    <row r="345" spans="4:12" s="7" customFormat="1" ht="15.75" customHeight="1" x14ac:dyDescent="0.15"/>
    <row r="346" spans="4:12" s="7" customFormat="1" ht="15.75" customHeight="1" x14ac:dyDescent="0.15">
      <c r="E346" s="7" t="s">
        <v>280</v>
      </c>
    </row>
    <row r="347" spans="4:12" s="7" customFormat="1" ht="15.75" customHeight="1" x14ac:dyDescent="0.15">
      <c r="F347" s="7" t="s">
        <v>281</v>
      </c>
    </row>
    <row r="348" spans="4:12" ht="15.75" customHeight="1" x14ac:dyDescent="0.15">
      <c r="E348" s="6"/>
    </row>
    <row r="349" spans="4:12" s="7" customFormat="1" ht="15.75" customHeight="1" x14ac:dyDescent="0.2">
      <c r="E349" s="69" t="s">
        <v>274</v>
      </c>
      <c r="F349" s="69"/>
      <c r="G349" s="6" t="s">
        <v>29</v>
      </c>
      <c r="H349" s="69" t="s">
        <v>282</v>
      </c>
      <c r="I349" s="69"/>
      <c r="J349" s="6" t="s">
        <v>6</v>
      </c>
      <c r="K349" s="69" t="s">
        <v>283</v>
      </c>
      <c r="L349" s="69"/>
    </row>
    <row r="350" spans="4:12" s="7" customFormat="1" ht="15.75" customHeight="1" x14ac:dyDescent="0.15"/>
    <row r="351" spans="4:12" s="7" customFormat="1" ht="15.75" customHeight="1" x14ac:dyDescent="0.2">
      <c r="F351" s="7" t="s">
        <v>3</v>
      </c>
      <c r="I351" s="144" t="s">
        <v>274</v>
      </c>
      <c r="J351" s="144"/>
      <c r="K351" s="6" t="s">
        <v>2</v>
      </c>
      <c r="L351" s="7" t="s">
        <v>284</v>
      </c>
    </row>
    <row r="352" spans="4:12" s="7" customFormat="1" ht="15.75" customHeight="1" x14ac:dyDescent="0.2">
      <c r="I352" s="144" t="s">
        <v>282</v>
      </c>
      <c r="J352" s="144"/>
      <c r="K352" s="6" t="s">
        <v>2</v>
      </c>
      <c r="L352" s="7" t="s">
        <v>485</v>
      </c>
    </row>
    <row r="353" spans="5:27" s="7" customFormat="1" ht="15.75" customHeight="1" x14ac:dyDescent="0.15">
      <c r="I353" s="8"/>
      <c r="J353" s="8"/>
      <c r="K353" s="6"/>
      <c r="L353" s="7" t="s">
        <v>486</v>
      </c>
    </row>
    <row r="354" spans="5:27" s="7" customFormat="1" ht="15.75" customHeight="1" x14ac:dyDescent="0.2">
      <c r="I354" s="8"/>
      <c r="J354" s="8"/>
      <c r="K354" s="6"/>
      <c r="M354" s="7" t="s">
        <v>285</v>
      </c>
      <c r="R354" s="6" t="s">
        <v>2</v>
      </c>
      <c r="S354" s="69" t="s">
        <v>282</v>
      </c>
      <c r="T354" s="69"/>
      <c r="U354" s="6" t="s">
        <v>29</v>
      </c>
      <c r="V354" s="69" t="s">
        <v>288</v>
      </c>
      <c r="W354" s="69"/>
      <c r="X354" s="7" t="s">
        <v>289</v>
      </c>
      <c r="Y354" s="69">
        <v>3500</v>
      </c>
      <c r="Z354" s="69"/>
      <c r="AA354" s="7" t="s">
        <v>290</v>
      </c>
    </row>
    <row r="355" spans="5:27" s="7" customFormat="1" ht="15.75" customHeight="1" x14ac:dyDescent="0.2">
      <c r="I355" s="8"/>
      <c r="J355" s="8"/>
      <c r="K355" s="6"/>
      <c r="M355" s="7" t="s">
        <v>286</v>
      </c>
      <c r="R355" s="6" t="s">
        <v>2</v>
      </c>
      <c r="S355" s="69" t="s">
        <v>282</v>
      </c>
      <c r="T355" s="69"/>
      <c r="U355" s="6" t="s">
        <v>29</v>
      </c>
      <c r="V355" s="69" t="s">
        <v>288</v>
      </c>
      <c r="W355" s="69"/>
      <c r="X355" s="7" t="s">
        <v>289</v>
      </c>
      <c r="Y355" s="69">
        <v>7500</v>
      </c>
      <c r="Z355" s="69"/>
      <c r="AA355" s="7" t="s">
        <v>290</v>
      </c>
    </row>
    <row r="356" spans="5:27" s="7" customFormat="1" ht="15.75" customHeight="1" x14ac:dyDescent="0.15">
      <c r="I356" s="8"/>
      <c r="J356" s="8"/>
      <c r="K356" s="6"/>
      <c r="M356" s="7" t="s">
        <v>287</v>
      </c>
      <c r="N356" s="6" t="s">
        <v>2</v>
      </c>
      <c r="O356" s="7" t="s">
        <v>291</v>
      </c>
    </row>
    <row r="357" spans="5:27" s="7" customFormat="1" ht="15.75" customHeight="1" x14ac:dyDescent="0.2">
      <c r="I357" s="144" t="s">
        <v>283</v>
      </c>
      <c r="J357" s="144"/>
      <c r="K357" s="6" t="s">
        <v>2</v>
      </c>
      <c r="L357" s="7" t="s">
        <v>487</v>
      </c>
    </row>
    <row r="358" spans="5:27" ht="15.75" customHeight="1" x14ac:dyDescent="0.15">
      <c r="E358" s="6"/>
      <c r="L358" s="9" t="s">
        <v>488</v>
      </c>
    </row>
    <row r="359" spans="5:27" ht="15.75" customHeight="1" x14ac:dyDescent="0.15">
      <c r="E359" s="6"/>
    </row>
    <row r="360" spans="5:27" ht="15.75" customHeight="1" x14ac:dyDescent="0.15">
      <c r="E360" s="7" t="s">
        <v>489</v>
      </c>
    </row>
    <row r="361" spans="5:27" ht="15.75" customHeight="1" x14ac:dyDescent="0.15">
      <c r="E361" s="7" t="s">
        <v>490</v>
      </c>
    </row>
    <row r="363" spans="5:27" ht="15.75" customHeight="1" x14ac:dyDescent="0.2">
      <c r="E363" s="69" t="s">
        <v>274</v>
      </c>
      <c r="F363" s="69"/>
      <c r="G363" s="6" t="s">
        <v>29</v>
      </c>
      <c r="H363" s="69" t="s">
        <v>282</v>
      </c>
      <c r="I363" s="69"/>
      <c r="J363" s="6" t="s">
        <v>6</v>
      </c>
      <c r="K363" s="69" t="s">
        <v>283</v>
      </c>
      <c r="L363" s="69"/>
    </row>
    <row r="364" spans="5:27" ht="15.75" customHeight="1" x14ac:dyDescent="0.15">
      <c r="G364" s="6" t="s">
        <v>29</v>
      </c>
      <c r="H364" s="69">
        <v>60</v>
      </c>
      <c r="I364" s="69"/>
      <c r="J364" s="69" t="s">
        <v>292</v>
      </c>
      <c r="K364" s="69"/>
      <c r="L364" s="166">
        <v>0.25</v>
      </c>
      <c r="M364" s="166"/>
      <c r="N364" s="6" t="s">
        <v>293</v>
      </c>
      <c r="O364" s="6" t="s">
        <v>112</v>
      </c>
      <c r="P364" s="69" t="s">
        <v>294</v>
      </c>
      <c r="Q364" s="69"/>
    </row>
    <row r="365" spans="5:27" ht="15.75" customHeight="1" x14ac:dyDescent="0.15">
      <c r="G365" s="6" t="s">
        <v>29</v>
      </c>
      <c r="H365" s="69">
        <v>60</v>
      </c>
      <c r="I365" s="69"/>
      <c r="J365" s="6" t="s">
        <v>1</v>
      </c>
      <c r="K365" s="69">
        <v>50</v>
      </c>
      <c r="L365" s="69"/>
      <c r="M365" s="6" t="s">
        <v>1</v>
      </c>
      <c r="N365" s="166">
        <v>0.25</v>
      </c>
      <c r="O365" s="166"/>
      <c r="P365" s="6" t="s">
        <v>1</v>
      </c>
      <c r="Q365" s="6" t="s">
        <v>293</v>
      </c>
      <c r="R365" s="6" t="s">
        <v>1</v>
      </c>
      <c r="S365" s="165">
        <f>入力!G23</f>
        <v>1.3</v>
      </c>
      <c r="T365" s="165"/>
      <c r="U365" s="165"/>
      <c r="V365" s="25" t="s">
        <v>295</v>
      </c>
    </row>
    <row r="366" spans="5:27" ht="15.75" customHeight="1" x14ac:dyDescent="0.15">
      <c r="G366" s="6" t="s">
        <v>29</v>
      </c>
      <c r="H366" s="69">
        <f>H365*K365*S365^2</f>
        <v>5070.0000000000009</v>
      </c>
      <c r="I366" s="69"/>
      <c r="J366" s="7" t="s">
        <v>290</v>
      </c>
      <c r="M366" s="6" t="s">
        <v>1</v>
      </c>
      <c r="N366" s="165">
        <f>N365*PI()</f>
        <v>0.78539816339744828</v>
      </c>
      <c r="O366" s="165"/>
      <c r="P366" s="7" t="s">
        <v>296</v>
      </c>
    </row>
    <row r="367" spans="5:27" ht="15.75" customHeight="1" x14ac:dyDescent="0.15">
      <c r="G367" s="6" t="s">
        <v>29</v>
      </c>
      <c r="H367" s="143">
        <f>H366*N366</f>
        <v>3981.9686884250636</v>
      </c>
      <c r="I367" s="143"/>
      <c r="J367" s="143"/>
      <c r="K367" s="7" t="s">
        <v>297</v>
      </c>
    </row>
    <row r="369" spans="5:38" ht="15.75" customHeight="1" x14ac:dyDescent="0.15">
      <c r="F369" s="9" t="s">
        <v>298</v>
      </c>
    </row>
    <row r="372" spans="5:38" ht="15.75" customHeight="1" x14ac:dyDescent="0.15">
      <c r="E372" s="7" t="s">
        <v>299</v>
      </c>
      <c r="F372" s="7"/>
      <c r="G372" s="7"/>
      <c r="H372" s="7"/>
      <c r="I372" s="7"/>
      <c r="J372" s="7"/>
      <c r="K372" s="7"/>
      <c r="L372" s="7"/>
      <c r="M372" s="7"/>
      <c r="N372" s="7"/>
      <c r="O372" s="7"/>
      <c r="P372" s="7"/>
      <c r="Q372" s="7"/>
      <c r="R372" s="7"/>
      <c r="S372" s="7"/>
      <c r="T372" s="7"/>
      <c r="U372" s="7"/>
      <c r="V372" s="7"/>
      <c r="W372" s="7"/>
      <c r="X372" s="7"/>
      <c r="Y372" s="7"/>
      <c r="Z372" s="7"/>
      <c r="AA372" s="7"/>
      <c r="AB372" s="7"/>
      <c r="AC372" s="7"/>
      <c r="AD372" s="7"/>
      <c r="AE372" s="7"/>
      <c r="AF372" s="7"/>
      <c r="AG372" s="7"/>
      <c r="AH372" s="7"/>
    </row>
    <row r="373" spans="5:38" ht="15.75" customHeight="1" x14ac:dyDescent="0.15">
      <c r="F373" s="7" t="s">
        <v>300</v>
      </c>
      <c r="G373" s="7"/>
      <c r="H373" s="7"/>
      <c r="I373" s="7"/>
      <c r="J373" s="7"/>
      <c r="K373" s="7"/>
      <c r="L373" s="7"/>
      <c r="M373" s="7"/>
      <c r="N373" s="7"/>
      <c r="O373" s="7"/>
      <c r="P373" s="7"/>
      <c r="Q373" s="7"/>
      <c r="R373" s="7"/>
      <c r="S373" s="7"/>
      <c r="T373" s="7"/>
      <c r="U373" s="7"/>
      <c r="V373" s="7"/>
      <c r="W373" s="7"/>
      <c r="X373" s="7"/>
      <c r="Y373" s="7"/>
      <c r="Z373" s="7"/>
      <c r="AA373" s="7"/>
      <c r="AB373" s="7"/>
      <c r="AC373" s="7"/>
      <c r="AD373" s="7"/>
      <c r="AE373" s="7"/>
      <c r="AF373" s="7"/>
      <c r="AG373" s="7"/>
      <c r="AH373" s="7"/>
    </row>
    <row r="374" spans="5:38" ht="15.75" customHeight="1" x14ac:dyDescent="0.15">
      <c r="E374" s="6"/>
    </row>
    <row r="375" spans="5:38" ht="15.75" customHeight="1" x14ac:dyDescent="0.2">
      <c r="E375" s="69" t="s">
        <v>276</v>
      </c>
      <c r="F375" s="69"/>
      <c r="G375" s="6" t="s">
        <v>29</v>
      </c>
      <c r="H375" s="69" t="s">
        <v>301</v>
      </c>
      <c r="I375" s="69"/>
      <c r="J375" s="6" t="s">
        <v>1</v>
      </c>
      <c r="K375" s="69" t="s">
        <v>302</v>
      </c>
      <c r="L375" s="69"/>
      <c r="M375" s="7" t="s">
        <v>1</v>
      </c>
      <c r="N375" s="9" t="s">
        <v>303</v>
      </c>
      <c r="O375" s="7"/>
      <c r="P375" s="7"/>
      <c r="Q375" s="7"/>
      <c r="R375" s="7"/>
      <c r="S375" s="7"/>
      <c r="T375" s="7"/>
      <c r="U375" s="7"/>
      <c r="V375" s="7"/>
      <c r="W375" s="7"/>
      <c r="X375" s="7"/>
      <c r="Y375" s="7"/>
      <c r="Z375" s="7"/>
      <c r="AA375" s="7"/>
      <c r="AB375" s="7"/>
      <c r="AC375" s="7"/>
      <c r="AD375" s="7"/>
      <c r="AE375" s="7"/>
      <c r="AF375" s="7"/>
      <c r="AG375" s="7"/>
      <c r="AH375" s="7"/>
    </row>
    <row r="376" spans="5:38" ht="15.75" customHeight="1" x14ac:dyDescent="0.15">
      <c r="F376" s="7"/>
      <c r="G376" s="7"/>
      <c r="H376" s="7"/>
      <c r="I376" s="7"/>
      <c r="J376" s="7"/>
      <c r="K376" s="7"/>
      <c r="L376" s="7"/>
      <c r="M376" s="7"/>
      <c r="N376" s="7"/>
      <c r="O376" s="7"/>
      <c r="P376" s="7"/>
      <c r="Q376" s="7"/>
      <c r="R376" s="7"/>
      <c r="S376" s="7"/>
      <c r="T376" s="7"/>
      <c r="U376" s="7"/>
      <c r="V376" s="7"/>
      <c r="W376" s="7"/>
      <c r="X376" s="7"/>
      <c r="Y376" s="7"/>
      <c r="Z376" s="7"/>
      <c r="AA376" s="7"/>
      <c r="AB376" s="7"/>
      <c r="AC376" s="7"/>
      <c r="AD376" s="7"/>
      <c r="AE376" s="7"/>
      <c r="AF376" s="7"/>
      <c r="AG376" s="7"/>
      <c r="AH376" s="7"/>
    </row>
    <row r="377" spans="5:38" ht="15.75" customHeight="1" x14ac:dyDescent="0.15">
      <c r="F377" s="7" t="s">
        <v>3</v>
      </c>
      <c r="G377" s="7"/>
      <c r="H377" s="7"/>
      <c r="I377" s="69" t="s">
        <v>302</v>
      </c>
      <c r="J377" s="69"/>
      <c r="K377" s="6" t="s">
        <v>2</v>
      </c>
      <c r="L377" s="7" t="s">
        <v>304</v>
      </c>
      <c r="M377" s="7"/>
      <c r="N377" s="7"/>
      <c r="O377" s="7"/>
      <c r="P377" s="7"/>
      <c r="Q377" s="7"/>
      <c r="R377" s="7"/>
      <c r="S377" s="7"/>
      <c r="T377" s="7"/>
      <c r="U377" s="7"/>
      <c r="V377" s="7"/>
      <c r="W377" s="7"/>
      <c r="X377" s="7"/>
      <c r="Y377" s="7"/>
      <c r="Z377" s="7"/>
      <c r="AA377" s="7"/>
      <c r="AB377" s="7"/>
      <c r="AC377" s="7"/>
      <c r="AD377" s="7"/>
      <c r="AE377" s="7"/>
      <c r="AF377" s="7"/>
      <c r="AG377" s="7"/>
      <c r="AH377" s="7"/>
    </row>
    <row r="378" spans="5:38" ht="15.75" customHeight="1" x14ac:dyDescent="0.2">
      <c r="F378" s="7"/>
      <c r="G378" s="7"/>
      <c r="H378" s="7"/>
      <c r="I378" s="69" t="s">
        <v>301</v>
      </c>
      <c r="J378" s="69"/>
      <c r="K378" s="6" t="s">
        <v>2</v>
      </c>
      <c r="L378" s="7" t="s">
        <v>491</v>
      </c>
      <c r="M378" s="7"/>
      <c r="N378" s="7"/>
      <c r="O378" s="7"/>
      <c r="P378" s="7"/>
      <c r="Q378" s="7"/>
      <c r="R378" s="7"/>
      <c r="S378" s="7"/>
      <c r="T378" s="7"/>
      <c r="U378" s="7"/>
      <c r="V378" s="7"/>
      <c r="W378" s="7"/>
      <c r="X378" s="7"/>
      <c r="Y378" s="7"/>
      <c r="Z378" s="7"/>
      <c r="AA378" s="7"/>
      <c r="AB378" s="7"/>
      <c r="AC378" s="7"/>
      <c r="AD378" s="7"/>
      <c r="AE378" s="7"/>
      <c r="AF378" s="7"/>
      <c r="AG378" s="7"/>
      <c r="AH378" s="7"/>
    </row>
    <row r="379" spans="5:38" ht="15.75" customHeight="1" x14ac:dyDescent="0.15">
      <c r="F379" s="7"/>
      <c r="G379" s="7"/>
      <c r="H379" s="7"/>
      <c r="L379" s="7" t="s">
        <v>492</v>
      </c>
      <c r="M379" s="7"/>
      <c r="N379" s="7"/>
      <c r="O379" s="7"/>
      <c r="P379" s="7"/>
      <c r="Q379" s="7"/>
      <c r="R379" s="7"/>
      <c r="S379" s="7"/>
      <c r="T379" s="7"/>
      <c r="U379" s="7"/>
      <c r="V379" s="7"/>
      <c r="W379" s="7"/>
      <c r="X379" s="7"/>
      <c r="Y379" s="7"/>
      <c r="Z379" s="7"/>
      <c r="AA379" s="7"/>
      <c r="AB379" s="7"/>
      <c r="AC379" s="7"/>
      <c r="AD379" s="7"/>
      <c r="AE379" s="7"/>
      <c r="AF379" s="7"/>
      <c r="AG379" s="7"/>
      <c r="AH379" s="7"/>
    </row>
    <row r="380" spans="5:38" ht="15.75" customHeight="1" x14ac:dyDescent="0.2">
      <c r="F380" s="7"/>
      <c r="G380" s="7"/>
      <c r="H380" s="7"/>
      <c r="L380" s="7"/>
      <c r="M380" s="7" t="s">
        <v>305</v>
      </c>
      <c r="N380" s="7"/>
      <c r="O380" s="7"/>
      <c r="P380" s="7"/>
      <c r="Q380" s="7"/>
      <c r="R380" s="7"/>
      <c r="S380" s="7"/>
      <c r="T380" s="7"/>
      <c r="U380" s="6" t="s">
        <v>2</v>
      </c>
      <c r="V380" s="69" t="s">
        <v>301</v>
      </c>
      <c r="W380" s="69"/>
      <c r="X380" s="6" t="s">
        <v>29</v>
      </c>
      <c r="Y380" s="69" t="s">
        <v>306</v>
      </c>
      <c r="Z380" s="69"/>
      <c r="AA380" s="7" t="s">
        <v>289</v>
      </c>
      <c r="AB380" s="69">
        <v>150</v>
      </c>
      <c r="AC380" s="69"/>
      <c r="AD380" s="7" t="s">
        <v>290</v>
      </c>
      <c r="AE380" s="7"/>
      <c r="AF380" s="7"/>
      <c r="AG380" s="7"/>
      <c r="AH380" s="7"/>
      <c r="AI380" s="7"/>
      <c r="AJ380" s="7"/>
      <c r="AK380" s="7"/>
      <c r="AL380" s="7"/>
    </row>
    <row r="381" spans="5:38" ht="15.75" customHeight="1" x14ac:dyDescent="0.2">
      <c r="F381" s="7"/>
      <c r="G381" s="7"/>
      <c r="H381" s="7"/>
      <c r="L381" s="164" t="s">
        <v>307</v>
      </c>
      <c r="M381" s="164"/>
      <c r="N381" s="164"/>
      <c r="O381" s="164"/>
      <c r="P381" s="164"/>
      <c r="Q381" s="6" t="s">
        <v>2</v>
      </c>
      <c r="R381" s="69" t="s">
        <v>301</v>
      </c>
      <c r="S381" s="69"/>
      <c r="T381" s="6" t="s">
        <v>29</v>
      </c>
      <c r="U381" s="69" t="s">
        <v>308</v>
      </c>
      <c r="V381" s="69"/>
      <c r="W381" s="7" t="s">
        <v>289</v>
      </c>
      <c r="X381" s="69">
        <v>150</v>
      </c>
      <c r="Y381" s="69"/>
      <c r="Z381" s="163" t="s">
        <v>309</v>
      </c>
      <c r="AA381" s="163"/>
      <c r="AB381" s="69" t="s">
        <v>310</v>
      </c>
      <c r="AC381" s="69"/>
      <c r="AD381" s="7" t="s">
        <v>289</v>
      </c>
      <c r="AE381" s="69">
        <v>150</v>
      </c>
      <c r="AF381" s="69"/>
      <c r="AG381" s="7" t="s">
        <v>290</v>
      </c>
      <c r="AH381" s="7"/>
      <c r="AI381" s="7"/>
    </row>
    <row r="382" spans="5:38" ht="15.75" customHeight="1" x14ac:dyDescent="0.15">
      <c r="F382" s="7"/>
      <c r="G382" s="7"/>
      <c r="H382" s="7"/>
      <c r="L382" s="7"/>
      <c r="M382" s="8" t="s">
        <v>287</v>
      </c>
      <c r="N382" s="6" t="s">
        <v>2</v>
      </c>
      <c r="O382" s="7" t="s">
        <v>311</v>
      </c>
      <c r="P382" s="7"/>
      <c r="Q382" s="7"/>
      <c r="R382" s="7"/>
      <c r="S382" s="7"/>
      <c r="T382" s="7"/>
      <c r="U382" s="7"/>
      <c r="V382" s="7"/>
      <c r="W382" s="7"/>
      <c r="X382" s="7"/>
      <c r="Y382" s="7"/>
      <c r="Z382" s="7"/>
      <c r="AA382" s="7"/>
      <c r="AB382" s="7"/>
      <c r="AC382" s="7"/>
      <c r="AD382" s="7"/>
      <c r="AE382" s="7"/>
      <c r="AF382" s="7"/>
      <c r="AG382" s="7"/>
      <c r="AH382" s="7"/>
    </row>
    <row r="383" spans="5:38" ht="15.75" customHeight="1" x14ac:dyDescent="0.15">
      <c r="E383" s="6"/>
      <c r="M383" s="8" t="s">
        <v>312</v>
      </c>
      <c r="N383" s="6" t="s">
        <v>2</v>
      </c>
      <c r="O383" s="9" t="s">
        <v>313</v>
      </c>
    </row>
    <row r="384" spans="5:38" ht="15.75" customHeight="1" x14ac:dyDescent="0.15">
      <c r="M384" s="8" t="s">
        <v>303</v>
      </c>
      <c r="N384" s="6" t="s">
        <v>2</v>
      </c>
      <c r="O384" s="9" t="s">
        <v>314</v>
      </c>
    </row>
    <row r="386" spans="6:30" ht="15.75" customHeight="1" x14ac:dyDescent="0.2">
      <c r="F386" s="9" t="s">
        <v>493</v>
      </c>
    </row>
    <row r="387" spans="6:30" s="9" customFormat="1" ht="15.75" customHeight="1" x14ac:dyDescent="0.15">
      <c r="F387" s="9" t="s">
        <v>494</v>
      </c>
    </row>
    <row r="388" spans="6:30" s="9" customFormat="1" ht="15.75" customHeight="1" x14ac:dyDescent="0.15"/>
    <row r="389" spans="6:30" s="9" customFormat="1" ht="15.75" customHeight="1" x14ac:dyDescent="0.15">
      <c r="G389" s="7"/>
      <c r="H389" s="7"/>
      <c r="I389" s="7"/>
      <c r="J389" s="83" t="s">
        <v>315</v>
      </c>
      <c r="K389" s="83"/>
      <c r="L389" s="83"/>
      <c r="M389" s="83"/>
      <c r="N389" s="83"/>
      <c r="O389" s="83"/>
      <c r="P389" s="83"/>
      <c r="Q389" s="83"/>
      <c r="R389" s="83"/>
      <c r="S389" s="83"/>
      <c r="T389" s="83"/>
      <c r="U389" s="83"/>
      <c r="V389" s="83"/>
      <c r="W389" s="83"/>
      <c r="X389" s="83"/>
      <c r="Y389" s="83"/>
      <c r="Z389" s="83"/>
      <c r="AA389" s="15"/>
      <c r="AB389" s="15"/>
      <c r="AC389" s="15"/>
    </row>
    <row r="390" spans="6:30" s="9" customFormat="1" ht="15.75" customHeight="1" x14ac:dyDescent="0.15">
      <c r="G390" s="109" t="s">
        <v>93</v>
      </c>
      <c r="H390" s="109"/>
      <c r="I390" s="112"/>
      <c r="J390" s="84" t="s">
        <v>241</v>
      </c>
      <c r="K390" s="85"/>
      <c r="L390" s="86"/>
      <c r="M390" s="79" t="s">
        <v>316</v>
      </c>
      <c r="N390" s="72"/>
      <c r="O390" s="72"/>
      <c r="P390" s="72"/>
      <c r="Q390" s="111" t="s">
        <v>319</v>
      </c>
      <c r="R390" s="109"/>
      <c r="S390" s="112"/>
      <c r="T390" s="111" t="s">
        <v>321</v>
      </c>
      <c r="U390" s="109"/>
      <c r="V390" s="109"/>
      <c r="W390" s="111" t="s">
        <v>320</v>
      </c>
      <c r="X390" s="109"/>
      <c r="Y390" s="109"/>
      <c r="Z390" s="79" t="s">
        <v>322</v>
      </c>
      <c r="AA390" s="79"/>
      <c r="AB390" s="79"/>
      <c r="AC390" s="80"/>
    </row>
    <row r="391" spans="6:30" s="9" customFormat="1" ht="15.75" customHeight="1" x14ac:dyDescent="0.15">
      <c r="G391" s="110"/>
      <c r="H391" s="110"/>
      <c r="I391" s="114"/>
      <c r="J391" s="87"/>
      <c r="K391" s="88"/>
      <c r="L391" s="89"/>
      <c r="M391" s="72"/>
      <c r="N391" s="72"/>
      <c r="O391" s="72"/>
      <c r="P391" s="72"/>
      <c r="Q391" s="113"/>
      <c r="R391" s="110"/>
      <c r="S391" s="114"/>
      <c r="T391" s="113"/>
      <c r="U391" s="110"/>
      <c r="V391" s="110"/>
      <c r="W391" s="113"/>
      <c r="X391" s="110"/>
      <c r="Y391" s="110"/>
      <c r="Z391" s="79"/>
      <c r="AA391" s="79"/>
      <c r="AB391" s="79"/>
      <c r="AC391" s="80"/>
    </row>
    <row r="392" spans="6:30" s="9" customFormat="1" ht="15.75" customHeight="1" x14ac:dyDescent="0.15">
      <c r="G392" s="91" t="s">
        <v>94</v>
      </c>
      <c r="H392" s="72"/>
      <c r="I392" s="72"/>
      <c r="J392" s="77">
        <f>入力!C5</f>
        <v>0.2</v>
      </c>
      <c r="K392" s="95"/>
      <c r="L392" s="162"/>
      <c r="M392" s="78" t="s">
        <v>317</v>
      </c>
      <c r="N392" s="78"/>
      <c r="O392" s="78"/>
      <c r="P392" s="78"/>
      <c r="Q392" s="92">
        <f>入力!E5</f>
        <v>50</v>
      </c>
      <c r="R392" s="93"/>
      <c r="S392" s="94"/>
      <c r="T392" s="71">
        <v>150</v>
      </c>
      <c r="U392" s="107"/>
      <c r="V392" s="107"/>
      <c r="W392" s="77">
        <f>T270</f>
        <v>4.0840704496667311</v>
      </c>
      <c r="X392" s="95"/>
      <c r="Y392" s="162"/>
      <c r="Z392" s="70">
        <f>J392*T392*$W$392</f>
        <v>122.52211349000193</v>
      </c>
      <c r="AA392" s="70"/>
      <c r="AB392" s="70"/>
      <c r="AC392" s="71"/>
    </row>
    <row r="393" spans="6:30" s="9" customFormat="1" ht="15.75" customHeight="1" x14ac:dyDescent="0.15">
      <c r="G393" s="7"/>
      <c r="H393" s="6"/>
      <c r="I393" s="7"/>
      <c r="J393" s="6"/>
      <c r="K393" s="6"/>
      <c r="L393" s="6"/>
      <c r="M393" s="6"/>
      <c r="N393" s="6"/>
      <c r="O393" s="6"/>
      <c r="P393" s="6"/>
      <c r="Q393" s="6"/>
      <c r="R393" s="6"/>
      <c r="S393" s="6"/>
      <c r="T393" s="6"/>
      <c r="U393" s="6"/>
      <c r="V393" s="6"/>
      <c r="W393" s="15"/>
      <c r="X393" s="23"/>
      <c r="Y393" s="6"/>
      <c r="Z393" s="15"/>
      <c r="AA393" s="15"/>
      <c r="AB393" s="15"/>
      <c r="AC393" s="15"/>
    </row>
    <row r="394" spans="6:30" s="9" customFormat="1" ht="15.75" customHeight="1" x14ac:dyDescent="0.15"/>
    <row r="395" spans="6:30" s="9" customFormat="1" ht="15.75" customHeight="1" x14ac:dyDescent="0.15">
      <c r="G395" s="7"/>
      <c r="H395" s="7"/>
      <c r="I395" s="7"/>
      <c r="J395" s="83" t="s">
        <v>323</v>
      </c>
      <c r="K395" s="83"/>
      <c r="L395" s="83"/>
      <c r="M395" s="83"/>
      <c r="N395" s="83"/>
      <c r="O395" s="83"/>
      <c r="P395" s="83"/>
      <c r="Q395" s="83"/>
      <c r="R395" s="83"/>
      <c r="S395" s="83"/>
      <c r="T395" s="83"/>
      <c r="U395" s="83"/>
      <c r="V395" s="83"/>
      <c r="W395" s="83"/>
      <c r="X395" s="83"/>
      <c r="Y395" s="83"/>
      <c r="Z395" s="83"/>
      <c r="AA395" s="15"/>
      <c r="AB395" s="15"/>
      <c r="AC395" s="15"/>
    </row>
    <row r="396" spans="6:30" s="9" customFormat="1" ht="15.75" customHeight="1" x14ac:dyDescent="0.15">
      <c r="G396" s="109" t="s">
        <v>93</v>
      </c>
      <c r="H396" s="109"/>
      <c r="I396" s="112"/>
      <c r="J396" s="84" t="s">
        <v>241</v>
      </c>
      <c r="K396" s="85"/>
      <c r="L396" s="86"/>
      <c r="M396" s="79" t="s">
        <v>316</v>
      </c>
      <c r="N396" s="72"/>
      <c r="O396" s="72"/>
      <c r="P396" s="72"/>
      <c r="Q396" s="111" t="s">
        <v>321</v>
      </c>
      <c r="R396" s="109"/>
      <c r="S396" s="109"/>
      <c r="T396" s="111" t="s">
        <v>320</v>
      </c>
      <c r="U396" s="109"/>
      <c r="V396" s="109"/>
      <c r="W396" s="79" t="s">
        <v>468</v>
      </c>
      <c r="X396" s="79"/>
      <c r="Y396" s="79"/>
      <c r="Z396" s="80"/>
      <c r="AA396" s="79" t="s">
        <v>469</v>
      </c>
      <c r="AB396" s="79"/>
      <c r="AC396" s="79"/>
      <c r="AD396" s="80"/>
    </row>
    <row r="397" spans="6:30" s="9" customFormat="1" ht="15.75" customHeight="1" x14ac:dyDescent="0.15">
      <c r="G397" s="110"/>
      <c r="H397" s="110"/>
      <c r="I397" s="114"/>
      <c r="J397" s="87"/>
      <c r="K397" s="88"/>
      <c r="L397" s="89"/>
      <c r="M397" s="72"/>
      <c r="N397" s="72"/>
      <c r="O397" s="72"/>
      <c r="P397" s="72"/>
      <c r="Q397" s="113"/>
      <c r="R397" s="110"/>
      <c r="S397" s="110"/>
      <c r="T397" s="113"/>
      <c r="U397" s="110"/>
      <c r="V397" s="110"/>
      <c r="W397" s="79"/>
      <c r="X397" s="79"/>
      <c r="Y397" s="79"/>
      <c r="Z397" s="80"/>
      <c r="AA397" s="79"/>
      <c r="AB397" s="79"/>
      <c r="AC397" s="79"/>
      <c r="AD397" s="80"/>
    </row>
    <row r="398" spans="6:30" s="9" customFormat="1" ht="15.75" customHeight="1" x14ac:dyDescent="0.15">
      <c r="G398" s="91" t="s">
        <v>94</v>
      </c>
      <c r="H398" s="72"/>
      <c r="I398" s="72"/>
      <c r="J398" s="77">
        <f>入力!C5</f>
        <v>0.2</v>
      </c>
      <c r="K398" s="95"/>
      <c r="L398" s="162"/>
      <c r="M398" s="78" t="s">
        <v>317</v>
      </c>
      <c r="N398" s="78"/>
      <c r="O398" s="78"/>
      <c r="P398" s="78"/>
      <c r="Q398" s="71">
        <v>150</v>
      </c>
      <c r="R398" s="107"/>
      <c r="S398" s="107"/>
      <c r="T398" s="77">
        <f>T270</f>
        <v>4.0840704496667311</v>
      </c>
      <c r="U398" s="95"/>
      <c r="V398" s="162"/>
      <c r="W398" s="70">
        <f>(J398-(1/((X148*AG177*入力!G23)/AB248)^0.25))*Q398*T398</f>
        <v>-2086.2535994101177</v>
      </c>
      <c r="X398" s="70"/>
      <c r="Y398" s="70"/>
      <c r="Z398" s="71"/>
      <c r="AA398" s="70">
        <f>(J398-(1/((X148*AG178*入力!G23)/AB248)^0.25))*T398*Q398</f>
        <v>-2015.3854763296704</v>
      </c>
      <c r="AB398" s="70"/>
      <c r="AC398" s="70"/>
      <c r="AD398" s="71"/>
    </row>
    <row r="399" spans="6:30" s="9" customFormat="1" ht="15.75" customHeight="1" x14ac:dyDescent="0.15">
      <c r="G399" s="7"/>
      <c r="H399" s="6"/>
      <c r="I399" s="7"/>
      <c r="J399" s="6"/>
      <c r="K399" s="6"/>
      <c r="L399" s="6"/>
      <c r="M399" s="6"/>
      <c r="N399" s="6"/>
      <c r="O399" s="6"/>
      <c r="P399" s="6"/>
      <c r="Q399" s="6"/>
      <c r="R399" s="6"/>
      <c r="S399" s="6"/>
      <c r="T399" s="6"/>
      <c r="U399" s="6"/>
      <c r="V399" s="6"/>
      <c r="W399" s="15"/>
      <c r="X399" s="23"/>
      <c r="Y399" s="6"/>
      <c r="Z399" s="15"/>
      <c r="AA399" s="15"/>
      <c r="AB399" s="23"/>
      <c r="AC399" s="6"/>
      <c r="AD399" s="15"/>
    </row>
    <row r="400" spans="6:30" s="9" customFormat="1" ht="15.75" customHeight="1" x14ac:dyDescent="0.15"/>
    <row r="401" spans="4:12" s="9" customFormat="1" ht="15.75" customHeight="1" x14ac:dyDescent="0.15"/>
    <row r="402" spans="4:12" s="9" customFormat="1" ht="15.75" customHeight="1" x14ac:dyDescent="0.15">
      <c r="D402" s="12" t="s">
        <v>324</v>
      </c>
    </row>
    <row r="403" spans="4:12" s="9" customFormat="1" ht="15.75" customHeight="1" x14ac:dyDescent="0.15"/>
    <row r="404" spans="4:12" s="9" customFormat="1" ht="15.75" customHeight="1" x14ac:dyDescent="0.15">
      <c r="E404" s="7" t="s">
        <v>325</v>
      </c>
    </row>
    <row r="405" spans="4:12" s="9" customFormat="1" ht="15.75" customHeight="1" x14ac:dyDescent="0.15">
      <c r="F405" s="9" t="s">
        <v>333</v>
      </c>
    </row>
    <row r="406" spans="4:12" s="9" customFormat="1" ht="15.75" customHeight="1" x14ac:dyDescent="0.15">
      <c r="F406" s="9" t="s">
        <v>334</v>
      </c>
    </row>
    <row r="407" spans="4:12" s="9" customFormat="1" ht="15.75" customHeight="1" x14ac:dyDescent="0.15"/>
    <row r="408" spans="4:12" s="9" customFormat="1" ht="15.75" customHeight="1" x14ac:dyDescent="0.2">
      <c r="E408" s="69" t="s">
        <v>326</v>
      </c>
      <c r="F408" s="69"/>
      <c r="G408" s="6" t="s">
        <v>29</v>
      </c>
      <c r="H408" s="69" t="s">
        <v>327</v>
      </c>
      <c r="I408" s="69"/>
      <c r="J408" s="9" t="s">
        <v>1</v>
      </c>
      <c r="K408" s="69" t="s">
        <v>273</v>
      </c>
      <c r="L408" s="69"/>
    </row>
    <row r="409" spans="4:12" s="9" customFormat="1" ht="15.75" customHeight="1" x14ac:dyDescent="0.2">
      <c r="G409" s="6" t="s">
        <v>29</v>
      </c>
      <c r="H409" s="69" t="s">
        <v>327</v>
      </c>
      <c r="I409" s="69"/>
      <c r="J409" s="9" t="s">
        <v>1</v>
      </c>
      <c r="K409" s="9" t="s">
        <v>328</v>
      </c>
    </row>
    <row r="410" spans="4:12" s="9" customFormat="1" ht="15.75" customHeight="1" x14ac:dyDescent="0.15"/>
    <row r="411" spans="4:12" s="9" customFormat="1" ht="15.75" customHeight="1" x14ac:dyDescent="0.2">
      <c r="F411" s="7" t="s">
        <v>3</v>
      </c>
      <c r="G411" s="7"/>
      <c r="H411" s="7"/>
      <c r="I411" s="69" t="s">
        <v>326</v>
      </c>
      <c r="J411" s="69"/>
      <c r="K411" s="6" t="s">
        <v>2</v>
      </c>
      <c r="L411" s="7" t="s">
        <v>329</v>
      </c>
    </row>
    <row r="412" spans="4:12" s="9" customFormat="1" ht="15.75" customHeight="1" x14ac:dyDescent="0.2">
      <c r="F412" s="7"/>
      <c r="G412" s="7"/>
      <c r="H412" s="7"/>
      <c r="I412" s="69" t="s">
        <v>273</v>
      </c>
      <c r="J412" s="69"/>
      <c r="K412" s="6" t="s">
        <v>2</v>
      </c>
      <c r="L412" s="7" t="s">
        <v>330</v>
      </c>
    </row>
    <row r="413" spans="4:12" s="9" customFormat="1" ht="15.75" customHeight="1" x14ac:dyDescent="0.2">
      <c r="I413" s="69" t="s">
        <v>274</v>
      </c>
      <c r="J413" s="69"/>
      <c r="K413" s="6" t="s">
        <v>2</v>
      </c>
      <c r="L413" s="7" t="s">
        <v>284</v>
      </c>
    </row>
    <row r="414" spans="4:12" s="9" customFormat="1" ht="15.75" customHeight="1" x14ac:dyDescent="0.2">
      <c r="I414" s="69" t="s">
        <v>276</v>
      </c>
      <c r="J414" s="69"/>
      <c r="K414" s="6" t="s">
        <v>2</v>
      </c>
      <c r="L414" s="7" t="s">
        <v>331</v>
      </c>
    </row>
    <row r="415" spans="4:12" s="9" customFormat="1" ht="15.75" customHeight="1" x14ac:dyDescent="0.2">
      <c r="I415" s="69" t="s">
        <v>327</v>
      </c>
      <c r="J415" s="69"/>
      <c r="K415" s="6" t="s">
        <v>2</v>
      </c>
      <c r="L415" s="9" t="s">
        <v>336</v>
      </c>
    </row>
    <row r="416" spans="4:12" s="9" customFormat="1" ht="15.75" customHeight="1" x14ac:dyDescent="0.15">
      <c r="L416" s="9" t="s">
        <v>337</v>
      </c>
    </row>
    <row r="417" spans="5:31" s="9" customFormat="1" ht="15.75" customHeight="1" x14ac:dyDescent="0.15">
      <c r="L417" s="9" t="s">
        <v>335</v>
      </c>
    </row>
    <row r="418" spans="5:31" s="9" customFormat="1" ht="15.75" customHeight="1" x14ac:dyDescent="0.15">
      <c r="L418" s="9" t="s">
        <v>332</v>
      </c>
    </row>
    <row r="419" spans="5:31" s="9" customFormat="1" ht="15.75" customHeight="1" x14ac:dyDescent="0.15"/>
    <row r="420" spans="5:31" ht="15.75" customHeight="1" x14ac:dyDescent="0.15">
      <c r="E420" s="7" t="s">
        <v>495</v>
      </c>
    </row>
    <row r="421" spans="5:31" ht="15.75" customHeight="1" x14ac:dyDescent="0.2">
      <c r="E421" s="7" t="s">
        <v>496</v>
      </c>
    </row>
    <row r="422" spans="5:31" s="9" customFormat="1" ht="15.75" customHeight="1" x14ac:dyDescent="0.15"/>
    <row r="423" spans="5:31" s="9" customFormat="1" ht="15.75" customHeight="1" x14ac:dyDescent="0.15">
      <c r="J423" s="83" t="s">
        <v>470</v>
      </c>
      <c r="K423" s="83"/>
      <c r="L423" s="83"/>
      <c r="M423" s="83"/>
      <c r="N423" s="83"/>
      <c r="O423" s="83"/>
      <c r="P423" s="83"/>
      <c r="Q423" s="83"/>
      <c r="R423" s="83"/>
      <c r="S423" s="83"/>
      <c r="T423" s="83"/>
      <c r="U423" s="83"/>
      <c r="V423" s="83"/>
      <c r="W423" s="83"/>
      <c r="X423" s="83"/>
      <c r="Y423" s="83"/>
      <c r="Z423" s="83"/>
    </row>
    <row r="424" spans="5:31" s="9" customFormat="1" ht="15.75" customHeight="1" x14ac:dyDescent="0.15">
      <c r="E424" s="91" t="s">
        <v>338</v>
      </c>
      <c r="F424" s="72"/>
      <c r="G424" s="72"/>
      <c r="H424" s="72" t="s">
        <v>340</v>
      </c>
      <c r="I424" s="72"/>
      <c r="J424" s="72"/>
      <c r="K424" s="72"/>
      <c r="L424" s="72"/>
      <c r="M424" s="72"/>
      <c r="N424" s="79" t="s">
        <v>341</v>
      </c>
      <c r="O424" s="72"/>
      <c r="P424" s="72"/>
      <c r="Q424" s="79" t="s">
        <v>345</v>
      </c>
      <c r="R424" s="72"/>
      <c r="S424" s="72"/>
      <c r="T424" s="79" t="s">
        <v>346</v>
      </c>
      <c r="U424" s="72"/>
      <c r="V424" s="72"/>
      <c r="W424" s="79" t="s">
        <v>344</v>
      </c>
      <c r="X424" s="72"/>
      <c r="Y424" s="72"/>
      <c r="Z424" s="79" t="s">
        <v>342</v>
      </c>
      <c r="AA424" s="72"/>
      <c r="AB424" s="72"/>
      <c r="AC424" s="79" t="s">
        <v>343</v>
      </c>
      <c r="AD424" s="72"/>
      <c r="AE424" s="121"/>
    </row>
    <row r="425" spans="5:31" s="9" customFormat="1" ht="15.75" customHeight="1" x14ac:dyDescent="0.15">
      <c r="E425" s="91"/>
      <c r="F425" s="72"/>
      <c r="G425" s="72"/>
      <c r="H425" s="72"/>
      <c r="I425" s="72"/>
      <c r="J425" s="72"/>
      <c r="K425" s="72"/>
      <c r="L425" s="72"/>
      <c r="M425" s="72"/>
      <c r="N425" s="72"/>
      <c r="O425" s="72"/>
      <c r="P425" s="72"/>
      <c r="Q425" s="72"/>
      <c r="R425" s="72"/>
      <c r="S425" s="72"/>
      <c r="T425" s="72"/>
      <c r="U425" s="72"/>
      <c r="V425" s="72"/>
      <c r="W425" s="72"/>
      <c r="X425" s="72"/>
      <c r="Y425" s="72"/>
      <c r="Z425" s="72"/>
      <c r="AA425" s="72"/>
      <c r="AB425" s="72"/>
      <c r="AC425" s="72"/>
      <c r="AD425" s="72"/>
      <c r="AE425" s="121"/>
    </row>
    <row r="426" spans="5:31" s="9" customFormat="1" ht="15.75" customHeight="1" x14ac:dyDescent="0.15">
      <c r="E426" s="91" t="s">
        <v>349</v>
      </c>
      <c r="F426" s="72"/>
      <c r="G426" s="72"/>
      <c r="H426" s="78" t="s">
        <v>347</v>
      </c>
      <c r="I426" s="78"/>
      <c r="J426" s="78"/>
      <c r="K426" s="78"/>
      <c r="L426" s="78"/>
      <c r="M426" s="78"/>
      <c r="N426" s="131">
        <f>H367</f>
        <v>3981.9686884250636</v>
      </c>
      <c r="O426" s="132"/>
      <c r="P426" s="133"/>
      <c r="Q426" s="73">
        <f>11.7*T392*$W$392</f>
        <v>7167.5436391651128</v>
      </c>
      <c r="R426" s="73"/>
      <c r="S426" s="73"/>
      <c r="T426" s="73">
        <f>N426+Q426</f>
        <v>11149.512327590177</v>
      </c>
      <c r="U426" s="73"/>
      <c r="V426" s="73"/>
      <c r="W426" s="161">
        <f>N426/T426</f>
        <v>0.35714285714285721</v>
      </c>
      <c r="X426" s="161"/>
      <c r="Y426" s="161"/>
      <c r="Z426" s="158">
        <f>g地盤抵抗係数(1,W426)</f>
        <v>0.44</v>
      </c>
      <c r="AA426" s="158"/>
      <c r="AB426" s="158"/>
      <c r="AC426" s="70">
        <f>Z426*$T$426</f>
        <v>4905.7854241396781</v>
      </c>
      <c r="AD426" s="70"/>
      <c r="AE426" s="71"/>
    </row>
    <row r="427" spans="5:31" s="9" customFormat="1" ht="15.75" customHeight="1" x14ac:dyDescent="0.15">
      <c r="E427" s="91"/>
      <c r="F427" s="72"/>
      <c r="G427" s="72"/>
      <c r="H427" s="78" t="s">
        <v>348</v>
      </c>
      <c r="I427" s="78"/>
      <c r="J427" s="78"/>
      <c r="K427" s="78"/>
      <c r="L427" s="78"/>
      <c r="M427" s="78"/>
      <c r="N427" s="154"/>
      <c r="O427" s="155"/>
      <c r="P427" s="156"/>
      <c r="Q427" s="73"/>
      <c r="R427" s="73"/>
      <c r="S427" s="73"/>
      <c r="T427" s="73"/>
      <c r="U427" s="73"/>
      <c r="V427" s="73"/>
      <c r="W427" s="161"/>
      <c r="X427" s="161"/>
      <c r="Y427" s="161"/>
      <c r="Z427" s="158">
        <f>g地盤抵抗係数(2,W426)</f>
        <v>0.55800000000000005</v>
      </c>
      <c r="AA427" s="159"/>
      <c r="AB427" s="160"/>
      <c r="AC427" s="70">
        <f>Z427*$T$426</f>
        <v>6221.427878795319</v>
      </c>
      <c r="AD427" s="70"/>
      <c r="AE427" s="71"/>
    </row>
    <row r="428" spans="5:31" s="9" customFormat="1" ht="15.75" customHeight="1" x14ac:dyDescent="0.15">
      <c r="E428" s="94" t="s">
        <v>350</v>
      </c>
      <c r="F428" s="78"/>
      <c r="G428" s="78"/>
      <c r="H428" s="78" t="s">
        <v>467</v>
      </c>
      <c r="I428" s="78"/>
      <c r="J428" s="78"/>
      <c r="K428" s="78"/>
      <c r="L428" s="78"/>
      <c r="M428" s="78"/>
      <c r="N428" s="154"/>
      <c r="O428" s="155"/>
      <c r="P428" s="156"/>
      <c r="Q428" s="73"/>
      <c r="R428" s="73"/>
      <c r="S428" s="73"/>
      <c r="T428" s="73"/>
      <c r="U428" s="73"/>
      <c r="V428" s="73"/>
      <c r="W428" s="161"/>
      <c r="X428" s="161"/>
      <c r="Y428" s="161"/>
      <c r="Z428" s="158">
        <f>g地盤抵抗係数(3,W426)</f>
        <v>0.78300000000000003</v>
      </c>
      <c r="AA428" s="159"/>
      <c r="AB428" s="160"/>
      <c r="AC428" s="70">
        <f>Z428*$T$426</f>
        <v>8730.0681525031086</v>
      </c>
      <c r="AD428" s="70"/>
      <c r="AE428" s="71"/>
    </row>
    <row r="429" spans="5:31" s="9" customFormat="1" ht="15.75" customHeight="1" x14ac:dyDescent="0.15">
      <c r="E429" s="96" t="s">
        <v>351</v>
      </c>
      <c r="F429" s="96"/>
      <c r="G429" s="99"/>
      <c r="H429" s="111" t="s">
        <v>352</v>
      </c>
      <c r="I429" s="96"/>
      <c r="J429" s="96"/>
      <c r="K429" s="96"/>
      <c r="L429" s="96"/>
      <c r="M429" s="99"/>
      <c r="N429" s="154"/>
      <c r="O429" s="155"/>
      <c r="P429" s="156"/>
      <c r="Q429" s="73">
        <f>(11.7-(1/((X148*AG177*入力!G23)/AB248)^0.25))*Q398*T398</f>
        <v>4958.7679262649926</v>
      </c>
      <c r="R429" s="73"/>
      <c r="S429" s="73"/>
      <c r="T429" s="73">
        <f>N426+Q429</f>
        <v>8940.7366146900567</v>
      </c>
      <c r="U429" s="73"/>
      <c r="V429" s="73"/>
      <c r="W429" s="161">
        <f>N426/T429</f>
        <v>0.44537367110026471</v>
      </c>
      <c r="X429" s="161"/>
      <c r="Y429" s="161"/>
      <c r="Z429" s="148">
        <f>g地盤抵抗係数(4,W429)</f>
        <v>0.82</v>
      </c>
      <c r="AA429" s="149"/>
      <c r="AB429" s="150"/>
      <c r="AC429" s="131">
        <f>Z429*$T$429</f>
        <v>7331.4040240458462</v>
      </c>
      <c r="AD429" s="132"/>
      <c r="AE429" s="132"/>
    </row>
    <row r="430" spans="5:31" s="9" customFormat="1" ht="15.75" customHeight="1" x14ac:dyDescent="0.15">
      <c r="E430" s="146"/>
      <c r="F430" s="146"/>
      <c r="G430" s="147"/>
      <c r="H430" s="100"/>
      <c r="I430" s="97"/>
      <c r="J430" s="97"/>
      <c r="K430" s="97"/>
      <c r="L430" s="97"/>
      <c r="M430" s="101"/>
      <c r="N430" s="154"/>
      <c r="O430" s="155"/>
      <c r="P430" s="156"/>
      <c r="Q430" s="73"/>
      <c r="R430" s="73"/>
      <c r="S430" s="73"/>
      <c r="T430" s="73"/>
      <c r="U430" s="73"/>
      <c r="V430" s="73"/>
      <c r="W430" s="161"/>
      <c r="X430" s="161"/>
      <c r="Y430" s="161"/>
      <c r="Z430" s="151"/>
      <c r="AA430" s="152"/>
      <c r="AB430" s="153"/>
      <c r="AC430" s="134"/>
      <c r="AD430" s="135"/>
      <c r="AE430" s="135"/>
    </row>
    <row r="431" spans="5:31" s="9" customFormat="1" ht="15.75" customHeight="1" x14ac:dyDescent="0.15">
      <c r="E431" s="146"/>
      <c r="F431" s="146"/>
      <c r="G431" s="147"/>
      <c r="H431" s="111" t="s">
        <v>353</v>
      </c>
      <c r="I431" s="96"/>
      <c r="J431" s="96"/>
      <c r="K431" s="96"/>
      <c r="L431" s="96"/>
      <c r="M431" s="99"/>
      <c r="N431" s="154"/>
      <c r="O431" s="155"/>
      <c r="P431" s="156"/>
      <c r="Q431" s="73"/>
      <c r="R431" s="73"/>
      <c r="S431" s="73"/>
      <c r="T431" s="73"/>
      <c r="U431" s="73"/>
      <c r="V431" s="73"/>
      <c r="W431" s="161"/>
      <c r="X431" s="161"/>
      <c r="Y431" s="161"/>
      <c r="Z431" s="148">
        <f>g地盤抵抗係数(5,W429)</f>
        <v>1.1819999999999999</v>
      </c>
      <c r="AA431" s="149"/>
      <c r="AB431" s="150"/>
      <c r="AC431" s="131">
        <f>Z431*$T$429</f>
        <v>10567.950678563646</v>
      </c>
      <c r="AD431" s="132"/>
      <c r="AE431" s="132"/>
    </row>
    <row r="432" spans="5:31" s="9" customFormat="1" ht="15.75" customHeight="1" x14ac:dyDescent="0.15">
      <c r="E432" s="97"/>
      <c r="F432" s="97"/>
      <c r="G432" s="101"/>
      <c r="H432" s="100"/>
      <c r="I432" s="97"/>
      <c r="J432" s="97"/>
      <c r="K432" s="97"/>
      <c r="L432" s="97"/>
      <c r="M432" s="101"/>
      <c r="N432" s="134"/>
      <c r="O432" s="135"/>
      <c r="P432" s="136"/>
      <c r="Q432" s="73"/>
      <c r="R432" s="73"/>
      <c r="S432" s="73"/>
      <c r="T432" s="73"/>
      <c r="U432" s="73"/>
      <c r="V432" s="73"/>
      <c r="W432" s="161"/>
      <c r="X432" s="161"/>
      <c r="Y432" s="161"/>
      <c r="Z432" s="151"/>
      <c r="AA432" s="152"/>
      <c r="AB432" s="153"/>
      <c r="AC432" s="134"/>
      <c r="AD432" s="135"/>
      <c r="AE432" s="135"/>
    </row>
    <row r="433" spans="5:31" s="9" customFormat="1" ht="15.75" customHeight="1" x14ac:dyDescent="0.15"/>
    <row r="434" spans="5:31" s="9" customFormat="1" ht="15.75" customHeight="1" x14ac:dyDescent="0.15">
      <c r="J434" s="83" t="s">
        <v>471</v>
      </c>
      <c r="K434" s="83"/>
      <c r="L434" s="83"/>
      <c r="M434" s="83"/>
      <c r="N434" s="83"/>
      <c r="O434" s="83"/>
      <c r="P434" s="83"/>
      <c r="Q434" s="83"/>
      <c r="R434" s="83"/>
      <c r="S434" s="83"/>
      <c r="T434" s="83"/>
      <c r="U434" s="83"/>
      <c r="V434" s="83"/>
      <c r="W434" s="83"/>
      <c r="X434" s="83"/>
      <c r="Y434" s="83"/>
      <c r="Z434" s="83"/>
    </row>
    <row r="435" spans="5:31" s="9" customFormat="1" ht="15.75" customHeight="1" x14ac:dyDescent="0.15">
      <c r="E435" s="91" t="s">
        <v>338</v>
      </c>
      <c r="F435" s="72"/>
      <c r="G435" s="72"/>
      <c r="H435" s="72" t="s">
        <v>340</v>
      </c>
      <c r="I435" s="72"/>
      <c r="J435" s="72"/>
      <c r="K435" s="72"/>
      <c r="L435" s="72"/>
      <c r="M435" s="72"/>
      <c r="N435" s="79" t="s">
        <v>341</v>
      </c>
      <c r="O435" s="72"/>
      <c r="P435" s="72"/>
      <c r="Q435" s="79" t="s">
        <v>345</v>
      </c>
      <c r="R435" s="72"/>
      <c r="S435" s="72"/>
      <c r="T435" s="79" t="s">
        <v>346</v>
      </c>
      <c r="U435" s="72"/>
      <c r="V435" s="72"/>
      <c r="W435" s="79" t="s">
        <v>344</v>
      </c>
      <c r="X435" s="72"/>
      <c r="Y435" s="72"/>
      <c r="Z435" s="79" t="s">
        <v>342</v>
      </c>
      <c r="AA435" s="72"/>
      <c r="AB435" s="72"/>
      <c r="AC435" s="79" t="s">
        <v>343</v>
      </c>
      <c r="AD435" s="72"/>
      <c r="AE435" s="121"/>
    </row>
    <row r="436" spans="5:31" s="9" customFormat="1" ht="15.75" customHeight="1" x14ac:dyDescent="0.15">
      <c r="E436" s="91"/>
      <c r="F436" s="72"/>
      <c r="G436" s="72"/>
      <c r="H436" s="72"/>
      <c r="I436" s="72"/>
      <c r="J436" s="72"/>
      <c r="K436" s="72"/>
      <c r="L436" s="72"/>
      <c r="M436" s="72"/>
      <c r="N436" s="72"/>
      <c r="O436" s="72"/>
      <c r="P436" s="72"/>
      <c r="Q436" s="72"/>
      <c r="R436" s="72"/>
      <c r="S436" s="72"/>
      <c r="T436" s="72"/>
      <c r="U436" s="72"/>
      <c r="V436" s="72"/>
      <c r="W436" s="72"/>
      <c r="X436" s="72"/>
      <c r="Y436" s="72"/>
      <c r="Z436" s="72"/>
      <c r="AA436" s="72"/>
      <c r="AB436" s="72"/>
      <c r="AC436" s="72"/>
      <c r="AD436" s="72"/>
      <c r="AE436" s="121"/>
    </row>
    <row r="437" spans="5:31" s="9" customFormat="1" ht="15.75" customHeight="1" x14ac:dyDescent="0.15">
      <c r="E437" s="91" t="s">
        <v>349</v>
      </c>
      <c r="F437" s="72"/>
      <c r="G437" s="72"/>
      <c r="H437" s="78" t="s">
        <v>347</v>
      </c>
      <c r="I437" s="78"/>
      <c r="J437" s="78"/>
      <c r="K437" s="78"/>
      <c r="L437" s="78"/>
      <c r="M437" s="78"/>
      <c r="N437" s="131">
        <f>H367</f>
        <v>3981.9686884250636</v>
      </c>
      <c r="O437" s="132"/>
      <c r="P437" s="133"/>
      <c r="Q437" s="73">
        <f>11.7*T392*$W$392</f>
        <v>7167.5436391651128</v>
      </c>
      <c r="R437" s="73"/>
      <c r="S437" s="73"/>
      <c r="T437" s="73">
        <f>N437+Q437</f>
        <v>11149.512327590177</v>
      </c>
      <c r="U437" s="73"/>
      <c r="V437" s="73"/>
      <c r="W437" s="161">
        <f>N437/T437</f>
        <v>0.35714285714285721</v>
      </c>
      <c r="X437" s="161"/>
      <c r="Y437" s="161"/>
      <c r="Z437" s="158">
        <f>g地盤抵抗係数(1,W437)</f>
        <v>0.44</v>
      </c>
      <c r="AA437" s="158"/>
      <c r="AB437" s="158"/>
      <c r="AC437" s="70">
        <f>Z437*$T$437</f>
        <v>4905.7854241396781</v>
      </c>
      <c r="AD437" s="70"/>
      <c r="AE437" s="71"/>
    </row>
    <row r="438" spans="5:31" s="9" customFormat="1" ht="15.75" customHeight="1" x14ac:dyDescent="0.15">
      <c r="E438" s="91"/>
      <c r="F438" s="72"/>
      <c r="G438" s="72"/>
      <c r="H438" s="78" t="s">
        <v>348</v>
      </c>
      <c r="I438" s="78"/>
      <c r="J438" s="78"/>
      <c r="K438" s="78"/>
      <c r="L438" s="78"/>
      <c r="M438" s="78"/>
      <c r="N438" s="154"/>
      <c r="O438" s="155"/>
      <c r="P438" s="156"/>
      <c r="Q438" s="73"/>
      <c r="R438" s="73"/>
      <c r="S438" s="73"/>
      <c r="T438" s="73"/>
      <c r="U438" s="73"/>
      <c r="V438" s="73"/>
      <c r="W438" s="161"/>
      <c r="X438" s="161"/>
      <c r="Y438" s="161"/>
      <c r="Z438" s="158">
        <f>g地盤抵抗係数(2,W437)</f>
        <v>0.55800000000000005</v>
      </c>
      <c r="AA438" s="159"/>
      <c r="AB438" s="160"/>
      <c r="AC438" s="70">
        <f>Z438*$T$437</f>
        <v>6221.427878795319</v>
      </c>
      <c r="AD438" s="70"/>
      <c r="AE438" s="71"/>
    </row>
    <row r="439" spans="5:31" s="9" customFormat="1" ht="15.75" customHeight="1" x14ac:dyDescent="0.15">
      <c r="E439" s="94" t="s">
        <v>350</v>
      </c>
      <c r="F439" s="78"/>
      <c r="G439" s="78"/>
      <c r="H439" s="78" t="s">
        <v>467</v>
      </c>
      <c r="I439" s="78"/>
      <c r="J439" s="78"/>
      <c r="K439" s="78"/>
      <c r="L439" s="78"/>
      <c r="M439" s="78"/>
      <c r="N439" s="154"/>
      <c r="O439" s="155"/>
      <c r="P439" s="156"/>
      <c r="Q439" s="73"/>
      <c r="R439" s="73"/>
      <c r="S439" s="73"/>
      <c r="T439" s="73"/>
      <c r="U439" s="73"/>
      <c r="V439" s="73"/>
      <c r="W439" s="161"/>
      <c r="X439" s="161"/>
      <c r="Y439" s="161"/>
      <c r="Z439" s="158">
        <f>g地盤抵抗係数(3,W437)</f>
        <v>0.78300000000000003</v>
      </c>
      <c r="AA439" s="159"/>
      <c r="AB439" s="160"/>
      <c r="AC439" s="70">
        <f>Z439*$T$437</f>
        <v>8730.0681525031086</v>
      </c>
      <c r="AD439" s="70"/>
      <c r="AE439" s="71"/>
    </row>
    <row r="440" spans="5:31" s="9" customFormat="1" ht="15.75" customHeight="1" x14ac:dyDescent="0.15">
      <c r="E440" s="96" t="s">
        <v>351</v>
      </c>
      <c r="F440" s="96"/>
      <c r="G440" s="99"/>
      <c r="H440" s="111" t="s">
        <v>352</v>
      </c>
      <c r="I440" s="96"/>
      <c r="J440" s="96"/>
      <c r="K440" s="96"/>
      <c r="L440" s="96"/>
      <c r="M440" s="99"/>
      <c r="N440" s="154"/>
      <c r="O440" s="155"/>
      <c r="P440" s="156"/>
      <c r="Q440" s="73">
        <f>(11.7-(1/((X148*AG178*入力!G23)/AB248)^0.25))*Q398*T398</f>
        <v>5029.6360493454395</v>
      </c>
      <c r="R440" s="73"/>
      <c r="S440" s="73"/>
      <c r="T440" s="73">
        <f>N437+Q440</f>
        <v>9011.6047377705036</v>
      </c>
      <c r="U440" s="73"/>
      <c r="V440" s="73"/>
      <c r="W440" s="161">
        <f>N437/T440</f>
        <v>0.44187120987845435</v>
      </c>
      <c r="X440" s="161"/>
      <c r="Y440" s="161"/>
      <c r="Z440" s="148">
        <f>g地盤抵抗係数(4,W440)</f>
        <v>0.82099999999999995</v>
      </c>
      <c r="AA440" s="149"/>
      <c r="AB440" s="150"/>
      <c r="AC440" s="131">
        <f>Z440*$T$440</f>
        <v>7398.5274897095833</v>
      </c>
      <c r="AD440" s="132"/>
      <c r="AE440" s="132"/>
    </row>
    <row r="441" spans="5:31" s="9" customFormat="1" ht="15.75" customHeight="1" x14ac:dyDescent="0.15">
      <c r="E441" s="146"/>
      <c r="F441" s="146"/>
      <c r="G441" s="147"/>
      <c r="H441" s="100"/>
      <c r="I441" s="97"/>
      <c r="J441" s="97"/>
      <c r="K441" s="97"/>
      <c r="L441" s="97"/>
      <c r="M441" s="101"/>
      <c r="N441" s="154"/>
      <c r="O441" s="155"/>
      <c r="P441" s="156"/>
      <c r="Q441" s="73"/>
      <c r="R441" s="73"/>
      <c r="S441" s="73"/>
      <c r="T441" s="73"/>
      <c r="U441" s="73"/>
      <c r="V441" s="73"/>
      <c r="W441" s="161"/>
      <c r="X441" s="161"/>
      <c r="Y441" s="161"/>
      <c r="Z441" s="151"/>
      <c r="AA441" s="152"/>
      <c r="AB441" s="153"/>
      <c r="AC441" s="134"/>
      <c r="AD441" s="135"/>
      <c r="AE441" s="135"/>
    </row>
    <row r="442" spans="5:31" s="9" customFormat="1" ht="15.75" customHeight="1" x14ac:dyDescent="0.15">
      <c r="E442" s="146"/>
      <c r="F442" s="146"/>
      <c r="G442" s="147"/>
      <c r="H442" s="111" t="s">
        <v>353</v>
      </c>
      <c r="I442" s="96"/>
      <c r="J442" s="96"/>
      <c r="K442" s="96"/>
      <c r="L442" s="96"/>
      <c r="M442" s="99"/>
      <c r="N442" s="154"/>
      <c r="O442" s="155"/>
      <c r="P442" s="156"/>
      <c r="Q442" s="73"/>
      <c r="R442" s="73"/>
      <c r="S442" s="73"/>
      <c r="T442" s="73"/>
      <c r="U442" s="73"/>
      <c r="V442" s="73"/>
      <c r="W442" s="161"/>
      <c r="X442" s="161"/>
      <c r="Y442" s="161"/>
      <c r="Z442" s="148">
        <f>g地盤抵抗係数(5,W440)</f>
        <v>1.1819999999999999</v>
      </c>
      <c r="AA442" s="149"/>
      <c r="AB442" s="150"/>
      <c r="AC442" s="131">
        <f>Z442*$T$440</f>
        <v>10651.716800044735</v>
      </c>
      <c r="AD442" s="132"/>
      <c r="AE442" s="132"/>
    </row>
    <row r="443" spans="5:31" s="9" customFormat="1" ht="15.75" customHeight="1" x14ac:dyDescent="0.15">
      <c r="E443" s="97"/>
      <c r="F443" s="97"/>
      <c r="G443" s="101"/>
      <c r="H443" s="100"/>
      <c r="I443" s="97"/>
      <c r="J443" s="97"/>
      <c r="K443" s="97"/>
      <c r="L443" s="97"/>
      <c r="M443" s="101"/>
      <c r="N443" s="134"/>
      <c r="O443" s="135"/>
      <c r="P443" s="136"/>
      <c r="Q443" s="73"/>
      <c r="R443" s="73"/>
      <c r="S443" s="73"/>
      <c r="T443" s="73"/>
      <c r="U443" s="73"/>
      <c r="V443" s="73"/>
      <c r="W443" s="161"/>
      <c r="X443" s="161"/>
      <c r="Y443" s="161"/>
      <c r="Z443" s="151"/>
      <c r="AA443" s="152"/>
      <c r="AB443" s="153"/>
      <c r="AC443" s="134"/>
      <c r="AD443" s="135"/>
      <c r="AE443" s="135"/>
    </row>
    <row r="444" spans="5:31" s="9" customFormat="1" ht="15.75" customHeight="1" x14ac:dyDescent="0.15"/>
    <row r="445" spans="5:31" s="9" customFormat="1" ht="15.75" customHeight="1" x14ac:dyDescent="0.15"/>
    <row r="446" spans="5:31" s="9" customFormat="1" ht="15.75" customHeight="1" x14ac:dyDescent="0.2">
      <c r="E446" s="7" t="s">
        <v>354</v>
      </c>
    </row>
    <row r="447" spans="5:31" s="9" customFormat="1" ht="15.75" customHeight="1" x14ac:dyDescent="0.15"/>
    <row r="448" spans="5:31" s="9" customFormat="1" ht="15.75" customHeight="1" x14ac:dyDescent="0.2">
      <c r="E448" s="69" t="s">
        <v>326</v>
      </c>
      <c r="F448" s="69"/>
      <c r="G448" s="6" t="s">
        <v>29</v>
      </c>
      <c r="H448" s="69" t="s">
        <v>355</v>
      </c>
      <c r="I448" s="69"/>
      <c r="J448" s="9" t="s">
        <v>6</v>
      </c>
      <c r="K448" s="69" t="s">
        <v>356</v>
      </c>
      <c r="L448" s="69"/>
    </row>
    <row r="449" spans="5:27" s="9" customFormat="1" ht="15.75" customHeight="1" x14ac:dyDescent="0.15"/>
    <row r="450" spans="5:27" s="9" customFormat="1" ht="15.75" customHeight="1" x14ac:dyDescent="0.2">
      <c r="F450" s="7" t="s">
        <v>3</v>
      </c>
      <c r="G450" s="7"/>
      <c r="H450" s="7"/>
      <c r="I450" s="69" t="s">
        <v>274</v>
      </c>
      <c r="J450" s="69"/>
      <c r="K450" s="6" t="s">
        <v>2</v>
      </c>
      <c r="L450" s="7" t="s">
        <v>284</v>
      </c>
    </row>
    <row r="451" spans="5:27" s="9" customFormat="1" ht="15.75" customHeight="1" x14ac:dyDescent="0.2">
      <c r="F451" s="7"/>
      <c r="G451" s="7"/>
      <c r="H451" s="7"/>
      <c r="I451" s="69" t="s">
        <v>276</v>
      </c>
      <c r="J451" s="69"/>
      <c r="K451" s="6" t="s">
        <v>2</v>
      </c>
      <c r="L451" s="7" t="s">
        <v>331</v>
      </c>
    </row>
    <row r="452" spans="5:27" s="9" customFormat="1" ht="15.75" customHeight="1" x14ac:dyDescent="0.2">
      <c r="I452" s="69" t="s">
        <v>357</v>
      </c>
      <c r="J452" s="69"/>
      <c r="K452" s="6" t="s">
        <v>2</v>
      </c>
      <c r="L452" s="7" t="s">
        <v>359</v>
      </c>
    </row>
    <row r="453" spans="5:27" s="9" customFormat="1" ht="15.75" customHeight="1" x14ac:dyDescent="0.2">
      <c r="I453" s="69" t="s">
        <v>358</v>
      </c>
      <c r="J453" s="69"/>
      <c r="K453" s="6" t="s">
        <v>2</v>
      </c>
      <c r="L453" s="7" t="s">
        <v>360</v>
      </c>
    </row>
    <row r="454" spans="5:27" s="9" customFormat="1" ht="15.75" customHeight="1" x14ac:dyDescent="0.15">
      <c r="I454" s="7"/>
      <c r="J454" s="7"/>
      <c r="K454" s="6"/>
    </row>
    <row r="455" spans="5:27" s="9" customFormat="1" ht="15.75" customHeight="1" x14ac:dyDescent="0.2">
      <c r="E455" s="69" t="s">
        <v>326</v>
      </c>
      <c r="F455" s="69"/>
      <c r="G455" s="6" t="s">
        <v>29</v>
      </c>
      <c r="H455" s="69">
        <v>1.4</v>
      </c>
      <c r="I455" s="69"/>
      <c r="J455" s="9" t="s">
        <v>1</v>
      </c>
      <c r="K455" s="143">
        <f>N426</f>
        <v>3981.9686884250636</v>
      </c>
      <c r="L455" s="143"/>
      <c r="M455" s="143"/>
      <c r="N455" s="9" t="s">
        <v>6</v>
      </c>
      <c r="O455" s="69">
        <v>1.4</v>
      </c>
      <c r="P455" s="69"/>
      <c r="Q455" s="9" t="s">
        <v>1</v>
      </c>
      <c r="R455" s="143">
        <f>Q429</f>
        <v>4958.7679262649926</v>
      </c>
      <c r="S455" s="143"/>
      <c r="T455" s="143"/>
      <c r="U455" s="6" t="s">
        <v>29</v>
      </c>
      <c r="V455" s="143">
        <f>H455*K455+O455*R455</f>
        <v>12517.031260566077</v>
      </c>
      <c r="W455" s="143"/>
      <c r="X455" s="143"/>
      <c r="Y455" s="9" t="s">
        <v>361</v>
      </c>
      <c r="AA455" s="9" t="s">
        <v>472</v>
      </c>
    </row>
    <row r="456" spans="5:27" s="9" customFormat="1" ht="15.75" customHeight="1" x14ac:dyDescent="0.2">
      <c r="E456" s="69" t="s">
        <v>326</v>
      </c>
      <c r="F456" s="69"/>
      <c r="G456" s="6" t="s">
        <v>29</v>
      </c>
      <c r="H456" s="69">
        <v>1.4</v>
      </c>
      <c r="I456" s="69"/>
      <c r="J456" s="9" t="s">
        <v>1</v>
      </c>
      <c r="K456" s="143">
        <f>N437</f>
        <v>3981.9686884250636</v>
      </c>
      <c r="L456" s="143"/>
      <c r="M456" s="143"/>
      <c r="N456" s="9" t="s">
        <v>6</v>
      </c>
      <c r="O456" s="69">
        <v>1.4</v>
      </c>
      <c r="P456" s="69"/>
      <c r="Q456" s="9" t="s">
        <v>1</v>
      </c>
      <c r="R456" s="143">
        <f>Q440</f>
        <v>5029.6360493454395</v>
      </c>
      <c r="S456" s="143"/>
      <c r="T456" s="143"/>
      <c r="U456" s="6" t="s">
        <v>29</v>
      </c>
      <c r="V456" s="143">
        <f>H456*K456+O456*R456</f>
        <v>12616.246632878703</v>
      </c>
      <c r="W456" s="143"/>
      <c r="X456" s="143"/>
      <c r="Y456" s="9" t="s">
        <v>361</v>
      </c>
      <c r="AA456" s="9" t="s">
        <v>473</v>
      </c>
    </row>
    <row r="457" spans="5:27" s="9" customFormat="1" ht="15.75" customHeight="1" x14ac:dyDescent="0.15"/>
    <row r="458" spans="5:27" s="9" customFormat="1" ht="15.75" customHeight="1" x14ac:dyDescent="0.15"/>
    <row r="459" spans="5:27" s="9" customFormat="1" ht="15.75" customHeight="1" x14ac:dyDescent="0.15"/>
    <row r="460" spans="5:27" s="9" customFormat="1" ht="15.75" customHeight="1" x14ac:dyDescent="0.15">
      <c r="E460" s="7" t="s">
        <v>362</v>
      </c>
    </row>
    <row r="461" spans="5:27" s="9" customFormat="1" ht="15.75" customHeight="1" x14ac:dyDescent="0.15">
      <c r="F461" s="9" t="s">
        <v>372</v>
      </c>
    </row>
    <row r="462" spans="5:27" s="9" customFormat="1" ht="15.75" customHeight="1" x14ac:dyDescent="0.15">
      <c r="F462" s="9" t="s">
        <v>363</v>
      </c>
    </row>
    <row r="463" spans="5:27" s="9" customFormat="1" ht="15.75" customHeight="1" x14ac:dyDescent="0.15"/>
    <row r="464" spans="5:27" s="9" customFormat="1" ht="15.75" customHeight="1" x14ac:dyDescent="0.2">
      <c r="E464" s="69" t="s">
        <v>364</v>
      </c>
      <c r="F464" s="69"/>
      <c r="G464" s="6" t="s">
        <v>29</v>
      </c>
      <c r="H464" s="69" t="s">
        <v>365</v>
      </c>
      <c r="I464" s="69"/>
      <c r="J464" s="9" t="s">
        <v>6</v>
      </c>
      <c r="K464" s="69" t="s">
        <v>366</v>
      </c>
      <c r="L464" s="69"/>
    </row>
    <row r="465" spans="5:28" s="9" customFormat="1" ht="15.75" customHeight="1" x14ac:dyDescent="0.15"/>
    <row r="466" spans="5:28" s="9" customFormat="1" ht="15.75" customHeight="1" x14ac:dyDescent="0.2">
      <c r="F466" s="7" t="s">
        <v>3</v>
      </c>
      <c r="G466" s="7"/>
      <c r="H466" s="7"/>
      <c r="I466" s="69" t="s">
        <v>364</v>
      </c>
      <c r="J466" s="69"/>
      <c r="K466" s="6" t="s">
        <v>2</v>
      </c>
      <c r="L466" s="7" t="s">
        <v>367</v>
      </c>
    </row>
    <row r="467" spans="5:28" s="9" customFormat="1" ht="15.75" customHeight="1" x14ac:dyDescent="0.2">
      <c r="F467" s="7"/>
      <c r="G467" s="7"/>
      <c r="H467" s="7"/>
      <c r="I467" s="69" t="s">
        <v>276</v>
      </c>
      <c r="J467" s="69"/>
      <c r="K467" s="6" t="s">
        <v>2</v>
      </c>
      <c r="L467" s="7" t="s">
        <v>331</v>
      </c>
    </row>
    <row r="468" spans="5:28" s="9" customFormat="1" ht="15.75" customHeight="1" x14ac:dyDescent="0.2">
      <c r="I468" s="69" t="s">
        <v>327</v>
      </c>
      <c r="J468" s="69"/>
      <c r="K468" s="6" t="s">
        <v>2</v>
      </c>
      <c r="L468" s="7" t="s">
        <v>368</v>
      </c>
    </row>
    <row r="469" spans="5:28" s="9" customFormat="1" ht="15.75" customHeight="1" x14ac:dyDescent="0.2">
      <c r="I469" s="69" t="s">
        <v>366</v>
      </c>
      <c r="J469" s="69"/>
      <c r="K469" s="6" t="s">
        <v>2</v>
      </c>
      <c r="L469" s="7" t="s">
        <v>369</v>
      </c>
    </row>
    <row r="470" spans="5:28" s="9" customFormat="1" ht="15.75" customHeight="1" x14ac:dyDescent="0.15">
      <c r="F470" s="9" t="s">
        <v>370</v>
      </c>
    </row>
    <row r="471" spans="5:28" s="9" customFormat="1" ht="15.75" customHeight="1" x14ac:dyDescent="0.15"/>
    <row r="472" spans="5:28" s="9" customFormat="1" ht="15.75" customHeight="1" x14ac:dyDescent="0.2">
      <c r="E472" s="69" t="s">
        <v>364</v>
      </c>
      <c r="F472" s="69"/>
      <c r="G472" s="6" t="s">
        <v>29</v>
      </c>
      <c r="H472" s="69" t="s">
        <v>366</v>
      </c>
      <c r="I472" s="69"/>
    </row>
    <row r="473" spans="5:28" s="9" customFormat="1" ht="15.75" customHeight="1" x14ac:dyDescent="0.15"/>
    <row r="474" spans="5:28" s="9" customFormat="1" ht="15.75" customHeight="1" x14ac:dyDescent="0.15">
      <c r="F474" s="9" t="s">
        <v>497</v>
      </c>
    </row>
    <row r="475" spans="5:28" s="9" customFormat="1" ht="15.75" customHeight="1" x14ac:dyDescent="0.2">
      <c r="F475" s="9" t="s">
        <v>498</v>
      </c>
    </row>
    <row r="476" spans="5:28" s="9" customFormat="1" ht="15.75" customHeight="1" x14ac:dyDescent="0.15"/>
    <row r="477" spans="5:28" s="9" customFormat="1" ht="15.75" customHeight="1" x14ac:dyDescent="0.15">
      <c r="J477" s="83" t="s">
        <v>474</v>
      </c>
      <c r="K477" s="83"/>
      <c r="L477" s="83"/>
      <c r="M477" s="83"/>
      <c r="N477" s="83"/>
      <c r="O477" s="83"/>
      <c r="P477" s="83"/>
      <c r="Q477" s="83"/>
      <c r="R477" s="83"/>
      <c r="S477" s="83"/>
      <c r="T477" s="83"/>
      <c r="U477" s="83"/>
      <c r="V477" s="83"/>
      <c r="W477" s="83"/>
      <c r="X477" s="83"/>
      <c r="Y477" s="83"/>
      <c r="Z477" s="83"/>
    </row>
    <row r="478" spans="5:28" s="9" customFormat="1" ht="15.75" customHeight="1" x14ac:dyDescent="0.15">
      <c r="H478" s="91" t="s">
        <v>338</v>
      </c>
      <c r="I478" s="72"/>
      <c r="J478" s="72"/>
      <c r="K478" s="72" t="s">
        <v>340</v>
      </c>
      <c r="L478" s="72"/>
      <c r="M478" s="72"/>
      <c r="N478" s="72"/>
      <c r="O478" s="72"/>
      <c r="P478" s="72"/>
      <c r="Q478" s="79" t="s">
        <v>345</v>
      </c>
      <c r="R478" s="72"/>
      <c r="S478" s="72"/>
      <c r="T478" s="79" t="s">
        <v>342</v>
      </c>
      <c r="U478" s="72"/>
      <c r="V478" s="72"/>
      <c r="W478" s="79" t="s">
        <v>371</v>
      </c>
      <c r="X478" s="72"/>
      <c r="Y478" s="72"/>
      <c r="Z478" s="79" t="s">
        <v>343</v>
      </c>
      <c r="AA478" s="72"/>
      <c r="AB478" s="121"/>
    </row>
    <row r="479" spans="5:28" s="9" customFormat="1" ht="15.75" customHeight="1" x14ac:dyDescent="0.15">
      <c r="H479" s="91"/>
      <c r="I479" s="72"/>
      <c r="J479" s="72"/>
      <c r="K479" s="72"/>
      <c r="L479" s="72"/>
      <c r="M479" s="72"/>
      <c r="N479" s="72"/>
      <c r="O479" s="72"/>
      <c r="P479" s="72"/>
      <c r="Q479" s="72"/>
      <c r="R479" s="72"/>
      <c r="S479" s="72"/>
      <c r="T479" s="72"/>
      <c r="U479" s="72"/>
      <c r="V479" s="72"/>
      <c r="W479" s="72"/>
      <c r="X479" s="72"/>
      <c r="Y479" s="72"/>
      <c r="Z479" s="72"/>
      <c r="AA479" s="72"/>
      <c r="AB479" s="121"/>
    </row>
    <row r="480" spans="5:28" s="9" customFormat="1" ht="15.75" customHeight="1" x14ac:dyDescent="0.15">
      <c r="H480" s="91" t="s">
        <v>349</v>
      </c>
      <c r="I480" s="72"/>
      <c r="J480" s="72"/>
      <c r="K480" s="78" t="s">
        <v>347</v>
      </c>
      <c r="L480" s="78"/>
      <c r="M480" s="78"/>
      <c r="N480" s="78"/>
      <c r="O480" s="78"/>
      <c r="P480" s="78"/>
      <c r="Q480" s="73">
        <f>Z392</f>
        <v>122.52211349000193</v>
      </c>
      <c r="R480" s="73"/>
      <c r="S480" s="73"/>
      <c r="T480" s="145" t="s">
        <v>228</v>
      </c>
      <c r="U480" s="145"/>
      <c r="V480" s="145"/>
      <c r="W480" s="131">
        <v>250.2</v>
      </c>
      <c r="X480" s="132"/>
      <c r="Y480" s="133"/>
      <c r="Z480" s="70">
        <f>W480</f>
        <v>250.2</v>
      </c>
      <c r="AA480" s="70"/>
      <c r="AB480" s="71"/>
    </row>
    <row r="481" spans="8:28" s="9" customFormat="1" ht="15.75" customHeight="1" x14ac:dyDescent="0.15">
      <c r="H481" s="91"/>
      <c r="I481" s="72"/>
      <c r="J481" s="72"/>
      <c r="K481" s="78" t="s">
        <v>348</v>
      </c>
      <c r="L481" s="78"/>
      <c r="M481" s="78"/>
      <c r="N481" s="78"/>
      <c r="O481" s="78"/>
      <c r="P481" s="78"/>
      <c r="Q481" s="73"/>
      <c r="R481" s="73"/>
      <c r="S481" s="73"/>
      <c r="T481" s="158">
        <f>g地盤抵抗係数(2,0)</f>
        <v>0.58699999999999997</v>
      </c>
      <c r="U481" s="159"/>
      <c r="V481" s="160"/>
      <c r="W481" s="154"/>
      <c r="X481" s="155"/>
      <c r="Y481" s="156"/>
      <c r="Z481" s="70">
        <f>Q480*T481+$W$480</f>
        <v>322.12048061863112</v>
      </c>
      <c r="AA481" s="70"/>
      <c r="AB481" s="71"/>
    </row>
    <row r="482" spans="8:28" s="9" customFormat="1" ht="15.75" customHeight="1" x14ac:dyDescent="0.15">
      <c r="H482" s="94" t="s">
        <v>350</v>
      </c>
      <c r="I482" s="78"/>
      <c r="J482" s="78"/>
      <c r="K482" s="157" t="s">
        <v>339</v>
      </c>
      <c r="L482" s="157"/>
      <c r="M482" s="157"/>
      <c r="N482" s="157"/>
      <c r="O482" s="157"/>
      <c r="P482" s="157"/>
      <c r="Q482" s="73"/>
      <c r="R482" s="73"/>
      <c r="S482" s="73"/>
      <c r="T482" s="158">
        <f>g地盤抵抗係数(3,0)</f>
        <v>0.78600000000000003</v>
      </c>
      <c r="U482" s="159"/>
      <c r="V482" s="160"/>
      <c r="W482" s="154"/>
      <c r="X482" s="155"/>
      <c r="Y482" s="156"/>
      <c r="Z482" s="70">
        <f>Q480*T482+$W$480</f>
        <v>346.50238120314151</v>
      </c>
      <c r="AA482" s="70"/>
      <c r="AB482" s="71"/>
    </row>
    <row r="483" spans="8:28" s="9" customFormat="1" ht="15.75" customHeight="1" x14ac:dyDescent="0.15">
      <c r="H483" s="96" t="s">
        <v>351</v>
      </c>
      <c r="I483" s="96"/>
      <c r="J483" s="99"/>
      <c r="K483" s="111" t="s">
        <v>352</v>
      </c>
      <c r="L483" s="96"/>
      <c r="M483" s="96"/>
      <c r="N483" s="96"/>
      <c r="O483" s="96"/>
      <c r="P483" s="99"/>
      <c r="Q483" s="73">
        <f>W398</f>
        <v>-2086.2535994101177</v>
      </c>
      <c r="R483" s="73"/>
      <c r="S483" s="73"/>
      <c r="T483" s="148">
        <f>g地盤抵抗係数(4,0)</f>
        <v>0.86499999999999999</v>
      </c>
      <c r="U483" s="149"/>
      <c r="V483" s="150"/>
      <c r="W483" s="154"/>
      <c r="X483" s="155"/>
      <c r="Y483" s="156"/>
      <c r="Z483" s="131">
        <f>Q483*T483+W480</f>
        <v>-1554.4093634897517</v>
      </c>
      <c r="AA483" s="132"/>
      <c r="AB483" s="132"/>
    </row>
    <row r="484" spans="8:28" s="9" customFormat="1" ht="15.75" customHeight="1" x14ac:dyDescent="0.15">
      <c r="H484" s="146"/>
      <c r="I484" s="146"/>
      <c r="J484" s="147"/>
      <c r="K484" s="100"/>
      <c r="L484" s="97"/>
      <c r="M484" s="97"/>
      <c r="N484" s="97"/>
      <c r="O484" s="97"/>
      <c r="P484" s="101"/>
      <c r="Q484" s="73"/>
      <c r="R484" s="73"/>
      <c r="S484" s="73"/>
      <c r="T484" s="151"/>
      <c r="U484" s="152"/>
      <c r="V484" s="153"/>
      <c r="W484" s="154"/>
      <c r="X484" s="155"/>
      <c r="Y484" s="156"/>
      <c r="Z484" s="134"/>
      <c r="AA484" s="135"/>
      <c r="AB484" s="135"/>
    </row>
    <row r="485" spans="8:28" s="9" customFormat="1" ht="15.75" customHeight="1" x14ac:dyDescent="0.15">
      <c r="H485" s="146"/>
      <c r="I485" s="146"/>
      <c r="J485" s="147"/>
      <c r="K485" s="111" t="s">
        <v>353</v>
      </c>
      <c r="L485" s="96"/>
      <c r="M485" s="96"/>
      <c r="N485" s="96"/>
      <c r="O485" s="96"/>
      <c r="P485" s="99"/>
      <c r="Q485" s="73"/>
      <c r="R485" s="73"/>
      <c r="S485" s="73"/>
      <c r="T485" s="148">
        <f>g地盤抵抗係数(5,0)</f>
        <v>1.1439999999999999</v>
      </c>
      <c r="U485" s="149"/>
      <c r="V485" s="150"/>
      <c r="W485" s="154"/>
      <c r="X485" s="155"/>
      <c r="Y485" s="156"/>
      <c r="Z485" s="131">
        <f>Q483*T485+W480</f>
        <v>-2136.4741177251744</v>
      </c>
      <c r="AA485" s="132"/>
      <c r="AB485" s="132"/>
    </row>
    <row r="486" spans="8:28" s="9" customFormat="1" ht="15.75" customHeight="1" x14ac:dyDescent="0.15">
      <c r="H486" s="97"/>
      <c r="I486" s="97"/>
      <c r="J486" s="101"/>
      <c r="K486" s="100"/>
      <c r="L486" s="97"/>
      <c r="M486" s="97"/>
      <c r="N486" s="97"/>
      <c r="O486" s="97"/>
      <c r="P486" s="101"/>
      <c r="Q486" s="73"/>
      <c r="R486" s="73"/>
      <c r="S486" s="73"/>
      <c r="T486" s="151"/>
      <c r="U486" s="152"/>
      <c r="V486" s="153"/>
      <c r="W486" s="134"/>
      <c r="X486" s="135"/>
      <c r="Y486" s="136"/>
      <c r="Z486" s="134"/>
      <c r="AA486" s="135"/>
      <c r="AB486" s="135"/>
    </row>
    <row r="487" spans="8:28" s="9" customFormat="1" ht="15.75" customHeight="1" x14ac:dyDescent="0.15"/>
    <row r="488" spans="8:28" s="9" customFormat="1" ht="15.75" customHeight="1" x14ac:dyDescent="0.15">
      <c r="J488" s="83" t="s">
        <v>474</v>
      </c>
      <c r="K488" s="83"/>
      <c r="L488" s="83"/>
      <c r="M488" s="83"/>
      <c r="N488" s="83"/>
      <c r="O488" s="83"/>
      <c r="P488" s="83"/>
      <c r="Q488" s="83"/>
      <c r="R488" s="83"/>
      <c r="S488" s="83"/>
      <c r="T488" s="83"/>
      <c r="U488" s="83"/>
      <c r="V488" s="83"/>
      <c r="W488" s="83"/>
      <c r="X488" s="83"/>
      <c r="Y488" s="83"/>
      <c r="Z488" s="83"/>
    </row>
    <row r="489" spans="8:28" s="9" customFormat="1" ht="15.75" customHeight="1" x14ac:dyDescent="0.15">
      <c r="H489" s="91" t="s">
        <v>338</v>
      </c>
      <c r="I489" s="72"/>
      <c r="J489" s="72"/>
      <c r="K489" s="72" t="s">
        <v>340</v>
      </c>
      <c r="L489" s="72"/>
      <c r="M489" s="72"/>
      <c r="N489" s="72"/>
      <c r="O489" s="72"/>
      <c r="P489" s="72"/>
      <c r="Q489" s="79" t="s">
        <v>345</v>
      </c>
      <c r="R489" s="72"/>
      <c r="S489" s="72"/>
      <c r="T489" s="79" t="s">
        <v>342</v>
      </c>
      <c r="U489" s="72"/>
      <c r="V489" s="72"/>
      <c r="W489" s="79" t="s">
        <v>371</v>
      </c>
      <c r="X489" s="72"/>
      <c r="Y489" s="72"/>
      <c r="Z489" s="79" t="s">
        <v>343</v>
      </c>
      <c r="AA489" s="72"/>
      <c r="AB489" s="121"/>
    </row>
    <row r="490" spans="8:28" s="9" customFormat="1" ht="15.75" customHeight="1" x14ac:dyDescent="0.15">
      <c r="H490" s="91"/>
      <c r="I490" s="72"/>
      <c r="J490" s="72"/>
      <c r="K490" s="72"/>
      <c r="L490" s="72"/>
      <c r="M490" s="72"/>
      <c r="N490" s="72"/>
      <c r="O490" s="72"/>
      <c r="P490" s="72"/>
      <c r="Q490" s="72"/>
      <c r="R490" s="72"/>
      <c r="S490" s="72"/>
      <c r="T490" s="72"/>
      <c r="U490" s="72"/>
      <c r="V490" s="72"/>
      <c r="W490" s="72"/>
      <c r="X490" s="72"/>
      <c r="Y490" s="72"/>
      <c r="Z490" s="72"/>
      <c r="AA490" s="72"/>
      <c r="AB490" s="121"/>
    </row>
    <row r="491" spans="8:28" s="9" customFormat="1" ht="15.75" customHeight="1" x14ac:dyDescent="0.15">
      <c r="H491" s="91" t="s">
        <v>349</v>
      </c>
      <c r="I491" s="72"/>
      <c r="J491" s="72"/>
      <c r="K491" s="78" t="s">
        <v>347</v>
      </c>
      <c r="L491" s="78"/>
      <c r="M491" s="78"/>
      <c r="N491" s="78"/>
      <c r="O491" s="78"/>
      <c r="P491" s="78"/>
      <c r="Q491" s="73">
        <f>Z392</f>
        <v>122.52211349000193</v>
      </c>
      <c r="R491" s="73"/>
      <c r="S491" s="73"/>
      <c r="T491" s="145" t="s">
        <v>228</v>
      </c>
      <c r="U491" s="145"/>
      <c r="V491" s="145"/>
      <c r="W491" s="131">
        <v>250.2</v>
      </c>
      <c r="X491" s="132"/>
      <c r="Y491" s="133"/>
      <c r="Z491" s="70">
        <f>W491</f>
        <v>250.2</v>
      </c>
      <c r="AA491" s="70"/>
      <c r="AB491" s="71"/>
    </row>
    <row r="492" spans="8:28" s="9" customFormat="1" ht="15.75" customHeight="1" x14ac:dyDescent="0.15">
      <c r="H492" s="91"/>
      <c r="I492" s="72"/>
      <c r="J492" s="72"/>
      <c r="K492" s="78" t="s">
        <v>348</v>
      </c>
      <c r="L492" s="78"/>
      <c r="M492" s="78"/>
      <c r="N492" s="78"/>
      <c r="O492" s="78"/>
      <c r="P492" s="78"/>
      <c r="Q492" s="73"/>
      <c r="R492" s="73"/>
      <c r="S492" s="73"/>
      <c r="T492" s="158">
        <f>g地盤抵抗係数(2,0)</f>
        <v>0.58699999999999997</v>
      </c>
      <c r="U492" s="159"/>
      <c r="V492" s="160"/>
      <c r="W492" s="154"/>
      <c r="X492" s="155"/>
      <c r="Y492" s="156"/>
      <c r="Z492" s="70">
        <f>Q491*T492+$W$480</f>
        <v>322.12048061863112</v>
      </c>
      <c r="AA492" s="70"/>
      <c r="AB492" s="71"/>
    </row>
    <row r="493" spans="8:28" s="9" customFormat="1" ht="15.75" customHeight="1" x14ac:dyDescent="0.15">
      <c r="H493" s="94" t="s">
        <v>350</v>
      </c>
      <c r="I493" s="78"/>
      <c r="J493" s="78"/>
      <c r="K493" s="157" t="s">
        <v>339</v>
      </c>
      <c r="L493" s="157"/>
      <c r="M493" s="157"/>
      <c r="N493" s="157"/>
      <c r="O493" s="157"/>
      <c r="P493" s="157"/>
      <c r="Q493" s="73"/>
      <c r="R493" s="73"/>
      <c r="S493" s="73"/>
      <c r="T493" s="158">
        <f>g地盤抵抗係数(3,0)</f>
        <v>0.78600000000000003</v>
      </c>
      <c r="U493" s="159"/>
      <c r="V493" s="160"/>
      <c r="W493" s="154"/>
      <c r="X493" s="155"/>
      <c r="Y493" s="156"/>
      <c r="Z493" s="70">
        <f>Q491*T493+$W$480</f>
        <v>346.50238120314151</v>
      </c>
      <c r="AA493" s="70"/>
      <c r="AB493" s="71"/>
    </row>
    <row r="494" spans="8:28" s="9" customFormat="1" ht="15.75" customHeight="1" x14ac:dyDescent="0.15">
      <c r="H494" s="96" t="s">
        <v>351</v>
      </c>
      <c r="I494" s="96"/>
      <c r="J494" s="99"/>
      <c r="K494" s="111" t="s">
        <v>352</v>
      </c>
      <c r="L494" s="96"/>
      <c r="M494" s="96"/>
      <c r="N494" s="96"/>
      <c r="O494" s="96"/>
      <c r="P494" s="99"/>
      <c r="Q494" s="73">
        <f>AA398</f>
        <v>-2015.3854763296704</v>
      </c>
      <c r="R494" s="73"/>
      <c r="S494" s="73"/>
      <c r="T494" s="148">
        <f>g地盤抵抗係数(4,0)</f>
        <v>0.86499999999999999</v>
      </c>
      <c r="U494" s="149"/>
      <c r="V494" s="150"/>
      <c r="W494" s="154"/>
      <c r="X494" s="155"/>
      <c r="Y494" s="156"/>
      <c r="Z494" s="131">
        <f>Q494*T494+W491</f>
        <v>-1493.1084370251649</v>
      </c>
      <c r="AA494" s="132"/>
      <c r="AB494" s="132"/>
    </row>
    <row r="495" spans="8:28" s="9" customFormat="1" ht="15.75" customHeight="1" x14ac:dyDescent="0.15">
      <c r="H495" s="146"/>
      <c r="I495" s="146"/>
      <c r="J495" s="147"/>
      <c r="K495" s="100"/>
      <c r="L495" s="97"/>
      <c r="M495" s="97"/>
      <c r="N495" s="97"/>
      <c r="O495" s="97"/>
      <c r="P495" s="101"/>
      <c r="Q495" s="73"/>
      <c r="R495" s="73"/>
      <c r="S495" s="73"/>
      <c r="T495" s="151"/>
      <c r="U495" s="152"/>
      <c r="V495" s="153"/>
      <c r="W495" s="154"/>
      <c r="X495" s="155"/>
      <c r="Y495" s="156"/>
      <c r="Z495" s="134"/>
      <c r="AA495" s="135"/>
      <c r="AB495" s="135"/>
    </row>
    <row r="496" spans="8:28" s="9" customFormat="1" ht="15.75" customHeight="1" x14ac:dyDescent="0.15">
      <c r="H496" s="146"/>
      <c r="I496" s="146"/>
      <c r="J496" s="147"/>
      <c r="K496" s="111" t="s">
        <v>353</v>
      </c>
      <c r="L496" s="96"/>
      <c r="M496" s="96"/>
      <c r="N496" s="96"/>
      <c r="O496" s="96"/>
      <c r="P496" s="99"/>
      <c r="Q496" s="73"/>
      <c r="R496" s="73"/>
      <c r="S496" s="73"/>
      <c r="T496" s="148">
        <f>g地盤抵抗係数(5,0)</f>
        <v>1.1439999999999999</v>
      </c>
      <c r="U496" s="149"/>
      <c r="V496" s="150"/>
      <c r="W496" s="154"/>
      <c r="X496" s="155"/>
      <c r="Y496" s="156"/>
      <c r="Z496" s="131">
        <f>Q494*T496+W491</f>
        <v>-2055.4009849211429</v>
      </c>
      <c r="AA496" s="132"/>
      <c r="AB496" s="132"/>
    </row>
    <row r="497" spans="4:28" s="9" customFormat="1" ht="15.75" customHeight="1" x14ac:dyDescent="0.15">
      <c r="H497" s="97"/>
      <c r="I497" s="97"/>
      <c r="J497" s="101"/>
      <c r="K497" s="100"/>
      <c r="L497" s="97"/>
      <c r="M497" s="97"/>
      <c r="N497" s="97"/>
      <c r="O497" s="97"/>
      <c r="P497" s="101"/>
      <c r="Q497" s="73"/>
      <c r="R497" s="73"/>
      <c r="S497" s="73"/>
      <c r="T497" s="151"/>
      <c r="U497" s="152"/>
      <c r="V497" s="153"/>
      <c r="W497" s="134"/>
      <c r="X497" s="135"/>
      <c r="Y497" s="136"/>
      <c r="Z497" s="134"/>
      <c r="AA497" s="135"/>
      <c r="AB497" s="135"/>
    </row>
    <row r="498" spans="4:28" s="9" customFormat="1" ht="15.75" customHeight="1" x14ac:dyDescent="0.15"/>
    <row r="499" spans="4:28" s="9" customFormat="1" ht="15.75" customHeight="1" x14ac:dyDescent="0.15">
      <c r="E499" s="7" t="s">
        <v>499</v>
      </c>
    </row>
    <row r="500" spans="4:28" s="9" customFormat="1" ht="15.75" customHeight="1" x14ac:dyDescent="0.15">
      <c r="E500" s="9" t="s">
        <v>500</v>
      </c>
    </row>
    <row r="501" spans="4:28" s="9" customFormat="1" ht="15.75" customHeight="1" x14ac:dyDescent="0.15"/>
    <row r="502" spans="4:28" s="9" customFormat="1" ht="15.75" customHeight="1" x14ac:dyDescent="0.15">
      <c r="D502" s="12" t="s">
        <v>373</v>
      </c>
    </row>
    <row r="503" spans="4:28" s="9" customFormat="1" ht="15.75" customHeight="1" x14ac:dyDescent="0.15"/>
    <row r="504" spans="4:28" s="9" customFormat="1" ht="15.75" customHeight="1" x14ac:dyDescent="0.15">
      <c r="E504" s="9" t="s">
        <v>501</v>
      </c>
    </row>
    <row r="505" spans="4:28" s="9" customFormat="1" ht="15.75" customHeight="1" x14ac:dyDescent="0.15"/>
    <row r="506" spans="4:28" s="9" customFormat="1" ht="15.75" customHeight="1" x14ac:dyDescent="0.2">
      <c r="E506" s="69" t="s">
        <v>378</v>
      </c>
      <c r="F506" s="69"/>
      <c r="G506" s="6" t="s">
        <v>29</v>
      </c>
      <c r="H506" s="69" t="s">
        <v>374</v>
      </c>
      <c r="I506" s="69"/>
      <c r="J506" s="9" t="s">
        <v>375</v>
      </c>
      <c r="K506" s="69" t="s">
        <v>376</v>
      </c>
      <c r="L506" s="69"/>
      <c r="M506" s="9" t="s">
        <v>375</v>
      </c>
      <c r="N506" s="69" t="s">
        <v>377</v>
      </c>
      <c r="O506" s="69"/>
      <c r="P506" s="9" t="s">
        <v>379</v>
      </c>
      <c r="Q506" s="69" t="s">
        <v>377</v>
      </c>
      <c r="R506" s="69"/>
    </row>
    <row r="507" spans="4:28" s="9" customFormat="1" ht="15.75" customHeight="1" x14ac:dyDescent="0.15"/>
    <row r="508" spans="4:28" s="9" customFormat="1" ht="15.75" customHeight="1" x14ac:dyDescent="0.2">
      <c r="F508" s="7" t="s">
        <v>3</v>
      </c>
      <c r="G508" s="7"/>
      <c r="H508" s="7"/>
      <c r="I508" s="69" t="s">
        <v>378</v>
      </c>
      <c r="J508" s="69"/>
      <c r="K508" s="6" t="s">
        <v>2</v>
      </c>
      <c r="L508" s="7" t="s">
        <v>380</v>
      </c>
    </row>
    <row r="509" spans="4:28" s="9" customFormat="1" ht="15.75" customHeight="1" x14ac:dyDescent="0.2">
      <c r="F509" s="7"/>
      <c r="G509" s="7"/>
      <c r="H509" s="7"/>
      <c r="I509" s="69" t="s">
        <v>374</v>
      </c>
      <c r="J509" s="69"/>
      <c r="K509" s="6" t="s">
        <v>2</v>
      </c>
      <c r="L509" s="7" t="s">
        <v>381</v>
      </c>
    </row>
    <row r="510" spans="4:28" s="9" customFormat="1" ht="15.75" customHeight="1" x14ac:dyDescent="0.15">
      <c r="L510" s="144" t="s">
        <v>318</v>
      </c>
      <c r="M510" s="144"/>
      <c r="N510" s="144"/>
      <c r="O510" s="6" t="s">
        <v>2</v>
      </c>
      <c r="P510" s="9" t="s">
        <v>382</v>
      </c>
    </row>
    <row r="511" spans="4:28" s="9" customFormat="1" ht="15.75" customHeight="1" x14ac:dyDescent="0.2">
      <c r="L511" s="144" t="s">
        <v>317</v>
      </c>
      <c r="M511" s="144"/>
      <c r="N511" s="144"/>
      <c r="O511" s="6" t="s">
        <v>2</v>
      </c>
      <c r="P511" s="9" t="s">
        <v>383</v>
      </c>
    </row>
    <row r="512" spans="4:28" s="9" customFormat="1" ht="15.75" customHeight="1" x14ac:dyDescent="0.2">
      <c r="I512" s="69" t="s">
        <v>376</v>
      </c>
      <c r="J512" s="69"/>
      <c r="K512" s="6" t="s">
        <v>2</v>
      </c>
      <c r="L512" s="7" t="s">
        <v>384</v>
      </c>
    </row>
    <row r="513" spans="5:30" s="9" customFormat="1" ht="15.75" customHeight="1" x14ac:dyDescent="0.15">
      <c r="L513" s="144" t="s">
        <v>318</v>
      </c>
      <c r="M513" s="144"/>
      <c r="N513" s="144"/>
      <c r="O513" s="6" t="s">
        <v>2</v>
      </c>
      <c r="P513" s="9" t="s">
        <v>385</v>
      </c>
    </row>
    <row r="514" spans="5:30" s="9" customFormat="1" ht="15.75" customHeight="1" x14ac:dyDescent="0.2">
      <c r="L514" s="144" t="s">
        <v>317</v>
      </c>
      <c r="M514" s="144"/>
      <c r="N514" s="144"/>
      <c r="O514" s="6" t="s">
        <v>2</v>
      </c>
      <c r="P514" s="9" t="s">
        <v>386</v>
      </c>
    </row>
    <row r="515" spans="5:30" s="9" customFormat="1" ht="15.75" customHeight="1" x14ac:dyDescent="0.2">
      <c r="I515" s="69" t="s">
        <v>377</v>
      </c>
      <c r="J515" s="69"/>
      <c r="K515" s="6" t="s">
        <v>2</v>
      </c>
      <c r="L515" s="9" t="s">
        <v>380</v>
      </c>
    </row>
    <row r="516" spans="5:30" s="9" customFormat="1" ht="15.75" customHeight="1" x14ac:dyDescent="0.2">
      <c r="M516" s="7" t="s">
        <v>285</v>
      </c>
      <c r="N516" s="7"/>
      <c r="O516" s="7"/>
      <c r="P516" s="7"/>
      <c r="Q516" s="7"/>
      <c r="R516" s="6" t="s">
        <v>2</v>
      </c>
      <c r="S516" s="69" t="s">
        <v>377</v>
      </c>
      <c r="T516" s="69"/>
      <c r="U516" s="6" t="s">
        <v>29</v>
      </c>
      <c r="V516" s="9" t="s">
        <v>388</v>
      </c>
    </row>
    <row r="517" spans="5:30" s="9" customFormat="1" ht="15.75" customHeight="1" x14ac:dyDescent="0.2">
      <c r="M517" s="7" t="s">
        <v>307</v>
      </c>
      <c r="N517" s="7"/>
      <c r="O517" s="7"/>
      <c r="P517" s="7"/>
      <c r="Q517" s="7"/>
      <c r="R517" s="6" t="s">
        <v>2</v>
      </c>
      <c r="S517" s="69" t="s">
        <v>377</v>
      </c>
      <c r="T517" s="69"/>
      <c r="U517" s="6" t="s">
        <v>29</v>
      </c>
      <c r="V517" s="9" t="s">
        <v>389</v>
      </c>
      <c r="AC517" s="9" t="s">
        <v>379</v>
      </c>
      <c r="AD517" s="9" t="s">
        <v>387</v>
      </c>
    </row>
    <row r="518" spans="5:30" s="9" customFormat="1" ht="15.75" customHeight="1" x14ac:dyDescent="0.15">
      <c r="J518" s="8" t="s">
        <v>390</v>
      </c>
      <c r="K518" s="6" t="s">
        <v>2</v>
      </c>
      <c r="L518" s="9" t="s">
        <v>391</v>
      </c>
    </row>
    <row r="519" spans="5:30" s="9" customFormat="1" ht="15.75" customHeight="1" x14ac:dyDescent="0.2">
      <c r="J519" s="8" t="s">
        <v>392</v>
      </c>
      <c r="K519" s="6" t="s">
        <v>2</v>
      </c>
      <c r="L519" s="9" t="s">
        <v>393</v>
      </c>
    </row>
    <row r="520" spans="5:30" s="9" customFormat="1" ht="15.75" customHeight="1" x14ac:dyDescent="0.2">
      <c r="J520" s="9" t="s">
        <v>394</v>
      </c>
      <c r="K520" s="6" t="s">
        <v>2</v>
      </c>
      <c r="L520" s="9" t="s">
        <v>395</v>
      </c>
    </row>
    <row r="521" spans="5:30" s="9" customFormat="1" ht="15.75" customHeight="1" x14ac:dyDescent="0.2">
      <c r="J521" s="8" t="s">
        <v>396</v>
      </c>
      <c r="K521" s="6" t="s">
        <v>2</v>
      </c>
      <c r="L521" s="9" t="s">
        <v>397</v>
      </c>
    </row>
    <row r="522" spans="5:30" s="9" customFormat="1" ht="15.75" customHeight="1" x14ac:dyDescent="0.15">
      <c r="J522" s="8" t="s">
        <v>4</v>
      </c>
      <c r="K522" s="6" t="s">
        <v>2</v>
      </c>
      <c r="L522" s="9" t="s">
        <v>398</v>
      </c>
    </row>
    <row r="523" spans="5:30" s="9" customFormat="1" ht="15.75" customHeight="1" x14ac:dyDescent="0.15">
      <c r="J523" s="8" t="s">
        <v>312</v>
      </c>
      <c r="K523" s="6" t="s">
        <v>2</v>
      </c>
      <c r="L523" s="9" t="s">
        <v>399</v>
      </c>
    </row>
    <row r="524" spans="5:30" s="9" customFormat="1" ht="15.75" customHeight="1" x14ac:dyDescent="0.15"/>
    <row r="525" spans="5:30" s="9" customFormat="1" ht="15.75" customHeight="1" x14ac:dyDescent="0.15">
      <c r="E525" s="9" t="s">
        <v>400</v>
      </c>
    </row>
    <row r="526" spans="5:30" s="9" customFormat="1" ht="15.75" customHeight="1" x14ac:dyDescent="0.15">
      <c r="E526" s="9" t="s">
        <v>401</v>
      </c>
    </row>
    <row r="527" spans="5:30" s="9" customFormat="1" ht="15.75" customHeight="1" x14ac:dyDescent="0.15">
      <c r="E527" s="9" t="s">
        <v>402</v>
      </c>
    </row>
    <row r="528" spans="5:30" s="9" customFormat="1" ht="15.75" customHeight="1" x14ac:dyDescent="0.15">
      <c r="E528" s="9" t="s">
        <v>403</v>
      </c>
    </row>
    <row r="529" spans="5:34" s="9" customFormat="1" ht="15.75" customHeight="1" x14ac:dyDescent="0.15">
      <c r="E529" s="9" t="s">
        <v>404</v>
      </c>
    </row>
    <row r="530" spans="5:34" s="9" customFormat="1" ht="15.75" customHeight="1" x14ac:dyDescent="0.15"/>
    <row r="531" spans="5:34" ht="15.75" customHeight="1" x14ac:dyDescent="0.2">
      <c r="E531" s="69" t="s">
        <v>405</v>
      </c>
      <c r="F531" s="69"/>
      <c r="G531" s="6" t="s">
        <v>29</v>
      </c>
      <c r="H531" s="69" t="s">
        <v>406</v>
      </c>
      <c r="I531" s="69"/>
      <c r="J531" s="6" t="s">
        <v>1</v>
      </c>
      <c r="K531" s="69" t="s">
        <v>80</v>
      </c>
      <c r="L531" s="69"/>
      <c r="M531" s="7" t="s">
        <v>1</v>
      </c>
      <c r="N531" s="9" t="s">
        <v>303</v>
      </c>
      <c r="O531" s="7"/>
      <c r="P531" s="7"/>
      <c r="Q531" s="7"/>
      <c r="R531" s="7"/>
      <c r="S531" s="7"/>
      <c r="T531" s="7"/>
      <c r="U531" s="7"/>
      <c r="V531" s="7"/>
      <c r="W531" s="7"/>
      <c r="X531" s="7"/>
      <c r="Y531" s="7"/>
      <c r="Z531" s="7"/>
      <c r="AA531" s="7"/>
      <c r="AB531" s="7"/>
      <c r="AC531" s="7"/>
      <c r="AD531" s="7"/>
      <c r="AE531" s="7"/>
      <c r="AF531" s="7"/>
      <c r="AG531" s="7"/>
      <c r="AH531" s="7"/>
    </row>
    <row r="532" spans="5:34" ht="15.75" customHeight="1" x14ac:dyDescent="0.15">
      <c r="F532" s="7"/>
      <c r="G532" s="7"/>
      <c r="H532" s="7"/>
      <c r="I532" s="7"/>
      <c r="J532" s="7"/>
      <c r="K532" s="7"/>
      <c r="L532" s="7"/>
      <c r="M532" s="7"/>
      <c r="N532" s="7"/>
      <c r="O532" s="7"/>
      <c r="P532" s="7"/>
      <c r="Q532" s="7"/>
      <c r="R532" s="7"/>
      <c r="S532" s="7"/>
      <c r="T532" s="7"/>
      <c r="U532" s="7"/>
      <c r="V532" s="7"/>
      <c r="W532" s="7"/>
      <c r="X532" s="7"/>
      <c r="Y532" s="7"/>
      <c r="Z532" s="7"/>
      <c r="AA532" s="7"/>
      <c r="AB532" s="7"/>
      <c r="AC532" s="7"/>
      <c r="AD532" s="7"/>
      <c r="AE532" s="7"/>
      <c r="AF532" s="7"/>
      <c r="AG532" s="7"/>
      <c r="AH532" s="7"/>
    </row>
    <row r="533" spans="5:34" ht="15.75" customHeight="1" x14ac:dyDescent="0.2">
      <c r="F533" s="7" t="s">
        <v>3</v>
      </c>
      <c r="G533" s="7"/>
      <c r="H533" s="7"/>
      <c r="I533" s="69" t="s">
        <v>406</v>
      </c>
      <c r="J533" s="69"/>
      <c r="K533" s="6" t="s">
        <v>2</v>
      </c>
      <c r="L533" s="7" t="s">
        <v>407</v>
      </c>
      <c r="M533" s="7"/>
      <c r="N533" s="7"/>
      <c r="O533" s="7"/>
      <c r="P533" s="7"/>
      <c r="Q533" s="7"/>
      <c r="R533" s="7"/>
      <c r="S533" s="7"/>
      <c r="T533" s="7"/>
      <c r="U533" s="7"/>
      <c r="V533" s="7"/>
      <c r="W533" s="7"/>
      <c r="X533" s="7"/>
      <c r="Y533" s="7"/>
      <c r="Z533" s="7"/>
      <c r="AA533" s="7"/>
      <c r="AB533" s="7"/>
      <c r="AC533" s="7"/>
      <c r="AD533" s="7"/>
      <c r="AE533" s="7"/>
      <c r="AF533" s="7"/>
      <c r="AG533" s="7"/>
      <c r="AH533" s="7"/>
    </row>
    <row r="534" spans="5:34" s="9" customFormat="1" ht="15.75" customHeight="1" x14ac:dyDescent="0.15">
      <c r="I534" s="69" t="s">
        <v>80</v>
      </c>
      <c r="J534" s="69"/>
      <c r="K534" s="6" t="s">
        <v>2</v>
      </c>
      <c r="L534" s="9" t="s">
        <v>408</v>
      </c>
    </row>
    <row r="535" spans="5:34" s="9" customFormat="1" ht="15.75" customHeight="1" x14ac:dyDescent="0.15">
      <c r="I535" s="69" t="s">
        <v>303</v>
      </c>
      <c r="J535" s="69"/>
      <c r="K535" s="6" t="s">
        <v>2</v>
      </c>
      <c r="L535" s="9" t="s">
        <v>409</v>
      </c>
    </row>
    <row r="536" spans="5:34" s="9" customFormat="1" ht="15.75" customHeight="1" x14ac:dyDescent="0.15"/>
    <row r="537" spans="5:34" s="9" customFormat="1" ht="15.75" customHeight="1" x14ac:dyDescent="0.15">
      <c r="K537" s="83" t="s">
        <v>437</v>
      </c>
      <c r="L537" s="83"/>
      <c r="M537" s="83"/>
      <c r="N537" s="83"/>
      <c r="O537" s="83"/>
      <c r="P537" s="83"/>
      <c r="Q537" s="83"/>
      <c r="R537" s="83"/>
      <c r="S537" s="83"/>
      <c r="T537" s="83"/>
      <c r="U537" s="83"/>
      <c r="V537" s="83"/>
      <c r="W537" s="83"/>
      <c r="X537" s="83"/>
      <c r="Y537" s="83"/>
      <c r="Z537" s="83"/>
      <c r="AA537" s="83"/>
    </row>
    <row r="538" spans="5:34" s="9" customFormat="1" ht="15.75" customHeight="1" x14ac:dyDescent="0.15">
      <c r="H538" s="109" t="s">
        <v>8</v>
      </c>
      <c r="I538" s="109"/>
      <c r="J538" s="111" t="s">
        <v>476</v>
      </c>
      <c r="K538" s="109"/>
      <c r="L538" s="112"/>
      <c r="M538" s="84" t="s">
        <v>241</v>
      </c>
      <c r="N538" s="115"/>
      <c r="O538" s="84" t="s">
        <v>411</v>
      </c>
      <c r="P538" s="115"/>
      <c r="Q538" s="79" t="s">
        <v>417</v>
      </c>
      <c r="R538" s="72"/>
      <c r="S538" s="72"/>
      <c r="T538" s="79" t="s">
        <v>416</v>
      </c>
      <c r="U538" s="72"/>
      <c r="V538" s="72"/>
      <c r="W538" s="79" t="s">
        <v>415</v>
      </c>
      <c r="X538" s="72"/>
      <c r="Y538" s="72"/>
      <c r="Z538" s="72" t="s">
        <v>396</v>
      </c>
      <c r="AA538" s="72"/>
      <c r="AB538" s="72"/>
      <c r="AC538" s="79" t="s">
        <v>418</v>
      </c>
      <c r="AD538" s="72"/>
      <c r="AE538" s="121"/>
    </row>
    <row r="539" spans="5:34" s="9" customFormat="1" ht="15.75" customHeight="1" x14ac:dyDescent="0.15">
      <c r="H539" s="110"/>
      <c r="I539" s="110"/>
      <c r="J539" s="113"/>
      <c r="K539" s="110"/>
      <c r="L539" s="114"/>
      <c r="M539" s="116"/>
      <c r="N539" s="117"/>
      <c r="O539" s="116"/>
      <c r="P539" s="117"/>
      <c r="Q539" s="72"/>
      <c r="R539" s="72"/>
      <c r="S539" s="72"/>
      <c r="T539" s="72"/>
      <c r="U539" s="72"/>
      <c r="V539" s="72"/>
      <c r="W539" s="72"/>
      <c r="X539" s="72"/>
      <c r="Y539" s="72"/>
      <c r="Z539" s="72"/>
      <c r="AA539" s="72"/>
      <c r="AB539" s="72"/>
      <c r="AC539" s="72"/>
      <c r="AD539" s="72"/>
      <c r="AE539" s="121"/>
    </row>
    <row r="540" spans="5:34" s="9" customFormat="1" ht="15.75" customHeight="1" x14ac:dyDescent="0.15">
      <c r="H540" s="96">
        <v>0</v>
      </c>
      <c r="I540" s="96"/>
      <c r="J540" s="98" t="s">
        <v>475</v>
      </c>
      <c r="K540" s="96"/>
      <c r="L540" s="99"/>
      <c r="M540" s="102">
        <v>1.3</v>
      </c>
      <c r="N540" s="103"/>
      <c r="O540" s="106">
        <v>0</v>
      </c>
      <c r="P540" s="92"/>
      <c r="Q540" s="131">
        <v>0</v>
      </c>
      <c r="R540" s="132"/>
      <c r="S540" s="133"/>
      <c r="T540" s="102" t="s">
        <v>228</v>
      </c>
      <c r="U540" s="103"/>
      <c r="V540" s="123"/>
      <c r="W540" s="125" t="s">
        <v>228</v>
      </c>
      <c r="X540" s="126"/>
      <c r="Y540" s="126"/>
      <c r="Z540" s="137" t="s">
        <v>228</v>
      </c>
      <c r="AA540" s="138"/>
      <c r="AB540" s="139"/>
      <c r="AC540" s="125" t="s">
        <v>228</v>
      </c>
      <c r="AD540" s="126"/>
      <c r="AE540" s="126"/>
    </row>
    <row r="541" spans="5:34" s="9" customFormat="1" ht="15.75" customHeight="1" x14ac:dyDescent="0.15">
      <c r="H541" s="97"/>
      <c r="I541" s="97"/>
      <c r="J541" s="100"/>
      <c r="K541" s="97"/>
      <c r="L541" s="101"/>
      <c r="M541" s="104"/>
      <c r="N541" s="105"/>
      <c r="O541" s="76">
        <f>M540+O540</f>
        <v>1.3</v>
      </c>
      <c r="P541" s="77"/>
      <c r="Q541" s="134"/>
      <c r="R541" s="135"/>
      <c r="S541" s="136"/>
      <c r="T541" s="104"/>
      <c r="U541" s="105"/>
      <c r="V541" s="124"/>
      <c r="W541" s="125" t="s">
        <v>228</v>
      </c>
      <c r="X541" s="126"/>
      <c r="Y541" s="126"/>
      <c r="Z541" s="140"/>
      <c r="AA541" s="141"/>
      <c r="AB541" s="142"/>
      <c r="AC541" s="125" t="s">
        <v>228</v>
      </c>
      <c r="AD541" s="126"/>
      <c r="AE541" s="126"/>
    </row>
    <row r="542" spans="5:34" s="9" customFormat="1" ht="15.75" customHeight="1" x14ac:dyDescent="0.15">
      <c r="H542" s="96">
        <v>1</v>
      </c>
      <c r="I542" s="96"/>
      <c r="J542" s="98" t="s">
        <v>318</v>
      </c>
      <c r="K542" s="96"/>
      <c r="L542" s="99"/>
      <c r="M542" s="102">
        <v>13</v>
      </c>
      <c r="N542" s="103"/>
      <c r="O542" s="106">
        <f>O541</f>
        <v>1.3</v>
      </c>
      <c r="P542" s="92"/>
      <c r="Q542" s="131">
        <v>0</v>
      </c>
      <c r="R542" s="132"/>
      <c r="S542" s="133"/>
      <c r="T542" s="102">
        <v>43</v>
      </c>
      <c r="U542" s="103"/>
      <c r="V542" s="123"/>
      <c r="W542" s="127">
        <v>6</v>
      </c>
      <c r="X542" s="128"/>
      <c r="Y542" s="128"/>
      <c r="Z542" s="137">
        <v>5.2889999999999997</v>
      </c>
      <c r="AA542" s="138"/>
      <c r="AB542" s="139"/>
      <c r="AC542" s="74">
        <f>3*W542*O542*Z542</f>
        <v>123.76260000000001</v>
      </c>
      <c r="AD542" s="75"/>
      <c r="AE542" s="75"/>
    </row>
    <row r="543" spans="5:34" s="9" customFormat="1" ht="15.75" customHeight="1" x14ac:dyDescent="0.15">
      <c r="H543" s="97"/>
      <c r="I543" s="97"/>
      <c r="J543" s="100"/>
      <c r="K543" s="97"/>
      <c r="L543" s="101"/>
      <c r="M543" s="104"/>
      <c r="N543" s="105"/>
      <c r="O543" s="76">
        <f>M542+O542</f>
        <v>14.3</v>
      </c>
      <c r="P543" s="77"/>
      <c r="Q543" s="134"/>
      <c r="R543" s="135"/>
      <c r="S543" s="136"/>
      <c r="T543" s="104"/>
      <c r="U543" s="105"/>
      <c r="V543" s="124"/>
      <c r="W543" s="129">
        <v>9.6</v>
      </c>
      <c r="X543" s="130"/>
      <c r="Y543" s="130"/>
      <c r="Z543" s="140"/>
      <c r="AA543" s="141"/>
      <c r="AB543" s="142"/>
      <c r="AC543" s="71">
        <f>3*W543*O543*Z542</f>
        <v>2178.2217599999999</v>
      </c>
      <c r="AD543" s="107"/>
      <c r="AE543" s="107"/>
    </row>
    <row r="544" spans="5:34" s="9" customFormat="1" ht="15.75" customHeight="1" x14ac:dyDescent="0.15">
      <c r="H544" s="29"/>
      <c r="I544" s="29"/>
      <c r="J544" s="29"/>
      <c r="K544" s="29"/>
      <c r="L544" s="29"/>
      <c r="M544" s="16"/>
      <c r="N544" s="16"/>
      <c r="O544" s="16"/>
      <c r="P544" s="16"/>
      <c r="Q544" s="30"/>
      <c r="R544" s="30"/>
      <c r="S544" s="30"/>
      <c r="T544" s="16"/>
      <c r="U544" s="16"/>
      <c r="V544" s="16"/>
      <c r="W544" s="31"/>
      <c r="X544" s="31"/>
      <c r="Y544" s="31"/>
      <c r="Z544" s="32"/>
      <c r="AA544" s="32"/>
      <c r="AB544" s="32"/>
      <c r="AC544" s="28"/>
      <c r="AD544" s="28"/>
      <c r="AE544" s="28"/>
    </row>
    <row r="545" spans="4:13" s="9" customFormat="1" ht="15.75" customHeight="1" x14ac:dyDescent="0.15"/>
    <row r="546" spans="4:13" s="9" customFormat="1" ht="15.75" customHeight="1" x14ac:dyDescent="0.15">
      <c r="D546" s="12" t="s">
        <v>419</v>
      </c>
    </row>
    <row r="547" spans="4:13" s="9" customFormat="1" ht="15.75" customHeight="1" x14ac:dyDescent="0.15"/>
    <row r="548" spans="4:13" s="9" customFormat="1" ht="15.75" customHeight="1" x14ac:dyDescent="0.15">
      <c r="E548" s="9" t="s">
        <v>420</v>
      </c>
    </row>
    <row r="549" spans="4:13" s="9" customFormat="1" ht="15.75" customHeight="1" x14ac:dyDescent="0.15"/>
    <row r="550" spans="4:13" s="9" customFormat="1" ht="15.75" customHeight="1" x14ac:dyDescent="0.2">
      <c r="E550" s="69" t="s">
        <v>421</v>
      </c>
      <c r="F550" s="69"/>
      <c r="G550" s="6" t="s">
        <v>29</v>
      </c>
      <c r="H550" s="69" t="s">
        <v>441</v>
      </c>
      <c r="I550" s="69"/>
      <c r="J550" s="9" t="s">
        <v>1</v>
      </c>
      <c r="K550" s="69" t="s">
        <v>274</v>
      </c>
      <c r="L550" s="69"/>
    </row>
    <row r="551" spans="4:13" s="9" customFormat="1" ht="15.75" customHeight="1" x14ac:dyDescent="0.2">
      <c r="E551" s="69" t="s">
        <v>422</v>
      </c>
      <c r="F551" s="69"/>
      <c r="G551" s="6" t="s">
        <v>29</v>
      </c>
      <c r="H551" s="69" t="s">
        <v>33</v>
      </c>
      <c r="I551" s="69"/>
      <c r="J551" s="9" t="s">
        <v>1</v>
      </c>
      <c r="K551" s="69" t="s">
        <v>274</v>
      </c>
      <c r="L551" s="69"/>
    </row>
    <row r="552" spans="4:13" s="9" customFormat="1" ht="15.75" customHeight="1" x14ac:dyDescent="0.15"/>
    <row r="553" spans="4:13" s="9" customFormat="1" ht="15.75" customHeight="1" x14ac:dyDescent="0.2">
      <c r="F553" s="7" t="s">
        <v>3</v>
      </c>
      <c r="G553" s="7"/>
      <c r="H553" s="7"/>
      <c r="I553" s="69" t="s">
        <v>421</v>
      </c>
      <c r="J553" s="69"/>
      <c r="K553" s="6" t="s">
        <v>2</v>
      </c>
      <c r="L553" s="7" t="s">
        <v>423</v>
      </c>
    </row>
    <row r="554" spans="4:13" s="9" customFormat="1" ht="15.75" customHeight="1" x14ac:dyDescent="0.2">
      <c r="F554" s="7"/>
      <c r="G554" s="7"/>
      <c r="H554" s="7"/>
      <c r="I554" s="69" t="s">
        <v>422</v>
      </c>
      <c r="J554" s="69"/>
      <c r="K554" s="6" t="s">
        <v>2</v>
      </c>
      <c r="L554" s="7" t="s">
        <v>424</v>
      </c>
    </row>
    <row r="555" spans="4:13" s="9" customFormat="1" ht="15.75" customHeight="1" x14ac:dyDescent="0.2">
      <c r="I555" s="69" t="s">
        <v>441</v>
      </c>
      <c r="J555" s="69"/>
      <c r="K555" s="6" t="s">
        <v>2</v>
      </c>
      <c r="L555" s="7" t="s">
        <v>446</v>
      </c>
    </row>
    <row r="556" spans="4:13" s="9" customFormat="1" ht="15.75" customHeight="1" x14ac:dyDescent="0.2">
      <c r="I556" s="69" t="s">
        <v>33</v>
      </c>
      <c r="J556" s="69"/>
      <c r="K556" s="6" t="s">
        <v>2</v>
      </c>
      <c r="L556" s="7" t="s">
        <v>447</v>
      </c>
    </row>
    <row r="557" spans="4:13" s="9" customFormat="1" ht="15.75" customHeight="1" x14ac:dyDescent="0.2">
      <c r="I557" s="69" t="s">
        <v>274</v>
      </c>
      <c r="J557" s="69"/>
      <c r="K557" s="6" t="s">
        <v>2</v>
      </c>
      <c r="L557" s="7" t="s">
        <v>284</v>
      </c>
    </row>
    <row r="558" spans="4:13" s="9" customFormat="1" ht="15.75" customHeight="1" x14ac:dyDescent="0.15"/>
    <row r="559" spans="4:13" s="9" customFormat="1" ht="15.75" customHeight="1" x14ac:dyDescent="0.2">
      <c r="E559" s="69" t="s">
        <v>421</v>
      </c>
      <c r="F559" s="69"/>
      <c r="G559" s="6" t="s">
        <v>29</v>
      </c>
      <c r="H559" s="69" t="s">
        <v>441</v>
      </c>
      <c r="I559" s="69"/>
      <c r="J559" s="9" t="s">
        <v>1</v>
      </c>
      <c r="K559" s="69" t="s">
        <v>274</v>
      </c>
      <c r="L559" s="69"/>
    </row>
    <row r="560" spans="4:13" s="9" customFormat="1" ht="15.75" customHeight="1" x14ac:dyDescent="0.15">
      <c r="G560" s="6" t="s">
        <v>29</v>
      </c>
      <c r="H560" s="69">
        <v>0.6</v>
      </c>
      <c r="I560" s="69"/>
      <c r="J560" s="9" t="s">
        <v>1</v>
      </c>
      <c r="K560" s="143">
        <f>N426</f>
        <v>3981.9686884250636</v>
      </c>
      <c r="L560" s="69"/>
      <c r="M560" s="69"/>
    </row>
    <row r="561" spans="4:13" s="9" customFormat="1" ht="15.75" customHeight="1" x14ac:dyDescent="0.15">
      <c r="G561" s="6" t="s">
        <v>29</v>
      </c>
      <c r="H561" s="143">
        <f>H560*K560</f>
        <v>2389.1812130550379</v>
      </c>
      <c r="I561" s="69"/>
      <c r="J561" s="69"/>
      <c r="K561" s="9" t="s">
        <v>425</v>
      </c>
    </row>
    <row r="562" spans="4:13" s="9" customFormat="1" ht="15.75" customHeight="1" x14ac:dyDescent="0.15"/>
    <row r="563" spans="4:13" s="9" customFormat="1" ht="15.75" customHeight="1" x14ac:dyDescent="0.2">
      <c r="E563" s="69" t="s">
        <v>422</v>
      </c>
      <c r="F563" s="69"/>
      <c r="G563" s="6" t="s">
        <v>29</v>
      </c>
      <c r="H563" s="69" t="s">
        <v>33</v>
      </c>
      <c r="I563" s="69"/>
      <c r="J563" s="9" t="s">
        <v>1</v>
      </c>
      <c r="K563" s="69" t="s">
        <v>274</v>
      </c>
      <c r="L563" s="69"/>
    </row>
    <row r="564" spans="4:13" s="9" customFormat="1" ht="15.75" customHeight="1" x14ac:dyDescent="0.15">
      <c r="G564" s="6" t="s">
        <v>29</v>
      </c>
      <c r="H564" s="69">
        <v>1.4</v>
      </c>
      <c r="I564" s="69"/>
      <c r="J564" s="9" t="s">
        <v>1</v>
      </c>
      <c r="K564" s="143">
        <f>N426</f>
        <v>3981.9686884250636</v>
      </c>
      <c r="L564" s="69"/>
      <c r="M564" s="69"/>
    </row>
    <row r="565" spans="4:13" s="9" customFormat="1" ht="15.75" customHeight="1" x14ac:dyDescent="0.15">
      <c r="G565" s="6" t="s">
        <v>29</v>
      </c>
      <c r="H565" s="143">
        <f>H564*K564</f>
        <v>5574.7561637950885</v>
      </c>
      <c r="I565" s="69"/>
      <c r="J565" s="69"/>
      <c r="K565" s="9" t="s">
        <v>425</v>
      </c>
    </row>
    <row r="566" spans="4:13" s="9" customFormat="1" ht="15.75" customHeight="1" x14ac:dyDescent="0.15"/>
    <row r="567" spans="4:13" s="9" customFormat="1" ht="15.75" customHeight="1" x14ac:dyDescent="0.15"/>
    <row r="568" spans="4:13" s="9" customFormat="1" ht="15.75" customHeight="1" x14ac:dyDescent="0.15">
      <c r="D568" s="12" t="s">
        <v>426</v>
      </c>
    </row>
    <row r="569" spans="4:13" s="9" customFormat="1" ht="15.75" customHeight="1" x14ac:dyDescent="0.15"/>
    <row r="570" spans="4:13" s="9" customFormat="1" ht="15.75" customHeight="1" x14ac:dyDescent="0.15">
      <c r="E570" s="9" t="s">
        <v>427</v>
      </c>
    </row>
    <row r="571" spans="4:13" s="9" customFormat="1" ht="15.75" customHeight="1" x14ac:dyDescent="0.15">
      <c r="E571" s="9" t="s">
        <v>90</v>
      </c>
    </row>
    <row r="572" spans="4:13" s="9" customFormat="1" ht="15.75" customHeight="1" x14ac:dyDescent="0.15"/>
    <row r="573" spans="4:13" s="9" customFormat="1" ht="15.75" customHeight="1" x14ac:dyDescent="0.2">
      <c r="E573" s="69" t="s">
        <v>428</v>
      </c>
      <c r="F573" s="69"/>
      <c r="G573" s="6" t="s">
        <v>29</v>
      </c>
      <c r="H573" s="69" t="s">
        <v>41</v>
      </c>
      <c r="I573" s="69"/>
      <c r="J573" s="9" t="s">
        <v>1</v>
      </c>
      <c r="K573" s="69" t="s">
        <v>276</v>
      </c>
      <c r="L573" s="69"/>
    </row>
    <row r="574" spans="4:13" s="9" customFormat="1" ht="15.75" customHeight="1" x14ac:dyDescent="0.2">
      <c r="E574" s="69" t="s">
        <v>429</v>
      </c>
      <c r="F574" s="69"/>
      <c r="G574" s="6" t="s">
        <v>29</v>
      </c>
      <c r="H574" s="69" t="s">
        <v>42</v>
      </c>
      <c r="I574" s="69"/>
      <c r="J574" s="9" t="s">
        <v>1</v>
      </c>
      <c r="K574" s="69" t="s">
        <v>276</v>
      </c>
      <c r="L574" s="69"/>
    </row>
    <row r="575" spans="4:13" s="9" customFormat="1" ht="15.75" customHeight="1" x14ac:dyDescent="0.15"/>
    <row r="576" spans="4:13" s="9" customFormat="1" ht="15.75" customHeight="1" x14ac:dyDescent="0.2">
      <c r="F576" s="7" t="s">
        <v>3</v>
      </c>
      <c r="G576" s="7"/>
      <c r="H576" s="7"/>
      <c r="I576" s="69" t="s">
        <v>421</v>
      </c>
      <c r="J576" s="69"/>
      <c r="K576" s="6" t="s">
        <v>2</v>
      </c>
      <c r="L576" s="7" t="s">
        <v>430</v>
      </c>
    </row>
    <row r="577" spans="4:39" s="9" customFormat="1" ht="15.75" customHeight="1" x14ac:dyDescent="0.2">
      <c r="F577" s="7"/>
      <c r="G577" s="7"/>
      <c r="H577" s="7"/>
      <c r="I577" s="69" t="s">
        <v>422</v>
      </c>
      <c r="J577" s="69"/>
      <c r="K577" s="6" t="s">
        <v>2</v>
      </c>
      <c r="L577" s="7" t="s">
        <v>431</v>
      </c>
    </row>
    <row r="578" spans="4:39" s="9" customFormat="1" ht="15.75" customHeight="1" x14ac:dyDescent="0.2">
      <c r="I578" s="69" t="s">
        <v>41</v>
      </c>
      <c r="J578" s="69"/>
      <c r="K578" s="6" t="s">
        <v>2</v>
      </c>
      <c r="L578" s="7" t="s">
        <v>444</v>
      </c>
    </row>
    <row r="579" spans="4:39" s="9" customFormat="1" ht="15.75" customHeight="1" x14ac:dyDescent="0.2">
      <c r="I579" s="69" t="s">
        <v>42</v>
      </c>
      <c r="J579" s="69"/>
      <c r="K579" s="6" t="s">
        <v>2</v>
      </c>
      <c r="L579" s="7" t="s">
        <v>445</v>
      </c>
    </row>
    <row r="580" spans="4:39" s="9" customFormat="1" ht="15.75" customHeight="1" x14ac:dyDescent="0.2">
      <c r="I580" s="69" t="s">
        <v>274</v>
      </c>
      <c r="J580" s="69"/>
      <c r="K580" s="6" t="s">
        <v>2</v>
      </c>
      <c r="L580" s="7" t="s">
        <v>279</v>
      </c>
    </row>
    <row r="581" spans="4:39" s="9" customFormat="1" ht="15.75" customHeight="1" x14ac:dyDescent="0.15"/>
    <row r="582" spans="4:39" s="9" customFormat="1" ht="15.75" customHeight="1" x14ac:dyDescent="0.15">
      <c r="I582" s="7"/>
      <c r="J582" s="7"/>
      <c r="K582" s="7"/>
      <c r="L582" s="83" t="s">
        <v>432</v>
      </c>
      <c r="M582" s="83"/>
      <c r="N582" s="83"/>
      <c r="O582" s="83"/>
      <c r="P582" s="83"/>
      <c r="Q582" s="83"/>
      <c r="R582" s="83"/>
      <c r="S582" s="83"/>
      <c r="T582" s="83"/>
      <c r="U582" s="83"/>
      <c r="V582" s="83"/>
      <c r="W582" s="83"/>
      <c r="X582" s="83"/>
      <c r="Y582" s="83"/>
      <c r="Z582" s="83"/>
      <c r="AA582" s="83"/>
      <c r="AB582" s="83"/>
      <c r="AC582" s="15"/>
      <c r="AD582" s="15"/>
      <c r="AE582" s="15"/>
    </row>
    <row r="583" spans="4:39" s="9" customFormat="1" ht="15.75" customHeight="1" x14ac:dyDescent="0.15">
      <c r="I583" s="109" t="s">
        <v>93</v>
      </c>
      <c r="J583" s="109"/>
      <c r="K583" s="112"/>
      <c r="L583" s="84" t="s">
        <v>322</v>
      </c>
      <c r="M583" s="85"/>
      <c r="N583" s="86"/>
      <c r="O583" s="84" t="s">
        <v>442</v>
      </c>
      <c r="P583" s="85"/>
      <c r="Q583" s="86"/>
      <c r="R583" s="84" t="s">
        <v>443</v>
      </c>
      <c r="S583" s="85"/>
      <c r="T583" s="86"/>
      <c r="U583" s="79" t="s">
        <v>433</v>
      </c>
      <c r="V583" s="79"/>
      <c r="W583" s="79"/>
      <c r="X583" s="80"/>
      <c r="Y583" s="79" t="s">
        <v>434</v>
      </c>
      <c r="Z583" s="79"/>
      <c r="AA583" s="79"/>
      <c r="AB583" s="80"/>
    </row>
    <row r="584" spans="4:39" s="9" customFormat="1" ht="15.75" customHeight="1" x14ac:dyDescent="0.15">
      <c r="I584" s="110"/>
      <c r="J584" s="110"/>
      <c r="K584" s="114"/>
      <c r="L584" s="87"/>
      <c r="M584" s="88"/>
      <c r="N584" s="89"/>
      <c r="O584" s="87"/>
      <c r="P584" s="88"/>
      <c r="Q584" s="89"/>
      <c r="R584" s="87"/>
      <c r="S584" s="88"/>
      <c r="T584" s="89"/>
      <c r="U584" s="79"/>
      <c r="V584" s="79"/>
      <c r="W584" s="79"/>
      <c r="X584" s="80"/>
      <c r="Y584" s="79"/>
      <c r="Z584" s="79"/>
      <c r="AA584" s="79"/>
      <c r="AB584" s="80"/>
    </row>
    <row r="585" spans="4:39" s="9" customFormat="1" ht="15.75" customHeight="1" x14ac:dyDescent="0.15">
      <c r="I585" s="91" t="s">
        <v>94</v>
      </c>
      <c r="J585" s="72"/>
      <c r="K585" s="72"/>
      <c r="L585" s="118">
        <f>Q429</f>
        <v>4958.7679262649926</v>
      </c>
      <c r="M585" s="119"/>
      <c r="N585" s="120"/>
      <c r="O585" s="118">
        <v>1.2</v>
      </c>
      <c r="P585" s="119"/>
      <c r="Q585" s="120"/>
      <c r="R585" s="118">
        <v>1.4</v>
      </c>
      <c r="S585" s="119"/>
      <c r="T585" s="120"/>
      <c r="U585" s="70">
        <f>L585*$O$585</f>
        <v>5950.5215115179908</v>
      </c>
      <c r="V585" s="70"/>
      <c r="W585" s="70"/>
      <c r="X585" s="70"/>
      <c r="Y585" s="70">
        <f>L585*$R$585</f>
        <v>6942.275096770989</v>
      </c>
      <c r="Z585" s="70"/>
      <c r="AA585" s="70"/>
      <c r="AB585" s="71"/>
      <c r="AH585" s="7"/>
      <c r="AI585" s="7"/>
      <c r="AJ585" s="7"/>
      <c r="AK585" s="7"/>
      <c r="AL585" s="7"/>
      <c r="AM585" s="7"/>
    </row>
    <row r="586" spans="4:39" s="9" customFormat="1" ht="15.75" customHeight="1" x14ac:dyDescent="0.15">
      <c r="I586" s="7"/>
      <c r="J586" s="6"/>
      <c r="K586" s="7"/>
      <c r="L586" s="6"/>
      <c r="M586" s="6"/>
      <c r="N586" s="6"/>
      <c r="O586" s="6"/>
      <c r="P586" s="6"/>
      <c r="Q586" s="6"/>
      <c r="R586" s="6"/>
      <c r="S586" s="6"/>
      <c r="T586" s="6"/>
      <c r="U586" s="6"/>
      <c r="V586" s="15"/>
      <c r="W586" s="23"/>
      <c r="X586" s="6"/>
      <c r="Y586" s="15"/>
      <c r="Z586" s="15"/>
      <c r="AA586" s="15"/>
      <c r="AB586" s="15"/>
      <c r="AL586" s="7"/>
      <c r="AM586" s="7"/>
    </row>
    <row r="587" spans="4:39" s="9" customFormat="1" ht="15.75" customHeight="1" x14ac:dyDescent="0.15"/>
    <row r="588" spans="4:39" s="9" customFormat="1" ht="15.75" customHeight="1" x14ac:dyDescent="0.15"/>
    <row r="589" spans="4:39" s="9" customFormat="1" ht="15.75" customHeight="1" x14ac:dyDescent="0.15">
      <c r="D589" s="12" t="s">
        <v>435</v>
      </c>
    </row>
    <row r="590" spans="4:39" s="9" customFormat="1" ht="15.75" customHeight="1" x14ac:dyDescent="0.15"/>
    <row r="591" spans="4:39" s="9" customFormat="1" ht="15.75" customHeight="1" x14ac:dyDescent="0.2">
      <c r="E591" s="9" t="s">
        <v>436</v>
      </c>
    </row>
    <row r="592" spans="4:39" s="9" customFormat="1" ht="15.75" customHeight="1" x14ac:dyDescent="0.15"/>
    <row r="593" spans="9:28" s="9" customFormat="1" ht="15.75" customHeight="1" x14ac:dyDescent="0.15">
      <c r="J593" s="122" t="s">
        <v>438</v>
      </c>
      <c r="K593" s="122"/>
      <c r="L593" s="122"/>
      <c r="M593" s="122"/>
      <c r="N593" s="122"/>
      <c r="O593" s="122"/>
      <c r="P593" s="122"/>
      <c r="Q593" s="122"/>
      <c r="R593" s="122"/>
      <c r="S593" s="122"/>
      <c r="T593" s="122"/>
      <c r="U593" s="122"/>
      <c r="V593" s="122"/>
      <c r="W593" s="122"/>
      <c r="X593" s="122"/>
      <c r="Y593" s="122"/>
      <c r="Z593" s="122"/>
      <c r="AA593" s="122"/>
    </row>
    <row r="594" spans="9:28" s="9" customFormat="1" ht="15.75" customHeight="1" x14ac:dyDescent="0.15">
      <c r="I594" s="109" t="s">
        <v>93</v>
      </c>
      <c r="J594" s="109"/>
      <c r="K594" s="111" t="s">
        <v>316</v>
      </c>
      <c r="L594" s="109"/>
      <c r="M594" s="112"/>
      <c r="N594" s="84" t="s">
        <v>241</v>
      </c>
      <c r="O594" s="115"/>
      <c r="P594" s="84" t="s">
        <v>411</v>
      </c>
      <c r="Q594" s="115"/>
      <c r="R594" s="72" t="s">
        <v>412</v>
      </c>
      <c r="S594" s="72"/>
      <c r="T594" s="79" t="s">
        <v>418</v>
      </c>
      <c r="U594" s="72"/>
      <c r="V594" s="121"/>
      <c r="W594" s="72" t="s">
        <v>439</v>
      </c>
      <c r="X594" s="72"/>
      <c r="Y594" s="79" t="s">
        <v>440</v>
      </c>
      <c r="Z594" s="79"/>
      <c r="AA594" s="79"/>
      <c r="AB594" s="80"/>
    </row>
    <row r="595" spans="9:28" s="9" customFormat="1" ht="15.75" customHeight="1" x14ac:dyDescent="0.15">
      <c r="I595" s="110"/>
      <c r="J595" s="110"/>
      <c r="K595" s="113"/>
      <c r="L595" s="110"/>
      <c r="M595" s="114"/>
      <c r="N595" s="116"/>
      <c r="O595" s="117"/>
      <c r="P595" s="116"/>
      <c r="Q595" s="117"/>
      <c r="R595" s="72"/>
      <c r="S595" s="72"/>
      <c r="T595" s="72"/>
      <c r="U595" s="72"/>
      <c r="V595" s="121"/>
      <c r="W595" s="72"/>
      <c r="X595" s="72"/>
      <c r="Y595" s="79"/>
      <c r="Z595" s="79"/>
      <c r="AA595" s="79"/>
      <c r="AB595" s="80"/>
    </row>
    <row r="596" spans="9:28" s="9" customFormat="1" ht="15.75" customHeight="1" x14ac:dyDescent="0.15">
      <c r="I596" s="90" t="s">
        <v>96</v>
      </c>
      <c r="J596" s="91"/>
      <c r="K596" s="92" t="s">
        <v>475</v>
      </c>
      <c r="L596" s="93"/>
      <c r="M596" s="94"/>
      <c r="N596" s="77">
        <v>1.3</v>
      </c>
      <c r="O596" s="95"/>
      <c r="P596" s="76">
        <v>1.3</v>
      </c>
      <c r="Q596" s="77"/>
      <c r="R596" s="78" t="s">
        <v>413</v>
      </c>
      <c r="S596" s="78"/>
      <c r="T596" s="74" t="s">
        <v>228</v>
      </c>
      <c r="U596" s="75"/>
      <c r="V596" s="75"/>
      <c r="W596" s="73">
        <f>入力!G23</f>
        <v>1.3</v>
      </c>
      <c r="X596" s="73"/>
      <c r="Y596" s="70" t="s">
        <v>228</v>
      </c>
      <c r="Z596" s="70"/>
      <c r="AA596" s="70"/>
      <c r="AB596" s="71"/>
    </row>
    <row r="597" spans="9:28" s="9" customFormat="1" ht="15.75" customHeight="1" x14ac:dyDescent="0.15">
      <c r="I597" s="96" t="s">
        <v>410</v>
      </c>
      <c r="J597" s="96"/>
      <c r="K597" s="98" t="s">
        <v>318</v>
      </c>
      <c r="L597" s="96"/>
      <c r="M597" s="99"/>
      <c r="N597" s="102">
        <f>入力!C5</f>
        <v>0.2</v>
      </c>
      <c r="O597" s="103"/>
      <c r="P597" s="106">
        <f>P596</f>
        <v>1.3</v>
      </c>
      <c r="Q597" s="92"/>
      <c r="R597" s="78" t="s">
        <v>414</v>
      </c>
      <c r="S597" s="78"/>
      <c r="T597" s="74">
        <f>AC542</f>
        <v>123.76260000000001</v>
      </c>
      <c r="U597" s="75"/>
      <c r="V597" s="75"/>
      <c r="W597" s="73"/>
      <c r="X597" s="73"/>
      <c r="Y597" s="70">
        <f>T597*$W$596</f>
        <v>160.89138000000003</v>
      </c>
      <c r="Z597" s="70"/>
      <c r="AA597" s="70"/>
      <c r="AB597" s="71"/>
    </row>
    <row r="598" spans="9:28" s="9" customFormat="1" ht="15.75" customHeight="1" x14ac:dyDescent="0.15">
      <c r="I598" s="97"/>
      <c r="J598" s="97"/>
      <c r="K598" s="100"/>
      <c r="L598" s="97"/>
      <c r="M598" s="101"/>
      <c r="N598" s="104"/>
      <c r="O598" s="105"/>
      <c r="P598" s="76">
        <f>N597+P597</f>
        <v>1.5</v>
      </c>
      <c r="Q598" s="77"/>
      <c r="R598" s="78" t="s">
        <v>413</v>
      </c>
      <c r="S598" s="78"/>
      <c r="T598" s="71">
        <f>AC543</f>
        <v>2178.2217599999999</v>
      </c>
      <c r="U598" s="107"/>
      <c r="V598" s="108"/>
      <c r="W598" s="73"/>
      <c r="X598" s="73"/>
      <c r="Y598" s="70">
        <f>T598*$W$596</f>
        <v>2831.6882879999998</v>
      </c>
      <c r="Z598" s="70"/>
      <c r="AA598" s="70"/>
      <c r="AB598" s="71"/>
    </row>
    <row r="599" spans="9:28" s="9" customFormat="1" ht="15.75" customHeight="1" x14ac:dyDescent="0.15"/>
    <row r="600" spans="9:28" s="9" customFormat="1" ht="15.75" customHeight="1" x14ac:dyDescent="0.15"/>
    <row r="601" spans="9:28" s="9" customFormat="1" ht="15.75" customHeight="1" x14ac:dyDescent="0.15"/>
    <row r="602" spans="9:28" s="9" customFormat="1" ht="15.75" customHeight="1" x14ac:dyDescent="0.15"/>
    <row r="603" spans="9:28" s="9" customFormat="1" ht="15.75" customHeight="1" x14ac:dyDescent="0.15"/>
    <row r="604" spans="9:28" s="9" customFormat="1" ht="15.75" customHeight="1" x14ac:dyDescent="0.15"/>
    <row r="605" spans="9:28" s="9" customFormat="1" ht="15.75" customHeight="1" x14ac:dyDescent="0.15"/>
    <row r="606" spans="9:28" s="9" customFormat="1" ht="15.75" customHeight="1" x14ac:dyDescent="0.15"/>
    <row r="607" spans="9:28" s="9" customFormat="1" ht="15.75" customHeight="1" x14ac:dyDescent="0.15"/>
    <row r="608" spans="9:28" s="9" customFormat="1" ht="15.75" customHeight="1" x14ac:dyDescent="0.15"/>
    <row r="609" s="9" customFormat="1" ht="15.75" customHeight="1" x14ac:dyDescent="0.15"/>
    <row r="610" s="9" customFormat="1" ht="15.75" customHeight="1" x14ac:dyDescent="0.15"/>
    <row r="611" s="9" customFormat="1" ht="15.75" customHeight="1" x14ac:dyDescent="0.15"/>
    <row r="612" s="9" customFormat="1" ht="15.75" customHeight="1" x14ac:dyDescent="0.15"/>
    <row r="613" s="9" customFormat="1" ht="15.75" customHeight="1" x14ac:dyDescent="0.15"/>
    <row r="614" s="9" customFormat="1" ht="15.75" customHeight="1" x14ac:dyDescent="0.15"/>
    <row r="615" s="9" customFormat="1" ht="15.75" customHeight="1" x14ac:dyDescent="0.15"/>
    <row r="616" s="9" customFormat="1" ht="15.75" customHeight="1" x14ac:dyDescent="0.15"/>
    <row r="617" s="9" customFormat="1" ht="15.75" customHeight="1" x14ac:dyDescent="0.15"/>
    <row r="618" s="9" customFormat="1" ht="15.75" customHeight="1" x14ac:dyDescent="0.15"/>
    <row r="619" s="9" customFormat="1" ht="15.75" customHeight="1" x14ac:dyDescent="0.15"/>
    <row r="620" s="9" customFormat="1" ht="15.75" customHeight="1" x14ac:dyDescent="0.15"/>
    <row r="621" s="9" customFormat="1" ht="15.75" customHeight="1" x14ac:dyDescent="0.15"/>
    <row r="622" s="9" customFormat="1" ht="15.75" customHeight="1" x14ac:dyDescent="0.15"/>
    <row r="623" s="9" customFormat="1" ht="15.75" customHeight="1" x14ac:dyDescent="0.15"/>
    <row r="624" s="9" customFormat="1" ht="15.75" customHeight="1" x14ac:dyDescent="0.15"/>
    <row r="625" s="9" customFormat="1" ht="15.75" customHeight="1" x14ac:dyDescent="0.15"/>
    <row r="626" s="9" customFormat="1" ht="15.75" customHeight="1" x14ac:dyDescent="0.15"/>
    <row r="627" s="9" customFormat="1" ht="15.75" customHeight="1" x14ac:dyDescent="0.15"/>
    <row r="628" s="9" customFormat="1" ht="15.75" customHeight="1" x14ac:dyDescent="0.15"/>
    <row r="629" s="9" customFormat="1" ht="15.75" customHeight="1" x14ac:dyDescent="0.15"/>
    <row r="630" s="9" customFormat="1" ht="15.75" customHeight="1" x14ac:dyDescent="0.15"/>
    <row r="631" s="9" customFormat="1" ht="15.75" customHeight="1" x14ac:dyDescent="0.15"/>
    <row r="632" s="9" customFormat="1" ht="15.75" customHeight="1" x14ac:dyDescent="0.15"/>
    <row r="633" s="9" customFormat="1" ht="15.75" customHeight="1" x14ac:dyDescent="0.15"/>
    <row r="634" s="9" customFormat="1" ht="15.75" customHeight="1" x14ac:dyDescent="0.15"/>
    <row r="635" s="9" customFormat="1" ht="15.75" customHeight="1" x14ac:dyDescent="0.15"/>
    <row r="636" s="9" customFormat="1" ht="15.75" customHeight="1" x14ac:dyDescent="0.15"/>
    <row r="637" s="9" customFormat="1" ht="15.75" customHeight="1" x14ac:dyDescent="0.15"/>
    <row r="638" s="9" customFormat="1" ht="15.75" customHeight="1" x14ac:dyDescent="0.15"/>
    <row r="639" s="9" customFormat="1" ht="15.75" customHeight="1" x14ac:dyDescent="0.15"/>
    <row r="640" s="9" customFormat="1" ht="15.75" customHeight="1" x14ac:dyDescent="0.15"/>
    <row r="641" s="9" customFormat="1" ht="15.75" customHeight="1" x14ac:dyDescent="0.15"/>
    <row r="642" s="9" customFormat="1" ht="15.75" customHeight="1" x14ac:dyDescent="0.15"/>
    <row r="643" s="9" customFormat="1" ht="15.75" customHeight="1" x14ac:dyDescent="0.15"/>
    <row r="644" s="9" customFormat="1" ht="15.75" customHeight="1" x14ac:dyDescent="0.15"/>
    <row r="645" s="9" customFormat="1" ht="15.75" customHeight="1" x14ac:dyDescent="0.15"/>
    <row r="646" s="9" customFormat="1" ht="15.75" customHeight="1" x14ac:dyDescent="0.15"/>
    <row r="647" s="9" customFormat="1" ht="15.75" customHeight="1" x14ac:dyDescent="0.15"/>
    <row r="648" s="9" customFormat="1" ht="15.75" customHeight="1" x14ac:dyDescent="0.15"/>
    <row r="649" s="9" customFormat="1" ht="15.75" customHeight="1" x14ac:dyDescent="0.15"/>
    <row r="650" s="9" customFormat="1" ht="15.75" customHeight="1" x14ac:dyDescent="0.15"/>
    <row r="651" s="9" customFormat="1" ht="15.75" customHeight="1" x14ac:dyDescent="0.15"/>
    <row r="652" s="9" customFormat="1" ht="15.75" customHeight="1" x14ac:dyDescent="0.15"/>
    <row r="653" s="9" customFormat="1" ht="15.75" customHeight="1" x14ac:dyDescent="0.15"/>
    <row r="654" s="9" customFormat="1" ht="15.75" customHeight="1" x14ac:dyDescent="0.15"/>
    <row r="655" s="9" customFormat="1" ht="15.75" customHeight="1" x14ac:dyDescent="0.15"/>
    <row r="656" s="9" customFormat="1" ht="15.75" customHeight="1" x14ac:dyDescent="0.15"/>
    <row r="657" s="9" customFormat="1" ht="15.75" customHeight="1" x14ac:dyDescent="0.15"/>
    <row r="658" s="9" customFormat="1" ht="15.75" customHeight="1" x14ac:dyDescent="0.15"/>
    <row r="659" s="9" customFormat="1" ht="15.75" customHeight="1" x14ac:dyDescent="0.15"/>
    <row r="660" s="9" customFormat="1" ht="15.75" customHeight="1" x14ac:dyDescent="0.15"/>
    <row r="661" s="9" customFormat="1" ht="15.75" customHeight="1" x14ac:dyDescent="0.15"/>
    <row r="662" s="9" customFormat="1" ht="15.75" customHeight="1" x14ac:dyDescent="0.15"/>
    <row r="663" s="9" customFormat="1" ht="15.75" customHeight="1" x14ac:dyDescent="0.15"/>
    <row r="664" s="9" customFormat="1" ht="15.75" customHeight="1" x14ac:dyDescent="0.15"/>
    <row r="665" s="9" customFormat="1" ht="15.75" customHeight="1" x14ac:dyDescent="0.15"/>
    <row r="666" s="9" customFormat="1" ht="15.75" customHeight="1" x14ac:dyDescent="0.15"/>
    <row r="667" s="9" customFormat="1" ht="15.75" customHeight="1" x14ac:dyDescent="0.15"/>
    <row r="668" s="9" customFormat="1" ht="15.75" customHeight="1" x14ac:dyDescent="0.15"/>
    <row r="669" s="9" customFormat="1" ht="15.75" customHeight="1" x14ac:dyDescent="0.15"/>
    <row r="670" s="9" customFormat="1" ht="15.75" customHeight="1" x14ac:dyDescent="0.15"/>
    <row r="671" s="9" customFormat="1" ht="15.75" customHeight="1" x14ac:dyDescent="0.15"/>
    <row r="672" s="9" customFormat="1" ht="15.75" customHeight="1" x14ac:dyDescent="0.15"/>
    <row r="673" s="9" customFormat="1" ht="15.75" customHeight="1" x14ac:dyDescent="0.15"/>
    <row r="674" s="9" customFormat="1" ht="15.75" customHeight="1" x14ac:dyDescent="0.15"/>
    <row r="675" s="9" customFormat="1" ht="15.75" customHeight="1" x14ac:dyDescent="0.15"/>
    <row r="676" s="9" customFormat="1" ht="15.75" customHeight="1" x14ac:dyDescent="0.15"/>
    <row r="677" s="9" customFormat="1" ht="15.75" customHeight="1" x14ac:dyDescent="0.15"/>
    <row r="678" s="9" customFormat="1" ht="15.75" customHeight="1" x14ac:dyDescent="0.15"/>
    <row r="679" s="9" customFormat="1" ht="15.75" customHeight="1" x14ac:dyDescent="0.15"/>
    <row r="680" s="9" customFormat="1" ht="15.75" customHeight="1" x14ac:dyDescent="0.15"/>
    <row r="681" s="9" customFormat="1" ht="15.75" customHeight="1" x14ac:dyDescent="0.15"/>
    <row r="682" s="9" customFormat="1" ht="15.75" customHeight="1" x14ac:dyDescent="0.15"/>
    <row r="683" s="9" customFormat="1" ht="15.75" customHeight="1" x14ac:dyDescent="0.15"/>
    <row r="684" s="9" customFormat="1" ht="15.75" customHeight="1" x14ac:dyDescent="0.15"/>
    <row r="685" s="9" customFormat="1" ht="15.75" customHeight="1" x14ac:dyDescent="0.15"/>
    <row r="686" s="9" customFormat="1" ht="15.75" customHeight="1" x14ac:dyDescent="0.15"/>
    <row r="687" s="9" customFormat="1" ht="15.75" customHeight="1" x14ac:dyDescent="0.15"/>
    <row r="688" s="9" customFormat="1" ht="15.75" customHeight="1" x14ac:dyDescent="0.15"/>
    <row r="689" s="9" customFormat="1" ht="15.75" customHeight="1" x14ac:dyDescent="0.15"/>
    <row r="690" s="9" customFormat="1" ht="15.75" customHeight="1" x14ac:dyDescent="0.15"/>
    <row r="691" s="9" customFormat="1" ht="15.75" customHeight="1" x14ac:dyDescent="0.15"/>
    <row r="692" s="9" customFormat="1" ht="15.75" customHeight="1" x14ac:dyDescent="0.15"/>
    <row r="693" s="9" customFormat="1" ht="15.75" customHeight="1" x14ac:dyDescent="0.15"/>
    <row r="694" s="9" customFormat="1" ht="15.75" customHeight="1" x14ac:dyDescent="0.15"/>
    <row r="695" s="9" customFormat="1" ht="15.75" customHeight="1" x14ac:dyDescent="0.15"/>
    <row r="696" s="9" customFormat="1" ht="15.75" customHeight="1" x14ac:dyDescent="0.15"/>
    <row r="697" s="9" customFormat="1" ht="15.75" customHeight="1" x14ac:dyDescent="0.15"/>
    <row r="698" s="9" customFormat="1" ht="15.75" customHeight="1" x14ac:dyDescent="0.15"/>
    <row r="699" s="9" customFormat="1" ht="15.75" customHeight="1" x14ac:dyDescent="0.15"/>
    <row r="700" s="9" customFormat="1" ht="15.75" customHeight="1" x14ac:dyDescent="0.15"/>
    <row r="701" s="9" customFormat="1" ht="15.75" customHeight="1" x14ac:dyDescent="0.15"/>
    <row r="702" s="9" customFormat="1" ht="15.75" customHeight="1" x14ac:dyDescent="0.15"/>
    <row r="703" s="9" customFormat="1" ht="15.75" customHeight="1" x14ac:dyDescent="0.15"/>
    <row r="704" s="9" customFormat="1" ht="15.75" customHeight="1" x14ac:dyDescent="0.15"/>
    <row r="705" s="9" customFormat="1" ht="15.75" customHeight="1" x14ac:dyDescent="0.15"/>
    <row r="706" s="9" customFormat="1" ht="15.75" customHeight="1" x14ac:dyDescent="0.15"/>
    <row r="707" s="9" customFormat="1" ht="15.75" customHeight="1" x14ac:dyDescent="0.15"/>
    <row r="708" s="9" customFormat="1" ht="15.75" customHeight="1" x14ac:dyDescent="0.15"/>
    <row r="709" s="9" customFormat="1" ht="15.75" customHeight="1" x14ac:dyDescent="0.15"/>
    <row r="710" s="9" customFormat="1" ht="15.75" customHeight="1" x14ac:dyDescent="0.15"/>
    <row r="711" s="9" customFormat="1" ht="15.75" customHeight="1" x14ac:dyDescent="0.15"/>
    <row r="712" s="9" customFormat="1" ht="15.75" customHeight="1" x14ac:dyDescent="0.15"/>
    <row r="713" s="9" customFormat="1" ht="15.75" customHeight="1" x14ac:dyDescent="0.15"/>
    <row r="714" s="9" customFormat="1" ht="15.75" customHeight="1" x14ac:dyDescent="0.15"/>
    <row r="715" s="9" customFormat="1" ht="15.75" customHeight="1" x14ac:dyDescent="0.15"/>
    <row r="716" s="9" customFormat="1" ht="15.75" customHeight="1" x14ac:dyDescent="0.15"/>
    <row r="717" s="9" customFormat="1" ht="15.75" customHeight="1" x14ac:dyDescent="0.15"/>
    <row r="718" s="9" customFormat="1" ht="15.75" customHeight="1" x14ac:dyDescent="0.15"/>
    <row r="719" s="9" customFormat="1" ht="15.75" customHeight="1" x14ac:dyDescent="0.15"/>
    <row r="720" s="9" customFormat="1" ht="15.75" customHeight="1" x14ac:dyDescent="0.15"/>
    <row r="721" s="9" customFormat="1" ht="15.75" customHeight="1" x14ac:dyDescent="0.15"/>
    <row r="722" s="9" customFormat="1" ht="15.75" customHeight="1" x14ac:dyDescent="0.15"/>
    <row r="723" s="9" customFormat="1" ht="15.75" customHeight="1" x14ac:dyDescent="0.15"/>
    <row r="724" s="9" customFormat="1" ht="15.75" customHeight="1" x14ac:dyDescent="0.15"/>
    <row r="725" s="9" customFormat="1" ht="15.75" customHeight="1" x14ac:dyDescent="0.15"/>
    <row r="726" s="9" customFormat="1" ht="15.75" customHeight="1" x14ac:dyDescent="0.15"/>
    <row r="727" s="9" customFormat="1" ht="15.75" customHeight="1" x14ac:dyDescent="0.15"/>
    <row r="728" s="9" customFormat="1" ht="15.75" customHeight="1" x14ac:dyDescent="0.15"/>
    <row r="729" s="9" customFormat="1" ht="15.75" customHeight="1" x14ac:dyDescent="0.15"/>
    <row r="730" s="9" customFormat="1" ht="15.75" customHeight="1" x14ac:dyDescent="0.15"/>
    <row r="731" s="9" customFormat="1" ht="15.75" customHeight="1" x14ac:dyDescent="0.15"/>
    <row r="732" s="9" customFormat="1" ht="15.75" customHeight="1" x14ac:dyDescent="0.15"/>
    <row r="733" s="9" customFormat="1" ht="15.75" customHeight="1" x14ac:dyDescent="0.15"/>
    <row r="734" s="9" customFormat="1" ht="15.75" customHeight="1" x14ac:dyDescent="0.15"/>
    <row r="735" s="9" customFormat="1" ht="15.75" customHeight="1" x14ac:dyDescent="0.15"/>
    <row r="736" s="9" customFormat="1" ht="15.75" customHeight="1" x14ac:dyDescent="0.15"/>
    <row r="737" s="9" customFormat="1" ht="15.75" customHeight="1" x14ac:dyDescent="0.15"/>
    <row r="738" s="9" customFormat="1" ht="15.75" customHeight="1" x14ac:dyDescent="0.15"/>
    <row r="739" s="9" customFormat="1" ht="15.75" customHeight="1" x14ac:dyDescent="0.15"/>
    <row r="740" s="9" customFormat="1" ht="15.75" customHeight="1" x14ac:dyDescent="0.15"/>
    <row r="741" s="9" customFormat="1" ht="15.75" customHeight="1" x14ac:dyDescent="0.15"/>
    <row r="742" s="9" customFormat="1" ht="15.75" customHeight="1" x14ac:dyDescent="0.15"/>
    <row r="743" s="9" customFormat="1" ht="15.75" customHeight="1" x14ac:dyDescent="0.15"/>
    <row r="744" s="9" customFormat="1" ht="15.75" customHeight="1" x14ac:dyDescent="0.15"/>
    <row r="745" s="9" customFormat="1" ht="15.75" customHeight="1" x14ac:dyDescent="0.15"/>
    <row r="746" s="9" customFormat="1" ht="15.75" customHeight="1" x14ac:dyDescent="0.15"/>
    <row r="747" s="9" customFormat="1" ht="15.75" customHeight="1" x14ac:dyDescent="0.15"/>
    <row r="748" s="9" customFormat="1" ht="15.75" customHeight="1" x14ac:dyDescent="0.15"/>
    <row r="749" s="9" customFormat="1" ht="15.75" customHeight="1" x14ac:dyDescent="0.15"/>
    <row r="750" s="9" customFormat="1" ht="15.75" customHeight="1" x14ac:dyDescent="0.15"/>
    <row r="751" s="9" customFormat="1" ht="15.75" customHeight="1" x14ac:dyDescent="0.15"/>
    <row r="752" s="9" customFormat="1" ht="15.75" customHeight="1" x14ac:dyDescent="0.15"/>
    <row r="753" s="9" customFormat="1" ht="15.75" customHeight="1" x14ac:dyDescent="0.15"/>
    <row r="754" s="9" customFormat="1" ht="15.75" customHeight="1" x14ac:dyDescent="0.15"/>
    <row r="755" s="9" customFormat="1" ht="15.75" customHeight="1" x14ac:dyDescent="0.15"/>
    <row r="756" s="9" customFormat="1" ht="15.75" customHeight="1" x14ac:dyDescent="0.15"/>
    <row r="757" s="9" customFormat="1" ht="15.75" customHeight="1" x14ac:dyDescent="0.15"/>
    <row r="758" s="9" customFormat="1" ht="15.75" customHeight="1" x14ac:dyDescent="0.15"/>
    <row r="759" s="9" customFormat="1" ht="15.75" customHeight="1" x14ac:dyDescent="0.15"/>
    <row r="760" s="9" customFormat="1" ht="15.75" customHeight="1" x14ac:dyDescent="0.15"/>
    <row r="761" s="9" customFormat="1" ht="15.75" customHeight="1" x14ac:dyDescent="0.15"/>
    <row r="762" s="9" customFormat="1" ht="15.75" customHeight="1" x14ac:dyDescent="0.15"/>
    <row r="763" s="9" customFormat="1" ht="15.75" customHeight="1" x14ac:dyDescent="0.15"/>
    <row r="764" s="9" customFormat="1" ht="15.75" customHeight="1" x14ac:dyDescent="0.15"/>
    <row r="765" s="9" customFormat="1" ht="15.75" customHeight="1" x14ac:dyDescent="0.15"/>
    <row r="766" s="9" customFormat="1" ht="15.75" customHeight="1" x14ac:dyDescent="0.15"/>
    <row r="767" s="9" customFormat="1" ht="15.75" customHeight="1" x14ac:dyDescent="0.15"/>
    <row r="768" s="9" customFormat="1" ht="15.75" customHeight="1" x14ac:dyDescent="0.15"/>
    <row r="769" s="9" customFormat="1" ht="15.75" customHeight="1" x14ac:dyDescent="0.15"/>
    <row r="770" s="9" customFormat="1" ht="15.75" customHeight="1" x14ac:dyDescent="0.15"/>
    <row r="771" s="9" customFormat="1" ht="15.75" customHeight="1" x14ac:dyDescent="0.15"/>
    <row r="772" s="9" customFormat="1" ht="15.75" customHeight="1" x14ac:dyDescent="0.15"/>
    <row r="773" s="9" customFormat="1" ht="15.75" customHeight="1" x14ac:dyDescent="0.15"/>
    <row r="774" s="9" customFormat="1" ht="15.75" customHeight="1" x14ac:dyDescent="0.15"/>
    <row r="775" s="9" customFormat="1" ht="15.75" customHeight="1" x14ac:dyDescent="0.15"/>
    <row r="776" s="9" customFormat="1" ht="15.75" customHeight="1" x14ac:dyDescent="0.15"/>
    <row r="777" s="9" customFormat="1" ht="15.75" customHeight="1" x14ac:dyDescent="0.15"/>
    <row r="778" s="9" customFormat="1" ht="15.75" customHeight="1" x14ac:dyDescent="0.15"/>
    <row r="779" s="9" customFormat="1" ht="15.75" customHeight="1" x14ac:dyDescent="0.15"/>
    <row r="780" s="9" customFormat="1" ht="15.75" customHeight="1" x14ac:dyDescent="0.15"/>
    <row r="781" s="9" customFormat="1" ht="15.75" customHeight="1" x14ac:dyDescent="0.15"/>
    <row r="782" s="9" customFormat="1" ht="15.75" customHeight="1" x14ac:dyDescent="0.15"/>
    <row r="783" s="9" customFormat="1" ht="15.75" customHeight="1" x14ac:dyDescent="0.15"/>
    <row r="784" s="9" customFormat="1" ht="15.75" customHeight="1" x14ac:dyDescent="0.15"/>
    <row r="785" s="9" customFormat="1" ht="15.75" customHeight="1" x14ac:dyDescent="0.15"/>
    <row r="786" s="9" customFormat="1" ht="15.75" customHeight="1" x14ac:dyDescent="0.15"/>
    <row r="787" s="9" customFormat="1" ht="15.75" customHeight="1" x14ac:dyDescent="0.15"/>
    <row r="788" s="9" customFormat="1" ht="15.75" customHeight="1" x14ac:dyDescent="0.15"/>
    <row r="789" s="9" customFormat="1" ht="15.75" customHeight="1" x14ac:dyDescent="0.15"/>
    <row r="790" s="9" customFormat="1" ht="15.75" customHeight="1" x14ac:dyDescent="0.15"/>
    <row r="791" s="9" customFormat="1" ht="15.75" customHeight="1" x14ac:dyDescent="0.15"/>
    <row r="792" s="9" customFormat="1" ht="15.75" customHeight="1" x14ac:dyDescent="0.15"/>
    <row r="793" s="9" customFormat="1" ht="15.75" customHeight="1" x14ac:dyDescent="0.15"/>
    <row r="794" s="9" customFormat="1" ht="15.75" customHeight="1" x14ac:dyDescent="0.15"/>
    <row r="795" s="9" customFormat="1" ht="15.75" customHeight="1" x14ac:dyDescent="0.15"/>
    <row r="796" s="9" customFormat="1" ht="15.75" customHeight="1" x14ac:dyDescent="0.15"/>
    <row r="797" s="9" customFormat="1" ht="15.75" customHeight="1" x14ac:dyDescent="0.15"/>
    <row r="798" s="9" customFormat="1" ht="15.75" customHeight="1" x14ac:dyDescent="0.15"/>
    <row r="799" s="9" customFormat="1" ht="15.75" customHeight="1" x14ac:dyDescent="0.15"/>
    <row r="800" s="9" customFormat="1" ht="15.75" customHeight="1" x14ac:dyDescent="0.15"/>
    <row r="801" s="9" customFormat="1" ht="15.75" customHeight="1" x14ac:dyDescent="0.15"/>
    <row r="802" s="9" customFormat="1" ht="15.75" customHeight="1" x14ac:dyDescent="0.15"/>
    <row r="803" s="9" customFormat="1" ht="15.75" customHeight="1" x14ac:dyDescent="0.15"/>
    <row r="804" s="9" customFormat="1" ht="15.75" customHeight="1" x14ac:dyDescent="0.15"/>
    <row r="805" s="9" customFormat="1" ht="15.75" customHeight="1" x14ac:dyDescent="0.15"/>
    <row r="806" s="9" customFormat="1" ht="15.75" customHeight="1" x14ac:dyDescent="0.15"/>
    <row r="807" s="9" customFormat="1" ht="15.75" customHeight="1" x14ac:dyDescent="0.15"/>
    <row r="808" s="9" customFormat="1" ht="15.75" customHeight="1" x14ac:dyDescent="0.15"/>
    <row r="809" s="9" customFormat="1" ht="15.75" customHeight="1" x14ac:dyDescent="0.15"/>
    <row r="810" s="9" customFormat="1" ht="15.75" customHeight="1" x14ac:dyDescent="0.15"/>
    <row r="811" s="9" customFormat="1" ht="15.75" customHeight="1" x14ac:dyDescent="0.15"/>
    <row r="812" s="9" customFormat="1" ht="15.75" customHeight="1" x14ac:dyDescent="0.15"/>
    <row r="813" s="9" customFormat="1" ht="15.75" customHeight="1" x14ac:dyDescent="0.15"/>
    <row r="814" s="9" customFormat="1" ht="15.75" customHeight="1" x14ac:dyDescent="0.15"/>
    <row r="815" s="9" customFormat="1" ht="15.75" customHeight="1" x14ac:dyDescent="0.15"/>
    <row r="816" s="9" customFormat="1" ht="15.75" customHeight="1" x14ac:dyDescent="0.15"/>
    <row r="817" s="9" customFormat="1" ht="15.75" customHeight="1" x14ac:dyDescent="0.15"/>
    <row r="818" s="9" customFormat="1" ht="15.75" customHeight="1" x14ac:dyDescent="0.15"/>
    <row r="819" s="9" customFormat="1" ht="15.75" customHeight="1" x14ac:dyDescent="0.15"/>
    <row r="820" s="9" customFormat="1" ht="15.75" customHeight="1" x14ac:dyDescent="0.15"/>
    <row r="821" s="9" customFormat="1" ht="15.75" customHeight="1" x14ac:dyDescent="0.15"/>
    <row r="822" s="9" customFormat="1" ht="15.75" customHeight="1" x14ac:dyDescent="0.15"/>
    <row r="823" s="9" customFormat="1" ht="15.75" customHeight="1" x14ac:dyDescent="0.15"/>
    <row r="824" s="9" customFormat="1" ht="15.75" customHeight="1" x14ac:dyDescent="0.15"/>
    <row r="825" s="9" customFormat="1" ht="15.75" customHeight="1" x14ac:dyDescent="0.15"/>
    <row r="826" s="9" customFormat="1" ht="15.75" customHeight="1" x14ac:dyDescent="0.15"/>
    <row r="827" s="9" customFormat="1" ht="15.75" customHeight="1" x14ac:dyDescent="0.15"/>
    <row r="828" s="9" customFormat="1" ht="15.75" customHeight="1" x14ac:dyDescent="0.15"/>
    <row r="829" s="9" customFormat="1" ht="15.75" customHeight="1" x14ac:dyDescent="0.15"/>
    <row r="830" s="9" customFormat="1" ht="15.75" customHeight="1" x14ac:dyDescent="0.15"/>
    <row r="831" s="9" customFormat="1" ht="15.75" customHeight="1" x14ac:dyDescent="0.15"/>
    <row r="832" s="9" customFormat="1" ht="15.75" customHeight="1" x14ac:dyDescent="0.15"/>
    <row r="833" s="9" customFormat="1" ht="15.75" customHeight="1" x14ac:dyDescent="0.15"/>
    <row r="834" s="9" customFormat="1" ht="15.75" customHeight="1" x14ac:dyDescent="0.15"/>
    <row r="835" s="9" customFormat="1" ht="15.75" customHeight="1" x14ac:dyDescent="0.15"/>
    <row r="836" s="9" customFormat="1" ht="15.75" customHeight="1" x14ac:dyDescent="0.15"/>
    <row r="837" s="9" customFormat="1" ht="15.75" customHeight="1" x14ac:dyDescent="0.15"/>
    <row r="838" s="9" customFormat="1" ht="15.75" customHeight="1" x14ac:dyDescent="0.15"/>
    <row r="839" s="9" customFormat="1" ht="15.75" customHeight="1" x14ac:dyDescent="0.15"/>
    <row r="840" s="9" customFormat="1" ht="15.75" customHeight="1" x14ac:dyDescent="0.15"/>
    <row r="841" s="9" customFormat="1" ht="15.75" customHeight="1" x14ac:dyDescent="0.15"/>
    <row r="842" s="9" customFormat="1" ht="15.75" customHeight="1" x14ac:dyDescent="0.15"/>
    <row r="843" s="9" customFormat="1" ht="15.75" customHeight="1" x14ac:dyDescent="0.15"/>
    <row r="844" s="9" customFormat="1" ht="15.75" customHeight="1" x14ac:dyDescent="0.15"/>
    <row r="845" s="9" customFormat="1" ht="15.75" customHeight="1" x14ac:dyDescent="0.15"/>
    <row r="846" s="9" customFormat="1" ht="15.75" customHeight="1" x14ac:dyDescent="0.15"/>
    <row r="847" s="9" customFormat="1" ht="15.75" customHeight="1" x14ac:dyDescent="0.15"/>
    <row r="848" s="9" customFormat="1" ht="15.75" customHeight="1" x14ac:dyDescent="0.15"/>
    <row r="849" s="9" customFormat="1" ht="15.75" customHeight="1" x14ac:dyDescent="0.15"/>
    <row r="850" s="9" customFormat="1" ht="15.75" customHeight="1" x14ac:dyDescent="0.15"/>
    <row r="851" s="9" customFormat="1" ht="15.75" customHeight="1" x14ac:dyDescent="0.15"/>
    <row r="852" s="9" customFormat="1" ht="15.75" customHeight="1" x14ac:dyDescent="0.15"/>
    <row r="853" s="9" customFormat="1" ht="15.75" customHeight="1" x14ac:dyDescent="0.15"/>
    <row r="854" s="9" customFormat="1" ht="15.75" customHeight="1" x14ac:dyDescent="0.15"/>
    <row r="855" s="9" customFormat="1" ht="15.75" customHeight="1" x14ac:dyDescent="0.15"/>
    <row r="856" s="9" customFormat="1" ht="15.75" customHeight="1" x14ac:dyDescent="0.15"/>
    <row r="857" s="9" customFormat="1" ht="15.75" customHeight="1" x14ac:dyDescent="0.15"/>
    <row r="858" s="9" customFormat="1" ht="15.75" customHeight="1" x14ac:dyDescent="0.15"/>
    <row r="859" s="9" customFormat="1" ht="15.75" customHeight="1" x14ac:dyDescent="0.15"/>
    <row r="860" s="9" customFormat="1" ht="15.75" customHeight="1" x14ac:dyDescent="0.15"/>
    <row r="861" s="9" customFormat="1" ht="15.75" customHeight="1" x14ac:dyDescent="0.15"/>
    <row r="862" s="9" customFormat="1" ht="15.75" customHeight="1" x14ac:dyDescent="0.15"/>
    <row r="863" s="9" customFormat="1" ht="15.75" customHeight="1" x14ac:dyDescent="0.15"/>
    <row r="864" s="9" customFormat="1" ht="15.75" customHeight="1" x14ac:dyDescent="0.15"/>
    <row r="865" s="9" customFormat="1" ht="15.75" customHeight="1" x14ac:dyDescent="0.15"/>
    <row r="866" s="9" customFormat="1" ht="15.75" customHeight="1" x14ac:dyDescent="0.15"/>
    <row r="867" s="9" customFormat="1" ht="15.75" customHeight="1" x14ac:dyDescent="0.15"/>
    <row r="868" s="9" customFormat="1" ht="15.75" customHeight="1" x14ac:dyDescent="0.15"/>
    <row r="869" s="9" customFormat="1" ht="15.75" customHeight="1" x14ac:dyDescent="0.15"/>
    <row r="870" s="9" customFormat="1" ht="15.75" customHeight="1" x14ac:dyDescent="0.15"/>
    <row r="871" s="9" customFormat="1" ht="15.75" customHeight="1" x14ac:dyDescent="0.15"/>
    <row r="872" s="9" customFormat="1" ht="15.75" customHeight="1" x14ac:dyDescent="0.15"/>
    <row r="873" s="9" customFormat="1" ht="15.75" customHeight="1" x14ac:dyDescent="0.15"/>
    <row r="874" s="9" customFormat="1" ht="15.75" customHeight="1" x14ac:dyDescent="0.15"/>
    <row r="875" s="9" customFormat="1" ht="15.75" customHeight="1" x14ac:dyDescent="0.15"/>
    <row r="876" s="9" customFormat="1" ht="15.75" customHeight="1" x14ac:dyDescent="0.15"/>
    <row r="877" s="9" customFormat="1" ht="15.75" customHeight="1" x14ac:dyDescent="0.15"/>
    <row r="878" s="9" customFormat="1" ht="15.75" customHeight="1" x14ac:dyDescent="0.15"/>
    <row r="879" s="9" customFormat="1" ht="15.75" customHeight="1" x14ac:dyDescent="0.15"/>
    <row r="880" s="9" customFormat="1" ht="15.75" customHeight="1" x14ac:dyDescent="0.15"/>
    <row r="881" s="9" customFormat="1" ht="15.75" customHeight="1" x14ac:dyDescent="0.15"/>
    <row r="882" s="9" customFormat="1" ht="15.75" customHeight="1" x14ac:dyDescent="0.15"/>
    <row r="883" s="9" customFormat="1" ht="15.75" customHeight="1" x14ac:dyDescent="0.15"/>
    <row r="884" s="9" customFormat="1" ht="15.75" customHeight="1" x14ac:dyDescent="0.15"/>
    <row r="885" s="9" customFormat="1" ht="15.75" customHeight="1" x14ac:dyDescent="0.15"/>
    <row r="886" s="9" customFormat="1" ht="15.75" customHeight="1" x14ac:dyDescent="0.15"/>
    <row r="887" s="9" customFormat="1" ht="15.75" customHeight="1" x14ac:dyDescent="0.15"/>
    <row r="888" s="9" customFormat="1" ht="15.75" customHeight="1" x14ac:dyDescent="0.15"/>
    <row r="889" s="9" customFormat="1" ht="15.75" customHeight="1" x14ac:dyDescent="0.15"/>
    <row r="890" s="9" customFormat="1" ht="15.75" customHeight="1" x14ac:dyDescent="0.15"/>
    <row r="891" s="9" customFormat="1" ht="15.75" customHeight="1" x14ac:dyDescent="0.15"/>
    <row r="892" s="9" customFormat="1" ht="15.75" customHeight="1" x14ac:dyDescent="0.15"/>
    <row r="893" s="9" customFormat="1" ht="15.75" customHeight="1" x14ac:dyDescent="0.15"/>
    <row r="894" s="9" customFormat="1" ht="15.75" customHeight="1" x14ac:dyDescent="0.15"/>
    <row r="895" s="9" customFormat="1" ht="15.75" customHeight="1" x14ac:dyDescent="0.15"/>
    <row r="896" s="9" customFormat="1" ht="15.75" customHeight="1" x14ac:dyDescent="0.15"/>
    <row r="897" s="9" customFormat="1" ht="15.75" customHeight="1" x14ac:dyDescent="0.15"/>
    <row r="898" s="9" customFormat="1" ht="15.75" customHeight="1" x14ac:dyDescent="0.15"/>
    <row r="899" s="9" customFormat="1" ht="15.75" customHeight="1" x14ac:dyDescent="0.15"/>
    <row r="900" s="9" customFormat="1" ht="15.75" customHeight="1" x14ac:dyDescent="0.15"/>
    <row r="901" s="9" customFormat="1" ht="15.75" customHeight="1" x14ac:dyDescent="0.15"/>
    <row r="902" s="9" customFormat="1" ht="15.75" customHeight="1" x14ac:dyDescent="0.15"/>
    <row r="903" s="9" customFormat="1" ht="15.75" customHeight="1" x14ac:dyDescent="0.15"/>
    <row r="904" s="9" customFormat="1" ht="15.75" customHeight="1" x14ac:dyDescent="0.15"/>
    <row r="905" s="9" customFormat="1" ht="15.75" customHeight="1" x14ac:dyDescent="0.15"/>
    <row r="906" s="9" customFormat="1" ht="15.75" customHeight="1" x14ac:dyDescent="0.15"/>
    <row r="907" s="9" customFormat="1" ht="15.75" customHeight="1" x14ac:dyDescent="0.15"/>
    <row r="908" s="9" customFormat="1" ht="15.75" customHeight="1" x14ac:dyDescent="0.15"/>
    <row r="909" s="9" customFormat="1" ht="15.75" customHeight="1" x14ac:dyDescent="0.15"/>
    <row r="910" s="9" customFormat="1" ht="15.75" customHeight="1" x14ac:dyDescent="0.15"/>
    <row r="911" s="9" customFormat="1" ht="15.75" customHeight="1" x14ac:dyDescent="0.15"/>
    <row r="912" s="9" customFormat="1" ht="15.75" customHeight="1" x14ac:dyDescent="0.15"/>
    <row r="913" s="9" customFormat="1" ht="15.75" customHeight="1" x14ac:dyDescent="0.15"/>
    <row r="914" s="9" customFormat="1" ht="15.75" customHeight="1" x14ac:dyDescent="0.15"/>
    <row r="915" s="9" customFormat="1" ht="15.75" customHeight="1" x14ac:dyDescent="0.15"/>
    <row r="916" s="9" customFormat="1" ht="15.75" customHeight="1" x14ac:dyDescent="0.15"/>
    <row r="917" s="9" customFormat="1" ht="15.75" customHeight="1" x14ac:dyDescent="0.15"/>
    <row r="918" s="9" customFormat="1" ht="15.75" customHeight="1" x14ac:dyDescent="0.15"/>
    <row r="919" s="9" customFormat="1" ht="15.75" customHeight="1" x14ac:dyDescent="0.15"/>
    <row r="920" s="9" customFormat="1" ht="15.75" customHeight="1" x14ac:dyDescent="0.15"/>
    <row r="921" s="9" customFormat="1" ht="15.75" customHeight="1" x14ac:dyDescent="0.15"/>
    <row r="922" s="9" customFormat="1" ht="15.75" customHeight="1" x14ac:dyDescent="0.15"/>
    <row r="923" s="9" customFormat="1" ht="15.75" customHeight="1" x14ac:dyDescent="0.15"/>
    <row r="924" s="9" customFormat="1" ht="15.75" customHeight="1" x14ac:dyDescent="0.15"/>
    <row r="925" s="9" customFormat="1" ht="15.75" customHeight="1" x14ac:dyDescent="0.15"/>
    <row r="926" s="9" customFormat="1" ht="15.75" customHeight="1" x14ac:dyDescent="0.15"/>
    <row r="927" s="9" customFormat="1" ht="15.75" customHeight="1" x14ac:dyDescent="0.15"/>
    <row r="928" s="9" customFormat="1" ht="15.75" customHeight="1" x14ac:dyDescent="0.15"/>
    <row r="929" s="9" customFormat="1" ht="15.75" customHeight="1" x14ac:dyDescent="0.15"/>
    <row r="930" s="9" customFormat="1" ht="15.75" customHeight="1" x14ac:dyDescent="0.15"/>
    <row r="931" s="9" customFormat="1" ht="15.75" customHeight="1" x14ac:dyDescent="0.15"/>
    <row r="932" s="9" customFormat="1" ht="15.75" customHeight="1" x14ac:dyDescent="0.15"/>
    <row r="933" s="9" customFormat="1" ht="15.75" customHeight="1" x14ac:dyDescent="0.15"/>
    <row r="934" s="9" customFormat="1" ht="15.75" customHeight="1" x14ac:dyDescent="0.15"/>
    <row r="935" s="9" customFormat="1" ht="15.75" customHeight="1" x14ac:dyDescent="0.15"/>
    <row r="936" s="9" customFormat="1" ht="15.75" customHeight="1" x14ac:dyDescent="0.15"/>
    <row r="937" s="9" customFormat="1" ht="15.75" customHeight="1" x14ac:dyDescent="0.15"/>
    <row r="938" s="9" customFormat="1" ht="15.75" customHeight="1" x14ac:dyDescent="0.15"/>
    <row r="939" s="9" customFormat="1" ht="15.75" customHeight="1" x14ac:dyDescent="0.15"/>
    <row r="940" s="9" customFormat="1" ht="15.75" customHeight="1" x14ac:dyDescent="0.15"/>
    <row r="941" s="9" customFormat="1" ht="15.75" customHeight="1" x14ac:dyDescent="0.15"/>
    <row r="942" s="9" customFormat="1" ht="15.75" customHeight="1" x14ac:dyDescent="0.15"/>
    <row r="943" s="9" customFormat="1" ht="15.75" customHeight="1" x14ac:dyDescent="0.15"/>
    <row r="944" s="9" customFormat="1" ht="15.75" customHeight="1" x14ac:dyDescent="0.15"/>
    <row r="945" s="9" customFormat="1" ht="15.75" customHeight="1" x14ac:dyDescent="0.15"/>
    <row r="946" s="9" customFormat="1" ht="15.75" customHeight="1" x14ac:dyDescent="0.15"/>
    <row r="947" s="9" customFormat="1" ht="15.75" customHeight="1" x14ac:dyDescent="0.15"/>
    <row r="948" s="9" customFormat="1" ht="15.75" customHeight="1" x14ac:dyDescent="0.15"/>
    <row r="949" s="9" customFormat="1" ht="15.75" customHeight="1" x14ac:dyDescent="0.15"/>
    <row r="950" s="9" customFormat="1" ht="15.75" customHeight="1" x14ac:dyDescent="0.15"/>
    <row r="951" s="9" customFormat="1" ht="15.75" customHeight="1" x14ac:dyDescent="0.15"/>
    <row r="952" s="9" customFormat="1" ht="15.75" customHeight="1" x14ac:dyDescent="0.15"/>
    <row r="953" s="9" customFormat="1" ht="15.75" customHeight="1" x14ac:dyDescent="0.15"/>
    <row r="954" s="9" customFormat="1" ht="15.75" customHeight="1" x14ac:dyDescent="0.15"/>
    <row r="955" s="9" customFormat="1" ht="15.75" customHeight="1" x14ac:dyDescent="0.15"/>
    <row r="956" s="9" customFormat="1" ht="15.75" customHeight="1" x14ac:dyDescent="0.15"/>
    <row r="957" s="9" customFormat="1" ht="15.75" customHeight="1" x14ac:dyDescent="0.15"/>
    <row r="958" s="9" customFormat="1" ht="15.75" customHeight="1" x14ac:dyDescent="0.15"/>
    <row r="959" s="9" customFormat="1" ht="15.75" customHeight="1" x14ac:dyDescent="0.15"/>
    <row r="960" s="9" customFormat="1" ht="15.75" customHeight="1" x14ac:dyDescent="0.15"/>
    <row r="961" s="9" customFormat="1" ht="15.75" customHeight="1" x14ac:dyDescent="0.15"/>
    <row r="962" s="9" customFormat="1" ht="15.75" customHeight="1" x14ac:dyDescent="0.15"/>
    <row r="963" s="9" customFormat="1" ht="15.75" customHeight="1" x14ac:dyDescent="0.15"/>
    <row r="964" s="9" customFormat="1" ht="15.75" customHeight="1" x14ac:dyDescent="0.15"/>
    <row r="965" s="9" customFormat="1" ht="15.75" customHeight="1" x14ac:dyDescent="0.15"/>
    <row r="966" s="9" customFormat="1" ht="15.75" customHeight="1" x14ac:dyDescent="0.15"/>
    <row r="967" s="9" customFormat="1" ht="15.75" customHeight="1" x14ac:dyDescent="0.15"/>
    <row r="968" s="9" customFormat="1" ht="15.75" customHeight="1" x14ac:dyDescent="0.15"/>
    <row r="969" s="9" customFormat="1" ht="15.75" customHeight="1" x14ac:dyDescent="0.15"/>
    <row r="970" s="9" customFormat="1" ht="15.75" customHeight="1" x14ac:dyDescent="0.15"/>
    <row r="971" s="9" customFormat="1" ht="15.75" customHeight="1" x14ac:dyDescent="0.15"/>
    <row r="972" s="9" customFormat="1" ht="15.75" customHeight="1" x14ac:dyDescent="0.15"/>
    <row r="973" s="9" customFormat="1" ht="15.75" customHeight="1" x14ac:dyDescent="0.15"/>
    <row r="974" s="9" customFormat="1" ht="15.75" customHeight="1" x14ac:dyDescent="0.15"/>
    <row r="975" s="9" customFormat="1" ht="15.75" customHeight="1" x14ac:dyDescent="0.15"/>
    <row r="976" s="9" customFormat="1" ht="15.75" customHeight="1" x14ac:dyDescent="0.15"/>
    <row r="977" s="9" customFormat="1" ht="15.75" customHeight="1" x14ac:dyDescent="0.15"/>
    <row r="978" s="9" customFormat="1" ht="15.75" customHeight="1" x14ac:dyDescent="0.15"/>
    <row r="979" s="9" customFormat="1" ht="15.75" customHeight="1" x14ac:dyDescent="0.15"/>
    <row r="980" s="9" customFormat="1" ht="15.75" customHeight="1" x14ac:dyDescent="0.15"/>
    <row r="981" s="9" customFormat="1" ht="15.75" customHeight="1" x14ac:dyDescent="0.15"/>
    <row r="982" s="9" customFormat="1" ht="15.75" customHeight="1" x14ac:dyDescent="0.15"/>
    <row r="983" s="9" customFormat="1" ht="15.75" customHeight="1" x14ac:dyDescent="0.15"/>
    <row r="984" s="9" customFormat="1" ht="15.75" customHeight="1" x14ac:dyDescent="0.15"/>
    <row r="985" s="9" customFormat="1" ht="15.75" customHeight="1" x14ac:dyDescent="0.15"/>
    <row r="986" s="9" customFormat="1" ht="15.75" customHeight="1" x14ac:dyDescent="0.15"/>
    <row r="987" s="9" customFormat="1" ht="15.75" customHeight="1" x14ac:dyDescent="0.15"/>
    <row r="988" s="9" customFormat="1" ht="15.75" customHeight="1" x14ac:dyDescent="0.15"/>
    <row r="989" s="9" customFormat="1" ht="15.75" customHeight="1" x14ac:dyDescent="0.15"/>
    <row r="990" s="9" customFormat="1" ht="15.75" customHeight="1" x14ac:dyDescent="0.15"/>
    <row r="991" s="9" customFormat="1" ht="15.75" customHeight="1" x14ac:dyDescent="0.15"/>
    <row r="992" s="9" customFormat="1" ht="15.75" customHeight="1" x14ac:dyDescent="0.15"/>
    <row r="993" s="9" customFormat="1" ht="15.75" customHeight="1" x14ac:dyDescent="0.15"/>
    <row r="994" s="9" customFormat="1" ht="15.75" customHeight="1" x14ac:dyDescent="0.15"/>
    <row r="995" s="9" customFormat="1" ht="15.75" customHeight="1" x14ac:dyDescent="0.15"/>
    <row r="996" s="9" customFormat="1" ht="15.75" customHeight="1" x14ac:dyDescent="0.15"/>
    <row r="997" s="9" customFormat="1" ht="15.75" customHeight="1" x14ac:dyDescent="0.15"/>
    <row r="998" s="9" customFormat="1" ht="15.75" customHeight="1" x14ac:dyDescent="0.15"/>
    <row r="999" s="9" customFormat="1" ht="15.75" customHeight="1" x14ac:dyDescent="0.15"/>
    <row r="1000" s="9" customFormat="1" ht="15.75" customHeight="1" x14ac:dyDescent="0.15"/>
    <row r="1001" s="9" customFormat="1" ht="15.75" customHeight="1" x14ac:dyDescent="0.15"/>
    <row r="1002" s="9" customFormat="1" ht="15.75" customHeight="1" x14ac:dyDescent="0.15"/>
    <row r="1003" s="9" customFormat="1" ht="15.75" customHeight="1" x14ac:dyDescent="0.15"/>
    <row r="1004" s="9" customFormat="1" ht="15.75" customHeight="1" x14ac:dyDescent="0.15"/>
    <row r="1005" s="9" customFormat="1" ht="15.75" customHeight="1" x14ac:dyDescent="0.15"/>
    <row r="1006" s="9" customFormat="1" ht="15.75" customHeight="1" x14ac:dyDescent="0.15"/>
    <row r="1007" s="9" customFormat="1" ht="15.75" customHeight="1" x14ac:dyDescent="0.15"/>
    <row r="1008" s="9" customFormat="1" ht="15.75" customHeight="1" x14ac:dyDescent="0.15"/>
    <row r="1009" s="9" customFormat="1" ht="15.75" customHeight="1" x14ac:dyDescent="0.15"/>
    <row r="1010" s="9" customFormat="1" ht="15.75" customHeight="1" x14ac:dyDescent="0.15"/>
    <row r="1011" s="9" customFormat="1" ht="15.75" customHeight="1" x14ac:dyDescent="0.15"/>
    <row r="1012" s="9" customFormat="1" ht="15.75" customHeight="1" x14ac:dyDescent="0.15"/>
    <row r="1013" s="9" customFormat="1" ht="15.75" customHeight="1" x14ac:dyDescent="0.15"/>
    <row r="1014" s="9" customFormat="1" ht="15.75" customHeight="1" x14ac:dyDescent="0.15"/>
    <row r="1015" s="9" customFormat="1" ht="15.75" customHeight="1" x14ac:dyDescent="0.15"/>
    <row r="1016" s="9" customFormat="1" ht="15.75" customHeight="1" x14ac:dyDescent="0.15"/>
    <row r="1017" s="9" customFormat="1" ht="15.75" customHeight="1" x14ac:dyDescent="0.15"/>
    <row r="1018" s="9" customFormat="1" ht="15.75" customHeight="1" x14ac:dyDescent="0.15"/>
    <row r="1019" s="9" customFormat="1" ht="15.75" customHeight="1" x14ac:dyDescent="0.15"/>
    <row r="1020" s="9" customFormat="1" ht="15.75" customHeight="1" x14ac:dyDescent="0.15"/>
    <row r="1021" s="9" customFormat="1" ht="15.75" customHeight="1" x14ac:dyDescent="0.15"/>
    <row r="1022" s="9" customFormat="1" ht="15.75" customHeight="1" x14ac:dyDescent="0.15"/>
    <row r="1023" s="9" customFormat="1" ht="15.75" customHeight="1" x14ac:dyDescent="0.15"/>
    <row r="1024" s="9" customFormat="1" ht="15.75" customHeight="1" x14ac:dyDescent="0.15"/>
    <row r="1025" s="9" customFormat="1" ht="15.75" customHeight="1" x14ac:dyDescent="0.15"/>
    <row r="1026" s="9" customFormat="1" ht="15.75" customHeight="1" x14ac:dyDescent="0.15"/>
    <row r="1027" s="9" customFormat="1" ht="15.75" customHeight="1" x14ac:dyDescent="0.15"/>
    <row r="1028" s="9" customFormat="1" ht="15.75" customHeight="1" x14ac:dyDescent="0.15"/>
    <row r="1029" s="9" customFormat="1" ht="15.75" customHeight="1" x14ac:dyDescent="0.15"/>
    <row r="1030" s="9" customFormat="1" ht="15.75" customHeight="1" x14ac:dyDescent="0.15"/>
    <row r="1031" s="9" customFormat="1" ht="15.75" customHeight="1" x14ac:dyDescent="0.15"/>
    <row r="1032" s="9" customFormat="1" ht="15.75" customHeight="1" x14ac:dyDescent="0.15"/>
    <row r="1033" s="9" customFormat="1" ht="15.75" customHeight="1" x14ac:dyDescent="0.15"/>
    <row r="1034" s="9" customFormat="1" ht="15.75" customHeight="1" x14ac:dyDescent="0.15"/>
    <row r="1035" s="9" customFormat="1" ht="15.75" customHeight="1" x14ac:dyDescent="0.15"/>
    <row r="1036" s="9" customFormat="1" ht="15.75" customHeight="1" x14ac:dyDescent="0.15"/>
    <row r="1037" s="9" customFormat="1" ht="15.75" customHeight="1" x14ac:dyDescent="0.15"/>
    <row r="1038" s="9" customFormat="1" ht="15.75" customHeight="1" x14ac:dyDescent="0.15"/>
    <row r="1039" s="9" customFormat="1" ht="15.75" customHeight="1" x14ac:dyDescent="0.15"/>
    <row r="1040" s="9" customFormat="1" ht="15.75" customHeight="1" x14ac:dyDescent="0.15"/>
    <row r="1041" s="9" customFormat="1" ht="15.75" customHeight="1" x14ac:dyDescent="0.15"/>
    <row r="1042" s="9" customFormat="1" ht="15.75" customHeight="1" x14ac:dyDescent="0.15"/>
    <row r="1043" s="9" customFormat="1" ht="15.75" customHeight="1" x14ac:dyDescent="0.15"/>
    <row r="1044" s="9" customFormat="1" ht="15.75" customHeight="1" x14ac:dyDescent="0.15"/>
    <row r="1045" s="9" customFormat="1" ht="15.75" customHeight="1" x14ac:dyDescent="0.15"/>
    <row r="1046" s="9" customFormat="1" ht="15.75" customHeight="1" x14ac:dyDescent="0.15"/>
    <row r="1047" s="9" customFormat="1" ht="15.75" customHeight="1" x14ac:dyDescent="0.15"/>
    <row r="1048" s="9" customFormat="1" ht="15.75" customHeight="1" x14ac:dyDescent="0.15"/>
    <row r="1049" s="9" customFormat="1" ht="15.75" customHeight="1" x14ac:dyDescent="0.15"/>
    <row r="1050" s="9" customFormat="1" ht="15.75" customHeight="1" x14ac:dyDescent="0.15"/>
    <row r="1051" s="9" customFormat="1" ht="15.75" customHeight="1" x14ac:dyDescent="0.15"/>
    <row r="1052" s="9" customFormat="1" ht="15.75" customHeight="1" x14ac:dyDescent="0.15"/>
    <row r="1053" s="9" customFormat="1" ht="15.75" customHeight="1" x14ac:dyDescent="0.15"/>
    <row r="1054" s="9" customFormat="1" ht="15.75" customHeight="1" x14ac:dyDescent="0.15"/>
    <row r="1055" s="9" customFormat="1" ht="15.75" customHeight="1" x14ac:dyDescent="0.15"/>
    <row r="1056" s="9" customFormat="1" ht="15.75" customHeight="1" x14ac:dyDescent="0.15"/>
    <row r="1057" s="9" customFormat="1" ht="15.75" customHeight="1" x14ac:dyDescent="0.15"/>
    <row r="1058" s="9" customFormat="1" ht="15.75" customHeight="1" x14ac:dyDescent="0.15"/>
    <row r="1059" s="9" customFormat="1" ht="15.75" customHeight="1" x14ac:dyDescent="0.15"/>
    <row r="1060" s="9" customFormat="1" ht="15.75" customHeight="1" x14ac:dyDescent="0.15"/>
    <row r="1061" s="9" customFormat="1" ht="15.75" customHeight="1" x14ac:dyDescent="0.15"/>
    <row r="1062" s="9" customFormat="1" ht="15.75" customHeight="1" x14ac:dyDescent="0.15"/>
    <row r="1063" s="9" customFormat="1" ht="15.75" customHeight="1" x14ac:dyDescent="0.15"/>
    <row r="1064" s="9" customFormat="1" ht="15.75" customHeight="1" x14ac:dyDescent="0.15"/>
    <row r="1065" s="9" customFormat="1" ht="15.75" customHeight="1" x14ac:dyDescent="0.15"/>
    <row r="1066" s="9" customFormat="1" ht="15.75" customHeight="1" x14ac:dyDescent="0.15"/>
    <row r="1067" s="9" customFormat="1" ht="15.75" customHeight="1" x14ac:dyDescent="0.15"/>
    <row r="1068" s="9" customFormat="1" ht="15.75" customHeight="1" x14ac:dyDescent="0.15"/>
    <row r="1069" s="9" customFormat="1" ht="15.75" customHeight="1" x14ac:dyDescent="0.15"/>
    <row r="1070" s="9" customFormat="1" ht="15.75" customHeight="1" x14ac:dyDescent="0.15"/>
    <row r="1071" s="9" customFormat="1" ht="15.75" customHeight="1" x14ac:dyDescent="0.15"/>
    <row r="1072" s="9" customFormat="1" ht="15.75" customHeight="1" x14ac:dyDescent="0.15"/>
    <row r="1073" s="9" customFormat="1" ht="15.75" customHeight="1" x14ac:dyDescent="0.15"/>
    <row r="1074" s="9" customFormat="1" ht="15.75" customHeight="1" x14ac:dyDescent="0.15"/>
    <row r="1075" s="9" customFormat="1" ht="15.75" customHeight="1" x14ac:dyDescent="0.15"/>
    <row r="1076" s="9" customFormat="1" ht="15.75" customHeight="1" x14ac:dyDescent="0.15"/>
    <row r="1077" s="9" customFormat="1" ht="15.75" customHeight="1" x14ac:dyDescent="0.15"/>
    <row r="1078" s="9" customFormat="1" ht="15.75" customHeight="1" x14ac:dyDescent="0.15"/>
    <row r="1079" s="9" customFormat="1" ht="15.75" customHeight="1" x14ac:dyDescent="0.15"/>
    <row r="1080" s="9" customFormat="1" ht="15.75" customHeight="1" x14ac:dyDescent="0.15"/>
    <row r="1081" s="9" customFormat="1" ht="15.75" customHeight="1" x14ac:dyDescent="0.15"/>
    <row r="1082" s="9" customFormat="1" ht="15.75" customHeight="1" x14ac:dyDescent="0.15"/>
    <row r="1083" s="9" customFormat="1" ht="15.75" customHeight="1" x14ac:dyDescent="0.15"/>
    <row r="1084" s="9" customFormat="1" ht="15.75" customHeight="1" x14ac:dyDescent="0.15"/>
    <row r="1085" s="9" customFormat="1" ht="15.75" customHeight="1" x14ac:dyDescent="0.15"/>
    <row r="1086" s="9" customFormat="1" ht="15.75" customHeight="1" x14ac:dyDescent="0.15"/>
    <row r="1087" s="9" customFormat="1" ht="15.75" customHeight="1" x14ac:dyDescent="0.15"/>
    <row r="1088" s="9" customFormat="1" ht="15.75" customHeight="1" x14ac:dyDescent="0.15"/>
    <row r="1089" s="9" customFormat="1" ht="15.75" customHeight="1" x14ac:dyDescent="0.15"/>
    <row r="1090" s="9" customFormat="1" ht="15.75" customHeight="1" x14ac:dyDescent="0.15"/>
    <row r="1091" s="9" customFormat="1" ht="15.75" customHeight="1" x14ac:dyDescent="0.15"/>
    <row r="1092" s="9" customFormat="1" ht="15.75" customHeight="1" x14ac:dyDescent="0.15"/>
    <row r="1093" s="9" customFormat="1" ht="15.75" customHeight="1" x14ac:dyDescent="0.15"/>
    <row r="1094" s="9" customFormat="1" ht="15.75" customHeight="1" x14ac:dyDescent="0.15"/>
    <row r="1095" s="9" customFormat="1" ht="15.75" customHeight="1" x14ac:dyDescent="0.15"/>
    <row r="1096" s="9" customFormat="1" ht="15.75" customHeight="1" x14ac:dyDescent="0.15"/>
    <row r="1097" s="9" customFormat="1" ht="15.75" customHeight="1" x14ac:dyDescent="0.15"/>
    <row r="1098" s="9" customFormat="1" ht="15.75" customHeight="1" x14ac:dyDescent="0.15"/>
    <row r="1099" s="9" customFormat="1" ht="15.75" customHeight="1" x14ac:dyDescent="0.15"/>
    <row r="1100" s="9" customFormat="1" ht="15.75" customHeight="1" x14ac:dyDescent="0.15"/>
    <row r="1101" s="9" customFormat="1" ht="15.75" customHeight="1" x14ac:dyDescent="0.15"/>
    <row r="1102" s="9" customFormat="1" ht="15.75" customHeight="1" x14ac:dyDescent="0.15"/>
    <row r="1103" s="9" customFormat="1" ht="15.75" customHeight="1" x14ac:dyDescent="0.15"/>
    <row r="1104" s="9" customFormat="1" ht="15.75" customHeight="1" x14ac:dyDescent="0.15"/>
    <row r="1105" s="9" customFormat="1" ht="15.75" customHeight="1" x14ac:dyDescent="0.15"/>
    <row r="1106" s="9" customFormat="1" ht="15.75" customHeight="1" x14ac:dyDescent="0.15"/>
    <row r="1107" s="9" customFormat="1" ht="15.75" customHeight="1" x14ac:dyDescent="0.15"/>
    <row r="1108" s="9" customFormat="1" ht="15.75" customHeight="1" x14ac:dyDescent="0.15"/>
    <row r="1109" s="9" customFormat="1" ht="15.75" customHeight="1" x14ac:dyDescent="0.15"/>
    <row r="1110" s="9" customFormat="1" ht="15.75" customHeight="1" x14ac:dyDescent="0.15"/>
    <row r="1111" s="9" customFormat="1" ht="15.75" customHeight="1" x14ac:dyDescent="0.15"/>
    <row r="1112" s="9" customFormat="1" ht="15.75" customHeight="1" x14ac:dyDescent="0.15"/>
    <row r="1113" s="9" customFormat="1" ht="15.75" customHeight="1" x14ac:dyDescent="0.15"/>
    <row r="1114" s="9" customFormat="1" ht="15.75" customHeight="1" x14ac:dyDescent="0.15"/>
    <row r="1115" s="9" customFormat="1" ht="15.75" customHeight="1" x14ac:dyDescent="0.15"/>
    <row r="1116" s="9" customFormat="1" ht="15.75" customHeight="1" x14ac:dyDescent="0.15"/>
    <row r="1117" s="9" customFormat="1" ht="15.75" customHeight="1" x14ac:dyDescent="0.15"/>
    <row r="1118" s="9" customFormat="1" ht="15.75" customHeight="1" x14ac:dyDescent="0.15"/>
    <row r="1119" s="9" customFormat="1" ht="15.75" customHeight="1" x14ac:dyDescent="0.15"/>
    <row r="1120" s="9" customFormat="1" ht="15.75" customHeight="1" x14ac:dyDescent="0.15"/>
    <row r="1121" s="9" customFormat="1" ht="15.75" customHeight="1" x14ac:dyDescent="0.15"/>
    <row r="1122" s="9" customFormat="1" ht="15.75" customHeight="1" x14ac:dyDescent="0.15"/>
  </sheetData>
  <mergeCells count="732">
    <mergeCell ref="AB248:AF248"/>
    <mergeCell ref="AF245:AI246"/>
    <mergeCell ref="O247:R247"/>
    <mergeCell ref="S247:W247"/>
    <mergeCell ref="X247:AA247"/>
    <mergeCell ref="AB247:AE247"/>
    <mergeCell ref="AF247:AI247"/>
    <mergeCell ref="X245:AA246"/>
    <mergeCell ref="F212:G212"/>
    <mergeCell ref="AG248:AH248"/>
    <mergeCell ref="E247:G247"/>
    <mergeCell ref="R239:S239"/>
    <mergeCell ref="J240:K240"/>
    <mergeCell ref="J241:K241"/>
    <mergeCell ref="J242:K242"/>
    <mergeCell ref="J216:K216"/>
    <mergeCell ref="F235:G235"/>
    <mergeCell ref="J235:K235"/>
    <mergeCell ref="J217:K217"/>
    <mergeCell ref="E244:AI244"/>
    <mergeCell ref="J215:K215"/>
    <mergeCell ref="AB241:AC241"/>
    <mergeCell ref="V241:W241"/>
    <mergeCell ref="AB245:AE246"/>
    <mergeCell ref="E245:G246"/>
    <mergeCell ref="H245:J246"/>
    <mergeCell ref="K245:N246"/>
    <mergeCell ref="H247:J247"/>
    <mergeCell ref="K247:N247"/>
    <mergeCell ref="O245:R246"/>
    <mergeCell ref="S245:W246"/>
    <mergeCell ref="Y248:Z248"/>
    <mergeCell ref="T268:V269"/>
    <mergeCell ref="J268:L269"/>
    <mergeCell ref="J197:AA197"/>
    <mergeCell ref="J201:AA201"/>
    <mergeCell ref="J202:O202"/>
    <mergeCell ref="P202:U202"/>
    <mergeCell ref="V202:AA202"/>
    <mergeCell ref="Y194:AA194"/>
    <mergeCell ref="T195:U195"/>
    <mergeCell ref="J198:O198"/>
    <mergeCell ref="P198:U198"/>
    <mergeCell ref="V198:AA198"/>
    <mergeCell ref="J199:O199"/>
    <mergeCell ref="P199:U199"/>
    <mergeCell ref="V199:AA199"/>
    <mergeCell ref="J203:O203"/>
    <mergeCell ref="P203:U203"/>
    <mergeCell ref="V203:AA203"/>
    <mergeCell ref="Z331:AC331"/>
    <mergeCell ref="H331:J331"/>
    <mergeCell ref="K331:M331"/>
    <mergeCell ref="N331:Q331"/>
    <mergeCell ref="R331:U331"/>
    <mergeCell ref="H328:J330"/>
    <mergeCell ref="V331:Y331"/>
    <mergeCell ref="Z328:AC330"/>
    <mergeCell ref="K328:M330"/>
    <mergeCell ref="N328:Q330"/>
    <mergeCell ref="R328:U330"/>
    <mergeCell ref="V328:Y330"/>
    <mergeCell ref="J318:Z318"/>
    <mergeCell ref="M319:Q320"/>
    <mergeCell ref="R319:V320"/>
    <mergeCell ref="P276:S276"/>
    <mergeCell ref="L261:M261"/>
    <mergeCell ref="F188:G188"/>
    <mergeCell ref="I188:J188"/>
    <mergeCell ref="L188:M188"/>
    <mergeCell ref="J190:K190"/>
    <mergeCell ref="J191:K191"/>
    <mergeCell ref="R217:S217"/>
    <mergeCell ref="J195:K195"/>
    <mergeCell ref="I212:J212"/>
    <mergeCell ref="J214:K214"/>
    <mergeCell ref="J192:K192"/>
    <mergeCell ref="M193:N193"/>
    <mergeCell ref="N212:O212"/>
    <mergeCell ref="J238:K238"/>
    <mergeCell ref="J239:K239"/>
    <mergeCell ref="P193:Q193"/>
    <mergeCell ref="P194:Q194"/>
    <mergeCell ref="U194:V194"/>
    <mergeCell ref="X271:Y271"/>
    <mergeCell ref="J274:L275"/>
    <mergeCell ref="AD177:AF177"/>
    <mergeCell ref="G178:K178"/>
    <mergeCell ref="G177:K177"/>
    <mergeCell ref="G176:K176"/>
    <mergeCell ref="L176:N176"/>
    <mergeCell ref="L177:N178"/>
    <mergeCell ref="AG178:AI178"/>
    <mergeCell ref="AA177:AC178"/>
    <mergeCell ref="J327:Z327"/>
    <mergeCell ref="M321:Q321"/>
    <mergeCell ref="R321:V321"/>
    <mergeCell ref="J270:L270"/>
    <mergeCell ref="M270:O270"/>
    <mergeCell ref="T270:V270"/>
    <mergeCell ref="AD242:AG242"/>
    <mergeCell ref="R178:T178"/>
    <mergeCell ref="U178:W178"/>
    <mergeCell ref="X178:Z178"/>
    <mergeCell ref="J218:K218"/>
    <mergeCell ref="O235:P235"/>
    <mergeCell ref="J237:K237"/>
    <mergeCell ref="O261:P261"/>
    <mergeCell ref="R261:S261"/>
    <mergeCell ref="AB309:AC309"/>
    <mergeCell ref="M167:N168"/>
    <mergeCell ref="J169:K169"/>
    <mergeCell ref="H142:J142"/>
    <mergeCell ref="K142:M142"/>
    <mergeCell ref="N142:S142"/>
    <mergeCell ref="G175:AI175"/>
    <mergeCell ref="O178:Q178"/>
    <mergeCell ref="AD178:AF178"/>
    <mergeCell ref="X176:Z176"/>
    <mergeCell ref="AA176:AC176"/>
    <mergeCell ref="P167:Q167"/>
    <mergeCell ref="S167:T167"/>
    <mergeCell ref="Q168:T168"/>
    <mergeCell ref="O176:Q176"/>
    <mergeCell ref="R176:T176"/>
    <mergeCell ref="J172:K172"/>
    <mergeCell ref="J173:K173"/>
    <mergeCell ref="AD176:AF176"/>
    <mergeCell ref="AG176:AI176"/>
    <mergeCell ref="O177:Q177"/>
    <mergeCell ref="AG177:AI177"/>
    <mergeCell ref="R177:T177"/>
    <mergeCell ref="U177:W177"/>
    <mergeCell ref="X177:Z177"/>
    <mergeCell ref="X142:AC142"/>
    <mergeCell ref="F157:G157"/>
    <mergeCell ref="I157:J157"/>
    <mergeCell ref="L157:M157"/>
    <mergeCell ref="X145:AC147"/>
    <mergeCell ref="T142:W142"/>
    <mergeCell ref="H144:AC144"/>
    <mergeCell ref="J135:K135"/>
    <mergeCell ref="J136:K136"/>
    <mergeCell ref="J137:K137"/>
    <mergeCell ref="H140:J141"/>
    <mergeCell ref="K140:M141"/>
    <mergeCell ref="N140:S141"/>
    <mergeCell ref="H145:J147"/>
    <mergeCell ref="K145:M147"/>
    <mergeCell ref="F132:G132"/>
    <mergeCell ref="I132:J132"/>
    <mergeCell ref="K132:L132"/>
    <mergeCell ref="M132:N132"/>
    <mergeCell ref="P132:Q132"/>
    <mergeCell ref="J134:K134"/>
    <mergeCell ref="F129:G129"/>
    <mergeCell ref="I129:J129"/>
    <mergeCell ref="K129:L129"/>
    <mergeCell ref="M129:N129"/>
    <mergeCell ref="P129:Q129"/>
    <mergeCell ref="H114:Y114"/>
    <mergeCell ref="J106:K106"/>
    <mergeCell ref="J107:K107"/>
    <mergeCell ref="N112:S112"/>
    <mergeCell ref="T112:Y112"/>
    <mergeCell ref="K117:M117"/>
    <mergeCell ref="H110:J111"/>
    <mergeCell ref="K110:M111"/>
    <mergeCell ref="N110:S111"/>
    <mergeCell ref="T110:Y111"/>
    <mergeCell ref="H117:J117"/>
    <mergeCell ref="H109:Y109"/>
    <mergeCell ref="H112:J112"/>
    <mergeCell ref="K112:M112"/>
    <mergeCell ref="H115:J116"/>
    <mergeCell ref="K115:M116"/>
    <mergeCell ref="N115:S116"/>
    <mergeCell ref="T115:Y116"/>
    <mergeCell ref="N117:S117"/>
    <mergeCell ref="T117:Y117"/>
    <mergeCell ref="H96:J96"/>
    <mergeCell ref="K96:P96"/>
    <mergeCell ref="Q96:V96"/>
    <mergeCell ref="W96:AB96"/>
    <mergeCell ref="F103:G103"/>
    <mergeCell ref="I103:J103"/>
    <mergeCell ref="K103:L103"/>
    <mergeCell ref="M103:N103"/>
    <mergeCell ref="J105:K105"/>
    <mergeCell ref="Q91:V91"/>
    <mergeCell ref="H92:J92"/>
    <mergeCell ref="W91:AB91"/>
    <mergeCell ref="H90:AB90"/>
    <mergeCell ref="K92:P92"/>
    <mergeCell ref="Q92:V92"/>
    <mergeCell ref="W92:AB92"/>
    <mergeCell ref="H95:J95"/>
    <mergeCell ref="K95:P95"/>
    <mergeCell ref="Q95:V95"/>
    <mergeCell ref="W95:AB95"/>
    <mergeCell ref="H94:AB94"/>
    <mergeCell ref="D58:G61"/>
    <mergeCell ref="H58:P59"/>
    <mergeCell ref="H60:P61"/>
    <mergeCell ref="Q58:Y59"/>
    <mergeCell ref="Q60:Y61"/>
    <mergeCell ref="Z58:AH59"/>
    <mergeCell ref="F72:K72"/>
    <mergeCell ref="F73:K73"/>
    <mergeCell ref="F74:K74"/>
    <mergeCell ref="J86:K86"/>
    <mergeCell ref="J88:K88"/>
    <mergeCell ref="J85:K85"/>
    <mergeCell ref="J87:K87"/>
    <mergeCell ref="F71:AG71"/>
    <mergeCell ref="L73:S73"/>
    <mergeCell ref="L74:S74"/>
    <mergeCell ref="Z60:AH61"/>
    <mergeCell ref="T73:AG73"/>
    <mergeCell ref="T74:AG74"/>
    <mergeCell ref="L72:S72"/>
    <mergeCell ref="T72:AG72"/>
    <mergeCell ref="H91:J91"/>
    <mergeCell ref="K91:P91"/>
    <mergeCell ref="F83:G83"/>
    <mergeCell ref="I83:J83"/>
    <mergeCell ref="K83:L83"/>
    <mergeCell ref="M83:N83"/>
    <mergeCell ref="P83:Q83"/>
    <mergeCell ref="E43:T43"/>
    <mergeCell ref="D56:G57"/>
    <mergeCell ref="D54:G55"/>
    <mergeCell ref="H54:P55"/>
    <mergeCell ref="Q54:Y55"/>
    <mergeCell ref="H56:P57"/>
    <mergeCell ref="D53:AH53"/>
    <mergeCell ref="Q56:Y57"/>
    <mergeCell ref="Z54:AH55"/>
    <mergeCell ref="Z56:AH57"/>
    <mergeCell ref="AB26:AE26"/>
    <mergeCell ref="U15:AA15"/>
    <mergeCell ref="W18:X18"/>
    <mergeCell ref="AE16:AF16"/>
    <mergeCell ref="Y28:Z28"/>
    <mergeCell ref="AB28:AC28"/>
    <mergeCell ref="AE28:AF28"/>
    <mergeCell ref="W29:X29"/>
    <mergeCell ref="E32:T32"/>
    <mergeCell ref="E21:T21"/>
    <mergeCell ref="U24:AI24"/>
    <mergeCell ref="U13:AI13"/>
    <mergeCell ref="Y16:Z16"/>
    <mergeCell ref="Y17:Z17"/>
    <mergeCell ref="AB16:AC16"/>
    <mergeCell ref="AB17:AC17"/>
    <mergeCell ref="T140:W141"/>
    <mergeCell ref="AF14:AI14"/>
    <mergeCell ref="AF15:AI15"/>
    <mergeCell ref="H139:AC139"/>
    <mergeCell ref="AF26:AI26"/>
    <mergeCell ref="X140:AC141"/>
    <mergeCell ref="AE17:AF17"/>
    <mergeCell ref="AB14:AE14"/>
    <mergeCell ref="AB15:AE15"/>
    <mergeCell ref="Y27:Z27"/>
    <mergeCell ref="AB27:AC27"/>
    <mergeCell ref="AE27:AF27"/>
    <mergeCell ref="U25:AA25"/>
    <mergeCell ref="AB25:AE25"/>
    <mergeCell ref="AF25:AI25"/>
    <mergeCell ref="U14:AA14"/>
    <mergeCell ref="U26:AA26"/>
    <mergeCell ref="AD145:AI147"/>
    <mergeCell ref="N145:S147"/>
    <mergeCell ref="T145:W147"/>
    <mergeCell ref="T148:W148"/>
    <mergeCell ref="X148:AC148"/>
    <mergeCell ref="AD257:AE257"/>
    <mergeCell ref="AC256:AF256"/>
    <mergeCell ref="AD148:AI148"/>
    <mergeCell ref="H148:J148"/>
    <mergeCell ref="K148:M148"/>
    <mergeCell ref="N148:S148"/>
    <mergeCell ref="J159:K159"/>
    <mergeCell ref="U176:W176"/>
    <mergeCell ref="J170:K170"/>
    <mergeCell ref="O167:O168"/>
    <mergeCell ref="P257:R257"/>
    <mergeCell ref="U257:W257"/>
    <mergeCell ref="Y257:Z257"/>
    <mergeCell ref="J160:K160"/>
    <mergeCell ref="J161:K161"/>
    <mergeCell ref="J171:K171"/>
    <mergeCell ref="M164:N164"/>
    <mergeCell ref="J165:K165"/>
    <mergeCell ref="J166:K166"/>
    <mergeCell ref="M268:O269"/>
    <mergeCell ref="T276:V276"/>
    <mergeCell ref="W276:Z276"/>
    <mergeCell ref="S308:U308"/>
    <mergeCell ref="O308:R308"/>
    <mergeCell ref="E305:G307"/>
    <mergeCell ref="K301:N303"/>
    <mergeCell ref="T274:V275"/>
    <mergeCell ref="J276:L276"/>
    <mergeCell ref="M276:O276"/>
    <mergeCell ref="F297:H297"/>
    <mergeCell ref="F286:G286"/>
    <mergeCell ref="I286:J286"/>
    <mergeCell ref="N286:O286"/>
    <mergeCell ref="P297:S297"/>
    <mergeCell ref="T294:V296"/>
    <mergeCell ref="J288:K288"/>
    <mergeCell ref="J289:K289"/>
    <mergeCell ref="J290:K290"/>
    <mergeCell ref="R290:S290"/>
    <mergeCell ref="J291:K291"/>
    <mergeCell ref="J293:Z293"/>
    <mergeCell ref="J300:Z300"/>
    <mergeCell ref="K308:N308"/>
    <mergeCell ref="AA308:AE308"/>
    <mergeCell ref="E301:G303"/>
    <mergeCell ref="H301:J303"/>
    <mergeCell ref="E304:G304"/>
    <mergeCell ref="H304:J304"/>
    <mergeCell ref="E308:G308"/>
    <mergeCell ref="H308:J308"/>
    <mergeCell ref="S301:U303"/>
    <mergeCell ref="S304:U304"/>
    <mergeCell ref="S305:U307"/>
    <mergeCell ref="AA305:AE307"/>
    <mergeCell ref="O301:R303"/>
    <mergeCell ref="O305:R307"/>
    <mergeCell ref="O304:R304"/>
    <mergeCell ref="AA301:AE303"/>
    <mergeCell ref="AA304:AE304"/>
    <mergeCell ref="K305:N307"/>
    <mergeCell ref="K304:N304"/>
    <mergeCell ref="H305:J307"/>
    <mergeCell ref="AB298:AC298"/>
    <mergeCell ref="L297:O297"/>
    <mergeCell ref="F294:H296"/>
    <mergeCell ref="I294:K296"/>
    <mergeCell ref="L294:O296"/>
    <mergeCell ref="P294:S296"/>
    <mergeCell ref="W294:Z296"/>
    <mergeCell ref="I297:K297"/>
    <mergeCell ref="AA294:AD296"/>
    <mergeCell ref="AA297:AD297"/>
    <mergeCell ref="E340:F340"/>
    <mergeCell ref="H340:I340"/>
    <mergeCell ref="K340:L340"/>
    <mergeCell ref="Z496:AB497"/>
    <mergeCell ref="T297:V297"/>
    <mergeCell ref="W297:Z297"/>
    <mergeCell ref="V301:Z303"/>
    <mergeCell ref="V305:Z307"/>
    <mergeCell ref="V308:Z308"/>
    <mergeCell ref="V304:Z304"/>
    <mergeCell ref="I342:J342"/>
    <mergeCell ref="I343:J343"/>
    <mergeCell ref="I344:J344"/>
    <mergeCell ref="E349:F349"/>
    <mergeCell ref="H349:I349"/>
    <mergeCell ref="K349:L349"/>
    <mergeCell ref="I351:J351"/>
    <mergeCell ref="I352:J352"/>
    <mergeCell ref="I357:J357"/>
    <mergeCell ref="S354:T354"/>
    <mergeCell ref="S355:T355"/>
    <mergeCell ref="V354:W354"/>
    <mergeCell ref="V355:W355"/>
    <mergeCell ref="Y354:Z354"/>
    <mergeCell ref="E375:F375"/>
    <mergeCell ref="H375:I375"/>
    <mergeCell ref="K375:L375"/>
    <mergeCell ref="I377:J377"/>
    <mergeCell ref="K365:L365"/>
    <mergeCell ref="I378:J378"/>
    <mergeCell ref="Y355:Z355"/>
    <mergeCell ref="E363:F363"/>
    <mergeCell ref="H363:I363"/>
    <mergeCell ref="K363:L363"/>
    <mergeCell ref="H364:I364"/>
    <mergeCell ref="J364:K364"/>
    <mergeCell ref="L364:M364"/>
    <mergeCell ref="P364:Q364"/>
    <mergeCell ref="N365:O365"/>
    <mergeCell ref="S365:U365"/>
    <mergeCell ref="T396:V397"/>
    <mergeCell ref="H366:I366"/>
    <mergeCell ref="N366:O366"/>
    <mergeCell ref="G390:I391"/>
    <mergeCell ref="J390:L391"/>
    <mergeCell ref="M390:P391"/>
    <mergeCell ref="H365:I365"/>
    <mergeCell ref="Q390:S391"/>
    <mergeCell ref="H367:J367"/>
    <mergeCell ref="Z390:AC391"/>
    <mergeCell ref="AB380:AC380"/>
    <mergeCell ref="R381:S381"/>
    <mergeCell ref="U381:V381"/>
    <mergeCell ref="AB381:AC381"/>
    <mergeCell ref="G392:I392"/>
    <mergeCell ref="J392:L392"/>
    <mergeCell ref="M392:P392"/>
    <mergeCell ref="V380:W380"/>
    <mergeCell ref="Y380:Z380"/>
    <mergeCell ref="J389:Z389"/>
    <mergeCell ref="W390:Y391"/>
    <mergeCell ref="T392:V392"/>
    <mergeCell ref="W392:Y392"/>
    <mergeCell ref="AA396:AD397"/>
    <mergeCell ref="AE381:AF381"/>
    <mergeCell ref="Z381:AA381"/>
    <mergeCell ref="L381:P381"/>
    <mergeCell ref="H428:M428"/>
    <mergeCell ref="H426:M426"/>
    <mergeCell ref="H427:M427"/>
    <mergeCell ref="X381:Y381"/>
    <mergeCell ref="W424:Y425"/>
    <mergeCell ref="Q426:S428"/>
    <mergeCell ref="AC424:AE425"/>
    <mergeCell ref="Z392:AC392"/>
    <mergeCell ref="AC426:AE426"/>
    <mergeCell ref="AC427:AE427"/>
    <mergeCell ref="T426:V428"/>
    <mergeCell ref="W426:Y428"/>
    <mergeCell ref="Z426:AB426"/>
    <mergeCell ref="Z427:AB427"/>
    <mergeCell ref="I414:J414"/>
    <mergeCell ref="I415:J415"/>
    <mergeCell ref="J423:Z423"/>
    <mergeCell ref="T390:V391"/>
    <mergeCell ref="Z424:AB425"/>
    <mergeCell ref="J398:L398"/>
    <mergeCell ref="M398:P398"/>
    <mergeCell ref="Q398:S398"/>
    <mergeCell ref="T398:V398"/>
    <mergeCell ref="T437:V439"/>
    <mergeCell ref="W437:Y439"/>
    <mergeCell ref="H438:M438"/>
    <mergeCell ref="Q494:S497"/>
    <mergeCell ref="T494:V495"/>
    <mergeCell ref="K496:P497"/>
    <mergeCell ref="T496:V497"/>
    <mergeCell ref="H424:M425"/>
    <mergeCell ref="N424:P425"/>
    <mergeCell ref="I411:J411"/>
    <mergeCell ref="I412:J412"/>
    <mergeCell ref="W491:Y497"/>
    <mergeCell ref="T493:V493"/>
    <mergeCell ref="H494:J497"/>
    <mergeCell ref="K494:P495"/>
    <mergeCell ref="I413:J413"/>
    <mergeCell ref="H491:J492"/>
    <mergeCell ref="K491:P491"/>
    <mergeCell ref="Q491:S493"/>
    <mergeCell ref="T491:V491"/>
    <mergeCell ref="AC437:AE437"/>
    <mergeCell ref="Z438:AB438"/>
    <mergeCell ref="AC438:AE438"/>
    <mergeCell ref="Z439:AB439"/>
    <mergeCell ref="AC439:AE439"/>
    <mergeCell ref="N437:P443"/>
    <mergeCell ref="Q437:S439"/>
    <mergeCell ref="K493:P493"/>
    <mergeCell ref="Q392:S392"/>
    <mergeCell ref="V456:X456"/>
    <mergeCell ref="J488:Z488"/>
    <mergeCell ref="H489:J490"/>
    <mergeCell ref="K489:P490"/>
    <mergeCell ref="Q489:S490"/>
    <mergeCell ref="T489:V490"/>
    <mergeCell ref="W489:Y490"/>
    <mergeCell ref="Z489:AB490"/>
    <mergeCell ref="G398:I398"/>
    <mergeCell ref="J395:Z395"/>
    <mergeCell ref="G396:I397"/>
    <mergeCell ref="J396:L397"/>
    <mergeCell ref="M396:P397"/>
    <mergeCell ref="Q396:S397"/>
    <mergeCell ref="W396:Z397"/>
    <mergeCell ref="AC440:AE441"/>
    <mergeCell ref="AC442:AE443"/>
    <mergeCell ref="E456:F456"/>
    <mergeCell ref="H456:I456"/>
    <mergeCell ref="K456:M456"/>
    <mergeCell ref="O456:P456"/>
    <mergeCell ref="R456:T456"/>
    <mergeCell ref="T440:V443"/>
    <mergeCell ref="W440:Y443"/>
    <mergeCell ref="Z440:AB441"/>
    <mergeCell ref="H442:M443"/>
    <mergeCell ref="Z442:AB443"/>
    <mergeCell ref="E424:G425"/>
    <mergeCell ref="E428:G428"/>
    <mergeCell ref="E426:G427"/>
    <mergeCell ref="E435:G436"/>
    <mergeCell ref="Q435:S436"/>
    <mergeCell ref="T435:V436"/>
    <mergeCell ref="Z429:AB430"/>
    <mergeCell ref="Z431:AB432"/>
    <mergeCell ref="E408:F408"/>
    <mergeCell ref="H408:I408"/>
    <mergeCell ref="K408:L408"/>
    <mergeCell ref="H409:I409"/>
    <mergeCell ref="AA398:AD398"/>
    <mergeCell ref="N426:P432"/>
    <mergeCell ref="W435:Y436"/>
    <mergeCell ref="Z435:AB436"/>
    <mergeCell ref="AC435:AE436"/>
    <mergeCell ref="W398:Z398"/>
    <mergeCell ref="AC429:AE430"/>
    <mergeCell ref="AC431:AE432"/>
    <mergeCell ref="Q424:S425"/>
    <mergeCell ref="T424:V425"/>
    <mergeCell ref="Z428:AB428"/>
    <mergeCell ref="AC428:AE428"/>
    <mergeCell ref="Q429:S432"/>
    <mergeCell ref="T429:V432"/>
    <mergeCell ref="W429:Y432"/>
    <mergeCell ref="J434:Z434"/>
    <mergeCell ref="H435:M436"/>
    <mergeCell ref="N435:P436"/>
    <mergeCell ref="I451:J451"/>
    <mergeCell ref="I452:J452"/>
    <mergeCell ref="I453:J453"/>
    <mergeCell ref="H439:M439"/>
    <mergeCell ref="H440:M441"/>
    <mergeCell ref="Q440:S443"/>
    <mergeCell ref="Z437:AB437"/>
    <mergeCell ref="E429:G432"/>
    <mergeCell ref="E448:F448"/>
    <mergeCell ref="H448:I448"/>
    <mergeCell ref="K448:L448"/>
    <mergeCell ref="H429:M430"/>
    <mergeCell ref="H431:M432"/>
    <mergeCell ref="E437:G438"/>
    <mergeCell ref="H437:M437"/>
    <mergeCell ref="I450:J450"/>
    <mergeCell ref="E439:G439"/>
    <mergeCell ref="E440:G443"/>
    <mergeCell ref="E455:F455"/>
    <mergeCell ref="H455:I455"/>
    <mergeCell ref="W478:Y479"/>
    <mergeCell ref="T478:V479"/>
    <mergeCell ref="Z478:AB479"/>
    <mergeCell ref="E464:F464"/>
    <mergeCell ref="H464:I464"/>
    <mergeCell ref="K464:L464"/>
    <mergeCell ref="I466:J466"/>
    <mergeCell ref="I467:J467"/>
    <mergeCell ref="I468:J468"/>
    <mergeCell ref="K455:M455"/>
    <mergeCell ref="O455:P455"/>
    <mergeCell ref="R455:T455"/>
    <mergeCell ref="V455:X455"/>
    <mergeCell ref="I469:J469"/>
    <mergeCell ref="E472:F472"/>
    <mergeCell ref="H472:I472"/>
    <mergeCell ref="J477:Z477"/>
    <mergeCell ref="H478:J479"/>
    <mergeCell ref="K478:P479"/>
    <mergeCell ref="Q478:S479"/>
    <mergeCell ref="T482:V482"/>
    <mergeCell ref="Z482:AB482"/>
    <mergeCell ref="I512:J512"/>
    <mergeCell ref="L513:N513"/>
    <mergeCell ref="L514:N514"/>
    <mergeCell ref="I515:J515"/>
    <mergeCell ref="S516:T516"/>
    <mergeCell ref="S517:T517"/>
    <mergeCell ref="T481:V481"/>
    <mergeCell ref="Z481:AB481"/>
    <mergeCell ref="H482:J482"/>
    <mergeCell ref="Z494:AB495"/>
    <mergeCell ref="Z491:AB491"/>
    <mergeCell ref="Z492:AB492"/>
    <mergeCell ref="Z493:AB493"/>
    <mergeCell ref="K492:P492"/>
    <mergeCell ref="T492:V492"/>
    <mergeCell ref="H493:J493"/>
    <mergeCell ref="H480:J481"/>
    <mergeCell ref="K480:P480"/>
    <mergeCell ref="Q480:S482"/>
    <mergeCell ref="T480:V480"/>
    <mergeCell ref="Z480:AB480"/>
    <mergeCell ref="K481:P481"/>
    <mergeCell ref="H483:J486"/>
    <mergeCell ref="K483:P484"/>
    <mergeCell ref="Q483:S486"/>
    <mergeCell ref="T483:V484"/>
    <mergeCell ref="Z483:AB484"/>
    <mergeCell ref="K485:P486"/>
    <mergeCell ref="T485:V486"/>
    <mergeCell ref="Z485:AB486"/>
    <mergeCell ref="W480:Y486"/>
    <mergeCell ref="K482:P482"/>
    <mergeCell ref="E506:F506"/>
    <mergeCell ref="H506:I506"/>
    <mergeCell ref="K506:L506"/>
    <mergeCell ref="I508:J508"/>
    <mergeCell ref="I509:J509"/>
    <mergeCell ref="N506:O506"/>
    <mergeCell ref="Q506:R506"/>
    <mergeCell ref="L510:N510"/>
    <mergeCell ref="L511:N511"/>
    <mergeCell ref="E531:F531"/>
    <mergeCell ref="H531:I531"/>
    <mergeCell ref="K531:L531"/>
    <mergeCell ref="I576:J576"/>
    <mergeCell ref="I577:J577"/>
    <mergeCell ref="H565:J565"/>
    <mergeCell ref="E573:F573"/>
    <mergeCell ref="H573:I573"/>
    <mergeCell ref="I533:J533"/>
    <mergeCell ref="I534:J534"/>
    <mergeCell ref="I535:J535"/>
    <mergeCell ref="H538:I539"/>
    <mergeCell ref="H540:I541"/>
    <mergeCell ref="K573:L573"/>
    <mergeCell ref="E574:F574"/>
    <mergeCell ref="H574:I574"/>
    <mergeCell ref="K574:L574"/>
    <mergeCell ref="J538:L539"/>
    <mergeCell ref="J540:L541"/>
    <mergeCell ref="J542:L543"/>
    <mergeCell ref="H542:I543"/>
    <mergeCell ref="H561:J561"/>
    <mergeCell ref="E563:F563"/>
    <mergeCell ref="H563:I563"/>
    <mergeCell ref="O538:P539"/>
    <mergeCell ref="O540:P540"/>
    <mergeCell ref="O541:P541"/>
    <mergeCell ref="H560:I560"/>
    <mergeCell ref="K560:M560"/>
    <mergeCell ref="M538:N539"/>
    <mergeCell ref="M540:N541"/>
    <mergeCell ref="M542:N543"/>
    <mergeCell ref="O542:P542"/>
    <mergeCell ref="O543:P543"/>
    <mergeCell ref="I553:J553"/>
    <mergeCell ref="I554:J554"/>
    <mergeCell ref="I555:J555"/>
    <mergeCell ref="T538:V539"/>
    <mergeCell ref="Z538:AB539"/>
    <mergeCell ref="Q538:S539"/>
    <mergeCell ref="AC538:AE539"/>
    <mergeCell ref="Q540:S541"/>
    <mergeCell ref="Z540:AB541"/>
    <mergeCell ref="W538:Y539"/>
    <mergeCell ref="AC540:AE540"/>
    <mergeCell ref="AC541:AE541"/>
    <mergeCell ref="AC542:AE542"/>
    <mergeCell ref="AC543:AE543"/>
    <mergeCell ref="T540:V541"/>
    <mergeCell ref="T542:V543"/>
    <mergeCell ref="W540:Y540"/>
    <mergeCell ref="W541:Y541"/>
    <mergeCell ref="W542:Y542"/>
    <mergeCell ref="W543:Y543"/>
    <mergeCell ref="E550:F550"/>
    <mergeCell ref="H550:I550"/>
    <mergeCell ref="K550:L550"/>
    <mergeCell ref="Q542:S543"/>
    <mergeCell ref="Z542:AB543"/>
    <mergeCell ref="L582:AB582"/>
    <mergeCell ref="I583:K584"/>
    <mergeCell ref="L583:N584"/>
    <mergeCell ref="O583:Q584"/>
    <mergeCell ref="R583:T584"/>
    <mergeCell ref="U583:X584"/>
    <mergeCell ref="I556:J556"/>
    <mergeCell ref="I557:J557"/>
    <mergeCell ref="E551:F551"/>
    <mergeCell ref="H551:I551"/>
    <mergeCell ref="K551:L551"/>
    <mergeCell ref="E559:F559"/>
    <mergeCell ref="H559:I559"/>
    <mergeCell ref="K559:L559"/>
    <mergeCell ref="K563:L563"/>
    <mergeCell ref="H564:I564"/>
    <mergeCell ref="K564:M564"/>
    <mergeCell ref="J267:Z267"/>
    <mergeCell ref="M274:O275"/>
    <mergeCell ref="I596:J596"/>
    <mergeCell ref="K596:M596"/>
    <mergeCell ref="N596:O596"/>
    <mergeCell ref="P596:Q596"/>
    <mergeCell ref="R596:S596"/>
    <mergeCell ref="T596:V596"/>
    <mergeCell ref="I597:J598"/>
    <mergeCell ref="K597:M598"/>
    <mergeCell ref="N597:O598"/>
    <mergeCell ref="P597:Q597"/>
    <mergeCell ref="R597:S597"/>
    <mergeCell ref="T598:V598"/>
    <mergeCell ref="K537:AA537"/>
    <mergeCell ref="I594:J595"/>
    <mergeCell ref="K594:M595"/>
    <mergeCell ref="N594:O595"/>
    <mergeCell ref="P594:Q595"/>
    <mergeCell ref="R594:S595"/>
    <mergeCell ref="Y583:AB584"/>
    <mergeCell ref="Y585:AB585"/>
    <mergeCell ref="O585:Q585"/>
    <mergeCell ref="R585:T585"/>
    <mergeCell ref="Y596:AB596"/>
    <mergeCell ref="Y597:AB597"/>
    <mergeCell ref="Y598:AB598"/>
    <mergeCell ref="W594:X595"/>
    <mergeCell ref="W596:X598"/>
    <mergeCell ref="T597:V597"/>
    <mergeCell ref="P598:Q598"/>
    <mergeCell ref="R598:S598"/>
    <mergeCell ref="P268:S269"/>
    <mergeCell ref="P270:S270"/>
    <mergeCell ref="W268:Z269"/>
    <mergeCell ref="W270:Z270"/>
    <mergeCell ref="P274:S275"/>
    <mergeCell ref="W274:Z275"/>
    <mergeCell ref="J273:Z273"/>
    <mergeCell ref="T594:V595"/>
    <mergeCell ref="J593:AA593"/>
    <mergeCell ref="Y594:AB595"/>
    <mergeCell ref="I585:K585"/>
    <mergeCell ref="L585:N585"/>
    <mergeCell ref="U585:X585"/>
    <mergeCell ref="I578:J578"/>
    <mergeCell ref="I579:J579"/>
    <mergeCell ref="I580:J580"/>
  </mergeCells>
  <phoneticPr fontId="1"/>
  <pageMargins left="0.74803149606299213" right="0.74803149606299213" top="0.98425196850393704" bottom="0.98425196850393704" header="0.51181102362204722" footer="0.51181102362204722"/>
  <pageSetup paperSize="9" scale="97" fitToHeight="0" orientation="portrait" r:id="rId1"/>
  <headerFooter alignWithMargins="0"/>
  <rowBreaks count="18" manualBreakCount="18">
    <brk id="46" max="16383" man="1"/>
    <brk id="96" max="16383" man="1"/>
    <brk id="119" max="16383" man="1"/>
    <brk id="150" max="16383" man="1"/>
    <brk id="179" max="16383" man="1"/>
    <brk id="206" max="16383" man="1"/>
    <brk id="252" max="16383" man="1"/>
    <brk id="278" min="1" max="34" man="1"/>
    <brk id="310" min="1" max="34" man="1"/>
    <brk id="333" min="1" max="34" man="1"/>
    <brk id="370" min="1" max="34" man="1"/>
    <brk id="400" min="1" max="34" man="1"/>
    <brk id="444" min="1" max="34" man="1"/>
    <brk id="458" min="1" max="34" man="1"/>
    <brk id="500" min="1" max="34" man="1"/>
    <brk id="544" min="1" max="34" man="1"/>
    <brk id="566" min="1" max="34" man="1"/>
    <brk id="587" min="1" max="34" man="1"/>
  </rowBreaks>
  <ignoredErrors>
    <ignoredError sqref="O541 O543:P543 O542:P542 P598:Q598" formula="1"/>
    <ignoredError sqref="W426 T426 AC426:AE428 T440:Y443" evalError="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13"/>
  <sheetViews>
    <sheetView topLeftCell="A85" zoomScaleNormal="100" workbookViewId="0">
      <selection activeCell="B30" sqref="B30"/>
    </sheetView>
  </sheetViews>
  <sheetFormatPr defaultRowHeight="13.5" x14ac:dyDescent="0.15"/>
  <cols>
    <col min="1" max="1" width="27.25" style="56" bestFit="1" customWidth="1"/>
    <col min="2" max="2" width="28.125" style="56" bestFit="1" customWidth="1"/>
    <col min="3" max="3" width="23.875" style="56" bestFit="1" customWidth="1"/>
    <col min="4" max="4" width="20" style="56" bestFit="1" customWidth="1"/>
    <col min="5" max="5" width="24.375" style="56" bestFit="1" customWidth="1"/>
    <col min="6" max="6" width="25.625" style="56" bestFit="1" customWidth="1"/>
    <col min="7" max="8" width="25.625" style="56" customWidth="1"/>
    <col min="9" max="256" width="9" style="56"/>
    <col min="257" max="257" width="27.25" style="56" bestFit="1" customWidth="1"/>
    <col min="258" max="258" width="28.125" style="56" bestFit="1" customWidth="1"/>
    <col min="259" max="259" width="23.875" style="56" bestFit="1" customWidth="1"/>
    <col min="260" max="260" width="20" style="56" bestFit="1" customWidth="1"/>
    <col min="261" max="261" width="24.375" style="56" bestFit="1" customWidth="1"/>
    <col min="262" max="262" width="25.625" style="56" bestFit="1" customWidth="1"/>
    <col min="263" max="264" width="25.625" style="56" customWidth="1"/>
    <col min="265" max="512" width="9" style="56"/>
    <col min="513" max="513" width="27.25" style="56" bestFit="1" customWidth="1"/>
    <col min="514" max="514" width="28.125" style="56" bestFit="1" customWidth="1"/>
    <col min="515" max="515" width="23.875" style="56" bestFit="1" customWidth="1"/>
    <col min="516" max="516" width="20" style="56" bestFit="1" customWidth="1"/>
    <col min="517" max="517" width="24.375" style="56" bestFit="1" customWidth="1"/>
    <col min="518" max="518" width="25.625" style="56" bestFit="1" customWidth="1"/>
    <col min="519" max="520" width="25.625" style="56" customWidth="1"/>
    <col min="521" max="768" width="9" style="56"/>
    <col min="769" max="769" width="27.25" style="56" bestFit="1" customWidth="1"/>
    <col min="770" max="770" width="28.125" style="56" bestFit="1" customWidth="1"/>
    <col min="771" max="771" width="23.875" style="56" bestFit="1" customWidth="1"/>
    <col min="772" max="772" width="20" style="56" bestFit="1" customWidth="1"/>
    <col min="773" max="773" width="24.375" style="56" bestFit="1" customWidth="1"/>
    <col min="774" max="774" width="25.625" style="56" bestFit="1" customWidth="1"/>
    <col min="775" max="776" width="25.625" style="56" customWidth="1"/>
    <col min="777" max="1024" width="9" style="56"/>
    <col min="1025" max="1025" width="27.25" style="56" bestFit="1" customWidth="1"/>
    <col min="1026" max="1026" width="28.125" style="56" bestFit="1" customWidth="1"/>
    <col min="1027" max="1027" width="23.875" style="56" bestFit="1" customWidth="1"/>
    <col min="1028" max="1028" width="20" style="56" bestFit="1" customWidth="1"/>
    <col min="1029" max="1029" width="24.375" style="56" bestFit="1" customWidth="1"/>
    <col min="1030" max="1030" width="25.625" style="56" bestFit="1" customWidth="1"/>
    <col min="1031" max="1032" width="25.625" style="56" customWidth="1"/>
    <col min="1033" max="1280" width="9" style="56"/>
    <col min="1281" max="1281" width="27.25" style="56" bestFit="1" customWidth="1"/>
    <col min="1282" max="1282" width="28.125" style="56" bestFit="1" customWidth="1"/>
    <col min="1283" max="1283" width="23.875" style="56" bestFit="1" customWidth="1"/>
    <col min="1284" max="1284" width="20" style="56" bestFit="1" customWidth="1"/>
    <col min="1285" max="1285" width="24.375" style="56" bestFit="1" customWidth="1"/>
    <col min="1286" max="1286" width="25.625" style="56" bestFit="1" customWidth="1"/>
    <col min="1287" max="1288" width="25.625" style="56" customWidth="1"/>
    <col min="1289" max="1536" width="9" style="56"/>
    <col min="1537" max="1537" width="27.25" style="56" bestFit="1" customWidth="1"/>
    <col min="1538" max="1538" width="28.125" style="56" bestFit="1" customWidth="1"/>
    <col min="1539" max="1539" width="23.875" style="56" bestFit="1" customWidth="1"/>
    <col min="1540" max="1540" width="20" style="56" bestFit="1" customWidth="1"/>
    <col min="1541" max="1541" width="24.375" style="56" bestFit="1" customWidth="1"/>
    <col min="1542" max="1542" width="25.625" style="56" bestFit="1" customWidth="1"/>
    <col min="1543" max="1544" width="25.625" style="56" customWidth="1"/>
    <col min="1545" max="1792" width="9" style="56"/>
    <col min="1793" max="1793" width="27.25" style="56" bestFit="1" customWidth="1"/>
    <col min="1794" max="1794" width="28.125" style="56" bestFit="1" customWidth="1"/>
    <col min="1795" max="1795" width="23.875" style="56" bestFit="1" customWidth="1"/>
    <col min="1796" max="1796" width="20" style="56" bestFit="1" customWidth="1"/>
    <col min="1797" max="1797" width="24.375" style="56" bestFit="1" customWidth="1"/>
    <col min="1798" max="1798" width="25.625" style="56" bestFit="1" customWidth="1"/>
    <col min="1799" max="1800" width="25.625" style="56" customWidth="1"/>
    <col min="1801" max="2048" width="9" style="56"/>
    <col min="2049" max="2049" width="27.25" style="56" bestFit="1" customWidth="1"/>
    <col min="2050" max="2050" width="28.125" style="56" bestFit="1" customWidth="1"/>
    <col min="2051" max="2051" width="23.875" style="56" bestFit="1" customWidth="1"/>
    <col min="2052" max="2052" width="20" style="56" bestFit="1" customWidth="1"/>
    <col min="2053" max="2053" width="24.375" style="56" bestFit="1" customWidth="1"/>
    <col min="2054" max="2054" width="25.625" style="56" bestFit="1" customWidth="1"/>
    <col min="2055" max="2056" width="25.625" style="56" customWidth="1"/>
    <col min="2057" max="2304" width="9" style="56"/>
    <col min="2305" max="2305" width="27.25" style="56" bestFit="1" customWidth="1"/>
    <col min="2306" max="2306" width="28.125" style="56" bestFit="1" customWidth="1"/>
    <col min="2307" max="2307" width="23.875" style="56" bestFit="1" customWidth="1"/>
    <col min="2308" max="2308" width="20" style="56" bestFit="1" customWidth="1"/>
    <col min="2309" max="2309" width="24.375" style="56" bestFit="1" customWidth="1"/>
    <col min="2310" max="2310" width="25.625" style="56" bestFit="1" customWidth="1"/>
    <col min="2311" max="2312" width="25.625" style="56" customWidth="1"/>
    <col min="2313" max="2560" width="9" style="56"/>
    <col min="2561" max="2561" width="27.25" style="56" bestFit="1" customWidth="1"/>
    <col min="2562" max="2562" width="28.125" style="56" bestFit="1" customWidth="1"/>
    <col min="2563" max="2563" width="23.875" style="56" bestFit="1" customWidth="1"/>
    <col min="2564" max="2564" width="20" style="56" bestFit="1" customWidth="1"/>
    <col min="2565" max="2565" width="24.375" style="56" bestFit="1" customWidth="1"/>
    <col min="2566" max="2566" width="25.625" style="56" bestFit="1" customWidth="1"/>
    <col min="2567" max="2568" width="25.625" style="56" customWidth="1"/>
    <col min="2569" max="2816" width="9" style="56"/>
    <col min="2817" max="2817" width="27.25" style="56" bestFit="1" customWidth="1"/>
    <col min="2818" max="2818" width="28.125" style="56" bestFit="1" customWidth="1"/>
    <col min="2819" max="2819" width="23.875" style="56" bestFit="1" customWidth="1"/>
    <col min="2820" max="2820" width="20" style="56" bestFit="1" customWidth="1"/>
    <col min="2821" max="2821" width="24.375" style="56" bestFit="1" customWidth="1"/>
    <col min="2822" max="2822" width="25.625" style="56" bestFit="1" customWidth="1"/>
    <col min="2823" max="2824" width="25.625" style="56" customWidth="1"/>
    <col min="2825" max="3072" width="9" style="56"/>
    <col min="3073" max="3073" width="27.25" style="56" bestFit="1" customWidth="1"/>
    <col min="3074" max="3074" width="28.125" style="56" bestFit="1" customWidth="1"/>
    <col min="3075" max="3075" width="23.875" style="56" bestFit="1" customWidth="1"/>
    <col min="3076" max="3076" width="20" style="56" bestFit="1" customWidth="1"/>
    <col min="3077" max="3077" width="24.375" style="56" bestFit="1" customWidth="1"/>
    <col min="3078" max="3078" width="25.625" style="56" bestFit="1" customWidth="1"/>
    <col min="3079" max="3080" width="25.625" style="56" customWidth="1"/>
    <col min="3081" max="3328" width="9" style="56"/>
    <col min="3329" max="3329" width="27.25" style="56" bestFit="1" customWidth="1"/>
    <col min="3330" max="3330" width="28.125" style="56" bestFit="1" customWidth="1"/>
    <col min="3331" max="3331" width="23.875" style="56" bestFit="1" customWidth="1"/>
    <col min="3332" max="3332" width="20" style="56" bestFit="1" customWidth="1"/>
    <col min="3333" max="3333" width="24.375" style="56" bestFit="1" customWidth="1"/>
    <col min="3334" max="3334" width="25.625" style="56" bestFit="1" customWidth="1"/>
    <col min="3335" max="3336" width="25.625" style="56" customWidth="1"/>
    <col min="3337" max="3584" width="9" style="56"/>
    <col min="3585" max="3585" width="27.25" style="56" bestFit="1" customWidth="1"/>
    <col min="3586" max="3586" width="28.125" style="56" bestFit="1" customWidth="1"/>
    <col min="3587" max="3587" width="23.875" style="56" bestFit="1" customWidth="1"/>
    <col min="3588" max="3588" width="20" style="56" bestFit="1" customWidth="1"/>
    <col min="3589" max="3589" width="24.375" style="56" bestFit="1" customWidth="1"/>
    <col min="3590" max="3590" width="25.625" style="56" bestFit="1" customWidth="1"/>
    <col min="3591" max="3592" width="25.625" style="56" customWidth="1"/>
    <col min="3593" max="3840" width="9" style="56"/>
    <col min="3841" max="3841" width="27.25" style="56" bestFit="1" customWidth="1"/>
    <col min="3842" max="3842" width="28.125" style="56" bestFit="1" customWidth="1"/>
    <col min="3843" max="3843" width="23.875" style="56" bestFit="1" customWidth="1"/>
    <col min="3844" max="3844" width="20" style="56" bestFit="1" customWidth="1"/>
    <col min="3845" max="3845" width="24.375" style="56" bestFit="1" customWidth="1"/>
    <col min="3846" max="3846" width="25.625" style="56" bestFit="1" customWidth="1"/>
    <col min="3847" max="3848" width="25.625" style="56" customWidth="1"/>
    <col min="3849" max="4096" width="9" style="56"/>
    <col min="4097" max="4097" width="27.25" style="56" bestFit="1" customWidth="1"/>
    <col min="4098" max="4098" width="28.125" style="56" bestFit="1" customWidth="1"/>
    <col min="4099" max="4099" width="23.875" style="56" bestFit="1" customWidth="1"/>
    <col min="4100" max="4100" width="20" style="56" bestFit="1" customWidth="1"/>
    <col min="4101" max="4101" width="24.375" style="56" bestFit="1" customWidth="1"/>
    <col min="4102" max="4102" width="25.625" style="56" bestFit="1" customWidth="1"/>
    <col min="4103" max="4104" width="25.625" style="56" customWidth="1"/>
    <col min="4105" max="4352" width="9" style="56"/>
    <col min="4353" max="4353" width="27.25" style="56" bestFit="1" customWidth="1"/>
    <col min="4354" max="4354" width="28.125" style="56" bestFit="1" customWidth="1"/>
    <col min="4355" max="4355" width="23.875" style="56" bestFit="1" customWidth="1"/>
    <col min="4356" max="4356" width="20" style="56" bestFit="1" customWidth="1"/>
    <col min="4357" max="4357" width="24.375" style="56" bestFit="1" customWidth="1"/>
    <col min="4358" max="4358" width="25.625" style="56" bestFit="1" customWidth="1"/>
    <col min="4359" max="4360" width="25.625" style="56" customWidth="1"/>
    <col min="4361" max="4608" width="9" style="56"/>
    <col min="4609" max="4609" width="27.25" style="56" bestFit="1" customWidth="1"/>
    <col min="4610" max="4610" width="28.125" style="56" bestFit="1" customWidth="1"/>
    <col min="4611" max="4611" width="23.875" style="56" bestFit="1" customWidth="1"/>
    <col min="4612" max="4612" width="20" style="56" bestFit="1" customWidth="1"/>
    <col min="4613" max="4613" width="24.375" style="56" bestFit="1" customWidth="1"/>
    <col min="4614" max="4614" width="25.625" style="56" bestFit="1" customWidth="1"/>
    <col min="4615" max="4616" width="25.625" style="56" customWidth="1"/>
    <col min="4617" max="4864" width="9" style="56"/>
    <col min="4865" max="4865" width="27.25" style="56" bestFit="1" customWidth="1"/>
    <col min="4866" max="4866" width="28.125" style="56" bestFit="1" customWidth="1"/>
    <col min="4867" max="4867" width="23.875" style="56" bestFit="1" customWidth="1"/>
    <col min="4868" max="4868" width="20" style="56" bestFit="1" customWidth="1"/>
    <col min="4869" max="4869" width="24.375" style="56" bestFit="1" customWidth="1"/>
    <col min="4870" max="4870" width="25.625" style="56" bestFit="1" customWidth="1"/>
    <col min="4871" max="4872" width="25.625" style="56" customWidth="1"/>
    <col min="4873" max="5120" width="9" style="56"/>
    <col min="5121" max="5121" width="27.25" style="56" bestFit="1" customWidth="1"/>
    <col min="5122" max="5122" width="28.125" style="56" bestFit="1" customWidth="1"/>
    <col min="5123" max="5123" width="23.875" style="56" bestFit="1" customWidth="1"/>
    <col min="5124" max="5124" width="20" style="56" bestFit="1" customWidth="1"/>
    <col min="5125" max="5125" width="24.375" style="56" bestFit="1" customWidth="1"/>
    <col min="5126" max="5126" width="25.625" style="56" bestFit="1" customWidth="1"/>
    <col min="5127" max="5128" width="25.625" style="56" customWidth="1"/>
    <col min="5129" max="5376" width="9" style="56"/>
    <col min="5377" max="5377" width="27.25" style="56" bestFit="1" customWidth="1"/>
    <col min="5378" max="5378" width="28.125" style="56" bestFit="1" customWidth="1"/>
    <col min="5379" max="5379" width="23.875" style="56" bestFit="1" customWidth="1"/>
    <col min="5380" max="5380" width="20" style="56" bestFit="1" customWidth="1"/>
    <col min="5381" max="5381" width="24.375" style="56" bestFit="1" customWidth="1"/>
    <col min="5382" max="5382" width="25.625" style="56" bestFit="1" customWidth="1"/>
    <col min="5383" max="5384" width="25.625" style="56" customWidth="1"/>
    <col min="5385" max="5632" width="9" style="56"/>
    <col min="5633" max="5633" width="27.25" style="56" bestFit="1" customWidth="1"/>
    <col min="5634" max="5634" width="28.125" style="56" bestFit="1" customWidth="1"/>
    <col min="5635" max="5635" width="23.875" style="56" bestFit="1" customWidth="1"/>
    <col min="5636" max="5636" width="20" style="56" bestFit="1" customWidth="1"/>
    <col min="5637" max="5637" width="24.375" style="56" bestFit="1" customWidth="1"/>
    <col min="5638" max="5638" width="25.625" style="56" bestFit="1" customWidth="1"/>
    <col min="5639" max="5640" width="25.625" style="56" customWidth="1"/>
    <col min="5641" max="5888" width="9" style="56"/>
    <col min="5889" max="5889" width="27.25" style="56" bestFit="1" customWidth="1"/>
    <col min="5890" max="5890" width="28.125" style="56" bestFit="1" customWidth="1"/>
    <col min="5891" max="5891" width="23.875" style="56" bestFit="1" customWidth="1"/>
    <col min="5892" max="5892" width="20" style="56" bestFit="1" customWidth="1"/>
    <col min="5893" max="5893" width="24.375" style="56" bestFit="1" customWidth="1"/>
    <col min="5894" max="5894" width="25.625" style="56" bestFit="1" customWidth="1"/>
    <col min="5895" max="5896" width="25.625" style="56" customWidth="1"/>
    <col min="5897" max="6144" width="9" style="56"/>
    <col min="6145" max="6145" width="27.25" style="56" bestFit="1" customWidth="1"/>
    <col min="6146" max="6146" width="28.125" style="56" bestFit="1" customWidth="1"/>
    <col min="6147" max="6147" width="23.875" style="56" bestFit="1" customWidth="1"/>
    <col min="6148" max="6148" width="20" style="56" bestFit="1" customWidth="1"/>
    <col min="6149" max="6149" width="24.375" style="56" bestFit="1" customWidth="1"/>
    <col min="6150" max="6150" width="25.625" style="56" bestFit="1" customWidth="1"/>
    <col min="6151" max="6152" width="25.625" style="56" customWidth="1"/>
    <col min="6153" max="6400" width="9" style="56"/>
    <col min="6401" max="6401" width="27.25" style="56" bestFit="1" customWidth="1"/>
    <col min="6402" max="6402" width="28.125" style="56" bestFit="1" customWidth="1"/>
    <col min="6403" max="6403" width="23.875" style="56" bestFit="1" customWidth="1"/>
    <col min="6404" max="6404" width="20" style="56" bestFit="1" customWidth="1"/>
    <col min="6405" max="6405" width="24.375" style="56" bestFit="1" customWidth="1"/>
    <col min="6406" max="6406" width="25.625" style="56" bestFit="1" customWidth="1"/>
    <col min="6407" max="6408" width="25.625" style="56" customWidth="1"/>
    <col min="6409" max="6656" width="9" style="56"/>
    <col min="6657" max="6657" width="27.25" style="56" bestFit="1" customWidth="1"/>
    <col min="6658" max="6658" width="28.125" style="56" bestFit="1" customWidth="1"/>
    <col min="6659" max="6659" width="23.875" style="56" bestFit="1" customWidth="1"/>
    <col min="6660" max="6660" width="20" style="56" bestFit="1" customWidth="1"/>
    <col min="6661" max="6661" width="24.375" style="56" bestFit="1" customWidth="1"/>
    <col min="6662" max="6662" width="25.625" style="56" bestFit="1" customWidth="1"/>
    <col min="6663" max="6664" width="25.625" style="56" customWidth="1"/>
    <col min="6665" max="6912" width="9" style="56"/>
    <col min="6913" max="6913" width="27.25" style="56" bestFit="1" customWidth="1"/>
    <col min="6914" max="6914" width="28.125" style="56" bestFit="1" customWidth="1"/>
    <col min="6915" max="6915" width="23.875" style="56" bestFit="1" customWidth="1"/>
    <col min="6916" max="6916" width="20" style="56" bestFit="1" customWidth="1"/>
    <col min="6917" max="6917" width="24.375" style="56" bestFit="1" customWidth="1"/>
    <col min="6918" max="6918" width="25.625" style="56" bestFit="1" customWidth="1"/>
    <col min="6919" max="6920" width="25.625" style="56" customWidth="1"/>
    <col min="6921" max="7168" width="9" style="56"/>
    <col min="7169" max="7169" width="27.25" style="56" bestFit="1" customWidth="1"/>
    <col min="7170" max="7170" width="28.125" style="56" bestFit="1" customWidth="1"/>
    <col min="7171" max="7171" width="23.875" style="56" bestFit="1" customWidth="1"/>
    <col min="7172" max="7172" width="20" style="56" bestFit="1" customWidth="1"/>
    <col min="7173" max="7173" width="24.375" style="56" bestFit="1" customWidth="1"/>
    <col min="7174" max="7174" width="25.625" style="56" bestFit="1" customWidth="1"/>
    <col min="7175" max="7176" width="25.625" style="56" customWidth="1"/>
    <col min="7177" max="7424" width="9" style="56"/>
    <col min="7425" max="7425" width="27.25" style="56" bestFit="1" customWidth="1"/>
    <col min="7426" max="7426" width="28.125" style="56" bestFit="1" customWidth="1"/>
    <col min="7427" max="7427" width="23.875" style="56" bestFit="1" customWidth="1"/>
    <col min="7428" max="7428" width="20" style="56" bestFit="1" customWidth="1"/>
    <col min="7429" max="7429" width="24.375" style="56" bestFit="1" customWidth="1"/>
    <col min="7430" max="7430" width="25.625" style="56" bestFit="1" customWidth="1"/>
    <col min="7431" max="7432" width="25.625" style="56" customWidth="1"/>
    <col min="7433" max="7680" width="9" style="56"/>
    <col min="7681" max="7681" width="27.25" style="56" bestFit="1" customWidth="1"/>
    <col min="7682" max="7682" width="28.125" style="56" bestFit="1" customWidth="1"/>
    <col min="7683" max="7683" width="23.875" style="56" bestFit="1" customWidth="1"/>
    <col min="7684" max="7684" width="20" style="56" bestFit="1" customWidth="1"/>
    <col min="7685" max="7685" width="24.375" style="56" bestFit="1" customWidth="1"/>
    <col min="7686" max="7686" width="25.625" style="56" bestFit="1" customWidth="1"/>
    <col min="7687" max="7688" width="25.625" style="56" customWidth="1"/>
    <col min="7689" max="7936" width="9" style="56"/>
    <col min="7937" max="7937" width="27.25" style="56" bestFit="1" customWidth="1"/>
    <col min="7938" max="7938" width="28.125" style="56" bestFit="1" customWidth="1"/>
    <col min="7939" max="7939" width="23.875" style="56" bestFit="1" customWidth="1"/>
    <col min="7940" max="7940" width="20" style="56" bestFit="1" customWidth="1"/>
    <col min="7941" max="7941" width="24.375" style="56" bestFit="1" customWidth="1"/>
    <col min="7942" max="7942" width="25.625" style="56" bestFit="1" customWidth="1"/>
    <col min="7943" max="7944" width="25.625" style="56" customWidth="1"/>
    <col min="7945" max="8192" width="9" style="56"/>
    <col min="8193" max="8193" width="27.25" style="56" bestFit="1" customWidth="1"/>
    <col min="8194" max="8194" width="28.125" style="56" bestFit="1" customWidth="1"/>
    <col min="8195" max="8195" width="23.875" style="56" bestFit="1" customWidth="1"/>
    <col min="8196" max="8196" width="20" style="56" bestFit="1" customWidth="1"/>
    <col min="8197" max="8197" width="24.375" style="56" bestFit="1" customWidth="1"/>
    <col min="8198" max="8198" width="25.625" style="56" bestFit="1" customWidth="1"/>
    <col min="8199" max="8200" width="25.625" style="56" customWidth="1"/>
    <col min="8201" max="8448" width="9" style="56"/>
    <col min="8449" max="8449" width="27.25" style="56" bestFit="1" customWidth="1"/>
    <col min="8450" max="8450" width="28.125" style="56" bestFit="1" customWidth="1"/>
    <col min="8451" max="8451" width="23.875" style="56" bestFit="1" customWidth="1"/>
    <col min="8452" max="8452" width="20" style="56" bestFit="1" customWidth="1"/>
    <col min="8453" max="8453" width="24.375" style="56" bestFit="1" customWidth="1"/>
    <col min="8454" max="8454" width="25.625" style="56" bestFit="1" customWidth="1"/>
    <col min="8455" max="8456" width="25.625" style="56" customWidth="1"/>
    <col min="8457" max="8704" width="9" style="56"/>
    <col min="8705" max="8705" width="27.25" style="56" bestFit="1" customWidth="1"/>
    <col min="8706" max="8706" width="28.125" style="56" bestFit="1" customWidth="1"/>
    <col min="8707" max="8707" width="23.875" style="56" bestFit="1" customWidth="1"/>
    <col min="8708" max="8708" width="20" style="56" bestFit="1" customWidth="1"/>
    <col min="8709" max="8709" width="24.375" style="56" bestFit="1" customWidth="1"/>
    <col min="8710" max="8710" width="25.625" style="56" bestFit="1" customWidth="1"/>
    <col min="8711" max="8712" width="25.625" style="56" customWidth="1"/>
    <col min="8713" max="8960" width="9" style="56"/>
    <col min="8961" max="8961" width="27.25" style="56" bestFit="1" customWidth="1"/>
    <col min="8962" max="8962" width="28.125" style="56" bestFit="1" customWidth="1"/>
    <col min="8963" max="8963" width="23.875" style="56" bestFit="1" customWidth="1"/>
    <col min="8964" max="8964" width="20" style="56" bestFit="1" customWidth="1"/>
    <col min="8965" max="8965" width="24.375" style="56" bestFit="1" customWidth="1"/>
    <col min="8966" max="8966" width="25.625" style="56" bestFit="1" customWidth="1"/>
    <col min="8967" max="8968" width="25.625" style="56" customWidth="1"/>
    <col min="8969" max="9216" width="9" style="56"/>
    <col min="9217" max="9217" width="27.25" style="56" bestFit="1" customWidth="1"/>
    <col min="9218" max="9218" width="28.125" style="56" bestFit="1" customWidth="1"/>
    <col min="9219" max="9219" width="23.875" style="56" bestFit="1" customWidth="1"/>
    <col min="9220" max="9220" width="20" style="56" bestFit="1" customWidth="1"/>
    <col min="9221" max="9221" width="24.375" style="56" bestFit="1" customWidth="1"/>
    <col min="9222" max="9222" width="25.625" style="56" bestFit="1" customWidth="1"/>
    <col min="9223" max="9224" width="25.625" style="56" customWidth="1"/>
    <col min="9225" max="9472" width="9" style="56"/>
    <col min="9473" max="9473" width="27.25" style="56" bestFit="1" customWidth="1"/>
    <col min="9474" max="9474" width="28.125" style="56" bestFit="1" customWidth="1"/>
    <col min="9475" max="9475" width="23.875" style="56" bestFit="1" customWidth="1"/>
    <col min="9476" max="9476" width="20" style="56" bestFit="1" customWidth="1"/>
    <col min="9477" max="9477" width="24.375" style="56" bestFit="1" customWidth="1"/>
    <col min="9478" max="9478" width="25.625" style="56" bestFit="1" customWidth="1"/>
    <col min="9479" max="9480" width="25.625" style="56" customWidth="1"/>
    <col min="9481" max="9728" width="9" style="56"/>
    <col min="9729" max="9729" width="27.25" style="56" bestFit="1" customWidth="1"/>
    <col min="9730" max="9730" width="28.125" style="56" bestFit="1" customWidth="1"/>
    <col min="9731" max="9731" width="23.875" style="56" bestFit="1" customWidth="1"/>
    <col min="9732" max="9732" width="20" style="56" bestFit="1" customWidth="1"/>
    <col min="9733" max="9733" width="24.375" style="56" bestFit="1" customWidth="1"/>
    <col min="9734" max="9734" width="25.625" style="56" bestFit="1" customWidth="1"/>
    <col min="9735" max="9736" width="25.625" style="56" customWidth="1"/>
    <col min="9737" max="9984" width="9" style="56"/>
    <col min="9985" max="9985" width="27.25" style="56" bestFit="1" customWidth="1"/>
    <col min="9986" max="9986" width="28.125" style="56" bestFit="1" customWidth="1"/>
    <col min="9987" max="9987" width="23.875" style="56" bestFit="1" customWidth="1"/>
    <col min="9988" max="9988" width="20" style="56" bestFit="1" customWidth="1"/>
    <col min="9989" max="9989" width="24.375" style="56" bestFit="1" customWidth="1"/>
    <col min="9990" max="9990" width="25.625" style="56" bestFit="1" customWidth="1"/>
    <col min="9991" max="9992" width="25.625" style="56" customWidth="1"/>
    <col min="9993" max="10240" width="9" style="56"/>
    <col min="10241" max="10241" width="27.25" style="56" bestFit="1" customWidth="1"/>
    <col min="10242" max="10242" width="28.125" style="56" bestFit="1" customWidth="1"/>
    <col min="10243" max="10243" width="23.875" style="56" bestFit="1" customWidth="1"/>
    <col min="10244" max="10244" width="20" style="56" bestFit="1" customWidth="1"/>
    <col min="10245" max="10245" width="24.375" style="56" bestFit="1" customWidth="1"/>
    <col min="10246" max="10246" width="25.625" style="56" bestFit="1" customWidth="1"/>
    <col min="10247" max="10248" width="25.625" style="56" customWidth="1"/>
    <col min="10249" max="10496" width="9" style="56"/>
    <col min="10497" max="10497" width="27.25" style="56" bestFit="1" customWidth="1"/>
    <col min="10498" max="10498" width="28.125" style="56" bestFit="1" customWidth="1"/>
    <col min="10499" max="10499" width="23.875" style="56" bestFit="1" customWidth="1"/>
    <col min="10500" max="10500" width="20" style="56" bestFit="1" customWidth="1"/>
    <col min="10501" max="10501" width="24.375" style="56" bestFit="1" customWidth="1"/>
    <col min="10502" max="10502" width="25.625" style="56" bestFit="1" customWidth="1"/>
    <col min="10503" max="10504" width="25.625" style="56" customWidth="1"/>
    <col min="10505" max="10752" width="9" style="56"/>
    <col min="10753" max="10753" width="27.25" style="56" bestFit="1" customWidth="1"/>
    <col min="10754" max="10754" width="28.125" style="56" bestFit="1" customWidth="1"/>
    <col min="10755" max="10755" width="23.875" style="56" bestFit="1" customWidth="1"/>
    <col min="10756" max="10756" width="20" style="56" bestFit="1" customWidth="1"/>
    <col min="10757" max="10757" width="24.375" style="56" bestFit="1" customWidth="1"/>
    <col min="10758" max="10758" width="25.625" style="56" bestFit="1" customWidth="1"/>
    <col min="10759" max="10760" width="25.625" style="56" customWidth="1"/>
    <col min="10761" max="11008" width="9" style="56"/>
    <col min="11009" max="11009" width="27.25" style="56" bestFit="1" customWidth="1"/>
    <col min="11010" max="11010" width="28.125" style="56" bestFit="1" customWidth="1"/>
    <col min="11011" max="11011" width="23.875" style="56" bestFit="1" customWidth="1"/>
    <col min="11012" max="11012" width="20" style="56" bestFit="1" customWidth="1"/>
    <col min="11013" max="11013" width="24.375" style="56" bestFit="1" customWidth="1"/>
    <col min="11014" max="11014" width="25.625" style="56" bestFit="1" customWidth="1"/>
    <col min="11015" max="11016" width="25.625" style="56" customWidth="1"/>
    <col min="11017" max="11264" width="9" style="56"/>
    <col min="11265" max="11265" width="27.25" style="56" bestFit="1" customWidth="1"/>
    <col min="11266" max="11266" width="28.125" style="56" bestFit="1" customWidth="1"/>
    <col min="11267" max="11267" width="23.875" style="56" bestFit="1" customWidth="1"/>
    <col min="11268" max="11268" width="20" style="56" bestFit="1" customWidth="1"/>
    <col min="11269" max="11269" width="24.375" style="56" bestFit="1" customWidth="1"/>
    <col min="11270" max="11270" width="25.625" style="56" bestFit="1" customWidth="1"/>
    <col min="11271" max="11272" width="25.625" style="56" customWidth="1"/>
    <col min="11273" max="11520" width="9" style="56"/>
    <col min="11521" max="11521" width="27.25" style="56" bestFit="1" customWidth="1"/>
    <col min="11522" max="11522" width="28.125" style="56" bestFit="1" customWidth="1"/>
    <col min="11523" max="11523" width="23.875" style="56" bestFit="1" customWidth="1"/>
    <col min="11524" max="11524" width="20" style="56" bestFit="1" customWidth="1"/>
    <col min="11525" max="11525" width="24.375" style="56" bestFit="1" customWidth="1"/>
    <col min="11526" max="11526" width="25.625" style="56" bestFit="1" customWidth="1"/>
    <col min="11527" max="11528" width="25.625" style="56" customWidth="1"/>
    <col min="11529" max="11776" width="9" style="56"/>
    <col min="11777" max="11777" width="27.25" style="56" bestFit="1" customWidth="1"/>
    <col min="11778" max="11778" width="28.125" style="56" bestFit="1" customWidth="1"/>
    <col min="11779" max="11779" width="23.875" style="56" bestFit="1" customWidth="1"/>
    <col min="11780" max="11780" width="20" style="56" bestFit="1" customWidth="1"/>
    <col min="11781" max="11781" width="24.375" style="56" bestFit="1" customWidth="1"/>
    <col min="11782" max="11782" width="25.625" style="56" bestFit="1" customWidth="1"/>
    <col min="11783" max="11784" width="25.625" style="56" customWidth="1"/>
    <col min="11785" max="12032" width="9" style="56"/>
    <col min="12033" max="12033" width="27.25" style="56" bestFit="1" customWidth="1"/>
    <col min="12034" max="12034" width="28.125" style="56" bestFit="1" customWidth="1"/>
    <col min="12035" max="12035" width="23.875" style="56" bestFit="1" customWidth="1"/>
    <col min="12036" max="12036" width="20" style="56" bestFit="1" customWidth="1"/>
    <col min="12037" max="12037" width="24.375" style="56" bestFit="1" customWidth="1"/>
    <col min="12038" max="12038" width="25.625" style="56" bestFit="1" customWidth="1"/>
    <col min="12039" max="12040" width="25.625" style="56" customWidth="1"/>
    <col min="12041" max="12288" width="9" style="56"/>
    <col min="12289" max="12289" width="27.25" style="56" bestFit="1" customWidth="1"/>
    <col min="12290" max="12290" width="28.125" style="56" bestFit="1" customWidth="1"/>
    <col min="12291" max="12291" width="23.875" style="56" bestFit="1" customWidth="1"/>
    <col min="12292" max="12292" width="20" style="56" bestFit="1" customWidth="1"/>
    <col min="12293" max="12293" width="24.375" style="56" bestFit="1" customWidth="1"/>
    <col min="12294" max="12294" width="25.625" style="56" bestFit="1" customWidth="1"/>
    <col min="12295" max="12296" width="25.625" style="56" customWidth="1"/>
    <col min="12297" max="12544" width="9" style="56"/>
    <col min="12545" max="12545" width="27.25" style="56" bestFit="1" customWidth="1"/>
    <col min="12546" max="12546" width="28.125" style="56" bestFit="1" customWidth="1"/>
    <col min="12547" max="12547" width="23.875" style="56" bestFit="1" customWidth="1"/>
    <col min="12548" max="12548" width="20" style="56" bestFit="1" customWidth="1"/>
    <col min="12549" max="12549" width="24.375" style="56" bestFit="1" customWidth="1"/>
    <col min="12550" max="12550" width="25.625" style="56" bestFit="1" customWidth="1"/>
    <col min="12551" max="12552" width="25.625" style="56" customWidth="1"/>
    <col min="12553" max="12800" width="9" style="56"/>
    <col min="12801" max="12801" width="27.25" style="56" bestFit="1" customWidth="1"/>
    <col min="12802" max="12802" width="28.125" style="56" bestFit="1" customWidth="1"/>
    <col min="12803" max="12803" width="23.875" style="56" bestFit="1" customWidth="1"/>
    <col min="12804" max="12804" width="20" style="56" bestFit="1" customWidth="1"/>
    <col min="12805" max="12805" width="24.375" style="56" bestFit="1" customWidth="1"/>
    <col min="12806" max="12806" width="25.625" style="56" bestFit="1" customWidth="1"/>
    <col min="12807" max="12808" width="25.625" style="56" customWidth="1"/>
    <col min="12809" max="13056" width="9" style="56"/>
    <col min="13057" max="13057" width="27.25" style="56" bestFit="1" customWidth="1"/>
    <col min="13058" max="13058" width="28.125" style="56" bestFit="1" customWidth="1"/>
    <col min="13059" max="13059" width="23.875" style="56" bestFit="1" customWidth="1"/>
    <col min="13060" max="13060" width="20" style="56" bestFit="1" customWidth="1"/>
    <col min="13061" max="13061" width="24.375" style="56" bestFit="1" customWidth="1"/>
    <col min="13062" max="13062" width="25.625" style="56" bestFit="1" customWidth="1"/>
    <col min="13063" max="13064" width="25.625" style="56" customWidth="1"/>
    <col min="13065" max="13312" width="9" style="56"/>
    <col min="13313" max="13313" width="27.25" style="56" bestFit="1" customWidth="1"/>
    <col min="13314" max="13314" width="28.125" style="56" bestFit="1" customWidth="1"/>
    <col min="13315" max="13315" width="23.875" style="56" bestFit="1" customWidth="1"/>
    <col min="13316" max="13316" width="20" style="56" bestFit="1" customWidth="1"/>
    <col min="13317" max="13317" width="24.375" style="56" bestFit="1" customWidth="1"/>
    <col min="13318" max="13318" width="25.625" style="56" bestFit="1" customWidth="1"/>
    <col min="13319" max="13320" width="25.625" style="56" customWidth="1"/>
    <col min="13321" max="13568" width="9" style="56"/>
    <col min="13569" max="13569" width="27.25" style="56" bestFit="1" customWidth="1"/>
    <col min="13570" max="13570" width="28.125" style="56" bestFit="1" customWidth="1"/>
    <col min="13571" max="13571" width="23.875" style="56" bestFit="1" customWidth="1"/>
    <col min="13572" max="13572" width="20" style="56" bestFit="1" customWidth="1"/>
    <col min="13573" max="13573" width="24.375" style="56" bestFit="1" customWidth="1"/>
    <col min="13574" max="13574" width="25.625" style="56" bestFit="1" customWidth="1"/>
    <col min="13575" max="13576" width="25.625" style="56" customWidth="1"/>
    <col min="13577" max="13824" width="9" style="56"/>
    <col min="13825" max="13825" width="27.25" style="56" bestFit="1" customWidth="1"/>
    <col min="13826" max="13826" width="28.125" style="56" bestFit="1" customWidth="1"/>
    <col min="13827" max="13827" width="23.875" style="56" bestFit="1" customWidth="1"/>
    <col min="13828" max="13828" width="20" style="56" bestFit="1" customWidth="1"/>
    <col min="13829" max="13829" width="24.375" style="56" bestFit="1" customWidth="1"/>
    <col min="13830" max="13830" width="25.625" style="56" bestFit="1" customWidth="1"/>
    <col min="13831" max="13832" width="25.625" style="56" customWidth="1"/>
    <col min="13833" max="14080" width="9" style="56"/>
    <col min="14081" max="14081" width="27.25" style="56" bestFit="1" customWidth="1"/>
    <col min="14082" max="14082" width="28.125" style="56" bestFit="1" customWidth="1"/>
    <col min="14083" max="14083" width="23.875" style="56" bestFit="1" customWidth="1"/>
    <col min="14084" max="14084" width="20" style="56" bestFit="1" customWidth="1"/>
    <col min="14085" max="14085" width="24.375" style="56" bestFit="1" customWidth="1"/>
    <col min="14086" max="14086" width="25.625" style="56" bestFit="1" customWidth="1"/>
    <col min="14087" max="14088" width="25.625" style="56" customWidth="1"/>
    <col min="14089" max="14336" width="9" style="56"/>
    <col min="14337" max="14337" width="27.25" style="56" bestFit="1" customWidth="1"/>
    <col min="14338" max="14338" width="28.125" style="56" bestFit="1" customWidth="1"/>
    <col min="14339" max="14339" width="23.875" style="56" bestFit="1" customWidth="1"/>
    <col min="14340" max="14340" width="20" style="56" bestFit="1" customWidth="1"/>
    <col min="14341" max="14341" width="24.375" style="56" bestFit="1" customWidth="1"/>
    <col min="14342" max="14342" width="25.625" style="56" bestFit="1" customWidth="1"/>
    <col min="14343" max="14344" width="25.625" style="56" customWidth="1"/>
    <col min="14345" max="14592" width="9" style="56"/>
    <col min="14593" max="14593" width="27.25" style="56" bestFit="1" customWidth="1"/>
    <col min="14594" max="14594" width="28.125" style="56" bestFit="1" customWidth="1"/>
    <col min="14595" max="14595" width="23.875" style="56" bestFit="1" customWidth="1"/>
    <col min="14596" max="14596" width="20" style="56" bestFit="1" customWidth="1"/>
    <col min="14597" max="14597" width="24.375" style="56" bestFit="1" customWidth="1"/>
    <col min="14598" max="14598" width="25.625" style="56" bestFit="1" customWidth="1"/>
    <col min="14599" max="14600" width="25.625" style="56" customWidth="1"/>
    <col min="14601" max="14848" width="9" style="56"/>
    <col min="14849" max="14849" width="27.25" style="56" bestFit="1" customWidth="1"/>
    <col min="14850" max="14850" width="28.125" style="56" bestFit="1" customWidth="1"/>
    <col min="14851" max="14851" width="23.875" style="56" bestFit="1" customWidth="1"/>
    <col min="14852" max="14852" width="20" style="56" bestFit="1" customWidth="1"/>
    <col min="14853" max="14853" width="24.375" style="56" bestFit="1" customWidth="1"/>
    <col min="14854" max="14854" width="25.625" style="56" bestFit="1" customWidth="1"/>
    <col min="14855" max="14856" width="25.625" style="56" customWidth="1"/>
    <col min="14857" max="15104" width="9" style="56"/>
    <col min="15105" max="15105" width="27.25" style="56" bestFit="1" customWidth="1"/>
    <col min="15106" max="15106" width="28.125" style="56" bestFit="1" customWidth="1"/>
    <col min="15107" max="15107" width="23.875" style="56" bestFit="1" customWidth="1"/>
    <col min="15108" max="15108" width="20" style="56" bestFit="1" customWidth="1"/>
    <col min="15109" max="15109" width="24.375" style="56" bestFit="1" customWidth="1"/>
    <col min="15110" max="15110" width="25.625" style="56" bestFit="1" customWidth="1"/>
    <col min="15111" max="15112" width="25.625" style="56" customWidth="1"/>
    <col min="15113" max="15360" width="9" style="56"/>
    <col min="15361" max="15361" width="27.25" style="56" bestFit="1" customWidth="1"/>
    <col min="15362" max="15362" width="28.125" style="56" bestFit="1" customWidth="1"/>
    <col min="15363" max="15363" width="23.875" style="56" bestFit="1" customWidth="1"/>
    <col min="15364" max="15364" width="20" style="56" bestFit="1" customWidth="1"/>
    <col min="15365" max="15365" width="24.375" style="56" bestFit="1" customWidth="1"/>
    <col min="15366" max="15366" width="25.625" style="56" bestFit="1" customWidth="1"/>
    <col min="15367" max="15368" width="25.625" style="56" customWidth="1"/>
    <col min="15369" max="15616" width="9" style="56"/>
    <col min="15617" max="15617" width="27.25" style="56" bestFit="1" customWidth="1"/>
    <col min="15618" max="15618" width="28.125" style="56" bestFit="1" customWidth="1"/>
    <col min="15619" max="15619" width="23.875" style="56" bestFit="1" customWidth="1"/>
    <col min="15620" max="15620" width="20" style="56" bestFit="1" customWidth="1"/>
    <col min="15621" max="15621" width="24.375" style="56" bestFit="1" customWidth="1"/>
    <col min="15622" max="15622" width="25.625" style="56" bestFit="1" customWidth="1"/>
    <col min="15623" max="15624" width="25.625" style="56" customWidth="1"/>
    <col min="15625" max="15872" width="9" style="56"/>
    <col min="15873" max="15873" width="27.25" style="56" bestFit="1" customWidth="1"/>
    <col min="15874" max="15874" width="28.125" style="56" bestFit="1" customWidth="1"/>
    <col min="15875" max="15875" width="23.875" style="56" bestFit="1" customWidth="1"/>
    <col min="15876" max="15876" width="20" style="56" bestFit="1" customWidth="1"/>
    <col min="15877" max="15877" width="24.375" style="56" bestFit="1" customWidth="1"/>
    <col min="15878" max="15878" width="25.625" style="56" bestFit="1" customWidth="1"/>
    <col min="15879" max="15880" width="25.625" style="56" customWidth="1"/>
    <col min="15881" max="16128" width="9" style="56"/>
    <col min="16129" max="16129" width="27.25" style="56" bestFit="1" customWidth="1"/>
    <col min="16130" max="16130" width="28.125" style="56" bestFit="1" customWidth="1"/>
    <col min="16131" max="16131" width="23.875" style="56" bestFit="1" customWidth="1"/>
    <col min="16132" max="16132" width="20" style="56" bestFit="1" customWidth="1"/>
    <col min="16133" max="16133" width="24.375" style="56" bestFit="1" customWidth="1"/>
    <col min="16134" max="16134" width="25.625" style="56" bestFit="1" customWidth="1"/>
    <col min="16135" max="16136" width="25.625" style="56" customWidth="1"/>
    <col min="16137" max="16384" width="9" style="56"/>
  </cols>
  <sheetData>
    <row r="1" spans="1:8" x14ac:dyDescent="0.15">
      <c r="A1" s="55" t="s">
        <v>531</v>
      </c>
    </row>
    <row r="2" spans="1:8" x14ac:dyDescent="0.15">
      <c r="A2" s="57" t="s">
        <v>532</v>
      </c>
    </row>
    <row r="3" spans="1:8" x14ac:dyDescent="0.15">
      <c r="A3" s="55" t="s">
        <v>533</v>
      </c>
      <c r="B3" s="55" t="s">
        <v>534</v>
      </c>
      <c r="C3" s="55" t="s">
        <v>535</v>
      </c>
      <c r="D3" s="55" t="s">
        <v>536</v>
      </c>
      <c r="E3" s="55" t="s">
        <v>537</v>
      </c>
      <c r="F3" s="55" t="s">
        <v>538</v>
      </c>
      <c r="G3" s="55" t="s">
        <v>539</v>
      </c>
      <c r="H3" s="55" t="s">
        <v>540</v>
      </c>
    </row>
    <row r="4" spans="1:8" x14ac:dyDescent="0.15">
      <c r="A4" s="57">
        <v>2</v>
      </c>
      <c r="B4" s="57">
        <v>1</v>
      </c>
      <c r="C4" s="57">
        <v>21</v>
      </c>
      <c r="D4" s="57">
        <v>1</v>
      </c>
      <c r="E4" s="57">
        <v>6</v>
      </c>
      <c r="F4" s="57">
        <v>2</v>
      </c>
      <c r="G4" s="57">
        <v>9.5649999999999995</v>
      </c>
      <c r="H4" s="57">
        <v>5</v>
      </c>
    </row>
    <row r="5" spans="1:8" x14ac:dyDescent="0.15">
      <c r="A5" s="55" t="s">
        <v>541</v>
      </c>
    </row>
    <row r="6" spans="1:8" x14ac:dyDescent="0.15">
      <c r="A6" s="55" t="s">
        <v>542</v>
      </c>
      <c r="B6" s="58" t="s">
        <v>543</v>
      </c>
    </row>
    <row r="7" spans="1:8" x14ac:dyDescent="0.15">
      <c r="A7" s="55" t="s">
        <v>544</v>
      </c>
      <c r="B7" s="55" t="s">
        <v>545</v>
      </c>
      <c r="C7" s="55" t="s">
        <v>546</v>
      </c>
      <c r="D7" s="58" t="s">
        <v>543</v>
      </c>
    </row>
    <row r="8" spans="1:8" x14ac:dyDescent="0.15">
      <c r="A8" s="57">
        <v>1</v>
      </c>
      <c r="B8" s="57"/>
      <c r="C8" s="57"/>
      <c r="D8" s="58" t="s">
        <v>543</v>
      </c>
    </row>
    <row r="9" spans="1:8" x14ac:dyDescent="0.15">
      <c r="A9" s="57">
        <v>2</v>
      </c>
      <c r="B9" s="57"/>
      <c r="C9" s="57"/>
      <c r="D9" s="58" t="s">
        <v>543</v>
      </c>
    </row>
    <row r="10" spans="1:8" x14ac:dyDescent="0.15">
      <c r="A10" s="57">
        <v>3</v>
      </c>
      <c r="B10" s="57"/>
      <c r="C10" s="57"/>
      <c r="D10" s="58" t="s">
        <v>543</v>
      </c>
    </row>
    <row r="11" spans="1:8" x14ac:dyDescent="0.15">
      <c r="A11" s="57">
        <v>4</v>
      </c>
      <c r="B11" s="57"/>
      <c r="C11" s="57"/>
      <c r="D11" s="58" t="s">
        <v>543</v>
      </c>
    </row>
    <row r="12" spans="1:8" x14ac:dyDescent="0.15">
      <c r="A12" s="57">
        <v>5</v>
      </c>
      <c r="B12" s="57"/>
      <c r="C12" s="57"/>
      <c r="D12" s="58" t="s">
        <v>543</v>
      </c>
    </row>
    <row r="13" spans="1:8" x14ac:dyDescent="0.15">
      <c r="A13" s="57">
        <v>6</v>
      </c>
      <c r="B13" s="57"/>
      <c r="C13" s="57"/>
      <c r="D13" s="58" t="s">
        <v>543</v>
      </c>
    </row>
    <row r="15" spans="1:8" x14ac:dyDescent="0.15">
      <c r="A15" s="55" t="s">
        <v>547</v>
      </c>
    </row>
    <row r="16" spans="1:8" x14ac:dyDescent="0.15">
      <c r="A16" s="55" t="s">
        <v>548</v>
      </c>
    </row>
    <row r="17" spans="1:7" x14ac:dyDescent="0.15">
      <c r="A17" s="55" t="s">
        <v>549</v>
      </c>
      <c r="B17" s="55" t="s">
        <v>550</v>
      </c>
      <c r="C17" s="55" t="s">
        <v>551</v>
      </c>
      <c r="D17" s="55" t="s">
        <v>552</v>
      </c>
      <c r="E17" s="55" t="s">
        <v>553</v>
      </c>
      <c r="F17" s="55" t="s">
        <v>554</v>
      </c>
      <c r="G17" s="55" t="s">
        <v>555</v>
      </c>
    </row>
    <row r="18" spans="1:7" x14ac:dyDescent="0.15">
      <c r="A18" s="55" t="s">
        <v>556</v>
      </c>
      <c r="B18" s="57"/>
      <c r="C18" s="57"/>
      <c r="D18" s="57"/>
      <c r="E18" s="57"/>
      <c r="F18" s="57"/>
      <c r="G18" s="57"/>
    </row>
    <row r="19" spans="1:7" x14ac:dyDescent="0.15">
      <c r="A19" s="55" t="s">
        <v>557</v>
      </c>
      <c r="B19" s="57"/>
      <c r="C19" s="57"/>
      <c r="D19" s="57"/>
      <c r="E19" s="57"/>
      <c r="F19" s="57"/>
      <c r="G19" s="57"/>
    </row>
    <row r="20" spans="1:7" x14ac:dyDescent="0.15">
      <c r="A20" s="55" t="s">
        <v>558</v>
      </c>
      <c r="B20" s="57"/>
      <c r="C20" s="57"/>
      <c r="D20" s="57"/>
      <c r="E20" s="57"/>
      <c r="F20" s="57"/>
      <c r="G20" s="57"/>
    </row>
    <row r="21" spans="1:7" x14ac:dyDescent="0.15">
      <c r="A21" s="55" t="s">
        <v>559</v>
      </c>
      <c r="B21" s="57"/>
      <c r="C21" s="57"/>
      <c r="D21" s="57"/>
      <c r="E21" s="57"/>
      <c r="F21" s="57"/>
      <c r="G21" s="57"/>
    </row>
    <row r="22" spans="1:7" x14ac:dyDescent="0.15">
      <c r="A22" s="55" t="s">
        <v>560</v>
      </c>
      <c r="B22" s="57"/>
      <c r="C22" s="57"/>
      <c r="D22" s="57"/>
      <c r="E22" s="57"/>
      <c r="F22" s="57"/>
      <c r="G22" s="57"/>
    </row>
    <row r="23" spans="1:7" x14ac:dyDescent="0.15">
      <c r="A23" s="59"/>
    </row>
    <row r="24" spans="1:7" x14ac:dyDescent="0.15">
      <c r="A24" s="55" t="s">
        <v>561</v>
      </c>
    </row>
    <row r="25" spans="1:7" x14ac:dyDescent="0.15">
      <c r="A25" s="55" t="s">
        <v>549</v>
      </c>
      <c r="B25" s="55" t="s">
        <v>551</v>
      </c>
      <c r="C25" s="55" t="s">
        <v>562</v>
      </c>
      <c r="D25" s="55" t="s">
        <v>554</v>
      </c>
      <c r="E25" s="55" t="s">
        <v>563</v>
      </c>
    </row>
    <row r="26" spans="1:7" x14ac:dyDescent="0.15">
      <c r="A26" s="55" t="s">
        <v>556</v>
      </c>
      <c r="B26" s="57"/>
      <c r="C26" s="57"/>
      <c r="D26" s="57"/>
      <c r="E26" s="57"/>
    </row>
    <row r="27" spans="1:7" x14ac:dyDescent="0.15">
      <c r="A27" s="55" t="s">
        <v>557</v>
      </c>
      <c r="B27" s="57"/>
      <c r="C27" s="57"/>
      <c r="D27" s="57"/>
      <c r="E27" s="57"/>
    </row>
    <row r="28" spans="1:7" x14ac:dyDescent="0.15">
      <c r="A28" s="55" t="s">
        <v>558</v>
      </c>
      <c r="B28" s="57"/>
      <c r="C28" s="57"/>
      <c r="D28" s="57"/>
      <c r="E28" s="57"/>
    </row>
    <row r="29" spans="1:7" x14ac:dyDescent="0.15">
      <c r="A29" s="55" t="s">
        <v>559</v>
      </c>
      <c r="B29" s="57"/>
      <c r="C29" s="57"/>
      <c r="D29" s="57"/>
      <c r="E29" s="57"/>
    </row>
    <row r="30" spans="1:7" x14ac:dyDescent="0.15">
      <c r="A30" s="55" t="s">
        <v>560</v>
      </c>
      <c r="B30" s="57"/>
      <c r="C30" s="57"/>
      <c r="D30" s="57"/>
      <c r="E30" s="57"/>
    </row>
    <row r="32" spans="1:7" x14ac:dyDescent="0.15">
      <c r="A32" s="55" t="s">
        <v>564</v>
      </c>
    </row>
    <row r="33" spans="1:4" x14ac:dyDescent="0.15">
      <c r="A33" s="55" t="s">
        <v>549</v>
      </c>
      <c r="B33" s="55" t="s">
        <v>565</v>
      </c>
      <c r="C33" s="55" t="s">
        <v>566</v>
      </c>
      <c r="D33" s="55" t="s">
        <v>567</v>
      </c>
    </row>
    <row r="34" spans="1:4" x14ac:dyDescent="0.15">
      <c r="A34" s="55" t="s">
        <v>556</v>
      </c>
      <c r="B34" s="57"/>
      <c r="C34" s="57"/>
      <c r="D34" s="57"/>
    </row>
    <row r="35" spans="1:4" x14ac:dyDescent="0.15">
      <c r="A35" s="55" t="s">
        <v>557</v>
      </c>
      <c r="B35" s="57"/>
      <c r="C35" s="57"/>
      <c r="D35" s="57"/>
    </row>
    <row r="36" spans="1:4" x14ac:dyDescent="0.15">
      <c r="A36" s="55" t="s">
        <v>558</v>
      </c>
      <c r="B36" s="57"/>
      <c r="C36" s="57"/>
      <c r="D36" s="57"/>
    </row>
    <row r="37" spans="1:4" x14ac:dyDescent="0.15">
      <c r="A37" s="55" t="s">
        <v>559</v>
      </c>
      <c r="B37" s="57"/>
      <c r="C37" s="57"/>
      <c r="D37" s="57"/>
    </row>
    <row r="38" spans="1:4" x14ac:dyDescent="0.15">
      <c r="A38" s="55" t="s">
        <v>560</v>
      </c>
      <c r="B38" s="57"/>
      <c r="C38" s="57"/>
      <c r="D38" s="57"/>
    </row>
    <row r="39" spans="1:4" x14ac:dyDescent="0.15">
      <c r="A39" s="59"/>
    </row>
    <row r="40" spans="1:4" x14ac:dyDescent="0.15">
      <c r="A40" s="55" t="s">
        <v>568</v>
      </c>
    </row>
    <row r="41" spans="1:4" x14ac:dyDescent="0.15">
      <c r="A41" s="55" t="s">
        <v>549</v>
      </c>
      <c r="B41" s="55" t="s">
        <v>569</v>
      </c>
    </row>
    <row r="42" spans="1:4" x14ac:dyDescent="0.15">
      <c r="A42" s="55" t="s">
        <v>556</v>
      </c>
      <c r="B42" s="57"/>
    </row>
    <row r="43" spans="1:4" x14ac:dyDescent="0.15">
      <c r="A43" s="55" t="s">
        <v>557</v>
      </c>
      <c r="B43" s="57"/>
    </row>
    <row r="44" spans="1:4" x14ac:dyDescent="0.15">
      <c r="A44" s="55" t="s">
        <v>558</v>
      </c>
      <c r="B44" s="57"/>
    </row>
    <row r="45" spans="1:4" x14ac:dyDescent="0.15">
      <c r="A45" s="55" t="s">
        <v>559</v>
      </c>
      <c r="B45" s="57"/>
    </row>
    <row r="46" spans="1:4" x14ac:dyDescent="0.15">
      <c r="A46" s="55" t="s">
        <v>560</v>
      </c>
      <c r="B46" s="57"/>
    </row>
    <row r="48" spans="1:4" x14ac:dyDescent="0.15">
      <c r="A48" s="55" t="s">
        <v>570</v>
      </c>
    </row>
    <row r="49" spans="1:7" x14ac:dyDescent="0.15">
      <c r="A49" s="60" t="s">
        <v>548</v>
      </c>
    </row>
    <row r="50" spans="1:7" x14ac:dyDescent="0.15">
      <c r="A50" s="55" t="s">
        <v>571</v>
      </c>
      <c r="B50" s="55"/>
      <c r="C50" s="55"/>
      <c r="D50" s="55" t="s">
        <v>572</v>
      </c>
      <c r="E50" s="55"/>
      <c r="F50" s="55"/>
      <c r="G50" s="55" t="s">
        <v>573</v>
      </c>
    </row>
    <row r="51" spans="1:7" x14ac:dyDescent="0.15">
      <c r="A51" s="55" t="s">
        <v>574</v>
      </c>
      <c r="B51" s="55" t="s">
        <v>550</v>
      </c>
      <c r="C51" s="55" t="s">
        <v>575</v>
      </c>
      <c r="D51" s="55" t="s">
        <v>576</v>
      </c>
      <c r="E51" s="55" t="s">
        <v>577</v>
      </c>
      <c r="F51" s="55" t="s">
        <v>578</v>
      </c>
      <c r="G51" s="55"/>
    </row>
    <row r="52" spans="1:7" x14ac:dyDescent="0.15">
      <c r="A52" s="57"/>
      <c r="B52" s="57"/>
      <c r="C52" s="57"/>
      <c r="D52" s="57"/>
      <c r="E52" s="57"/>
      <c r="F52" s="57"/>
      <c r="G52" s="57"/>
    </row>
    <row r="53" spans="1:7" x14ac:dyDescent="0.15">
      <c r="A53" s="59"/>
    </row>
    <row r="54" spans="1:7" x14ac:dyDescent="0.15">
      <c r="A54" s="55" t="s">
        <v>564</v>
      </c>
    </row>
    <row r="55" spans="1:7" x14ac:dyDescent="0.15">
      <c r="A55" s="55" t="s">
        <v>565</v>
      </c>
      <c r="B55" s="55" t="s">
        <v>566</v>
      </c>
      <c r="C55" s="55" t="s">
        <v>567</v>
      </c>
    </row>
    <row r="56" spans="1:7" x14ac:dyDescent="0.15">
      <c r="A56" s="57"/>
      <c r="B56" s="57"/>
      <c r="C56" s="57"/>
    </row>
    <row r="57" spans="1:7" x14ac:dyDescent="0.15">
      <c r="A57" s="59"/>
    </row>
    <row r="58" spans="1:7" x14ac:dyDescent="0.15">
      <c r="A58" s="55" t="s">
        <v>568</v>
      </c>
    </row>
    <row r="59" spans="1:7" x14ac:dyDescent="0.15">
      <c r="A59" s="55" t="s">
        <v>569</v>
      </c>
    </row>
    <row r="60" spans="1:7" x14ac:dyDescent="0.15">
      <c r="A60" s="57"/>
    </row>
    <row r="62" spans="1:7" x14ac:dyDescent="0.15">
      <c r="A62" s="55" t="s">
        <v>579</v>
      </c>
    </row>
    <row r="63" spans="1:7" x14ac:dyDescent="0.15">
      <c r="A63" s="55" t="s">
        <v>542</v>
      </c>
      <c r="B63" s="58" t="s">
        <v>543</v>
      </c>
    </row>
    <row r="64" spans="1:7" x14ac:dyDescent="0.15">
      <c r="A64" s="55" t="s">
        <v>544</v>
      </c>
      <c r="B64" s="55" t="s">
        <v>545</v>
      </c>
      <c r="C64" s="55" t="s">
        <v>546</v>
      </c>
      <c r="D64" s="58" t="s">
        <v>543</v>
      </c>
    </row>
    <row r="65" spans="1:7" x14ac:dyDescent="0.15">
      <c r="A65" s="57">
        <v>1</v>
      </c>
      <c r="B65" s="57">
        <v>0</v>
      </c>
      <c r="C65" s="57">
        <v>6</v>
      </c>
      <c r="D65" s="58" t="s">
        <v>543</v>
      </c>
    </row>
    <row r="66" spans="1:7" x14ac:dyDescent="0.15">
      <c r="A66" s="57">
        <v>2</v>
      </c>
      <c r="B66" s="57">
        <v>5</v>
      </c>
      <c r="C66" s="57">
        <v>6</v>
      </c>
      <c r="D66" s="58" t="s">
        <v>543</v>
      </c>
    </row>
    <row r="68" spans="1:7" x14ac:dyDescent="0.15">
      <c r="A68" s="55" t="s">
        <v>547</v>
      </c>
    </row>
    <row r="69" spans="1:7" x14ac:dyDescent="0.15">
      <c r="A69" s="55" t="s">
        <v>548</v>
      </c>
    </row>
    <row r="70" spans="1:7" x14ac:dyDescent="0.15">
      <c r="A70" s="55" t="s">
        <v>549</v>
      </c>
      <c r="B70" s="55" t="s">
        <v>550</v>
      </c>
      <c r="C70" s="55" t="s">
        <v>551</v>
      </c>
      <c r="D70" s="55" t="s">
        <v>552</v>
      </c>
      <c r="E70" s="55" t="s">
        <v>553</v>
      </c>
      <c r="F70" s="55" t="s">
        <v>554</v>
      </c>
      <c r="G70" s="55" t="s">
        <v>555</v>
      </c>
    </row>
    <row r="71" spans="1:7" x14ac:dyDescent="0.15">
      <c r="A71" s="55" t="s">
        <v>556</v>
      </c>
      <c r="B71" s="57"/>
      <c r="C71" s="57"/>
      <c r="D71" s="57"/>
      <c r="E71" s="57"/>
      <c r="F71" s="57"/>
      <c r="G71" s="57"/>
    </row>
    <row r="72" spans="1:7" x14ac:dyDescent="0.15">
      <c r="A72" s="55" t="s">
        <v>557</v>
      </c>
      <c r="B72" s="57"/>
      <c r="C72" s="57"/>
      <c r="D72" s="57"/>
      <c r="E72" s="57"/>
      <c r="F72" s="57"/>
      <c r="G72" s="57"/>
    </row>
    <row r="73" spans="1:7" x14ac:dyDescent="0.15">
      <c r="A73" s="55" t="s">
        <v>558</v>
      </c>
      <c r="B73" s="57"/>
      <c r="C73" s="57"/>
      <c r="D73" s="57"/>
      <c r="E73" s="57"/>
      <c r="F73" s="57"/>
      <c r="G73" s="57"/>
    </row>
    <row r="74" spans="1:7" x14ac:dyDescent="0.15">
      <c r="A74" s="55" t="s">
        <v>559</v>
      </c>
      <c r="B74" s="57"/>
      <c r="C74" s="57"/>
      <c r="D74" s="57"/>
      <c r="E74" s="57"/>
      <c r="F74" s="57"/>
      <c r="G74" s="57"/>
    </row>
    <row r="75" spans="1:7" x14ac:dyDescent="0.15">
      <c r="A75" s="55" t="s">
        <v>560</v>
      </c>
      <c r="B75" s="57"/>
      <c r="C75" s="57"/>
      <c r="D75" s="57"/>
      <c r="E75" s="57"/>
      <c r="F75" s="57"/>
      <c r="G75" s="57"/>
    </row>
    <row r="77" spans="1:7" x14ac:dyDescent="0.15">
      <c r="A77" s="55" t="s">
        <v>561</v>
      </c>
    </row>
    <row r="78" spans="1:7" x14ac:dyDescent="0.15">
      <c r="A78" s="55" t="s">
        <v>549</v>
      </c>
      <c r="B78" s="55" t="s">
        <v>551</v>
      </c>
      <c r="C78" s="55" t="s">
        <v>562</v>
      </c>
      <c r="D78" s="55" t="s">
        <v>554</v>
      </c>
      <c r="E78" s="55" t="s">
        <v>563</v>
      </c>
    </row>
    <row r="79" spans="1:7" x14ac:dyDescent="0.15">
      <c r="A79" s="55" t="s">
        <v>556</v>
      </c>
      <c r="B79" s="57"/>
      <c r="C79" s="57"/>
      <c r="D79" s="57"/>
      <c r="E79" s="57"/>
    </row>
    <row r="80" spans="1:7" x14ac:dyDescent="0.15">
      <c r="A80" s="55" t="s">
        <v>557</v>
      </c>
      <c r="B80" s="57"/>
      <c r="C80" s="57"/>
      <c r="D80" s="57"/>
      <c r="E80" s="57"/>
    </row>
    <row r="81" spans="1:5" x14ac:dyDescent="0.15">
      <c r="A81" s="55" t="s">
        <v>558</v>
      </c>
      <c r="B81" s="57"/>
      <c r="C81" s="57"/>
      <c r="D81" s="57"/>
      <c r="E81" s="57"/>
    </row>
    <row r="82" spans="1:5" x14ac:dyDescent="0.15">
      <c r="A82" s="55" t="s">
        <v>559</v>
      </c>
      <c r="B82" s="57"/>
      <c r="C82" s="57"/>
      <c r="D82" s="57"/>
      <c r="E82" s="57"/>
    </row>
    <row r="83" spans="1:5" x14ac:dyDescent="0.15">
      <c r="A83" s="55" t="s">
        <v>560</v>
      </c>
      <c r="B83" s="57"/>
      <c r="C83" s="57"/>
      <c r="D83" s="57"/>
      <c r="E83" s="57"/>
    </row>
    <row r="85" spans="1:5" x14ac:dyDescent="0.15">
      <c r="A85" s="55" t="s">
        <v>564</v>
      </c>
    </row>
    <row r="86" spans="1:5" x14ac:dyDescent="0.15">
      <c r="A86" s="55" t="s">
        <v>549</v>
      </c>
      <c r="B86" s="55" t="s">
        <v>565</v>
      </c>
      <c r="C86" s="55" t="s">
        <v>566</v>
      </c>
      <c r="D86" s="55" t="s">
        <v>567</v>
      </c>
    </row>
    <row r="87" spans="1:5" x14ac:dyDescent="0.15">
      <c r="A87" s="55" t="s">
        <v>556</v>
      </c>
      <c r="B87" s="57"/>
      <c r="C87" s="57"/>
      <c r="D87" s="57"/>
    </row>
    <row r="88" spans="1:5" x14ac:dyDescent="0.15">
      <c r="A88" s="55" t="s">
        <v>557</v>
      </c>
      <c r="B88" s="57"/>
      <c r="C88" s="57"/>
      <c r="D88" s="57"/>
    </row>
    <row r="89" spans="1:5" x14ac:dyDescent="0.15">
      <c r="A89" s="55" t="s">
        <v>558</v>
      </c>
      <c r="B89" s="57"/>
      <c r="C89" s="57"/>
      <c r="D89" s="57"/>
    </row>
    <row r="90" spans="1:5" x14ac:dyDescent="0.15">
      <c r="A90" s="55" t="s">
        <v>559</v>
      </c>
      <c r="B90" s="57"/>
      <c r="C90" s="57"/>
      <c r="D90" s="57"/>
    </row>
    <row r="91" spans="1:5" x14ac:dyDescent="0.15">
      <c r="A91" s="55" t="s">
        <v>560</v>
      </c>
      <c r="B91" s="57"/>
      <c r="C91" s="57"/>
      <c r="D91" s="57"/>
    </row>
    <row r="93" spans="1:5" x14ac:dyDescent="0.15">
      <c r="A93" s="55" t="s">
        <v>568</v>
      </c>
    </row>
    <row r="94" spans="1:5" x14ac:dyDescent="0.15">
      <c r="A94" s="55" t="s">
        <v>549</v>
      </c>
      <c r="B94" s="55" t="s">
        <v>569</v>
      </c>
    </row>
    <row r="95" spans="1:5" x14ac:dyDescent="0.15">
      <c r="A95" s="55" t="s">
        <v>556</v>
      </c>
      <c r="B95" s="57"/>
    </row>
    <row r="96" spans="1:5" x14ac:dyDescent="0.15">
      <c r="A96" s="55" t="s">
        <v>557</v>
      </c>
      <c r="B96" s="57"/>
    </row>
    <row r="97" spans="1:7" x14ac:dyDescent="0.15">
      <c r="A97" s="55" t="s">
        <v>558</v>
      </c>
      <c r="B97" s="57"/>
    </row>
    <row r="98" spans="1:7" x14ac:dyDescent="0.15">
      <c r="A98" s="55" t="s">
        <v>559</v>
      </c>
      <c r="B98" s="57"/>
    </row>
    <row r="99" spans="1:7" x14ac:dyDescent="0.15">
      <c r="A99" s="55" t="s">
        <v>560</v>
      </c>
      <c r="B99" s="57"/>
    </row>
    <row r="101" spans="1:7" x14ac:dyDescent="0.15">
      <c r="A101" s="55" t="s">
        <v>570</v>
      </c>
    </row>
    <row r="102" spans="1:7" x14ac:dyDescent="0.15">
      <c r="A102" s="60" t="s">
        <v>548</v>
      </c>
    </row>
    <row r="103" spans="1:7" x14ac:dyDescent="0.15">
      <c r="A103" s="55" t="s">
        <v>571</v>
      </c>
      <c r="B103" s="55"/>
      <c r="C103" s="55"/>
      <c r="D103" s="55" t="s">
        <v>572</v>
      </c>
      <c r="E103" s="55"/>
      <c r="F103" s="55"/>
      <c r="G103" s="55" t="s">
        <v>573</v>
      </c>
    </row>
    <row r="104" spans="1:7" x14ac:dyDescent="0.15">
      <c r="A104" s="55" t="s">
        <v>574</v>
      </c>
      <c r="B104" s="55" t="s">
        <v>550</v>
      </c>
      <c r="C104" s="55" t="s">
        <v>575</v>
      </c>
      <c r="D104" s="55" t="s">
        <v>576</v>
      </c>
      <c r="E104" s="55" t="s">
        <v>577</v>
      </c>
      <c r="F104" s="55" t="s">
        <v>578</v>
      </c>
      <c r="G104" s="55"/>
    </row>
    <row r="105" spans="1:7" x14ac:dyDescent="0.15">
      <c r="A105" s="57"/>
      <c r="B105" s="57"/>
      <c r="C105" s="57"/>
      <c r="D105" s="57"/>
      <c r="E105" s="57"/>
      <c r="F105" s="57"/>
      <c r="G105" s="57"/>
    </row>
    <row r="106" spans="1:7" x14ac:dyDescent="0.15">
      <c r="A106" s="59"/>
    </row>
    <row r="107" spans="1:7" x14ac:dyDescent="0.15">
      <c r="A107" s="55" t="s">
        <v>564</v>
      </c>
    </row>
    <row r="108" spans="1:7" x14ac:dyDescent="0.15">
      <c r="A108" s="55" t="s">
        <v>565</v>
      </c>
      <c r="B108" s="55" t="s">
        <v>566</v>
      </c>
      <c r="C108" s="55" t="s">
        <v>567</v>
      </c>
    </row>
    <row r="109" spans="1:7" x14ac:dyDescent="0.15">
      <c r="A109" s="57"/>
      <c r="B109" s="57"/>
      <c r="C109" s="57"/>
    </row>
    <row r="110" spans="1:7" x14ac:dyDescent="0.15">
      <c r="A110" s="59"/>
    </row>
    <row r="111" spans="1:7" x14ac:dyDescent="0.15">
      <c r="A111" s="55" t="s">
        <v>568</v>
      </c>
    </row>
    <row r="112" spans="1:7" x14ac:dyDescent="0.15">
      <c r="A112" s="55" t="s">
        <v>569</v>
      </c>
    </row>
    <row r="113" spans="1:1" x14ac:dyDescent="0.15">
      <c r="A113" s="57"/>
    </row>
  </sheetData>
  <phoneticPr fontId="1"/>
  <pageMargins left="0.7" right="0.7" top="0.75" bottom="0.75" header="0.3" footer="0.3"/>
  <pageSetup paperSize="9" scale="4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3"/>
  <sheetViews>
    <sheetView topLeftCell="A19" zoomScaleNormal="100" workbookViewId="0">
      <selection activeCell="B30" sqref="B30"/>
    </sheetView>
  </sheetViews>
  <sheetFormatPr defaultRowHeight="13.5" x14ac:dyDescent="0.15"/>
  <cols>
    <col min="1" max="1" width="27.25" style="56" bestFit="1" customWidth="1"/>
    <col min="2" max="2" width="28.125" style="56" bestFit="1" customWidth="1"/>
    <col min="3" max="3" width="23.875" style="56" bestFit="1" customWidth="1"/>
    <col min="4" max="4" width="20" style="56" bestFit="1" customWidth="1"/>
    <col min="5" max="5" width="24.375" style="56" bestFit="1" customWidth="1"/>
    <col min="6" max="6" width="25.625" style="56" bestFit="1" customWidth="1"/>
    <col min="7" max="8" width="25.625" style="56" customWidth="1"/>
    <col min="9" max="256" width="9" style="56"/>
    <col min="257" max="257" width="27.25" style="56" bestFit="1" customWidth="1"/>
    <col min="258" max="258" width="28.125" style="56" bestFit="1" customWidth="1"/>
    <col min="259" max="259" width="23.875" style="56" bestFit="1" customWidth="1"/>
    <col min="260" max="260" width="20" style="56" bestFit="1" customWidth="1"/>
    <col min="261" max="261" width="24.375" style="56" bestFit="1" customWidth="1"/>
    <col min="262" max="262" width="25.625" style="56" bestFit="1" customWidth="1"/>
    <col min="263" max="264" width="25.625" style="56" customWidth="1"/>
    <col min="265" max="512" width="9" style="56"/>
    <col min="513" max="513" width="27.25" style="56" bestFit="1" customWidth="1"/>
    <col min="514" max="514" width="28.125" style="56" bestFit="1" customWidth="1"/>
    <col min="515" max="515" width="23.875" style="56" bestFit="1" customWidth="1"/>
    <col min="516" max="516" width="20" style="56" bestFit="1" customWidth="1"/>
    <col min="517" max="517" width="24.375" style="56" bestFit="1" customWidth="1"/>
    <col min="518" max="518" width="25.625" style="56" bestFit="1" customWidth="1"/>
    <col min="519" max="520" width="25.625" style="56" customWidth="1"/>
    <col min="521" max="768" width="9" style="56"/>
    <col min="769" max="769" width="27.25" style="56" bestFit="1" customWidth="1"/>
    <col min="770" max="770" width="28.125" style="56" bestFit="1" customWidth="1"/>
    <col min="771" max="771" width="23.875" style="56" bestFit="1" customWidth="1"/>
    <col min="772" max="772" width="20" style="56" bestFit="1" customWidth="1"/>
    <col min="773" max="773" width="24.375" style="56" bestFit="1" customWidth="1"/>
    <col min="774" max="774" width="25.625" style="56" bestFit="1" customWidth="1"/>
    <col min="775" max="776" width="25.625" style="56" customWidth="1"/>
    <col min="777" max="1024" width="9" style="56"/>
    <col min="1025" max="1025" width="27.25" style="56" bestFit="1" customWidth="1"/>
    <col min="1026" max="1026" width="28.125" style="56" bestFit="1" customWidth="1"/>
    <col min="1027" max="1027" width="23.875" style="56" bestFit="1" customWidth="1"/>
    <col min="1028" max="1028" width="20" style="56" bestFit="1" customWidth="1"/>
    <col min="1029" max="1029" width="24.375" style="56" bestFit="1" customWidth="1"/>
    <col min="1030" max="1030" width="25.625" style="56" bestFit="1" customWidth="1"/>
    <col min="1031" max="1032" width="25.625" style="56" customWidth="1"/>
    <col min="1033" max="1280" width="9" style="56"/>
    <col min="1281" max="1281" width="27.25" style="56" bestFit="1" customWidth="1"/>
    <col min="1282" max="1282" width="28.125" style="56" bestFit="1" customWidth="1"/>
    <col min="1283" max="1283" width="23.875" style="56" bestFit="1" customWidth="1"/>
    <col min="1284" max="1284" width="20" style="56" bestFit="1" customWidth="1"/>
    <col min="1285" max="1285" width="24.375" style="56" bestFit="1" customWidth="1"/>
    <col min="1286" max="1286" width="25.625" style="56" bestFit="1" customWidth="1"/>
    <col min="1287" max="1288" width="25.625" style="56" customWidth="1"/>
    <col min="1289" max="1536" width="9" style="56"/>
    <col min="1537" max="1537" width="27.25" style="56" bestFit="1" customWidth="1"/>
    <col min="1538" max="1538" width="28.125" style="56" bestFit="1" customWidth="1"/>
    <col min="1539" max="1539" width="23.875" style="56" bestFit="1" customWidth="1"/>
    <col min="1540" max="1540" width="20" style="56" bestFit="1" customWidth="1"/>
    <col min="1541" max="1541" width="24.375" style="56" bestFit="1" customWidth="1"/>
    <col min="1542" max="1542" width="25.625" style="56" bestFit="1" customWidth="1"/>
    <col min="1543" max="1544" width="25.625" style="56" customWidth="1"/>
    <col min="1545" max="1792" width="9" style="56"/>
    <col min="1793" max="1793" width="27.25" style="56" bestFit="1" customWidth="1"/>
    <col min="1794" max="1794" width="28.125" style="56" bestFit="1" customWidth="1"/>
    <col min="1795" max="1795" width="23.875" style="56" bestFit="1" customWidth="1"/>
    <col min="1796" max="1796" width="20" style="56" bestFit="1" customWidth="1"/>
    <col min="1797" max="1797" width="24.375" style="56" bestFit="1" customWidth="1"/>
    <col min="1798" max="1798" width="25.625" style="56" bestFit="1" customWidth="1"/>
    <col min="1799" max="1800" width="25.625" style="56" customWidth="1"/>
    <col min="1801" max="2048" width="9" style="56"/>
    <col min="2049" max="2049" width="27.25" style="56" bestFit="1" customWidth="1"/>
    <col min="2050" max="2050" width="28.125" style="56" bestFit="1" customWidth="1"/>
    <col min="2051" max="2051" width="23.875" style="56" bestFit="1" customWidth="1"/>
    <col min="2052" max="2052" width="20" style="56" bestFit="1" customWidth="1"/>
    <col min="2053" max="2053" width="24.375" style="56" bestFit="1" customWidth="1"/>
    <col min="2054" max="2054" width="25.625" style="56" bestFit="1" customWidth="1"/>
    <col min="2055" max="2056" width="25.625" style="56" customWidth="1"/>
    <col min="2057" max="2304" width="9" style="56"/>
    <col min="2305" max="2305" width="27.25" style="56" bestFit="1" customWidth="1"/>
    <col min="2306" max="2306" width="28.125" style="56" bestFit="1" customWidth="1"/>
    <col min="2307" max="2307" width="23.875" style="56" bestFit="1" customWidth="1"/>
    <col min="2308" max="2308" width="20" style="56" bestFit="1" customWidth="1"/>
    <col min="2309" max="2309" width="24.375" style="56" bestFit="1" customWidth="1"/>
    <col min="2310" max="2310" width="25.625" style="56" bestFit="1" customWidth="1"/>
    <col min="2311" max="2312" width="25.625" style="56" customWidth="1"/>
    <col min="2313" max="2560" width="9" style="56"/>
    <col min="2561" max="2561" width="27.25" style="56" bestFit="1" customWidth="1"/>
    <col min="2562" max="2562" width="28.125" style="56" bestFit="1" customWidth="1"/>
    <col min="2563" max="2563" width="23.875" style="56" bestFit="1" customWidth="1"/>
    <col min="2564" max="2564" width="20" style="56" bestFit="1" customWidth="1"/>
    <col min="2565" max="2565" width="24.375" style="56" bestFit="1" customWidth="1"/>
    <col min="2566" max="2566" width="25.625" style="56" bestFit="1" customWidth="1"/>
    <col min="2567" max="2568" width="25.625" style="56" customWidth="1"/>
    <col min="2569" max="2816" width="9" style="56"/>
    <col min="2817" max="2817" width="27.25" style="56" bestFit="1" customWidth="1"/>
    <col min="2818" max="2818" width="28.125" style="56" bestFit="1" customWidth="1"/>
    <col min="2819" max="2819" width="23.875" style="56" bestFit="1" customWidth="1"/>
    <col min="2820" max="2820" width="20" style="56" bestFit="1" customWidth="1"/>
    <col min="2821" max="2821" width="24.375" style="56" bestFit="1" customWidth="1"/>
    <col min="2822" max="2822" width="25.625" style="56" bestFit="1" customWidth="1"/>
    <col min="2823" max="2824" width="25.625" style="56" customWidth="1"/>
    <col min="2825" max="3072" width="9" style="56"/>
    <col min="3073" max="3073" width="27.25" style="56" bestFit="1" customWidth="1"/>
    <col min="3074" max="3074" width="28.125" style="56" bestFit="1" customWidth="1"/>
    <col min="3075" max="3075" width="23.875" style="56" bestFit="1" customWidth="1"/>
    <col min="3076" max="3076" width="20" style="56" bestFit="1" customWidth="1"/>
    <col min="3077" max="3077" width="24.375" style="56" bestFit="1" customWidth="1"/>
    <col min="3078" max="3078" width="25.625" style="56" bestFit="1" customWidth="1"/>
    <col min="3079" max="3080" width="25.625" style="56" customWidth="1"/>
    <col min="3081" max="3328" width="9" style="56"/>
    <col min="3329" max="3329" width="27.25" style="56" bestFit="1" customWidth="1"/>
    <col min="3330" max="3330" width="28.125" style="56" bestFit="1" customWidth="1"/>
    <col min="3331" max="3331" width="23.875" style="56" bestFit="1" customWidth="1"/>
    <col min="3332" max="3332" width="20" style="56" bestFit="1" customWidth="1"/>
    <col min="3333" max="3333" width="24.375" style="56" bestFit="1" customWidth="1"/>
    <col min="3334" max="3334" width="25.625" style="56" bestFit="1" customWidth="1"/>
    <col min="3335" max="3336" width="25.625" style="56" customWidth="1"/>
    <col min="3337" max="3584" width="9" style="56"/>
    <col min="3585" max="3585" width="27.25" style="56" bestFit="1" customWidth="1"/>
    <col min="3586" max="3586" width="28.125" style="56" bestFit="1" customWidth="1"/>
    <col min="3587" max="3587" width="23.875" style="56" bestFit="1" customWidth="1"/>
    <col min="3588" max="3588" width="20" style="56" bestFit="1" customWidth="1"/>
    <col min="3589" max="3589" width="24.375" style="56" bestFit="1" customWidth="1"/>
    <col min="3590" max="3590" width="25.625" style="56" bestFit="1" customWidth="1"/>
    <col min="3591" max="3592" width="25.625" style="56" customWidth="1"/>
    <col min="3593" max="3840" width="9" style="56"/>
    <col min="3841" max="3841" width="27.25" style="56" bestFit="1" customWidth="1"/>
    <col min="3842" max="3842" width="28.125" style="56" bestFit="1" customWidth="1"/>
    <col min="3843" max="3843" width="23.875" style="56" bestFit="1" customWidth="1"/>
    <col min="3844" max="3844" width="20" style="56" bestFit="1" customWidth="1"/>
    <col min="3845" max="3845" width="24.375" style="56" bestFit="1" customWidth="1"/>
    <col min="3846" max="3846" width="25.625" style="56" bestFit="1" customWidth="1"/>
    <col min="3847" max="3848" width="25.625" style="56" customWidth="1"/>
    <col min="3849" max="4096" width="9" style="56"/>
    <col min="4097" max="4097" width="27.25" style="56" bestFit="1" customWidth="1"/>
    <col min="4098" max="4098" width="28.125" style="56" bestFit="1" customWidth="1"/>
    <col min="4099" max="4099" width="23.875" style="56" bestFit="1" customWidth="1"/>
    <col min="4100" max="4100" width="20" style="56" bestFit="1" customWidth="1"/>
    <col min="4101" max="4101" width="24.375" style="56" bestFit="1" customWidth="1"/>
    <col min="4102" max="4102" width="25.625" style="56" bestFit="1" customWidth="1"/>
    <col min="4103" max="4104" width="25.625" style="56" customWidth="1"/>
    <col min="4105" max="4352" width="9" style="56"/>
    <col min="4353" max="4353" width="27.25" style="56" bestFit="1" customWidth="1"/>
    <col min="4354" max="4354" width="28.125" style="56" bestFit="1" customWidth="1"/>
    <col min="4355" max="4355" width="23.875" style="56" bestFit="1" customWidth="1"/>
    <col min="4356" max="4356" width="20" style="56" bestFit="1" customWidth="1"/>
    <col min="4357" max="4357" width="24.375" style="56" bestFit="1" customWidth="1"/>
    <col min="4358" max="4358" width="25.625" style="56" bestFit="1" customWidth="1"/>
    <col min="4359" max="4360" width="25.625" style="56" customWidth="1"/>
    <col min="4361" max="4608" width="9" style="56"/>
    <col min="4609" max="4609" width="27.25" style="56" bestFit="1" customWidth="1"/>
    <col min="4610" max="4610" width="28.125" style="56" bestFit="1" customWidth="1"/>
    <col min="4611" max="4611" width="23.875" style="56" bestFit="1" customWidth="1"/>
    <col min="4612" max="4612" width="20" style="56" bestFit="1" customWidth="1"/>
    <col min="4613" max="4613" width="24.375" style="56" bestFit="1" customWidth="1"/>
    <col min="4614" max="4614" width="25.625" style="56" bestFit="1" customWidth="1"/>
    <col min="4615" max="4616" width="25.625" style="56" customWidth="1"/>
    <col min="4617" max="4864" width="9" style="56"/>
    <col min="4865" max="4865" width="27.25" style="56" bestFit="1" customWidth="1"/>
    <col min="4866" max="4866" width="28.125" style="56" bestFit="1" customWidth="1"/>
    <col min="4867" max="4867" width="23.875" style="56" bestFit="1" customWidth="1"/>
    <col min="4868" max="4868" width="20" style="56" bestFit="1" customWidth="1"/>
    <col min="4869" max="4869" width="24.375" style="56" bestFit="1" customWidth="1"/>
    <col min="4870" max="4870" width="25.625" style="56" bestFit="1" customWidth="1"/>
    <col min="4871" max="4872" width="25.625" style="56" customWidth="1"/>
    <col min="4873" max="5120" width="9" style="56"/>
    <col min="5121" max="5121" width="27.25" style="56" bestFit="1" customWidth="1"/>
    <col min="5122" max="5122" width="28.125" style="56" bestFit="1" customWidth="1"/>
    <col min="5123" max="5123" width="23.875" style="56" bestFit="1" customWidth="1"/>
    <col min="5124" max="5124" width="20" style="56" bestFit="1" customWidth="1"/>
    <col min="5125" max="5125" width="24.375" style="56" bestFit="1" customWidth="1"/>
    <col min="5126" max="5126" width="25.625" style="56" bestFit="1" customWidth="1"/>
    <col min="5127" max="5128" width="25.625" style="56" customWidth="1"/>
    <col min="5129" max="5376" width="9" style="56"/>
    <col min="5377" max="5377" width="27.25" style="56" bestFit="1" customWidth="1"/>
    <col min="5378" max="5378" width="28.125" style="56" bestFit="1" customWidth="1"/>
    <col min="5379" max="5379" width="23.875" style="56" bestFit="1" customWidth="1"/>
    <col min="5380" max="5380" width="20" style="56" bestFit="1" customWidth="1"/>
    <col min="5381" max="5381" width="24.375" style="56" bestFit="1" customWidth="1"/>
    <col min="5382" max="5382" width="25.625" style="56" bestFit="1" customWidth="1"/>
    <col min="5383" max="5384" width="25.625" style="56" customWidth="1"/>
    <col min="5385" max="5632" width="9" style="56"/>
    <col min="5633" max="5633" width="27.25" style="56" bestFit="1" customWidth="1"/>
    <col min="5634" max="5634" width="28.125" style="56" bestFit="1" customWidth="1"/>
    <col min="5635" max="5635" width="23.875" style="56" bestFit="1" customWidth="1"/>
    <col min="5636" max="5636" width="20" style="56" bestFit="1" customWidth="1"/>
    <col min="5637" max="5637" width="24.375" style="56" bestFit="1" customWidth="1"/>
    <col min="5638" max="5638" width="25.625" style="56" bestFit="1" customWidth="1"/>
    <col min="5639" max="5640" width="25.625" style="56" customWidth="1"/>
    <col min="5641" max="5888" width="9" style="56"/>
    <col min="5889" max="5889" width="27.25" style="56" bestFit="1" customWidth="1"/>
    <col min="5890" max="5890" width="28.125" style="56" bestFit="1" customWidth="1"/>
    <col min="5891" max="5891" width="23.875" style="56" bestFit="1" customWidth="1"/>
    <col min="5892" max="5892" width="20" style="56" bestFit="1" customWidth="1"/>
    <col min="5893" max="5893" width="24.375" style="56" bestFit="1" customWidth="1"/>
    <col min="5894" max="5894" width="25.625" style="56" bestFit="1" customWidth="1"/>
    <col min="5895" max="5896" width="25.625" style="56" customWidth="1"/>
    <col min="5897" max="6144" width="9" style="56"/>
    <col min="6145" max="6145" width="27.25" style="56" bestFit="1" customWidth="1"/>
    <col min="6146" max="6146" width="28.125" style="56" bestFit="1" customWidth="1"/>
    <col min="6147" max="6147" width="23.875" style="56" bestFit="1" customWidth="1"/>
    <col min="6148" max="6148" width="20" style="56" bestFit="1" customWidth="1"/>
    <col min="6149" max="6149" width="24.375" style="56" bestFit="1" customWidth="1"/>
    <col min="6150" max="6150" width="25.625" style="56" bestFit="1" customWidth="1"/>
    <col min="6151" max="6152" width="25.625" style="56" customWidth="1"/>
    <col min="6153" max="6400" width="9" style="56"/>
    <col min="6401" max="6401" width="27.25" style="56" bestFit="1" customWidth="1"/>
    <col min="6402" max="6402" width="28.125" style="56" bestFit="1" customWidth="1"/>
    <col min="6403" max="6403" width="23.875" style="56" bestFit="1" customWidth="1"/>
    <col min="6404" max="6404" width="20" style="56" bestFit="1" customWidth="1"/>
    <col min="6405" max="6405" width="24.375" style="56" bestFit="1" customWidth="1"/>
    <col min="6406" max="6406" width="25.625" style="56" bestFit="1" customWidth="1"/>
    <col min="6407" max="6408" width="25.625" style="56" customWidth="1"/>
    <col min="6409" max="6656" width="9" style="56"/>
    <col min="6657" max="6657" width="27.25" style="56" bestFit="1" customWidth="1"/>
    <col min="6658" max="6658" width="28.125" style="56" bestFit="1" customWidth="1"/>
    <col min="6659" max="6659" width="23.875" style="56" bestFit="1" customWidth="1"/>
    <col min="6660" max="6660" width="20" style="56" bestFit="1" customWidth="1"/>
    <col min="6661" max="6661" width="24.375" style="56" bestFit="1" customWidth="1"/>
    <col min="6662" max="6662" width="25.625" style="56" bestFit="1" customWidth="1"/>
    <col min="6663" max="6664" width="25.625" style="56" customWidth="1"/>
    <col min="6665" max="6912" width="9" style="56"/>
    <col min="6913" max="6913" width="27.25" style="56" bestFit="1" customWidth="1"/>
    <col min="6914" max="6914" width="28.125" style="56" bestFit="1" customWidth="1"/>
    <col min="6915" max="6915" width="23.875" style="56" bestFit="1" customWidth="1"/>
    <col min="6916" max="6916" width="20" style="56" bestFit="1" customWidth="1"/>
    <col min="6917" max="6917" width="24.375" style="56" bestFit="1" customWidth="1"/>
    <col min="6918" max="6918" width="25.625" style="56" bestFit="1" customWidth="1"/>
    <col min="6919" max="6920" width="25.625" style="56" customWidth="1"/>
    <col min="6921" max="7168" width="9" style="56"/>
    <col min="7169" max="7169" width="27.25" style="56" bestFit="1" customWidth="1"/>
    <col min="7170" max="7170" width="28.125" style="56" bestFit="1" customWidth="1"/>
    <col min="7171" max="7171" width="23.875" style="56" bestFit="1" customWidth="1"/>
    <col min="7172" max="7172" width="20" style="56" bestFit="1" customWidth="1"/>
    <col min="7173" max="7173" width="24.375" style="56" bestFit="1" customWidth="1"/>
    <col min="7174" max="7174" width="25.625" style="56" bestFit="1" customWidth="1"/>
    <col min="7175" max="7176" width="25.625" style="56" customWidth="1"/>
    <col min="7177" max="7424" width="9" style="56"/>
    <col min="7425" max="7425" width="27.25" style="56" bestFit="1" customWidth="1"/>
    <col min="7426" max="7426" width="28.125" style="56" bestFit="1" customWidth="1"/>
    <col min="7427" max="7427" width="23.875" style="56" bestFit="1" customWidth="1"/>
    <col min="7428" max="7428" width="20" style="56" bestFit="1" customWidth="1"/>
    <col min="7429" max="7429" width="24.375" style="56" bestFit="1" customWidth="1"/>
    <col min="7430" max="7430" width="25.625" style="56" bestFit="1" customWidth="1"/>
    <col min="7431" max="7432" width="25.625" style="56" customWidth="1"/>
    <col min="7433" max="7680" width="9" style="56"/>
    <col min="7681" max="7681" width="27.25" style="56" bestFit="1" customWidth="1"/>
    <col min="7682" max="7682" width="28.125" style="56" bestFit="1" customWidth="1"/>
    <col min="7683" max="7683" width="23.875" style="56" bestFit="1" customWidth="1"/>
    <col min="7684" max="7684" width="20" style="56" bestFit="1" customWidth="1"/>
    <col min="7685" max="7685" width="24.375" style="56" bestFit="1" customWidth="1"/>
    <col min="7686" max="7686" width="25.625" style="56" bestFit="1" customWidth="1"/>
    <col min="7687" max="7688" width="25.625" style="56" customWidth="1"/>
    <col min="7689" max="7936" width="9" style="56"/>
    <col min="7937" max="7937" width="27.25" style="56" bestFit="1" customWidth="1"/>
    <col min="7938" max="7938" width="28.125" style="56" bestFit="1" customWidth="1"/>
    <col min="7939" max="7939" width="23.875" style="56" bestFit="1" customWidth="1"/>
    <col min="7940" max="7940" width="20" style="56" bestFit="1" customWidth="1"/>
    <col min="7941" max="7941" width="24.375" style="56" bestFit="1" customWidth="1"/>
    <col min="7942" max="7942" width="25.625" style="56" bestFit="1" customWidth="1"/>
    <col min="7943" max="7944" width="25.625" style="56" customWidth="1"/>
    <col min="7945" max="8192" width="9" style="56"/>
    <col min="8193" max="8193" width="27.25" style="56" bestFit="1" customWidth="1"/>
    <col min="8194" max="8194" width="28.125" style="56" bestFit="1" customWidth="1"/>
    <col min="8195" max="8195" width="23.875" style="56" bestFit="1" customWidth="1"/>
    <col min="8196" max="8196" width="20" style="56" bestFit="1" customWidth="1"/>
    <col min="8197" max="8197" width="24.375" style="56" bestFit="1" customWidth="1"/>
    <col min="8198" max="8198" width="25.625" style="56" bestFit="1" customWidth="1"/>
    <col min="8199" max="8200" width="25.625" style="56" customWidth="1"/>
    <col min="8201" max="8448" width="9" style="56"/>
    <col min="8449" max="8449" width="27.25" style="56" bestFit="1" customWidth="1"/>
    <col min="8450" max="8450" width="28.125" style="56" bestFit="1" customWidth="1"/>
    <col min="8451" max="8451" width="23.875" style="56" bestFit="1" customWidth="1"/>
    <col min="8452" max="8452" width="20" style="56" bestFit="1" customWidth="1"/>
    <col min="8453" max="8453" width="24.375" style="56" bestFit="1" customWidth="1"/>
    <col min="8454" max="8454" width="25.625" style="56" bestFit="1" customWidth="1"/>
    <col min="8455" max="8456" width="25.625" style="56" customWidth="1"/>
    <col min="8457" max="8704" width="9" style="56"/>
    <col min="8705" max="8705" width="27.25" style="56" bestFit="1" customWidth="1"/>
    <col min="8706" max="8706" width="28.125" style="56" bestFit="1" customWidth="1"/>
    <col min="8707" max="8707" width="23.875" style="56" bestFit="1" customWidth="1"/>
    <col min="8708" max="8708" width="20" style="56" bestFit="1" customWidth="1"/>
    <col min="8709" max="8709" width="24.375" style="56" bestFit="1" customWidth="1"/>
    <col min="8710" max="8710" width="25.625" style="56" bestFit="1" customWidth="1"/>
    <col min="8711" max="8712" width="25.625" style="56" customWidth="1"/>
    <col min="8713" max="8960" width="9" style="56"/>
    <col min="8961" max="8961" width="27.25" style="56" bestFit="1" customWidth="1"/>
    <col min="8962" max="8962" width="28.125" style="56" bestFit="1" customWidth="1"/>
    <col min="8963" max="8963" width="23.875" style="56" bestFit="1" customWidth="1"/>
    <col min="8964" max="8964" width="20" style="56" bestFit="1" customWidth="1"/>
    <col min="8965" max="8965" width="24.375" style="56" bestFit="1" customWidth="1"/>
    <col min="8966" max="8966" width="25.625" style="56" bestFit="1" customWidth="1"/>
    <col min="8967" max="8968" width="25.625" style="56" customWidth="1"/>
    <col min="8969" max="9216" width="9" style="56"/>
    <col min="9217" max="9217" width="27.25" style="56" bestFit="1" customWidth="1"/>
    <col min="9218" max="9218" width="28.125" style="56" bestFit="1" customWidth="1"/>
    <col min="9219" max="9219" width="23.875" style="56" bestFit="1" customWidth="1"/>
    <col min="9220" max="9220" width="20" style="56" bestFit="1" customWidth="1"/>
    <col min="9221" max="9221" width="24.375" style="56" bestFit="1" customWidth="1"/>
    <col min="9222" max="9222" width="25.625" style="56" bestFit="1" customWidth="1"/>
    <col min="9223" max="9224" width="25.625" style="56" customWidth="1"/>
    <col min="9225" max="9472" width="9" style="56"/>
    <col min="9473" max="9473" width="27.25" style="56" bestFit="1" customWidth="1"/>
    <col min="9474" max="9474" width="28.125" style="56" bestFit="1" customWidth="1"/>
    <col min="9475" max="9475" width="23.875" style="56" bestFit="1" customWidth="1"/>
    <col min="9476" max="9476" width="20" style="56" bestFit="1" customWidth="1"/>
    <col min="9477" max="9477" width="24.375" style="56" bestFit="1" customWidth="1"/>
    <col min="9478" max="9478" width="25.625" style="56" bestFit="1" customWidth="1"/>
    <col min="9479" max="9480" width="25.625" style="56" customWidth="1"/>
    <col min="9481" max="9728" width="9" style="56"/>
    <col min="9729" max="9729" width="27.25" style="56" bestFit="1" customWidth="1"/>
    <col min="9730" max="9730" width="28.125" style="56" bestFit="1" customWidth="1"/>
    <col min="9731" max="9731" width="23.875" style="56" bestFit="1" customWidth="1"/>
    <col min="9732" max="9732" width="20" style="56" bestFit="1" customWidth="1"/>
    <col min="9733" max="9733" width="24.375" style="56" bestFit="1" customWidth="1"/>
    <col min="9734" max="9734" width="25.625" style="56" bestFit="1" customWidth="1"/>
    <col min="9735" max="9736" width="25.625" style="56" customWidth="1"/>
    <col min="9737" max="9984" width="9" style="56"/>
    <col min="9985" max="9985" width="27.25" style="56" bestFit="1" customWidth="1"/>
    <col min="9986" max="9986" width="28.125" style="56" bestFit="1" customWidth="1"/>
    <col min="9987" max="9987" width="23.875" style="56" bestFit="1" customWidth="1"/>
    <col min="9988" max="9988" width="20" style="56" bestFit="1" customWidth="1"/>
    <col min="9989" max="9989" width="24.375" style="56" bestFit="1" customWidth="1"/>
    <col min="9990" max="9990" width="25.625" style="56" bestFit="1" customWidth="1"/>
    <col min="9991" max="9992" width="25.625" style="56" customWidth="1"/>
    <col min="9993" max="10240" width="9" style="56"/>
    <col min="10241" max="10241" width="27.25" style="56" bestFit="1" customWidth="1"/>
    <col min="10242" max="10242" width="28.125" style="56" bestFit="1" customWidth="1"/>
    <col min="10243" max="10243" width="23.875" style="56" bestFit="1" customWidth="1"/>
    <col min="10244" max="10244" width="20" style="56" bestFit="1" customWidth="1"/>
    <col min="10245" max="10245" width="24.375" style="56" bestFit="1" customWidth="1"/>
    <col min="10246" max="10246" width="25.625" style="56" bestFit="1" customWidth="1"/>
    <col min="10247" max="10248" width="25.625" style="56" customWidth="1"/>
    <col min="10249" max="10496" width="9" style="56"/>
    <col min="10497" max="10497" width="27.25" style="56" bestFit="1" customWidth="1"/>
    <col min="10498" max="10498" width="28.125" style="56" bestFit="1" customWidth="1"/>
    <col min="10499" max="10499" width="23.875" style="56" bestFit="1" customWidth="1"/>
    <col min="10500" max="10500" width="20" style="56" bestFit="1" customWidth="1"/>
    <col min="10501" max="10501" width="24.375" style="56" bestFit="1" customWidth="1"/>
    <col min="10502" max="10502" width="25.625" style="56" bestFit="1" customWidth="1"/>
    <col min="10503" max="10504" width="25.625" style="56" customWidth="1"/>
    <col min="10505" max="10752" width="9" style="56"/>
    <col min="10753" max="10753" width="27.25" style="56" bestFit="1" customWidth="1"/>
    <col min="10754" max="10754" width="28.125" style="56" bestFit="1" customWidth="1"/>
    <col min="10755" max="10755" width="23.875" style="56" bestFit="1" customWidth="1"/>
    <col min="10756" max="10756" width="20" style="56" bestFit="1" customWidth="1"/>
    <col min="10757" max="10757" width="24.375" style="56" bestFit="1" customWidth="1"/>
    <col min="10758" max="10758" width="25.625" style="56" bestFit="1" customWidth="1"/>
    <col min="10759" max="10760" width="25.625" style="56" customWidth="1"/>
    <col min="10761" max="11008" width="9" style="56"/>
    <col min="11009" max="11009" width="27.25" style="56" bestFit="1" customWidth="1"/>
    <col min="11010" max="11010" width="28.125" style="56" bestFit="1" customWidth="1"/>
    <col min="11011" max="11011" width="23.875" style="56" bestFit="1" customWidth="1"/>
    <col min="11012" max="11012" width="20" style="56" bestFit="1" customWidth="1"/>
    <col min="11013" max="11013" width="24.375" style="56" bestFit="1" customWidth="1"/>
    <col min="11014" max="11014" width="25.625" style="56" bestFit="1" customWidth="1"/>
    <col min="11015" max="11016" width="25.625" style="56" customWidth="1"/>
    <col min="11017" max="11264" width="9" style="56"/>
    <col min="11265" max="11265" width="27.25" style="56" bestFit="1" customWidth="1"/>
    <col min="11266" max="11266" width="28.125" style="56" bestFit="1" customWidth="1"/>
    <col min="11267" max="11267" width="23.875" style="56" bestFit="1" customWidth="1"/>
    <col min="11268" max="11268" width="20" style="56" bestFit="1" customWidth="1"/>
    <col min="11269" max="11269" width="24.375" style="56" bestFit="1" customWidth="1"/>
    <col min="11270" max="11270" width="25.625" style="56" bestFit="1" customWidth="1"/>
    <col min="11271" max="11272" width="25.625" style="56" customWidth="1"/>
    <col min="11273" max="11520" width="9" style="56"/>
    <col min="11521" max="11521" width="27.25" style="56" bestFit="1" customWidth="1"/>
    <col min="11522" max="11522" width="28.125" style="56" bestFit="1" customWidth="1"/>
    <col min="11523" max="11523" width="23.875" style="56" bestFit="1" customWidth="1"/>
    <col min="11524" max="11524" width="20" style="56" bestFit="1" customWidth="1"/>
    <col min="11525" max="11525" width="24.375" style="56" bestFit="1" customWidth="1"/>
    <col min="11526" max="11526" width="25.625" style="56" bestFit="1" customWidth="1"/>
    <col min="11527" max="11528" width="25.625" style="56" customWidth="1"/>
    <col min="11529" max="11776" width="9" style="56"/>
    <col min="11777" max="11777" width="27.25" style="56" bestFit="1" customWidth="1"/>
    <col min="11778" max="11778" width="28.125" style="56" bestFit="1" customWidth="1"/>
    <col min="11779" max="11779" width="23.875" style="56" bestFit="1" customWidth="1"/>
    <col min="11780" max="11780" width="20" style="56" bestFit="1" customWidth="1"/>
    <col min="11781" max="11781" width="24.375" style="56" bestFit="1" customWidth="1"/>
    <col min="11782" max="11782" width="25.625" style="56" bestFit="1" customWidth="1"/>
    <col min="11783" max="11784" width="25.625" style="56" customWidth="1"/>
    <col min="11785" max="12032" width="9" style="56"/>
    <col min="12033" max="12033" width="27.25" style="56" bestFit="1" customWidth="1"/>
    <col min="12034" max="12034" width="28.125" style="56" bestFit="1" customWidth="1"/>
    <col min="12035" max="12035" width="23.875" style="56" bestFit="1" customWidth="1"/>
    <col min="12036" max="12036" width="20" style="56" bestFit="1" customWidth="1"/>
    <col min="12037" max="12037" width="24.375" style="56" bestFit="1" customWidth="1"/>
    <col min="12038" max="12038" width="25.625" style="56" bestFit="1" customWidth="1"/>
    <col min="12039" max="12040" width="25.625" style="56" customWidth="1"/>
    <col min="12041" max="12288" width="9" style="56"/>
    <col min="12289" max="12289" width="27.25" style="56" bestFit="1" customWidth="1"/>
    <col min="12290" max="12290" width="28.125" style="56" bestFit="1" customWidth="1"/>
    <col min="12291" max="12291" width="23.875" style="56" bestFit="1" customWidth="1"/>
    <col min="12292" max="12292" width="20" style="56" bestFit="1" customWidth="1"/>
    <col min="12293" max="12293" width="24.375" style="56" bestFit="1" customWidth="1"/>
    <col min="12294" max="12294" width="25.625" style="56" bestFit="1" customWidth="1"/>
    <col min="12295" max="12296" width="25.625" style="56" customWidth="1"/>
    <col min="12297" max="12544" width="9" style="56"/>
    <col min="12545" max="12545" width="27.25" style="56" bestFit="1" customWidth="1"/>
    <col min="12546" max="12546" width="28.125" style="56" bestFit="1" customWidth="1"/>
    <col min="12547" max="12547" width="23.875" style="56" bestFit="1" customWidth="1"/>
    <col min="12548" max="12548" width="20" style="56" bestFit="1" customWidth="1"/>
    <col min="12549" max="12549" width="24.375" style="56" bestFit="1" customWidth="1"/>
    <col min="12550" max="12550" width="25.625" style="56" bestFit="1" customWidth="1"/>
    <col min="12551" max="12552" width="25.625" style="56" customWidth="1"/>
    <col min="12553" max="12800" width="9" style="56"/>
    <col min="12801" max="12801" width="27.25" style="56" bestFit="1" customWidth="1"/>
    <col min="12802" max="12802" width="28.125" style="56" bestFit="1" customWidth="1"/>
    <col min="12803" max="12803" width="23.875" style="56" bestFit="1" customWidth="1"/>
    <col min="12804" max="12804" width="20" style="56" bestFit="1" customWidth="1"/>
    <col min="12805" max="12805" width="24.375" style="56" bestFit="1" customWidth="1"/>
    <col min="12806" max="12806" width="25.625" style="56" bestFit="1" customWidth="1"/>
    <col min="12807" max="12808" width="25.625" style="56" customWidth="1"/>
    <col min="12809" max="13056" width="9" style="56"/>
    <col min="13057" max="13057" width="27.25" style="56" bestFit="1" customWidth="1"/>
    <col min="13058" max="13058" width="28.125" style="56" bestFit="1" customWidth="1"/>
    <col min="13059" max="13059" width="23.875" style="56" bestFit="1" customWidth="1"/>
    <col min="13060" max="13060" width="20" style="56" bestFit="1" customWidth="1"/>
    <col min="13061" max="13061" width="24.375" style="56" bestFit="1" customWidth="1"/>
    <col min="13062" max="13062" width="25.625" style="56" bestFit="1" customWidth="1"/>
    <col min="13063" max="13064" width="25.625" style="56" customWidth="1"/>
    <col min="13065" max="13312" width="9" style="56"/>
    <col min="13313" max="13313" width="27.25" style="56" bestFit="1" customWidth="1"/>
    <col min="13314" max="13314" width="28.125" style="56" bestFit="1" customWidth="1"/>
    <col min="13315" max="13315" width="23.875" style="56" bestFit="1" customWidth="1"/>
    <col min="13316" max="13316" width="20" style="56" bestFit="1" customWidth="1"/>
    <col min="13317" max="13317" width="24.375" style="56" bestFit="1" customWidth="1"/>
    <col min="13318" max="13318" width="25.625" style="56" bestFit="1" customWidth="1"/>
    <col min="13319" max="13320" width="25.625" style="56" customWidth="1"/>
    <col min="13321" max="13568" width="9" style="56"/>
    <col min="13569" max="13569" width="27.25" style="56" bestFit="1" customWidth="1"/>
    <col min="13570" max="13570" width="28.125" style="56" bestFit="1" customWidth="1"/>
    <col min="13571" max="13571" width="23.875" style="56" bestFit="1" customWidth="1"/>
    <col min="13572" max="13572" width="20" style="56" bestFit="1" customWidth="1"/>
    <col min="13573" max="13573" width="24.375" style="56" bestFit="1" customWidth="1"/>
    <col min="13574" max="13574" width="25.625" style="56" bestFit="1" customWidth="1"/>
    <col min="13575" max="13576" width="25.625" style="56" customWidth="1"/>
    <col min="13577" max="13824" width="9" style="56"/>
    <col min="13825" max="13825" width="27.25" style="56" bestFit="1" customWidth="1"/>
    <col min="13826" max="13826" width="28.125" style="56" bestFit="1" customWidth="1"/>
    <col min="13827" max="13827" width="23.875" style="56" bestFit="1" customWidth="1"/>
    <col min="13828" max="13828" width="20" style="56" bestFit="1" customWidth="1"/>
    <col min="13829" max="13829" width="24.375" style="56" bestFit="1" customWidth="1"/>
    <col min="13830" max="13830" width="25.625" style="56" bestFit="1" customWidth="1"/>
    <col min="13831" max="13832" width="25.625" style="56" customWidth="1"/>
    <col min="13833" max="14080" width="9" style="56"/>
    <col min="14081" max="14081" width="27.25" style="56" bestFit="1" customWidth="1"/>
    <col min="14082" max="14082" width="28.125" style="56" bestFit="1" customWidth="1"/>
    <col min="14083" max="14083" width="23.875" style="56" bestFit="1" customWidth="1"/>
    <col min="14084" max="14084" width="20" style="56" bestFit="1" customWidth="1"/>
    <col min="14085" max="14085" width="24.375" style="56" bestFit="1" customWidth="1"/>
    <col min="14086" max="14086" width="25.625" style="56" bestFit="1" customWidth="1"/>
    <col min="14087" max="14088" width="25.625" style="56" customWidth="1"/>
    <col min="14089" max="14336" width="9" style="56"/>
    <col min="14337" max="14337" width="27.25" style="56" bestFit="1" customWidth="1"/>
    <col min="14338" max="14338" width="28.125" style="56" bestFit="1" customWidth="1"/>
    <col min="14339" max="14339" width="23.875" style="56" bestFit="1" customWidth="1"/>
    <col min="14340" max="14340" width="20" style="56" bestFit="1" customWidth="1"/>
    <col min="14341" max="14341" width="24.375" style="56" bestFit="1" customWidth="1"/>
    <col min="14342" max="14342" width="25.625" style="56" bestFit="1" customWidth="1"/>
    <col min="14343" max="14344" width="25.625" style="56" customWidth="1"/>
    <col min="14345" max="14592" width="9" style="56"/>
    <col min="14593" max="14593" width="27.25" style="56" bestFit="1" customWidth="1"/>
    <col min="14594" max="14594" width="28.125" style="56" bestFit="1" customWidth="1"/>
    <col min="14595" max="14595" width="23.875" style="56" bestFit="1" customWidth="1"/>
    <col min="14596" max="14596" width="20" style="56" bestFit="1" customWidth="1"/>
    <col min="14597" max="14597" width="24.375" style="56" bestFit="1" customWidth="1"/>
    <col min="14598" max="14598" width="25.625" style="56" bestFit="1" customWidth="1"/>
    <col min="14599" max="14600" width="25.625" style="56" customWidth="1"/>
    <col min="14601" max="14848" width="9" style="56"/>
    <col min="14849" max="14849" width="27.25" style="56" bestFit="1" customWidth="1"/>
    <col min="14850" max="14850" width="28.125" style="56" bestFit="1" customWidth="1"/>
    <col min="14851" max="14851" width="23.875" style="56" bestFit="1" customWidth="1"/>
    <col min="14852" max="14852" width="20" style="56" bestFit="1" customWidth="1"/>
    <col min="14853" max="14853" width="24.375" style="56" bestFit="1" customWidth="1"/>
    <col min="14854" max="14854" width="25.625" style="56" bestFit="1" customWidth="1"/>
    <col min="14855" max="14856" width="25.625" style="56" customWidth="1"/>
    <col min="14857" max="15104" width="9" style="56"/>
    <col min="15105" max="15105" width="27.25" style="56" bestFit="1" customWidth="1"/>
    <col min="15106" max="15106" width="28.125" style="56" bestFit="1" customWidth="1"/>
    <col min="15107" max="15107" width="23.875" style="56" bestFit="1" customWidth="1"/>
    <col min="15108" max="15108" width="20" style="56" bestFit="1" customWidth="1"/>
    <col min="15109" max="15109" width="24.375" style="56" bestFit="1" customWidth="1"/>
    <col min="15110" max="15110" width="25.625" style="56" bestFit="1" customWidth="1"/>
    <col min="15111" max="15112" width="25.625" style="56" customWidth="1"/>
    <col min="15113" max="15360" width="9" style="56"/>
    <col min="15361" max="15361" width="27.25" style="56" bestFit="1" customWidth="1"/>
    <col min="15362" max="15362" width="28.125" style="56" bestFit="1" customWidth="1"/>
    <col min="15363" max="15363" width="23.875" style="56" bestFit="1" customWidth="1"/>
    <col min="15364" max="15364" width="20" style="56" bestFit="1" customWidth="1"/>
    <col min="15365" max="15365" width="24.375" style="56" bestFit="1" customWidth="1"/>
    <col min="15366" max="15366" width="25.625" style="56" bestFit="1" customWidth="1"/>
    <col min="15367" max="15368" width="25.625" style="56" customWidth="1"/>
    <col min="15369" max="15616" width="9" style="56"/>
    <col min="15617" max="15617" width="27.25" style="56" bestFit="1" customWidth="1"/>
    <col min="15618" max="15618" width="28.125" style="56" bestFit="1" customWidth="1"/>
    <col min="15619" max="15619" width="23.875" style="56" bestFit="1" customWidth="1"/>
    <col min="15620" max="15620" width="20" style="56" bestFit="1" customWidth="1"/>
    <col min="15621" max="15621" width="24.375" style="56" bestFit="1" customWidth="1"/>
    <col min="15622" max="15622" width="25.625" style="56" bestFit="1" customWidth="1"/>
    <col min="15623" max="15624" width="25.625" style="56" customWidth="1"/>
    <col min="15625" max="15872" width="9" style="56"/>
    <col min="15873" max="15873" width="27.25" style="56" bestFit="1" customWidth="1"/>
    <col min="15874" max="15874" width="28.125" style="56" bestFit="1" customWidth="1"/>
    <col min="15875" max="15875" width="23.875" style="56" bestFit="1" customWidth="1"/>
    <col min="15876" max="15876" width="20" style="56" bestFit="1" customWidth="1"/>
    <col min="15877" max="15877" width="24.375" style="56" bestFit="1" customWidth="1"/>
    <col min="15878" max="15878" width="25.625" style="56" bestFit="1" customWidth="1"/>
    <col min="15879" max="15880" width="25.625" style="56" customWidth="1"/>
    <col min="15881" max="16128" width="9" style="56"/>
    <col min="16129" max="16129" width="27.25" style="56" bestFit="1" customWidth="1"/>
    <col min="16130" max="16130" width="28.125" style="56" bestFit="1" customWidth="1"/>
    <col min="16131" max="16131" width="23.875" style="56" bestFit="1" customWidth="1"/>
    <col min="16132" max="16132" width="20" style="56" bestFit="1" customWidth="1"/>
    <col min="16133" max="16133" width="24.375" style="56" bestFit="1" customWidth="1"/>
    <col min="16134" max="16134" width="25.625" style="56" bestFit="1" customWidth="1"/>
    <col min="16135" max="16136" width="25.625" style="56" customWidth="1"/>
    <col min="16137" max="16384" width="9" style="56"/>
  </cols>
  <sheetData>
    <row r="1" spans="1:8" x14ac:dyDescent="0.15">
      <c r="A1" s="55" t="s">
        <v>531</v>
      </c>
    </row>
    <row r="2" spans="1:8" x14ac:dyDescent="0.15">
      <c r="A2" s="57" t="s">
        <v>532</v>
      </c>
    </row>
    <row r="3" spans="1:8" x14ac:dyDescent="0.15">
      <c r="A3" s="55" t="s">
        <v>533</v>
      </c>
      <c r="B3" s="55" t="s">
        <v>534</v>
      </c>
      <c r="C3" s="55" t="s">
        <v>535</v>
      </c>
      <c r="D3" s="55" t="s">
        <v>536</v>
      </c>
      <c r="E3" s="55" t="s">
        <v>537</v>
      </c>
      <c r="F3" s="55" t="s">
        <v>538</v>
      </c>
      <c r="G3" s="55" t="s">
        <v>539</v>
      </c>
      <c r="H3" s="55" t="s">
        <v>540</v>
      </c>
    </row>
    <row r="4" spans="1:8" x14ac:dyDescent="0.15">
      <c r="A4" s="57">
        <v>2</v>
      </c>
      <c r="B4" s="57">
        <v>1</v>
      </c>
      <c r="C4" s="57">
        <v>21</v>
      </c>
      <c r="D4" s="57">
        <v>1</v>
      </c>
      <c r="E4" s="57">
        <v>6</v>
      </c>
      <c r="F4" s="57">
        <v>2</v>
      </c>
      <c r="G4" s="57">
        <v>9.5649999999999995</v>
      </c>
      <c r="H4" s="57">
        <v>5</v>
      </c>
    </row>
    <row r="5" spans="1:8" x14ac:dyDescent="0.15">
      <c r="A5" s="55" t="s">
        <v>541</v>
      </c>
    </row>
    <row r="6" spans="1:8" x14ac:dyDescent="0.15">
      <c r="A6" s="55" t="s">
        <v>542</v>
      </c>
      <c r="B6" s="58" t="s">
        <v>543</v>
      </c>
    </row>
    <row r="7" spans="1:8" x14ac:dyDescent="0.15">
      <c r="A7" s="55" t="s">
        <v>544</v>
      </c>
      <c r="B7" s="55" t="s">
        <v>545</v>
      </c>
      <c r="C7" s="55" t="s">
        <v>546</v>
      </c>
      <c r="D7" s="58" t="s">
        <v>543</v>
      </c>
      <c r="E7" s="58"/>
    </row>
    <row r="8" spans="1:8" x14ac:dyDescent="0.15">
      <c r="A8" s="57">
        <v>1</v>
      </c>
      <c r="B8" s="57"/>
      <c r="C8" s="57"/>
      <c r="D8" s="58" t="s">
        <v>543</v>
      </c>
    </row>
    <row r="9" spans="1:8" x14ac:dyDescent="0.15">
      <c r="A9" s="57">
        <v>2</v>
      </c>
      <c r="B9" s="57"/>
      <c r="C9" s="57"/>
      <c r="D9" s="58" t="s">
        <v>543</v>
      </c>
    </row>
    <row r="10" spans="1:8" x14ac:dyDescent="0.15">
      <c r="A10" s="57">
        <v>3</v>
      </c>
      <c r="B10" s="57"/>
      <c r="C10" s="57"/>
      <c r="D10" s="58" t="s">
        <v>543</v>
      </c>
    </row>
    <row r="11" spans="1:8" x14ac:dyDescent="0.15">
      <c r="A11" s="57">
        <v>4</v>
      </c>
      <c r="B11" s="57"/>
      <c r="C11" s="57"/>
      <c r="D11" s="58" t="s">
        <v>543</v>
      </c>
    </row>
    <row r="12" spans="1:8" x14ac:dyDescent="0.15">
      <c r="A12" s="57">
        <v>5</v>
      </c>
      <c r="B12" s="57"/>
      <c r="C12" s="57"/>
      <c r="D12" s="58" t="s">
        <v>543</v>
      </c>
    </row>
    <row r="13" spans="1:8" x14ac:dyDescent="0.15">
      <c r="A13" s="57">
        <v>6</v>
      </c>
      <c r="B13" s="57"/>
      <c r="C13" s="57"/>
      <c r="D13" s="58" t="s">
        <v>543</v>
      </c>
    </row>
    <row r="15" spans="1:8" x14ac:dyDescent="0.15">
      <c r="A15" s="55" t="s">
        <v>547</v>
      </c>
    </row>
    <row r="16" spans="1:8" x14ac:dyDescent="0.15">
      <c r="A16" s="55" t="s">
        <v>548</v>
      </c>
    </row>
    <row r="17" spans="1:7" x14ac:dyDescent="0.15">
      <c r="A17" s="55" t="s">
        <v>549</v>
      </c>
      <c r="B17" s="55" t="s">
        <v>550</v>
      </c>
      <c r="C17" s="55" t="s">
        <v>551</v>
      </c>
      <c r="D17" s="55" t="s">
        <v>552</v>
      </c>
      <c r="E17" s="55" t="s">
        <v>553</v>
      </c>
      <c r="F17" s="55" t="s">
        <v>554</v>
      </c>
      <c r="G17" s="55" t="s">
        <v>555</v>
      </c>
    </row>
    <row r="18" spans="1:7" x14ac:dyDescent="0.15">
      <c r="A18" s="55" t="s">
        <v>556</v>
      </c>
      <c r="B18" s="57"/>
      <c r="C18" s="57"/>
      <c r="D18" s="57"/>
      <c r="E18" s="57"/>
      <c r="F18" s="57"/>
      <c r="G18" s="57"/>
    </row>
    <row r="19" spans="1:7" x14ac:dyDescent="0.15">
      <c r="A19" s="55" t="s">
        <v>557</v>
      </c>
      <c r="B19" s="57"/>
      <c r="C19" s="57"/>
      <c r="D19" s="57"/>
      <c r="E19" s="57"/>
      <c r="F19" s="57"/>
      <c r="G19" s="57"/>
    </row>
    <row r="20" spans="1:7" x14ac:dyDescent="0.15">
      <c r="A20" s="55" t="s">
        <v>558</v>
      </c>
      <c r="B20" s="57"/>
      <c r="C20" s="57"/>
      <c r="D20" s="57"/>
      <c r="E20" s="57"/>
      <c r="F20" s="57"/>
      <c r="G20" s="57"/>
    </row>
    <row r="21" spans="1:7" x14ac:dyDescent="0.15">
      <c r="A21" s="55" t="s">
        <v>559</v>
      </c>
      <c r="B21" s="57"/>
      <c r="C21" s="57"/>
      <c r="D21" s="57"/>
      <c r="E21" s="57"/>
      <c r="F21" s="57"/>
      <c r="G21" s="57"/>
    </row>
    <row r="22" spans="1:7" x14ac:dyDescent="0.15">
      <c r="A22" s="55" t="s">
        <v>560</v>
      </c>
      <c r="B22" s="57"/>
      <c r="C22" s="57"/>
      <c r="D22" s="57"/>
      <c r="E22" s="57"/>
      <c r="F22" s="57"/>
      <c r="G22" s="57"/>
    </row>
    <row r="23" spans="1:7" x14ac:dyDescent="0.15">
      <c r="A23" s="59"/>
    </row>
    <row r="24" spans="1:7" x14ac:dyDescent="0.15">
      <c r="A24" s="55" t="s">
        <v>561</v>
      </c>
    </row>
    <row r="25" spans="1:7" x14ac:dyDescent="0.15">
      <c r="A25" s="55" t="s">
        <v>549</v>
      </c>
      <c r="B25" s="55" t="s">
        <v>580</v>
      </c>
      <c r="C25" s="55" t="s">
        <v>551</v>
      </c>
      <c r="D25" s="55" t="s">
        <v>562</v>
      </c>
      <c r="E25" s="55" t="s">
        <v>554</v>
      </c>
      <c r="F25" s="55" t="s">
        <v>581</v>
      </c>
      <c r="G25" s="61" t="s">
        <v>582</v>
      </c>
    </row>
    <row r="26" spans="1:7" x14ac:dyDescent="0.15">
      <c r="A26" s="55" t="s">
        <v>556</v>
      </c>
      <c r="B26" s="57"/>
      <c r="C26" s="57"/>
      <c r="D26" s="57"/>
      <c r="E26" s="57"/>
      <c r="F26" s="57"/>
    </row>
    <row r="27" spans="1:7" x14ac:dyDescent="0.15">
      <c r="A27" s="55" t="s">
        <v>557</v>
      </c>
      <c r="B27" s="57"/>
      <c r="C27" s="57"/>
      <c r="D27" s="57"/>
      <c r="E27" s="57"/>
      <c r="F27" s="57"/>
    </row>
    <row r="28" spans="1:7" x14ac:dyDescent="0.15">
      <c r="A28" s="55" t="s">
        <v>558</v>
      </c>
      <c r="B28" s="57"/>
      <c r="C28" s="57"/>
      <c r="D28" s="57"/>
      <c r="E28" s="57"/>
      <c r="F28" s="57"/>
    </row>
    <row r="29" spans="1:7" x14ac:dyDescent="0.15">
      <c r="A29" s="55" t="s">
        <v>559</v>
      </c>
      <c r="B29" s="57"/>
      <c r="C29" s="57"/>
      <c r="D29" s="57"/>
      <c r="E29" s="57"/>
      <c r="F29" s="57"/>
    </row>
    <row r="30" spans="1:7" x14ac:dyDescent="0.15">
      <c r="A30" s="55" t="s">
        <v>560</v>
      </c>
      <c r="B30" s="57"/>
      <c r="C30" s="57"/>
      <c r="D30" s="57"/>
      <c r="E30" s="57"/>
      <c r="F30" s="57"/>
    </row>
    <row r="32" spans="1:7" x14ac:dyDescent="0.15">
      <c r="A32" s="55" t="s">
        <v>564</v>
      </c>
    </row>
    <row r="33" spans="1:4" x14ac:dyDescent="0.15">
      <c r="A33" s="55" t="s">
        <v>549</v>
      </c>
      <c r="B33" s="55" t="s">
        <v>565</v>
      </c>
      <c r="C33" s="55" t="s">
        <v>566</v>
      </c>
      <c r="D33" s="55" t="s">
        <v>567</v>
      </c>
    </row>
    <row r="34" spans="1:4" x14ac:dyDescent="0.15">
      <c r="A34" s="55" t="s">
        <v>556</v>
      </c>
      <c r="B34" s="57"/>
      <c r="C34" s="57"/>
      <c r="D34" s="57"/>
    </row>
    <row r="35" spans="1:4" x14ac:dyDescent="0.15">
      <c r="A35" s="55" t="s">
        <v>557</v>
      </c>
      <c r="B35" s="57"/>
      <c r="C35" s="57"/>
      <c r="D35" s="57"/>
    </row>
    <row r="36" spans="1:4" x14ac:dyDescent="0.15">
      <c r="A36" s="55" t="s">
        <v>558</v>
      </c>
      <c r="B36" s="57"/>
      <c r="C36" s="57"/>
      <c r="D36" s="57"/>
    </row>
    <row r="37" spans="1:4" x14ac:dyDescent="0.15">
      <c r="A37" s="55" t="s">
        <v>559</v>
      </c>
      <c r="B37" s="57"/>
      <c r="C37" s="57"/>
      <c r="D37" s="57"/>
    </row>
    <row r="38" spans="1:4" x14ac:dyDescent="0.15">
      <c r="A38" s="55" t="s">
        <v>560</v>
      </c>
      <c r="B38" s="57"/>
      <c r="C38" s="57"/>
      <c r="D38" s="57"/>
    </row>
    <row r="39" spans="1:4" x14ac:dyDescent="0.15">
      <c r="A39" s="59"/>
    </row>
    <row r="40" spans="1:4" x14ac:dyDescent="0.15">
      <c r="A40" s="55" t="s">
        <v>568</v>
      </c>
    </row>
    <row r="41" spans="1:4" x14ac:dyDescent="0.15">
      <c r="A41" s="55" t="s">
        <v>549</v>
      </c>
      <c r="B41" s="55" t="s">
        <v>569</v>
      </c>
    </row>
    <row r="42" spans="1:4" x14ac:dyDescent="0.15">
      <c r="A42" s="55" t="s">
        <v>556</v>
      </c>
      <c r="B42" s="57"/>
    </row>
    <row r="43" spans="1:4" x14ac:dyDescent="0.15">
      <c r="A43" s="55" t="s">
        <v>557</v>
      </c>
      <c r="B43" s="57"/>
    </row>
    <row r="44" spans="1:4" x14ac:dyDescent="0.15">
      <c r="A44" s="55" t="s">
        <v>558</v>
      </c>
      <c r="B44" s="57"/>
    </row>
    <row r="45" spans="1:4" x14ac:dyDescent="0.15">
      <c r="A45" s="55" t="s">
        <v>559</v>
      </c>
      <c r="B45" s="57"/>
    </row>
    <row r="46" spans="1:4" x14ac:dyDescent="0.15">
      <c r="A46" s="55" t="s">
        <v>560</v>
      </c>
      <c r="B46" s="57"/>
    </row>
    <row r="48" spans="1:4" x14ac:dyDescent="0.15">
      <c r="A48" s="55" t="s">
        <v>570</v>
      </c>
    </row>
    <row r="49" spans="1:7" x14ac:dyDescent="0.15">
      <c r="A49" s="60" t="s">
        <v>548</v>
      </c>
    </row>
    <row r="50" spans="1:7" x14ac:dyDescent="0.15">
      <c r="A50" s="60" t="s">
        <v>583</v>
      </c>
      <c r="B50" s="61" t="s">
        <v>584</v>
      </c>
    </row>
    <row r="51" spans="1:7" x14ac:dyDescent="0.15">
      <c r="A51" s="55" t="s">
        <v>571</v>
      </c>
      <c r="B51" s="55"/>
      <c r="C51" s="55"/>
      <c r="D51" s="55" t="s">
        <v>572</v>
      </c>
      <c r="E51" s="55"/>
      <c r="F51" s="55"/>
      <c r="G51" s="55" t="s">
        <v>573</v>
      </c>
    </row>
    <row r="52" spans="1:7" x14ac:dyDescent="0.15">
      <c r="A52" s="55" t="s">
        <v>574</v>
      </c>
      <c r="B52" s="55" t="s">
        <v>550</v>
      </c>
      <c r="C52" s="55" t="s">
        <v>575</v>
      </c>
      <c r="D52" s="55" t="s">
        <v>576</v>
      </c>
      <c r="E52" s="55" t="s">
        <v>577</v>
      </c>
      <c r="F52" s="55" t="s">
        <v>578</v>
      </c>
      <c r="G52" s="55"/>
    </row>
    <row r="53" spans="1:7" x14ac:dyDescent="0.15">
      <c r="A53" s="57"/>
      <c r="B53" s="57"/>
      <c r="C53" s="57"/>
      <c r="D53" s="57"/>
      <c r="E53" s="57"/>
      <c r="F53" s="57"/>
      <c r="G53" s="57"/>
    </row>
    <row r="54" spans="1:7" x14ac:dyDescent="0.15">
      <c r="A54" s="60" t="s">
        <v>585</v>
      </c>
      <c r="B54" s="61" t="s">
        <v>584</v>
      </c>
    </row>
    <row r="55" spans="1:7" x14ac:dyDescent="0.15">
      <c r="A55" s="55" t="s">
        <v>571</v>
      </c>
      <c r="B55" s="55"/>
      <c r="C55" s="55"/>
      <c r="D55" s="55" t="s">
        <v>572</v>
      </c>
      <c r="E55" s="55"/>
      <c r="F55" s="55"/>
      <c r="G55" s="55" t="s">
        <v>573</v>
      </c>
    </row>
    <row r="56" spans="1:7" x14ac:dyDescent="0.15">
      <c r="A56" s="55" t="s">
        <v>574</v>
      </c>
      <c r="B56" s="55" t="s">
        <v>586</v>
      </c>
      <c r="C56" s="55" t="s">
        <v>575</v>
      </c>
      <c r="D56" s="55" t="s">
        <v>576</v>
      </c>
      <c r="E56" s="55" t="s">
        <v>577</v>
      </c>
      <c r="F56" s="55" t="s">
        <v>578</v>
      </c>
      <c r="G56" s="55"/>
    </row>
    <row r="57" spans="1:7" x14ac:dyDescent="0.15">
      <c r="A57" s="57"/>
      <c r="B57" s="57"/>
      <c r="C57" s="57"/>
      <c r="D57" s="57"/>
      <c r="E57" s="57"/>
      <c r="F57" s="57"/>
      <c r="G57" s="57"/>
    </row>
    <row r="58" spans="1:7" x14ac:dyDescent="0.15">
      <c r="A58" s="62"/>
    </row>
    <row r="59" spans="1:7" x14ac:dyDescent="0.15">
      <c r="A59" s="55" t="s">
        <v>564</v>
      </c>
    </row>
    <row r="60" spans="1:7" x14ac:dyDescent="0.15">
      <c r="A60" s="55" t="s">
        <v>565</v>
      </c>
      <c r="B60" s="55" t="s">
        <v>566</v>
      </c>
      <c r="C60" s="55" t="s">
        <v>567</v>
      </c>
    </row>
    <row r="61" spans="1:7" x14ac:dyDescent="0.15">
      <c r="A61" s="57"/>
      <c r="B61" s="57"/>
      <c r="C61" s="57"/>
    </row>
    <row r="62" spans="1:7" x14ac:dyDescent="0.15">
      <c r="A62" s="59"/>
    </row>
    <row r="63" spans="1:7" x14ac:dyDescent="0.15">
      <c r="A63" s="55" t="s">
        <v>568</v>
      </c>
    </row>
    <row r="64" spans="1:7" x14ac:dyDescent="0.15">
      <c r="A64" s="55" t="s">
        <v>569</v>
      </c>
    </row>
    <row r="65" spans="1:7" x14ac:dyDescent="0.15">
      <c r="A65" s="57"/>
    </row>
    <row r="67" spans="1:7" x14ac:dyDescent="0.15">
      <c r="A67" s="55" t="s">
        <v>579</v>
      </c>
    </row>
    <row r="68" spans="1:7" x14ac:dyDescent="0.15">
      <c r="A68" s="60" t="s">
        <v>542</v>
      </c>
      <c r="B68" s="58" t="s">
        <v>543</v>
      </c>
    </row>
    <row r="69" spans="1:7" x14ac:dyDescent="0.15">
      <c r="A69" s="55" t="s">
        <v>544</v>
      </c>
      <c r="B69" s="55" t="s">
        <v>545</v>
      </c>
      <c r="C69" s="55" t="s">
        <v>546</v>
      </c>
      <c r="D69" s="58" t="s">
        <v>543</v>
      </c>
    </row>
    <row r="70" spans="1:7" x14ac:dyDescent="0.15">
      <c r="A70" s="57">
        <v>1</v>
      </c>
      <c r="B70" s="57">
        <v>0</v>
      </c>
      <c r="C70" s="57">
        <v>6</v>
      </c>
      <c r="D70" s="58" t="s">
        <v>543</v>
      </c>
    </row>
    <row r="71" spans="1:7" x14ac:dyDescent="0.15">
      <c r="A71" s="57">
        <v>2</v>
      </c>
      <c r="B71" s="57">
        <v>5</v>
      </c>
      <c r="C71" s="57">
        <v>6</v>
      </c>
      <c r="D71" s="58" t="s">
        <v>543</v>
      </c>
    </row>
    <row r="73" spans="1:7" x14ac:dyDescent="0.15">
      <c r="A73" s="55" t="s">
        <v>547</v>
      </c>
    </row>
    <row r="74" spans="1:7" x14ac:dyDescent="0.15">
      <c r="A74" s="55" t="s">
        <v>548</v>
      </c>
    </row>
    <row r="75" spans="1:7" x14ac:dyDescent="0.15">
      <c r="A75" s="55" t="s">
        <v>549</v>
      </c>
      <c r="B75" s="55" t="s">
        <v>550</v>
      </c>
      <c r="C75" s="55" t="s">
        <v>551</v>
      </c>
      <c r="D75" s="55" t="s">
        <v>552</v>
      </c>
      <c r="E75" s="55" t="s">
        <v>553</v>
      </c>
      <c r="F75" s="55" t="s">
        <v>554</v>
      </c>
      <c r="G75" s="55" t="s">
        <v>555</v>
      </c>
    </row>
    <row r="76" spans="1:7" x14ac:dyDescent="0.15">
      <c r="A76" s="55" t="s">
        <v>556</v>
      </c>
      <c r="B76" s="57"/>
      <c r="C76" s="57"/>
      <c r="D76" s="57"/>
      <c r="E76" s="57"/>
      <c r="F76" s="57"/>
      <c r="G76" s="57"/>
    </row>
    <row r="77" spans="1:7" x14ac:dyDescent="0.15">
      <c r="A77" s="55" t="s">
        <v>557</v>
      </c>
      <c r="B77" s="57"/>
      <c r="C77" s="57"/>
      <c r="D77" s="57"/>
      <c r="E77" s="57"/>
      <c r="F77" s="57"/>
      <c r="G77" s="57"/>
    </row>
    <row r="78" spans="1:7" x14ac:dyDescent="0.15">
      <c r="A78" s="55" t="s">
        <v>558</v>
      </c>
      <c r="B78" s="57"/>
      <c r="C78" s="57"/>
      <c r="D78" s="57"/>
      <c r="E78" s="57"/>
      <c r="F78" s="57"/>
      <c r="G78" s="57"/>
    </row>
    <row r="79" spans="1:7" x14ac:dyDescent="0.15">
      <c r="A79" s="55" t="s">
        <v>559</v>
      </c>
      <c r="B79" s="57"/>
      <c r="C79" s="57"/>
      <c r="D79" s="57"/>
      <c r="E79" s="57"/>
      <c r="F79" s="57"/>
      <c r="G79" s="57"/>
    </row>
    <row r="80" spans="1:7" x14ac:dyDescent="0.15">
      <c r="A80" s="55" t="s">
        <v>560</v>
      </c>
      <c r="B80" s="57"/>
      <c r="C80" s="57"/>
      <c r="D80" s="57"/>
      <c r="E80" s="57"/>
      <c r="F80" s="57"/>
      <c r="G80" s="57"/>
    </row>
    <row r="81" spans="1:7" x14ac:dyDescent="0.15">
      <c r="A81" s="59"/>
    </row>
    <row r="82" spans="1:7" x14ac:dyDescent="0.15">
      <c r="A82" s="55" t="s">
        <v>561</v>
      </c>
    </row>
    <row r="83" spans="1:7" x14ac:dyDescent="0.15">
      <c r="A83" s="55" t="s">
        <v>549</v>
      </c>
      <c r="B83" s="55" t="s">
        <v>580</v>
      </c>
      <c r="C83" s="55" t="s">
        <v>551</v>
      </c>
      <c r="D83" s="55" t="s">
        <v>562</v>
      </c>
      <c r="E83" s="55" t="s">
        <v>554</v>
      </c>
      <c r="F83" s="55" t="s">
        <v>581</v>
      </c>
      <c r="G83" s="61" t="s">
        <v>582</v>
      </c>
    </row>
    <row r="84" spans="1:7" x14ac:dyDescent="0.15">
      <c r="A84" s="55" t="s">
        <v>556</v>
      </c>
      <c r="B84" s="57"/>
      <c r="C84" s="57"/>
      <c r="D84" s="57"/>
      <c r="E84" s="57"/>
      <c r="F84" s="57"/>
    </row>
    <row r="85" spans="1:7" x14ac:dyDescent="0.15">
      <c r="A85" s="55" t="s">
        <v>557</v>
      </c>
      <c r="B85" s="57"/>
      <c r="C85" s="57"/>
      <c r="D85" s="57"/>
      <c r="E85" s="57"/>
      <c r="F85" s="57"/>
    </row>
    <row r="86" spans="1:7" x14ac:dyDescent="0.15">
      <c r="A86" s="55" t="s">
        <v>558</v>
      </c>
      <c r="B86" s="57"/>
      <c r="C86" s="57"/>
      <c r="D86" s="57"/>
      <c r="E86" s="57"/>
      <c r="F86" s="57"/>
    </row>
    <row r="87" spans="1:7" x14ac:dyDescent="0.15">
      <c r="A87" s="55" t="s">
        <v>559</v>
      </c>
      <c r="B87" s="57"/>
      <c r="C87" s="57"/>
      <c r="D87" s="57"/>
      <c r="E87" s="57"/>
      <c r="F87" s="57"/>
    </row>
    <row r="88" spans="1:7" x14ac:dyDescent="0.15">
      <c r="A88" s="55" t="s">
        <v>560</v>
      </c>
      <c r="B88" s="57"/>
      <c r="C88" s="57"/>
      <c r="D88" s="57"/>
      <c r="E88" s="57"/>
      <c r="F88" s="57"/>
    </row>
    <row r="90" spans="1:7" x14ac:dyDescent="0.15">
      <c r="A90" s="55" t="s">
        <v>564</v>
      </c>
    </row>
    <row r="91" spans="1:7" x14ac:dyDescent="0.15">
      <c r="A91" s="55" t="s">
        <v>549</v>
      </c>
      <c r="B91" s="55" t="s">
        <v>565</v>
      </c>
      <c r="C91" s="55" t="s">
        <v>566</v>
      </c>
      <c r="D91" s="55" t="s">
        <v>567</v>
      </c>
    </row>
    <row r="92" spans="1:7" x14ac:dyDescent="0.15">
      <c r="A92" s="55" t="s">
        <v>556</v>
      </c>
      <c r="B92" s="57"/>
      <c r="C92" s="57"/>
      <c r="D92" s="57"/>
    </row>
    <row r="93" spans="1:7" x14ac:dyDescent="0.15">
      <c r="A93" s="55" t="s">
        <v>557</v>
      </c>
      <c r="B93" s="57"/>
      <c r="C93" s="57"/>
      <c r="D93" s="57"/>
    </row>
    <row r="94" spans="1:7" x14ac:dyDescent="0.15">
      <c r="A94" s="55" t="s">
        <v>558</v>
      </c>
      <c r="B94" s="57"/>
      <c r="C94" s="57"/>
      <c r="D94" s="57"/>
    </row>
    <row r="95" spans="1:7" x14ac:dyDescent="0.15">
      <c r="A95" s="55" t="s">
        <v>559</v>
      </c>
      <c r="B95" s="57"/>
      <c r="C95" s="57"/>
      <c r="D95" s="57"/>
    </row>
    <row r="96" spans="1:7" x14ac:dyDescent="0.15">
      <c r="A96" s="55" t="s">
        <v>560</v>
      </c>
      <c r="B96" s="57"/>
      <c r="C96" s="57"/>
      <c r="D96" s="57"/>
    </row>
    <row r="97" spans="1:7" x14ac:dyDescent="0.15">
      <c r="A97" s="59"/>
    </row>
    <row r="98" spans="1:7" x14ac:dyDescent="0.15">
      <c r="A98" s="55" t="s">
        <v>568</v>
      </c>
    </row>
    <row r="99" spans="1:7" x14ac:dyDescent="0.15">
      <c r="A99" s="55" t="s">
        <v>549</v>
      </c>
      <c r="B99" s="55" t="s">
        <v>569</v>
      </c>
    </row>
    <row r="100" spans="1:7" x14ac:dyDescent="0.15">
      <c r="A100" s="55" t="s">
        <v>556</v>
      </c>
      <c r="B100" s="57"/>
    </row>
    <row r="101" spans="1:7" x14ac:dyDescent="0.15">
      <c r="A101" s="55" t="s">
        <v>557</v>
      </c>
      <c r="B101" s="57"/>
    </row>
    <row r="102" spans="1:7" x14ac:dyDescent="0.15">
      <c r="A102" s="55" t="s">
        <v>558</v>
      </c>
      <c r="B102" s="57"/>
    </row>
    <row r="103" spans="1:7" x14ac:dyDescent="0.15">
      <c r="A103" s="55" t="s">
        <v>559</v>
      </c>
      <c r="B103" s="57"/>
    </row>
    <row r="104" spans="1:7" x14ac:dyDescent="0.15">
      <c r="A104" s="55" t="s">
        <v>560</v>
      </c>
      <c r="B104" s="57"/>
    </row>
    <row r="106" spans="1:7" x14ac:dyDescent="0.15">
      <c r="A106" s="55" t="s">
        <v>570</v>
      </c>
    </row>
    <row r="107" spans="1:7" x14ac:dyDescent="0.15">
      <c r="A107" s="60" t="s">
        <v>548</v>
      </c>
    </row>
    <row r="108" spans="1:7" x14ac:dyDescent="0.15">
      <c r="A108" s="60" t="s">
        <v>583</v>
      </c>
      <c r="B108" s="61" t="s">
        <v>584</v>
      </c>
    </row>
    <row r="109" spans="1:7" x14ac:dyDescent="0.15">
      <c r="A109" s="55" t="s">
        <v>571</v>
      </c>
      <c r="B109" s="55"/>
      <c r="C109" s="55"/>
      <c r="D109" s="55" t="s">
        <v>572</v>
      </c>
      <c r="E109" s="55"/>
      <c r="F109" s="55"/>
      <c r="G109" s="55" t="s">
        <v>573</v>
      </c>
    </row>
    <row r="110" spans="1:7" x14ac:dyDescent="0.15">
      <c r="A110" s="55" t="s">
        <v>574</v>
      </c>
      <c r="B110" s="55" t="s">
        <v>550</v>
      </c>
      <c r="C110" s="55" t="s">
        <v>575</v>
      </c>
      <c r="D110" s="55" t="s">
        <v>576</v>
      </c>
      <c r="E110" s="55" t="s">
        <v>577</v>
      </c>
      <c r="F110" s="55" t="s">
        <v>578</v>
      </c>
      <c r="G110" s="55"/>
    </row>
    <row r="111" spans="1:7" x14ac:dyDescent="0.15">
      <c r="A111" s="57"/>
      <c r="B111" s="57"/>
      <c r="C111" s="57"/>
      <c r="D111" s="57"/>
      <c r="E111" s="57"/>
      <c r="F111" s="57"/>
      <c r="G111" s="57"/>
    </row>
    <row r="112" spans="1:7" x14ac:dyDescent="0.15">
      <c r="A112" s="60" t="s">
        <v>585</v>
      </c>
      <c r="B112" s="61" t="s">
        <v>584</v>
      </c>
    </row>
    <row r="113" spans="1:7" x14ac:dyDescent="0.15">
      <c r="A113" s="55" t="s">
        <v>571</v>
      </c>
      <c r="B113" s="55"/>
      <c r="C113" s="55"/>
      <c r="D113" s="55" t="s">
        <v>572</v>
      </c>
      <c r="E113" s="55"/>
      <c r="F113" s="55"/>
      <c r="G113" s="55" t="s">
        <v>573</v>
      </c>
    </row>
    <row r="114" spans="1:7" x14ac:dyDescent="0.15">
      <c r="A114" s="55" t="s">
        <v>574</v>
      </c>
      <c r="B114" s="55" t="s">
        <v>586</v>
      </c>
      <c r="C114" s="55" t="s">
        <v>575</v>
      </c>
      <c r="D114" s="55" t="s">
        <v>576</v>
      </c>
      <c r="E114" s="55" t="s">
        <v>577</v>
      </c>
      <c r="F114" s="55" t="s">
        <v>578</v>
      </c>
      <c r="G114" s="55"/>
    </row>
    <row r="115" spans="1:7" x14ac:dyDescent="0.15">
      <c r="A115" s="57"/>
      <c r="B115" s="57"/>
      <c r="C115" s="57"/>
      <c r="D115" s="57"/>
      <c r="E115" s="57"/>
      <c r="F115" s="57"/>
      <c r="G115" s="57"/>
    </row>
    <row r="116" spans="1:7" x14ac:dyDescent="0.15">
      <c r="A116" s="62"/>
    </row>
    <row r="117" spans="1:7" x14ac:dyDescent="0.15">
      <c r="A117" s="55" t="s">
        <v>564</v>
      </c>
    </row>
    <row r="118" spans="1:7" x14ac:dyDescent="0.15">
      <c r="A118" s="55" t="s">
        <v>565</v>
      </c>
      <c r="B118" s="55" t="s">
        <v>566</v>
      </c>
      <c r="C118" s="55" t="s">
        <v>567</v>
      </c>
    </row>
    <row r="119" spans="1:7" x14ac:dyDescent="0.15">
      <c r="A119" s="57"/>
      <c r="B119" s="57"/>
      <c r="C119" s="57"/>
    </row>
    <row r="120" spans="1:7" x14ac:dyDescent="0.15">
      <c r="A120" s="59"/>
    </row>
    <row r="121" spans="1:7" x14ac:dyDescent="0.15">
      <c r="A121" s="55" t="s">
        <v>568</v>
      </c>
    </row>
    <row r="122" spans="1:7" x14ac:dyDescent="0.15">
      <c r="A122" s="55" t="s">
        <v>569</v>
      </c>
    </row>
    <row r="123" spans="1:7" x14ac:dyDescent="0.15">
      <c r="A123" s="57"/>
    </row>
  </sheetData>
  <phoneticPr fontId="1"/>
  <pageMargins left="0.7" right="0.7" top="0.75" bottom="0.75" header="0.3" footer="0.3"/>
  <pageSetup paperSize="9" scale="44" orientation="portrait" copies="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11C155C1-1291-47F7-A039-8880775231D0}">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C33D6702-8C08-407C-AC1B-6AD826B49447}">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ご利用方法</vt:lpstr>
      <vt:lpstr>入力</vt:lpstr>
      <vt:lpstr>地盤のモデル化</vt:lpstr>
      <vt:lpstr>標準</vt:lpstr>
      <vt:lpstr>回転杭</vt:lpstr>
      <vt:lpstr>地盤のモデル化!Print_Area</vt:lpstr>
      <vt:lpstr>パスワード</vt:lpstr>
      <vt:lpstr>ユーザー名</vt:lpstr>
    </vt:vector>
  </TitlesOfParts>
  <Company>（株）トーニチコンサルタント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社長室</dc:creator>
  <cp:lastModifiedBy>sasaco</cp:lastModifiedBy>
  <cp:lastPrinted>2017-07-04T11:26:58Z</cp:lastPrinted>
  <dcterms:created xsi:type="dcterms:W3CDTF">1997-12-09T00:45:52Z</dcterms:created>
  <dcterms:modified xsi:type="dcterms:W3CDTF">2017-07-11T11:52:14Z</dcterms:modified>
</cp:coreProperties>
</file>