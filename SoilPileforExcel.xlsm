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8800" windowHeight="12450" tabRatio="818" activeTab="2"/>
  </bookViews>
  <sheets>
    <sheet name="ご利用方法" sheetId="48" r:id="rId1"/>
    <sheet name="入力" sheetId="44" r:id="rId2"/>
    <sheet name="地盤のモデル化" sheetId="47" r:id="rId3"/>
    <sheet name="標準" sheetId="49" state="hidden" r:id="rId4"/>
    <sheet name="回転杭" sheetId="50" state="hidden" r:id="rId5"/>
  </sheets>
  <externalReferences>
    <externalReference r:id="rId6"/>
    <externalReference r:id="rId7"/>
    <externalReference r:id="rId8"/>
    <externalReference r:id="rId9"/>
  </externalReferences>
  <definedNames>
    <definedName name="_1__123Graph_Aｸﾞﾗﾌ_1" hidden="1">#REF!</definedName>
    <definedName name="_10__123Graph_Cｸﾞﾗﾌ_4" hidden="1">#REF!</definedName>
    <definedName name="_11__123Graph_Dｸﾞﾗﾌ_1" hidden="1">[2]躯体の設計!$AO$1064:$AO$1065</definedName>
    <definedName name="_12__123Graph_Dｸﾞﾗﾌ_4" hidden="1">#REF!</definedName>
    <definedName name="_13__123Graph_Xｸﾞﾗﾌ_1" hidden="1">[2]躯体の設計!$AJ$1064:$AJ$1065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[2]躯体の設計!$AN$1064:$AN$1065</definedName>
    <definedName name="_DEL2" hidden="1">#REF!</definedName>
    <definedName name="_Fill" hidden="1">#REF!</definedName>
    <definedName name="_xlnm._FilterDatabase" localSheetId="2" hidden="1">地盤のモデル化!#REF!</definedName>
    <definedName name="_xlnm._FilterDatabase" localSheetId="1" hidden="1">入力!#REF!</definedName>
    <definedName name="_Table1_In1" hidden="1">[3]ｽｲﾍｲ!$C$22</definedName>
    <definedName name="_Table1_Out" hidden="1">[3]ｽｲﾍｲ!$D$22</definedName>
    <definedName name="_Table2" hidden="1">[4]ｽｲﾍｲ!$D$22</definedName>
    <definedName name="anscount" hidden="1">1</definedName>
    <definedName name="DEL" hidden="1">#REF!</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_xlnm.Print_Area" localSheetId="2">地盤のモデル化!$B$1:$AI$599</definedName>
    <definedName name="_xlnm.Print_Area" localSheetId="1">入力!$A$1:$AH$28</definedName>
    <definedName name="ええ" hidden="1">{"'表紙・目次 '!$A$8:$K$8"}</definedName>
    <definedName name="パスワード">ご利用方法!$B$16</definedName>
    <definedName name="ユーザー名">ご利用方法!$B$14</definedName>
    <definedName name="終局せん断" hidden="1">{"'表紙・目次 '!$A$8:$K$8"}</definedName>
    <definedName name="設計条件" hidden="1">{"'表紙・目次 '!$A$8:$K$8"}</definedName>
    <definedName name="抵抗モーメント" hidden="1">[4]ｽｲﾍｲ!$C$22</definedName>
    <definedName name="白紙" hidden="1">[3]ｽｲﾍｲ!$C$22</definedName>
  </definedNames>
  <calcPr calcId="152511"/>
</workbook>
</file>

<file path=xl/calcChain.xml><?xml version="1.0" encoding="utf-8"?>
<calcChain xmlns="http://schemas.openxmlformats.org/spreadsheetml/2006/main">
  <c r="H112" i="47" l="1"/>
  <c r="N597" i="47" l="1"/>
  <c r="W596" i="47"/>
  <c r="Z491" i="47"/>
  <c r="J398" i="47"/>
  <c r="Q392" i="47"/>
  <c r="J392" i="47"/>
  <c r="S365" i="47"/>
  <c r="H366" i="47"/>
  <c r="K331" i="47"/>
  <c r="S308" i="47"/>
  <c r="S304" i="47"/>
  <c r="H308" i="47"/>
  <c r="H304" i="47"/>
  <c r="I297" i="47"/>
  <c r="T270" i="47"/>
  <c r="T398" i="47" s="1"/>
  <c r="T276" i="47"/>
  <c r="M276" i="47"/>
  <c r="M270" i="47"/>
  <c r="H247" i="47"/>
  <c r="L261" i="47" s="1"/>
  <c r="R239" i="47"/>
  <c r="AD242" i="47" s="1"/>
  <c r="T195" i="47"/>
  <c r="U194" i="47" s="1"/>
  <c r="AA177" i="47"/>
  <c r="AD178" i="47" s="1"/>
  <c r="AG178" i="47" s="1"/>
  <c r="T148" i="47"/>
  <c r="T142" i="47"/>
  <c r="N112" i="47"/>
  <c r="N117" i="47" s="1"/>
  <c r="Q92" i="47"/>
  <c r="Q96" i="47" s="1"/>
  <c r="K92" i="47"/>
  <c r="K96" i="47" s="1"/>
  <c r="W96" i="47" s="1"/>
  <c r="J203" i="47" s="1"/>
  <c r="R321" i="47" s="1"/>
  <c r="P597" i="47"/>
  <c r="O541" i="47"/>
  <c r="O542" i="47" s="1"/>
  <c r="Z480" i="47"/>
  <c r="N366" i="47"/>
  <c r="T297" i="47"/>
  <c r="AD257" i="47"/>
  <c r="AB241" i="47"/>
  <c r="W194" i="47"/>
  <c r="P194" i="47"/>
  <c r="K117" i="47"/>
  <c r="K148" i="47" s="1"/>
  <c r="K112" i="47"/>
  <c r="AE7" i="44"/>
  <c r="U257" i="47"/>
  <c r="T481" i="47"/>
  <c r="T494" i="47"/>
  <c r="T493" i="47"/>
  <c r="T492" i="47"/>
  <c r="T485" i="47"/>
  <c r="T483" i="47"/>
  <c r="T496" i="47"/>
  <c r="T482" i="47"/>
  <c r="P598" i="47" l="1"/>
  <c r="AB248" i="47"/>
  <c r="W392" i="47"/>
  <c r="Z392" i="47" s="1"/>
  <c r="T112" i="47"/>
  <c r="R331" i="47" s="1"/>
  <c r="N331" i="47" s="1"/>
  <c r="O543" i="47"/>
  <c r="AC543" i="47" s="1"/>
  <c r="T598" i="47" s="1"/>
  <c r="Y598" i="47" s="1"/>
  <c r="AC542" i="47"/>
  <c r="T597" i="47" s="1"/>
  <c r="Y597" i="47" s="1"/>
  <c r="T117" i="47"/>
  <c r="Z331" i="47" s="1"/>
  <c r="V331" i="47" s="1"/>
  <c r="N148" i="47"/>
  <c r="AD148" i="47" s="1"/>
  <c r="H367" i="47"/>
  <c r="N437" i="47" s="1"/>
  <c r="N142" i="47"/>
  <c r="Y194" i="47"/>
  <c r="P203" i="47" s="1"/>
  <c r="V203" i="47" s="1"/>
  <c r="AD177" i="47"/>
  <c r="AG177" i="47" s="1"/>
  <c r="W92" i="47"/>
  <c r="J199" i="47" s="1"/>
  <c r="M321" i="47" s="1"/>
  <c r="Q480" i="47"/>
  <c r="Z481" i="47" s="1"/>
  <c r="Q491" i="47"/>
  <c r="Z492" i="47" s="1"/>
  <c r="Q426" i="47"/>
  <c r="K142" i="47"/>
  <c r="K308" i="47" l="1"/>
  <c r="V308" i="47" s="1"/>
  <c r="P270" i="47"/>
  <c r="W270" i="47" s="1"/>
  <c r="Q437" i="47"/>
  <c r="T437" i="47" s="1"/>
  <c r="W437" i="47" s="1"/>
  <c r="Z482" i="47"/>
  <c r="N426" i="47"/>
  <c r="T426" i="47" s="1"/>
  <c r="W426" i="47" s="1"/>
  <c r="X148" i="47"/>
  <c r="AA398" i="47" s="1"/>
  <c r="Q494" i="47" s="1"/>
  <c r="Z496" i="47" s="1"/>
  <c r="O308" i="47"/>
  <c r="AA308" i="47" s="1"/>
  <c r="Z493" i="47"/>
  <c r="P199" i="47"/>
  <c r="V199" i="47" s="1"/>
  <c r="X142" i="47"/>
  <c r="P297" i="47" s="1"/>
  <c r="AA297" i="47" s="1"/>
  <c r="P276" i="47"/>
  <c r="W276" i="47" s="1"/>
  <c r="K456" i="47"/>
  <c r="Z427" i="47"/>
  <c r="Z428" i="47"/>
  <c r="Z426" i="47"/>
  <c r="Z437" i="47"/>
  <c r="Z439" i="47"/>
  <c r="Z438" i="47"/>
  <c r="K560" i="47" l="1"/>
  <c r="H561" i="47" s="1"/>
  <c r="K455" i="47"/>
  <c r="K564" i="47"/>
  <c r="H565" i="47" s="1"/>
  <c r="K304" i="47"/>
  <c r="V304" i="47" s="1"/>
  <c r="Q440" i="47"/>
  <c r="R456" i="47" s="1"/>
  <c r="V456" i="47" s="1"/>
  <c r="O304" i="47"/>
  <c r="AA304" i="47" s="1"/>
  <c r="W398" i="47"/>
  <c r="Q483" i="47" s="1"/>
  <c r="Z485" i="47" s="1"/>
  <c r="Q429" i="47"/>
  <c r="T429" i="47" s="1"/>
  <c r="W429" i="47" s="1"/>
  <c r="Z494" i="47"/>
  <c r="K247" i="47"/>
  <c r="O247" i="47" s="1"/>
  <c r="S247" i="47" s="1"/>
  <c r="X247" i="47" s="1"/>
  <c r="AB247" i="47" s="1"/>
  <c r="AF247" i="47" s="1"/>
  <c r="L297" i="47"/>
  <c r="W297" i="47" s="1"/>
  <c r="AC438" i="47"/>
  <c r="AC439" i="47"/>
  <c r="AC437" i="47"/>
  <c r="AC426" i="47"/>
  <c r="AC428" i="47"/>
  <c r="AC427" i="47"/>
  <c r="Z431" i="47"/>
  <c r="Z429" i="47"/>
  <c r="Z483" i="47" l="1"/>
  <c r="T440" i="47"/>
  <c r="W440" i="47" s="1"/>
  <c r="AC429" i="47"/>
  <c r="AC431" i="47"/>
  <c r="P257" i="47"/>
  <c r="Y257" i="47" s="1"/>
  <c r="O261" i="47" s="1"/>
  <c r="R261" i="47" s="1"/>
  <c r="R455" i="47"/>
  <c r="V455" i="47" s="1"/>
  <c r="L585" i="47"/>
  <c r="Y585" i="47" s="1"/>
  <c r="Z440" i="47"/>
  <c r="Z442" i="47"/>
  <c r="AC442" i="47" l="1"/>
  <c r="AC440" i="47"/>
  <c r="U585" i="47"/>
</calcChain>
</file>

<file path=xl/sharedStrings.xml><?xml version="1.0" encoding="utf-8"?>
<sst xmlns="http://schemas.openxmlformats.org/spreadsheetml/2006/main" count="1433" uniqueCount="596">
  <si>
    <t>変形係数</t>
    <rPh sb="0" eb="2">
      <t>ヘンケイ</t>
    </rPh>
    <rPh sb="2" eb="4">
      <t>ケイスウ</t>
    </rPh>
    <phoneticPr fontId="1"/>
  </si>
  <si>
    <t>粘性土</t>
  </si>
  <si>
    <t>×</t>
    <phoneticPr fontId="1"/>
  </si>
  <si>
    <t>：</t>
    <phoneticPr fontId="1"/>
  </si>
  <si>
    <t>ここに、</t>
    <phoneticPr fontId="1"/>
  </si>
  <si>
    <t>φ</t>
    <phoneticPr fontId="1"/>
  </si>
  <si>
    <t>β</t>
    <phoneticPr fontId="1"/>
  </si>
  <si>
    <t>＋</t>
    <phoneticPr fontId="1"/>
  </si>
  <si>
    <t>／</t>
    <phoneticPr fontId="1"/>
  </si>
  <si>
    <t>地盤の諸数値の設計用値のまとめ</t>
  </si>
  <si>
    <t>層番</t>
    <rPh sb="0" eb="1">
      <t>ソウ</t>
    </rPh>
    <rPh sb="1" eb="2">
      <t>バン</t>
    </rPh>
    <phoneticPr fontId="1"/>
  </si>
  <si>
    <t>層厚
(m)</t>
    <rPh sb="0" eb="1">
      <t>ソウ</t>
    </rPh>
    <rPh sb="1" eb="2">
      <t>アツ</t>
    </rPh>
    <phoneticPr fontId="1"/>
  </si>
  <si>
    <t>土質区分</t>
    <rPh sb="0" eb="2">
      <t>ドシツ</t>
    </rPh>
    <rPh sb="2" eb="4">
      <t>クブン</t>
    </rPh>
    <phoneticPr fontId="1"/>
  </si>
  <si>
    <t>Ｎ値</t>
    <rPh sb="1" eb="2">
      <t>アタイ</t>
    </rPh>
    <phoneticPr fontId="1"/>
  </si>
  <si>
    <t>単位体積重量</t>
    <rPh sb="0" eb="2">
      <t>タンイ</t>
    </rPh>
    <rPh sb="2" eb="4">
      <t>タイセキ</t>
    </rPh>
    <rPh sb="4" eb="6">
      <t>ジュウリョウ</t>
    </rPh>
    <phoneticPr fontId="1"/>
  </si>
  <si>
    <t>内部摩擦角</t>
    <rPh sb="0" eb="2">
      <t>ナイブ</t>
    </rPh>
    <rPh sb="2" eb="4">
      <t>マサツ</t>
    </rPh>
    <rPh sb="4" eb="5">
      <t>カク</t>
    </rPh>
    <phoneticPr fontId="1"/>
  </si>
  <si>
    <t>一軸圧縮強度</t>
    <rPh sb="0" eb="1">
      <t>イチ</t>
    </rPh>
    <rPh sb="1" eb="2">
      <t>ジク</t>
    </rPh>
    <rPh sb="2" eb="4">
      <t>アッシュク</t>
    </rPh>
    <rPh sb="4" eb="6">
      <t>キョウド</t>
    </rPh>
    <phoneticPr fontId="1"/>
  </si>
  <si>
    <t>湿潤</t>
    <rPh sb="0" eb="2">
      <t>シツジュン</t>
    </rPh>
    <phoneticPr fontId="1"/>
  </si>
  <si>
    <t>水中</t>
    <rPh sb="0" eb="2">
      <t>スイチュウ</t>
    </rPh>
    <phoneticPr fontId="1"/>
  </si>
  <si>
    <t>φd(°)</t>
    <phoneticPr fontId="1"/>
  </si>
  <si>
    <r>
      <t>qu(kN/m</t>
    </r>
    <r>
      <rPr>
        <vertAlign val="superscript"/>
        <sz val="10"/>
        <rFont val="ＭＳ ゴシック"/>
        <family val="3"/>
        <charset val="128"/>
      </rPr>
      <t>2</t>
    </r>
    <r>
      <rPr>
        <sz val="10"/>
        <rFont val="ＭＳ ゴシック"/>
        <family val="3"/>
        <charset val="128"/>
      </rPr>
      <t>)</t>
    </r>
    <phoneticPr fontId="1"/>
  </si>
  <si>
    <r>
      <t>Ed(kN/m</t>
    </r>
    <r>
      <rPr>
        <vertAlign val="superscript"/>
        <sz val="10"/>
        <rFont val="ＭＳ ゴシック"/>
        <family val="3"/>
        <charset val="128"/>
      </rPr>
      <t>2</t>
    </r>
    <r>
      <rPr>
        <sz val="10"/>
        <rFont val="ＭＳ ゴシック"/>
        <family val="3"/>
        <charset val="128"/>
      </rPr>
      <t>)</t>
    </r>
    <phoneticPr fontId="1"/>
  </si>
  <si>
    <t>表層</t>
    <rPh sb="0" eb="2">
      <t>ヒョウソウ</t>
    </rPh>
    <phoneticPr fontId="1"/>
  </si>
  <si>
    <t>支持層</t>
    <rPh sb="0" eb="3">
      <t>シジソウ</t>
    </rPh>
    <phoneticPr fontId="1"/>
  </si>
  <si>
    <t>砂質土</t>
  </si>
  <si>
    <t>1.1.2　地盤のモデル化</t>
    <rPh sb="6" eb="8">
      <t>ジバン</t>
    </rPh>
    <rPh sb="12" eb="13">
      <t>カ</t>
    </rPh>
    <phoneticPr fontId="1"/>
  </si>
  <si>
    <t>ここでは、地震時も含めた地盤のモデル化を行う。</t>
    <rPh sb="5" eb="8">
      <t>ジシンジ</t>
    </rPh>
    <rPh sb="9" eb="10">
      <t>フク</t>
    </rPh>
    <rPh sb="12" eb="14">
      <t>ジバン</t>
    </rPh>
    <rPh sb="18" eb="19">
      <t>カ</t>
    </rPh>
    <rPh sb="20" eb="21">
      <t>オコナ</t>
    </rPh>
    <phoneticPr fontId="1"/>
  </si>
  <si>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1"/>
  </si>
  <si>
    <t>(a) 地盤抵抗のモデル化</t>
    <rPh sb="4" eb="6">
      <t>ジバン</t>
    </rPh>
    <rPh sb="6" eb="8">
      <t>テイコウ</t>
    </rPh>
    <rPh sb="12" eb="13">
      <t>カ</t>
    </rPh>
    <phoneticPr fontId="1"/>
  </si>
  <si>
    <t>【基礎標準 第Ⅱ編 15.2.2.5】</t>
    <rPh sb="1" eb="3">
      <t>キソ</t>
    </rPh>
    <rPh sb="3" eb="5">
      <t>ヒョウジュン</t>
    </rPh>
    <rPh sb="6" eb="7">
      <t>ダイ</t>
    </rPh>
    <rPh sb="8" eb="9">
      <t>ヘン</t>
    </rPh>
    <phoneticPr fontId="1"/>
  </si>
  <si>
    <t>モデル化する。</t>
    <phoneticPr fontId="1"/>
  </si>
  <si>
    <t>杭工法</t>
    <rPh sb="0" eb="1">
      <t>クイ</t>
    </rPh>
    <rPh sb="1" eb="3">
      <t>コウホウ</t>
    </rPh>
    <phoneticPr fontId="1"/>
  </si>
  <si>
    <t>場所打ち杭</t>
    <rPh sb="0" eb="2">
      <t>バショ</t>
    </rPh>
    <rPh sb="2" eb="3">
      <t>ウ</t>
    </rPh>
    <rPh sb="4" eb="5">
      <t>クイ</t>
    </rPh>
    <phoneticPr fontId="1"/>
  </si>
  <si>
    <r>
      <t>降伏 ρ</t>
    </r>
    <r>
      <rPr>
        <vertAlign val="subscript"/>
        <sz val="10"/>
        <rFont val="ＭＳ 明朝"/>
        <family val="1"/>
        <charset val="128"/>
      </rPr>
      <t>gty</t>
    </r>
    <rPh sb="0" eb="2">
      <t>コウフク</t>
    </rPh>
    <phoneticPr fontId="1"/>
  </si>
  <si>
    <r>
      <t>終局 ρ</t>
    </r>
    <r>
      <rPr>
        <vertAlign val="subscript"/>
        <sz val="10"/>
        <rFont val="ＭＳ 明朝"/>
        <family val="1"/>
        <charset val="128"/>
      </rPr>
      <t>gtu</t>
    </r>
    <rPh sb="0" eb="2">
      <t>シュウキョク</t>
    </rPh>
    <phoneticPr fontId="1"/>
  </si>
  <si>
    <t>＝</t>
    <phoneticPr fontId="1"/>
  </si>
  <si>
    <r>
      <t>Ｒ</t>
    </r>
    <r>
      <rPr>
        <vertAlign val="subscript"/>
        <sz val="10"/>
        <rFont val="ＭＳ 明朝"/>
        <family val="1"/>
        <charset val="128"/>
      </rPr>
      <t>ty</t>
    </r>
    <phoneticPr fontId="1"/>
  </si>
  <si>
    <r>
      <t>Ｒ</t>
    </r>
    <r>
      <rPr>
        <vertAlign val="subscript"/>
        <sz val="10"/>
        <rFont val="ＭＳ 明朝"/>
        <family val="1"/>
        <charset val="128"/>
      </rPr>
      <t>tu</t>
    </r>
    <phoneticPr fontId="1"/>
  </si>
  <si>
    <r>
      <t>ρ</t>
    </r>
    <r>
      <rPr>
        <vertAlign val="subscript"/>
        <sz val="10"/>
        <rFont val="ＭＳ 明朝"/>
        <family val="1"/>
        <charset val="128"/>
      </rPr>
      <t>gty</t>
    </r>
    <phoneticPr fontId="1"/>
  </si>
  <si>
    <r>
      <t>ρ</t>
    </r>
    <r>
      <rPr>
        <vertAlign val="subscript"/>
        <sz val="10"/>
        <rFont val="ＭＳ 明朝"/>
        <family val="1"/>
        <charset val="128"/>
      </rPr>
      <t>gtu</t>
    </r>
    <phoneticPr fontId="1"/>
  </si>
  <si>
    <r>
      <t>Ｒ</t>
    </r>
    <r>
      <rPr>
        <vertAlign val="subscript"/>
        <sz val="10"/>
        <rFont val="ＭＳ 明朝"/>
        <family val="1"/>
        <charset val="128"/>
      </rPr>
      <t>tk</t>
    </r>
    <phoneticPr fontId="1"/>
  </si>
  <si>
    <t>基準先端支持力（kN）</t>
    <rPh sb="0" eb="2">
      <t>キジュン</t>
    </rPh>
    <rPh sb="2" eb="4">
      <t>センタン</t>
    </rPh>
    <rPh sb="4" eb="7">
      <t>シジリョク</t>
    </rPh>
    <phoneticPr fontId="1"/>
  </si>
  <si>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1"/>
  </si>
  <si>
    <r>
      <t>降伏 ρ</t>
    </r>
    <r>
      <rPr>
        <vertAlign val="subscript"/>
        <sz val="10"/>
        <rFont val="ＭＳ 明朝"/>
        <family val="1"/>
        <charset val="128"/>
      </rPr>
      <t>gfy</t>
    </r>
    <rPh sb="0" eb="2">
      <t>コウフク</t>
    </rPh>
    <phoneticPr fontId="1"/>
  </si>
  <si>
    <r>
      <t>終局 ρ</t>
    </r>
    <r>
      <rPr>
        <vertAlign val="subscript"/>
        <sz val="10"/>
        <rFont val="ＭＳ 明朝"/>
        <family val="1"/>
        <charset val="128"/>
      </rPr>
      <t>gfu</t>
    </r>
    <rPh sb="0" eb="2">
      <t>シュウキョク</t>
    </rPh>
    <phoneticPr fontId="1"/>
  </si>
  <si>
    <r>
      <t>Ｒ</t>
    </r>
    <r>
      <rPr>
        <vertAlign val="subscript"/>
        <sz val="10"/>
        <rFont val="ＭＳ 明朝"/>
        <family val="1"/>
        <charset val="128"/>
      </rPr>
      <t>fy</t>
    </r>
    <phoneticPr fontId="1"/>
  </si>
  <si>
    <r>
      <t>Ｒ</t>
    </r>
    <r>
      <rPr>
        <vertAlign val="subscript"/>
        <sz val="10"/>
        <rFont val="ＭＳ 明朝"/>
        <family val="1"/>
        <charset val="128"/>
      </rPr>
      <t>fu</t>
    </r>
    <phoneticPr fontId="1"/>
  </si>
  <si>
    <r>
      <t>ρ</t>
    </r>
    <r>
      <rPr>
        <vertAlign val="subscript"/>
        <sz val="10"/>
        <rFont val="ＭＳ 明朝"/>
        <family val="1"/>
        <charset val="128"/>
      </rPr>
      <t>gfy</t>
    </r>
    <phoneticPr fontId="1"/>
  </si>
  <si>
    <r>
      <t>ρ</t>
    </r>
    <r>
      <rPr>
        <vertAlign val="subscript"/>
        <sz val="10"/>
        <rFont val="ＭＳ 明朝"/>
        <family val="1"/>
        <charset val="128"/>
      </rPr>
      <t>gfu</t>
    </r>
    <phoneticPr fontId="1"/>
  </si>
  <si>
    <r>
      <t>Ｒ</t>
    </r>
    <r>
      <rPr>
        <vertAlign val="subscript"/>
        <sz val="10"/>
        <rFont val="ＭＳ 明朝"/>
        <family val="1"/>
        <charset val="128"/>
      </rPr>
      <t>fk</t>
    </r>
    <phoneticPr fontId="1"/>
  </si>
  <si>
    <t>各層での基準周面支持力（kN）</t>
    <rPh sb="0" eb="1">
      <t>カク</t>
    </rPh>
    <rPh sb="1" eb="2">
      <t>ソウ</t>
    </rPh>
    <rPh sb="4" eb="6">
      <t>キジュン</t>
    </rPh>
    <rPh sb="6" eb="8">
      <t>シュウメン</t>
    </rPh>
    <rPh sb="8" eb="11">
      <t>シジリョク</t>
    </rPh>
    <phoneticPr fontId="1"/>
  </si>
  <si>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1"/>
  </si>
  <si>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1"/>
  </si>
  <si>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1"/>
  </si>
  <si>
    <t>に示す。</t>
    <rPh sb="1" eb="2">
      <t>シメ</t>
    </rPh>
    <phoneticPr fontId="1"/>
  </si>
  <si>
    <t>水平方向</t>
    <rPh sb="0" eb="2">
      <t>スイヘイ</t>
    </rPh>
    <rPh sb="2" eb="4">
      <t>ホウコウ</t>
    </rPh>
    <phoneticPr fontId="1"/>
  </si>
  <si>
    <t>鉛直方向</t>
    <rPh sb="0" eb="2">
      <t>エンチョク</t>
    </rPh>
    <rPh sb="2" eb="4">
      <t>ホウコウ</t>
    </rPh>
    <phoneticPr fontId="1"/>
  </si>
  <si>
    <t>杭周面の水平地盤ばね定数</t>
    <rPh sb="0" eb="1">
      <t>クイ</t>
    </rPh>
    <rPh sb="1" eb="3">
      <t>シュウメン</t>
    </rPh>
    <rPh sb="4" eb="6">
      <t>スイヘイ</t>
    </rPh>
    <rPh sb="6" eb="8">
      <t>ジバン</t>
    </rPh>
    <rPh sb="10" eb="12">
      <t>テイスウ</t>
    </rPh>
    <phoneticPr fontId="1"/>
  </si>
  <si>
    <t>水平地盤抵抗</t>
    <rPh sb="0" eb="2">
      <t>スイヘイ</t>
    </rPh>
    <rPh sb="2" eb="4">
      <t>ジバン</t>
    </rPh>
    <rPh sb="4" eb="6">
      <t>テイコウ</t>
    </rPh>
    <phoneticPr fontId="1"/>
  </si>
  <si>
    <t>設計ばね定数の種類</t>
    <rPh sb="0" eb="2">
      <t>セッケイ</t>
    </rPh>
    <rPh sb="4" eb="6">
      <t>テイスウ</t>
    </rPh>
    <rPh sb="7" eb="9">
      <t>シュルイ</t>
    </rPh>
    <phoneticPr fontId="1"/>
  </si>
  <si>
    <t>地盤抵抗の種別</t>
    <rPh sb="0" eb="2">
      <t>ジバン</t>
    </rPh>
    <rPh sb="2" eb="4">
      <t>テイコウ</t>
    </rPh>
    <rPh sb="5" eb="7">
      <t>シュベツ</t>
    </rPh>
    <phoneticPr fontId="1"/>
  </si>
  <si>
    <t>杭周面の鉛直せん断
地盤ばね定数</t>
    <rPh sb="0" eb="1">
      <t>クイ</t>
    </rPh>
    <rPh sb="1" eb="3">
      <t>シュウメン</t>
    </rPh>
    <rPh sb="4" eb="6">
      <t>エンチョク</t>
    </rPh>
    <rPh sb="8" eb="9">
      <t>ダン</t>
    </rPh>
    <rPh sb="10" eb="12">
      <t>ジバン</t>
    </rPh>
    <rPh sb="14" eb="16">
      <t>テイスウ</t>
    </rPh>
    <phoneticPr fontId="1"/>
  </si>
  <si>
    <t>杭先端の鉛直
地盤ばね定数</t>
    <rPh sb="0" eb="1">
      <t>クイ</t>
    </rPh>
    <rPh sb="1" eb="3">
      <t>センタン</t>
    </rPh>
    <rPh sb="4" eb="6">
      <t>エンチョク</t>
    </rPh>
    <rPh sb="7" eb="9">
      <t>ジバン</t>
    </rPh>
    <rPh sb="11" eb="13">
      <t>テイスウ</t>
    </rPh>
    <phoneticPr fontId="1"/>
  </si>
  <si>
    <t>杭周面の鉛直せん断
地盤抵抗</t>
    <rPh sb="0" eb="1">
      <t>クイ</t>
    </rPh>
    <rPh sb="1" eb="3">
      <t>シュウメン</t>
    </rPh>
    <rPh sb="4" eb="6">
      <t>エンチョク</t>
    </rPh>
    <rPh sb="8" eb="9">
      <t>ダン</t>
    </rPh>
    <rPh sb="10" eb="12">
      <t>ジバン</t>
    </rPh>
    <rPh sb="12" eb="14">
      <t>テイコウ</t>
    </rPh>
    <phoneticPr fontId="1"/>
  </si>
  <si>
    <t>地盤反力の折れ曲がり点
または上限値</t>
    <rPh sb="0" eb="2">
      <t>ジバン</t>
    </rPh>
    <rPh sb="2" eb="4">
      <t>ハンリョク</t>
    </rPh>
    <rPh sb="5" eb="6">
      <t>オ</t>
    </rPh>
    <rPh sb="7" eb="8">
      <t>マ</t>
    </rPh>
    <rPh sb="10" eb="11">
      <t>テン</t>
    </rPh>
    <rPh sb="15" eb="18">
      <t>ジョウゲンチ</t>
    </rPh>
    <phoneticPr fontId="1"/>
  </si>
  <si>
    <t>杭先端の鉛直地盤抵抗</t>
    <rPh sb="0" eb="1">
      <t>クイ</t>
    </rPh>
    <rPh sb="1" eb="3">
      <t>センタン</t>
    </rPh>
    <rPh sb="4" eb="6">
      <t>エンチョク</t>
    </rPh>
    <rPh sb="6" eb="8">
      <t>ジバン</t>
    </rPh>
    <rPh sb="8" eb="10">
      <t>テイコウ</t>
    </rPh>
    <phoneticPr fontId="1"/>
  </si>
  <si>
    <t>降伏周面支持力
終局周面支持力</t>
    <rPh sb="0" eb="2">
      <t>コウフク</t>
    </rPh>
    <rPh sb="2" eb="4">
      <t>シュウメン</t>
    </rPh>
    <rPh sb="4" eb="7">
      <t>シジリョク</t>
    </rPh>
    <rPh sb="8" eb="10">
      <t>シュウキョク</t>
    </rPh>
    <rPh sb="10" eb="12">
      <t>シュウメン</t>
    </rPh>
    <rPh sb="12" eb="15">
      <t>シジリョク</t>
    </rPh>
    <phoneticPr fontId="1"/>
  </si>
  <si>
    <t>降伏先端支持力
終局先端支持力</t>
    <rPh sb="0" eb="2">
      <t>コウフク</t>
    </rPh>
    <rPh sb="2" eb="4">
      <t>センタン</t>
    </rPh>
    <rPh sb="4" eb="7">
      <t>シジリョク</t>
    </rPh>
    <rPh sb="8" eb="10">
      <t>シュウキョク</t>
    </rPh>
    <rPh sb="10" eb="12">
      <t>センタン</t>
    </rPh>
    <rPh sb="12" eb="15">
      <t>シジリョク</t>
    </rPh>
    <phoneticPr fontId="1"/>
  </si>
  <si>
    <t>方　向</t>
    <rPh sb="0" eb="1">
      <t>ホウ</t>
    </rPh>
    <rPh sb="2" eb="3">
      <t>ムケ</t>
    </rPh>
    <phoneticPr fontId="1"/>
  </si>
  <si>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1"/>
  </si>
  <si>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1"/>
  </si>
  <si>
    <t>作用の継続時間</t>
    <rPh sb="0" eb="2">
      <t>サヨウ</t>
    </rPh>
    <rPh sb="3" eb="5">
      <t>ケイゾク</t>
    </rPh>
    <rPh sb="5" eb="7">
      <t>ジカン</t>
    </rPh>
    <phoneticPr fontId="1"/>
  </si>
  <si>
    <t>短　期</t>
    <rPh sb="0" eb="1">
      <t>タン</t>
    </rPh>
    <rPh sb="2" eb="3">
      <t>キ</t>
    </rPh>
    <phoneticPr fontId="1"/>
  </si>
  <si>
    <t>長　期</t>
    <rPh sb="0" eb="1">
      <t>チョウ</t>
    </rPh>
    <rPh sb="2" eb="3">
      <t>キ</t>
    </rPh>
    <phoneticPr fontId="1"/>
  </si>
  <si>
    <t>変動作用、偶発作用</t>
    <rPh sb="0" eb="2">
      <t>ヘンドウ</t>
    </rPh>
    <rPh sb="2" eb="4">
      <t>サヨウ</t>
    </rPh>
    <rPh sb="5" eb="7">
      <t>グウハツ</t>
    </rPh>
    <rPh sb="7" eb="9">
      <t>サヨウ</t>
    </rPh>
    <phoneticPr fontId="1"/>
  </si>
  <si>
    <t>永久作用</t>
    <rPh sb="0" eb="2">
      <t>エイキュウ</t>
    </rPh>
    <rPh sb="2" eb="4">
      <t>サヨウ</t>
    </rPh>
    <phoneticPr fontId="1"/>
  </si>
  <si>
    <t>考慮する作用</t>
    <rPh sb="0" eb="2">
      <t>コウリョ</t>
    </rPh>
    <rPh sb="4" eb="6">
      <t>サヨウ</t>
    </rPh>
    <phoneticPr fontId="1"/>
  </si>
  <si>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1"/>
  </si>
  <si>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1"/>
  </si>
  <si>
    <t>＊群杭の場合には、その影響を考慮する。</t>
    <rPh sb="1" eb="2">
      <t>グン</t>
    </rPh>
    <rPh sb="2" eb="3">
      <t>クイ</t>
    </rPh>
    <rPh sb="4" eb="6">
      <t>バアイ</t>
    </rPh>
    <rPh sb="11" eb="13">
      <t>エイキョウ</t>
    </rPh>
    <rPh sb="14" eb="16">
      <t>コウリョ</t>
    </rPh>
    <phoneticPr fontId="1"/>
  </si>
  <si>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1"/>
  </si>
  <si>
    <t>である。</t>
    <phoneticPr fontId="1"/>
  </si>
  <si>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1"/>
  </si>
  <si>
    <r>
      <t>ｋ</t>
    </r>
    <r>
      <rPr>
        <vertAlign val="subscript"/>
        <sz val="10"/>
        <rFont val="ＭＳ 明朝"/>
        <family val="1"/>
        <charset val="128"/>
      </rPr>
      <t>tv</t>
    </r>
    <phoneticPr fontId="1"/>
  </si>
  <si>
    <r>
      <t>ρ</t>
    </r>
    <r>
      <rPr>
        <vertAlign val="subscript"/>
        <sz val="10"/>
        <rFont val="ＭＳ 明朝"/>
        <family val="1"/>
        <charset val="128"/>
      </rPr>
      <t>gk</t>
    </r>
    <phoneticPr fontId="1"/>
  </si>
  <si>
    <r>
      <t>Ｅ</t>
    </r>
    <r>
      <rPr>
        <vertAlign val="subscript"/>
        <sz val="10"/>
        <rFont val="ＭＳ 明朝"/>
        <family val="1"/>
        <charset val="128"/>
      </rPr>
      <t>d</t>
    </r>
    <phoneticPr fontId="1"/>
  </si>
  <si>
    <t>Ｄ</t>
    <phoneticPr fontId="1"/>
  </si>
  <si>
    <t>ここに、</t>
    <phoneticPr fontId="1"/>
  </si>
  <si>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1"/>
  </si>
  <si>
    <t>杭径（m）</t>
    <rPh sb="0" eb="1">
      <t>クイ</t>
    </rPh>
    <rPh sb="1" eb="2">
      <t>ケイ</t>
    </rPh>
    <phoneticPr fontId="1"/>
  </si>
  <si>
    <r>
      <t>ρ</t>
    </r>
    <r>
      <rPr>
        <vertAlign val="subscript"/>
        <sz val="10"/>
        <rFont val="ＭＳ 明朝"/>
        <family val="1"/>
        <charset val="128"/>
      </rPr>
      <t>k</t>
    </r>
    <phoneticPr fontId="1"/>
  </si>
  <si>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1"/>
  </si>
  <si>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1"/>
  </si>
  <si>
    <t>Ｄ（m）</t>
    <phoneticPr fontId="1"/>
  </si>
  <si>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</si>
  <si>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1"/>
  </si>
  <si>
    <t>とおりである。</t>
    <phoneticPr fontId="1"/>
  </si>
  <si>
    <r>
      <t>ｋ</t>
    </r>
    <r>
      <rPr>
        <vertAlign val="subscript"/>
        <sz val="10"/>
        <rFont val="ＭＳ 明朝"/>
        <family val="1"/>
        <charset val="128"/>
      </rPr>
      <t>fv</t>
    </r>
    <phoneticPr fontId="1"/>
  </si>
  <si>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1"/>
  </si>
  <si>
    <t>土層
番号</t>
    <rPh sb="0" eb="2">
      <t>ドソウ</t>
    </rPh>
    <rPh sb="3" eb="5">
      <t>バンゴウ</t>
    </rPh>
    <phoneticPr fontId="1"/>
  </si>
  <si>
    <t>②</t>
    <phoneticPr fontId="1"/>
  </si>
  <si>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1"/>
  </si>
  <si>
    <t>①</t>
    <phoneticPr fontId="1"/>
  </si>
  <si>
    <t>基本計算</t>
    <rPh sb="0" eb="2">
      <t>キホン</t>
    </rPh>
    <rPh sb="2" eb="4">
      <t>ケイサン</t>
    </rPh>
    <phoneticPr fontId="1"/>
  </si>
  <si>
    <t>である。</t>
    <phoneticPr fontId="1"/>
  </si>
  <si>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1"/>
  </si>
  <si>
    <r>
      <t>ｋ</t>
    </r>
    <r>
      <rPr>
        <vertAlign val="subscript"/>
        <sz val="10"/>
        <rFont val="ＭＳ 明朝"/>
        <family val="1"/>
        <charset val="128"/>
      </rPr>
      <t>h</t>
    </r>
    <phoneticPr fontId="1"/>
  </si>
  <si>
    <t>非設計解析（バイリニア型）の場合</t>
    <rPh sb="0" eb="1">
      <t>ヒ</t>
    </rPh>
    <rPh sb="1" eb="3">
      <t>セッケイ</t>
    </rPh>
    <rPh sb="3" eb="5">
      <t>カイセキ</t>
    </rPh>
    <rPh sb="11" eb="12">
      <t>カタ</t>
    </rPh>
    <rPh sb="14" eb="16">
      <t>バアイ</t>
    </rPh>
    <phoneticPr fontId="1"/>
  </si>
  <si>
    <r>
      <t>ｋ</t>
    </r>
    <r>
      <rPr>
        <vertAlign val="subscript"/>
        <sz val="10"/>
        <rFont val="ＭＳ 明朝"/>
        <family val="1"/>
        <charset val="128"/>
      </rPr>
      <t>h</t>
    </r>
    <phoneticPr fontId="1"/>
  </si>
  <si>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1"/>
  </si>
  <si>
    <t>杭の載荷幅（m）</t>
    <rPh sb="0" eb="1">
      <t>クイ</t>
    </rPh>
    <rPh sb="2" eb="4">
      <t>サイカ</t>
    </rPh>
    <rPh sb="4" eb="5">
      <t>ハバ</t>
    </rPh>
    <phoneticPr fontId="1"/>
  </si>
  <si>
    <t>Ｄ（m）</t>
    <phoneticPr fontId="1"/>
  </si>
  <si>
    <r>
      <t>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</si>
  <si>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1"/>
  </si>
  <si>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1"/>
  </si>
  <si>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1"/>
  </si>
  <si>
    <r>
      <t>ｋ</t>
    </r>
    <r>
      <rPr>
        <vertAlign val="subscript"/>
        <sz val="10"/>
        <rFont val="ＭＳ 明朝"/>
        <family val="1"/>
        <charset val="128"/>
      </rPr>
      <t>hg</t>
    </r>
    <phoneticPr fontId="1"/>
  </si>
  <si>
    <r>
      <t>ｅ</t>
    </r>
    <r>
      <rPr>
        <vertAlign val="subscript"/>
        <sz val="10"/>
        <rFont val="ＭＳ 明朝"/>
        <family val="1"/>
        <charset val="128"/>
      </rPr>
      <t>g</t>
    </r>
    <phoneticPr fontId="1"/>
  </si>
  <si>
    <t>・</t>
    <phoneticPr fontId="1"/>
  </si>
  <si>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1"/>
  </si>
  <si>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1"/>
  </si>
  <si>
    <t>群杭の補正係数で、次式もしくは</t>
    <rPh sb="0" eb="1">
      <t>グン</t>
    </rPh>
    <rPh sb="1" eb="2">
      <t>クイ</t>
    </rPh>
    <rPh sb="3" eb="5">
      <t>ホセイ</t>
    </rPh>
    <rPh sb="5" eb="7">
      <t>ケイスウ</t>
    </rPh>
    <rPh sb="9" eb="11">
      <t>ジシキ</t>
    </rPh>
    <phoneticPr fontId="1"/>
  </si>
  <si>
    <t>用いて求める。</t>
    <rPh sb="0" eb="1">
      <t>モチ</t>
    </rPh>
    <rPh sb="3" eb="4">
      <t>モト</t>
    </rPh>
    <phoneticPr fontId="1"/>
  </si>
  <si>
    <t>ｋ</t>
    <phoneticPr fontId="1"/>
  </si>
  <si>
    <t>杭頭固定度（0.6とする）</t>
    <rPh sb="0" eb="2">
      <t>クイトウ</t>
    </rPh>
    <rPh sb="2" eb="4">
      <t>コテイ</t>
    </rPh>
    <rPh sb="4" eb="5">
      <t>ド</t>
    </rPh>
    <phoneticPr fontId="1"/>
  </si>
  <si>
    <t>ｄ</t>
  </si>
  <si>
    <t>ｄ</t>
    <phoneticPr fontId="1"/>
  </si>
  <si>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1"/>
  </si>
  <si>
    <r>
      <t>ｎＬ</t>
    </r>
    <r>
      <rPr>
        <vertAlign val="subscript"/>
        <sz val="10"/>
        <rFont val="ＭＳ 明朝"/>
        <family val="1"/>
        <charset val="128"/>
      </rPr>
      <t>n</t>
    </r>
    <phoneticPr fontId="1"/>
  </si>
  <si>
    <r>
      <t>ｍＬ</t>
    </r>
    <r>
      <rPr>
        <vertAlign val="subscript"/>
        <sz val="10"/>
        <rFont val="ＭＳ 明朝"/>
        <family val="1"/>
        <charset val="128"/>
      </rPr>
      <t>m</t>
    </r>
    <phoneticPr fontId="1"/>
  </si>
  <si>
    <t>（ｍ＋ｎ）</t>
    <phoneticPr fontId="1"/>
  </si>
  <si>
    <r>
      <t>Ｌ</t>
    </r>
    <r>
      <rPr>
        <vertAlign val="subscript"/>
        <sz val="10"/>
        <rFont val="ＭＳ 明朝"/>
        <family val="1"/>
        <charset val="128"/>
      </rPr>
      <t>m</t>
    </r>
    <phoneticPr fontId="1"/>
  </si>
  <si>
    <r>
      <t>Ｌ</t>
    </r>
    <r>
      <rPr>
        <vertAlign val="subscript"/>
        <sz val="10"/>
        <rFont val="ＭＳ 明朝"/>
        <family val="1"/>
        <charset val="128"/>
      </rPr>
      <t>n</t>
    </r>
    <phoneticPr fontId="1"/>
  </si>
  <si>
    <t>水平荷重の作用方向の杭本数</t>
    <rPh sb="0" eb="2">
      <t>スイヘイ</t>
    </rPh>
    <rPh sb="2" eb="4">
      <t>カジュウ</t>
    </rPh>
    <rPh sb="5" eb="7">
      <t>サヨウ</t>
    </rPh>
    <rPh sb="7" eb="9">
      <t>ホウコウ</t>
    </rPh>
    <rPh sb="10" eb="11">
      <t>クイ</t>
    </rPh>
    <rPh sb="11" eb="13">
      <t>ホンスウ</t>
    </rPh>
    <phoneticPr fontId="1"/>
  </si>
  <si>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1"/>
  </si>
  <si>
    <t>ｍ</t>
    <phoneticPr fontId="1"/>
  </si>
  <si>
    <t>ｎ</t>
    <phoneticPr fontId="1"/>
  </si>
  <si>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1"/>
  </si>
  <si>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1"/>
  </si>
  <si>
    <t>橋軸直角</t>
    <rPh sb="0" eb="2">
      <t>キョウジク</t>
    </rPh>
    <rPh sb="2" eb="4">
      <t>チョッカク</t>
    </rPh>
    <phoneticPr fontId="1"/>
  </si>
  <si>
    <t>橋　軸</t>
    <rPh sb="0" eb="1">
      <t>キョウ</t>
    </rPh>
    <rPh sb="2" eb="3">
      <t>ジク</t>
    </rPh>
    <phoneticPr fontId="1"/>
  </si>
  <si>
    <t>ｍ（本）</t>
    <rPh sb="2" eb="3">
      <t>ホン</t>
    </rPh>
    <phoneticPr fontId="1"/>
  </si>
  <si>
    <t>ｎ（本）</t>
    <rPh sb="2" eb="3">
      <t>ホン</t>
    </rPh>
    <phoneticPr fontId="1"/>
  </si>
  <si>
    <r>
      <t>Ｌ</t>
    </r>
    <r>
      <rPr>
        <vertAlign val="subscript"/>
        <sz val="10"/>
        <rFont val="ＭＳ 明朝"/>
        <family val="1"/>
        <charset val="128"/>
      </rPr>
      <t>m</t>
    </r>
    <r>
      <rPr>
        <sz val="10"/>
        <rFont val="ＭＳ 明朝"/>
        <family val="1"/>
        <charset val="128"/>
      </rPr>
      <t>（本）</t>
    </r>
    <rPh sb="3" eb="4">
      <t>ホン</t>
    </rPh>
    <phoneticPr fontId="1"/>
  </si>
  <si>
    <r>
      <t>Ｌ</t>
    </r>
    <r>
      <rPr>
        <vertAlign val="subscript"/>
        <sz val="10"/>
        <rFont val="ＭＳ 明朝"/>
        <family val="1"/>
        <charset val="128"/>
      </rPr>
      <t>n</t>
    </r>
    <r>
      <rPr>
        <sz val="10"/>
        <rFont val="ＭＳ 明朝"/>
        <family val="1"/>
        <charset val="128"/>
      </rPr>
      <t>（本）</t>
    </r>
    <rPh sb="3" eb="4">
      <t>ホン</t>
    </rPh>
    <phoneticPr fontId="1"/>
  </si>
  <si>
    <t>Ｄ（m）</t>
    <phoneticPr fontId="1"/>
  </si>
  <si>
    <r>
      <t>ｅ</t>
    </r>
    <r>
      <rPr>
        <vertAlign val="subscript"/>
        <sz val="10"/>
        <rFont val="ＭＳ 明朝"/>
        <family val="1"/>
        <charset val="128"/>
      </rPr>
      <t>g</t>
    </r>
    <phoneticPr fontId="1"/>
  </si>
  <si>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1"/>
  </si>
  <si>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1"/>
  </si>
  <si>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1"/>
  </si>
  <si>
    <r>
      <t>ｋ</t>
    </r>
    <r>
      <rPr>
        <vertAlign val="subscript"/>
        <sz val="10"/>
        <rFont val="ＭＳ 明朝"/>
        <family val="1"/>
        <charset val="128"/>
      </rPr>
      <t>tv</t>
    </r>
    <phoneticPr fontId="1"/>
  </si>
  <si>
    <r>
      <t>K</t>
    </r>
    <r>
      <rPr>
        <vertAlign val="subscript"/>
        <sz val="10"/>
        <rFont val="ＭＳ 明朝"/>
        <family val="1"/>
        <charset val="128"/>
      </rPr>
      <t>tv</t>
    </r>
    <phoneticPr fontId="1"/>
  </si>
  <si>
    <r>
      <t>Ａ</t>
    </r>
    <r>
      <rPr>
        <vertAlign val="subscript"/>
        <sz val="10"/>
        <rFont val="ＭＳ 明朝"/>
        <family val="1"/>
        <charset val="128"/>
      </rPr>
      <t>v</t>
    </r>
    <phoneticPr fontId="1"/>
  </si>
  <si>
    <t>杭先端の鉛直地盤ばね定数（kN/m）</t>
    <rPh sb="0" eb="1">
      <t>クイ</t>
    </rPh>
    <rPh sb="1" eb="3">
      <t>センタン</t>
    </rPh>
    <rPh sb="4" eb="6">
      <t>エンチョク</t>
    </rPh>
    <rPh sb="6" eb="8">
      <t>ジバン</t>
    </rPh>
    <rPh sb="10" eb="12">
      <t>テイスウ</t>
    </rPh>
    <phoneticPr fontId="1"/>
  </si>
  <si>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1"/>
  </si>
  <si>
    <t>π</t>
    <phoneticPr fontId="1"/>
  </si>
  <si>
    <t>×</t>
    <phoneticPr fontId="1"/>
  </si>
  <si>
    <r>
      <t>m</t>
    </r>
    <r>
      <rPr>
        <vertAlign val="superscript"/>
        <sz val="10"/>
        <rFont val="ＭＳ 明朝"/>
        <family val="1"/>
        <charset val="128"/>
      </rPr>
      <t>2</t>
    </r>
    <phoneticPr fontId="1"/>
  </si>
  <si>
    <t>杭先端の公称径</t>
    <rPh sb="0" eb="1">
      <t>クイ</t>
    </rPh>
    <rPh sb="1" eb="3">
      <t>センタン</t>
    </rPh>
    <rPh sb="4" eb="6">
      <t>コウショウ</t>
    </rPh>
    <rPh sb="6" eb="7">
      <t>ケイ</t>
    </rPh>
    <phoneticPr fontId="1"/>
  </si>
  <si>
    <t>（</t>
    <phoneticPr fontId="1"/>
  </si>
  <si>
    <t>m）</t>
    <phoneticPr fontId="1"/>
  </si>
  <si>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1"/>
  </si>
  <si>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1"/>
  </si>
  <si>
    <r>
      <t>Ｋ</t>
    </r>
    <r>
      <rPr>
        <vertAlign val="subscript"/>
        <sz val="10"/>
        <rFont val="ＭＳ 明朝"/>
        <family val="1"/>
        <charset val="128"/>
      </rPr>
      <t>tv</t>
    </r>
    <r>
      <rPr>
        <sz val="10"/>
        <rFont val="ＭＳ 明朝"/>
        <family val="1"/>
        <charset val="128"/>
      </rPr>
      <t>（kN/m</t>
    </r>
    <r>
      <rPr>
        <sz val="10"/>
        <rFont val="ＭＳ 明朝"/>
        <family val="1"/>
        <charset val="128"/>
      </rPr>
      <t>）</t>
    </r>
    <phoneticPr fontId="1"/>
  </si>
  <si>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1"/>
  </si>
  <si>
    <t>(b) 杭周面の鉛直せん断地盤ばね定数</t>
    <rPh sb="4" eb="5">
      <t>クイ</t>
    </rPh>
    <rPh sb="5" eb="7">
      <t>シュウメン</t>
    </rPh>
    <rPh sb="8" eb="10">
      <t>エンチョク</t>
    </rPh>
    <rPh sb="12" eb="13">
      <t>ダン</t>
    </rPh>
    <rPh sb="13" eb="15">
      <t>ジバン</t>
    </rPh>
    <rPh sb="17" eb="19">
      <t>テイスウ</t>
    </rPh>
    <phoneticPr fontId="1"/>
  </si>
  <si>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1"/>
  </si>
  <si>
    <r>
      <t>K</t>
    </r>
    <r>
      <rPr>
        <vertAlign val="subscript"/>
        <sz val="10"/>
        <rFont val="ＭＳ 明朝"/>
        <family val="1"/>
        <charset val="128"/>
      </rPr>
      <t>fv</t>
    </r>
    <phoneticPr fontId="1"/>
  </si>
  <si>
    <r>
      <t>ｋ</t>
    </r>
    <r>
      <rPr>
        <vertAlign val="subscript"/>
        <sz val="10"/>
        <rFont val="ＭＳ 明朝"/>
        <family val="1"/>
        <charset val="128"/>
      </rPr>
      <t>fv</t>
    </r>
    <phoneticPr fontId="1"/>
  </si>
  <si>
    <t>Ｕ</t>
    <phoneticPr fontId="1"/>
  </si>
  <si>
    <t>Δ1</t>
    <phoneticPr fontId="1"/>
  </si>
  <si>
    <t>杭周面の鉛直せん断地盤ばね定数（kN/m）</t>
    <rPh sb="0" eb="1">
      <t>クイ</t>
    </rPh>
    <rPh sb="1" eb="3">
      <t>シュウメン</t>
    </rPh>
    <rPh sb="4" eb="6">
      <t>エンチョク</t>
    </rPh>
    <rPh sb="8" eb="9">
      <t>ダン</t>
    </rPh>
    <rPh sb="9" eb="11">
      <t>ジバン</t>
    </rPh>
    <rPh sb="13" eb="15">
      <t>テイスウ</t>
    </rPh>
    <phoneticPr fontId="1"/>
  </si>
  <si>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1"/>
  </si>
  <si>
    <r>
      <t>杭の周長（m</t>
    </r>
    <r>
      <rPr>
        <sz val="10"/>
        <rFont val="ＭＳ 明朝"/>
        <family val="1"/>
        <charset val="128"/>
      </rPr>
      <t>）</t>
    </r>
    <rPh sb="0" eb="1">
      <t>クイ</t>
    </rPh>
    <rPh sb="2" eb="4">
      <t>シュウチョウ</t>
    </rPh>
    <phoneticPr fontId="1"/>
  </si>
  <si>
    <t>杭の直径</t>
    <rPh sb="0" eb="1">
      <t>クイ</t>
    </rPh>
    <rPh sb="2" eb="4">
      <t>チョッケイ</t>
    </rPh>
    <phoneticPr fontId="1"/>
  </si>
  <si>
    <t>杭周面の鉛直せん断地盤ばね定数を算定する区間長さ（m）</t>
    <rPh sb="0" eb="1">
      <t>クイ</t>
    </rPh>
    <rPh sb="1" eb="3">
      <t>シュウメン</t>
    </rPh>
    <rPh sb="4" eb="6">
      <t>エンチョク</t>
    </rPh>
    <rPh sb="8" eb="9">
      <t>ダン</t>
    </rPh>
    <rPh sb="9" eb="11">
      <t>ジバン</t>
    </rPh>
    <rPh sb="13" eb="15">
      <t>テイスウ</t>
    </rPh>
    <rPh sb="16" eb="18">
      <t>サンテイ</t>
    </rPh>
    <rPh sb="20" eb="22">
      <t>クカン</t>
    </rPh>
    <rPh sb="22" eb="23">
      <t>ナガ</t>
    </rPh>
    <phoneticPr fontId="1"/>
  </si>
  <si>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1"/>
  </si>
  <si>
    <t>【基礎標準 第Ⅱ編 15.2.2.1】</t>
    <phoneticPr fontId="1"/>
  </si>
  <si>
    <t>1)</t>
    <phoneticPr fontId="1"/>
  </si>
  <si>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</si>
  <si>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</si>
  <si>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1"/>
  </si>
  <si>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1"/>
  </si>
  <si>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1"/>
  </si>
  <si>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1"/>
  </si>
  <si>
    <t>1/βの位置</t>
    <rPh sb="4" eb="6">
      <t>イチ</t>
    </rPh>
    <phoneticPr fontId="1"/>
  </si>
  <si>
    <t>βは、次式により求める。</t>
    <rPh sb="3" eb="5">
      <t>ジシキ</t>
    </rPh>
    <rPh sb="8" eb="9">
      <t>モト</t>
    </rPh>
    <phoneticPr fontId="1"/>
  </si>
  <si>
    <t>ＥＩ</t>
    <phoneticPr fontId="1"/>
  </si>
  <si>
    <t>Ｅ</t>
    <phoneticPr fontId="1"/>
  </si>
  <si>
    <t>Ｉ</t>
    <phoneticPr fontId="1"/>
  </si>
  <si>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1"/>
  </si>
  <si>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1"/>
  </si>
  <si>
    <r>
      <t>ヤング係数（kN/m</t>
    </r>
    <r>
      <rPr>
        <vertAlign val="superscript"/>
        <sz val="10"/>
        <rFont val="ＭＳ 明朝"/>
        <family val="1"/>
        <charset val="128"/>
      </rPr>
      <t>2</t>
    </r>
    <r>
      <rPr>
        <sz val="10"/>
        <rFont val="ＭＳ 明朝"/>
        <family val="1"/>
        <charset val="128"/>
      </rPr>
      <t>）</t>
    </r>
    <rPh sb="3" eb="5">
      <t>ケイスウ</t>
    </rPh>
    <phoneticPr fontId="1"/>
  </si>
  <si>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1"/>
  </si>
  <si>
    <r>
      <t>kN/mm</t>
    </r>
    <r>
      <rPr>
        <vertAlign val="superscript"/>
        <sz val="10"/>
        <rFont val="ＭＳ 明朝"/>
        <family val="1"/>
        <charset val="128"/>
      </rPr>
      <t>2</t>
    </r>
    <phoneticPr fontId="1"/>
  </si>
  <si>
    <r>
      <t>kN/m</t>
    </r>
    <r>
      <rPr>
        <vertAlign val="superscript"/>
        <sz val="10"/>
        <rFont val="ＭＳ 明朝"/>
        <family val="1"/>
        <charset val="128"/>
      </rPr>
      <t>2</t>
    </r>
    <r>
      <rPr>
        <sz val="10"/>
        <rFont val="ＭＳ 明朝"/>
        <family val="1"/>
        <charset val="128"/>
      </rPr>
      <t>）</t>
    </r>
    <phoneticPr fontId="1"/>
  </si>
  <si>
    <t>）</t>
    <phoneticPr fontId="1"/>
  </si>
  <si>
    <t>表1.1.2.10 各層の杭の特性値β</t>
    <rPh sb="0" eb="1">
      <t>ヒョウ</t>
    </rPh>
    <rPh sb="10" eb="11">
      <t>カク</t>
    </rPh>
    <rPh sb="13" eb="14">
      <t>クイ</t>
    </rPh>
    <rPh sb="15" eb="18">
      <t>トクセイチ</t>
    </rPh>
    <phoneticPr fontId="1"/>
  </si>
  <si>
    <r>
      <t>ｋ</t>
    </r>
    <r>
      <rPr>
        <vertAlign val="subscript"/>
        <sz val="10"/>
        <rFont val="ＭＳ 明朝"/>
        <family val="1"/>
        <charset val="128"/>
      </rPr>
      <t xml:space="preserve">hg
</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</si>
  <si>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t>層厚
ｌ（m）</t>
    <rPh sb="0" eb="2">
      <t>ソウアツ</t>
    </rPh>
    <phoneticPr fontId="1"/>
  </si>
  <si>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1"/>
  </si>
  <si>
    <r>
      <t>β</t>
    </r>
    <r>
      <rPr>
        <vertAlign val="subscript"/>
        <sz val="10"/>
        <rFont val="ＭＳ 明朝"/>
        <family val="1"/>
        <charset val="128"/>
      </rPr>
      <t xml:space="preserve">
</t>
    </r>
    <r>
      <rPr>
        <sz val="10"/>
        <rFont val="ＭＳ 明朝"/>
        <family val="1"/>
        <charset val="128"/>
      </rPr>
      <t>（l/m）</t>
    </r>
    <phoneticPr fontId="1"/>
  </si>
  <si>
    <t>β･ｌ</t>
    <phoneticPr fontId="1"/>
  </si>
  <si>
    <t>Σ(β･ｌ)</t>
    <phoneticPr fontId="1"/>
  </si>
  <si>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1"/>
  </si>
  <si>
    <t>ＥＩ</t>
    <phoneticPr fontId="1"/>
  </si>
  <si>
    <r>
      <t>kN･m</t>
    </r>
    <r>
      <rPr>
        <vertAlign val="superscript"/>
        <sz val="10"/>
        <rFont val="ＭＳ 明朝"/>
        <family val="1"/>
        <charset val="128"/>
      </rPr>
      <t>2</t>
    </r>
    <phoneticPr fontId="1"/>
  </si>
  <si>
    <t>）</t>
    <phoneticPr fontId="1"/>
  </si>
  <si>
    <r>
      <rPr>
        <sz val="10"/>
        <rFont val="ＭＳ ゴシック"/>
        <family val="3"/>
        <charset val="128"/>
      </rPr>
      <t>【基礎標準 第Ⅱ編 15.2.2.2 解説図 15.2.2.2-1】</t>
    </r>
    <r>
      <rPr>
        <sz val="10"/>
        <rFont val="ＭＳ 明朝"/>
        <family val="1"/>
        <charset val="128"/>
      </rPr>
      <t>のノモグラムを</t>
    </r>
    <phoneticPr fontId="1"/>
  </si>
  <si>
    <r>
      <t>超えた第2層にあるもの想定して、β</t>
    </r>
    <r>
      <rPr>
        <vertAlign val="subscript"/>
        <sz val="10"/>
        <rFont val="ＭＳ 明朝"/>
        <family val="1"/>
        <charset val="128"/>
      </rPr>
      <t>1</t>
    </r>
    <r>
      <rPr>
        <sz val="10"/>
        <rFont val="ＭＳ 明朝"/>
        <family val="1"/>
        <charset val="128"/>
      </rPr>
      <t>ｌ</t>
    </r>
    <r>
      <rPr>
        <vertAlign val="subscript"/>
        <sz val="10"/>
        <rFont val="ＭＳ 明朝"/>
        <family val="1"/>
        <charset val="128"/>
      </rPr>
      <t>1</t>
    </r>
    <r>
      <rPr>
        <sz val="10"/>
        <rFont val="ＭＳ 明朝"/>
        <family val="1"/>
        <charset val="128"/>
      </rPr>
      <t>＋β</t>
    </r>
    <r>
      <rPr>
        <vertAlign val="subscript"/>
        <sz val="10"/>
        <rFont val="ＭＳ 明朝"/>
        <family val="1"/>
        <charset val="128"/>
      </rPr>
      <t>2</t>
    </r>
    <r>
      <rPr>
        <sz val="10"/>
        <rFont val="ＭＳ 明朝"/>
        <family val="1"/>
        <charset val="128"/>
      </rPr>
      <t>ｌ</t>
    </r>
    <r>
      <rPr>
        <vertAlign val="subscript"/>
        <sz val="10"/>
        <rFont val="ＭＳ 明朝"/>
        <family val="1"/>
        <charset val="128"/>
      </rPr>
      <t>2</t>
    </r>
    <r>
      <rPr>
        <sz val="10"/>
        <rFont val="ＭＳ 明朝"/>
        <family val="1"/>
        <charset val="128"/>
      </rPr>
      <t>＝1を満たすｌ</t>
    </r>
    <r>
      <rPr>
        <vertAlign val="subscript"/>
        <sz val="10"/>
        <rFont val="ＭＳ 明朝"/>
        <family val="1"/>
        <charset val="128"/>
      </rPr>
      <t>2</t>
    </r>
    <r>
      <rPr>
        <sz val="10"/>
        <rFont val="ＭＳ 明朝"/>
        <family val="1"/>
        <charset val="128"/>
      </rPr>
      <t>を求める。</t>
    </r>
    <rPh sb="0" eb="1">
      <t>コ</t>
    </rPh>
    <rPh sb="3" eb="4">
      <t>ダイ</t>
    </rPh>
    <rPh sb="5" eb="6">
      <t>ソウ</t>
    </rPh>
    <rPh sb="11" eb="13">
      <t>ソウテイ</t>
    </rPh>
    <rPh sb="28" eb="29">
      <t>ミ</t>
    </rPh>
    <rPh sb="34" eb="35">
      <t>モト</t>
    </rPh>
    <phoneticPr fontId="1"/>
  </si>
  <si>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1"/>
  </si>
  <si>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1"/>
  </si>
  <si>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1"/>
  </si>
  <si>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1"/>
  </si>
  <si>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1"/>
  </si>
  <si>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1"/>
  </si>
  <si>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1"/>
  </si>
  <si>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1"/>
  </si>
  <si>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1"/>
  </si>
  <si>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1"/>
  </si>
  <si>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1"/>
  </si>
  <si>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1"/>
  </si>
  <si>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1"/>
  </si>
  <si>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1"/>
  </si>
  <si>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1"/>
  </si>
  <si>
    <t>表1.1.10(1) 杭周面のせん断地盤反力係数（長期）</t>
    <rPh sb="0" eb="1">
      <t>ヒョウ</t>
    </rPh>
    <rPh sb="11" eb="12">
      <t>クイ</t>
    </rPh>
    <rPh sb="12" eb="14">
      <t>シュウメン</t>
    </rPh>
    <rPh sb="17" eb="18">
      <t>ダン</t>
    </rPh>
    <rPh sb="18" eb="20">
      <t>ジバン</t>
    </rPh>
    <rPh sb="20" eb="22">
      <t>ハンリョク</t>
    </rPh>
    <rPh sb="22" eb="24">
      <t>ケイスウ</t>
    </rPh>
    <rPh sb="25" eb="27">
      <t>チョウキ</t>
    </rPh>
    <phoneticPr fontId="1"/>
  </si>
  <si>
    <t>表1.1.11(2) 杭周面のせん断地盤反力係数（短期）</t>
    <rPh sb="0" eb="1">
      <t>ヒョウ</t>
    </rPh>
    <rPh sb="11" eb="12">
      <t>クイ</t>
    </rPh>
    <rPh sb="12" eb="14">
      <t>シュウメン</t>
    </rPh>
    <rPh sb="17" eb="18">
      <t>ダン</t>
    </rPh>
    <rPh sb="18" eb="20">
      <t>ジバン</t>
    </rPh>
    <rPh sb="20" eb="22">
      <t>ハンリョク</t>
    </rPh>
    <rPh sb="22" eb="24">
      <t>ケイスウ</t>
    </rPh>
    <rPh sb="25" eb="26">
      <t>タン</t>
    </rPh>
    <phoneticPr fontId="1"/>
  </si>
  <si>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1"/>
  </si>
  <si>
    <t>表1.1.11(1) 単杭の水平地盤反力係数（長期）</t>
    <rPh sb="0" eb="1">
      <t>ヒョウ</t>
    </rPh>
    <rPh sb="11" eb="12">
      <t>タン</t>
    </rPh>
    <rPh sb="12" eb="13">
      <t>クイ</t>
    </rPh>
    <rPh sb="14" eb="16">
      <t>スイヘイ</t>
    </rPh>
    <rPh sb="16" eb="18">
      <t>ジバン</t>
    </rPh>
    <rPh sb="18" eb="20">
      <t>ハンリョク</t>
    </rPh>
    <rPh sb="20" eb="22">
      <t>ケイスウ</t>
    </rPh>
    <rPh sb="23" eb="25">
      <t>チョウキ</t>
    </rPh>
    <phoneticPr fontId="1"/>
  </si>
  <si>
    <t>表1.1.12(2) 単杭の水平地盤反力係数（短期）</t>
    <rPh sb="0" eb="1">
      <t>ヒョウ</t>
    </rPh>
    <rPh sb="11" eb="12">
      <t>タン</t>
    </rPh>
    <rPh sb="12" eb="13">
      <t>クイ</t>
    </rPh>
    <rPh sb="14" eb="16">
      <t>スイヘイ</t>
    </rPh>
    <rPh sb="16" eb="18">
      <t>ジバン</t>
    </rPh>
    <rPh sb="18" eb="20">
      <t>ハンリョク</t>
    </rPh>
    <rPh sb="20" eb="22">
      <t>ケイスウ</t>
    </rPh>
    <rPh sb="23" eb="25">
      <t>タンキ</t>
    </rPh>
    <phoneticPr fontId="1"/>
  </si>
  <si>
    <t>表1.1.123 群杭に対する補正係数</t>
    <rPh sb="0" eb="1">
      <t>ヒョウ</t>
    </rPh>
    <rPh sb="9" eb="10">
      <t>グン</t>
    </rPh>
    <rPh sb="10" eb="11">
      <t>クイ</t>
    </rPh>
    <rPh sb="12" eb="13">
      <t>タイ</t>
    </rPh>
    <rPh sb="15" eb="17">
      <t>ホセイ</t>
    </rPh>
    <rPh sb="17" eb="19">
      <t>ケイスウ</t>
    </rPh>
    <phoneticPr fontId="1"/>
  </si>
  <si>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1"/>
  </si>
  <si>
    <r>
      <t>l</t>
    </r>
    <r>
      <rPr>
        <vertAlign val="subscript"/>
        <sz val="10"/>
        <rFont val="ＭＳ 明朝"/>
        <family val="1"/>
        <charset val="128"/>
      </rPr>
      <t>2</t>
    </r>
    <phoneticPr fontId="1"/>
  </si>
  <si>
    <r>
      <t>( 1-β</t>
    </r>
    <r>
      <rPr>
        <vertAlign val="subscript"/>
        <sz val="10"/>
        <rFont val="ＭＳ 明朝"/>
        <family val="1"/>
        <charset val="128"/>
      </rPr>
      <t>1</t>
    </r>
    <r>
      <rPr>
        <sz val="10"/>
        <rFont val="ＭＳ 明朝"/>
        <family val="1"/>
        <charset val="128"/>
      </rPr>
      <t>l</t>
    </r>
    <r>
      <rPr>
        <vertAlign val="subscript"/>
        <sz val="10"/>
        <rFont val="ＭＳ 明朝"/>
        <family val="1"/>
        <charset val="128"/>
      </rPr>
      <t>1</t>
    </r>
    <r>
      <rPr>
        <sz val="10"/>
        <rFont val="ＭＳ 明朝"/>
        <family val="1"/>
        <charset val="128"/>
      </rPr>
      <t>) / β</t>
    </r>
    <r>
      <rPr>
        <vertAlign val="subscript"/>
        <sz val="10"/>
        <rFont val="ＭＳ 明朝"/>
        <family val="1"/>
        <charset val="128"/>
      </rPr>
      <t>2</t>
    </r>
    <phoneticPr fontId="1"/>
  </si>
  <si>
    <t>-</t>
    <phoneticPr fontId="1"/>
  </si>
  <si>
    <t>－</t>
    <phoneticPr fontId="1"/>
  </si>
  <si>
    <t>)</t>
    <phoneticPr fontId="1"/>
  </si>
  <si>
    <t>/</t>
    <phoneticPr fontId="1"/>
  </si>
  <si>
    <r>
      <rPr>
        <sz val="10"/>
        <rFont val="ＭＳ ゴシック"/>
        <family val="3"/>
        <charset val="128"/>
      </rPr>
      <t>表1.1.15</t>
    </r>
    <r>
      <rPr>
        <sz val="10"/>
        <rFont val="ＭＳ 明朝"/>
        <family val="1"/>
        <charset val="128"/>
      </rPr>
      <t>より、β</t>
    </r>
    <r>
      <rPr>
        <vertAlign val="subscript"/>
        <sz val="10"/>
        <rFont val="ＭＳ 明朝"/>
        <family val="1"/>
        <charset val="128"/>
      </rPr>
      <t>1</t>
    </r>
    <r>
      <rPr>
        <sz val="10"/>
        <rFont val="ＭＳ 明朝"/>
        <family val="1"/>
        <charset val="128"/>
      </rPr>
      <t>ｌ</t>
    </r>
    <r>
      <rPr>
        <vertAlign val="subscript"/>
        <sz val="10"/>
        <rFont val="ＭＳ 明朝"/>
        <family val="1"/>
        <charset val="128"/>
      </rPr>
      <t>1</t>
    </r>
    <r>
      <rPr>
        <sz val="10"/>
        <rFont val="ＭＳ 明朝"/>
        <family val="1"/>
        <charset val="128"/>
      </rPr>
      <t>＝0.2748×3.00＝0.8244＜1となるため、1/βの深さは、第1層を</t>
    </r>
    <rPh sb="0" eb="1">
      <t>ヒョウ</t>
    </rPh>
    <rPh sb="45" eb="46">
      <t>フカ</t>
    </rPh>
    <rPh sb="49" eb="50">
      <t>ダイ</t>
    </rPh>
    <rPh sb="51" eb="52">
      <t>ソウ</t>
    </rPh>
    <phoneticPr fontId="1"/>
  </si>
  <si>
    <t>(m)</t>
    <phoneticPr fontId="1"/>
  </si>
  <si>
    <t xml:space="preserve">(m) ＜ </t>
    <phoneticPr fontId="1"/>
  </si>
  <si>
    <t>（第2層の層厚）</t>
    <rPh sb="1" eb="2">
      <t>ダイ</t>
    </rPh>
    <rPh sb="3" eb="4">
      <t>ソウ</t>
    </rPh>
    <rPh sb="5" eb="6">
      <t>ソウ</t>
    </rPh>
    <rPh sb="6" eb="7">
      <t>アツ</t>
    </rPh>
    <phoneticPr fontId="1"/>
  </si>
  <si>
    <t>以上より、杭周面の設計せん断地盤反力係数および周面支持力を考慮しない深さ位置1/βは、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3" eb="24">
      <t>シュウ</t>
    </rPh>
    <rPh sb="24" eb="25">
      <t>メン</t>
    </rPh>
    <rPh sb="25" eb="27">
      <t>シジ</t>
    </rPh>
    <rPh sb="27" eb="28">
      <t>リョク</t>
    </rPh>
    <rPh sb="29" eb="31">
      <t>コウリョ</t>
    </rPh>
    <rPh sb="34" eb="35">
      <t>フカ</t>
    </rPh>
    <rPh sb="36" eb="38">
      <t>イチ</t>
    </rPh>
    <phoneticPr fontId="1"/>
  </si>
  <si>
    <t>1/β</t>
    <phoneticPr fontId="1"/>
  </si>
  <si>
    <r>
      <t>l</t>
    </r>
    <r>
      <rPr>
        <vertAlign val="subscript"/>
        <sz val="10"/>
        <rFont val="ＭＳ 明朝"/>
        <family val="1"/>
        <charset val="128"/>
      </rPr>
      <t>1</t>
    </r>
    <phoneticPr fontId="1"/>
  </si>
  <si>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1"/>
  </si>
  <si>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1"/>
  </si>
  <si>
    <t>層厚
（m）</t>
    <rPh sb="0" eb="2">
      <t>ソウアツ</t>
    </rPh>
    <phoneticPr fontId="1"/>
  </si>
  <si>
    <r>
      <t>ｋ</t>
    </r>
    <r>
      <rPr>
        <vertAlign val="subscript"/>
        <sz val="10"/>
        <rFont val="ＭＳ 明朝"/>
        <family val="1"/>
        <charset val="128"/>
      </rPr>
      <t>fv</t>
    </r>
    <phoneticPr fontId="1"/>
  </si>
  <si>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</si>
  <si>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t>U
（m）</t>
    <phoneticPr fontId="1"/>
  </si>
  <si>
    <t>※</t>
    <phoneticPr fontId="1"/>
  </si>
  <si>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</si>
  <si>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r>
      <t>K</t>
    </r>
    <r>
      <rPr>
        <vertAlign val="subscript"/>
        <sz val="10"/>
        <rFont val="ＭＳ ゴシック"/>
        <family val="3"/>
        <charset val="128"/>
      </rPr>
      <t>fv</t>
    </r>
    <phoneticPr fontId="1"/>
  </si>
  <si>
    <r>
      <t>U・k</t>
    </r>
    <r>
      <rPr>
        <vertAlign val="subscript"/>
        <sz val="10"/>
        <rFont val="ＭＳ ゴシック"/>
        <family val="3"/>
        <charset val="128"/>
      </rPr>
      <t>fv</t>
    </r>
    <phoneticPr fontId="1"/>
  </si>
  <si>
    <t>表1.1.16(2)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1"/>
  </si>
  <si>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1"/>
  </si>
  <si>
    <r>
      <t>地震時は、K</t>
    </r>
    <r>
      <rPr>
        <vertAlign val="subscript"/>
        <sz val="10"/>
        <rFont val="ＭＳ ゴシック"/>
        <family val="3"/>
        <charset val="128"/>
      </rPr>
      <t>fv</t>
    </r>
    <r>
      <rPr>
        <sz val="10"/>
        <rFont val="ＭＳ ゴシック"/>
        <family val="3"/>
        <charset val="128"/>
      </rPr>
      <t>=0</t>
    </r>
    <rPh sb="0" eb="2">
      <t>ジシン</t>
    </rPh>
    <rPh sb="2" eb="3">
      <t>ジ</t>
    </rPh>
    <phoneticPr fontId="1"/>
  </si>
  <si>
    <t>(c) 杭周面の水平地盤ばね定数</t>
    <rPh sb="4" eb="5">
      <t>クイ</t>
    </rPh>
    <rPh sb="5" eb="7">
      <t>シュウメン</t>
    </rPh>
    <rPh sb="8" eb="10">
      <t>スイヘイ</t>
    </rPh>
    <rPh sb="10" eb="12">
      <t>ジバン</t>
    </rPh>
    <rPh sb="14" eb="16">
      <t>テイスウ</t>
    </rPh>
    <phoneticPr fontId="1"/>
  </si>
  <si>
    <r>
      <t>K</t>
    </r>
    <r>
      <rPr>
        <vertAlign val="subscript"/>
        <sz val="10"/>
        <rFont val="ＭＳ 明朝"/>
        <family val="1"/>
        <charset val="128"/>
      </rPr>
      <t>h</t>
    </r>
    <phoneticPr fontId="1"/>
  </si>
  <si>
    <r>
      <t>ｋ</t>
    </r>
    <r>
      <rPr>
        <vertAlign val="subscript"/>
        <sz val="10"/>
        <rFont val="ＭＳ 明朝"/>
        <family val="1"/>
        <charset val="128"/>
      </rPr>
      <t>hg</t>
    </r>
    <phoneticPr fontId="1"/>
  </si>
  <si>
    <t>杭周面の水平地盤ばね定数（kN/m）</t>
    <rPh sb="0" eb="1">
      <t>クイ</t>
    </rPh>
    <rPh sb="1" eb="3">
      <t>シュウメン</t>
    </rPh>
    <rPh sb="4" eb="6">
      <t>スイヘイ</t>
    </rPh>
    <rPh sb="6" eb="8">
      <t>ジバン</t>
    </rPh>
    <rPh sb="10" eb="12">
      <t>テイスウ</t>
    </rPh>
    <phoneticPr fontId="1"/>
  </si>
  <si>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1"/>
  </si>
  <si>
    <t>杭周面の水平地盤ばね定数を算定する区間長さ（m）</t>
    <rPh sb="0" eb="1">
      <t>クイ</t>
    </rPh>
    <rPh sb="1" eb="3">
      <t>シュウメン</t>
    </rPh>
    <rPh sb="4" eb="6">
      <t>スイヘイ</t>
    </rPh>
    <rPh sb="6" eb="8">
      <t>ジバン</t>
    </rPh>
    <rPh sb="10" eb="12">
      <t>テイスウ</t>
    </rPh>
    <rPh sb="13" eb="15">
      <t>サンテイ</t>
    </rPh>
    <rPh sb="17" eb="19">
      <t>クカン</t>
    </rPh>
    <rPh sb="19" eb="20">
      <t>ナガ</t>
    </rPh>
    <phoneticPr fontId="1"/>
  </si>
  <si>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1"/>
  </si>
  <si>
    <t>Ｄ
（m）</t>
    <phoneticPr fontId="1"/>
  </si>
  <si>
    <r>
      <t>K</t>
    </r>
    <r>
      <rPr>
        <vertAlign val="subscript"/>
        <sz val="10"/>
        <rFont val="ＭＳ ゴシック"/>
        <family val="3"/>
        <charset val="128"/>
      </rPr>
      <t>h</t>
    </r>
    <phoneticPr fontId="1"/>
  </si>
  <si>
    <r>
      <t>Ｄ・k</t>
    </r>
    <r>
      <rPr>
        <vertAlign val="subscript"/>
        <sz val="10"/>
        <rFont val="ＭＳ ゴシック"/>
        <family val="3"/>
        <charset val="128"/>
      </rPr>
      <t>hg</t>
    </r>
    <phoneticPr fontId="1"/>
  </si>
  <si>
    <t>(d) 地盤ばね定数の総括</t>
    <rPh sb="4" eb="6">
      <t>ジバン</t>
    </rPh>
    <rPh sb="8" eb="10">
      <t>テイスウ</t>
    </rPh>
    <rPh sb="11" eb="13">
      <t>ソウカツ</t>
    </rPh>
    <phoneticPr fontId="1"/>
  </si>
  <si>
    <t>①杭先端の鉛直地盤ばね定数</t>
    <rPh sb="1" eb="2">
      <t>クイ</t>
    </rPh>
    <rPh sb="2" eb="4">
      <t>センタン</t>
    </rPh>
    <rPh sb="5" eb="7">
      <t>エンチョク</t>
    </rPh>
    <rPh sb="7" eb="9">
      <t>ジバン</t>
    </rPh>
    <rPh sb="11" eb="13">
      <t>テイスウ</t>
    </rPh>
    <phoneticPr fontId="1"/>
  </si>
  <si>
    <t>杭先端の鉛直地盤ばね定数の総括を表 1.1.18に示す。</t>
    <rPh sb="0" eb="1">
      <t>クイ</t>
    </rPh>
    <rPh sb="1" eb="3">
      <t>センタン</t>
    </rPh>
    <rPh sb="4" eb="6">
      <t>エンチョク</t>
    </rPh>
    <rPh sb="6" eb="8">
      <t>ジバン</t>
    </rPh>
    <rPh sb="10" eb="12">
      <t>テイスウ</t>
    </rPh>
    <rPh sb="13" eb="15">
      <t>ソウカツ</t>
    </rPh>
    <rPh sb="16" eb="17">
      <t>ヒョウ</t>
    </rPh>
    <rPh sb="25" eb="26">
      <t>シメ</t>
    </rPh>
    <phoneticPr fontId="1"/>
  </si>
  <si>
    <t>表1.1.17 杭先端の鉛直地盤ばね定数</t>
    <rPh sb="0" eb="1">
      <t>ヒョウ</t>
    </rPh>
    <rPh sb="8" eb="9">
      <t>クイ</t>
    </rPh>
    <rPh sb="9" eb="11">
      <t>センタン</t>
    </rPh>
    <rPh sb="12" eb="14">
      <t>エンチョク</t>
    </rPh>
    <rPh sb="14" eb="16">
      <t>ジバン</t>
    </rPh>
    <rPh sb="18" eb="20">
      <t>テイスウ</t>
    </rPh>
    <phoneticPr fontId="1"/>
  </si>
  <si>
    <r>
      <t>長期
K</t>
    </r>
    <r>
      <rPr>
        <vertAlign val="subscript"/>
        <sz val="10"/>
        <rFont val="ＭＳ 明朝"/>
        <family val="1"/>
        <charset val="128"/>
      </rPr>
      <t>tv</t>
    </r>
    <r>
      <rPr>
        <sz val="10"/>
        <rFont val="ＭＳ 明朝"/>
        <family val="1"/>
        <charset val="128"/>
      </rPr>
      <t>(kN/m)</t>
    </r>
    <rPh sb="0" eb="2">
      <t>チョウキ</t>
    </rPh>
    <phoneticPr fontId="1"/>
  </si>
  <si>
    <r>
      <t>短期
K</t>
    </r>
    <r>
      <rPr>
        <vertAlign val="subscript"/>
        <sz val="10"/>
        <rFont val="ＭＳ 明朝"/>
        <family val="1"/>
        <charset val="128"/>
      </rPr>
      <t>tv</t>
    </r>
    <r>
      <rPr>
        <sz val="10"/>
        <rFont val="ＭＳ 明朝"/>
        <family val="1"/>
        <charset val="128"/>
      </rPr>
      <t>(kN/m)</t>
    </r>
    <rPh sb="0" eb="2">
      <t>タンキ</t>
    </rPh>
    <phoneticPr fontId="1"/>
  </si>
  <si>
    <t>②杭周面の鉛直せん断地盤ばね定数</t>
    <rPh sb="1" eb="2">
      <t>クイ</t>
    </rPh>
    <rPh sb="2" eb="3">
      <t>シュウ</t>
    </rPh>
    <rPh sb="3" eb="4">
      <t>メン</t>
    </rPh>
    <rPh sb="5" eb="7">
      <t>エンチョク</t>
    </rPh>
    <rPh sb="9" eb="10">
      <t>ダン</t>
    </rPh>
    <rPh sb="10" eb="12">
      <t>ジバン</t>
    </rPh>
    <rPh sb="14" eb="16">
      <t>テイスウ</t>
    </rPh>
    <phoneticPr fontId="1"/>
  </si>
  <si>
    <t>設計水平ばね定数及び杭周面の設計せん断ばね定数は、 表 1.1.19 に示すとおりである。</t>
    <rPh sb="0" eb="2">
      <t>セッケイ</t>
    </rPh>
    <rPh sb="2" eb="4">
      <t>スイヘイ</t>
    </rPh>
    <rPh sb="6" eb="8">
      <t>テイスウ</t>
    </rPh>
    <rPh sb="8" eb="9">
      <t>オヨ</t>
    </rPh>
    <rPh sb="10" eb="11">
      <t>クイ</t>
    </rPh>
    <rPh sb="11" eb="12">
      <t>シュウ</t>
    </rPh>
    <rPh sb="12" eb="13">
      <t>メン</t>
    </rPh>
    <rPh sb="14" eb="16">
      <t>セッケイ</t>
    </rPh>
    <rPh sb="18" eb="19">
      <t>ダン</t>
    </rPh>
    <rPh sb="21" eb="23">
      <t>テイスウ</t>
    </rPh>
    <rPh sb="26" eb="27">
      <t>ヒョウ</t>
    </rPh>
    <rPh sb="36" eb="37">
      <t>シメ</t>
    </rPh>
    <phoneticPr fontId="1"/>
  </si>
  <si>
    <t>表1.1.19(1) 杭周面の水平および鉛直地盤ばね定数</t>
    <rPh sb="0" eb="1">
      <t>ヒョウ</t>
    </rPh>
    <rPh sb="11" eb="12">
      <t>クイ</t>
    </rPh>
    <rPh sb="12" eb="13">
      <t>シュウ</t>
    </rPh>
    <rPh sb="13" eb="14">
      <t>メン</t>
    </rPh>
    <rPh sb="15" eb="17">
      <t>スイヘイ</t>
    </rPh>
    <rPh sb="20" eb="22">
      <t>エンチョク</t>
    </rPh>
    <rPh sb="22" eb="24">
      <t>ジバン</t>
    </rPh>
    <rPh sb="26" eb="28">
      <t>テイスウ</t>
    </rPh>
    <phoneticPr fontId="1"/>
  </si>
  <si>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1"/>
  </si>
  <si>
    <t>(a) 基準支持力 【基礎標準 第Ⅱ編 15.2.2.3】</t>
    <rPh sb="4" eb="6">
      <t>キジュン</t>
    </rPh>
    <rPh sb="6" eb="8">
      <t>シジ</t>
    </rPh>
    <rPh sb="8" eb="9">
      <t>リョク</t>
    </rPh>
    <phoneticPr fontId="1"/>
  </si>
  <si>
    <r>
      <t>R</t>
    </r>
    <r>
      <rPr>
        <vertAlign val="subscript"/>
        <sz val="10"/>
        <rFont val="ＭＳ 明朝"/>
        <family val="1"/>
        <charset val="128"/>
      </rPr>
      <t>k</t>
    </r>
    <phoneticPr fontId="1"/>
  </si>
  <si>
    <r>
      <t>R</t>
    </r>
    <r>
      <rPr>
        <vertAlign val="subscript"/>
        <sz val="10"/>
        <rFont val="ＭＳ 明朝"/>
        <family val="1"/>
        <charset val="128"/>
      </rPr>
      <t>tk</t>
    </r>
    <phoneticPr fontId="1"/>
  </si>
  <si>
    <r>
      <t>ΣR</t>
    </r>
    <r>
      <rPr>
        <vertAlign val="subscript"/>
        <sz val="10"/>
        <rFont val="ＭＳ 明朝"/>
        <family val="1"/>
        <charset val="128"/>
      </rPr>
      <t>fk</t>
    </r>
    <phoneticPr fontId="1"/>
  </si>
  <si>
    <r>
      <t>R</t>
    </r>
    <r>
      <rPr>
        <vertAlign val="subscript"/>
        <sz val="10"/>
        <rFont val="ＭＳ 明朝"/>
        <family val="1"/>
        <charset val="128"/>
      </rPr>
      <t>fk</t>
    </r>
    <phoneticPr fontId="1"/>
  </si>
  <si>
    <t>押込み側の基準支持力（kN）</t>
    <rPh sb="0" eb="2">
      <t>オシコ</t>
    </rPh>
    <rPh sb="3" eb="4">
      <t>ガワ</t>
    </rPh>
    <rPh sb="5" eb="7">
      <t>キジュン</t>
    </rPh>
    <rPh sb="7" eb="9">
      <t>シジ</t>
    </rPh>
    <rPh sb="9" eb="10">
      <t>リョク</t>
    </rPh>
    <phoneticPr fontId="1"/>
  </si>
  <si>
    <t>基準先端支持力（kN）（押込み側のみ）</t>
    <rPh sb="0" eb="2">
      <t>キジュン</t>
    </rPh>
    <rPh sb="2" eb="4">
      <t>センタン</t>
    </rPh>
    <rPh sb="4" eb="6">
      <t>シジ</t>
    </rPh>
    <rPh sb="6" eb="7">
      <t>リョク</t>
    </rPh>
    <rPh sb="12" eb="14">
      <t>オシコ</t>
    </rPh>
    <rPh sb="15" eb="16">
      <t>ガワ</t>
    </rPh>
    <phoneticPr fontId="1"/>
  </si>
  <si>
    <t>各層での基準周面支持力（kN）</t>
    <rPh sb="0" eb="2">
      <t>カクソウ</t>
    </rPh>
    <rPh sb="4" eb="6">
      <t>キジュン</t>
    </rPh>
    <rPh sb="6" eb="7">
      <t>シュウ</t>
    </rPh>
    <rPh sb="7" eb="8">
      <t>メン</t>
    </rPh>
    <rPh sb="8" eb="10">
      <t>シジ</t>
    </rPh>
    <rPh sb="10" eb="11">
      <t>リョク</t>
    </rPh>
    <phoneticPr fontId="1"/>
  </si>
  <si>
    <t>①基準先端支持力 【基礎標準 第Ⅱ編 15.2.2.3】</t>
    <rPh sb="1" eb="3">
      <t>キジュン</t>
    </rPh>
    <rPh sb="3" eb="5">
      <t>センタン</t>
    </rPh>
    <rPh sb="5" eb="7">
      <t>シジ</t>
    </rPh>
    <rPh sb="7" eb="8">
      <t>リョク</t>
    </rPh>
    <phoneticPr fontId="1"/>
  </si>
  <si>
    <t>基準先端支持力は、次式により求める。</t>
    <rPh sb="0" eb="2">
      <t>キジュン</t>
    </rPh>
    <rPh sb="2" eb="4">
      <t>センタン</t>
    </rPh>
    <rPh sb="4" eb="6">
      <t>シジ</t>
    </rPh>
    <rPh sb="6" eb="7">
      <t>リョク</t>
    </rPh>
    <rPh sb="9" eb="11">
      <t>ジシキ</t>
    </rPh>
    <rPh sb="14" eb="15">
      <t>モト</t>
    </rPh>
    <phoneticPr fontId="1"/>
  </si>
  <si>
    <r>
      <t>q</t>
    </r>
    <r>
      <rPr>
        <vertAlign val="subscript"/>
        <sz val="10"/>
        <rFont val="ＭＳ 明朝"/>
        <family val="1"/>
        <charset val="128"/>
      </rPr>
      <t>tk</t>
    </r>
    <phoneticPr fontId="1"/>
  </si>
  <si>
    <r>
      <t>A</t>
    </r>
    <r>
      <rPr>
        <vertAlign val="subscript"/>
        <sz val="10"/>
        <rFont val="ＭＳ 明朝"/>
        <family val="1"/>
        <charset val="128"/>
      </rPr>
      <t>t</t>
    </r>
    <phoneticPr fontId="1"/>
  </si>
  <si>
    <t>基準先端支持力（kN）</t>
    <rPh sb="0" eb="2">
      <t>キジュン</t>
    </rPh>
    <rPh sb="2" eb="4">
      <t>センタン</t>
    </rPh>
    <rPh sb="4" eb="6">
      <t>シジ</t>
    </rPh>
    <rPh sb="6" eb="7">
      <t>リョク</t>
    </rPh>
    <phoneticPr fontId="1"/>
  </si>
  <si>
    <t>砂質土の場合</t>
    <rPh sb="0" eb="1">
      <t>サ</t>
    </rPh>
    <rPh sb="1" eb="2">
      <t>シツ</t>
    </rPh>
    <rPh sb="2" eb="3">
      <t>ド</t>
    </rPh>
    <rPh sb="4" eb="6">
      <t>バアイ</t>
    </rPh>
    <phoneticPr fontId="1"/>
  </si>
  <si>
    <t>砂礫の場合</t>
    <rPh sb="0" eb="2">
      <t>サレキ</t>
    </rPh>
    <rPh sb="3" eb="5">
      <t>バアイ</t>
    </rPh>
    <phoneticPr fontId="1"/>
  </si>
  <si>
    <t>N</t>
    <phoneticPr fontId="1"/>
  </si>
  <si>
    <t>60N</t>
    <phoneticPr fontId="1"/>
  </si>
  <si>
    <t>≦</t>
    <phoneticPr fontId="1"/>
  </si>
  <si>
    <r>
      <t>(kN/m</t>
    </r>
    <r>
      <rPr>
        <vertAlign val="superscript"/>
        <sz val="10"/>
        <rFont val="ＭＳ 明朝"/>
        <family val="1"/>
        <charset val="128"/>
      </rPr>
      <t>2</t>
    </r>
    <r>
      <rPr>
        <sz val="10"/>
        <rFont val="ＭＳ 明朝"/>
        <family val="1"/>
        <charset val="128"/>
      </rPr>
      <t>)</t>
    </r>
    <phoneticPr fontId="1"/>
  </si>
  <si>
    <t>杭先端から下方3Dの区間の最小N値</t>
    <rPh sb="0" eb="1">
      <t>クイ</t>
    </rPh>
    <rPh sb="1" eb="3">
      <t>センタン</t>
    </rPh>
    <rPh sb="5" eb="7">
      <t>カホウ</t>
    </rPh>
    <rPh sb="10" eb="12">
      <t>クカン</t>
    </rPh>
    <rPh sb="13" eb="15">
      <t>サイショウ</t>
    </rPh>
    <rPh sb="16" eb="17">
      <t>チ</t>
    </rPh>
    <phoneticPr fontId="1"/>
  </si>
  <si>
    <t>・ N×</t>
    <phoneticPr fontId="1"/>
  </si>
  <si>
    <t>π</t>
    <phoneticPr fontId="1"/>
  </si>
  <si>
    <r>
      <t>Ｄ</t>
    </r>
    <r>
      <rPr>
        <vertAlign val="superscript"/>
        <sz val="10"/>
        <rFont val="ＭＳ 明朝"/>
        <family val="1"/>
        <charset val="128"/>
      </rPr>
      <t>2</t>
    </r>
    <phoneticPr fontId="1"/>
  </si>
  <si>
    <r>
      <t xml:space="preserve"> </t>
    </r>
    <r>
      <rPr>
        <vertAlign val="superscript"/>
        <sz val="10"/>
        <rFont val="ＭＳ 明朝"/>
        <family val="1"/>
        <charset val="128"/>
      </rPr>
      <t>2</t>
    </r>
    <phoneticPr fontId="1"/>
  </si>
  <si>
    <r>
      <t>(m</t>
    </r>
    <r>
      <rPr>
        <vertAlign val="superscript"/>
        <sz val="10"/>
        <rFont val="ＭＳ 明朝"/>
        <family val="1"/>
        <charset val="128"/>
      </rPr>
      <t>2</t>
    </r>
    <r>
      <rPr>
        <sz val="10"/>
        <rFont val="ＭＳ 明朝"/>
        <family val="1"/>
        <charset val="128"/>
      </rPr>
      <t>)</t>
    </r>
    <phoneticPr fontId="1"/>
  </si>
  <si>
    <r>
      <t>(kN</t>
    </r>
    <r>
      <rPr>
        <sz val="10"/>
        <rFont val="ＭＳ 明朝"/>
        <family val="1"/>
        <charset val="128"/>
      </rPr>
      <t>)</t>
    </r>
    <phoneticPr fontId="1"/>
  </si>
  <si>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1"/>
  </si>
  <si>
    <t>②各層での基準周面支持力 【基礎標準 第Ⅱ編 15.2.2.3】</t>
    <rPh sb="1" eb="3">
      <t>カクソウ</t>
    </rPh>
    <rPh sb="5" eb="7">
      <t>キジュン</t>
    </rPh>
    <rPh sb="7" eb="8">
      <t>シュウ</t>
    </rPh>
    <rPh sb="8" eb="9">
      <t>メン</t>
    </rPh>
    <rPh sb="9" eb="11">
      <t>シジ</t>
    </rPh>
    <rPh sb="11" eb="12">
      <t>リョク</t>
    </rPh>
    <phoneticPr fontId="1"/>
  </si>
  <si>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1"/>
  </si>
  <si>
    <r>
      <t>r</t>
    </r>
    <r>
      <rPr>
        <vertAlign val="subscript"/>
        <sz val="10"/>
        <rFont val="ＭＳ 明朝"/>
        <family val="1"/>
        <charset val="128"/>
      </rPr>
      <t>fk</t>
    </r>
    <phoneticPr fontId="1"/>
  </si>
  <si>
    <t>Ｕ</t>
    <phoneticPr fontId="1"/>
  </si>
  <si>
    <t>⊿l</t>
    <phoneticPr fontId="1"/>
  </si>
  <si>
    <t>杭の周長</t>
    <rPh sb="0" eb="1">
      <t>クイ</t>
    </rPh>
    <rPh sb="2" eb="3">
      <t>シュウ</t>
    </rPh>
    <rPh sb="3" eb="4">
      <t>チョウ</t>
    </rPh>
    <phoneticPr fontId="1"/>
  </si>
  <si>
    <t>砂質土または砂礫の場合</t>
    <rPh sb="0" eb="1">
      <t>サ</t>
    </rPh>
    <rPh sb="1" eb="2">
      <t>シツ</t>
    </rPh>
    <rPh sb="2" eb="3">
      <t>ド</t>
    </rPh>
    <rPh sb="6" eb="8">
      <t>サレキ</t>
    </rPh>
    <rPh sb="9" eb="11">
      <t>バアイ</t>
    </rPh>
    <phoneticPr fontId="1"/>
  </si>
  <si>
    <t>3・N</t>
    <phoneticPr fontId="1"/>
  </si>
  <si>
    <t>粘性土の場合</t>
    <rPh sb="0" eb="2">
      <t>ネンセイ</t>
    </rPh>
    <rPh sb="2" eb="3">
      <t>ド</t>
    </rPh>
    <rPh sb="4" eb="6">
      <t>バアイ</t>
    </rPh>
    <phoneticPr fontId="1"/>
  </si>
  <si>
    <t>0.4c</t>
    <phoneticPr fontId="1"/>
  </si>
  <si>
    <t>または</t>
    <phoneticPr fontId="1"/>
  </si>
  <si>
    <t>6・N</t>
    <phoneticPr fontId="1"/>
  </si>
  <si>
    <t>標準貫入試験のN値</t>
    <rPh sb="0" eb="2">
      <t>ヒョウジュン</t>
    </rPh>
    <rPh sb="2" eb="3">
      <t>カン</t>
    </rPh>
    <rPh sb="3" eb="4">
      <t>ニュウ</t>
    </rPh>
    <rPh sb="4" eb="6">
      <t>シケン</t>
    </rPh>
    <rPh sb="8" eb="9">
      <t>チ</t>
    </rPh>
    <phoneticPr fontId="1"/>
  </si>
  <si>
    <t>c</t>
    <phoneticPr fontId="1"/>
  </si>
  <si>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1"/>
  </si>
  <si>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1"/>
  </si>
  <si>
    <t>表1.1.18(1) 各層での基準周面支持力（地震時以外）</t>
    <rPh sb="0" eb="1">
      <t>ヒョウ</t>
    </rPh>
    <rPh sb="11" eb="13">
      <t>カクソウ</t>
    </rPh>
    <rPh sb="15" eb="17">
      <t>キジュン</t>
    </rPh>
    <rPh sb="17" eb="18">
      <t>シュウ</t>
    </rPh>
    <rPh sb="18" eb="19">
      <t>メン</t>
    </rPh>
    <rPh sb="19" eb="21">
      <t>シジ</t>
    </rPh>
    <rPh sb="21" eb="22">
      <t>リョク</t>
    </rPh>
    <rPh sb="23" eb="25">
      <t>ジシン</t>
    </rPh>
    <rPh sb="25" eb="26">
      <t>ジ</t>
    </rPh>
    <rPh sb="26" eb="28">
      <t>イガイ</t>
    </rPh>
    <phoneticPr fontId="1"/>
  </si>
  <si>
    <t>土質</t>
    <rPh sb="0" eb="2">
      <t>ドシツ</t>
    </rPh>
    <phoneticPr fontId="1"/>
  </si>
  <si>
    <t>粘性土</t>
    <rPh sb="0" eb="2">
      <t>ネンセイ</t>
    </rPh>
    <rPh sb="2" eb="3">
      <t>ド</t>
    </rPh>
    <phoneticPr fontId="1"/>
  </si>
  <si>
    <t>砂質土</t>
    <rPh sb="0" eb="1">
      <t>サ</t>
    </rPh>
    <rPh sb="1" eb="2">
      <t>シツ</t>
    </rPh>
    <rPh sb="2" eb="3">
      <t>ド</t>
    </rPh>
    <phoneticPr fontId="1"/>
  </si>
  <si>
    <t>N値
（回）</t>
    <rPh sb="1" eb="2">
      <t>チ</t>
    </rPh>
    <rPh sb="4" eb="5">
      <t>カイ</t>
    </rPh>
    <phoneticPr fontId="1"/>
  </si>
  <si>
    <t>Ｕ
（m）</t>
    <phoneticPr fontId="1"/>
  </si>
  <si>
    <r>
      <t>r</t>
    </r>
    <r>
      <rPr>
        <vertAlign val="subscript"/>
        <sz val="10"/>
        <rFont val="ＭＳ 明朝"/>
        <family val="1"/>
        <charset val="128"/>
      </rPr>
      <t xml:space="preserve">fk
</t>
    </r>
    <r>
      <rPr>
        <sz val="10"/>
        <rFont val="ＭＳ 明朝"/>
        <family val="1"/>
        <charset val="128"/>
      </rPr>
      <t>（kN）</t>
    </r>
    <phoneticPr fontId="1"/>
  </si>
  <si>
    <r>
      <t>R</t>
    </r>
    <r>
      <rPr>
        <vertAlign val="subscript"/>
        <sz val="10"/>
        <rFont val="ＭＳ 明朝"/>
        <family val="1"/>
        <charset val="128"/>
      </rPr>
      <t>fk</t>
    </r>
    <r>
      <rPr>
        <sz val="10"/>
        <rFont val="ＭＳ 明朝"/>
        <family val="1"/>
        <charset val="128"/>
      </rPr>
      <t xml:space="preserve">
（kN）</t>
    </r>
    <phoneticPr fontId="1"/>
  </si>
  <si>
    <t>表1.1.19(1) 各層での基準周面支持力（地震時）</t>
    <rPh sb="0" eb="1">
      <t>ヒョウ</t>
    </rPh>
    <rPh sb="11" eb="13">
      <t>カクソウ</t>
    </rPh>
    <rPh sb="15" eb="17">
      <t>キジュン</t>
    </rPh>
    <rPh sb="17" eb="18">
      <t>シュウ</t>
    </rPh>
    <rPh sb="18" eb="19">
      <t>メン</t>
    </rPh>
    <rPh sb="19" eb="21">
      <t>シジ</t>
    </rPh>
    <rPh sb="21" eb="22">
      <t>リョク</t>
    </rPh>
    <rPh sb="23" eb="25">
      <t>ジシン</t>
    </rPh>
    <rPh sb="25" eb="26">
      <t>ジ</t>
    </rPh>
    <phoneticPr fontId="1"/>
  </si>
  <si>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1"/>
  </si>
  <si>
    <t>①設計鉛直支持力</t>
    <rPh sb="1" eb="3">
      <t>セッケイ</t>
    </rPh>
    <rPh sb="3" eb="5">
      <t>エンチョク</t>
    </rPh>
    <rPh sb="5" eb="7">
      <t>シジ</t>
    </rPh>
    <rPh sb="7" eb="8">
      <t>リョク</t>
    </rPh>
    <phoneticPr fontId="1"/>
  </si>
  <si>
    <r>
      <t>R</t>
    </r>
    <r>
      <rPr>
        <vertAlign val="subscript"/>
        <sz val="10"/>
        <rFont val="ＭＳ 明朝"/>
        <family val="1"/>
        <charset val="128"/>
      </rPr>
      <t>vd</t>
    </r>
    <phoneticPr fontId="1"/>
  </si>
  <si>
    <r>
      <t>f</t>
    </r>
    <r>
      <rPr>
        <vertAlign val="subscript"/>
        <sz val="10"/>
        <rFont val="ＭＳ 明朝"/>
        <family val="1"/>
        <charset val="128"/>
      </rPr>
      <t>r</t>
    </r>
    <phoneticPr fontId="1"/>
  </si>
  <si>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1"/>
  </si>
  <si>
    <t>設計鉛直支持力（kN）</t>
    <rPh sb="0" eb="2">
      <t>セッケイ</t>
    </rPh>
    <rPh sb="2" eb="4">
      <t>エンチョク</t>
    </rPh>
    <rPh sb="4" eb="6">
      <t>シジ</t>
    </rPh>
    <rPh sb="6" eb="7">
      <t>リョク</t>
    </rPh>
    <phoneticPr fontId="1"/>
  </si>
  <si>
    <t>基準支持力（kN）</t>
    <rPh sb="0" eb="2">
      <t>キジュン</t>
    </rPh>
    <rPh sb="2" eb="4">
      <t>シジ</t>
    </rPh>
    <rPh sb="4" eb="5">
      <t>リョク</t>
    </rPh>
    <phoneticPr fontId="1"/>
  </si>
  <si>
    <t>基準周面支持力（kN）</t>
    <rPh sb="0" eb="2">
      <t>キジュン</t>
    </rPh>
    <rPh sb="2" eb="3">
      <t>シュウ</t>
    </rPh>
    <rPh sb="3" eb="4">
      <t>メン</t>
    </rPh>
    <rPh sb="4" eb="6">
      <t>シジ</t>
    </rPh>
    <rPh sb="6" eb="7">
      <t>リョク</t>
    </rPh>
    <phoneticPr fontId="1"/>
  </si>
  <si>
    <t>解説図 15.3.4.2-1(残留鉛直変位)より算定する。</t>
    <phoneticPr fontId="1"/>
  </si>
  <si>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1"/>
  </si>
  <si>
    <t>支持力Rvdは、次式により算出する。</t>
    <rPh sb="8" eb="10">
      <t>ジシキ</t>
    </rPh>
    <rPh sb="13" eb="15">
      <t>サンシュツ</t>
    </rPh>
    <phoneticPr fontId="1"/>
  </si>
  <si>
    <t>(支持【基礎標準 第Ⅱ編15.3.2.2】性能)、【基礎標準 第Ⅱ編 15.3.4.2】</t>
    <rPh sb="21" eb="23">
      <t>セイノウ</t>
    </rPh>
    <rPh sb="26" eb="28">
      <t>キソ</t>
    </rPh>
    <rPh sb="28" eb="30">
      <t>ヒョウジュン</t>
    </rPh>
    <rPh sb="31" eb="32">
      <t>ダイ</t>
    </rPh>
    <rPh sb="33" eb="34">
      <t>ヘン</t>
    </rPh>
    <phoneticPr fontId="1"/>
  </si>
  <si>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1"/>
  </si>
  <si>
    <t>(安定)、【基礎標準 第Ⅱ編15.3.3.2】解説図 15.3.3.2-1</t>
    <rPh sb="6" eb="8">
      <t>キソ</t>
    </rPh>
    <rPh sb="8" eb="10">
      <t>ヒョウジュン</t>
    </rPh>
    <rPh sb="11" eb="12">
      <t>ダイ</t>
    </rPh>
    <rPh sb="13" eb="14">
      <t>ヘン</t>
    </rPh>
    <rPh sb="23" eb="25">
      <t>カイセツ</t>
    </rPh>
    <rPh sb="25" eb="26">
      <t>ズ</t>
    </rPh>
    <phoneticPr fontId="1"/>
  </si>
  <si>
    <t>要求性能</t>
    <rPh sb="0" eb="2">
      <t>ヨウキュウ</t>
    </rPh>
    <rPh sb="2" eb="4">
      <t>セイノウ</t>
    </rPh>
    <phoneticPr fontId="1"/>
  </si>
  <si>
    <t>安定（地震時以外）</t>
    <rPh sb="0" eb="2">
      <t>アンテイ</t>
    </rPh>
    <rPh sb="3" eb="5">
      <t>ジシン</t>
    </rPh>
    <rPh sb="5" eb="6">
      <t>ジ</t>
    </rPh>
    <rPh sb="6" eb="8">
      <t>イガイ</t>
    </rPh>
    <phoneticPr fontId="1"/>
  </si>
  <si>
    <t>性能項目</t>
    <rPh sb="0" eb="2">
      <t>セイノウ</t>
    </rPh>
    <rPh sb="2" eb="4">
      <t>コウモク</t>
    </rPh>
    <phoneticPr fontId="1"/>
  </si>
  <si>
    <r>
      <t>R</t>
    </r>
    <r>
      <rPr>
        <vertAlign val="subscript"/>
        <sz val="10"/>
        <rFont val="ＭＳ 明朝"/>
        <family val="1"/>
        <charset val="128"/>
      </rPr>
      <t>tk</t>
    </r>
    <r>
      <rPr>
        <sz val="10"/>
        <rFont val="ＭＳ 明朝"/>
        <family val="1"/>
        <charset val="128"/>
      </rPr>
      <t xml:space="preserve">
(kN)</t>
    </r>
    <phoneticPr fontId="1"/>
  </si>
  <si>
    <t>fr</t>
    <phoneticPr fontId="1"/>
  </si>
  <si>
    <r>
      <t>R</t>
    </r>
    <r>
      <rPr>
        <vertAlign val="subscript"/>
        <sz val="10"/>
        <rFont val="ＭＳ 明朝"/>
        <family val="1"/>
        <charset val="128"/>
      </rPr>
      <t>vd</t>
    </r>
    <r>
      <rPr>
        <sz val="10"/>
        <rFont val="ＭＳ 明朝"/>
        <family val="1"/>
        <charset val="128"/>
      </rPr>
      <t xml:space="preserve">
(kN)</t>
    </r>
    <phoneticPr fontId="1"/>
  </si>
  <si>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1"/>
  </si>
  <si>
    <r>
      <t>ΣR</t>
    </r>
    <r>
      <rPr>
        <vertAlign val="subscript"/>
        <sz val="10"/>
        <rFont val="ＭＳ 明朝"/>
        <family val="1"/>
        <charset val="128"/>
      </rPr>
      <t>fk</t>
    </r>
    <r>
      <rPr>
        <sz val="10"/>
        <rFont val="ＭＳ 明朝"/>
        <family val="1"/>
        <charset val="128"/>
      </rPr>
      <t xml:space="preserve">
(kN)</t>
    </r>
    <phoneticPr fontId="1"/>
  </si>
  <si>
    <r>
      <t>R</t>
    </r>
    <r>
      <rPr>
        <vertAlign val="subscript"/>
        <sz val="10"/>
        <rFont val="ＭＳ 明朝"/>
        <family val="1"/>
        <charset val="128"/>
      </rPr>
      <t>k</t>
    </r>
    <r>
      <rPr>
        <sz val="10"/>
        <rFont val="ＭＳ 明朝"/>
        <family val="1"/>
        <charset val="128"/>
      </rPr>
      <t xml:space="preserve">
(kN)</t>
    </r>
    <phoneticPr fontId="1"/>
  </si>
  <si>
    <t>長期支持性能</t>
    <rPh sb="0" eb="2">
      <t>チョウキ</t>
    </rPh>
    <rPh sb="2" eb="4">
      <t>シジ</t>
    </rPh>
    <rPh sb="4" eb="6">
      <t>セイノウ</t>
    </rPh>
    <phoneticPr fontId="1"/>
  </si>
  <si>
    <t>短期支持性能</t>
    <rPh sb="0" eb="2">
      <t>タンキ</t>
    </rPh>
    <rPh sb="2" eb="4">
      <t>シジ</t>
    </rPh>
    <rPh sb="4" eb="6">
      <t>セイノウ</t>
    </rPh>
    <phoneticPr fontId="1"/>
  </si>
  <si>
    <t>使用性</t>
    <rPh sb="0" eb="2">
      <t>シヨウ</t>
    </rPh>
    <rPh sb="2" eb="3">
      <t>セイ</t>
    </rPh>
    <phoneticPr fontId="1"/>
  </si>
  <si>
    <t>安全性</t>
    <rPh sb="0" eb="3">
      <t>アンゼンセイ</t>
    </rPh>
    <phoneticPr fontId="1"/>
  </si>
  <si>
    <t>復旧性</t>
    <rPh sb="0" eb="2">
      <t>フッキュウ</t>
    </rPh>
    <rPh sb="2" eb="3">
      <t>セイ</t>
    </rPh>
    <phoneticPr fontId="1"/>
  </si>
  <si>
    <t>残留鉛直変位
（性能レベル１）</t>
    <rPh sb="0" eb="2">
      <t>ザンリュウ</t>
    </rPh>
    <rPh sb="2" eb="4">
      <t>エンチョク</t>
    </rPh>
    <rPh sb="4" eb="6">
      <t>ヘンイ</t>
    </rPh>
    <rPh sb="8" eb="10">
      <t>セイノウ</t>
    </rPh>
    <phoneticPr fontId="1"/>
  </si>
  <si>
    <t>残留鉛直変位
（性能レベル２）</t>
    <rPh sb="0" eb="2">
      <t>ザンリュウ</t>
    </rPh>
    <rPh sb="2" eb="4">
      <t>エンチョク</t>
    </rPh>
    <rPh sb="4" eb="6">
      <t>ヘンイ</t>
    </rPh>
    <rPh sb="8" eb="10">
      <t>セイノウ</t>
    </rPh>
    <phoneticPr fontId="1"/>
  </si>
  <si>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1"/>
  </si>
  <si>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1"/>
  </si>
  <si>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1"/>
  </si>
  <si>
    <r>
      <t>f</t>
    </r>
    <r>
      <rPr>
        <vertAlign val="subscript"/>
        <sz val="10"/>
        <rFont val="ＭＳ 明朝"/>
        <family val="1"/>
        <charset val="128"/>
      </rPr>
      <t>rt</t>
    </r>
    <phoneticPr fontId="1"/>
  </si>
  <si>
    <r>
      <t>f</t>
    </r>
    <r>
      <rPr>
        <vertAlign val="subscript"/>
        <sz val="10"/>
        <rFont val="ＭＳ 明朝"/>
        <family val="1"/>
        <charset val="128"/>
      </rPr>
      <t>rf</t>
    </r>
    <phoneticPr fontId="1"/>
  </si>
  <si>
    <t>杭先端の地盤抵抗係数</t>
    <rPh sb="0" eb="1">
      <t>クイ</t>
    </rPh>
    <rPh sb="1" eb="3">
      <t>センタン</t>
    </rPh>
    <rPh sb="4" eb="6">
      <t>ジバン</t>
    </rPh>
    <rPh sb="6" eb="8">
      <t>テイコウ</t>
    </rPh>
    <rPh sb="8" eb="10">
      <t>ケイスウ</t>
    </rPh>
    <phoneticPr fontId="1"/>
  </si>
  <si>
    <t>杭周面の地盤抵抗係数</t>
    <rPh sb="0" eb="1">
      <t>クイ</t>
    </rPh>
    <rPh sb="1" eb="2">
      <t>シュウ</t>
    </rPh>
    <rPh sb="2" eb="3">
      <t>メン</t>
    </rPh>
    <rPh sb="4" eb="6">
      <t>ジバン</t>
    </rPh>
    <rPh sb="6" eb="8">
      <t>テイコウ</t>
    </rPh>
    <rPh sb="8" eb="10">
      <t>ケイスウ</t>
    </rPh>
    <phoneticPr fontId="1"/>
  </si>
  <si>
    <t>kN</t>
    <phoneticPr fontId="1"/>
  </si>
  <si>
    <t>②設計引抜き抵抗力</t>
    <rPh sb="1" eb="3">
      <t>セッケイ</t>
    </rPh>
    <rPh sb="3" eb="5">
      <t>ヒキヌ</t>
    </rPh>
    <rPh sb="6" eb="9">
      <t>テイコウリョク</t>
    </rPh>
    <phoneticPr fontId="1"/>
  </si>
  <si>
    <t>引抜き抵抗力は、次式により算出する。</t>
    <rPh sb="3" eb="6">
      <t>テイコウリョク</t>
    </rPh>
    <rPh sb="8" eb="10">
      <t>ジシキ</t>
    </rPh>
    <rPh sb="13" eb="15">
      <t>サンシュツ</t>
    </rPh>
    <phoneticPr fontId="1"/>
  </si>
  <si>
    <r>
      <t>R</t>
    </r>
    <r>
      <rPr>
        <vertAlign val="subscript"/>
        <sz val="10"/>
        <rFont val="ＭＳ 明朝"/>
        <family val="1"/>
        <charset val="128"/>
      </rPr>
      <t>ud</t>
    </r>
    <phoneticPr fontId="1"/>
  </si>
  <si>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1"/>
  </si>
  <si>
    <r>
      <t>W</t>
    </r>
    <r>
      <rPr>
        <vertAlign val="subscript"/>
        <sz val="10"/>
        <rFont val="ＭＳ 明朝"/>
        <family val="1"/>
        <charset val="128"/>
      </rPr>
      <t>p</t>
    </r>
    <phoneticPr fontId="1"/>
  </si>
  <si>
    <t>設計引抜き抵抗力（kN）</t>
    <rPh sb="0" eb="2">
      <t>セッケイ</t>
    </rPh>
    <rPh sb="2" eb="4">
      <t>ヒキヌ</t>
    </rPh>
    <rPh sb="5" eb="7">
      <t>テイコウ</t>
    </rPh>
    <rPh sb="7" eb="8">
      <t>リョク</t>
    </rPh>
    <phoneticPr fontId="1"/>
  </si>
  <si>
    <t>地盤抵抗係数</t>
    <rPh sb="0" eb="2">
      <t>ジバン</t>
    </rPh>
    <rPh sb="2" eb="4">
      <t>テイコウ</t>
    </rPh>
    <rPh sb="4" eb="6">
      <t>ケイスウ</t>
    </rPh>
    <phoneticPr fontId="1"/>
  </si>
  <si>
    <t>杭の有効自重（kN）</t>
    <rPh sb="0" eb="1">
      <t>クイ</t>
    </rPh>
    <rPh sb="2" eb="4">
      <t>ユウコウ</t>
    </rPh>
    <rPh sb="4" eb="6">
      <t>ジジュウ</t>
    </rPh>
    <phoneticPr fontId="1"/>
  </si>
  <si>
    <t>　長期支持性能の照査に用いる設計引抜き抵抗力は、次式により算定する。</t>
    <rPh sb="1" eb="3">
      <t>チョウキ</t>
    </rPh>
    <rPh sb="3" eb="5">
      <t>シジ</t>
    </rPh>
    <rPh sb="5" eb="7">
      <t>セイノウ</t>
    </rPh>
    <rPh sb="8" eb="10">
      <t>ショウサ</t>
    </rPh>
    <rPh sb="11" eb="12">
      <t>モチ</t>
    </rPh>
    <rPh sb="14" eb="16">
      <t>セッケイ</t>
    </rPh>
    <rPh sb="16" eb="18">
      <t>ヒキヌ</t>
    </rPh>
    <rPh sb="19" eb="21">
      <t>テイコウ</t>
    </rPh>
    <rPh sb="21" eb="22">
      <t>リョク</t>
    </rPh>
    <rPh sb="24" eb="26">
      <t>ジシキ</t>
    </rPh>
    <rPh sb="29" eb="31">
      <t>サンテイ</t>
    </rPh>
    <phoneticPr fontId="1"/>
  </si>
  <si>
    <r>
      <t>W</t>
    </r>
    <r>
      <rPr>
        <vertAlign val="subscript"/>
        <sz val="10"/>
        <rFont val="ＭＳ 明朝"/>
        <family val="1"/>
        <charset val="128"/>
      </rPr>
      <t>P</t>
    </r>
    <r>
      <rPr>
        <sz val="10"/>
        <rFont val="ＭＳ 明朝"/>
        <family val="1"/>
        <charset val="128"/>
      </rPr>
      <t xml:space="preserve">
(kN)</t>
    </r>
    <phoneticPr fontId="1"/>
  </si>
  <si>
    <t>　地震時以外の基礎の安定と短期支持性能、および残留鉛直変位(性能レベル1)に用いる設計</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rPh sb="41" eb="43">
      <t>セッケイ</t>
    </rPh>
    <phoneticPr fontId="1"/>
  </si>
  <si>
    <t>(c) 有効抵抗土圧力の計算 【基礎標準 第Ⅱ編 15.2.2.4】</t>
    <rPh sb="4" eb="6">
      <t>ユウコウ</t>
    </rPh>
    <rPh sb="6" eb="8">
      <t>テイコウ</t>
    </rPh>
    <rPh sb="8" eb="9">
      <t>ド</t>
    </rPh>
    <rPh sb="9" eb="10">
      <t>アツ</t>
    </rPh>
    <rPh sb="10" eb="11">
      <t>リョク</t>
    </rPh>
    <rPh sb="12" eb="14">
      <t>ケイサン</t>
    </rPh>
    <phoneticPr fontId="1"/>
  </si>
  <si>
    <r>
      <t>η</t>
    </r>
    <r>
      <rPr>
        <vertAlign val="subscript"/>
        <sz val="10"/>
        <rFont val="ＭＳ 明朝"/>
        <family val="1"/>
        <charset val="128"/>
      </rPr>
      <t>m</t>
    </r>
    <phoneticPr fontId="1"/>
  </si>
  <si>
    <t>・</t>
    <phoneticPr fontId="1"/>
  </si>
  <si>
    <r>
      <t>η</t>
    </r>
    <r>
      <rPr>
        <vertAlign val="subscript"/>
        <sz val="10"/>
        <rFont val="ＭＳ 明朝"/>
        <family val="1"/>
        <charset val="128"/>
      </rPr>
      <t>n</t>
    </r>
    <phoneticPr fontId="1"/>
  </si>
  <si>
    <r>
      <t>p</t>
    </r>
    <r>
      <rPr>
        <vertAlign val="subscript"/>
        <sz val="10"/>
        <rFont val="ＭＳ 明朝"/>
        <family val="1"/>
        <charset val="128"/>
      </rPr>
      <t>e</t>
    </r>
    <r>
      <rPr>
        <sz val="10"/>
        <rFont val="ＭＳ 明朝"/>
        <family val="1"/>
        <charset val="128"/>
      </rPr>
      <t>(z)</t>
    </r>
    <phoneticPr fontId="1"/>
  </si>
  <si>
    <r>
      <t>p</t>
    </r>
    <r>
      <rPr>
        <vertAlign val="subscript"/>
        <sz val="10"/>
        <rFont val="ＭＳ 明朝"/>
        <family val="1"/>
        <charset val="128"/>
      </rPr>
      <t>eg</t>
    </r>
    <r>
      <rPr>
        <sz val="10"/>
        <rFont val="ＭＳ 明朝"/>
        <family val="1"/>
        <charset val="128"/>
      </rPr>
      <t>(z)</t>
    </r>
    <phoneticPr fontId="1"/>
  </si>
  <si>
    <t>≦</t>
    <phoneticPr fontId="1"/>
  </si>
  <si>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1"/>
  </si>
  <si>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1"/>
  </si>
  <si>
    <t>【基礎標準 第Ⅱ編 15.2.2.4】解説表 15.2.2.4-1に示す値</t>
    <rPh sb="19" eb="21">
      <t>カイセツ</t>
    </rPh>
    <rPh sb="21" eb="22">
      <t>ヒョウ</t>
    </rPh>
    <rPh sb="34" eb="35">
      <t>シメ</t>
    </rPh>
    <rPh sb="36" eb="37">
      <t>アタイ</t>
    </rPh>
    <phoneticPr fontId="1"/>
  </si>
  <si>
    <r>
      <t>各列ともη</t>
    </r>
    <r>
      <rPr>
        <vertAlign val="subscript"/>
        <sz val="10"/>
        <rFont val="ＭＳ 明朝"/>
        <family val="1"/>
        <charset val="128"/>
      </rPr>
      <t>m</t>
    </r>
    <r>
      <rPr>
        <sz val="10"/>
        <rFont val="ＭＳ 明朝"/>
        <family val="1"/>
        <charset val="128"/>
      </rPr>
      <t>＝1.0</t>
    </r>
    <rPh sb="0" eb="2">
      <t>カクレツ</t>
    </rPh>
    <phoneticPr fontId="1"/>
  </si>
  <si>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1"/>
  </si>
  <si>
    <t>【基礎標準 第Ⅱ編 15.2.2.4】解説表 15.2.2.4-3に示す値</t>
    <rPh sb="19" eb="21">
      <t>カイセツ</t>
    </rPh>
    <rPh sb="21" eb="22">
      <t>ヒョウ</t>
    </rPh>
    <rPh sb="34" eb="35">
      <t>シメ</t>
    </rPh>
    <rPh sb="36" eb="37">
      <t>アタイ</t>
    </rPh>
    <phoneticPr fontId="1"/>
  </si>
  <si>
    <r>
      <t>η</t>
    </r>
    <r>
      <rPr>
        <vertAlign val="subscript"/>
        <sz val="10"/>
        <rFont val="ＭＳ 明朝"/>
        <family val="1"/>
        <charset val="128"/>
      </rPr>
      <t>n</t>
    </r>
    <r>
      <rPr>
        <sz val="10"/>
        <rFont val="ＭＳ 明朝"/>
        <family val="1"/>
        <charset val="128"/>
      </rPr>
      <t>＝1.0</t>
    </r>
    <phoneticPr fontId="1"/>
  </si>
  <si>
    <t>9c</t>
    <phoneticPr fontId="1"/>
  </si>
  <si>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1"/>
  </si>
  <si>
    <r>
      <t>(1＋z/2D)(γ</t>
    </r>
    <r>
      <rPr>
        <vertAlign val="subscript"/>
        <sz val="10"/>
        <rFont val="ＭＳ 明朝"/>
        <family val="1"/>
        <charset val="128"/>
      </rPr>
      <t>e</t>
    </r>
    <r>
      <rPr>
        <sz val="10"/>
        <rFont val="ＭＳ 明朝"/>
        <family val="1"/>
        <charset val="128"/>
      </rPr>
      <t>z＋2c)</t>
    </r>
    <phoneticPr fontId="1"/>
  </si>
  <si>
    <t>z</t>
    <phoneticPr fontId="1"/>
  </si>
  <si>
    <t>有効抵抗土圧力度を求める深さ（m）</t>
    <rPh sb="0" eb="2">
      <t>ユウコウ</t>
    </rPh>
    <rPh sb="2" eb="4">
      <t>テイコウ</t>
    </rPh>
    <rPh sb="4" eb="5">
      <t>ド</t>
    </rPh>
    <rPh sb="5" eb="7">
      <t>アツリョク</t>
    </rPh>
    <rPh sb="7" eb="8">
      <t>ド</t>
    </rPh>
    <rPh sb="9" eb="10">
      <t>モト</t>
    </rPh>
    <rPh sb="12" eb="13">
      <t>フカ</t>
    </rPh>
    <phoneticPr fontId="1"/>
  </si>
  <si>
    <r>
      <t>α</t>
    </r>
    <r>
      <rPr>
        <vertAlign val="subscript"/>
        <sz val="10"/>
        <rFont val="ＭＳ 明朝"/>
        <family val="1"/>
        <charset val="128"/>
      </rPr>
      <t>h</t>
    </r>
    <r>
      <rPr>
        <sz val="10"/>
        <rFont val="ＭＳ 明朝"/>
        <family val="1"/>
        <charset val="128"/>
      </rPr>
      <t/>
    </r>
    <phoneticPr fontId="1"/>
  </si>
  <si>
    <t>杭前面の形状係数(=3.0)</t>
    <rPh sb="0" eb="1">
      <t>クイ</t>
    </rPh>
    <rPh sb="1" eb="3">
      <t>ゼンメン</t>
    </rPh>
    <rPh sb="4" eb="6">
      <t>ケイジョウ</t>
    </rPh>
    <rPh sb="6" eb="8">
      <t>ケイスウ</t>
    </rPh>
    <phoneticPr fontId="1"/>
  </si>
  <si>
    <r>
      <t>γ</t>
    </r>
    <r>
      <rPr>
        <vertAlign val="subscript"/>
        <sz val="10"/>
        <rFont val="ＭＳ 明朝"/>
        <family val="1"/>
        <charset val="128"/>
      </rPr>
      <t>e</t>
    </r>
    <r>
      <rPr>
        <sz val="10"/>
        <rFont val="ＭＳ 明朝"/>
        <family val="1"/>
        <charset val="128"/>
      </rPr>
      <t/>
    </r>
    <phoneticPr fontId="1"/>
  </si>
  <si>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1"/>
  </si>
  <si>
    <r>
      <t>K</t>
    </r>
    <r>
      <rPr>
        <vertAlign val="subscript"/>
        <sz val="10"/>
        <rFont val="ＭＳ 明朝"/>
        <family val="1"/>
        <charset val="128"/>
      </rPr>
      <t>p</t>
    </r>
    <phoneticPr fontId="1"/>
  </si>
  <si>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1"/>
  </si>
  <si>
    <t>深さzの土の内部摩擦角(度）</t>
    <rPh sb="0" eb="1">
      <t>フカ</t>
    </rPh>
    <rPh sb="4" eb="5">
      <t>ツチ</t>
    </rPh>
    <rPh sb="6" eb="8">
      <t>ナイブ</t>
    </rPh>
    <rPh sb="8" eb="10">
      <t>マサツ</t>
    </rPh>
    <rPh sb="10" eb="11">
      <t>カク</t>
    </rPh>
    <rPh sb="12" eb="13">
      <t>ド</t>
    </rPh>
    <phoneticPr fontId="1"/>
  </si>
  <si>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1"/>
  </si>
  <si>
    <t>　なお、本設計計算例のおいて、郡杭の杭本数による抵抗補正係数ηmおよびηnは、設計水平</t>
    <rPh sb="4" eb="5">
      <t>ホン</t>
    </rPh>
    <rPh sb="5" eb="7">
      <t>セッケイ</t>
    </rPh>
    <rPh sb="7" eb="9">
      <t>ケイサン</t>
    </rPh>
    <rPh sb="9" eb="10">
      <t>レイ</t>
    </rPh>
    <rPh sb="15" eb="16">
      <t>グン</t>
    </rPh>
    <rPh sb="16" eb="17">
      <t>クイ</t>
    </rPh>
    <rPh sb="18" eb="19">
      <t>クイ</t>
    </rPh>
    <rPh sb="19" eb="21">
      <t>ホンスウ</t>
    </rPh>
    <rPh sb="24" eb="26">
      <t>テイコウ</t>
    </rPh>
    <rPh sb="26" eb="28">
      <t>ホセイ</t>
    </rPh>
    <rPh sb="28" eb="30">
      <t>ケイスウ</t>
    </rPh>
    <rPh sb="39" eb="41">
      <t>セッケイ</t>
    </rPh>
    <rPh sb="41" eb="43">
      <t>スイヘイ</t>
    </rPh>
    <phoneticPr fontId="1"/>
  </si>
  <si>
    <t>地盤反力係数の補正計算にもあったように、群杭の杭本数による影響が小さいものと判断されること</t>
    <rPh sb="7" eb="9">
      <t>ホセイ</t>
    </rPh>
    <rPh sb="9" eb="11">
      <t>ケイサン</t>
    </rPh>
    <rPh sb="20" eb="21">
      <t>グン</t>
    </rPh>
    <rPh sb="21" eb="22">
      <t>クイ</t>
    </rPh>
    <rPh sb="23" eb="24">
      <t>クイ</t>
    </rPh>
    <rPh sb="24" eb="26">
      <t>ホンスウ</t>
    </rPh>
    <rPh sb="29" eb="31">
      <t>エイキョウ</t>
    </rPh>
    <rPh sb="32" eb="33">
      <t>チイ</t>
    </rPh>
    <rPh sb="38" eb="40">
      <t>ハンダン</t>
    </rPh>
    <phoneticPr fontId="1"/>
  </si>
  <si>
    <t>から考慮しない。</t>
    <phoneticPr fontId="1"/>
  </si>
  <si>
    <t>　杭の有効抵抗土圧力について、有効抵抗土圧力度に抵抗面積を考慮した有効土圧は、次式により</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rPh sb="39" eb="41">
      <t>ジシキ</t>
    </rPh>
    <phoneticPr fontId="1"/>
  </si>
  <si>
    <t>算定する。</t>
  </si>
  <si>
    <r>
      <t>P</t>
    </r>
    <r>
      <rPr>
        <vertAlign val="subscript"/>
        <sz val="10"/>
        <rFont val="ＭＳ 明朝"/>
        <family val="1"/>
        <charset val="128"/>
      </rPr>
      <t>e</t>
    </r>
    <phoneticPr fontId="1"/>
  </si>
  <si>
    <r>
      <t>p</t>
    </r>
    <r>
      <rPr>
        <vertAlign val="subscript"/>
        <sz val="10"/>
        <rFont val="ＭＳ 明朝"/>
        <family val="1"/>
        <charset val="128"/>
      </rPr>
      <t>e</t>
    </r>
    <phoneticPr fontId="1"/>
  </si>
  <si>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1"/>
  </si>
  <si>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1"/>
  </si>
  <si>
    <t>有効抵抗土圧を算定する区間の長さ(m)</t>
    <rPh sb="0" eb="2">
      <t>ユウコウ</t>
    </rPh>
    <rPh sb="2" eb="4">
      <t>テイコウ</t>
    </rPh>
    <rPh sb="4" eb="5">
      <t>ツチ</t>
    </rPh>
    <rPh sb="5" eb="6">
      <t>アツ</t>
    </rPh>
    <rPh sb="7" eb="9">
      <t>サンテイ</t>
    </rPh>
    <rPh sb="11" eb="13">
      <t>クカン</t>
    </rPh>
    <rPh sb="14" eb="15">
      <t>ナガ</t>
    </rPh>
    <phoneticPr fontId="1"/>
  </si>
  <si>
    <t>②</t>
    <phoneticPr fontId="1"/>
  </si>
  <si>
    <t>Ｚ
（m）</t>
    <phoneticPr fontId="1"/>
  </si>
  <si>
    <t>位置</t>
    <rPh sb="0" eb="2">
      <t>イチ</t>
    </rPh>
    <phoneticPr fontId="1"/>
  </si>
  <si>
    <t>下面</t>
    <rPh sb="0" eb="1">
      <t>シタ</t>
    </rPh>
    <rPh sb="1" eb="2">
      <t>メン</t>
    </rPh>
    <phoneticPr fontId="1"/>
  </si>
  <si>
    <t>上面</t>
    <rPh sb="0" eb="1">
      <t>ウエ</t>
    </rPh>
    <rPh sb="1" eb="2">
      <t>メン</t>
    </rPh>
    <phoneticPr fontId="1"/>
  </si>
  <si>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1"/>
  </si>
  <si>
    <t>φ
（度）</t>
    <rPh sb="3" eb="4">
      <t>ド</t>
    </rPh>
    <phoneticPr fontId="1"/>
  </si>
  <si>
    <r>
      <t>c
(kN/m</t>
    </r>
    <r>
      <rPr>
        <vertAlign val="superscript"/>
        <sz val="10"/>
        <rFont val="ＭＳ 明朝"/>
        <family val="1"/>
        <charset val="128"/>
      </rPr>
      <t>2</t>
    </r>
    <r>
      <rPr>
        <sz val="10"/>
        <rFont val="ＭＳ 明朝"/>
        <family val="1"/>
        <charset val="128"/>
      </rPr>
      <t>)</t>
    </r>
    <phoneticPr fontId="1"/>
  </si>
  <si>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1"/>
  </si>
  <si>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1"/>
  </si>
  <si>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1"/>
  </si>
  <si>
    <r>
      <t>R</t>
    </r>
    <r>
      <rPr>
        <vertAlign val="subscript"/>
        <sz val="10"/>
        <rFont val="ＭＳ 明朝"/>
        <family val="1"/>
        <charset val="128"/>
      </rPr>
      <t>ty</t>
    </r>
    <phoneticPr fontId="1"/>
  </si>
  <si>
    <r>
      <t>R</t>
    </r>
    <r>
      <rPr>
        <vertAlign val="subscript"/>
        <sz val="10"/>
        <rFont val="ＭＳ 明朝"/>
        <family val="1"/>
        <charset val="128"/>
      </rPr>
      <t>tu</t>
    </r>
    <phoneticPr fontId="1"/>
  </si>
  <si>
    <t>降伏時先端支持力（kN）</t>
    <rPh sb="0" eb="2">
      <t>コウフク</t>
    </rPh>
    <rPh sb="2" eb="3">
      <t>ジ</t>
    </rPh>
    <rPh sb="3" eb="5">
      <t>センタン</t>
    </rPh>
    <rPh sb="5" eb="7">
      <t>シジ</t>
    </rPh>
    <rPh sb="7" eb="8">
      <t>リョク</t>
    </rPh>
    <phoneticPr fontId="1"/>
  </si>
  <si>
    <t>終局時先端支持力（kN）</t>
    <rPh sb="0" eb="2">
      <t>シュウキョク</t>
    </rPh>
    <rPh sb="2" eb="3">
      <t>ジ</t>
    </rPh>
    <rPh sb="3" eb="5">
      <t>センタン</t>
    </rPh>
    <rPh sb="5" eb="7">
      <t>シジ</t>
    </rPh>
    <rPh sb="7" eb="8">
      <t>リョク</t>
    </rPh>
    <phoneticPr fontId="1"/>
  </si>
  <si>
    <t>（kN）</t>
    <phoneticPr fontId="1"/>
  </si>
  <si>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1"/>
  </si>
  <si>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1"/>
  </si>
  <si>
    <r>
      <t>R</t>
    </r>
    <r>
      <rPr>
        <vertAlign val="subscript"/>
        <sz val="10"/>
        <rFont val="ＭＳ 明朝"/>
        <family val="1"/>
        <charset val="128"/>
      </rPr>
      <t>fy</t>
    </r>
    <phoneticPr fontId="1"/>
  </si>
  <si>
    <r>
      <t>R</t>
    </r>
    <r>
      <rPr>
        <vertAlign val="subscript"/>
        <sz val="10"/>
        <rFont val="ＭＳ 明朝"/>
        <family val="1"/>
        <charset val="128"/>
      </rPr>
      <t>fu</t>
    </r>
    <phoneticPr fontId="1"/>
  </si>
  <si>
    <t>降伏周面支持力（kN）</t>
    <rPh sb="0" eb="2">
      <t>コウフク</t>
    </rPh>
    <rPh sb="2" eb="3">
      <t>シュウ</t>
    </rPh>
    <rPh sb="3" eb="4">
      <t>メン</t>
    </rPh>
    <rPh sb="4" eb="6">
      <t>シジ</t>
    </rPh>
    <rPh sb="6" eb="7">
      <t>リョク</t>
    </rPh>
    <phoneticPr fontId="1"/>
  </si>
  <si>
    <t>終局周面支持力（kN）</t>
    <rPh sb="0" eb="2">
      <t>シュウキョク</t>
    </rPh>
    <rPh sb="2" eb="3">
      <t>シュウ</t>
    </rPh>
    <rPh sb="3" eb="4">
      <t>メン</t>
    </rPh>
    <rPh sb="4" eb="6">
      <t>シジ</t>
    </rPh>
    <rPh sb="6" eb="7">
      <t>リョク</t>
    </rPh>
    <phoneticPr fontId="1"/>
  </si>
  <si>
    <t>表1.1.24(1) 降伏周面支持力および終局周面支持力</t>
    <rPh sb="0" eb="1">
      <t>ヒョウ</t>
    </rPh>
    <rPh sb="11" eb="13">
      <t>コウフク</t>
    </rPh>
    <rPh sb="13" eb="14">
      <t>シュウ</t>
    </rPh>
    <rPh sb="14" eb="15">
      <t>メン</t>
    </rPh>
    <rPh sb="15" eb="17">
      <t>シジ</t>
    </rPh>
    <rPh sb="17" eb="18">
      <t>リョク</t>
    </rPh>
    <rPh sb="21" eb="23">
      <t>シュウキョク</t>
    </rPh>
    <rPh sb="23" eb="24">
      <t>シュウ</t>
    </rPh>
    <rPh sb="24" eb="25">
      <t>メン</t>
    </rPh>
    <rPh sb="25" eb="27">
      <t>シジ</t>
    </rPh>
    <rPh sb="27" eb="28">
      <t>リョク</t>
    </rPh>
    <phoneticPr fontId="1"/>
  </si>
  <si>
    <r>
      <t>R</t>
    </r>
    <r>
      <rPr>
        <vertAlign val="subscript"/>
        <sz val="10"/>
        <rFont val="ＭＳ 明朝"/>
        <family val="1"/>
        <charset val="128"/>
      </rPr>
      <t>fy</t>
    </r>
    <r>
      <rPr>
        <sz val="10"/>
        <rFont val="ＭＳ 明朝"/>
        <family val="1"/>
        <charset val="128"/>
      </rPr>
      <t xml:space="preserve">
（kN）</t>
    </r>
    <phoneticPr fontId="1"/>
  </si>
  <si>
    <r>
      <t>R</t>
    </r>
    <r>
      <rPr>
        <vertAlign val="subscript"/>
        <sz val="10"/>
        <rFont val="ＭＳ 明朝"/>
        <family val="1"/>
        <charset val="128"/>
      </rPr>
      <t>fu</t>
    </r>
    <r>
      <rPr>
        <sz val="10"/>
        <rFont val="ＭＳ 明朝"/>
        <family val="1"/>
        <charset val="128"/>
      </rPr>
      <t xml:space="preserve">
（kN）</t>
    </r>
    <phoneticPr fontId="1"/>
  </si>
  <si>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1"/>
  </si>
  <si>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1"/>
  </si>
  <si>
    <t>表1.1.24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1"/>
  </si>
  <si>
    <t>表1.1.25 杭周面の水平地盤抵抗の上限値</t>
    <rPh sb="0" eb="1">
      <t>ヒョウ</t>
    </rPh>
    <rPh sb="8" eb="9">
      <t>クイ</t>
    </rPh>
    <rPh sb="9" eb="10">
      <t>シュウ</t>
    </rPh>
    <rPh sb="10" eb="11">
      <t>メン</t>
    </rPh>
    <rPh sb="12" eb="14">
      <t>スイヘイ</t>
    </rPh>
    <rPh sb="14" eb="16">
      <t>ジバン</t>
    </rPh>
    <rPh sb="16" eb="18">
      <t>テイコウ</t>
    </rPh>
    <rPh sb="19" eb="22">
      <t>ジョウゲンチ</t>
    </rPh>
    <phoneticPr fontId="1"/>
  </si>
  <si>
    <t>D(m)</t>
    <phoneticPr fontId="1"/>
  </si>
  <si>
    <r>
      <t>D×P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1"/>
  </si>
  <si>
    <r>
      <t>ρ</t>
    </r>
    <r>
      <rPr>
        <vertAlign val="subscript"/>
        <sz val="10"/>
        <rFont val="ＭＳ 明朝"/>
        <family val="1"/>
        <charset val="128"/>
      </rPr>
      <t>gty</t>
    </r>
    <phoneticPr fontId="1"/>
  </si>
  <si>
    <r>
      <t>ρ</t>
    </r>
    <r>
      <rPr>
        <vertAlign val="subscript"/>
        <sz val="10"/>
        <rFont val="ＭＳ 明朝"/>
        <family val="1"/>
        <charset val="128"/>
      </rPr>
      <t>fy</t>
    </r>
    <r>
      <rPr>
        <sz val="10"/>
        <rFont val="ＭＳ 明朝"/>
        <family val="1"/>
        <charset val="128"/>
      </rPr>
      <t xml:space="preserve">
（m）</t>
    </r>
    <phoneticPr fontId="1"/>
  </si>
  <si>
    <r>
      <t>ρ</t>
    </r>
    <r>
      <rPr>
        <vertAlign val="subscript"/>
        <sz val="10"/>
        <rFont val="ＭＳ 明朝"/>
        <family val="1"/>
        <charset val="128"/>
      </rPr>
      <t>fu</t>
    </r>
    <r>
      <rPr>
        <sz val="10"/>
        <rFont val="ＭＳ 明朝"/>
        <family val="1"/>
        <charset val="128"/>
      </rPr>
      <t xml:space="preserve">
（m）</t>
    </r>
    <phoneticPr fontId="1"/>
  </si>
  <si>
    <r>
      <t>降伏周面支持力に関する地盤修正係数で、場所打ち杭工法の場合ρ</t>
    </r>
    <r>
      <rPr>
        <vertAlign val="subscript"/>
        <sz val="10"/>
        <rFont val="ＭＳ 明朝"/>
        <family val="1"/>
        <charset val="128"/>
      </rPr>
      <t>gfy</t>
    </r>
    <r>
      <rPr>
        <sz val="10"/>
        <rFont val="ＭＳ 明朝"/>
        <family val="1"/>
        <charset val="128"/>
      </rPr>
      <t>=1.2</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1"/>
  </si>
  <si>
    <r>
      <t>終局周面支持力に関する地盤修正係数で、場所打ち杭工法の場合ρ</t>
    </r>
    <r>
      <rPr>
        <vertAlign val="subscript"/>
        <sz val="10"/>
        <rFont val="ＭＳ 明朝"/>
        <family val="1"/>
        <charset val="128"/>
      </rPr>
      <t>gfu</t>
    </r>
    <r>
      <rPr>
        <sz val="10"/>
        <rFont val="ＭＳ 明朝"/>
        <family val="1"/>
        <charset val="128"/>
      </rPr>
      <t>=1.4</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1"/>
  </si>
  <si>
    <r>
      <t>降伏時先端支持力に関する地盤修正係数で、場所打ち杭工法の場合ρ</t>
    </r>
    <r>
      <rPr>
        <vertAlign val="subscript"/>
        <sz val="10"/>
        <rFont val="ＭＳ 明朝"/>
        <family val="1"/>
        <charset val="128"/>
      </rPr>
      <t>gty</t>
    </r>
    <r>
      <rPr>
        <sz val="10"/>
        <rFont val="ＭＳ 明朝"/>
        <family val="1"/>
        <charset val="128"/>
      </rPr>
      <t>=0.6</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1"/>
  </si>
  <si>
    <r>
      <t>終局時先端支持力に関する地盤修正係数で、場所打ち杭工法の場合ρ</t>
    </r>
    <r>
      <rPr>
        <vertAlign val="subscript"/>
        <sz val="10"/>
        <rFont val="ＭＳ 明朝"/>
        <family val="1"/>
        <charset val="128"/>
      </rPr>
      <t>gtu</t>
    </r>
    <r>
      <rPr>
        <sz val="10"/>
        <rFont val="ＭＳ 明朝"/>
        <family val="1"/>
        <charset val="128"/>
      </rPr>
      <t>=1.4</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1"/>
  </si>
  <si>
    <t>層厚</t>
    <rPh sb="0" eb="1">
      <t>ソウ</t>
    </rPh>
    <rPh sb="1" eb="2">
      <t>アツ</t>
    </rPh>
    <phoneticPr fontId="1"/>
  </si>
  <si>
    <t>Ｎ値</t>
    <rPh sb="1" eb="2">
      <t>チ</t>
    </rPh>
    <phoneticPr fontId="1"/>
  </si>
  <si>
    <t>杭長</t>
    <rPh sb="0" eb="1">
      <t>クイ</t>
    </rPh>
    <rPh sb="1" eb="2">
      <t>チョウ</t>
    </rPh>
    <phoneticPr fontId="1"/>
  </si>
  <si>
    <t>杭径</t>
    <rPh sb="0" eb="1">
      <t>クイ</t>
    </rPh>
    <rPh sb="1" eb="2">
      <t>ケイ</t>
    </rPh>
    <phoneticPr fontId="1"/>
  </si>
  <si>
    <t>表1.1.17(2)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1"/>
  </si>
  <si>
    <r>
      <t>ｋ</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rPh sb="11" eb="12">
      <t>ハシ</t>
    </rPh>
    <rPh sb="12" eb="13">
      <t>ジク</t>
    </rPh>
    <rPh sb="13" eb="15">
      <t>ホウコウ</t>
    </rPh>
    <phoneticPr fontId="1"/>
  </si>
  <si>
    <r>
      <t>ｋ</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rPh sb="11" eb="13">
      <t>チョッカク</t>
    </rPh>
    <rPh sb="13" eb="15">
      <t>ホウコウ</t>
    </rPh>
    <phoneticPr fontId="1"/>
  </si>
  <si>
    <r>
      <t>K</t>
    </r>
    <r>
      <rPr>
        <vertAlign val="subscript"/>
        <sz val="10"/>
        <rFont val="ＭＳ 明朝"/>
        <family val="1"/>
        <charset val="128"/>
      </rPr>
      <t xml:space="preserve">h
</t>
    </r>
    <r>
      <rPr>
        <sz val="10"/>
        <rFont val="ＭＳ 明朝"/>
        <family val="1"/>
        <charset val="128"/>
      </rPr>
      <t>（kN/m/m）
橋軸方向</t>
    </r>
    <phoneticPr fontId="1"/>
  </si>
  <si>
    <r>
      <t>K</t>
    </r>
    <r>
      <rPr>
        <vertAlign val="subscript"/>
        <sz val="10"/>
        <rFont val="ＭＳ 明朝"/>
        <family val="1"/>
        <charset val="128"/>
      </rPr>
      <t xml:space="preserve">h
</t>
    </r>
    <r>
      <rPr>
        <sz val="10"/>
        <rFont val="ＭＳ 明朝"/>
        <family val="1"/>
        <charset val="128"/>
      </rPr>
      <t>（kN/m/m）
直角方向</t>
    </r>
    <phoneticPr fontId="1"/>
  </si>
  <si>
    <r>
      <t>線形解析
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rPh sb="0" eb="2">
      <t>センケイ</t>
    </rPh>
    <rPh sb="2" eb="4">
      <t>カイセキ</t>
    </rPh>
    <phoneticPr fontId="1"/>
  </si>
  <si>
    <r>
      <t>非線形解析
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rPh sb="0" eb="1">
      <t>ヒ</t>
    </rPh>
    <rPh sb="1" eb="3">
      <t>センケイ</t>
    </rPh>
    <rPh sb="3" eb="5">
      <t>カイセキ</t>
    </rPh>
    <phoneticPr fontId="1"/>
  </si>
  <si>
    <r>
      <t>線形解析
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rPh sb="0" eb="2">
      <t>センケイ</t>
    </rPh>
    <rPh sb="2" eb="4">
      <t>カイセキ</t>
    </rPh>
    <phoneticPr fontId="1"/>
  </si>
  <si>
    <r>
      <t>非線形解析
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rPh sb="0" eb="1">
      <t>ヒ</t>
    </rPh>
    <rPh sb="1" eb="3">
      <t>センケイ</t>
    </rPh>
    <rPh sb="3" eb="5">
      <t>カイセキ</t>
    </rPh>
    <phoneticPr fontId="1"/>
  </si>
  <si>
    <r>
      <t>線形解析
K</t>
    </r>
    <r>
      <rPr>
        <vertAlign val="subscript"/>
        <sz val="10"/>
        <rFont val="ＭＳ 明朝"/>
        <family val="1"/>
        <charset val="128"/>
      </rPr>
      <t>h</t>
    </r>
    <r>
      <rPr>
        <sz val="10"/>
        <rFont val="ＭＳ 明朝"/>
        <family val="1"/>
        <charset val="128"/>
      </rPr>
      <t>（kN/m/m）
橋軸方向</t>
    </r>
    <phoneticPr fontId="1"/>
  </si>
  <si>
    <r>
      <t>非線形解析
K</t>
    </r>
    <r>
      <rPr>
        <vertAlign val="subscript"/>
        <sz val="10"/>
        <rFont val="ＭＳ 明朝"/>
        <family val="1"/>
        <charset val="128"/>
      </rPr>
      <t>h</t>
    </r>
    <r>
      <rPr>
        <sz val="10"/>
        <rFont val="ＭＳ 明朝"/>
        <family val="1"/>
        <charset val="128"/>
      </rPr>
      <t>（kN/m/m）
橋軸方向</t>
    </r>
    <phoneticPr fontId="1"/>
  </si>
  <si>
    <r>
      <t>線形解析
K</t>
    </r>
    <r>
      <rPr>
        <vertAlign val="subscript"/>
        <sz val="10"/>
        <rFont val="ＭＳ 明朝"/>
        <family val="1"/>
        <charset val="128"/>
      </rPr>
      <t>h</t>
    </r>
    <r>
      <rPr>
        <sz val="10"/>
        <rFont val="ＭＳ 明朝"/>
        <family val="1"/>
        <charset val="128"/>
      </rPr>
      <t>（kN/m/m）
直角方向</t>
    </r>
    <phoneticPr fontId="1"/>
  </si>
  <si>
    <r>
      <t>非線形解析
K</t>
    </r>
    <r>
      <rPr>
        <vertAlign val="subscript"/>
        <sz val="10"/>
        <rFont val="ＭＳ 明朝"/>
        <family val="1"/>
        <charset val="128"/>
      </rPr>
      <t>h</t>
    </r>
    <r>
      <rPr>
        <sz val="10"/>
        <rFont val="ＭＳ 明朝"/>
        <family val="1"/>
        <charset val="128"/>
      </rPr>
      <t>（kN/m/m）
直角方向</t>
    </r>
    <phoneticPr fontId="1"/>
  </si>
  <si>
    <r>
      <t>長期
K</t>
    </r>
    <r>
      <rPr>
        <vertAlign val="subscript"/>
        <sz val="10"/>
        <rFont val="ＭＳ 明朝"/>
        <family val="1"/>
        <charset val="128"/>
      </rPr>
      <t xml:space="preserve">fv
</t>
    </r>
    <r>
      <rPr>
        <sz val="10"/>
        <rFont val="ＭＳ 明朝"/>
        <family val="1"/>
        <charset val="128"/>
      </rPr>
      <t>（kN/m）</t>
    </r>
    <rPh sb="0" eb="2">
      <t>チョウキ</t>
    </rPh>
    <phoneticPr fontId="1"/>
  </si>
  <si>
    <r>
      <t>長期
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3</t>
    </r>
    <r>
      <rPr>
        <sz val="10"/>
        <rFont val="ＭＳ 明朝"/>
        <family val="1"/>
        <charset val="128"/>
      </rPr>
      <t>)</t>
    </r>
    <rPh sb="0" eb="2">
      <t>チョウキ</t>
    </rPh>
    <phoneticPr fontId="1"/>
  </si>
  <si>
    <r>
      <t>短期
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3</t>
    </r>
    <r>
      <rPr>
        <sz val="10"/>
        <rFont val="ＭＳ 明朝"/>
        <family val="1"/>
        <charset val="128"/>
      </rPr>
      <t>)</t>
    </r>
    <rPh sb="0" eb="2">
      <t>タンキ</t>
    </rPh>
    <phoneticPr fontId="1"/>
  </si>
  <si>
    <r>
      <t>短期
K</t>
    </r>
    <r>
      <rPr>
        <vertAlign val="subscript"/>
        <sz val="10"/>
        <rFont val="ＭＳ 明朝"/>
        <family val="1"/>
        <charset val="128"/>
      </rPr>
      <t xml:space="preserve">fv
</t>
    </r>
    <r>
      <rPr>
        <sz val="10"/>
        <rFont val="ＭＳ 明朝"/>
        <family val="1"/>
        <charset val="128"/>
      </rPr>
      <t>(kN/m)</t>
    </r>
    <rPh sb="0" eb="2">
      <t>タンキ</t>
    </rPh>
    <phoneticPr fontId="1"/>
  </si>
  <si>
    <t>安定(地震時以外)</t>
    <rPh sb="0" eb="2">
      <t>アンテイ</t>
    </rPh>
    <rPh sb="3" eb="5">
      <t>ジシン</t>
    </rPh>
    <rPh sb="5" eb="6">
      <t>ジ</t>
    </rPh>
    <rPh sb="6" eb="8">
      <t>イガイ</t>
    </rPh>
    <phoneticPr fontId="1"/>
  </si>
  <si>
    <r>
      <t>R</t>
    </r>
    <r>
      <rPr>
        <vertAlign val="subscript"/>
        <sz val="10"/>
        <rFont val="ＭＳ 明朝"/>
        <family val="1"/>
        <charset val="128"/>
      </rPr>
      <t>fk</t>
    </r>
    <r>
      <rPr>
        <sz val="10"/>
        <rFont val="ＭＳ 明朝"/>
        <family val="1"/>
        <charset val="128"/>
      </rPr>
      <t>（kN）
橋軸方向</t>
    </r>
    <rPh sb="8" eb="9">
      <t>ハシ</t>
    </rPh>
    <rPh sb="9" eb="12">
      <t>ジクホウコウ</t>
    </rPh>
    <phoneticPr fontId="1"/>
  </si>
  <si>
    <r>
      <t>R</t>
    </r>
    <r>
      <rPr>
        <vertAlign val="subscript"/>
        <sz val="10"/>
        <rFont val="ＭＳ 明朝"/>
        <family val="1"/>
        <charset val="128"/>
      </rPr>
      <t>fk</t>
    </r>
    <r>
      <rPr>
        <sz val="10"/>
        <rFont val="ＭＳ 明朝"/>
        <family val="1"/>
        <charset val="128"/>
      </rPr>
      <t>（kN）
直角方向</t>
    </r>
    <rPh sb="8" eb="10">
      <t>チョッカク</t>
    </rPh>
    <rPh sb="10" eb="12">
      <t>ホウコウ</t>
    </rPh>
    <phoneticPr fontId="1"/>
  </si>
  <si>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1"/>
  </si>
  <si>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1"/>
  </si>
  <si>
    <t>【橋軸方向】</t>
    <rPh sb="1" eb="2">
      <t>ハシ</t>
    </rPh>
    <rPh sb="2" eb="5">
      <t>ジクホウコウ</t>
    </rPh>
    <phoneticPr fontId="1"/>
  </si>
  <si>
    <t>【直角方向】</t>
    <rPh sb="1" eb="3">
      <t>チョッカク</t>
    </rPh>
    <rPh sb="3" eb="5">
      <t>ホウコウ</t>
    </rPh>
    <phoneticPr fontId="1"/>
  </si>
  <si>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1"/>
  </si>
  <si>
    <t>上載土</t>
    <rPh sb="0" eb="1">
      <t>ウエ</t>
    </rPh>
    <rPh sb="1" eb="2">
      <t>サイ</t>
    </rPh>
    <rPh sb="2" eb="3">
      <t>ド</t>
    </rPh>
    <phoneticPr fontId="1"/>
  </si>
  <si>
    <t>層種別</t>
    <rPh sb="0" eb="1">
      <t>ソウ</t>
    </rPh>
    <rPh sb="1" eb="3">
      <t>シュベツ</t>
    </rPh>
    <phoneticPr fontId="1"/>
  </si>
  <si>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1"/>
  </si>
  <si>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1"/>
  </si>
  <si>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1"/>
  </si>
  <si>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1"/>
  </si>
  <si>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1"/>
  </si>
  <si>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1"/>
  </si>
  <si>
    <t>のようになる。</t>
    <phoneticPr fontId="1"/>
  </si>
  <si>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1"/>
  </si>
  <si>
    <t>基準先端支持力度（kN/m2）で、場所打ち杭工法の場合、次式により算定さ</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rPh sb="33" eb="35">
      <t>サンテイ</t>
    </rPh>
    <phoneticPr fontId="1"/>
  </si>
  <si>
    <t>れる。</t>
    <phoneticPr fontId="1"/>
  </si>
  <si>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1"/>
  </si>
  <si>
    <t>面積とする。</t>
    <phoneticPr fontId="1"/>
  </si>
  <si>
    <t>　本設計計算例における杭先端支持層は、N値70の砂礫層のため、杭の基準先端支持力は、橋軸</t>
    <rPh sb="1" eb="2">
      <t>ホン</t>
    </rPh>
    <rPh sb="2" eb="4">
      <t>セッケイ</t>
    </rPh>
    <rPh sb="4" eb="6">
      <t>ケイサン</t>
    </rPh>
    <rPh sb="6" eb="7">
      <t>レイ</t>
    </rPh>
    <rPh sb="11" eb="12">
      <t>クイ</t>
    </rPh>
    <rPh sb="12" eb="14">
      <t>センタン</t>
    </rPh>
    <rPh sb="14" eb="17">
      <t>シジソウ</t>
    </rPh>
    <rPh sb="20" eb="21">
      <t>チ</t>
    </rPh>
    <rPh sb="24" eb="26">
      <t>サレキ</t>
    </rPh>
    <rPh sb="26" eb="27">
      <t>ソウ</t>
    </rPh>
    <rPh sb="31" eb="32">
      <t>クイ</t>
    </rPh>
    <rPh sb="33" eb="35">
      <t>キジュン</t>
    </rPh>
    <rPh sb="35" eb="37">
      <t>センタン</t>
    </rPh>
    <rPh sb="37" eb="39">
      <t>シジ</t>
    </rPh>
    <rPh sb="39" eb="40">
      <t>リョク</t>
    </rPh>
    <rPh sb="42" eb="43">
      <t>ハシ</t>
    </rPh>
    <rPh sb="43" eb="44">
      <t>ジク</t>
    </rPh>
    <phoneticPr fontId="1"/>
  </si>
  <si>
    <t>方向・橋軸直角方向ともに次のようになる。</t>
    <rPh sb="4" eb="5">
      <t>ジク</t>
    </rPh>
    <rPh sb="5" eb="7">
      <t>チョッカク</t>
    </rPh>
    <rPh sb="7" eb="9">
      <t>ホウコウ</t>
    </rPh>
    <rPh sb="12" eb="13">
      <t>ツギ</t>
    </rPh>
    <phoneticPr fontId="1"/>
  </si>
  <si>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1"/>
  </si>
  <si>
    <t>応じて継の各式より算定する。</t>
    <rPh sb="3" eb="4">
      <t>ツギ</t>
    </rPh>
    <rPh sb="5" eb="7">
      <t>カクシキ</t>
    </rPh>
    <rPh sb="9" eb="11">
      <t>サンテイ</t>
    </rPh>
    <phoneticPr fontId="1"/>
  </si>
  <si>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1"/>
  </si>
  <si>
    <t>押込み側の周面抵抗は考慮しないものとする。</t>
    <rPh sb="3" eb="4">
      <t>ガワ</t>
    </rPh>
    <rPh sb="10" eb="12">
      <t>コウリョ</t>
    </rPh>
    <phoneticPr fontId="1"/>
  </si>
  <si>
    <t>　本設計計算例における、地震時以外の基礎の安定と基礎の支持性能、および残留鉛直変位の照査</t>
    <rPh sb="1" eb="2">
      <t>ホン</t>
    </rPh>
    <rPh sb="2" eb="4">
      <t>セッケイ</t>
    </rPh>
    <rPh sb="4" eb="6">
      <t>ケイサン</t>
    </rPh>
    <rPh sb="6" eb="7">
      <t>レイ</t>
    </rPh>
    <rPh sb="12" eb="14">
      <t>ジシン</t>
    </rPh>
    <rPh sb="14" eb="15">
      <t>ジ</t>
    </rPh>
    <rPh sb="15" eb="17">
      <t>イガイ</t>
    </rPh>
    <rPh sb="18" eb="20">
      <t>キソ</t>
    </rPh>
    <rPh sb="21" eb="23">
      <t>アンテイ</t>
    </rPh>
    <rPh sb="24" eb="26">
      <t>キソ</t>
    </rPh>
    <rPh sb="27" eb="29">
      <t>シジ</t>
    </rPh>
    <rPh sb="29" eb="31">
      <t>セイノウ</t>
    </rPh>
    <rPh sb="35" eb="37">
      <t>ザンリュウ</t>
    </rPh>
    <rPh sb="37" eb="39">
      <t>エンチョク</t>
    </rPh>
    <rPh sb="39" eb="41">
      <t>ヘンイ</t>
    </rPh>
    <rPh sb="42" eb="44">
      <t>ショウサ</t>
    </rPh>
    <phoneticPr fontId="1"/>
  </si>
  <si>
    <r>
      <t>に用いる設計鉛直支持力R</t>
    </r>
    <r>
      <rPr>
        <vertAlign val="subscript"/>
        <sz val="10"/>
        <rFont val="ＭＳ 明朝"/>
        <family val="1"/>
        <charset val="128"/>
      </rPr>
      <t>wd</t>
    </r>
    <r>
      <rPr>
        <sz val="10"/>
        <rFont val="ＭＳ 明朝"/>
        <family val="1"/>
        <charset val="128"/>
      </rPr>
      <t>は、次のようになる。</t>
    </r>
    <rPh sb="1" eb="2">
      <t>モチ</t>
    </rPh>
    <rPh sb="4" eb="6">
      <t>セッケイ</t>
    </rPh>
    <rPh sb="6" eb="10">
      <t>エンチョクシジ</t>
    </rPh>
    <rPh sb="10" eb="11">
      <t>チカラ</t>
    </rPh>
    <rPh sb="16" eb="17">
      <t>ツギ</t>
    </rPh>
    <phoneticPr fontId="1"/>
  </si>
  <si>
    <t>　本設計計算例における、地震時以外の基礎の安定と基礎の支持性能、および残留鉛直変位(性</t>
    <rPh sb="1" eb="2">
      <t>ホン</t>
    </rPh>
    <rPh sb="2" eb="4">
      <t>セッケイ</t>
    </rPh>
    <rPh sb="4" eb="6">
      <t>ケイサン</t>
    </rPh>
    <rPh sb="6" eb="7">
      <t>レイ</t>
    </rPh>
    <rPh sb="12" eb="15">
      <t>ジシンジ</t>
    </rPh>
    <rPh sb="15" eb="17">
      <t>イガイ</t>
    </rPh>
    <rPh sb="18" eb="20">
      <t>キソ</t>
    </rPh>
    <rPh sb="21" eb="23">
      <t>アンテイ</t>
    </rPh>
    <rPh sb="24" eb="26">
      <t>キソ</t>
    </rPh>
    <rPh sb="27" eb="29">
      <t>シジ</t>
    </rPh>
    <rPh sb="29" eb="31">
      <t>セイノウ</t>
    </rPh>
    <rPh sb="35" eb="37">
      <t>ザンリュウ</t>
    </rPh>
    <rPh sb="37" eb="39">
      <t>エンチョク</t>
    </rPh>
    <rPh sb="39" eb="41">
      <t>ヘンイ</t>
    </rPh>
    <rPh sb="42" eb="43">
      <t>セイ</t>
    </rPh>
    <phoneticPr fontId="1"/>
  </si>
  <si>
    <r>
      <t>能レベル1)に用いる設計引抜き抵抗力R</t>
    </r>
    <r>
      <rPr>
        <vertAlign val="subscript"/>
        <sz val="10"/>
        <rFont val="ＭＳ 明朝"/>
        <family val="1"/>
        <charset val="128"/>
      </rPr>
      <t>ud</t>
    </r>
    <r>
      <rPr>
        <sz val="10"/>
        <rFont val="ＭＳ 明朝"/>
        <family val="1"/>
        <charset val="128"/>
      </rPr>
      <t>は、次のようになる。</t>
    </r>
    <rPh sb="7" eb="8">
      <t>モチ</t>
    </rPh>
    <rPh sb="10" eb="12">
      <t>セッケイ</t>
    </rPh>
    <rPh sb="12" eb="14">
      <t>ヒキヌ</t>
    </rPh>
    <rPh sb="15" eb="18">
      <t>テイコウリョク</t>
    </rPh>
    <rPh sb="23" eb="24">
      <t>ツギ</t>
    </rPh>
    <phoneticPr fontId="1"/>
  </si>
  <si>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1"/>
  </si>
  <si>
    <t>ない。</t>
    <phoneticPr fontId="1"/>
  </si>
  <si>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1"/>
  </si>
  <si>
    <t>は じ め に</t>
    <phoneticPr fontId="1"/>
  </si>
  <si>
    <t>本ファイルを利用するには マクロを有効にしてください。</t>
    <rPh sb="0" eb="1">
      <t>ホン</t>
    </rPh>
    <rPh sb="6" eb="8">
      <t>リヨウ</t>
    </rPh>
    <rPh sb="17" eb="19">
      <t>ユウコウ</t>
    </rPh>
    <phoneticPr fontId="1"/>
  </si>
  <si>
    <t>Office ドキュメントのマクロを有効または無効にする</t>
    <phoneticPr fontId="1"/>
  </si>
  <si>
    <t>本ファイルを利用するには ユーザー名とパスワードを入力してください</t>
    <rPh sb="0" eb="1">
      <t>ホン</t>
    </rPh>
    <rPh sb="6" eb="8">
      <t>リヨウ</t>
    </rPh>
    <rPh sb="17" eb="18">
      <t>メイ</t>
    </rPh>
    <rPh sb="25" eb="27">
      <t>ニュウリョク</t>
    </rPh>
    <phoneticPr fontId="1"/>
  </si>
  <si>
    <t>ユーザー名またはメールアドレス</t>
    <phoneticPr fontId="1"/>
  </si>
  <si>
    <t>パスワード</t>
    <phoneticPr fontId="1"/>
  </si>
  <si>
    <t>※ユーザー名, パスワード を １行目に記したテキストファイルを それぞれ用意し</t>
    <rPh sb="5" eb="6">
      <t>メイ</t>
    </rPh>
    <rPh sb="17" eb="19">
      <t>ギョウメ</t>
    </rPh>
    <rPh sb="20" eb="21">
      <t>シル</t>
    </rPh>
    <rPh sb="37" eb="39">
      <t>ヨウイ</t>
    </rPh>
    <phoneticPr fontId="1"/>
  </si>
  <si>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1"/>
  </si>
  <si>
    <t>省略できます</t>
    <rPh sb="0" eb="2">
      <t>ショウリャク</t>
    </rPh>
    <phoneticPr fontId="1"/>
  </si>
  <si>
    <t>免責事項</t>
    <phoneticPr fontId="1"/>
  </si>
  <si>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</si>
  <si>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</si>
  <si>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</si>
  <si>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</si>
  <si>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</si>
  <si>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1"/>
  </si>
  <si>
    <t>データの送受信には json 形式の 文字列で通信します。</t>
    <rPh sb="4" eb="7">
      <t>ソウジュシン</t>
    </rPh>
    <rPh sb="15" eb="17">
      <t>ケイシキ</t>
    </rPh>
    <rPh sb="19" eb="22">
      <t>モジレツ</t>
    </rPh>
    <rPh sb="23" eb="25">
      <t>ツウシン</t>
    </rPh>
    <phoneticPr fontId="1"/>
  </si>
  <si>
    <t>ｖ</t>
    <phoneticPr fontId="1"/>
  </si>
  <si>
    <t>お問い合わせ</t>
    <rPh sb="1" eb="2">
      <t>ト</t>
    </rPh>
    <rPh sb="3" eb="4">
      <t>ア</t>
    </rPh>
    <phoneticPr fontId="1"/>
  </si>
  <si>
    <r>
      <rPr>
        <sz val="11"/>
        <rFont val="ＭＳ Ｐゴシック"/>
        <family val="3"/>
        <charset val="128"/>
      </rPr>
      <t>┃株式会社　ささこう</t>
    </r>
    <r>
      <rPr>
        <sz val="11"/>
        <rFont val="Courier New"/>
        <family val="3"/>
      </rPr>
      <t> </t>
    </r>
    <phoneticPr fontId="1"/>
  </si>
  <si>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1"/>
  </si>
  <si>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1"/>
  </si>
  <si>
    <r>
      <rPr>
        <sz val="11"/>
        <rFont val="ＭＳ Ｐゴシック"/>
        <family val="3"/>
        <charset val="128"/>
      </rPr>
      <t>┃　　　　　　　　　　エトワール石神井</t>
    </r>
    <r>
      <rPr>
        <sz val="11"/>
        <rFont val="Courier New"/>
        <family val="3"/>
      </rPr>
      <t>202</t>
    </r>
    <phoneticPr fontId="1"/>
  </si>
  <si>
    <r>
      <rPr>
        <sz val="11"/>
        <rFont val="ＭＳ Ｐゴシック"/>
        <family val="3"/>
        <charset val="128"/>
      </rPr>
      <t>┃　　ＴＥＬ：</t>
    </r>
    <r>
      <rPr>
        <sz val="11"/>
        <rFont val="ＭＳ Ｐゴシック"/>
        <family val="3"/>
        <charset val="128"/>
      </rPr>
      <t>050-5806-0301</t>
    </r>
    <phoneticPr fontId="1"/>
  </si>
  <si>
    <t>┃　　Ｍail ：sasaicco@gmail.com </t>
    <phoneticPr fontId="1"/>
  </si>
  <si>
    <r>
      <t>┃　　ＵＲＬ：http://structuralengine.</t>
    </r>
    <r>
      <rPr>
        <sz val="11"/>
        <rFont val="ＭＳ Ｐゴシック"/>
        <family val="3"/>
        <charset val="128"/>
      </rPr>
      <t>jp</t>
    </r>
    <phoneticPr fontId="1"/>
  </si>
  <si>
    <t>本システムは、「鉄道構造物等設計標準・同解説（基礎構造物）平成24年版」</t>
    <rPh sb="23" eb="25">
      <t>キソ</t>
    </rPh>
    <phoneticPr fontId="1"/>
  </si>
  <si>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1"/>
  </si>
  <si>
    <t>"SoilPile" --- 地盤抵抗係数算定プログラム</t>
    <rPh sb="15" eb="17">
      <t>ジバン</t>
    </rPh>
    <rPh sb="17" eb="19">
      <t>テイコウ</t>
    </rPh>
    <rPh sb="19" eb="21">
      <t>ケイスウ</t>
    </rPh>
    <rPh sb="21" eb="23">
      <t>サンテイ</t>
    </rPh>
    <phoneticPr fontId="1"/>
  </si>
  <si>
    <t>Ver.1.0.6</t>
  </si>
  <si>
    <t>ＲＣラーメン高架橋</t>
  </si>
  <si>
    <t>フーチング有無</t>
  </si>
  <si>
    <t>杭種</t>
  </si>
  <si>
    <t>杭長</t>
  </si>
  <si>
    <t>杭径</t>
  </si>
  <si>
    <t>橋軸杭本数</t>
  </si>
  <si>
    <t>直角杭本数</t>
  </si>
  <si>
    <t>橋軸杭間隔</t>
  </si>
  <si>
    <t>直角杭間隔</t>
  </si>
  <si>
    <t>(1)橋軸方向</t>
  </si>
  <si>
    <t>【杭配置情報】</t>
  </si>
  <si>
    <t>←杭配置情報がある場合、挿入される</t>
    <rPh sb="1" eb="2">
      <t>クイ</t>
    </rPh>
    <rPh sb="2" eb="4">
      <t>ハイチ</t>
    </rPh>
    <rPh sb="4" eb="6">
      <t>ジョウホウ</t>
    </rPh>
    <rPh sb="9" eb="11">
      <t>バアイ</t>
    </rPh>
    <rPh sb="12" eb="14">
      <t>ソウニュウ</t>
    </rPh>
    <phoneticPr fontId="1"/>
  </si>
  <si>
    <t>番号</t>
  </si>
  <si>
    <t>1列目からの距離</t>
  </si>
  <si>
    <t>杭本数</t>
  </si>
  <si>
    <t>地震時以外</t>
  </si>
  <si>
    <t>【設計鉛直支持力の算定】</t>
  </si>
  <si>
    <t>性能項目</t>
  </si>
  <si>
    <t>基準先端支持力Rtk(kN)</t>
  </si>
  <si>
    <t>基準周面支持力ΣRfk(kN)</t>
  </si>
  <si>
    <t>基準支持力Rk(kN)</t>
  </si>
  <si>
    <t>先端支持力比Pt</t>
  </si>
  <si>
    <t>地盤抵抗係数fr</t>
  </si>
  <si>
    <t>設計鉛直支持力Rvd(kN)</t>
  </si>
  <si>
    <t>長期支持性能</t>
  </si>
  <si>
    <t>短期支持性能</t>
  </si>
  <si>
    <t>安定(地震時以外)</t>
  </si>
  <si>
    <t>残留鉛直変位(L1)</t>
  </si>
  <si>
    <t>残留鉛直変位(L2)</t>
  </si>
  <si>
    <t>【設計引き抜き抵抗力の算定】</t>
  </si>
  <si>
    <t>杭の有効自重Wp(kN)</t>
  </si>
  <si>
    <t>設計引き抜き抵抗力vd(kN)</t>
  </si>
  <si>
    <t>【水平変位の照査】</t>
  </si>
  <si>
    <t>設計限界値δL(mm)</t>
  </si>
  <si>
    <t>設計限界値の指標</t>
  </si>
  <si>
    <t>抵抗幅</t>
  </si>
  <si>
    <t>【回転角の照査】</t>
  </si>
  <si>
    <t>設計限界値θL(mm)</t>
  </si>
  <si>
    <t>地震時</t>
  </si>
  <si>
    <t>杭先端支持力</t>
  </si>
  <si>
    <t>杭周面支持力</t>
  </si>
  <si>
    <t>鉛直支持力</t>
  </si>
  <si>
    <t>終局時修正係数ρgtu</t>
  </si>
  <si>
    <t>先端終局支持力Rtu(kN)</t>
  </si>
  <si>
    <t>終局時修正係数ρgfu</t>
  </si>
  <si>
    <t>基準周面支持力Rfk(kN)</t>
  </si>
  <si>
    <t>周面終局支持力Rfu(kN)</t>
  </si>
  <si>
    <t>(2)直角方向</t>
  </si>
  <si>
    <t>基準先端引抜き抵抗力Ruk(kN)</t>
  </si>
  <si>
    <t>設計引き抜き抵抗力Rvd(kN)</t>
  </si>
  <si>
    <t>←回転杭の場合、これに代わる</t>
    <rPh sb="1" eb="3">
      <t>カイテン</t>
    </rPh>
    <rPh sb="3" eb="4">
      <t>クイ</t>
    </rPh>
    <rPh sb="5" eb="7">
      <t>バアイ</t>
    </rPh>
    <rPh sb="11" eb="12">
      <t>カ</t>
    </rPh>
    <phoneticPr fontId="1"/>
  </si>
  <si>
    <t>【押込み側】</t>
    <phoneticPr fontId="1"/>
  </si>
  <si>
    <t>←回転杭の場合、これが入る</t>
    <rPh sb="1" eb="3">
      <t>カイテン</t>
    </rPh>
    <rPh sb="3" eb="4">
      <t>クイ</t>
    </rPh>
    <rPh sb="5" eb="7">
      <t>バアイ</t>
    </rPh>
    <rPh sb="11" eb="12">
      <t>ハイ</t>
    </rPh>
    <phoneticPr fontId="1"/>
  </si>
  <si>
    <t>【引抜き側】</t>
    <phoneticPr fontId="1"/>
  </si>
  <si>
    <t>基準先端引抜き抵抗Ruk(kN)</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</si>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</sst>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84" formatCode="0.0000"/>
    <numFmt numFmtId="188" formatCode="0.0_ "/>
    <numFmt numFmtId="189" formatCode="#,##0_ "/>
    <numFmt numFmtId="191" formatCode="#\ ?/4"/>
    <numFmt numFmtId="192" formatCode="\(0"/>
  </numFmts>
  <fonts count="25">
    <font>
      <sz val="11"/>
      <name val="ＭＳ Ｐゴシック"/>
      <family val="3"/>
      <charset val="128"/>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0"/>
      <color rgb="FF0070C0"/>
      <name val="ＭＳ 明朝"/>
      <family val="1"/>
      <charset val="128"/>
    </font>
    <font>
      <sz val="11"/>
      <color theme="1"/>
      <name val="ＭＳ Ｐゴシック"/>
      <family val="3"/>
      <charset val="128"/>
      <scheme val="minor"/>
    </font>
    <font>
      <sz val="11"/>
      <color rgb="FFFF0000"/>
      <name val="ＭＳ Ｐゴシック"/>
      <family val="3"/>
      <charset val="128"/>
      <scheme val="minor"/>
    </font>
  </fonts>
  <fills count="5">
    <fill>
      <patternFill patternType="none"/>
    </fill>
    <fill>
      <patternFill patternType="gray125"/>
    </fill>
    <fill>
      <patternFill patternType="solid">
        <fgColor indexed="43"/>
        <bgColor indexed="64"/>
      </patternFill>
    </fill>
    <fill>
      <patternFill patternType="solid">
        <fgColor theme="0" tint="-4.9989318521683403E-2"/>
        <bgColor indexed="64"/>
      </patternFill>
    </fill>
    <fill>
      <patternFill patternType="solid">
        <fgColor rgb="FFFFFF00"/>
        <bgColor indexed="64"/>
      </patternFill>
    </fill>
  </fills>
  <borders count="31">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3" fillId="0" borderId="0">
      <alignment vertical="center"/>
    </xf>
  </cellStyleXfs>
  <cellXfs count="232">
    <xf numFmtId="0" fontId="0" fillId="0" borderId="0" xfId="0"/>
    <xf numFmtId="0" fontId="3" fillId="0" borderId="0" xfId="0" applyNumberFormat="1" applyFont="1" applyBorder="1" applyAlignment="1">
      <alignment horizontal="center" vertical="center"/>
    </xf>
    <xf numFmtId="0" fontId="3" fillId="0" borderId="0" xfId="0" applyNumberFormat="1" applyFont="1" applyBorder="1" applyAlignment="1">
      <alignment vertical="center"/>
    </xf>
    <xf numFmtId="0" fontId="3" fillId="0" borderId="0" xfId="0" applyNumberFormat="1" applyFont="1" applyBorder="1" applyAlignment="1">
      <alignment horizontal="right" vertical="center"/>
    </xf>
    <xf numFmtId="177" fontId="3" fillId="0" borderId="0" xfId="0" applyNumberFormat="1" applyFont="1" applyBorder="1" applyAlignment="1">
      <alignment horizontal="center" vertical="center"/>
    </xf>
    <xf numFmtId="0" fontId="6" fillId="0" borderId="0" xfId="0" applyNumberFormat="1" applyFont="1" applyBorder="1" applyAlignment="1">
      <alignment horizontal="left"/>
    </xf>
    <xf numFmtId="0" fontId="3" fillId="0" borderId="0" xfId="0" applyNumberFormat="1" applyFont="1" applyBorder="1" applyAlignment="1">
      <alignment horizontal="center"/>
    </xf>
    <xf numFmtId="0" fontId="3" fillId="0" borderId="0" xfId="0" applyNumberFormat="1" applyFont="1" applyBorder="1" applyAlignment="1"/>
    <xf numFmtId="0" fontId="3" fillId="0" borderId="0" xfId="0" applyNumberFormat="1" applyFont="1" applyBorder="1" applyAlignment="1">
      <alignment horizontal="right"/>
    </xf>
    <xf numFmtId="0" fontId="3" fillId="0" borderId="0" xfId="0" applyNumberFormat="1" applyFont="1" applyBorder="1" applyAlignment="1">
      <alignment horizontal="left"/>
    </xf>
    <xf numFmtId="0" fontId="5" fillId="0" borderId="0" xfId="0" applyNumberFormat="1" applyFont="1" applyBorder="1" applyAlignment="1">
      <alignment horizontal="left"/>
    </xf>
    <xf numFmtId="0" fontId="3" fillId="0" borderId="0" xfId="0" applyNumberFormat="1" applyFont="1" applyBorder="1" applyAlignment="1">
      <alignment horizontal="center" shrinkToFit="1"/>
    </xf>
    <xf numFmtId="0" fontId="6" fillId="0" borderId="0" xfId="0" applyNumberFormat="1" applyFont="1" applyBorder="1" applyAlignment="1">
      <alignment horizontal="center"/>
    </xf>
    <xf numFmtId="0" fontId="6" fillId="0" borderId="0" xfId="0" applyNumberFormat="1" applyFont="1" applyBorder="1" applyAlignment="1"/>
    <xf numFmtId="0" fontId="3" fillId="0" borderId="1" xfId="0" applyNumberFormat="1" applyFont="1" applyBorder="1" applyAlignment="1"/>
    <xf numFmtId="0" fontId="6" fillId="0" borderId="1" xfId="0" applyNumberFormat="1" applyFont="1" applyBorder="1" applyAlignment="1">
      <alignment horizontal="left"/>
    </xf>
    <xf numFmtId="0" fontId="10" fillId="0" borderId="0" xfId="0" applyNumberFormat="1" applyFont="1" applyBorder="1" applyAlignment="1">
      <alignment vertical="top"/>
    </xf>
    <xf numFmtId="0" fontId="3" fillId="0" borderId="0" xfId="0" applyNumberFormat="1" applyFont="1" applyBorder="1" applyAlignment="1">
      <alignment vertical="center" shrinkToFit="1"/>
    </xf>
    <xf numFmtId="0" fontId="6" fillId="0" borderId="0" xfId="0" applyNumberFormat="1" applyFont="1" applyBorder="1" applyAlignment="1">
      <alignment vertical="center" shrinkToFit="1"/>
    </xf>
    <xf numFmtId="2" fontId="3" fillId="0" borderId="0" xfId="0" applyNumberFormat="1" applyFont="1" applyBorder="1" applyAlignment="1">
      <alignment horizontal="center" vertical="center"/>
    </xf>
    <xf numFmtId="0" fontId="5" fillId="0" borderId="0" xfId="0" applyNumberFormat="1" applyFont="1" applyBorder="1" applyAlignment="1">
      <alignment horizontal="center"/>
    </xf>
    <xf numFmtId="2" fontId="3" fillId="0" borderId="0" xfId="0" applyNumberFormat="1" applyFont="1" applyBorder="1" applyAlignment="1">
      <alignment horizontal="center"/>
    </xf>
    <xf numFmtId="0" fontId="6" fillId="0" borderId="0" xfId="0" applyNumberFormat="1" applyFont="1" applyBorder="1" applyAlignment="1">
      <alignment horizontal="right"/>
    </xf>
    <xf numFmtId="0" fontId="3" fillId="0" borderId="0" xfId="0" quotePrefix="1" applyNumberFormat="1" applyFont="1" applyBorder="1" applyAlignment="1"/>
    <xf numFmtId="192" fontId="3" fillId="0" borderId="0" xfId="0" applyNumberFormat="1" applyFont="1" applyBorder="1" applyAlignment="1"/>
    <xf numFmtId="2" fontId="3" fillId="0" borderId="0" xfId="0" applyNumberFormat="1" applyFont="1" applyBorder="1" applyAlignment="1"/>
    <xf numFmtId="0" fontId="6" fillId="0" borderId="0" xfId="0" applyNumberFormat="1" applyFont="1" applyBorder="1" applyAlignment="1">
      <alignment vertical="center"/>
    </xf>
    <xf numFmtId="0" fontId="6" fillId="0" borderId="1" xfId="0" applyNumberFormat="1" applyFont="1" applyBorder="1" applyAlignment="1">
      <alignment vertical="center" shrinkToFit="1"/>
    </xf>
    <xf numFmtId="0" fontId="3" fillId="0" borderId="0" xfId="0" quotePrefix="1" applyNumberFormat="1" applyFont="1" applyBorder="1" applyAlignment="1">
      <alignment horizontal="center"/>
    </xf>
    <xf numFmtId="1" fontId="3" fillId="0" borderId="0" xfId="0" applyNumberFormat="1" applyFont="1" applyBorder="1" applyAlignment="1">
      <alignment horizontal="center"/>
    </xf>
    <xf numFmtId="0" fontId="3" fillId="0" borderId="0" xfId="0" applyNumberFormat="1" applyFont="1" applyBorder="1" applyAlignment="1">
      <alignment horizontal="center"/>
    </xf>
    <xf numFmtId="177" fontId="3" fillId="0" borderId="0" xfId="0" applyNumberFormat="1" applyFont="1" applyBorder="1" applyAlignment="1">
      <alignment horizontal="center"/>
    </xf>
    <xf numFmtId="0" fontId="3" fillId="0" borderId="0" xfId="0" applyNumberFormat="1" applyFont="1" applyBorder="1" applyAlignment="1">
      <alignment horizontal="center" vertical="center"/>
    </xf>
    <xf numFmtId="177" fontId="3" fillId="0" borderId="0" xfId="0" applyNumberFormat="1" applyFont="1" applyBorder="1" applyAlignment="1">
      <alignment horizontal="center" vertical="center"/>
    </xf>
    <xf numFmtId="2" fontId="3" fillId="0" borderId="0" xfId="0" applyNumberFormat="1" applyFont="1" applyBorder="1" applyAlignment="1">
      <alignment horizontal="center"/>
    </xf>
    <xf numFmtId="178" fontId="3" fillId="0" borderId="0" xfId="0" applyNumberFormat="1" applyFont="1" applyBorder="1" applyAlignment="1">
      <alignment horizontal="center" vertical="center"/>
    </xf>
    <xf numFmtId="0" fontId="3" fillId="0" borderId="0" xfId="0" applyNumberFormat="1" applyFont="1" applyBorder="1" applyAlignment="1">
      <alignment horizontal="center"/>
    </xf>
    <xf numFmtId="189" fontId="3" fillId="0" borderId="1" xfId="0" applyNumberFormat="1" applyFont="1" applyBorder="1" applyAlignment="1">
      <alignment horizontal="center"/>
    </xf>
    <xf numFmtId="0" fontId="3" fillId="0" borderId="2" xfId="0" applyNumberFormat="1" applyFont="1" applyBorder="1" applyAlignment="1">
      <alignment horizontal="center" vertical="center" wrapText="1"/>
    </xf>
    <xf numFmtId="0" fontId="3" fillId="0" borderId="1" xfId="0" applyNumberFormat="1" applyFont="1" applyBorder="1" applyAlignment="1">
      <alignment horizontal="center" vertical="center" wrapText="1"/>
    </xf>
    <xf numFmtId="0" fontId="3" fillId="0" borderId="3" xfId="0" applyNumberFormat="1" applyFont="1" applyBorder="1" applyAlignment="1">
      <alignment horizontal="center" vertical="center" wrapText="1"/>
    </xf>
    <xf numFmtId="0" fontId="3" fillId="0" borderId="4" xfId="0" applyNumberFormat="1" applyFont="1" applyBorder="1" applyAlignment="1">
      <alignment horizontal="center" vertical="center" wrapText="1"/>
    </xf>
    <xf numFmtId="0" fontId="3" fillId="0" borderId="5" xfId="0" applyNumberFormat="1" applyFont="1" applyBorder="1" applyAlignment="1">
      <alignment horizontal="center"/>
    </xf>
    <xf numFmtId="0" fontId="3" fillId="0" borderId="6" xfId="0" applyNumberFormat="1" applyFont="1" applyBorder="1" applyAlignment="1">
      <alignment horizontal="center"/>
    </xf>
    <xf numFmtId="0" fontId="3" fillId="0" borderId="7" xfId="0" applyNumberFormat="1" applyFont="1" applyBorder="1" applyAlignment="1">
      <alignment horizontal="center"/>
    </xf>
    <xf numFmtId="184" fontId="3" fillId="0" borderId="5" xfId="0" applyNumberFormat="1" applyFont="1" applyBorder="1" applyAlignment="1">
      <alignment horizontal="center"/>
    </xf>
    <xf numFmtId="184" fontId="3" fillId="0" borderId="6" xfId="0" applyNumberFormat="1" applyFont="1" applyBorder="1" applyAlignment="1">
      <alignment horizontal="center"/>
    </xf>
    <xf numFmtId="184" fontId="3" fillId="0" borderId="7" xfId="0" applyNumberFormat="1" applyFont="1" applyBorder="1" applyAlignment="1">
      <alignment horizontal="center"/>
    </xf>
    <xf numFmtId="0" fontId="3" fillId="0" borderId="8" xfId="0" applyNumberFormat="1" applyFont="1" applyBorder="1" applyAlignment="1">
      <alignment horizontal="center" vertical="center" wrapText="1"/>
    </xf>
    <xf numFmtId="0" fontId="3" fillId="0" borderId="9" xfId="0" applyNumberFormat="1" applyFont="1" applyBorder="1" applyAlignment="1">
      <alignment horizontal="center" vertical="center" wrapText="1"/>
    </xf>
    <xf numFmtId="0" fontId="3" fillId="0" borderId="2" xfId="0" applyNumberFormat="1" applyFont="1" applyBorder="1" applyAlignment="1">
      <alignment horizontal="center" vertical="center" wrapText="1" shrinkToFit="1"/>
    </xf>
    <xf numFmtId="0" fontId="3" fillId="0" borderId="1" xfId="0" applyNumberFormat="1" applyFont="1" applyBorder="1" applyAlignment="1">
      <alignment horizontal="center" vertical="center" shrinkToFit="1"/>
    </xf>
    <xf numFmtId="0" fontId="3" fillId="0" borderId="8" xfId="0" applyNumberFormat="1" applyFont="1" applyBorder="1" applyAlignment="1">
      <alignment horizontal="center" vertical="center" shrinkToFit="1"/>
    </xf>
    <xf numFmtId="0" fontId="3" fillId="0" borderId="3" xfId="0" applyNumberFormat="1" applyFont="1" applyBorder="1" applyAlignment="1">
      <alignment horizontal="center" vertical="center" shrinkToFit="1"/>
    </xf>
    <xf numFmtId="0" fontId="3" fillId="0" borderId="4" xfId="0" applyNumberFormat="1" applyFont="1" applyBorder="1" applyAlignment="1">
      <alignment horizontal="center" vertical="center" shrinkToFit="1"/>
    </xf>
    <xf numFmtId="0" fontId="3" fillId="0" borderId="9" xfId="0" applyNumberFormat="1" applyFont="1" applyBorder="1" applyAlignment="1">
      <alignment horizontal="center" vertical="center" shrinkToFit="1"/>
    </xf>
    <xf numFmtId="2" fontId="3" fillId="0" borderId="5" xfId="0" applyNumberFormat="1" applyFont="1" applyBorder="1" applyAlignment="1">
      <alignment horizontal="center" vertical="center"/>
    </xf>
    <xf numFmtId="2" fontId="3" fillId="0" borderId="6" xfId="0" applyNumberFormat="1" applyFont="1" applyBorder="1" applyAlignment="1">
      <alignment horizontal="center" vertical="center"/>
    </xf>
    <xf numFmtId="2" fontId="3" fillId="0" borderId="7" xfId="0" applyNumberFormat="1" applyFont="1" applyBorder="1" applyAlignment="1">
      <alignment horizontal="center" vertical="center"/>
    </xf>
    <xf numFmtId="0" fontId="3" fillId="0" borderId="7" xfId="0" applyNumberFormat="1" applyFont="1" applyBorder="1" applyAlignment="1">
      <alignment horizontal="center" vertical="center"/>
    </xf>
    <xf numFmtId="0" fontId="3" fillId="0" borderId="10" xfId="0" applyNumberFormat="1" applyFont="1" applyBorder="1" applyAlignment="1">
      <alignment horizontal="center" vertical="center"/>
    </xf>
    <xf numFmtId="178" fontId="3" fillId="0" borderId="10" xfId="0" applyNumberFormat="1" applyFont="1" applyBorder="1" applyAlignment="1">
      <alignment horizontal="center" vertical="center"/>
    </xf>
    <xf numFmtId="0" fontId="3" fillId="0" borderId="5" xfId="0" applyNumberFormat="1" applyFont="1" applyBorder="1" applyAlignment="1">
      <alignment horizontal="center" vertical="center"/>
    </xf>
    <xf numFmtId="0" fontId="3" fillId="0" borderId="1" xfId="0" applyNumberFormat="1" applyFont="1" applyBorder="1" applyAlignment="1">
      <alignment horizontal="center" shrinkToFit="1"/>
    </xf>
    <xf numFmtId="2" fontId="3" fillId="0" borderId="0" xfId="0" applyNumberFormat="1" applyFont="1" applyBorder="1" applyAlignment="1">
      <alignment horizontal="center"/>
    </xf>
    <xf numFmtId="0" fontId="6" fillId="0" borderId="4" xfId="0" applyNumberFormat="1" applyFont="1" applyBorder="1" applyAlignment="1">
      <alignment horizontal="center" vertical="center" shrinkToFit="1"/>
    </xf>
    <xf numFmtId="191" fontId="3" fillId="0" borderId="0" xfId="0" applyNumberFormat="1" applyFont="1" applyBorder="1" applyAlignment="1">
      <alignment horizontal="right"/>
    </xf>
    <xf numFmtId="1" fontId="3" fillId="0" borderId="10" xfId="0" applyNumberFormat="1" applyFont="1" applyBorder="1" applyAlignment="1">
      <alignment horizontal="center"/>
    </xf>
    <xf numFmtId="1" fontId="3" fillId="0" borderId="5" xfId="0" applyNumberFormat="1" applyFont="1" applyBorder="1" applyAlignment="1">
      <alignment horizontal="center"/>
    </xf>
    <xf numFmtId="0" fontId="3" fillId="0" borderId="10" xfId="0" applyNumberFormat="1" applyFont="1" applyBorder="1" applyAlignment="1">
      <alignment horizontal="center"/>
    </xf>
    <xf numFmtId="0" fontId="3" fillId="0" borderId="0" xfId="0" applyNumberFormat="1" applyFont="1" applyBorder="1" applyAlignment="1">
      <alignment horizontal="center" vertical="center" wrapText="1"/>
    </xf>
    <xf numFmtId="0" fontId="3" fillId="0" borderId="11" xfId="0" applyNumberFormat="1" applyFont="1" applyBorder="1" applyAlignment="1">
      <alignment horizontal="center" vertical="center" wrapText="1"/>
    </xf>
    <xf numFmtId="0" fontId="3" fillId="0" borderId="10" xfId="0" applyNumberFormat="1" applyFont="1" applyBorder="1" applyAlignment="1">
      <alignment horizontal="center" vertical="center" wrapText="1"/>
    </xf>
    <xf numFmtId="178" fontId="3" fillId="0" borderId="5" xfId="0" applyNumberFormat="1" applyFont="1" applyBorder="1" applyAlignment="1">
      <alignment horizontal="center" vertical="center"/>
    </xf>
    <xf numFmtId="2" fontId="3" fillId="0" borderId="10" xfId="0" applyNumberFormat="1" applyFont="1" applyBorder="1" applyAlignment="1">
      <alignment horizontal="center" vertical="center"/>
    </xf>
    <xf numFmtId="0" fontId="6" fillId="0" borderId="0" xfId="0" applyNumberFormat="1" applyFont="1" applyBorder="1" applyAlignment="1">
      <alignment horizontal="center" vertical="center" shrinkToFit="1"/>
    </xf>
    <xf numFmtId="1" fontId="3" fillId="0" borderId="7" xfId="0" applyNumberFormat="1" applyFont="1" applyBorder="1" applyAlignment="1">
      <alignment horizontal="center"/>
    </xf>
    <xf numFmtId="2" fontId="3" fillId="0" borderId="10" xfId="0" applyNumberFormat="1" applyFont="1" applyBorder="1" applyAlignment="1">
      <alignment horizontal="center"/>
    </xf>
    <xf numFmtId="0" fontId="3" fillId="0" borderId="12" xfId="0" applyNumberFormat="1" applyFont="1" applyBorder="1" applyAlignment="1">
      <alignment horizontal="center" vertical="center" wrapText="1" shrinkToFit="1"/>
    </xf>
    <xf numFmtId="0" fontId="3" fillId="0" borderId="0" xfId="0" applyNumberFormat="1" applyFont="1" applyBorder="1" applyAlignment="1">
      <alignment horizontal="center" vertical="center" shrinkToFit="1"/>
    </xf>
    <xf numFmtId="0" fontId="3" fillId="0" borderId="11" xfId="0" applyNumberFormat="1" applyFont="1" applyBorder="1" applyAlignment="1">
      <alignment horizontal="center" vertical="center" shrinkToFit="1"/>
    </xf>
    <xf numFmtId="0" fontId="3" fillId="0" borderId="5" xfId="0" applyNumberFormat="1" applyFont="1" applyBorder="1" applyAlignment="1">
      <alignment horizontal="center" vertical="center" wrapText="1"/>
    </xf>
    <xf numFmtId="0" fontId="3" fillId="0" borderId="10" xfId="0" applyNumberFormat="1" applyFont="1" applyBorder="1" applyAlignment="1">
      <alignment horizontal="center" vertical="center" shrinkToFit="1"/>
    </xf>
    <xf numFmtId="0" fontId="3" fillId="0" borderId="5" xfId="0" applyNumberFormat="1" applyFont="1" applyBorder="1" applyAlignment="1">
      <alignment horizontal="center" vertical="center" shrinkToFit="1"/>
    </xf>
    <xf numFmtId="0" fontId="3" fillId="0" borderId="0" xfId="0" applyNumberFormat="1" applyFont="1" applyBorder="1" applyAlignment="1">
      <alignment horizontal="center" vertical="center"/>
    </xf>
    <xf numFmtId="177" fontId="3" fillId="0" borderId="10" xfId="0" applyNumberFormat="1" applyFont="1" applyBorder="1" applyAlignment="1">
      <alignment horizontal="center" vertical="center"/>
    </xf>
    <xf numFmtId="0" fontId="3" fillId="0" borderId="7" xfId="0" applyNumberFormat="1" applyFont="1" applyBorder="1" applyAlignment="1">
      <alignment horizontal="center" vertical="center" wrapText="1"/>
    </xf>
    <xf numFmtId="191" fontId="5" fillId="0" borderId="0" xfId="0" applyNumberFormat="1" applyFont="1" applyBorder="1" applyAlignment="1">
      <alignment horizontal="left"/>
    </xf>
    <xf numFmtId="177" fontId="3" fillId="0" borderId="7" xfId="0" applyNumberFormat="1" applyFont="1" applyBorder="1" applyAlignment="1">
      <alignment horizontal="center" vertical="center"/>
    </xf>
    <xf numFmtId="0" fontId="3" fillId="0" borderId="10" xfId="0" applyNumberFormat="1" applyFont="1" applyBorder="1" applyAlignment="1">
      <alignment horizontal="center" vertical="center" wrapText="1" shrinkToFit="1"/>
    </xf>
    <xf numFmtId="0" fontId="3" fillId="0" borderId="5" xfId="0" applyNumberFormat="1" applyFont="1" applyBorder="1" applyAlignment="1">
      <alignment horizontal="center" vertical="center" wrapText="1" shrinkToFit="1"/>
    </xf>
    <xf numFmtId="177" fontId="3" fillId="0" borderId="5" xfId="0" applyNumberFormat="1" applyFont="1" applyBorder="1" applyAlignment="1">
      <alignment horizontal="center" vertical="center"/>
    </xf>
    <xf numFmtId="0" fontId="6" fillId="0" borderId="0" xfId="0" applyNumberFormat="1" applyFont="1" applyBorder="1" applyAlignment="1">
      <alignment horizontal="center" shrinkToFit="1"/>
    </xf>
    <xf numFmtId="0" fontId="3" fillId="0" borderId="1" xfId="0" applyNumberFormat="1" applyFont="1" applyBorder="1" applyAlignment="1">
      <alignment horizontal="center"/>
    </xf>
    <xf numFmtId="0" fontId="3" fillId="0" borderId="2" xfId="0" applyNumberFormat="1" applyFont="1" applyBorder="1" applyAlignment="1">
      <alignment horizontal="center" vertical="center"/>
    </xf>
    <xf numFmtId="0" fontId="3" fillId="0" borderId="1" xfId="0" applyNumberFormat="1" applyFont="1" applyBorder="1" applyAlignment="1">
      <alignment horizontal="center" vertical="center"/>
    </xf>
    <xf numFmtId="0" fontId="3" fillId="0" borderId="8" xfId="0" applyNumberFormat="1" applyFont="1" applyBorder="1" applyAlignment="1">
      <alignment horizontal="center" vertical="center"/>
    </xf>
    <xf numFmtId="0" fontId="3" fillId="0" borderId="3" xfId="0" applyNumberFormat="1" applyFont="1" applyBorder="1" applyAlignment="1">
      <alignment horizontal="center" vertical="center"/>
    </xf>
    <xf numFmtId="0" fontId="3" fillId="0" borderId="4" xfId="0" applyNumberFormat="1" applyFont="1" applyBorder="1" applyAlignment="1">
      <alignment horizontal="center" vertical="center"/>
    </xf>
    <xf numFmtId="0" fontId="3" fillId="0" borderId="9" xfId="0" applyNumberFormat="1" applyFont="1" applyBorder="1" applyAlignment="1">
      <alignment horizontal="center" vertical="center"/>
    </xf>
    <xf numFmtId="0" fontId="3" fillId="0" borderId="12" xfId="0" applyNumberFormat="1" applyFont="1" applyBorder="1" applyAlignment="1">
      <alignment horizontal="center" vertical="center"/>
    </xf>
    <xf numFmtId="0" fontId="3" fillId="0" borderId="11" xfId="0" applyNumberFormat="1" applyFont="1" applyBorder="1" applyAlignment="1">
      <alignment horizontal="center" vertical="center"/>
    </xf>
    <xf numFmtId="0" fontId="3" fillId="0" borderId="0" xfId="0" applyNumberFormat="1" applyFont="1" applyBorder="1" applyAlignment="1">
      <alignment horizontal="center" shrinkToFit="1"/>
    </xf>
    <xf numFmtId="184" fontId="3" fillId="0" borderId="0" xfId="0" applyNumberFormat="1" applyFont="1" applyBorder="1" applyAlignment="1">
      <alignment horizontal="center"/>
    </xf>
    <xf numFmtId="0" fontId="3" fillId="0" borderId="1" xfId="0" applyNumberFormat="1" applyFont="1" applyBorder="1" applyAlignment="1">
      <alignment horizontal="center" vertical="center" wrapText="1" shrinkToFit="1"/>
    </xf>
    <xf numFmtId="0" fontId="3" fillId="0" borderId="8" xfId="0" applyNumberFormat="1" applyFont="1" applyBorder="1" applyAlignment="1">
      <alignment horizontal="center" vertical="center" wrapText="1" shrinkToFit="1"/>
    </xf>
    <xf numFmtId="0" fontId="3" fillId="0" borderId="0" xfId="0" applyNumberFormat="1" applyFont="1" applyBorder="1" applyAlignment="1">
      <alignment horizontal="center" vertical="center" wrapText="1" shrinkToFit="1"/>
    </xf>
    <xf numFmtId="0" fontId="3" fillId="0" borderId="11" xfId="0" applyNumberFormat="1" applyFont="1" applyBorder="1" applyAlignment="1">
      <alignment horizontal="center" vertical="center" wrapText="1" shrinkToFit="1"/>
    </xf>
    <xf numFmtId="0" fontId="3" fillId="0" borderId="3" xfId="0" applyNumberFormat="1" applyFont="1" applyBorder="1" applyAlignment="1">
      <alignment horizontal="center" vertical="center" wrapText="1" shrinkToFit="1"/>
    </xf>
    <xf numFmtId="0" fontId="3" fillId="0" borderId="4" xfId="0" applyNumberFormat="1" applyFont="1" applyBorder="1" applyAlignment="1">
      <alignment horizontal="center" vertical="center" wrapText="1" shrinkToFit="1"/>
    </xf>
    <xf numFmtId="0" fontId="3" fillId="0" borderId="9" xfId="0" applyNumberFormat="1" applyFont="1" applyBorder="1" applyAlignment="1">
      <alignment horizontal="center" vertical="center" wrapText="1" shrinkToFit="1"/>
    </xf>
    <xf numFmtId="0" fontId="3" fillId="0" borderId="12" xfId="0" applyNumberFormat="1" applyFont="1" applyBorder="1" applyAlignment="1">
      <alignment horizontal="center" vertical="center" wrapText="1"/>
    </xf>
    <xf numFmtId="177" fontId="3" fillId="0" borderId="2" xfId="0" applyNumberFormat="1" applyFont="1" applyBorder="1" applyAlignment="1">
      <alignment horizontal="center" vertical="center"/>
    </xf>
    <xf numFmtId="177" fontId="3" fillId="0" borderId="1" xfId="0" applyNumberFormat="1" applyFont="1" applyBorder="1" applyAlignment="1">
      <alignment horizontal="center" vertical="center"/>
    </xf>
    <xf numFmtId="177" fontId="3" fillId="0" borderId="3" xfId="0" applyNumberFormat="1" applyFont="1" applyBorder="1" applyAlignment="1">
      <alignment horizontal="center" vertical="center"/>
    </xf>
    <xf numFmtId="177" fontId="3" fillId="0" borderId="4" xfId="0" applyNumberFormat="1" applyFont="1" applyBorder="1" applyAlignment="1">
      <alignment horizontal="center" vertical="center"/>
    </xf>
    <xf numFmtId="1" fontId="3" fillId="0" borderId="6" xfId="0" applyNumberFormat="1" applyFont="1" applyBorder="1" applyAlignment="1">
      <alignment horizontal="center"/>
    </xf>
    <xf numFmtId="0" fontId="3" fillId="0" borderId="0" xfId="0" applyNumberFormat="1" applyFont="1" applyBorder="1" applyAlignment="1">
      <alignment horizontal="right"/>
    </xf>
    <xf numFmtId="12" fontId="3" fillId="0" borderId="0" xfId="0" applyNumberFormat="1" applyFont="1" applyBorder="1" applyAlignment="1">
      <alignment horizontal="center"/>
    </xf>
    <xf numFmtId="178" fontId="3" fillId="0" borderId="0" xfId="0" applyNumberFormat="1" applyFont="1" applyBorder="1" applyAlignment="1">
      <alignment horizontal="center"/>
    </xf>
    <xf numFmtId="177" fontId="3" fillId="0" borderId="0" xfId="0" applyNumberFormat="1" applyFont="1" applyBorder="1" applyAlignment="1">
      <alignment horizontal="center"/>
    </xf>
    <xf numFmtId="177" fontId="3" fillId="0" borderId="10" xfId="0" applyNumberFormat="1" applyFont="1" applyBorder="1" applyAlignment="1">
      <alignment horizontal="center"/>
    </xf>
    <xf numFmtId="177" fontId="3" fillId="0" borderId="5" xfId="0" applyNumberFormat="1" applyFont="1" applyBorder="1" applyAlignment="1">
      <alignment horizontal="center"/>
    </xf>
    <xf numFmtId="0" fontId="3" fillId="0" borderId="0" xfId="0" applyNumberFormat="1" applyFont="1" applyBorder="1" applyAlignment="1">
      <alignment horizontal="right" shrinkToFit="1"/>
    </xf>
    <xf numFmtId="178" fontId="3" fillId="0" borderId="10" xfId="0" applyNumberFormat="1" applyFont="1" applyBorder="1" applyAlignment="1">
      <alignment horizontal="center"/>
    </xf>
    <xf numFmtId="178" fontId="3" fillId="0" borderId="2" xfId="0" applyNumberFormat="1" applyFont="1" applyBorder="1" applyAlignment="1">
      <alignment horizontal="center" vertical="center"/>
    </xf>
    <xf numFmtId="178" fontId="3" fillId="0" borderId="1" xfId="0" applyNumberFormat="1" applyFont="1" applyBorder="1" applyAlignment="1">
      <alignment horizontal="center" vertical="center"/>
    </xf>
    <xf numFmtId="178" fontId="3" fillId="0" borderId="8" xfId="0" applyNumberFormat="1" applyFont="1" applyBorder="1" applyAlignment="1">
      <alignment horizontal="center" vertical="center"/>
    </xf>
    <xf numFmtId="178" fontId="3" fillId="0" borderId="3" xfId="0" applyNumberFormat="1" applyFont="1" applyBorder="1" applyAlignment="1">
      <alignment horizontal="center" vertical="center"/>
    </xf>
    <xf numFmtId="178" fontId="3" fillId="0" borderId="4" xfId="0" applyNumberFormat="1" applyFont="1" applyBorder="1" applyAlignment="1">
      <alignment horizontal="center" vertical="center"/>
    </xf>
    <xf numFmtId="178" fontId="3" fillId="0" borderId="9" xfId="0" applyNumberFormat="1" applyFont="1" applyBorder="1" applyAlignment="1">
      <alignment horizontal="center" vertical="center"/>
    </xf>
    <xf numFmtId="177" fontId="3" fillId="0" borderId="8" xfId="0" applyNumberFormat="1" applyFont="1" applyBorder="1" applyAlignment="1">
      <alignment horizontal="center" vertical="center"/>
    </xf>
    <xf numFmtId="177" fontId="3" fillId="0" borderId="12" xfId="0" applyNumberFormat="1" applyFont="1" applyBorder="1" applyAlignment="1">
      <alignment horizontal="center" vertical="center"/>
    </xf>
    <xf numFmtId="177" fontId="3" fillId="0" borderId="0" xfId="0" applyNumberFormat="1" applyFont="1" applyBorder="1" applyAlignment="1">
      <alignment horizontal="center" vertical="center"/>
    </xf>
    <xf numFmtId="177" fontId="3" fillId="0" borderId="11" xfId="0" applyNumberFormat="1" applyFont="1" applyBorder="1" applyAlignment="1">
      <alignment horizontal="center" vertical="center"/>
    </xf>
    <xf numFmtId="177" fontId="3" fillId="0" borderId="9" xfId="0" applyNumberFormat="1" applyFont="1" applyBorder="1" applyAlignment="1">
      <alignment horizontal="center" vertical="center"/>
    </xf>
    <xf numFmtId="177" fontId="3" fillId="0" borderId="6" xfId="0" applyNumberFormat="1" applyFont="1" applyBorder="1" applyAlignment="1">
      <alignment horizontal="center"/>
    </xf>
    <xf numFmtId="0" fontId="3" fillId="0" borderId="10" xfId="0" applyNumberFormat="1" applyFont="1" applyBorder="1" applyAlignment="1">
      <alignment horizontal="center" shrinkToFit="1"/>
    </xf>
    <xf numFmtId="2" fontId="3" fillId="0" borderId="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3" fillId="0" borderId="3" xfId="0" applyNumberFormat="1" applyFont="1" applyBorder="1" applyAlignment="1">
      <alignment horizontal="center" vertical="center"/>
    </xf>
    <xf numFmtId="2" fontId="3" fillId="0" borderId="4" xfId="0" applyNumberFormat="1" applyFont="1" applyBorder="1" applyAlignment="1">
      <alignment horizontal="center" vertical="center"/>
    </xf>
    <xf numFmtId="178" fontId="3" fillId="0" borderId="2" xfId="0" applyNumberFormat="1" applyFont="1" applyBorder="1" applyAlignment="1">
      <alignment horizontal="center"/>
    </xf>
    <xf numFmtId="178" fontId="3" fillId="0" borderId="1" xfId="0" applyNumberFormat="1" applyFont="1" applyBorder="1" applyAlignment="1">
      <alignment horizontal="center"/>
    </xf>
    <xf numFmtId="177" fontId="3" fillId="0" borderId="2" xfId="0" applyNumberFormat="1" applyFont="1" applyBorder="1" applyAlignment="1">
      <alignment horizontal="center"/>
    </xf>
    <xf numFmtId="177" fontId="3" fillId="0" borderId="1" xfId="0" applyNumberFormat="1" applyFont="1" applyBorder="1" applyAlignment="1">
      <alignment horizontal="center"/>
    </xf>
    <xf numFmtId="2" fontId="3" fillId="0" borderId="8" xfId="0" applyNumberFormat="1" applyFont="1" applyBorder="1" applyAlignment="1">
      <alignment horizontal="center" vertical="center"/>
    </xf>
    <xf numFmtId="2" fontId="3" fillId="0" borderId="9" xfId="0" applyNumberFormat="1" applyFont="1" applyBorder="1" applyAlignment="1">
      <alignment horizontal="center" vertical="center"/>
    </xf>
    <xf numFmtId="2" fontId="3" fillId="0" borderId="2" xfId="0" applyNumberFormat="1" applyFont="1" applyBorder="1" applyAlignment="1">
      <alignment horizontal="center"/>
    </xf>
    <xf numFmtId="2" fontId="3" fillId="0" borderId="1" xfId="0" applyNumberFormat="1" applyFont="1" applyBorder="1" applyAlignment="1">
      <alignment horizontal="center"/>
    </xf>
    <xf numFmtId="2" fontId="3" fillId="0" borderId="5" xfId="0" applyNumberFormat="1" applyFont="1" applyBorder="1" applyAlignment="1">
      <alignment horizontal="center"/>
    </xf>
    <xf numFmtId="2" fontId="3" fillId="0" borderId="6" xfId="0" applyNumberFormat="1" applyFont="1" applyBorder="1" applyAlignment="1">
      <alignment horizontal="center"/>
    </xf>
    <xf numFmtId="177" fontId="3" fillId="0" borderId="6" xfId="0" applyNumberFormat="1" applyFont="1" applyBorder="1" applyAlignment="1">
      <alignment horizontal="center" vertical="center"/>
    </xf>
    <xf numFmtId="0" fontId="3" fillId="0" borderId="6" xfId="0" applyNumberFormat="1" applyFont="1" applyBorder="1" applyAlignment="1">
      <alignment horizontal="center" vertical="center"/>
    </xf>
    <xf numFmtId="177" fontId="3" fillId="0" borderId="7" xfId="0" applyNumberFormat="1" applyFont="1" applyBorder="1" applyAlignment="1">
      <alignment horizontal="center"/>
    </xf>
    <xf numFmtId="0" fontId="8" fillId="0" borderId="13" xfId="0" applyNumberFormat="1" applyFont="1" applyBorder="1" applyAlignment="1"/>
    <xf numFmtId="0" fontId="8" fillId="0" borderId="14" xfId="0" applyNumberFormat="1" applyFont="1" applyBorder="1" applyAlignment="1"/>
    <xf numFmtId="0" fontId="8" fillId="0" borderId="15" xfId="0" applyNumberFormat="1" applyFont="1" applyBorder="1" applyAlignment="1"/>
    <xf numFmtId="0" fontId="8" fillId="0" borderId="16" xfId="0" applyNumberFormat="1" applyFont="1" applyBorder="1" applyAlignment="1"/>
    <xf numFmtId="188" fontId="8" fillId="0" borderId="17" xfId="0" applyNumberFormat="1" applyFont="1" applyBorder="1" applyAlignment="1">
      <alignment horizontal="right"/>
    </xf>
    <xf numFmtId="0" fontId="8" fillId="0" borderId="18" xfId="0" applyNumberFormat="1" applyFont="1" applyBorder="1" applyAlignment="1"/>
    <xf numFmtId="0" fontId="8" fillId="0" borderId="19" xfId="0" applyNumberFormat="1" applyFont="1" applyBorder="1" applyAlignment="1"/>
    <xf numFmtId="176" fontId="8" fillId="0" borderId="17" xfId="0" applyNumberFormat="1" applyFont="1" applyBorder="1" applyAlignment="1">
      <alignment horizontal="center"/>
    </xf>
    <xf numFmtId="0" fontId="8" fillId="0" borderId="17" xfId="0" applyNumberFormat="1" applyFont="1" applyBorder="1" applyAlignment="1">
      <alignment horizontal="right"/>
    </xf>
    <xf numFmtId="0" fontId="6" fillId="2" borderId="23" xfId="0" applyFont="1" applyFill="1" applyBorder="1" applyAlignment="1">
      <alignment horizontal="center" vertical="center" shrinkToFit="1"/>
    </xf>
    <xf numFmtId="0" fontId="6" fillId="2" borderId="24" xfId="0" applyFont="1" applyFill="1" applyBorder="1" applyAlignment="1">
      <alignment horizontal="center" vertical="center" shrinkToFit="1"/>
    </xf>
    <xf numFmtId="0" fontId="6" fillId="2" borderId="17" xfId="0" applyFont="1" applyFill="1" applyBorder="1" applyAlignment="1">
      <alignment horizontal="center" vertical="center" wrapText="1"/>
    </xf>
    <xf numFmtId="0" fontId="6" fillId="2" borderId="21" xfId="0" applyFont="1" applyFill="1" applyBorder="1" applyAlignment="1">
      <alignment horizontal="center" vertical="center" wrapText="1"/>
    </xf>
    <xf numFmtId="189" fontId="8" fillId="0" borderId="17" xfId="0" applyNumberFormat="1" applyFont="1" applyBorder="1" applyAlignment="1">
      <alignment horizontal="right"/>
    </xf>
    <xf numFmtId="189" fontId="8" fillId="0" borderId="21" xfId="0" applyNumberFormat="1" applyFont="1" applyBorder="1" applyAlignment="1">
      <alignment horizontal="right"/>
    </xf>
    <xf numFmtId="0" fontId="8" fillId="0" borderId="25" xfId="0" applyFont="1" applyBorder="1" applyAlignment="1">
      <alignment horizontal="center"/>
    </xf>
    <xf numFmtId="0" fontId="8" fillId="0" borderId="26" xfId="0" applyFont="1" applyBorder="1" applyAlignment="1">
      <alignment horizontal="center"/>
    </xf>
    <xf numFmtId="176" fontId="8" fillId="0" borderId="26" xfId="0" applyNumberFormat="1" applyFont="1" applyBorder="1" applyAlignment="1">
      <alignment horizontal="right"/>
    </xf>
    <xf numFmtId="176" fontId="8" fillId="0" borderId="26" xfId="0" applyNumberFormat="1" applyFont="1" applyBorder="1" applyAlignment="1">
      <alignment horizontal="center"/>
    </xf>
    <xf numFmtId="0" fontId="8" fillId="0" borderId="26" xfId="0" applyNumberFormat="1" applyFont="1" applyBorder="1" applyAlignment="1">
      <alignment horizontal="right"/>
    </xf>
    <xf numFmtId="188" fontId="8" fillId="0" borderId="26" xfId="0" applyNumberFormat="1" applyFont="1" applyBorder="1" applyAlignment="1">
      <alignment horizontal="right"/>
    </xf>
    <xf numFmtId="189" fontId="8" fillId="0" borderId="26" xfId="0" applyNumberFormat="1" applyFont="1" applyBorder="1" applyAlignment="1">
      <alignment horizontal="right"/>
    </xf>
    <xf numFmtId="189" fontId="8" fillId="0" borderId="27" xfId="0" applyNumberFormat="1" applyFont="1" applyBorder="1" applyAlignment="1">
      <alignment horizontal="right"/>
    </xf>
    <xf numFmtId="0" fontId="8" fillId="0" borderId="20" xfId="0" applyFont="1" applyBorder="1" applyAlignment="1">
      <alignment horizontal="center"/>
    </xf>
    <xf numFmtId="0" fontId="8" fillId="0" borderId="17" xfId="0" applyFont="1" applyBorder="1" applyAlignment="1">
      <alignment horizontal="center"/>
    </xf>
    <xf numFmtId="176" fontId="8" fillId="0" borderId="17" xfId="0" applyNumberFormat="1" applyFont="1" applyBorder="1" applyAlignment="1">
      <alignment horizontal="right"/>
    </xf>
    <xf numFmtId="176" fontId="8" fillId="0" borderId="18" xfId="0" applyNumberFormat="1" applyFont="1" applyBorder="1" applyAlignment="1">
      <alignment horizontal="center"/>
    </xf>
    <xf numFmtId="176" fontId="8" fillId="0" borderId="13" xfId="0" applyNumberFormat="1" applyFont="1" applyBorder="1" applyAlignment="1">
      <alignment horizontal="center"/>
    </xf>
    <xf numFmtId="176" fontId="8" fillId="0" borderId="14" xfId="0" applyNumberFormat="1" applyFont="1" applyBorder="1" applyAlignment="1">
      <alignment horizontal="center"/>
    </xf>
    <xf numFmtId="0" fontId="6" fillId="2" borderId="22" xfId="0" applyFont="1" applyFill="1" applyBorder="1" applyAlignment="1">
      <alignment horizontal="center" vertical="center" wrapText="1"/>
    </xf>
    <xf numFmtId="0" fontId="6" fillId="2" borderId="23" xfId="0" applyFont="1" applyFill="1" applyBorder="1" applyAlignment="1">
      <alignment horizontal="center" vertical="center"/>
    </xf>
    <xf numFmtId="0" fontId="6" fillId="2" borderId="20" xfId="0" applyFont="1" applyFill="1" applyBorder="1" applyAlignment="1">
      <alignment horizontal="center" vertical="center"/>
    </xf>
    <xf numFmtId="0" fontId="6" fillId="2" borderId="17" xfId="0" applyFont="1" applyFill="1" applyBorder="1" applyAlignment="1">
      <alignment horizontal="center" vertical="center"/>
    </xf>
    <xf numFmtId="0" fontId="6" fillId="2" borderId="23" xfId="0" applyFont="1" applyFill="1" applyBorder="1" applyAlignment="1">
      <alignment horizontal="center" vertical="center" wrapText="1"/>
    </xf>
    <xf numFmtId="0" fontId="6" fillId="2" borderId="17" xfId="0" applyFont="1" applyFill="1" applyBorder="1" applyAlignment="1">
      <alignment horizontal="center"/>
    </xf>
    <xf numFmtId="0" fontId="6" fillId="2" borderId="23" xfId="0" applyFont="1" applyFill="1" applyBorder="1" applyAlignment="1">
      <alignment horizontal="center"/>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3"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6" fillId="0" borderId="5" xfId="0" applyFont="1" applyFill="1" applyBorder="1" applyAlignment="1">
      <alignment horizontal="left" vertical="center"/>
    </xf>
    <xf numFmtId="0" fontId="6" fillId="0" borderId="6" xfId="0" applyFont="1" applyFill="1" applyBorder="1" applyAlignment="1">
      <alignment horizontal="left" vertical="center"/>
    </xf>
    <xf numFmtId="0" fontId="6"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2" fillId="0" borderId="0" xfId="0" applyFont="1"/>
    <xf numFmtId="0" fontId="0" fillId="0" borderId="0" xfId="0" applyFont="1"/>
    <xf numFmtId="178" fontId="22" fillId="0" borderId="10" xfId="0" applyNumberFormat="1" applyFont="1" applyBorder="1" applyAlignment="1">
      <alignment horizontal="center"/>
    </xf>
    <xf numFmtId="178" fontId="22" fillId="0" borderId="6" xfId="0" applyNumberFormat="1" applyFont="1" applyBorder="1" applyAlignment="1">
      <alignment horizontal="center"/>
    </xf>
    <xf numFmtId="178" fontId="22" fillId="0" borderId="7" xfId="0" applyNumberFormat="1" applyFont="1" applyBorder="1" applyAlignment="1">
      <alignment horizontal="center"/>
    </xf>
    <xf numFmtId="178" fontId="22" fillId="0" borderId="2" xfId="0" applyNumberFormat="1" applyFont="1" applyBorder="1" applyAlignment="1">
      <alignment horizontal="center" vertical="center"/>
    </xf>
    <xf numFmtId="178" fontId="22" fillId="0" borderId="1" xfId="0" applyNumberFormat="1" applyFont="1" applyBorder="1" applyAlignment="1">
      <alignment horizontal="center" vertical="center"/>
    </xf>
    <xf numFmtId="178" fontId="22" fillId="0" borderId="8" xfId="0" applyNumberFormat="1" applyFont="1" applyBorder="1" applyAlignment="1">
      <alignment horizontal="center" vertical="center"/>
    </xf>
    <xf numFmtId="178" fontId="22" fillId="0" borderId="3" xfId="0" applyNumberFormat="1" applyFont="1" applyBorder="1" applyAlignment="1">
      <alignment horizontal="center" vertical="center"/>
    </xf>
    <xf numFmtId="178" fontId="22" fillId="0" borderId="4" xfId="0" applyNumberFormat="1" applyFont="1" applyBorder="1" applyAlignment="1">
      <alignment horizontal="center" vertical="center"/>
    </xf>
    <xf numFmtId="178" fontId="22" fillId="0" borderId="9" xfId="0" applyNumberFormat="1" applyFont="1" applyBorder="1" applyAlignment="1">
      <alignment horizontal="center" vertical="center"/>
    </xf>
    <xf numFmtId="0" fontId="23" fillId="3" borderId="10" xfId="3" applyFill="1" applyBorder="1">
      <alignment vertical="center"/>
    </xf>
    <xf numFmtId="0" fontId="23" fillId="0" borderId="0" xfId="3">
      <alignment vertical="center"/>
    </xf>
    <xf numFmtId="0" fontId="23" fillId="4" borderId="10" xfId="3" applyFill="1" applyBorder="1">
      <alignment vertical="center"/>
    </xf>
    <xf numFmtId="0" fontId="24" fillId="0" borderId="0" xfId="3" applyFont="1">
      <alignment vertical="center"/>
    </xf>
    <xf numFmtId="0" fontId="23" fillId="0" borderId="10" xfId="3" applyBorder="1">
      <alignment vertical="center"/>
    </xf>
    <xf numFmtId="0" fontId="23" fillId="3" borderId="28" xfId="3" applyFill="1" applyBorder="1">
      <alignment vertical="center"/>
    </xf>
    <xf numFmtId="0" fontId="24" fillId="0" borderId="29" xfId="3" applyFont="1" applyFill="1" applyBorder="1">
      <alignment vertical="center"/>
    </xf>
    <xf numFmtId="0" fontId="23" fillId="0" borderId="30" xfId="3" applyBorder="1">
      <alignment vertical="center"/>
    </xf>
  </cellXfs>
  <cellStyles count="4">
    <cellStyle name="ハイパーリンク" xfId="2" builtinId="8"/>
    <cellStyle name="標準" xfId="0" builtinId="0"/>
    <cellStyle name="標準 2" xfId="3"/>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219115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{"Md":200.35,"Nd":1800,"Sections":[{"Height":800,"WTop":800,"WBottom":800,"ElasticID":"C"}],"SectionElastic":[{"fck":24,"rc":1.3,"Ec":25,"dmax":25,"rm":1,"ElasticID":"C","</a:t>
          </a:r>
          <a:r>
            <a:rPr lang="el-GR" altLang="ja-JP"/>
            <a:t>σ</a:t>
          </a:r>
          <a:r>
            <a:rPr lang="en-US" altLang="ja-JP"/>
            <a:t>cMode":0}],"Steels":[{"Depth":75,"i":"D32","n":8,"IsTensionBar":false,"ElasticID":"S"},{"Depth":167.857142857143,"i":"D32","n":2,"IsTensionBar":false,"ElasticID":"S"},{"Depth":260.714285714286,"i":"D32","n":2,"IsTensionBar":false,"ElasticID":"S"},{"Depth":353.571428571429,"i":"D32","n":2,"IsTensionBar":false,"ElasticID":"S"},{"Depth":446.428571428571,"i":"D32","n":2,"IsTensionBar":false,"ElasticID":"S"},{"Depth":539.285714285714,"i":"D32","n":2,"IsTensionBar":false,"ElasticID":"S"},{"Depth":632.142857142857,"i":"D32","n":2,"IsTensionBar":false,"ElasticID":"S"},{"Depth":725,"i":"D32","n":8,"IsTensionBar":true,"ElasticID":"S"}],"SteelElastic":[{"fsk":345,"rs":1,"Es":200,"rm":1,"c":92.9,"pw":0.1188,"kw":1,"ElasticID":"S"}]}</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Reactions":[],"ResultSigma":{"Md":200.35,"Nd":1800,"fi":1.7129529277503353E-07,"sc":[{"Depth":4.5454545454545459,"s":3.8942462749405329},{"Depth":13.636363636363637,"s":3.8553155265825705},{"Depth":22.72727272727273,"s":3.8163847782246085},{"Depth":31.81818181818182,"s":3.7774540298666461},{"Depth":40.909090909090914,"s":3.7385232815086846},{"Depth":50.000000000000007,"s":3.6995925331507218},{"Depth":59.090909090909093,"s":3.6606617847927594},{"Depth":68.181818181818187,"s":3.6217310364347974},{"Depth":77.27272727272728,"s":3.5828002880768355},{"Depth":86.363636363636374,"s":3.5438695397188735},{"Depth":95.454545454545467,"s":3.5049387913609107},{"Depth":104.54545454545456,"s":3.4660080430029487},{"Depth":113.63636363636364,"s":3.4270772946449868},{"Depth":122.72727272727273,"s":3.3881465462870244},{"Depth":131.81818181818181,"s":3.3492157979290633},{"Depth":140.90909090909091,"s":3.3102850495711005},{"Depth":150,"s":3.2713543012131385},{"Depth":159.09090909090909,"s":3.2324235528551757},{"Depth":168.18181818181819,"s":3.1934928044972137},{"Depth":177.27272727272728,"s":3.1545620561392518},{"Depth":186.36363636363637,"s":3.1156313077812894},{"Depth":195.45454545454547,"s":3.0767005594233274},{"Depth":204.54545454545456,"s":3.0377698110653655},{"Depth":213.63636363636365,"s":2.9988390627074031},{"Depth":222.72727272727272,"s":2.9599083143494407},{"Depth":231.81818181818181,"s":2.9209775659914787},{"Depth":240.90909090909091,"s":2.8820468176335163},{"Depth":250,"s":2.8431160692755544},{"Depth":259.09090909090912,"s":2.804185320917592},{"Depth":268.18181818181824,"s":2.7652545725596296},{"Depth":277.27272727272731,"s":2.7263238242016676},{"Depth":286.36363636363643,"s":2.6873930758437052},{"Depth":295.4545454545455,"s":2.6484623274857433},{"Depth":304.54545454545456,"s":2.6095315791277813},{"Depth":313.63636363636368,"s":2.5706008307698185},{"Depth":322.72727272727275,"s":2.531670082411857},{"Depth":331.81818181818187,"s":2.4927393340538946},{"Depth":340.90909090909093,"s":2.4538085856959322},{"Depth":350.00000000000006,"s":2.4148778373379702},{"Depth":359.09090909090912,"s":2.3759470889800078},{"Depth":368.18181818181824,"s":2.3370163406220459},{"Depth":377.27272727272731,"s":2.2980855922640844},{"Depth":386.36363636363643,"s":2.2591548439061215},{"Depth":395.4545454545455,"s":2.2202240955481596},{"Depth":404.54545454545462,"s":2.1812933471901972},{"Depth":413.63636363636368,"s":2.1423625988322352},{"Depth":422.7272727272728,"s":2.1034318504742728},{"Depth":431.81818181818187,"s":2.0645011021163109},{"Depth":440.90909090909093,"s":2.0255703537583489},{"Depth":450.00000000000006,"s":1.9866396054003861},{"Depth":459.09090909090912,"s":1.9477088570424244},{"Depth":468.18181818181824,"s":1.908778108684462},{"Depth":477.27272727272731,"s":1.8698473603265},{"Depth":486.36363636363643,"s":1.8309166119685376},{"Depth":495.4545454545455,"s":1.7919858636105757},{"Depth":504.54545454545462,"s":1.7530551152526135},{"Depth":513.63636363636363,"s":1.7141243668946513},{"Depth":522.72727272727275,"s":1.6751936185366894},{"Depth":531.81818181818187,"s":1.636262870178727},{"Depth":540.90909090909088,"s":1.597332121820765},{"Depth":550,"s":1.5584013734628026},{"Depth":559.09090909090912,"s":1.5194706251048404},{"Depth":568.18181818181824,"s":1.480539876746878},{"Depth":577.27272727272725,"s":1.4416091283889163},{"Depth":586.36363636363637,"s":1.4026783800309541},{"Depth":595.4545454545455,"s":1.3637476316729917},{"Depth":604.5454545454545,"s":1.32481688331503},{"Depth":613.63636363636363,"s":1.2858861349570676},{"Depth":622.72727272727275,"s":1.2469553865991052},{"Depth":631.81818181818187,"s":1.208024638241143},{"Depth":640.90909090909088,"s":1.1690938898831813},{"Depth":650,"s":1.1301631415252191},{"Depth":659.09090909090912,"s":1.0912323931672567},{"Depth":668.18181818181824,"s":1.0523016448092943},{"Depth":677.27272727272725,"s":1.0133708964513324},{"Depth":686.36363636363637,"s":0.97444014809337021},{"Depth":695.4545454545455,"s":0.93550939973540792},{"Depth":704.54545454545462,"s":0.89657865137744552},{"Depth":713.63636363636363,"s":0.8576479030194839},{"Depth":722.72727272727275,"s":0.81871715466152151},{"Depth":731.81818181818187,"s":0.77978640630355922},{"Depth":740.90909090909088,"s":0.74085565794559738},{"Depth":750,"s":0.70192490958763509},{"Depth":759.09090909090912,"s":0.66299416122967281},{"Depth":768.18181818181824,"s":0.62406341287171041},{"Depth":777.27272727272725,"s":0.58513266451374879},{"Depth":786.36363636363637,"s":0.54620191615578639},{"Depth":795.4545454545455,"s":0.50727116779782411}],"st":[{"Depth":75,"s":28.740263801330606},{"Depth":167.857142857143,"s":25.559065506937124},{"Depth":260.714285714286,"s":22.377867212543638},{"Depth":353.571428571429,"s":19.196668918150152},{"Depth":446.428571428571,"s":16.015470623756702},{"Depth":539.285714285714,"s":12.83427232936322},{"Depth":632.142857142857,"s":9.6530740349697339},{"Depth":725,"s":6.4718757405762481}],"x":913.909912109375}}</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24</xdr:col>
      <xdr:colOff>141431</xdr:colOff>
      <xdr:row>274</xdr:row>
      <xdr:rowOff>174626</xdr:rowOff>
    </xdr:from>
    <xdr:to>
      <xdr:col>25</xdr:col>
      <xdr:colOff>141431</xdr:colOff>
      <xdr:row>275</xdr:row>
      <xdr:rowOff>158750</xdr:rowOff>
    </xdr:to>
    <xdr:sp macro="" textlink="">
      <xdr:nvSpPr>
        <xdr:cNvPr id="2" name="テキスト ボックス 1"/>
        <xdr:cNvSpPr txBox="1"/>
      </xdr:nvSpPr>
      <xdr:spPr>
        <a:xfrm>
          <a:off x="5475431" y="74062649"/>
          <a:ext cx="199159" cy="1832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800">
              <a:latin typeface="ＭＳ 明朝" panose="02020609040205080304" pitchFamily="17" charset="-128"/>
              <a:ea typeface="ＭＳ 明朝" panose="02020609040205080304" pitchFamily="17" charset="-128"/>
            </a:rPr>
            <a:t>※</a:t>
          </a:r>
          <a:endParaRPr kumimoji="1" lang="ja-JP" altLang="en-US" sz="800">
            <a:latin typeface="ＭＳ 明朝" panose="02020609040205080304" pitchFamily="17" charset="-128"/>
            <a:ea typeface="ＭＳ 明朝" panose="02020609040205080304" pitchFamily="17" charset="-128"/>
          </a:endParaRPr>
        </a:p>
      </xdr:txBody>
    </xdr:sp>
    <xdr:clientData/>
  </xdr:twoCellAnchor>
  <xdr:twoCellAnchor>
    <xdr:from>
      <xdr:col>5</xdr:col>
      <xdr:colOff>200025</xdr:colOff>
      <xdr:row>12</xdr:row>
      <xdr:rowOff>0</xdr:rowOff>
    </xdr:from>
    <xdr:to>
      <xdr:col>17</xdr:col>
      <xdr:colOff>47625</xdr:colOff>
      <xdr:row>19</xdr:row>
      <xdr:rowOff>57150</xdr:rowOff>
    </xdr:to>
    <xdr:grpSp>
      <xdr:nvGrpSpPr>
        <xdr:cNvPr id="73601" name="グループ化 68"/>
        <xdr:cNvGrpSpPr>
          <a:grpSpLocks/>
        </xdr:cNvGrpSpPr>
      </xdr:nvGrpSpPr>
      <xdr:grpSpPr bwMode="auto">
        <a:xfrm>
          <a:off x="1757643" y="2420471"/>
          <a:ext cx="2268070" cy="1469091"/>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0</xdr:colOff>
      <xdr:row>22</xdr:row>
      <xdr:rowOff>123825</xdr:rowOff>
    </xdr:from>
    <xdr:to>
      <xdr:col>17</xdr:col>
      <xdr:colOff>142875</xdr:colOff>
      <xdr:row>30</xdr:row>
      <xdr:rowOff>57150</xdr:rowOff>
    </xdr:to>
    <xdr:grpSp>
      <xdr:nvGrpSpPr>
        <xdr:cNvPr id="73602" name="グループ化 69"/>
        <xdr:cNvGrpSpPr>
          <a:grpSpLocks/>
        </xdr:cNvGrpSpPr>
      </xdr:nvGrpSpPr>
      <xdr:grpSpPr bwMode="auto">
        <a:xfrm>
          <a:off x="1759324" y="4561354"/>
          <a:ext cx="2361639" cy="1546972"/>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5</xdr:col>
      <xdr:colOff>200025</xdr:colOff>
      <xdr:row>34</xdr:row>
      <xdr:rowOff>0</xdr:rowOff>
    </xdr:from>
    <xdr:to>
      <xdr:col>17</xdr:col>
      <xdr:colOff>161925</xdr:colOff>
      <xdr:row>41</xdr:row>
      <xdr:rowOff>47625</xdr:rowOff>
    </xdr:to>
    <xdr:grpSp>
      <xdr:nvGrpSpPr>
        <xdr:cNvPr id="73603" name="グループ化 74"/>
        <xdr:cNvGrpSpPr>
          <a:grpSpLocks/>
        </xdr:cNvGrpSpPr>
      </xdr:nvGrpSpPr>
      <xdr:grpSpPr bwMode="auto">
        <a:xfrm>
          <a:off x="1757643" y="6858000"/>
          <a:ext cx="2382370" cy="1459566"/>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10</xdr:col>
      <xdr:colOff>9525</xdr:colOff>
      <xdr:row>36</xdr:row>
      <xdr:rowOff>9525</xdr:rowOff>
    </xdr:from>
    <xdr:to>
      <xdr:col>17</xdr:col>
      <xdr:colOff>0</xdr:colOff>
      <xdr:row>36</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26</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15</xdr:col>
      <xdr:colOff>9525</xdr:colOff>
      <xdr:row>167</xdr:row>
      <xdr:rowOff>0</xdr:rowOff>
    </xdr:from>
    <xdr:to>
      <xdr:col>20</xdr:col>
      <xdr:colOff>0</xdr:colOff>
      <xdr:row>167</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8</xdr:col>
      <xdr:colOff>123825</xdr:colOff>
      <xdr:row>234</xdr:row>
      <xdr:rowOff>9525</xdr:rowOff>
    </xdr:from>
    <xdr:to>
      <xdr:col>9</xdr:col>
      <xdr:colOff>28575</xdr:colOff>
      <xdr:row>234</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28575</xdr:colOff>
      <xdr:row>234</xdr:row>
      <xdr:rowOff>9525</xdr:rowOff>
    </xdr:from>
    <xdr:to>
      <xdr:col>16</xdr:col>
      <xdr:colOff>9525</xdr:colOff>
      <xdr:row>234</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27</xdr:col>
      <xdr:colOff>96837</xdr:colOff>
      <xdr:row>330</xdr:row>
      <xdr:rowOff>152399</xdr:rowOff>
    </xdr:from>
    <xdr:to>
      <xdr:col>28</xdr:col>
      <xdr:colOff>96836</xdr:colOff>
      <xdr:row>331</xdr:row>
      <xdr:rowOff>0</xdr:rowOff>
    </xdr:to>
    <xdr:sp macro="" textlink="">
      <xdr:nvSpPr>
        <xdr:cNvPr id="51" name="テキスト ボックス 50"/>
        <xdr:cNvSpPr txBox="1"/>
      </xdr:nvSpPr>
      <xdr:spPr>
        <a:xfrm>
          <a:off x="6605587" y="92624274"/>
          <a:ext cx="198437" cy="182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800">
              <a:latin typeface="ＭＳ 明朝" panose="02020609040205080304" pitchFamily="17" charset="-128"/>
              <a:ea typeface="ＭＳ 明朝" panose="02020609040205080304" pitchFamily="17" charset="-128"/>
            </a:rPr>
            <a:t>※</a:t>
          </a:r>
          <a:endParaRPr kumimoji="1" lang="ja-JP" altLang="en-US" sz="800">
            <a:latin typeface="ＭＳ 明朝" panose="02020609040205080304" pitchFamily="17" charset="-128"/>
            <a:ea typeface="ＭＳ 明朝" panose="02020609040205080304" pitchFamily="17" charset="-128"/>
          </a:endParaRPr>
        </a:p>
      </xdr:txBody>
    </xdr:sp>
    <xdr:clientData/>
  </xdr:twoCellAnchor>
  <xdr:twoCellAnchor>
    <xdr:from>
      <xdr:col>22</xdr:col>
      <xdr:colOff>28575</xdr:colOff>
      <xdr:row>515</xdr:row>
      <xdr:rowOff>57150</xdr:rowOff>
    </xdr:from>
    <xdr:to>
      <xdr:col>22</xdr:col>
      <xdr:colOff>114300</xdr:colOff>
      <xdr:row>515</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516</xdr:row>
      <xdr:rowOff>47625</xdr:rowOff>
    </xdr:from>
    <xdr:to>
      <xdr:col>24</xdr:col>
      <xdr:colOff>171450</xdr:colOff>
      <xdr:row>516</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57150</xdr:colOff>
      <xdr:row>519</xdr:row>
      <xdr:rowOff>57150</xdr:rowOff>
    </xdr:from>
    <xdr:to>
      <xdr:col>9</xdr:col>
      <xdr:colOff>142875</xdr:colOff>
      <xdr:row>519</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Visual%20Studio%202017/Projects/WebDanforExcel/WebDanforExce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ご利用方法"/>
      <sheetName val="耐久性 曲げひび割れ"/>
      <sheetName val="耐久性 せん断ひび割れ"/>
      <sheetName val="安全性破壊 曲げモーメント"/>
      <sheetName val="安全性破壊 せん断力"/>
      <sheetName val="安全性疲労破壊 曲げモーメント"/>
      <sheetName val="安全性疲労破壊 せん断力"/>
      <sheetName val="復旧性 曲げモーメント"/>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zoomScaleNormal="100" workbookViewId="0">
      <selection activeCell="H23" sqref="H23"/>
    </sheetView>
  </sheetViews>
  <sheetFormatPr defaultColWidth="12.375" defaultRowHeight="14.25" customHeight="1"/>
  <cols>
    <col min="1" max="1" width="3.5" style="197" customWidth="1"/>
    <col min="2" max="5" width="12.375" style="198" customWidth="1"/>
    <col min="6" max="6" width="12.375" style="197" customWidth="1"/>
    <col min="7" max="12" width="12.375" style="198" customWidth="1"/>
    <col min="13" max="13" width="12.375" style="197" customWidth="1"/>
    <col min="14" max="18" width="12.375" style="198" customWidth="1"/>
    <col min="19" max="19" width="12.375" style="197" customWidth="1"/>
    <col min="20" max="16384" width="12.375" style="198"/>
  </cols>
  <sheetData>
    <row r="1" spans="1:19" s="193" customFormat="1" ht="15.75" customHeight="1">
      <c r="A1" s="191" t="s">
        <v>538</v>
      </c>
      <c r="B1" s="192"/>
      <c r="C1" s="192"/>
      <c r="D1" s="192"/>
      <c r="E1" s="192"/>
      <c r="F1" s="192"/>
      <c r="G1" s="192"/>
      <c r="H1" s="192"/>
      <c r="I1" s="192"/>
      <c r="J1" s="192"/>
    </row>
    <row r="3" spans="1:19" s="194" customFormat="1" ht="14.25" customHeight="1">
      <c r="B3" s="195" t="s">
        <v>510</v>
      </c>
      <c r="K3" s="196"/>
    </row>
    <row r="4" spans="1:19" s="194" customFormat="1" ht="7.5" customHeight="1"/>
    <row r="5" spans="1:19" s="194" customFormat="1" ht="14.25" customHeight="1">
      <c r="B5" s="194" t="s">
        <v>536</v>
      </c>
    </row>
    <row r="6" spans="1:19" s="194" customFormat="1" ht="14.25" customHeight="1">
      <c r="B6" s="194" t="s">
        <v>537</v>
      </c>
    </row>
    <row r="7" spans="1:19" s="194" customFormat="1" ht="14.25" customHeight="1"/>
    <row r="8" spans="1:19" ht="14.25" customHeight="1">
      <c r="B8" s="198" t="s">
        <v>511</v>
      </c>
    </row>
    <row r="9" spans="1:19" ht="14.25" customHeight="1">
      <c r="B9" s="199" t="s">
        <v>512</v>
      </c>
    </row>
    <row r="11" spans="1:19" ht="14.25" customHeight="1">
      <c r="B11" s="198" t="s">
        <v>513</v>
      </c>
    </row>
    <row r="13" spans="1:19" s="202" customFormat="1" ht="14.25" customHeight="1">
      <c r="A13" s="200"/>
      <c r="B13" s="201" t="s">
        <v>514</v>
      </c>
      <c r="F13" s="200"/>
      <c r="M13" s="200"/>
      <c r="S13" s="200"/>
    </row>
    <row r="14" spans="1:19" s="202" customFormat="1" ht="14.25" customHeight="1">
      <c r="A14" s="200"/>
      <c r="B14" s="203"/>
      <c r="C14" s="204"/>
      <c r="D14" s="204"/>
      <c r="E14" s="204"/>
      <c r="F14" s="204"/>
      <c r="G14" s="204"/>
      <c r="H14" s="205"/>
      <c r="M14" s="200"/>
      <c r="S14" s="200"/>
    </row>
    <row r="15" spans="1:19" s="202" customFormat="1" ht="14.25" customHeight="1">
      <c r="A15" s="200"/>
      <c r="B15" s="201" t="s">
        <v>515</v>
      </c>
      <c r="F15" s="200"/>
      <c r="M15" s="200"/>
      <c r="S15" s="200"/>
    </row>
    <row r="16" spans="1:19" s="202" customFormat="1" ht="14.25" customHeight="1">
      <c r="A16" s="200"/>
      <c r="B16" s="206"/>
      <c r="C16" s="207"/>
      <c r="D16" s="207"/>
      <c r="E16" s="207"/>
      <c r="F16" s="207"/>
      <c r="G16" s="207"/>
      <c r="H16" s="208"/>
      <c r="M16" s="200"/>
      <c r="S16" s="200"/>
    </row>
    <row r="18" spans="2:11" ht="14.25" customHeight="1">
      <c r="B18" s="198" t="s">
        <v>516</v>
      </c>
    </row>
    <row r="19" spans="2:11" ht="14.25" customHeight="1">
      <c r="B19" s="209" t="s">
        <v>517</v>
      </c>
    </row>
    <row r="20" spans="2:11" ht="14.25" customHeight="1">
      <c r="B20" s="209" t="s">
        <v>518</v>
      </c>
    </row>
    <row r="23" spans="2:11" s="194" customFormat="1" ht="14.25" customHeight="1">
      <c r="B23" s="195" t="s">
        <v>519</v>
      </c>
      <c r="K23" s="196"/>
    </row>
    <row r="24" spans="2:11" s="194" customFormat="1" ht="7.5" customHeight="1"/>
    <row r="25" spans="2:11" ht="14.25" customHeight="1">
      <c r="B25" s="198" t="s">
        <v>520</v>
      </c>
    </row>
    <row r="26" spans="2:11" ht="14.25" customHeight="1">
      <c r="B26" s="198" t="s">
        <v>521</v>
      </c>
    </row>
    <row r="27" spans="2:11" ht="14.25" customHeight="1">
      <c r="B27" s="198" t="s">
        <v>522</v>
      </c>
    </row>
    <row r="28" spans="2:11" ht="14.25" customHeight="1">
      <c r="B28" s="198" t="s">
        <v>523</v>
      </c>
    </row>
    <row r="29" spans="2:11" ht="14.25" customHeight="1">
      <c r="B29" s="198" t="s">
        <v>524</v>
      </c>
    </row>
    <row r="32" spans="2:11" s="194" customFormat="1" ht="14.25" customHeight="1">
      <c r="B32" s="195" t="s">
        <v>525</v>
      </c>
      <c r="K32" s="196"/>
    </row>
    <row r="33" spans="2:21" s="194" customFormat="1" ht="7.5" customHeight="1"/>
    <row r="34" spans="2:21" ht="14.25" customHeight="1">
      <c r="B34" s="194" t="s">
        <v>595</v>
      </c>
    </row>
    <row r="35" spans="2:21" ht="14.25" customHeight="1">
      <c r="B35" s="198" t="s">
        <v>526</v>
      </c>
    </row>
    <row r="37" spans="2:21" ht="14.25" customHeight="1">
      <c r="U37"/>
    </row>
    <row r="42" spans="2:21" ht="14.25" customHeight="1">
      <c r="N42"/>
    </row>
    <row r="43" spans="2:21" ht="14.25" customHeight="1">
      <c r="N43" s="198" t="s">
        <v>527</v>
      </c>
    </row>
    <row r="44" spans="2:21" ht="14.25" customHeight="1">
      <c r="K44"/>
    </row>
    <row r="46" spans="2:21" ht="14.25" customHeight="1">
      <c r="L46"/>
      <c r="T46"/>
    </row>
    <row r="48" spans="2:21" ht="14.25" customHeight="1">
      <c r="G48"/>
      <c r="L48"/>
    </row>
    <row r="49" spans="1:41" ht="14.25" customHeight="1">
      <c r="K49"/>
    </row>
    <row r="54" spans="1:41" s="197" customFormat="1" ht="14.25" customHeight="1">
      <c r="A54" s="210"/>
      <c r="B54" s="210"/>
      <c r="C54" s="210"/>
      <c r="D54" s="210"/>
      <c r="E54" s="210"/>
      <c r="F54" s="210"/>
      <c r="G54" s="210"/>
      <c r="H54" s="210"/>
      <c r="I54" s="210"/>
      <c r="J54" s="210"/>
      <c r="K54" s="210"/>
      <c r="L54" s="210"/>
      <c r="M54" s="210"/>
      <c r="N54" s="210"/>
      <c r="O54" s="210"/>
      <c r="P54" s="210"/>
      <c r="Q54" s="210"/>
      <c r="R54" s="210"/>
      <c r="S54" s="210"/>
      <c r="T54" s="210"/>
      <c r="U54" s="210"/>
      <c r="V54" s="210"/>
      <c r="W54" s="210"/>
      <c r="X54" s="210"/>
      <c r="Y54" s="210"/>
      <c r="Z54" s="210"/>
      <c r="AA54" s="210"/>
      <c r="AB54" s="210"/>
      <c r="AC54" s="210"/>
      <c r="AD54" s="210"/>
      <c r="AE54" s="210"/>
      <c r="AF54" s="210"/>
      <c r="AG54" s="210"/>
      <c r="AH54" s="210"/>
      <c r="AI54" s="210"/>
      <c r="AJ54" s="210"/>
      <c r="AK54" s="210"/>
      <c r="AL54" s="210"/>
      <c r="AM54" s="210"/>
      <c r="AN54" s="210"/>
      <c r="AO54" s="210"/>
    </row>
    <row r="60" spans="1:41" ht="14.25" customHeight="1">
      <c r="N60"/>
    </row>
    <row r="92" spans="2:11" s="194" customFormat="1" ht="14.25" customHeight="1">
      <c r="B92" s="195" t="s">
        <v>528</v>
      </c>
      <c r="K92" s="196"/>
    </row>
    <row r="93" spans="2:11" s="194" customFormat="1" ht="7.5" customHeight="1"/>
    <row r="94" spans="2:11" ht="14.25" customHeight="1">
      <c r="B94" s="211" t="s">
        <v>529</v>
      </c>
    </row>
    <row r="95" spans="2:11" ht="14.25" customHeight="1">
      <c r="B95" s="211" t="s">
        <v>530</v>
      </c>
    </row>
    <row r="96" spans="2:11" ht="14.25" customHeight="1">
      <c r="B96" s="211" t="s">
        <v>531</v>
      </c>
    </row>
    <row r="97" spans="2:2" ht="14.25" customHeight="1">
      <c r="B97" s="211" t="s">
        <v>532</v>
      </c>
    </row>
    <row r="98" spans="2:2" ht="14.25" customHeight="1">
      <c r="B98" s="212" t="s">
        <v>533</v>
      </c>
    </row>
    <row r="99" spans="2:2" ht="14.25" customHeight="1">
      <c r="B99" s="213" t="s">
        <v>534</v>
      </c>
    </row>
    <row r="100" spans="2:2" ht="14.25" customHeight="1">
      <c r="B100" s="214" t="s">
        <v>535</v>
      </c>
    </row>
  </sheetData>
  <mergeCells count="2">
    <mergeCell ref="B14:H14"/>
    <mergeCell ref="B16:H16"/>
  </mergeCells>
  <phoneticPr fontId="1"/>
  <hyperlinks>
    <hyperlink ref="B9" r:id="rId1"/>
  </hyperlinks>
  <pageMargins left="0.75" right="0.75" top="1" bottom="1" header="0.51200000000000001" footer="0.5120000000000000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U1226"/>
  <sheetViews>
    <sheetView view="pageBreakPreview" zoomScale="85" zoomScaleNormal="90" zoomScaleSheetLayoutView="85" workbookViewId="0">
      <selection activeCell="N29" sqref="N29"/>
    </sheetView>
  </sheetViews>
  <sheetFormatPr defaultColWidth="2.625" defaultRowHeight="15.75" customHeight="1"/>
  <cols>
    <col min="1" max="1" width="2.75" style="6" customWidth="1"/>
    <col min="2" max="2" width="2.625" style="7" customWidth="1"/>
    <col min="3" max="3" width="2.625" style="6" customWidth="1"/>
    <col min="4" max="4" width="2.625" style="7" customWidth="1"/>
    <col min="5" max="9" width="2.625" style="6"/>
    <col min="10" max="10" width="2.625" style="6" customWidth="1"/>
    <col min="11" max="36" width="2.625" style="6"/>
    <col min="37" max="37" width="6.75" style="6" bestFit="1" customWidth="1"/>
    <col min="38" max="38" width="5" style="6" bestFit="1" customWidth="1"/>
    <col min="39" max="39" width="8.5" style="6" bestFit="1" customWidth="1"/>
    <col min="40" max="42" width="5" style="6" bestFit="1" customWidth="1"/>
    <col min="43" max="43" width="10.25" style="6" bestFit="1" customWidth="1"/>
    <col min="44" max="44" width="8.5" style="6" bestFit="1" customWidth="1"/>
    <col min="45" max="16384" width="2.625" style="6"/>
  </cols>
  <sheetData>
    <row r="1" spans="1:47" ht="15.75" customHeight="1">
      <c r="AO1" s="36" t="s">
        <v>14</v>
      </c>
      <c r="AP1" s="36"/>
    </row>
    <row r="2" spans="1:47" ht="15.75" customHeight="1">
      <c r="C2" s="5"/>
      <c r="AL2" s="6" t="s">
        <v>454</v>
      </c>
      <c r="AM2" s="6" t="s">
        <v>12</v>
      </c>
      <c r="AN2" s="6" t="s">
        <v>455</v>
      </c>
      <c r="AO2" s="6" t="s">
        <v>17</v>
      </c>
      <c r="AP2" s="6" t="s">
        <v>18</v>
      </c>
      <c r="AQ2" s="6" t="s">
        <v>15</v>
      </c>
      <c r="AR2" s="6" t="s">
        <v>0</v>
      </c>
    </row>
    <row r="3" spans="1:47" ht="15.75" customHeight="1">
      <c r="A3" s="7"/>
      <c r="B3" s="5"/>
      <c r="C3" s="7"/>
      <c r="D3" s="6"/>
      <c r="Q3" s="12" t="s">
        <v>9</v>
      </c>
      <c r="AK3" s="6" t="s">
        <v>22</v>
      </c>
      <c r="AL3" s="6">
        <v>2.8</v>
      </c>
      <c r="AM3" s="6" t="s">
        <v>323</v>
      </c>
      <c r="AN3" s="6">
        <v>2</v>
      </c>
      <c r="AO3" s="6">
        <v>16</v>
      </c>
      <c r="AP3" s="6">
        <v>6</v>
      </c>
    </row>
    <row r="4" spans="1:47" ht="15.75" customHeight="1">
      <c r="A4" s="184" t="s">
        <v>10</v>
      </c>
      <c r="B4" s="185"/>
      <c r="C4" s="185"/>
      <c r="D4" s="188" t="s">
        <v>11</v>
      </c>
      <c r="E4" s="188"/>
      <c r="F4" s="188"/>
      <c r="G4" s="188"/>
      <c r="H4" s="188" t="s">
        <v>12</v>
      </c>
      <c r="I4" s="188"/>
      <c r="J4" s="188"/>
      <c r="K4" s="188"/>
      <c r="L4" s="188" t="s">
        <v>13</v>
      </c>
      <c r="M4" s="188"/>
      <c r="N4" s="188"/>
      <c r="O4" s="190" t="s">
        <v>14</v>
      </c>
      <c r="P4" s="190"/>
      <c r="Q4" s="190"/>
      <c r="R4" s="190"/>
      <c r="S4" s="190"/>
      <c r="T4" s="190"/>
      <c r="U4" s="190"/>
      <c r="V4" s="190"/>
      <c r="W4" s="188" t="s">
        <v>15</v>
      </c>
      <c r="X4" s="188"/>
      <c r="Y4" s="188"/>
      <c r="Z4" s="188"/>
      <c r="AA4" s="164" t="s">
        <v>16</v>
      </c>
      <c r="AB4" s="164"/>
      <c r="AC4" s="164"/>
      <c r="AD4" s="164"/>
      <c r="AE4" s="164" t="s">
        <v>0</v>
      </c>
      <c r="AF4" s="164"/>
      <c r="AG4" s="164"/>
      <c r="AH4" s="165"/>
      <c r="AK4" s="6" t="s">
        <v>23</v>
      </c>
      <c r="AL4" s="6">
        <v>13</v>
      </c>
      <c r="AM4" s="6" t="s">
        <v>324</v>
      </c>
      <c r="AN4" s="6">
        <v>50</v>
      </c>
      <c r="AO4" s="6">
        <v>20</v>
      </c>
      <c r="AP4" s="6">
        <v>10</v>
      </c>
      <c r="AQ4" s="6">
        <v>43</v>
      </c>
      <c r="AR4" s="6">
        <v>76923</v>
      </c>
    </row>
    <row r="5" spans="1:47" ht="15.75" customHeight="1">
      <c r="A5" s="186"/>
      <c r="B5" s="187"/>
      <c r="C5" s="187"/>
      <c r="D5" s="166"/>
      <c r="E5" s="166"/>
      <c r="F5" s="166"/>
      <c r="G5" s="166"/>
      <c r="H5" s="166"/>
      <c r="I5" s="166"/>
      <c r="J5" s="166"/>
      <c r="K5" s="166"/>
      <c r="L5" s="166"/>
      <c r="M5" s="166"/>
      <c r="N5" s="166"/>
      <c r="O5" s="189" t="s">
        <v>17</v>
      </c>
      <c r="P5" s="189"/>
      <c r="Q5" s="189"/>
      <c r="R5" s="189"/>
      <c r="S5" s="189" t="s">
        <v>18</v>
      </c>
      <c r="T5" s="189"/>
      <c r="U5" s="189"/>
      <c r="V5" s="189"/>
      <c r="W5" s="166" t="s">
        <v>19</v>
      </c>
      <c r="X5" s="166"/>
      <c r="Y5" s="166"/>
      <c r="Z5" s="166"/>
      <c r="AA5" s="166" t="s">
        <v>20</v>
      </c>
      <c r="AB5" s="166"/>
      <c r="AC5" s="166"/>
      <c r="AD5" s="166"/>
      <c r="AE5" s="166" t="s">
        <v>21</v>
      </c>
      <c r="AF5" s="166"/>
      <c r="AG5" s="166"/>
      <c r="AH5" s="167"/>
    </row>
    <row r="6" spans="1:47" ht="15.75" customHeight="1">
      <c r="A6" s="178" t="s">
        <v>22</v>
      </c>
      <c r="B6" s="179"/>
      <c r="C6" s="179"/>
      <c r="D6" s="180">
        <v>2.8</v>
      </c>
      <c r="E6" s="180"/>
      <c r="F6" s="180"/>
      <c r="G6" s="180"/>
      <c r="H6" s="162" t="s">
        <v>1</v>
      </c>
      <c r="I6" s="162"/>
      <c r="J6" s="162"/>
      <c r="K6" s="162"/>
      <c r="L6" s="163">
        <v>2</v>
      </c>
      <c r="M6" s="163"/>
      <c r="N6" s="163"/>
      <c r="O6" s="159">
        <v>16</v>
      </c>
      <c r="P6" s="159"/>
      <c r="Q6" s="159"/>
      <c r="R6" s="159"/>
      <c r="S6" s="159">
        <v>6</v>
      </c>
      <c r="T6" s="159"/>
      <c r="U6" s="159"/>
      <c r="V6" s="159"/>
      <c r="W6" s="160"/>
      <c r="X6" s="155"/>
      <c r="Y6" s="155"/>
      <c r="Z6" s="156"/>
      <c r="AA6" s="163"/>
      <c r="AB6" s="163"/>
      <c r="AC6" s="163"/>
      <c r="AD6" s="163"/>
      <c r="AE6" s="168"/>
      <c r="AF6" s="168"/>
      <c r="AG6" s="168"/>
      <c r="AH6" s="169"/>
    </row>
    <row r="7" spans="1:47" ht="15.75" customHeight="1">
      <c r="A7" s="178" t="s">
        <v>23</v>
      </c>
      <c r="B7" s="179"/>
      <c r="C7" s="179"/>
      <c r="D7" s="180"/>
      <c r="E7" s="180"/>
      <c r="F7" s="180"/>
      <c r="G7" s="180"/>
      <c r="H7" s="181" t="s">
        <v>24</v>
      </c>
      <c r="I7" s="182"/>
      <c r="J7" s="182"/>
      <c r="K7" s="183"/>
      <c r="L7" s="163">
        <v>50</v>
      </c>
      <c r="M7" s="163"/>
      <c r="N7" s="163"/>
      <c r="O7" s="159">
        <v>20</v>
      </c>
      <c r="P7" s="159"/>
      <c r="Q7" s="159"/>
      <c r="R7" s="159"/>
      <c r="S7" s="159">
        <v>10</v>
      </c>
      <c r="T7" s="159"/>
      <c r="U7" s="159"/>
      <c r="V7" s="159"/>
      <c r="W7" s="160">
        <v>44</v>
      </c>
      <c r="X7" s="155"/>
      <c r="Y7" s="155">
        <v>49</v>
      </c>
      <c r="Z7" s="156"/>
      <c r="AA7" s="163"/>
      <c r="AB7" s="163"/>
      <c r="AC7" s="163"/>
      <c r="AD7" s="163"/>
      <c r="AE7" s="168">
        <f>2000*L7</f>
        <v>100000</v>
      </c>
      <c r="AF7" s="168"/>
      <c r="AG7" s="168"/>
      <c r="AH7" s="169"/>
      <c r="AK7" s="6" t="s">
        <v>456</v>
      </c>
      <c r="AL7" s="6" t="s">
        <v>457</v>
      </c>
    </row>
    <row r="8" spans="1:47" ht="15.75" customHeight="1">
      <c r="A8" s="178"/>
      <c r="B8" s="179"/>
      <c r="C8" s="179"/>
      <c r="D8" s="180"/>
      <c r="E8" s="180"/>
      <c r="F8" s="180"/>
      <c r="G8" s="180"/>
      <c r="H8" s="162"/>
      <c r="I8" s="162"/>
      <c r="J8" s="162"/>
      <c r="K8" s="162"/>
      <c r="L8" s="163"/>
      <c r="M8" s="163"/>
      <c r="N8" s="163"/>
      <c r="O8" s="159"/>
      <c r="P8" s="159"/>
      <c r="Q8" s="159"/>
      <c r="R8" s="159"/>
      <c r="S8" s="159"/>
      <c r="T8" s="159"/>
      <c r="U8" s="159"/>
      <c r="V8" s="159"/>
      <c r="W8" s="160"/>
      <c r="X8" s="155"/>
      <c r="Y8" s="155"/>
      <c r="Z8" s="156"/>
      <c r="AA8" s="163"/>
      <c r="AB8" s="163"/>
      <c r="AC8" s="163"/>
      <c r="AD8" s="163"/>
      <c r="AE8" s="168"/>
      <c r="AF8" s="168"/>
      <c r="AG8" s="168"/>
      <c r="AH8" s="169"/>
      <c r="AK8" s="6">
        <v>13</v>
      </c>
      <c r="AL8" s="6">
        <v>1.3</v>
      </c>
    </row>
    <row r="9" spans="1:47" ht="15.75" customHeight="1">
      <c r="A9" s="178"/>
      <c r="B9" s="179"/>
      <c r="C9" s="179"/>
      <c r="D9" s="180"/>
      <c r="E9" s="180"/>
      <c r="F9" s="180"/>
      <c r="G9" s="180"/>
      <c r="H9" s="162"/>
      <c r="I9" s="162"/>
      <c r="J9" s="162"/>
      <c r="K9" s="162"/>
      <c r="L9" s="163"/>
      <c r="M9" s="163"/>
      <c r="N9" s="163"/>
      <c r="O9" s="159"/>
      <c r="P9" s="159"/>
      <c r="Q9" s="159"/>
      <c r="R9" s="159"/>
      <c r="S9" s="159"/>
      <c r="T9" s="159"/>
      <c r="U9" s="159"/>
      <c r="V9" s="159"/>
      <c r="W9" s="160"/>
      <c r="X9" s="155"/>
      <c r="Y9" s="155"/>
      <c r="Z9" s="156"/>
      <c r="AA9" s="163"/>
      <c r="AB9" s="163"/>
      <c r="AC9" s="163"/>
      <c r="AD9" s="163"/>
      <c r="AE9" s="168"/>
      <c r="AF9" s="168"/>
      <c r="AG9" s="168"/>
      <c r="AH9" s="169"/>
      <c r="AK9" s="7"/>
      <c r="AL9" s="7"/>
      <c r="AM9" s="7"/>
      <c r="AN9" s="7"/>
      <c r="AO9" s="7"/>
      <c r="AP9" s="7"/>
      <c r="AQ9" s="7"/>
      <c r="AR9" s="7"/>
      <c r="AS9" s="7"/>
      <c r="AT9" s="7"/>
      <c r="AU9" s="7"/>
    </row>
    <row r="10" spans="1:47" ht="15.75" customHeight="1">
      <c r="A10" s="178"/>
      <c r="B10" s="179"/>
      <c r="C10" s="179"/>
      <c r="D10" s="180"/>
      <c r="E10" s="180"/>
      <c r="F10" s="180"/>
      <c r="G10" s="180"/>
      <c r="H10" s="162"/>
      <c r="I10" s="162"/>
      <c r="J10" s="162"/>
      <c r="K10" s="162"/>
      <c r="L10" s="163"/>
      <c r="M10" s="163"/>
      <c r="N10" s="163"/>
      <c r="O10" s="159"/>
      <c r="P10" s="159"/>
      <c r="Q10" s="159"/>
      <c r="R10" s="159"/>
      <c r="S10" s="159"/>
      <c r="T10" s="159"/>
      <c r="U10" s="159"/>
      <c r="V10" s="159"/>
      <c r="W10" s="160"/>
      <c r="X10" s="155"/>
      <c r="Y10" s="155"/>
      <c r="Z10" s="156"/>
      <c r="AA10" s="163"/>
      <c r="AB10" s="163"/>
      <c r="AC10" s="163"/>
      <c r="AD10" s="163"/>
      <c r="AE10" s="168"/>
      <c r="AF10" s="168"/>
      <c r="AG10" s="168"/>
      <c r="AH10" s="169"/>
      <c r="AK10" s="7"/>
      <c r="AL10" s="7"/>
      <c r="AM10" s="7"/>
      <c r="AN10" s="7"/>
      <c r="AO10" s="7"/>
      <c r="AP10" s="7"/>
      <c r="AQ10" s="7"/>
      <c r="AR10" s="7"/>
      <c r="AS10" s="7"/>
      <c r="AT10" s="7"/>
      <c r="AU10" s="7"/>
    </row>
    <row r="11" spans="1:47" ht="15.75" customHeight="1">
      <c r="A11" s="178"/>
      <c r="B11" s="179"/>
      <c r="C11" s="179"/>
      <c r="D11" s="180"/>
      <c r="E11" s="180"/>
      <c r="F11" s="180"/>
      <c r="G11" s="180"/>
      <c r="H11" s="162"/>
      <c r="I11" s="162"/>
      <c r="J11" s="162"/>
      <c r="K11" s="162"/>
      <c r="L11" s="163"/>
      <c r="M11" s="163"/>
      <c r="N11" s="163"/>
      <c r="O11" s="159"/>
      <c r="P11" s="159"/>
      <c r="Q11" s="159"/>
      <c r="R11" s="159"/>
      <c r="S11" s="159"/>
      <c r="T11" s="159"/>
      <c r="U11" s="159"/>
      <c r="V11" s="159"/>
      <c r="W11" s="160"/>
      <c r="X11" s="155"/>
      <c r="Y11" s="155"/>
      <c r="Z11" s="156"/>
      <c r="AA11" s="163"/>
      <c r="AB11" s="163"/>
      <c r="AC11" s="163"/>
      <c r="AD11" s="163"/>
      <c r="AE11" s="168"/>
      <c r="AF11" s="168"/>
      <c r="AG11" s="168"/>
      <c r="AH11" s="169"/>
      <c r="AK11" s="7"/>
      <c r="AL11" s="7"/>
      <c r="AM11" s="7"/>
      <c r="AN11" s="7"/>
      <c r="AO11" s="7"/>
      <c r="AP11" s="7"/>
      <c r="AQ11" s="7"/>
      <c r="AR11" s="7"/>
      <c r="AS11" s="7"/>
      <c r="AT11" s="7"/>
      <c r="AU11" s="7"/>
    </row>
    <row r="12" spans="1:47" ht="15.75" customHeight="1">
      <c r="A12" s="178"/>
      <c r="B12" s="179"/>
      <c r="C12" s="179"/>
      <c r="D12" s="180"/>
      <c r="E12" s="180"/>
      <c r="F12" s="180"/>
      <c r="G12" s="180"/>
      <c r="H12" s="162"/>
      <c r="I12" s="162"/>
      <c r="J12" s="162"/>
      <c r="K12" s="162"/>
      <c r="L12" s="163"/>
      <c r="M12" s="163"/>
      <c r="N12" s="163"/>
      <c r="O12" s="159"/>
      <c r="P12" s="159"/>
      <c r="Q12" s="159"/>
      <c r="R12" s="159"/>
      <c r="S12" s="159"/>
      <c r="T12" s="159"/>
      <c r="U12" s="159"/>
      <c r="V12" s="159"/>
      <c r="W12" s="160"/>
      <c r="X12" s="155"/>
      <c r="Y12" s="155"/>
      <c r="Z12" s="156"/>
      <c r="AA12" s="163"/>
      <c r="AB12" s="163"/>
      <c r="AC12" s="163"/>
      <c r="AD12" s="163"/>
      <c r="AE12" s="168"/>
      <c r="AF12" s="168"/>
      <c r="AG12" s="168"/>
      <c r="AH12" s="169"/>
      <c r="AK12" s="7"/>
      <c r="AL12" s="7"/>
      <c r="AM12" s="7"/>
      <c r="AN12" s="7"/>
      <c r="AO12" s="7"/>
      <c r="AP12" s="7"/>
      <c r="AQ12" s="7"/>
      <c r="AR12" s="7"/>
      <c r="AS12" s="7"/>
      <c r="AT12" s="7"/>
      <c r="AU12" s="7"/>
    </row>
    <row r="13" spans="1:47" ht="15.75" customHeight="1">
      <c r="A13" s="178"/>
      <c r="B13" s="179"/>
      <c r="C13" s="179"/>
      <c r="D13" s="180"/>
      <c r="E13" s="180"/>
      <c r="F13" s="180"/>
      <c r="G13" s="180"/>
      <c r="H13" s="162"/>
      <c r="I13" s="162"/>
      <c r="J13" s="162"/>
      <c r="K13" s="162"/>
      <c r="L13" s="163"/>
      <c r="M13" s="163"/>
      <c r="N13" s="163"/>
      <c r="O13" s="159"/>
      <c r="P13" s="159"/>
      <c r="Q13" s="159"/>
      <c r="R13" s="159"/>
      <c r="S13" s="159"/>
      <c r="T13" s="159"/>
      <c r="U13" s="159"/>
      <c r="V13" s="159"/>
      <c r="W13" s="160"/>
      <c r="X13" s="155"/>
      <c r="Y13" s="155"/>
      <c r="Z13" s="156"/>
      <c r="AA13" s="163"/>
      <c r="AB13" s="163"/>
      <c r="AC13" s="163"/>
      <c r="AD13" s="163"/>
      <c r="AE13" s="168"/>
      <c r="AF13" s="168"/>
      <c r="AG13" s="168"/>
      <c r="AH13" s="169"/>
      <c r="AK13" s="7"/>
      <c r="AL13" s="7"/>
      <c r="AM13" s="7"/>
      <c r="AN13" s="7"/>
      <c r="AO13" s="7"/>
      <c r="AP13" s="7"/>
      <c r="AQ13" s="7"/>
      <c r="AR13" s="7"/>
      <c r="AS13" s="7"/>
      <c r="AT13" s="7"/>
      <c r="AU13" s="7"/>
    </row>
    <row r="14" spans="1:47" ht="15.75" customHeight="1">
      <c r="A14" s="178"/>
      <c r="B14" s="179"/>
      <c r="C14" s="179"/>
      <c r="D14" s="180"/>
      <c r="E14" s="180"/>
      <c r="F14" s="180"/>
      <c r="G14" s="180"/>
      <c r="H14" s="162"/>
      <c r="I14" s="162"/>
      <c r="J14" s="162"/>
      <c r="K14" s="162"/>
      <c r="L14" s="163"/>
      <c r="M14" s="163"/>
      <c r="N14" s="163"/>
      <c r="O14" s="159"/>
      <c r="P14" s="159"/>
      <c r="Q14" s="159"/>
      <c r="R14" s="159"/>
      <c r="S14" s="159"/>
      <c r="T14" s="159"/>
      <c r="U14" s="159"/>
      <c r="V14" s="159"/>
      <c r="W14" s="160"/>
      <c r="X14" s="155"/>
      <c r="Y14" s="155"/>
      <c r="Z14" s="156"/>
      <c r="AA14" s="163"/>
      <c r="AB14" s="163"/>
      <c r="AC14" s="163"/>
      <c r="AD14" s="163"/>
      <c r="AE14" s="168"/>
      <c r="AF14" s="168"/>
      <c r="AG14" s="168"/>
      <c r="AH14" s="169"/>
      <c r="AK14" s="7"/>
      <c r="AL14" s="7"/>
      <c r="AM14" s="7"/>
      <c r="AN14" s="7"/>
      <c r="AO14" s="7"/>
      <c r="AP14" s="7"/>
      <c r="AQ14" s="7"/>
      <c r="AR14" s="7"/>
      <c r="AS14" s="7"/>
      <c r="AT14" s="7"/>
      <c r="AU14" s="7"/>
    </row>
    <row r="15" spans="1:47" ht="15.75" customHeight="1">
      <c r="A15" s="178"/>
      <c r="B15" s="179"/>
      <c r="C15" s="179"/>
      <c r="D15" s="180"/>
      <c r="E15" s="180"/>
      <c r="F15" s="180"/>
      <c r="G15" s="180"/>
      <c r="H15" s="162"/>
      <c r="I15" s="162"/>
      <c r="J15" s="162"/>
      <c r="K15" s="162"/>
      <c r="L15" s="163"/>
      <c r="M15" s="163"/>
      <c r="N15" s="163"/>
      <c r="O15" s="159"/>
      <c r="P15" s="159"/>
      <c r="Q15" s="159"/>
      <c r="R15" s="159"/>
      <c r="S15" s="159"/>
      <c r="T15" s="159"/>
      <c r="U15" s="159"/>
      <c r="V15" s="159"/>
      <c r="W15" s="160"/>
      <c r="X15" s="155"/>
      <c r="Y15" s="155"/>
      <c r="Z15" s="156"/>
      <c r="AA15" s="163"/>
      <c r="AB15" s="163"/>
      <c r="AC15" s="163"/>
      <c r="AD15" s="163"/>
      <c r="AE15" s="168"/>
      <c r="AF15" s="168"/>
      <c r="AG15" s="168"/>
      <c r="AH15" s="169"/>
      <c r="AK15" s="7"/>
      <c r="AL15" s="7"/>
      <c r="AM15" s="7"/>
      <c r="AN15" s="7"/>
      <c r="AO15" s="7"/>
      <c r="AP15" s="7"/>
      <c r="AQ15" s="7"/>
      <c r="AR15" s="7"/>
      <c r="AS15" s="7"/>
      <c r="AT15" s="7"/>
      <c r="AU15" s="7"/>
    </row>
    <row r="16" spans="1:47" ht="15.75" customHeight="1">
      <c r="A16" s="170"/>
      <c r="B16" s="171"/>
      <c r="C16" s="171"/>
      <c r="D16" s="172"/>
      <c r="E16" s="172"/>
      <c r="F16" s="172"/>
      <c r="G16" s="172"/>
      <c r="H16" s="173"/>
      <c r="I16" s="173"/>
      <c r="J16" s="173"/>
      <c r="K16" s="173"/>
      <c r="L16" s="174"/>
      <c r="M16" s="174"/>
      <c r="N16" s="174"/>
      <c r="O16" s="175"/>
      <c r="P16" s="175"/>
      <c r="Q16" s="175"/>
      <c r="R16" s="175"/>
      <c r="S16" s="175"/>
      <c r="T16" s="175"/>
      <c r="U16" s="175"/>
      <c r="V16" s="175"/>
      <c r="W16" s="161"/>
      <c r="X16" s="157"/>
      <c r="Y16" s="157"/>
      <c r="Z16" s="158"/>
      <c r="AA16" s="174"/>
      <c r="AB16" s="174"/>
      <c r="AC16" s="174"/>
      <c r="AD16" s="174"/>
      <c r="AE16" s="176"/>
      <c r="AF16" s="176"/>
      <c r="AG16" s="176"/>
      <c r="AH16" s="177"/>
      <c r="AK16" s="7"/>
      <c r="AL16" s="7"/>
      <c r="AM16" s="7"/>
      <c r="AN16" s="7"/>
      <c r="AO16" s="7"/>
      <c r="AP16" s="7"/>
      <c r="AQ16" s="7"/>
      <c r="AR16" s="7"/>
      <c r="AS16" s="7"/>
      <c r="AT16" s="7"/>
      <c r="AU16" s="7"/>
    </row>
    <row r="17" spans="1:47" ht="15.75" customHeight="1">
      <c r="A17" s="14"/>
      <c r="B17" s="15"/>
      <c r="C17" s="14"/>
      <c r="D17" s="15"/>
      <c r="E17" s="14"/>
      <c r="F17" s="15"/>
      <c r="G17" s="14"/>
      <c r="H17" s="15"/>
      <c r="I17" s="14"/>
      <c r="J17" s="15"/>
      <c r="K17" s="14"/>
      <c r="L17" s="15"/>
      <c r="M17" s="14"/>
      <c r="N17" s="15"/>
      <c r="O17" s="14"/>
      <c r="P17" s="15"/>
      <c r="Q17" s="14"/>
      <c r="R17" s="15"/>
      <c r="S17" s="14"/>
      <c r="T17" s="15"/>
      <c r="U17" s="14"/>
      <c r="V17" s="15"/>
      <c r="W17" s="14"/>
      <c r="X17" s="15"/>
      <c r="Y17" s="14"/>
      <c r="Z17" s="15"/>
      <c r="AA17" s="14"/>
      <c r="AB17" s="15"/>
      <c r="AC17" s="14"/>
      <c r="AD17" s="15"/>
      <c r="AE17" s="14"/>
      <c r="AF17" s="15"/>
      <c r="AG17" s="14"/>
      <c r="AH17" s="15"/>
      <c r="AK17" s="7"/>
      <c r="AL17" s="7"/>
      <c r="AM17" s="7"/>
      <c r="AN17" s="7"/>
      <c r="AO17" s="7"/>
      <c r="AP17" s="7"/>
      <c r="AQ17" s="7"/>
      <c r="AR17" s="7"/>
      <c r="AS17" s="7"/>
      <c r="AT17" s="7"/>
      <c r="AU17" s="7"/>
    </row>
    <row r="18" spans="1:47" ht="15.75" customHeight="1">
      <c r="AK18" s="7"/>
      <c r="AL18" s="7"/>
      <c r="AM18" s="7"/>
      <c r="AN18" s="7"/>
      <c r="AO18" s="7"/>
      <c r="AP18" s="7"/>
      <c r="AQ18" s="7"/>
      <c r="AR18" s="7"/>
      <c r="AS18" s="7"/>
      <c r="AT18" s="7"/>
      <c r="AU18" s="7"/>
    </row>
    <row r="19" spans="1:47" ht="15.75" customHeight="1">
      <c r="AK19" s="7"/>
      <c r="AL19" s="7"/>
      <c r="AM19" s="7"/>
      <c r="AN19" s="7"/>
      <c r="AO19" s="7"/>
      <c r="AP19" s="7"/>
      <c r="AQ19" s="7"/>
      <c r="AR19" s="7"/>
      <c r="AS19" s="7"/>
      <c r="AT19" s="7"/>
      <c r="AU19" s="7"/>
    </row>
    <row r="20" spans="1:47" ht="15.75" customHeight="1">
      <c r="AK20" s="7"/>
      <c r="AL20" s="7"/>
      <c r="AM20" s="7"/>
      <c r="AN20" s="7"/>
      <c r="AO20" s="7"/>
      <c r="AP20" s="7"/>
      <c r="AQ20" s="7"/>
      <c r="AR20" s="7"/>
      <c r="AS20" s="7"/>
      <c r="AT20" s="7"/>
      <c r="AU20" s="7"/>
    </row>
    <row r="21" spans="1:47" ht="15.75" customHeight="1">
      <c r="AK21" s="7"/>
      <c r="AL21" s="7"/>
      <c r="AM21" s="7"/>
      <c r="AN21" s="7"/>
      <c r="AO21" s="7"/>
      <c r="AP21" s="7"/>
      <c r="AQ21" s="7"/>
      <c r="AR21" s="7"/>
      <c r="AS21" s="7"/>
      <c r="AT21" s="7"/>
      <c r="AU21" s="7"/>
    </row>
    <row r="22" spans="1:47" ht="15.75" customHeight="1">
      <c r="AK22" s="7"/>
      <c r="AL22" s="7"/>
      <c r="AM22" s="7"/>
      <c r="AN22" s="7"/>
      <c r="AO22" s="7"/>
      <c r="AP22" s="7"/>
      <c r="AQ22" s="7"/>
      <c r="AR22" s="7"/>
      <c r="AS22" s="7"/>
      <c r="AT22" s="7"/>
      <c r="AU22" s="7"/>
    </row>
    <row r="23" spans="1:47" ht="15.75" customHeight="1">
      <c r="AK23" s="7"/>
      <c r="AL23" s="7"/>
      <c r="AM23" s="7"/>
      <c r="AN23" s="7"/>
      <c r="AO23" s="7"/>
      <c r="AP23" s="7"/>
      <c r="AQ23" s="7"/>
      <c r="AR23" s="7"/>
      <c r="AS23" s="7"/>
      <c r="AT23" s="7"/>
      <c r="AU23" s="7"/>
    </row>
    <row r="24" spans="1:47" ht="15.75" customHeight="1">
      <c r="AK24" s="7"/>
      <c r="AL24" s="7"/>
      <c r="AM24" s="7"/>
      <c r="AN24" s="7"/>
      <c r="AO24" s="7"/>
      <c r="AP24" s="7"/>
      <c r="AQ24" s="7"/>
      <c r="AR24" s="7"/>
      <c r="AS24" s="7"/>
      <c r="AT24" s="7"/>
      <c r="AU24" s="7"/>
    </row>
    <row r="25" spans="1:47" ht="15.75" customHeight="1">
      <c r="AK25" s="7"/>
      <c r="AL25" s="7"/>
      <c r="AM25" s="7"/>
      <c r="AN25" s="7"/>
      <c r="AO25" s="7"/>
      <c r="AP25" s="7"/>
      <c r="AQ25" s="7"/>
      <c r="AR25" s="7"/>
      <c r="AS25" s="7"/>
      <c r="AT25" s="7"/>
      <c r="AU25" s="7"/>
    </row>
    <row r="26" spans="1:47" ht="15.75" customHeight="1">
      <c r="AK26" s="7"/>
      <c r="AL26" s="7"/>
      <c r="AM26" s="7"/>
      <c r="AN26" s="7"/>
      <c r="AO26" s="7"/>
      <c r="AP26" s="7"/>
      <c r="AQ26" s="7"/>
      <c r="AR26" s="7"/>
      <c r="AS26" s="7"/>
      <c r="AT26" s="7"/>
      <c r="AU26" s="7"/>
    </row>
    <row r="27" spans="1:47" ht="15.75" customHeight="1">
      <c r="AK27" s="7"/>
      <c r="AL27" s="7"/>
      <c r="AM27" s="7"/>
      <c r="AN27" s="7"/>
      <c r="AO27" s="7"/>
      <c r="AP27" s="7"/>
      <c r="AQ27" s="7"/>
      <c r="AR27" s="7"/>
      <c r="AS27" s="7"/>
      <c r="AT27" s="7"/>
      <c r="AU27" s="7"/>
    </row>
    <row r="28" spans="1:47" ht="15.75" customHeight="1">
      <c r="AK28" s="7"/>
      <c r="AL28" s="7"/>
      <c r="AM28" s="7"/>
      <c r="AN28" s="7"/>
      <c r="AO28" s="7"/>
      <c r="AP28" s="7"/>
      <c r="AQ28" s="7"/>
      <c r="AR28" s="7"/>
      <c r="AS28" s="7"/>
      <c r="AT28" s="7"/>
      <c r="AU28" s="7"/>
    </row>
    <row r="29" spans="1:47" ht="15.75" customHeight="1">
      <c r="AK29" s="7"/>
      <c r="AL29" s="7"/>
      <c r="AM29" s="7"/>
      <c r="AN29" s="7"/>
      <c r="AO29" s="7"/>
      <c r="AP29" s="7"/>
      <c r="AQ29" s="7"/>
      <c r="AR29" s="7"/>
      <c r="AS29" s="7"/>
      <c r="AT29" s="7"/>
      <c r="AU29" s="7"/>
    </row>
    <row r="30" spans="1:47" ht="15.75" customHeight="1">
      <c r="AK30" s="7"/>
      <c r="AL30" s="7"/>
      <c r="AM30" s="7"/>
      <c r="AN30" s="7"/>
      <c r="AO30" s="7"/>
      <c r="AP30" s="7"/>
      <c r="AQ30" s="7"/>
      <c r="AR30" s="7"/>
      <c r="AS30" s="7"/>
      <c r="AT30" s="7"/>
      <c r="AU30" s="7"/>
    </row>
    <row r="31" spans="1:47" ht="15.75" customHeight="1">
      <c r="AK31" s="7"/>
      <c r="AL31" s="7"/>
      <c r="AM31" s="7"/>
      <c r="AN31" s="7"/>
      <c r="AO31" s="7"/>
      <c r="AP31" s="7"/>
      <c r="AQ31" s="7"/>
      <c r="AR31" s="7"/>
      <c r="AS31" s="7"/>
      <c r="AT31" s="7"/>
      <c r="AU31" s="7"/>
    </row>
    <row r="32" spans="1:47" ht="15.75" customHeight="1">
      <c r="AK32" s="7"/>
      <c r="AL32" s="7"/>
      <c r="AM32" s="7"/>
      <c r="AN32" s="7"/>
      <c r="AO32" s="7"/>
      <c r="AP32" s="7"/>
      <c r="AQ32" s="7"/>
      <c r="AR32" s="7"/>
      <c r="AS32" s="7"/>
      <c r="AT32" s="7"/>
      <c r="AU32" s="7"/>
    </row>
    <row r="33" spans="37:47" ht="15.75" customHeight="1">
      <c r="AK33" s="7"/>
      <c r="AL33" s="7"/>
      <c r="AM33" s="7"/>
      <c r="AN33" s="7"/>
      <c r="AO33" s="7"/>
      <c r="AP33" s="7"/>
      <c r="AQ33" s="7"/>
      <c r="AR33" s="7"/>
      <c r="AS33" s="7"/>
      <c r="AT33" s="7"/>
      <c r="AU33" s="7"/>
    </row>
    <row r="34" spans="37:47" ht="15.75" customHeight="1">
      <c r="AK34" s="7"/>
      <c r="AL34" s="7"/>
      <c r="AM34" s="7"/>
      <c r="AN34" s="7"/>
      <c r="AO34" s="7"/>
      <c r="AP34" s="7"/>
      <c r="AQ34" s="7"/>
      <c r="AR34" s="7"/>
      <c r="AS34" s="7"/>
      <c r="AT34" s="7"/>
      <c r="AU34" s="7"/>
    </row>
    <row r="35" spans="37:47" ht="15.75" customHeight="1">
      <c r="AK35" s="7"/>
      <c r="AL35" s="7"/>
      <c r="AM35" s="7"/>
      <c r="AN35" s="7"/>
      <c r="AO35" s="7"/>
      <c r="AP35" s="7"/>
      <c r="AQ35" s="7"/>
      <c r="AR35" s="7"/>
      <c r="AS35" s="7"/>
      <c r="AT35" s="7"/>
      <c r="AU35" s="7"/>
    </row>
    <row r="36" spans="37:47" ht="15.75" customHeight="1">
      <c r="AK36" s="7"/>
      <c r="AL36" s="7"/>
      <c r="AM36" s="7"/>
      <c r="AN36" s="7"/>
      <c r="AO36" s="7"/>
      <c r="AP36" s="7"/>
      <c r="AQ36" s="7"/>
      <c r="AR36" s="7"/>
      <c r="AS36" s="7"/>
      <c r="AT36" s="7"/>
      <c r="AU36" s="7"/>
    </row>
    <row r="37" spans="37:47" ht="15.75" customHeight="1">
      <c r="AK37" s="7"/>
      <c r="AL37" s="7"/>
      <c r="AM37" s="7"/>
      <c r="AN37" s="7"/>
      <c r="AO37" s="7"/>
      <c r="AP37" s="7"/>
      <c r="AQ37" s="7"/>
      <c r="AR37" s="7"/>
      <c r="AS37" s="7"/>
      <c r="AT37" s="7"/>
      <c r="AU37" s="7"/>
    </row>
    <row r="38" spans="37:47" ht="15.75" customHeight="1">
      <c r="AK38" s="7"/>
      <c r="AL38" s="7"/>
      <c r="AM38" s="7"/>
      <c r="AN38" s="7"/>
      <c r="AO38" s="7"/>
      <c r="AP38" s="7"/>
      <c r="AQ38" s="7"/>
      <c r="AR38" s="7"/>
      <c r="AS38" s="7"/>
      <c r="AT38" s="7"/>
      <c r="AU38" s="7"/>
    </row>
    <row r="39" spans="37:47" ht="15.75" customHeight="1">
      <c r="AK39" s="7"/>
      <c r="AL39" s="7"/>
      <c r="AM39" s="7"/>
      <c r="AN39" s="7"/>
      <c r="AO39" s="7"/>
      <c r="AP39" s="7"/>
      <c r="AQ39" s="7"/>
      <c r="AR39" s="7"/>
      <c r="AS39" s="7"/>
      <c r="AT39" s="7"/>
      <c r="AU39" s="7"/>
    </row>
    <row r="40" spans="37:47" ht="15.75" customHeight="1">
      <c r="AK40" s="7"/>
      <c r="AL40" s="7"/>
      <c r="AM40" s="7"/>
      <c r="AN40" s="7"/>
      <c r="AO40" s="7"/>
      <c r="AP40" s="7"/>
      <c r="AQ40" s="7"/>
      <c r="AR40" s="7"/>
      <c r="AS40" s="7"/>
      <c r="AT40" s="7"/>
      <c r="AU40" s="7"/>
    </row>
    <row r="41" spans="37:47" ht="15.75" customHeight="1">
      <c r="AK41" s="7"/>
      <c r="AL41" s="7"/>
      <c r="AM41" s="7"/>
      <c r="AN41" s="7"/>
      <c r="AO41" s="7"/>
      <c r="AP41" s="7"/>
      <c r="AQ41" s="7"/>
      <c r="AR41" s="7"/>
      <c r="AS41" s="7"/>
      <c r="AT41" s="7"/>
      <c r="AU41" s="7"/>
    </row>
    <row r="42" spans="37:47" ht="15.75" customHeight="1">
      <c r="AK42" s="7"/>
      <c r="AL42" s="7"/>
      <c r="AM42" s="7"/>
      <c r="AN42" s="7"/>
      <c r="AO42" s="7"/>
      <c r="AP42" s="7"/>
      <c r="AQ42" s="7"/>
      <c r="AR42" s="7"/>
      <c r="AS42" s="7"/>
      <c r="AT42" s="7"/>
      <c r="AU42" s="7"/>
    </row>
    <row r="43" spans="37:47" ht="15.75" customHeight="1">
      <c r="AK43" s="7"/>
      <c r="AL43" s="7"/>
      <c r="AM43" s="7"/>
      <c r="AN43" s="7"/>
      <c r="AO43" s="7"/>
      <c r="AP43" s="7"/>
      <c r="AQ43" s="7"/>
      <c r="AR43" s="7"/>
      <c r="AS43" s="7"/>
      <c r="AT43" s="7"/>
      <c r="AU43" s="7"/>
    </row>
    <row r="44" spans="37:47" ht="15.75" customHeight="1">
      <c r="AK44" s="7"/>
      <c r="AL44" s="7"/>
      <c r="AM44" s="7"/>
      <c r="AN44" s="7"/>
      <c r="AO44" s="7"/>
      <c r="AP44" s="7"/>
      <c r="AQ44" s="7"/>
      <c r="AR44" s="7"/>
      <c r="AS44" s="7"/>
      <c r="AT44" s="7"/>
      <c r="AU44" s="7"/>
    </row>
    <row r="45" spans="37:47" ht="15.75" customHeight="1">
      <c r="AK45" s="7"/>
      <c r="AL45" s="7"/>
      <c r="AM45" s="7"/>
      <c r="AN45" s="7"/>
      <c r="AO45" s="7"/>
      <c r="AP45" s="7"/>
      <c r="AQ45" s="7"/>
      <c r="AR45" s="7"/>
      <c r="AS45" s="7"/>
      <c r="AT45" s="7"/>
      <c r="AU45" s="7"/>
    </row>
    <row r="46" spans="37:47" ht="15.75" customHeight="1">
      <c r="AK46" s="7"/>
      <c r="AL46" s="7"/>
      <c r="AM46" s="7"/>
      <c r="AN46" s="7"/>
      <c r="AO46" s="7"/>
      <c r="AP46" s="7"/>
      <c r="AQ46" s="7"/>
      <c r="AR46" s="7"/>
      <c r="AS46" s="7"/>
      <c r="AT46" s="7"/>
      <c r="AU46" s="7"/>
    </row>
    <row r="47" spans="37:47" ht="15.75" customHeight="1">
      <c r="AK47" s="7"/>
      <c r="AL47" s="7"/>
      <c r="AM47" s="7"/>
      <c r="AN47" s="7"/>
      <c r="AO47" s="7"/>
      <c r="AP47" s="7"/>
      <c r="AQ47" s="7"/>
      <c r="AR47" s="7"/>
      <c r="AS47" s="7"/>
      <c r="AT47" s="7"/>
      <c r="AU47" s="7"/>
    </row>
    <row r="48" spans="37:47" ht="15.75" customHeight="1">
      <c r="AK48" s="7"/>
      <c r="AL48" s="7"/>
      <c r="AM48" s="7"/>
      <c r="AN48" s="7"/>
      <c r="AO48" s="7"/>
      <c r="AP48" s="7"/>
      <c r="AQ48" s="7"/>
      <c r="AR48" s="7"/>
      <c r="AS48" s="7"/>
      <c r="AT48" s="7"/>
      <c r="AU48" s="7"/>
    </row>
    <row r="49" spans="37:47" ht="15.75" customHeight="1">
      <c r="AK49" s="7"/>
      <c r="AL49" s="7"/>
      <c r="AM49" s="7"/>
      <c r="AN49" s="7"/>
      <c r="AO49" s="7"/>
      <c r="AP49" s="7"/>
      <c r="AQ49" s="7"/>
      <c r="AR49" s="7"/>
      <c r="AS49" s="7"/>
      <c r="AT49" s="7"/>
      <c r="AU49" s="7"/>
    </row>
    <row r="50" spans="37:47" ht="15.75" customHeight="1">
      <c r="AK50" s="7"/>
      <c r="AL50" s="7"/>
      <c r="AM50" s="7"/>
      <c r="AN50" s="7"/>
      <c r="AO50" s="7"/>
      <c r="AP50" s="7"/>
      <c r="AQ50" s="7"/>
      <c r="AR50" s="7"/>
      <c r="AS50" s="7"/>
      <c r="AT50" s="7"/>
      <c r="AU50" s="7"/>
    </row>
    <row r="51" spans="37:47" ht="15.75" customHeight="1">
      <c r="AK51" s="7"/>
      <c r="AL51" s="7"/>
      <c r="AM51" s="7"/>
      <c r="AN51" s="7"/>
      <c r="AO51" s="7"/>
      <c r="AP51" s="7"/>
      <c r="AQ51" s="7"/>
      <c r="AR51" s="7"/>
      <c r="AS51" s="7"/>
      <c r="AT51" s="7"/>
      <c r="AU51" s="7"/>
    </row>
    <row r="53" spans="37:47" ht="15.75" customHeight="1">
      <c r="AK53" s="7"/>
      <c r="AL53" s="7"/>
      <c r="AM53" s="7"/>
      <c r="AN53" s="7"/>
      <c r="AO53" s="7"/>
      <c r="AP53" s="7"/>
      <c r="AQ53" s="7"/>
      <c r="AR53" s="7"/>
      <c r="AS53" s="7"/>
      <c r="AT53" s="7"/>
      <c r="AU53" s="7"/>
    </row>
    <row r="54" spans="37:47" ht="15.75" customHeight="1">
      <c r="AK54" s="7"/>
      <c r="AL54" s="7"/>
      <c r="AM54" s="7"/>
      <c r="AN54" s="7"/>
      <c r="AO54" s="7"/>
      <c r="AP54" s="7"/>
      <c r="AQ54" s="7"/>
      <c r="AR54" s="7"/>
      <c r="AS54" s="7"/>
      <c r="AT54" s="7"/>
      <c r="AU54" s="7"/>
    </row>
    <row r="55" spans="37:47" ht="15.75" customHeight="1">
      <c r="AK55" s="7"/>
      <c r="AL55" s="7"/>
      <c r="AM55" s="7"/>
      <c r="AN55" s="7"/>
      <c r="AO55" s="7"/>
      <c r="AP55" s="7"/>
      <c r="AQ55" s="7"/>
      <c r="AR55" s="7"/>
      <c r="AS55" s="7"/>
      <c r="AT55" s="7"/>
      <c r="AU55" s="7"/>
    </row>
    <row r="56" spans="37:47" ht="15.75" customHeight="1">
      <c r="AK56" s="7"/>
      <c r="AL56" s="7"/>
      <c r="AM56" s="7"/>
      <c r="AN56" s="7"/>
      <c r="AO56" s="7"/>
      <c r="AP56" s="7"/>
      <c r="AQ56" s="7"/>
      <c r="AR56" s="7"/>
      <c r="AS56" s="7"/>
      <c r="AT56" s="7"/>
      <c r="AU56" s="7"/>
    </row>
    <row r="57" spans="37:47" ht="15.75" customHeight="1">
      <c r="AK57" s="7"/>
      <c r="AL57" s="7"/>
      <c r="AM57" s="7"/>
      <c r="AN57" s="7"/>
      <c r="AO57" s="7"/>
      <c r="AP57" s="7"/>
      <c r="AQ57" s="7"/>
      <c r="AR57" s="7"/>
      <c r="AS57" s="7"/>
      <c r="AT57" s="7"/>
      <c r="AU57" s="7"/>
    </row>
    <row r="58" spans="37:47" ht="15.75" customHeight="1">
      <c r="AK58" s="7"/>
      <c r="AL58" s="7"/>
      <c r="AM58" s="7"/>
      <c r="AN58" s="7"/>
      <c r="AO58" s="7"/>
      <c r="AP58" s="7"/>
      <c r="AQ58" s="7"/>
      <c r="AR58" s="7"/>
      <c r="AS58" s="7"/>
      <c r="AT58" s="7"/>
      <c r="AU58" s="7"/>
    </row>
    <row r="59" spans="37:47" ht="15.75" customHeight="1">
      <c r="AK59" s="7"/>
      <c r="AL59" s="7"/>
      <c r="AM59" s="7"/>
      <c r="AN59" s="7"/>
      <c r="AO59" s="7"/>
      <c r="AP59" s="7"/>
      <c r="AQ59" s="7"/>
      <c r="AR59" s="7"/>
      <c r="AS59" s="7"/>
      <c r="AT59" s="7"/>
      <c r="AU59" s="7"/>
    </row>
    <row r="60" spans="37:47" ht="15.75" customHeight="1">
      <c r="AK60" s="7"/>
      <c r="AL60" s="7"/>
      <c r="AM60" s="7"/>
      <c r="AN60" s="7"/>
      <c r="AO60" s="7"/>
      <c r="AP60" s="7"/>
      <c r="AQ60" s="7"/>
      <c r="AR60" s="7"/>
      <c r="AS60" s="7"/>
      <c r="AT60" s="7"/>
      <c r="AU60" s="7"/>
    </row>
    <row r="61" spans="37:47" ht="15.75" customHeight="1">
      <c r="AK61" s="7"/>
      <c r="AL61" s="7"/>
      <c r="AM61" s="7"/>
      <c r="AN61" s="7"/>
      <c r="AO61" s="7"/>
      <c r="AP61" s="7"/>
      <c r="AQ61" s="7"/>
      <c r="AR61" s="7"/>
      <c r="AS61" s="7"/>
      <c r="AT61" s="7"/>
      <c r="AU61" s="7"/>
    </row>
    <row r="62" spans="37:47" ht="15.75" customHeight="1">
      <c r="AK62" s="7"/>
      <c r="AL62" s="7"/>
      <c r="AM62" s="7"/>
      <c r="AN62" s="7"/>
      <c r="AO62" s="7"/>
      <c r="AP62" s="7"/>
      <c r="AQ62" s="7"/>
      <c r="AR62" s="7"/>
      <c r="AS62" s="7"/>
      <c r="AT62" s="7"/>
      <c r="AU62" s="7"/>
    </row>
    <row r="63" spans="37:47" ht="15.75" customHeight="1">
      <c r="AK63" s="7"/>
      <c r="AL63" s="7"/>
      <c r="AM63" s="7"/>
      <c r="AN63" s="7"/>
      <c r="AO63" s="7"/>
      <c r="AP63" s="7"/>
      <c r="AQ63" s="7"/>
      <c r="AR63" s="7"/>
      <c r="AS63" s="7"/>
      <c r="AT63" s="7"/>
      <c r="AU63" s="7"/>
    </row>
    <row r="64" spans="37:47" ht="15.75" customHeight="1">
      <c r="AK64" s="7"/>
      <c r="AL64" s="7"/>
      <c r="AM64" s="7"/>
      <c r="AN64" s="7"/>
      <c r="AO64" s="7"/>
      <c r="AP64" s="7"/>
      <c r="AQ64" s="7"/>
      <c r="AR64" s="7"/>
      <c r="AS64" s="7"/>
      <c r="AT64" s="7"/>
      <c r="AU64" s="7"/>
    </row>
    <row r="65" spans="37:47" ht="15.75" customHeight="1">
      <c r="AK65" s="7"/>
      <c r="AL65" s="7"/>
      <c r="AM65" s="7"/>
      <c r="AN65" s="7"/>
      <c r="AO65" s="7"/>
      <c r="AP65" s="7"/>
      <c r="AQ65" s="7"/>
      <c r="AR65" s="7"/>
      <c r="AS65" s="7"/>
      <c r="AT65" s="7"/>
      <c r="AU65" s="7"/>
    </row>
    <row r="66" spans="37:47" ht="15.75" customHeight="1">
      <c r="AK66" s="7"/>
      <c r="AL66" s="7"/>
      <c r="AM66" s="7"/>
      <c r="AN66" s="7"/>
      <c r="AO66" s="7"/>
      <c r="AP66" s="7"/>
      <c r="AQ66" s="7"/>
      <c r="AR66" s="7"/>
      <c r="AS66" s="7"/>
      <c r="AT66" s="7"/>
      <c r="AU66" s="7"/>
    </row>
    <row r="67" spans="37:47" ht="15.75" customHeight="1">
      <c r="AK67" s="7"/>
      <c r="AL67" s="7"/>
      <c r="AM67" s="7"/>
      <c r="AN67" s="7"/>
      <c r="AO67" s="7"/>
      <c r="AP67" s="7"/>
      <c r="AQ67" s="7"/>
      <c r="AR67" s="7"/>
      <c r="AS67" s="7"/>
      <c r="AT67" s="7"/>
      <c r="AU67" s="7"/>
    </row>
    <row r="68" spans="37:47" ht="15.75" customHeight="1">
      <c r="AK68" s="7"/>
      <c r="AL68" s="7"/>
      <c r="AM68" s="7"/>
      <c r="AN68" s="7"/>
      <c r="AO68" s="7"/>
      <c r="AP68" s="7"/>
      <c r="AQ68" s="7"/>
      <c r="AR68" s="7"/>
      <c r="AS68" s="7"/>
      <c r="AT68" s="7"/>
      <c r="AU68" s="7"/>
    </row>
    <row r="69" spans="37:47" ht="15.75" customHeight="1">
      <c r="AK69" s="7"/>
      <c r="AL69" s="7"/>
      <c r="AM69" s="7"/>
      <c r="AN69" s="7"/>
      <c r="AO69" s="7"/>
      <c r="AP69" s="7"/>
      <c r="AQ69" s="7"/>
      <c r="AR69" s="7"/>
      <c r="AS69" s="7"/>
      <c r="AT69" s="7"/>
      <c r="AU69" s="7"/>
    </row>
    <row r="70" spans="37:47" ht="15.75" customHeight="1">
      <c r="AK70" s="7"/>
      <c r="AL70" s="7"/>
      <c r="AM70" s="7"/>
      <c r="AN70" s="7"/>
      <c r="AO70" s="7"/>
      <c r="AP70" s="7"/>
      <c r="AQ70" s="7"/>
      <c r="AR70" s="7"/>
      <c r="AS70" s="7"/>
      <c r="AT70" s="7"/>
      <c r="AU70" s="7"/>
    </row>
    <row r="71" spans="37:47" ht="15.75" customHeight="1">
      <c r="AK71" s="7"/>
      <c r="AL71" s="7"/>
      <c r="AM71" s="7"/>
      <c r="AN71" s="7"/>
      <c r="AO71" s="7"/>
      <c r="AP71" s="7"/>
      <c r="AQ71" s="7"/>
      <c r="AR71" s="7"/>
      <c r="AS71" s="7"/>
      <c r="AT71" s="7"/>
      <c r="AU71" s="7"/>
    </row>
    <row r="72" spans="37:47" ht="15.75" customHeight="1">
      <c r="AK72" s="7"/>
      <c r="AL72" s="7"/>
      <c r="AM72" s="7"/>
      <c r="AN72" s="7"/>
      <c r="AO72" s="7"/>
      <c r="AP72" s="7"/>
      <c r="AQ72" s="7"/>
      <c r="AR72" s="7"/>
      <c r="AS72" s="7"/>
      <c r="AT72" s="7"/>
      <c r="AU72" s="7"/>
    </row>
    <row r="73" spans="37:47" ht="15.75" customHeight="1">
      <c r="AK73" s="7"/>
      <c r="AL73" s="7"/>
      <c r="AM73" s="7"/>
      <c r="AN73" s="7"/>
      <c r="AO73" s="7"/>
      <c r="AP73" s="7"/>
      <c r="AQ73" s="7"/>
      <c r="AR73" s="7"/>
      <c r="AS73" s="7"/>
      <c r="AT73" s="7"/>
      <c r="AU73" s="7"/>
    </row>
    <row r="74" spans="37:47" ht="15.75" customHeight="1">
      <c r="AK74" s="7"/>
      <c r="AL74" s="7"/>
      <c r="AM74" s="7"/>
      <c r="AN74" s="7"/>
      <c r="AO74" s="7"/>
      <c r="AP74" s="7"/>
      <c r="AQ74" s="7"/>
      <c r="AR74" s="7"/>
      <c r="AS74" s="7"/>
      <c r="AT74" s="7"/>
      <c r="AU74" s="7"/>
    </row>
    <row r="75" spans="37:47" ht="15.75" customHeight="1">
      <c r="AK75" s="7"/>
      <c r="AL75" s="7"/>
      <c r="AM75" s="7"/>
      <c r="AN75" s="7"/>
      <c r="AO75" s="7"/>
      <c r="AP75" s="7"/>
      <c r="AQ75" s="7"/>
      <c r="AR75" s="7"/>
      <c r="AS75" s="7"/>
      <c r="AT75" s="7"/>
      <c r="AU75" s="7"/>
    </row>
    <row r="76" spans="37:47" ht="15.75" customHeight="1">
      <c r="AK76" s="7"/>
      <c r="AL76" s="7"/>
      <c r="AM76" s="7"/>
      <c r="AN76" s="7"/>
      <c r="AO76" s="7"/>
      <c r="AP76" s="7"/>
      <c r="AQ76" s="7"/>
      <c r="AR76" s="7"/>
      <c r="AS76" s="7"/>
      <c r="AT76" s="7"/>
      <c r="AU76" s="7"/>
    </row>
    <row r="77" spans="37:47" ht="15.75" customHeight="1">
      <c r="AK77" s="7"/>
      <c r="AL77" s="7"/>
      <c r="AM77" s="7"/>
      <c r="AN77" s="7"/>
      <c r="AO77" s="7"/>
      <c r="AP77" s="7"/>
      <c r="AQ77" s="7"/>
      <c r="AR77" s="7"/>
      <c r="AS77" s="7"/>
      <c r="AT77" s="7"/>
      <c r="AU77" s="7"/>
    </row>
    <row r="78" spans="37:47" ht="15.75" customHeight="1">
      <c r="AK78" s="7"/>
      <c r="AL78" s="7"/>
      <c r="AM78" s="7"/>
      <c r="AN78" s="7"/>
      <c r="AO78" s="7"/>
      <c r="AP78" s="7"/>
      <c r="AQ78" s="7"/>
      <c r="AR78" s="7"/>
      <c r="AS78" s="7"/>
      <c r="AT78" s="7"/>
      <c r="AU78" s="7"/>
    </row>
    <row r="79" spans="37:47" ht="15.75" customHeight="1">
      <c r="AK79" s="7"/>
      <c r="AL79" s="7"/>
      <c r="AM79" s="7"/>
      <c r="AN79" s="7"/>
      <c r="AO79" s="7"/>
      <c r="AP79" s="7"/>
      <c r="AQ79" s="7"/>
      <c r="AR79" s="7"/>
      <c r="AS79" s="7"/>
      <c r="AT79" s="7"/>
      <c r="AU79" s="7"/>
    </row>
    <row r="80" spans="37:47" ht="15.75" customHeight="1">
      <c r="AK80" s="7"/>
      <c r="AL80" s="7"/>
      <c r="AM80" s="7"/>
      <c r="AN80" s="7"/>
      <c r="AO80" s="7"/>
      <c r="AP80" s="7"/>
      <c r="AQ80" s="7"/>
      <c r="AR80" s="7"/>
      <c r="AS80" s="7"/>
      <c r="AT80" s="7"/>
      <c r="AU80" s="7"/>
    </row>
    <row r="81" spans="37:47" ht="15.75" customHeight="1">
      <c r="AK81" s="7"/>
      <c r="AL81" s="7"/>
      <c r="AM81" s="7"/>
      <c r="AN81" s="7"/>
      <c r="AO81" s="7"/>
      <c r="AP81" s="7"/>
      <c r="AQ81" s="7"/>
      <c r="AR81" s="7"/>
      <c r="AS81" s="7"/>
      <c r="AT81" s="7"/>
      <c r="AU81" s="7"/>
    </row>
    <row r="82" spans="37:47" ht="15.75" customHeight="1">
      <c r="AK82" s="7"/>
      <c r="AL82" s="7"/>
      <c r="AM82" s="7"/>
      <c r="AN82" s="7"/>
      <c r="AO82" s="7"/>
      <c r="AP82" s="7"/>
      <c r="AQ82" s="7"/>
      <c r="AR82" s="7"/>
      <c r="AS82" s="7"/>
      <c r="AT82" s="7"/>
      <c r="AU82" s="7"/>
    </row>
    <row r="83" spans="37:47" ht="15.75" customHeight="1">
      <c r="AK83" s="7"/>
      <c r="AL83" s="7"/>
      <c r="AM83" s="7"/>
      <c r="AN83" s="7"/>
      <c r="AO83" s="7"/>
      <c r="AP83" s="7"/>
      <c r="AQ83" s="7"/>
      <c r="AR83" s="7"/>
      <c r="AS83" s="7"/>
      <c r="AT83" s="7"/>
      <c r="AU83" s="7"/>
    </row>
    <row r="84" spans="37:47" ht="15.75" customHeight="1">
      <c r="AK84" s="7"/>
      <c r="AL84" s="7"/>
      <c r="AM84" s="7"/>
      <c r="AN84" s="7"/>
      <c r="AO84" s="7"/>
      <c r="AP84" s="7"/>
      <c r="AQ84" s="7"/>
      <c r="AR84" s="7"/>
      <c r="AS84" s="7"/>
      <c r="AT84" s="7"/>
      <c r="AU84" s="7"/>
    </row>
    <row r="85" spans="37:47" ht="15.75" customHeight="1">
      <c r="AK85" s="7"/>
      <c r="AL85" s="7"/>
      <c r="AM85" s="7"/>
      <c r="AN85" s="7"/>
      <c r="AO85" s="7"/>
      <c r="AP85" s="7"/>
      <c r="AQ85" s="7"/>
      <c r="AR85" s="7"/>
      <c r="AS85" s="7"/>
      <c r="AT85" s="7"/>
      <c r="AU85" s="7"/>
    </row>
    <row r="86" spans="37:47" ht="15.75" customHeight="1">
      <c r="AK86" s="7"/>
      <c r="AL86" s="7"/>
      <c r="AM86" s="7"/>
      <c r="AN86" s="7"/>
      <c r="AO86" s="7"/>
      <c r="AP86" s="7"/>
      <c r="AQ86" s="7"/>
      <c r="AR86" s="7"/>
      <c r="AS86" s="7"/>
      <c r="AT86" s="7"/>
      <c r="AU86" s="7"/>
    </row>
    <row r="87" spans="37:47" ht="15.75" customHeight="1">
      <c r="AK87" s="7"/>
      <c r="AL87" s="7"/>
      <c r="AM87" s="7"/>
      <c r="AN87" s="7"/>
      <c r="AO87" s="7"/>
      <c r="AP87" s="7"/>
      <c r="AQ87" s="7"/>
      <c r="AR87" s="7"/>
      <c r="AS87" s="7"/>
      <c r="AT87" s="7"/>
      <c r="AU87" s="7"/>
    </row>
    <row r="88" spans="37:47" ht="15.75" customHeight="1">
      <c r="AK88" s="7"/>
      <c r="AL88" s="7"/>
      <c r="AM88" s="7"/>
      <c r="AN88" s="7"/>
      <c r="AO88" s="7"/>
      <c r="AP88" s="7"/>
      <c r="AQ88" s="7"/>
      <c r="AR88" s="7"/>
      <c r="AS88" s="7"/>
      <c r="AT88" s="7"/>
      <c r="AU88" s="7"/>
    </row>
    <row r="89" spans="37:47" ht="15.75" customHeight="1">
      <c r="AK89" s="7"/>
      <c r="AL89" s="7"/>
      <c r="AM89" s="7"/>
      <c r="AN89" s="7"/>
      <c r="AO89" s="7"/>
      <c r="AP89" s="7"/>
      <c r="AQ89" s="7"/>
      <c r="AR89" s="7"/>
      <c r="AS89" s="7"/>
      <c r="AT89" s="7"/>
      <c r="AU89" s="7"/>
    </row>
    <row r="90" spans="37:47" ht="15.75" customHeight="1">
      <c r="AK90" s="7"/>
      <c r="AL90" s="7"/>
      <c r="AM90" s="7"/>
      <c r="AN90" s="7"/>
      <c r="AO90" s="7"/>
      <c r="AP90" s="7"/>
      <c r="AQ90" s="7"/>
      <c r="AR90" s="7"/>
      <c r="AS90" s="7"/>
      <c r="AT90" s="7"/>
      <c r="AU90" s="7"/>
    </row>
    <row r="91" spans="37:47" ht="15.75" customHeight="1">
      <c r="AK91" s="7"/>
      <c r="AL91" s="7"/>
      <c r="AM91" s="7"/>
      <c r="AN91" s="7"/>
      <c r="AO91" s="7"/>
      <c r="AP91" s="7"/>
      <c r="AQ91" s="7"/>
      <c r="AR91" s="7"/>
      <c r="AS91" s="7"/>
      <c r="AT91" s="7"/>
      <c r="AU91" s="7"/>
    </row>
    <row r="92" spans="37:47" ht="15.75" customHeight="1">
      <c r="AK92" s="7"/>
      <c r="AL92" s="7"/>
      <c r="AM92" s="7"/>
      <c r="AN92" s="7"/>
      <c r="AO92" s="7"/>
      <c r="AP92" s="7"/>
      <c r="AQ92" s="7"/>
      <c r="AR92" s="7"/>
      <c r="AS92" s="7"/>
      <c r="AT92" s="7"/>
      <c r="AU92" s="7"/>
    </row>
    <row r="93" spans="37:47" ht="15.75" customHeight="1">
      <c r="AK93" s="7"/>
      <c r="AL93" s="7"/>
      <c r="AM93" s="7"/>
      <c r="AN93" s="7"/>
      <c r="AO93" s="7"/>
      <c r="AP93" s="7"/>
      <c r="AQ93" s="7"/>
      <c r="AR93" s="7"/>
      <c r="AS93" s="7"/>
      <c r="AT93" s="7"/>
      <c r="AU93" s="7"/>
    </row>
    <row r="94" spans="37:47" ht="15.75" customHeight="1">
      <c r="AK94" s="7"/>
      <c r="AL94" s="7"/>
      <c r="AM94" s="7"/>
      <c r="AN94" s="7"/>
      <c r="AO94" s="7"/>
      <c r="AP94" s="7"/>
      <c r="AQ94" s="7"/>
      <c r="AR94" s="7"/>
      <c r="AS94" s="7"/>
      <c r="AT94" s="7"/>
      <c r="AU94" s="7"/>
    </row>
    <row r="95" spans="37:47" ht="15.75" customHeight="1">
      <c r="AK95" s="7"/>
      <c r="AL95" s="7"/>
      <c r="AM95" s="7"/>
      <c r="AN95" s="7"/>
      <c r="AO95" s="7"/>
      <c r="AP95" s="7"/>
      <c r="AQ95" s="7"/>
      <c r="AR95" s="7"/>
      <c r="AS95" s="7"/>
      <c r="AT95" s="7"/>
      <c r="AU95" s="7"/>
    </row>
    <row r="96" spans="37:47" ht="15.75" customHeight="1">
      <c r="AK96" s="7"/>
      <c r="AL96" s="7"/>
      <c r="AM96" s="7"/>
      <c r="AN96" s="7"/>
      <c r="AO96" s="7"/>
      <c r="AP96" s="7"/>
      <c r="AQ96" s="7"/>
      <c r="AR96" s="7"/>
      <c r="AS96" s="7"/>
      <c r="AT96" s="7"/>
      <c r="AU96" s="7"/>
    </row>
    <row r="97" spans="37:47" ht="15.75" customHeight="1">
      <c r="AK97" s="7"/>
      <c r="AL97" s="7"/>
      <c r="AM97" s="7"/>
      <c r="AN97" s="7"/>
      <c r="AO97" s="7"/>
      <c r="AP97" s="7"/>
      <c r="AQ97" s="7"/>
      <c r="AR97" s="7"/>
      <c r="AS97" s="7"/>
      <c r="AT97" s="7"/>
      <c r="AU97" s="7"/>
    </row>
    <row r="98" spans="37:47" ht="15.75" customHeight="1">
      <c r="AK98" s="7"/>
      <c r="AL98" s="7"/>
      <c r="AM98" s="7"/>
      <c r="AN98" s="7"/>
      <c r="AO98" s="7"/>
      <c r="AP98" s="7"/>
      <c r="AQ98" s="7"/>
      <c r="AR98" s="7"/>
      <c r="AS98" s="7"/>
      <c r="AT98" s="7"/>
      <c r="AU98" s="7"/>
    </row>
    <row r="99" spans="37:47" ht="15.75" customHeight="1">
      <c r="AK99" s="7"/>
      <c r="AL99" s="7"/>
      <c r="AM99" s="7"/>
      <c r="AN99" s="7"/>
      <c r="AO99" s="7"/>
      <c r="AP99" s="7"/>
      <c r="AQ99" s="7"/>
      <c r="AR99" s="7"/>
      <c r="AS99" s="7"/>
      <c r="AT99" s="7"/>
      <c r="AU99" s="7"/>
    </row>
    <row r="100" spans="37:47" ht="15.75" customHeight="1">
      <c r="AK100" s="7"/>
      <c r="AL100" s="7"/>
      <c r="AM100" s="7"/>
      <c r="AN100" s="7"/>
      <c r="AO100" s="7"/>
      <c r="AP100" s="7"/>
      <c r="AQ100" s="7"/>
      <c r="AR100" s="7"/>
      <c r="AS100" s="7"/>
      <c r="AT100" s="7"/>
      <c r="AU100" s="7"/>
    </row>
    <row r="101" spans="37:47" ht="15.75" customHeight="1">
      <c r="AK101" s="7"/>
      <c r="AL101" s="7"/>
      <c r="AM101" s="7"/>
      <c r="AN101" s="7"/>
      <c r="AO101" s="7"/>
      <c r="AP101" s="7"/>
      <c r="AQ101" s="7"/>
      <c r="AR101" s="7"/>
      <c r="AS101" s="7"/>
      <c r="AT101" s="7"/>
      <c r="AU101" s="7"/>
    </row>
    <row r="105" spans="37:47" ht="15.75" customHeight="1">
      <c r="AK105" s="7"/>
      <c r="AL105" s="7"/>
      <c r="AM105" s="7"/>
      <c r="AN105" s="7"/>
      <c r="AO105" s="7"/>
      <c r="AP105" s="7"/>
      <c r="AQ105" s="7"/>
      <c r="AR105" s="7"/>
      <c r="AS105" s="7"/>
      <c r="AT105" s="7"/>
      <c r="AU105" s="7"/>
    </row>
    <row r="106" spans="37:47" ht="15.75" customHeight="1">
      <c r="AK106" s="7"/>
      <c r="AL106" s="7"/>
      <c r="AM106" s="7"/>
      <c r="AN106" s="7"/>
      <c r="AO106" s="7"/>
      <c r="AP106" s="7"/>
      <c r="AQ106" s="7"/>
      <c r="AR106" s="7"/>
      <c r="AS106" s="7"/>
      <c r="AT106" s="7"/>
      <c r="AU106" s="7"/>
    </row>
    <row r="107" spans="37:47" ht="15.75" customHeight="1">
      <c r="AK107" s="7"/>
      <c r="AL107" s="7"/>
      <c r="AM107" s="7"/>
      <c r="AN107" s="7"/>
      <c r="AO107" s="7"/>
      <c r="AP107" s="7"/>
      <c r="AQ107" s="7"/>
      <c r="AR107" s="7"/>
      <c r="AS107" s="7"/>
      <c r="AT107" s="7"/>
      <c r="AU107" s="7"/>
    </row>
    <row r="108" spans="37:47" ht="15.75" customHeight="1">
      <c r="AK108" s="7"/>
      <c r="AL108" s="7"/>
      <c r="AM108" s="7"/>
      <c r="AN108" s="7"/>
      <c r="AO108" s="7"/>
      <c r="AP108" s="7"/>
      <c r="AQ108" s="7"/>
      <c r="AR108" s="7"/>
      <c r="AS108" s="7"/>
      <c r="AT108" s="7"/>
      <c r="AU108" s="7"/>
    </row>
    <row r="109" spans="37:47" ht="15.75" customHeight="1">
      <c r="AK109" s="7"/>
      <c r="AL109" s="7"/>
      <c r="AM109" s="7"/>
      <c r="AN109" s="7"/>
      <c r="AO109" s="7"/>
      <c r="AP109" s="7"/>
      <c r="AQ109" s="7"/>
      <c r="AR109" s="7"/>
      <c r="AS109" s="7"/>
      <c r="AT109" s="7"/>
      <c r="AU109" s="7"/>
    </row>
    <row r="110" spans="37:47" ht="15.75" customHeight="1">
      <c r="AK110" s="7"/>
      <c r="AL110" s="7"/>
      <c r="AM110" s="7"/>
      <c r="AN110" s="7"/>
      <c r="AO110" s="7"/>
      <c r="AP110" s="7"/>
      <c r="AQ110" s="7"/>
      <c r="AR110" s="7"/>
      <c r="AS110" s="7"/>
      <c r="AT110" s="7"/>
      <c r="AU110" s="7"/>
    </row>
    <row r="111" spans="37:47" ht="15.75" customHeight="1">
      <c r="AK111" s="7"/>
      <c r="AL111" s="7"/>
      <c r="AM111" s="7"/>
      <c r="AN111" s="7"/>
      <c r="AO111" s="7"/>
      <c r="AP111" s="7"/>
      <c r="AQ111" s="7"/>
      <c r="AR111" s="7"/>
      <c r="AS111" s="7"/>
      <c r="AT111" s="7"/>
      <c r="AU111" s="7"/>
    </row>
    <row r="112" spans="37:47" ht="15.75" customHeight="1">
      <c r="AK112" s="7"/>
      <c r="AL112" s="7"/>
      <c r="AM112" s="7"/>
      <c r="AN112" s="7"/>
      <c r="AO112" s="7"/>
      <c r="AP112" s="7"/>
      <c r="AQ112" s="7"/>
      <c r="AR112" s="7"/>
      <c r="AS112" s="7"/>
      <c r="AT112" s="7"/>
      <c r="AU112" s="7"/>
    </row>
    <row r="113" spans="37:47" ht="15.75" customHeight="1">
      <c r="AK113" s="7"/>
      <c r="AL113" s="7"/>
      <c r="AM113" s="7"/>
      <c r="AN113" s="7"/>
      <c r="AO113" s="7"/>
      <c r="AP113" s="7"/>
      <c r="AQ113" s="7"/>
      <c r="AR113" s="7"/>
      <c r="AS113" s="7"/>
      <c r="AT113" s="7"/>
      <c r="AU113" s="7"/>
    </row>
    <row r="114" spans="37:47" ht="15.75" customHeight="1">
      <c r="AK114" s="7"/>
      <c r="AL114" s="7"/>
      <c r="AM114" s="7"/>
      <c r="AN114" s="7"/>
      <c r="AO114" s="7"/>
      <c r="AP114" s="7"/>
      <c r="AQ114" s="7"/>
      <c r="AR114" s="7"/>
      <c r="AS114" s="7"/>
      <c r="AT114" s="7"/>
      <c r="AU114" s="7"/>
    </row>
    <row r="116" spans="37:47" ht="15.75" customHeight="1">
      <c r="AK116" s="7"/>
      <c r="AL116" s="7"/>
      <c r="AM116" s="7"/>
      <c r="AN116" s="7"/>
      <c r="AO116" s="7"/>
      <c r="AP116" s="7"/>
      <c r="AQ116" s="7"/>
      <c r="AR116" s="7"/>
      <c r="AS116" s="7"/>
      <c r="AT116" s="7"/>
      <c r="AU116" s="7"/>
    </row>
    <row r="117" spans="37:47" ht="15.75" customHeight="1">
      <c r="AK117" s="7"/>
      <c r="AL117" s="7"/>
      <c r="AM117" s="7"/>
      <c r="AN117" s="7"/>
      <c r="AO117" s="7"/>
      <c r="AP117" s="7"/>
      <c r="AQ117" s="7"/>
      <c r="AR117" s="7"/>
      <c r="AS117" s="7"/>
      <c r="AT117" s="7"/>
      <c r="AU117" s="7"/>
    </row>
    <row r="118" spans="37:47" ht="15.75" customHeight="1">
      <c r="AK118" s="7"/>
      <c r="AL118" s="7"/>
      <c r="AM118" s="7"/>
      <c r="AN118" s="7"/>
      <c r="AO118" s="7"/>
      <c r="AP118" s="7"/>
      <c r="AQ118" s="7"/>
      <c r="AR118" s="7"/>
      <c r="AS118" s="7"/>
      <c r="AT118" s="7"/>
      <c r="AU118" s="7"/>
    </row>
    <row r="119" spans="37:47" ht="15.75" customHeight="1">
      <c r="AK119" s="7"/>
      <c r="AL119" s="7"/>
      <c r="AM119" s="7"/>
      <c r="AN119" s="7"/>
      <c r="AO119" s="7"/>
      <c r="AP119" s="7"/>
      <c r="AQ119" s="7"/>
      <c r="AR119" s="7"/>
      <c r="AS119" s="7"/>
      <c r="AT119" s="7"/>
      <c r="AU119" s="7"/>
    </row>
    <row r="120" spans="37:47" ht="15.75" customHeight="1">
      <c r="AK120" s="7"/>
      <c r="AL120" s="7"/>
      <c r="AM120" s="7"/>
      <c r="AN120" s="7"/>
      <c r="AO120" s="7"/>
      <c r="AP120" s="7"/>
      <c r="AQ120" s="7"/>
      <c r="AR120" s="7"/>
      <c r="AS120" s="7"/>
      <c r="AT120" s="7"/>
      <c r="AU120" s="7"/>
    </row>
    <row r="121" spans="37:47" ht="15.75" customHeight="1">
      <c r="AK121" s="7"/>
      <c r="AL121" s="7"/>
      <c r="AM121" s="7"/>
      <c r="AN121" s="7"/>
      <c r="AO121" s="7"/>
      <c r="AP121" s="7"/>
      <c r="AQ121" s="7"/>
      <c r="AR121" s="7"/>
      <c r="AS121" s="7"/>
      <c r="AT121" s="7"/>
      <c r="AU121" s="7"/>
    </row>
    <row r="122" spans="37:47" ht="15.75" customHeight="1">
      <c r="AK122" s="7"/>
      <c r="AL122" s="7"/>
      <c r="AM122" s="7"/>
      <c r="AN122" s="7"/>
      <c r="AO122" s="7"/>
      <c r="AP122" s="7"/>
      <c r="AQ122" s="7"/>
      <c r="AR122" s="7"/>
      <c r="AS122" s="7"/>
      <c r="AT122" s="7"/>
      <c r="AU122" s="7"/>
    </row>
    <row r="123" spans="37:47" ht="15.75" customHeight="1">
      <c r="AK123" s="7"/>
      <c r="AL123" s="7"/>
      <c r="AM123" s="7"/>
      <c r="AN123" s="7"/>
      <c r="AO123" s="7"/>
      <c r="AP123" s="7"/>
      <c r="AQ123" s="7"/>
      <c r="AR123" s="7"/>
      <c r="AS123" s="7"/>
      <c r="AT123" s="7"/>
      <c r="AU123" s="7"/>
    </row>
    <row r="124" spans="37:47" ht="15.75" customHeight="1">
      <c r="AK124" s="7"/>
      <c r="AL124" s="7"/>
      <c r="AM124" s="7"/>
      <c r="AN124" s="7"/>
      <c r="AO124" s="7"/>
      <c r="AP124" s="7"/>
      <c r="AQ124" s="7"/>
      <c r="AR124" s="7"/>
      <c r="AS124" s="7"/>
      <c r="AT124" s="7"/>
      <c r="AU124" s="7"/>
    </row>
    <row r="125" spans="37:47" ht="15.75" customHeight="1">
      <c r="AK125" s="7"/>
      <c r="AL125" s="7"/>
      <c r="AM125" s="7"/>
      <c r="AN125" s="7"/>
      <c r="AO125" s="7"/>
      <c r="AP125" s="7"/>
      <c r="AQ125" s="7"/>
      <c r="AR125" s="7"/>
      <c r="AS125" s="7"/>
      <c r="AT125" s="7"/>
      <c r="AU125" s="7"/>
    </row>
    <row r="126" spans="37:47" ht="15.75" customHeight="1">
      <c r="AK126" s="7"/>
      <c r="AL126" s="7"/>
      <c r="AM126" s="7"/>
      <c r="AN126" s="7"/>
      <c r="AO126" s="7"/>
      <c r="AP126" s="7"/>
      <c r="AQ126" s="7"/>
      <c r="AR126" s="7"/>
      <c r="AS126" s="7"/>
      <c r="AT126" s="7"/>
      <c r="AU126" s="7"/>
    </row>
    <row r="127" spans="37:47" ht="15.75" customHeight="1">
      <c r="AK127" s="7"/>
      <c r="AL127" s="7"/>
      <c r="AM127" s="7"/>
      <c r="AN127" s="7"/>
      <c r="AO127" s="7"/>
      <c r="AP127" s="7"/>
      <c r="AQ127" s="7"/>
      <c r="AR127" s="7"/>
      <c r="AS127" s="7"/>
      <c r="AT127" s="7"/>
      <c r="AU127" s="7"/>
    </row>
    <row r="128" spans="37:47" ht="15.75" customHeight="1">
      <c r="AK128" s="7"/>
      <c r="AL128" s="7"/>
      <c r="AM128" s="7"/>
      <c r="AN128" s="7"/>
      <c r="AO128" s="7"/>
      <c r="AP128" s="7"/>
      <c r="AQ128" s="7"/>
      <c r="AR128" s="7"/>
      <c r="AS128" s="7"/>
      <c r="AT128" s="7"/>
      <c r="AU128" s="7"/>
    </row>
    <row r="129" spans="37:47" ht="15.75" customHeight="1">
      <c r="AK129" s="7"/>
      <c r="AL129" s="7"/>
      <c r="AM129" s="7"/>
      <c r="AN129" s="7"/>
      <c r="AO129" s="7"/>
      <c r="AP129" s="7"/>
      <c r="AQ129" s="7"/>
      <c r="AR129" s="7"/>
      <c r="AS129" s="7"/>
      <c r="AT129" s="7"/>
      <c r="AU129" s="7"/>
    </row>
    <row r="130" spans="37:47" ht="15.75" customHeight="1">
      <c r="AK130" s="7"/>
      <c r="AL130" s="7"/>
      <c r="AM130" s="7"/>
      <c r="AN130" s="7"/>
      <c r="AO130" s="7"/>
      <c r="AP130" s="7"/>
      <c r="AQ130" s="7"/>
      <c r="AR130" s="7"/>
      <c r="AS130" s="7"/>
      <c r="AT130" s="7"/>
      <c r="AU130" s="7"/>
    </row>
    <row r="131" spans="37:47" ht="15.75" customHeight="1">
      <c r="AK131" s="7"/>
      <c r="AL131" s="7"/>
      <c r="AM131" s="7"/>
      <c r="AN131" s="7"/>
      <c r="AO131" s="7"/>
      <c r="AP131" s="7"/>
      <c r="AQ131" s="7"/>
      <c r="AR131" s="7"/>
      <c r="AS131" s="7"/>
      <c r="AT131" s="7"/>
      <c r="AU131" s="7"/>
    </row>
    <row r="132" spans="37:47" ht="15.75" customHeight="1">
      <c r="AK132" s="7"/>
      <c r="AL132" s="7"/>
      <c r="AM132" s="7"/>
      <c r="AN132" s="7"/>
      <c r="AO132" s="7"/>
      <c r="AP132" s="7"/>
      <c r="AQ132" s="7"/>
      <c r="AR132" s="7"/>
      <c r="AS132" s="7"/>
      <c r="AT132" s="7"/>
      <c r="AU132" s="7"/>
    </row>
    <row r="133" spans="37:47" ht="15.75" customHeight="1">
      <c r="AK133" s="7"/>
      <c r="AL133" s="7"/>
      <c r="AM133" s="7"/>
      <c r="AN133" s="7"/>
      <c r="AO133" s="7"/>
      <c r="AP133" s="7"/>
      <c r="AQ133" s="7"/>
      <c r="AR133" s="7"/>
      <c r="AS133" s="7"/>
      <c r="AT133" s="7"/>
      <c r="AU133" s="7"/>
    </row>
    <row r="134" spans="37:47" ht="15.75" customHeight="1">
      <c r="AK134" s="7"/>
      <c r="AL134" s="7"/>
      <c r="AM134" s="7"/>
      <c r="AN134" s="7"/>
      <c r="AO134" s="7"/>
      <c r="AP134" s="7"/>
      <c r="AQ134" s="7"/>
      <c r="AR134" s="7"/>
      <c r="AS134" s="7"/>
      <c r="AT134" s="7"/>
      <c r="AU134" s="7"/>
    </row>
    <row r="135" spans="37:47" ht="15.75" customHeight="1">
      <c r="AK135" s="7"/>
      <c r="AL135" s="7"/>
      <c r="AM135" s="7"/>
      <c r="AN135" s="7"/>
      <c r="AO135" s="7"/>
      <c r="AP135" s="7"/>
      <c r="AQ135" s="7"/>
      <c r="AR135" s="7"/>
      <c r="AS135" s="7"/>
      <c r="AT135" s="7"/>
      <c r="AU135" s="7"/>
    </row>
    <row r="136" spans="37:47" ht="15.75" customHeight="1">
      <c r="AK136" s="7"/>
      <c r="AL136" s="7"/>
      <c r="AM136" s="7"/>
      <c r="AN136" s="7"/>
      <c r="AO136" s="7"/>
      <c r="AP136" s="7"/>
      <c r="AQ136" s="7"/>
      <c r="AR136" s="7"/>
      <c r="AS136" s="7"/>
      <c r="AT136" s="7"/>
      <c r="AU136" s="7"/>
    </row>
    <row r="137" spans="37:47" ht="15.75" customHeight="1">
      <c r="AK137" s="7"/>
      <c r="AL137" s="7"/>
      <c r="AM137" s="7"/>
      <c r="AN137" s="7"/>
      <c r="AO137" s="7"/>
      <c r="AP137" s="7"/>
      <c r="AQ137" s="7"/>
      <c r="AR137" s="7"/>
      <c r="AS137" s="7"/>
      <c r="AT137" s="7"/>
      <c r="AU137" s="7"/>
    </row>
    <row r="138" spans="37:47" ht="15.75" customHeight="1">
      <c r="AK138" s="7"/>
      <c r="AL138" s="7"/>
      <c r="AM138" s="7"/>
      <c r="AN138" s="7"/>
      <c r="AO138" s="7"/>
      <c r="AP138" s="7"/>
      <c r="AQ138" s="7"/>
      <c r="AR138" s="7"/>
      <c r="AS138" s="7"/>
      <c r="AT138" s="7"/>
      <c r="AU138" s="7"/>
    </row>
    <row r="139" spans="37:47" ht="15.75" customHeight="1">
      <c r="AK139" s="7"/>
      <c r="AL139" s="7"/>
      <c r="AM139" s="7"/>
      <c r="AN139" s="7"/>
      <c r="AO139" s="7"/>
      <c r="AP139" s="7"/>
      <c r="AQ139" s="7"/>
      <c r="AR139" s="7"/>
      <c r="AS139" s="7"/>
      <c r="AT139" s="7"/>
      <c r="AU139" s="7"/>
    </row>
    <row r="140" spans="37:47" ht="15.75" customHeight="1">
      <c r="AK140" s="7"/>
      <c r="AL140" s="7"/>
      <c r="AM140" s="7"/>
      <c r="AN140" s="7"/>
      <c r="AO140" s="7"/>
      <c r="AP140" s="7"/>
      <c r="AQ140" s="7"/>
      <c r="AR140" s="7"/>
      <c r="AS140" s="7"/>
      <c r="AT140" s="7"/>
      <c r="AU140" s="7"/>
    </row>
    <row r="141" spans="37:47" ht="15.75" customHeight="1">
      <c r="AK141" s="7"/>
      <c r="AL141" s="7"/>
      <c r="AM141" s="7"/>
      <c r="AN141" s="7"/>
      <c r="AO141" s="7"/>
      <c r="AP141" s="7"/>
      <c r="AQ141" s="7"/>
      <c r="AR141" s="7"/>
      <c r="AS141" s="7"/>
      <c r="AT141" s="7"/>
      <c r="AU141" s="7"/>
    </row>
    <row r="142" spans="37:47" ht="15.75" customHeight="1">
      <c r="AK142" s="7"/>
      <c r="AL142" s="7"/>
      <c r="AM142" s="7"/>
      <c r="AN142" s="7"/>
      <c r="AO142" s="7"/>
      <c r="AP142" s="7"/>
      <c r="AQ142" s="7"/>
      <c r="AR142" s="7"/>
      <c r="AS142" s="7"/>
      <c r="AT142" s="7"/>
      <c r="AU142" s="7"/>
    </row>
    <row r="143" spans="37:47" ht="15.75" customHeight="1">
      <c r="AK143" s="7"/>
      <c r="AL143" s="7"/>
      <c r="AM143" s="7"/>
      <c r="AN143" s="7"/>
      <c r="AO143" s="7"/>
      <c r="AP143" s="7"/>
      <c r="AQ143" s="7"/>
      <c r="AR143" s="7"/>
      <c r="AS143" s="7"/>
      <c r="AT143" s="7"/>
      <c r="AU143" s="7"/>
    </row>
    <row r="144" spans="37:47" ht="15.75" customHeight="1">
      <c r="AK144" s="7"/>
      <c r="AL144" s="7"/>
      <c r="AM144" s="7"/>
      <c r="AN144" s="7"/>
      <c r="AO144" s="7"/>
      <c r="AP144" s="7"/>
      <c r="AQ144" s="7"/>
      <c r="AR144" s="7"/>
      <c r="AS144" s="7"/>
      <c r="AT144" s="7"/>
      <c r="AU144" s="7"/>
    </row>
    <row r="145" spans="37:47" ht="15.75" customHeight="1">
      <c r="AK145" s="7"/>
      <c r="AL145" s="7"/>
      <c r="AM145" s="7"/>
      <c r="AN145" s="7"/>
      <c r="AO145" s="7"/>
      <c r="AP145" s="7"/>
      <c r="AQ145" s="7"/>
      <c r="AR145" s="7"/>
      <c r="AS145" s="7"/>
      <c r="AT145" s="7"/>
      <c r="AU145" s="7"/>
    </row>
    <row r="146" spans="37:47" ht="15.75" customHeight="1">
      <c r="AK146" s="7"/>
      <c r="AL146" s="7"/>
      <c r="AM146" s="7"/>
      <c r="AN146" s="7"/>
      <c r="AO146" s="7"/>
      <c r="AP146" s="7"/>
      <c r="AQ146" s="7"/>
      <c r="AR146" s="7"/>
      <c r="AS146" s="7"/>
      <c r="AT146" s="7"/>
      <c r="AU146" s="7"/>
    </row>
    <row r="147" spans="37:47" ht="15.75" customHeight="1">
      <c r="AK147" s="7"/>
      <c r="AL147" s="7"/>
      <c r="AM147" s="7"/>
      <c r="AN147" s="7"/>
      <c r="AO147" s="7"/>
      <c r="AP147" s="7"/>
      <c r="AQ147" s="7"/>
      <c r="AR147" s="7"/>
      <c r="AS147" s="7"/>
      <c r="AT147" s="7"/>
      <c r="AU147" s="7"/>
    </row>
    <row r="148" spans="37:47" ht="15.75" customHeight="1">
      <c r="AK148" s="7"/>
      <c r="AL148" s="7"/>
      <c r="AM148" s="7"/>
      <c r="AN148" s="7"/>
      <c r="AO148" s="7"/>
      <c r="AP148" s="7"/>
      <c r="AQ148" s="7"/>
      <c r="AR148" s="7"/>
      <c r="AS148" s="7"/>
      <c r="AT148" s="7"/>
      <c r="AU148" s="7"/>
    </row>
    <row r="149" spans="37:47" ht="15.75" customHeight="1">
      <c r="AK149" s="7"/>
      <c r="AL149" s="7"/>
      <c r="AM149" s="7"/>
      <c r="AN149" s="7"/>
      <c r="AO149" s="7"/>
      <c r="AP149" s="7"/>
      <c r="AQ149" s="7"/>
      <c r="AR149" s="7"/>
      <c r="AS149" s="7"/>
      <c r="AT149" s="7"/>
      <c r="AU149" s="7"/>
    </row>
    <row r="150" spans="37:47" ht="15.75" customHeight="1">
      <c r="AK150" s="7"/>
      <c r="AL150" s="7"/>
      <c r="AM150" s="7"/>
      <c r="AN150" s="7"/>
      <c r="AO150" s="7"/>
      <c r="AP150" s="7"/>
      <c r="AQ150" s="7"/>
      <c r="AR150" s="7"/>
      <c r="AS150" s="7"/>
      <c r="AT150" s="7"/>
      <c r="AU150" s="7"/>
    </row>
    <row r="151" spans="37:47" ht="15.75" customHeight="1">
      <c r="AK151" s="7"/>
      <c r="AL151" s="7"/>
      <c r="AM151" s="7"/>
      <c r="AN151" s="7"/>
      <c r="AO151" s="7"/>
      <c r="AP151" s="7"/>
      <c r="AQ151" s="7"/>
      <c r="AR151" s="7"/>
      <c r="AS151" s="7"/>
      <c r="AT151" s="7"/>
      <c r="AU151" s="7"/>
    </row>
    <row r="153" spans="37:47" ht="15.75" customHeight="1">
      <c r="AK153" s="7"/>
      <c r="AL153" s="7"/>
      <c r="AM153" s="7"/>
      <c r="AN153" s="7"/>
      <c r="AO153" s="7"/>
      <c r="AP153" s="7"/>
      <c r="AQ153" s="7"/>
      <c r="AR153" s="7"/>
      <c r="AS153" s="7"/>
      <c r="AT153" s="7"/>
      <c r="AU153" s="7"/>
    </row>
    <row r="154" spans="37:47" ht="15.75" customHeight="1">
      <c r="AK154" s="7"/>
      <c r="AL154" s="7"/>
      <c r="AM154" s="7"/>
      <c r="AN154" s="7"/>
      <c r="AO154" s="7"/>
      <c r="AP154" s="7"/>
      <c r="AQ154" s="7"/>
      <c r="AR154" s="7"/>
      <c r="AS154" s="7"/>
      <c r="AT154" s="7"/>
      <c r="AU154" s="7"/>
    </row>
    <row r="155" spans="37:47" ht="15.75" customHeight="1">
      <c r="AK155" s="7"/>
      <c r="AL155" s="7"/>
      <c r="AM155" s="7"/>
      <c r="AN155" s="7"/>
      <c r="AO155" s="7"/>
      <c r="AP155" s="7"/>
      <c r="AQ155" s="7"/>
      <c r="AR155" s="7"/>
      <c r="AS155" s="7"/>
      <c r="AT155" s="7"/>
      <c r="AU155" s="7"/>
    </row>
    <row r="156" spans="37:47" ht="15.75" customHeight="1">
      <c r="AK156" s="7"/>
      <c r="AL156" s="7"/>
      <c r="AM156" s="7"/>
      <c r="AN156" s="7"/>
      <c r="AO156" s="7"/>
      <c r="AP156" s="7"/>
      <c r="AQ156" s="7"/>
      <c r="AR156" s="7"/>
      <c r="AS156" s="7"/>
      <c r="AT156" s="7"/>
      <c r="AU156" s="7"/>
    </row>
    <row r="157" spans="37:47" ht="15.75" customHeight="1">
      <c r="AK157" s="7"/>
      <c r="AL157" s="7"/>
      <c r="AM157" s="7"/>
      <c r="AN157" s="7"/>
      <c r="AO157" s="7"/>
      <c r="AP157" s="7"/>
      <c r="AQ157" s="7"/>
      <c r="AR157" s="7"/>
      <c r="AS157" s="7"/>
      <c r="AT157" s="7"/>
      <c r="AU157" s="7"/>
    </row>
    <row r="158" spans="37:47" ht="15.75" customHeight="1">
      <c r="AK158" s="7"/>
      <c r="AL158" s="7"/>
      <c r="AM158" s="7"/>
      <c r="AN158" s="7"/>
      <c r="AO158" s="7"/>
      <c r="AP158" s="7"/>
      <c r="AQ158" s="7"/>
      <c r="AR158" s="7"/>
      <c r="AS158" s="7"/>
      <c r="AT158" s="7"/>
      <c r="AU158" s="7"/>
    </row>
    <row r="159" spans="37:47" ht="15.75" customHeight="1">
      <c r="AK159" s="7"/>
      <c r="AL159" s="7"/>
      <c r="AM159" s="7"/>
      <c r="AN159" s="7"/>
      <c r="AO159" s="7"/>
      <c r="AP159" s="7"/>
      <c r="AQ159" s="7"/>
      <c r="AR159" s="7"/>
      <c r="AS159" s="7"/>
      <c r="AT159" s="7"/>
      <c r="AU159" s="7"/>
    </row>
    <row r="160" spans="37:47" ht="15.75" customHeight="1">
      <c r="AK160" s="7"/>
      <c r="AL160" s="7"/>
      <c r="AM160" s="7"/>
      <c r="AN160" s="7"/>
      <c r="AO160" s="7"/>
      <c r="AP160" s="7"/>
      <c r="AQ160" s="7"/>
      <c r="AR160" s="7"/>
      <c r="AS160" s="7"/>
      <c r="AT160" s="7"/>
      <c r="AU160" s="7"/>
    </row>
    <row r="161" spans="37:47" ht="15.75" customHeight="1">
      <c r="AK161" s="7"/>
      <c r="AL161" s="7"/>
      <c r="AM161" s="7"/>
      <c r="AN161" s="7"/>
      <c r="AO161" s="7"/>
      <c r="AP161" s="7"/>
      <c r="AQ161" s="7"/>
      <c r="AR161" s="7"/>
      <c r="AS161" s="7"/>
      <c r="AT161" s="7"/>
      <c r="AU161" s="7"/>
    </row>
    <row r="162" spans="37:47" ht="15.75" customHeight="1">
      <c r="AK162" s="7"/>
      <c r="AL162" s="7"/>
      <c r="AM162" s="7"/>
      <c r="AN162" s="7"/>
      <c r="AO162" s="7"/>
      <c r="AP162" s="7"/>
      <c r="AQ162" s="7"/>
      <c r="AR162" s="7"/>
      <c r="AS162" s="7"/>
      <c r="AT162" s="7"/>
      <c r="AU162" s="7"/>
    </row>
    <row r="163" spans="37:47" ht="15.75" customHeight="1">
      <c r="AK163" s="7"/>
      <c r="AL163" s="7"/>
      <c r="AM163" s="7"/>
      <c r="AN163" s="7"/>
      <c r="AO163" s="7"/>
      <c r="AP163" s="7"/>
      <c r="AQ163" s="7"/>
      <c r="AR163" s="7"/>
      <c r="AS163" s="7"/>
      <c r="AT163" s="7"/>
      <c r="AU163" s="7"/>
    </row>
    <row r="164" spans="37:47" ht="15.75" customHeight="1">
      <c r="AK164" s="7"/>
      <c r="AL164" s="7"/>
      <c r="AM164" s="7"/>
      <c r="AN164" s="7"/>
      <c r="AO164" s="7"/>
      <c r="AP164" s="7"/>
      <c r="AQ164" s="7"/>
      <c r="AR164" s="7"/>
      <c r="AS164" s="7"/>
      <c r="AT164" s="7"/>
      <c r="AU164" s="7"/>
    </row>
    <row r="165" spans="37:47" ht="15.75" customHeight="1">
      <c r="AK165" s="7"/>
      <c r="AL165" s="7"/>
      <c r="AM165" s="7"/>
      <c r="AN165" s="7"/>
      <c r="AO165" s="7"/>
      <c r="AP165" s="7"/>
      <c r="AQ165" s="7"/>
      <c r="AR165" s="7"/>
      <c r="AS165" s="7"/>
      <c r="AT165" s="7"/>
      <c r="AU165" s="7"/>
    </row>
    <row r="166" spans="37:47" ht="15.75" customHeight="1">
      <c r="AK166" s="7"/>
      <c r="AL166" s="7"/>
      <c r="AM166" s="7"/>
      <c r="AN166" s="7"/>
      <c r="AO166" s="7"/>
      <c r="AP166" s="7"/>
      <c r="AQ166" s="7"/>
      <c r="AR166" s="7"/>
      <c r="AS166" s="7"/>
      <c r="AT166" s="7"/>
      <c r="AU166" s="7"/>
    </row>
    <row r="167" spans="37:47" ht="15.75" customHeight="1">
      <c r="AK167" s="7"/>
      <c r="AL167" s="7"/>
      <c r="AM167" s="7"/>
      <c r="AN167" s="7"/>
      <c r="AO167" s="7"/>
      <c r="AP167" s="7"/>
      <c r="AQ167" s="7"/>
      <c r="AR167" s="7"/>
      <c r="AS167" s="7"/>
      <c r="AT167" s="7"/>
      <c r="AU167" s="7"/>
    </row>
    <row r="168" spans="37:47" ht="15.75" customHeight="1">
      <c r="AK168" s="7"/>
      <c r="AL168" s="7"/>
      <c r="AM168" s="7"/>
      <c r="AN168" s="7"/>
      <c r="AO168" s="7"/>
      <c r="AP168" s="7"/>
      <c r="AQ168" s="7"/>
      <c r="AR168" s="7"/>
      <c r="AS168" s="7"/>
      <c r="AT168" s="7"/>
      <c r="AU168" s="7"/>
    </row>
    <row r="169" spans="37:47" ht="15.75" customHeight="1">
      <c r="AK169" s="7"/>
      <c r="AL169" s="7"/>
      <c r="AM169" s="7"/>
      <c r="AN169" s="7"/>
      <c r="AO169" s="7"/>
      <c r="AP169" s="7"/>
      <c r="AQ169" s="7"/>
      <c r="AR169" s="7"/>
      <c r="AS169" s="7"/>
      <c r="AT169" s="7"/>
      <c r="AU169" s="7"/>
    </row>
    <row r="170" spans="37:47" ht="15.75" customHeight="1">
      <c r="AK170" s="7"/>
      <c r="AL170" s="7"/>
      <c r="AM170" s="7"/>
      <c r="AN170" s="7"/>
      <c r="AO170" s="7"/>
      <c r="AP170" s="7"/>
      <c r="AQ170" s="7"/>
      <c r="AR170" s="7"/>
      <c r="AS170" s="7"/>
      <c r="AT170" s="7"/>
      <c r="AU170" s="7"/>
    </row>
    <row r="171" spans="37:47" ht="15.75" customHeight="1">
      <c r="AK171" s="7"/>
      <c r="AL171" s="7"/>
      <c r="AM171" s="7"/>
      <c r="AN171" s="7"/>
      <c r="AO171" s="7"/>
      <c r="AP171" s="7"/>
      <c r="AQ171" s="7"/>
      <c r="AR171" s="7"/>
      <c r="AS171" s="7"/>
      <c r="AT171" s="7"/>
      <c r="AU171" s="7"/>
    </row>
    <row r="172" spans="37:47" ht="15.75" customHeight="1">
      <c r="AK172" s="7"/>
      <c r="AL172" s="7"/>
      <c r="AM172" s="7"/>
      <c r="AN172" s="7"/>
      <c r="AO172" s="7"/>
      <c r="AP172" s="7"/>
      <c r="AQ172" s="7"/>
      <c r="AR172" s="7"/>
      <c r="AS172" s="7"/>
      <c r="AT172" s="7"/>
      <c r="AU172" s="7"/>
    </row>
    <row r="173" spans="37:47" ht="15.75" customHeight="1">
      <c r="AK173" s="7"/>
      <c r="AL173" s="7"/>
      <c r="AM173" s="7"/>
      <c r="AN173" s="7"/>
      <c r="AO173" s="7"/>
      <c r="AP173" s="7"/>
      <c r="AQ173" s="7"/>
      <c r="AR173" s="7"/>
      <c r="AS173" s="7"/>
      <c r="AT173" s="7"/>
      <c r="AU173" s="7"/>
    </row>
    <row r="174" spans="37:47" ht="15.75" customHeight="1">
      <c r="AK174" s="7"/>
      <c r="AL174" s="7"/>
      <c r="AM174" s="7"/>
      <c r="AN174" s="7"/>
      <c r="AO174" s="7"/>
      <c r="AP174" s="7"/>
      <c r="AQ174" s="7"/>
      <c r="AR174" s="7"/>
      <c r="AS174" s="7"/>
      <c r="AT174" s="7"/>
      <c r="AU174" s="7"/>
    </row>
    <row r="175" spans="37:47" ht="15.75" customHeight="1">
      <c r="AK175" s="7"/>
      <c r="AL175" s="7"/>
      <c r="AM175" s="7"/>
      <c r="AN175" s="7"/>
      <c r="AO175" s="7"/>
      <c r="AP175" s="7"/>
      <c r="AQ175" s="7"/>
      <c r="AR175" s="7"/>
      <c r="AS175" s="7"/>
      <c r="AT175" s="7"/>
      <c r="AU175" s="7"/>
    </row>
    <row r="176" spans="37:47" ht="15.75" customHeight="1">
      <c r="AK176" s="7"/>
      <c r="AL176" s="7"/>
      <c r="AM176" s="7"/>
      <c r="AN176" s="7"/>
      <c r="AO176" s="7"/>
      <c r="AP176" s="7"/>
      <c r="AQ176" s="7"/>
      <c r="AR176" s="7"/>
      <c r="AS176" s="7"/>
      <c r="AT176" s="7"/>
      <c r="AU176" s="7"/>
    </row>
    <row r="177" spans="37:47" ht="15.75" customHeight="1">
      <c r="AK177" s="7"/>
      <c r="AL177" s="7"/>
      <c r="AM177" s="7"/>
      <c r="AN177" s="7"/>
      <c r="AO177" s="7"/>
      <c r="AP177" s="7"/>
      <c r="AQ177" s="7"/>
      <c r="AR177" s="7"/>
      <c r="AS177" s="7"/>
      <c r="AT177" s="7"/>
      <c r="AU177" s="7"/>
    </row>
    <row r="178" spans="37:47" ht="15.75" customHeight="1">
      <c r="AK178" s="7"/>
      <c r="AL178" s="7"/>
      <c r="AM178" s="7"/>
      <c r="AN178" s="7"/>
      <c r="AO178" s="7"/>
      <c r="AP178" s="7"/>
      <c r="AQ178" s="7"/>
      <c r="AR178" s="7"/>
      <c r="AS178" s="7"/>
      <c r="AT178" s="7"/>
      <c r="AU178" s="7"/>
    </row>
    <row r="179" spans="37:47" ht="15.75" customHeight="1">
      <c r="AK179" s="7"/>
      <c r="AL179" s="7"/>
      <c r="AM179" s="7"/>
      <c r="AN179" s="7"/>
      <c r="AO179" s="7"/>
      <c r="AP179" s="7"/>
      <c r="AQ179" s="7"/>
      <c r="AR179" s="7"/>
      <c r="AS179" s="7"/>
      <c r="AT179" s="7"/>
      <c r="AU179" s="7"/>
    </row>
    <row r="180" spans="37:47" ht="15.75" customHeight="1">
      <c r="AK180" s="7"/>
      <c r="AL180" s="7"/>
      <c r="AM180" s="7"/>
      <c r="AN180" s="7"/>
      <c r="AO180" s="7"/>
      <c r="AP180" s="7"/>
      <c r="AQ180" s="7"/>
      <c r="AR180" s="7"/>
      <c r="AS180" s="7"/>
      <c r="AT180" s="7"/>
      <c r="AU180" s="7"/>
    </row>
    <row r="181" spans="37:47" ht="15.75" customHeight="1">
      <c r="AK181" s="7"/>
      <c r="AL181" s="7"/>
      <c r="AM181" s="7"/>
      <c r="AN181" s="7"/>
      <c r="AO181" s="7"/>
      <c r="AP181" s="7"/>
      <c r="AQ181" s="7"/>
      <c r="AR181" s="7"/>
      <c r="AS181" s="7"/>
      <c r="AT181" s="7"/>
      <c r="AU181" s="7"/>
    </row>
    <row r="182" spans="37:47" ht="15.75" customHeight="1">
      <c r="AK182" s="7"/>
      <c r="AL182" s="7"/>
      <c r="AM182" s="7"/>
      <c r="AN182" s="7"/>
      <c r="AO182" s="7"/>
      <c r="AP182" s="7"/>
      <c r="AQ182" s="7"/>
      <c r="AR182" s="7"/>
      <c r="AS182" s="7"/>
      <c r="AT182" s="7"/>
      <c r="AU182" s="7"/>
    </row>
    <row r="183" spans="37:47" ht="15.75" customHeight="1">
      <c r="AK183" s="7"/>
      <c r="AL183" s="7"/>
      <c r="AM183" s="7"/>
      <c r="AN183" s="7"/>
      <c r="AO183" s="7"/>
      <c r="AP183" s="7"/>
      <c r="AQ183" s="7"/>
      <c r="AR183" s="7"/>
      <c r="AS183" s="7"/>
      <c r="AT183" s="7"/>
      <c r="AU183" s="7"/>
    </row>
    <row r="184" spans="37:47" ht="15.75" customHeight="1">
      <c r="AK184" s="7"/>
      <c r="AL184" s="7"/>
      <c r="AM184" s="7"/>
      <c r="AN184" s="7"/>
      <c r="AO184" s="7"/>
      <c r="AP184" s="7"/>
      <c r="AQ184" s="7"/>
      <c r="AR184" s="7"/>
      <c r="AS184" s="7"/>
      <c r="AT184" s="7"/>
      <c r="AU184" s="7"/>
    </row>
    <row r="185" spans="37:47" ht="15.75" customHeight="1">
      <c r="AK185" s="7"/>
      <c r="AL185" s="7"/>
      <c r="AM185" s="7"/>
      <c r="AN185" s="7"/>
      <c r="AO185" s="7"/>
      <c r="AP185" s="7"/>
      <c r="AQ185" s="7"/>
      <c r="AR185" s="7"/>
      <c r="AS185" s="7"/>
      <c r="AT185" s="7"/>
      <c r="AU185" s="7"/>
    </row>
    <row r="186" spans="37:47" ht="15.75" customHeight="1">
      <c r="AK186" s="7"/>
      <c r="AL186" s="7"/>
      <c r="AM186" s="7"/>
      <c r="AN186" s="7"/>
      <c r="AO186" s="7"/>
      <c r="AP186" s="7"/>
      <c r="AQ186" s="7"/>
      <c r="AR186" s="7"/>
      <c r="AS186" s="7"/>
      <c r="AT186" s="7"/>
      <c r="AU186" s="7"/>
    </row>
    <row r="187" spans="37:47" ht="15.75" customHeight="1">
      <c r="AK187" s="7"/>
      <c r="AL187" s="7"/>
      <c r="AM187" s="7"/>
      <c r="AN187" s="7"/>
      <c r="AO187" s="7"/>
      <c r="AP187" s="7"/>
      <c r="AQ187" s="7"/>
      <c r="AR187" s="7"/>
      <c r="AS187" s="7"/>
      <c r="AT187" s="7"/>
      <c r="AU187" s="7"/>
    </row>
    <row r="188" spans="37:47" ht="15.75" customHeight="1">
      <c r="AK188" s="7"/>
      <c r="AL188" s="7"/>
      <c r="AM188" s="7"/>
      <c r="AN188" s="7"/>
      <c r="AO188" s="7"/>
      <c r="AP188" s="7"/>
      <c r="AQ188" s="7"/>
      <c r="AR188" s="7"/>
      <c r="AS188" s="7"/>
      <c r="AT188" s="7"/>
      <c r="AU188" s="7"/>
    </row>
    <row r="189" spans="37:47" ht="15.75" customHeight="1">
      <c r="AK189" s="7"/>
      <c r="AL189" s="7"/>
      <c r="AM189" s="7"/>
      <c r="AN189" s="7"/>
      <c r="AO189" s="7"/>
      <c r="AP189" s="7"/>
      <c r="AQ189" s="7"/>
      <c r="AR189" s="7"/>
      <c r="AS189" s="7"/>
      <c r="AT189" s="7"/>
      <c r="AU189" s="7"/>
    </row>
    <row r="190" spans="37:47" ht="15.75" customHeight="1">
      <c r="AK190" s="7"/>
      <c r="AL190" s="7"/>
      <c r="AM190" s="7"/>
      <c r="AN190" s="7"/>
      <c r="AO190" s="7"/>
      <c r="AP190" s="7"/>
      <c r="AQ190" s="7"/>
      <c r="AR190" s="7"/>
      <c r="AS190" s="7"/>
      <c r="AT190" s="7"/>
      <c r="AU190" s="7"/>
    </row>
    <row r="191" spans="37:47" ht="15.75" customHeight="1">
      <c r="AK191" s="7"/>
      <c r="AL191" s="7"/>
      <c r="AM191" s="7"/>
      <c r="AN191" s="7"/>
      <c r="AO191" s="7"/>
      <c r="AP191" s="7"/>
      <c r="AQ191" s="7"/>
      <c r="AR191" s="7"/>
      <c r="AS191" s="7"/>
      <c r="AT191" s="7"/>
      <c r="AU191" s="7"/>
    </row>
    <row r="192" spans="37:47" ht="15.75" customHeight="1">
      <c r="AK192" s="7"/>
      <c r="AL192" s="7"/>
      <c r="AM192" s="7"/>
      <c r="AN192" s="7"/>
      <c r="AO192" s="7"/>
      <c r="AP192" s="7"/>
      <c r="AQ192" s="7"/>
      <c r="AR192" s="7"/>
      <c r="AS192" s="7"/>
      <c r="AT192" s="7"/>
      <c r="AU192" s="7"/>
    </row>
    <row r="193" spans="37:47" ht="15.75" customHeight="1">
      <c r="AK193" s="7"/>
      <c r="AL193" s="7"/>
      <c r="AM193" s="7"/>
      <c r="AN193" s="7"/>
      <c r="AO193" s="7"/>
      <c r="AP193" s="7"/>
      <c r="AQ193" s="7"/>
      <c r="AR193" s="7"/>
      <c r="AS193" s="7"/>
      <c r="AT193" s="7"/>
      <c r="AU193" s="7"/>
    </row>
    <row r="195" spans="37:47" ht="15.75" customHeight="1">
      <c r="AK195" s="7"/>
      <c r="AL195" s="7"/>
      <c r="AM195" s="7"/>
      <c r="AN195" s="7"/>
      <c r="AO195" s="7"/>
      <c r="AP195" s="7"/>
      <c r="AQ195" s="7"/>
      <c r="AR195" s="7"/>
      <c r="AS195" s="7"/>
      <c r="AT195" s="7"/>
      <c r="AU195" s="7"/>
    </row>
    <row r="196" spans="37:47" ht="15.75" customHeight="1">
      <c r="AK196" s="7"/>
      <c r="AL196" s="7"/>
      <c r="AM196" s="7"/>
      <c r="AN196" s="7"/>
      <c r="AO196" s="7"/>
      <c r="AP196" s="7"/>
      <c r="AQ196" s="7"/>
      <c r="AR196" s="7"/>
      <c r="AS196" s="7"/>
      <c r="AT196" s="7"/>
      <c r="AU196" s="7"/>
    </row>
    <row r="197" spans="37:47" ht="15.75" customHeight="1">
      <c r="AK197" s="7"/>
      <c r="AL197" s="7"/>
      <c r="AM197" s="7"/>
      <c r="AN197" s="7"/>
      <c r="AO197" s="7"/>
      <c r="AP197" s="7"/>
      <c r="AQ197" s="7"/>
      <c r="AR197" s="7"/>
      <c r="AS197" s="7"/>
      <c r="AT197" s="7"/>
      <c r="AU197" s="7"/>
    </row>
    <row r="198" spans="37:47" ht="15.75" customHeight="1">
      <c r="AK198" s="7"/>
      <c r="AL198" s="7"/>
      <c r="AM198" s="7"/>
      <c r="AN198" s="7"/>
      <c r="AO198" s="7"/>
      <c r="AP198" s="7"/>
      <c r="AQ198" s="7"/>
      <c r="AR198" s="7"/>
      <c r="AS198" s="7"/>
      <c r="AT198" s="7"/>
      <c r="AU198" s="7"/>
    </row>
    <row r="199" spans="37:47" ht="15.75" customHeight="1">
      <c r="AK199" s="7"/>
      <c r="AL199" s="7"/>
      <c r="AM199" s="7"/>
      <c r="AN199" s="7"/>
      <c r="AO199" s="7"/>
      <c r="AP199" s="7"/>
      <c r="AQ199" s="7"/>
      <c r="AR199" s="7"/>
      <c r="AS199" s="7"/>
      <c r="AT199" s="7"/>
      <c r="AU199" s="7"/>
    </row>
    <row r="200" spans="37:47" ht="15.75" customHeight="1">
      <c r="AK200" s="7"/>
      <c r="AL200" s="7"/>
      <c r="AM200" s="7"/>
      <c r="AN200" s="7"/>
      <c r="AO200" s="7"/>
      <c r="AP200" s="7"/>
      <c r="AQ200" s="7"/>
      <c r="AR200" s="7"/>
      <c r="AS200" s="7"/>
      <c r="AT200" s="7"/>
      <c r="AU200" s="7"/>
    </row>
    <row r="201" spans="37:47" ht="15.75" customHeight="1">
      <c r="AK201" s="7"/>
      <c r="AL201" s="7"/>
      <c r="AM201" s="7"/>
      <c r="AN201" s="7"/>
      <c r="AO201" s="7"/>
      <c r="AP201" s="7"/>
      <c r="AQ201" s="7"/>
      <c r="AR201" s="7"/>
      <c r="AS201" s="7"/>
      <c r="AT201" s="7"/>
      <c r="AU201" s="7"/>
    </row>
    <row r="202" spans="37:47" ht="15.75" customHeight="1">
      <c r="AK202" s="7"/>
      <c r="AL202" s="7"/>
      <c r="AM202" s="7"/>
      <c r="AN202" s="7"/>
      <c r="AO202" s="7"/>
      <c r="AP202" s="7"/>
      <c r="AQ202" s="7"/>
      <c r="AR202" s="7"/>
      <c r="AS202" s="7"/>
      <c r="AT202" s="7"/>
      <c r="AU202" s="7"/>
    </row>
    <row r="203" spans="37:47" ht="15.75" customHeight="1">
      <c r="AK203" s="7"/>
      <c r="AL203" s="7"/>
      <c r="AM203" s="7"/>
      <c r="AN203" s="7"/>
      <c r="AO203" s="7"/>
      <c r="AP203" s="7"/>
      <c r="AQ203" s="7"/>
      <c r="AR203" s="7"/>
      <c r="AS203" s="7"/>
      <c r="AT203" s="7"/>
      <c r="AU203" s="7"/>
    </row>
    <row r="204" spans="37:47" ht="15.75" customHeight="1">
      <c r="AK204" s="7"/>
      <c r="AL204" s="7"/>
      <c r="AM204" s="7"/>
      <c r="AN204" s="7"/>
      <c r="AO204" s="7"/>
      <c r="AP204" s="7"/>
      <c r="AQ204" s="7"/>
      <c r="AR204" s="7"/>
      <c r="AS204" s="7"/>
      <c r="AT204" s="7"/>
      <c r="AU204" s="7"/>
    </row>
    <row r="205" spans="37:47" ht="15.75" customHeight="1">
      <c r="AK205" s="7"/>
      <c r="AL205" s="7"/>
      <c r="AM205" s="7"/>
      <c r="AN205" s="7"/>
      <c r="AO205" s="7"/>
      <c r="AP205" s="7"/>
      <c r="AQ205" s="7"/>
      <c r="AR205" s="7"/>
      <c r="AS205" s="7"/>
      <c r="AT205" s="7"/>
      <c r="AU205" s="7"/>
    </row>
    <row r="206" spans="37:47" ht="15.75" customHeight="1">
      <c r="AK206" s="7"/>
      <c r="AL206" s="7"/>
      <c r="AM206" s="7"/>
      <c r="AN206" s="7"/>
      <c r="AO206" s="7"/>
      <c r="AP206" s="7"/>
      <c r="AQ206" s="7"/>
      <c r="AR206" s="7"/>
      <c r="AS206" s="7"/>
      <c r="AT206" s="7"/>
      <c r="AU206" s="7"/>
    </row>
    <row r="207" spans="37:47" ht="15.75" customHeight="1">
      <c r="AK207" s="7"/>
      <c r="AL207" s="7"/>
      <c r="AM207" s="7"/>
      <c r="AN207" s="7"/>
      <c r="AO207" s="7"/>
      <c r="AP207" s="7"/>
      <c r="AQ207" s="7"/>
      <c r="AR207" s="7"/>
      <c r="AS207" s="7"/>
      <c r="AT207" s="7"/>
      <c r="AU207" s="7"/>
    </row>
    <row r="208" spans="37:47" ht="15.75" customHeight="1">
      <c r="AK208" s="7"/>
      <c r="AL208" s="7"/>
      <c r="AM208" s="7"/>
      <c r="AN208" s="7"/>
      <c r="AO208" s="7"/>
      <c r="AP208" s="7"/>
      <c r="AQ208" s="7"/>
      <c r="AR208" s="7"/>
      <c r="AS208" s="7"/>
      <c r="AT208" s="7"/>
      <c r="AU208" s="7"/>
    </row>
    <row r="209" spans="37:47" ht="15.75" customHeight="1">
      <c r="AK209" s="7"/>
      <c r="AL209" s="7"/>
      <c r="AM209" s="7"/>
      <c r="AN209" s="7"/>
      <c r="AO209" s="7"/>
      <c r="AP209" s="7"/>
      <c r="AQ209" s="7"/>
      <c r="AR209" s="7"/>
      <c r="AS209" s="7"/>
      <c r="AT209" s="7"/>
      <c r="AU209" s="7"/>
    </row>
    <row r="210" spans="37:47" ht="15.75" customHeight="1">
      <c r="AK210" s="7"/>
      <c r="AL210" s="7"/>
      <c r="AM210" s="7"/>
      <c r="AN210" s="7"/>
      <c r="AO210" s="7"/>
      <c r="AP210" s="7"/>
      <c r="AQ210" s="7"/>
      <c r="AR210" s="7"/>
      <c r="AS210" s="7"/>
      <c r="AT210" s="7"/>
      <c r="AU210" s="7"/>
    </row>
    <row r="211" spans="37:47" ht="15.75" customHeight="1">
      <c r="AK211" s="7"/>
      <c r="AL211" s="7"/>
      <c r="AM211" s="7"/>
      <c r="AN211" s="7"/>
      <c r="AO211" s="7"/>
      <c r="AP211" s="7"/>
      <c r="AQ211" s="7"/>
      <c r="AR211" s="7"/>
      <c r="AS211" s="7"/>
      <c r="AT211" s="7"/>
      <c r="AU211" s="7"/>
    </row>
    <row r="212" spans="37:47" ht="15.75" customHeight="1">
      <c r="AK212" s="7"/>
      <c r="AL212" s="7"/>
      <c r="AM212" s="7"/>
      <c r="AN212" s="7"/>
      <c r="AO212" s="7"/>
      <c r="AP212" s="7"/>
      <c r="AQ212" s="7"/>
      <c r="AR212" s="7"/>
      <c r="AS212" s="7"/>
      <c r="AT212" s="7"/>
      <c r="AU212" s="7"/>
    </row>
    <row r="213" spans="37:47" ht="15.75" customHeight="1">
      <c r="AK213" s="7"/>
      <c r="AL213" s="7"/>
      <c r="AM213" s="7"/>
      <c r="AN213" s="7"/>
      <c r="AO213" s="7"/>
      <c r="AP213" s="7"/>
      <c r="AQ213" s="7"/>
      <c r="AR213" s="7"/>
      <c r="AS213" s="7"/>
      <c r="AT213" s="7"/>
      <c r="AU213" s="7"/>
    </row>
    <row r="214" spans="37:47" ht="15.75" customHeight="1">
      <c r="AK214" s="7"/>
      <c r="AL214" s="7"/>
      <c r="AM214" s="7"/>
      <c r="AN214" s="7"/>
      <c r="AO214" s="7"/>
      <c r="AP214" s="7"/>
      <c r="AQ214" s="7"/>
      <c r="AR214" s="7"/>
      <c r="AS214" s="7"/>
      <c r="AT214" s="7"/>
      <c r="AU214" s="7"/>
    </row>
    <row r="215" spans="37:47" ht="15.75" customHeight="1">
      <c r="AK215" s="7"/>
      <c r="AL215" s="7"/>
      <c r="AM215" s="7"/>
      <c r="AN215" s="7"/>
      <c r="AO215" s="7"/>
      <c r="AP215" s="7"/>
      <c r="AQ215" s="7"/>
      <c r="AR215" s="7"/>
      <c r="AS215" s="7"/>
      <c r="AT215" s="7"/>
      <c r="AU215" s="7"/>
    </row>
    <row r="216" spans="37:47" ht="15.75" customHeight="1">
      <c r="AK216" s="7"/>
      <c r="AL216" s="7"/>
      <c r="AM216" s="7"/>
      <c r="AN216" s="7"/>
      <c r="AO216" s="7"/>
      <c r="AP216" s="7"/>
      <c r="AQ216" s="7"/>
      <c r="AR216" s="7"/>
      <c r="AS216" s="7"/>
      <c r="AT216" s="7"/>
      <c r="AU216" s="7"/>
    </row>
    <row r="217" spans="37:47" ht="15.75" customHeight="1">
      <c r="AK217" s="7"/>
      <c r="AL217" s="7"/>
      <c r="AM217" s="7"/>
      <c r="AN217" s="7"/>
      <c r="AO217" s="7"/>
      <c r="AP217" s="7"/>
      <c r="AQ217" s="7"/>
      <c r="AR217" s="7"/>
      <c r="AS217" s="7"/>
      <c r="AT217" s="7"/>
      <c r="AU217" s="7"/>
    </row>
    <row r="218" spans="37:47" ht="15.75" customHeight="1">
      <c r="AK218" s="7"/>
      <c r="AL218" s="7"/>
      <c r="AM218" s="7"/>
      <c r="AN218" s="7"/>
      <c r="AO218" s="7"/>
      <c r="AP218" s="7"/>
      <c r="AQ218" s="7"/>
      <c r="AR218" s="7"/>
      <c r="AS218" s="7"/>
      <c r="AT218" s="7"/>
      <c r="AU218" s="7"/>
    </row>
    <row r="219" spans="37:47" ht="15.75" customHeight="1">
      <c r="AK219" s="7"/>
      <c r="AL219" s="7"/>
      <c r="AM219" s="7"/>
      <c r="AN219" s="7"/>
      <c r="AO219" s="7"/>
      <c r="AP219" s="7"/>
      <c r="AQ219" s="7"/>
      <c r="AR219" s="7"/>
      <c r="AS219" s="7"/>
      <c r="AT219" s="7"/>
      <c r="AU219" s="7"/>
    </row>
    <row r="220" spans="37:47" ht="15.75" customHeight="1">
      <c r="AK220" s="7"/>
      <c r="AL220" s="7"/>
      <c r="AM220" s="7"/>
      <c r="AN220" s="7"/>
      <c r="AO220" s="7"/>
      <c r="AP220" s="7"/>
      <c r="AQ220" s="7"/>
      <c r="AR220" s="7"/>
      <c r="AS220" s="7"/>
      <c r="AT220" s="7"/>
      <c r="AU220" s="7"/>
    </row>
    <row r="221" spans="37:47" ht="15.75" customHeight="1">
      <c r="AK221" s="7"/>
      <c r="AL221" s="7"/>
      <c r="AM221" s="7"/>
      <c r="AN221" s="7"/>
      <c r="AO221" s="7"/>
      <c r="AP221" s="7"/>
      <c r="AQ221" s="7"/>
      <c r="AR221" s="7"/>
      <c r="AS221" s="7"/>
      <c r="AT221" s="7"/>
      <c r="AU221" s="7"/>
    </row>
    <row r="222" spans="37:47" ht="15.75" customHeight="1">
      <c r="AK222" s="7"/>
      <c r="AL222" s="7"/>
      <c r="AM222" s="7"/>
      <c r="AN222" s="7"/>
      <c r="AO222" s="7"/>
      <c r="AP222" s="7"/>
      <c r="AQ222" s="7"/>
      <c r="AR222" s="7"/>
      <c r="AS222" s="7"/>
      <c r="AT222" s="7"/>
      <c r="AU222" s="7"/>
    </row>
    <row r="223" spans="37:47" ht="15.75" customHeight="1">
      <c r="AK223" s="7"/>
      <c r="AL223" s="7"/>
      <c r="AM223" s="7"/>
      <c r="AN223" s="7"/>
      <c r="AO223" s="7"/>
      <c r="AP223" s="7"/>
      <c r="AQ223" s="7"/>
      <c r="AR223" s="7"/>
      <c r="AS223" s="7"/>
      <c r="AT223" s="7"/>
      <c r="AU223" s="7"/>
    </row>
    <row r="224" spans="37:47" ht="15.75" customHeight="1">
      <c r="AK224" s="7"/>
      <c r="AL224" s="7"/>
      <c r="AM224" s="7"/>
      <c r="AN224" s="7"/>
      <c r="AO224" s="7"/>
      <c r="AP224" s="7"/>
      <c r="AQ224" s="7"/>
      <c r="AR224" s="7"/>
      <c r="AS224" s="7"/>
      <c r="AT224" s="7"/>
      <c r="AU224" s="7"/>
    </row>
    <row r="225" spans="37:47" ht="15.75" customHeight="1">
      <c r="AK225" s="7"/>
      <c r="AL225" s="7"/>
      <c r="AM225" s="7"/>
      <c r="AN225" s="7"/>
      <c r="AO225" s="7"/>
      <c r="AP225" s="7"/>
      <c r="AQ225" s="7"/>
      <c r="AR225" s="7"/>
      <c r="AS225" s="7"/>
      <c r="AT225" s="7"/>
      <c r="AU225" s="7"/>
    </row>
    <row r="226" spans="37:47" ht="15.75" customHeight="1">
      <c r="AK226" s="7"/>
      <c r="AL226" s="7"/>
      <c r="AM226" s="7"/>
      <c r="AN226" s="7"/>
      <c r="AO226" s="7"/>
      <c r="AP226" s="7"/>
      <c r="AQ226" s="7"/>
      <c r="AR226" s="7"/>
      <c r="AS226" s="7"/>
      <c r="AT226" s="7"/>
      <c r="AU226" s="7"/>
    </row>
    <row r="227" spans="37:47" ht="15.75" customHeight="1">
      <c r="AK227" s="7"/>
      <c r="AL227" s="7"/>
      <c r="AM227" s="7"/>
      <c r="AN227" s="7"/>
      <c r="AO227" s="7"/>
      <c r="AP227" s="7"/>
      <c r="AQ227" s="7"/>
      <c r="AR227" s="7"/>
      <c r="AS227" s="7"/>
      <c r="AT227" s="7"/>
      <c r="AU227" s="7"/>
    </row>
    <row r="228" spans="37:47" ht="15.75" customHeight="1">
      <c r="AK228" s="7"/>
      <c r="AL228" s="7"/>
      <c r="AM228" s="7"/>
      <c r="AN228" s="7"/>
      <c r="AO228" s="7"/>
      <c r="AP228" s="7"/>
      <c r="AQ228" s="7"/>
      <c r="AR228" s="7"/>
      <c r="AS228" s="7"/>
      <c r="AT228" s="7"/>
      <c r="AU228" s="7"/>
    </row>
    <row r="229" spans="37:47" ht="15.75" customHeight="1">
      <c r="AK229" s="7"/>
      <c r="AL229" s="7"/>
      <c r="AM229" s="7"/>
      <c r="AN229" s="7"/>
      <c r="AO229" s="7"/>
      <c r="AP229" s="7"/>
      <c r="AQ229" s="7"/>
      <c r="AR229" s="7"/>
      <c r="AS229" s="7"/>
      <c r="AT229" s="7"/>
      <c r="AU229" s="7"/>
    </row>
    <row r="230" spans="37:47" ht="15.75" customHeight="1">
      <c r="AK230" s="7"/>
      <c r="AL230" s="7"/>
      <c r="AM230" s="7"/>
      <c r="AN230" s="7"/>
      <c r="AO230" s="7"/>
      <c r="AP230" s="7"/>
      <c r="AQ230" s="7"/>
      <c r="AR230" s="7"/>
      <c r="AS230" s="7"/>
      <c r="AT230" s="7"/>
      <c r="AU230" s="7"/>
    </row>
    <row r="231" spans="37:47" ht="15.75" customHeight="1">
      <c r="AK231" s="7"/>
      <c r="AL231" s="7"/>
      <c r="AM231" s="7"/>
      <c r="AN231" s="7"/>
      <c r="AO231" s="7"/>
      <c r="AP231" s="7"/>
      <c r="AQ231" s="7"/>
      <c r="AR231" s="7"/>
      <c r="AS231" s="7"/>
      <c r="AT231" s="7"/>
      <c r="AU231" s="7"/>
    </row>
    <row r="232" spans="37:47" ht="15.75" customHeight="1">
      <c r="AK232" s="7"/>
      <c r="AL232" s="7"/>
      <c r="AM232" s="7"/>
      <c r="AN232" s="7"/>
      <c r="AO232" s="7"/>
      <c r="AP232" s="7"/>
      <c r="AQ232" s="7"/>
      <c r="AR232" s="7"/>
      <c r="AS232" s="7"/>
      <c r="AT232" s="7"/>
      <c r="AU232" s="7"/>
    </row>
    <row r="233" spans="37:47" ht="15.75" customHeight="1">
      <c r="AK233" s="7"/>
      <c r="AL233" s="7"/>
      <c r="AM233" s="7"/>
      <c r="AN233" s="7"/>
      <c r="AO233" s="7"/>
      <c r="AP233" s="7"/>
      <c r="AQ233" s="7"/>
      <c r="AR233" s="7"/>
      <c r="AS233" s="7"/>
      <c r="AT233" s="7"/>
      <c r="AU233" s="7"/>
    </row>
    <row r="234" spans="37:47" ht="15.75" customHeight="1">
      <c r="AK234" s="7"/>
      <c r="AL234" s="7"/>
      <c r="AM234" s="7"/>
      <c r="AN234" s="7"/>
      <c r="AO234" s="7"/>
      <c r="AP234" s="7"/>
      <c r="AQ234" s="7"/>
      <c r="AR234" s="7"/>
      <c r="AS234" s="7"/>
      <c r="AT234" s="7"/>
      <c r="AU234" s="7"/>
    </row>
    <row r="235" spans="37:47" ht="15.75" customHeight="1">
      <c r="AK235" s="7"/>
      <c r="AL235" s="7"/>
      <c r="AM235" s="7"/>
      <c r="AN235" s="7"/>
      <c r="AO235" s="7"/>
      <c r="AP235" s="7"/>
      <c r="AQ235" s="7"/>
      <c r="AR235" s="7"/>
      <c r="AS235" s="7"/>
      <c r="AT235" s="7"/>
      <c r="AU235" s="7"/>
    </row>
    <row r="236" spans="37:47" ht="15.75" customHeight="1">
      <c r="AK236" s="7"/>
      <c r="AL236" s="7"/>
      <c r="AM236" s="7"/>
      <c r="AN236" s="7"/>
      <c r="AO236" s="7"/>
      <c r="AP236" s="7"/>
      <c r="AQ236" s="7"/>
      <c r="AR236" s="7"/>
      <c r="AS236" s="7"/>
      <c r="AT236" s="7"/>
      <c r="AU236" s="7"/>
    </row>
    <row r="237" spans="37:47" ht="15.75" customHeight="1">
      <c r="AK237" s="7"/>
      <c r="AL237" s="7"/>
      <c r="AM237" s="7"/>
      <c r="AN237" s="7"/>
      <c r="AO237" s="7"/>
      <c r="AP237" s="7"/>
      <c r="AQ237" s="7"/>
      <c r="AR237" s="7"/>
      <c r="AS237" s="7"/>
      <c r="AT237" s="7"/>
      <c r="AU237" s="7"/>
    </row>
    <row r="238" spans="37:47" ht="15.75" customHeight="1">
      <c r="AK238" s="7"/>
      <c r="AL238" s="7"/>
      <c r="AM238" s="7"/>
      <c r="AN238" s="7"/>
      <c r="AO238" s="7"/>
      <c r="AP238" s="7"/>
      <c r="AQ238" s="7"/>
      <c r="AR238" s="7"/>
      <c r="AS238" s="7"/>
      <c r="AT238" s="7"/>
      <c r="AU238" s="7"/>
    </row>
    <row r="239" spans="37:47" ht="15.75" customHeight="1">
      <c r="AK239" s="7"/>
      <c r="AL239" s="7"/>
      <c r="AM239" s="7"/>
      <c r="AN239" s="7"/>
      <c r="AO239" s="7"/>
      <c r="AP239" s="7"/>
      <c r="AQ239" s="7"/>
      <c r="AR239" s="7"/>
      <c r="AS239" s="7"/>
      <c r="AT239" s="7"/>
      <c r="AU239" s="7"/>
    </row>
    <row r="240" spans="37:47" ht="15.75" customHeight="1">
      <c r="AK240" s="7"/>
      <c r="AL240" s="7"/>
      <c r="AM240" s="7"/>
      <c r="AN240" s="7"/>
      <c r="AO240" s="7"/>
      <c r="AP240" s="7"/>
      <c r="AQ240" s="7"/>
      <c r="AR240" s="7"/>
      <c r="AS240" s="7"/>
      <c r="AT240" s="7"/>
      <c r="AU240" s="7"/>
    </row>
    <row r="241" spans="37:47" ht="15.75" customHeight="1">
      <c r="AK241" s="7"/>
      <c r="AL241" s="7"/>
      <c r="AM241" s="7"/>
      <c r="AN241" s="7"/>
      <c r="AO241" s="7"/>
      <c r="AP241" s="7"/>
      <c r="AQ241" s="7"/>
      <c r="AR241" s="7"/>
      <c r="AS241" s="7"/>
      <c r="AT241" s="7"/>
      <c r="AU241" s="7"/>
    </row>
    <row r="242" spans="37:47" ht="15.75" customHeight="1">
      <c r="AK242" s="7"/>
      <c r="AL242" s="7"/>
      <c r="AM242" s="7"/>
      <c r="AN242" s="7"/>
      <c r="AO242" s="7"/>
      <c r="AP242" s="7"/>
      <c r="AQ242" s="7"/>
      <c r="AR242" s="7"/>
      <c r="AS242" s="7"/>
      <c r="AT242" s="7"/>
      <c r="AU242" s="7"/>
    </row>
    <row r="243" spans="37:47" ht="15.75" customHeight="1">
      <c r="AK243" s="7"/>
      <c r="AL243" s="7"/>
      <c r="AM243" s="7"/>
      <c r="AN243" s="7"/>
      <c r="AO243" s="7"/>
      <c r="AP243" s="7"/>
      <c r="AQ243" s="7"/>
      <c r="AR243" s="7"/>
      <c r="AS243" s="7"/>
      <c r="AT243" s="7"/>
      <c r="AU243" s="7"/>
    </row>
    <row r="244" spans="37:47" ht="15.75" customHeight="1">
      <c r="AK244" s="7"/>
      <c r="AL244" s="7"/>
      <c r="AM244" s="7"/>
      <c r="AN244" s="7"/>
      <c r="AO244" s="7"/>
      <c r="AP244" s="7"/>
      <c r="AQ244" s="7"/>
      <c r="AR244" s="7"/>
      <c r="AS244" s="7"/>
      <c r="AT244" s="7"/>
      <c r="AU244" s="7"/>
    </row>
    <row r="245" spans="37:47" ht="15.75" customHeight="1">
      <c r="AK245" s="7"/>
      <c r="AL245" s="7"/>
      <c r="AM245" s="7"/>
      <c r="AN245" s="7"/>
      <c r="AO245" s="7"/>
      <c r="AP245" s="7"/>
      <c r="AQ245" s="7"/>
      <c r="AR245" s="7"/>
      <c r="AS245" s="7"/>
      <c r="AT245" s="7"/>
      <c r="AU245" s="7"/>
    </row>
    <row r="246" spans="37:47" ht="15.75" customHeight="1">
      <c r="AK246" s="7"/>
      <c r="AL246" s="7"/>
      <c r="AM246" s="7"/>
      <c r="AN246" s="7"/>
      <c r="AO246" s="7"/>
      <c r="AP246" s="7"/>
      <c r="AQ246" s="7"/>
      <c r="AR246" s="7"/>
      <c r="AS246" s="7"/>
      <c r="AT246" s="7"/>
      <c r="AU246" s="7"/>
    </row>
    <row r="247" spans="37:47" ht="15.75" customHeight="1">
      <c r="AK247" s="7"/>
      <c r="AL247" s="7"/>
      <c r="AM247" s="7"/>
      <c r="AN247" s="7"/>
      <c r="AO247" s="7"/>
      <c r="AP247" s="7"/>
      <c r="AQ247" s="7"/>
      <c r="AR247" s="7"/>
      <c r="AS247" s="7"/>
      <c r="AT247" s="7"/>
      <c r="AU247" s="7"/>
    </row>
    <row r="248" spans="37:47" ht="15.75" customHeight="1">
      <c r="AK248" s="7"/>
      <c r="AL248" s="7"/>
      <c r="AM248" s="7"/>
      <c r="AN248" s="7"/>
      <c r="AO248" s="7"/>
      <c r="AP248" s="7"/>
      <c r="AQ248" s="7"/>
      <c r="AR248" s="7"/>
      <c r="AS248" s="7"/>
      <c r="AT248" s="7"/>
      <c r="AU248" s="7"/>
    </row>
    <row r="249" spans="37:47" ht="15.75" customHeight="1">
      <c r="AK249" s="7"/>
      <c r="AL249" s="7"/>
      <c r="AM249" s="7"/>
      <c r="AN249" s="7"/>
      <c r="AO249" s="7"/>
      <c r="AP249" s="7"/>
      <c r="AQ249" s="7"/>
      <c r="AR249" s="7"/>
      <c r="AS249" s="7"/>
      <c r="AT249" s="7"/>
      <c r="AU249" s="7"/>
    </row>
    <row r="250" spans="37:47" ht="15.75" customHeight="1">
      <c r="AK250" s="2"/>
      <c r="AL250" s="2"/>
      <c r="AM250" s="2"/>
      <c r="AN250" s="2"/>
      <c r="AO250" s="2"/>
      <c r="AP250" s="2"/>
      <c r="AQ250" s="2"/>
      <c r="AR250" s="2"/>
      <c r="AS250" s="2"/>
      <c r="AT250" s="2"/>
      <c r="AU250" s="2"/>
    </row>
    <row r="251" spans="37:47" ht="15.75" customHeight="1">
      <c r="AK251" s="2"/>
      <c r="AL251" s="2"/>
      <c r="AM251" s="2"/>
      <c r="AN251" s="2"/>
      <c r="AO251" s="2"/>
      <c r="AP251" s="2"/>
      <c r="AQ251" s="2"/>
      <c r="AR251" s="2"/>
      <c r="AS251" s="2"/>
      <c r="AT251" s="2"/>
      <c r="AU251" s="2"/>
    </row>
    <row r="252" spans="37:47" ht="15.75" customHeight="1">
      <c r="AK252" s="7"/>
      <c r="AL252" s="7"/>
      <c r="AM252" s="7"/>
      <c r="AN252" s="7"/>
      <c r="AO252" s="7"/>
      <c r="AP252" s="7"/>
      <c r="AQ252" s="7"/>
      <c r="AR252" s="7"/>
      <c r="AS252" s="7"/>
      <c r="AT252" s="7"/>
      <c r="AU252" s="7"/>
    </row>
    <row r="253" spans="37:47" ht="15.75" customHeight="1">
      <c r="AK253" s="7"/>
      <c r="AL253" s="7"/>
      <c r="AM253" s="7"/>
      <c r="AN253" s="7"/>
      <c r="AO253" s="7"/>
      <c r="AP253" s="7"/>
      <c r="AQ253" s="7"/>
      <c r="AR253" s="7"/>
      <c r="AS253" s="7"/>
      <c r="AT253" s="7"/>
      <c r="AU253" s="7"/>
    </row>
    <row r="254" spans="37:47" ht="15.75" customHeight="1">
      <c r="AK254" s="7"/>
      <c r="AL254" s="7"/>
      <c r="AM254" s="7"/>
      <c r="AN254" s="7"/>
      <c r="AO254" s="7"/>
      <c r="AP254" s="7"/>
      <c r="AQ254" s="7"/>
      <c r="AR254" s="7"/>
      <c r="AS254" s="7"/>
      <c r="AT254" s="7"/>
      <c r="AU254" s="7"/>
    </row>
    <row r="255" spans="37:47" ht="15.75" customHeight="1">
      <c r="AK255" s="7"/>
      <c r="AL255" s="7"/>
      <c r="AM255" s="7"/>
      <c r="AN255" s="7"/>
      <c r="AO255" s="7"/>
      <c r="AP255" s="7"/>
      <c r="AQ255" s="7"/>
      <c r="AR255" s="7"/>
      <c r="AS255" s="7"/>
      <c r="AT255" s="7"/>
      <c r="AU255" s="7"/>
    </row>
    <row r="256" spans="37:47" ht="15.75" customHeight="1">
      <c r="AK256" s="7"/>
      <c r="AL256" s="7"/>
      <c r="AM256" s="7"/>
      <c r="AN256" s="7"/>
      <c r="AO256" s="7"/>
      <c r="AP256" s="7"/>
      <c r="AQ256" s="7"/>
      <c r="AR256" s="7"/>
      <c r="AS256" s="7"/>
      <c r="AT256" s="7"/>
      <c r="AU256" s="7"/>
    </row>
    <row r="257" spans="37:47" ht="15.75" customHeight="1">
      <c r="AK257" s="7"/>
      <c r="AL257" s="7"/>
      <c r="AM257" s="7"/>
      <c r="AN257" s="7"/>
      <c r="AO257" s="7"/>
      <c r="AP257" s="7"/>
      <c r="AQ257" s="7"/>
      <c r="AR257" s="7"/>
      <c r="AS257" s="7"/>
      <c r="AT257" s="7"/>
      <c r="AU257" s="7"/>
    </row>
    <row r="258" spans="37:47" ht="15.75" customHeight="1">
      <c r="AK258" s="7"/>
      <c r="AL258" s="7"/>
      <c r="AM258" s="7"/>
      <c r="AN258" s="7"/>
      <c r="AO258" s="7"/>
      <c r="AP258" s="7"/>
      <c r="AQ258" s="7"/>
      <c r="AR258" s="7"/>
      <c r="AS258" s="7"/>
      <c r="AT258" s="7"/>
      <c r="AU258" s="7"/>
    </row>
    <row r="259" spans="37:47" ht="15.75" customHeight="1">
      <c r="AK259" s="7"/>
      <c r="AL259" s="7"/>
      <c r="AM259" s="7"/>
      <c r="AN259" s="7"/>
      <c r="AO259" s="7"/>
      <c r="AP259" s="7"/>
      <c r="AQ259" s="7"/>
      <c r="AR259" s="7"/>
      <c r="AS259" s="7"/>
      <c r="AT259" s="7"/>
      <c r="AU259" s="7"/>
    </row>
    <row r="260" spans="37:47" ht="15.75" customHeight="1">
      <c r="AK260" s="7"/>
      <c r="AL260" s="7"/>
      <c r="AM260" s="7"/>
      <c r="AN260" s="7"/>
      <c r="AO260" s="7"/>
      <c r="AP260" s="7"/>
      <c r="AQ260" s="7"/>
      <c r="AR260" s="7"/>
      <c r="AS260" s="7"/>
      <c r="AT260" s="7"/>
      <c r="AU260" s="7"/>
    </row>
    <row r="261" spans="37:47" ht="15.75" customHeight="1">
      <c r="AK261" s="7"/>
      <c r="AL261" s="7"/>
      <c r="AM261" s="7"/>
      <c r="AN261" s="7"/>
      <c r="AO261" s="7"/>
      <c r="AP261" s="7"/>
      <c r="AQ261" s="7"/>
      <c r="AR261" s="7"/>
      <c r="AS261" s="7"/>
      <c r="AT261" s="7"/>
      <c r="AU261" s="7"/>
    </row>
    <row r="262" spans="37:47" ht="15.75" customHeight="1">
      <c r="AK262" s="7"/>
      <c r="AL262" s="7"/>
      <c r="AM262" s="7"/>
      <c r="AN262" s="7"/>
      <c r="AO262" s="7"/>
      <c r="AP262" s="7"/>
      <c r="AQ262" s="7"/>
      <c r="AR262" s="7"/>
      <c r="AS262" s="7"/>
      <c r="AT262" s="7"/>
      <c r="AU262" s="7"/>
    </row>
    <row r="263" spans="37:47" ht="15.75" customHeight="1">
      <c r="AK263" s="7"/>
      <c r="AL263" s="7"/>
      <c r="AM263" s="7"/>
      <c r="AN263" s="7"/>
      <c r="AO263" s="7"/>
      <c r="AP263" s="7"/>
      <c r="AQ263" s="7"/>
      <c r="AR263" s="7"/>
      <c r="AS263" s="7"/>
      <c r="AT263" s="7"/>
      <c r="AU263" s="7"/>
    </row>
    <row r="264" spans="37:47" ht="15.75" customHeight="1">
      <c r="AK264" s="7"/>
      <c r="AL264" s="7"/>
      <c r="AM264" s="7"/>
      <c r="AN264" s="7"/>
      <c r="AO264" s="7"/>
      <c r="AP264" s="7"/>
      <c r="AQ264" s="7"/>
      <c r="AR264" s="7"/>
      <c r="AS264" s="7"/>
      <c r="AT264" s="7"/>
      <c r="AU264" s="7"/>
    </row>
    <row r="265" spans="37:47" ht="15.75" customHeight="1">
      <c r="AK265" s="7"/>
      <c r="AL265" s="7"/>
      <c r="AM265" s="7"/>
      <c r="AN265" s="7"/>
      <c r="AO265" s="7"/>
      <c r="AP265" s="7"/>
      <c r="AQ265" s="7"/>
      <c r="AR265" s="7"/>
      <c r="AS265" s="7"/>
      <c r="AT265" s="7"/>
      <c r="AU265" s="7"/>
    </row>
    <row r="266" spans="37:47" ht="15.75" customHeight="1">
      <c r="AK266" s="7"/>
      <c r="AL266" s="7"/>
      <c r="AM266" s="7"/>
      <c r="AN266" s="7"/>
      <c r="AO266" s="7"/>
      <c r="AP266" s="7"/>
      <c r="AQ266" s="7"/>
      <c r="AR266" s="7"/>
      <c r="AS266" s="7"/>
      <c r="AT266" s="7"/>
      <c r="AU266" s="7"/>
    </row>
    <row r="267" spans="37:47" ht="15.75" customHeight="1">
      <c r="AK267" s="7"/>
      <c r="AL267" s="7"/>
      <c r="AM267" s="7"/>
      <c r="AN267" s="7"/>
      <c r="AO267" s="7"/>
      <c r="AP267" s="7"/>
      <c r="AQ267" s="7"/>
      <c r="AR267" s="7"/>
      <c r="AS267" s="7"/>
      <c r="AT267" s="7"/>
      <c r="AU267" s="7"/>
    </row>
    <row r="268" spans="37:47" ht="15.75" customHeight="1">
      <c r="AK268" s="7"/>
      <c r="AL268" s="7"/>
      <c r="AM268" s="7"/>
      <c r="AN268" s="7"/>
      <c r="AO268" s="7"/>
      <c r="AP268" s="7"/>
      <c r="AQ268" s="7"/>
      <c r="AR268" s="7"/>
      <c r="AS268" s="7"/>
      <c r="AT268" s="7"/>
      <c r="AU268" s="7"/>
    </row>
    <row r="269" spans="37:47" ht="15.75" customHeight="1">
      <c r="AK269" s="7"/>
      <c r="AL269" s="7"/>
      <c r="AM269" s="7"/>
      <c r="AN269" s="7"/>
      <c r="AO269" s="7"/>
      <c r="AP269" s="7"/>
      <c r="AQ269" s="7"/>
      <c r="AR269" s="7"/>
      <c r="AS269" s="7"/>
      <c r="AT269" s="7"/>
      <c r="AU269" s="7"/>
    </row>
    <row r="270" spans="37:47" ht="15.75" customHeight="1">
      <c r="AK270" s="7"/>
      <c r="AL270" s="7"/>
      <c r="AM270" s="7"/>
      <c r="AN270" s="7"/>
      <c r="AO270" s="7"/>
      <c r="AP270" s="7"/>
      <c r="AQ270" s="7"/>
      <c r="AR270" s="7"/>
      <c r="AS270" s="7"/>
      <c r="AT270" s="7"/>
      <c r="AU270" s="7"/>
    </row>
    <row r="271" spans="37:47" ht="15.75" customHeight="1">
      <c r="AK271" s="7"/>
      <c r="AL271" s="7"/>
      <c r="AM271" s="7"/>
      <c r="AN271" s="7"/>
      <c r="AO271" s="7"/>
      <c r="AP271" s="7"/>
      <c r="AQ271" s="7"/>
      <c r="AR271" s="7"/>
      <c r="AS271" s="7"/>
      <c r="AT271" s="7"/>
      <c r="AU271" s="7"/>
    </row>
    <row r="272" spans="37:47" ht="15.75" customHeight="1">
      <c r="AK272" s="7"/>
      <c r="AL272" s="7"/>
      <c r="AM272" s="7"/>
      <c r="AN272" s="7"/>
      <c r="AO272" s="7"/>
      <c r="AP272" s="7"/>
      <c r="AQ272" s="7"/>
      <c r="AR272" s="7"/>
      <c r="AS272" s="7"/>
      <c r="AT272" s="7"/>
      <c r="AU272" s="7"/>
    </row>
    <row r="273" spans="37:47" ht="15.75" customHeight="1">
      <c r="AK273" s="7"/>
      <c r="AL273" s="7"/>
      <c r="AM273" s="7"/>
      <c r="AN273" s="7"/>
      <c r="AO273" s="7"/>
      <c r="AP273" s="7"/>
      <c r="AQ273" s="7"/>
      <c r="AR273" s="7"/>
      <c r="AS273" s="7"/>
      <c r="AT273" s="7"/>
      <c r="AU273" s="7"/>
    </row>
    <row r="274" spans="37:47" ht="15.75" customHeight="1">
      <c r="AK274" s="7"/>
      <c r="AL274" s="7"/>
      <c r="AM274" s="7"/>
      <c r="AN274" s="7"/>
      <c r="AO274" s="7"/>
      <c r="AP274" s="7"/>
      <c r="AQ274" s="7"/>
      <c r="AR274" s="7"/>
      <c r="AS274" s="7"/>
      <c r="AT274" s="7"/>
      <c r="AU274" s="7"/>
    </row>
    <row r="275" spans="37:47" ht="15.75" customHeight="1">
      <c r="AK275" s="7"/>
      <c r="AL275" s="7"/>
      <c r="AM275" s="7"/>
      <c r="AN275" s="7"/>
      <c r="AO275" s="7"/>
      <c r="AP275" s="7"/>
      <c r="AQ275" s="7"/>
      <c r="AR275" s="7"/>
      <c r="AS275" s="7"/>
      <c r="AT275" s="7"/>
      <c r="AU275" s="7"/>
    </row>
    <row r="276" spans="37:47" ht="15.75" customHeight="1">
      <c r="AK276" s="7"/>
      <c r="AL276" s="7"/>
      <c r="AM276" s="7"/>
      <c r="AN276" s="7"/>
      <c r="AO276" s="7"/>
      <c r="AP276" s="7"/>
      <c r="AQ276" s="7"/>
      <c r="AR276" s="7"/>
      <c r="AS276" s="7"/>
      <c r="AT276" s="7"/>
      <c r="AU276" s="7"/>
    </row>
    <row r="277" spans="37:47" ht="15.75" customHeight="1">
      <c r="AK277" s="7"/>
      <c r="AL277" s="7"/>
      <c r="AM277" s="7"/>
      <c r="AN277" s="7"/>
      <c r="AO277" s="7"/>
      <c r="AP277" s="7"/>
      <c r="AQ277" s="7"/>
      <c r="AR277" s="7"/>
      <c r="AS277" s="7"/>
      <c r="AT277" s="7"/>
      <c r="AU277" s="7"/>
    </row>
    <row r="278" spans="37:47" ht="15.75" customHeight="1">
      <c r="AK278" s="7"/>
      <c r="AL278" s="7"/>
      <c r="AM278" s="7"/>
      <c r="AN278" s="7"/>
      <c r="AO278" s="7"/>
      <c r="AP278" s="7"/>
      <c r="AQ278" s="7"/>
      <c r="AR278" s="7"/>
      <c r="AS278" s="7"/>
      <c r="AT278" s="7"/>
      <c r="AU278" s="7"/>
    </row>
    <row r="279" spans="37:47" ht="15.75" customHeight="1">
      <c r="AK279" s="7"/>
      <c r="AL279" s="7"/>
      <c r="AM279" s="7"/>
      <c r="AN279" s="7"/>
      <c r="AO279" s="7"/>
      <c r="AP279" s="7"/>
      <c r="AQ279" s="7"/>
      <c r="AR279" s="7"/>
      <c r="AS279" s="7"/>
      <c r="AT279" s="7"/>
      <c r="AU279" s="7"/>
    </row>
    <row r="280" spans="37:47" ht="15.75" customHeight="1">
      <c r="AK280" s="7"/>
      <c r="AL280" s="7"/>
      <c r="AM280" s="7"/>
      <c r="AN280" s="7"/>
      <c r="AO280" s="7"/>
      <c r="AP280" s="7"/>
      <c r="AQ280" s="7"/>
      <c r="AR280" s="7"/>
      <c r="AS280" s="7"/>
      <c r="AT280" s="7"/>
      <c r="AU280" s="7"/>
    </row>
    <row r="281" spans="37:47" ht="15.75" customHeight="1">
      <c r="AK281" s="7"/>
      <c r="AL281" s="7"/>
      <c r="AM281" s="7"/>
      <c r="AN281" s="7"/>
      <c r="AO281" s="7"/>
      <c r="AP281" s="7"/>
      <c r="AQ281" s="7"/>
      <c r="AR281" s="7"/>
      <c r="AS281" s="7"/>
      <c r="AT281" s="7"/>
      <c r="AU281" s="7"/>
    </row>
    <row r="282" spans="37:47" ht="15.75" customHeight="1">
      <c r="AK282" s="7"/>
      <c r="AL282" s="7"/>
      <c r="AM282" s="7"/>
      <c r="AN282" s="7"/>
      <c r="AO282" s="7"/>
      <c r="AP282" s="7"/>
      <c r="AQ282" s="7"/>
      <c r="AR282" s="7"/>
      <c r="AS282" s="7"/>
      <c r="AT282" s="7"/>
      <c r="AU282" s="7"/>
    </row>
    <row r="283" spans="37:47" ht="15.75" customHeight="1">
      <c r="AK283" s="7"/>
      <c r="AL283" s="7"/>
      <c r="AM283" s="7"/>
      <c r="AN283" s="7"/>
      <c r="AO283" s="7"/>
      <c r="AP283" s="7"/>
      <c r="AQ283" s="7"/>
      <c r="AR283" s="7"/>
      <c r="AS283" s="7"/>
      <c r="AT283" s="7"/>
      <c r="AU283" s="7"/>
    </row>
    <row r="284" spans="37:47" ht="15.75" customHeight="1">
      <c r="AK284" s="7"/>
      <c r="AL284" s="7"/>
      <c r="AM284" s="7"/>
      <c r="AN284" s="7"/>
      <c r="AO284" s="7"/>
      <c r="AP284" s="7"/>
      <c r="AQ284" s="7"/>
      <c r="AR284" s="7"/>
      <c r="AS284" s="7"/>
      <c r="AT284" s="7"/>
      <c r="AU284" s="7"/>
    </row>
    <row r="285" spans="37:47" ht="15.75" customHeight="1">
      <c r="AK285" s="7"/>
      <c r="AL285" s="7"/>
      <c r="AM285" s="7"/>
      <c r="AN285" s="7"/>
      <c r="AO285" s="7"/>
      <c r="AP285" s="7"/>
      <c r="AQ285" s="7"/>
      <c r="AR285" s="7"/>
      <c r="AS285" s="7"/>
      <c r="AT285" s="7"/>
      <c r="AU285" s="7"/>
    </row>
    <row r="286" spans="37:47" ht="15.75" customHeight="1">
      <c r="AK286" s="7"/>
      <c r="AL286" s="7"/>
      <c r="AM286" s="7"/>
      <c r="AN286" s="7"/>
      <c r="AO286" s="7"/>
      <c r="AP286" s="7"/>
      <c r="AQ286" s="7"/>
      <c r="AR286" s="7"/>
      <c r="AS286" s="7"/>
      <c r="AT286" s="7"/>
      <c r="AU286" s="7"/>
    </row>
    <row r="318" spans="37:47" ht="15.75" customHeight="1">
      <c r="AK318" s="7"/>
      <c r="AL318" s="7"/>
      <c r="AM318" s="7"/>
      <c r="AN318" s="7"/>
      <c r="AO318" s="7"/>
      <c r="AP318" s="7"/>
      <c r="AQ318" s="7"/>
      <c r="AR318" s="7"/>
      <c r="AS318" s="7"/>
      <c r="AT318" s="7"/>
      <c r="AU318" s="7"/>
    </row>
    <row r="319" spans="37:47" ht="15.75" customHeight="1">
      <c r="AK319" s="7"/>
      <c r="AL319" s="7"/>
      <c r="AM319" s="7"/>
      <c r="AN319" s="7"/>
      <c r="AO319" s="7"/>
      <c r="AP319" s="7"/>
      <c r="AQ319" s="7"/>
      <c r="AR319" s="7"/>
      <c r="AS319" s="7"/>
      <c r="AT319" s="7"/>
      <c r="AU319" s="7"/>
    </row>
    <row r="320" spans="37:47" ht="15.75" customHeight="1">
      <c r="AK320" s="7"/>
      <c r="AL320" s="7"/>
      <c r="AM320" s="7"/>
      <c r="AN320" s="7"/>
      <c r="AO320" s="7"/>
      <c r="AP320" s="7"/>
      <c r="AQ320" s="7"/>
      <c r="AR320" s="7"/>
      <c r="AS320" s="7"/>
      <c r="AT320" s="7"/>
      <c r="AU320" s="7"/>
    </row>
    <row r="321" spans="37:47" ht="15.75" customHeight="1">
      <c r="AK321" s="7"/>
      <c r="AL321" s="7"/>
      <c r="AM321" s="7"/>
      <c r="AN321" s="7"/>
      <c r="AO321" s="7"/>
      <c r="AP321" s="7"/>
      <c r="AQ321" s="7"/>
      <c r="AR321" s="7"/>
      <c r="AS321" s="7"/>
      <c r="AT321" s="7"/>
      <c r="AU321" s="7"/>
    </row>
    <row r="322" spans="37:47" ht="15.75" customHeight="1">
      <c r="AK322" s="7"/>
      <c r="AL322" s="7"/>
      <c r="AM322" s="7"/>
      <c r="AN322" s="7"/>
      <c r="AO322" s="7"/>
      <c r="AP322" s="7"/>
      <c r="AQ322" s="7"/>
      <c r="AR322" s="7"/>
      <c r="AS322" s="7"/>
      <c r="AT322" s="7"/>
      <c r="AU322" s="7"/>
    </row>
    <row r="323" spans="37:47" ht="15.75" customHeight="1">
      <c r="AK323" s="7"/>
      <c r="AL323" s="7"/>
      <c r="AM323" s="7"/>
      <c r="AN323" s="7"/>
      <c r="AO323" s="7"/>
      <c r="AP323" s="7"/>
      <c r="AQ323" s="7"/>
      <c r="AR323" s="7"/>
      <c r="AS323" s="7"/>
      <c r="AT323" s="7"/>
      <c r="AU323" s="7"/>
    </row>
    <row r="326" spans="37:47" ht="15.75" customHeight="1">
      <c r="AK326" s="7"/>
      <c r="AL326" s="7"/>
      <c r="AM326" s="7"/>
      <c r="AN326" s="7"/>
      <c r="AO326" s="7"/>
      <c r="AP326" s="7"/>
      <c r="AQ326" s="7"/>
      <c r="AR326" s="7"/>
      <c r="AS326" s="7"/>
      <c r="AT326" s="7"/>
      <c r="AU326" s="7"/>
    </row>
    <row r="327" spans="37:47" ht="15.75" customHeight="1">
      <c r="AK327" s="7"/>
      <c r="AL327" s="7"/>
      <c r="AM327" s="7"/>
      <c r="AN327" s="7"/>
      <c r="AO327" s="7"/>
      <c r="AP327" s="7"/>
      <c r="AQ327" s="7"/>
      <c r="AR327" s="7"/>
      <c r="AS327" s="7"/>
      <c r="AT327" s="7"/>
      <c r="AU327" s="7"/>
    </row>
    <row r="328" spans="37:47" ht="15.75" customHeight="1">
      <c r="AK328" s="7"/>
      <c r="AL328" s="7"/>
      <c r="AM328" s="7"/>
      <c r="AN328" s="7"/>
      <c r="AO328" s="7"/>
      <c r="AP328" s="7"/>
      <c r="AQ328" s="7"/>
      <c r="AR328" s="7"/>
      <c r="AS328" s="7"/>
      <c r="AT328" s="7"/>
      <c r="AU328" s="7"/>
    </row>
    <row r="329" spans="37:47" ht="15.75" customHeight="1">
      <c r="AK329" s="7"/>
      <c r="AL329" s="7"/>
      <c r="AM329" s="7"/>
      <c r="AN329" s="7"/>
      <c r="AO329" s="7"/>
      <c r="AP329" s="7"/>
      <c r="AQ329" s="7"/>
      <c r="AR329" s="7"/>
      <c r="AS329" s="7"/>
      <c r="AT329" s="7"/>
      <c r="AU329" s="7"/>
    </row>
    <row r="330" spans="37:47" ht="15.75" customHeight="1">
      <c r="AK330" s="7"/>
      <c r="AL330" s="7"/>
      <c r="AM330" s="7"/>
      <c r="AN330" s="7"/>
      <c r="AO330" s="7"/>
      <c r="AP330" s="7"/>
      <c r="AQ330" s="7"/>
      <c r="AR330" s="7"/>
      <c r="AS330" s="7"/>
      <c r="AT330" s="7"/>
      <c r="AU330" s="7"/>
    </row>
    <row r="331" spans="37:47" ht="15.75" customHeight="1">
      <c r="AK331" s="7"/>
      <c r="AL331" s="7"/>
      <c r="AM331" s="7"/>
      <c r="AN331" s="7"/>
      <c r="AO331" s="7"/>
      <c r="AP331" s="7"/>
      <c r="AQ331" s="7"/>
      <c r="AR331" s="7"/>
      <c r="AS331" s="7"/>
      <c r="AT331" s="7"/>
      <c r="AU331" s="7"/>
    </row>
    <row r="332" spans="37:47" ht="15.75" customHeight="1">
      <c r="AK332" s="7"/>
      <c r="AL332" s="7"/>
      <c r="AM332" s="7"/>
      <c r="AN332" s="7"/>
      <c r="AO332" s="7"/>
      <c r="AP332" s="7"/>
      <c r="AQ332" s="7"/>
      <c r="AR332" s="7"/>
      <c r="AS332" s="7"/>
      <c r="AT332" s="7"/>
      <c r="AU332" s="7"/>
    </row>
    <row r="333" spans="37:47" ht="15.75" customHeight="1">
      <c r="AK333" s="7"/>
      <c r="AL333" s="7"/>
      <c r="AM333" s="7"/>
      <c r="AN333" s="7"/>
      <c r="AO333" s="7"/>
      <c r="AP333" s="7"/>
      <c r="AQ333" s="7"/>
      <c r="AR333" s="7"/>
      <c r="AS333" s="7"/>
      <c r="AT333" s="7"/>
      <c r="AU333" s="7"/>
    </row>
    <row r="334" spans="37:47" ht="15.75" customHeight="1">
      <c r="AK334" s="7"/>
      <c r="AL334" s="7"/>
      <c r="AM334" s="7"/>
      <c r="AN334" s="7"/>
      <c r="AO334" s="7"/>
      <c r="AP334" s="7"/>
      <c r="AQ334" s="7"/>
      <c r="AR334" s="7"/>
      <c r="AS334" s="7"/>
      <c r="AT334" s="7"/>
      <c r="AU334" s="7"/>
    </row>
    <row r="335" spans="37:47" ht="15.75" customHeight="1">
      <c r="AK335" s="7"/>
      <c r="AL335" s="7"/>
      <c r="AM335" s="7"/>
      <c r="AN335" s="7"/>
      <c r="AO335" s="7"/>
      <c r="AP335" s="7"/>
      <c r="AQ335" s="7"/>
      <c r="AR335" s="7"/>
      <c r="AS335" s="7"/>
      <c r="AT335" s="7"/>
      <c r="AU335" s="7"/>
    </row>
    <row r="336" spans="37:47" ht="15.75" customHeight="1">
      <c r="AK336" s="7"/>
      <c r="AL336" s="7"/>
      <c r="AM336" s="7"/>
      <c r="AN336" s="7"/>
      <c r="AO336" s="7"/>
      <c r="AP336" s="7"/>
      <c r="AQ336" s="7"/>
      <c r="AR336" s="7"/>
      <c r="AS336" s="7"/>
      <c r="AT336" s="7"/>
      <c r="AU336" s="7"/>
    </row>
    <row r="337" spans="37:47" ht="15.75" customHeight="1">
      <c r="AK337" s="7"/>
      <c r="AL337" s="7"/>
      <c r="AM337" s="7"/>
      <c r="AN337" s="7"/>
      <c r="AO337" s="7"/>
      <c r="AP337" s="7"/>
      <c r="AQ337" s="7"/>
      <c r="AR337" s="7"/>
      <c r="AS337" s="7"/>
      <c r="AT337" s="7"/>
      <c r="AU337" s="7"/>
    </row>
    <row r="338" spans="37:47" ht="15.75" customHeight="1">
      <c r="AK338" s="7"/>
      <c r="AL338" s="7"/>
      <c r="AM338" s="7"/>
      <c r="AN338" s="7"/>
      <c r="AO338" s="7"/>
      <c r="AP338" s="7"/>
      <c r="AQ338" s="7"/>
      <c r="AR338" s="7"/>
      <c r="AS338" s="7"/>
      <c r="AT338" s="7"/>
      <c r="AU338" s="7"/>
    </row>
    <row r="339" spans="37:47" ht="15.75" customHeight="1">
      <c r="AK339" s="7"/>
      <c r="AL339" s="7"/>
      <c r="AM339" s="7"/>
      <c r="AN339" s="7"/>
      <c r="AO339" s="7"/>
      <c r="AP339" s="7"/>
      <c r="AQ339" s="7"/>
      <c r="AR339" s="7"/>
      <c r="AS339" s="7"/>
      <c r="AT339" s="7"/>
      <c r="AU339" s="7"/>
    </row>
    <row r="340" spans="37:47" ht="15.75" customHeight="1">
      <c r="AK340" s="7"/>
      <c r="AL340" s="7"/>
      <c r="AM340" s="7"/>
      <c r="AN340" s="7"/>
      <c r="AO340" s="7"/>
      <c r="AP340" s="7"/>
      <c r="AQ340" s="7"/>
      <c r="AR340" s="7"/>
      <c r="AS340" s="7"/>
      <c r="AT340" s="7"/>
      <c r="AU340" s="7"/>
    </row>
    <row r="341" spans="37:47" ht="15.75" customHeight="1">
      <c r="AK341" s="7"/>
      <c r="AL341" s="7"/>
      <c r="AM341" s="7"/>
      <c r="AN341" s="7"/>
      <c r="AO341" s="7"/>
      <c r="AP341" s="7"/>
      <c r="AQ341" s="7"/>
      <c r="AR341" s="7"/>
      <c r="AS341" s="7"/>
      <c r="AT341" s="7"/>
      <c r="AU341" s="7"/>
    </row>
    <row r="342" spans="37:47" ht="15.75" customHeight="1">
      <c r="AK342" s="7"/>
      <c r="AL342" s="7"/>
      <c r="AM342" s="7"/>
      <c r="AN342" s="7"/>
      <c r="AO342" s="7"/>
      <c r="AP342" s="7"/>
      <c r="AQ342" s="7"/>
      <c r="AR342" s="7"/>
      <c r="AS342" s="7"/>
      <c r="AT342" s="7"/>
      <c r="AU342" s="7"/>
    </row>
    <row r="343" spans="37:47" ht="15.75" customHeight="1">
      <c r="AK343" s="7"/>
      <c r="AL343" s="7"/>
      <c r="AM343" s="7"/>
      <c r="AN343" s="7"/>
      <c r="AO343" s="7"/>
      <c r="AP343" s="7"/>
      <c r="AQ343" s="7"/>
      <c r="AR343" s="7"/>
      <c r="AS343" s="7"/>
      <c r="AT343" s="7"/>
      <c r="AU343" s="7"/>
    </row>
    <row r="344" spans="37:47" ht="15.75" customHeight="1">
      <c r="AK344" s="7"/>
      <c r="AL344" s="7"/>
      <c r="AM344" s="7"/>
      <c r="AN344" s="7"/>
      <c r="AO344" s="7"/>
      <c r="AP344" s="7"/>
      <c r="AQ344" s="7"/>
      <c r="AR344" s="7"/>
      <c r="AS344" s="7"/>
      <c r="AT344" s="7"/>
      <c r="AU344" s="7"/>
    </row>
    <row r="345" spans="37:47" ht="15.75" customHeight="1">
      <c r="AK345" s="7"/>
      <c r="AL345" s="7"/>
      <c r="AM345" s="7"/>
      <c r="AN345" s="7"/>
      <c r="AO345" s="7"/>
      <c r="AP345" s="7"/>
      <c r="AQ345" s="7"/>
      <c r="AR345" s="7"/>
      <c r="AS345" s="7"/>
      <c r="AT345" s="7"/>
      <c r="AU345" s="7"/>
    </row>
    <row r="350" spans="37:47" ht="15.75" customHeight="1">
      <c r="AK350" s="7"/>
      <c r="AL350" s="7"/>
      <c r="AM350" s="7"/>
      <c r="AN350" s="7"/>
      <c r="AO350" s="7"/>
      <c r="AP350" s="7"/>
      <c r="AQ350" s="7"/>
      <c r="AR350" s="7"/>
      <c r="AS350" s="7"/>
      <c r="AT350" s="7"/>
      <c r="AU350" s="7"/>
    </row>
    <row r="351" spans="37:47" ht="15.75" customHeight="1">
      <c r="AK351" s="7"/>
      <c r="AL351" s="7"/>
      <c r="AM351" s="7"/>
      <c r="AN351" s="7"/>
      <c r="AO351" s="7"/>
      <c r="AP351" s="7"/>
      <c r="AQ351" s="7"/>
      <c r="AR351" s="7"/>
      <c r="AS351" s="7"/>
      <c r="AT351" s="7"/>
      <c r="AU351" s="7"/>
    </row>
    <row r="352" spans="37:47" ht="15.75" customHeight="1">
      <c r="AK352" s="7"/>
      <c r="AL352" s="7"/>
      <c r="AM352" s="7"/>
      <c r="AN352" s="7"/>
      <c r="AO352" s="7"/>
      <c r="AP352" s="7"/>
      <c r="AQ352" s="7"/>
      <c r="AR352" s="7"/>
      <c r="AS352" s="7"/>
      <c r="AT352" s="7"/>
      <c r="AU352" s="7"/>
    </row>
    <row r="353" spans="37:47" ht="15.75" customHeight="1">
      <c r="AK353" s="7"/>
      <c r="AL353" s="7"/>
      <c r="AM353" s="7"/>
      <c r="AN353" s="7"/>
      <c r="AO353" s="7"/>
      <c r="AP353" s="7"/>
      <c r="AQ353" s="7"/>
      <c r="AR353" s="7"/>
      <c r="AS353" s="7"/>
      <c r="AT353" s="7"/>
      <c r="AU353" s="7"/>
    </row>
    <row r="360" spans="37:47" ht="15.75" customHeight="1">
      <c r="AK360" s="7"/>
      <c r="AL360" s="7"/>
      <c r="AM360" s="7"/>
      <c r="AN360" s="7"/>
      <c r="AO360" s="7"/>
      <c r="AP360" s="7"/>
      <c r="AQ360" s="7"/>
      <c r="AR360" s="7"/>
      <c r="AS360" s="7"/>
      <c r="AT360" s="7"/>
      <c r="AU360" s="7"/>
    </row>
    <row r="361" spans="37:47" ht="15.75" customHeight="1">
      <c r="AK361" s="7"/>
      <c r="AL361" s="7"/>
      <c r="AM361" s="7"/>
      <c r="AN361" s="7"/>
      <c r="AO361" s="7"/>
      <c r="AP361" s="7"/>
      <c r="AQ361" s="7"/>
      <c r="AR361" s="7"/>
      <c r="AS361" s="7"/>
      <c r="AT361" s="7"/>
      <c r="AU361" s="7"/>
    </row>
    <row r="362" spans="37:47" ht="15.75" customHeight="1">
      <c r="AK362" s="7"/>
      <c r="AL362" s="7"/>
      <c r="AM362" s="7"/>
      <c r="AN362" s="7"/>
      <c r="AO362" s="7"/>
      <c r="AP362" s="7"/>
      <c r="AQ362" s="7"/>
      <c r="AR362" s="7"/>
      <c r="AS362" s="7"/>
      <c r="AT362" s="7"/>
      <c r="AU362" s="7"/>
    </row>
    <row r="363" spans="37:47" ht="15.75" customHeight="1">
      <c r="AK363" s="7"/>
      <c r="AL363" s="7"/>
      <c r="AM363" s="7"/>
      <c r="AN363" s="7"/>
      <c r="AO363" s="7"/>
      <c r="AP363" s="7"/>
      <c r="AQ363" s="7"/>
      <c r="AR363" s="7"/>
      <c r="AS363" s="7"/>
      <c r="AT363" s="7"/>
      <c r="AU363" s="7"/>
    </row>
    <row r="364" spans="37:47" ht="15.75" customHeight="1">
      <c r="AK364" s="7"/>
      <c r="AL364" s="7"/>
      <c r="AM364" s="7"/>
      <c r="AN364" s="7"/>
      <c r="AO364" s="7"/>
      <c r="AP364" s="7"/>
      <c r="AQ364" s="7"/>
      <c r="AR364" s="7"/>
      <c r="AS364" s="7"/>
      <c r="AT364" s="7"/>
      <c r="AU364" s="7"/>
    </row>
    <row r="365" spans="37:47" ht="15.75" customHeight="1">
      <c r="AK365" s="7"/>
      <c r="AL365" s="7"/>
      <c r="AM365" s="7"/>
      <c r="AN365" s="7"/>
      <c r="AO365" s="7"/>
      <c r="AP365" s="7"/>
      <c r="AQ365" s="7"/>
      <c r="AR365" s="7"/>
      <c r="AS365" s="7"/>
      <c r="AT365" s="7"/>
      <c r="AU365" s="7"/>
    </row>
    <row r="366" spans="37:47" ht="15.75" customHeight="1">
      <c r="AK366" s="7"/>
      <c r="AL366" s="7"/>
      <c r="AM366" s="7"/>
      <c r="AN366" s="7"/>
      <c r="AO366" s="7"/>
      <c r="AP366" s="7"/>
      <c r="AQ366" s="7"/>
      <c r="AR366" s="7"/>
      <c r="AS366" s="7"/>
      <c r="AT366" s="7"/>
      <c r="AU366" s="7"/>
    </row>
    <row r="367" spans="37:47" ht="15.75" customHeight="1">
      <c r="AK367" s="7"/>
      <c r="AL367" s="7"/>
      <c r="AM367" s="7"/>
      <c r="AN367" s="7"/>
      <c r="AO367" s="7"/>
      <c r="AP367" s="7"/>
      <c r="AQ367" s="7"/>
      <c r="AR367" s="7"/>
      <c r="AS367" s="7"/>
      <c r="AT367" s="7"/>
      <c r="AU367" s="7"/>
    </row>
    <row r="368" spans="37:47" ht="15.75" customHeight="1">
      <c r="AK368" s="7"/>
      <c r="AL368" s="7"/>
      <c r="AM368" s="7"/>
      <c r="AN368" s="7"/>
      <c r="AO368" s="7"/>
      <c r="AP368" s="7"/>
      <c r="AQ368" s="7"/>
      <c r="AR368" s="7"/>
      <c r="AS368" s="7"/>
      <c r="AT368" s="7"/>
      <c r="AU368" s="7"/>
    </row>
    <row r="369" spans="37:47" ht="15.75" customHeight="1">
      <c r="AK369" s="7"/>
      <c r="AL369" s="7"/>
      <c r="AM369" s="7"/>
      <c r="AN369" s="7"/>
      <c r="AO369" s="7"/>
      <c r="AP369" s="7"/>
      <c r="AQ369" s="7"/>
      <c r="AR369" s="7"/>
      <c r="AS369" s="7"/>
      <c r="AT369" s="7"/>
      <c r="AU369" s="7"/>
    </row>
    <row r="370" spans="37:47" ht="15.75" customHeight="1">
      <c r="AK370" s="7"/>
      <c r="AL370" s="7"/>
      <c r="AM370" s="7"/>
      <c r="AN370" s="7"/>
      <c r="AO370" s="7"/>
      <c r="AP370" s="7"/>
      <c r="AQ370" s="7"/>
      <c r="AR370" s="7"/>
      <c r="AS370" s="7"/>
      <c r="AT370" s="7"/>
      <c r="AU370" s="7"/>
    </row>
    <row r="371" spans="37:47" ht="15.75" customHeight="1">
      <c r="AK371" s="7"/>
      <c r="AL371" s="7"/>
      <c r="AM371" s="7"/>
      <c r="AN371" s="7"/>
      <c r="AO371" s="7"/>
      <c r="AP371" s="7"/>
      <c r="AQ371" s="7"/>
      <c r="AR371" s="7"/>
      <c r="AS371" s="7"/>
      <c r="AT371" s="7"/>
      <c r="AU371" s="7"/>
    </row>
    <row r="372" spans="37:47" ht="15.75" customHeight="1">
      <c r="AK372" s="7"/>
      <c r="AL372" s="7"/>
      <c r="AM372" s="7"/>
      <c r="AN372" s="7"/>
      <c r="AO372" s="7"/>
      <c r="AP372" s="7"/>
      <c r="AQ372" s="7"/>
      <c r="AR372" s="7"/>
      <c r="AS372" s="7"/>
      <c r="AT372" s="7"/>
      <c r="AU372" s="7"/>
    </row>
    <row r="373" spans="37:47" ht="15.75" customHeight="1">
      <c r="AK373" s="7"/>
      <c r="AL373" s="7"/>
      <c r="AM373" s="7"/>
      <c r="AN373" s="7"/>
      <c r="AO373" s="7"/>
      <c r="AP373" s="7"/>
      <c r="AQ373" s="7"/>
      <c r="AR373" s="7"/>
      <c r="AS373" s="7"/>
      <c r="AT373" s="7"/>
      <c r="AU373" s="7"/>
    </row>
    <row r="374" spans="37:47" ht="15.75" customHeight="1">
      <c r="AK374" s="7"/>
      <c r="AL374" s="7"/>
      <c r="AM374" s="7"/>
      <c r="AN374" s="7"/>
      <c r="AO374" s="7"/>
      <c r="AP374" s="7"/>
      <c r="AQ374" s="7"/>
      <c r="AR374" s="7"/>
      <c r="AS374" s="7"/>
      <c r="AT374" s="7"/>
      <c r="AU374" s="7"/>
    </row>
    <row r="375" spans="37:47" ht="15.75" customHeight="1">
      <c r="AK375" s="7"/>
      <c r="AL375" s="7"/>
      <c r="AM375" s="7"/>
      <c r="AN375" s="7"/>
      <c r="AO375" s="7"/>
      <c r="AP375" s="7"/>
      <c r="AQ375" s="7"/>
      <c r="AR375" s="7"/>
      <c r="AS375" s="7"/>
      <c r="AT375" s="7"/>
      <c r="AU375" s="7"/>
    </row>
    <row r="376" spans="37:47" ht="15.75" customHeight="1">
      <c r="AK376" s="18"/>
      <c r="AL376" s="7"/>
      <c r="AM376" s="7"/>
      <c r="AN376" s="7"/>
      <c r="AO376" s="7"/>
      <c r="AP376" s="7"/>
      <c r="AQ376" s="7"/>
      <c r="AR376" s="7"/>
      <c r="AS376" s="7"/>
      <c r="AT376" s="7"/>
      <c r="AU376" s="7"/>
    </row>
    <row r="377" spans="37:47" ht="15.75" customHeight="1">
      <c r="AK377" s="18"/>
      <c r="AL377" s="7"/>
      <c r="AM377" s="7"/>
      <c r="AN377" s="7"/>
      <c r="AO377" s="7"/>
      <c r="AP377" s="7"/>
      <c r="AQ377" s="7"/>
      <c r="AR377" s="7"/>
      <c r="AS377" s="7"/>
      <c r="AT377" s="7"/>
      <c r="AU377" s="7"/>
    </row>
    <row r="378" spans="37:47" ht="15.75" customHeight="1">
      <c r="AK378" s="18"/>
      <c r="AL378" s="7"/>
      <c r="AM378" s="7"/>
      <c r="AN378" s="7"/>
      <c r="AO378" s="7"/>
      <c r="AP378" s="7"/>
      <c r="AQ378" s="7"/>
      <c r="AR378" s="7"/>
      <c r="AS378" s="7"/>
      <c r="AT378" s="7"/>
      <c r="AU378" s="7"/>
    </row>
    <row r="379" spans="37:47" ht="15.75" customHeight="1">
      <c r="AK379" s="18"/>
      <c r="AL379" s="7"/>
      <c r="AM379" s="7"/>
      <c r="AN379" s="7"/>
      <c r="AO379" s="7"/>
      <c r="AP379" s="7"/>
      <c r="AQ379" s="7"/>
      <c r="AR379" s="7"/>
      <c r="AS379" s="7"/>
      <c r="AT379" s="7"/>
      <c r="AU379" s="7"/>
    </row>
    <row r="380" spans="37:47" ht="15.75" customHeight="1">
      <c r="AK380" s="18"/>
      <c r="AL380" s="7"/>
      <c r="AM380" s="7"/>
      <c r="AN380" s="7"/>
      <c r="AO380" s="7"/>
      <c r="AP380" s="7"/>
      <c r="AQ380" s="7"/>
      <c r="AR380" s="7"/>
      <c r="AS380" s="7"/>
      <c r="AT380" s="7"/>
      <c r="AU380" s="7"/>
    </row>
    <row r="381" spans="37:47" ht="15.75" customHeight="1">
      <c r="AK381" s="18"/>
      <c r="AL381" s="7"/>
      <c r="AM381" s="7"/>
      <c r="AN381" s="7"/>
      <c r="AO381" s="7"/>
      <c r="AP381" s="7"/>
      <c r="AQ381" s="7"/>
      <c r="AR381" s="7"/>
      <c r="AS381" s="7"/>
      <c r="AT381" s="7"/>
      <c r="AU381" s="7"/>
    </row>
    <row r="382" spans="37:47" ht="15.75" customHeight="1">
      <c r="AK382" s="18"/>
      <c r="AL382" s="7"/>
      <c r="AM382" s="7"/>
      <c r="AN382" s="7"/>
      <c r="AO382" s="7"/>
      <c r="AP382" s="7"/>
      <c r="AQ382" s="7"/>
      <c r="AR382" s="7"/>
      <c r="AS382" s="7"/>
      <c r="AT382" s="7"/>
      <c r="AU382" s="7"/>
    </row>
    <row r="383" spans="37:47" ht="15.75" customHeight="1">
      <c r="AK383" s="18"/>
      <c r="AL383" s="7"/>
      <c r="AM383" s="7"/>
      <c r="AN383" s="7"/>
      <c r="AO383" s="7"/>
      <c r="AP383" s="7"/>
      <c r="AQ383" s="7"/>
      <c r="AR383" s="7"/>
      <c r="AS383" s="7"/>
      <c r="AT383" s="7"/>
      <c r="AU383" s="7"/>
    </row>
    <row r="384" spans="37:47" ht="15.75" customHeight="1">
      <c r="AK384" s="7"/>
      <c r="AL384" s="7"/>
      <c r="AM384" s="7"/>
      <c r="AN384" s="7"/>
      <c r="AO384" s="7"/>
      <c r="AP384" s="7"/>
      <c r="AQ384" s="7"/>
      <c r="AR384" s="7"/>
      <c r="AS384" s="7"/>
      <c r="AT384" s="7"/>
      <c r="AU384" s="7"/>
    </row>
    <row r="385" spans="37:47" ht="15.75" customHeight="1">
      <c r="AK385" s="7"/>
      <c r="AL385" s="7"/>
      <c r="AM385" s="7"/>
      <c r="AN385" s="7"/>
      <c r="AO385" s="7"/>
      <c r="AP385" s="7"/>
      <c r="AQ385" s="7"/>
      <c r="AR385" s="7"/>
      <c r="AS385" s="7"/>
      <c r="AT385" s="7"/>
      <c r="AU385" s="7"/>
    </row>
    <row r="386" spans="37:47" ht="15.75" customHeight="1">
      <c r="AK386" s="7"/>
      <c r="AL386" s="7"/>
      <c r="AM386" s="7"/>
      <c r="AN386" s="7"/>
      <c r="AO386" s="7"/>
      <c r="AP386" s="7"/>
      <c r="AQ386" s="7"/>
      <c r="AR386" s="7"/>
      <c r="AS386" s="7"/>
      <c r="AT386" s="7"/>
      <c r="AU386" s="7"/>
    </row>
    <row r="387" spans="37:47" ht="15.75" customHeight="1">
      <c r="AK387" s="7"/>
      <c r="AL387" s="7"/>
      <c r="AM387" s="7"/>
      <c r="AN387" s="7"/>
      <c r="AO387" s="7"/>
      <c r="AP387" s="7"/>
      <c r="AQ387" s="7"/>
      <c r="AR387" s="7"/>
      <c r="AS387" s="7"/>
      <c r="AT387" s="7"/>
      <c r="AU387" s="7"/>
    </row>
    <row r="388" spans="37:47" ht="15.75" customHeight="1">
      <c r="AK388" s="7"/>
      <c r="AL388" s="7"/>
      <c r="AM388" s="7"/>
      <c r="AN388" s="7"/>
      <c r="AO388" s="7"/>
      <c r="AP388" s="7"/>
      <c r="AQ388" s="7"/>
      <c r="AR388" s="7"/>
      <c r="AS388" s="7"/>
      <c r="AT388" s="7"/>
      <c r="AU388" s="7"/>
    </row>
    <row r="389" spans="37:47" ht="15.75" customHeight="1">
      <c r="AK389" s="7"/>
      <c r="AL389" s="7"/>
      <c r="AM389" s="7"/>
      <c r="AN389" s="7"/>
      <c r="AO389" s="7"/>
      <c r="AP389" s="7"/>
      <c r="AQ389" s="7"/>
      <c r="AR389" s="7"/>
      <c r="AS389" s="7"/>
      <c r="AT389" s="7"/>
      <c r="AU389" s="7"/>
    </row>
    <row r="390" spans="37:47" ht="15.75" customHeight="1">
      <c r="AK390" s="7"/>
      <c r="AL390" s="7"/>
      <c r="AM390" s="7"/>
      <c r="AN390" s="7"/>
      <c r="AO390" s="7"/>
      <c r="AP390" s="7"/>
      <c r="AQ390" s="7"/>
      <c r="AR390" s="7"/>
      <c r="AS390" s="7"/>
      <c r="AT390" s="7"/>
      <c r="AU390" s="7"/>
    </row>
    <row r="391" spans="37:47" ht="15.75" customHeight="1">
      <c r="AK391" s="7"/>
      <c r="AL391" s="7"/>
      <c r="AM391" s="7"/>
      <c r="AN391" s="7"/>
      <c r="AO391" s="7"/>
      <c r="AP391" s="7"/>
      <c r="AQ391" s="7"/>
      <c r="AR391" s="7"/>
      <c r="AS391" s="7"/>
      <c r="AT391" s="7"/>
      <c r="AU391" s="7"/>
    </row>
    <row r="392" spans="37:47" ht="15.75" customHeight="1">
      <c r="AK392" s="7"/>
      <c r="AL392" s="7"/>
      <c r="AM392" s="7"/>
      <c r="AN392" s="7"/>
      <c r="AO392" s="7"/>
      <c r="AP392" s="7"/>
      <c r="AQ392" s="7"/>
      <c r="AR392" s="7"/>
      <c r="AS392" s="7"/>
      <c r="AT392" s="7"/>
      <c r="AU392" s="7"/>
    </row>
    <row r="393" spans="37:47" ht="15.75" customHeight="1">
      <c r="AK393" s="7"/>
      <c r="AL393" s="7"/>
      <c r="AM393" s="7"/>
      <c r="AN393" s="7"/>
      <c r="AO393" s="7"/>
      <c r="AP393" s="7"/>
      <c r="AQ393" s="7"/>
      <c r="AR393" s="7"/>
      <c r="AS393" s="7"/>
      <c r="AT393" s="7"/>
      <c r="AU393" s="7"/>
    </row>
    <row r="394" spans="37:47" ht="15.75" customHeight="1">
      <c r="AK394" s="7"/>
      <c r="AL394" s="7"/>
      <c r="AM394" s="7"/>
      <c r="AN394" s="7"/>
      <c r="AO394" s="7"/>
      <c r="AP394" s="7"/>
      <c r="AQ394" s="7"/>
      <c r="AR394" s="7"/>
      <c r="AS394" s="7"/>
      <c r="AT394" s="7"/>
      <c r="AU394" s="7"/>
    </row>
    <row r="395" spans="37:47" ht="15.75" customHeight="1">
      <c r="AK395" s="7"/>
      <c r="AL395" s="7"/>
      <c r="AM395" s="7"/>
      <c r="AN395" s="7"/>
      <c r="AO395" s="7"/>
      <c r="AP395" s="7"/>
      <c r="AQ395" s="7"/>
      <c r="AR395" s="7"/>
      <c r="AS395" s="7"/>
      <c r="AT395" s="7"/>
      <c r="AU395" s="7"/>
    </row>
    <row r="397" spans="37:47" ht="15.75" customHeight="1">
      <c r="AK397" s="7"/>
      <c r="AL397" s="7"/>
      <c r="AM397" s="7"/>
      <c r="AN397" s="7"/>
      <c r="AO397" s="7"/>
      <c r="AP397" s="7"/>
      <c r="AQ397" s="7"/>
      <c r="AR397" s="7"/>
      <c r="AS397" s="7"/>
      <c r="AT397" s="7"/>
      <c r="AU397" s="7"/>
    </row>
    <row r="398" spans="37:47" ht="15.75" customHeight="1">
      <c r="AK398" s="18"/>
      <c r="AL398" s="7"/>
      <c r="AM398" s="7"/>
      <c r="AN398" s="7"/>
      <c r="AO398" s="7"/>
      <c r="AP398" s="7"/>
      <c r="AQ398" s="7"/>
      <c r="AR398" s="7"/>
      <c r="AS398" s="7"/>
      <c r="AT398" s="7"/>
      <c r="AU398" s="7"/>
    </row>
    <row r="399" spans="37:47" ht="15.75" customHeight="1">
      <c r="AK399" s="18"/>
      <c r="AL399" s="7"/>
      <c r="AM399" s="7"/>
      <c r="AN399" s="7"/>
      <c r="AO399" s="7"/>
      <c r="AP399" s="7"/>
      <c r="AQ399" s="7"/>
      <c r="AR399" s="7"/>
      <c r="AS399" s="7"/>
      <c r="AT399" s="7"/>
      <c r="AU399" s="7"/>
    </row>
    <row r="400" spans="37:47" ht="15.75" customHeight="1">
      <c r="AK400" s="18"/>
      <c r="AL400" s="7"/>
      <c r="AM400" s="7"/>
      <c r="AN400" s="7"/>
      <c r="AO400" s="7"/>
      <c r="AP400" s="7"/>
      <c r="AQ400" s="7"/>
      <c r="AR400" s="7"/>
      <c r="AS400" s="7"/>
      <c r="AT400" s="7"/>
      <c r="AU400" s="7"/>
    </row>
    <row r="401" spans="37:47" ht="15.75" customHeight="1">
      <c r="AK401" s="18"/>
      <c r="AL401" s="7"/>
      <c r="AM401" s="7"/>
      <c r="AN401" s="7"/>
      <c r="AO401" s="7"/>
      <c r="AP401" s="7"/>
      <c r="AQ401" s="7"/>
      <c r="AR401" s="7"/>
      <c r="AS401" s="7"/>
      <c r="AT401" s="7"/>
      <c r="AU401" s="7"/>
    </row>
    <row r="402" spans="37:47" ht="15.75" customHeight="1">
      <c r="AK402" s="18"/>
      <c r="AL402" s="7"/>
      <c r="AM402" s="7"/>
      <c r="AN402" s="7"/>
      <c r="AO402" s="7"/>
      <c r="AP402" s="7"/>
      <c r="AQ402" s="7"/>
      <c r="AR402" s="7"/>
      <c r="AS402" s="7"/>
      <c r="AT402" s="7"/>
      <c r="AU402" s="7"/>
    </row>
    <row r="403" spans="37:47" ht="15.75" customHeight="1">
      <c r="AK403" s="18"/>
      <c r="AL403" s="18"/>
      <c r="AM403" s="18"/>
      <c r="AN403" s="18"/>
      <c r="AO403" s="18"/>
      <c r="AP403" s="18"/>
      <c r="AQ403" s="18"/>
      <c r="AR403" s="18"/>
      <c r="AS403" s="18"/>
      <c r="AT403" s="18"/>
      <c r="AU403" s="18"/>
    </row>
    <row r="404" spans="37:47" ht="15.75" customHeight="1">
      <c r="AK404" s="18"/>
      <c r="AL404" s="18"/>
      <c r="AM404" s="18"/>
      <c r="AN404" s="18"/>
      <c r="AO404" s="18"/>
      <c r="AP404" s="18"/>
      <c r="AQ404" s="18"/>
      <c r="AR404" s="18"/>
      <c r="AS404" s="18"/>
      <c r="AT404" s="18"/>
      <c r="AU404" s="18"/>
    </row>
    <row r="405" spans="37:47" ht="15.75" customHeight="1">
      <c r="AK405" s="18"/>
      <c r="AL405" s="18"/>
      <c r="AM405" s="18"/>
      <c r="AN405" s="18"/>
      <c r="AO405" s="18"/>
      <c r="AP405" s="18"/>
      <c r="AQ405" s="18"/>
      <c r="AR405" s="18"/>
      <c r="AS405" s="18"/>
      <c r="AT405" s="18"/>
      <c r="AU405" s="18"/>
    </row>
    <row r="406" spans="37:47" ht="15.75" customHeight="1">
      <c r="AK406" s="18"/>
      <c r="AL406" s="18"/>
      <c r="AM406" s="7"/>
      <c r="AN406" s="18"/>
      <c r="AO406" s="18"/>
      <c r="AP406" s="18"/>
      <c r="AQ406" s="18"/>
      <c r="AR406" s="18"/>
      <c r="AS406" s="18"/>
      <c r="AT406" s="18"/>
      <c r="AU406" s="18"/>
    </row>
    <row r="407" spans="37:47" ht="15.75" customHeight="1">
      <c r="AK407" s="18"/>
      <c r="AL407" s="18"/>
      <c r="AM407" s="7"/>
      <c r="AN407" s="18"/>
      <c r="AO407" s="18"/>
      <c r="AP407" s="18"/>
      <c r="AQ407" s="18"/>
      <c r="AR407" s="18"/>
      <c r="AS407" s="18"/>
      <c r="AT407" s="18"/>
      <c r="AU407" s="18"/>
    </row>
    <row r="408" spans="37:47" ht="15.75" customHeight="1">
      <c r="AK408" s="18"/>
      <c r="AL408" s="18"/>
      <c r="AM408" s="7"/>
      <c r="AN408" s="18"/>
      <c r="AO408" s="18"/>
      <c r="AP408" s="18"/>
      <c r="AQ408" s="18"/>
      <c r="AR408" s="18"/>
      <c r="AS408" s="18"/>
      <c r="AT408" s="18"/>
      <c r="AU408" s="18"/>
    </row>
    <row r="409" spans="37:47" ht="15.75" customHeight="1">
      <c r="AK409" s="18"/>
      <c r="AL409" s="18"/>
      <c r="AM409" s="18"/>
      <c r="AN409" s="18"/>
      <c r="AO409" s="18"/>
      <c r="AP409" s="18"/>
      <c r="AQ409" s="18"/>
      <c r="AR409" s="7"/>
      <c r="AS409" s="7"/>
      <c r="AT409" s="7"/>
      <c r="AU409" s="7"/>
    </row>
    <row r="410" spans="37:47" ht="15.75" customHeight="1">
      <c r="AK410" s="18"/>
      <c r="AL410" s="18"/>
      <c r="AM410" s="18"/>
      <c r="AN410" s="18"/>
      <c r="AO410" s="18"/>
      <c r="AP410" s="18"/>
      <c r="AQ410" s="18"/>
      <c r="AR410" s="7"/>
      <c r="AS410" s="7"/>
      <c r="AT410" s="7"/>
      <c r="AU410" s="7"/>
    </row>
    <row r="411" spans="37:47" ht="15.75" customHeight="1">
      <c r="AK411" s="18"/>
      <c r="AL411" s="18"/>
      <c r="AM411" s="18"/>
      <c r="AN411" s="18"/>
      <c r="AO411" s="18"/>
      <c r="AP411" s="18"/>
      <c r="AQ411" s="18"/>
      <c r="AR411" s="7"/>
      <c r="AS411" s="7"/>
      <c r="AT411" s="7"/>
      <c r="AU411" s="7"/>
    </row>
    <row r="412" spans="37:47" ht="15.75" customHeight="1">
      <c r="AK412" s="18"/>
      <c r="AL412" s="18"/>
      <c r="AM412" s="18"/>
      <c r="AN412" s="18"/>
      <c r="AO412" s="18"/>
      <c r="AP412" s="18"/>
      <c r="AQ412" s="18"/>
      <c r="AR412" s="7"/>
      <c r="AS412" s="7"/>
      <c r="AT412" s="7"/>
      <c r="AU412" s="7"/>
    </row>
    <row r="413" spans="37:47" ht="15.75" customHeight="1">
      <c r="AK413" s="18"/>
      <c r="AL413" s="18"/>
      <c r="AM413" s="18"/>
      <c r="AN413" s="18"/>
      <c r="AO413" s="18"/>
      <c r="AP413" s="18"/>
      <c r="AQ413" s="18"/>
      <c r="AR413" s="7"/>
      <c r="AS413" s="7"/>
      <c r="AT413" s="7"/>
      <c r="AU413" s="7"/>
    </row>
    <row r="414" spans="37:47" ht="15.75" customHeight="1">
      <c r="AK414" s="18"/>
      <c r="AL414" s="18"/>
      <c r="AM414" s="18"/>
      <c r="AN414" s="7"/>
      <c r="AO414" s="7"/>
      <c r="AP414" s="7"/>
      <c r="AQ414" s="7"/>
      <c r="AR414" s="7"/>
      <c r="AS414" s="7"/>
      <c r="AT414" s="7"/>
      <c r="AU414" s="7"/>
    </row>
    <row r="415" spans="37:47" ht="15.75" customHeight="1">
      <c r="AK415" s="18"/>
      <c r="AL415" s="18"/>
      <c r="AM415" s="18"/>
      <c r="AN415" s="7"/>
      <c r="AO415" s="7"/>
      <c r="AP415" s="7"/>
      <c r="AQ415" s="7"/>
      <c r="AR415" s="7"/>
      <c r="AS415" s="7"/>
      <c r="AT415" s="7"/>
      <c r="AU415" s="7"/>
    </row>
    <row r="416" spans="37:47" ht="15.75" customHeight="1">
      <c r="AK416" s="18"/>
      <c r="AL416" s="18"/>
      <c r="AM416" s="18"/>
      <c r="AN416" s="7"/>
      <c r="AO416" s="7"/>
      <c r="AP416" s="7"/>
      <c r="AQ416" s="7"/>
      <c r="AR416" s="7"/>
      <c r="AS416" s="7"/>
      <c r="AT416" s="7"/>
      <c r="AU416" s="7"/>
    </row>
    <row r="417" spans="37:47" ht="15.75" customHeight="1">
      <c r="AK417" s="18"/>
      <c r="AL417" s="18"/>
      <c r="AM417" s="18"/>
      <c r="AN417" s="18"/>
      <c r="AO417" s="18"/>
      <c r="AP417" s="18"/>
      <c r="AQ417" s="18"/>
      <c r="AR417" s="18"/>
      <c r="AS417" s="18"/>
      <c r="AT417" s="18"/>
      <c r="AU417" s="18"/>
    </row>
    <row r="418" spans="37:47" ht="15.75" customHeight="1">
      <c r="AK418" s="18"/>
      <c r="AL418" s="18"/>
      <c r="AM418" s="18"/>
      <c r="AN418" s="18"/>
      <c r="AO418" s="18"/>
      <c r="AP418" s="18"/>
      <c r="AQ418" s="18"/>
      <c r="AR418" s="18"/>
      <c r="AS418" s="18"/>
      <c r="AT418" s="18"/>
      <c r="AU418" s="18"/>
    </row>
    <row r="419" spans="37:47" ht="15.75" customHeight="1">
      <c r="AK419" s="18"/>
      <c r="AL419" s="18"/>
      <c r="AM419" s="18"/>
      <c r="AN419" s="18"/>
      <c r="AO419" s="18"/>
      <c r="AP419" s="18"/>
      <c r="AQ419" s="18"/>
      <c r="AR419" s="18"/>
      <c r="AS419" s="18"/>
      <c r="AT419" s="18"/>
      <c r="AU419" s="18"/>
    </row>
    <row r="420" spans="37:47" ht="15.75" customHeight="1">
      <c r="AK420" s="18"/>
      <c r="AL420" s="18"/>
      <c r="AM420" s="18"/>
      <c r="AN420" s="18"/>
      <c r="AO420" s="18"/>
      <c r="AP420" s="18"/>
      <c r="AQ420" s="18"/>
      <c r="AR420" s="18"/>
      <c r="AS420" s="18"/>
      <c r="AT420" s="18"/>
      <c r="AU420" s="18"/>
    </row>
    <row r="421" spans="37:47" ht="15.75" customHeight="1">
      <c r="AK421" s="7"/>
      <c r="AL421" s="7"/>
      <c r="AM421" s="7"/>
      <c r="AN421" s="7"/>
      <c r="AO421" s="7"/>
      <c r="AP421" s="7"/>
      <c r="AQ421" s="7"/>
      <c r="AR421" s="7"/>
      <c r="AS421" s="7"/>
      <c r="AT421" s="7"/>
      <c r="AU421" s="7"/>
    </row>
    <row r="422" spans="37:47" ht="15.75" customHeight="1">
      <c r="AK422" s="7"/>
      <c r="AL422" s="7"/>
      <c r="AM422" s="7"/>
      <c r="AN422" s="7"/>
      <c r="AO422" s="7"/>
      <c r="AP422" s="7"/>
      <c r="AQ422" s="7"/>
      <c r="AR422" s="7"/>
      <c r="AS422" s="7"/>
      <c r="AT422" s="7"/>
      <c r="AU422" s="7"/>
    </row>
    <row r="423" spans="37:47" ht="15.75" customHeight="1">
      <c r="AK423" s="7"/>
      <c r="AL423" s="7"/>
      <c r="AM423" s="7"/>
      <c r="AN423" s="7"/>
      <c r="AO423" s="7"/>
      <c r="AP423" s="7"/>
      <c r="AQ423" s="7"/>
      <c r="AR423" s="7"/>
      <c r="AS423" s="7"/>
      <c r="AT423" s="7"/>
      <c r="AU423" s="7"/>
    </row>
    <row r="424" spans="37:47" ht="15.75" customHeight="1">
      <c r="AK424" s="7"/>
      <c r="AL424" s="7"/>
      <c r="AM424" s="7"/>
      <c r="AN424" s="7"/>
      <c r="AO424" s="7"/>
      <c r="AP424" s="7"/>
      <c r="AQ424" s="7"/>
      <c r="AR424" s="7"/>
      <c r="AS424" s="7"/>
      <c r="AT424" s="7"/>
      <c r="AU424" s="7"/>
    </row>
    <row r="425" spans="37:47" ht="15.75" customHeight="1">
      <c r="AK425" s="7"/>
      <c r="AL425" s="7"/>
      <c r="AM425" s="7"/>
      <c r="AN425" s="7"/>
      <c r="AO425" s="7"/>
      <c r="AP425" s="7"/>
      <c r="AQ425" s="7"/>
      <c r="AR425" s="7"/>
      <c r="AS425" s="7"/>
      <c r="AT425" s="7"/>
      <c r="AU425" s="7"/>
    </row>
    <row r="426" spans="37:47" ht="15.75" customHeight="1">
      <c r="AK426" s="7"/>
      <c r="AL426" s="7"/>
      <c r="AM426" s="7"/>
      <c r="AN426" s="7"/>
      <c r="AO426" s="7"/>
      <c r="AP426" s="7"/>
      <c r="AQ426" s="7"/>
      <c r="AR426" s="7"/>
      <c r="AS426" s="7"/>
      <c r="AT426" s="7"/>
      <c r="AU426" s="7"/>
    </row>
    <row r="427" spans="37:47" ht="15.75" customHeight="1">
      <c r="AK427" s="7"/>
      <c r="AL427" s="7"/>
      <c r="AM427" s="7"/>
      <c r="AN427" s="7"/>
      <c r="AO427" s="7"/>
      <c r="AP427" s="7"/>
      <c r="AQ427" s="7"/>
      <c r="AR427" s="7"/>
      <c r="AS427" s="7"/>
      <c r="AT427" s="7"/>
      <c r="AU427" s="7"/>
    </row>
    <row r="428" spans="37:47" ht="15.75" customHeight="1">
      <c r="AK428" s="7"/>
      <c r="AL428" s="7"/>
      <c r="AM428" s="7"/>
      <c r="AN428" s="7"/>
      <c r="AO428" s="7"/>
      <c r="AP428" s="7"/>
      <c r="AQ428" s="7"/>
      <c r="AR428" s="7"/>
      <c r="AS428" s="7"/>
      <c r="AT428" s="7"/>
      <c r="AU428" s="7"/>
    </row>
    <row r="429" spans="37:47" ht="15.75" customHeight="1">
      <c r="AK429" s="7"/>
      <c r="AL429" s="7"/>
      <c r="AM429" s="7"/>
      <c r="AN429" s="7"/>
      <c r="AO429" s="7"/>
      <c r="AP429" s="7"/>
      <c r="AQ429" s="7"/>
      <c r="AR429" s="7"/>
      <c r="AS429" s="7"/>
      <c r="AT429" s="7"/>
      <c r="AU429" s="7"/>
    </row>
    <row r="430" spans="37:47" ht="15.75" customHeight="1">
      <c r="AK430" s="7"/>
      <c r="AL430" s="7"/>
      <c r="AM430" s="7"/>
      <c r="AN430" s="7"/>
      <c r="AO430" s="7"/>
      <c r="AP430" s="7"/>
      <c r="AQ430" s="7"/>
      <c r="AR430" s="7"/>
      <c r="AS430" s="7"/>
      <c r="AT430" s="7"/>
      <c r="AU430" s="7"/>
    </row>
    <row r="431" spans="37:47" ht="15.75" customHeight="1">
      <c r="AK431" s="7"/>
      <c r="AL431" s="7"/>
      <c r="AM431" s="7"/>
      <c r="AN431" s="7"/>
      <c r="AO431" s="7"/>
      <c r="AP431" s="7"/>
      <c r="AQ431" s="7"/>
      <c r="AR431" s="7"/>
      <c r="AS431" s="7"/>
      <c r="AT431" s="7"/>
      <c r="AU431" s="7"/>
    </row>
    <row r="432" spans="37:47" ht="15.75" customHeight="1">
      <c r="AK432" s="7"/>
      <c r="AL432" s="7"/>
      <c r="AM432" s="7"/>
      <c r="AN432" s="7"/>
      <c r="AO432" s="7"/>
      <c r="AP432" s="7"/>
      <c r="AQ432" s="7"/>
      <c r="AR432" s="7"/>
      <c r="AS432" s="7"/>
      <c r="AT432" s="7"/>
      <c r="AU432" s="7"/>
    </row>
    <row r="433" spans="37:47" ht="15.75" customHeight="1">
      <c r="AK433" s="7"/>
      <c r="AL433" s="7"/>
      <c r="AM433" s="7"/>
      <c r="AN433" s="7"/>
      <c r="AO433" s="7"/>
      <c r="AP433" s="7"/>
      <c r="AQ433" s="7"/>
      <c r="AR433" s="7"/>
      <c r="AS433" s="7"/>
      <c r="AT433" s="7"/>
      <c r="AU433" s="7"/>
    </row>
    <row r="434" spans="37:47" ht="15.75" customHeight="1">
      <c r="AK434" s="7"/>
      <c r="AL434" s="7"/>
      <c r="AM434" s="7"/>
      <c r="AN434" s="7"/>
      <c r="AO434" s="7"/>
      <c r="AP434" s="7"/>
      <c r="AQ434" s="7"/>
      <c r="AR434" s="7"/>
      <c r="AS434" s="7"/>
      <c r="AT434" s="7"/>
      <c r="AU434" s="7"/>
    </row>
    <row r="435" spans="37:47" ht="15.75" customHeight="1">
      <c r="AK435" s="7"/>
      <c r="AL435" s="7"/>
      <c r="AM435" s="7"/>
      <c r="AN435" s="7"/>
      <c r="AO435" s="7"/>
      <c r="AP435" s="7"/>
      <c r="AQ435" s="7"/>
      <c r="AR435" s="7"/>
      <c r="AS435" s="7"/>
      <c r="AT435" s="7"/>
      <c r="AU435" s="7"/>
    </row>
    <row r="436" spans="37:47" ht="15.75" customHeight="1">
      <c r="AK436" s="7"/>
      <c r="AL436" s="7"/>
      <c r="AM436" s="7"/>
      <c r="AN436" s="7"/>
      <c r="AO436" s="7"/>
      <c r="AP436" s="7"/>
      <c r="AQ436" s="7"/>
      <c r="AR436" s="7"/>
      <c r="AS436" s="7"/>
      <c r="AT436" s="7"/>
      <c r="AU436" s="7"/>
    </row>
    <row r="437" spans="37:47" ht="15.75" customHeight="1">
      <c r="AK437" s="7"/>
      <c r="AL437" s="7"/>
      <c r="AM437" s="7"/>
      <c r="AN437" s="7"/>
      <c r="AO437" s="7"/>
      <c r="AP437" s="7"/>
      <c r="AQ437" s="7"/>
      <c r="AR437" s="7"/>
      <c r="AS437" s="7"/>
      <c r="AT437" s="7"/>
      <c r="AU437" s="7"/>
    </row>
    <row r="438" spans="37:47" ht="15.75" customHeight="1">
      <c r="AK438" s="7"/>
      <c r="AL438" s="7"/>
      <c r="AM438" s="7"/>
      <c r="AN438" s="7"/>
      <c r="AO438" s="7"/>
      <c r="AP438" s="7"/>
      <c r="AQ438" s="7"/>
      <c r="AR438" s="7"/>
      <c r="AS438" s="7"/>
      <c r="AT438" s="7"/>
      <c r="AU438" s="7"/>
    </row>
    <row r="439" spans="37:47" ht="15.75" customHeight="1">
      <c r="AK439" s="7"/>
      <c r="AL439" s="7"/>
      <c r="AM439" s="7"/>
      <c r="AN439" s="7"/>
      <c r="AO439" s="7"/>
      <c r="AP439" s="7"/>
      <c r="AQ439" s="7"/>
      <c r="AR439" s="7"/>
      <c r="AS439" s="7"/>
      <c r="AT439" s="7"/>
      <c r="AU439" s="7"/>
    </row>
    <row r="440" spans="37:47" ht="15.75" customHeight="1">
      <c r="AK440" s="7"/>
      <c r="AL440" s="7"/>
      <c r="AM440" s="7"/>
      <c r="AN440" s="7"/>
      <c r="AO440" s="7"/>
      <c r="AP440" s="7"/>
      <c r="AQ440" s="7"/>
      <c r="AR440" s="7"/>
      <c r="AS440" s="7"/>
      <c r="AT440" s="7"/>
      <c r="AU440" s="7"/>
    </row>
    <row r="441" spans="37:47" ht="15.75" customHeight="1">
      <c r="AK441" s="7"/>
      <c r="AL441" s="7"/>
      <c r="AM441" s="7"/>
      <c r="AN441" s="7"/>
      <c r="AO441" s="7"/>
      <c r="AP441" s="7"/>
      <c r="AQ441" s="7"/>
      <c r="AR441" s="7"/>
      <c r="AS441" s="7"/>
      <c r="AT441" s="7"/>
      <c r="AU441" s="7"/>
    </row>
    <row r="442" spans="37:47" ht="15.75" customHeight="1">
      <c r="AK442" s="7"/>
      <c r="AL442" s="7"/>
      <c r="AM442" s="7"/>
      <c r="AN442" s="7"/>
      <c r="AO442" s="7"/>
      <c r="AP442" s="7"/>
      <c r="AQ442" s="7"/>
      <c r="AR442" s="7"/>
      <c r="AS442" s="7"/>
      <c r="AT442" s="7"/>
      <c r="AU442" s="7"/>
    </row>
    <row r="443" spans="37:47" ht="15.75" customHeight="1">
      <c r="AK443" s="7"/>
      <c r="AL443" s="7"/>
      <c r="AM443" s="7"/>
      <c r="AN443" s="7"/>
      <c r="AO443" s="7"/>
      <c r="AP443" s="7"/>
      <c r="AQ443" s="7"/>
      <c r="AR443" s="7"/>
      <c r="AS443" s="7"/>
      <c r="AT443" s="7"/>
      <c r="AU443" s="7"/>
    </row>
    <row r="444" spans="37:47" ht="15.75" customHeight="1">
      <c r="AK444" s="7"/>
      <c r="AL444" s="7"/>
      <c r="AM444" s="7"/>
      <c r="AN444" s="7"/>
      <c r="AO444" s="7"/>
      <c r="AP444" s="7"/>
      <c r="AQ444" s="7"/>
      <c r="AR444" s="7"/>
      <c r="AS444" s="7"/>
      <c r="AT444" s="7"/>
      <c r="AU444" s="7"/>
    </row>
    <row r="445" spans="37:47" ht="15.75" customHeight="1">
      <c r="AK445" s="7"/>
      <c r="AL445" s="7"/>
      <c r="AM445" s="7"/>
      <c r="AN445" s="7"/>
      <c r="AO445" s="7"/>
      <c r="AP445" s="7"/>
      <c r="AQ445" s="7"/>
      <c r="AR445" s="7"/>
      <c r="AS445" s="7"/>
      <c r="AT445" s="7"/>
      <c r="AU445" s="7"/>
    </row>
    <row r="446" spans="37:47" ht="15.75" customHeight="1">
      <c r="AK446" s="7"/>
      <c r="AL446" s="7"/>
      <c r="AM446" s="7"/>
      <c r="AN446" s="7"/>
      <c r="AO446" s="7"/>
      <c r="AP446" s="7"/>
      <c r="AQ446" s="7"/>
      <c r="AR446" s="7"/>
      <c r="AS446" s="7"/>
      <c r="AT446" s="7"/>
      <c r="AU446" s="7"/>
    </row>
    <row r="447" spans="37:47" ht="15.75" customHeight="1">
      <c r="AK447" s="7"/>
      <c r="AL447" s="7"/>
      <c r="AM447" s="7"/>
      <c r="AN447" s="7"/>
      <c r="AO447" s="7"/>
      <c r="AP447" s="7"/>
      <c r="AQ447" s="7"/>
      <c r="AR447" s="7"/>
      <c r="AS447" s="7"/>
      <c r="AT447" s="7"/>
      <c r="AU447" s="7"/>
    </row>
    <row r="448" spans="37:47" ht="15.75" customHeight="1">
      <c r="AK448" s="7"/>
      <c r="AL448" s="7"/>
      <c r="AM448" s="7"/>
      <c r="AN448" s="7"/>
      <c r="AO448" s="7"/>
      <c r="AP448" s="7"/>
      <c r="AQ448" s="7"/>
      <c r="AR448" s="7"/>
      <c r="AS448" s="7"/>
      <c r="AT448" s="7"/>
      <c r="AU448" s="7"/>
    </row>
    <row r="449" spans="37:47" ht="15.75" customHeight="1">
      <c r="AK449" s="7"/>
      <c r="AL449" s="7"/>
      <c r="AM449" s="7"/>
      <c r="AN449" s="7"/>
      <c r="AO449" s="7"/>
      <c r="AP449" s="7"/>
      <c r="AQ449" s="7"/>
      <c r="AR449" s="7"/>
      <c r="AS449" s="7"/>
      <c r="AT449" s="7"/>
      <c r="AU449" s="7"/>
    </row>
    <row r="450" spans="37:47" ht="15.75" customHeight="1">
      <c r="AK450" s="7"/>
      <c r="AL450" s="7"/>
      <c r="AM450" s="7"/>
      <c r="AN450" s="7"/>
      <c r="AO450" s="7"/>
      <c r="AP450" s="7"/>
      <c r="AQ450" s="7"/>
      <c r="AR450" s="7"/>
      <c r="AS450" s="7"/>
      <c r="AT450" s="7"/>
      <c r="AU450" s="7"/>
    </row>
    <row r="451" spans="37:47" ht="15.75" customHeight="1">
      <c r="AK451" s="7"/>
      <c r="AL451" s="7"/>
      <c r="AM451" s="7"/>
      <c r="AN451" s="7"/>
      <c r="AO451" s="7"/>
      <c r="AP451" s="7"/>
      <c r="AQ451" s="7"/>
      <c r="AR451" s="7"/>
      <c r="AS451" s="7"/>
      <c r="AT451" s="7"/>
      <c r="AU451" s="7"/>
    </row>
    <row r="452" spans="37:47" ht="15.75" customHeight="1">
      <c r="AK452" s="7"/>
      <c r="AL452" s="7"/>
      <c r="AM452" s="7"/>
      <c r="AN452" s="7"/>
      <c r="AO452" s="7"/>
      <c r="AP452" s="7"/>
      <c r="AQ452" s="7"/>
      <c r="AR452" s="7"/>
      <c r="AS452" s="7"/>
      <c r="AT452" s="7"/>
      <c r="AU452" s="7"/>
    </row>
    <row r="454" spans="37:47" ht="15.75" customHeight="1">
      <c r="AK454" s="7"/>
      <c r="AL454" s="7"/>
      <c r="AM454" s="7"/>
      <c r="AN454" s="7"/>
      <c r="AO454" s="7"/>
      <c r="AP454" s="7"/>
      <c r="AQ454" s="7"/>
      <c r="AR454" s="7"/>
      <c r="AS454" s="7"/>
      <c r="AT454" s="7"/>
      <c r="AU454" s="7"/>
    </row>
    <row r="455" spans="37:47" ht="15.75" customHeight="1">
      <c r="AK455" s="7"/>
      <c r="AL455" s="7"/>
      <c r="AM455" s="7"/>
      <c r="AN455" s="7"/>
      <c r="AO455" s="7"/>
      <c r="AP455" s="7"/>
      <c r="AQ455" s="7"/>
      <c r="AR455" s="7"/>
      <c r="AS455" s="7"/>
      <c r="AT455" s="7"/>
      <c r="AU455" s="7"/>
    </row>
    <row r="456" spans="37:47" ht="15.75" customHeight="1">
      <c r="AK456" s="7"/>
      <c r="AL456" s="7"/>
      <c r="AM456" s="7"/>
      <c r="AN456" s="7"/>
      <c r="AO456" s="7"/>
      <c r="AP456" s="7"/>
      <c r="AQ456" s="7"/>
      <c r="AR456" s="7"/>
      <c r="AS456" s="7"/>
      <c r="AT456" s="7"/>
      <c r="AU456" s="7"/>
    </row>
    <row r="457" spans="37:47" ht="15.75" customHeight="1">
      <c r="AK457" s="7"/>
      <c r="AL457" s="7"/>
      <c r="AM457" s="7"/>
      <c r="AN457" s="7"/>
      <c r="AO457" s="7"/>
      <c r="AP457" s="7"/>
      <c r="AQ457" s="7"/>
      <c r="AR457" s="7"/>
      <c r="AS457" s="7"/>
      <c r="AT457" s="7"/>
      <c r="AU457" s="7"/>
    </row>
    <row r="458" spans="37:47" ht="15.75" customHeight="1">
      <c r="AK458" s="7"/>
      <c r="AL458" s="7"/>
      <c r="AM458" s="7"/>
      <c r="AN458" s="7"/>
      <c r="AO458" s="7"/>
      <c r="AP458" s="7"/>
      <c r="AQ458" s="7"/>
      <c r="AR458" s="7"/>
      <c r="AS458" s="7"/>
      <c r="AT458" s="7"/>
      <c r="AU458" s="7"/>
    </row>
    <row r="459" spans="37:47" ht="15.75" customHeight="1">
      <c r="AK459" s="7"/>
      <c r="AL459" s="7"/>
      <c r="AM459" s="7"/>
      <c r="AN459" s="7"/>
      <c r="AO459" s="7"/>
      <c r="AP459" s="7"/>
      <c r="AQ459" s="7"/>
      <c r="AR459" s="7"/>
      <c r="AS459" s="7"/>
      <c r="AT459" s="7"/>
      <c r="AU459" s="7"/>
    </row>
    <row r="460" spans="37:47" ht="15.75" customHeight="1">
      <c r="AK460" s="7"/>
      <c r="AL460" s="7"/>
      <c r="AM460" s="7"/>
      <c r="AN460" s="7"/>
      <c r="AO460" s="7"/>
      <c r="AP460" s="7"/>
      <c r="AQ460" s="7"/>
      <c r="AR460" s="7"/>
      <c r="AS460" s="7"/>
      <c r="AT460" s="7"/>
      <c r="AU460" s="7"/>
    </row>
    <row r="461" spans="37:47" ht="15.75" customHeight="1">
      <c r="AK461" s="7"/>
      <c r="AL461" s="7"/>
      <c r="AM461" s="7"/>
      <c r="AN461" s="7"/>
      <c r="AO461" s="7"/>
      <c r="AP461" s="7"/>
      <c r="AQ461" s="7"/>
      <c r="AR461" s="7"/>
      <c r="AS461" s="7"/>
      <c r="AT461" s="7"/>
      <c r="AU461" s="7"/>
    </row>
    <row r="462" spans="37:47" ht="15.75" customHeight="1">
      <c r="AK462" s="7"/>
      <c r="AL462" s="7"/>
      <c r="AM462" s="7"/>
      <c r="AN462" s="7"/>
      <c r="AO462" s="7"/>
      <c r="AP462" s="7"/>
      <c r="AQ462" s="7"/>
      <c r="AR462" s="7"/>
      <c r="AS462" s="7"/>
      <c r="AT462" s="7"/>
      <c r="AU462" s="7"/>
    </row>
    <row r="492" spans="37:47" ht="15.75" customHeight="1">
      <c r="AK492" s="9"/>
      <c r="AL492" s="9"/>
      <c r="AM492" s="9"/>
      <c r="AN492" s="9"/>
      <c r="AO492" s="9"/>
      <c r="AP492" s="9"/>
      <c r="AQ492" s="9"/>
      <c r="AR492" s="9"/>
      <c r="AS492" s="9"/>
      <c r="AT492" s="9"/>
      <c r="AU492" s="9"/>
    </row>
    <row r="493" spans="37:47" ht="15.75" customHeight="1">
      <c r="AK493" s="9"/>
      <c r="AL493" s="9"/>
      <c r="AM493" s="9"/>
      <c r="AN493" s="9"/>
      <c r="AO493" s="9"/>
      <c r="AP493" s="9"/>
      <c r="AQ493" s="9"/>
      <c r="AR493" s="9"/>
      <c r="AS493" s="9"/>
      <c r="AT493" s="9"/>
      <c r="AU493" s="9"/>
    </row>
    <row r="494" spans="37:47" ht="15.75" customHeight="1">
      <c r="AK494" s="9"/>
      <c r="AL494" s="9"/>
      <c r="AM494" s="9"/>
      <c r="AN494" s="9"/>
      <c r="AO494" s="9"/>
      <c r="AP494" s="9"/>
      <c r="AQ494" s="9"/>
      <c r="AR494" s="9"/>
      <c r="AS494" s="9"/>
      <c r="AT494" s="9"/>
      <c r="AU494" s="9"/>
    </row>
    <row r="495" spans="37:47" ht="15.75" customHeight="1">
      <c r="AK495" s="9"/>
      <c r="AL495" s="9"/>
      <c r="AM495" s="9"/>
      <c r="AN495" s="9"/>
      <c r="AO495" s="9"/>
      <c r="AP495" s="9"/>
      <c r="AQ495" s="9"/>
      <c r="AR495" s="9"/>
      <c r="AS495" s="9"/>
      <c r="AT495" s="9"/>
      <c r="AU495" s="9"/>
    </row>
    <row r="496" spans="37:47" ht="15.75" customHeight="1">
      <c r="AK496" s="9"/>
      <c r="AL496" s="9"/>
      <c r="AM496" s="9"/>
      <c r="AN496" s="9"/>
      <c r="AO496" s="9"/>
      <c r="AP496" s="9"/>
      <c r="AQ496" s="9"/>
      <c r="AR496" s="9"/>
      <c r="AS496" s="9"/>
      <c r="AT496" s="9"/>
      <c r="AU496" s="9"/>
    </row>
    <row r="497" spans="37:47" ht="15.75" customHeight="1">
      <c r="AK497" s="9"/>
      <c r="AL497" s="9"/>
      <c r="AM497" s="9"/>
      <c r="AN497" s="9"/>
      <c r="AO497" s="9"/>
      <c r="AP497" s="9"/>
      <c r="AQ497" s="9"/>
      <c r="AR497" s="9"/>
      <c r="AS497" s="9"/>
      <c r="AT497" s="9"/>
      <c r="AU497" s="9"/>
    </row>
    <row r="498" spans="37:47" ht="15.75" customHeight="1">
      <c r="AK498" s="9"/>
      <c r="AL498" s="9"/>
      <c r="AM498" s="9"/>
      <c r="AN498" s="9"/>
      <c r="AO498" s="9"/>
      <c r="AP498" s="9"/>
      <c r="AQ498" s="9"/>
      <c r="AR498" s="9"/>
      <c r="AS498" s="9"/>
      <c r="AT498" s="9"/>
      <c r="AU498" s="9"/>
    </row>
    <row r="499" spans="37:47" ht="15.75" customHeight="1">
      <c r="AK499" s="9"/>
      <c r="AL499" s="9"/>
      <c r="AM499" s="9"/>
      <c r="AN499" s="9"/>
      <c r="AO499" s="9"/>
      <c r="AP499" s="9"/>
      <c r="AQ499" s="9"/>
      <c r="AR499" s="9"/>
      <c r="AS499" s="9"/>
      <c r="AT499" s="9"/>
      <c r="AU499" s="9"/>
    </row>
    <row r="500" spans="37:47" ht="15.75" customHeight="1">
      <c r="AK500" s="9"/>
      <c r="AL500" s="9"/>
      <c r="AM500" s="9"/>
      <c r="AN500" s="9"/>
      <c r="AO500" s="9"/>
      <c r="AP500" s="9"/>
      <c r="AQ500" s="9"/>
      <c r="AR500" s="9"/>
      <c r="AS500" s="9"/>
      <c r="AT500" s="9"/>
      <c r="AU500" s="9"/>
    </row>
    <row r="501" spans="37:47" ht="15.75" customHeight="1">
      <c r="AK501" s="9"/>
      <c r="AL501" s="9"/>
      <c r="AM501" s="9"/>
      <c r="AN501" s="9"/>
      <c r="AO501" s="9"/>
      <c r="AP501" s="9"/>
      <c r="AQ501" s="9"/>
      <c r="AR501" s="9"/>
      <c r="AS501" s="9"/>
      <c r="AT501" s="9"/>
      <c r="AU501" s="9"/>
    </row>
    <row r="502" spans="37:47" ht="15.75" customHeight="1">
      <c r="AK502" s="9"/>
      <c r="AL502" s="9"/>
      <c r="AM502" s="9"/>
      <c r="AN502" s="9"/>
      <c r="AO502" s="9"/>
      <c r="AP502" s="9"/>
      <c r="AQ502" s="9"/>
      <c r="AR502" s="9"/>
      <c r="AS502" s="9"/>
      <c r="AT502" s="9"/>
      <c r="AU502" s="9"/>
    </row>
    <row r="503" spans="37:47" ht="15.75" customHeight="1">
      <c r="AK503" s="9"/>
      <c r="AL503" s="9"/>
      <c r="AM503" s="9"/>
      <c r="AN503" s="9"/>
      <c r="AO503" s="9"/>
      <c r="AP503" s="9"/>
      <c r="AQ503" s="9"/>
      <c r="AR503" s="9"/>
      <c r="AS503" s="9"/>
      <c r="AT503" s="9"/>
      <c r="AU503" s="9"/>
    </row>
    <row r="504" spans="37:47" ht="15.75" customHeight="1">
      <c r="AK504" s="9"/>
      <c r="AL504" s="9"/>
      <c r="AM504" s="9"/>
      <c r="AN504" s="9"/>
      <c r="AO504" s="9"/>
      <c r="AP504" s="9"/>
      <c r="AQ504" s="9"/>
      <c r="AR504" s="9"/>
      <c r="AS504" s="9"/>
      <c r="AT504" s="9"/>
      <c r="AU504" s="9"/>
    </row>
    <row r="505" spans="37:47" ht="15.75" customHeight="1">
      <c r="AK505" s="9"/>
      <c r="AL505" s="9"/>
      <c r="AM505" s="9"/>
      <c r="AN505" s="9"/>
      <c r="AO505" s="9"/>
      <c r="AP505" s="9"/>
      <c r="AQ505" s="9"/>
      <c r="AR505" s="9"/>
      <c r="AS505" s="9"/>
      <c r="AT505" s="9"/>
      <c r="AU505" s="9"/>
    </row>
    <row r="506" spans="37:47" ht="15.75" customHeight="1">
      <c r="AK506" s="9"/>
      <c r="AL506" s="9"/>
      <c r="AM506" s="9"/>
      <c r="AN506" s="9"/>
      <c r="AO506" s="9"/>
      <c r="AP506" s="9"/>
      <c r="AQ506" s="9"/>
      <c r="AR506" s="9"/>
      <c r="AS506" s="9"/>
      <c r="AT506" s="9"/>
      <c r="AU506" s="9"/>
    </row>
    <row r="507" spans="37:47" ht="15.75" customHeight="1">
      <c r="AK507" s="9"/>
      <c r="AL507" s="9"/>
      <c r="AM507" s="9"/>
      <c r="AN507" s="9"/>
      <c r="AO507" s="9"/>
      <c r="AP507" s="9"/>
      <c r="AQ507" s="9"/>
      <c r="AR507" s="9"/>
      <c r="AS507" s="9"/>
      <c r="AT507" s="9"/>
      <c r="AU507" s="9"/>
    </row>
    <row r="508" spans="37:47" ht="15.75" customHeight="1">
      <c r="AK508" s="9"/>
      <c r="AL508" s="9"/>
      <c r="AM508" s="9"/>
      <c r="AN508" s="9"/>
      <c r="AO508" s="9"/>
      <c r="AP508" s="9"/>
      <c r="AQ508" s="9"/>
      <c r="AR508" s="9"/>
      <c r="AS508" s="9"/>
      <c r="AT508" s="9"/>
      <c r="AU508" s="9"/>
    </row>
    <row r="509" spans="37:47" ht="15.75" customHeight="1">
      <c r="AK509" s="9"/>
      <c r="AL509" s="9"/>
      <c r="AM509" s="9"/>
      <c r="AN509" s="9"/>
      <c r="AO509" s="9"/>
      <c r="AP509" s="9"/>
      <c r="AQ509" s="9"/>
      <c r="AR509" s="9"/>
      <c r="AS509" s="9"/>
      <c r="AT509" s="9"/>
      <c r="AU509" s="9"/>
    </row>
    <row r="510" spans="37:47" ht="15.75" customHeight="1">
      <c r="AK510" s="9"/>
      <c r="AL510" s="9"/>
      <c r="AM510" s="9"/>
      <c r="AN510" s="9"/>
      <c r="AO510" s="9"/>
      <c r="AP510" s="9"/>
      <c r="AQ510" s="9"/>
      <c r="AR510" s="9"/>
      <c r="AS510" s="9"/>
      <c r="AT510" s="9"/>
      <c r="AU510" s="9"/>
    </row>
    <row r="511" spans="37:47" ht="15.75" customHeight="1">
      <c r="AK511" s="9"/>
      <c r="AL511" s="9"/>
      <c r="AM511" s="9"/>
      <c r="AN511" s="9"/>
      <c r="AO511" s="9"/>
      <c r="AP511" s="9"/>
      <c r="AQ511" s="9"/>
      <c r="AR511" s="9"/>
      <c r="AS511" s="9"/>
      <c r="AT511" s="9"/>
      <c r="AU511" s="9"/>
    </row>
    <row r="512" spans="37:47" ht="15.75" customHeight="1">
      <c r="AK512" s="9"/>
      <c r="AL512" s="9"/>
      <c r="AM512" s="9"/>
      <c r="AN512" s="9"/>
      <c r="AO512" s="9"/>
      <c r="AP512" s="9"/>
      <c r="AQ512" s="9"/>
      <c r="AR512" s="9"/>
      <c r="AS512" s="9"/>
      <c r="AT512" s="9"/>
      <c r="AU512" s="9"/>
    </row>
    <row r="513" spans="37:47" ht="15.75" customHeight="1">
      <c r="AK513" s="9"/>
      <c r="AL513" s="9"/>
      <c r="AM513" s="9"/>
      <c r="AN513" s="9"/>
      <c r="AO513" s="9"/>
      <c r="AP513" s="9"/>
      <c r="AQ513" s="9"/>
      <c r="AR513" s="9"/>
      <c r="AS513" s="9"/>
      <c r="AT513" s="9"/>
      <c r="AU513" s="9"/>
    </row>
    <row r="514" spans="37:47" ht="15.75" customHeight="1">
      <c r="AK514" s="9"/>
      <c r="AL514" s="9"/>
      <c r="AM514" s="9"/>
      <c r="AN514" s="9"/>
      <c r="AO514" s="9"/>
      <c r="AP514" s="9"/>
      <c r="AQ514" s="9"/>
      <c r="AR514" s="9"/>
      <c r="AS514" s="9"/>
      <c r="AT514" s="9"/>
      <c r="AU514" s="9"/>
    </row>
    <row r="515" spans="37:47" ht="15.75" customHeight="1">
      <c r="AK515" s="9"/>
      <c r="AL515" s="9"/>
      <c r="AM515" s="9"/>
      <c r="AN515" s="9"/>
      <c r="AO515" s="9"/>
      <c r="AP515" s="9"/>
      <c r="AQ515" s="9"/>
      <c r="AR515" s="9"/>
      <c r="AS515" s="9"/>
      <c r="AT515" s="9"/>
      <c r="AU515" s="9"/>
    </row>
    <row r="516" spans="37:47" ht="15.75" customHeight="1">
      <c r="AK516" s="9"/>
      <c r="AL516" s="9"/>
      <c r="AM516" s="9"/>
      <c r="AN516" s="9"/>
      <c r="AO516" s="9"/>
      <c r="AP516" s="9"/>
      <c r="AQ516" s="9"/>
      <c r="AR516" s="9"/>
      <c r="AS516" s="9"/>
      <c r="AT516" s="9"/>
      <c r="AU516" s="9"/>
    </row>
    <row r="517" spans="37:47" ht="15.75" customHeight="1">
      <c r="AK517" s="9"/>
      <c r="AL517" s="9"/>
      <c r="AM517" s="9"/>
      <c r="AN517" s="9"/>
      <c r="AO517" s="9"/>
      <c r="AP517" s="9"/>
      <c r="AQ517" s="9"/>
      <c r="AR517" s="9"/>
      <c r="AS517" s="9"/>
      <c r="AT517" s="9"/>
      <c r="AU517" s="9"/>
    </row>
    <row r="518" spans="37:47" ht="15.75" customHeight="1">
      <c r="AK518" s="9"/>
      <c r="AL518" s="9"/>
      <c r="AM518" s="9"/>
      <c r="AN518" s="9"/>
      <c r="AO518" s="9"/>
      <c r="AP518" s="9"/>
      <c r="AQ518" s="9"/>
      <c r="AR518" s="9"/>
      <c r="AS518" s="9"/>
      <c r="AT518" s="9"/>
      <c r="AU518" s="9"/>
    </row>
    <row r="519" spans="37:47" ht="15.75" customHeight="1">
      <c r="AK519" s="9"/>
      <c r="AL519" s="9"/>
      <c r="AM519" s="9"/>
      <c r="AN519" s="9"/>
      <c r="AO519" s="9"/>
      <c r="AP519" s="9"/>
      <c r="AQ519" s="9"/>
      <c r="AR519" s="9"/>
      <c r="AS519" s="9"/>
      <c r="AT519" s="9"/>
      <c r="AU519" s="9"/>
    </row>
    <row r="520" spans="37:47" ht="15.75" customHeight="1">
      <c r="AK520" s="9"/>
      <c r="AL520" s="9"/>
      <c r="AM520" s="9"/>
      <c r="AN520" s="9"/>
      <c r="AO520" s="9"/>
      <c r="AP520" s="9"/>
      <c r="AQ520" s="9"/>
      <c r="AR520" s="9"/>
      <c r="AS520" s="9"/>
      <c r="AT520" s="9"/>
      <c r="AU520" s="9"/>
    </row>
    <row r="521" spans="37:47" ht="15.75" customHeight="1">
      <c r="AK521" s="9"/>
      <c r="AL521" s="9"/>
      <c r="AM521" s="9"/>
      <c r="AN521" s="9"/>
      <c r="AO521" s="9"/>
      <c r="AP521" s="9"/>
      <c r="AQ521" s="9"/>
      <c r="AR521" s="9"/>
      <c r="AS521" s="9"/>
      <c r="AT521" s="9"/>
      <c r="AU521" s="9"/>
    </row>
    <row r="522" spans="37:47" ht="15.75" customHeight="1">
      <c r="AK522" s="9"/>
      <c r="AL522" s="9"/>
      <c r="AM522" s="9"/>
      <c r="AN522" s="9"/>
      <c r="AO522" s="9"/>
      <c r="AP522" s="9"/>
      <c r="AQ522" s="9"/>
      <c r="AR522" s="9"/>
      <c r="AS522" s="9"/>
      <c r="AT522" s="9"/>
      <c r="AU522" s="9"/>
    </row>
    <row r="523" spans="37:47" ht="15.75" customHeight="1">
      <c r="AK523" s="9"/>
      <c r="AL523" s="9"/>
      <c r="AM523" s="9"/>
      <c r="AN523" s="9"/>
      <c r="AO523" s="9"/>
      <c r="AP523" s="9"/>
      <c r="AQ523" s="9"/>
      <c r="AR523" s="9"/>
      <c r="AS523" s="9"/>
      <c r="AT523" s="9"/>
      <c r="AU523" s="9"/>
    </row>
    <row r="524" spans="37:47" ht="15.75" customHeight="1">
      <c r="AK524" s="9"/>
      <c r="AL524" s="9"/>
      <c r="AM524" s="9"/>
      <c r="AN524" s="9"/>
      <c r="AO524" s="9"/>
      <c r="AP524" s="9"/>
      <c r="AQ524" s="9"/>
      <c r="AR524" s="9"/>
      <c r="AS524" s="9"/>
      <c r="AT524" s="9"/>
      <c r="AU524" s="9"/>
    </row>
    <row r="527" spans="37:47" ht="15.75" customHeight="1">
      <c r="AK527" s="9"/>
      <c r="AL527" s="9"/>
      <c r="AM527" s="9"/>
      <c r="AN527" s="9"/>
      <c r="AO527" s="9"/>
      <c r="AP527" s="9"/>
      <c r="AQ527" s="9"/>
      <c r="AR527" s="9"/>
      <c r="AS527" s="9"/>
      <c r="AT527" s="9"/>
      <c r="AU527" s="9"/>
    </row>
    <row r="528" spans="37:47" ht="15.75" customHeight="1">
      <c r="AK528" s="9"/>
      <c r="AL528" s="9"/>
      <c r="AM528" s="9"/>
      <c r="AN528" s="9"/>
      <c r="AO528" s="9"/>
      <c r="AP528" s="9"/>
      <c r="AQ528" s="9"/>
      <c r="AR528" s="9"/>
      <c r="AS528" s="9"/>
      <c r="AT528" s="9"/>
      <c r="AU528" s="9"/>
    </row>
    <row r="529" spans="37:47" ht="15.75" customHeight="1">
      <c r="AK529" s="9"/>
      <c r="AL529" s="9"/>
      <c r="AM529" s="9"/>
      <c r="AN529" s="9"/>
      <c r="AO529" s="9"/>
      <c r="AP529" s="9"/>
      <c r="AQ529" s="9"/>
      <c r="AR529" s="9"/>
      <c r="AS529" s="9"/>
      <c r="AT529" s="9"/>
      <c r="AU529" s="9"/>
    </row>
    <row r="530" spans="37:47" ht="15.75" customHeight="1">
      <c r="AK530" s="9"/>
      <c r="AL530" s="9"/>
      <c r="AM530" s="9"/>
      <c r="AN530" s="9"/>
      <c r="AO530" s="9"/>
      <c r="AP530" s="9"/>
      <c r="AQ530" s="9"/>
      <c r="AR530" s="9"/>
      <c r="AS530" s="9"/>
      <c r="AT530" s="9"/>
      <c r="AU530" s="9"/>
    </row>
    <row r="531" spans="37:47" ht="15.75" customHeight="1">
      <c r="AK531" s="9"/>
      <c r="AL531" s="9"/>
      <c r="AM531" s="9"/>
      <c r="AN531" s="9"/>
      <c r="AO531" s="9"/>
      <c r="AP531" s="9"/>
      <c r="AQ531" s="9"/>
      <c r="AR531" s="9"/>
      <c r="AS531" s="9"/>
      <c r="AT531" s="9"/>
      <c r="AU531" s="9"/>
    </row>
    <row r="532" spans="37:47" ht="15.75" customHeight="1">
      <c r="AK532" s="9"/>
      <c r="AL532" s="9"/>
      <c r="AM532" s="9"/>
      <c r="AN532" s="9"/>
      <c r="AO532" s="9"/>
      <c r="AP532" s="9"/>
      <c r="AQ532" s="9"/>
      <c r="AR532" s="9"/>
      <c r="AS532" s="9"/>
      <c r="AT532" s="9"/>
      <c r="AU532" s="9"/>
    </row>
    <row r="533" spans="37:47" ht="15.75" customHeight="1">
      <c r="AK533" s="9"/>
      <c r="AL533" s="9"/>
      <c r="AM533" s="9"/>
      <c r="AN533" s="9"/>
      <c r="AO533" s="9"/>
      <c r="AP533" s="9"/>
      <c r="AQ533" s="9"/>
      <c r="AR533" s="9"/>
      <c r="AS533" s="9"/>
      <c r="AT533" s="9"/>
      <c r="AU533" s="9"/>
    </row>
    <row r="534" spans="37:47" ht="15.75" customHeight="1">
      <c r="AK534" s="9"/>
      <c r="AL534" s="9"/>
      <c r="AM534" s="9"/>
      <c r="AN534" s="9"/>
      <c r="AO534" s="9"/>
      <c r="AP534" s="9"/>
      <c r="AQ534" s="9"/>
      <c r="AR534" s="9"/>
      <c r="AS534" s="9"/>
      <c r="AT534" s="9"/>
      <c r="AU534" s="9"/>
    </row>
    <row r="535" spans="37:47" ht="15.75" customHeight="1">
      <c r="AK535" s="9"/>
      <c r="AL535" s="9"/>
      <c r="AM535" s="9"/>
      <c r="AN535" s="9"/>
      <c r="AO535" s="9"/>
      <c r="AP535" s="9"/>
      <c r="AQ535" s="9"/>
      <c r="AR535" s="9"/>
      <c r="AS535" s="9"/>
      <c r="AT535" s="9"/>
      <c r="AU535" s="9"/>
    </row>
    <row r="536" spans="37:47" ht="15.75" customHeight="1">
      <c r="AK536" s="9"/>
      <c r="AL536" s="9"/>
      <c r="AM536" s="9"/>
      <c r="AN536" s="9"/>
      <c r="AO536" s="9"/>
      <c r="AP536" s="9"/>
      <c r="AQ536" s="9"/>
      <c r="AR536" s="9"/>
      <c r="AS536" s="9"/>
      <c r="AT536" s="9"/>
      <c r="AU536" s="9"/>
    </row>
    <row r="537" spans="37:47" ht="15.75" customHeight="1">
      <c r="AK537" s="9"/>
      <c r="AL537" s="9"/>
      <c r="AM537" s="9"/>
      <c r="AN537" s="9"/>
      <c r="AO537" s="9"/>
      <c r="AP537" s="9"/>
      <c r="AQ537" s="9"/>
      <c r="AR537" s="9"/>
      <c r="AS537" s="9"/>
      <c r="AT537" s="9"/>
      <c r="AU537" s="9"/>
    </row>
    <row r="538" spans="37:47" ht="15.75" customHeight="1">
      <c r="AK538" s="9"/>
      <c r="AL538" s="9"/>
      <c r="AM538" s="9"/>
      <c r="AN538" s="9"/>
      <c r="AO538" s="9"/>
      <c r="AP538" s="9"/>
      <c r="AQ538" s="9"/>
      <c r="AR538" s="9"/>
      <c r="AS538" s="9"/>
      <c r="AT538" s="9"/>
      <c r="AU538" s="9"/>
    </row>
    <row r="539" spans="37:47" ht="15.75" customHeight="1">
      <c r="AK539" s="9"/>
      <c r="AL539" s="9"/>
      <c r="AM539" s="9"/>
      <c r="AN539" s="9"/>
      <c r="AO539" s="9"/>
      <c r="AP539" s="9"/>
      <c r="AQ539" s="9"/>
      <c r="AR539" s="9"/>
      <c r="AS539" s="9"/>
      <c r="AT539" s="9"/>
      <c r="AU539" s="9"/>
    </row>
    <row r="540" spans="37:47" ht="15.75" customHeight="1">
      <c r="AK540" s="9"/>
      <c r="AL540" s="9"/>
      <c r="AM540" s="9"/>
      <c r="AN540" s="9"/>
      <c r="AO540" s="9"/>
      <c r="AP540" s="9"/>
      <c r="AQ540" s="9"/>
      <c r="AR540" s="9"/>
      <c r="AS540" s="9"/>
      <c r="AT540" s="9"/>
      <c r="AU540" s="9"/>
    </row>
    <row r="541" spans="37:47" ht="15.75" customHeight="1">
      <c r="AK541" s="9"/>
      <c r="AL541" s="9"/>
      <c r="AM541" s="9"/>
      <c r="AN541" s="9"/>
      <c r="AO541" s="9"/>
      <c r="AP541" s="9"/>
      <c r="AQ541" s="9"/>
      <c r="AR541" s="9"/>
      <c r="AS541" s="9"/>
      <c r="AT541" s="9"/>
      <c r="AU541" s="9"/>
    </row>
    <row r="542" spans="37:47" ht="15.75" customHeight="1">
      <c r="AK542" s="9"/>
      <c r="AL542" s="9"/>
      <c r="AM542" s="9"/>
      <c r="AN542" s="9"/>
      <c r="AO542" s="9"/>
      <c r="AP542" s="9"/>
      <c r="AQ542" s="9"/>
      <c r="AR542" s="9"/>
      <c r="AS542" s="9"/>
      <c r="AT542" s="9"/>
      <c r="AU542" s="9"/>
    </row>
    <row r="543" spans="37:47" ht="15.75" customHeight="1">
      <c r="AK543" s="9"/>
      <c r="AL543" s="9"/>
      <c r="AM543" s="9"/>
      <c r="AN543" s="9"/>
      <c r="AO543" s="9"/>
      <c r="AP543" s="9"/>
      <c r="AQ543" s="9"/>
      <c r="AR543" s="9"/>
      <c r="AS543" s="9"/>
      <c r="AT543" s="9"/>
      <c r="AU543" s="9"/>
    </row>
    <row r="544" spans="37:47" ht="15.75" customHeight="1">
      <c r="AK544" s="9"/>
      <c r="AL544" s="9"/>
      <c r="AM544" s="9"/>
      <c r="AN544" s="9"/>
      <c r="AO544" s="9"/>
      <c r="AP544" s="9"/>
      <c r="AQ544" s="9"/>
      <c r="AR544" s="9"/>
      <c r="AS544" s="9"/>
      <c r="AT544" s="9"/>
      <c r="AU544" s="9"/>
    </row>
    <row r="545" spans="37:47" ht="15.75" customHeight="1">
      <c r="AK545" s="9"/>
      <c r="AL545" s="9"/>
      <c r="AM545" s="9"/>
      <c r="AN545" s="9"/>
      <c r="AO545" s="9"/>
      <c r="AP545" s="9"/>
      <c r="AQ545" s="9"/>
      <c r="AR545" s="9"/>
      <c r="AS545" s="9"/>
      <c r="AT545" s="9"/>
      <c r="AU545" s="9"/>
    </row>
    <row r="546" spans="37:47" ht="15.75" customHeight="1">
      <c r="AK546" s="9"/>
      <c r="AL546" s="9"/>
      <c r="AM546" s="9"/>
      <c r="AN546" s="9"/>
      <c r="AO546" s="9"/>
      <c r="AP546" s="9"/>
      <c r="AQ546" s="9"/>
      <c r="AR546" s="9"/>
      <c r="AS546" s="9"/>
      <c r="AT546" s="9"/>
      <c r="AU546" s="9"/>
    </row>
    <row r="547" spans="37:47" ht="15.75" customHeight="1">
      <c r="AK547" s="9"/>
      <c r="AL547" s="9"/>
      <c r="AM547" s="9"/>
      <c r="AN547" s="9"/>
      <c r="AO547" s="9"/>
      <c r="AP547" s="9"/>
      <c r="AQ547" s="9"/>
      <c r="AR547" s="9"/>
      <c r="AS547" s="9"/>
      <c r="AT547" s="9"/>
      <c r="AU547" s="9"/>
    </row>
    <row r="548" spans="37:47" ht="15.75" customHeight="1">
      <c r="AK548" s="9"/>
      <c r="AL548" s="9"/>
      <c r="AM548" s="9"/>
      <c r="AN548" s="9"/>
      <c r="AO548" s="9"/>
      <c r="AP548" s="9"/>
      <c r="AQ548" s="9"/>
      <c r="AR548" s="9"/>
      <c r="AS548" s="9"/>
      <c r="AT548" s="9"/>
      <c r="AU548" s="9"/>
    </row>
    <row r="549" spans="37:47" ht="15.75" customHeight="1">
      <c r="AK549" s="9"/>
      <c r="AL549" s="9"/>
      <c r="AM549" s="9"/>
      <c r="AN549" s="9"/>
      <c r="AO549" s="9"/>
      <c r="AP549" s="9"/>
      <c r="AQ549" s="9"/>
      <c r="AR549" s="9"/>
      <c r="AS549" s="9"/>
      <c r="AT549" s="9"/>
      <c r="AU549" s="9"/>
    </row>
    <row r="550" spans="37:47" ht="15.75" customHeight="1">
      <c r="AK550" s="9"/>
      <c r="AL550" s="9"/>
      <c r="AM550" s="9"/>
      <c r="AN550" s="9"/>
      <c r="AO550" s="9"/>
      <c r="AP550" s="9"/>
      <c r="AQ550" s="9"/>
      <c r="AR550" s="9"/>
      <c r="AS550" s="9"/>
      <c r="AT550" s="9"/>
      <c r="AU550" s="9"/>
    </row>
    <row r="551" spans="37:47" ht="15.75" customHeight="1">
      <c r="AK551" s="9"/>
      <c r="AL551" s="9"/>
      <c r="AM551" s="9"/>
      <c r="AN551" s="9"/>
      <c r="AO551" s="9"/>
      <c r="AP551" s="9"/>
      <c r="AQ551" s="9"/>
      <c r="AR551" s="9"/>
      <c r="AS551" s="9"/>
      <c r="AT551" s="9"/>
      <c r="AU551" s="9"/>
    </row>
    <row r="552" spans="37:47" ht="15.75" customHeight="1">
      <c r="AK552" s="9"/>
      <c r="AL552" s="9"/>
      <c r="AM552" s="9"/>
      <c r="AN552" s="9"/>
      <c r="AO552" s="9"/>
      <c r="AP552" s="9"/>
      <c r="AQ552" s="9"/>
      <c r="AR552" s="9"/>
      <c r="AS552" s="9"/>
      <c r="AT552" s="9"/>
      <c r="AU552" s="9"/>
    </row>
    <row r="553" spans="37:47" ht="15.75" customHeight="1">
      <c r="AK553" s="9"/>
      <c r="AL553" s="9"/>
      <c r="AM553" s="9"/>
      <c r="AN553" s="9"/>
      <c r="AO553" s="9"/>
      <c r="AP553" s="9"/>
      <c r="AQ553" s="9"/>
      <c r="AR553" s="9"/>
      <c r="AS553" s="9"/>
      <c r="AT553" s="9"/>
      <c r="AU553" s="9"/>
    </row>
    <row r="554" spans="37:47" ht="15.75" customHeight="1">
      <c r="AK554" s="9"/>
      <c r="AL554" s="9"/>
      <c r="AM554" s="9"/>
      <c r="AN554" s="9"/>
      <c r="AO554" s="9"/>
      <c r="AP554" s="9"/>
      <c r="AQ554" s="9"/>
      <c r="AR554" s="9"/>
      <c r="AS554" s="9"/>
      <c r="AT554" s="9"/>
      <c r="AU554" s="9"/>
    </row>
    <row r="555" spans="37:47" ht="15.75" customHeight="1">
      <c r="AK555" s="9"/>
      <c r="AL555" s="9"/>
      <c r="AM555" s="9"/>
      <c r="AN555" s="9"/>
      <c r="AO555" s="9"/>
      <c r="AP555" s="9"/>
      <c r="AQ555" s="9"/>
      <c r="AR555" s="9"/>
      <c r="AS555" s="9"/>
      <c r="AT555" s="9"/>
      <c r="AU555" s="9"/>
    </row>
    <row r="556" spans="37:47" ht="15.75" customHeight="1">
      <c r="AK556" s="9"/>
      <c r="AL556" s="9"/>
      <c r="AM556" s="9"/>
      <c r="AN556" s="9"/>
      <c r="AO556" s="9"/>
      <c r="AP556" s="9"/>
      <c r="AQ556" s="9"/>
      <c r="AR556" s="9"/>
      <c r="AS556" s="9"/>
      <c r="AT556" s="9"/>
      <c r="AU556" s="9"/>
    </row>
    <row r="557" spans="37:47" ht="15.75" customHeight="1">
      <c r="AK557" s="9"/>
      <c r="AL557" s="9"/>
      <c r="AM557" s="9"/>
      <c r="AN557" s="9"/>
      <c r="AO557" s="9"/>
      <c r="AP557" s="9"/>
      <c r="AQ557" s="9"/>
      <c r="AR557" s="9"/>
      <c r="AS557" s="9"/>
      <c r="AT557" s="9"/>
      <c r="AU557" s="9"/>
    </row>
    <row r="558" spans="37:47" ht="15.75" customHeight="1">
      <c r="AK558" s="9"/>
      <c r="AL558" s="9"/>
      <c r="AM558" s="9"/>
      <c r="AN558" s="9"/>
      <c r="AO558" s="9"/>
      <c r="AP558" s="9"/>
      <c r="AQ558" s="9"/>
      <c r="AR558" s="9"/>
      <c r="AS558" s="9"/>
      <c r="AT558" s="9"/>
      <c r="AU558" s="9"/>
    </row>
    <row r="559" spans="37:47" ht="15.75" customHeight="1">
      <c r="AK559" s="9"/>
      <c r="AL559" s="9"/>
      <c r="AM559" s="9"/>
      <c r="AN559" s="9"/>
      <c r="AO559" s="9"/>
      <c r="AP559" s="9"/>
      <c r="AQ559" s="9"/>
      <c r="AR559" s="9"/>
      <c r="AS559" s="9"/>
      <c r="AT559" s="9"/>
      <c r="AU559" s="9"/>
    </row>
    <row r="560" spans="37:47" ht="15.75" customHeight="1">
      <c r="AK560" s="9"/>
      <c r="AL560" s="9"/>
      <c r="AM560" s="9"/>
      <c r="AN560" s="9"/>
      <c r="AO560" s="9"/>
      <c r="AP560" s="9"/>
      <c r="AQ560" s="9"/>
      <c r="AR560" s="9"/>
      <c r="AS560" s="9"/>
      <c r="AT560" s="9"/>
      <c r="AU560" s="9"/>
    </row>
    <row r="561" spans="37:47" ht="15.75" customHeight="1">
      <c r="AK561" s="9"/>
      <c r="AL561" s="9"/>
      <c r="AM561" s="9"/>
      <c r="AN561" s="9"/>
      <c r="AO561" s="9"/>
      <c r="AP561" s="9"/>
      <c r="AQ561" s="9"/>
      <c r="AR561" s="9"/>
      <c r="AS561" s="9"/>
      <c r="AT561" s="9"/>
      <c r="AU561" s="9"/>
    </row>
    <row r="562" spans="37:47" ht="15.75" customHeight="1">
      <c r="AK562" s="9"/>
      <c r="AL562" s="9"/>
      <c r="AM562" s="9"/>
      <c r="AN562" s="9"/>
      <c r="AO562" s="9"/>
      <c r="AP562" s="9"/>
      <c r="AQ562" s="9"/>
      <c r="AR562" s="9"/>
      <c r="AS562" s="9"/>
      <c r="AT562" s="9"/>
      <c r="AU562" s="9"/>
    </row>
    <row r="563" spans="37:47" ht="15.75" customHeight="1">
      <c r="AK563" s="9"/>
      <c r="AL563" s="9"/>
      <c r="AM563" s="9"/>
      <c r="AN563" s="9"/>
      <c r="AO563" s="9"/>
      <c r="AP563" s="9"/>
      <c r="AQ563" s="9"/>
      <c r="AR563" s="9"/>
      <c r="AS563" s="9"/>
      <c r="AT563" s="9"/>
      <c r="AU563" s="9"/>
    </row>
    <row r="564" spans="37:47" ht="15.75" customHeight="1">
      <c r="AK564" s="9"/>
      <c r="AL564" s="9"/>
      <c r="AM564" s="9"/>
      <c r="AN564" s="9"/>
      <c r="AO564" s="9"/>
      <c r="AP564" s="9"/>
      <c r="AQ564" s="9"/>
      <c r="AR564" s="9"/>
      <c r="AS564" s="9"/>
      <c r="AT564" s="9"/>
      <c r="AU564" s="9"/>
    </row>
    <row r="565" spans="37:47" ht="15.75" customHeight="1">
      <c r="AK565" s="9"/>
      <c r="AL565" s="9"/>
      <c r="AM565" s="9"/>
      <c r="AN565" s="9"/>
      <c r="AO565" s="9"/>
      <c r="AP565" s="9"/>
      <c r="AQ565" s="9"/>
      <c r="AR565" s="9"/>
      <c r="AS565" s="9"/>
      <c r="AT565" s="9"/>
      <c r="AU565" s="9"/>
    </row>
    <row r="566" spans="37:47" ht="15.75" customHeight="1">
      <c r="AK566" s="9"/>
      <c r="AL566" s="9"/>
      <c r="AM566" s="9"/>
      <c r="AN566" s="9"/>
      <c r="AO566" s="9"/>
      <c r="AP566" s="9"/>
      <c r="AQ566" s="9"/>
      <c r="AR566" s="9"/>
      <c r="AS566" s="9"/>
      <c r="AT566" s="9"/>
      <c r="AU566" s="9"/>
    </row>
    <row r="567" spans="37:47" ht="15.75" customHeight="1">
      <c r="AK567" s="9"/>
      <c r="AL567" s="9"/>
      <c r="AM567" s="9"/>
      <c r="AN567" s="9"/>
      <c r="AO567" s="9"/>
      <c r="AP567" s="9"/>
      <c r="AQ567" s="9"/>
      <c r="AR567" s="9"/>
      <c r="AS567" s="9"/>
      <c r="AT567" s="9"/>
      <c r="AU567" s="9"/>
    </row>
    <row r="568" spans="37:47" ht="15.75" customHeight="1">
      <c r="AK568" s="9"/>
      <c r="AL568" s="9"/>
      <c r="AM568" s="9"/>
      <c r="AN568" s="9"/>
      <c r="AO568" s="9"/>
      <c r="AP568" s="9"/>
      <c r="AQ568" s="9"/>
      <c r="AR568" s="9"/>
      <c r="AS568" s="9"/>
      <c r="AT568" s="9"/>
      <c r="AU568" s="9"/>
    </row>
    <row r="569" spans="37:47" ht="15.75" customHeight="1">
      <c r="AK569" s="9"/>
      <c r="AL569" s="9"/>
      <c r="AM569" s="9"/>
      <c r="AN569" s="9"/>
      <c r="AO569" s="9"/>
      <c r="AP569" s="9"/>
      <c r="AQ569" s="9"/>
      <c r="AR569" s="9"/>
      <c r="AS569" s="9"/>
      <c r="AT569" s="9"/>
      <c r="AU569" s="9"/>
    </row>
    <row r="570" spans="37:47" ht="15.75" customHeight="1">
      <c r="AK570" s="9"/>
      <c r="AL570" s="9"/>
      <c r="AM570" s="9"/>
      <c r="AN570" s="9"/>
      <c r="AO570" s="9"/>
      <c r="AP570" s="9"/>
      <c r="AQ570" s="9"/>
      <c r="AR570" s="9"/>
      <c r="AS570" s="9"/>
      <c r="AT570" s="9"/>
      <c r="AU570" s="9"/>
    </row>
    <row r="571" spans="37:47" ht="15.75" customHeight="1">
      <c r="AK571" s="9"/>
      <c r="AL571" s="9"/>
      <c r="AM571" s="9"/>
      <c r="AN571" s="9"/>
      <c r="AO571" s="9"/>
      <c r="AP571" s="9"/>
      <c r="AQ571" s="9"/>
      <c r="AR571" s="9"/>
      <c r="AS571" s="9"/>
      <c r="AT571" s="9"/>
      <c r="AU571" s="9"/>
    </row>
    <row r="572" spans="37:47" ht="15.75" customHeight="1">
      <c r="AK572" s="9"/>
      <c r="AL572" s="9"/>
      <c r="AM572" s="9"/>
      <c r="AN572" s="9"/>
      <c r="AO572" s="9"/>
      <c r="AP572" s="9"/>
      <c r="AQ572" s="9"/>
      <c r="AR572" s="9"/>
      <c r="AS572" s="9"/>
      <c r="AT572" s="9"/>
      <c r="AU572" s="9"/>
    </row>
    <row r="573" spans="37:47" ht="15.75" customHeight="1">
      <c r="AK573" s="9"/>
      <c r="AL573" s="9"/>
      <c r="AM573" s="9"/>
      <c r="AN573" s="9"/>
      <c r="AO573" s="9"/>
      <c r="AP573" s="9"/>
      <c r="AQ573" s="9"/>
      <c r="AR573" s="9"/>
      <c r="AS573" s="9"/>
      <c r="AT573" s="9"/>
      <c r="AU573" s="9"/>
    </row>
    <row r="574" spans="37:47" ht="15.75" customHeight="1">
      <c r="AK574" s="9"/>
      <c r="AL574" s="9"/>
      <c r="AM574" s="9"/>
      <c r="AN574" s="9"/>
      <c r="AO574" s="9"/>
      <c r="AP574" s="9"/>
      <c r="AQ574" s="9"/>
      <c r="AR574" s="9"/>
      <c r="AS574" s="9"/>
      <c r="AT574" s="9"/>
      <c r="AU574" s="9"/>
    </row>
    <row r="575" spans="37:47" ht="15.75" customHeight="1">
      <c r="AK575" s="9"/>
      <c r="AL575" s="9"/>
      <c r="AM575" s="9"/>
      <c r="AN575" s="9"/>
      <c r="AO575" s="9"/>
      <c r="AP575" s="9"/>
      <c r="AQ575" s="9"/>
      <c r="AR575" s="9"/>
      <c r="AS575" s="9"/>
      <c r="AT575" s="9"/>
      <c r="AU575" s="9"/>
    </row>
    <row r="576" spans="37:47" ht="15.75" customHeight="1">
      <c r="AK576" s="9"/>
      <c r="AL576" s="9"/>
      <c r="AM576" s="9"/>
      <c r="AN576" s="9"/>
      <c r="AO576" s="9"/>
      <c r="AP576" s="9"/>
      <c r="AQ576" s="9"/>
      <c r="AR576" s="9"/>
      <c r="AS576" s="9"/>
      <c r="AT576" s="9"/>
      <c r="AU576" s="9"/>
    </row>
    <row r="577" spans="37:47" ht="15.75" customHeight="1">
      <c r="AK577" s="9"/>
      <c r="AL577" s="9"/>
      <c r="AM577" s="9"/>
      <c r="AN577" s="9"/>
      <c r="AO577" s="9"/>
      <c r="AP577" s="9"/>
      <c r="AQ577" s="9"/>
      <c r="AR577" s="9"/>
      <c r="AS577" s="9"/>
      <c r="AT577" s="9"/>
      <c r="AU577" s="9"/>
    </row>
    <row r="578" spans="37:47" ht="15.75" customHeight="1">
      <c r="AK578" s="9"/>
      <c r="AL578" s="9"/>
      <c r="AM578" s="9"/>
      <c r="AN578" s="9"/>
      <c r="AO578" s="9"/>
      <c r="AP578" s="9"/>
      <c r="AQ578" s="9"/>
      <c r="AR578" s="9"/>
      <c r="AS578" s="9"/>
      <c r="AT578" s="9"/>
      <c r="AU578" s="9"/>
    </row>
    <row r="579" spans="37:47" ht="15.75" customHeight="1">
      <c r="AK579" s="9"/>
      <c r="AL579" s="9"/>
      <c r="AM579" s="9"/>
      <c r="AN579" s="9"/>
      <c r="AO579" s="9"/>
      <c r="AP579" s="9"/>
      <c r="AQ579" s="9"/>
      <c r="AR579" s="9"/>
      <c r="AS579" s="9"/>
      <c r="AT579" s="9"/>
      <c r="AU579" s="9"/>
    </row>
    <row r="580" spans="37:47" ht="15.75" customHeight="1">
      <c r="AK580" s="9"/>
      <c r="AL580" s="9"/>
      <c r="AM580" s="9"/>
      <c r="AN580" s="9"/>
      <c r="AO580" s="9"/>
      <c r="AP580" s="9"/>
      <c r="AQ580" s="9"/>
      <c r="AR580" s="9"/>
      <c r="AS580" s="9"/>
      <c r="AT580" s="9"/>
      <c r="AU580" s="9"/>
    </row>
    <row r="581" spans="37:47" ht="15.75" customHeight="1">
      <c r="AK581" s="9"/>
      <c r="AL581" s="9"/>
      <c r="AM581" s="9"/>
      <c r="AN581" s="9"/>
      <c r="AO581" s="9"/>
      <c r="AP581" s="9"/>
      <c r="AQ581" s="9"/>
      <c r="AR581" s="9"/>
      <c r="AS581" s="9"/>
      <c r="AT581" s="9"/>
      <c r="AU581" s="9"/>
    </row>
    <row r="582" spans="37:47" ht="15.75" customHeight="1">
      <c r="AK582" s="9"/>
      <c r="AL582" s="9"/>
      <c r="AM582" s="9"/>
      <c r="AN582" s="9"/>
      <c r="AO582" s="9"/>
      <c r="AP582" s="9"/>
      <c r="AQ582" s="9"/>
      <c r="AR582" s="9"/>
      <c r="AS582" s="9"/>
      <c r="AT582" s="9"/>
      <c r="AU582" s="9"/>
    </row>
    <row r="583" spans="37:47" ht="15.75" customHeight="1">
      <c r="AK583" s="9"/>
      <c r="AL583" s="9"/>
      <c r="AM583" s="9"/>
      <c r="AN583" s="9"/>
      <c r="AO583" s="9"/>
      <c r="AP583" s="9"/>
      <c r="AQ583" s="9"/>
      <c r="AR583" s="9"/>
      <c r="AS583" s="9"/>
      <c r="AT583" s="9"/>
      <c r="AU583" s="9"/>
    </row>
    <row r="584" spans="37:47" ht="15.75" customHeight="1">
      <c r="AK584" s="9"/>
      <c r="AL584" s="9"/>
      <c r="AM584" s="9"/>
      <c r="AN584" s="9"/>
      <c r="AO584" s="9"/>
      <c r="AP584" s="9"/>
      <c r="AQ584" s="9"/>
      <c r="AR584" s="9"/>
      <c r="AS584" s="9"/>
      <c r="AT584" s="9"/>
      <c r="AU584" s="9"/>
    </row>
    <row r="585" spans="37:47" ht="15.75" customHeight="1">
      <c r="AK585" s="9"/>
      <c r="AL585" s="9"/>
      <c r="AM585" s="9"/>
      <c r="AN585" s="9"/>
      <c r="AO585" s="9"/>
      <c r="AP585" s="9"/>
      <c r="AQ585" s="9"/>
      <c r="AR585" s="9"/>
      <c r="AS585" s="9"/>
      <c r="AT585" s="9"/>
      <c r="AU585" s="9"/>
    </row>
    <row r="586" spans="37:47" ht="15.75" customHeight="1">
      <c r="AK586" s="9"/>
      <c r="AL586" s="9"/>
      <c r="AM586" s="9"/>
      <c r="AN586" s="9"/>
      <c r="AO586" s="9"/>
      <c r="AP586" s="9"/>
      <c r="AQ586" s="9"/>
      <c r="AR586" s="9"/>
      <c r="AS586" s="9"/>
      <c r="AT586" s="9"/>
      <c r="AU586" s="9"/>
    </row>
    <row r="587" spans="37:47" ht="15.75" customHeight="1">
      <c r="AK587" s="9"/>
      <c r="AL587" s="9"/>
      <c r="AM587" s="9"/>
      <c r="AN587" s="9"/>
      <c r="AO587" s="9"/>
      <c r="AP587" s="9"/>
      <c r="AQ587" s="9"/>
      <c r="AR587" s="9"/>
      <c r="AS587" s="9"/>
      <c r="AT587" s="9"/>
      <c r="AU587" s="9"/>
    </row>
    <row r="588" spans="37:47" ht="15.75" customHeight="1">
      <c r="AK588" s="9"/>
      <c r="AL588" s="9"/>
      <c r="AM588" s="9"/>
      <c r="AN588" s="9"/>
      <c r="AO588" s="9"/>
      <c r="AP588" s="9"/>
      <c r="AQ588" s="9"/>
      <c r="AR588" s="9"/>
      <c r="AS588" s="9"/>
      <c r="AT588" s="9"/>
      <c r="AU588" s="9"/>
    </row>
    <row r="589" spans="37:47" ht="15.75" customHeight="1">
      <c r="AK589" s="9"/>
      <c r="AL589" s="9"/>
      <c r="AM589" s="9"/>
      <c r="AN589" s="9"/>
      <c r="AO589" s="9"/>
      <c r="AP589" s="9"/>
      <c r="AQ589" s="9"/>
      <c r="AR589" s="9"/>
      <c r="AS589" s="9"/>
      <c r="AT589" s="9"/>
      <c r="AU589" s="9"/>
    </row>
    <row r="590" spans="37:47" ht="15.75" customHeight="1">
      <c r="AK590" s="9"/>
      <c r="AL590" s="9"/>
      <c r="AM590" s="9"/>
      <c r="AN590" s="9"/>
      <c r="AO590" s="9"/>
      <c r="AP590" s="9"/>
      <c r="AQ590" s="9"/>
      <c r="AR590" s="9"/>
      <c r="AS590" s="9"/>
      <c r="AT590" s="9"/>
      <c r="AU590" s="9"/>
    </row>
    <row r="591" spans="37:47" ht="15.75" customHeight="1">
      <c r="AK591" s="9"/>
      <c r="AL591" s="9"/>
      <c r="AM591" s="9"/>
      <c r="AN591" s="9"/>
      <c r="AO591" s="9"/>
      <c r="AP591" s="9"/>
      <c r="AQ591" s="9"/>
      <c r="AR591" s="9"/>
      <c r="AS591" s="9"/>
      <c r="AT591" s="9"/>
      <c r="AU591" s="9"/>
    </row>
    <row r="592" spans="37:47" ht="15.75" customHeight="1">
      <c r="AK592" s="9"/>
      <c r="AL592" s="9"/>
      <c r="AM592" s="9"/>
      <c r="AN592" s="9"/>
      <c r="AO592" s="9"/>
      <c r="AP592" s="9"/>
      <c r="AQ592" s="9"/>
      <c r="AR592" s="9"/>
      <c r="AS592" s="9"/>
      <c r="AT592" s="9"/>
      <c r="AU592" s="9"/>
    </row>
    <row r="593" spans="37:47" ht="15.75" customHeight="1">
      <c r="AK593" s="9"/>
      <c r="AL593" s="9"/>
      <c r="AM593" s="9"/>
      <c r="AN593" s="9"/>
      <c r="AO593" s="9"/>
      <c r="AP593" s="9"/>
      <c r="AQ593" s="9"/>
      <c r="AR593" s="9"/>
      <c r="AS593" s="9"/>
      <c r="AT593" s="9"/>
      <c r="AU593" s="9"/>
    </row>
    <row r="594" spans="37:47" ht="15.75" customHeight="1">
      <c r="AK594" s="9"/>
      <c r="AL594" s="9"/>
      <c r="AM594" s="9"/>
      <c r="AN594" s="9"/>
      <c r="AO594" s="9"/>
      <c r="AP594" s="9"/>
      <c r="AQ594" s="9"/>
      <c r="AR594" s="9"/>
      <c r="AS594" s="9"/>
      <c r="AT594" s="9"/>
      <c r="AU594" s="9"/>
    </row>
    <row r="595" spans="37:47" ht="15.75" customHeight="1">
      <c r="AK595" s="9"/>
      <c r="AL595" s="9"/>
      <c r="AM595" s="9"/>
      <c r="AN595" s="9"/>
      <c r="AO595" s="9"/>
      <c r="AP595" s="9"/>
      <c r="AQ595" s="9"/>
      <c r="AR595" s="9"/>
      <c r="AS595" s="9"/>
      <c r="AT595" s="9"/>
      <c r="AU595" s="9"/>
    </row>
    <row r="596" spans="37:47" ht="15.75" customHeight="1">
      <c r="AK596" s="9"/>
      <c r="AL596" s="9"/>
      <c r="AM596" s="9"/>
      <c r="AN596" s="9"/>
      <c r="AO596" s="9"/>
      <c r="AP596" s="9"/>
      <c r="AQ596" s="9"/>
      <c r="AR596" s="9"/>
      <c r="AS596" s="9"/>
      <c r="AT596" s="9"/>
      <c r="AU596" s="9"/>
    </row>
    <row r="597" spans="37:47" ht="15.75" customHeight="1">
      <c r="AK597" s="9"/>
      <c r="AL597" s="9"/>
      <c r="AM597" s="9"/>
      <c r="AN597" s="9"/>
      <c r="AO597" s="9"/>
      <c r="AP597" s="9"/>
      <c r="AQ597" s="9"/>
      <c r="AR597" s="9"/>
      <c r="AS597" s="9"/>
      <c r="AT597" s="9"/>
      <c r="AU597" s="9"/>
    </row>
    <row r="598" spans="37:47" ht="15.75" customHeight="1">
      <c r="AK598" s="9"/>
      <c r="AL598" s="9"/>
      <c r="AM598" s="9"/>
      <c r="AN598" s="9"/>
      <c r="AO598" s="9"/>
      <c r="AP598" s="9"/>
      <c r="AQ598" s="9"/>
      <c r="AR598" s="9"/>
      <c r="AS598" s="9"/>
      <c r="AT598" s="9"/>
      <c r="AU598" s="9"/>
    </row>
    <row r="599" spans="37:47" ht="15.75" customHeight="1">
      <c r="AK599" s="9"/>
      <c r="AL599" s="9"/>
      <c r="AM599" s="9"/>
      <c r="AN599" s="9"/>
      <c r="AO599" s="9"/>
      <c r="AP599" s="9"/>
      <c r="AQ599" s="9"/>
      <c r="AR599" s="9"/>
      <c r="AS599" s="9"/>
      <c r="AT599" s="9"/>
      <c r="AU599" s="9"/>
    </row>
    <row r="600" spans="37:47" ht="15.75" customHeight="1">
      <c r="AK600" s="9"/>
      <c r="AL600" s="9"/>
      <c r="AM600" s="9"/>
      <c r="AN600" s="9"/>
      <c r="AO600" s="9"/>
      <c r="AP600" s="9"/>
      <c r="AQ600" s="9"/>
      <c r="AR600" s="9"/>
      <c r="AS600" s="9"/>
      <c r="AT600" s="9"/>
      <c r="AU600" s="9"/>
    </row>
    <row r="601" spans="37:47" ht="15.75" customHeight="1">
      <c r="AK601" s="9"/>
      <c r="AL601" s="9"/>
      <c r="AM601" s="9"/>
      <c r="AN601" s="9"/>
      <c r="AO601" s="9"/>
      <c r="AP601" s="9"/>
      <c r="AQ601" s="9"/>
      <c r="AR601" s="9"/>
      <c r="AS601" s="9"/>
      <c r="AT601" s="9"/>
      <c r="AU601" s="9"/>
    </row>
    <row r="602" spans="37:47" ht="15.75" customHeight="1">
      <c r="AK602" s="9"/>
      <c r="AL602" s="9"/>
      <c r="AM602" s="9"/>
      <c r="AN602" s="9"/>
      <c r="AO602" s="9"/>
      <c r="AP602" s="9"/>
      <c r="AQ602" s="9"/>
      <c r="AR602" s="9"/>
      <c r="AS602" s="9"/>
      <c r="AT602" s="9"/>
      <c r="AU602" s="9"/>
    </row>
    <row r="603" spans="37:47" ht="15.75" customHeight="1">
      <c r="AK603" s="9"/>
      <c r="AL603" s="9"/>
      <c r="AM603" s="9"/>
      <c r="AN603" s="9"/>
      <c r="AO603" s="9"/>
      <c r="AP603" s="9"/>
      <c r="AQ603" s="9"/>
      <c r="AR603" s="9"/>
      <c r="AS603" s="9"/>
      <c r="AT603" s="9"/>
      <c r="AU603" s="9"/>
    </row>
    <row r="604" spans="37:47" ht="15.75" customHeight="1">
      <c r="AK604" s="9"/>
      <c r="AL604" s="9"/>
      <c r="AM604" s="9"/>
      <c r="AN604" s="9"/>
      <c r="AO604" s="9"/>
      <c r="AP604" s="9"/>
      <c r="AQ604" s="9"/>
      <c r="AR604" s="9"/>
      <c r="AS604" s="9"/>
      <c r="AT604" s="9"/>
      <c r="AU604" s="9"/>
    </row>
    <row r="605" spans="37:47" ht="15.75" customHeight="1">
      <c r="AK605" s="9"/>
      <c r="AL605" s="9"/>
      <c r="AM605" s="9"/>
      <c r="AN605" s="9"/>
      <c r="AO605" s="9"/>
      <c r="AP605" s="9"/>
      <c r="AQ605" s="9"/>
      <c r="AR605" s="9"/>
      <c r="AS605" s="9"/>
      <c r="AT605" s="9"/>
      <c r="AU605" s="9"/>
    </row>
    <row r="606" spans="37:47" ht="15.75" customHeight="1">
      <c r="AK606" s="9"/>
      <c r="AL606" s="9"/>
      <c r="AM606" s="9"/>
      <c r="AN606" s="9"/>
      <c r="AO606" s="9"/>
      <c r="AP606" s="9"/>
      <c r="AQ606" s="9"/>
      <c r="AR606" s="9"/>
      <c r="AS606" s="9"/>
      <c r="AT606" s="9"/>
      <c r="AU606" s="9"/>
    </row>
    <row r="607" spans="37:47" ht="15.75" customHeight="1">
      <c r="AK607" s="9"/>
      <c r="AL607" s="9"/>
      <c r="AM607" s="9"/>
      <c r="AN607" s="9"/>
      <c r="AO607" s="9"/>
      <c r="AP607" s="9"/>
      <c r="AQ607" s="9"/>
      <c r="AR607" s="9"/>
      <c r="AS607" s="9"/>
      <c r="AT607" s="9"/>
      <c r="AU607" s="9"/>
    </row>
    <row r="608" spans="37:47" ht="15.75" customHeight="1">
      <c r="AK608" s="9"/>
      <c r="AL608" s="9"/>
      <c r="AM608" s="9"/>
      <c r="AN608" s="9"/>
      <c r="AO608" s="9"/>
      <c r="AP608" s="9"/>
      <c r="AQ608" s="9"/>
      <c r="AR608" s="9"/>
      <c r="AS608" s="9"/>
      <c r="AT608" s="9"/>
      <c r="AU608" s="9"/>
    </row>
    <row r="609" spans="37:47" ht="15.75" customHeight="1">
      <c r="AK609" s="9"/>
      <c r="AL609" s="9"/>
      <c r="AM609" s="9"/>
      <c r="AN609" s="9"/>
      <c r="AO609" s="9"/>
      <c r="AP609" s="9"/>
      <c r="AQ609" s="9"/>
      <c r="AR609" s="9"/>
      <c r="AS609" s="9"/>
      <c r="AT609" s="9"/>
      <c r="AU609" s="9"/>
    </row>
    <row r="610" spans="37:47" ht="15.75" customHeight="1">
      <c r="AK610" s="9"/>
      <c r="AL610" s="9"/>
      <c r="AM610" s="9"/>
      <c r="AN610" s="9"/>
      <c r="AO610" s="9"/>
      <c r="AP610" s="9"/>
      <c r="AQ610" s="9"/>
      <c r="AR610" s="9"/>
      <c r="AS610" s="9"/>
      <c r="AT610" s="9"/>
      <c r="AU610" s="9"/>
    </row>
    <row r="611" spans="37:47" ht="15.75" customHeight="1">
      <c r="AK611" s="9"/>
      <c r="AL611" s="9"/>
      <c r="AM611" s="9"/>
      <c r="AN611" s="9"/>
      <c r="AO611" s="9"/>
      <c r="AP611" s="9"/>
      <c r="AQ611" s="9"/>
      <c r="AR611" s="9"/>
      <c r="AS611" s="9"/>
      <c r="AT611" s="9"/>
      <c r="AU611" s="9"/>
    </row>
    <row r="612" spans="37:47" ht="15.75" customHeight="1">
      <c r="AK612" s="9"/>
      <c r="AL612" s="9"/>
      <c r="AM612" s="9"/>
      <c r="AN612" s="9"/>
      <c r="AO612" s="9"/>
      <c r="AP612" s="9"/>
      <c r="AQ612" s="9"/>
      <c r="AR612" s="9"/>
      <c r="AS612" s="9"/>
      <c r="AT612" s="9"/>
      <c r="AU612" s="9"/>
    </row>
    <row r="613" spans="37:47" ht="15.75" customHeight="1">
      <c r="AK613" s="9"/>
      <c r="AL613" s="9"/>
      <c r="AM613" s="9"/>
      <c r="AN613" s="9"/>
      <c r="AO613" s="9"/>
      <c r="AP613" s="9"/>
      <c r="AQ613" s="9"/>
      <c r="AR613" s="9"/>
      <c r="AS613" s="9"/>
      <c r="AT613" s="9"/>
      <c r="AU613" s="9"/>
    </row>
    <row r="614" spans="37:47" ht="15.75" customHeight="1">
      <c r="AK614" s="9"/>
      <c r="AL614" s="9"/>
      <c r="AM614" s="9"/>
      <c r="AN614" s="9"/>
      <c r="AO614" s="9"/>
      <c r="AP614" s="9"/>
      <c r="AQ614" s="9"/>
      <c r="AR614" s="9"/>
      <c r="AS614" s="9"/>
      <c r="AT614" s="9"/>
      <c r="AU614" s="9"/>
    </row>
    <row r="615" spans="37:47" ht="15.75" customHeight="1">
      <c r="AK615" s="9"/>
      <c r="AL615" s="9"/>
      <c r="AM615" s="9"/>
      <c r="AN615" s="9"/>
      <c r="AO615" s="9"/>
      <c r="AP615" s="9"/>
      <c r="AQ615" s="9"/>
      <c r="AR615" s="9"/>
      <c r="AS615" s="9"/>
      <c r="AT615" s="9"/>
      <c r="AU615" s="9"/>
    </row>
    <row r="616" spans="37:47" ht="15.75" customHeight="1">
      <c r="AK616" s="9"/>
      <c r="AL616" s="9"/>
      <c r="AM616" s="9"/>
      <c r="AN616" s="9"/>
      <c r="AO616" s="9"/>
      <c r="AP616" s="9"/>
      <c r="AQ616" s="9"/>
      <c r="AR616" s="9"/>
      <c r="AS616" s="9"/>
      <c r="AT616" s="9"/>
      <c r="AU616" s="9"/>
    </row>
    <row r="617" spans="37:47" ht="15.75" customHeight="1">
      <c r="AK617" s="9"/>
      <c r="AL617" s="9"/>
      <c r="AM617" s="9"/>
      <c r="AN617" s="9"/>
      <c r="AO617" s="9"/>
      <c r="AP617" s="9"/>
      <c r="AQ617" s="9"/>
      <c r="AR617" s="9"/>
      <c r="AS617" s="9"/>
      <c r="AT617" s="9"/>
      <c r="AU617" s="9"/>
    </row>
    <row r="618" spans="37:47" ht="15.75" customHeight="1">
      <c r="AK618" s="9"/>
      <c r="AL618" s="9"/>
      <c r="AM618" s="9"/>
      <c r="AN618" s="9"/>
      <c r="AO618" s="9"/>
      <c r="AP618" s="9"/>
      <c r="AQ618" s="9"/>
      <c r="AR618" s="9"/>
      <c r="AS618" s="9"/>
      <c r="AT618" s="9"/>
      <c r="AU618" s="9"/>
    </row>
    <row r="619" spans="37:47" ht="15.75" customHeight="1">
      <c r="AK619" s="9"/>
      <c r="AL619" s="9"/>
      <c r="AM619" s="9"/>
      <c r="AN619" s="9"/>
      <c r="AO619" s="9"/>
      <c r="AP619" s="9"/>
      <c r="AQ619" s="9"/>
      <c r="AR619" s="9"/>
      <c r="AS619" s="9"/>
      <c r="AT619" s="9"/>
      <c r="AU619" s="9"/>
    </row>
    <row r="620" spans="37:47" ht="15.75" customHeight="1">
      <c r="AK620" s="9"/>
      <c r="AL620" s="9"/>
      <c r="AM620" s="9"/>
      <c r="AN620" s="9"/>
      <c r="AO620" s="9"/>
      <c r="AP620" s="9"/>
      <c r="AQ620" s="9"/>
      <c r="AR620" s="9"/>
      <c r="AS620" s="9"/>
      <c r="AT620" s="9"/>
      <c r="AU620" s="9"/>
    </row>
    <row r="621" spans="37:47" ht="15.75" customHeight="1">
      <c r="AK621" s="9"/>
      <c r="AL621" s="9"/>
      <c r="AM621" s="9"/>
      <c r="AN621" s="9"/>
      <c r="AO621" s="9"/>
      <c r="AP621" s="9"/>
      <c r="AQ621" s="9"/>
      <c r="AR621" s="9"/>
      <c r="AS621" s="9"/>
      <c r="AT621" s="9"/>
      <c r="AU621" s="9"/>
    </row>
    <row r="622" spans="37:47" ht="15.75" customHeight="1">
      <c r="AK622" s="9"/>
      <c r="AL622" s="9"/>
      <c r="AM622" s="9"/>
      <c r="AN622" s="9"/>
      <c r="AO622" s="9"/>
      <c r="AP622" s="9"/>
      <c r="AQ622" s="9"/>
      <c r="AR622" s="9"/>
      <c r="AS622" s="9"/>
      <c r="AT622" s="9"/>
      <c r="AU622" s="9"/>
    </row>
    <row r="623" spans="37:47" ht="15.75" customHeight="1">
      <c r="AK623" s="9"/>
      <c r="AL623" s="9"/>
      <c r="AM623" s="9"/>
      <c r="AN623" s="9"/>
      <c r="AO623" s="9"/>
      <c r="AP623" s="9"/>
      <c r="AQ623" s="9"/>
      <c r="AR623" s="9"/>
      <c r="AS623" s="9"/>
      <c r="AT623" s="9"/>
      <c r="AU623" s="9"/>
    </row>
    <row r="624" spans="37:47" ht="15.75" customHeight="1">
      <c r="AK624" s="9"/>
      <c r="AL624" s="9"/>
      <c r="AM624" s="9"/>
      <c r="AN624" s="9"/>
      <c r="AO624" s="9"/>
      <c r="AP624" s="9"/>
      <c r="AQ624" s="9"/>
      <c r="AR624" s="9"/>
      <c r="AS624" s="9"/>
      <c r="AT624" s="9"/>
      <c r="AU624" s="9"/>
    </row>
    <row r="625" spans="37:47" ht="15.75" customHeight="1">
      <c r="AK625" s="9"/>
      <c r="AL625" s="9"/>
      <c r="AM625" s="9"/>
      <c r="AN625" s="9"/>
      <c r="AO625" s="9"/>
      <c r="AP625" s="9"/>
      <c r="AQ625" s="9"/>
      <c r="AR625" s="9"/>
      <c r="AS625" s="9"/>
      <c r="AT625" s="9"/>
      <c r="AU625" s="9"/>
    </row>
    <row r="626" spans="37:47" ht="15.75" customHeight="1">
      <c r="AK626" s="9"/>
      <c r="AL626" s="9"/>
      <c r="AM626" s="9"/>
      <c r="AN626" s="9"/>
      <c r="AO626" s="9"/>
      <c r="AP626" s="9"/>
      <c r="AQ626" s="9"/>
      <c r="AR626" s="9"/>
      <c r="AS626" s="9"/>
      <c r="AT626" s="9"/>
      <c r="AU626" s="9"/>
    </row>
    <row r="627" spans="37:47" ht="15.75" customHeight="1">
      <c r="AK627" s="9"/>
      <c r="AL627" s="9"/>
      <c r="AM627" s="9"/>
      <c r="AN627" s="9"/>
      <c r="AO627" s="9"/>
      <c r="AP627" s="9"/>
      <c r="AQ627" s="9"/>
      <c r="AR627" s="9"/>
      <c r="AS627" s="9"/>
      <c r="AT627" s="9"/>
      <c r="AU627" s="9"/>
    </row>
    <row r="628" spans="37:47" ht="15.75" customHeight="1">
      <c r="AK628" s="9"/>
      <c r="AL628" s="9"/>
      <c r="AM628" s="9"/>
      <c r="AN628" s="9"/>
      <c r="AO628" s="9"/>
      <c r="AP628" s="9"/>
      <c r="AQ628" s="9"/>
      <c r="AR628" s="9"/>
      <c r="AS628" s="9"/>
      <c r="AT628" s="9"/>
      <c r="AU628" s="9"/>
    </row>
    <row r="629" spans="37:47" ht="15.75" customHeight="1">
      <c r="AK629" s="9"/>
      <c r="AL629" s="9"/>
      <c r="AM629" s="9"/>
      <c r="AN629" s="9"/>
      <c r="AO629" s="9"/>
      <c r="AP629" s="9"/>
      <c r="AQ629" s="9"/>
      <c r="AR629" s="9"/>
      <c r="AS629" s="9"/>
      <c r="AT629" s="9"/>
      <c r="AU629" s="9"/>
    </row>
    <row r="630" spans="37:47" ht="15.75" customHeight="1">
      <c r="AK630" s="9"/>
      <c r="AL630" s="9"/>
      <c r="AM630" s="9"/>
      <c r="AN630" s="9"/>
      <c r="AO630" s="9"/>
      <c r="AP630" s="9"/>
      <c r="AQ630" s="9"/>
      <c r="AR630" s="9"/>
      <c r="AS630" s="9"/>
      <c r="AT630" s="9"/>
      <c r="AU630" s="9"/>
    </row>
    <row r="631" spans="37:47" ht="15.75" customHeight="1">
      <c r="AK631" s="9"/>
      <c r="AL631" s="9"/>
      <c r="AM631" s="9"/>
      <c r="AN631" s="9"/>
      <c r="AO631" s="9"/>
      <c r="AP631" s="9"/>
      <c r="AQ631" s="9"/>
      <c r="AR631" s="9"/>
      <c r="AS631" s="9"/>
      <c r="AT631" s="9"/>
      <c r="AU631" s="9"/>
    </row>
    <row r="632" spans="37:47" ht="15.75" customHeight="1">
      <c r="AK632" s="9"/>
      <c r="AL632" s="9"/>
      <c r="AM632" s="9"/>
      <c r="AN632" s="9"/>
      <c r="AO632" s="9"/>
      <c r="AP632" s="9"/>
      <c r="AQ632" s="9"/>
      <c r="AR632" s="9"/>
      <c r="AS632" s="9"/>
      <c r="AT632" s="9"/>
      <c r="AU632" s="9"/>
    </row>
    <row r="633" spans="37:47" ht="15.75" customHeight="1">
      <c r="AK633" s="9"/>
      <c r="AL633" s="9"/>
      <c r="AM633" s="9"/>
      <c r="AN633" s="9"/>
      <c r="AO633" s="9"/>
      <c r="AP633" s="9"/>
      <c r="AQ633" s="9"/>
      <c r="AR633" s="9"/>
      <c r="AS633" s="9"/>
      <c r="AT633" s="9"/>
      <c r="AU633" s="9"/>
    </row>
    <row r="634" spans="37:47" ht="15.75" customHeight="1">
      <c r="AK634" s="9"/>
      <c r="AL634" s="9"/>
      <c r="AM634" s="9"/>
      <c r="AN634" s="9"/>
      <c r="AO634" s="9"/>
      <c r="AP634" s="9"/>
      <c r="AQ634" s="9"/>
      <c r="AR634" s="9"/>
      <c r="AS634" s="9"/>
      <c r="AT634" s="9"/>
      <c r="AU634" s="9"/>
    </row>
    <row r="635" spans="37:47" ht="15.75" customHeight="1">
      <c r="AK635" s="9"/>
      <c r="AL635" s="9"/>
      <c r="AM635" s="9"/>
      <c r="AN635" s="9"/>
      <c r="AO635" s="9"/>
      <c r="AP635" s="9"/>
      <c r="AQ635" s="9"/>
      <c r="AR635" s="9"/>
      <c r="AS635" s="9"/>
      <c r="AT635" s="9"/>
      <c r="AU635" s="9"/>
    </row>
    <row r="639" spans="37:47" ht="15.75" customHeight="1">
      <c r="AK639" s="9"/>
      <c r="AL639" s="9"/>
      <c r="AM639" s="9"/>
      <c r="AN639" s="9"/>
      <c r="AO639" s="9"/>
      <c r="AP639" s="9"/>
      <c r="AQ639" s="9"/>
      <c r="AR639" s="9"/>
      <c r="AS639" s="9"/>
      <c r="AT639" s="9"/>
      <c r="AU639" s="9"/>
    </row>
    <row r="640" spans="37:47" ht="15.75" customHeight="1">
      <c r="AK640" s="9"/>
      <c r="AL640" s="9"/>
      <c r="AM640" s="9"/>
      <c r="AN640" s="9"/>
      <c r="AO640" s="9"/>
      <c r="AP640" s="9"/>
      <c r="AQ640" s="9"/>
      <c r="AR640" s="9"/>
      <c r="AS640" s="9"/>
      <c r="AT640" s="9"/>
      <c r="AU640" s="9"/>
    </row>
    <row r="641" spans="37:47" ht="15.75" customHeight="1">
      <c r="AK641" s="9"/>
      <c r="AL641" s="9"/>
      <c r="AM641" s="9"/>
      <c r="AN641" s="9"/>
      <c r="AO641" s="9"/>
      <c r="AP641" s="9"/>
      <c r="AQ641" s="9"/>
      <c r="AR641" s="9"/>
      <c r="AS641" s="9"/>
      <c r="AT641" s="9"/>
      <c r="AU641" s="9"/>
    </row>
    <row r="642" spans="37:47" ht="15.75" customHeight="1">
      <c r="AK642" s="9"/>
      <c r="AL642" s="9"/>
      <c r="AM642" s="9"/>
      <c r="AN642" s="9"/>
      <c r="AO642" s="9"/>
      <c r="AP642" s="9"/>
      <c r="AQ642" s="9"/>
      <c r="AR642" s="9"/>
      <c r="AS642" s="9"/>
      <c r="AT642" s="9"/>
      <c r="AU642" s="9"/>
    </row>
    <row r="643" spans="37:47" ht="15.75" customHeight="1">
      <c r="AK643" s="9"/>
      <c r="AL643" s="9"/>
      <c r="AM643" s="9"/>
      <c r="AN643" s="9"/>
      <c r="AO643" s="9"/>
      <c r="AP643" s="9"/>
      <c r="AQ643" s="9"/>
      <c r="AR643" s="9"/>
      <c r="AS643" s="9"/>
      <c r="AT643" s="9"/>
      <c r="AU643" s="9"/>
    </row>
    <row r="644" spans="37:47" ht="15.75" customHeight="1">
      <c r="AK644" s="9"/>
      <c r="AL644" s="9"/>
      <c r="AM644" s="9"/>
      <c r="AN644" s="9"/>
      <c r="AO644" s="9"/>
      <c r="AP644" s="9"/>
      <c r="AQ644" s="9"/>
      <c r="AR644" s="9"/>
      <c r="AS644" s="9"/>
      <c r="AT644" s="9"/>
      <c r="AU644" s="9"/>
    </row>
    <row r="645" spans="37:47" ht="15.75" customHeight="1">
      <c r="AK645" s="9"/>
      <c r="AL645" s="9"/>
      <c r="AM645" s="9"/>
      <c r="AN645" s="9"/>
      <c r="AO645" s="9"/>
      <c r="AP645" s="9"/>
      <c r="AQ645" s="9"/>
      <c r="AR645" s="9"/>
      <c r="AS645" s="9"/>
      <c r="AT645" s="9"/>
      <c r="AU645" s="9"/>
    </row>
    <row r="646" spans="37:47" ht="15.75" customHeight="1">
      <c r="AK646" s="9"/>
      <c r="AL646" s="9"/>
      <c r="AM646" s="9"/>
      <c r="AN646" s="9"/>
      <c r="AO646" s="9"/>
      <c r="AP646" s="9"/>
      <c r="AQ646" s="9"/>
      <c r="AR646" s="9"/>
      <c r="AS646" s="9"/>
      <c r="AT646" s="9"/>
      <c r="AU646" s="9"/>
    </row>
    <row r="647" spans="37:47" ht="15.75" customHeight="1">
      <c r="AK647" s="9"/>
      <c r="AL647" s="9"/>
      <c r="AM647" s="9"/>
      <c r="AN647" s="9"/>
      <c r="AO647" s="9"/>
      <c r="AP647" s="9"/>
      <c r="AQ647" s="9"/>
      <c r="AR647" s="9"/>
      <c r="AS647" s="9"/>
      <c r="AT647" s="9"/>
      <c r="AU647" s="9"/>
    </row>
    <row r="648" spans="37:47" ht="15.75" customHeight="1">
      <c r="AK648" s="9"/>
      <c r="AL648" s="9"/>
      <c r="AM648" s="9"/>
      <c r="AN648" s="9"/>
      <c r="AO648" s="9"/>
      <c r="AP648" s="9"/>
      <c r="AQ648" s="9"/>
      <c r="AR648" s="9"/>
      <c r="AS648" s="9"/>
      <c r="AT648" s="9"/>
      <c r="AU648" s="9"/>
    </row>
    <row r="649" spans="37:47" ht="15.75" customHeight="1">
      <c r="AK649" s="9"/>
      <c r="AL649" s="9"/>
      <c r="AM649" s="9"/>
      <c r="AN649" s="9"/>
      <c r="AO649" s="9"/>
      <c r="AP649" s="9"/>
      <c r="AQ649" s="9"/>
      <c r="AR649" s="9"/>
      <c r="AS649" s="9"/>
      <c r="AT649" s="9"/>
      <c r="AU649" s="9"/>
    </row>
    <row r="650" spans="37:47" ht="15.75" customHeight="1">
      <c r="AK650" s="9"/>
      <c r="AL650" s="9"/>
      <c r="AM650" s="9"/>
      <c r="AN650" s="9"/>
      <c r="AO650" s="9"/>
      <c r="AP650" s="9"/>
      <c r="AQ650" s="9"/>
      <c r="AR650" s="9"/>
      <c r="AS650" s="9"/>
      <c r="AT650" s="9"/>
      <c r="AU650" s="9"/>
    </row>
    <row r="651" spans="37:47" ht="15.75" customHeight="1">
      <c r="AK651" s="9"/>
      <c r="AL651" s="9"/>
      <c r="AM651" s="9"/>
      <c r="AN651" s="9"/>
      <c r="AO651" s="9"/>
      <c r="AP651" s="9"/>
      <c r="AQ651" s="9"/>
      <c r="AR651" s="9"/>
      <c r="AS651" s="9"/>
      <c r="AT651" s="9"/>
      <c r="AU651" s="9"/>
    </row>
    <row r="652" spans="37:47" ht="15.75" customHeight="1">
      <c r="AK652" s="9"/>
      <c r="AL652" s="9"/>
      <c r="AM652" s="9"/>
      <c r="AN652" s="9"/>
      <c r="AO652" s="9"/>
      <c r="AP652" s="9"/>
      <c r="AQ652" s="9"/>
      <c r="AR652" s="9"/>
      <c r="AS652" s="9"/>
      <c r="AT652" s="9"/>
      <c r="AU652" s="9"/>
    </row>
    <row r="653" spans="37:47" ht="15.75" customHeight="1">
      <c r="AK653" s="9"/>
      <c r="AL653" s="9"/>
      <c r="AM653" s="9"/>
      <c r="AN653" s="9"/>
      <c r="AO653" s="9"/>
      <c r="AP653" s="9"/>
      <c r="AQ653" s="9"/>
      <c r="AR653" s="9"/>
      <c r="AS653" s="9"/>
      <c r="AT653" s="9"/>
      <c r="AU653" s="9"/>
    </row>
    <row r="654" spans="37:47" ht="15.75" customHeight="1">
      <c r="AK654" s="9"/>
      <c r="AL654" s="9"/>
      <c r="AM654" s="9"/>
      <c r="AN654" s="9"/>
      <c r="AO654" s="9"/>
      <c r="AP654" s="9"/>
      <c r="AQ654" s="9"/>
      <c r="AR654" s="9"/>
      <c r="AS654" s="9"/>
      <c r="AT654" s="9"/>
      <c r="AU654" s="9"/>
    </row>
    <row r="655" spans="37:47" ht="15.75" customHeight="1">
      <c r="AK655" s="9"/>
      <c r="AL655" s="9"/>
      <c r="AM655" s="9"/>
      <c r="AN655" s="9"/>
      <c r="AO655" s="9"/>
      <c r="AP655" s="9"/>
      <c r="AQ655" s="9"/>
      <c r="AR655" s="9"/>
      <c r="AS655" s="9"/>
      <c r="AT655" s="9"/>
      <c r="AU655" s="9"/>
    </row>
    <row r="656" spans="37:47" ht="15.75" customHeight="1">
      <c r="AK656" s="9"/>
      <c r="AL656" s="9"/>
      <c r="AM656" s="9"/>
      <c r="AN656" s="9"/>
      <c r="AO656" s="9"/>
      <c r="AP656" s="9"/>
      <c r="AQ656" s="9"/>
      <c r="AR656" s="9"/>
      <c r="AS656" s="9"/>
      <c r="AT656" s="9"/>
      <c r="AU656" s="9"/>
    </row>
    <row r="657" spans="37:47" ht="15.75" customHeight="1">
      <c r="AK657" s="9"/>
      <c r="AL657" s="9"/>
      <c r="AM657" s="9"/>
      <c r="AN657" s="9"/>
      <c r="AO657" s="9"/>
      <c r="AP657" s="9"/>
      <c r="AQ657" s="9"/>
      <c r="AR657" s="9"/>
      <c r="AS657" s="9"/>
      <c r="AT657" s="9"/>
      <c r="AU657" s="9"/>
    </row>
    <row r="658" spans="37:47" ht="15.75" customHeight="1">
      <c r="AK658" s="9"/>
      <c r="AL658" s="9"/>
      <c r="AM658" s="9"/>
      <c r="AN658" s="9"/>
      <c r="AO658" s="9"/>
      <c r="AP658" s="9"/>
      <c r="AQ658" s="9"/>
      <c r="AR658" s="9"/>
      <c r="AS658" s="9"/>
      <c r="AT658" s="9"/>
      <c r="AU658" s="9"/>
    </row>
    <row r="659" spans="37:47" ht="15.75" customHeight="1">
      <c r="AK659" s="9"/>
      <c r="AL659" s="9"/>
      <c r="AM659" s="9"/>
      <c r="AN659" s="9"/>
      <c r="AO659" s="9"/>
      <c r="AP659" s="9"/>
      <c r="AQ659" s="9"/>
      <c r="AR659" s="9"/>
      <c r="AS659" s="9"/>
      <c r="AT659" s="9"/>
      <c r="AU659" s="9"/>
    </row>
    <row r="660" spans="37:47" ht="15.75" customHeight="1">
      <c r="AK660" s="9"/>
      <c r="AL660" s="9"/>
      <c r="AM660" s="9"/>
      <c r="AN660" s="9"/>
      <c r="AO660" s="9"/>
      <c r="AP660" s="9"/>
      <c r="AQ660" s="9"/>
      <c r="AR660" s="9"/>
      <c r="AS660" s="9"/>
      <c r="AT660" s="9"/>
      <c r="AU660" s="9"/>
    </row>
    <row r="661" spans="37:47" ht="15.75" customHeight="1">
      <c r="AK661" s="9"/>
      <c r="AL661" s="9"/>
      <c r="AM661" s="9"/>
      <c r="AN661" s="9"/>
      <c r="AO661" s="9"/>
      <c r="AP661" s="9"/>
      <c r="AQ661" s="9"/>
      <c r="AR661" s="9"/>
      <c r="AS661" s="9"/>
      <c r="AT661" s="9"/>
      <c r="AU661" s="9"/>
    </row>
    <row r="662" spans="37:47" ht="15.75" customHeight="1">
      <c r="AK662" s="9"/>
      <c r="AL662" s="9"/>
      <c r="AM662" s="9"/>
      <c r="AN662" s="9"/>
      <c r="AO662" s="9"/>
      <c r="AP662" s="9"/>
      <c r="AQ662" s="9"/>
      <c r="AR662" s="9"/>
      <c r="AS662" s="9"/>
      <c r="AT662" s="9"/>
      <c r="AU662" s="9"/>
    </row>
    <row r="663" spans="37:47" ht="15.75" customHeight="1">
      <c r="AK663" s="9"/>
      <c r="AL663" s="9"/>
      <c r="AM663" s="9"/>
      <c r="AN663" s="9"/>
      <c r="AO663" s="9"/>
      <c r="AP663" s="9"/>
      <c r="AQ663" s="9"/>
      <c r="AR663" s="9"/>
      <c r="AS663" s="9"/>
      <c r="AT663" s="9"/>
      <c r="AU663" s="9"/>
    </row>
    <row r="664" spans="37:47" ht="15.75" customHeight="1">
      <c r="AK664" s="9"/>
      <c r="AL664" s="9"/>
      <c r="AM664" s="9"/>
      <c r="AN664" s="9"/>
      <c r="AO664" s="9"/>
      <c r="AP664" s="9"/>
      <c r="AQ664" s="9"/>
      <c r="AR664" s="9"/>
      <c r="AS664" s="9"/>
      <c r="AT664" s="9"/>
      <c r="AU664" s="9"/>
    </row>
    <row r="665" spans="37:47" ht="15.75" customHeight="1">
      <c r="AK665" s="9"/>
      <c r="AL665" s="9"/>
      <c r="AM665" s="9"/>
      <c r="AN665" s="9"/>
      <c r="AO665" s="9"/>
      <c r="AP665" s="9"/>
      <c r="AQ665" s="9"/>
      <c r="AR665" s="9"/>
      <c r="AS665" s="9"/>
      <c r="AT665" s="9"/>
      <c r="AU665" s="9"/>
    </row>
    <row r="666" spans="37:47" ht="15.75" customHeight="1">
      <c r="AK666" s="9"/>
      <c r="AL666" s="9"/>
      <c r="AM666" s="9"/>
      <c r="AN666" s="9"/>
      <c r="AO666" s="9"/>
      <c r="AP666" s="9"/>
      <c r="AQ666" s="9"/>
      <c r="AR666" s="9"/>
      <c r="AS666" s="9"/>
      <c r="AT666" s="9"/>
      <c r="AU666" s="9"/>
    </row>
    <row r="667" spans="37:47" ht="15.75" customHeight="1">
      <c r="AK667" s="9"/>
      <c r="AL667" s="9"/>
      <c r="AM667" s="9"/>
      <c r="AN667" s="9"/>
      <c r="AO667" s="9"/>
      <c r="AP667" s="9"/>
      <c r="AQ667" s="9"/>
      <c r="AR667" s="9"/>
      <c r="AS667" s="9"/>
      <c r="AT667" s="9"/>
      <c r="AU667" s="9"/>
    </row>
    <row r="668" spans="37:47" ht="15.75" customHeight="1">
      <c r="AK668" s="9"/>
      <c r="AL668" s="9"/>
      <c r="AM668" s="9"/>
      <c r="AN668" s="9"/>
      <c r="AO668" s="9"/>
      <c r="AP668" s="9"/>
      <c r="AQ668" s="9"/>
      <c r="AR668" s="9"/>
      <c r="AS668" s="9"/>
      <c r="AT668" s="9"/>
      <c r="AU668" s="9"/>
    </row>
    <row r="669" spans="37:47" ht="15.75" customHeight="1">
      <c r="AK669" s="9"/>
      <c r="AL669" s="9"/>
      <c r="AM669" s="9"/>
      <c r="AN669" s="9"/>
      <c r="AO669" s="9"/>
      <c r="AP669" s="9"/>
      <c r="AQ669" s="9"/>
      <c r="AR669" s="9"/>
      <c r="AS669" s="9"/>
      <c r="AT669" s="9"/>
      <c r="AU669" s="9"/>
    </row>
    <row r="670" spans="37:47" ht="15.75" customHeight="1">
      <c r="AK670" s="9"/>
      <c r="AL670" s="9"/>
      <c r="AM670" s="9"/>
      <c r="AN670" s="9"/>
      <c r="AO670" s="9"/>
      <c r="AP670" s="9"/>
      <c r="AQ670" s="9"/>
      <c r="AR670" s="9"/>
      <c r="AS670" s="9"/>
      <c r="AT670" s="9"/>
      <c r="AU670" s="9"/>
    </row>
    <row r="671" spans="37:47" ht="15.75" customHeight="1">
      <c r="AK671" s="9"/>
      <c r="AL671" s="9"/>
      <c r="AM671" s="9"/>
      <c r="AN671" s="9"/>
      <c r="AO671" s="9"/>
      <c r="AP671" s="9"/>
      <c r="AQ671" s="9"/>
      <c r="AR671" s="9"/>
      <c r="AS671" s="9"/>
      <c r="AT671" s="9"/>
      <c r="AU671" s="9"/>
    </row>
    <row r="672" spans="37:47" ht="15.75" customHeight="1">
      <c r="AK672" s="9"/>
      <c r="AL672" s="9"/>
      <c r="AM672" s="9"/>
      <c r="AN672" s="9"/>
      <c r="AO672" s="9"/>
      <c r="AP672" s="9"/>
      <c r="AQ672" s="9"/>
      <c r="AR672" s="9"/>
      <c r="AS672" s="9"/>
      <c r="AT672" s="9"/>
      <c r="AU672" s="9"/>
    </row>
    <row r="673" spans="37:47" ht="15.75" customHeight="1">
      <c r="AK673" s="9"/>
      <c r="AL673" s="9"/>
      <c r="AM673" s="9"/>
      <c r="AN673" s="9"/>
      <c r="AO673" s="9"/>
      <c r="AP673" s="9"/>
      <c r="AQ673" s="9"/>
      <c r="AR673" s="9"/>
      <c r="AS673" s="9"/>
      <c r="AT673" s="9"/>
      <c r="AU673" s="9"/>
    </row>
    <row r="674" spans="37:47" ht="15.75" customHeight="1">
      <c r="AK674" s="9"/>
      <c r="AL674" s="9"/>
      <c r="AM674" s="9"/>
      <c r="AN674" s="9"/>
      <c r="AO674" s="9"/>
      <c r="AP674" s="9"/>
      <c r="AQ674" s="9"/>
      <c r="AR674" s="9"/>
      <c r="AS674" s="9"/>
      <c r="AT674" s="9"/>
      <c r="AU674" s="9"/>
    </row>
    <row r="675" spans="37:47" ht="15.75" customHeight="1">
      <c r="AK675" s="9"/>
      <c r="AL675" s="9"/>
      <c r="AM675" s="9"/>
      <c r="AN675" s="9"/>
      <c r="AO675" s="9"/>
      <c r="AP675" s="9"/>
      <c r="AQ675" s="9"/>
      <c r="AR675" s="9"/>
      <c r="AS675" s="9"/>
      <c r="AT675" s="9"/>
      <c r="AU675" s="9"/>
    </row>
    <row r="676" spans="37:47" ht="15.75" customHeight="1">
      <c r="AK676" s="9"/>
      <c r="AL676" s="9"/>
      <c r="AM676" s="9"/>
      <c r="AN676" s="9"/>
      <c r="AO676" s="9"/>
      <c r="AP676" s="9"/>
      <c r="AQ676" s="9"/>
      <c r="AR676" s="9"/>
      <c r="AS676" s="9"/>
      <c r="AT676" s="9"/>
      <c r="AU676" s="9"/>
    </row>
    <row r="677" spans="37:47" ht="15.75" customHeight="1">
      <c r="AK677" s="9"/>
      <c r="AL677" s="9"/>
      <c r="AM677" s="9"/>
      <c r="AN677" s="9"/>
      <c r="AO677" s="9"/>
      <c r="AP677" s="9"/>
      <c r="AQ677" s="9"/>
      <c r="AR677" s="9"/>
      <c r="AS677" s="9"/>
      <c r="AT677" s="9"/>
      <c r="AU677" s="9"/>
    </row>
    <row r="678" spans="37:47" ht="15.75" customHeight="1">
      <c r="AK678" s="9"/>
      <c r="AL678" s="9"/>
      <c r="AM678" s="9"/>
      <c r="AN678" s="9"/>
      <c r="AO678" s="9"/>
      <c r="AP678" s="9"/>
      <c r="AQ678" s="9"/>
      <c r="AR678" s="9"/>
      <c r="AS678" s="9"/>
      <c r="AT678" s="9"/>
      <c r="AU678" s="9"/>
    </row>
    <row r="679" spans="37:47" ht="15.75" customHeight="1">
      <c r="AK679" s="9"/>
      <c r="AL679" s="9"/>
      <c r="AM679" s="9"/>
      <c r="AN679" s="9"/>
      <c r="AO679" s="9"/>
      <c r="AP679" s="9"/>
      <c r="AQ679" s="9"/>
      <c r="AR679" s="9"/>
      <c r="AS679" s="9"/>
      <c r="AT679" s="9"/>
      <c r="AU679" s="9"/>
    </row>
    <row r="680" spans="37:47" ht="15.75" customHeight="1">
      <c r="AK680" s="9"/>
      <c r="AL680" s="9"/>
      <c r="AM680" s="9"/>
      <c r="AN680" s="9"/>
      <c r="AO680" s="9"/>
      <c r="AP680" s="9"/>
      <c r="AQ680" s="9"/>
      <c r="AR680" s="9"/>
      <c r="AS680" s="9"/>
      <c r="AT680" s="9"/>
      <c r="AU680" s="9"/>
    </row>
    <row r="681" spans="37:47" ht="15.75" customHeight="1">
      <c r="AK681" s="9"/>
      <c r="AL681" s="9"/>
      <c r="AM681" s="9"/>
      <c r="AN681" s="9"/>
      <c r="AO681" s="9"/>
      <c r="AP681" s="9"/>
      <c r="AQ681" s="9"/>
      <c r="AR681" s="9"/>
      <c r="AS681" s="9"/>
      <c r="AT681" s="9"/>
      <c r="AU681" s="9"/>
    </row>
    <row r="682" spans="37:47" ht="15.75" customHeight="1">
      <c r="AK682" s="9"/>
      <c r="AL682" s="9"/>
      <c r="AM682" s="9"/>
      <c r="AN682" s="9"/>
      <c r="AO682" s="9"/>
      <c r="AP682" s="9"/>
      <c r="AQ682" s="9"/>
      <c r="AR682" s="9"/>
      <c r="AS682" s="9"/>
      <c r="AT682" s="9"/>
      <c r="AU682" s="9"/>
    </row>
    <row r="683" spans="37:47" ht="15.75" customHeight="1">
      <c r="AK683" s="9"/>
      <c r="AL683" s="9"/>
      <c r="AM683" s="9"/>
      <c r="AN683" s="9"/>
      <c r="AO683" s="9"/>
      <c r="AP683" s="9"/>
      <c r="AQ683" s="9"/>
      <c r="AR683" s="9"/>
      <c r="AS683" s="9"/>
      <c r="AT683" s="9"/>
      <c r="AU683" s="9"/>
    </row>
    <row r="684" spans="37:47" ht="15.75" customHeight="1">
      <c r="AK684" s="9"/>
      <c r="AL684" s="9"/>
      <c r="AM684" s="9"/>
      <c r="AN684" s="9"/>
      <c r="AO684" s="9"/>
      <c r="AP684" s="9"/>
      <c r="AQ684" s="9"/>
      <c r="AR684" s="9"/>
      <c r="AS684" s="9"/>
      <c r="AT684" s="9"/>
      <c r="AU684" s="9"/>
    </row>
    <row r="685" spans="37:47" ht="15.75" customHeight="1">
      <c r="AK685" s="9"/>
      <c r="AL685" s="9"/>
      <c r="AM685" s="9"/>
      <c r="AN685" s="9"/>
      <c r="AO685" s="9"/>
      <c r="AP685" s="9"/>
      <c r="AQ685" s="9"/>
      <c r="AR685" s="9"/>
      <c r="AS685" s="9"/>
      <c r="AT685" s="9"/>
      <c r="AU685" s="9"/>
    </row>
    <row r="686" spans="37:47" ht="15.75" customHeight="1">
      <c r="AK686" s="9"/>
      <c r="AL686" s="9"/>
      <c r="AM686" s="9"/>
      <c r="AN686" s="9"/>
      <c r="AO686" s="9"/>
      <c r="AP686" s="9"/>
      <c r="AQ686" s="9"/>
      <c r="AR686" s="9"/>
      <c r="AS686" s="9"/>
      <c r="AT686" s="9"/>
      <c r="AU686" s="9"/>
    </row>
    <row r="687" spans="37:47" ht="15.75" customHeight="1">
      <c r="AK687" s="9"/>
      <c r="AL687" s="9"/>
      <c r="AM687" s="9"/>
      <c r="AN687" s="9"/>
      <c r="AO687" s="9"/>
      <c r="AP687" s="9"/>
      <c r="AQ687" s="9"/>
      <c r="AR687" s="9"/>
      <c r="AS687" s="9"/>
      <c r="AT687" s="9"/>
      <c r="AU687" s="9"/>
    </row>
    <row r="688" spans="37:47" ht="15.75" customHeight="1">
      <c r="AK688" s="9"/>
      <c r="AL688" s="9"/>
      <c r="AM688" s="9"/>
      <c r="AN688" s="9"/>
      <c r="AO688" s="9"/>
      <c r="AP688" s="9"/>
      <c r="AQ688" s="9"/>
      <c r="AR688" s="9"/>
      <c r="AS688" s="9"/>
      <c r="AT688" s="9"/>
      <c r="AU688" s="9"/>
    </row>
    <row r="689" spans="37:47" ht="15.75" customHeight="1">
      <c r="AK689" s="7"/>
      <c r="AL689" s="7"/>
      <c r="AM689" s="9"/>
      <c r="AN689" s="9"/>
      <c r="AO689" s="9"/>
      <c r="AP689" s="9"/>
      <c r="AQ689" s="9"/>
      <c r="AR689" s="9"/>
      <c r="AS689" s="9"/>
      <c r="AT689" s="9"/>
      <c r="AU689" s="9"/>
    </row>
    <row r="690" spans="37:47" ht="15.75" customHeight="1">
      <c r="AK690" s="7"/>
      <c r="AL690" s="7"/>
      <c r="AM690" s="7"/>
      <c r="AN690" s="7"/>
      <c r="AO690" s="7"/>
      <c r="AP690" s="7"/>
      <c r="AQ690" s="9"/>
      <c r="AR690" s="9"/>
      <c r="AS690" s="9"/>
      <c r="AT690" s="9"/>
      <c r="AU690" s="9"/>
    </row>
    <row r="691" spans="37:47" ht="15.75" customHeight="1">
      <c r="AK691" s="9"/>
      <c r="AL691" s="9"/>
      <c r="AM691" s="9"/>
      <c r="AN691" s="9"/>
      <c r="AO691" s="9"/>
      <c r="AP691" s="9"/>
      <c r="AQ691" s="9"/>
      <c r="AR691" s="9"/>
      <c r="AS691" s="9"/>
      <c r="AT691" s="9"/>
      <c r="AU691" s="9"/>
    </row>
    <row r="692" spans="37:47" ht="15.75" customHeight="1">
      <c r="AK692" s="9"/>
      <c r="AL692" s="9"/>
      <c r="AM692" s="9"/>
      <c r="AN692" s="9"/>
      <c r="AO692" s="9"/>
      <c r="AP692" s="9"/>
      <c r="AQ692" s="9"/>
      <c r="AR692" s="9"/>
      <c r="AS692" s="9"/>
      <c r="AT692" s="9"/>
      <c r="AU692" s="9"/>
    </row>
    <row r="693" spans="37:47" ht="15.75" customHeight="1">
      <c r="AK693" s="9"/>
      <c r="AL693" s="9"/>
      <c r="AM693" s="9"/>
      <c r="AN693" s="9"/>
      <c r="AO693" s="9"/>
      <c r="AP693" s="9"/>
      <c r="AQ693" s="9"/>
      <c r="AR693" s="9"/>
      <c r="AS693" s="9"/>
      <c r="AT693" s="9"/>
      <c r="AU693" s="9"/>
    </row>
    <row r="694" spans="37:47" ht="15.75" customHeight="1">
      <c r="AK694" s="9"/>
      <c r="AL694" s="9"/>
      <c r="AM694" s="9"/>
      <c r="AN694" s="9"/>
      <c r="AO694" s="9"/>
      <c r="AP694" s="9"/>
      <c r="AQ694" s="9"/>
      <c r="AR694" s="9"/>
      <c r="AS694" s="9"/>
      <c r="AT694" s="9"/>
      <c r="AU694" s="9"/>
    </row>
    <row r="695" spans="37:47" ht="15.75" customHeight="1">
      <c r="AK695" s="9"/>
      <c r="AL695" s="9"/>
      <c r="AM695" s="9"/>
      <c r="AN695" s="9"/>
      <c r="AO695" s="9"/>
      <c r="AP695" s="9"/>
      <c r="AQ695" s="9"/>
      <c r="AR695" s="9"/>
      <c r="AS695" s="9"/>
      <c r="AT695" s="9"/>
      <c r="AU695" s="9"/>
    </row>
    <row r="696" spans="37:47" ht="15.75" customHeight="1">
      <c r="AK696" s="9"/>
      <c r="AL696" s="9"/>
      <c r="AM696" s="9"/>
      <c r="AN696" s="9"/>
      <c r="AO696" s="9"/>
      <c r="AP696" s="9"/>
      <c r="AQ696" s="9"/>
      <c r="AR696" s="9"/>
      <c r="AS696" s="9"/>
      <c r="AT696" s="9"/>
      <c r="AU696" s="9"/>
    </row>
    <row r="697" spans="37:47" ht="15.75" customHeight="1">
      <c r="AK697" s="9"/>
      <c r="AL697" s="9"/>
      <c r="AM697" s="9"/>
      <c r="AN697" s="9"/>
      <c r="AO697" s="9"/>
      <c r="AP697" s="9"/>
      <c r="AQ697" s="9"/>
      <c r="AR697" s="9"/>
      <c r="AS697" s="9"/>
      <c r="AT697" s="9"/>
      <c r="AU697" s="9"/>
    </row>
    <row r="698" spans="37:47" ht="15.75" customHeight="1">
      <c r="AK698" s="9"/>
      <c r="AL698" s="9"/>
      <c r="AM698" s="9"/>
      <c r="AN698" s="9"/>
      <c r="AO698" s="9"/>
      <c r="AP698" s="9"/>
      <c r="AQ698" s="9"/>
      <c r="AR698" s="9"/>
      <c r="AS698" s="9"/>
      <c r="AT698" s="9"/>
      <c r="AU698" s="9"/>
    </row>
    <row r="699" spans="37:47" ht="15.75" customHeight="1">
      <c r="AK699" s="9"/>
      <c r="AL699" s="9"/>
      <c r="AM699" s="9"/>
      <c r="AN699" s="9"/>
      <c r="AO699" s="9"/>
      <c r="AP699" s="9"/>
      <c r="AQ699" s="9"/>
      <c r="AR699" s="9"/>
      <c r="AS699" s="9"/>
      <c r="AT699" s="9"/>
      <c r="AU699" s="9"/>
    </row>
    <row r="700" spans="37:47" ht="15.75" customHeight="1">
      <c r="AK700" s="9"/>
      <c r="AL700" s="9"/>
      <c r="AM700" s="9"/>
      <c r="AN700" s="9"/>
      <c r="AO700" s="9"/>
      <c r="AP700" s="9"/>
      <c r="AQ700" s="9"/>
      <c r="AR700" s="9"/>
      <c r="AS700" s="9"/>
      <c r="AT700" s="9"/>
      <c r="AU700" s="9"/>
    </row>
    <row r="701" spans="37:47" ht="15.75" customHeight="1">
      <c r="AK701" s="9"/>
      <c r="AL701" s="9"/>
      <c r="AM701" s="9"/>
      <c r="AN701" s="9"/>
      <c r="AO701" s="9"/>
      <c r="AP701" s="9"/>
      <c r="AQ701" s="9"/>
      <c r="AR701" s="9"/>
      <c r="AS701" s="9"/>
      <c r="AT701" s="9"/>
      <c r="AU701" s="9"/>
    </row>
    <row r="702" spans="37:47" ht="15.75" customHeight="1">
      <c r="AK702" s="9"/>
      <c r="AL702" s="9"/>
      <c r="AM702" s="9"/>
      <c r="AN702" s="9"/>
      <c r="AO702" s="9"/>
      <c r="AP702" s="9"/>
      <c r="AQ702" s="9"/>
      <c r="AR702" s="9"/>
      <c r="AS702" s="9"/>
      <c r="AT702" s="9"/>
      <c r="AU702" s="9"/>
    </row>
    <row r="703" spans="37:47" ht="15.75" customHeight="1">
      <c r="AK703" s="9"/>
      <c r="AL703" s="9"/>
      <c r="AM703" s="9"/>
      <c r="AN703" s="9"/>
      <c r="AO703" s="9"/>
      <c r="AP703" s="9"/>
      <c r="AQ703" s="9"/>
      <c r="AR703" s="9"/>
      <c r="AS703" s="9"/>
      <c r="AT703" s="9"/>
      <c r="AU703" s="9"/>
    </row>
    <row r="704" spans="37:47" ht="15.75" customHeight="1">
      <c r="AK704" s="9"/>
      <c r="AL704" s="9"/>
      <c r="AM704" s="9"/>
      <c r="AN704" s="9"/>
      <c r="AO704" s="9"/>
      <c r="AP704" s="9"/>
      <c r="AQ704" s="9"/>
      <c r="AR704" s="9"/>
      <c r="AS704" s="9"/>
      <c r="AT704" s="9"/>
      <c r="AU704" s="9"/>
    </row>
    <row r="705" spans="37:47" ht="15.75" customHeight="1">
      <c r="AK705" s="9"/>
      <c r="AL705" s="9"/>
      <c r="AM705" s="9"/>
      <c r="AN705" s="9"/>
      <c r="AO705" s="9"/>
      <c r="AP705" s="9"/>
      <c r="AQ705" s="9"/>
      <c r="AR705" s="9"/>
      <c r="AS705" s="9"/>
      <c r="AT705" s="9"/>
      <c r="AU705" s="9"/>
    </row>
    <row r="706" spans="37:47" ht="15.75" customHeight="1">
      <c r="AK706" s="9"/>
      <c r="AL706" s="9"/>
      <c r="AM706" s="9"/>
      <c r="AN706" s="9"/>
      <c r="AO706" s="9"/>
      <c r="AP706" s="9"/>
      <c r="AQ706" s="9"/>
      <c r="AR706" s="9"/>
      <c r="AS706" s="9"/>
      <c r="AT706" s="9"/>
      <c r="AU706" s="9"/>
    </row>
    <row r="707" spans="37:47" ht="15.75" customHeight="1">
      <c r="AK707" s="9"/>
      <c r="AL707" s="9"/>
      <c r="AM707" s="9"/>
      <c r="AN707" s="9"/>
      <c r="AO707" s="9"/>
      <c r="AP707" s="9"/>
      <c r="AQ707" s="9"/>
      <c r="AR707" s="9"/>
      <c r="AS707" s="9"/>
      <c r="AT707" s="9"/>
      <c r="AU707" s="9"/>
    </row>
    <row r="708" spans="37:47" ht="15.75" customHeight="1">
      <c r="AK708" s="9"/>
      <c r="AL708" s="9"/>
      <c r="AM708" s="9"/>
      <c r="AN708" s="9"/>
      <c r="AO708" s="9"/>
      <c r="AP708" s="9"/>
      <c r="AQ708" s="9"/>
      <c r="AR708" s="9"/>
      <c r="AS708" s="9"/>
      <c r="AT708" s="9"/>
      <c r="AU708" s="9"/>
    </row>
    <row r="709" spans="37:47" ht="15.75" customHeight="1">
      <c r="AK709" s="9"/>
      <c r="AL709" s="9"/>
      <c r="AM709" s="9"/>
      <c r="AN709" s="9"/>
      <c r="AO709" s="9"/>
      <c r="AP709" s="9"/>
      <c r="AQ709" s="9"/>
      <c r="AR709" s="9"/>
      <c r="AS709" s="9"/>
      <c r="AT709" s="9"/>
      <c r="AU709" s="9"/>
    </row>
    <row r="710" spans="37:47" ht="15.75" customHeight="1">
      <c r="AK710" s="9"/>
      <c r="AL710" s="9"/>
      <c r="AM710" s="9"/>
      <c r="AN710" s="9"/>
      <c r="AO710" s="9"/>
      <c r="AP710" s="9"/>
      <c r="AQ710" s="9"/>
      <c r="AR710" s="9"/>
      <c r="AS710" s="9"/>
      <c r="AT710" s="9"/>
      <c r="AU710" s="9"/>
    </row>
    <row r="711" spans="37:47" ht="15.75" customHeight="1">
      <c r="AK711" s="9"/>
      <c r="AL711" s="9"/>
      <c r="AM711" s="9"/>
      <c r="AN711" s="9"/>
      <c r="AO711" s="9"/>
      <c r="AP711" s="9"/>
      <c r="AQ711" s="9"/>
      <c r="AR711" s="9"/>
      <c r="AS711" s="9"/>
      <c r="AT711" s="9"/>
      <c r="AU711" s="9"/>
    </row>
    <row r="712" spans="37:47" ht="15.75" customHeight="1">
      <c r="AK712" s="9"/>
      <c r="AL712" s="9"/>
      <c r="AM712" s="9"/>
      <c r="AN712" s="9"/>
      <c r="AO712" s="9"/>
      <c r="AP712" s="9"/>
      <c r="AQ712" s="9"/>
      <c r="AR712" s="9"/>
      <c r="AS712" s="9"/>
      <c r="AT712" s="9"/>
      <c r="AU712" s="9"/>
    </row>
    <row r="713" spans="37:47" ht="15.75" customHeight="1">
      <c r="AK713" s="9"/>
      <c r="AL713" s="9"/>
      <c r="AM713" s="9"/>
      <c r="AN713" s="9"/>
      <c r="AO713" s="9"/>
      <c r="AP713" s="9"/>
      <c r="AQ713" s="9"/>
      <c r="AR713" s="9"/>
      <c r="AS713" s="9"/>
      <c r="AT713" s="9"/>
      <c r="AU713" s="9"/>
    </row>
    <row r="714" spans="37:47" ht="15.75" customHeight="1">
      <c r="AK714" s="9"/>
      <c r="AL714" s="9"/>
      <c r="AM714" s="9"/>
      <c r="AN714" s="9"/>
      <c r="AO714" s="9"/>
      <c r="AP714" s="9"/>
      <c r="AQ714" s="9"/>
      <c r="AR714" s="9"/>
      <c r="AS714" s="9"/>
      <c r="AT714" s="9"/>
      <c r="AU714" s="9"/>
    </row>
    <row r="715" spans="37:47" ht="15.75" customHeight="1">
      <c r="AK715" s="9"/>
      <c r="AL715" s="9"/>
      <c r="AM715" s="9"/>
      <c r="AN715" s="9"/>
      <c r="AO715" s="9"/>
      <c r="AP715" s="9"/>
      <c r="AQ715" s="9"/>
      <c r="AR715" s="9"/>
      <c r="AS715" s="9"/>
      <c r="AT715" s="9"/>
      <c r="AU715" s="9"/>
    </row>
    <row r="716" spans="37:47" ht="15.75" customHeight="1">
      <c r="AK716" s="9"/>
      <c r="AL716" s="9"/>
      <c r="AM716" s="9"/>
      <c r="AN716" s="9"/>
      <c r="AO716" s="9"/>
      <c r="AP716" s="9"/>
      <c r="AQ716" s="9"/>
      <c r="AR716" s="9"/>
      <c r="AS716" s="9"/>
      <c r="AT716" s="9"/>
      <c r="AU716" s="9"/>
    </row>
    <row r="717" spans="37:47" ht="15.75" customHeight="1">
      <c r="AK717" s="9"/>
      <c r="AL717" s="9"/>
      <c r="AM717" s="9"/>
      <c r="AN717" s="9"/>
      <c r="AO717" s="9"/>
      <c r="AP717" s="9"/>
      <c r="AQ717" s="9"/>
      <c r="AR717" s="9"/>
      <c r="AS717" s="9"/>
      <c r="AT717" s="9"/>
      <c r="AU717" s="9"/>
    </row>
    <row r="718" spans="37:47" ht="15.75" customHeight="1">
      <c r="AK718" s="9"/>
      <c r="AL718" s="9"/>
      <c r="AM718" s="9"/>
      <c r="AN718" s="9"/>
      <c r="AO718" s="9"/>
      <c r="AP718" s="9"/>
      <c r="AQ718" s="9"/>
      <c r="AR718" s="9"/>
      <c r="AS718" s="9"/>
      <c r="AT718" s="9"/>
      <c r="AU718" s="9"/>
    </row>
    <row r="719" spans="37:47" ht="15.75" customHeight="1">
      <c r="AK719" s="9"/>
      <c r="AL719" s="9"/>
      <c r="AM719" s="9"/>
      <c r="AN719" s="9"/>
      <c r="AO719" s="9"/>
      <c r="AP719" s="9"/>
      <c r="AQ719" s="9"/>
      <c r="AR719" s="9"/>
      <c r="AS719" s="9"/>
      <c r="AT719" s="9"/>
      <c r="AU719" s="9"/>
    </row>
    <row r="720" spans="37:47" ht="15.75" customHeight="1">
      <c r="AK720" s="9"/>
      <c r="AL720" s="9"/>
      <c r="AM720" s="9"/>
      <c r="AN720" s="9"/>
      <c r="AO720" s="9"/>
      <c r="AP720" s="9"/>
      <c r="AQ720" s="9"/>
      <c r="AR720" s="9"/>
      <c r="AS720" s="9"/>
      <c r="AT720" s="9"/>
      <c r="AU720" s="9"/>
    </row>
    <row r="721" spans="37:47" ht="15.75" customHeight="1">
      <c r="AK721" s="9"/>
      <c r="AL721" s="9"/>
      <c r="AM721" s="9"/>
      <c r="AN721" s="9"/>
      <c r="AO721" s="9"/>
      <c r="AP721" s="9"/>
      <c r="AQ721" s="9"/>
      <c r="AR721" s="9"/>
      <c r="AS721" s="9"/>
      <c r="AT721" s="9"/>
      <c r="AU721" s="9"/>
    </row>
    <row r="722" spans="37:47" ht="15.75" customHeight="1">
      <c r="AK722" s="9"/>
      <c r="AL722" s="9"/>
      <c r="AM722" s="9"/>
      <c r="AN722" s="9"/>
      <c r="AO722" s="9"/>
      <c r="AP722" s="9"/>
      <c r="AQ722" s="9"/>
      <c r="AR722" s="9"/>
      <c r="AS722" s="9"/>
      <c r="AT722" s="9"/>
      <c r="AU722" s="9"/>
    </row>
    <row r="723" spans="37:47" ht="15.75" customHeight="1">
      <c r="AK723" s="9"/>
      <c r="AL723" s="9"/>
      <c r="AM723" s="9"/>
      <c r="AN723" s="9"/>
      <c r="AO723" s="9"/>
      <c r="AP723" s="9"/>
      <c r="AQ723" s="9"/>
      <c r="AR723" s="9"/>
      <c r="AS723" s="9"/>
      <c r="AT723" s="9"/>
      <c r="AU723" s="9"/>
    </row>
    <row r="724" spans="37:47" ht="15.75" customHeight="1">
      <c r="AK724" s="9"/>
      <c r="AL724" s="9"/>
      <c r="AM724" s="9"/>
      <c r="AN724" s="9"/>
      <c r="AO724" s="9"/>
      <c r="AP724" s="9"/>
      <c r="AQ724" s="9"/>
      <c r="AR724" s="9"/>
      <c r="AS724" s="9"/>
      <c r="AT724" s="9"/>
      <c r="AU724" s="9"/>
    </row>
    <row r="725" spans="37:47" ht="15.75" customHeight="1">
      <c r="AK725" s="9"/>
      <c r="AL725" s="9"/>
      <c r="AM725" s="9"/>
      <c r="AN725" s="9"/>
      <c r="AO725" s="9"/>
      <c r="AP725" s="9"/>
      <c r="AQ725" s="9"/>
      <c r="AR725" s="9"/>
      <c r="AS725" s="9"/>
      <c r="AT725" s="9"/>
      <c r="AU725" s="9"/>
    </row>
    <row r="726" spans="37:47" ht="15.75" customHeight="1">
      <c r="AK726" s="9"/>
      <c r="AL726" s="9"/>
      <c r="AM726" s="9"/>
      <c r="AN726" s="9"/>
      <c r="AO726" s="9"/>
      <c r="AP726" s="9"/>
      <c r="AQ726" s="9"/>
      <c r="AR726" s="9"/>
      <c r="AS726" s="9"/>
      <c r="AT726" s="9"/>
      <c r="AU726" s="9"/>
    </row>
    <row r="727" spans="37:47" ht="15.75" customHeight="1">
      <c r="AK727" s="9"/>
      <c r="AL727" s="9"/>
      <c r="AM727" s="9"/>
      <c r="AN727" s="9"/>
      <c r="AO727" s="9"/>
      <c r="AP727" s="9"/>
      <c r="AQ727" s="9"/>
      <c r="AR727" s="9"/>
      <c r="AS727" s="9"/>
      <c r="AT727" s="9"/>
      <c r="AU727" s="9"/>
    </row>
    <row r="728" spans="37:47" ht="15.75" customHeight="1">
      <c r="AK728" s="9"/>
      <c r="AL728" s="9"/>
      <c r="AM728" s="9"/>
      <c r="AN728" s="9"/>
      <c r="AO728" s="9"/>
      <c r="AP728" s="9"/>
      <c r="AQ728" s="9"/>
      <c r="AR728" s="9"/>
      <c r="AS728" s="9"/>
      <c r="AT728" s="9"/>
      <c r="AU728" s="9"/>
    </row>
    <row r="729" spans="37:47" ht="15.75" customHeight="1">
      <c r="AK729" s="9"/>
      <c r="AL729" s="9"/>
      <c r="AM729" s="9"/>
      <c r="AN729" s="9"/>
      <c r="AO729" s="9"/>
      <c r="AP729" s="9"/>
      <c r="AQ729" s="9"/>
      <c r="AR729" s="9"/>
      <c r="AS729" s="9"/>
      <c r="AT729" s="9"/>
      <c r="AU729" s="9"/>
    </row>
    <row r="730" spans="37:47" ht="15.75" customHeight="1">
      <c r="AK730" s="9"/>
      <c r="AL730" s="9"/>
      <c r="AM730" s="9"/>
      <c r="AN730" s="9"/>
      <c r="AO730" s="9"/>
      <c r="AP730" s="9"/>
      <c r="AQ730" s="9"/>
      <c r="AR730" s="9"/>
      <c r="AS730" s="9"/>
      <c r="AT730" s="9"/>
      <c r="AU730" s="9"/>
    </row>
    <row r="731" spans="37:47" ht="15.75" customHeight="1">
      <c r="AK731" s="9"/>
      <c r="AL731" s="9"/>
      <c r="AM731" s="9"/>
      <c r="AN731" s="9"/>
      <c r="AO731" s="9"/>
      <c r="AP731" s="9"/>
      <c r="AQ731" s="9"/>
      <c r="AR731" s="9"/>
      <c r="AS731" s="9"/>
      <c r="AT731" s="9"/>
      <c r="AU731" s="9"/>
    </row>
    <row r="732" spans="37:47" ht="15.75" customHeight="1">
      <c r="AK732" s="9"/>
      <c r="AL732" s="9"/>
      <c r="AM732" s="9"/>
      <c r="AN732" s="9"/>
      <c r="AO732" s="9"/>
      <c r="AP732" s="9"/>
      <c r="AQ732" s="9"/>
      <c r="AR732" s="9"/>
      <c r="AS732" s="9"/>
      <c r="AT732" s="9"/>
      <c r="AU732" s="9"/>
    </row>
    <row r="733" spans="37:47" ht="15.75" customHeight="1">
      <c r="AK733" s="9"/>
      <c r="AL733" s="9"/>
      <c r="AM733" s="9"/>
      <c r="AN733" s="9"/>
      <c r="AO733" s="9"/>
      <c r="AP733" s="9"/>
      <c r="AQ733" s="9"/>
      <c r="AR733" s="9"/>
      <c r="AS733" s="9"/>
      <c r="AT733" s="9"/>
      <c r="AU733" s="9"/>
    </row>
    <row r="734" spans="37:47" ht="15.75" customHeight="1">
      <c r="AK734" s="9"/>
      <c r="AL734" s="9"/>
      <c r="AM734" s="9"/>
      <c r="AN734" s="9"/>
      <c r="AO734" s="9"/>
      <c r="AP734" s="9"/>
      <c r="AQ734" s="9"/>
      <c r="AR734" s="9"/>
      <c r="AS734" s="9"/>
      <c r="AT734" s="9"/>
      <c r="AU734" s="9"/>
    </row>
    <row r="735" spans="37:47" ht="15.75" customHeight="1">
      <c r="AK735" s="9"/>
      <c r="AL735" s="9"/>
      <c r="AM735" s="9"/>
      <c r="AN735" s="9"/>
      <c r="AO735" s="9"/>
      <c r="AP735" s="9"/>
      <c r="AQ735" s="9"/>
      <c r="AR735" s="9"/>
      <c r="AS735" s="9"/>
      <c r="AT735" s="9"/>
      <c r="AU735" s="9"/>
    </row>
    <row r="736" spans="37:47" ht="15.75" customHeight="1">
      <c r="AK736" s="9"/>
      <c r="AL736" s="9"/>
      <c r="AM736" s="9"/>
      <c r="AN736" s="9"/>
      <c r="AO736" s="9"/>
      <c r="AP736" s="9"/>
      <c r="AQ736" s="9"/>
      <c r="AR736" s="9"/>
      <c r="AS736" s="9"/>
      <c r="AT736" s="9"/>
      <c r="AU736" s="9"/>
    </row>
    <row r="737" spans="37:47" ht="15.75" customHeight="1">
      <c r="AK737" s="9"/>
      <c r="AL737" s="9"/>
      <c r="AM737" s="9"/>
      <c r="AN737" s="9"/>
      <c r="AO737" s="9"/>
      <c r="AP737" s="9"/>
      <c r="AQ737" s="9"/>
      <c r="AR737" s="9"/>
      <c r="AS737" s="9"/>
      <c r="AT737" s="9"/>
      <c r="AU737" s="9"/>
    </row>
    <row r="738" spans="37:47" ht="15.75" customHeight="1">
      <c r="AK738" s="9"/>
      <c r="AL738" s="9"/>
      <c r="AM738" s="9"/>
      <c r="AN738" s="9"/>
      <c r="AO738" s="9"/>
      <c r="AP738" s="9"/>
      <c r="AQ738" s="9"/>
      <c r="AR738" s="9"/>
      <c r="AS738" s="9"/>
      <c r="AT738" s="9"/>
      <c r="AU738" s="9"/>
    </row>
    <row r="739" spans="37:47" ht="15.75" customHeight="1">
      <c r="AK739" s="9"/>
      <c r="AL739" s="9"/>
      <c r="AM739" s="9"/>
      <c r="AN739" s="9"/>
      <c r="AO739" s="9"/>
      <c r="AP739" s="9"/>
      <c r="AQ739" s="9"/>
      <c r="AR739" s="9"/>
      <c r="AS739" s="9"/>
      <c r="AT739" s="9"/>
      <c r="AU739" s="9"/>
    </row>
    <row r="740" spans="37:47" ht="15.75" customHeight="1">
      <c r="AK740" s="9"/>
      <c r="AL740" s="9"/>
      <c r="AM740" s="9"/>
      <c r="AN740" s="9"/>
      <c r="AO740" s="9"/>
      <c r="AP740" s="9"/>
      <c r="AQ740" s="9"/>
      <c r="AR740" s="9"/>
      <c r="AS740" s="9"/>
      <c r="AT740" s="9"/>
      <c r="AU740" s="9"/>
    </row>
    <row r="741" spans="37:47" ht="15.75" customHeight="1">
      <c r="AK741" s="9"/>
      <c r="AL741" s="9"/>
      <c r="AM741" s="9"/>
      <c r="AN741" s="9"/>
      <c r="AO741" s="9"/>
      <c r="AP741" s="9"/>
      <c r="AQ741" s="9"/>
      <c r="AR741" s="9"/>
      <c r="AS741" s="9"/>
      <c r="AT741" s="9"/>
      <c r="AU741" s="9"/>
    </row>
    <row r="742" spans="37:47" ht="15.75" customHeight="1">
      <c r="AK742" s="9"/>
      <c r="AL742" s="9"/>
      <c r="AM742" s="9"/>
      <c r="AN742" s="9"/>
      <c r="AO742" s="9"/>
      <c r="AP742" s="9"/>
      <c r="AQ742" s="9"/>
      <c r="AR742" s="9"/>
      <c r="AS742" s="9"/>
      <c r="AT742" s="9"/>
      <c r="AU742" s="9"/>
    </row>
    <row r="743" spans="37:47" ht="15.75" customHeight="1">
      <c r="AK743" s="9"/>
      <c r="AL743" s="9"/>
      <c r="AM743" s="9"/>
      <c r="AN743" s="9"/>
      <c r="AO743" s="9"/>
      <c r="AP743" s="9"/>
      <c r="AQ743" s="9"/>
      <c r="AR743" s="9"/>
      <c r="AS743" s="9"/>
      <c r="AT743" s="9"/>
      <c r="AU743" s="9"/>
    </row>
    <row r="744" spans="37:47" ht="15.75" customHeight="1">
      <c r="AK744" s="9"/>
      <c r="AL744" s="9"/>
      <c r="AM744" s="9"/>
      <c r="AN744" s="9"/>
      <c r="AO744" s="9"/>
      <c r="AP744" s="9"/>
      <c r="AQ744" s="9"/>
      <c r="AR744" s="9"/>
      <c r="AS744" s="9"/>
      <c r="AT744" s="9"/>
      <c r="AU744" s="9"/>
    </row>
    <row r="745" spans="37:47" ht="15.75" customHeight="1">
      <c r="AK745" s="9"/>
      <c r="AL745" s="9"/>
      <c r="AM745" s="9"/>
      <c r="AN745" s="9"/>
      <c r="AO745" s="9"/>
      <c r="AP745" s="9"/>
      <c r="AQ745" s="9"/>
      <c r="AR745" s="9"/>
      <c r="AS745" s="9"/>
      <c r="AT745" s="9"/>
      <c r="AU745" s="9"/>
    </row>
    <row r="746" spans="37:47" ht="15.75" customHeight="1">
      <c r="AK746" s="9"/>
      <c r="AL746" s="9"/>
      <c r="AM746" s="9"/>
      <c r="AN746" s="9"/>
      <c r="AO746" s="9"/>
      <c r="AP746" s="9"/>
      <c r="AQ746" s="9"/>
      <c r="AR746" s="9"/>
      <c r="AS746" s="9"/>
      <c r="AT746" s="9"/>
      <c r="AU746" s="9"/>
    </row>
    <row r="747" spans="37:47" ht="15.75" customHeight="1">
      <c r="AK747" s="9"/>
      <c r="AL747" s="9"/>
      <c r="AM747" s="9"/>
      <c r="AN747" s="9"/>
      <c r="AO747" s="9"/>
      <c r="AP747" s="9"/>
      <c r="AQ747" s="9"/>
      <c r="AR747" s="9"/>
      <c r="AS747" s="9"/>
      <c r="AT747" s="9"/>
      <c r="AU747" s="9"/>
    </row>
    <row r="748" spans="37:47" ht="15.75" customHeight="1">
      <c r="AK748" s="9"/>
      <c r="AL748" s="9"/>
      <c r="AM748" s="9"/>
      <c r="AN748" s="9"/>
      <c r="AO748" s="9"/>
      <c r="AP748" s="9"/>
      <c r="AQ748" s="9"/>
      <c r="AR748" s="9"/>
      <c r="AS748" s="9"/>
      <c r="AT748" s="9"/>
      <c r="AU748" s="9"/>
    </row>
    <row r="749" spans="37:47" ht="15.75" customHeight="1">
      <c r="AK749" s="9"/>
      <c r="AL749" s="9"/>
      <c r="AM749" s="9"/>
      <c r="AN749" s="9"/>
      <c r="AO749" s="9"/>
      <c r="AP749" s="9"/>
      <c r="AQ749" s="9"/>
      <c r="AR749" s="9"/>
      <c r="AS749" s="9"/>
      <c r="AT749" s="9"/>
      <c r="AU749" s="9"/>
    </row>
    <row r="750" spans="37:47" ht="15.75" customHeight="1">
      <c r="AK750" s="9"/>
      <c r="AL750" s="9"/>
      <c r="AM750" s="9"/>
      <c r="AN750" s="9"/>
      <c r="AO750" s="9"/>
      <c r="AP750" s="9"/>
      <c r="AQ750" s="9"/>
      <c r="AR750" s="9"/>
      <c r="AS750" s="9"/>
      <c r="AT750" s="9"/>
      <c r="AU750" s="9"/>
    </row>
    <row r="751" spans="37:47" ht="15.75" customHeight="1">
      <c r="AK751" s="9"/>
      <c r="AL751" s="9"/>
      <c r="AM751" s="9"/>
      <c r="AN751" s="9"/>
      <c r="AO751" s="9"/>
      <c r="AP751" s="9"/>
      <c r="AQ751" s="9"/>
      <c r="AR751" s="9"/>
      <c r="AS751" s="9"/>
      <c r="AT751" s="9"/>
      <c r="AU751" s="9"/>
    </row>
    <row r="752" spans="37:47" ht="15.75" customHeight="1">
      <c r="AK752" s="9"/>
      <c r="AL752" s="9"/>
      <c r="AM752" s="9"/>
      <c r="AN752" s="9"/>
      <c r="AO752" s="9"/>
      <c r="AP752" s="9"/>
      <c r="AQ752" s="9"/>
      <c r="AR752" s="9"/>
      <c r="AS752" s="9"/>
      <c r="AT752" s="9"/>
      <c r="AU752" s="9"/>
    </row>
    <row r="753" spans="37:47" ht="15.75" customHeight="1">
      <c r="AK753" s="9"/>
      <c r="AL753" s="9"/>
      <c r="AM753" s="9"/>
      <c r="AN753" s="9"/>
      <c r="AO753" s="9"/>
      <c r="AP753" s="9"/>
      <c r="AQ753" s="9"/>
      <c r="AR753" s="9"/>
      <c r="AS753" s="9"/>
      <c r="AT753" s="9"/>
      <c r="AU753" s="9"/>
    </row>
    <row r="754" spans="37:47" ht="15.75" customHeight="1">
      <c r="AK754" s="9"/>
      <c r="AL754" s="9"/>
      <c r="AM754" s="9"/>
      <c r="AN754" s="9"/>
      <c r="AO754" s="9"/>
      <c r="AP754" s="9"/>
      <c r="AQ754" s="9"/>
      <c r="AR754" s="9"/>
      <c r="AS754" s="9"/>
      <c r="AT754" s="9"/>
      <c r="AU754" s="9"/>
    </row>
    <row r="755" spans="37:47" ht="15.75" customHeight="1">
      <c r="AK755" s="9"/>
      <c r="AL755" s="9"/>
      <c r="AM755" s="9"/>
      <c r="AN755" s="9"/>
      <c r="AO755" s="9"/>
      <c r="AP755" s="9"/>
      <c r="AQ755" s="9"/>
      <c r="AR755" s="9"/>
      <c r="AS755" s="9"/>
      <c r="AT755" s="9"/>
      <c r="AU755" s="9"/>
    </row>
    <row r="756" spans="37:47" ht="15.75" customHeight="1">
      <c r="AK756" s="9"/>
      <c r="AL756" s="9"/>
      <c r="AM756" s="9"/>
      <c r="AN756" s="9"/>
      <c r="AO756" s="9"/>
      <c r="AP756" s="9"/>
      <c r="AQ756" s="9"/>
      <c r="AR756" s="9"/>
      <c r="AS756" s="9"/>
      <c r="AT756" s="9"/>
      <c r="AU756" s="9"/>
    </row>
    <row r="757" spans="37:47" ht="15.75" customHeight="1">
      <c r="AK757" s="9"/>
      <c r="AL757" s="9"/>
      <c r="AM757" s="9"/>
      <c r="AN757" s="9"/>
      <c r="AO757" s="9"/>
      <c r="AP757" s="9"/>
      <c r="AQ757" s="9"/>
      <c r="AR757" s="9"/>
      <c r="AS757" s="9"/>
      <c r="AT757" s="9"/>
      <c r="AU757" s="9"/>
    </row>
    <row r="758" spans="37:47" ht="15.75" customHeight="1">
      <c r="AK758" s="9"/>
      <c r="AL758" s="9"/>
      <c r="AM758" s="9"/>
      <c r="AN758" s="9"/>
      <c r="AO758" s="9"/>
      <c r="AP758" s="9"/>
      <c r="AQ758" s="9"/>
      <c r="AR758" s="9"/>
      <c r="AS758" s="9"/>
      <c r="AT758" s="9"/>
      <c r="AU758" s="9"/>
    </row>
    <row r="759" spans="37:47" ht="15.75" customHeight="1">
      <c r="AK759" s="9"/>
      <c r="AL759" s="9"/>
      <c r="AM759" s="9"/>
      <c r="AN759" s="9"/>
      <c r="AO759" s="9"/>
      <c r="AP759" s="9"/>
      <c r="AQ759" s="9"/>
      <c r="AR759" s="9"/>
      <c r="AS759" s="9"/>
      <c r="AT759" s="9"/>
      <c r="AU759" s="9"/>
    </row>
    <row r="760" spans="37:47" ht="15.75" customHeight="1">
      <c r="AK760" s="9"/>
      <c r="AL760" s="9"/>
      <c r="AM760" s="9"/>
      <c r="AN760" s="9"/>
      <c r="AO760" s="9"/>
      <c r="AP760" s="9"/>
      <c r="AQ760" s="9"/>
      <c r="AR760" s="9"/>
      <c r="AS760" s="9"/>
      <c r="AT760" s="9"/>
      <c r="AU760" s="9"/>
    </row>
    <row r="761" spans="37:47" ht="15.75" customHeight="1">
      <c r="AK761" s="9"/>
      <c r="AL761" s="9"/>
      <c r="AM761" s="9"/>
      <c r="AN761" s="9"/>
      <c r="AO761" s="9"/>
      <c r="AP761" s="9"/>
      <c r="AQ761" s="9"/>
      <c r="AR761" s="9"/>
      <c r="AS761" s="9"/>
      <c r="AT761" s="9"/>
      <c r="AU761" s="9"/>
    </row>
    <row r="762" spans="37:47" ht="15.75" customHeight="1">
      <c r="AK762" s="9"/>
      <c r="AL762" s="9"/>
      <c r="AM762" s="9"/>
      <c r="AN762" s="9"/>
      <c r="AO762" s="9"/>
      <c r="AP762" s="9"/>
      <c r="AQ762" s="9"/>
      <c r="AR762" s="9"/>
      <c r="AS762" s="9"/>
      <c r="AT762" s="9"/>
      <c r="AU762" s="9"/>
    </row>
    <row r="763" spans="37:47" ht="15.75" customHeight="1">
      <c r="AK763" s="9"/>
      <c r="AL763" s="9"/>
      <c r="AM763" s="9"/>
      <c r="AN763" s="9"/>
      <c r="AO763" s="9"/>
      <c r="AP763" s="9"/>
      <c r="AQ763" s="9"/>
      <c r="AR763" s="9"/>
      <c r="AS763" s="9"/>
      <c r="AT763" s="9"/>
      <c r="AU763" s="9"/>
    </row>
    <row r="764" spans="37:47" ht="15.75" customHeight="1">
      <c r="AK764" s="9"/>
      <c r="AL764" s="9"/>
      <c r="AM764" s="9"/>
      <c r="AN764" s="9"/>
      <c r="AO764" s="9"/>
      <c r="AP764" s="9"/>
      <c r="AQ764" s="9"/>
      <c r="AR764" s="9"/>
      <c r="AS764" s="9"/>
      <c r="AT764" s="9"/>
      <c r="AU764" s="9"/>
    </row>
    <row r="765" spans="37:47" ht="15.75" customHeight="1">
      <c r="AK765" s="9"/>
      <c r="AL765" s="9"/>
      <c r="AM765" s="9"/>
      <c r="AN765" s="9"/>
      <c r="AO765" s="9"/>
      <c r="AP765" s="9"/>
      <c r="AQ765" s="9"/>
      <c r="AR765" s="9"/>
      <c r="AS765" s="9"/>
      <c r="AT765" s="9"/>
      <c r="AU765" s="9"/>
    </row>
    <row r="766" spans="37:47" ht="15.75" customHeight="1">
      <c r="AK766" s="9"/>
      <c r="AL766" s="9"/>
      <c r="AM766" s="9"/>
      <c r="AN766" s="9"/>
      <c r="AO766" s="9"/>
      <c r="AP766" s="9"/>
      <c r="AQ766" s="9"/>
      <c r="AR766" s="9"/>
      <c r="AS766" s="9"/>
      <c r="AT766" s="9"/>
      <c r="AU766" s="9"/>
    </row>
    <row r="767" spans="37:47" ht="15.75" customHeight="1">
      <c r="AK767" s="9"/>
      <c r="AL767" s="9"/>
      <c r="AM767" s="9"/>
      <c r="AN767" s="9"/>
      <c r="AO767" s="9"/>
      <c r="AP767" s="9"/>
      <c r="AQ767" s="9"/>
      <c r="AR767" s="9"/>
      <c r="AS767" s="9"/>
      <c r="AT767" s="9"/>
      <c r="AU767" s="9"/>
    </row>
    <row r="768" spans="37:47" ht="15.75" customHeight="1">
      <c r="AK768" s="9"/>
      <c r="AL768" s="9"/>
      <c r="AM768" s="9"/>
      <c r="AN768" s="9"/>
      <c r="AO768" s="9"/>
      <c r="AP768" s="9"/>
      <c r="AQ768" s="9"/>
      <c r="AR768" s="9"/>
      <c r="AS768" s="9"/>
      <c r="AT768" s="9"/>
      <c r="AU768" s="9"/>
    </row>
    <row r="769" spans="37:47" ht="15.75" customHeight="1">
      <c r="AK769" s="9"/>
      <c r="AL769" s="9"/>
      <c r="AM769" s="9"/>
      <c r="AN769" s="9"/>
      <c r="AO769" s="9"/>
      <c r="AP769" s="9"/>
      <c r="AQ769" s="9"/>
      <c r="AR769" s="9"/>
      <c r="AS769" s="9"/>
      <c r="AT769" s="9"/>
      <c r="AU769" s="9"/>
    </row>
    <row r="770" spans="37:47" ht="15.75" customHeight="1">
      <c r="AK770" s="9"/>
      <c r="AL770" s="9"/>
      <c r="AM770" s="9"/>
      <c r="AN770" s="9"/>
      <c r="AO770" s="9"/>
      <c r="AP770" s="9"/>
      <c r="AQ770" s="9"/>
      <c r="AR770" s="9"/>
      <c r="AS770" s="9"/>
      <c r="AT770" s="9"/>
      <c r="AU770" s="9"/>
    </row>
    <row r="771" spans="37:47" ht="15.75" customHeight="1">
      <c r="AK771" s="9"/>
      <c r="AL771" s="9"/>
      <c r="AM771" s="9"/>
      <c r="AN771" s="9"/>
      <c r="AO771" s="9"/>
      <c r="AP771" s="9"/>
      <c r="AQ771" s="9"/>
      <c r="AR771" s="9"/>
      <c r="AS771" s="9"/>
      <c r="AT771" s="9"/>
      <c r="AU771" s="9"/>
    </row>
    <row r="772" spans="37:47" ht="15.75" customHeight="1">
      <c r="AK772" s="9"/>
      <c r="AL772" s="9"/>
      <c r="AM772" s="9"/>
      <c r="AN772" s="9"/>
      <c r="AO772" s="9"/>
      <c r="AP772" s="9"/>
      <c r="AQ772" s="9"/>
      <c r="AR772" s="9"/>
      <c r="AS772" s="9"/>
      <c r="AT772" s="9"/>
      <c r="AU772" s="9"/>
    </row>
    <row r="773" spans="37:47" ht="15.75" customHeight="1">
      <c r="AK773" s="9"/>
      <c r="AL773" s="9"/>
      <c r="AM773" s="9"/>
      <c r="AN773" s="9"/>
      <c r="AO773" s="9"/>
      <c r="AP773" s="9"/>
      <c r="AQ773" s="9"/>
      <c r="AR773" s="9"/>
      <c r="AS773" s="9"/>
      <c r="AT773" s="9"/>
      <c r="AU773" s="9"/>
    </row>
    <row r="774" spans="37:47" ht="15.75" customHeight="1">
      <c r="AK774" s="9"/>
      <c r="AL774" s="9"/>
      <c r="AM774" s="9"/>
      <c r="AN774" s="9"/>
      <c r="AO774" s="9"/>
      <c r="AP774" s="9"/>
      <c r="AQ774" s="9"/>
      <c r="AR774" s="9"/>
      <c r="AS774" s="9"/>
      <c r="AT774" s="9"/>
      <c r="AU774" s="9"/>
    </row>
    <row r="775" spans="37:47" ht="15.75" customHeight="1">
      <c r="AK775" s="9"/>
      <c r="AL775" s="9"/>
      <c r="AM775" s="9"/>
      <c r="AN775" s="9"/>
      <c r="AO775" s="9"/>
      <c r="AP775" s="9"/>
      <c r="AQ775" s="9"/>
      <c r="AR775" s="9"/>
      <c r="AS775" s="9"/>
      <c r="AT775" s="9"/>
      <c r="AU775" s="9"/>
    </row>
    <row r="776" spans="37:47" ht="15.75" customHeight="1">
      <c r="AK776" s="9"/>
      <c r="AL776" s="9"/>
      <c r="AM776" s="9"/>
      <c r="AN776" s="9"/>
      <c r="AO776" s="9"/>
      <c r="AP776" s="9"/>
      <c r="AQ776" s="9"/>
      <c r="AR776" s="9"/>
      <c r="AS776" s="9"/>
      <c r="AT776" s="9"/>
      <c r="AU776" s="9"/>
    </row>
    <row r="777" spans="37:47" ht="15.75" customHeight="1">
      <c r="AK777" s="9"/>
      <c r="AL777" s="9"/>
      <c r="AM777" s="9"/>
      <c r="AN777" s="9"/>
      <c r="AO777" s="9"/>
      <c r="AP777" s="9"/>
      <c r="AQ777" s="9"/>
      <c r="AR777" s="9"/>
      <c r="AS777" s="9"/>
      <c r="AT777" s="9"/>
      <c r="AU777" s="9"/>
    </row>
    <row r="778" spans="37:47" ht="15.75" customHeight="1">
      <c r="AK778" s="9"/>
      <c r="AL778" s="9"/>
      <c r="AM778" s="9"/>
      <c r="AN778" s="9"/>
      <c r="AO778" s="9"/>
      <c r="AP778" s="9"/>
      <c r="AQ778" s="9"/>
      <c r="AR778" s="9"/>
      <c r="AS778" s="9"/>
      <c r="AT778" s="9"/>
      <c r="AU778" s="9"/>
    </row>
    <row r="779" spans="37:47" ht="15.75" customHeight="1">
      <c r="AK779" s="9"/>
      <c r="AL779" s="9"/>
      <c r="AM779" s="9"/>
      <c r="AN779" s="9"/>
      <c r="AO779" s="9"/>
      <c r="AP779" s="9"/>
      <c r="AQ779" s="9"/>
      <c r="AR779" s="9"/>
      <c r="AS779" s="9"/>
      <c r="AT779" s="9"/>
      <c r="AU779" s="9"/>
    </row>
    <row r="780" spans="37:47" ht="15.75" customHeight="1">
      <c r="AK780" s="9"/>
      <c r="AL780" s="9"/>
      <c r="AM780" s="9"/>
      <c r="AN780" s="9"/>
      <c r="AO780" s="9"/>
      <c r="AP780" s="9"/>
      <c r="AQ780" s="9"/>
      <c r="AR780" s="9"/>
      <c r="AS780" s="9"/>
      <c r="AT780" s="9"/>
      <c r="AU780" s="9"/>
    </row>
    <row r="781" spans="37:47" ht="15.75" customHeight="1">
      <c r="AK781" s="9"/>
      <c r="AL781" s="9"/>
      <c r="AM781" s="9"/>
      <c r="AN781" s="9"/>
      <c r="AO781" s="9"/>
      <c r="AP781" s="9"/>
      <c r="AQ781" s="9"/>
      <c r="AR781" s="9"/>
      <c r="AS781" s="9"/>
      <c r="AT781" s="9"/>
      <c r="AU781" s="9"/>
    </row>
    <row r="782" spans="37:47" ht="15.75" customHeight="1">
      <c r="AK782" s="9"/>
      <c r="AL782" s="9"/>
      <c r="AM782" s="9"/>
      <c r="AN782" s="9"/>
      <c r="AO782" s="9"/>
      <c r="AP782" s="9"/>
      <c r="AQ782" s="9"/>
      <c r="AR782" s="9"/>
      <c r="AS782" s="9"/>
      <c r="AT782" s="9"/>
      <c r="AU782" s="9"/>
    </row>
    <row r="783" spans="37:47" ht="15.75" customHeight="1">
      <c r="AK783" s="9"/>
      <c r="AL783" s="9"/>
      <c r="AM783" s="9"/>
      <c r="AN783" s="9"/>
      <c r="AO783" s="9"/>
      <c r="AP783" s="9"/>
      <c r="AQ783" s="9"/>
      <c r="AR783" s="9"/>
      <c r="AS783" s="9"/>
      <c r="AT783" s="9"/>
      <c r="AU783" s="9"/>
    </row>
    <row r="784" spans="37:47" ht="15.75" customHeight="1">
      <c r="AK784" s="9"/>
      <c r="AL784" s="9"/>
      <c r="AM784" s="9"/>
      <c r="AN784" s="9"/>
      <c r="AO784" s="9"/>
      <c r="AP784" s="9"/>
      <c r="AQ784" s="9"/>
      <c r="AR784" s="9"/>
      <c r="AS784" s="9"/>
      <c r="AT784" s="9"/>
      <c r="AU784" s="9"/>
    </row>
    <row r="785" spans="37:47" ht="15.75" customHeight="1">
      <c r="AK785" s="9"/>
      <c r="AL785" s="9"/>
      <c r="AM785" s="9"/>
      <c r="AN785" s="9"/>
      <c r="AO785" s="9"/>
      <c r="AP785" s="9"/>
      <c r="AQ785" s="9"/>
      <c r="AR785" s="9"/>
      <c r="AS785" s="9"/>
      <c r="AT785" s="9"/>
      <c r="AU785" s="9"/>
    </row>
    <row r="786" spans="37:47" ht="15.75" customHeight="1">
      <c r="AK786" s="9"/>
      <c r="AL786" s="9"/>
      <c r="AM786" s="9"/>
      <c r="AN786" s="9"/>
      <c r="AO786" s="9"/>
      <c r="AP786" s="9"/>
      <c r="AQ786" s="9"/>
      <c r="AR786" s="9"/>
      <c r="AS786" s="9"/>
      <c r="AT786" s="9"/>
      <c r="AU786" s="9"/>
    </row>
    <row r="787" spans="37:47" ht="15.75" customHeight="1">
      <c r="AK787" s="9"/>
      <c r="AL787" s="9"/>
      <c r="AM787" s="9"/>
      <c r="AN787" s="9"/>
      <c r="AO787" s="9"/>
      <c r="AP787" s="9"/>
      <c r="AQ787" s="9"/>
      <c r="AR787" s="9"/>
      <c r="AS787" s="9"/>
      <c r="AT787" s="9"/>
      <c r="AU787" s="9"/>
    </row>
    <row r="788" spans="37:47" ht="15.75" customHeight="1">
      <c r="AK788" s="9"/>
      <c r="AL788" s="9"/>
      <c r="AM788" s="9"/>
      <c r="AN788" s="9"/>
      <c r="AO788" s="9"/>
      <c r="AP788" s="9"/>
      <c r="AQ788" s="9"/>
      <c r="AR788" s="9"/>
      <c r="AS788" s="9"/>
      <c r="AT788" s="9"/>
      <c r="AU788" s="9"/>
    </row>
    <row r="789" spans="37:47" ht="15.75" customHeight="1">
      <c r="AK789" s="9"/>
      <c r="AL789" s="9"/>
      <c r="AM789" s="9"/>
      <c r="AN789" s="9"/>
      <c r="AO789" s="9"/>
      <c r="AP789" s="9"/>
      <c r="AQ789" s="9"/>
      <c r="AR789" s="9"/>
      <c r="AS789" s="9"/>
      <c r="AT789" s="9"/>
      <c r="AU789" s="9"/>
    </row>
    <row r="790" spans="37:47" ht="15.75" customHeight="1">
      <c r="AK790" s="9"/>
      <c r="AL790" s="9"/>
      <c r="AM790" s="9"/>
      <c r="AN790" s="9"/>
      <c r="AO790" s="9"/>
      <c r="AP790" s="9"/>
      <c r="AQ790" s="9"/>
      <c r="AR790" s="9"/>
      <c r="AS790" s="9"/>
      <c r="AT790" s="9"/>
      <c r="AU790" s="9"/>
    </row>
    <row r="791" spans="37:47" ht="15.75" customHeight="1">
      <c r="AK791" s="9"/>
      <c r="AL791" s="9"/>
      <c r="AM791" s="9"/>
      <c r="AN791" s="9"/>
      <c r="AO791" s="9"/>
      <c r="AP791" s="9"/>
      <c r="AQ791" s="9"/>
      <c r="AR791" s="9"/>
      <c r="AS791" s="9"/>
      <c r="AT791" s="9"/>
      <c r="AU791" s="9"/>
    </row>
    <row r="792" spans="37:47" ht="15.75" customHeight="1">
      <c r="AK792" s="9"/>
      <c r="AL792" s="9"/>
      <c r="AM792" s="9"/>
      <c r="AN792" s="9"/>
      <c r="AO792" s="9"/>
      <c r="AP792" s="9"/>
      <c r="AQ792" s="9"/>
      <c r="AR792" s="9"/>
      <c r="AS792" s="9"/>
      <c r="AT792" s="9"/>
      <c r="AU792" s="9"/>
    </row>
    <row r="793" spans="37:47" ht="15.75" customHeight="1">
      <c r="AK793" s="9"/>
      <c r="AL793" s="9"/>
      <c r="AM793" s="9"/>
      <c r="AN793" s="9"/>
      <c r="AO793" s="9"/>
      <c r="AP793" s="9"/>
      <c r="AQ793" s="9"/>
      <c r="AR793" s="9"/>
      <c r="AS793" s="9"/>
      <c r="AT793" s="9"/>
      <c r="AU793" s="9"/>
    </row>
    <row r="794" spans="37:47" ht="15.75" customHeight="1">
      <c r="AK794" s="9"/>
      <c r="AL794" s="9"/>
      <c r="AM794" s="9"/>
      <c r="AN794" s="9"/>
      <c r="AO794" s="9"/>
      <c r="AP794" s="9"/>
      <c r="AQ794" s="9"/>
      <c r="AR794" s="9"/>
      <c r="AS794" s="9"/>
      <c r="AT794" s="9"/>
      <c r="AU794" s="9"/>
    </row>
    <row r="795" spans="37:47" ht="15.75" customHeight="1">
      <c r="AK795" s="9"/>
      <c r="AL795" s="9"/>
      <c r="AM795" s="9"/>
      <c r="AN795" s="9"/>
      <c r="AO795" s="9"/>
      <c r="AP795" s="9"/>
      <c r="AQ795" s="9"/>
      <c r="AR795" s="9"/>
      <c r="AS795" s="9"/>
      <c r="AT795" s="9"/>
      <c r="AU795" s="9"/>
    </row>
    <row r="796" spans="37:47" ht="15.75" customHeight="1">
      <c r="AK796" s="9"/>
      <c r="AL796" s="9"/>
      <c r="AM796" s="9"/>
      <c r="AN796" s="9"/>
      <c r="AO796" s="9"/>
      <c r="AP796" s="9"/>
      <c r="AQ796" s="9"/>
      <c r="AR796" s="9"/>
      <c r="AS796" s="9"/>
      <c r="AT796" s="9"/>
      <c r="AU796" s="9"/>
    </row>
    <row r="797" spans="37:47" ht="15.75" customHeight="1">
      <c r="AK797" s="9"/>
      <c r="AL797" s="9"/>
      <c r="AM797" s="9"/>
      <c r="AN797" s="9"/>
      <c r="AO797" s="9"/>
      <c r="AP797" s="9"/>
      <c r="AQ797" s="9"/>
      <c r="AR797" s="9"/>
      <c r="AS797" s="9"/>
      <c r="AT797" s="9"/>
      <c r="AU797" s="9"/>
    </row>
    <row r="798" spans="37:47" ht="15.75" customHeight="1">
      <c r="AK798" s="9"/>
      <c r="AL798" s="9"/>
      <c r="AM798" s="9"/>
      <c r="AN798" s="9"/>
      <c r="AO798" s="9"/>
      <c r="AP798" s="9"/>
      <c r="AQ798" s="9"/>
      <c r="AR798" s="9"/>
      <c r="AS798" s="9"/>
      <c r="AT798" s="9"/>
      <c r="AU798" s="9"/>
    </row>
    <row r="799" spans="37:47" ht="15.75" customHeight="1">
      <c r="AK799" s="9"/>
      <c r="AL799" s="9"/>
      <c r="AM799" s="9"/>
      <c r="AN799" s="9"/>
      <c r="AO799" s="9"/>
      <c r="AP799" s="9"/>
      <c r="AQ799" s="9"/>
      <c r="AR799" s="9"/>
      <c r="AS799" s="9"/>
      <c r="AT799" s="9"/>
      <c r="AU799" s="9"/>
    </row>
    <row r="800" spans="37:47" ht="15.75" customHeight="1">
      <c r="AK800" s="9"/>
      <c r="AL800" s="9"/>
      <c r="AM800" s="9"/>
      <c r="AN800" s="9"/>
      <c r="AO800" s="9"/>
      <c r="AP800" s="9"/>
      <c r="AQ800" s="9"/>
      <c r="AR800" s="9"/>
      <c r="AS800" s="9"/>
      <c r="AT800" s="9"/>
      <c r="AU800" s="9"/>
    </row>
    <row r="801" spans="37:47" ht="15.75" customHeight="1">
      <c r="AK801" s="9"/>
      <c r="AL801" s="9"/>
      <c r="AM801" s="9"/>
      <c r="AN801" s="9"/>
      <c r="AO801" s="9"/>
      <c r="AP801" s="9"/>
      <c r="AQ801" s="9"/>
      <c r="AR801" s="9"/>
      <c r="AS801" s="9"/>
      <c r="AT801" s="9"/>
      <c r="AU801" s="9"/>
    </row>
    <row r="802" spans="37:47" ht="15.75" customHeight="1">
      <c r="AK802" s="9"/>
      <c r="AL802" s="9"/>
      <c r="AM802" s="9"/>
      <c r="AN802" s="9"/>
      <c r="AO802" s="9"/>
      <c r="AP802" s="9"/>
      <c r="AQ802" s="9"/>
      <c r="AR802" s="9"/>
      <c r="AS802" s="9"/>
      <c r="AT802" s="9"/>
      <c r="AU802" s="9"/>
    </row>
    <row r="803" spans="37:47" ht="15.75" customHeight="1">
      <c r="AK803" s="9"/>
      <c r="AL803" s="9"/>
      <c r="AM803" s="9"/>
      <c r="AN803" s="9"/>
      <c r="AO803" s="9"/>
      <c r="AP803" s="9"/>
      <c r="AQ803" s="9"/>
      <c r="AR803" s="9"/>
      <c r="AS803" s="9"/>
      <c r="AT803" s="9"/>
      <c r="AU803" s="9"/>
    </row>
    <row r="804" spans="37:47" ht="15.75" customHeight="1">
      <c r="AK804" s="9"/>
      <c r="AL804" s="9"/>
      <c r="AM804" s="9"/>
      <c r="AN804" s="9"/>
      <c r="AO804" s="9"/>
      <c r="AP804" s="9"/>
      <c r="AQ804" s="9"/>
      <c r="AR804" s="9"/>
      <c r="AS804" s="9"/>
      <c r="AT804" s="9"/>
      <c r="AU804" s="9"/>
    </row>
    <row r="805" spans="37:47" ht="15.75" customHeight="1">
      <c r="AK805" s="9"/>
      <c r="AL805" s="9"/>
      <c r="AM805" s="9"/>
      <c r="AN805" s="9"/>
      <c r="AO805" s="9"/>
      <c r="AP805" s="9"/>
      <c r="AQ805" s="9"/>
      <c r="AR805" s="9"/>
      <c r="AS805" s="9"/>
      <c r="AT805" s="9"/>
      <c r="AU805" s="9"/>
    </row>
    <row r="806" spans="37:47" ht="15.75" customHeight="1">
      <c r="AK806" s="9"/>
      <c r="AL806" s="9"/>
      <c r="AM806" s="9"/>
      <c r="AN806" s="9"/>
      <c r="AO806" s="9"/>
      <c r="AP806" s="9"/>
      <c r="AQ806" s="9"/>
      <c r="AR806" s="9"/>
      <c r="AS806" s="9"/>
      <c r="AT806" s="9"/>
      <c r="AU806" s="9"/>
    </row>
    <row r="807" spans="37:47" ht="15.75" customHeight="1">
      <c r="AK807" s="9"/>
      <c r="AL807" s="9"/>
      <c r="AM807" s="9"/>
      <c r="AN807" s="9"/>
      <c r="AO807" s="9"/>
      <c r="AP807" s="9"/>
      <c r="AQ807" s="9"/>
      <c r="AR807" s="9"/>
      <c r="AS807" s="9"/>
      <c r="AT807" s="9"/>
      <c r="AU807" s="9"/>
    </row>
    <row r="808" spans="37:47" ht="15.75" customHeight="1">
      <c r="AK808" s="9"/>
      <c r="AL808" s="9"/>
      <c r="AM808" s="9"/>
      <c r="AN808" s="9"/>
      <c r="AO808" s="9"/>
      <c r="AP808" s="9"/>
      <c r="AQ808" s="9"/>
      <c r="AR808" s="9"/>
      <c r="AS808" s="9"/>
      <c r="AT808" s="9"/>
      <c r="AU808" s="9"/>
    </row>
    <row r="809" spans="37:47" ht="15.75" customHeight="1">
      <c r="AK809" s="9"/>
      <c r="AL809" s="9"/>
      <c r="AM809" s="9"/>
      <c r="AN809" s="9"/>
      <c r="AO809" s="9"/>
      <c r="AP809" s="9"/>
      <c r="AQ809" s="9"/>
      <c r="AR809" s="9"/>
      <c r="AS809" s="9"/>
      <c r="AT809" s="9"/>
      <c r="AU809" s="9"/>
    </row>
    <row r="810" spans="37:47" ht="15.75" customHeight="1">
      <c r="AK810" s="9"/>
      <c r="AL810" s="9"/>
      <c r="AM810" s="9"/>
      <c r="AN810" s="9"/>
      <c r="AO810" s="9"/>
      <c r="AP810" s="9"/>
      <c r="AQ810" s="9"/>
      <c r="AR810" s="9"/>
      <c r="AS810" s="9"/>
      <c r="AT810" s="9"/>
      <c r="AU810" s="9"/>
    </row>
    <row r="811" spans="37:47" ht="15.75" customHeight="1">
      <c r="AK811" s="9"/>
      <c r="AL811" s="9"/>
      <c r="AM811" s="9"/>
      <c r="AN811" s="9"/>
      <c r="AO811" s="9"/>
      <c r="AP811" s="9"/>
      <c r="AQ811" s="9"/>
      <c r="AR811" s="9"/>
      <c r="AS811" s="9"/>
      <c r="AT811" s="9"/>
      <c r="AU811" s="9"/>
    </row>
    <row r="812" spans="37:47" ht="15.75" customHeight="1">
      <c r="AK812" s="9"/>
      <c r="AL812" s="9"/>
      <c r="AM812" s="9"/>
      <c r="AN812" s="9"/>
      <c r="AO812" s="9"/>
      <c r="AP812" s="9"/>
      <c r="AQ812" s="9"/>
      <c r="AR812" s="9"/>
      <c r="AS812" s="9"/>
      <c r="AT812" s="9"/>
      <c r="AU812" s="9"/>
    </row>
    <row r="813" spans="37:47" ht="15.75" customHeight="1">
      <c r="AK813" s="9"/>
      <c r="AL813" s="9"/>
      <c r="AM813" s="9"/>
      <c r="AN813" s="9"/>
      <c r="AO813" s="9"/>
      <c r="AP813" s="9"/>
      <c r="AQ813" s="9"/>
      <c r="AR813" s="9"/>
      <c r="AS813" s="9"/>
      <c r="AT813" s="9"/>
      <c r="AU813" s="9"/>
    </row>
    <row r="814" spans="37:47" ht="15.75" customHeight="1">
      <c r="AK814" s="9"/>
      <c r="AL814" s="9"/>
      <c r="AM814" s="9"/>
      <c r="AN814" s="9"/>
      <c r="AO814" s="9"/>
      <c r="AP814" s="9"/>
      <c r="AQ814" s="9"/>
      <c r="AR814" s="9"/>
      <c r="AS814" s="9"/>
      <c r="AT814" s="9"/>
      <c r="AU814" s="9"/>
    </row>
    <row r="815" spans="37:47" ht="15.75" customHeight="1">
      <c r="AK815" s="9"/>
      <c r="AL815" s="9"/>
      <c r="AM815" s="9"/>
      <c r="AN815" s="9"/>
      <c r="AO815" s="9"/>
      <c r="AP815" s="9"/>
      <c r="AQ815" s="9"/>
      <c r="AR815" s="9"/>
      <c r="AS815" s="9"/>
      <c r="AT815" s="9"/>
      <c r="AU815" s="9"/>
    </row>
    <row r="816" spans="37:47" ht="15.75" customHeight="1">
      <c r="AK816" s="9"/>
      <c r="AL816" s="9"/>
      <c r="AM816" s="9"/>
      <c r="AN816" s="9"/>
      <c r="AO816" s="9"/>
      <c r="AP816" s="9"/>
      <c r="AQ816" s="9"/>
      <c r="AR816" s="9"/>
      <c r="AS816" s="9"/>
      <c r="AT816" s="9"/>
      <c r="AU816" s="9"/>
    </row>
    <row r="817" spans="37:47" ht="15.75" customHeight="1">
      <c r="AK817" s="9"/>
      <c r="AL817" s="9"/>
      <c r="AM817" s="9"/>
      <c r="AN817" s="9"/>
      <c r="AO817" s="9"/>
      <c r="AP817" s="9"/>
      <c r="AQ817" s="9"/>
      <c r="AR817" s="9"/>
      <c r="AS817" s="9"/>
      <c r="AT817" s="9"/>
      <c r="AU817" s="9"/>
    </row>
    <row r="818" spans="37:47" ht="15.75" customHeight="1">
      <c r="AK818" s="9"/>
      <c r="AL818" s="9"/>
      <c r="AM818" s="9"/>
      <c r="AN818" s="9"/>
      <c r="AO818" s="9"/>
      <c r="AP818" s="9"/>
      <c r="AQ818" s="9"/>
      <c r="AR818" s="9"/>
      <c r="AS818" s="9"/>
      <c r="AT818" s="9"/>
      <c r="AU818" s="9"/>
    </row>
    <row r="819" spans="37:47" ht="15.75" customHeight="1">
      <c r="AK819" s="9"/>
      <c r="AL819" s="9"/>
      <c r="AM819" s="9"/>
      <c r="AN819" s="9"/>
      <c r="AO819" s="9"/>
      <c r="AP819" s="9"/>
      <c r="AQ819" s="9"/>
      <c r="AR819" s="9"/>
      <c r="AS819" s="9"/>
      <c r="AT819" s="9"/>
      <c r="AU819" s="9"/>
    </row>
    <row r="820" spans="37:47" ht="15.75" customHeight="1">
      <c r="AK820" s="9"/>
      <c r="AL820" s="9"/>
      <c r="AM820" s="9"/>
      <c r="AN820" s="9"/>
      <c r="AO820" s="9"/>
      <c r="AP820" s="9"/>
      <c r="AQ820" s="9"/>
      <c r="AR820" s="9"/>
      <c r="AS820" s="9"/>
      <c r="AT820" s="9"/>
      <c r="AU820" s="9"/>
    </row>
    <row r="821" spans="37:47" ht="15.75" customHeight="1">
      <c r="AK821" s="9"/>
      <c r="AL821" s="9"/>
      <c r="AM821" s="9"/>
      <c r="AN821" s="9"/>
      <c r="AO821" s="9"/>
      <c r="AP821" s="9"/>
      <c r="AQ821" s="9"/>
      <c r="AR821" s="9"/>
      <c r="AS821" s="9"/>
      <c r="AT821" s="9"/>
      <c r="AU821" s="9"/>
    </row>
    <row r="822" spans="37:47" ht="15.75" customHeight="1">
      <c r="AK822" s="9"/>
      <c r="AL822" s="9"/>
      <c r="AM822" s="9"/>
      <c r="AN822" s="9"/>
      <c r="AO822" s="9"/>
      <c r="AP822" s="9"/>
      <c r="AQ822" s="9"/>
      <c r="AR822" s="9"/>
      <c r="AS822" s="9"/>
      <c r="AT822" s="9"/>
      <c r="AU822" s="9"/>
    </row>
    <row r="823" spans="37:47" ht="15.75" customHeight="1">
      <c r="AK823" s="9"/>
      <c r="AL823" s="9"/>
      <c r="AM823" s="9"/>
      <c r="AN823" s="9"/>
      <c r="AO823" s="9"/>
      <c r="AP823" s="9"/>
      <c r="AQ823" s="9"/>
      <c r="AR823" s="9"/>
      <c r="AS823" s="9"/>
      <c r="AT823" s="9"/>
      <c r="AU823" s="9"/>
    </row>
    <row r="824" spans="37:47" ht="15.75" customHeight="1">
      <c r="AK824" s="9"/>
      <c r="AL824" s="9"/>
      <c r="AM824" s="9"/>
      <c r="AN824" s="9"/>
      <c r="AO824" s="9"/>
      <c r="AP824" s="9"/>
      <c r="AQ824" s="9"/>
      <c r="AR824" s="9"/>
      <c r="AS824" s="9"/>
      <c r="AT824" s="9"/>
      <c r="AU824" s="9"/>
    </row>
    <row r="825" spans="37:47" ht="15.75" customHeight="1">
      <c r="AK825" s="9"/>
      <c r="AL825" s="9"/>
      <c r="AM825" s="9"/>
      <c r="AN825" s="9"/>
      <c r="AO825" s="9"/>
      <c r="AP825" s="9"/>
      <c r="AQ825" s="9"/>
      <c r="AR825" s="9"/>
      <c r="AS825" s="9"/>
      <c r="AT825" s="9"/>
      <c r="AU825" s="9"/>
    </row>
    <row r="826" spans="37:47" ht="15.75" customHeight="1">
      <c r="AK826" s="9"/>
      <c r="AL826" s="9"/>
      <c r="AM826" s="9"/>
      <c r="AN826" s="9"/>
      <c r="AO826" s="9"/>
      <c r="AP826" s="9"/>
      <c r="AQ826" s="9"/>
      <c r="AR826" s="9"/>
      <c r="AS826" s="9"/>
      <c r="AT826" s="9"/>
      <c r="AU826" s="9"/>
    </row>
    <row r="827" spans="37:47" ht="15.75" customHeight="1">
      <c r="AK827" s="9"/>
      <c r="AL827" s="9"/>
      <c r="AM827" s="9"/>
      <c r="AN827" s="9"/>
      <c r="AO827" s="9"/>
      <c r="AP827" s="9"/>
      <c r="AQ827" s="9"/>
      <c r="AR827" s="9"/>
      <c r="AS827" s="9"/>
      <c r="AT827" s="9"/>
      <c r="AU827" s="9"/>
    </row>
    <row r="828" spans="37:47" ht="15.75" customHeight="1">
      <c r="AK828" s="9"/>
      <c r="AL828" s="9"/>
      <c r="AM828" s="9"/>
      <c r="AN828" s="9"/>
      <c r="AO828" s="9"/>
      <c r="AP828" s="9"/>
      <c r="AQ828" s="9"/>
      <c r="AR828" s="9"/>
      <c r="AS828" s="9"/>
      <c r="AT828" s="9"/>
      <c r="AU828" s="9"/>
    </row>
    <row r="829" spans="37:47" ht="15.75" customHeight="1">
      <c r="AK829" s="9"/>
      <c r="AL829" s="9"/>
      <c r="AM829" s="9"/>
      <c r="AN829" s="9"/>
      <c r="AO829" s="9"/>
      <c r="AP829" s="9"/>
      <c r="AQ829" s="9"/>
      <c r="AR829" s="9"/>
      <c r="AS829" s="9"/>
      <c r="AT829" s="9"/>
      <c r="AU829" s="9"/>
    </row>
    <row r="830" spans="37:47" ht="15.75" customHeight="1">
      <c r="AK830" s="9"/>
      <c r="AL830" s="9"/>
      <c r="AM830" s="9"/>
      <c r="AN830" s="9"/>
      <c r="AO830" s="9"/>
      <c r="AP830" s="9"/>
      <c r="AQ830" s="9"/>
      <c r="AR830" s="9"/>
      <c r="AS830" s="9"/>
      <c r="AT830" s="9"/>
      <c r="AU830" s="9"/>
    </row>
    <row r="831" spans="37:47" ht="15.75" customHeight="1">
      <c r="AK831" s="9"/>
      <c r="AL831" s="9"/>
      <c r="AM831" s="9"/>
      <c r="AN831" s="9"/>
      <c r="AO831" s="9"/>
      <c r="AP831" s="9"/>
      <c r="AQ831" s="9"/>
      <c r="AR831" s="9"/>
      <c r="AS831" s="9"/>
      <c r="AT831" s="9"/>
      <c r="AU831" s="9"/>
    </row>
    <row r="832" spans="37:47" ht="15.75" customHeight="1">
      <c r="AK832" s="9"/>
      <c r="AL832" s="9"/>
      <c r="AM832" s="9"/>
      <c r="AN832" s="9"/>
      <c r="AO832" s="9"/>
      <c r="AP832" s="9"/>
      <c r="AQ832" s="9"/>
      <c r="AR832" s="9"/>
      <c r="AS832" s="9"/>
      <c r="AT832" s="9"/>
      <c r="AU832" s="9"/>
    </row>
    <row r="833" spans="37:47" ht="15.75" customHeight="1">
      <c r="AK833" s="9"/>
      <c r="AL833" s="9"/>
      <c r="AM833" s="9"/>
      <c r="AN833" s="9"/>
      <c r="AO833" s="9"/>
      <c r="AP833" s="9"/>
      <c r="AQ833" s="9"/>
      <c r="AR833" s="9"/>
      <c r="AS833" s="9"/>
      <c r="AT833" s="9"/>
      <c r="AU833" s="9"/>
    </row>
    <row r="834" spans="37:47" ht="15.75" customHeight="1">
      <c r="AK834" s="9"/>
      <c r="AL834" s="9"/>
      <c r="AM834" s="9"/>
      <c r="AN834" s="9"/>
      <c r="AO834" s="9"/>
      <c r="AP834" s="9"/>
      <c r="AQ834" s="9"/>
      <c r="AR834" s="9"/>
      <c r="AS834" s="9"/>
      <c r="AT834" s="9"/>
      <c r="AU834" s="9"/>
    </row>
    <row r="835" spans="37:47" ht="15.75" customHeight="1">
      <c r="AK835" s="9"/>
      <c r="AL835" s="9"/>
      <c r="AM835" s="9"/>
      <c r="AN835" s="9"/>
      <c r="AO835" s="9"/>
      <c r="AP835" s="9"/>
      <c r="AQ835" s="9"/>
      <c r="AR835" s="9"/>
      <c r="AS835" s="9"/>
      <c r="AT835" s="9"/>
      <c r="AU835" s="9"/>
    </row>
    <row r="836" spans="37:47" ht="15.75" customHeight="1">
      <c r="AK836" s="9"/>
      <c r="AL836" s="9"/>
      <c r="AM836" s="9"/>
      <c r="AN836" s="9"/>
      <c r="AO836" s="9"/>
      <c r="AP836" s="9"/>
      <c r="AQ836" s="9"/>
      <c r="AR836" s="9"/>
      <c r="AS836" s="9"/>
      <c r="AT836" s="9"/>
      <c r="AU836" s="9"/>
    </row>
    <row r="837" spans="37:47" ht="15.75" customHeight="1">
      <c r="AK837" s="9"/>
      <c r="AL837" s="9"/>
      <c r="AM837" s="9"/>
      <c r="AN837" s="9"/>
      <c r="AO837" s="9"/>
      <c r="AP837" s="9"/>
      <c r="AQ837" s="9"/>
      <c r="AR837" s="9"/>
      <c r="AS837" s="9"/>
      <c r="AT837" s="9"/>
      <c r="AU837" s="9"/>
    </row>
    <row r="838" spans="37:47" ht="15.75" customHeight="1">
      <c r="AK838" s="9"/>
      <c r="AL838" s="9"/>
      <c r="AM838" s="9"/>
      <c r="AN838" s="9"/>
      <c r="AO838" s="9"/>
      <c r="AP838" s="9"/>
      <c r="AQ838" s="9"/>
      <c r="AR838" s="9"/>
      <c r="AS838" s="9"/>
      <c r="AT838" s="9"/>
      <c r="AU838" s="9"/>
    </row>
    <row r="839" spans="37:47" ht="15.75" customHeight="1">
      <c r="AK839" s="9"/>
      <c r="AL839" s="9"/>
      <c r="AM839" s="9"/>
      <c r="AN839" s="9"/>
      <c r="AO839" s="9"/>
      <c r="AP839" s="9"/>
      <c r="AQ839" s="9"/>
      <c r="AR839" s="9"/>
      <c r="AS839" s="9"/>
      <c r="AT839" s="9"/>
      <c r="AU839" s="9"/>
    </row>
    <row r="840" spans="37:47" ht="15.75" customHeight="1">
      <c r="AK840" s="9"/>
      <c r="AL840" s="9"/>
      <c r="AM840" s="9"/>
      <c r="AN840" s="9"/>
      <c r="AO840" s="9"/>
      <c r="AP840" s="9"/>
      <c r="AQ840" s="9"/>
      <c r="AR840" s="9"/>
      <c r="AS840" s="9"/>
      <c r="AT840" s="9"/>
      <c r="AU840" s="9"/>
    </row>
    <row r="841" spans="37:47" ht="15.75" customHeight="1">
      <c r="AK841" s="9"/>
      <c r="AL841" s="9"/>
      <c r="AM841" s="9"/>
      <c r="AN841" s="9"/>
      <c r="AO841" s="9"/>
      <c r="AP841" s="9"/>
      <c r="AQ841" s="9"/>
      <c r="AR841" s="9"/>
      <c r="AS841" s="9"/>
      <c r="AT841" s="9"/>
      <c r="AU841" s="9"/>
    </row>
    <row r="842" spans="37:47" ht="15.75" customHeight="1">
      <c r="AK842" s="9"/>
      <c r="AL842" s="9"/>
      <c r="AM842" s="9"/>
      <c r="AN842" s="9"/>
      <c r="AO842" s="9"/>
      <c r="AP842" s="9"/>
      <c r="AQ842" s="9"/>
      <c r="AR842" s="9"/>
      <c r="AS842" s="9"/>
      <c r="AT842" s="9"/>
      <c r="AU842" s="9"/>
    </row>
    <row r="843" spans="37:47" ht="15.75" customHeight="1">
      <c r="AK843" s="9"/>
      <c r="AL843" s="9"/>
      <c r="AM843" s="9"/>
      <c r="AN843" s="9"/>
      <c r="AO843" s="9"/>
      <c r="AP843" s="9"/>
      <c r="AQ843" s="9"/>
      <c r="AR843" s="9"/>
      <c r="AS843" s="9"/>
      <c r="AT843" s="9"/>
      <c r="AU843" s="9"/>
    </row>
    <row r="844" spans="37:47" ht="15.75" customHeight="1">
      <c r="AK844" s="9"/>
      <c r="AL844" s="9"/>
      <c r="AM844" s="9"/>
      <c r="AN844" s="9"/>
      <c r="AO844" s="9"/>
      <c r="AP844" s="9"/>
      <c r="AQ844" s="9"/>
      <c r="AR844" s="9"/>
      <c r="AS844" s="9"/>
      <c r="AT844" s="9"/>
      <c r="AU844" s="9"/>
    </row>
    <row r="845" spans="37:47" ht="15.75" customHeight="1">
      <c r="AK845" s="9"/>
      <c r="AL845" s="9"/>
      <c r="AM845" s="9"/>
      <c r="AN845" s="9"/>
      <c r="AO845" s="9"/>
      <c r="AP845" s="9"/>
      <c r="AQ845" s="9"/>
      <c r="AR845" s="9"/>
      <c r="AS845" s="9"/>
      <c r="AT845" s="9"/>
      <c r="AU845" s="9"/>
    </row>
    <row r="846" spans="37:47" ht="15.75" customHeight="1">
      <c r="AK846" s="9"/>
      <c r="AL846" s="9"/>
      <c r="AM846" s="9"/>
      <c r="AN846" s="9"/>
      <c r="AO846" s="9"/>
      <c r="AP846" s="9"/>
      <c r="AQ846" s="9"/>
      <c r="AR846" s="9"/>
      <c r="AS846" s="9"/>
      <c r="AT846" s="9"/>
      <c r="AU846" s="9"/>
    </row>
    <row r="847" spans="37:47" ht="15.75" customHeight="1">
      <c r="AK847" s="9"/>
      <c r="AL847" s="9"/>
      <c r="AM847" s="9"/>
      <c r="AN847" s="9"/>
      <c r="AO847" s="9"/>
      <c r="AP847" s="9"/>
      <c r="AQ847" s="9"/>
      <c r="AR847" s="9"/>
      <c r="AS847" s="9"/>
      <c r="AT847" s="9"/>
      <c r="AU847" s="9"/>
    </row>
    <row r="848" spans="37:47" ht="15.75" customHeight="1">
      <c r="AK848" s="9"/>
      <c r="AL848" s="9"/>
      <c r="AM848" s="9"/>
      <c r="AN848" s="9"/>
      <c r="AO848" s="9"/>
      <c r="AP848" s="9"/>
      <c r="AQ848" s="9"/>
      <c r="AR848" s="9"/>
      <c r="AS848" s="9"/>
      <c r="AT848" s="9"/>
      <c r="AU848" s="9"/>
    </row>
    <row r="849" spans="37:47" ht="15.75" customHeight="1">
      <c r="AK849" s="9"/>
      <c r="AL849" s="9"/>
      <c r="AM849" s="9"/>
      <c r="AN849" s="9"/>
      <c r="AO849" s="9"/>
      <c r="AP849" s="9"/>
      <c r="AQ849" s="9"/>
      <c r="AR849" s="9"/>
      <c r="AS849" s="9"/>
      <c r="AT849" s="9"/>
      <c r="AU849" s="9"/>
    </row>
    <row r="850" spans="37:47" ht="15.75" customHeight="1">
      <c r="AK850" s="9"/>
      <c r="AL850" s="9"/>
      <c r="AM850" s="9"/>
      <c r="AN850" s="9"/>
      <c r="AO850" s="9"/>
      <c r="AP850" s="9"/>
      <c r="AQ850" s="9"/>
      <c r="AR850" s="9"/>
      <c r="AS850" s="9"/>
      <c r="AT850" s="9"/>
      <c r="AU850" s="9"/>
    </row>
    <row r="851" spans="37:47" ht="15.75" customHeight="1">
      <c r="AK851" s="9"/>
      <c r="AL851" s="9"/>
      <c r="AM851" s="9"/>
      <c r="AN851" s="9"/>
      <c r="AO851" s="9"/>
      <c r="AP851" s="9"/>
      <c r="AQ851" s="9"/>
      <c r="AR851" s="9"/>
      <c r="AS851" s="9"/>
      <c r="AT851" s="9"/>
      <c r="AU851" s="9"/>
    </row>
    <row r="852" spans="37:47" ht="15.75" customHeight="1">
      <c r="AK852" s="9"/>
      <c r="AL852" s="9"/>
      <c r="AM852" s="9"/>
      <c r="AN852" s="9"/>
      <c r="AO852" s="9"/>
      <c r="AP852" s="9"/>
      <c r="AQ852" s="9"/>
      <c r="AR852" s="9"/>
      <c r="AS852" s="9"/>
      <c r="AT852" s="9"/>
      <c r="AU852" s="9"/>
    </row>
    <row r="853" spans="37:47" ht="15.75" customHeight="1">
      <c r="AK853" s="9"/>
      <c r="AL853" s="9"/>
      <c r="AM853" s="9"/>
      <c r="AN853" s="9"/>
      <c r="AO853" s="9"/>
      <c r="AP853" s="9"/>
      <c r="AQ853" s="9"/>
      <c r="AR853" s="9"/>
      <c r="AS853" s="9"/>
      <c r="AT853" s="9"/>
      <c r="AU853" s="9"/>
    </row>
    <row r="854" spans="37:47" ht="15.75" customHeight="1">
      <c r="AK854" s="9"/>
      <c r="AL854" s="9"/>
      <c r="AM854" s="9"/>
      <c r="AN854" s="9"/>
      <c r="AO854" s="9"/>
      <c r="AP854" s="9"/>
      <c r="AQ854" s="9"/>
      <c r="AR854" s="9"/>
      <c r="AS854" s="9"/>
      <c r="AT854" s="9"/>
      <c r="AU854" s="9"/>
    </row>
    <row r="855" spans="37:47" ht="15.75" customHeight="1">
      <c r="AK855" s="9"/>
      <c r="AL855" s="9"/>
      <c r="AM855" s="9"/>
      <c r="AN855" s="9"/>
      <c r="AO855" s="9"/>
      <c r="AP855" s="9"/>
      <c r="AQ855" s="9"/>
      <c r="AR855" s="9"/>
      <c r="AS855" s="9"/>
      <c r="AT855" s="9"/>
      <c r="AU855" s="9"/>
    </row>
    <row r="856" spans="37:47" ht="15.75" customHeight="1">
      <c r="AK856" s="9"/>
      <c r="AL856" s="9"/>
      <c r="AM856" s="9"/>
      <c r="AN856" s="9"/>
      <c r="AO856" s="9"/>
      <c r="AP856" s="9"/>
      <c r="AQ856" s="9"/>
      <c r="AR856" s="9"/>
      <c r="AS856" s="9"/>
      <c r="AT856" s="9"/>
      <c r="AU856" s="9"/>
    </row>
    <row r="857" spans="37:47" ht="15.75" customHeight="1">
      <c r="AK857" s="9"/>
      <c r="AL857" s="9"/>
      <c r="AM857" s="9"/>
      <c r="AN857" s="9"/>
      <c r="AO857" s="9"/>
      <c r="AP857" s="9"/>
      <c r="AQ857" s="9"/>
      <c r="AR857" s="9"/>
      <c r="AS857" s="9"/>
      <c r="AT857" s="9"/>
      <c r="AU857" s="9"/>
    </row>
    <row r="858" spans="37:47" ht="15.75" customHeight="1">
      <c r="AK858" s="9"/>
      <c r="AL858" s="9"/>
      <c r="AM858" s="9"/>
      <c r="AN858" s="9"/>
      <c r="AO858" s="9"/>
      <c r="AP858" s="9"/>
      <c r="AQ858" s="9"/>
      <c r="AR858" s="9"/>
      <c r="AS858" s="9"/>
      <c r="AT858" s="9"/>
      <c r="AU858" s="9"/>
    </row>
    <row r="859" spans="37:47" ht="15.75" customHeight="1">
      <c r="AK859" s="9"/>
      <c r="AL859" s="9"/>
      <c r="AM859" s="9"/>
      <c r="AN859" s="9"/>
      <c r="AO859" s="9"/>
      <c r="AP859" s="9"/>
      <c r="AQ859" s="9"/>
      <c r="AR859" s="9"/>
      <c r="AS859" s="9"/>
      <c r="AT859" s="9"/>
      <c r="AU859" s="9"/>
    </row>
    <row r="860" spans="37:47" ht="15.75" customHeight="1">
      <c r="AK860" s="9"/>
      <c r="AL860" s="9"/>
      <c r="AM860" s="9"/>
      <c r="AN860" s="9"/>
      <c r="AO860" s="9"/>
      <c r="AP860" s="9"/>
      <c r="AQ860" s="9"/>
      <c r="AR860" s="9"/>
      <c r="AS860" s="9"/>
      <c r="AT860" s="9"/>
      <c r="AU860" s="9"/>
    </row>
    <row r="861" spans="37:47" ht="15.75" customHeight="1">
      <c r="AK861" s="9"/>
      <c r="AL861" s="9"/>
      <c r="AM861" s="9"/>
      <c r="AN861" s="9"/>
      <c r="AO861" s="9"/>
      <c r="AP861" s="9"/>
      <c r="AQ861" s="9"/>
      <c r="AR861" s="9"/>
      <c r="AS861" s="9"/>
      <c r="AT861" s="9"/>
      <c r="AU861" s="9"/>
    </row>
    <row r="862" spans="37:47" ht="15.75" customHeight="1">
      <c r="AK862" s="9"/>
      <c r="AL862" s="9"/>
      <c r="AM862" s="9"/>
      <c r="AN862" s="9"/>
      <c r="AO862" s="9"/>
      <c r="AP862" s="9"/>
      <c r="AQ862" s="9"/>
      <c r="AR862" s="9"/>
      <c r="AS862" s="9"/>
      <c r="AT862" s="9"/>
      <c r="AU862" s="9"/>
    </row>
    <row r="863" spans="37:47" ht="15.75" customHeight="1">
      <c r="AK863" s="9"/>
      <c r="AL863" s="9"/>
      <c r="AM863" s="9"/>
      <c r="AN863" s="9"/>
      <c r="AO863" s="9"/>
      <c r="AP863" s="9"/>
      <c r="AQ863" s="9"/>
      <c r="AR863" s="9"/>
      <c r="AS863" s="9"/>
      <c r="AT863" s="9"/>
      <c r="AU863" s="9"/>
    </row>
    <row r="864" spans="37:47" ht="15.75" customHeight="1">
      <c r="AK864" s="9"/>
      <c r="AL864" s="9"/>
      <c r="AM864" s="9"/>
      <c r="AN864" s="9"/>
      <c r="AO864" s="9"/>
      <c r="AP864" s="9"/>
      <c r="AQ864" s="9"/>
      <c r="AR864" s="9"/>
      <c r="AS864" s="9"/>
      <c r="AT864" s="9"/>
      <c r="AU864" s="9"/>
    </row>
    <row r="865" spans="37:47" ht="15.75" customHeight="1">
      <c r="AK865" s="9"/>
      <c r="AL865" s="9"/>
      <c r="AM865" s="9"/>
      <c r="AN865" s="9"/>
      <c r="AO865" s="9"/>
      <c r="AP865" s="9"/>
      <c r="AQ865" s="9"/>
      <c r="AR865" s="9"/>
      <c r="AS865" s="9"/>
      <c r="AT865" s="9"/>
      <c r="AU865" s="9"/>
    </row>
    <row r="866" spans="37:47" ht="15.75" customHeight="1">
      <c r="AK866" s="9"/>
      <c r="AL866" s="9"/>
      <c r="AM866" s="9"/>
      <c r="AN866" s="9"/>
      <c r="AO866" s="9"/>
      <c r="AP866" s="9"/>
      <c r="AQ866" s="9"/>
      <c r="AR866" s="9"/>
      <c r="AS866" s="9"/>
      <c r="AT866" s="9"/>
      <c r="AU866" s="9"/>
    </row>
    <row r="867" spans="37:47" ht="15.75" customHeight="1">
      <c r="AK867" s="9"/>
      <c r="AL867" s="9"/>
      <c r="AM867" s="9"/>
      <c r="AN867" s="9"/>
      <c r="AO867" s="9"/>
      <c r="AP867" s="9"/>
      <c r="AQ867" s="9"/>
      <c r="AR867" s="9"/>
      <c r="AS867" s="9"/>
      <c r="AT867" s="9"/>
      <c r="AU867" s="9"/>
    </row>
    <row r="868" spans="37:47" ht="15.75" customHeight="1">
      <c r="AK868" s="9"/>
      <c r="AL868" s="9"/>
      <c r="AM868" s="9"/>
      <c r="AN868" s="9"/>
      <c r="AO868" s="9"/>
      <c r="AP868" s="9"/>
      <c r="AQ868" s="9"/>
      <c r="AR868" s="9"/>
      <c r="AS868" s="9"/>
      <c r="AT868" s="9"/>
      <c r="AU868" s="9"/>
    </row>
    <row r="869" spans="37:47" ht="15.75" customHeight="1">
      <c r="AK869" s="9"/>
      <c r="AL869" s="9"/>
      <c r="AM869" s="9"/>
      <c r="AN869" s="9"/>
      <c r="AO869" s="9"/>
      <c r="AP869" s="9"/>
      <c r="AQ869" s="9"/>
      <c r="AR869" s="9"/>
      <c r="AS869" s="9"/>
      <c r="AT869" s="9"/>
      <c r="AU869" s="9"/>
    </row>
    <row r="870" spans="37:47" ht="15.75" customHeight="1">
      <c r="AK870" s="9"/>
      <c r="AL870" s="9"/>
      <c r="AM870" s="9"/>
      <c r="AN870" s="9"/>
      <c r="AO870" s="9"/>
      <c r="AP870" s="9"/>
      <c r="AQ870" s="9"/>
      <c r="AR870" s="9"/>
      <c r="AS870" s="9"/>
      <c r="AT870" s="9"/>
      <c r="AU870" s="9"/>
    </row>
    <row r="871" spans="37:47" ht="15.75" customHeight="1">
      <c r="AK871" s="9"/>
      <c r="AL871" s="9"/>
      <c r="AM871" s="9"/>
      <c r="AN871" s="9"/>
      <c r="AO871" s="9"/>
      <c r="AP871" s="9"/>
      <c r="AQ871" s="9"/>
      <c r="AR871" s="9"/>
      <c r="AS871" s="9"/>
      <c r="AT871" s="9"/>
      <c r="AU871" s="9"/>
    </row>
    <row r="872" spans="37:47" ht="15.75" customHeight="1">
      <c r="AK872" s="9"/>
      <c r="AL872" s="9"/>
      <c r="AM872" s="9"/>
      <c r="AN872" s="9"/>
      <c r="AO872" s="9"/>
      <c r="AP872" s="9"/>
      <c r="AQ872" s="9"/>
      <c r="AR872" s="9"/>
      <c r="AS872" s="9"/>
      <c r="AT872" s="9"/>
      <c r="AU872" s="9"/>
    </row>
    <row r="873" spans="37:47" ht="15.75" customHeight="1">
      <c r="AK873" s="9"/>
      <c r="AL873" s="9"/>
      <c r="AM873" s="9"/>
      <c r="AN873" s="9"/>
      <c r="AO873" s="9"/>
      <c r="AP873" s="9"/>
      <c r="AQ873" s="9"/>
      <c r="AR873" s="9"/>
      <c r="AS873" s="9"/>
      <c r="AT873" s="9"/>
      <c r="AU873" s="9"/>
    </row>
    <row r="874" spans="37:47" ht="15.75" customHeight="1">
      <c r="AK874" s="9"/>
      <c r="AL874" s="9"/>
      <c r="AM874" s="9"/>
      <c r="AN874" s="9"/>
      <c r="AO874" s="9"/>
      <c r="AP874" s="9"/>
      <c r="AQ874" s="9"/>
      <c r="AR874" s="9"/>
      <c r="AS874" s="9"/>
      <c r="AT874" s="9"/>
      <c r="AU874" s="9"/>
    </row>
    <row r="875" spans="37:47" ht="15.75" customHeight="1">
      <c r="AK875" s="9"/>
      <c r="AL875" s="9"/>
      <c r="AM875" s="9"/>
      <c r="AN875" s="9"/>
      <c r="AO875" s="9"/>
      <c r="AP875" s="9"/>
      <c r="AQ875" s="9"/>
      <c r="AR875" s="9"/>
      <c r="AS875" s="9"/>
      <c r="AT875" s="9"/>
      <c r="AU875" s="9"/>
    </row>
    <row r="876" spans="37:47" ht="15.75" customHeight="1">
      <c r="AK876" s="9"/>
      <c r="AL876" s="9"/>
      <c r="AM876" s="9"/>
      <c r="AN876" s="9"/>
      <c r="AO876" s="9"/>
      <c r="AP876" s="9"/>
      <c r="AQ876" s="9"/>
      <c r="AR876" s="9"/>
      <c r="AS876" s="9"/>
      <c r="AT876" s="9"/>
      <c r="AU876" s="9"/>
    </row>
    <row r="877" spans="37:47" ht="15.75" customHeight="1">
      <c r="AK877" s="9"/>
      <c r="AL877" s="9"/>
      <c r="AM877" s="9"/>
      <c r="AN877" s="9"/>
      <c r="AO877" s="9"/>
      <c r="AP877" s="9"/>
      <c r="AQ877" s="9"/>
      <c r="AR877" s="9"/>
      <c r="AS877" s="9"/>
      <c r="AT877" s="9"/>
      <c r="AU877" s="9"/>
    </row>
    <row r="878" spans="37:47" ht="15.75" customHeight="1">
      <c r="AK878" s="9"/>
      <c r="AL878" s="9"/>
      <c r="AM878" s="9"/>
      <c r="AN878" s="9"/>
      <c r="AO878" s="9"/>
      <c r="AP878" s="9"/>
      <c r="AQ878" s="9"/>
      <c r="AR878" s="9"/>
      <c r="AS878" s="9"/>
      <c r="AT878" s="9"/>
      <c r="AU878" s="9"/>
    </row>
    <row r="879" spans="37:47" ht="15.75" customHeight="1">
      <c r="AK879" s="9"/>
      <c r="AL879" s="9"/>
      <c r="AM879" s="9"/>
      <c r="AN879" s="9"/>
      <c r="AO879" s="9"/>
      <c r="AP879" s="9"/>
      <c r="AQ879" s="9"/>
      <c r="AR879" s="9"/>
      <c r="AS879" s="9"/>
      <c r="AT879" s="9"/>
      <c r="AU879" s="9"/>
    </row>
    <row r="880" spans="37:47" ht="15.75" customHeight="1">
      <c r="AK880" s="9"/>
      <c r="AL880" s="9"/>
      <c r="AM880" s="9"/>
      <c r="AN880" s="9"/>
      <c r="AO880" s="9"/>
      <c r="AP880" s="9"/>
      <c r="AQ880" s="9"/>
      <c r="AR880" s="9"/>
      <c r="AS880" s="9"/>
      <c r="AT880" s="9"/>
      <c r="AU880" s="9"/>
    </row>
    <row r="881" spans="37:47" ht="15.75" customHeight="1">
      <c r="AK881" s="9"/>
      <c r="AL881" s="9"/>
      <c r="AM881" s="9"/>
      <c r="AN881" s="9"/>
      <c r="AO881" s="9"/>
      <c r="AP881" s="9"/>
      <c r="AQ881" s="9"/>
      <c r="AR881" s="9"/>
      <c r="AS881" s="9"/>
      <c r="AT881" s="9"/>
      <c r="AU881" s="9"/>
    </row>
    <row r="882" spans="37:47" ht="15.75" customHeight="1">
      <c r="AK882" s="9"/>
      <c r="AL882" s="9"/>
      <c r="AM882" s="9"/>
      <c r="AN882" s="9"/>
      <c r="AO882" s="9"/>
      <c r="AP882" s="9"/>
      <c r="AQ882" s="9"/>
      <c r="AR882" s="9"/>
      <c r="AS882" s="9"/>
      <c r="AT882" s="9"/>
      <c r="AU882" s="9"/>
    </row>
    <row r="883" spans="37:47" ht="15.75" customHeight="1">
      <c r="AK883" s="9"/>
      <c r="AL883" s="9"/>
      <c r="AM883" s="9"/>
      <c r="AN883" s="9"/>
      <c r="AO883" s="9"/>
      <c r="AP883" s="9"/>
      <c r="AQ883" s="9"/>
      <c r="AR883" s="9"/>
      <c r="AS883" s="9"/>
      <c r="AT883" s="9"/>
      <c r="AU883" s="9"/>
    </row>
    <row r="884" spans="37:47" ht="15.75" customHeight="1">
      <c r="AK884" s="9"/>
      <c r="AL884" s="9"/>
      <c r="AM884" s="9"/>
      <c r="AN884" s="9"/>
      <c r="AO884" s="9"/>
      <c r="AP884" s="9"/>
      <c r="AQ884" s="9"/>
      <c r="AR884" s="9"/>
      <c r="AS884" s="9"/>
      <c r="AT884" s="9"/>
      <c r="AU884" s="9"/>
    </row>
    <row r="885" spans="37:47" ht="15.75" customHeight="1">
      <c r="AK885" s="9"/>
      <c r="AL885" s="9"/>
      <c r="AM885" s="9"/>
      <c r="AN885" s="9"/>
      <c r="AO885" s="9"/>
      <c r="AP885" s="9"/>
      <c r="AQ885" s="9"/>
      <c r="AR885" s="9"/>
      <c r="AS885" s="9"/>
      <c r="AT885" s="9"/>
      <c r="AU885" s="9"/>
    </row>
    <row r="886" spans="37:47" ht="15.75" customHeight="1">
      <c r="AK886" s="9"/>
      <c r="AL886" s="9"/>
      <c r="AM886" s="9"/>
      <c r="AN886" s="9"/>
      <c r="AO886" s="9"/>
      <c r="AP886" s="9"/>
      <c r="AQ886" s="9"/>
      <c r="AR886" s="9"/>
      <c r="AS886" s="9"/>
      <c r="AT886" s="9"/>
      <c r="AU886" s="9"/>
    </row>
    <row r="887" spans="37:47" ht="15.75" customHeight="1">
      <c r="AK887" s="9"/>
      <c r="AL887" s="9"/>
      <c r="AM887" s="9"/>
      <c r="AN887" s="9"/>
      <c r="AO887" s="9"/>
      <c r="AP887" s="9"/>
      <c r="AQ887" s="9"/>
      <c r="AR887" s="9"/>
      <c r="AS887" s="9"/>
      <c r="AT887" s="9"/>
      <c r="AU887" s="9"/>
    </row>
    <row r="888" spans="37:47" ht="15.75" customHeight="1">
      <c r="AK888" s="9"/>
      <c r="AL888" s="9"/>
      <c r="AM888" s="9"/>
      <c r="AN888" s="9"/>
      <c r="AO888" s="9"/>
      <c r="AP888" s="9"/>
      <c r="AQ888" s="9"/>
      <c r="AR888" s="9"/>
      <c r="AS888" s="9"/>
      <c r="AT888" s="9"/>
      <c r="AU888" s="9"/>
    </row>
    <row r="889" spans="37:47" ht="15.75" customHeight="1">
      <c r="AK889" s="9"/>
      <c r="AL889" s="9"/>
      <c r="AM889" s="9"/>
      <c r="AN889" s="9"/>
      <c r="AO889" s="9"/>
      <c r="AP889" s="9"/>
      <c r="AQ889" s="9"/>
      <c r="AR889" s="9"/>
      <c r="AS889" s="9"/>
      <c r="AT889" s="9"/>
      <c r="AU889" s="9"/>
    </row>
    <row r="890" spans="37:47" ht="15.75" customHeight="1">
      <c r="AK890" s="9"/>
      <c r="AL890" s="9"/>
      <c r="AM890" s="9"/>
      <c r="AN890" s="9"/>
      <c r="AO890" s="9"/>
      <c r="AP890" s="9"/>
      <c r="AQ890" s="9"/>
      <c r="AR890" s="9"/>
      <c r="AS890" s="9"/>
      <c r="AT890" s="9"/>
      <c r="AU890" s="9"/>
    </row>
    <row r="891" spans="37:47" ht="15.75" customHeight="1">
      <c r="AK891" s="9"/>
      <c r="AL891" s="9"/>
      <c r="AM891" s="9"/>
      <c r="AN891" s="9"/>
      <c r="AO891" s="9"/>
      <c r="AP891" s="9"/>
      <c r="AQ891" s="9"/>
      <c r="AR891" s="9"/>
      <c r="AS891" s="9"/>
      <c r="AT891" s="9"/>
      <c r="AU891" s="9"/>
    </row>
    <row r="892" spans="37:47" ht="15.75" customHeight="1">
      <c r="AK892" s="9"/>
      <c r="AL892" s="9"/>
      <c r="AM892" s="9"/>
      <c r="AN892" s="9"/>
      <c r="AO892" s="9"/>
      <c r="AP892" s="9"/>
      <c r="AQ892" s="9"/>
      <c r="AR892" s="9"/>
      <c r="AS892" s="9"/>
      <c r="AT892" s="9"/>
      <c r="AU892" s="9"/>
    </row>
    <row r="893" spans="37:47" ht="15.75" customHeight="1">
      <c r="AK893" s="9"/>
      <c r="AL893" s="9"/>
      <c r="AM893" s="9"/>
      <c r="AN893" s="9"/>
      <c r="AO893" s="9"/>
      <c r="AP893" s="9"/>
      <c r="AQ893" s="9"/>
      <c r="AR893" s="9"/>
      <c r="AS893" s="9"/>
      <c r="AT893" s="9"/>
      <c r="AU893" s="9"/>
    </row>
    <row r="894" spans="37:47" ht="15.75" customHeight="1">
      <c r="AK894" s="9"/>
      <c r="AL894" s="9"/>
      <c r="AM894" s="9"/>
      <c r="AN894" s="9"/>
      <c r="AO894" s="9"/>
      <c r="AP894" s="9"/>
      <c r="AQ894" s="9"/>
      <c r="AR894" s="9"/>
      <c r="AS894" s="9"/>
      <c r="AT894" s="9"/>
      <c r="AU894" s="9"/>
    </row>
    <row r="895" spans="37:47" ht="15.75" customHeight="1">
      <c r="AK895" s="9"/>
      <c r="AL895" s="9"/>
      <c r="AM895" s="9"/>
      <c r="AN895" s="9"/>
      <c r="AO895" s="9"/>
      <c r="AP895" s="9"/>
      <c r="AQ895" s="9"/>
      <c r="AR895" s="9"/>
      <c r="AS895" s="9"/>
      <c r="AT895" s="9"/>
      <c r="AU895" s="9"/>
    </row>
    <row r="896" spans="37:47" ht="15.75" customHeight="1">
      <c r="AK896" s="9"/>
      <c r="AL896" s="9"/>
      <c r="AM896" s="9"/>
      <c r="AN896" s="9"/>
      <c r="AO896" s="9"/>
      <c r="AP896" s="9"/>
      <c r="AQ896" s="9"/>
      <c r="AR896" s="9"/>
      <c r="AS896" s="9"/>
      <c r="AT896" s="9"/>
      <c r="AU896" s="9"/>
    </row>
    <row r="897" spans="37:47" ht="15.75" customHeight="1">
      <c r="AK897" s="9"/>
      <c r="AL897" s="9"/>
      <c r="AM897" s="9"/>
      <c r="AN897" s="9"/>
      <c r="AO897" s="9"/>
      <c r="AP897" s="9"/>
      <c r="AQ897" s="9"/>
      <c r="AR897" s="9"/>
      <c r="AS897" s="9"/>
      <c r="AT897" s="9"/>
      <c r="AU897" s="9"/>
    </row>
    <row r="898" spans="37:47" ht="15.75" customHeight="1">
      <c r="AK898" s="9"/>
      <c r="AL898" s="9"/>
      <c r="AM898" s="9"/>
      <c r="AN898" s="9"/>
      <c r="AO898" s="9"/>
      <c r="AP898" s="9"/>
      <c r="AQ898" s="9"/>
      <c r="AR898" s="9"/>
      <c r="AS898" s="9"/>
      <c r="AT898" s="9"/>
      <c r="AU898" s="9"/>
    </row>
    <row r="899" spans="37:47" ht="15.75" customHeight="1">
      <c r="AK899" s="9"/>
      <c r="AL899" s="9"/>
      <c r="AM899" s="9"/>
      <c r="AN899" s="9"/>
      <c r="AO899" s="9"/>
      <c r="AP899" s="9"/>
      <c r="AQ899" s="9"/>
      <c r="AR899" s="9"/>
      <c r="AS899" s="9"/>
      <c r="AT899" s="9"/>
      <c r="AU899" s="9"/>
    </row>
    <row r="900" spans="37:47" ht="15.75" customHeight="1">
      <c r="AK900" s="9"/>
      <c r="AL900" s="9"/>
      <c r="AM900" s="9"/>
      <c r="AN900" s="9"/>
      <c r="AO900" s="9"/>
      <c r="AP900" s="9"/>
      <c r="AQ900" s="9"/>
      <c r="AR900" s="9"/>
      <c r="AS900" s="9"/>
      <c r="AT900" s="9"/>
      <c r="AU900" s="9"/>
    </row>
    <row r="901" spans="37:47" ht="15.75" customHeight="1">
      <c r="AK901" s="9"/>
      <c r="AL901" s="9"/>
      <c r="AM901" s="9"/>
      <c r="AN901" s="9"/>
      <c r="AO901" s="9"/>
      <c r="AP901" s="9"/>
      <c r="AQ901" s="9"/>
      <c r="AR901" s="9"/>
      <c r="AS901" s="9"/>
      <c r="AT901" s="9"/>
      <c r="AU901" s="9"/>
    </row>
    <row r="902" spans="37:47" ht="15.75" customHeight="1">
      <c r="AK902" s="9"/>
      <c r="AL902" s="9"/>
      <c r="AM902" s="9"/>
      <c r="AN902" s="9"/>
      <c r="AO902" s="9"/>
      <c r="AP902" s="9"/>
      <c r="AQ902" s="9"/>
      <c r="AR902" s="9"/>
      <c r="AS902" s="9"/>
      <c r="AT902" s="9"/>
      <c r="AU902" s="9"/>
    </row>
    <row r="903" spans="37:47" ht="15.75" customHeight="1">
      <c r="AK903" s="9"/>
      <c r="AL903" s="9"/>
      <c r="AM903" s="9"/>
      <c r="AN903" s="9"/>
      <c r="AO903" s="9"/>
      <c r="AP903" s="9"/>
      <c r="AQ903" s="9"/>
      <c r="AR903" s="9"/>
      <c r="AS903" s="9"/>
      <c r="AT903" s="9"/>
      <c r="AU903" s="9"/>
    </row>
    <row r="904" spans="37:47" ht="15.75" customHeight="1">
      <c r="AK904" s="9"/>
      <c r="AL904" s="9"/>
      <c r="AM904" s="9"/>
      <c r="AN904" s="9"/>
      <c r="AO904" s="9"/>
      <c r="AP904" s="9"/>
      <c r="AQ904" s="9"/>
      <c r="AR904" s="9"/>
      <c r="AS904" s="9"/>
      <c r="AT904" s="9"/>
      <c r="AU904" s="9"/>
    </row>
    <row r="905" spans="37:47" ht="15.75" customHeight="1">
      <c r="AK905" s="9"/>
      <c r="AL905" s="9"/>
      <c r="AM905" s="9"/>
      <c r="AN905" s="9"/>
      <c r="AO905" s="9"/>
      <c r="AP905" s="9"/>
      <c r="AQ905" s="9"/>
      <c r="AR905" s="9"/>
      <c r="AS905" s="9"/>
      <c r="AT905" s="9"/>
      <c r="AU905" s="9"/>
    </row>
    <row r="906" spans="37:47" ht="15.75" customHeight="1">
      <c r="AK906" s="9"/>
      <c r="AL906" s="9"/>
      <c r="AM906" s="9"/>
      <c r="AN906" s="9"/>
      <c r="AO906" s="9"/>
      <c r="AP906" s="9"/>
      <c r="AQ906" s="9"/>
      <c r="AR906" s="9"/>
      <c r="AS906" s="9"/>
      <c r="AT906" s="9"/>
      <c r="AU906" s="9"/>
    </row>
    <row r="907" spans="37:47" ht="15.75" customHeight="1">
      <c r="AK907" s="9"/>
      <c r="AL907" s="9"/>
      <c r="AM907" s="9"/>
      <c r="AN907" s="9"/>
      <c r="AO907" s="9"/>
      <c r="AP907" s="9"/>
      <c r="AQ907" s="9"/>
      <c r="AR907" s="9"/>
      <c r="AS907" s="9"/>
      <c r="AT907" s="9"/>
      <c r="AU907" s="9"/>
    </row>
    <row r="908" spans="37:47" ht="15.75" customHeight="1">
      <c r="AK908" s="9"/>
      <c r="AL908" s="9"/>
      <c r="AM908" s="9"/>
      <c r="AN908" s="9"/>
      <c r="AO908" s="9"/>
      <c r="AP908" s="9"/>
      <c r="AQ908" s="9"/>
      <c r="AR908" s="9"/>
      <c r="AS908" s="9"/>
      <c r="AT908" s="9"/>
      <c r="AU908" s="9"/>
    </row>
    <row r="909" spans="37:47" ht="15.75" customHeight="1">
      <c r="AK909" s="9"/>
      <c r="AL909" s="9"/>
      <c r="AM909" s="9"/>
      <c r="AN909" s="9"/>
      <c r="AO909" s="9"/>
      <c r="AP909" s="9"/>
      <c r="AQ909" s="9"/>
      <c r="AR909" s="9"/>
      <c r="AS909" s="9"/>
      <c r="AT909" s="9"/>
      <c r="AU909" s="9"/>
    </row>
    <row r="910" spans="37:47" ht="15.75" customHeight="1">
      <c r="AK910" s="9"/>
      <c r="AL910" s="9"/>
      <c r="AM910" s="9"/>
      <c r="AN910" s="9"/>
      <c r="AO910" s="9"/>
      <c r="AP910" s="9"/>
      <c r="AQ910" s="9"/>
      <c r="AR910" s="9"/>
      <c r="AS910" s="9"/>
      <c r="AT910" s="9"/>
      <c r="AU910" s="9"/>
    </row>
    <row r="911" spans="37:47" ht="15.75" customHeight="1">
      <c r="AK911" s="9"/>
      <c r="AL911" s="9"/>
      <c r="AM911" s="9"/>
      <c r="AN911" s="9"/>
      <c r="AO911" s="9"/>
      <c r="AP911" s="9"/>
      <c r="AQ911" s="9"/>
      <c r="AR911" s="9"/>
      <c r="AS911" s="9"/>
      <c r="AT911" s="9"/>
      <c r="AU911" s="9"/>
    </row>
    <row r="912" spans="37:47" ht="15.75" customHeight="1">
      <c r="AK912" s="9"/>
      <c r="AL912" s="9"/>
      <c r="AM912" s="9"/>
      <c r="AN912" s="9"/>
      <c r="AO912" s="9"/>
      <c r="AP912" s="9"/>
      <c r="AQ912" s="9"/>
      <c r="AR912" s="9"/>
      <c r="AS912" s="9"/>
      <c r="AT912" s="9"/>
      <c r="AU912" s="9"/>
    </row>
    <row r="913" spans="37:47" ht="15.75" customHeight="1">
      <c r="AK913" s="9"/>
      <c r="AL913" s="9"/>
      <c r="AM913" s="9"/>
      <c r="AN913" s="9"/>
      <c r="AO913" s="9"/>
      <c r="AP913" s="9"/>
      <c r="AQ913" s="9"/>
      <c r="AR913" s="9"/>
      <c r="AS913" s="9"/>
      <c r="AT913" s="9"/>
      <c r="AU913" s="9"/>
    </row>
    <row r="914" spans="37:47" ht="15.75" customHeight="1">
      <c r="AK914" s="9"/>
      <c r="AL914" s="9"/>
      <c r="AM914" s="9"/>
      <c r="AN914" s="9"/>
      <c r="AO914" s="9"/>
      <c r="AP914" s="9"/>
      <c r="AQ914" s="9"/>
      <c r="AR914" s="9"/>
      <c r="AS914" s="9"/>
      <c r="AT914" s="9"/>
      <c r="AU914" s="9"/>
    </row>
    <row r="915" spans="37:47" ht="15.75" customHeight="1">
      <c r="AK915" s="9"/>
      <c r="AL915" s="9"/>
      <c r="AM915" s="9"/>
      <c r="AN915" s="9"/>
      <c r="AO915" s="9"/>
      <c r="AP915" s="9"/>
      <c r="AQ915" s="9"/>
      <c r="AR915" s="9"/>
      <c r="AS915" s="9"/>
      <c r="AT915" s="9"/>
      <c r="AU915" s="9"/>
    </row>
    <row r="916" spans="37:47" ht="15.75" customHeight="1">
      <c r="AK916" s="9"/>
      <c r="AL916" s="9"/>
      <c r="AM916" s="9"/>
      <c r="AN916" s="9"/>
      <c r="AO916" s="9"/>
      <c r="AP916" s="9"/>
      <c r="AQ916" s="9"/>
      <c r="AR916" s="9"/>
      <c r="AS916" s="9"/>
      <c r="AT916" s="9"/>
      <c r="AU916" s="9"/>
    </row>
    <row r="917" spans="37:47" ht="15.75" customHeight="1">
      <c r="AK917" s="9"/>
      <c r="AL917" s="9"/>
      <c r="AM917" s="9"/>
      <c r="AN917" s="9"/>
      <c r="AO917" s="9"/>
      <c r="AP917" s="9"/>
      <c r="AQ917" s="9"/>
      <c r="AR917" s="9"/>
      <c r="AS917" s="9"/>
      <c r="AT917" s="9"/>
      <c r="AU917" s="9"/>
    </row>
    <row r="918" spans="37:47" ht="15.75" customHeight="1">
      <c r="AK918" s="9"/>
      <c r="AL918" s="9"/>
      <c r="AM918" s="9"/>
      <c r="AN918" s="9"/>
      <c r="AO918" s="9"/>
      <c r="AP918" s="9"/>
      <c r="AQ918" s="9"/>
      <c r="AR918" s="9"/>
      <c r="AS918" s="9"/>
      <c r="AT918" s="9"/>
      <c r="AU918" s="9"/>
    </row>
    <row r="919" spans="37:47" ht="15.75" customHeight="1">
      <c r="AK919" s="9"/>
      <c r="AL919" s="9"/>
      <c r="AM919" s="9"/>
      <c r="AN919" s="9"/>
      <c r="AO919" s="9"/>
      <c r="AP919" s="9"/>
      <c r="AQ919" s="9"/>
      <c r="AR919" s="9"/>
      <c r="AS919" s="9"/>
      <c r="AT919" s="9"/>
      <c r="AU919" s="9"/>
    </row>
    <row r="920" spans="37:47" ht="15.75" customHeight="1">
      <c r="AK920" s="9"/>
      <c r="AL920" s="9"/>
      <c r="AM920" s="9"/>
      <c r="AN920" s="9"/>
      <c r="AO920" s="9"/>
      <c r="AP920" s="9"/>
      <c r="AQ920" s="9"/>
      <c r="AR920" s="9"/>
      <c r="AS920" s="9"/>
      <c r="AT920" s="9"/>
      <c r="AU920" s="9"/>
    </row>
    <row r="921" spans="37:47" ht="15.75" customHeight="1">
      <c r="AK921" s="9"/>
      <c r="AL921" s="9"/>
      <c r="AM921" s="9"/>
      <c r="AN921" s="9"/>
      <c r="AO921" s="9"/>
      <c r="AP921" s="9"/>
      <c r="AQ921" s="9"/>
      <c r="AR921" s="9"/>
      <c r="AS921" s="9"/>
      <c r="AT921" s="9"/>
      <c r="AU921" s="9"/>
    </row>
    <row r="922" spans="37:47" ht="15.75" customHeight="1">
      <c r="AK922" s="9"/>
      <c r="AL922" s="9"/>
      <c r="AM922" s="9"/>
      <c r="AN922" s="9"/>
      <c r="AO922" s="9"/>
      <c r="AP922" s="9"/>
      <c r="AQ922" s="9"/>
      <c r="AR922" s="9"/>
      <c r="AS922" s="9"/>
      <c r="AT922" s="9"/>
      <c r="AU922" s="9"/>
    </row>
    <row r="923" spans="37:47" ht="15.75" customHeight="1">
      <c r="AK923" s="9"/>
      <c r="AL923" s="9"/>
      <c r="AM923" s="9"/>
      <c r="AN923" s="9"/>
      <c r="AO923" s="9"/>
      <c r="AP923" s="9"/>
      <c r="AQ923" s="9"/>
      <c r="AR923" s="9"/>
      <c r="AS923" s="9"/>
      <c r="AT923" s="9"/>
      <c r="AU923" s="9"/>
    </row>
    <row r="924" spans="37:47" ht="15.75" customHeight="1">
      <c r="AK924" s="9"/>
      <c r="AL924" s="9"/>
      <c r="AM924" s="9"/>
      <c r="AN924" s="9"/>
      <c r="AO924" s="9"/>
      <c r="AP924" s="9"/>
      <c r="AQ924" s="9"/>
      <c r="AR924" s="9"/>
      <c r="AS924" s="9"/>
      <c r="AT924" s="9"/>
      <c r="AU924" s="9"/>
    </row>
    <row r="925" spans="37:47" ht="15.75" customHeight="1">
      <c r="AK925" s="9"/>
      <c r="AL925" s="9"/>
      <c r="AM925" s="9"/>
      <c r="AN925" s="9"/>
      <c r="AO925" s="9"/>
      <c r="AP925" s="9"/>
      <c r="AQ925" s="9"/>
      <c r="AR925" s="9"/>
      <c r="AS925" s="9"/>
      <c r="AT925" s="9"/>
      <c r="AU925" s="9"/>
    </row>
    <row r="926" spans="37:47" ht="15.75" customHeight="1">
      <c r="AK926" s="9"/>
      <c r="AL926" s="9"/>
      <c r="AM926" s="9"/>
      <c r="AN926" s="9"/>
      <c r="AO926" s="9"/>
      <c r="AP926" s="9"/>
      <c r="AQ926" s="9"/>
      <c r="AR926" s="9"/>
      <c r="AS926" s="9"/>
      <c r="AT926" s="9"/>
      <c r="AU926" s="9"/>
    </row>
    <row r="927" spans="37:47" ht="15.75" customHeight="1">
      <c r="AK927" s="9"/>
      <c r="AL927" s="9"/>
      <c r="AM927" s="9"/>
      <c r="AN927" s="9"/>
      <c r="AO927" s="9"/>
      <c r="AP927" s="9"/>
      <c r="AQ927" s="9"/>
      <c r="AR927" s="9"/>
      <c r="AS927" s="9"/>
      <c r="AT927" s="9"/>
      <c r="AU927" s="9"/>
    </row>
    <row r="928" spans="37:47" ht="15.75" customHeight="1">
      <c r="AK928" s="9"/>
      <c r="AL928" s="9"/>
      <c r="AM928" s="9"/>
      <c r="AN928" s="9"/>
      <c r="AO928" s="9"/>
      <c r="AP928" s="9"/>
      <c r="AQ928" s="9"/>
      <c r="AR928" s="9"/>
      <c r="AS928" s="9"/>
      <c r="AT928" s="9"/>
      <c r="AU928" s="9"/>
    </row>
    <row r="929" spans="37:47" ht="15.75" customHeight="1">
      <c r="AK929" s="9"/>
      <c r="AL929" s="9"/>
      <c r="AM929" s="9"/>
      <c r="AN929" s="9"/>
      <c r="AO929" s="9"/>
      <c r="AP929" s="9"/>
      <c r="AQ929" s="9"/>
      <c r="AR929" s="9"/>
      <c r="AS929" s="9"/>
      <c r="AT929" s="9"/>
      <c r="AU929" s="9"/>
    </row>
    <row r="930" spans="37:47" ht="15.75" customHeight="1">
      <c r="AK930" s="9"/>
      <c r="AL930" s="9"/>
      <c r="AM930" s="9"/>
      <c r="AN930" s="9"/>
      <c r="AO930" s="9"/>
      <c r="AP930" s="9"/>
      <c r="AQ930" s="9"/>
      <c r="AR930" s="9"/>
      <c r="AS930" s="9"/>
      <c r="AT930" s="9"/>
      <c r="AU930" s="9"/>
    </row>
    <row r="931" spans="37:47" ht="15.75" customHeight="1">
      <c r="AK931" s="9"/>
      <c r="AL931" s="9"/>
      <c r="AM931" s="9"/>
      <c r="AN931" s="9"/>
      <c r="AO931" s="9"/>
      <c r="AP931" s="9"/>
      <c r="AQ931" s="9"/>
      <c r="AR931" s="9"/>
      <c r="AS931" s="9"/>
      <c r="AT931" s="9"/>
      <c r="AU931" s="9"/>
    </row>
    <row r="932" spans="37:47" ht="15.75" customHeight="1">
      <c r="AK932" s="9"/>
      <c r="AL932" s="9"/>
      <c r="AM932" s="9"/>
      <c r="AN932" s="9"/>
      <c r="AO932" s="9"/>
      <c r="AP932" s="9"/>
      <c r="AQ932" s="9"/>
      <c r="AR932" s="9"/>
      <c r="AS932" s="9"/>
      <c r="AT932" s="9"/>
      <c r="AU932" s="9"/>
    </row>
    <row r="933" spans="37:47" ht="15.75" customHeight="1">
      <c r="AK933" s="9"/>
      <c r="AL933" s="9"/>
      <c r="AM933" s="9"/>
      <c r="AN933" s="9"/>
      <c r="AO933" s="9"/>
      <c r="AP933" s="9"/>
      <c r="AQ933" s="9"/>
      <c r="AR933" s="9"/>
      <c r="AS933" s="9"/>
      <c r="AT933" s="9"/>
      <c r="AU933" s="9"/>
    </row>
    <row r="934" spans="37:47" ht="15.75" customHeight="1">
      <c r="AK934" s="9"/>
      <c r="AL934" s="9"/>
      <c r="AM934" s="9"/>
      <c r="AN934" s="9"/>
      <c r="AO934" s="9"/>
      <c r="AP934" s="9"/>
      <c r="AQ934" s="9"/>
      <c r="AR934" s="9"/>
      <c r="AS934" s="9"/>
      <c r="AT934" s="9"/>
      <c r="AU934" s="9"/>
    </row>
    <row r="935" spans="37:47" ht="15.75" customHeight="1">
      <c r="AK935" s="9"/>
      <c r="AL935" s="9"/>
      <c r="AM935" s="9"/>
      <c r="AN935" s="9"/>
      <c r="AO935" s="9"/>
      <c r="AP935" s="9"/>
      <c r="AQ935" s="9"/>
      <c r="AR935" s="9"/>
      <c r="AS935" s="9"/>
      <c r="AT935" s="9"/>
      <c r="AU935" s="9"/>
    </row>
    <row r="936" spans="37:47" ht="15.75" customHeight="1">
      <c r="AK936" s="9"/>
      <c r="AL936" s="9"/>
      <c r="AM936" s="9"/>
      <c r="AN936" s="9"/>
      <c r="AO936" s="9"/>
      <c r="AP936" s="9"/>
      <c r="AQ936" s="9"/>
      <c r="AR936" s="9"/>
      <c r="AS936" s="9"/>
      <c r="AT936" s="9"/>
      <c r="AU936" s="9"/>
    </row>
    <row r="937" spans="37:47" ht="15.75" customHeight="1">
      <c r="AK937" s="9"/>
      <c r="AL937" s="9"/>
      <c r="AM937" s="9"/>
      <c r="AN937" s="9"/>
      <c r="AO937" s="9"/>
      <c r="AP937" s="9"/>
      <c r="AQ937" s="9"/>
      <c r="AR937" s="9"/>
      <c r="AS937" s="9"/>
      <c r="AT937" s="9"/>
      <c r="AU937" s="9"/>
    </row>
    <row r="938" spans="37:47" ht="15.75" customHeight="1">
      <c r="AK938" s="9"/>
      <c r="AL938" s="9"/>
      <c r="AM938" s="9"/>
      <c r="AN938" s="9"/>
      <c r="AO938" s="9"/>
      <c r="AP938" s="9"/>
      <c r="AQ938" s="9"/>
      <c r="AR938" s="9"/>
      <c r="AS938" s="9"/>
      <c r="AT938" s="9"/>
      <c r="AU938" s="9"/>
    </row>
    <row r="939" spans="37:47" ht="15.75" customHeight="1">
      <c r="AK939" s="9"/>
      <c r="AL939" s="9"/>
      <c r="AM939" s="9"/>
      <c r="AN939" s="9"/>
      <c r="AO939" s="9"/>
      <c r="AP939" s="9"/>
      <c r="AQ939" s="9"/>
      <c r="AR939" s="9"/>
      <c r="AS939" s="9"/>
      <c r="AT939" s="9"/>
      <c r="AU939" s="9"/>
    </row>
    <row r="940" spans="37:47" ht="15.75" customHeight="1">
      <c r="AK940" s="9"/>
      <c r="AL940" s="9"/>
      <c r="AM940" s="9"/>
      <c r="AN940" s="9"/>
      <c r="AO940" s="9"/>
      <c r="AP940" s="9"/>
      <c r="AQ940" s="9"/>
      <c r="AR940" s="9"/>
      <c r="AS940" s="9"/>
      <c r="AT940" s="9"/>
      <c r="AU940" s="9"/>
    </row>
    <row r="941" spans="37:47" ht="15.75" customHeight="1">
      <c r="AK941" s="9"/>
      <c r="AL941" s="9"/>
      <c r="AM941" s="9"/>
      <c r="AN941" s="9"/>
      <c r="AO941" s="9"/>
      <c r="AP941" s="9"/>
      <c r="AQ941" s="9"/>
      <c r="AR941" s="9"/>
      <c r="AS941" s="9"/>
      <c r="AT941" s="9"/>
      <c r="AU941" s="9"/>
    </row>
    <row r="942" spans="37:47" ht="15.75" customHeight="1">
      <c r="AK942" s="9"/>
      <c r="AL942" s="9"/>
      <c r="AM942" s="9"/>
      <c r="AN942" s="9"/>
      <c r="AO942" s="9"/>
      <c r="AP942" s="9"/>
      <c r="AQ942" s="9"/>
      <c r="AR942" s="9"/>
      <c r="AS942" s="9"/>
      <c r="AT942" s="9"/>
      <c r="AU942" s="9"/>
    </row>
    <row r="943" spans="37:47" ht="15.75" customHeight="1">
      <c r="AK943" s="9"/>
      <c r="AL943" s="9"/>
      <c r="AM943" s="9"/>
      <c r="AN943" s="9"/>
      <c r="AO943" s="9"/>
      <c r="AP943" s="9"/>
      <c r="AQ943" s="9"/>
      <c r="AR943" s="9"/>
      <c r="AS943" s="9"/>
      <c r="AT943" s="9"/>
      <c r="AU943" s="9"/>
    </row>
    <row r="944" spans="37:47" ht="15.75" customHeight="1">
      <c r="AK944" s="9"/>
      <c r="AL944" s="9"/>
      <c r="AM944" s="9"/>
      <c r="AN944" s="9"/>
      <c r="AO944" s="9"/>
      <c r="AP944" s="9"/>
      <c r="AQ944" s="9"/>
      <c r="AR944" s="9"/>
      <c r="AS944" s="9"/>
      <c r="AT944" s="9"/>
      <c r="AU944" s="9"/>
    </row>
    <row r="945" spans="37:47" ht="15.75" customHeight="1">
      <c r="AK945" s="9"/>
      <c r="AL945" s="9"/>
      <c r="AM945" s="9"/>
      <c r="AN945" s="9"/>
      <c r="AO945" s="9"/>
      <c r="AP945" s="9"/>
      <c r="AQ945" s="9"/>
      <c r="AR945" s="9"/>
      <c r="AS945" s="9"/>
      <c r="AT945" s="9"/>
      <c r="AU945" s="9"/>
    </row>
    <row r="946" spans="37:47" ht="15.75" customHeight="1">
      <c r="AK946" s="9"/>
      <c r="AL946" s="9"/>
      <c r="AM946" s="9"/>
      <c r="AN946" s="9"/>
      <c r="AO946" s="9"/>
      <c r="AP946" s="9"/>
      <c r="AQ946" s="9"/>
      <c r="AR946" s="9"/>
      <c r="AS946" s="9"/>
      <c r="AT946" s="9"/>
      <c r="AU946" s="9"/>
    </row>
    <row r="947" spans="37:47" ht="15.75" customHeight="1">
      <c r="AK947" s="9"/>
      <c r="AL947" s="9"/>
      <c r="AM947" s="9"/>
      <c r="AN947" s="9"/>
      <c r="AO947" s="9"/>
      <c r="AP947" s="9"/>
      <c r="AQ947" s="9"/>
      <c r="AR947" s="9"/>
      <c r="AS947" s="9"/>
      <c r="AT947" s="9"/>
      <c r="AU947" s="9"/>
    </row>
    <row r="948" spans="37:47" ht="15.75" customHeight="1">
      <c r="AK948" s="9"/>
      <c r="AL948" s="9"/>
      <c r="AM948" s="9"/>
      <c r="AN948" s="9"/>
      <c r="AO948" s="9"/>
      <c r="AP948" s="9"/>
      <c r="AQ948" s="9"/>
      <c r="AR948" s="9"/>
      <c r="AS948" s="9"/>
      <c r="AT948" s="9"/>
      <c r="AU948" s="9"/>
    </row>
    <row r="949" spans="37:47" ht="15.75" customHeight="1">
      <c r="AK949" s="9"/>
      <c r="AL949" s="9"/>
      <c r="AM949" s="9"/>
      <c r="AN949" s="9"/>
      <c r="AO949" s="9"/>
      <c r="AP949" s="9"/>
      <c r="AQ949" s="9"/>
      <c r="AR949" s="9"/>
      <c r="AS949" s="9"/>
      <c r="AT949" s="9"/>
      <c r="AU949" s="9"/>
    </row>
    <row r="950" spans="37:47" ht="15.75" customHeight="1">
      <c r="AK950" s="9"/>
      <c r="AL950" s="9"/>
      <c r="AM950" s="9"/>
      <c r="AN950" s="9"/>
      <c r="AO950" s="9"/>
      <c r="AP950" s="9"/>
      <c r="AQ950" s="9"/>
      <c r="AR950" s="9"/>
      <c r="AS950" s="9"/>
      <c r="AT950" s="9"/>
      <c r="AU950" s="9"/>
    </row>
    <row r="951" spans="37:47" ht="15.75" customHeight="1">
      <c r="AK951" s="9"/>
      <c r="AL951" s="9"/>
      <c r="AM951" s="9"/>
      <c r="AN951" s="9"/>
      <c r="AO951" s="9"/>
      <c r="AP951" s="9"/>
      <c r="AQ951" s="9"/>
      <c r="AR951" s="9"/>
      <c r="AS951" s="9"/>
      <c r="AT951" s="9"/>
      <c r="AU951" s="9"/>
    </row>
    <row r="952" spans="37:47" ht="15.75" customHeight="1">
      <c r="AK952" s="9"/>
      <c r="AL952" s="9"/>
      <c r="AM952" s="9"/>
      <c r="AN952" s="9"/>
      <c r="AO952" s="9"/>
      <c r="AP952" s="9"/>
      <c r="AQ952" s="9"/>
      <c r="AR952" s="9"/>
      <c r="AS952" s="9"/>
      <c r="AT952" s="9"/>
      <c r="AU952" s="9"/>
    </row>
    <row r="953" spans="37:47" ht="15.75" customHeight="1">
      <c r="AK953" s="9"/>
      <c r="AL953" s="9"/>
      <c r="AM953" s="9"/>
      <c r="AN953" s="9"/>
      <c r="AO953" s="9"/>
      <c r="AP953" s="9"/>
      <c r="AQ953" s="9"/>
      <c r="AR953" s="9"/>
      <c r="AS953" s="9"/>
      <c r="AT953" s="9"/>
      <c r="AU953" s="9"/>
    </row>
    <row r="954" spans="37:47" ht="15.75" customHeight="1">
      <c r="AK954" s="9"/>
      <c r="AL954" s="9"/>
      <c r="AM954" s="9"/>
      <c r="AN954" s="9"/>
      <c r="AO954" s="9"/>
      <c r="AP954" s="9"/>
      <c r="AQ954" s="9"/>
      <c r="AR954" s="9"/>
      <c r="AS954" s="9"/>
      <c r="AT954" s="9"/>
      <c r="AU954" s="9"/>
    </row>
    <row r="955" spans="37:47" ht="15.75" customHeight="1">
      <c r="AK955" s="9"/>
      <c r="AL955" s="9"/>
      <c r="AM955" s="9"/>
      <c r="AN955" s="9"/>
      <c r="AO955" s="9"/>
      <c r="AP955" s="9"/>
      <c r="AQ955" s="9"/>
      <c r="AR955" s="9"/>
      <c r="AS955" s="9"/>
      <c r="AT955" s="9"/>
      <c r="AU955" s="9"/>
    </row>
    <row r="956" spans="37:47" ht="15.75" customHeight="1">
      <c r="AK956" s="9"/>
      <c r="AL956" s="9"/>
      <c r="AM956" s="9"/>
      <c r="AN956" s="9"/>
      <c r="AO956" s="9"/>
      <c r="AP956" s="9"/>
      <c r="AQ956" s="9"/>
      <c r="AR956" s="9"/>
      <c r="AS956" s="9"/>
      <c r="AT956" s="9"/>
      <c r="AU956" s="9"/>
    </row>
    <row r="957" spans="37:47" ht="15.75" customHeight="1">
      <c r="AK957" s="9"/>
      <c r="AL957" s="9"/>
      <c r="AM957" s="9"/>
      <c r="AN957" s="9"/>
      <c r="AO957" s="9"/>
      <c r="AP957" s="9"/>
      <c r="AQ957" s="9"/>
      <c r="AR957" s="9"/>
      <c r="AS957" s="9"/>
      <c r="AT957" s="9"/>
      <c r="AU957" s="9"/>
    </row>
    <row r="958" spans="37:47" ht="15.75" customHeight="1">
      <c r="AK958" s="9"/>
      <c r="AL958" s="9"/>
      <c r="AM958" s="9"/>
      <c r="AN958" s="9"/>
      <c r="AO958" s="9"/>
      <c r="AP958" s="9"/>
      <c r="AQ958" s="9"/>
      <c r="AR958" s="9"/>
      <c r="AS958" s="9"/>
      <c r="AT958" s="9"/>
      <c r="AU958" s="9"/>
    </row>
    <row r="959" spans="37:47" ht="15.75" customHeight="1">
      <c r="AK959" s="9"/>
      <c r="AL959" s="9"/>
      <c r="AM959" s="9"/>
      <c r="AN959" s="9"/>
      <c r="AO959" s="9"/>
      <c r="AP959" s="9"/>
      <c r="AQ959" s="9"/>
      <c r="AR959" s="9"/>
      <c r="AS959" s="9"/>
      <c r="AT959" s="9"/>
      <c r="AU959" s="9"/>
    </row>
    <row r="960" spans="37:47" ht="15.75" customHeight="1">
      <c r="AK960" s="9"/>
      <c r="AL960" s="9"/>
      <c r="AM960" s="9"/>
      <c r="AN960" s="9"/>
      <c r="AO960" s="9"/>
      <c r="AP960" s="9"/>
      <c r="AQ960" s="9"/>
      <c r="AR960" s="9"/>
      <c r="AS960" s="9"/>
      <c r="AT960" s="9"/>
      <c r="AU960" s="9"/>
    </row>
    <row r="961" spans="37:47" ht="15.75" customHeight="1">
      <c r="AK961" s="9"/>
      <c r="AL961" s="9"/>
      <c r="AM961" s="9"/>
      <c r="AN961" s="9"/>
      <c r="AO961" s="9"/>
      <c r="AP961" s="9"/>
      <c r="AQ961" s="9"/>
      <c r="AR961" s="9"/>
      <c r="AS961" s="9"/>
      <c r="AT961" s="9"/>
      <c r="AU961" s="9"/>
    </row>
    <row r="962" spans="37:47" ht="15.75" customHeight="1">
      <c r="AK962" s="9"/>
      <c r="AL962" s="9"/>
      <c r="AM962" s="9"/>
      <c r="AN962" s="9"/>
      <c r="AO962" s="9"/>
      <c r="AP962" s="9"/>
      <c r="AQ962" s="9"/>
      <c r="AR962" s="9"/>
      <c r="AS962" s="9"/>
      <c r="AT962" s="9"/>
      <c r="AU962" s="9"/>
    </row>
    <row r="963" spans="37:47" ht="15.75" customHeight="1">
      <c r="AK963" s="9"/>
      <c r="AL963" s="9"/>
      <c r="AM963" s="9"/>
      <c r="AN963" s="9"/>
      <c r="AO963" s="9"/>
      <c r="AP963" s="9"/>
      <c r="AQ963" s="9"/>
      <c r="AR963" s="9"/>
      <c r="AS963" s="9"/>
      <c r="AT963" s="9"/>
      <c r="AU963" s="9"/>
    </row>
    <row r="964" spans="37:47" ht="15.75" customHeight="1">
      <c r="AK964" s="9"/>
      <c r="AL964" s="9"/>
      <c r="AM964" s="9"/>
      <c r="AN964" s="9"/>
      <c r="AO964" s="9"/>
      <c r="AP964" s="9"/>
      <c r="AQ964" s="9"/>
      <c r="AR964" s="9"/>
      <c r="AS964" s="9"/>
      <c r="AT964" s="9"/>
      <c r="AU964" s="9"/>
    </row>
    <row r="965" spans="37:47" ht="15.75" customHeight="1">
      <c r="AK965" s="9"/>
      <c r="AL965" s="9"/>
      <c r="AM965" s="9"/>
      <c r="AN965" s="9"/>
      <c r="AO965" s="9"/>
      <c r="AP965" s="9"/>
      <c r="AQ965" s="9"/>
      <c r="AR965" s="9"/>
      <c r="AS965" s="9"/>
      <c r="AT965" s="9"/>
      <c r="AU965" s="9"/>
    </row>
    <row r="966" spans="37:47" ht="15.75" customHeight="1">
      <c r="AK966" s="9"/>
      <c r="AL966" s="9"/>
      <c r="AM966" s="9"/>
      <c r="AN966" s="9"/>
      <c r="AO966" s="9"/>
      <c r="AP966" s="9"/>
      <c r="AQ966" s="9"/>
      <c r="AR966" s="9"/>
      <c r="AS966" s="9"/>
      <c r="AT966" s="9"/>
      <c r="AU966" s="9"/>
    </row>
    <row r="967" spans="37:47" ht="15.75" customHeight="1">
      <c r="AK967" s="9"/>
      <c r="AL967" s="9"/>
      <c r="AM967" s="9"/>
      <c r="AN967" s="9"/>
      <c r="AO967" s="9"/>
      <c r="AP967" s="9"/>
      <c r="AQ967" s="9"/>
      <c r="AR967" s="9"/>
      <c r="AS967" s="9"/>
      <c r="AT967" s="9"/>
      <c r="AU967" s="9"/>
    </row>
    <row r="968" spans="37:47" ht="15.75" customHeight="1">
      <c r="AK968" s="9"/>
      <c r="AL968" s="9"/>
      <c r="AM968" s="9"/>
      <c r="AN968" s="9"/>
      <c r="AO968" s="9"/>
      <c r="AP968" s="9"/>
      <c r="AQ968" s="9"/>
      <c r="AR968" s="9"/>
      <c r="AS968" s="9"/>
      <c r="AT968" s="9"/>
      <c r="AU968" s="9"/>
    </row>
    <row r="969" spans="37:47" ht="15.75" customHeight="1">
      <c r="AK969" s="9"/>
      <c r="AL969" s="9"/>
      <c r="AM969" s="9"/>
      <c r="AN969" s="9"/>
      <c r="AO969" s="9"/>
      <c r="AP969" s="9"/>
      <c r="AQ969" s="9"/>
      <c r="AR969" s="9"/>
      <c r="AS969" s="9"/>
      <c r="AT969" s="9"/>
      <c r="AU969" s="9"/>
    </row>
    <row r="970" spans="37:47" ht="15.75" customHeight="1">
      <c r="AK970" s="9"/>
      <c r="AL970" s="9"/>
      <c r="AM970" s="9"/>
      <c r="AN970" s="9"/>
      <c r="AO970" s="9"/>
      <c r="AP970" s="9"/>
      <c r="AQ970" s="9"/>
      <c r="AR970" s="9"/>
      <c r="AS970" s="9"/>
      <c r="AT970" s="9"/>
      <c r="AU970" s="9"/>
    </row>
    <row r="971" spans="37:47" ht="15.75" customHeight="1">
      <c r="AK971" s="9"/>
      <c r="AL971" s="9"/>
      <c r="AM971" s="9"/>
      <c r="AN971" s="9"/>
      <c r="AO971" s="9"/>
      <c r="AP971" s="9"/>
      <c r="AQ971" s="9"/>
      <c r="AR971" s="9"/>
      <c r="AS971" s="9"/>
      <c r="AT971" s="9"/>
      <c r="AU971" s="9"/>
    </row>
    <row r="972" spans="37:47" ht="15.75" customHeight="1">
      <c r="AK972" s="9"/>
      <c r="AL972" s="9"/>
      <c r="AM972" s="9"/>
      <c r="AN972" s="9"/>
      <c r="AO972" s="9"/>
      <c r="AP972" s="9"/>
      <c r="AQ972" s="9"/>
      <c r="AR972" s="9"/>
      <c r="AS972" s="9"/>
      <c r="AT972" s="9"/>
      <c r="AU972" s="9"/>
    </row>
    <row r="973" spans="37:47" ht="15.75" customHeight="1">
      <c r="AK973" s="9"/>
      <c r="AL973" s="9"/>
      <c r="AM973" s="9"/>
      <c r="AN973" s="9"/>
      <c r="AO973" s="9"/>
      <c r="AP973" s="9"/>
      <c r="AQ973" s="9"/>
      <c r="AR973" s="9"/>
      <c r="AS973" s="9"/>
      <c r="AT973" s="9"/>
      <c r="AU973" s="9"/>
    </row>
    <row r="974" spans="37:47" ht="15.75" customHeight="1">
      <c r="AK974" s="9"/>
      <c r="AL974" s="9"/>
      <c r="AM974" s="9"/>
      <c r="AN974" s="9"/>
      <c r="AO974" s="9"/>
      <c r="AP974" s="9"/>
      <c r="AQ974" s="9"/>
      <c r="AR974" s="9"/>
      <c r="AS974" s="9"/>
      <c r="AT974" s="9"/>
      <c r="AU974" s="9"/>
    </row>
    <row r="975" spans="37:47" ht="15.75" customHeight="1">
      <c r="AK975" s="9"/>
      <c r="AL975" s="9"/>
      <c r="AM975" s="9"/>
      <c r="AN975" s="9"/>
      <c r="AO975" s="9"/>
      <c r="AP975" s="9"/>
      <c r="AQ975" s="9"/>
      <c r="AR975" s="9"/>
      <c r="AS975" s="9"/>
      <c r="AT975" s="9"/>
      <c r="AU975" s="9"/>
    </row>
    <row r="976" spans="37:47" ht="15.75" customHeight="1">
      <c r="AK976" s="9"/>
      <c r="AL976" s="9"/>
      <c r="AM976" s="9"/>
      <c r="AN976" s="9"/>
      <c r="AO976" s="9"/>
      <c r="AP976" s="9"/>
      <c r="AQ976" s="9"/>
      <c r="AR976" s="9"/>
      <c r="AS976" s="9"/>
      <c r="AT976" s="9"/>
      <c r="AU976" s="9"/>
    </row>
    <row r="977" spans="37:47" ht="15.75" customHeight="1">
      <c r="AK977" s="9"/>
      <c r="AL977" s="9"/>
      <c r="AM977" s="9"/>
      <c r="AN977" s="9"/>
      <c r="AO977" s="9"/>
      <c r="AP977" s="9"/>
      <c r="AQ977" s="9"/>
      <c r="AR977" s="9"/>
      <c r="AS977" s="9"/>
      <c r="AT977" s="9"/>
      <c r="AU977" s="9"/>
    </row>
    <row r="978" spans="37:47" ht="15.75" customHeight="1">
      <c r="AK978" s="9"/>
      <c r="AL978" s="9"/>
      <c r="AM978" s="9"/>
      <c r="AN978" s="9"/>
      <c r="AO978" s="9"/>
      <c r="AP978" s="9"/>
      <c r="AQ978" s="9"/>
      <c r="AR978" s="9"/>
      <c r="AS978" s="9"/>
      <c r="AT978" s="9"/>
      <c r="AU978" s="9"/>
    </row>
    <row r="979" spans="37:47" ht="15.75" customHeight="1">
      <c r="AK979" s="9"/>
      <c r="AL979" s="9"/>
      <c r="AM979" s="9"/>
      <c r="AN979" s="9"/>
      <c r="AO979" s="9"/>
      <c r="AP979" s="9"/>
      <c r="AQ979" s="9"/>
      <c r="AR979" s="9"/>
      <c r="AS979" s="9"/>
      <c r="AT979" s="9"/>
      <c r="AU979" s="9"/>
    </row>
    <row r="980" spans="37:47" ht="15.75" customHeight="1">
      <c r="AK980" s="9"/>
      <c r="AL980" s="9"/>
      <c r="AM980" s="9"/>
      <c r="AN980" s="9"/>
      <c r="AO980" s="9"/>
      <c r="AP980" s="9"/>
      <c r="AQ980" s="9"/>
      <c r="AR980" s="9"/>
      <c r="AS980" s="9"/>
      <c r="AT980" s="9"/>
      <c r="AU980" s="9"/>
    </row>
    <row r="981" spans="37:47" ht="15.75" customHeight="1">
      <c r="AK981" s="9"/>
      <c r="AL981" s="9"/>
      <c r="AM981" s="9"/>
      <c r="AN981" s="9"/>
      <c r="AO981" s="9"/>
      <c r="AP981" s="9"/>
      <c r="AQ981" s="9"/>
      <c r="AR981" s="9"/>
      <c r="AS981" s="9"/>
      <c r="AT981" s="9"/>
      <c r="AU981" s="9"/>
    </row>
    <row r="982" spans="37:47" ht="15.75" customHeight="1">
      <c r="AK982" s="9"/>
      <c r="AL982" s="9"/>
      <c r="AM982" s="9"/>
      <c r="AN982" s="9"/>
      <c r="AO982" s="9"/>
      <c r="AP982" s="9"/>
      <c r="AQ982" s="9"/>
      <c r="AR982" s="9"/>
      <c r="AS982" s="9"/>
      <c r="AT982" s="9"/>
      <c r="AU982" s="9"/>
    </row>
    <row r="983" spans="37:47" ht="15.75" customHeight="1">
      <c r="AK983" s="9"/>
      <c r="AL983" s="9"/>
      <c r="AM983" s="9"/>
      <c r="AN983" s="9"/>
      <c r="AO983" s="9"/>
      <c r="AP983" s="9"/>
      <c r="AQ983" s="9"/>
      <c r="AR983" s="9"/>
      <c r="AS983" s="9"/>
      <c r="AT983" s="9"/>
      <c r="AU983" s="9"/>
    </row>
    <row r="984" spans="37:47" ht="15.75" customHeight="1">
      <c r="AK984" s="9"/>
      <c r="AL984" s="9"/>
      <c r="AM984" s="9"/>
      <c r="AN984" s="9"/>
      <c r="AO984" s="9"/>
      <c r="AP984" s="9"/>
      <c r="AQ984" s="9"/>
      <c r="AR984" s="9"/>
      <c r="AS984" s="9"/>
      <c r="AT984" s="9"/>
      <c r="AU984" s="9"/>
    </row>
    <row r="985" spans="37:47" ht="15.75" customHeight="1">
      <c r="AK985" s="9"/>
      <c r="AL985" s="9"/>
      <c r="AM985" s="9"/>
      <c r="AN985" s="9"/>
      <c r="AO985" s="9"/>
      <c r="AP985" s="9"/>
      <c r="AQ985" s="9"/>
      <c r="AR985" s="9"/>
      <c r="AS985" s="9"/>
      <c r="AT985" s="9"/>
      <c r="AU985" s="9"/>
    </row>
    <row r="986" spans="37:47" ht="15.75" customHeight="1">
      <c r="AK986" s="9"/>
      <c r="AL986" s="9"/>
      <c r="AM986" s="9"/>
      <c r="AN986" s="9"/>
      <c r="AO986" s="9"/>
      <c r="AP986" s="9"/>
      <c r="AQ986" s="9"/>
      <c r="AR986" s="9"/>
      <c r="AS986" s="9"/>
      <c r="AT986" s="9"/>
      <c r="AU986" s="9"/>
    </row>
    <row r="987" spans="37:47" ht="15.75" customHeight="1">
      <c r="AK987" s="9"/>
      <c r="AL987" s="9"/>
      <c r="AM987" s="9"/>
      <c r="AN987" s="9"/>
      <c r="AO987" s="9"/>
      <c r="AP987" s="9"/>
      <c r="AQ987" s="9"/>
      <c r="AR987" s="9"/>
      <c r="AS987" s="9"/>
      <c r="AT987" s="9"/>
      <c r="AU987" s="9"/>
    </row>
    <row r="988" spans="37:47" ht="15.75" customHeight="1">
      <c r="AK988" s="9"/>
      <c r="AL988" s="9"/>
      <c r="AM988" s="9"/>
      <c r="AN988" s="9"/>
      <c r="AO988" s="9"/>
      <c r="AP988" s="9"/>
      <c r="AQ988" s="9"/>
      <c r="AR988" s="9"/>
      <c r="AS988" s="9"/>
      <c r="AT988" s="9"/>
      <c r="AU988" s="9"/>
    </row>
    <row r="989" spans="37:47" ht="15.75" customHeight="1">
      <c r="AK989" s="9"/>
      <c r="AL989" s="9"/>
      <c r="AM989" s="9"/>
      <c r="AN989" s="9"/>
      <c r="AO989" s="9"/>
      <c r="AP989" s="9"/>
      <c r="AQ989" s="9"/>
      <c r="AR989" s="9"/>
      <c r="AS989" s="9"/>
      <c r="AT989" s="9"/>
      <c r="AU989" s="9"/>
    </row>
    <row r="990" spans="37:47" ht="15.75" customHeight="1">
      <c r="AK990" s="9"/>
      <c r="AL990" s="9"/>
      <c r="AM990" s="9"/>
      <c r="AN990" s="9"/>
      <c r="AO990" s="9"/>
      <c r="AP990" s="9"/>
      <c r="AQ990" s="9"/>
      <c r="AR990" s="9"/>
      <c r="AS990" s="9"/>
      <c r="AT990" s="9"/>
      <c r="AU990" s="9"/>
    </row>
    <row r="991" spans="37:47" ht="15.75" customHeight="1">
      <c r="AK991" s="9"/>
      <c r="AL991" s="9"/>
      <c r="AM991" s="9"/>
      <c r="AN991" s="9"/>
      <c r="AO991" s="9"/>
      <c r="AP991" s="9"/>
      <c r="AQ991" s="9"/>
      <c r="AR991" s="9"/>
      <c r="AS991" s="9"/>
      <c r="AT991" s="9"/>
      <c r="AU991" s="9"/>
    </row>
    <row r="992" spans="37:47" ht="15.75" customHeight="1">
      <c r="AK992" s="9"/>
      <c r="AL992" s="9"/>
      <c r="AM992" s="9"/>
      <c r="AN992" s="9"/>
      <c r="AO992" s="9"/>
      <c r="AP992" s="9"/>
      <c r="AQ992" s="9"/>
      <c r="AR992" s="9"/>
      <c r="AS992" s="9"/>
      <c r="AT992" s="9"/>
      <c r="AU992" s="9"/>
    </row>
    <row r="993" spans="37:47" ht="15.75" customHeight="1">
      <c r="AK993" s="9"/>
      <c r="AL993" s="9"/>
      <c r="AM993" s="9"/>
      <c r="AN993" s="9"/>
      <c r="AO993" s="9"/>
      <c r="AP993" s="9"/>
      <c r="AQ993" s="9"/>
      <c r="AR993" s="9"/>
      <c r="AS993" s="9"/>
      <c r="AT993" s="9"/>
      <c r="AU993" s="9"/>
    </row>
    <row r="994" spans="37:47" ht="15.75" customHeight="1">
      <c r="AK994" s="9"/>
      <c r="AL994" s="9"/>
      <c r="AM994" s="9"/>
      <c r="AN994" s="9"/>
      <c r="AO994" s="9"/>
      <c r="AP994" s="9"/>
      <c r="AQ994" s="9"/>
      <c r="AR994" s="9"/>
      <c r="AS994" s="9"/>
      <c r="AT994" s="9"/>
      <c r="AU994" s="9"/>
    </row>
    <row r="995" spans="37:47" ht="15.75" customHeight="1">
      <c r="AK995" s="9"/>
      <c r="AL995" s="9"/>
      <c r="AM995" s="9"/>
      <c r="AN995" s="9"/>
      <c r="AO995" s="9"/>
      <c r="AP995" s="9"/>
      <c r="AQ995" s="9"/>
      <c r="AR995" s="9"/>
      <c r="AS995" s="9"/>
      <c r="AT995" s="9"/>
      <c r="AU995" s="9"/>
    </row>
    <row r="996" spans="37:47" ht="15.75" customHeight="1">
      <c r="AK996" s="9"/>
      <c r="AL996" s="9"/>
      <c r="AM996" s="9"/>
      <c r="AN996" s="9"/>
      <c r="AO996" s="9"/>
      <c r="AP996" s="9"/>
      <c r="AQ996" s="9"/>
      <c r="AR996" s="9"/>
      <c r="AS996" s="9"/>
      <c r="AT996" s="9"/>
      <c r="AU996" s="9"/>
    </row>
    <row r="997" spans="37:47" ht="15.75" customHeight="1">
      <c r="AK997" s="9"/>
      <c r="AL997" s="9"/>
      <c r="AM997" s="9"/>
      <c r="AN997" s="9"/>
      <c r="AO997" s="9"/>
      <c r="AP997" s="9"/>
      <c r="AQ997" s="9"/>
      <c r="AR997" s="9"/>
      <c r="AS997" s="9"/>
      <c r="AT997" s="9"/>
      <c r="AU997" s="9"/>
    </row>
    <row r="998" spans="37:47" ht="15.75" customHeight="1">
      <c r="AK998" s="9"/>
      <c r="AL998" s="9"/>
      <c r="AM998" s="9"/>
      <c r="AN998" s="9"/>
      <c r="AO998" s="9"/>
      <c r="AP998" s="9"/>
      <c r="AQ998" s="9"/>
      <c r="AR998" s="9"/>
      <c r="AS998" s="9"/>
      <c r="AT998" s="9"/>
      <c r="AU998" s="9"/>
    </row>
    <row r="999" spans="37:47" ht="15.75" customHeight="1">
      <c r="AK999" s="9"/>
      <c r="AL999" s="9"/>
      <c r="AM999" s="9"/>
      <c r="AN999" s="9"/>
      <c r="AO999" s="9"/>
      <c r="AP999" s="9"/>
      <c r="AQ999" s="9"/>
      <c r="AR999" s="9"/>
      <c r="AS999" s="9"/>
      <c r="AT999" s="9"/>
      <c r="AU999" s="9"/>
    </row>
    <row r="1000" spans="37:47" ht="15.75" customHeight="1">
      <c r="AK1000" s="9"/>
      <c r="AL1000" s="9"/>
      <c r="AM1000" s="9"/>
      <c r="AN1000" s="9"/>
      <c r="AO1000" s="9"/>
      <c r="AP1000" s="9"/>
      <c r="AQ1000" s="9"/>
      <c r="AR1000" s="9"/>
      <c r="AS1000" s="9"/>
      <c r="AT1000" s="9"/>
      <c r="AU1000" s="9"/>
    </row>
    <row r="1001" spans="37:47" ht="15.75" customHeight="1">
      <c r="AK1001" s="9"/>
      <c r="AL1001" s="9"/>
      <c r="AM1001" s="9"/>
      <c r="AN1001" s="9"/>
      <c r="AO1001" s="9"/>
      <c r="AP1001" s="9"/>
      <c r="AQ1001" s="9"/>
      <c r="AR1001" s="9"/>
      <c r="AS1001" s="9"/>
      <c r="AT1001" s="9"/>
      <c r="AU1001" s="9"/>
    </row>
    <row r="1002" spans="37:47" ht="15.75" customHeight="1">
      <c r="AK1002" s="9"/>
      <c r="AL1002" s="9"/>
      <c r="AM1002" s="9"/>
      <c r="AN1002" s="9"/>
      <c r="AO1002" s="9"/>
      <c r="AP1002" s="9"/>
      <c r="AQ1002" s="9"/>
      <c r="AR1002" s="9"/>
      <c r="AS1002" s="9"/>
      <c r="AT1002" s="9"/>
      <c r="AU1002" s="9"/>
    </row>
    <row r="1003" spans="37:47" ht="15.75" customHeight="1">
      <c r="AK1003" s="9"/>
      <c r="AL1003" s="9"/>
      <c r="AM1003" s="9"/>
      <c r="AN1003" s="9"/>
      <c r="AO1003" s="9"/>
      <c r="AP1003" s="9"/>
      <c r="AQ1003" s="9"/>
      <c r="AR1003" s="9"/>
      <c r="AS1003" s="9"/>
      <c r="AT1003" s="9"/>
      <c r="AU1003" s="9"/>
    </row>
    <row r="1004" spans="37:47" ht="15.75" customHeight="1">
      <c r="AK1004" s="9"/>
      <c r="AL1004" s="9"/>
      <c r="AM1004" s="9"/>
      <c r="AN1004" s="9"/>
      <c r="AO1004" s="9"/>
      <c r="AP1004" s="9"/>
      <c r="AQ1004" s="9"/>
      <c r="AR1004" s="9"/>
      <c r="AS1004" s="9"/>
      <c r="AT1004" s="9"/>
      <c r="AU1004" s="9"/>
    </row>
    <row r="1005" spans="37:47" ht="15.75" customHeight="1">
      <c r="AK1005" s="9"/>
      <c r="AL1005" s="9"/>
      <c r="AM1005" s="9"/>
      <c r="AN1005" s="9"/>
      <c r="AO1005" s="9"/>
      <c r="AP1005" s="9"/>
      <c r="AQ1005" s="9"/>
      <c r="AR1005" s="9"/>
      <c r="AS1005" s="9"/>
      <c r="AT1005" s="9"/>
      <c r="AU1005" s="9"/>
    </row>
    <row r="1006" spans="37:47" ht="15.75" customHeight="1">
      <c r="AK1006" s="9"/>
      <c r="AL1006" s="9"/>
      <c r="AM1006" s="9"/>
      <c r="AN1006" s="9"/>
      <c r="AO1006" s="9"/>
      <c r="AP1006" s="9"/>
      <c r="AQ1006" s="9"/>
      <c r="AR1006" s="9"/>
      <c r="AS1006" s="9"/>
      <c r="AT1006" s="9"/>
      <c r="AU1006" s="9"/>
    </row>
    <row r="1007" spans="37:47" ht="15.75" customHeight="1">
      <c r="AK1007" s="9"/>
      <c r="AL1007" s="9"/>
      <c r="AM1007" s="9"/>
      <c r="AN1007" s="9"/>
      <c r="AO1007" s="9"/>
      <c r="AP1007" s="9"/>
      <c r="AQ1007" s="9"/>
      <c r="AR1007" s="9"/>
      <c r="AS1007" s="9"/>
      <c r="AT1007" s="9"/>
      <c r="AU1007" s="9"/>
    </row>
    <row r="1008" spans="37:47" ht="15.75" customHeight="1">
      <c r="AK1008" s="9"/>
      <c r="AL1008" s="9"/>
      <c r="AM1008" s="9"/>
      <c r="AN1008" s="9"/>
      <c r="AO1008" s="9"/>
      <c r="AP1008" s="9"/>
      <c r="AQ1008" s="9"/>
      <c r="AR1008" s="9"/>
      <c r="AS1008" s="9"/>
      <c r="AT1008" s="9"/>
      <c r="AU1008" s="9"/>
    </row>
    <row r="1009" spans="37:47" ht="15.75" customHeight="1">
      <c r="AK1009" s="9"/>
      <c r="AL1009" s="9"/>
      <c r="AM1009" s="9"/>
      <c r="AN1009" s="9"/>
      <c r="AO1009" s="9"/>
      <c r="AP1009" s="9"/>
      <c r="AQ1009" s="9"/>
      <c r="AR1009" s="9"/>
      <c r="AS1009" s="9"/>
      <c r="AT1009" s="9"/>
      <c r="AU1009" s="9"/>
    </row>
    <row r="1010" spans="37:47" ht="15.75" customHeight="1">
      <c r="AK1010" s="9"/>
      <c r="AL1010" s="9"/>
      <c r="AM1010" s="9"/>
      <c r="AN1010" s="9"/>
      <c r="AO1010" s="9"/>
      <c r="AP1010" s="9"/>
      <c r="AQ1010" s="9"/>
      <c r="AR1010" s="9"/>
      <c r="AS1010" s="9"/>
      <c r="AT1010" s="9"/>
      <c r="AU1010" s="9"/>
    </row>
    <row r="1011" spans="37:47" ht="15.75" customHeight="1">
      <c r="AK1011" s="9"/>
      <c r="AL1011" s="9"/>
      <c r="AM1011" s="9"/>
      <c r="AN1011" s="9"/>
      <c r="AO1011" s="9"/>
      <c r="AP1011" s="9"/>
      <c r="AQ1011" s="9"/>
      <c r="AR1011" s="9"/>
      <c r="AS1011" s="9"/>
      <c r="AT1011" s="9"/>
      <c r="AU1011" s="9"/>
    </row>
    <row r="1012" spans="37:47" ht="15.75" customHeight="1">
      <c r="AK1012" s="9"/>
      <c r="AL1012" s="9"/>
      <c r="AM1012" s="9"/>
      <c r="AN1012" s="9"/>
      <c r="AO1012" s="9"/>
      <c r="AP1012" s="9"/>
      <c r="AQ1012" s="9"/>
      <c r="AR1012" s="9"/>
      <c r="AS1012" s="9"/>
      <c r="AT1012" s="9"/>
      <c r="AU1012" s="9"/>
    </row>
    <row r="1013" spans="37:47" ht="15.75" customHeight="1">
      <c r="AK1013" s="9"/>
      <c r="AL1013" s="9"/>
      <c r="AM1013" s="9"/>
      <c r="AN1013" s="9"/>
      <c r="AO1013" s="9"/>
      <c r="AP1013" s="9"/>
      <c r="AQ1013" s="9"/>
      <c r="AR1013" s="9"/>
      <c r="AS1013" s="9"/>
      <c r="AT1013" s="9"/>
      <c r="AU1013" s="9"/>
    </row>
    <row r="1014" spans="37:47" ht="15.75" customHeight="1">
      <c r="AK1014" s="9"/>
      <c r="AL1014" s="9"/>
      <c r="AM1014" s="9"/>
      <c r="AN1014" s="9"/>
      <c r="AO1014" s="9"/>
      <c r="AP1014" s="9"/>
      <c r="AQ1014" s="9"/>
      <c r="AR1014" s="9"/>
      <c r="AS1014" s="9"/>
      <c r="AT1014" s="9"/>
      <c r="AU1014" s="9"/>
    </row>
    <row r="1015" spans="37:47" ht="15.75" customHeight="1">
      <c r="AK1015" s="9"/>
      <c r="AL1015" s="9"/>
      <c r="AM1015" s="9"/>
      <c r="AN1015" s="9"/>
      <c r="AO1015" s="9"/>
      <c r="AP1015" s="9"/>
      <c r="AQ1015" s="9"/>
      <c r="AR1015" s="9"/>
      <c r="AS1015" s="9"/>
      <c r="AT1015" s="9"/>
      <c r="AU1015" s="9"/>
    </row>
    <row r="1016" spans="37:47" ht="15.75" customHeight="1">
      <c r="AK1016" s="9"/>
      <c r="AL1016" s="9"/>
      <c r="AM1016" s="9"/>
      <c r="AN1016" s="9"/>
      <c r="AO1016" s="9"/>
      <c r="AP1016" s="9"/>
      <c r="AQ1016" s="9"/>
      <c r="AR1016" s="9"/>
      <c r="AS1016" s="9"/>
      <c r="AT1016" s="9"/>
      <c r="AU1016" s="9"/>
    </row>
    <row r="1017" spans="37:47" ht="15.75" customHeight="1">
      <c r="AK1017" s="9"/>
      <c r="AL1017" s="9"/>
      <c r="AM1017" s="9"/>
      <c r="AN1017" s="9"/>
      <c r="AO1017" s="9"/>
      <c r="AP1017" s="9"/>
      <c r="AQ1017" s="9"/>
      <c r="AR1017" s="9"/>
      <c r="AS1017" s="9"/>
      <c r="AT1017" s="9"/>
      <c r="AU1017" s="9"/>
    </row>
    <row r="1018" spans="37:47" ht="15.75" customHeight="1">
      <c r="AK1018" s="9"/>
      <c r="AL1018" s="9"/>
      <c r="AM1018" s="9"/>
      <c r="AN1018" s="9"/>
      <c r="AO1018" s="9"/>
      <c r="AP1018" s="9"/>
      <c r="AQ1018" s="9"/>
      <c r="AR1018" s="9"/>
      <c r="AS1018" s="9"/>
      <c r="AT1018" s="9"/>
      <c r="AU1018" s="9"/>
    </row>
    <row r="1019" spans="37:47" ht="15.75" customHeight="1">
      <c r="AK1019" s="9"/>
      <c r="AL1019" s="9"/>
      <c r="AM1019" s="9"/>
      <c r="AN1019" s="9"/>
      <c r="AO1019" s="9"/>
      <c r="AP1019" s="9"/>
      <c r="AQ1019" s="9"/>
      <c r="AR1019" s="9"/>
      <c r="AS1019" s="9"/>
      <c r="AT1019" s="9"/>
      <c r="AU1019" s="9"/>
    </row>
    <row r="1020" spans="37:47" ht="15.75" customHeight="1">
      <c r="AK1020" s="9"/>
      <c r="AL1020" s="9"/>
      <c r="AM1020" s="9"/>
      <c r="AN1020" s="9"/>
      <c r="AO1020" s="9"/>
      <c r="AP1020" s="9"/>
      <c r="AQ1020" s="9"/>
      <c r="AR1020" s="9"/>
      <c r="AS1020" s="9"/>
      <c r="AT1020" s="9"/>
      <c r="AU1020" s="9"/>
    </row>
    <row r="1021" spans="37:47" ht="15.75" customHeight="1">
      <c r="AK1021" s="9"/>
      <c r="AL1021" s="9"/>
      <c r="AM1021" s="9"/>
      <c r="AN1021" s="9"/>
      <c r="AO1021" s="9"/>
      <c r="AP1021" s="9"/>
      <c r="AQ1021" s="9"/>
      <c r="AR1021" s="9"/>
      <c r="AS1021" s="9"/>
      <c r="AT1021" s="9"/>
      <c r="AU1021" s="9"/>
    </row>
    <row r="1022" spans="37:47" ht="15.75" customHeight="1">
      <c r="AK1022" s="9"/>
      <c r="AL1022" s="9"/>
      <c r="AM1022" s="9"/>
      <c r="AN1022" s="9"/>
      <c r="AO1022" s="9"/>
      <c r="AP1022" s="9"/>
      <c r="AQ1022" s="9"/>
      <c r="AR1022" s="9"/>
      <c r="AS1022" s="9"/>
      <c r="AT1022" s="9"/>
      <c r="AU1022" s="9"/>
    </row>
    <row r="1023" spans="37:47" ht="15.75" customHeight="1">
      <c r="AK1023" s="9"/>
      <c r="AL1023" s="9"/>
      <c r="AM1023" s="9"/>
      <c r="AN1023" s="9"/>
      <c r="AO1023" s="9"/>
      <c r="AP1023" s="9"/>
      <c r="AQ1023" s="9"/>
      <c r="AR1023" s="9"/>
      <c r="AS1023" s="9"/>
      <c r="AT1023" s="9"/>
      <c r="AU1023" s="9"/>
    </row>
    <row r="1024" spans="37:47" ht="15.75" customHeight="1">
      <c r="AK1024" s="9"/>
      <c r="AL1024" s="9"/>
      <c r="AM1024" s="9"/>
      <c r="AN1024" s="9"/>
      <c r="AO1024" s="9"/>
      <c r="AP1024" s="9"/>
      <c r="AQ1024" s="9"/>
      <c r="AR1024" s="9"/>
      <c r="AS1024" s="9"/>
      <c r="AT1024" s="9"/>
      <c r="AU1024" s="9"/>
    </row>
    <row r="1025" spans="37:47" ht="15.75" customHeight="1">
      <c r="AK1025" s="9"/>
      <c r="AL1025" s="9"/>
      <c r="AM1025" s="9"/>
      <c r="AN1025" s="9"/>
      <c r="AO1025" s="9"/>
      <c r="AP1025" s="9"/>
      <c r="AQ1025" s="9"/>
      <c r="AR1025" s="9"/>
      <c r="AS1025" s="9"/>
      <c r="AT1025" s="9"/>
      <c r="AU1025" s="9"/>
    </row>
    <row r="1026" spans="37:47" ht="15.75" customHeight="1">
      <c r="AK1026" s="9"/>
      <c r="AL1026" s="9"/>
      <c r="AM1026" s="9"/>
      <c r="AN1026" s="9"/>
      <c r="AO1026" s="9"/>
      <c r="AP1026" s="9"/>
      <c r="AQ1026" s="9"/>
      <c r="AR1026" s="9"/>
      <c r="AS1026" s="9"/>
      <c r="AT1026" s="9"/>
      <c r="AU1026" s="9"/>
    </row>
    <row r="1027" spans="37:47" ht="15.75" customHeight="1">
      <c r="AK1027" s="9"/>
      <c r="AL1027" s="9"/>
      <c r="AM1027" s="9"/>
      <c r="AN1027" s="9"/>
      <c r="AO1027" s="9"/>
      <c r="AP1027" s="9"/>
      <c r="AQ1027" s="9"/>
      <c r="AR1027" s="9"/>
      <c r="AS1027" s="9"/>
      <c r="AT1027" s="9"/>
      <c r="AU1027" s="9"/>
    </row>
    <row r="1028" spans="37:47" ht="15.75" customHeight="1">
      <c r="AK1028" s="9"/>
      <c r="AL1028" s="9"/>
      <c r="AM1028" s="9"/>
      <c r="AN1028" s="9"/>
      <c r="AO1028" s="9"/>
      <c r="AP1028" s="9"/>
      <c r="AQ1028" s="9"/>
      <c r="AR1028" s="9"/>
      <c r="AS1028" s="9"/>
      <c r="AT1028" s="9"/>
      <c r="AU1028" s="9"/>
    </row>
    <row r="1029" spans="37:47" ht="15.75" customHeight="1">
      <c r="AK1029" s="9"/>
      <c r="AL1029" s="9"/>
      <c r="AM1029" s="9"/>
      <c r="AN1029" s="9"/>
      <c r="AO1029" s="9"/>
      <c r="AP1029" s="9"/>
      <c r="AQ1029" s="9"/>
      <c r="AR1029" s="9"/>
      <c r="AS1029" s="9"/>
      <c r="AT1029" s="9"/>
      <c r="AU1029" s="9"/>
    </row>
    <row r="1030" spans="37:47" ht="15.75" customHeight="1">
      <c r="AK1030" s="9"/>
      <c r="AL1030" s="9"/>
      <c r="AM1030" s="9"/>
      <c r="AN1030" s="9"/>
      <c r="AO1030" s="9"/>
      <c r="AP1030" s="9"/>
      <c r="AQ1030" s="9"/>
      <c r="AR1030" s="9"/>
      <c r="AS1030" s="9"/>
      <c r="AT1030" s="9"/>
      <c r="AU1030" s="9"/>
    </row>
    <row r="1031" spans="37:47" ht="15.75" customHeight="1">
      <c r="AK1031" s="9"/>
      <c r="AL1031" s="9"/>
      <c r="AM1031" s="9"/>
      <c r="AN1031" s="9"/>
      <c r="AO1031" s="9"/>
      <c r="AP1031" s="9"/>
      <c r="AQ1031" s="9"/>
      <c r="AR1031" s="9"/>
      <c r="AS1031" s="9"/>
      <c r="AT1031" s="9"/>
      <c r="AU1031" s="9"/>
    </row>
    <row r="1032" spans="37:47" ht="15.75" customHeight="1">
      <c r="AK1032" s="9"/>
      <c r="AL1032" s="9"/>
      <c r="AM1032" s="9"/>
      <c r="AN1032" s="9"/>
      <c r="AO1032" s="9"/>
      <c r="AP1032" s="9"/>
      <c r="AQ1032" s="9"/>
      <c r="AR1032" s="9"/>
      <c r="AS1032" s="9"/>
      <c r="AT1032" s="9"/>
      <c r="AU1032" s="9"/>
    </row>
    <row r="1033" spans="37:47" ht="15.75" customHeight="1">
      <c r="AK1033" s="9"/>
      <c r="AL1033" s="9"/>
      <c r="AM1033" s="9"/>
      <c r="AN1033" s="9"/>
      <c r="AO1033" s="9"/>
      <c r="AP1033" s="9"/>
      <c r="AQ1033" s="9"/>
      <c r="AR1033" s="9"/>
      <c r="AS1033" s="9"/>
      <c r="AT1033" s="9"/>
      <c r="AU1033" s="9"/>
    </row>
    <row r="1034" spans="37:47" ht="15.75" customHeight="1">
      <c r="AK1034" s="9"/>
      <c r="AL1034" s="9"/>
      <c r="AM1034" s="9"/>
      <c r="AN1034" s="9"/>
      <c r="AO1034" s="9"/>
      <c r="AP1034" s="9"/>
      <c r="AQ1034" s="9"/>
      <c r="AR1034" s="9"/>
      <c r="AS1034" s="9"/>
      <c r="AT1034" s="9"/>
      <c r="AU1034" s="9"/>
    </row>
    <row r="1035" spans="37:47" ht="15.75" customHeight="1">
      <c r="AK1035" s="9"/>
      <c r="AL1035" s="9"/>
      <c r="AM1035" s="9"/>
      <c r="AN1035" s="9"/>
      <c r="AO1035" s="9"/>
      <c r="AP1035" s="9"/>
      <c r="AQ1035" s="9"/>
      <c r="AR1035" s="9"/>
      <c r="AS1035" s="9"/>
      <c r="AT1035" s="9"/>
      <c r="AU1035" s="9"/>
    </row>
    <row r="1036" spans="37:47" ht="15.75" customHeight="1">
      <c r="AK1036" s="9"/>
      <c r="AL1036" s="9"/>
      <c r="AM1036" s="9"/>
      <c r="AN1036" s="9"/>
      <c r="AO1036" s="9"/>
      <c r="AP1036" s="9"/>
      <c r="AQ1036" s="9"/>
      <c r="AR1036" s="9"/>
      <c r="AS1036" s="9"/>
      <c r="AT1036" s="9"/>
      <c r="AU1036" s="9"/>
    </row>
    <row r="1037" spans="37:47" ht="15.75" customHeight="1">
      <c r="AK1037" s="9"/>
      <c r="AL1037" s="9"/>
      <c r="AM1037" s="9"/>
      <c r="AN1037" s="9"/>
      <c r="AO1037" s="9"/>
      <c r="AP1037" s="9"/>
      <c r="AQ1037" s="9"/>
      <c r="AR1037" s="9"/>
      <c r="AS1037" s="9"/>
      <c r="AT1037" s="9"/>
      <c r="AU1037" s="9"/>
    </row>
    <row r="1038" spans="37:47" ht="15.75" customHeight="1">
      <c r="AK1038" s="9"/>
      <c r="AL1038" s="9"/>
      <c r="AM1038" s="9"/>
      <c r="AN1038" s="9"/>
      <c r="AO1038" s="9"/>
      <c r="AP1038" s="9"/>
      <c r="AQ1038" s="9"/>
      <c r="AR1038" s="9"/>
      <c r="AS1038" s="9"/>
      <c r="AT1038" s="9"/>
      <c r="AU1038" s="9"/>
    </row>
    <row r="1039" spans="37:47" ht="15.75" customHeight="1">
      <c r="AK1039" s="9"/>
      <c r="AL1039" s="9"/>
      <c r="AM1039" s="9"/>
      <c r="AN1039" s="9"/>
      <c r="AO1039" s="9"/>
      <c r="AP1039" s="9"/>
      <c r="AQ1039" s="9"/>
      <c r="AR1039" s="9"/>
      <c r="AS1039" s="9"/>
      <c r="AT1039" s="9"/>
      <c r="AU1039" s="9"/>
    </row>
    <row r="1040" spans="37:47" ht="15.75" customHeight="1">
      <c r="AK1040" s="9"/>
      <c r="AL1040" s="9"/>
      <c r="AM1040" s="9"/>
      <c r="AN1040" s="9"/>
      <c r="AO1040" s="9"/>
      <c r="AP1040" s="9"/>
      <c r="AQ1040" s="9"/>
      <c r="AR1040" s="9"/>
      <c r="AS1040" s="9"/>
      <c r="AT1040" s="9"/>
      <c r="AU1040" s="9"/>
    </row>
    <row r="1041" spans="37:47" ht="15.75" customHeight="1">
      <c r="AK1041" s="9"/>
      <c r="AL1041" s="9"/>
      <c r="AM1041" s="9"/>
      <c r="AN1041" s="9"/>
      <c r="AO1041" s="9"/>
      <c r="AP1041" s="9"/>
      <c r="AQ1041" s="9"/>
      <c r="AR1041" s="9"/>
      <c r="AS1041" s="9"/>
      <c r="AT1041" s="9"/>
      <c r="AU1041" s="9"/>
    </row>
    <row r="1042" spans="37:47" ht="15.75" customHeight="1">
      <c r="AK1042" s="9"/>
      <c r="AL1042" s="9"/>
      <c r="AM1042" s="9"/>
      <c r="AN1042" s="9"/>
      <c r="AO1042" s="9"/>
      <c r="AP1042" s="9"/>
      <c r="AQ1042" s="9"/>
      <c r="AR1042" s="9"/>
      <c r="AS1042" s="9"/>
      <c r="AT1042" s="9"/>
      <c r="AU1042" s="9"/>
    </row>
    <row r="1043" spans="37:47" ht="15.75" customHeight="1">
      <c r="AK1043" s="9"/>
      <c r="AL1043" s="9"/>
      <c r="AM1043" s="9"/>
      <c r="AN1043" s="9"/>
      <c r="AO1043" s="9"/>
      <c r="AP1043" s="9"/>
      <c r="AQ1043" s="9"/>
      <c r="AR1043" s="9"/>
      <c r="AS1043" s="9"/>
      <c r="AT1043" s="9"/>
      <c r="AU1043" s="9"/>
    </row>
    <row r="1044" spans="37:47" ht="15.75" customHeight="1">
      <c r="AK1044" s="9"/>
      <c r="AL1044" s="9"/>
      <c r="AM1044" s="9"/>
      <c r="AN1044" s="9"/>
      <c r="AO1044" s="9"/>
      <c r="AP1044" s="9"/>
      <c r="AQ1044" s="9"/>
      <c r="AR1044" s="9"/>
      <c r="AS1044" s="9"/>
      <c r="AT1044" s="9"/>
      <c r="AU1044" s="9"/>
    </row>
    <row r="1045" spans="37:47" ht="15.75" customHeight="1">
      <c r="AK1045" s="9"/>
      <c r="AL1045" s="9"/>
      <c r="AM1045" s="9"/>
      <c r="AN1045" s="9"/>
      <c r="AO1045" s="9"/>
      <c r="AP1045" s="9"/>
      <c r="AQ1045" s="9"/>
      <c r="AR1045" s="9"/>
      <c r="AS1045" s="9"/>
      <c r="AT1045" s="9"/>
      <c r="AU1045" s="9"/>
    </row>
    <row r="1046" spans="37:47" ht="15.75" customHeight="1">
      <c r="AK1046" s="9"/>
      <c r="AL1046" s="9"/>
      <c r="AM1046" s="9"/>
      <c r="AN1046" s="9"/>
      <c r="AO1046" s="9"/>
      <c r="AP1046" s="9"/>
      <c r="AQ1046" s="9"/>
      <c r="AR1046" s="9"/>
      <c r="AS1046" s="9"/>
      <c r="AT1046" s="9"/>
      <c r="AU1046" s="9"/>
    </row>
    <row r="1047" spans="37:47" ht="15.75" customHeight="1">
      <c r="AK1047" s="9"/>
      <c r="AL1047" s="9"/>
      <c r="AM1047" s="9"/>
      <c r="AN1047" s="9"/>
      <c r="AO1047" s="9"/>
      <c r="AP1047" s="9"/>
      <c r="AQ1047" s="9"/>
      <c r="AR1047" s="9"/>
      <c r="AS1047" s="9"/>
      <c r="AT1047" s="9"/>
      <c r="AU1047" s="9"/>
    </row>
    <row r="1048" spans="37:47" ht="15.75" customHeight="1">
      <c r="AK1048" s="9"/>
      <c r="AL1048" s="9"/>
      <c r="AM1048" s="9"/>
      <c r="AN1048" s="9"/>
      <c r="AO1048" s="9"/>
      <c r="AP1048" s="9"/>
      <c r="AQ1048" s="9"/>
      <c r="AR1048" s="9"/>
      <c r="AS1048" s="9"/>
      <c r="AT1048" s="9"/>
      <c r="AU1048" s="9"/>
    </row>
    <row r="1049" spans="37:47" ht="15.75" customHeight="1">
      <c r="AK1049" s="9"/>
      <c r="AL1049" s="9"/>
      <c r="AM1049" s="9"/>
      <c r="AN1049" s="9"/>
      <c r="AO1049" s="9"/>
      <c r="AP1049" s="9"/>
      <c r="AQ1049" s="9"/>
      <c r="AR1049" s="9"/>
      <c r="AS1049" s="9"/>
      <c r="AT1049" s="9"/>
      <c r="AU1049" s="9"/>
    </row>
    <row r="1050" spans="37:47" ht="15.75" customHeight="1">
      <c r="AK1050" s="9"/>
      <c r="AL1050" s="9"/>
      <c r="AM1050" s="9"/>
      <c r="AN1050" s="9"/>
      <c r="AO1050" s="9"/>
      <c r="AP1050" s="9"/>
      <c r="AQ1050" s="9"/>
      <c r="AR1050" s="9"/>
      <c r="AS1050" s="9"/>
      <c r="AT1050" s="9"/>
      <c r="AU1050" s="9"/>
    </row>
    <row r="1051" spans="37:47" ht="15.75" customHeight="1">
      <c r="AK1051" s="9"/>
      <c r="AL1051" s="9"/>
      <c r="AM1051" s="9"/>
      <c r="AN1051" s="9"/>
      <c r="AO1051" s="9"/>
      <c r="AP1051" s="9"/>
      <c r="AQ1051" s="9"/>
      <c r="AR1051" s="9"/>
      <c r="AS1051" s="9"/>
      <c r="AT1051" s="9"/>
      <c r="AU1051" s="9"/>
    </row>
    <row r="1052" spans="37:47" ht="15.75" customHeight="1">
      <c r="AK1052" s="9"/>
      <c r="AL1052" s="9"/>
      <c r="AM1052" s="9"/>
      <c r="AN1052" s="9"/>
      <c r="AO1052" s="9"/>
      <c r="AP1052" s="9"/>
      <c r="AQ1052" s="9"/>
      <c r="AR1052" s="9"/>
      <c r="AS1052" s="9"/>
      <c r="AT1052" s="9"/>
      <c r="AU1052" s="9"/>
    </row>
    <row r="1053" spans="37:47" ht="15.75" customHeight="1">
      <c r="AK1053" s="9"/>
      <c r="AL1053" s="9"/>
      <c r="AM1053" s="9"/>
      <c r="AN1053" s="9"/>
      <c r="AO1053" s="9"/>
      <c r="AP1053" s="9"/>
      <c r="AQ1053" s="9"/>
      <c r="AR1053" s="9"/>
      <c r="AS1053" s="9"/>
      <c r="AT1053" s="9"/>
      <c r="AU1053" s="9"/>
    </row>
    <row r="1054" spans="37:47" ht="15.75" customHeight="1">
      <c r="AK1054" s="9"/>
      <c r="AL1054" s="9"/>
      <c r="AM1054" s="9"/>
      <c r="AN1054" s="9"/>
      <c r="AO1054" s="9"/>
      <c r="AP1054" s="9"/>
      <c r="AQ1054" s="9"/>
      <c r="AR1054" s="9"/>
      <c r="AS1054" s="9"/>
      <c r="AT1054" s="9"/>
      <c r="AU1054" s="9"/>
    </row>
    <row r="1055" spans="37:47" ht="15.75" customHeight="1">
      <c r="AK1055" s="9"/>
      <c r="AL1055" s="9"/>
      <c r="AM1055" s="9"/>
      <c r="AN1055" s="9"/>
      <c r="AO1055" s="9"/>
      <c r="AP1055" s="9"/>
      <c r="AQ1055" s="9"/>
      <c r="AR1055" s="9"/>
      <c r="AS1055" s="9"/>
      <c r="AT1055" s="9"/>
      <c r="AU1055" s="9"/>
    </row>
    <row r="1056" spans="37:47" ht="15.75" customHeight="1">
      <c r="AK1056" s="9"/>
      <c r="AL1056" s="9"/>
      <c r="AM1056" s="9"/>
      <c r="AN1056" s="9"/>
      <c r="AO1056" s="9"/>
      <c r="AP1056" s="9"/>
      <c r="AQ1056" s="9"/>
      <c r="AR1056" s="9"/>
      <c r="AS1056" s="9"/>
      <c r="AT1056" s="9"/>
      <c r="AU1056" s="9"/>
    </row>
    <row r="1057" spans="37:47" ht="15.75" customHeight="1">
      <c r="AK1057" s="9"/>
      <c r="AL1057" s="9"/>
      <c r="AM1057" s="9"/>
      <c r="AN1057" s="9"/>
      <c r="AO1057" s="9"/>
      <c r="AP1057" s="9"/>
      <c r="AQ1057" s="9"/>
      <c r="AR1057" s="9"/>
      <c r="AS1057" s="9"/>
      <c r="AT1057" s="9"/>
      <c r="AU1057" s="9"/>
    </row>
    <row r="1058" spans="37:47" ht="15.75" customHeight="1">
      <c r="AK1058" s="9"/>
      <c r="AL1058" s="9"/>
      <c r="AM1058" s="9"/>
      <c r="AN1058" s="9"/>
      <c r="AO1058" s="9"/>
      <c r="AP1058" s="9"/>
      <c r="AQ1058" s="9"/>
      <c r="AR1058" s="9"/>
      <c r="AS1058" s="9"/>
      <c r="AT1058" s="9"/>
      <c r="AU1058" s="9"/>
    </row>
    <row r="1059" spans="37:47" ht="15.75" customHeight="1">
      <c r="AK1059" s="9"/>
      <c r="AL1059" s="9"/>
      <c r="AM1059" s="9"/>
      <c r="AN1059" s="9"/>
      <c r="AO1059" s="9"/>
      <c r="AP1059" s="9"/>
      <c r="AQ1059" s="9"/>
      <c r="AR1059" s="9"/>
      <c r="AS1059" s="9"/>
      <c r="AT1059" s="9"/>
      <c r="AU1059" s="9"/>
    </row>
    <row r="1060" spans="37:47" ht="15.75" customHeight="1">
      <c r="AK1060" s="9"/>
      <c r="AL1060" s="9"/>
      <c r="AM1060" s="9"/>
      <c r="AN1060" s="9"/>
      <c r="AO1060" s="9"/>
      <c r="AP1060" s="9"/>
      <c r="AQ1060" s="9"/>
      <c r="AR1060" s="9"/>
      <c r="AS1060" s="9"/>
      <c r="AT1060" s="9"/>
      <c r="AU1060" s="9"/>
    </row>
    <row r="1061" spans="37:47" ht="15.75" customHeight="1">
      <c r="AK1061" s="9"/>
      <c r="AL1061" s="9"/>
      <c r="AM1061" s="9"/>
      <c r="AN1061" s="9"/>
      <c r="AO1061" s="9"/>
      <c r="AP1061" s="9"/>
      <c r="AQ1061" s="9"/>
      <c r="AR1061" s="9"/>
      <c r="AS1061" s="9"/>
      <c r="AT1061" s="9"/>
      <c r="AU1061" s="9"/>
    </row>
    <row r="1062" spans="37:47" ht="15.75" customHeight="1">
      <c r="AK1062" s="9"/>
      <c r="AL1062" s="9"/>
      <c r="AM1062" s="9"/>
      <c r="AN1062" s="9"/>
      <c r="AO1062" s="9"/>
      <c r="AP1062" s="9"/>
      <c r="AQ1062" s="9"/>
      <c r="AR1062" s="9"/>
      <c r="AS1062" s="9"/>
      <c r="AT1062" s="9"/>
      <c r="AU1062" s="9"/>
    </row>
    <row r="1063" spans="37:47" ht="15.75" customHeight="1">
      <c r="AK1063" s="9"/>
      <c r="AL1063" s="9"/>
      <c r="AM1063" s="9"/>
      <c r="AN1063" s="9"/>
      <c r="AO1063" s="9"/>
      <c r="AP1063" s="9"/>
      <c r="AQ1063" s="9"/>
      <c r="AR1063" s="9"/>
      <c r="AS1063" s="9"/>
      <c r="AT1063" s="9"/>
      <c r="AU1063" s="9"/>
    </row>
    <row r="1064" spans="37:47" ht="15.75" customHeight="1">
      <c r="AK1064" s="9"/>
      <c r="AL1064" s="9"/>
      <c r="AM1064" s="9"/>
      <c r="AN1064" s="9"/>
      <c r="AO1064" s="9"/>
      <c r="AP1064" s="9"/>
      <c r="AQ1064" s="9"/>
      <c r="AR1064" s="9"/>
      <c r="AS1064" s="9"/>
      <c r="AT1064" s="9"/>
      <c r="AU1064" s="9"/>
    </row>
    <row r="1065" spans="37:47" ht="15.75" customHeight="1">
      <c r="AK1065" s="9"/>
      <c r="AL1065" s="9"/>
      <c r="AM1065" s="9"/>
      <c r="AN1065" s="9"/>
      <c r="AO1065" s="9"/>
      <c r="AP1065" s="9"/>
      <c r="AQ1065" s="9"/>
      <c r="AR1065" s="9"/>
      <c r="AS1065" s="9"/>
      <c r="AT1065" s="9"/>
      <c r="AU1065" s="9"/>
    </row>
    <row r="1066" spans="37:47" ht="15.75" customHeight="1">
      <c r="AK1066" s="9"/>
      <c r="AL1066" s="9"/>
      <c r="AM1066" s="9"/>
      <c r="AN1066" s="9"/>
      <c r="AO1066" s="9"/>
      <c r="AP1066" s="9"/>
      <c r="AQ1066" s="9"/>
      <c r="AR1066" s="9"/>
      <c r="AS1066" s="9"/>
      <c r="AT1066" s="9"/>
      <c r="AU1066" s="9"/>
    </row>
    <row r="1067" spans="37:47" ht="15.75" customHeight="1">
      <c r="AK1067" s="9"/>
      <c r="AL1067" s="9"/>
      <c r="AM1067" s="9"/>
      <c r="AN1067" s="9"/>
      <c r="AO1067" s="9"/>
      <c r="AP1067" s="9"/>
      <c r="AQ1067" s="9"/>
      <c r="AR1067" s="9"/>
      <c r="AS1067" s="9"/>
      <c r="AT1067" s="9"/>
      <c r="AU1067" s="9"/>
    </row>
    <row r="1068" spans="37:47" ht="15.75" customHeight="1">
      <c r="AK1068" s="9"/>
      <c r="AL1068" s="9"/>
      <c r="AM1068" s="9"/>
      <c r="AN1068" s="9"/>
      <c r="AO1068" s="9"/>
      <c r="AP1068" s="9"/>
      <c r="AQ1068" s="9"/>
      <c r="AR1068" s="9"/>
      <c r="AS1068" s="9"/>
      <c r="AT1068" s="9"/>
      <c r="AU1068" s="9"/>
    </row>
    <row r="1069" spans="37:47" ht="15.75" customHeight="1">
      <c r="AK1069" s="9"/>
      <c r="AL1069" s="9"/>
      <c r="AM1069" s="9"/>
      <c r="AN1069" s="9"/>
      <c r="AO1069" s="9"/>
      <c r="AP1069" s="9"/>
      <c r="AQ1069" s="9"/>
      <c r="AR1069" s="9"/>
      <c r="AS1069" s="9"/>
      <c r="AT1069" s="9"/>
      <c r="AU1069" s="9"/>
    </row>
    <row r="1070" spans="37:47" ht="15.75" customHeight="1">
      <c r="AK1070" s="9"/>
      <c r="AL1070" s="9"/>
      <c r="AM1070" s="9"/>
      <c r="AN1070" s="9"/>
      <c r="AO1070" s="9"/>
      <c r="AP1070" s="9"/>
      <c r="AQ1070" s="9"/>
      <c r="AR1070" s="9"/>
      <c r="AS1070" s="9"/>
      <c r="AT1070" s="9"/>
      <c r="AU1070" s="9"/>
    </row>
    <row r="1071" spans="37:47" ht="15.75" customHeight="1">
      <c r="AK1071" s="9"/>
      <c r="AL1071" s="9"/>
      <c r="AM1071" s="9"/>
      <c r="AN1071" s="9"/>
      <c r="AO1071" s="9"/>
      <c r="AP1071" s="9"/>
      <c r="AQ1071" s="9"/>
      <c r="AR1071" s="9"/>
      <c r="AS1071" s="9"/>
      <c r="AT1071" s="9"/>
      <c r="AU1071" s="9"/>
    </row>
    <row r="1072" spans="37:47" ht="15.75" customHeight="1">
      <c r="AK1072" s="9"/>
      <c r="AL1072" s="9"/>
      <c r="AM1072" s="9"/>
      <c r="AN1072" s="9"/>
      <c r="AO1072" s="9"/>
      <c r="AP1072" s="9"/>
      <c r="AQ1072" s="9"/>
      <c r="AR1072" s="9"/>
      <c r="AS1072" s="9"/>
      <c r="AT1072" s="9"/>
      <c r="AU1072" s="9"/>
    </row>
    <row r="1073" spans="37:47" ht="15.75" customHeight="1">
      <c r="AK1073" s="9"/>
      <c r="AL1073" s="9"/>
      <c r="AM1073" s="9"/>
      <c r="AN1073" s="9"/>
      <c r="AO1073" s="9"/>
      <c r="AP1073" s="9"/>
      <c r="AQ1073" s="9"/>
      <c r="AR1073" s="9"/>
      <c r="AS1073" s="9"/>
      <c r="AT1073" s="9"/>
      <c r="AU1073" s="9"/>
    </row>
    <row r="1074" spans="37:47" ht="15.75" customHeight="1">
      <c r="AK1074" s="9"/>
      <c r="AL1074" s="9"/>
      <c r="AM1074" s="9"/>
      <c r="AN1074" s="9"/>
      <c r="AO1074" s="9"/>
      <c r="AP1074" s="9"/>
      <c r="AQ1074" s="9"/>
      <c r="AR1074" s="9"/>
      <c r="AS1074" s="9"/>
      <c r="AT1074" s="9"/>
      <c r="AU1074" s="9"/>
    </row>
    <row r="1075" spans="37:47" ht="15.75" customHeight="1">
      <c r="AK1075" s="9"/>
      <c r="AL1075" s="9"/>
      <c r="AM1075" s="9"/>
      <c r="AN1075" s="9"/>
      <c r="AO1075" s="9"/>
      <c r="AP1075" s="9"/>
      <c r="AQ1075" s="9"/>
      <c r="AR1075" s="9"/>
      <c r="AS1075" s="9"/>
      <c r="AT1075" s="9"/>
      <c r="AU1075" s="9"/>
    </row>
    <row r="1076" spans="37:47" ht="15.75" customHeight="1">
      <c r="AK1076" s="9"/>
      <c r="AL1076" s="9"/>
      <c r="AM1076" s="9"/>
      <c r="AN1076" s="9"/>
      <c r="AO1076" s="9"/>
      <c r="AP1076" s="9"/>
      <c r="AQ1076" s="9"/>
      <c r="AR1076" s="9"/>
      <c r="AS1076" s="9"/>
      <c r="AT1076" s="9"/>
      <c r="AU1076" s="9"/>
    </row>
    <row r="1077" spans="37:47" ht="15.75" customHeight="1">
      <c r="AK1077" s="9"/>
      <c r="AL1077" s="9"/>
      <c r="AM1077" s="9"/>
      <c r="AN1077" s="9"/>
      <c r="AO1077" s="9"/>
      <c r="AP1077" s="9"/>
      <c r="AQ1077" s="9"/>
      <c r="AR1077" s="9"/>
      <c r="AS1077" s="9"/>
      <c r="AT1077" s="9"/>
      <c r="AU1077" s="9"/>
    </row>
    <row r="1078" spans="37:47" ht="15.75" customHeight="1">
      <c r="AK1078" s="9"/>
      <c r="AL1078" s="9"/>
      <c r="AM1078" s="9"/>
      <c r="AN1078" s="9"/>
      <c r="AO1078" s="9"/>
      <c r="AP1078" s="9"/>
      <c r="AQ1078" s="9"/>
      <c r="AR1078" s="9"/>
      <c r="AS1078" s="9"/>
      <c r="AT1078" s="9"/>
      <c r="AU1078" s="9"/>
    </row>
    <row r="1079" spans="37:47" ht="15.75" customHeight="1">
      <c r="AK1079" s="9"/>
      <c r="AL1079" s="9"/>
      <c r="AM1079" s="9"/>
      <c r="AN1079" s="9"/>
      <c r="AO1079" s="9"/>
      <c r="AP1079" s="9"/>
      <c r="AQ1079" s="9"/>
      <c r="AR1079" s="9"/>
      <c r="AS1079" s="9"/>
      <c r="AT1079" s="9"/>
      <c r="AU1079" s="9"/>
    </row>
    <row r="1080" spans="37:47" ht="15.75" customHeight="1">
      <c r="AK1080" s="9"/>
      <c r="AL1080" s="9"/>
      <c r="AM1080" s="9"/>
      <c r="AN1080" s="9"/>
      <c r="AO1080" s="9"/>
      <c r="AP1080" s="9"/>
      <c r="AQ1080" s="9"/>
      <c r="AR1080" s="9"/>
      <c r="AS1080" s="9"/>
      <c r="AT1080" s="9"/>
      <c r="AU1080" s="9"/>
    </row>
    <row r="1081" spans="37:47" ht="15.75" customHeight="1">
      <c r="AK1081" s="9"/>
      <c r="AL1081" s="9"/>
      <c r="AM1081" s="9"/>
      <c r="AN1081" s="9"/>
      <c r="AO1081" s="9"/>
      <c r="AP1081" s="9"/>
      <c r="AQ1081" s="9"/>
      <c r="AR1081" s="9"/>
      <c r="AS1081" s="9"/>
      <c r="AT1081" s="9"/>
      <c r="AU1081" s="9"/>
    </row>
    <row r="1082" spans="37:47" ht="15.75" customHeight="1">
      <c r="AK1082" s="9"/>
      <c r="AL1082" s="9"/>
      <c r="AM1082" s="9"/>
      <c r="AN1082" s="9"/>
      <c r="AO1082" s="9"/>
      <c r="AP1082" s="9"/>
      <c r="AQ1082" s="9"/>
      <c r="AR1082" s="9"/>
      <c r="AS1082" s="9"/>
      <c r="AT1082" s="9"/>
      <c r="AU1082" s="9"/>
    </row>
    <row r="1083" spans="37:47" ht="15.75" customHeight="1">
      <c r="AK1083" s="9"/>
      <c r="AL1083" s="9"/>
      <c r="AM1083" s="9"/>
      <c r="AN1083" s="9"/>
      <c r="AO1083" s="9"/>
      <c r="AP1083" s="9"/>
      <c r="AQ1083" s="9"/>
      <c r="AR1083" s="9"/>
      <c r="AS1083" s="9"/>
      <c r="AT1083" s="9"/>
      <c r="AU1083" s="9"/>
    </row>
    <row r="1084" spans="37:47" ht="15.75" customHeight="1">
      <c r="AK1084" s="9"/>
      <c r="AL1084" s="9"/>
      <c r="AM1084" s="9"/>
      <c r="AN1084" s="9"/>
      <c r="AO1084" s="9"/>
      <c r="AP1084" s="9"/>
      <c r="AQ1084" s="9"/>
      <c r="AR1084" s="9"/>
      <c r="AS1084" s="9"/>
      <c r="AT1084" s="9"/>
      <c r="AU1084" s="9"/>
    </row>
    <row r="1085" spans="37:47" ht="15.75" customHeight="1">
      <c r="AK1085" s="9"/>
      <c r="AL1085" s="9"/>
      <c r="AM1085" s="9"/>
      <c r="AN1085" s="9"/>
      <c r="AO1085" s="9"/>
      <c r="AP1085" s="9"/>
      <c r="AQ1085" s="9"/>
      <c r="AR1085" s="9"/>
      <c r="AS1085" s="9"/>
      <c r="AT1085" s="9"/>
      <c r="AU1085" s="9"/>
    </row>
    <row r="1086" spans="37:47" ht="15.75" customHeight="1">
      <c r="AK1086" s="9"/>
      <c r="AL1086" s="9"/>
      <c r="AM1086" s="9"/>
      <c r="AN1086" s="9"/>
      <c r="AO1086" s="9"/>
      <c r="AP1086" s="9"/>
      <c r="AQ1086" s="9"/>
      <c r="AR1086" s="9"/>
      <c r="AS1086" s="9"/>
      <c r="AT1086" s="9"/>
      <c r="AU1086" s="9"/>
    </row>
    <row r="1087" spans="37:47" ht="15.75" customHeight="1">
      <c r="AK1087" s="9"/>
      <c r="AL1087" s="9"/>
      <c r="AM1087" s="9"/>
      <c r="AN1087" s="9"/>
      <c r="AO1087" s="9"/>
      <c r="AP1087" s="9"/>
      <c r="AQ1087" s="9"/>
      <c r="AR1087" s="9"/>
      <c r="AS1087" s="9"/>
      <c r="AT1087" s="9"/>
      <c r="AU1087" s="9"/>
    </row>
    <row r="1088" spans="37:47" ht="15.75" customHeight="1">
      <c r="AK1088" s="9"/>
      <c r="AL1088" s="9"/>
      <c r="AM1088" s="9"/>
      <c r="AN1088" s="9"/>
      <c r="AO1088" s="9"/>
      <c r="AP1088" s="9"/>
      <c r="AQ1088" s="9"/>
      <c r="AR1088" s="9"/>
      <c r="AS1088" s="9"/>
      <c r="AT1088" s="9"/>
      <c r="AU1088" s="9"/>
    </row>
    <row r="1089" spans="37:47" ht="15.75" customHeight="1">
      <c r="AK1089" s="9"/>
      <c r="AL1089" s="9"/>
      <c r="AM1089" s="9"/>
      <c r="AN1089" s="9"/>
      <c r="AO1089" s="9"/>
      <c r="AP1089" s="9"/>
      <c r="AQ1089" s="9"/>
      <c r="AR1089" s="9"/>
      <c r="AS1089" s="9"/>
      <c r="AT1089" s="9"/>
      <c r="AU1089" s="9"/>
    </row>
    <row r="1090" spans="37:47" ht="15.75" customHeight="1">
      <c r="AK1090" s="9"/>
      <c r="AL1090" s="9"/>
      <c r="AM1090" s="9"/>
      <c r="AN1090" s="9"/>
      <c r="AO1090" s="9"/>
      <c r="AP1090" s="9"/>
      <c r="AQ1090" s="9"/>
      <c r="AR1090" s="9"/>
      <c r="AS1090" s="9"/>
      <c r="AT1090" s="9"/>
      <c r="AU1090" s="9"/>
    </row>
    <row r="1091" spans="37:47" ht="15.75" customHeight="1">
      <c r="AK1091" s="9"/>
      <c r="AL1091" s="9"/>
      <c r="AM1091" s="9"/>
      <c r="AN1091" s="9"/>
      <c r="AO1091" s="9"/>
      <c r="AP1091" s="9"/>
      <c r="AQ1091" s="9"/>
      <c r="AR1091" s="9"/>
      <c r="AS1091" s="9"/>
      <c r="AT1091" s="9"/>
      <c r="AU1091" s="9"/>
    </row>
    <row r="1092" spans="37:47" ht="15.75" customHeight="1">
      <c r="AK1092" s="9"/>
      <c r="AL1092" s="9"/>
      <c r="AM1092" s="9"/>
      <c r="AN1092" s="9"/>
      <c r="AO1092" s="9"/>
      <c r="AP1092" s="9"/>
      <c r="AQ1092" s="9"/>
      <c r="AR1092" s="9"/>
      <c r="AS1092" s="9"/>
      <c r="AT1092" s="9"/>
      <c r="AU1092" s="9"/>
    </row>
    <row r="1093" spans="37:47" ht="15.75" customHeight="1">
      <c r="AK1093" s="9"/>
      <c r="AL1093" s="9"/>
      <c r="AM1093" s="9"/>
      <c r="AN1093" s="9"/>
      <c r="AO1093" s="9"/>
      <c r="AP1093" s="9"/>
      <c r="AQ1093" s="9"/>
      <c r="AR1093" s="9"/>
      <c r="AS1093" s="9"/>
      <c r="AT1093" s="9"/>
      <c r="AU1093" s="9"/>
    </row>
    <row r="1094" spans="37:47" ht="15.75" customHeight="1">
      <c r="AK1094" s="9"/>
      <c r="AL1094" s="9"/>
      <c r="AM1094" s="9"/>
      <c r="AN1094" s="9"/>
      <c r="AO1094" s="9"/>
      <c r="AP1094" s="9"/>
      <c r="AQ1094" s="9"/>
      <c r="AR1094" s="9"/>
      <c r="AS1094" s="9"/>
      <c r="AT1094" s="9"/>
      <c r="AU1094" s="9"/>
    </row>
    <row r="1095" spans="37:47" ht="15.75" customHeight="1">
      <c r="AK1095" s="9"/>
      <c r="AL1095" s="9"/>
      <c r="AM1095" s="9"/>
      <c r="AN1095" s="9"/>
      <c r="AO1095" s="9"/>
      <c r="AP1095" s="9"/>
      <c r="AQ1095" s="9"/>
      <c r="AR1095" s="9"/>
      <c r="AS1095" s="9"/>
      <c r="AT1095" s="9"/>
      <c r="AU1095" s="9"/>
    </row>
    <row r="1096" spans="37:47" ht="15.75" customHeight="1">
      <c r="AK1096" s="9"/>
      <c r="AL1096" s="9"/>
      <c r="AM1096" s="9"/>
      <c r="AN1096" s="9"/>
      <c r="AO1096" s="9"/>
      <c r="AP1096" s="9"/>
      <c r="AQ1096" s="9"/>
      <c r="AR1096" s="9"/>
      <c r="AS1096" s="9"/>
      <c r="AT1096" s="9"/>
      <c r="AU1096" s="9"/>
    </row>
    <row r="1097" spans="37:47" ht="15.75" customHeight="1">
      <c r="AK1097" s="9"/>
      <c r="AL1097" s="9"/>
      <c r="AM1097" s="9"/>
      <c r="AN1097" s="9"/>
      <c r="AO1097" s="9"/>
      <c r="AP1097" s="9"/>
      <c r="AQ1097" s="9"/>
      <c r="AR1097" s="9"/>
      <c r="AS1097" s="9"/>
      <c r="AT1097" s="9"/>
      <c r="AU1097" s="9"/>
    </row>
    <row r="1098" spans="37:47" ht="15.75" customHeight="1">
      <c r="AK1098" s="9"/>
      <c r="AL1098" s="9"/>
      <c r="AM1098" s="9"/>
      <c r="AN1098" s="9"/>
      <c r="AO1098" s="9"/>
      <c r="AP1098" s="9"/>
      <c r="AQ1098" s="9"/>
      <c r="AR1098" s="9"/>
      <c r="AS1098" s="9"/>
      <c r="AT1098" s="9"/>
      <c r="AU1098" s="9"/>
    </row>
    <row r="1099" spans="37:47" ht="15.75" customHeight="1">
      <c r="AK1099" s="9"/>
      <c r="AL1099" s="9"/>
      <c r="AM1099" s="9"/>
      <c r="AN1099" s="9"/>
      <c r="AO1099" s="9"/>
      <c r="AP1099" s="9"/>
      <c r="AQ1099" s="9"/>
      <c r="AR1099" s="9"/>
      <c r="AS1099" s="9"/>
      <c r="AT1099" s="9"/>
      <c r="AU1099" s="9"/>
    </row>
    <row r="1100" spans="37:47" ht="15.75" customHeight="1">
      <c r="AK1100" s="9"/>
      <c r="AL1100" s="9"/>
      <c r="AM1100" s="9"/>
      <c r="AN1100" s="9"/>
      <c r="AO1100" s="9"/>
      <c r="AP1100" s="9"/>
      <c r="AQ1100" s="9"/>
      <c r="AR1100" s="9"/>
      <c r="AS1100" s="9"/>
      <c r="AT1100" s="9"/>
      <c r="AU1100" s="9"/>
    </row>
    <row r="1101" spans="37:47" ht="15.75" customHeight="1">
      <c r="AK1101" s="9"/>
      <c r="AL1101" s="9"/>
      <c r="AM1101" s="9"/>
      <c r="AN1101" s="9"/>
      <c r="AO1101" s="9"/>
      <c r="AP1101" s="9"/>
      <c r="AQ1101" s="9"/>
      <c r="AR1101" s="9"/>
      <c r="AS1101" s="9"/>
      <c r="AT1101" s="9"/>
      <c r="AU1101" s="9"/>
    </row>
    <row r="1102" spans="37:47" ht="15.75" customHeight="1">
      <c r="AK1102" s="9"/>
      <c r="AL1102" s="9"/>
      <c r="AM1102" s="9"/>
      <c r="AN1102" s="9"/>
      <c r="AO1102" s="9"/>
      <c r="AP1102" s="9"/>
      <c r="AQ1102" s="9"/>
      <c r="AR1102" s="9"/>
      <c r="AS1102" s="9"/>
      <c r="AT1102" s="9"/>
      <c r="AU1102" s="9"/>
    </row>
    <row r="1103" spans="37:47" ht="15.75" customHeight="1">
      <c r="AK1103" s="9"/>
      <c r="AL1103" s="9"/>
      <c r="AM1103" s="9"/>
      <c r="AN1103" s="9"/>
      <c r="AO1103" s="9"/>
      <c r="AP1103" s="9"/>
      <c r="AQ1103" s="9"/>
      <c r="AR1103" s="9"/>
      <c r="AS1103" s="9"/>
      <c r="AT1103" s="9"/>
      <c r="AU1103" s="9"/>
    </row>
    <row r="1104" spans="37:47" ht="15.75" customHeight="1">
      <c r="AK1104" s="9"/>
      <c r="AL1104" s="9"/>
      <c r="AM1104" s="9"/>
      <c r="AN1104" s="9"/>
      <c r="AO1104" s="9"/>
      <c r="AP1104" s="9"/>
      <c r="AQ1104" s="9"/>
      <c r="AR1104" s="9"/>
      <c r="AS1104" s="9"/>
      <c r="AT1104" s="9"/>
      <c r="AU1104" s="9"/>
    </row>
    <row r="1105" spans="37:47" ht="15.75" customHeight="1">
      <c r="AK1105" s="9"/>
      <c r="AL1105" s="9"/>
      <c r="AM1105" s="9"/>
      <c r="AN1105" s="9"/>
      <c r="AO1105" s="9"/>
      <c r="AP1105" s="9"/>
      <c r="AQ1105" s="9"/>
      <c r="AR1105" s="9"/>
      <c r="AS1105" s="9"/>
      <c r="AT1105" s="9"/>
      <c r="AU1105" s="9"/>
    </row>
    <row r="1106" spans="37:47" ht="15.75" customHeight="1">
      <c r="AK1106" s="9"/>
      <c r="AL1106" s="9"/>
      <c r="AM1106" s="9"/>
      <c r="AN1106" s="9"/>
      <c r="AO1106" s="9"/>
      <c r="AP1106" s="9"/>
      <c r="AQ1106" s="9"/>
      <c r="AR1106" s="9"/>
      <c r="AS1106" s="9"/>
      <c r="AT1106" s="9"/>
      <c r="AU1106" s="9"/>
    </row>
    <row r="1107" spans="37:47" ht="15.75" customHeight="1">
      <c r="AK1107" s="9"/>
      <c r="AL1107" s="9"/>
      <c r="AM1107" s="9"/>
      <c r="AN1107" s="9"/>
      <c r="AO1107" s="9"/>
      <c r="AP1107" s="9"/>
      <c r="AQ1107" s="9"/>
      <c r="AR1107" s="9"/>
      <c r="AS1107" s="9"/>
      <c r="AT1107" s="9"/>
      <c r="AU1107" s="9"/>
    </row>
    <row r="1108" spans="37:47" ht="15.75" customHeight="1">
      <c r="AK1108" s="9"/>
      <c r="AL1108" s="9"/>
      <c r="AM1108" s="9"/>
      <c r="AN1108" s="9"/>
      <c r="AO1108" s="9"/>
      <c r="AP1108" s="9"/>
      <c r="AQ1108" s="9"/>
      <c r="AR1108" s="9"/>
      <c r="AS1108" s="9"/>
      <c r="AT1108" s="9"/>
      <c r="AU1108" s="9"/>
    </row>
    <row r="1109" spans="37:47" ht="15.75" customHeight="1">
      <c r="AK1109" s="9"/>
      <c r="AL1109" s="9"/>
      <c r="AM1109" s="9"/>
      <c r="AN1109" s="9"/>
      <c r="AO1109" s="9"/>
      <c r="AP1109" s="9"/>
      <c r="AQ1109" s="9"/>
      <c r="AR1109" s="9"/>
      <c r="AS1109" s="9"/>
      <c r="AT1109" s="9"/>
      <c r="AU1109" s="9"/>
    </row>
    <row r="1110" spans="37:47" ht="15.75" customHeight="1">
      <c r="AK1110" s="9"/>
      <c r="AL1110" s="9"/>
      <c r="AM1110" s="9"/>
      <c r="AN1110" s="9"/>
      <c r="AO1110" s="9"/>
      <c r="AP1110" s="9"/>
      <c r="AQ1110" s="9"/>
      <c r="AR1110" s="9"/>
      <c r="AS1110" s="9"/>
      <c r="AT1110" s="9"/>
      <c r="AU1110" s="9"/>
    </row>
    <row r="1111" spans="37:47" ht="15.75" customHeight="1">
      <c r="AK1111" s="9"/>
      <c r="AL1111" s="9"/>
      <c r="AM1111" s="9"/>
      <c r="AN1111" s="9"/>
      <c r="AO1111" s="9"/>
      <c r="AP1111" s="9"/>
      <c r="AQ1111" s="9"/>
      <c r="AR1111" s="9"/>
      <c r="AS1111" s="9"/>
      <c r="AT1111" s="9"/>
      <c r="AU1111" s="9"/>
    </row>
    <row r="1112" spans="37:47" ht="15.75" customHeight="1">
      <c r="AK1112" s="9"/>
      <c r="AL1112" s="9"/>
      <c r="AM1112" s="9"/>
      <c r="AN1112" s="9"/>
      <c r="AO1112" s="9"/>
      <c r="AP1112" s="9"/>
      <c r="AQ1112" s="9"/>
      <c r="AR1112" s="9"/>
      <c r="AS1112" s="9"/>
      <c r="AT1112" s="9"/>
      <c r="AU1112" s="9"/>
    </row>
    <row r="1113" spans="37:47" ht="15.75" customHeight="1">
      <c r="AK1113" s="9"/>
      <c r="AL1113" s="9"/>
      <c r="AM1113" s="9"/>
      <c r="AN1113" s="9"/>
      <c r="AO1113" s="9"/>
      <c r="AP1113" s="9"/>
      <c r="AQ1113" s="9"/>
      <c r="AR1113" s="9"/>
      <c r="AS1113" s="9"/>
      <c r="AT1113" s="9"/>
      <c r="AU1113" s="9"/>
    </row>
    <row r="1114" spans="37:47" ht="15.75" customHeight="1">
      <c r="AK1114" s="9"/>
      <c r="AL1114" s="9"/>
      <c r="AM1114" s="9"/>
      <c r="AN1114" s="9"/>
      <c r="AO1114" s="9"/>
      <c r="AP1114" s="9"/>
      <c r="AQ1114" s="9"/>
      <c r="AR1114" s="9"/>
      <c r="AS1114" s="9"/>
      <c r="AT1114" s="9"/>
      <c r="AU1114" s="9"/>
    </row>
    <row r="1115" spans="37:47" ht="15.75" customHeight="1">
      <c r="AK1115" s="9"/>
      <c r="AL1115" s="9"/>
      <c r="AM1115" s="9"/>
      <c r="AN1115" s="9"/>
      <c r="AO1115" s="9"/>
      <c r="AP1115" s="9"/>
      <c r="AQ1115" s="9"/>
      <c r="AR1115" s="9"/>
      <c r="AS1115" s="9"/>
      <c r="AT1115" s="9"/>
      <c r="AU1115" s="9"/>
    </row>
    <row r="1116" spans="37:47" ht="15.75" customHeight="1">
      <c r="AK1116" s="9"/>
      <c r="AL1116" s="9"/>
      <c r="AM1116" s="9"/>
      <c r="AN1116" s="9"/>
      <c r="AO1116" s="9"/>
      <c r="AP1116" s="9"/>
      <c r="AQ1116" s="9"/>
      <c r="AR1116" s="9"/>
      <c r="AS1116" s="9"/>
      <c r="AT1116" s="9"/>
      <c r="AU1116" s="9"/>
    </row>
    <row r="1117" spans="37:47" ht="15.75" customHeight="1">
      <c r="AK1117" s="9"/>
      <c r="AL1117" s="9"/>
      <c r="AM1117" s="9"/>
      <c r="AN1117" s="9"/>
      <c r="AO1117" s="9"/>
      <c r="AP1117" s="9"/>
      <c r="AQ1117" s="9"/>
      <c r="AR1117" s="9"/>
      <c r="AS1117" s="9"/>
      <c r="AT1117" s="9"/>
      <c r="AU1117" s="9"/>
    </row>
    <row r="1118" spans="37:47" ht="15.75" customHeight="1">
      <c r="AK1118" s="9"/>
      <c r="AL1118" s="9"/>
      <c r="AM1118" s="9"/>
      <c r="AN1118" s="9"/>
      <c r="AO1118" s="9"/>
      <c r="AP1118" s="9"/>
      <c r="AQ1118" s="9"/>
      <c r="AR1118" s="9"/>
      <c r="AS1118" s="9"/>
      <c r="AT1118" s="9"/>
      <c r="AU1118" s="9"/>
    </row>
    <row r="1119" spans="37:47" ht="15.75" customHeight="1">
      <c r="AK1119" s="9"/>
      <c r="AL1119" s="9"/>
      <c r="AM1119" s="9"/>
      <c r="AN1119" s="9"/>
      <c r="AO1119" s="9"/>
      <c r="AP1119" s="9"/>
      <c r="AQ1119" s="9"/>
      <c r="AR1119" s="9"/>
      <c r="AS1119" s="9"/>
      <c r="AT1119" s="9"/>
      <c r="AU1119" s="9"/>
    </row>
    <row r="1120" spans="37:47" ht="15.75" customHeight="1">
      <c r="AK1120" s="9"/>
      <c r="AL1120" s="9"/>
      <c r="AM1120" s="9"/>
      <c r="AN1120" s="9"/>
      <c r="AO1120" s="9"/>
      <c r="AP1120" s="9"/>
      <c r="AQ1120" s="9"/>
      <c r="AR1120" s="9"/>
      <c r="AS1120" s="9"/>
      <c r="AT1120" s="9"/>
      <c r="AU1120" s="9"/>
    </row>
    <row r="1121" spans="37:47" ht="15.75" customHeight="1">
      <c r="AK1121" s="9"/>
      <c r="AL1121" s="9"/>
      <c r="AM1121" s="9"/>
      <c r="AN1121" s="9"/>
      <c r="AO1121" s="9"/>
      <c r="AP1121" s="9"/>
      <c r="AQ1121" s="9"/>
      <c r="AR1121" s="9"/>
      <c r="AS1121" s="9"/>
      <c r="AT1121" s="9"/>
      <c r="AU1121" s="9"/>
    </row>
    <row r="1122" spans="37:47" ht="15.75" customHeight="1">
      <c r="AK1122" s="9"/>
      <c r="AL1122" s="9"/>
      <c r="AM1122" s="9"/>
      <c r="AN1122" s="9"/>
      <c r="AO1122" s="9"/>
      <c r="AP1122" s="9"/>
      <c r="AQ1122" s="9"/>
      <c r="AR1122" s="9"/>
      <c r="AS1122" s="9"/>
      <c r="AT1122" s="9"/>
      <c r="AU1122" s="9"/>
    </row>
    <row r="1123" spans="37:47" ht="15.75" customHeight="1">
      <c r="AK1123" s="9"/>
      <c r="AL1123" s="9"/>
      <c r="AM1123" s="9"/>
      <c r="AN1123" s="9"/>
      <c r="AO1123" s="9"/>
      <c r="AP1123" s="9"/>
      <c r="AQ1123" s="9"/>
      <c r="AR1123" s="9"/>
      <c r="AS1123" s="9"/>
      <c r="AT1123" s="9"/>
      <c r="AU1123" s="9"/>
    </row>
    <row r="1124" spans="37:47" ht="15.75" customHeight="1">
      <c r="AK1124" s="9"/>
      <c r="AL1124" s="9"/>
      <c r="AM1124" s="9"/>
      <c r="AN1124" s="9"/>
      <c r="AO1124" s="9"/>
      <c r="AP1124" s="9"/>
      <c r="AQ1124" s="9"/>
      <c r="AR1124" s="9"/>
      <c r="AS1124" s="9"/>
      <c r="AT1124" s="9"/>
      <c r="AU1124" s="9"/>
    </row>
    <row r="1125" spans="37:47" ht="15.75" customHeight="1">
      <c r="AK1125" s="9"/>
      <c r="AL1125" s="9"/>
      <c r="AM1125" s="9"/>
      <c r="AN1125" s="9"/>
      <c r="AO1125" s="9"/>
      <c r="AP1125" s="9"/>
      <c r="AQ1125" s="9"/>
      <c r="AR1125" s="9"/>
      <c r="AS1125" s="9"/>
      <c r="AT1125" s="9"/>
      <c r="AU1125" s="9"/>
    </row>
    <row r="1126" spans="37:47" ht="15.75" customHeight="1">
      <c r="AK1126" s="9"/>
      <c r="AL1126" s="9"/>
      <c r="AM1126" s="9"/>
      <c r="AN1126" s="9"/>
      <c r="AO1126" s="9"/>
      <c r="AP1126" s="9"/>
      <c r="AQ1126" s="9"/>
      <c r="AR1126" s="9"/>
      <c r="AS1126" s="9"/>
      <c r="AT1126" s="9"/>
      <c r="AU1126" s="9"/>
    </row>
    <row r="1127" spans="37:47" ht="15.75" customHeight="1">
      <c r="AK1127" s="9"/>
      <c r="AL1127" s="9"/>
      <c r="AM1127" s="9"/>
      <c r="AN1127" s="9"/>
      <c r="AO1127" s="9"/>
      <c r="AP1127" s="9"/>
      <c r="AQ1127" s="9"/>
      <c r="AR1127" s="9"/>
      <c r="AS1127" s="9"/>
      <c r="AT1127" s="9"/>
      <c r="AU1127" s="9"/>
    </row>
    <row r="1128" spans="37:47" ht="15.75" customHeight="1">
      <c r="AK1128" s="9"/>
      <c r="AL1128" s="9"/>
      <c r="AM1128" s="9"/>
      <c r="AN1128" s="9"/>
      <c r="AO1128" s="9"/>
      <c r="AP1128" s="9"/>
      <c r="AQ1128" s="9"/>
      <c r="AR1128" s="9"/>
      <c r="AS1128" s="9"/>
      <c r="AT1128" s="9"/>
      <c r="AU1128" s="9"/>
    </row>
    <row r="1129" spans="37:47" ht="15.75" customHeight="1">
      <c r="AK1129" s="9"/>
      <c r="AL1129" s="9"/>
      <c r="AM1129" s="9"/>
      <c r="AN1129" s="9"/>
      <c r="AO1129" s="9"/>
      <c r="AP1129" s="9"/>
      <c r="AQ1129" s="9"/>
      <c r="AR1129" s="9"/>
      <c r="AS1129" s="9"/>
      <c r="AT1129" s="9"/>
      <c r="AU1129" s="9"/>
    </row>
    <row r="1130" spans="37:47" ht="15.75" customHeight="1">
      <c r="AK1130" s="9"/>
      <c r="AL1130" s="9"/>
      <c r="AM1130" s="9"/>
      <c r="AN1130" s="9"/>
      <c r="AO1130" s="9"/>
      <c r="AP1130" s="9"/>
      <c r="AQ1130" s="9"/>
      <c r="AR1130" s="9"/>
      <c r="AS1130" s="9"/>
      <c r="AT1130" s="9"/>
      <c r="AU1130" s="9"/>
    </row>
    <row r="1131" spans="37:47" ht="15.75" customHeight="1">
      <c r="AK1131" s="9"/>
      <c r="AL1131" s="9"/>
      <c r="AM1131" s="9"/>
      <c r="AN1131" s="9"/>
      <c r="AO1131" s="9"/>
      <c r="AP1131" s="9"/>
      <c r="AQ1131" s="9"/>
      <c r="AR1131" s="9"/>
      <c r="AS1131" s="9"/>
      <c r="AT1131" s="9"/>
      <c r="AU1131" s="9"/>
    </row>
    <row r="1132" spans="37:47" ht="15.75" customHeight="1">
      <c r="AK1132" s="9"/>
      <c r="AL1132" s="9"/>
      <c r="AM1132" s="9"/>
      <c r="AN1132" s="9"/>
      <c r="AO1132" s="9"/>
      <c r="AP1132" s="9"/>
      <c r="AQ1132" s="9"/>
      <c r="AR1132" s="9"/>
      <c r="AS1132" s="9"/>
      <c r="AT1132" s="9"/>
      <c r="AU1132" s="9"/>
    </row>
    <row r="1133" spans="37:47" ht="15.75" customHeight="1">
      <c r="AK1133" s="9"/>
      <c r="AL1133" s="9"/>
      <c r="AM1133" s="9"/>
      <c r="AN1133" s="9"/>
      <c r="AO1133" s="9"/>
      <c r="AP1133" s="9"/>
      <c r="AQ1133" s="9"/>
      <c r="AR1133" s="9"/>
      <c r="AS1133" s="9"/>
      <c r="AT1133" s="9"/>
      <c r="AU1133" s="9"/>
    </row>
    <row r="1134" spans="37:47" ht="15.75" customHeight="1">
      <c r="AK1134" s="9"/>
      <c r="AL1134" s="9"/>
      <c r="AM1134" s="9"/>
      <c r="AN1134" s="9"/>
      <c r="AO1134" s="9"/>
      <c r="AP1134" s="9"/>
      <c r="AQ1134" s="9"/>
      <c r="AR1134" s="9"/>
      <c r="AS1134" s="9"/>
      <c r="AT1134" s="9"/>
      <c r="AU1134" s="9"/>
    </row>
    <row r="1135" spans="37:47" ht="15.75" customHeight="1">
      <c r="AK1135" s="9"/>
      <c r="AL1135" s="9"/>
      <c r="AM1135" s="9"/>
      <c r="AN1135" s="9"/>
      <c r="AO1135" s="9"/>
      <c r="AP1135" s="9"/>
      <c r="AQ1135" s="9"/>
      <c r="AR1135" s="9"/>
      <c r="AS1135" s="9"/>
      <c r="AT1135" s="9"/>
      <c r="AU1135" s="9"/>
    </row>
    <row r="1136" spans="37:47" ht="15.75" customHeight="1">
      <c r="AK1136" s="9"/>
      <c r="AL1136" s="9"/>
      <c r="AM1136" s="9"/>
      <c r="AN1136" s="9"/>
      <c r="AO1136" s="9"/>
      <c r="AP1136" s="9"/>
      <c r="AQ1136" s="9"/>
      <c r="AR1136" s="9"/>
      <c r="AS1136" s="9"/>
      <c r="AT1136" s="9"/>
      <c r="AU1136" s="9"/>
    </row>
    <row r="1137" spans="37:47" ht="15.75" customHeight="1">
      <c r="AK1137" s="9"/>
      <c r="AL1137" s="9"/>
      <c r="AM1137" s="9"/>
      <c r="AN1137" s="9"/>
      <c r="AO1137" s="9"/>
      <c r="AP1137" s="9"/>
      <c r="AQ1137" s="9"/>
      <c r="AR1137" s="9"/>
      <c r="AS1137" s="9"/>
      <c r="AT1137" s="9"/>
      <c r="AU1137" s="9"/>
    </row>
    <row r="1138" spans="37:47" ht="15.75" customHeight="1">
      <c r="AK1138" s="9"/>
      <c r="AL1138" s="9"/>
      <c r="AM1138" s="9"/>
      <c r="AN1138" s="9"/>
      <c r="AO1138" s="9"/>
      <c r="AP1138" s="9"/>
      <c r="AQ1138" s="9"/>
      <c r="AR1138" s="9"/>
      <c r="AS1138" s="9"/>
      <c r="AT1138" s="9"/>
      <c r="AU1138" s="9"/>
    </row>
    <row r="1139" spans="37:47" ht="15.75" customHeight="1">
      <c r="AK1139" s="9"/>
      <c r="AL1139" s="9"/>
      <c r="AM1139" s="9"/>
      <c r="AN1139" s="9"/>
      <c r="AO1139" s="9"/>
      <c r="AP1139" s="9"/>
      <c r="AQ1139" s="9"/>
      <c r="AR1139" s="9"/>
      <c r="AS1139" s="9"/>
      <c r="AT1139" s="9"/>
      <c r="AU1139" s="9"/>
    </row>
    <row r="1140" spans="37:47" ht="15.75" customHeight="1">
      <c r="AK1140" s="9"/>
      <c r="AL1140" s="9"/>
      <c r="AM1140" s="9"/>
      <c r="AN1140" s="9"/>
      <c r="AO1140" s="9"/>
      <c r="AP1140" s="9"/>
      <c r="AQ1140" s="9"/>
      <c r="AR1140" s="9"/>
      <c r="AS1140" s="9"/>
      <c r="AT1140" s="9"/>
      <c r="AU1140" s="9"/>
    </row>
    <row r="1141" spans="37:47" ht="15.75" customHeight="1">
      <c r="AK1141" s="9"/>
      <c r="AL1141" s="9"/>
      <c r="AM1141" s="9"/>
      <c r="AN1141" s="9"/>
      <c r="AO1141" s="9"/>
      <c r="AP1141" s="9"/>
      <c r="AQ1141" s="9"/>
      <c r="AR1141" s="9"/>
      <c r="AS1141" s="9"/>
      <c r="AT1141" s="9"/>
      <c r="AU1141" s="9"/>
    </row>
    <row r="1142" spans="37:47" ht="15.75" customHeight="1">
      <c r="AK1142" s="9"/>
      <c r="AL1142" s="9"/>
      <c r="AM1142" s="9"/>
      <c r="AN1142" s="9"/>
      <c r="AO1142" s="9"/>
      <c r="AP1142" s="9"/>
      <c r="AQ1142" s="9"/>
      <c r="AR1142" s="9"/>
      <c r="AS1142" s="9"/>
      <c r="AT1142" s="9"/>
      <c r="AU1142" s="9"/>
    </row>
    <row r="1143" spans="37:47" ht="15.75" customHeight="1">
      <c r="AK1143" s="9"/>
      <c r="AL1143" s="9"/>
      <c r="AM1143" s="9"/>
      <c r="AN1143" s="9"/>
      <c r="AO1143" s="9"/>
      <c r="AP1143" s="9"/>
      <c r="AQ1143" s="9"/>
      <c r="AR1143" s="9"/>
      <c r="AS1143" s="9"/>
      <c r="AT1143" s="9"/>
      <c r="AU1143" s="9"/>
    </row>
    <row r="1144" spans="37:47" ht="15.75" customHeight="1">
      <c r="AK1144" s="9"/>
      <c r="AL1144" s="9"/>
      <c r="AM1144" s="9"/>
      <c r="AN1144" s="9"/>
      <c r="AO1144" s="9"/>
      <c r="AP1144" s="9"/>
      <c r="AQ1144" s="9"/>
      <c r="AR1144" s="9"/>
      <c r="AS1144" s="9"/>
      <c r="AT1144" s="9"/>
      <c r="AU1144" s="9"/>
    </row>
    <row r="1145" spans="37:47" ht="15.75" customHeight="1">
      <c r="AK1145" s="9"/>
      <c r="AL1145" s="9"/>
      <c r="AM1145" s="9"/>
      <c r="AN1145" s="9"/>
      <c r="AO1145" s="9"/>
      <c r="AP1145" s="9"/>
      <c r="AQ1145" s="9"/>
      <c r="AR1145" s="9"/>
      <c r="AS1145" s="9"/>
      <c r="AT1145" s="9"/>
      <c r="AU1145" s="9"/>
    </row>
    <row r="1146" spans="37:47" ht="15.75" customHeight="1">
      <c r="AK1146" s="9"/>
      <c r="AL1146" s="9"/>
      <c r="AM1146" s="9"/>
      <c r="AN1146" s="9"/>
      <c r="AO1146" s="9"/>
      <c r="AP1146" s="9"/>
      <c r="AQ1146" s="9"/>
      <c r="AR1146" s="9"/>
      <c r="AS1146" s="9"/>
      <c r="AT1146" s="9"/>
      <c r="AU1146" s="9"/>
    </row>
    <row r="1147" spans="37:47" ht="15.75" customHeight="1">
      <c r="AK1147" s="9"/>
      <c r="AL1147" s="9"/>
      <c r="AM1147" s="9"/>
      <c r="AN1147" s="9"/>
      <c r="AO1147" s="9"/>
      <c r="AP1147" s="9"/>
      <c r="AQ1147" s="9"/>
      <c r="AR1147" s="9"/>
      <c r="AS1147" s="9"/>
      <c r="AT1147" s="9"/>
      <c r="AU1147" s="9"/>
    </row>
    <row r="1148" spans="37:47" ht="15.75" customHeight="1">
      <c r="AK1148" s="9"/>
      <c r="AL1148" s="9"/>
      <c r="AM1148" s="9"/>
      <c r="AN1148" s="9"/>
      <c r="AO1148" s="9"/>
      <c r="AP1148" s="9"/>
      <c r="AQ1148" s="9"/>
      <c r="AR1148" s="9"/>
      <c r="AS1148" s="9"/>
      <c r="AT1148" s="9"/>
      <c r="AU1148" s="9"/>
    </row>
    <row r="1149" spans="37:47" ht="15.75" customHeight="1">
      <c r="AK1149" s="9"/>
      <c r="AL1149" s="9"/>
      <c r="AM1149" s="9"/>
      <c r="AN1149" s="9"/>
      <c r="AO1149" s="9"/>
      <c r="AP1149" s="9"/>
      <c r="AQ1149" s="9"/>
      <c r="AR1149" s="9"/>
      <c r="AS1149" s="9"/>
      <c r="AT1149" s="9"/>
      <c r="AU1149" s="9"/>
    </row>
    <row r="1150" spans="37:47" ht="15.75" customHeight="1">
      <c r="AK1150" s="9"/>
      <c r="AL1150" s="9"/>
      <c r="AM1150" s="9"/>
      <c r="AN1150" s="9"/>
      <c r="AO1150" s="9"/>
      <c r="AP1150" s="9"/>
      <c r="AQ1150" s="9"/>
      <c r="AR1150" s="9"/>
      <c r="AS1150" s="9"/>
      <c r="AT1150" s="9"/>
      <c r="AU1150" s="9"/>
    </row>
    <row r="1151" spans="37:47" ht="15.75" customHeight="1">
      <c r="AK1151" s="9"/>
      <c r="AL1151" s="9"/>
      <c r="AM1151" s="9"/>
      <c r="AN1151" s="9"/>
      <c r="AO1151" s="9"/>
      <c r="AP1151" s="9"/>
      <c r="AQ1151" s="9"/>
      <c r="AR1151" s="9"/>
      <c r="AS1151" s="9"/>
      <c r="AT1151" s="9"/>
      <c r="AU1151" s="9"/>
    </row>
    <row r="1152" spans="37:47" ht="15.75" customHeight="1">
      <c r="AK1152" s="9"/>
      <c r="AL1152" s="9"/>
      <c r="AM1152" s="9"/>
      <c r="AN1152" s="9"/>
      <c r="AO1152" s="9"/>
      <c r="AP1152" s="9"/>
      <c r="AQ1152" s="9"/>
      <c r="AR1152" s="9"/>
      <c r="AS1152" s="9"/>
      <c r="AT1152" s="9"/>
      <c r="AU1152" s="9"/>
    </row>
    <row r="1153" spans="37:47" ht="15.75" customHeight="1">
      <c r="AK1153" s="9"/>
      <c r="AL1153" s="9"/>
      <c r="AM1153" s="9"/>
      <c r="AN1153" s="9"/>
      <c r="AO1153" s="9"/>
      <c r="AP1153" s="9"/>
      <c r="AQ1153" s="9"/>
      <c r="AR1153" s="9"/>
      <c r="AS1153" s="9"/>
      <c r="AT1153" s="9"/>
      <c r="AU1153" s="9"/>
    </row>
    <row r="1154" spans="37:47" ht="15.75" customHeight="1">
      <c r="AK1154" s="9"/>
      <c r="AL1154" s="9"/>
      <c r="AM1154" s="9"/>
      <c r="AN1154" s="9"/>
      <c r="AO1154" s="9"/>
      <c r="AP1154" s="9"/>
      <c r="AQ1154" s="9"/>
      <c r="AR1154" s="9"/>
      <c r="AS1154" s="9"/>
      <c r="AT1154" s="9"/>
      <c r="AU1154" s="9"/>
    </row>
    <row r="1155" spans="37:47" ht="15.75" customHeight="1">
      <c r="AK1155" s="9"/>
      <c r="AL1155" s="9"/>
      <c r="AM1155" s="9"/>
      <c r="AN1155" s="9"/>
      <c r="AO1155" s="9"/>
      <c r="AP1155" s="9"/>
      <c r="AQ1155" s="9"/>
      <c r="AR1155" s="9"/>
      <c r="AS1155" s="9"/>
      <c r="AT1155" s="9"/>
      <c r="AU1155" s="9"/>
    </row>
    <row r="1156" spans="37:47" ht="15.75" customHeight="1">
      <c r="AK1156" s="9"/>
      <c r="AL1156" s="9"/>
      <c r="AM1156" s="9"/>
      <c r="AN1156" s="9"/>
      <c r="AO1156" s="9"/>
      <c r="AP1156" s="9"/>
      <c r="AQ1156" s="9"/>
      <c r="AR1156" s="9"/>
      <c r="AS1156" s="9"/>
      <c r="AT1156" s="9"/>
      <c r="AU1156" s="9"/>
    </row>
    <row r="1157" spans="37:47" ht="15.75" customHeight="1">
      <c r="AK1157" s="9"/>
      <c r="AL1157" s="9"/>
      <c r="AM1157" s="9"/>
      <c r="AN1157" s="9"/>
      <c r="AO1157" s="9"/>
      <c r="AP1157" s="9"/>
      <c r="AQ1157" s="9"/>
      <c r="AR1157" s="9"/>
      <c r="AS1157" s="9"/>
      <c r="AT1157" s="9"/>
      <c r="AU1157" s="9"/>
    </row>
    <row r="1158" spans="37:47" ht="15.75" customHeight="1">
      <c r="AK1158" s="9"/>
      <c r="AL1158" s="9"/>
      <c r="AM1158" s="9"/>
      <c r="AN1158" s="9"/>
      <c r="AO1158" s="9"/>
      <c r="AP1158" s="9"/>
      <c r="AQ1158" s="9"/>
      <c r="AR1158" s="9"/>
      <c r="AS1158" s="9"/>
      <c r="AT1158" s="9"/>
      <c r="AU1158" s="9"/>
    </row>
    <row r="1159" spans="37:47" ht="15.75" customHeight="1">
      <c r="AK1159" s="9"/>
      <c r="AL1159" s="9"/>
      <c r="AM1159" s="9"/>
      <c r="AN1159" s="9"/>
      <c r="AO1159" s="9"/>
      <c r="AP1159" s="9"/>
      <c r="AQ1159" s="9"/>
      <c r="AR1159" s="9"/>
      <c r="AS1159" s="9"/>
      <c r="AT1159" s="9"/>
      <c r="AU1159" s="9"/>
    </row>
    <row r="1160" spans="37:47" ht="15.75" customHeight="1">
      <c r="AK1160" s="9"/>
      <c r="AL1160" s="9"/>
      <c r="AM1160" s="9"/>
      <c r="AN1160" s="9"/>
      <c r="AO1160" s="9"/>
      <c r="AP1160" s="9"/>
      <c r="AQ1160" s="9"/>
      <c r="AR1160" s="9"/>
      <c r="AS1160" s="9"/>
      <c r="AT1160" s="9"/>
      <c r="AU1160" s="9"/>
    </row>
    <row r="1161" spans="37:47" ht="15.75" customHeight="1">
      <c r="AK1161" s="9"/>
      <c r="AL1161" s="9"/>
      <c r="AM1161" s="9"/>
      <c r="AN1161" s="9"/>
      <c r="AO1161" s="9"/>
      <c r="AP1161" s="9"/>
      <c r="AQ1161" s="9"/>
      <c r="AR1161" s="9"/>
      <c r="AS1161" s="9"/>
      <c r="AT1161" s="9"/>
      <c r="AU1161" s="9"/>
    </row>
    <row r="1162" spans="37:47" ht="15.75" customHeight="1">
      <c r="AK1162" s="9"/>
      <c r="AL1162" s="9"/>
      <c r="AM1162" s="9"/>
      <c r="AN1162" s="9"/>
      <c r="AO1162" s="9"/>
      <c r="AP1162" s="9"/>
      <c r="AQ1162" s="9"/>
      <c r="AR1162" s="9"/>
      <c r="AS1162" s="9"/>
      <c r="AT1162" s="9"/>
      <c r="AU1162" s="9"/>
    </row>
    <row r="1163" spans="37:47" ht="15.75" customHeight="1">
      <c r="AK1163" s="9"/>
      <c r="AL1163" s="9"/>
      <c r="AM1163" s="9"/>
      <c r="AN1163" s="9"/>
      <c r="AO1163" s="9"/>
      <c r="AP1163" s="9"/>
      <c r="AQ1163" s="9"/>
      <c r="AR1163" s="9"/>
      <c r="AS1163" s="9"/>
      <c r="AT1163" s="9"/>
      <c r="AU1163" s="9"/>
    </row>
    <row r="1164" spans="37:47" ht="15.75" customHeight="1">
      <c r="AK1164" s="9"/>
      <c r="AL1164" s="9"/>
      <c r="AM1164" s="9"/>
      <c r="AN1164" s="9"/>
      <c r="AO1164" s="9"/>
      <c r="AP1164" s="9"/>
      <c r="AQ1164" s="9"/>
      <c r="AR1164" s="9"/>
      <c r="AS1164" s="9"/>
      <c r="AT1164" s="9"/>
      <c r="AU1164" s="9"/>
    </row>
    <row r="1165" spans="37:47" ht="15.75" customHeight="1">
      <c r="AK1165" s="9"/>
      <c r="AL1165" s="9"/>
      <c r="AM1165" s="9"/>
      <c r="AN1165" s="9"/>
      <c r="AO1165" s="9"/>
      <c r="AP1165" s="9"/>
      <c r="AQ1165" s="9"/>
      <c r="AR1165" s="9"/>
      <c r="AS1165" s="9"/>
      <c r="AT1165" s="9"/>
      <c r="AU1165" s="9"/>
    </row>
    <row r="1166" spans="37:47" ht="15.75" customHeight="1">
      <c r="AK1166" s="9"/>
      <c r="AL1166" s="9"/>
      <c r="AM1166" s="9"/>
      <c r="AN1166" s="9"/>
      <c r="AO1166" s="9"/>
      <c r="AP1166" s="9"/>
      <c r="AQ1166" s="9"/>
      <c r="AR1166" s="9"/>
      <c r="AS1166" s="9"/>
      <c r="AT1166" s="9"/>
      <c r="AU1166" s="9"/>
    </row>
    <row r="1167" spans="37:47" ht="15.75" customHeight="1">
      <c r="AK1167" s="9"/>
      <c r="AL1167" s="9"/>
      <c r="AM1167" s="9"/>
      <c r="AN1167" s="9"/>
      <c r="AO1167" s="9"/>
      <c r="AP1167" s="9"/>
      <c r="AQ1167" s="9"/>
      <c r="AR1167" s="9"/>
      <c r="AS1167" s="9"/>
      <c r="AT1167" s="9"/>
      <c r="AU1167" s="9"/>
    </row>
    <row r="1168" spans="37:47" ht="15.75" customHeight="1">
      <c r="AK1168" s="9"/>
      <c r="AL1168" s="9"/>
      <c r="AM1168" s="9"/>
      <c r="AN1168" s="9"/>
      <c r="AO1168" s="9"/>
      <c r="AP1168" s="9"/>
      <c r="AQ1168" s="9"/>
      <c r="AR1168" s="9"/>
      <c r="AS1168" s="9"/>
      <c r="AT1168" s="9"/>
      <c r="AU1168" s="9"/>
    </row>
    <row r="1169" spans="37:47" ht="15.75" customHeight="1">
      <c r="AK1169" s="9"/>
      <c r="AL1169" s="9"/>
      <c r="AM1169" s="9"/>
      <c r="AN1169" s="9"/>
      <c r="AO1169" s="9"/>
      <c r="AP1169" s="9"/>
      <c r="AQ1169" s="9"/>
      <c r="AR1169" s="9"/>
      <c r="AS1169" s="9"/>
      <c r="AT1169" s="9"/>
      <c r="AU1169" s="9"/>
    </row>
    <row r="1170" spans="37:47" ht="15.75" customHeight="1">
      <c r="AK1170" s="9"/>
      <c r="AL1170" s="9"/>
      <c r="AM1170" s="9"/>
      <c r="AN1170" s="9"/>
      <c r="AO1170" s="9"/>
      <c r="AP1170" s="9"/>
      <c r="AQ1170" s="9"/>
      <c r="AR1170" s="9"/>
      <c r="AS1170" s="9"/>
      <c r="AT1170" s="9"/>
      <c r="AU1170" s="9"/>
    </row>
    <row r="1171" spans="37:47" ht="15.75" customHeight="1">
      <c r="AK1171" s="9"/>
      <c r="AL1171" s="9"/>
      <c r="AM1171" s="9"/>
      <c r="AN1171" s="9"/>
      <c r="AO1171" s="9"/>
      <c r="AP1171" s="9"/>
      <c r="AQ1171" s="9"/>
      <c r="AR1171" s="9"/>
      <c r="AS1171" s="9"/>
      <c r="AT1171" s="9"/>
      <c r="AU1171" s="9"/>
    </row>
    <row r="1172" spans="37:47" ht="15.75" customHeight="1">
      <c r="AK1172" s="9"/>
      <c r="AL1172" s="9"/>
      <c r="AM1172" s="9"/>
      <c r="AN1172" s="9"/>
      <c r="AO1172" s="9"/>
      <c r="AP1172" s="9"/>
      <c r="AQ1172" s="9"/>
      <c r="AR1172" s="9"/>
      <c r="AS1172" s="9"/>
      <c r="AT1172" s="9"/>
      <c r="AU1172" s="9"/>
    </row>
    <row r="1173" spans="37:47" ht="15.75" customHeight="1">
      <c r="AK1173" s="9"/>
      <c r="AL1173" s="9"/>
      <c r="AM1173" s="9"/>
      <c r="AN1173" s="9"/>
      <c r="AO1173" s="9"/>
      <c r="AP1173" s="9"/>
      <c r="AQ1173" s="9"/>
      <c r="AR1173" s="9"/>
      <c r="AS1173" s="9"/>
      <c r="AT1173" s="9"/>
      <c r="AU1173" s="9"/>
    </row>
    <row r="1174" spans="37:47" ht="15.75" customHeight="1">
      <c r="AK1174" s="9"/>
      <c r="AL1174" s="9"/>
      <c r="AM1174" s="9"/>
      <c r="AN1174" s="9"/>
      <c r="AO1174" s="9"/>
      <c r="AP1174" s="9"/>
      <c r="AQ1174" s="9"/>
      <c r="AR1174" s="9"/>
      <c r="AS1174" s="9"/>
      <c r="AT1174" s="9"/>
      <c r="AU1174" s="9"/>
    </row>
    <row r="1175" spans="37:47" ht="15.75" customHeight="1">
      <c r="AK1175" s="9"/>
      <c r="AL1175" s="9"/>
      <c r="AM1175" s="9"/>
      <c r="AN1175" s="9"/>
      <c r="AO1175" s="9"/>
      <c r="AP1175" s="9"/>
      <c r="AQ1175" s="9"/>
      <c r="AR1175" s="9"/>
      <c r="AS1175" s="9"/>
      <c r="AT1175" s="9"/>
      <c r="AU1175" s="9"/>
    </row>
    <row r="1176" spans="37:47" ht="15.75" customHeight="1">
      <c r="AK1176" s="9"/>
      <c r="AL1176" s="9"/>
      <c r="AM1176" s="9"/>
      <c r="AN1176" s="9"/>
      <c r="AO1176" s="9"/>
      <c r="AP1176" s="9"/>
      <c r="AQ1176" s="9"/>
      <c r="AR1176" s="9"/>
      <c r="AS1176" s="9"/>
      <c r="AT1176" s="9"/>
      <c r="AU1176" s="9"/>
    </row>
    <row r="1177" spans="37:47" ht="15.75" customHeight="1">
      <c r="AK1177" s="9"/>
      <c r="AL1177" s="9"/>
      <c r="AM1177" s="9"/>
      <c r="AN1177" s="9"/>
      <c r="AO1177" s="9"/>
      <c r="AP1177" s="9"/>
      <c r="AQ1177" s="9"/>
      <c r="AR1177" s="9"/>
      <c r="AS1177" s="9"/>
      <c r="AT1177" s="9"/>
      <c r="AU1177" s="9"/>
    </row>
    <row r="1178" spans="37:47" ht="15.75" customHeight="1">
      <c r="AK1178" s="9"/>
      <c r="AL1178" s="9"/>
      <c r="AM1178" s="9"/>
      <c r="AN1178" s="9"/>
      <c r="AO1178" s="9"/>
      <c r="AP1178" s="9"/>
      <c r="AQ1178" s="9"/>
      <c r="AR1178" s="9"/>
      <c r="AS1178" s="9"/>
      <c r="AT1178" s="9"/>
      <c r="AU1178" s="9"/>
    </row>
    <row r="1179" spans="37:47" ht="15.75" customHeight="1">
      <c r="AK1179" s="9"/>
      <c r="AL1179" s="9"/>
      <c r="AM1179" s="9"/>
      <c r="AN1179" s="9"/>
      <c r="AO1179" s="9"/>
      <c r="AP1179" s="9"/>
      <c r="AQ1179" s="9"/>
      <c r="AR1179" s="9"/>
      <c r="AS1179" s="9"/>
      <c r="AT1179" s="9"/>
      <c r="AU1179" s="9"/>
    </row>
    <row r="1180" spans="37:47" ht="15.75" customHeight="1">
      <c r="AK1180" s="9"/>
      <c r="AL1180" s="9"/>
      <c r="AM1180" s="9"/>
      <c r="AN1180" s="9"/>
      <c r="AO1180" s="9"/>
      <c r="AP1180" s="9"/>
      <c r="AQ1180" s="9"/>
      <c r="AR1180" s="9"/>
      <c r="AS1180" s="9"/>
      <c r="AT1180" s="9"/>
      <c r="AU1180" s="9"/>
    </row>
    <row r="1181" spans="37:47" ht="15.75" customHeight="1">
      <c r="AK1181" s="9"/>
      <c r="AL1181" s="9"/>
      <c r="AM1181" s="9"/>
      <c r="AN1181" s="9"/>
      <c r="AO1181" s="9"/>
      <c r="AP1181" s="9"/>
      <c r="AQ1181" s="9"/>
      <c r="AR1181" s="9"/>
      <c r="AS1181" s="9"/>
      <c r="AT1181" s="9"/>
      <c r="AU1181" s="9"/>
    </row>
    <row r="1182" spans="37:47" ht="15.75" customHeight="1">
      <c r="AK1182" s="9"/>
      <c r="AL1182" s="9"/>
      <c r="AM1182" s="9"/>
      <c r="AN1182" s="9"/>
      <c r="AO1182" s="9"/>
      <c r="AP1182" s="9"/>
      <c r="AQ1182" s="9"/>
      <c r="AR1182" s="9"/>
      <c r="AS1182" s="9"/>
      <c r="AT1182" s="9"/>
      <c r="AU1182" s="9"/>
    </row>
    <row r="1183" spans="37:47" ht="15.75" customHeight="1">
      <c r="AK1183" s="9"/>
      <c r="AL1183" s="9"/>
      <c r="AM1183" s="9"/>
      <c r="AN1183" s="9"/>
      <c r="AO1183" s="9"/>
      <c r="AP1183" s="9"/>
      <c r="AQ1183" s="9"/>
      <c r="AR1183" s="9"/>
      <c r="AS1183" s="9"/>
      <c r="AT1183" s="9"/>
      <c r="AU1183" s="9"/>
    </row>
    <row r="1184" spans="37:47" ht="15.75" customHeight="1">
      <c r="AK1184" s="9"/>
      <c r="AL1184" s="9"/>
      <c r="AM1184" s="9"/>
      <c r="AN1184" s="9"/>
      <c r="AO1184" s="9"/>
      <c r="AP1184" s="9"/>
      <c r="AQ1184" s="9"/>
      <c r="AR1184" s="9"/>
      <c r="AS1184" s="9"/>
      <c r="AT1184" s="9"/>
      <c r="AU1184" s="9"/>
    </row>
    <row r="1185" spans="37:47" ht="15.75" customHeight="1">
      <c r="AK1185" s="9"/>
      <c r="AL1185" s="9"/>
      <c r="AM1185" s="9"/>
      <c r="AN1185" s="9"/>
      <c r="AO1185" s="9"/>
      <c r="AP1185" s="9"/>
      <c r="AQ1185" s="9"/>
      <c r="AR1185" s="9"/>
      <c r="AS1185" s="9"/>
      <c r="AT1185" s="9"/>
      <c r="AU1185" s="9"/>
    </row>
    <row r="1186" spans="37:47" ht="15.75" customHeight="1">
      <c r="AK1186" s="9"/>
      <c r="AL1186" s="9"/>
      <c r="AM1186" s="9"/>
      <c r="AN1186" s="9"/>
      <c r="AO1186" s="9"/>
      <c r="AP1186" s="9"/>
      <c r="AQ1186" s="9"/>
      <c r="AR1186" s="9"/>
      <c r="AS1186" s="9"/>
      <c r="AT1186" s="9"/>
      <c r="AU1186" s="9"/>
    </row>
    <row r="1187" spans="37:47" ht="15.75" customHeight="1">
      <c r="AK1187" s="9"/>
      <c r="AL1187" s="9"/>
      <c r="AM1187" s="9"/>
      <c r="AN1187" s="9"/>
      <c r="AO1187" s="9"/>
      <c r="AP1187" s="9"/>
      <c r="AQ1187" s="9"/>
      <c r="AR1187" s="9"/>
      <c r="AS1187" s="9"/>
      <c r="AT1187" s="9"/>
      <c r="AU1187" s="9"/>
    </row>
    <row r="1188" spans="37:47" ht="15.75" customHeight="1">
      <c r="AK1188" s="9"/>
      <c r="AL1188" s="9"/>
      <c r="AM1188" s="9"/>
      <c r="AN1188" s="9"/>
      <c r="AO1188" s="9"/>
      <c r="AP1188" s="9"/>
      <c r="AQ1188" s="9"/>
      <c r="AR1188" s="9"/>
      <c r="AS1188" s="9"/>
      <c r="AT1188" s="9"/>
      <c r="AU1188" s="9"/>
    </row>
    <row r="1189" spans="37:47" ht="15.75" customHeight="1">
      <c r="AK1189" s="9"/>
      <c r="AL1189" s="9"/>
      <c r="AM1189" s="9"/>
      <c r="AN1189" s="9"/>
      <c r="AO1189" s="9"/>
      <c r="AP1189" s="9"/>
      <c r="AQ1189" s="9"/>
      <c r="AR1189" s="9"/>
      <c r="AS1189" s="9"/>
      <c r="AT1189" s="9"/>
      <c r="AU1189" s="9"/>
    </row>
    <row r="1190" spans="37:47" ht="15.75" customHeight="1">
      <c r="AK1190" s="9"/>
      <c r="AL1190" s="9"/>
      <c r="AM1190" s="9"/>
      <c r="AN1190" s="9"/>
      <c r="AO1190" s="9"/>
      <c r="AP1190" s="9"/>
      <c r="AQ1190" s="9"/>
      <c r="AR1190" s="9"/>
      <c r="AS1190" s="9"/>
      <c r="AT1190" s="9"/>
      <c r="AU1190" s="9"/>
    </row>
    <row r="1191" spans="37:47" ht="15.75" customHeight="1">
      <c r="AK1191" s="9"/>
      <c r="AL1191" s="9"/>
      <c r="AM1191" s="9"/>
      <c r="AN1191" s="9"/>
      <c r="AO1191" s="9"/>
      <c r="AP1191" s="9"/>
      <c r="AQ1191" s="9"/>
      <c r="AR1191" s="9"/>
      <c r="AS1191" s="9"/>
      <c r="AT1191" s="9"/>
      <c r="AU1191" s="9"/>
    </row>
    <row r="1192" spans="37:47" ht="15.75" customHeight="1">
      <c r="AK1192" s="9"/>
      <c r="AL1192" s="9"/>
      <c r="AM1192" s="9"/>
      <c r="AN1192" s="9"/>
      <c r="AO1192" s="9"/>
      <c r="AP1192" s="9"/>
      <c r="AQ1192" s="9"/>
      <c r="AR1192" s="9"/>
      <c r="AS1192" s="9"/>
      <c r="AT1192" s="9"/>
      <c r="AU1192" s="9"/>
    </row>
    <row r="1193" spans="37:47" ht="15.75" customHeight="1">
      <c r="AK1193" s="9"/>
      <c r="AL1193" s="9"/>
      <c r="AM1193" s="9"/>
      <c r="AN1193" s="9"/>
      <c r="AO1193" s="9"/>
      <c r="AP1193" s="9"/>
      <c r="AQ1193" s="9"/>
      <c r="AR1193" s="9"/>
      <c r="AS1193" s="9"/>
      <c r="AT1193" s="9"/>
      <c r="AU1193" s="9"/>
    </row>
    <row r="1194" spans="37:47" ht="15.75" customHeight="1">
      <c r="AK1194" s="9"/>
      <c r="AL1194" s="9"/>
      <c r="AM1194" s="9"/>
      <c r="AN1194" s="9"/>
      <c r="AO1194" s="9"/>
      <c r="AP1194" s="9"/>
      <c r="AQ1194" s="9"/>
      <c r="AR1194" s="9"/>
      <c r="AS1194" s="9"/>
      <c r="AT1194" s="9"/>
      <c r="AU1194" s="9"/>
    </row>
    <row r="1195" spans="37:47" ht="15.75" customHeight="1">
      <c r="AK1195" s="9"/>
      <c r="AL1195" s="9"/>
      <c r="AM1195" s="9"/>
      <c r="AN1195" s="9"/>
      <c r="AO1195" s="9"/>
      <c r="AP1195" s="9"/>
      <c r="AQ1195" s="9"/>
      <c r="AR1195" s="9"/>
      <c r="AS1195" s="9"/>
      <c r="AT1195" s="9"/>
      <c r="AU1195" s="9"/>
    </row>
    <row r="1196" spans="37:47" ht="15.75" customHeight="1">
      <c r="AK1196" s="9"/>
      <c r="AL1196" s="9"/>
      <c r="AM1196" s="9"/>
      <c r="AN1196" s="9"/>
      <c r="AO1196" s="9"/>
      <c r="AP1196" s="9"/>
      <c r="AQ1196" s="9"/>
      <c r="AR1196" s="9"/>
      <c r="AS1196" s="9"/>
      <c r="AT1196" s="9"/>
      <c r="AU1196" s="9"/>
    </row>
    <row r="1197" spans="37:47" ht="15.75" customHeight="1">
      <c r="AK1197" s="9"/>
      <c r="AL1197" s="9"/>
      <c r="AM1197" s="9"/>
      <c r="AN1197" s="9"/>
      <c r="AO1197" s="9"/>
      <c r="AP1197" s="9"/>
      <c r="AQ1197" s="9"/>
      <c r="AR1197" s="9"/>
      <c r="AS1197" s="9"/>
      <c r="AT1197" s="9"/>
      <c r="AU1197" s="9"/>
    </row>
    <row r="1198" spans="37:47" ht="15.75" customHeight="1">
      <c r="AK1198" s="9"/>
      <c r="AL1198" s="9"/>
      <c r="AM1198" s="9"/>
      <c r="AN1198" s="9"/>
      <c r="AO1198" s="9"/>
      <c r="AP1198" s="9"/>
      <c r="AQ1198" s="9"/>
      <c r="AR1198" s="9"/>
      <c r="AS1198" s="9"/>
      <c r="AT1198" s="9"/>
      <c r="AU1198" s="9"/>
    </row>
    <row r="1199" spans="37:47" ht="15.75" customHeight="1">
      <c r="AK1199" s="9"/>
      <c r="AL1199" s="9"/>
      <c r="AM1199" s="9"/>
      <c r="AN1199" s="9"/>
      <c r="AO1199" s="9"/>
      <c r="AP1199" s="9"/>
      <c r="AQ1199" s="9"/>
      <c r="AR1199" s="9"/>
      <c r="AS1199" s="9"/>
      <c r="AT1199" s="9"/>
      <c r="AU1199" s="9"/>
    </row>
    <row r="1200" spans="37:47" ht="15.75" customHeight="1">
      <c r="AK1200" s="9"/>
      <c r="AL1200" s="9"/>
      <c r="AM1200" s="9"/>
      <c r="AN1200" s="9"/>
      <c r="AO1200" s="9"/>
      <c r="AP1200" s="9"/>
      <c r="AQ1200" s="9"/>
      <c r="AR1200" s="9"/>
      <c r="AS1200" s="9"/>
      <c r="AT1200" s="9"/>
      <c r="AU1200" s="9"/>
    </row>
    <row r="1201" spans="37:47" ht="15.75" customHeight="1">
      <c r="AK1201" s="9"/>
      <c r="AL1201" s="9"/>
      <c r="AM1201" s="9"/>
      <c r="AN1201" s="9"/>
      <c r="AO1201" s="9"/>
      <c r="AP1201" s="9"/>
      <c r="AQ1201" s="9"/>
      <c r="AR1201" s="9"/>
      <c r="AS1201" s="9"/>
      <c r="AT1201" s="9"/>
      <c r="AU1201" s="9"/>
    </row>
    <row r="1202" spans="37:47" ht="15.75" customHeight="1">
      <c r="AK1202" s="9"/>
      <c r="AL1202" s="9"/>
      <c r="AM1202" s="9"/>
      <c r="AN1202" s="9"/>
      <c r="AO1202" s="9"/>
      <c r="AP1202" s="9"/>
      <c r="AQ1202" s="9"/>
      <c r="AR1202" s="9"/>
      <c r="AS1202" s="9"/>
      <c r="AT1202" s="9"/>
      <c r="AU1202" s="9"/>
    </row>
    <row r="1203" spans="37:47" ht="15.75" customHeight="1">
      <c r="AK1203" s="9"/>
      <c r="AL1203" s="9"/>
      <c r="AM1203" s="9"/>
      <c r="AN1203" s="9"/>
      <c r="AO1203" s="9"/>
      <c r="AP1203" s="9"/>
      <c r="AQ1203" s="9"/>
      <c r="AR1203" s="9"/>
      <c r="AS1203" s="9"/>
      <c r="AT1203" s="9"/>
      <c r="AU1203" s="9"/>
    </row>
    <row r="1204" spans="37:47" ht="15.75" customHeight="1">
      <c r="AK1204" s="9"/>
      <c r="AL1204" s="9"/>
      <c r="AM1204" s="9"/>
      <c r="AN1204" s="9"/>
      <c r="AO1204" s="9"/>
      <c r="AP1204" s="9"/>
      <c r="AQ1204" s="9"/>
      <c r="AR1204" s="9"/>
      <c r="AS1204" s="9"/>
      <c r="AT1204" s="9"/>
      <c r="AU1204" s="9"/>
    </row>
    <row r="1205" spans="37:47" ht="15.75" customHeight="1">
      <c r="AK1205" s="9"/>
      <c r="AL1205" s="9"/>
      <c r="AM1205" s="9"/>
      <c r="AN1205" s="9"/>
      <c r="AO1205" s="9"/>
      <c r="AP1205" s="9"/>
      <c r="AQ1205" s="9"/>
      <c r="AR1205" s="9"/>
      <c r="AS1205" s="9"/>
      <c r="AT1205" s="9"/>
      <c r="AU1205" s="9"/>
    </row>
    <row r="1206" spans="37:47" ht="15.75" customHeight="1">
      <c r="AK1206" s="9"/>
      <c r="AL1206" s="9"/>
      <c r="AM1206" s="9"/>
      <c r="AN1206" s="9"/>
      <c r="AO1206" s="9"/>
      <c r="AP1206" s="9"/>
      <c r="AQ1206" s="9"/>
      <c r="AR1206" s="9"/>
      <c r="AS1206" s="9"/>
      <c r="AT1206" s="9"/>
      <c r="AU1206" s="9"/>
    </row>
    <row r="1207" spans="37:47" ht="15.75" customHeight="1">
      <c r="AK1207" s="9"/>
      <c r="AL1207" s="9"/>
      <c r="AM1207" s="9"/>
      <c r="AN1207" s="9"/>
      <c r="AO1207" s="9"/>
      <c r="AP1207" s="9"/>
      <c r="AQ1207" s="9"/>
      <c r="AR1207" s="9"/>
      <c r="AS1207" s="9"/>
      <c r="AT1207" s="9"/>
      <c r="AU1207" s="9"/>
    </row>
    <row r="1208" spans="37:47" ht="15.75" customHeight="1">
      <c r="AK1208" s="9"/>
      <c r="AL1208" s="9"/>
      <c r="AM1208" s="9"/>
      <c r="AN1208" s="9"/>
      <c r="AO1208" s="9"/>
      <c r="AP1208" s="9"/>
      <c r="AQ1208" s="9"/>
      <c r="AR1208" s="9"/>
      <c r="AS1208" s="9"/>
      <c r="AT1208" s="9"/>
      <c r="AU1208" s="9"/>
    </row>
    <row r="1209" spans="37:47" ht="15.75" customHeight="1">
      <c r="AK1209" s="9"/>
      <c r="AL1209" s="9"/>
      <c r="AM1209" s="9"/>
      <c r="AN1209" s="9"/>
      <c r="AO1209" s="9"/>
      <c r="AP1209" s="9"/>
      <c r="AQ1209" s="9"/>
      <c r="AR1209" s="9"/>
      <c r="AS1209" s="9"/>
      <c r="AT1209" s="9"/>
      <c r="AU1209" s="9"/>
    </row>
    <row r="1210" spans="37:47" ht="15.75" customHeight="1">
      <c r="AK1210" s="9"/>
      <c r="AL1210" s="9"/>
      <c r="AM1210" s="9"/>
      <c r="AN1210" s="9"/>
      <c r="AO1210" s="9"/>
      <c r="AP1210" s="9"/>
      <c r="AQ1210" s="9"/>
      <c r="AR1210" s="9"/>
      <c r="AS1210" s="9"/>
      <c r="AT1210" s="9"/>
      <c r="AU1210" s="9"/>
    </row>
    <row r="1211" spans="37:47" ht="15.75" customHeight="1">
      <c r="AK1211" s="9"/>
      <c r="AL1211" s="9"/>
      <c r="AM1211" s="9"/>
      <c r="AN1211" s="9"/>
      <c r="AO1211" s="9"/>
      <c r="AP1211" s="9"/>
      <c r="AQ1211" s="9"/>
      <c r="AR1211" s="9"/>
      <c r="AS1211" s="9"/>
      <c r="AT1211" s="9"/>
      <c r="AU1211" s="9"/>
    </row>
    <row r="1212" spans="37:47" ht="15.75" customHeight="1">
      <c r="AK1212" s="9"/>
      <c r="AL1212" s="9"/>
      <c r="AM1212" s="9"/>
      <c r="AN1212" s="9"/>
      <c r="AO1212" s="9"/>
      <c r="AP1212" s="9"/>
      <c r="AQ1212" s="9"/>
      <c r="AR1212" s="9"/>
      <c r="AS1212" s="9"/>
      <c r="AT1212" s="9"/>
      <c r="AU1212" s="9"/>
    </row>
    <row r="1213" spans="37:47" ht="15.75" customHeight="1">
      <c r="AK1213" s="9"/>
      <c r="AL1213" s="9"/>
      <c r="AM1213" s="9"/>
      <c r="AN1213" s="9"/>
      <c r="AO1213" s="9"/>
      <c r="AP1213" s="9"/>
      <c r="AQ1213" s="9"/>
      <c r="AR1213" s="9"/>
      <c r="AS1213" s="9"/>
      <c r="AT1213" s="9"/>
      <c r="AU1213" s="9"/>
    </row>
    <row r="1214" spans="37:47" ht="15.75" customHeight="1">
      <c r="AK1214" s="9"/>
      <c r="AL1214" s="9"/>
      <c r="AM1214" s="9"/>
      <c r="AN1214" s="9"/>
      <c r="AO1214" s="9"/>
      <c r="AP1214" s="9"/>
      <c r="AQ1214" s="9"/>
      <c r="AR1214" s="9"/>
      <c r="AS1214" s="9"/>
      <c r="AT1214" s="9"/>
      <c r="AU1214" s="9"/>
    </row>
    <row r="1215" spans="37:47" ht="15.75" customHeight="1">
      <c r="AK1215" s="9"/>
      <c r="AL1215" s="9"/>
      <c r="AM1215" s="9"/>
      <c r="AN1215" s="9"/>
      <c r="AO1215" s="9"/>
      <c r="AP1215" s="9"/>
      <c r="AQ1215" s="9"/>
      <c r="AR1215" s="9"/>
      <c r="AS1215" s="9"/>
      <c r="AT1215" s="9"/>
      <c r="AU1215" s="9"/>
    </row>
    <row r="1216" spans="37:47" ht="15.75" customHeight="1">
      <c r="AK1216" s="9"/>
      <c r="AL1216" s="9"/>
      <c r="AM1216" s="9"/>
      <c r="AN1216" s="9"/>
      <c r="AO1216" s="9"/>
      <c r="AP1216" s="9"/>
      <c r="AQ1216" s="9"/>
      <c r="AR1216" s="9"/>
      <c r="AS1216" s="9"/>
      <c r="AT1216" s="9"/>
      <c r="AU1216" s="9"/>
    </row>
    <row r="1217" spans="37:47" ht="15.75" customHeight="1">
      <c r="AK1217" s="9"/>
      <c r="AL1217" s="9"/>
      <c r="AM1217" s="9"/>
      <c r="AN1217" s="9"/>
      <c r="AO1217" s="9"/>
      <c r="AP1217" s="9"/>
      <c r="AQ1217" s="9"/>
      <c r="AR1217" s="9"/>
      <c r="AS1217" s="9"/>
      <c r="AT1217" s="9"/>
      <c r="AU1217" s="9"/>
    </row>
    <row r="1218" spans="37:47" ht="15.75" customHeight="1">
      <c r="AK1218" s="9"/>
      <c r="AL1218" s="9"/>
      <c r="AM1218" s="9"/>
      <c r="AN1218" s="9"/>
      <c r="AO1218" s="9"/>
      <c r="AP1218" s="9"/>
      <c r="AQ1218" s="9"/>
      <c r="AR1218" s="9"/>
      <c r="AS1218" s="9"/>
      <c r="AT1218" s="9"/>
      <c r="AU1218" s="9"/>
    </row>
    <row r="1219" spans="37:47" ht="15.75" customHeight="1">
      <c r="AK1219" s="9"/>
      <c r="AL1219" s="9"/>
      <c r="AM1219" s="9"/>
      <c r="AN1219" s="9"/>
      <c r="AO1219" s="9"/>
      <c r="AP1219" s="9"/>
      <c r="AQ1219" s="9"/>
      <c r="AR1219" s="9"/>
      <c r="AS1219" s="9"/>
      <c r="AT1219" s="9"/>
      <c r="AU1219" s="9"/>
    </row>
    <row r="1220" spans="37:47" ht="15.75" customHeight="1">
      <c r="AK1220" s="9"/>
      <c r="AL1220" s="9"/>
      <c r="AM1220" s="9"/>
      <c r="AN1220" s="9"/>
      <c r="AO1220" s="9"/>
      <c r="AP1220" s="9"/>
      <c r="AQ1220" s="9"/>
      <c r="AR1220" s="9"/>
      <c r="AS1220" s="9"/>
      <c r="AT1220" s="9"/>
      <c r="AU1220" s="9"/>
    </row>
    <row r="1221" spans="37:47" ht="15.75" customHeight="1">
      <c r="AK1221" s="9"/>
      <c r="AL1221" s="9"/>
      <c r="AM1221" s="9"/>
      <c r="AN1221" s="9"/>
      <c r="AO1221" s="9"/>
      <c r="AP1221" s="9"/>
      <c r="AQ1221" s="9"/>
      <c r="AR1221" s="9"/>
      <c r="AS1221" s="9"/>
      <c r="AT1221" s="9"/>
      <c r="AU1221" s="9"/>
    </row>
    <row r="1222" spans="37:47" ht="15.75" customHeight="1">
      <c r="AK1222" s="9"/>
      <c r="AL1222" s="9"/>
      <c r="AM1222" s="9"/>
      <c r="AN1222" s="9"/>
      <c r="AO1222" s="9"/>
      <c r="AP1222" s="9"/>
      <c r="AQ1222" s="9"/>
      <c r="AR1222" s="9"/>
      <c r="AS1222" s="9"/>
      <c r="AT1222" s="9"/>
      <c r="AU1222" s="9"/>
    </row>
    <row r="1223" spans="37:47" ht="15.75" customHeight="1">
      <c r="AK1223" s="9"/>
      <c r="AL1223" s="9"/>
      <c r="AM1223" s="9"/>
      <c r="AN1223" s="9"/>
      <c r="AO1223" s="9"/>
      <c r="AP1223" s="9"/>
      <c r="AQ1223" s="9"/>
      <c r="AR1223" s="9"/>
      <c r="AS1223" s="9"/>
      <c r="AT1223" s="9"/>
      <c r="AU1223" s="9"/>
    </row>
    <row r="1224" spans="37:47" ht="15.75" customHeight="1">
      <c r="AK1224" s="9"/>
      <c r="AL1224" s="9"/>
      <c r="AM1224" s="9"/>
      <c r="AN1224" s="9"/>
      <c r="AO1224" s="9"/>
      <c r="AP1224" s="9"/>
      <c r="AQ1224" s="9"/>
      <c r="AR1224" s="9"/>
      <c r="AS1224" s="9"/>
      <c r="AT1224" s="9"/>
      <c r="AU1224" s="9"/>
    </row>
    <row r="1225" spans="37:47" ht="15.75" customHeight="1">
      <c r="AK1225" s="9"/>
      <c r="AL1225" s="9"/>
      <c r="AM1225" s="9"/>
      <c r="AN1225" s="9"/>
      <c r="AO1225" s="9"/>
      <c r="AP1225" s="9"/>
      <c r="AQ1225" s="9"/>
      <c r="AR1225" s="9"/>
      <c r="AS1225" s="9"/>
      <c r="AT1225" s="9"/>
      <c r="AU1225" s="9"/>
    </row>
    <row r="1226" spans="37:47" ht="15.75" customHeight="1">
      <c r="AK1226" s="9"/>
      <c r="AL1226" s="9"/>
      <c r="AM1226" s="9"/>
      <c r="AN1226" s="9"/>
      <c r="AO1226" s="9"/>
      <c r="AP1226" s="9"/>
      <c r="AQ1226" s="9"/>
      <c r="AR1226" s="9"/>
      <c r="AS1226" s="9"/>
      <c r="AT1226" s="9"/>
      <c r="AU1226" s="9"/>
    </row>
  </sheetData>
  <mergeCells count="124">
    <mergeCell ref="AO1:AP1"/>
    <mergeCell ref="W6:X6"/>
    <mergeCell ref="W7:X7"/>
    <mergeCell ref="AE6:AH6"/>
    <mergeCell ref="AA6:AD6"/>
    <mergeCell ref="Y6:Z6"/>
    <mergeCell ref="AE10:AH10"/>
    <mergeCell ref="AA15:AD15"/>
    <mergeCell ref="AE12:AH12"/>
    <mergeCell ref="AA14:AD14"/>
    <mergeCell ref="AE14:AH14"/>
    <mergeCell ref="A6:C6"/>
    <mergeCell ref="D6:G6"/>
    <mergeCell ref="H6:K6"/>
    <mergeCell ref="L6:N6"/>
    <mergeCell ref="A7:C7"/>
    <mergeCell ref="D7:G7"/>
    <mergeCell ref="H7:K7"/>
    <mergeCell ref="L7:N7"/>
    <mergeCell ref="AE5:AH5"/>
    <mergeCell ref="A4:C5"/>
    <mergeCell ref="D4:G5"/>
    <mergeCell ref="H4:K5"/>
    <mergeCell ref="S5:V5"/>
    <mergeCell ref="W5:Z5"/>
    <mergeCell ref="AA5:AD5"/>
    <mergeCell ref="O7:R7"/>
    <mergeCell ref="S7:V7"/>
    <mergeCell ref="L4:N5"/>
    <mergeCell ref="O4:V4"/>
    <mergeCell ref="W4:Z4"/>
    <mergeCell ref="AA4:AD4"/>
    <mergeCell ref="AE4:AH4"/>
    <mergeCell ref="O5:R5"/>
    <mergeCell ref="O6:R6"/>
    <mergeCell ref="S6:V6"/>
    <mergeCell ref="AA9:AD9"/>
    <mergeCell ref="AE9:AH9"/>
    <mergeCell ref="AA7:AD7"/>
    <mergeCell ref="AE7:AH7"/>
    <mergeCell ref="AE8:AH8"/>
    <mergeCell ref="Y7:Z7"/>
    <mergeCell ref="AA8:AD8"/>
    <mergeCell ref="O8:R8"/>
    <mergeCell ref="O9:R9"/>
    <mergeCell ref="AA10:AD10"/>
    <mergeCell ref="O10:R10"/>
    <mergeCell ref="S10:V10"/>
    <mergeCell ref="A8:C8"/>
    <mergeCell ref="D8:G8"/>
    <mergeCell ref="H8:K8"/>
    <mergeCell ref="L8:N8"/>
    <mergeCell ref="S9:V9"/>
    <mergeCell ref="S8:V8"/>
    <mergeCell ref="A9:C9"/>
    <mergeCell ref="D9:G9"/>
    <mergeCell ref="H9:K9"/>
    <mergeCell ref="L9:N9"/>
    <mergeCell ref="A13:C13"/>
    <mergeCell ref="D13:G13"/>
    <mergeCell ref="H13:K13"/>
    <mergeCell ref="L13:N13"/>
    <mergeCell ref="Y12:Z12"/>
    <mergeCell ref="A10:C10"/>
    <mergeCell ref="D10:G10"/>
    <mergeCell ref="AA11:AD11"/>
    <mergeCell ref="AE11:AH11"/>
    <mergeCell ref="A12:C12"/>
    <mergeCell ref="D12:G12"/>
    <mergeCell ref="H12:K12"/>
    <mergeCell ref="L12:N12"/>
    <mergeCell ref="O12:R12"/>
    <mergeCell ref="S12:V12"/>
    <mergeCell ref="A11:C11"/>
    <mergeCell ref="D11:G11"/>
    <mergeCell ref="H11:K11"/>
    <mergeCell ref="L11:N11"/>
    <mergeCell ref="O11:R11"/>
    <mergeCell ref="S11:V11"/>
    <mergeCell ref="H10:K10"/>
    <mergeCell ref="L10:N10"/>
    <mergeCell ref="AE15:AH15"/>
    <mergeCell ref="A16:C16"/>
    <mergeCell ref="D16:G16"/>
    <mergeCell ref="H16:K16"/>
    <mergeCell ref="L16:N16"/>
    <mergeCell ref="O16:R16"/>
    <mergeCell ref="S16:V16"/>
    <mergeCell ref="AA16:AD16"/>
    <mergeCell ref="AE16:AH16"/>
    <mergeCell ref="O15:R15"/>
    <mergeCell ref="A14:C14"/>
    <mergeCell ref="D14:G14"/>
    <mergeCell ref="O14:R14"/>
    <mergeCell ref="A15:C15"/>
    <mergeCell ref="D15:G15"/>
    <mergeCell ref="H15:K15"/>
    <mergeCell ref="L15:N15"/>
    <mergeCell ref="AA12:AD12"/>
    <mergeCell ref="O13:R13"/>
    <mergeCell ref="S13:V13"/>
    <mergeCell ref="W8:X8"/>
    <mergeCell ref="W9:X9"/>
    <mergeCell ref="W10:X10"/>
    <mergeCell ref="W11:X11"/>
    <mergeCell ref="W12:X12"/>
    <mergeCell ref="W13:X13"/>
    <mergeCell ref="Y8:Z8"/>
    <mergeCell ref="Y9:Z9"/>
    <mergeCell ref="Y10:Z10"/>
    <mergeCell ref="AA13:AD13"/>
    <mergeCell ref="AE13:AH13"/>
    <mergeCell ref="Y11:Z11"/>
    <mergeCell ref="W14:X14"/>
    <mergeCell ref="W15:X15"/>
    <mergeCell ref="W16:X16"/>
    <mergeCell ref="H14:K14"/>
    <mergeCell ref="L14:N14"/>
    <mergeCell ref="Y13:Z13"/>
    <mergeCell ref="Y14:Z14"/>
    <mergeCell ref="Y15:Z15"/>
    <mergeCell ref="Y16:Z16"/>
    <mergeCell ref="S14:V14"/>
    <mergeCell ref="S15:V15"/>
  </mergeCells>
  <phoneticPr fontId="1"/>
  <pageMargins left="1.0629921259842521" right="0.19685039370078741" top="0.98425196850393704" bottom="0.59055118110236227" header="0.51181102362204722" footer="0.51181102362204722"/>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BJ1122"/>
  <sheetViews>
    <sheetView tabSelected="1" view="pageBreakPreview" zoomScale="85" zoomScaleNormal="90" zoomScaleSheetLayoutView="85" workbookViewId="0">
      <selection activeCell="AJ592" sqref="AJ592"/>
    </sheetView>
  </sheetViews>
  <sheetFormatPr defaultColWidth="2.625" defaultRowHeight="15.75" customHeight="1"/>
  <cols>
    <col min="1" max="1" width="9.75" style="6" customWidth="1"/>
    <col min="2" max="2" width="2.75" style="6" customWidth="1"/>
    <col min="3" max="3" width="2.625" style="7" customWidth="1"/>
    <col min="4" max="4" width="2.625" style="6" customWidth="1"/>
    <col min="5" max="5" width="2.625" style="7" customWidth="1"/>
    <col min="6" max="10" width="2.625" style="6"/>
    <col min="11" max="11" width="2.625" style="6" customWidth="1"/>
    <col min="12" max="13" width="2.625" style="6"/>
    <col min="14" max="14" width="2.625" style="6" customWidth="1"/>
    <col min="15" max="15" width="2.625" style="6"/>
    <col min="16" max="16" width="2.625" style="6" customWidth="1"/>
    <col min="17" max="39" width="2.625" style="6"/>
    <col min="51" max="16384" width="2.625" style="6"/>
  </cols>
  <sheetData>
    <row r="2" spans="3:35" ht="15.75" customHeight="1">
      <c r="C2" s="5" t="s">
        <v>25</v>
      </c>
    </row>
    <row r="3" spans="3:35" ht="15.75" customHeight="1">
      <c r="E3" s="7" t="s">
        <v>26</v>
      </c>
    </row>
    <row r="5" spans="3:35" ht="15.75" customHeight="1">
      <c r="D5" s="5" t="s">
        <v>27</v>
      </c>
    </row>
    <row r="7" spans="3:35" ht="15.75" customHeight="1">
      <c r="D7" s="7" t="s">
        <v>28</v>
      </c>
      <c r="M7" s="13" t="s">
        <v>29</v>
      </c>
    </row>
    <row r="8" spans="3:35" ht="15.75" customHeight="1">
      <c r="D8" s="7"/>
      <c r="M8" s="13"/>
    </row>
    <row r="9" spans="3:35" s="7" customFormat="1" ht="15.75" customHeight="1">
      <c r="F9" s="7" t="s">
        <v>210</v>
      </c>
    </row>
    <row r="10" spans="3:35" s="7" customFormat="1" ht="15.75" customHeight="1">
      <c r="F10" s="7" t="s">
        <v>30</v>
      </c>
    </row>
    <row r="11" spans="3:35" s="7" customFormat="1" ht="15.75" customHeight="1"/>
    <row r="12" spans="3:35" s="7" customFormat="1" ht="15.75" customHeight="1"/>
    <row r="13" spans="3:35" s="7" customFormat="1" ht="15.75" customHeight="1">
      <c r="U13" s="65" t="s">
        <v>214</v>
      </c>
      <c r="V13" s="65"/>
      <c r="W13" s="65"/>
      <c r="X13" s="65"/>
      <c r="Y13" s="65"/>
      <c r="Z13" s="65"/>
      <c r="AA13" s="65"/>
      <c r="AB13" s="65"/>
      <c r="AC13" s="65"/>
      <c r="AD13" s="65"/>
      <c r="AE13" s="65"/>
      <c r="AF13" s="65"/>
      <c r="AG13" s="65"/>
      <c r="AH13" s="65"/>
      <c r="AI13" s="65"/>
    </row>
    <row r="14" spans="3:35" s="7" customFormat="1" ht="15.75" customHeight="1">
      <c r="U14" s="60" t="s">
        <v>31</v>
      </c>
      <c r="V14" s="60"/>
      <c r="W14" s="60"/>
      <c r="X14" s="60"/>
      <c r="Y14" s="60"/>
      <c r="Z14" s="60"/>
      <c r="AA14" s="60"/>
      <c r="AB14" s="60" t="s">
        <v>33</v>
      </c>
      <c r="AC14" s="60"/>
      <c r="AD14" s="60"/>
      <c r="AE14" s="60"/>
      <c r="AF14" s="60" t="s">
        <v>34</v>
      </c>
      <c r="AG14" s="60"/>
      <c r="AH14" s="60"/>
      <c r="AI14" s="60"/>
    </row>
    <row r="15" spans="3:35" s="7" customFormat="1" ht="15.75" customHeight="1">
      <c r="U15" s="60" t="s">
        <v>32</v>
      </c>
      <c r="V15" s="60"/>
      <c r="W15" s="60"/>
      <c r="X15" s="60"/>
      <c r="Y15" s="60"/>
      <c r="Z15" s="60"/>
      <c r="AA15" s="60"/>
      <c r="AB15" s="60">
        <v>0.6</v>
      </c>
      <c r="AC15" s="60"/>
      <c r="AD15" s="60"/>
      <c r="AE15" s="60"/>
      <c r="AF15" s="60">
        <v>1.4</v>
      </c>
      <c r="AG15" s="60"/>
      <c r="AH15" s="60"/>
      <c r="AI15" s="60"/>
    </row>
    <row r="16" spans="3:35" s="7" customFormat="1" ht="15.75" customHeight="1">
      <c r="Y16" s="93" t="s">
        <v>36</v>
      </c>
      <c r="Z16" s="93"/>
      <c r="AA16" s="6" t="s">
        <v>35</v>
      </c>
      <c r="AB16" s="93" t="s">
        <v>38</v>
      </c>
      <c r="AC16" s="93"/>
      <c r="AD16" s="6" t="s">
        <v>2</v>
      </c>
      <c r="AE16" s="36" t="s">
        <v>40</v>
      </c>
      <c r="AF16" s="36"/>
    </row>
    <row r="17" spans="5:35" s="7" customFormat="1" ht="15.75" customHeight="1">
      <c r="Y17" s="36" t="s">
        <v>37</v>
      </c>
      <c r="Z17" s="36"/>
      <c r="AA17" s="6" t="s">
        <v>35</v>
      </c>
      <c r="AB17" s="36" t="s">
        <v>39</v>
      </c>
      <c r="AC17" s="36"/>
      <c r="AD17" s="6" t="s">
        <v>2</v>
      </c>
      <c r="AE17" s="36" t="s">
        <v>40</v>
      </c>
      <c r="AF17" s="36"/>
    </row>
    <row r="18" spans="5:35" s="7" customFormat="1" ht="15.75" customHeight="1">
      <c r="J18" s="16" t="s">
        <v>42</v>
      </c>
      <c r="W18" s="36" t="s">
        <v>40</v>
      </c>
      <c r="X18" s="36"/>
      <c r="Y18" s="6" t="s">
        <v>3</v>
      </c>
      <c r="Z18" s="7" t="s">
        <v>41</v>
      </c>
    </row>
    <row r="19" spans="5:35" s="7" customFormat="1" ht="15.75" customHeight="1"/>
    <row r="20" spans="5:35" s="7" customFormat="1" ht="15.75" customHeight="1"/>
    <row r="21" spans="5:35" s="7" customFormat="1" ht="15.75" customHeight="1">
      <c r="E21" s="92" t="s">
        <v>211</v>
      </c>
      <c r="F21" s="92"/>
      <c r="G21" s="92"/>
      <c r="H21" s="92"/>
      <c r="I21" s="92"/>
      <c r="J21" s="92"/>
      <c r="K21" s="92"/>
      <c r="L21" s="92"/>
      <c r="M21" s="92"/>
      <c r="N21" s="92"/>
      <c r="O21" s="92"/>
      <c r="P21" s="92"/>
      <c r="Q21" s="92"/>
      <c r="R21" s="92"/>
      <c r="S21" s="92"/>
      <c r="T21" s="92"/>
    </row>
    <row r="22" spans="5:35" s="7" customFormat="1" ht="15.75" customHeight="1"/>
    <row r="23" spans="5:35" s="7" customFormat="1" ht="15.75" customHeight="1"/>
    <row r="24" spans="5:35" s="7" customFormat="1" ht="15.75" customHeight="1">
      <c r="U24" s="65" t="s">
        <v>215</v>
      </c>
      <c r="V24" s="65"/>
      <c r="W24" s="65"/>
      <c r="X24" s="65"/>
      <c r="Y24" s="65"/>
      <c r="Z24" s="65"/>
      <c r="AA24" s="65"/>
      <c r="AB24" s="65"/>
      <c r="AC24" s="65"/>
      <c r="AD24" s="65"/>
      <c r="AE24" s="65"/>
      <c r="AF24" s="65"/>
      <c r="AG24" s="65"/>
      <c r="AH24" s="65"/>
      <c r="AI24" s="65"/>
    </row>
    <row r="25" spans="5:35" s="7" customFormat="1" ht="15.75" customHeight="1">
      <c r="U25" s="60" t="s">
        <v>31</v>
      </c>
      <c r="V25" s="60"/>
      <c r="W25" s="60"/>
      <c r="X25" s="60"/>
      <c r="Y25" s="60"/>
      <c r="Z25" s="60"/>
      <c r="AA25" s="60"/>
      <c r="AB25" s="60" t="s">
        <v>43</v>
      </c>
      <c r="AC25" s="60"/>
      <c r="AD25" s="60"/>
      <c r="AE25" s="60"/>
      <c r="AF25" s="60" t="s">
        <v>44</v>
      </c>
      <c r="AG25" s="60"/>
      <c r="AH25" s="60"/>
      <c r="AI25" s="60"/>
    </row>
    <row r="26" spans="5:35" s="7" customFormat="1" ht="15.75" customHeight="1">
      <c r="U26" s="60" t="s">
        <v>32</v>
      </c>
      <c r="V26" s="60"/>
      <c r="W26" s="60"/>
      <c r="X26" s="60"/>
      <c r="Y26" s="60"/>
      <c r="Z26" s="60"/>
      <c r="AA26" s="60"/>
      <c r="AB26" s="60">
        <v>1.2</v>
      </c>
      <c r="AC26" s="60"/>
      <c r="AD26" s="60"/>
      <c r="AE26" s="60"/>
      <c r="AF26" s="60">
        <v>1.4</v>
      </c>
      <c r="AG26" s="60"/>
      <c r="AH26" s="60"/>
      <c r="AI26" s="60"/>
    </row>
    <row r="27" spans="5:35" s="7" customFormat="1" ht="15.75" customHeight="1">
      <c r="Y27" s="93" t="s">
        <v>45</v>
      </c>
      <c r="Z27" s="93"/>
      <c r="AA27" s="6" t="s">
        <v>35</v>
      </c>
      <c r="AB27" s="93" t="s">
        <v>47</v>
      </c>
      <c r="AC27" s="93"/>
      <c r="AD27" s="6" t="s">
        <v>2</v>
      </c>
      <c r="AE27" s="36" t="s">
        <v>49</v>
      </c>
      <c r="AF27" s="36"/>
    </row>
    <row r="28" spans="5:35" s="7" customFormat="1" ht="15.75" customHeight="1">
      <c r="Y28" s="36" t="s">
        <v>46</v>
      </c>
      <c r="Z28" s="36"/>
      <c r="AA28" s="6" t="s">
        <v>35</v>
      </c>
      <c r="AB28" s="36" t="s">
        <v>48</v>
      </c>
      <c r="AC28" s="36"/>
      <c r="AD28" s="6" t="s">
        <v>2</v>
      </c>
      <c r="AE28" s="36" t="s">
        <v>49</v>
      </c>
      <c r="AF28" s="36"/>
    </row>
    <row r="29" spans="5:35" s="7" customFormat="1" ht="15.75" customHeight="1">
      <c r="J29" s="16" t="s">
        <v>51</v>
      </c>
      <c r="W29" s="36" t="s">
        <v>49</v>
      </c>
      <c r="X29" s="36"/>
      <c r="Y29" s="6" t="s">
        <v>3</v>
      </c>
      <c r="Z29" s="7" t="s">
        <v>50</v>
      </c>
    </row>
    <row r="30" spans="5:35" s="7" customFormat="1" ht="15.75" customHeight="1"/>
    <row r="31" spans="5:35" s="7" customFormat="1" ht="15.75" customHeight="1"/>
    <row r="32" spans="5:35" s="7" customFormat="1" ht="15.75" customHeight="1">
      <c r="E32" s="92" t="s">
        <v>212</v>
      </c>
      <c r="F32" s="92"/>
      <c r="G32" s="92"/>
      <c r="H32" s="92"/>
      <c r="I32" s="92"/>
      <c r="J32" s="92"/>
      <c r="K32" s="92"/>
      <c r="L32" s="92"/>
      <c r="M32" s="92"/>
      <c r="N32" s="92"/>
      <c r="O32" s="92"/>
      <c r="P32" s="92"/>
      <c r="Q32" s="92"/>
      <c r="R32" s="92"/>
      <c r="S32" s="92"/>
      <c r="T32" s="92"/>
    </row>
    <row r="33" spans="4:20" s="7" customFormat="1" ht="15.75" customHeight="1"/>
    <row r="34" spans="4:20" s="7" customFormat="1" ht="15.75" customHeight="1"/>
    <row r="35" spans="4:20" s="7" customFormat="1" ht="15.75" customHeight="1"/>
    <row r="36" spans="4:20" s="7" customFormat="1" ht="15.75" customHeight="1"/>
    <row r="37" spans="4:20" s="7" customFormat="1" ht="15.75" customHeight="1"/>
    <row r="38" spans="4:20" s="7" customFormat="1" ht="15.75" customHeight="1"/>
    <row r="39" spans="4:20" s="7" customFormat="1" ht="15.75" customHeight="1"/>
    <row r="40" spans="4:20" s="7" customFormat="1" ht="15.75" customHeight="1">
      <c r="J40" s="16" t="s">
        <v>52</v>
      </c>
    </row>
    <row r="41" spans="4:20" s="7" customFormat="1" ht="15.75" customHeight="1"/>
    <row r="42" spans="4:20" s="7" customFormat="1" ht="15.75" customHeight="1"/>
    <row r="43" spans="4:20" s="7" customFormat="1" ht="15.75" customHeight="1">
      <c r="E43" s="92" t="s">
        <v>213</v>
      </c>
      <c r="F43" s="92"/>
      <c r="G43" s="92"/>
      <c r="H43" s="92"/>
      <c r="I43" s="92"/>
      <c r="J43" s="92"/>
      <c r="K43" s="92"/>
      <c r="L43" s="92"/>
      <c r="M43" s="92"/>
      <c r="N43" s="92"/>
      <c r="O43" s="92"/>
      <c r="P43" s="92"/>
      <c r="Q43" s="92"/>
      <c r="R43" s="92"/>
      <c r="S43" s="92"/>
      <c r="T43" s="92"/>
    </row>
    <row r="44" spans="4:20" s="7" customFormat="1" ht="15.75" customHeight="1"/>
    <row r="45" spans="4:20" s="7" customFormat="1" ht="15.75" customHeight="1"/>
    <row r="46" spans="4:20" s="7" customFormat="1" ht="15.75" customHeight="1"/>
    <row r="47" spans="4:20" s="7" customFormat="1" ht="15.75" customHeight="1"/>
    <row r="48" spans="4:20" ht="15.75" customHeight="1">
      <c r="D48" s="7" t="s">
        <v>53</v>
      </c>
      <c r="M48" s="13"/>
    </row>
    <row r="49" spans="4:36" s="7" customFormat="1" ht="15.75" customHeight="1"/>
    <row r="50" spans="4:36" s="7" customFormat="1" ht="15.75" customHeight="1">
      <c r="F50" s="7" t="s">
        <v>216</v>
      </c>
    </row>
    <row r="51" spans="4:36" s="7" customFormat="1" ht="15.75" customHeight="1">
      <c r="F51" s="7" t="s">
        <v>54</v>
      </c>
    </row>
    <row r="52" spans="4:36" s="7" customFormat="1" ht="15.75" customHeight="1"/>
    <row r="53" spans="4:36" s="7" customFormat="1" ht="15.75" customHeight="1">
      <c r="D53" s="75" t="s">
        <v>217</v>
      </c>
      <c r="E53" s="75"/>
      <c r="F53" s="75"/>
      <c r="G53" s="75"/>
      <c r="H53" s="75"/>
      <c r="I53" s="75"/>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row>
    <row r="54" spans="4:36" s="7" customFormat="1" ht="15.75" customHeight="1">
      <c r="D54" s="59" t="s">
        <v>68</v>
      </c>
      <c r="E54" s="60"/>
      <c r="F54" s="60"/>
      <c r="G54" s="60"/>
      <c r="H54" s="60" t="s">
        <v>59</v>
      </c>
      <c r="I54" s="60"/>
      <c r="J54" s="60"/>
      <c r="K54" s="60"/>
      <c r="L54" s="60"/>
      <c r="M54" s="60"/>
      <c r="N54" s="60"/>
      <c r="O54" s="60"/>
      <c r="P54" s="60"/>
      <c r="Q54" s="60" t="s">
        <v>60</v>
      </c>
      <c r="R54" s="60"/>
      <c r="S54" s="60"/>
      <c r="T54" s="60"/>
      <c r="U54" s="60"/>
      <c r="V54" s="60"/>
      <c r="W54" s="60"/>
      <c r="X54" s="60"/>
      <c r="Y54" s="60"/>
      <c r="Z54" s="89" t="s">
        <v>64</v>
      </c>
      <c r="AA54" s="89"/>
      <c r="AB54" s="89"/>
      <c r="AC54" s="89"/>
      <c r="AD54" s="89"/>
      <c r="AE54" s="89"/>
      <c r="AF54" s="89"/>
      <c r="AG54" s="89"/>
      <c r="AH54" s="90"/>
      <c r="AI54" s="17"/>
      <c r="AJ54" s="17"/>
    </row>
    <row r="55" spans="4:36" s="7" customFormat="1" ht="15.75" customHeight="1">
      <c r="D55" s="59"/>
      <c r="E55" s="60"/>
      <c r="F55" s="60"/>
      <c r="G55" s="60"/>
      <c r="H55" s="60"/>
      <c r="I55" s="60"/>
      <c r="J55" s="60"/>
      <c r="K55" s="60"/>
      <c r="L55" s="60"/>
      <c r="M55" s="60"/>
      <c r="N55" s="60"/>
      <c r="O55" s="60"/>
      <c r="P55" s="60"/>
      <c r="Q55" s="60"/>
      <c r="R55" s="60"/>
      <c r="S55" s="60"/>
      <c r="T55" s="60"/>
      <c r="U55" s="60"/>
      <c r="V55" s="60"/>
      <c r="W55" s="60"/>
      <c r="X55" s="60"/>
      <c r="Y55" s="60"/>
      <c r="Z55" s="89"/>
      <c r="AA55" s="89"/>
      <c r="AB55" s="89"/>
      <c r="AC55" s="89"/>
      <c r="AD55" s="89"/>
      <c r="AE55" s="89"/>
      <c r="AF55" s="89"/>
      <c r="AG55" s="89"/>
      <c r="AH55" s="90"/>
      <c r="AI55" s="17"/>
      <c r="AJ55" s="17"/>
    </row>
    <row r="56" spans="4:36" s="7" customFormat="1" ht="15.75" customHeight="1">
      <c r="D56" s="59" t="s">
        <v>55</v>
      </c>
      <c r="E56" s="60"/>
      <c r="F56" s="60"/>
      <c r="G56" s="60"/>
      <c r="H56" s="82" t="s">
        <v>57</v>
      </c>
      <c r="I56" s="82"/>
      <c r="J56" s="82"/>
      <c r="K56" s="82"/>
      <c r="L56" s="82"/>
      <c r="M56" s="82"/>
      <c r="N56" s="82"/>
      <c r="O56" s="82"/>
      <c r="P56" s="82"/>
      <c r="Q56" s="60" t="s">
        <v>58</v>
      </c>
      <c r="R56" s="60"/>
      <c r="S56" s="60"/>
      <c r="T56" s="60"/>
      <c r="U56" s="60"/>
      <c r="V56" s="60"/>
      <c r="W56" s="60"/>
      <c r="X56" s="60"/>
      <c r="Y56" s="60"/>
      <c r="Z56" s="60" t="s">
        <v>78</v>
      </c>
      <c r="AA56" s="60"/>
      <c r="AB56" s="60"/>
      <c r="AC56" s="60"/>
      <c r="AD56" s="60"/>
      <c r="AE56" s="60"/>
      <c r="AF56" s="60"/>
      <c r="AG56" s="60"/>
      <c r="AH56" s="62"/>
      <c r="AI56" s="2"/>
      <c r="AJ56" s="2"/>
    </row>
    <row r="57" spans="4:36" s="7" customFormat="1" ht="15.75" customHeight="1">
      <c r="D57" s="59"/>
      <c r="E57" s="60"/>
      <c r="F57" s="60"/>
      <c r="G57" s="60"/>
      <c r="H57" s="82"/>
      <c r="I57" s="82"/>
      <c r="J57" s="82"/>
      <c r="K57" s="82"/>
      <c r="L57" s="82"/>
      <c r="M57" s="82"/>
      <c r="N57" s="82"/>
      <c r="O57" s="82"/>
      <c r="P57" s="82"/>
      <c r="Q57" s="60"/>
      <c r="R57" s="60"/>
      <c r="S57" s="60"/>
      <c r="T57" s="60"/>
      <c r="U57" s="60"/>
      <c r="V57" s="60"/>
      <c r="W57" s="60"/>
      <c r="X57" s="60"/>
      <c r="Y57" s="60"/>
      <c r="Z57" s="60"/>
      <c r="AA57" s="60"/>
      <c r="AB57" s="60"/>
      <c r="AC57" s="60"/>
      <c r="AD57" s="60"/>
      <c r="AE57" s="60"/>
      <c r="AF57" s="60"/>
      <c r="AG57" s="60"/>
      <c r="AH57" s="62"/>
      <c r="AI57" s="2"/>
      <c r="AJ57" s="2"/>
    </row>
    <row r="58" spans="4:36" s="7" customFormat="1" ht="15.75" customHeight="1">
      <c r="D58" s="59" t="s">
        <v>56</v>
      </c>
      <c r="E58" s="60"/>
      <c r="F58" s="60"/>
      <c r="G58" s="60"/>
      <c r="H58" s="72" t="s">
        <v>61</v>
      </c>
      <c r="I58" s="60"/>
      <c r="J58" s="60"/>
      <c r="K58" s="60"/>
      <c r="L58" s="60"/>
      <c r="M58" s="60"/>
      <c r="N58" s="60"/>
      <c r="O58" s="60"/>
      <c r="P58" s="60"/>
      <c r="Q58" s="72" t="s">
        <v>63</v>
      </c>
      <c r="R58" s="60"/>
      <c r="S58" s="60"/>
      <c r="T58" s="60"/>
      <c r="U58" s="60"/>
      <c r="V58" s="60"/>
      <c r="W58" s="60"/>
      <c r="X58" s="60"/>
      <c r="Y58" s="60"/>
      <c r="Z58" s="72" t="s">
        <v>66</v>
      </c>
      <c r="AA58" s="60"/>
      <c r="AB58" s="60"/>
      <c r="AC58" s="60"/>
      <c r="AD58" s="60"/>
      <c r="AE58" s="60"/>
      <c r="AF58" s="60"/>
      <c r="AG58" s="60"/>
      <c r="AH58" s="62"/>
      <c r="AI58" s="2"/>
      <c r="AJ58" s="2"/>
    </row>
    <row r="59" spans="4:36" s="7" customFormat="1" ht="15.75" customHeight="1">
      <c r="D59" s="59"/>
      <c r="E59" s="60"/>
      <c r="F59" s="60"/>
      <c r="G59" s="60"/>
      <c r="H59" s="60"/>
      <c r="I59" s="60"/>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2"/>
      <c r="AI59" s="2"/>
      <c r="AJ59" s="2"/>
    </row>
    <row r="60" spans="4:36" s="7" customFormat="1" ht="15.75" customHeight="1">
      <c r="D60" s="59"/>
      <c r="E60" s="60"/>
      <c r="F60" s="60"/>
      <c r="G60" s="60"/>
      <c r="H60" s="72" t="s">
        <v>62</v>
      </c>
      <c r="I60" s="60"/>
      <c r="J60" s="60"/>
      <c r="K60" s="60"/>
      <c r="L60" s="60"/>
      <c r="M60" s="60"/>
      <c r="N60" s="60"/>
      <c r="O60" s="60"/>
      <c r="P60" s="60"/>
      <c r="Q60" s="72" t="s">
        <v>65</v>
      </c>
      <c r="R60" s="60"/>
      <c r="S60" s="60"/>
      <c r="T60" s="60"/>
      <c r="U60" s="60"/>
      <c r="V60" s="60"/>
      <c r="W60" s="60"/>
      <c r="X60" s="60"/>
      <c r="Y60" s="60"/>
      <c r="Z60" s="72" t="s">
        <v>67</v>
      </c>
      <c r="AA60" s="60"/>
      <c r="AB60" s="60"/>
      <c r="AC60" s="60"/>
      <c r="AD60" s="60"/>
      <c r="AE60" s="60"/>
      <c r="AF60" s="60"/>
      <c r="AG60" s="60"/>
      <c r="AH60" s="62"/>
      <c r="AI60" s="2"/>
      <c r="AJ60" s="2"/>
    </row>
    <row r="61" spans="4:36" s="7" customFormat="1" ht="15.75" customHeight="1">
      <c r="D61" s="59"/>
      <c r="E61" s="60"/>
      <c r="F61" s="60"/>
      <c r="G61" s="60"/>
      <c r="H61" s="60"/>
      <c r="I61" s="60"/>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2"/>
      <c r="AI61" s="2"/>
      <c r="AJ61" s="2"/>
    </row>
    <row r="62" spans="4:36" s="7" customFormat="1" ht="15.75" customHeight="1">
      <c r="H62" s="7" t="s">
        <v>79</v>
      </c>
    </row>
    <row r="63" spans="4:36" s="7" customFormat="1" ht="15.75" customHeight="1"/>
    <row r="64" spans="4:36" s="7" customFormat="1" ht="15.75" customHeight="1"/>
    <row r="65" spans="4:36" ht="15.75" customHeight="1">
      <c r="D65" s="5" t="s">
        <v>69</v>
      </c>
    </row>
    <row r="67" spans="4:36" ht="15.75" customHeight="1">
      <c r="D67" s="7" t="s">
        <v>70</v>
      </c>
      <c r="M67" s="13"/>
    </row>
    <row r="68" spans="4:36" s="7" customFormat="1" ht="15.75" customHeight="1"/>
    <row r="69" spans="4:36" s="7" customFormat="1" ht="15.75" customHeight="1">
      <c r="F69" s="7" t="s">
        <v>218</v>
      </c>
    </row>
    <row r="70" spans="4:36" s="7" customFormat="1" ht="15.75" customHeight="1"/>
    <row r="71" spans="4:36" s="7" customFormat="1" ht="15.75" customHeight="1">
      <c r="F71" s="75" t="s">
        <v>219</v>
      </c>
      <c r="G71" s="75"/>
      <c r="H71" s="75"/>
      <c r="I71" s="75"/>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18"/>
      <c r="AI71" s="18"/>
      <c r="AJ71" s="18"/>
    </row>
    <row r="72" spans="4:36" s="7" customFormat="1" ht="15.75" customHeight="1">
      <c r="F72" s="59" t="s">
        <v>71</v>
      </c>
      <c r="G72" s="60"/>
      <c r="H72" s="60"/>
      <c r="I72" s="60"/>
      <c r="J72" s="60"/>
      <c r="K72" s="60"/>
      <c r="L72" s="60" t="s">
        <v>76</v>
      </c>
      <c r="M72" s="60"/>
      <c r="N72" s="60"/>
      <c r="O72" s="60"/>
      <c r="P72" s="60"/>
      <c r="Q72" s="60"/>
      <c r="R72" s="60"/>
      <c r="S72" s="60"/>
      <c r="T72" s="60" t="s">
        <v>77</v>
      </c>
      <c r="U72" s="60"/>
      <c r="V72" s="60"/>
      <c r="W72" s="60"/>
      <c r="X72" s="60"/>
      <c r="Y72" s="60"/>
      <c r="Z72" s="60"/>
      <c r="AA72" s="60"/>
      <c r="AB72" s="60"/>
      <c r="AC72" s="60"/>
      <c r="AD72" s="60"/>
      <c r="AE72" s="60"/>
      <c r="AF72" s="60"/>
      <c r="AG72" s="62"/>
    </row>
    <row r="73" spans="4:36" s="7" customFormat="1" ht="15.75" customHeight="1">
      <c r="F73" s="59" t="s">
        <v>72</v>
      </c>
      <c r="G73" s="60"/>
      <c r="H73" s="60"/>
      <c r="I73" s="60"/>
      <c r="J73" s="60"/>
      <c r="K73" s="60"/>
      <c r="L73" s="60" t="s">
        <v>74</v>
      </c>
      <c r="M73" s="60"/>
      <c r="N73" s="60"/>
      <c r="O73" s="60"/>
      <c r="P73" s="60"/>
      <c r="Q73" s="60"/>
      <c r="R73" s="60"/>
      <c r="S73" s="60"/>
      <c r="T73" s="85">
        <v>1</v>
      </c>
      <c r="U73" s="85"/>
      <c r="V73" s="85"/>
      <c r="W73" s="85"/>
      <c r="X73" s="85"/>
      <c r="Y73" s="85"/>
      <c r="Z73" s="85"/>
      <c r="AA73" s="85"/>
      <c r="AB73" s="85"/>
      <c r="AC73" s="85"/>
      <c r="AD73" s="85"/>
      <c r="AE73" s="85"/>
      <c r="AF73" s="85"/>
      <c r="AG73" s="91"/>
    </row>
    <row r="74" spans="4:36" s="7" customFormat="1" ht="15.75" customHeight="1">
      <c r="F74" s="59" t="s">
        <v>73</v>
      </c>
      <c r="G74" s="60"/>
      <c r="H74" s="60"/>
      <c r="I74" s="60"/>
      <c r="J74" s="60"/>
      <c r="K74" s="60"/>
      <c r="L74" s="60" t="s">
        <v>75</v>
      </c>
      <c r="M74" s="60"/>
      <c r="N74" s="60"/>
      <c r="O74" s="60"/>
      <c r="P74" s="60"/>
      <c r="Q74" s="60"/>
      <c r="R74" s="60"/>
      <c r="S74" s="60"/>
      <c r="T74" s="60">
        <v>0.5</v>
      </c>
      <c r="U74" s="60"/>
      <c r="V74" s="60"/>
      <c r="W74" s="60"/>
      <c r="X74" s="60"/>
      <c r="Y74" s="60"/>
      <c r="Z74" s="60"/>
      <c r="AA74" s="60"/>
      <c r="AB74" s="60"/>
      <c r="AC74" s="60"/>
      <c r="AD74" s="60"/>
      <c r="AE74" s="60"/>
      <c r="AF74" s="60"/>
      <c r="AG74" s="62"/>
    </row>
    <row r="75" spans="4:36" s="7" customFormat="1" ht="15.75" customHeight="1">
      <c r="J75" s="7" t="s">
        <v>80</v>
      </c>
    </row>
    <row r="76" spans="4:36" s="7" customFormat="1" ht="15.75" customHeight="1"/>
    <row r="77" spans="4:36" s="7" customFormat="1" ht="15.75" customHeight="1"/>
    <row r="78" spans="4:36" ht="15.75" customHeight="1">
      <c r="D78" s="7" t="s">
        <v>82</v>
      </c>
      <c r="M78" s="13"/>
    </row>
    <row r="79" spans="4:36" s="7" customFormat="1" ht="15.75" customHeight="1"/>
    <row r="80" spans="4:36" s="7" customFormat="1" ht="15.75" customHeight="1">
      <c r="F80" s="7" t="s">
        <v>220</v>
      </c>
    </row>
    <row r="81" spans="6:35" s="7" customFormat="1" ht="15.75" customHeight="1">
      <c r="F81" s="7" t="s">
        <v>81</v>
      </c>
    </row>
    <row r="82" spans="6:35" s="7" customFormat="1" ht="15.75" customHeight="1"/>
    <row r="83" spans="6:35" s="7" customFormat="1" ht="15.75" customHeight="1">
      <c r="F83" s="36" t="s">
        <v>83</v>
      </c>
      <c r="G83" s="36"/>
      <c r="H83" s="6" t="s">
        <v>35</v>
      </c>
      <c r="I83" s="36">
        <v>1.4</v>
      </c>
      <c r="J83" s="36"/>
      <c r="K83" s="36" t="s">
        <v>84</v>
      </c>
      <c r="L83" s="36"/>
      <c r="M83" s="36" t="s">
        <v>85</v>
      </c>
      <c r="N83" s="36"/>
      <c r="O83" s="6" t="s">
        <v>86</v>
      </c>
      <c r="P83" s="87">
        <v>-0.75</v>
      </c>
      <c r="Q83" s="87"/>
    </row>
    <row r="84" spans="6:35" s="7" customFormat="1" ht="15.75" customHeight="1"/>
    <row r="85" spans="6:35" s="7" customFormat="1" ht="15.75" customHeight="1">
      <c r="G85" s="7" t="s">
        <v>87</v>
      </c>
      <c r="J85" s="36" t="s">
        <v>83</v>
      </c>
      <c r="K85" s="36"/>
      <c r="L85" s="6" t="s">
        <v>3</v>
      </c>
      <c r="M85" s="7" t="s">
        <v>88</v>
      </c>
    </row>
    <row r="86" spans="6:35" s="7" customFormat="1" ht="15.75" customHeight="1">
      <c r="J86" s="36" t="s">
        <v>84</v>
      </c>
      <c r="K86" s="36"/>
      <c r="L86" s="6" t="s">
        <v>3</v>
      </c>
      <c r="M86" s="7" t="s">
        <v>98</v>
      </c>
    </row>
    <row r="87" spans="6:35" s="7" customFormat="1" ht="15.75" customHeight="1">
      <c r="J87" s="36" t="s">
        <v>85</v>
      </c>
      <c r="K87" s="36"/>
      <c r="L87" s="6" t="s">
        <v>3</v>
      </c>
      <c r="M87" s="7" t="s">
        <v>91</v>
      </c>
    </row>
    <row r="88" spans="6:35" s="7" customFormat="1" ht="15.75" customHeight="1">
      <c r="J88" s="36" t="s">
        <v>86</v>
      </c>
      <c r="K88" s="36"/>
      <c r="L88" s="6" t="s">
        <v>3</v>
      </c>
      <c r="M88" s="7" t="s">
        <v>89</v>
      </c>
    </row>
    <row r="89" spans="6:35" s="7" customFormat="1" ht="15.75" customHeight="1"/>
    <row r="90" spans="6:35" s="7" customFormat="1" ht="15.75" customHeight="1">
      <c r="H90" s="75" t="s">
        <v>221</v>
      </c>
      <c r="I90" s="75"/>
      <c r="J90" s="75"/>
      <c r="K90" s="75"/>
      <c r="L90" s="75"/>
      <c r="M90" s="75"/>
      <c r="N90" s="75"/>
      <c r="O90" s="75"/>
      <c r="P90" s="75"/>
      <c r="Q90" s="75"/>
      <c r="R90" s="75"/>
      <c r="S90" s="75"/>
      <c r="T90" s="75"/>
      <c r="U90" s="75"/>
      <c r="V90" s="75"/>
      <c r="W90" s="75"/>
      <c r="X90" s="75"/>
      <c r="Y90" s="75"/>
      <c r="Z90" s="75"/>
      <c r="AA90" s="75"/>
      <c r="AB90" s="75"/>
      <c r="AC90" s="18"/>
      <c r="AD90" s="18"/>
      <c r="AE90" s="18"/>
      <c r="AF90" s="18"/>
      <c r="AG90" s="18"/>
      <c r="AH90" s="18"/>
      <c r="AI90" s="18"/>
    </row>
    <row r="91" spans="6:35" s="7" customFormat="1" ht="15.75" customHeight="1">
      <c r="H91" s="59" t="s">
        <v>90</v>
      </c>
      <c r="I91" s="60"/>
      <c r="J91" s="60"/>
      <c r="K91" s="60" t="s">
        <v>92</v>
      </c>
      <c r="L91" s="60"/>
      <c r="M91" s="60"/>
      <c r="N91" s="60"/>
      <c r="O91" s="60"/>
      <c r="P91" s="60"/>
      <c r="Q91" s="60" t="s">
        <v>93</v>
      </c>
      <c r="R91" s="60"/>
      <c r="S91" s="60"/>
      <c r="T91" s="60"/>
      <c r="U91" s="60"/>
      <c r="V91" s="60"/>
      <c r="W91" s="60" t="s">
        <v>94</v>
      </c>
      <c r="X91" s="60"/>
      <c r="Y91" s="60"/>
      <c r="Z91" s="60"/>
      <c r="AA91" s="60"/>
      <c r="AB91" s="62"/>
    </row>
    <row r="92" spans="6:35" s="7" customFormat="1" ht="15.75" customHeight="1">
      <c r="H92" s="88">
        <v>0.5</v>
      </c>
      <c r="I92" s="85"/>
      <c r="J92" s="85"/>
      <c r="K92" s="60">
        <f>入力!AR4</f>
        <v>76923</v>
      </c>
      <c r="L92" s="60"/>
      <c r="M92" s="60"/>
      <c r="N92" s="60"/>
      <c r="O92" s="60"/>
      <c r="P92" s="60"/>
      <c r="Q92" s="74">
        <f>入力!AL8</f>
        <v>1.3</v>
      </c>
      <c r="R92" s="74"/>
      <c r="S92" s="74"/>
      <c r="T92" s="74"/>
      <c r="U92" s="74"/>
      <c r="V92" s="74"/>
      <c r="W92" s="60">
        <f>ROUND(I83*H92*K92*Q92^P83,0)</f>
        <v>44228</v>
      </c>
      <c r="X92" s="60"/>
      <c r="Y92" s="60"/>
      <c r="Z92" s="60"/>
      <c r="AA92" s="60"/>
      <c r="AB92" s="62"/>
    </row>
    <row r="93" spans="6:35" s="7" customFormat="1" ht="15.75" customHeight="1"/>
    <row r="94" spans="6:35" s="7" customFormat="1" ht="15.75" customHeight="1">
      <c r="H94" s="75" t="s">
        <v>222</v>
      </c>
      <c r="I94" s="75"/>
      <c r="J94" s="75"/>
      <c r="K94" s="75"/>
      <c r="L94" s="75"/>
      <c r="M94" s="75"/>
      <c r="N94" s="75"/>
      <c r="O94" s="75"/>
      <c r="P94" s="75"/>
      <c r="Q94" s="75"/>
      <c r="R94" s="75"/>
      <c r="S94" s="75"/>
      <c r="T94" s="75"/>
      <c r="U94" s="75"/>
      <c r="V94" s="75"/>
      <c r="W94" s="75"/>
      <c r="X94" s="75"/>
      <c r="Y94" s="75"/>
      <c r="Z94" s="75"/>
      <c r="AA94" s="75"/>
      <c r="AB94" s="75"/>
    </row>
    <row r="95" spans="6:35" s="7" customFormat="1" ht="15.75" customHeight="1">
      <c r="H95" s="59" t="s">
        <v>90</v>
      </c>
      <c r="I95" s="60"/>
      <c r="J95" s="60"/>
      <c r="K95" s="60" t="s">
        <v>92</v>
      </c>
      <c r="L95" s="60"/>
      <c r="M95" s="60"/>
      <c r="N95" s="60"/>
      <c r="O95" s="60"/>
      <c r="P95" s="60"/>
      <c r="Q95" s="60" t="s">
        <v>93</v>
      </c>
      <c r="R95" s="60"/>
      <c r="S95" s="60"/>
      <c r="T95" s="60"/>
      <c r="U95" s="60"/>
      <c r="V95" s="60"/>
      <c r="W95" s="60" t="s">
        <v>94</v>
      </c>
      <c r="X95" s="60"/>
      <c r="Y95" s="60"/>
      <c r="Z95" s="60"/>
      <c r="AA95" s="60"/>
      <c r="AB95" s="62"/>
    </row>
    <row r="96" spans="6:35" s="7" customFormat="1" ht="15.75" customHeight="1">
      <c r="H96" s="88">
        <v>1</v>
      </c>
      <c r="I96" s="85"/>
      <c r="J96" s="85"/>
      <c r="K96" s="60">
        <f>K92</f>
        <v>76923</v>
      </c>
      <c r="L96" s="60"/>
      <c r="M96" s="60"/>
      <c r="N96" s="60"/>
      <c r="O96" s="60"/>
      <c r="P96" s="60"/>
      <c r="Q96" s="74">
        <f>Q92</f>
        <v>1.3</v>
      </c>
      <c r="R96" s="74"/>
      <c r="S96" s="74"/>
      <c r="T96" s="74"/>
      <c r="U96" s="74"/>
      <c r="V96" s="74"/>
      <c r="W96" s="60">
        <f>ROUND(I83*H96*K96*Q96^P83,0)</f>
        <v>88456</v>
      </c>
      <c r="X96" s="60"/>
      <c r="Y96" s="60"/>
      <c r="Z96" s="60"/>
      <c r="AA96" s="60"/>
      <c r="AB96" s="62"/>
    </row>
    <row r="97" spans="4:35" s="7" customFormat="1" ht="15.75" customHeight="1">
      <c r="H97" s="4"/>
      <c r="I97" s="4"/>
      <c r="J97" s="4"/>
      <c r="K97" s="1"/>
      <c r="L97" s="1"/>
      <c r="M97" s="1"/>
      <c r="N97" s="1"/>
      <c r="O97" s="1"/>
      <c r="P97" s="1"/>
      <c r="Q97" s="19"/>
      <c r="R97" s="19"/>
      <c r="S97" s="19"/>
      <c r="T97" s="19"/>
      <c r="U97" s="19"/>
      <c r="V97" s="19"/>
      <c r="W97" s="1"/>
      <c r="X97" s="1"/>
      <c r="Y97" s="1"/>
      <c r="Z97" s="1"/>
      <c r="AA97" s="1"/>
      <c r="AB97" s="1"/>
    </row>
    <row r="98" spans="4:35" ht="15.75" customHeight="1">
      <c r="D98" s="7" t="s">
        <v>95</v>
      </c>
      <c r="M98" s="13"/>
    </row>
    <row r="99" spans="4:35" s="7" customFormat="1" ht="15.75" customHeight="1"/>
    <row r="100" spans="4:35" s="7" customFormat="1" ht="15.75" customHeight="1">
      <c r="F100" s="7" t="s">
        <v>223</v>
      </c>
    </row>
    <row r="101" spans="4:35" s="7" customFormat="1" ht="15.75" customHeight="1">
      <c r="F101" s="7" t="s">
        <v>96</v>
      </c>
    </row>
    <row r="102" spans="4:35" s="7" customFormat="1" ht="15.75" customHeight="1"/>
    <row r="103" spans="4:35" s="7" customFormat="1" ht="15.75" customHeight="1">
      <c r="F103" s="36" t="s">
        <v>97</v>
      </c>
      <c r="G103" s="36"/>
      <c r="H103" s="6" t="s">
        <v>35</v>
      </c>
      <c r="I103" s="36">
        <v>0.2</v>
      </c>
      <c r="J103" s="36"/>
      <c r="K103" s="36" t="s">
        <v>84</v>
      </c>
      <c r="L103" s="36"/>
      <c r="M103" s="36" t="s">
        <v>85</v>
      </c>
      <c r="N103" s="36"/>
    </row>
    <row r="104" spans="4:35" s="7" customFormat="1" ht="15.75" customHeight="1"/>
    <row r="105" spans="4:35" s="7" customFormat="1" ht="15.75" customHeight="1">
      <c r="G105" s="7" t="s">
        <v>87</v>
      </c>
      <c r="J105" s="36" t="s">
        <v>248</v>
      </c>
      <c r="K105" s="36"/>
      <c r="L105" s="6" t="s">
        <v>3</v>
      </c>
      <c r="M105" s="7" t="s">
        <v>224</v>
      </c>
    </row>
    <row r="106" spans="4:35" s="7" customFormat="1" ht="15.75" customHeight="1">
      <c r="J106" s="36" t="s">
        <v>84</v>
      </c>
      <c r="K106" s="36"/>
      <c r="L106" s="6" t="s">
        <v>3</v>
      </c>
      <c r="M106" s="7" t="s">
        <v>98</v>
      </c>
    </row>
    <row r="107" spans="4:35" s="7" customFormat="1" ht="15.75" customHeight="1">
      <c r="J107" s="36" t="s">
        <v>85</v>
      </c>
      <c r="K107" s="36"/>
      <c r="L107" s="6" t="s">
        <v>3</v>
      </c>
      <c r="M107" s="7" t="s">
        <v>91</v>
      </c>
    </row>
    <row r="108" spans="4:35" s="7" customFormat="1" ht="15.75" customHeight="1"/>
    <row r="109" spans="4:35" s="7" customFormat="1" ht="15.75" customHeight="1">
      <c r="H109" s="75" t="s">
        <v>225</v>
      </c>
      <c r="I109" s="75"/>
      <c r="J109" s="75"/>
      <c r="K109" s="75"/>
      <c r="L109" s="75"/>
      <c r="M109" s="75"/>
      <c r="N109" s="75"/>
      <c r="O109" s="75"/>
      <c r="P109" s="75"/>
      <c r="Q109" s="75"/>
      <c r="R109" s="75"/>
      <c r="S109" s="75"/>
      <c r="T109" s="75"/>
      <c r="U109" s="75"/>
      <c r="V109" s="75"/>
      <c r="W109" s="75"/>
      <c r="X109" s="75"/>
      <c r="Y109" s="75"/>
      <c r="Z109" s="18"/>
      <c r="AA109" s="18"/>
      <c r="AB109" s="18"/>
      <c r="AC109" s="18"/>
      <c r="AD109" s="18"/>
      <c r="AE109" s="18"/>
      <c r="AF109" s="18"/>
      <c r="AG109" s="18"/>
      <c r="AH109" s="18"/>
      <c r="AI109" s="18"/>
    </row>
    <row r="110" spans="4:35" s="7" customFormat="1" ht="15.75" customHeight="1">
      <c r="H110" s="86" t="s">
        <v>99</v>
      </c>
      <c r="I110" s="60"/>
      <c r="J110" s="60"/>
      <c r="K110" s="60" t="s">
        <v>90</v>
      </c>
      <c r="L110" s="60"/>
      <c r="M110" s="60"/>
      <c r="N110" s="60" t="s">
        <v>92</v>
      </c>
      <c r="O110" s="60"/>
      <c r="P110" s="60"/>
      <c r="Q110" s="60"/>
      <c r="R110" s="60"/>
      <c r="S110" s="60"/>
      <c r="T110" s="60" t="s">
        <v>249</v>
      </c>
      <c r="U110" s="60"/>
      <c r="V110" s="60"/>
      <c r="W110" s="60"/>
      <c r="X110" s="60"/>
      <c r="Y110" s="62"/>
    </row>
    <row r="111" spans="4:35" s="7" customFormat="1" ht="15.75" customHeight="1">
      <c r="H111" s="59"/>
      <c r="I111" s="60"/>
      <c r="J111" s="60"/>
      <c r="K111" s="60"/>
      <c r="L111" s="60"/>
      <c r="M111" s="60"/>
      <c r="N111" s="60"/>
      <c r="O111" s="60"/>
      <c r="P111" s="60"/>
      <c r="Q111" s="60"/>
      <c r="R111" s="60"/>
      <c r="S111" s="60"/>
      <c r="T111" s="60"/>
      <c r="U111" s="60"/>
      <c r="V111" s="60"/>
      <c r="W111" s="60"/>
      <c r="X111" s="60"/>
      <c r="Y111" s="62"/>
    </row>
    <row r="112" spans="4:35" s="7" customFormat="1" ht="15.75" customHeight="1">
      <c r="H112" s="59" t="str">
        <f>入力!A6</f>
        <v>表層</v>
      </c>
      <c r="I112" s="60"/>
      <c r="J112" s="60"/>
      <c r="K112" s="85">
        <f>H92</f>
        <v>0.5</v>
      </c>
      <c r="L112" s="85"/>
      <c r="M112" s="85"/>
      <c r="N112" s="60">
        <f>入力!AR4</f>
        <v>76923</v>
      </c>
      <c r="O112" s="60"/>
      <c r="P112" s="60"/>
      <c r="Q112" s="60"/>
      <c r="R112" s="60"/>
      <c r="S112" s="60"/>
      <c r="T112" s="60">
        <f>ROUND($I$103*$K$112*N112,0)</f>
        <v>7692</v>
      </c>
      <c r="U112" s="60"/>
      <c r="V112" s="60"/>
      <c r="W112" s="60"/>
      <c r="X112" s="60"/>
      <c r="Y112" s="62"/>
    </row>
    <row r="113" spans="4:35" s="7" customFormat="1" ht="15.75" customHeight="1"/>
    <row r="114" spans="4:35" s="7" customFormat="1" ht="15.75" customHeight="1">
      <c r="H114" s="75" t="s">
        <v>226</v>
      </c>
      <c r="I114" s="75"/>
      <c r="J114" s="75"/>
      <c r="K114" s="75"/>
      <c r="L114" s="75"/>
      <c r="M114" s="75"/>
      <c r="N114" s="75"/>
      <c r="O114" s="75"/>
      <c r="P114" s="75"/>
      <c r="Q114" s="75"/>
      <c r="R114" s="75"/>
      <c r="S114" s="75"/>
      <c r="T114" s="75"/>
      <c r="U114" s="75"/>
      <c r="V114" s="75"/>
      <c r="W114" s="75"/>
      <c r="X114" s="75"/>
      <c r="Y114" s="75"/>
      <c r="Z114" s="18"/>
      <c r="AA114" s="18"/>
      <c r="AB114" s="18"/>
      <c r="AC114" s="18"/>
      <c r="AD114" s="18"/>
      <c r="AE114" s="18"/>
      <c r="AF114" s="18"/>
      <c r="AG114" s="18"/>
      <c r="AH114" s="18"/>
      <c r="AI114" s="18"/>
    </row>
    <row r="115" spans="4:35" s="7" customFormat="1" ht="15.75" customHeight="1">
      <c r="H115" s="86" t="s">
        <v>99</v>
      </c>
      <c r="I115" s="60"/>
      <c r="J115" s="60"/>
      <c r="K115" s="60" t="s">
        <v>90</v>
      </c>
      <c r="L115" s="60"/>
      <c r="M115" s="60"/>
      <c r="N115" s="60" t="s">
        <v>92</v>
      </c>
      <c r="O115" s="60"/>
      <c r="P115" s="60"/>
      <c r="Q115" s="60"/>
      <c r="R115" s="60"/>
      <c r="S115" s="60"/>
      <c r="T115" s="60" t="s">
        <v>249</v>
      </c>
      <c r="U115" s="60"/>
      <c r="V115" s="60"/>
      <c r="W115" s="60"/>
      <c r="X115" s="60"/>
      <c r="Y115" s="62"/>
    </row>
    <row r="116" spans="4:35" s="7" customFormat="1" ht="15.75" customHeight="1">
      <c r="H116" s="59"/>
      <c r="I116" s="60"/>
      <c r="J116" s="60"/>
      <c r="K116" s="60"/>
      <c r="L116" s="60"/>
      <c r="M116" s="60"/>
      <c r="N116" s="60"/>
      <c r="O116" s="60"/>
      <c r="P116" s="60"/>
      <c r="Q116" s="60"/>
      <c r="R116" s="60"/>
      <c r="S116" s="60"/>
      <c r="T116" s="60"/>
      <c r="U116" s="60"/>
      <c r="V116" s="60"/>
      <c r="W116" s="60"/>
      <c r="X116" s="60"/>
      <c r="Y116" s="62"/>
    </row>
    <row r="117" spans="4:35" s="7" customFormat="1" ht="15.75" customHeight="1">
      <c r="H117" s="59" t="s">
        <v>100</v>
      </c>
      <c r="I117" s="60"/>
      <c r="J117" s="60"/>
      <c r="K117" s="85">
        <f>H96</f>
        <v>1</v>
      </c>
      <c r="L117" s="85"/>
      <c r="M117" s="85"/>
      <c r="N117" s="60">
        <f>N112</f>
        <v>76923</v>
      </c>
      <c r="O117" s="60"/>
      <c r="P117" s="60"/>
      <c r="Q117" s="60"/>
      <c r="R117" s="60"/>
      <c r="S117" s="60"/>
      <c r="T117" s="60">
        <f>ROUND($I$103*$K$117*N117,0)</f>
        <v>15385</v>
      </c>
      <c r="U117" s="60"/>
      <c r="V117" s="60"/>
      <c r="W117" s="60"/>
      <c r="X117" s="60"/>
      <c r="Y117" s="62"/>
    </row>
    <row r="118" spans="4:35" s="7" customFormat="1" ht="15.75" customHeight="1"/>
    <row r="119" spans="4:35" s="7" customFormat="1" ht="15.75" customHeight="1"/>
    <row r="120" spans="4:35" s="7" customFormat="1" ht="15.75" customHeight="1"/>
    <row r="121" spans="4:35" ht="15.75" customHeight="1">
      <c r="D121" s="7" t="s">
        <v>101</v>
      </c>
      <c r="M121" s="13"/>
    </row>
    <row r="122" spans="4:35" s="7" customFormat="1" ht="15.75" customHeight="1"/>
    <row r="123" spans="4:35" s="7" customFormat="1" ht="15.75" customHeight="1">
      <c r="E123" s="7" t="s">
        <v>102</v>
      </c>
      <c r="F123" s="7" t="s">
        <v>103</v>
      </c>
    </row>
    <row r="124" spans="4:35" s="7" customFormat="1" ht="15.75" customHeight="1"/>
    <row r="125" spans="4:35" s="7" customFormat="1" ht="15.75" customHeight="1">
      <c r="F125" s="7" t="s">
        <v>227</v>
      </c>
    </row>
    <row r="126" spans="4:35" s="7" customFormat="1" ht="15.75" customHeight="1">
      <c r="F126" s="7" t="s">
        <v>104</v>
      </c>
    </row>
    <row r="127" spans="4:35" s="7" customFormat="1" ht="15.75" customHeight="1"/>
    <row r="128" spans="4:35" s="7" customFormat="1" ht="15.75" customHeight="1">
      <c r="F128" s="7" t="s">
        <v>105</v>
      </c>
    </row>
    <row r="129" spans="6:35" s="7" customFormat="1" ht="15.75" customHeight="1">
      <c r="F129" s="36" t="s">
        <v>106</v>
      </c>
      <c r="G129" s="36"/>
      <c r="H129" s="6" t="s">
        <v>35</v>
      </c>
      <c r="I129" s="36">
        <v>1.8</v>
      </c>
      <c r="J129" s="36"/>
      <c r="K129" s="36" t="s">
        <v>84</v>
      </c>
      <c r="L129" s="36"/>
      <c r="M129" s="36" t="s">
        <v>85</v>
      </c>
      <c r="N129" s="36"/>
      <c r="O129" s="6" t="s">
        <v>86</v>
      </c>
      <c r="P129" s="87">
        <v>-0.75</v>
      </c>
      <c r="Q129" s="87"/>
    </row>
    <row r="130" spans="6:35" s="7" customFormat="1" ht="15.75" customHeight="1"/>
    <row r="131" spans="6:35" s="7" customFormat="1" ht="15.75" customHeight="1">
      <c r="F131" s="7" t="s">
        <v>107</v>
      </c>
    </row>
    <row r="132" spans="6:35" s="7" customFormat="1" ht="15.75" customHeight="1">
      <c r="F132" s="36" t="s">
        <v>106</v>
      </c>
      <c r="G132" s="36"/>
      <c r="H132" s="6" t="s">
        <v>35</v>
      </c>
      <c r="I132" s="36">
        <v>3.6</v>
      </c>
      <c r="J132" s="36"/>
      <c r="K132" s="36" t="s">
        <v>84</v>
      </c>
      <c r="L132" s="36"/>
      <c r="M132" s="36" t="s">
        <v>85</v>
      </c>
      <c r="N132" s="36"/>
      <c r="O132" s="6" t="s">
        <v>86</v>
      </c>
      <c r="P132" s="87">
        <v>-0.75</v>
      </c>
      <c r="Q132" s="87"/>
    </row>
    <row r="133" spans="6:35" s="7" customFormat="1" ht="15.75" customHeight="1"/>
    <row r="134" spans="6:35" s="7" customFormat="1" ht="15.75" customHeight="1">
      <c r="G134" s="7" t="s">
        <v>87</v>
      </c>
      <c r="J134" s="36" t="s">
        <v>108</v>
      </c>
      <c r="K134" s="36"/>
      <c r="L134" s="6" t="s">
        <v>3</v>
      </c>
      <c r="M134" s="7" t="s">
        <v>109</v>
      </c>
    </row>
    <row r="135" spans="6:35" s="7" customFormat="1" ht="15.75" customHeight="1">
      <c r="J135" s="36" t="s">
        <v>84</v>
      </c>
      <c r="K135" s="36"/>
      <c r="L135" s="6" t="s">
        <v>3</v>
      </c>
      <c r="M135" s="7" t="s">
        <v>98</v>
      </c>
    </row>
    <row r="136" spans="6:35" s="7" customFormat="1" ht="15.75" customHeight="1">
      <c r="J136" s="36" t="s">
        <v>85</v>
      </c>
      <c r="K136" s="36"/>
      <c r="L136" s="6" t="s">
        <v>3</v>
      </c>
      <c r="M136" s="7" t="s">
        <v>91</v>
      </c>
    </row>
    <row r="137" spans="6:35" s="7" customFormat="1" ht="15.75" customHeight="1">
      <c r="J137" s="36" t="s">
        <v>86</v>
      </c>
      <c r="K137" s="36"/>
      <c r="L137" s="6" t="s">
        <v>3</v>
      </c>
      <c r="M137" s="7" t="s">
        <v>110</v>
      </c>
    </row>
    <row r="138" spans="6:35" s="7" customFormat="1" ht="15.75" customHeight="1">
      <c r="J138" s="6"/>
      <c r="K138" s="6"/>
      <c r="L138" s="6"/>
    </row>
    <row r="139" spans="6:35" s="7" customFormat="1" ht="15.75" customHeight="1">
      <c r="H139" s="65" t="s">
        <v>228</v>
      </c>
      <c r="I139" s="65"/>
      <c r="J139" s="65"/>
      <c r="K139" s="65"/>
      <c r="L139" s="65"/>
      <c r="M139" s="65"/>
      <c r="N139" s="65"/>
      <c r="O139" s="65"/>
      <c r="P139" s="65"/>
      <c r="Q139" s="65"/>
      <c r="R139" s="65"/>
      <c r="S139" s="65"/>
      <c r="T139" s="65"/>
      <c r="U139" s="65"/>
      <c r="V139" s="65"/>
      <c r="W139" s="65"/>
      <c r="X139" s="65"/>
      <c r="Y139" s="65"/>
      <c r="Z139" s="65"/>
      <c r="AA139" s="65"/>
      <c r="AB139" s="65"/>
      <c r="AC139" s="65"/>
      <c r="AD139" s="18"/>
      <c r="AE139" s="18"/>
      <c r="AF139" s="18"/>
      <c r="AG139" s="18"/>
      <c r="AH139" s="18"/>
      <c r="AI139" s="18"/>
    </row>
    <row r="140" spans="6:35" s="7" customFormat="1" ht="15.75" customHeight="1">
      <c r="H140" s="86" t="s">
        <v>99</v>
      </c>
      <c r="I140" s="60"/>
      <c r="J140" s="60"/>
      <c r="K140" s="60" t="s">
        <v>90</v>
      </c>
      <c r="L140" s="60"/>
      <c r="M140" s="60"/>
      <c r="N140" s="60" t="s">
        <v>92</v>
      </c>
      <c r="O140" s="60"/>
      <c r="P140" s="60"/>
      <c r="Q140" s="60"/>
      <c r="R140" s="60"/>
      <c r="S140" s="60"/>
      <c r="T140" s="94" t="s">
        <v>111</v>
      </c>
      <c r="U140" s="95"/>
      <c r="V140" s="95"/>
      <c r="W140" s="96"/>
      <c r="X140" s="60" t="s">
        <v>112</v>
      </c>
      <c r="Y140" s="60"/>
      <c r="Z140" s="60"/>
      <c r="AA140" s="60"/>
      <c r="AB140" s="60"/>
      <c r="AC140" s="62"/>
    </row>
    <row r="141" spans="6:35" s="7" customFormat="1" ht="15.75" customHeight="1">
      <c r="H141" s="59"/>
      <c r="I141" s="60"/>
      <c r="J141" s="60"/>
      <c r="K141" s="60"/>
      <c r="L141" s="60"/>
      <c r="M141" s="60"/>
      <c r="N141" s="60"/>
      <c r="O141" s="60"/>
      <c r="P141" s="60"/>
      <c r="Q141" s="60"/>
      <c r="R141" s="60"/>
      <c r="S141" s="60"/>
      <c r="T141" s="97"/>
      <c r="U141" s="98"/>
      <c r="V141" s="98"/>
      <c r="W141" s="99"/>
      <c r="X141" s="60"/>
      <c r="Y141" s="60"/>
      <c r="Z141" s="60"/>
      <c r="AA141" s="60"/>
      <c r="AB141" s="60"/>
      <c r="AC141" s="62"/>
    </row>
    <row r="142" spans="6:35" s="7" customFormat="1" ht="15.75" customHeight="1">
      <c r="H142" s="59" t="s">
        <v>100</v>
      </c>
      <c r="I142" s="60"/>
      <c r="J142" s="60"/>
      <c r="K142" s="85">
        <f>K112</f>
        <v>0.5</v>
      </c>
      <c r="L142" s="85"/>
      <c r="M142" s="85"/>
      <c r="N142" s="60">
        <f>N112</f>
        <v>76923</v>
      </c>
      <c r="O142" s="60"/>
      <c r="P142" s="60"/>
      <c r="Q142" s="60"/>
      <c r="R142" s="60"/>
      <c r="S142" s="60"/>
      <c r="T142" s="56">
        <f>入力!AL8</f>
        <v>1.3</v>
      </c>
      <c r="U142" s="57"/>
      <c r="V142" s="57"/>
      <c r="W142" s="58"/>
      <c r="X142" s="60">
        <f>ROUND($I$129*$K$142*N142*$T$142^$P$129,0)</f>
        <v>56864</v>
      </c>
      <c r="Y142" s="60"/>
      <c r="Z142" s="60"/>
      <c r="AA142" s="60"/>
      <c r="AB142" s="60"/>
      <c r="AC142" s="62"/>
    </row>
    <row r="143" spans="6:35" s="7" customFormat="1" ht="15.75" customHeight="1"/>
    <row r="144" spans="6:35" s="7" customFormat="1" ht="15.75" customHeight="1">
      <c r="H144" s="65" t="s">
        <v>229</v>
      </c>
      <c r="I144" s="65"/>
      <c r="J144" s="65"/>
      <c r="K144" s="65"/>
      <c r="L144" s="65"/>
      <c r="M144" s="65"/>
      <c r="N144" s="65"/>
      <c r="O144" s="65"/>
      <c r="P144" s="65"/>
      <c r="Q144" s="65"/>
      <c r="R144" s="65"/>
      <c r="S144" s="65"/>
      <c r="T144" s="65"/>
      <c r="U144" s="65"/>
      <c r="V144" s="65"/>
      <c r="W144" s="65"/>
      <c r="X144" s="65"/>
      <c r="Y144" s="65"/>
      <c r="Z144" s="65"/>
      <c r="AA144" s="65"/>
      <c r="AB144" s="65"/>
      <c r="AC144" s="65"/>
      <c r="AD144" s="18"/>
      <c r="AE144" s="18"/>
      <c r="AF144" s="18"/>
      <c r="AG144" s="18"/>
      <c r="AH144" s="18"/>
      <c r="AI144" s="18"/>
    </row>
    <row r="145" spans="5:35" s="7" customFormat="1" ht="15.75" customHeight="1">
      <c r="H145" s="86" t="s">
        <v>99</v>
      </c>
      <c r="I145" s="60"/>
      <c r="J145" s="60"/>
      <c r="K145" s="60" t="s">
        <v>90</v>
      </c>
      <c r="L145" s="60"/>
      <c r="M145" s="60"/>
      <c r="N145" s="60" t="s">
        <v>92</v>
      </c>
      <c r="O145" s="60"/>
      <c r="P145" s="60"/>
      <c r="Q145" s="60"/>
      <c r="R145" s="60"/>
      <c r="S145" s="60"/>
      <c r="T145" s="94" t="s">
        <v>111</v>
      </c>
      <c r="U145" s="95"/>
      <c r="V145" s="95"/>
      <c r="W145" s="96"/>
      <c r="X145" s="72" t="s">
        <v>113</v>
      </c>
      <c r="Y145" s="60"/>
      <c r="Z145" s="60"/>
      <c r="AA145" s="60"/>
      <c r="AB145" s="60"/>
      <c r="AC145" s="62"/>
      <c r="AD145" s="72" t="s">
        <v>114</v>
      </c>
      <c r="AE145" s="60"/>
      <c r="AF145" s="60"/>
      <c r="AG145" s="60"/>
      <c r="AH145" s="60"/>
      <c r="AI145" s="62"/>
    </row>
    <row r="146" spans="5:35" s="7" customFormat="1" ht="15.75" customHeight="1">
      <c r="H146" s="86"/>
      <c r="I146" s="60"/>
      <c r="J146" s="60"/>
      <c r="K146" s="60"/>
      <c r="L146" s="60"/>
      <c r="M146" s="60"/>
      <c r="N146" s="60"/>
      <c r="O146" s="60"/>
      <c r="P146" s="60"/>
      <c r="Q146" s="60"/>
      <c r="R146" s="60"/>
      <c r="S146" s="60"/>
      <c r="T146" s="100"/>
      <c r="U146" s="84"/>
      <c r="V146" s="84"/>
      <c r="W146" s="101"/>
      <c r="X146" s="72"/>
      <c r="Y146" s="60"/>
      <c r="Z146" s="60"/>
      <c r="AA146" s="60"/>
      <c r="AB146" s="60"/>
      <c r="AC146" s="62"/>
      <c r="AD146" s="72"/>
      <c r="AE146" s="60"/>
      <c r="AF146" s="60"/>
      <c r="AG146" s="60"/>
      <c r="AH146" s="60"/>
      <c r="AI146" s="62"/>
    </row>
    <row r="147" spans="5:35" s="7" customFormat="1" ht="15.75" customHeight="1">
      <c r="H147" s="59"/>
      <c r="I147" s="60"/>
      <c r="J147" s="60"/>
      <c r="K147" s="60"/>
      <c r="L147" s="60"/>
      <c r="M147" s="60"/>
      <c r="N147" s="60"/>
      <c r="O147" s="60"/>
      <c r="P147" s="60"/>
      <c r="Q147" s="60"/>
      <c r="R147" s="60"/>
      <c r="S147" s="60"/>
      <c r="T147" s="97"/>
      <c r="U147" s="98"/>
      <c r="V147" s="98"/>
      <c r="W147" s="99"/>
      <c r="X147" s="60"/>
      <c r="Y147" s="60"/>
      <c r="Z147" s="60"/>
      <c r="AA147" s="60"/>
      <c r="AB147" s="60"/>
      <c r="AC147" s="62"/>
      <c r="AD147" s="60"/>
      <c r="AE147" s="60"/>
      <c r="AF147" s="60"/>
      <c r="AG147" s="60"/>
      <c r="AH147" s="60"/>
      <c r="AI147" s="62"/>
    </row>
    <row r="148" spans="5:35" s="7" customFormat="1" ht="15.75" customHeight="1">
      <c r="H148" s="59" t="s">
        <v>100</v>
      </c>
      <c r="I148" s="60"/>
      <c r="J148" s="60"/>
      <c r="K148" s="85">
        <f>K117</f>
        <v>1</v>
      </c>
      <c r="L148" s="85"/>
      <c r="M148" s="85"/>
      <c r="N148" s="60">
        <f>N117</f>
        <v>76923</v>
      </c>
      <c r="O148" s="60"/>
      <c r="P148" s="60"/>
      <c r="Q148" s="60"/>
      <c r="R148" s="60"/>
      <c r="S148" s="60"/>
      <c r="T148" s="56">
        <f>入力!AL8</f>
        <v>1.3</v>
      </c>
      <c r="U148" s="57"/>
      <c r="V148" s="57"/>
      <c r="W148" s="58"/>
      <c r="X148" s="60">
        <f>ROUND($I$129*$K$148*N148*$T$148^$P$132,0)</f>
        <v>113729</v>
      </c>
      <c r="Y148" s="60"/>
      <c r="Z148" s="60"/>
      <c r="AA148" s="60"/>
      <c r="AB148" s="60"/>
      <c r="AC148" s="62"/>
      <c r="AD148" s="60">
        <f>ROUND($I$132*$K$148*N148*$T$148^$P$132,0)</f>
        <v>227458</v>
      </c>
      <c r="AE148" s="60"/>
      <c r="AF148" s="60"/>
      <c r="AG148" s="60"/>
      <c r="AH148" s="60"/>
      <c r="AI148" s="62"/>
    </row>
    <row r="149" spans="5:35" s="7" customFormat="1" ht="15.75" customHeight="1"/>
    <row r="150" spans="5:35" s="7" customFormat="1" ht="15.75" customHeight="1"/>
    <row r="151" spans="5:35" s="7" customFormat="1" ht="15.75" customHeight="1"/>
    <row r="152" spans="5:35" s="7" customFormat="1" ht="15.75" customHeight="1">
      <c r="E152" s="7" t="s">
        <v>100</v>
      </c>
      <c r="F152" s="7" t="s">
        <v>115</v>
      </c>
    </row>
    <row r="153" spans="5:35" s="7" customFormat="1" ht="15.75" customHeight="1"/>
    <row r="154" spans="5:35" s="7" customFormat="1" ht="15.75" customHeight="1">
      <c r="F154" s="7" t="s">
        <v>485</v>
      </c>
    </row>
    <row r="155" spans="5:35" s="7" customFormat="1" ht="15.75" customHeight="1">
      <c r="F155" s="7" t="s">
        <v>486</v>
      </c>
    </row>
    <row r="156" spans="5:35" s="7" customFormat="1" ht="15.75" customHeight="1"/>
    <row r="157" spans="5:35" s="7" customFormat="1" ht="15.75" customHeight="1">
      <c r="F157" s="36" t="s">
        <v>116</v>
      </c>
      <c r="G157" s="36"/>
      <c r="H157" s="6" t="s">
        <v>35</v>
      </c>
      <c r="I157" s="36" t="s">
        <v>117</v>
      </c>
      <c r="J157" s="36"/>
      <c r="K157" s="6" t="s">
        <v>118</v>
      </c>
      <c r="L157" s="36" t="s">
        <v>106</v>
      </c>
      <c r="M157" s="36"/>
    </row>
    <row r="158" spans="5:35" s="7" customFormat="1" ht="15.75" customHeight="1"/>
    <row r="159" spans="5:35" s="7" customFormat="1" ht="15.75" customHeight="1">
      <c r="G159" s="7" t="s">
        <v>4</v>
      </c>
      <c r="J159" s="36" t="s">
        <v>116</v>
      </c>
      <c r="K159" s="36"/>
      <c r="L159" s="6" t="s">
        <v>3</v>
      </c>
      <c r="M159" s="7" t="s">
        <v>119</v>
      </c>
    </row>
    <row r="160" spans="5:35" s="7" customFormat="1" ht="15.75" customHeight="1">
      <c r="J160" s="36" t="s">
        <v>106</v>
      </c>
      <c r="K160" s="36"/>
      <c r="L160" s="6" t="s">
        <v>3</v>
      </c>
      <c r="M160" s="7" t="s">
        <v>120</v>
      </c>
    </row>
    <row r="161" spans="7:35" s="7" customFormat="1" ht="15.75" customHeight="1">
      <c r="J161" s="36" t="s">
        <v>117</v>
      </c>
      <c r="K161" s="36"/>
      <c r="L161" s="6" t="s">
        <v>3</v>
      </c>
      <c r="M161" s="7" t="s">
        <v>121</v>
      </c>
    </row>
    <row r="162" spans="7:35" s="7" customFormat="1" ht="15.75" customHeight="1">
      <c r="J162" s="6"/>
      <c r="K162" s="6"/>
      <c r="L162" s="6"/>
      <c r="M162" s="7" t="s">
        <v>208</v>
      </c>
    </row>
    <row r="163" spans="7:35" s="7" customFormat="1" ht="15.75" customHeight="1">
      <c r="J163" s="6"/>
      <c r="K163" s="6"/>
      <c r="L163" s="6"/>
      <c r="M163" s="7" t="s">
        <v>122</v>
      </c>
    </row>
    <row r="164" spans="7:35" s="7" customFormat="1" ht="15.75" customHeight="1">
      <c r="J164" s="6"/>
      <c r="K164" s="6"/>
      <c r="L164" s="6"/>
      <c r="M164" s="36" t="s">
        <v>117</v>
      </c>
      <c r="N164" s="36"/>
      <c r="O164" s="6" t="s">
        <v>35</v>
      </c>
      <c r="P164" s="7" t="s">
        <v>147</v>
      </c>
    </row>
    <row r="165" spans="7:35" s="7" customFormat="1" ht="15.75" customHeight="1">
      <c r="J165" s="36" t="s">
        <v>123</v>
      </c>
      <c r="K165" s="36"/>
      <c r="L165" s="6" t="s">
        <v>3</v>
      </c>
      <c r="M165" s="7" t="s">
        <v>124</v>
      </c>
    </row>
    <row r="166" spans="7:35" s="7" customFormat="1" ht="15.75" customHeight="1">
      <c r="J166" s="36" t="s">
        <v>126</v>
      </c>
      <c r="K166" s="36"/>
      <c r="L166" s="6" t="s">
        <v>3</v>
      </c>
      <c r="M166" s="7" t="s">
        <v>127</v>
      </c>
    </row>
    <row r="167" spans="7:35" s="2" customFormat="1" ht="15.75" customHeight="1">
      <c r="J167" s="1"/>
      <c r="K167" s="1"/>
      <c r="L167" s="1"/>
      <c r="M167" s="84" t="s">
        <v>126</v>
      </c>
      <c r="N167" s="84"/>
      <c r="O167" s="84" t="s">
        <v>35</v>
      </c>
      <c r="P167" s="84" t="s">
        <v>129</v>
      </c>
      <c r="Q167" s="84"/>
      <c r="R167" s="1" t="s">
        <v>7</v>
      </c>
      <c r="S167" s="84" t="s">
        <v>128</v>
      </c>
      <c r="T167" s="84"/>
    </row>
    <row r="168" spans="7:35" s="2" customFormat="1" ht="15.75" customHeight="1">
      <c r="J168" s="1"/>
      <c r="K168" s="1"/>
      <c r="L168" s="1"/>
      <c r="M168" s="84"/>
      <c r="N168" s="84"/>
      <c r="O168" s="84"/>
      <c r="P168" s="3" t="s">
        <v>86</v>
      </c>
      <c r="Q168" s="84" t="s">
        <v>130</v>
      </c>
      <c r="R168" s="84"/>
      <c r="S168" s="84"/>
      <c r="T168" s="84"/>
    </row>
    <row r="169" spans="7:35" s="7" customFormat="1" ht="15.75" customHeight="1">
      <c r="J169" s="84" t="s">
        <v>131</v>
      </c>
      <c r="K169" s="84"/>
      <c r="L169" s="6" t="s">
        <v>3</v>
      </c>
      <c r="M169" s="7" t="s">
        <v>137</v>
      </c>
    </row>
    <row r="170" spans="7:35" s="7" customFormat="1" ht="15.75" customHeight="1">
      <c r="J170" s="84" t="s">
        <v>132</v>
      </c>
      <c r="K170" s="84"/>
      <c r="L170" s="6" t="s">
        <v>3</v>
      </c>
      <c r="M170" s="7" t="s">
        <v>138</v>
      </c>
    </row>
    <row r="171" spans="7:35" s="7" customFormat="1" ht="15.75" customHeight="1">
      <c r="J171" s="36" t="s">
        <v>86</v>
      </c>
      <c r="K171" s="36"/>
      <c r="L171" s="6" t="s">
        <v>3</v>
      </c>
      <c r="M171" s="7" t="s">
        <v>89</v>
      </c>
    </row>
    <row r="172" spans="7:35" s="7" customFormat="1" ht="15.75" customHeight="1">
      <c r="J172" s="84" t="s">
        <v>135</v>
      </c>
      <c r="K172" s="84"/>
      <c r="L172" s="6" t="s">
        <v>3</v>
      </c>
      <c r="M172" s="7" t="s">
        <v>133</v>
      </c>
    </row>
    <row r="173" spans="7:35" s="7" customFormat="1" ht="15.75" customHeight="1">
      <c r="J173" s="84" t="s">
        <v>136</v>
      </c>
      <c r="K173" s="84"/>
      <c r="L173" s="6" t="s">
        <v>3</v>
      </c>
      <c r="M173" s="7" t="s">
        <v>134</v>
      </c>
    </row>
    <row r="174" spans="7:35" s="7" customFormat="1" ht="15.75" customHeight="1"/>
    <row r="175" spans="7:35" s="7" customFormat="1" ht="15.75" customHeight="1">
      <c r="G175" s="75" t="s">
        <v>230</v>
      </c>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row>
    <row r="176" spans="7:35" s="7" customFormat="1" ht="15.75" customHeight="1">
      <c r="G176" s="59" t="s">
        <v>68</v>
      </c>
      <c r="H176" s="60"/>
      <c r="I176" s="60"/>
      <c r="J176" s="60"/>
      <c r="K176" s="60"/>
      <c r="L176" s="60" t="s">
        <v>123</v>
      </c>
      <c r="M176" s="60"/>
      <c r="N176" s="60"/>
      <c r="O176" s="82" t="s">
        <v>141</v>
      </c>
      <c r="P176" s="82"/>
      <c r="Q176" s="82"/>
      <c r="R176" s="82" t="s">
        <v>142</v>
      </c>
      <c r="S176" s="82"/>
      <c r="T176" s="82"/>
      <c r="U176" s="82" t="s">
        <v>143</v>
      </c>
      <c r="V176" s="82"/>
      <c r="W176" s="82"/>
      <c r="X176" s="82" t="s">
        <v>144</v>
      </c>
      <c r="Y176" s="82"/>
      <c r="Z176" s="82"/>
      <c r="AA176" s="82" t="s">
        <v>145</v>
      </c>
      <c r="AB176" s="82"/>
      <c r="AC176" s="82"/>
      <c r="AD176" s="82" t="s">
        <v>125</v>
      </c>
      <c r="AE176" s="82"/>
      <c r="AF176" s="82"/>
      <c r="AG176" s="82" t="s">
        <v>146</v>
      </c>
      <c r="AH176" s="82"/>
      <c r="AI176" s="83"/>
    </row>
    <row r="177" spans="4:35" s="7" customFormat="1" ht="15.75" customHeight="1">
      <c r="G177" s="59" t="s">
        <v>140</v>
      </c>
      <c r="H177" s="60"/>
      <c r="I177" s="60"/>
      <c r="J177" s="60"/>
      <c r="K177" s="60"/>
      <c r="L177" s="60">
        <v>0.6</v>
      </c>
      <c r="M177" s="60"/>
      <c r="N177" s="60"/>
      <c r="O177" s="60">
        <v>3</v>
      </c>
      <c r="P177" s="60"/>
      <c r="Q177" s="60"/>
      <c r="R177" s="60">
        <v>2</v>
      </c>
      <c r="S177" s="60"/>
      <c r="T177" s="60"/>
      <c r="U177" s="74">
        <v>3.45</v>
      </c>
      <c r="V177" s="74"/>
      <c r="W177" s="74"/>
      <c r="X177" s="74">
        <v>3.9</v>
      </c>
      <c r="Y177" s="74"/>
      <c r="Z177" s="74"/>
      <c r="AA177" s="74">
        <f>入力!AL8</f>
        <v>1.3</v>
      </c>
      <c r="AB177" s="74"/>
      <c r="AC177" s="74"/>
      <c r="AD177" s="61">
        <f>(O177*U177+R177*X177)/((O177+R177)*$AA$177)</f>
        <v>2.7923076923076926</v>
      </c>
      <c r="AE177" s="61"/>
      <c r="AF177" s="61"/>
      <c r="AG177" s="61">
        <f>(1-5*(1-(0.6-0.25*$L$177)*AD177^(0.3+0.2*$L$177))*(1-O177^(-0.22)*R177^(-0.09)))^(4/3)</f>
        <v>0.50277411895632818</v>
      </c>
      <c r="AH177" s="61"/>
      <c r="AI177" s="73"/>
    </row>
    <row r="178" spans="4:35" s="7" customFormat="1" ht="15.75" customHeight="1">
      <c r="G178" s="59" t="s">
        <v>139</v>
      </c>
      <c r="H178" s="60"/>
      <c r="I178" s="60"/>
      <c r="J178" s="60"/>
      <c r="K178" s="60"/>
      <c r="L178" s="60"/>
      <c r="M178" s="60"/>
      <c r="N178" s="60"/>
      <c r="O178" s="60">
        <v>2</v>
      </c>
      <c r="P178" s="60"/>
      <c r="Q178" s="60"/>
      <c r="R178" s="60">
        <v>3</v>
      </c>
      <c r="S178" s="60"/>
      <c r="T178" s="60"/>
      <c r="U178" s="74">
        <v>3.9</v>
      </c>
      <c r="V178" s="74"/>
      <c r="W178" s="74"/>
      <c r="X178" s="74">
        <v>3.45</v>
      </c>
      <c r="Y178" s="74"/>
      <c r="Z178" s="74"/>
      <c r="AA178" s="74"/>
      <c r="AB178" s="74"/>
      <c r="AC178" s="74"/>
      <c r="AD178" s="61">
        <f>(O178*U178+R178*X178)/((O178+R178)*$AA$177)</f>
        <v>2.7923076923076926</v>
      </c>
      <c r="AE178" s="61"/>
      <c r="AF178" s="61"/>
      <c r="AG178" s="61">
        <f>(1-5*(1-(0.6-0.25*$L$177)*AD178^(0.3+0.2*$L$177))*(1-O178^(-0.22)*R178^(-0.09)))^(4/3)</f>
        <v>0.57282725102687593</v>
      </c>
      <c r="AH178" s="61"/>
      <c r="AI178" s="73"/>
    </row>
    <row r="179" spans="4:35" s="7" customFormat="1" ht="15.75" customHeight="1"/>
    <row r="180" spans="4:35" s="7" customFormat="1" ht="15.75" customHeight="1"/>
    <row r="181" spans="4:35" s="7" customFormat="1" ht="15.75" customHeight="1">
      <c r="D181" s="13" t="s">
        <v>148</v>
      </c>
    </row>
    <row r="182" spans="4:35" s="7" customFormat="1" ht="15.75" customHeight="1"/>
    <row r="183" spans="4:35" s="7" customFormat="1" ht="15.75" customHeight="1">
      <c r="D183" s="7" t="s">
        <v>149</v>
      </c>
      <c r="M183" s="13"/>
    </row>
    <row r="184" spans="4:35" s="7" customFormat="1" ht="15.75" customHeight="1"/>
    <row r="185" spans="4:35" s="7" customFormat="1" ht="15.75" customHeight="1">
      <c r="F185" s="7" t="s">
        <v>231</v>
      </c>
    </row>
    <row r="186" spans="4:35" s="7" customFormat="1" ht="15.75" customHeight="1">
      <c r="F186" s="7" t="s">
        <v>96</v>
      </c>
    </row>
    <row r="187" spans="4:35" s="7" customFormat="1" ht="15.75" customHeight="1"/>
    <row r="188" spans="4:35" s="7" customFormat="1" ht="15.75" customHeight="1">
      <c r="F188" s="36" t="s">
        <v>151</v>
      </c>
      <c r="G188" s="36"/>
      <c r="H188" s="6" t="s">
        <v>35</v>
      </c>
      <c r="I188" s="36" t="s">
        <v>150</v>
      </c>
      <c r="J188" s="36"/>
      <c r="K188" s="6" t="s">
        <v>118</v>
      </c>
      <c r="L188" s="36" t="s">
        <v>152</v>
      </c>
      <c r="M188" s="36"/>
    </row>
    <row r="189" spans="4:35" s="7" customFormat="1" ht="15.75" customHeight="1"/>
    <row r="190" spans="4:35" s="7" customFormat="1" ht="15.75" customHeight="1">
      <c r="G190" s="7" t="s">
        <v>4</v>
      </c>
      <c r="J190" s="36" t="s">
        <v>151</v>
      </c>
      <c r="K190" s="36"/>
      <c r="L190" s="6" t="s">
        <v>3</v>
      </c>
      <c r="M190" s="7" t="s">
        <v>153</v>
      </c>
    </row>
    <row r="191" spans="4:35" s="7" customFormat="1" ht="15.75" customHeight="1">
      <c r="J191" s="36" t="s">
        <v>106</v>
      </c>
      <c r="K191" s="36"/>
      <c r="L191" s="6" t="s">
        <v>3</v>
      </c>
      <c r="M191" s="7" t="s">
        <v>88</v>
      </c>
    </row>
    <row r="192" spans="4:35" s="7" customFormat="1" ht="15.75" customHeight="1">
      <c r="J192" s="36" t="s">
        <v>152</v>
      </c>
      <c r="K192" s="36"/>
      <c r="L192" s="6" t="s">
        <v>3</v>
      </c>
      <c r="M192" s="7" t="s">
        <v>154</v>
      </c>
    </row>
    <row r="193" spans="4:37" s="7" customFormat="1" ht="15.75" customHeight="1">
      <c r="J193" s="6"/>
      <c r="K193" s="6"/>
      <c r="L193" s="6"/>
      <c r="M193" s="36" t="s">
        <v>152</v>
      </c>
      <c r="N193" s="36"/>
      <c r="O193" s="6" t="s">
        <v>35</v>
      </c>
      <c r="P193" s="66">
        <v>0.25</v>
      </c>
      <c r="Q193" s="66"/>
      <c r="R193" s="6" t="s">
        <v>118</v>
      </c>
      <c r="S193" s="6" t="s">
        <v>155</v>
      </c>
      <c r="T193" s="6" t="s">
        <v>118</v>
      </c>
      <c r="U193" s="8" t="s">
        <v>86</v>
      </c>
      <c r="V193" s="10">
        <v>2</v>
      </c>
    </row>
    <row r="194" spans="4:37" s="7" customFormat="1" ht="15.75" customHeight="1">
      <c r="J194" s="6"/>
      <c r="K194" s="6"/>
      <c r="L194" s="6"/>
      <c r="M194" s="6"/>
      <c r="N194" s="6"/>
      <c r="O194" s="6" t="s">
        <v>35</v>
      </c>
      <c r="P194" s="66">
        <f>P193</f>
        <v>0.25</v>
      </c>
      <c r="Q194" s="66"/>
      <c r="R194" s="6" t="s">
        <v>156</v>
      </c>
      <c r="S194" s="6" t="s">
        <v>155</v>
      </c>
      <c r="T194" s="6" t="s">
        <v>156</v>
      </c>
      <c r="U194" s="64">
        <f>T195</f>
        <v>1.3</v>
      </c>
      <c r="V194" s="64"/>
      <c r="W194" s="10">
        <f>V193</f>
        <v>2</v>
      </c>
      <c r="X194" s="6" t="s">
        <v>35</v>
      </c>
      <c r="Y194" s="36">
        <f>ROUND(P194*PI()*U194^W194,3)</f>
        <v>1.327</v>
      </c>
      <c r="Z194" s="36"/>
      <c r="AA194" s="36"/>
      <c r="AB194" s="7" t="s">
        <v>157</v>
      </c>
    </row>
    <row r="195" spans="4:37" s="7" customFormat="1" ht="15.75" customHeight="1">
      <c r="J195" s="36" t="s">
        <v>86</v>
      </c>
      <c r="K195" s="36"/>
      <c r="L195" s="6" t="s">
        <v>3</v>
      </c>
      <c r="M195" s="7" t="s">
        <v>158</v>
      </c>
      <c r="R195" s="8" t="s">
        <v>159</v>
      </c>
      <c r="S195" s="6" t="s">
        <v>35</v>
      </c>
      <c r="T195" s="64">
        <f>入力!AL8</f>
        <v>1.3</v>
      </c>
      <c r="U195" s="64"/>
      <c r="V195" s="7" t="s">
        <v>160</v>
      </c>
    </row>
    <row r="196" spans="4:37" s="7" customFormat="1" ht="15.75" customHeight="1">
      <c r="J196" s="6"/>
      <c r="K196" s="6"/>
      <c r="L196" s="6"/>
      <c r="R196" s="8"/>
      <c r="S196" s="6"/>
      <c r="T196" s="21"/>
      <c r="U196" s="21"/>
    </row>
    <row r="197" spans="4:37" s="7" customFormat="1" ht="15.75" customHeight="1">
      <c r="J197" s="65" t="s">
        <v>161</v>
      </c>
      <c r="K197" s="65"/>
      <c r="L197" s="65"/>
      <c r="M197" s="65"/>
      <c r="N197" s="65"/>
      <c r="O197" s="65"/>
      <c r="P197" s="65"/>
      <c r="Q197" s="65"/>
      <c r="R197" s="65"/>
      <c r="S197" s="65"/>
      <c r="T197" s="65"/>
      <c r="U197" s="65"/>
      <c r="V197" s="65"/>
      <c r="W197" s="65"/>
      <c r="X197" s="65"/>
      <c r="Y197" s="65"/>
      <c r="Z197" s="65"/>
      <c r="AA197" s="65"/>
      <c r="AB197" s="18"/>
      <c r="AC197" s="18"/>
      <c r="AD197" s="18"/>
      <c r="AE197" s="18"/>
      <c r="AF197" s="18"/>
      <c r="AG197" s="18"/>
      <c r="AH197" s="18"/>
      <c r="AI197" s="18"/>
      <c r="AJ197" s="18"/>
      <c r="AK197" s="18"/>
    </row>
    <row r="198" spans="4:37" s="7" customFormat="1" ht="15.75" customHeight="1">
      <c r="J198" s="59" t="s">
        <v>94</v>
      </c>
      <c r="K198" s="60"/>
      <c r="L198" s="60"/>
      <c r="M198" s="60"/>
      <c r="N198" s="60"/>
      <c r="O198" s="60"/>
      <c r="P198" s="60" t="s">
        <v>162</v>
      </c>
      <c r="Q198" s="60"/>
      <c r="R198" s="60"/>
      <c r="S198" s="60"/>
      <c r="T198" s="60"/>
      <c r="U198" s="60"/>
      <c r="V198" s="60" t="s">
        <v>163</v>
      </c>
      <c r="W198" s="60"/>
      <c r="X198" s="60"/>
      <c r="Y198" s="60"/>
      <c r="Z198" s="60"/>
      <c r="AA198" s="62"/>
    </row>
    <row r="199" spans="4:37" s="7" customFormat="1" ht="15.75" customHeight="1">
      <c r="J199" s="59">
        <f>W92</f>
        <v>44228</v>
      </c>
      <c r="K199" s="60"/>
      <c r="L199" s="60"/>
      <c r="M199" s="60"/>
      <c r="N199" s="60"/>
      <c r="O199" s="60"/>
      <c r="P199" s="61">
        <f>ROUND(Y194,3)</f>
        <v>1.327</v>
      </c>
      <c r="Q199" s="61"/>
      <c r="R199" s="61"/>
      <c r="S199" s="61"/>
      <c r="T199" s="61"/>
      <c r="U199" s="61"/>
      <c r="V199" s="60">
        <f>ROUND(J199*P199,0)</f>
        <v>58691</v>
      </c>
      <c r="W199" s="60"/>
      <c r="X199" s="60"/>
      <c r="Y199" s="60"/>
      <c r="Z199" s="60"/>
      <c r="AA199" s="62"/>
    </row>
    <row r="200" spans="4:37" s="7" customFormat="1" ht="15.75" customHeight="1"/>
    <row r="201" spans="4:37" s="7" customFormat="1" ht="15.75" customHeight="1">
      <c r="J201" s="65" t="s">
        <v>164</v>
      </c>
      <c r="K201" s="65"/>
      <c r="L201" s="65"/>
      <c r="M201" s="65"/>
      <c r="N201" s="65"/>
      <c r="O201" s="65"/>
      <c r="P201" s="65"/>
      <c r="Q201" s="65"/>
      <c r="R201" s="65"/>
      <c r="S201" s="65"/>
      <c r="T201" s="65"/>
      <c r="U201" s="65"/>
      <c r="V201" s="65"/>
      <c r="W201" s="65"/>
      <c r="X201" s="65"/>
      <c r="Y201" s="65"/>
      <c r="Z201" s="65"/>
      <c r="AA201" s="65"/>
      <c r="AB201" s="18"/>
      <c r="AC201" s="18"/>
      <c r="AD201" s="18"/>
      <c r="AE201" s="18"/>
      <c r="AF201" s="18"/>
      <c r="AG201" s="18"/>
      <c r="AH201" s="18"/>
      <c r="AI201" s="18"/>
      <c r="AJ201" s="18"/>
      <c r="AK201" s="18"/>
    </row>
    <row r="202" spans="4:37" s="7" customFormat="1" ht="15.75" customHeight="1">
      <c r="J202" s="59" t="s">
        <v>94</v>
      </c>
      <c r="K202" s="60"/>
      <c r="L202" s="60"/>
      <c r="M202" s="60"/>
      <c r="N202" s="60"/>
      <c r="O202" s="60"/>
      <c r="P202" s="60" t="s">
        <v>162</v>
      </c>
      <c r="Q202" s="60"/>
      <c r="R202" s="60"/>
      <c r="S202" s="60"/>
      <c r="T202" s="60"/>
      <c r="U202" s="60"/>
      <c r="V202" s="60" t="s">
        <v>163</v>
      </c>
      <c r="W202" s="60"/>
      <c r="X202" s="60"/>
      <c r="Y202" s="60"/>
      <c r="Z202" s="60"/>
      <c r="AA202" s="62"/>
    </row>
    <row r="203" spans="4:37" s="7" customFormat="1" ht="15.75" customHeight="1">
      <c r="J203" s="59">
        <f>W96</f>
        <v>88456</v>
      </c>
      <c r="K203" s="60"/>
      <c r="L203" s="60"/>
      <c r="M203" s="60"/>
      <c r="N203" s="60"/>
      <c r="O203" s="60"/>
      <c r="P203" s="61">
        <f>ROUND(Y194,3)</f>
        <v>1.327</v>
      </c>
      <c r="Q203" s="61"/>
      <c r="R203" s="61"/>
      <c r="S203" s="61"/>
      <c r="T203" s="61"/>
      <c r="U203" s="61"/>
      <c r="V203" s="60">
        <f>ROUND(J203*P203,0)</f>
        <v>117381</v>
      </c>
      <c r="W203" s="60"/>
      <c r="X203" s="60"/>
      <c r="Y203" s="60"/>
      <c r="Z203" s="60"/>
      <c r="AA203" s="62"/>
    </row>
    <row r="208" spans="4:37" ht="15.75" customHeight="1">
      <c r="D208" s="7" t="s">
        <v>165</v>
      </c>
      <c r="M208" s="13"/>
    </row>
    <row r="210" spans="6:35" ht="15.75" customHeight="1">
      <c r="F210" s="7" t="s">
        <v>166</v>
      </c>
    </row>
    <row r="212" spans="6:35" s="7" customFormat="1" ht="15.75" customHeight="1">
      <c r="F212" s="36" t="s">
        <v>167</v>
      </c>
      <c r="G212" s="36"/>
      <c r="H212" s="6" t="s">
        <v>35</v>
      </c>
      <c r="I212" s="36" t="s">
        <v>168</v>
      </c>
      <c r="J212" s="36"/>
      <c r="K212" s="6" t="s">
        <v>118</v>
      </c>
      <c r="L212" s="6" t="s">
        <v>169</v>
      </c>
      <c r="M212" s="6" t="s">
        <v>118</v>
      </c>
      <c r="N212" s="36" t="s">
        <v>170</v>
      </c>
      <c r="O212" s="36"/>
    </row>
    <row r="213" spans="6:35" s="7" customFormat="1" ht="15.75" customHeight="1"/>
    <row r="214" spans="6:35" s="7" customFormat="1" ht="15.75" customHeight="1">
      <c r="G214" s="7" t="s">
        <v>4</v>
      </c>
      <c r="J214" s="36" t="s">
        <v>167</v>
      </c>
      <c r="K214" s="36"/>
      <c r="L214" s="6" t="s">
        <v>3</v>
      </c>
      <c r="M214" s="7" t="s">
        <v>171</v>
      </c>
    </row>
    <row r="215" spans="6:35" s="7" customFormat="1" ht="15.75" customHeight="1">
      <c r="J215" s="36" t="s">
        <v>168</v>
      </c>
      <c r="K215" s="36"/>
      <c r="L215" s="6" t="s">
        <v>3</v>
      </c>
      <c r="M215" s="7" t="s">
        <v>172</v>
      </c>
    </row>
    <row r="216" spans="6:35" s="7" customFormat="1" ht="15.75" customHeight="1">
      <c r="J216" s="36" t="s">
        <v>169</v>
      </c>
      <c r="K216" s="36"/>
      <c r="L216" s="6" t="s">
        <v>3</v>
      </c>
      <c r="M216" s="7" t="s">
        <v>173</v>
      </c>
      <c r="R216" s="6" t="s">
        <v>35</v>
      </c>
      <c r="S216" s="6" t="s">
        <v>155</v>
      </c>
      <c r="T216" s="6" t="s">
        <v>118</v>
      </c>
      <c r="U216" s="8" t="s">
        <v>86</v>
      </c>
    </row>
    <row r="217" spans="6:35" s="7" customFormat="1" ht="15.75" customHeight="1">
      <c r="J217" s="36" t="s">
        <v>86</v>
      </c>
      <c r="K217" s="36"/>
      <c r="L217" s="6" t="s">
        <v>3</v>
      </c>
      <c r="M217" s="7" t="s">
        <v>174</v>
      </c>
      <c r="P217" s="8" t="s">
        <v>159</v>
      </c>
      <c r="Q217" s="6" t="s">
        <v>35</v>
      </c>
      <c r="R217" s="64">
        <v>1</v>
      </c>
      <c r="S217" s="64"/>
      <c r="T217" s="7" t="s">
        <v>160</v>
      </c>
    </row>
    <row r="218" spans="6:35" ht="15.75" customHeight="1">
      <c r="J218" s="36" t="s">
        <v>170</v>
      </c>
      <c r="K218" s="36"/>
      <c r="L218" s="6" t="s">
        <v>3</v>
      </c>
      <c r="M218" s="7" t="s">
        <v>175</v>
      </c>
    </row>
    <row r="220" spans="6:35" s="7" customFormat="1" ht="15.75" customHeight="1">
      <c r="F220" s="7" t="s">
        <v>176</v>
      </c>
    </row>
    <row r="221" spans="6:35" s="7" customFormat="1" ht="15.75" customHeight="1">
      <c r="AI221" s="22" t="s">
        <v>177</v>
      </c>
    </row>
    <row r="222" spans="6:35" s="7" customFormat="1" ht="15.75" customHeight="1">
      <c r="G222" s="23" t="s">
        <v>178</v>
      </c>
      <c r="H222" s="7" t="s">
        <v>184</v>
      </c>
    </row>
    <row r="223" spans="6:35" s="7" customFormat="1" ht="15.75" customHeight="1">
      <c r="G223" s="23"/>
      <c r="H223" s="7" t="s">
        <v>181</v>
      </c>
    </row>
    <row r="224" spans="6:35" s="7" customFormat="1" ht="15.75" customHeight="1">
      <c r="G224" s="23" t="s">
        <v>179</v>
      </c>
      <c r="H224" s="7" t="s">
        <v>182</v>
      </c>
    </row>
    <row r="225" spans="5:20" s="7" customFormat="1" ht="15.75" customHeight="1">
      <c r="G225" s="23"/>
      <c r="H225" s="7" t="s">
        <v>183</v>
      </c>
    </row>
    <row r="226" spans="5:20" s="7" customFormat="1" ht="15.75" customHeight="1">
      <c r="G226" s="23" t="s">
        <v>180</v>
      </c>
      <c r="H226" s="7" t="s">
        <v>487</v>
      </c>
    </row>
    <row r="227" spans="5:20" s="7" customFormat="1" ht="15.75" customHeight="1">
      <c r="H227" s="7" t="s">
        <v>488</v>
      </c>
    </row>
    <row r="228" spans="5:20" s="7" customFormat="1" ht="15.75" customHeight="1">
      <c r="H228" s="7" t="s">
        <v>489</v>
      </c>
    </row>
    <row r="229" spans="5:20" s="7" customFormat="1" ht="15.75" customHeight="1">
      <c r="H229" s="7" t="s">
        <v>490</v>
      </c>
    </row>
    <row r="230" spans="5:20" s="7" customFormat="1" ht="15.75" customHeight="1"/>
    <row r="231" spans="5:20" s="7" customFormat="1" ht="15.75" customHeight="1">
      <c r="E231" s="7" t="s">
        <v>102</v>
      </c>
      <c r="F231" s="7" t="s">
        <v>185</v>
      </c>
    </row>
    <row r="232" spans="5:20" s="7" customFormat="1" ht="15.75" customHeight="1"/>
    <row r="233" spans="5:20" s="7" customFormat="1" ht="15.75" customHeight="1">
      <c r="F233" s="7" t="s">
        <v>186</v>
      </c>
    </row>
    <row r="234" spans="5:20" s="7" customFormat="1" ht="15.75" customHeight="1"/>
    <row r="235" spans="5:20" s="7" customFormat="1" ht="15.75" customHeight="1">
      <c r="F235" s="36" t="s">
        <v>6</v>
      </c>
      <c r="G235" s="36"/>
      <c r="H235" s="6" t="s">
        <v>35</v>
      </c>
      <c r="I235" s="20">
        <v>4</v>
      </c>
      <c r="J235" s="36" t="s">
        <v>116</v>
      </c>
      <c r="K235" s="36"/>
      <c r="L235" s="6" t="s">
        <v>86</v>
      </c>
      <c r="M235" s="7" t="s">
        <v>8</v>
      </c>
      <c r="N235" s="6">
        <v>4</v>
      </c>
      <c r="O235" s="36" t="s">
        <v>187</v>
      </c>
      <c r="P235" s="36"/>
    </row>
    <row r="236" spans="5:20" s="7" customFormat="1" ht="15.75" customHeight="1"/>
    <row r="237" spans="5:20" s="7" customFormat="1" ht="15.75" customHeight="1">
      <c r="G237" s="7" t="s">
        <v>4</v>
      </c>
      <c r="J237" s="36" t="s">
        <v>6</v>
      </c>
      <c r="K237" s="36"/>
      <c r="L237" s="6" t="s">
        <v>3</v>
      </c>
      <c r="M237" s="7" t="s">
        <v>190</v>
      </c>
    </row>
    <row r="238" spans="5:20" s="7" customFormat="1" ht="15.75" customHeight="1">
      <c r="J238" s="36" t="s">
        <v>116</v>
      </c>
      <c r="K238" s="36"/>
      <c r="L238" s="6" t="s">
        <v>3</v>
      </c>
      <c r="M238" s="7" t="s">
        <v>119</v>
      </c>
    </row>
    <row r="239" spans="5:20" s="7" customFormat="1" ht="15.75" customHeight="1">
      <c r="J239" s="36" t="s">
        <v>86</v>
      </c>
      <c r="K239" s="36"/>
      <c r="L239" s="6" t="s">
        <v>3</v>
      </c>
      <c r="M239" s="7" t="s">
        <v>174</v>
      </c>
      <c r="P239" s="8" t="s">
        <v>159</v>
      </c>
      <c r="Q239" s="6" t="s">
        <v>35</v>
      </c>
      <c r="R239" s="64">
        <f>入力!AL8</f>
        <v>1.3</v>
      </c>
      <c r="S239" s="64"/>
      <c r="T239" s="7" t="s">
        <v>160</v>
      </c>
    </row>
    <row r="240" spans="5:20" ht="15.75" customHeight="1">
      <c r="J240" s="36" t="s">
        <v>187</v>
      </c>
      <c r="K240" s="36"/>
      <c r="L240" s="6" t="s">
        <v>3</v>
      </c>
      <c r="M240" s="7" t="s">
        <v>191</v>
      </c>
    </row>
    <row r="241" spans="5:35" ht="15.75" customHeight="1">
      <c r="J241" s="36" t="s">
        <v>188</v>
      </c>
      <c r="K241" s="36"/>
      <c r="L241" s="6" t="s">
        <v>3</v>
      </c>
      <c r="M241" s="7" t="s">
        <v>192</v>
      </c>
      <c r="T241" s="8" t="s">
        <v>159</v>
      </c>
      <c r="U241" s="6" t="s">
        <v>35</v>
      </c>
      <c r="V241" s="36">
        <v>22.4</v>
      </c>
      <c r="W241" s="36"/>
      <c r="X241" s="7" t="s">
        <v>194</v>
      </c>
      <c r="AA241" s="6" t="s">
        <v>35</v>
      </c>
      <c r="AB241" s="36">
        <f>V241</f>
        <v>22.4</v>
      </c>
      <c r="AC241" s="36"/>
      <c r="AD241" s="6" t="s">
        <v>2</v>
      </c>
      <c r="AE241" s="11">
        <v>10</v>
      </c>
      <c r="AF241" s="10">
        <v>6</v>
      </c>
      <c r="AG241" s="7" t="s">
        <v>195</v>
      </c>
    </row>
    <row r="242" spans="5:35" ht="15.75" customHeight="1">
      <c r="J242" s="36" t="s">
        <v>189</v>
      </c>
      <c r="K242" s="36"/>
      <c r="L242" s="6" t="s">
        <v>3</v>
      </c>
      <c r="M242" s="7" t="s">
        <v>193</v>
      </c>
      <c r="V242" s="8" t="s">
        <v>159</v>
      </c>
      <c r="W242" s="6" t="s">
        <v>35</v>
      </c>
      <c r="X242" s="6" t="s">
        <v>155</v>
      </c>
      <c r="Y242" s="8" t="s">
        <v>86</v>
      </c>
      <c r="Z242" s="10">
        <v>4</v>
      </c>
      <c r="AA242" s="7" t="s">
        <v>8</v>
      </c>
      <c r="AB242" s="11">
        <v>64</v>
      </c>
      <c r="AC242" s="6" t="s">
        <v>35</v>
      </c>
      <c r="AD242" s="36">
        <f>ROUND(PI()*R239^Z242/AB242,5)</f>
        <v>0.14019999999999999</v>
      </c>
      <c r="AE242" s="36"/>
      <c r="AF242" s="36"/>
      <c r="AG242" s="36"/>
      <c r="AH242" s="6" t="s">
        <v>196</v>
      </c>
    </row>
    <row r="244" spans="5:35" s="7" customFormat="1" ht="15.75" customHeight="1">
      <c r="E244" s="65" t="s">
        <v>197</v>
      </c>
      <c r="F244" s="65"/>
      <c r="G244" s="65"/>
      <c r="H244" s="65"/>
      <c r="I244" s="65"/>
      <c r="J244" s="65"/>
      <c r="K244" s="65"/>
      <c r="L244" s="65"/>
      <c r="M244" s="65"/>
      <c r="N244" s="65"/>
      <c r="O244" s="65"/>
      <c r="P244" s="65"/>
      <c r="Q244" s="65"/>
      <c r="R244" s="65"/>
      <c r="S244" s="65"/>
      <c r="T244" s="65"/>
      <c r="U244" s="65"/>
      <c r="V244" s="65"/>
      <c r="W244" s="65"/>
      <c r="X244" s="65"/>
      <c r="Y244" s="65"/>
      <c r="Z244" s="65"/>
      <c r="AA244" s="65"/>
      <c r="AB244" s="65"/>
      <c r="AC244" s="65"/>
      <c r="AD244" s="65"/>
      <c r="AE244" s="65"/>
      <c r="AF244" s="65"/>
      <c r="AG244" s="65"/>
      <c r="AH244" s="65"/>
      <c r="AI244" s="65"/>
    </row>
    <row r="245" spans="5:35" s="7" customFormat="1" ht="15.75" customHeight="1">
      <c r="E245" s="39" t="s">
        <v>99</v>
      </c>
      <c r="F245" s="39"/>
      <c r="G245" s="48"/>
      <c r="H245" s="50" t="s">
        <v>199</v>
      </c>
      <c r="I245" s="51"/>
      <c r="J245" s="52"/>
      <c r="K245" s="38" t="s">
        <v>198</v>
      </c>
      <c r="L245" s="39"/>
      <c r="M245" s="39"/>
      <c r="N245" s="39"/>
      <c r="O245" s="38" t="s">
        <v>200</v>
      </c>
      <c r="P245" s="39"/>
      <c r="Q245" s="39"/>
      <c r="R245" s="39"/>
      <c r="S245" s="38" t="s">
        <v>204</v>
      </c>
      <c r="T245" s="39"/>
      <c r="U245" s="39"/>
      <c r="V245" s="39"/>
      <c r="W245" s="39"/>
      <c r="X245" s="38" t="s">
        <v>201</v>
      </c>
      <c r="Y245" s="39"/>
      <c r="Z245" s="39"/>
      <c r="AA245" s="39"/>
      <c r="AB245" s="38" t="s">
        <v>202</v>
      </c>
      <c r="AC245" s="39"/>
      <c r="AD245" s="39"/>
      <c r="AE245" s="39"/>
      <c r="AF245" s="38" t="s">
        <v>203</v>
      </c>
      <c r="AG245" s="39"/>
      <c r="AH245" s="39"/>
      <c r="AI245" s="39"/>
    </row>
    <row r="246" spans="5:35" s="7" customFormat="1" ht="15.75" customHeight="1">
      <c r="E246" s="41"/>
      <c r="F246" s="41"/>
      <c r="G246" s="49"/>
      <c r="H246" s="53"/>
      <c r="I246" s="54"/>
      <c r="J246" s="55"/>
      <c r="K246" s="40"/>
      <c r="L246" s="41"/>
      <c r="M246" s="41"/>
      <c r="N246" s="41"/>
      <c r="O246" s="40"/>
      <c r="P246" s="41"/>
      <c r="Q246" s="41"/>
      <c r="R246" s="41"/>
      <c r="S246" s="40"/>
      <c r="T246" s="41"/>
      <c r="U246" s="41"/>
      <c r="V246" s="41"/>
      <c r="W246" s="41"/>
      <c r="X246" s="40"/>
      <c r="Y246" s="41"/>
      <c r="Z246" s="41"/>
      <c r="AA246" s="41"/>
      <c r="AB246" s="40"/>
      <c r="AC246" s="41"/>
      <c r="AD246" s="41"/>
      <c r="AE246" s="41"/>
      <c r="AF246" s="40"/>
      <c r="AG246" s="41"/>
      <c r="AH246" s="41"/>
      <c r="AI246" s="41"/>
    </row>
    <row r="247" spans="5:35" s="7" customFormat="1" ht="15.75" customHeight="1">
      <c r="E247" s="59" t="s">
        <v>100</v>
      </c>
      <c r="F247" s="60"/>
      <c r="G247" s="60"/>
      <c r="H247" s="56">
        <f>入力!AL4</f>
        <v>13</v>
      </c>
      <c r="I247" s="57"/>
      <c r="J247" s="58"/>
      <c r="K247" s="42">
        <f>X142</f>
        <v>56864</v>
      </c>
      <c r="L247" s="43"/>
      <c r="M247" s="43"/>
      <c r="N247" s="44"/>
      <c r="O247" s="42">
        <f>ROUND(K247*$R$239,0)</f>
        <v>73923</v>
      </c>
      <c r="P247" s="43"/>
      <c r="Q247" s="43"/>
      <c r="R247" s="44"/>
      <c r="S247" s="42">
        <f>ROUND(O247/$AB$248,6)</f>
        <v>5.8849999999999996E-3</v>
      </c>
      <c r="T247" s="43"/>
      <c r="U247" s="43"/>
      <c r="V247" s="43"/>
      <c r="W247" s="44"/>
      <c r="X247" s="42">
        <f>ROUND(S247^0.25,4)</f>
        <v>0.27700000000000002</v>
      </c>
      <c r="Y247" s="43"/>
      <c r="Z247" s="43"/>
      <c r="AA247" s="44"/>
      <c r="AB247" s="45">
        <f>ROUND(X247*H247,4)</f>
        <v>3.601</v>
      </c>
      <c r="AC247" s="46"/>
      <c r="AD247" s="46"/>
      <c r="AE247" s="47"/>
      <c r="AF247" s="45">
        <f>AB247</f>
        <v>3.601</v>
      </c>
      <c r="AG247" s="46"/>
      <c r="AH247" s="46"/>
      <c r="AI247" s="46"/>
    </row>
    <row r="248" spans="5:35" ht="15.75" customHeight="1">
      <c r="E248" s="6"/>
      <c r="W248" s="8" t="s">
        <v>159</v>
      </c>
      <c r="X248" s="6">
        <v>4</v>
      </c>
      <c r="Y248" s="36" t="s">
        <v>205</v>
      </c>
      <c r="Z248" s="36"/>
      <c r="AA248" s="6" t="s">
        <v>35</v>
      </c>
      <c r="AB248" s="37">
        <f>ROUND(4*AB241*AE241^AF241*AD242,0)</f>
        <v>12561920</v>
      </c>
      <c r="AC248" s="37"/>
      <c r="AD248" s="37"/>
      <c r="AE248" s="37"/>
      <c r="AF248" s="37"/>
      <c r="AG248" s="63" t="s">
        <v>206</v>
      </c>
      <c r="AH248" s="63"/>
      <c r="AI248" s="6" t="s">
        <v>207</v>
      </c>
    </row>
    <row r="249" spans="5:35" ht="15.75" customHeight="1">
      <c r="E249" s="6"/>
    </row>
    <row r="253" spans="5:35" ht="15.75" hidden="1" customHeight="1"/>
    <row r="254" spans="5:35" s="7" customFormat="1" ht="15.75" hidden="1" customHeight="1">
      <c r="F254" s="7" t="s">
        <v>238</v>
      </c>
    </row>
    <row r="255" spans="5:35" s="7" customFormat="1" ht="15.75" hidden="1" customHeight="1">
      <c r="F255" s="7" t="s">
        <v>209</v>
      </c>
    </row>
    <row r="256" spans="5:35" s="7" customFormat="1" ht="15.75" hidden="1" customHeight="1">
      <c r="AC256" s="102" t="s">
        <v>241</v>
      </c>
      <c r="AD256" s="102"/>
      <c r="AE256" s="102"/>
      <c r="AF256" s="102"/>
    </row>
    <row r="257" spans="5:39" s="7" customFormat="1" ht="15.75" hidden="1" customHeight="1">
      <c r="F257" s="8" t="s">
        <v>232</v>
      </c>
      <c r="G257" s="6" t="s">
        <v>35</v>
      </c>
      <c r="H257" s="7" t="s">
        <v>233</v>
      </c>
      <c r="M257" s="6" t="s">
        <v>35</v>
      </c>
      <c r="N257" s="24">
        <v>1</v>
      </c>
      <c r="O257" s="6" t="s">
        <v>235</v>
      </c>
      <c r="P257" s="103">
        <f>AB247</f>
        <v>3.601</v>
      </c>
      <c r="Q257" s="36"/>
      <c r="R257" s="36"/>
      <c r="S257" s="7" t="s">
        <v>236</v>
      </c>
      <c r="T257" s="7" t="s">
        <v>237</v>
      </c>
      <c r="U257" s="103" t="e">
        <f>#REF!</f>
        <v>#REF!</v>
      </c>
      <c r="V257" s="36"/>
      <c r="W257" s="36"/>
      <c r="X257" s="6" t="s">
        <v>35</v>
      </c>
      <c r="Y257" s="64" t="e">
        <f>(N257-P257)/U257</f>
        <v>#REF!</v>
      </c>
      <c r="Z257" s="64"/>
      <c r="AA257" s="25" t="s">
        <v>240</v>
      </c>
      <c r="AD257" s="64" t="e">
        <f>#REF!</f>
        <v>#REF!</v>
      </c>
      <c r="AE257" s="64"/>
      <c r="AF257" s="25" t="s">
        <v>239</v>
      </c>
    </row>
    <row r="258" spans="5:39" s="7" customFormat="1" ht="15.75" hidden="1" customHeight="1"/>
    <row r="259" spans="5:39" s="7" customFormat="1" ht="15.75" hidden="1" customHeight="1">
      <c r="F259" s="7" t="s">
        <v>242</v>
      </c>
    </row>
    <row r="260" spans="5:39" s="7" customFormat="1" ht="15.75" hidden="1" customHeight="1"/>
    <row r="261" spans="5:39" s="7" customFormat="1" ht="15.75" hidden="1" customHeight="1">
      <c r="F261" s="8" t="s">
        <v>243</v>
      </c>
      <c r="G261" s="6" t="s">
        <v>35</v>
      </c>
      <c r="H261" s="8" t="s">
        <v>244</v>
      </c>
      <c r="I261" s="1" t="s">
        <v>7</v>
      </c>
      <c r="J261" s="8" t="s">
        <v>232</v>
      </c>
      <c r="K261" s="6" t="s">
        <v>35</v>
      </c>
      <c r="L261" s="64">
        <f>H247</f>
        <v>13</v>
      </c>
      <c r="M261" s="64"/>
      <c r="N261" s="1" t="s">
        <v>7</v>
      </c>
      <c r="O261" s="64" t="e">
        <f>Y257</f>
        <v>#REF!</v>
      </c>
      <c r="P261" s="64"/>
      <c r="Q261" s="6" t="s">
        <v>35</v>
      </c>
      <c r="R261" s="64" t="e">
        <f>L261+O261</f>
        <v>#REF!</v>
      </c>
      <c r="S261" s="64"/>
      <c r="T261" s="25" t="s">
        <v>239</v>
      </c>
    </row>
    <row r="262" spans="5:39" s="7" customFormat="1" ht="15.75" customHeight="1"/>
    <row r="263" spans="5:39" s="7" customFormat="1" ht="15.75" customHeight="1">
      <c r="E263" s="7" t="s">
        <v>100</v>
      </c>
      <c r="F263" s="7" t="s">
        <v>245</v>
      </c>
    </row>
    <row r="264" spans="5:39" s="7" customFormat="1" ht="15.75" customHeight="1"/>
    <row r="265" spans="5:39" s="7" customFormat="1" ht="15.75" customHeight="1">
      <c r="F265" s="7" t="s">
        <v>246</v>
      </c>
    </row>
    <row r="266" spans="5:39" s="7" customFormat="1" ht="15.75" customHeight="1"/>
    <row r="267" spans="5:39" s="7" customFormat="1" ht="15.75" customHeight="1">
      <c r="J267" s="75" t="s">
        <v>256</v>
      </c>
      <c r="K267" s="75"/>
      <c r="L267" s="75"/>
      <c r="M267" s="75"/>
      <c r="N267" s="75"/>
      <c r="O267" s="75"/>
      <c r="P267" s="75"/>
      <c r="Q267" s="75"/>
      <c r="R267" s="75"/>
      <c r="S267" s="75"/>
      <c r="T267" s="75"/>
      <c r="U267" s="75"/>
      <c r="V267" s="75"/>
      <c r="W267" s="75"/>
      <c r="X267" s="75"/>
      <c r="Y267" s="75"/>
      <c r="Z267" s="75"/>
      <c r="AA267" s="18"/>
      <c r="AB267" s="18"/>
      <c r="AC267" s="18"/>
      <c r="AD267" s="18"/>
      <c r="AE267" s="18"/>
      <c r="AF267" s="18"/>
      <c r="AG267" s="18"/>
      <c r="AH267" s="18"/>
      <c r="AI267" s="18"/>
      <c r="AJ267" s="18"/>
      <c r="AK267" s="18"/>
      <c r="AL267" s="18"/>
    </row>
    <row r="268" spans="5:39" s="7" customFormat="1" ht="15.75" customHeight="1">
      <c r="J268" s="39" t="s">
        <v>99</v>
      </c>
      <c r="K268" s="39"/>
      <c r="L268" s="48"/>
      <c r="M268" s="50" t="s">
        <v>247</v>
      </c>
      <c r="N268" s="51"/>
      <c r="O268" s="52"/>
      <c r="P268" s="72" t="s">
        <v>249</v>
      </c>
      <c r="Q268" s="72"/>
      <c r="R268" s="72"/>
      <c r="S268" s="72"/>
      <c r="T268" s="72" t="s">
        <v>250</v>
      </c>
      <c r="U268" s="72"/>
      <c r="V268" s="72"/>
      <c r="W268" s="72" t="s">
        <v>252</v>
      </c>
      <c r="X268" s="72"/>
      <c r="Y268" s="72"/>
      <c r="Z268" s="81"/>
      <c r="AA268" s="18"/>
      <c r="AB268" s="18"/>
      <c r="AC268" s="18"/>
      <c r="AD268" s="18"/>
      <c r="AE268" s="18"/>
      <c r="AF268" s="18"/>
      <c r="AG268" s="18"/>
      <c r="AH268" s="18"/>
      <c r="AI268" s="18"/>
      <c r="AJ268" s="18"/>
      <c r="AK268" s="18"/>
      <c r="AL268" s="18"/>
    </row>
    <row r="269" spans="5:39" s="7" customFormat="1" ht="15.75" customHeight="1">
      <c r="J269" s="41"/>
      <c r="K269" s="41"/>
      <c r="L269" s="49"/>
      <c r="M269" s="53"/>
      <c r="N269" s="54"/>
      <c r="O269" s="55"/>
      <c r="P269" s="72"/>
      <c r="Q269" s="72"/>
      <c r="R269" s="72"/>
      <c r="S269" s="72"/>
      <c r="T269" s="72"/>
      <c r="U269" s="72"/>
      <c r="V269" s="72"/>
      <c r="W269" s="72"/>
      <c r="X269" s="72"/>
      <c r="Y269" s="72"/>
      <c r="Z269" s="81"/>
      <c r="AA269" s="18"/>
      <c r="AB269" s="18"/>
      <c r="AC269" s="18"/>
      <c r="AD269" s="18"/>
      <c r="AE269" s="18"/>
      <c r="AF269" s="18"/>
      <c r="AG269" s="18"/>
      <c r="AH269" s="18"/>
      <c r="AI269" s="18"/>
      <c r="AJ269" s="18"/>
      <c r="AK269" s="18"/>
      <c r="AL269" s="18"/>
    </row>
    <row r="270" spans="5:39" s="7" customFormat="1" ht="15.75" customHeight="1">
      <c r="J270" s="59" t="s">
        <v>100</v>
      </c>
      <c r="K270" s="60"/>
      <c r="L270" s="60"/>
      <c r="M270" s="56">
        <f>入力!AL4</f>
        <v>13</v>
      </c>
      <c r="N270" s="57"/>
      <c r="O270" s="58"/>
      <c r="P270" s="69">
        <f>T112</f>
        <v>7692</v>
      </c>
      <c r="Q270" s="69"/>
      <c r="R270" s="69"/>
      <c r="S270" s="69"/>
      <c r="T270" s="77">
        <f>PI()*入力!AL8</f>
        <v>4.0840704496667311</v>
      </c>
      <c r="U270" s="77"/>
      <c r="V270" s="77"/>
      <c r="W270" s="67">
        <f>ROUND(M270*P270*T270,-1)</f>
        <v>408390</v>
      </c>
      <c r="X270" s="67"/>
      <c r="Y270" s="67"/>
      <c r="Z270" s="68"/>
      <c r="AA270" s="18"/>
      <c r="AB270" s="18"/>
      <c r="AC270" s="18"/>
      <c r="AD270" s="18"/>
      <c r="AE270" s="18"/>
      <c r="AF270" s="18"/>
      <c r="AG270" s="18"/>
      <c r="AH270" s="18"/>
      <c r="AI270" s="18"/>
      <c r="AJ270" s="18"/>
      <c r="AK270" s="18"/>
      <c r="AL270" s="18"/>
      <c r="AM270" s="18"/>
    </row>
    <row r="271" spans="5:39" s="7" customFormat="1" ht="15.75" customHeight="1">
      <c r="H271" s="6"/>
      <c r="J271" s="6"/>
      <c r="K271" s="6"/>
      <c r="L271" s="6"/>
      <c r="M271" s="6"/>
      <c r="N271" s="6"/>
      <c r="O271" s="6"/>
      <c r="P271" s="6"/>
      <c r="Q271" s="6"/>
      <c r="R271" s="6"/>
      <c r="S271" s="6"/>
      <c r="T271" s="18"/>
      <c r="U271" s="18" t="s">
        <v>251</v>
      </c>
      <c r="V271" s="18" t="s">
        <v>253</v>
      </c>
      <c r="W271" s="6" t="s">
        <v>35</v>
      </c>
      <c r="X271" s="75" t="s">
        <v>254</v>
      </c>
      <c r="Y271" s="75"/>
      <c r="Z271" s="18"/>
      <c r="AA271" s="18"/>
      <c r="AB271" s="18"/>
      <c r="AC271" s="18"/>
      <c r="AD271" s="18"/>
      <c r="AE271" s="18"/>
      <c r="AF271" s="18"/>
      <c r="AG271" s="18"/>
      <c r="AH271" s="18"/>
      <c r="AI271" s="18"/>
      <c r="AJ271" s="18"/>
      <c r="AK271" s="18"/>
      <c r="AL271" s="18"/>
      <c r="AM271" s="18"/>
    </row>
    <row r="272" spans="5:39" s="7" customFormat="1" ht="15.75" customHeight="1">
      <c r="T272" s="18"/>
      <c r="U272" s="18"/>
      <c r="V272" s="18"/>
      <c r="W272" s="18"/>
      <c r="X272" s="18"/>
      <c r="Y272" s="18"/>
      <c r="Z272" s="18"/>
      <c r="AA272" s="18"/>
      <c r="AB272" s="18"/>
      <c r="AC272" s="18"/>
      <c r="AD272" s="18"/>
      <c r="AE272" s="18"/>
      <c r="AF272" s="18"/>
      <c r="AG272" s="18"/>
      <c r="AH272" s="18"/>
      <c r="AI272" s="18"/>
      <c r="AJ272" s="18"/>
      <c r="AK272" s="18"/>
      <c r="AL272" s="18"/>
      <c r="AM272" s="18"/>
    </row>
    <row r="273" spans="4:39" s="7" customFormat="1" ht="15.75" customHeight="1">
      <c r="J273" s="75" t="s">
        <v>255</v>
      </c>
      <c r="K273" s="75"/>
      <c r="L273" s="75"/>
      <c r="M273" s="75"/>
      <c r="N273" s="75"/>
      <c r="O273" s="75"/>
      <c r="P273" s="75"/>
      <c r="Q273" s="75"/>
      <c r="R273" s="75"/>
      <c r="S273" s="75"/>
      <c r="T273" s="75"/>
      <c r="U273" s="75"/>
      <c r="V273" s="75"/>
      <c r="W273" s="75"/>
      <c r="X273" s="75"/>
      <c r="Y273" s="75"/>
      <c r="Z273" s="75"/>
      <c r="AA273" s="18"/>
      <c r="AB273" s="18"/>
      <c r="AI273" s="18"/>
      <c r="AJ273" s="18"/>
      <c r="AK273" s="18"/>
      <c r="AL273" s="18"/>
      <c r="AM273" s="18"/>
    </row>
    <row r="274" spans="4:39" s="7" customFormat="1" ht="15.75" customHeight="1">
      <c r="J274" s="39" t="s">
        <v>99</v>
      </c>
      <c r="K274" s="39"/>
      <c r="L274" s="48"/>
      <c r="M274" s="50" t="s">
        <v>247</v>
      </c>
      <c r="N274" s="51"/>
      <c r="O274" s="52"/>
      <c r="P274" s="72" t="s">
        <v>249</v>
      </c>
      <c r="Q274" s="72"/>
      <c r="R274" s="72"/>
      <c r="S274" s="72"/>
      <c r="T274" s="72" t="s">
        <v>250</v>
      </c>
      <c r="U274" s="72"/>
      <c r="V274" s="72"/>
      <c r="W274" s="72" t="s">
        <v>252</v>
      </c>
      <c r="X274" s="72"/>
      <c r="Y274" s="72"/>
      <c r="Z274" s="81"/>
      <c r="AA274" s="18"/>
      <c r="AB274" s="18"/>
      <c r="AI274" s="18"/>
      <c r="AJ274" s="18"/>
      <c r="AK274" s="18"/>
      <c r="AL274" s="18"/>
      <c r="AM274" s="18"/>
    </row>
    <row r="275" spans="4:39" s="7" customFormat="1" ht="15.75" customHeight="1">
      <c r="J275" s="41"/>
      <c r="K275" s="41"/>
      <c r="L275" s="49"/>
      <c r="M275" s="53"/>
      <c r="N275" s="54"/>
      <c r="O275" s="55"/>
      <c r="P275" s="72"/>
      <c r="Q275" s="72"/>
      <c r="R275" s="72"/>
      <c r="S275" s="72"/>
      <c r="T275" s="72"/>
      <c r="U275" s="72"/>
      <c r="V275" s="72"/>
      <c r="W275" s="72"/>
      <c r="X275" s="72"/>
      <c r="Y275" s="72"/>
      <c r="Z275" s="81"/>
      <c r="AA275" s="18"/>
      <c r="AB275" s="18"/>
      <c r="AI275" s="18"/>
      <c r="AJ275" s="18"/>
      <c r="AK275" s="18"/>
      <c r="AL275" s="18"/>
      <c r="AM275" s="18"/>
    </row>
    <row r="276" spans="4:39" s="7" customFormat="1" ht="15.75" customHeight="1">
      <c r="J276" s="59" t="s">
        <v>100</v>
      </c>
      <c r="K276" s="60"/>
      <c r="L276" s="60"/>
      <c r="M276" s="56">
        <f>入力!AL4</f>
        <v>13</v>
      </c>
      <c r="N276" s="57"/>
      <c r="O276" s="58"/>
      <c r="P276" s="69">
        <f>T117</f>
        <v>15385</v>
      </c>
      <c r="Q276" s="69"/>
      <c r="R276" s="69"/>
      <c r="S276" s="69"/>
      <c r="T276" s="77">
        <f>T270</f>
        <v>4.0840704496667311</v>
      </c>
      <c r="U276" s="69"/>
      <c r="V276" s="69"/>
      <c r="W276" s="67">
        <f>ROUND(M276*P276*T276,-1)</f>
        <v>816830</v>
      </c>
      <c r="X276" s="67"/>
      <c r="Y276" s="67"/>
      <c r="Z276" s="68"/>
      <c r="AA276" s="18"/>
      <c r="AB276" s="18"/>
      <c r="AC276" s="18"/>
      <c r="AD276" s="18"/>
      <c r="AE276" s="18"/>
      <c r="AF276" s="18"/>
      <c r="AG276" s="18"/>
      <c r="AH276" s="18"/>
      <c r="AI276" s="18"/>
      <c r="AJ276" s="18"/>
      <c r="AK276" s="18"/>
      <c r="AL276" s="18"/>
      <c r="AM276" s="18"/>
    </row>
    <row r="277" spans="4:39" s="7" customFormat="1" ht="15.75" customHeight="1">
      <c r="H277" s="6"/>
      <c r="J277" s="6"/>
      <c r="K277" s="6"/>
      <c r="L277" s="6"/>
      <c r="M277" s="6"/>
      <c r="N277" s="6"/>
      <c r="O277" s="6"/>
      <c r="P277" s="6"/>
      <c r="Q277" s="6"/>
      <c r="R277" s="6"/>
      <c r="S277" s="6"/>
      <c r="T277" s="18"/>
      <c r="U277" s="18" t="s">
        <v>251</v>
      </c>
      <c r="V277" s="26" t="s">
        <v>257</v>
      </c>
      <c r="W277" s="6"/>
      <c r="X277" s="18"/>
      <c r="Y277" s="18"/>
      <c r="Z277" s="18"/>
      <c r="AA277" s="18"/>
      <c r="AB277" s="18"/>
      <c r="AC277" s="18"/>
      <c r="AD277" s="18"/>
      <c r="AE277" s="18"/>
      <c r="AF277" s="18"/>
      <c r="AG277" s="18"/>
      <c r="AH277" s="18"/>
      <c r="AI277" s="18"/>
      <c r="AJ277" s="18"/>
      <c r="AK277" s="18"/>
      <c r="AL277" s="18"/>
      <c r="AM277" s="18"/>
    </row>
    <row r="278" spans="4:39" s="7" customFormat="1" ht="15.75" customHeight="1">
      <c r="H278" s="30"/>
      <c r="J278" s="30"/>
      <c r="K278" s="30"/>
      <c r="L278" s="30"/>
      <c r="M278" s="30"/>
      <c r="N278" s="30"/>
      <c r="O278" s="30"/>
      <c r="P278" s="30"/>
      <c r="Q278" s="30"/>
      <c r="R278" s="30"/>
      <c r="S278" s="30"/>
      <c r="T278" s="18"/>
      <c r="U278" s="18"/>
      <c r="V278" s="26"/>
      <c r="W278" s="30"/>
      <c r="X278" s="18"/>
      <c r="Y278" s="18"/>
      <c r="Z278" s="18"/>
      <c r="AA278" s="18"/>
      <c r="AB278" s="18"/>
      <c r="AC278" s="18"/>
      <c r="AD278" s="18"/>
      <c r="AE278" s="18"/>
      <c r="AF278" s="18"/>
      <c r="AG278" s="18"/>
      <c r="AH278" s="18"/>
      <c r="AI278" s="18"/>
      <c r="AJ278" s="18"/>
      <c r="AK278" s="18"/>
      <c r="AL278" s="18"/>
      <c r="AM278" s="18"/>
    </row>
    <row r="279" spans="4:39" s="7" customFormat="1" ht="15.75" customHeight="1"/>
    <row r="280" spans="4:39" s="7" customFormat="1" ht="15.75" customHeight="1"/>
    <row r="281" spans="4:39" s="7" customFormat="1" ht="15.75" customHeight="1">
      <c r="D281" s="7" t="s">
        <v>258</v>
      </c>
    </row>
    <row r="282" spans="4:39" s="7" customFormat="1" ht="15.75" customHeight="1"/>
    <row r="283" spans="4:39" s="7" customFormat="1" ht="15.75" customHeight="1">
      <c r="F283" s="7" t="s">
        <v>492</v>
      </c>
    </row>
    <row r="284" spans="4:39" s="7" customFormat="1" ht="15.75" customHeight="1">
      <c r="F284" s="7" t="s">
        <v>491</v>
      </c>
    </row>
    <row r="285" spans="4:39" s="7" customFormat="1" ht="15.75" customHeight="1"/>
    <row r="286" spans="4:39" s="7" customFormat="1" ht="15.75" customHeight="1">
      <c r="F286" s="36" t="s">
        <v>259</v>
      </c>
      <c r="G286" s="36"/>
      <c r="H286" s="6" t="s">
        <v>35</v>
      </c>
      <c r="I286" s="36" t="s">
        <v>260</v>
      </c>
      <c r="J286" s="36"/>
      <c r="K286" s="6" t="s">
        <v>118</v>
      </c>
      <c r="L286" s="6" t="s">
        <v>86</v>
      </c>
      <c r="M286" s="6" t="s">
        <v>118</v>
      </c>
      <c r="N286" s="36" t="s">
        <v>170</v>
      </c>
      <c r="O286" s="36"/>
    </row>
    <row r="287" spans="4:39" s="7" customFormat="1" ht="15.75" customHeight="1"/>
    <row r="288" spans="4:39" s="7" customFormat="1" ht="15.75" customHeight="1">
      <c r="G288" s="7" t="s">
        <v>4</v>
      </c>
      <c r="J288" s="36" t="s">
        <v>259</v>
      </c>
      <c r="K288" s="36"/>
      <c r="L288" s="6" t="s">
        <v>3</v>
      </c>
      <c r="M288" s="7" t="s">
        <v>261</v>
      </c>
    </row>
    <row r="289" spans="5:62" s="7" customFormat="1" ht="15.75" customHeight="1">
      <c r="J289" s="36" t="s">
        <v>260</v>
      </c>
      <c r="K289" s="36"/>
      <c r="L289" s="6" t="s">
        <v>3</v>
      </c>
      <c r="M289" s="7" t="s">
        <v>262</v>
      </c>
    </row>
    <row r="290" spans="5:62" s="7" customFormat="1" ht="15.75" customHeight="1">
      <c r="J290" s="36" t="s">
        <v>86</v>
      </c>
      <c r="K290" s="36"/>
      <c r="L290" s="6" t="s">
        <v>3</v>
      </c>
      <c r="M290" s="7" t="s">
        <v>174</v>
      </c>
      <c r="P290" s="8" t="s">
        <v>159</v>
      </c>
      <c r="Q290" s="6" t="s">
        <v>35</v>
      </c>
      <c r="R290" s="64">
        <v>1.3</v>
      </c>
      <c r="S290" s="64"/>
      <c r="T290" s="7" t="s">
        <v>160</v>
      </c>
    </row>
    <row r="291" spans="5:62" ht="15.75" customHeight="1">
      <c r="J291" s="36" t="s">
        <v>170</v>
      </c>
      <c r="K291" s="36"/>
      <c r="L291" s="6" t="s">
        <v>3</v>
      </c>
      <c r="M291" s="7" t="s">
        <v>263</v>
      </c>
    </row>
    <row r="292" spans="5:62" s="7" customFormat="1" ht="15.75" customHeight="1"/>
    <row r="293" spans="5:62" s="7" customFormat="1" ht="15.75" customHeight="1">
      <c r="J293" s="75" t="s">
        <v>264</v>
      </c>
      <c r="K293" s="75"/>
      <c r="L293" s="75"/>
      <c r="M293" s="75"/>
      <c r="N293" s="75"/>
      <c r="O293" s="75"/>
      <c r="P293" s="75"/>
      <c r="Q293" s="75"/>
      <c r="R293" s="75"/>
      <c r="S293" s="75"/>
      <c r="T293" s="75"/>
      <c r="U293" s="75"/>
      <c r="V293" s="75"/>
      <c r="W293" s="75"/>
      <c r="X293" s="75"/>
      <c r="Y293" s="75"/>
      <c r="Z293" s="75"/>
      <c r="AA293" s="18"/>
      <c r="AB293" s="18"/>
      <c r="AI293" s="18"/>
      <c r="AJ293" s="18"/>
      <c r="AK293" s="18"/>
      <c r="AL293" s="18"/>
      <c r="AM293" s="18"/>
    </row>
    <row r="294" spans="5:62" s="7" customFormat="1" ht="15.75" customHeight="1">
      <c r="F294" s="39" t="s">
        <v>99</v>
      </c>
      <c r="G294" s="39"/>
      <c r="H294" s="48"/>
      <c r="I294" s="50" t="s">
        <v>247</v>
      </c>
      <c r="J294" s="104"/>
      <c r="K294" s="105"/>
      <c r="L294" s="38" t="s">
        <v>459</v>
      </c>
      <c r="M294" s="39"/>
      <c r="N294" s="39"/>
      <c r="O294" s="48"/>
      <c r="P294" s="38" t="s">
        <v>460</v>
      </c>
      <c r="Q294" s="39"/>
      <c r="R294" s="39"/>
      <c r="S294" s="48"/>
      <c r="T294" s="38" t="s">
        <v>265</v>
      </c>
      <c r="U294" s="39"/>
      <c r="V294" s="48"/>
      <c r="W294" s="38" t="s">
        <v>461</v>
      </c>
      <c r="X294" s="39"/>
      <c r="Y294" s="39"/>
      <c r="Z294" s="48"/>
      <c r="AA294" s="38" t="s">
        <v>462</v>
      </c>
      <c r="AB294" s="39"/>
      <c r="AC294" s="39"/>
      <c r="AD294" s="39"/>
      <c r="AI294" s="18"/>
      <c r="AJ294" s="18"/>
      <c r="AK294" s="18"/>
      <c r="AL294" s="18"/>
      <c r="AM294" s="18"/>
    </row>
    <row r="295" spans="5:62" s="7" customFormat="1" ht="15.75" customHeight="1">
      <c r="F295" s="70"/>
      <c r="G295" s="70"/>
      <c r="H295" s="71"/>
      <c r="I295" s="78"/>
      <c r="J295" s="106"/>
      <c r="K295" s="107"/>
      <c r="L295" s="111"/>
      <c r="M295" s="70"/>
      <c r="N295" s="70"/>
      <c r="O295" s="71"/>
      <c r="P295" s="111"/>
      <c r="Q295" s="70"/>
      <c r="R295" s="70"/>
      <c r="S295" s="71"/>
      <c r="T295" s="111"/>
      <c r="U295" s="70"/>
      <c r="V295" s="71"/>
      <c r="W295" s="111"/>
      <c r="X295" s="70"/>
      <c r="Y295" s="70"/>
      <c r="Z295" s="71"/>
      <c r="AA295" s="111"/>
      <c r="AB295" s="70"/>
      <c r="AC295" s="70"/>
      <c r="AD295" s="70"/>
      <c r="AI295" s="18"/>
      <c r="AJ295" s="18"/>
      <c r="AK295" s="18"/>
      <c r="AL295" s="18"/>
      <c r="AM295" s="18"/>
    </row>
    <row r="296" spans="5:62" s="7" customFormat="1" ht="15.75" customHeight="1">
      <c r="F296" s="41"/>
      <c r="G296" s="41"/>
      <c r="H296" s="49"/>
      <c r="I296" s="108"/>
      <c r="J296" s="109"/>
      <c r="K296" s="110"/>
      <c r="L296" s="40"/>
      <c r="M296" s="41"/>
      <c r="N296" s="41"/>
      <c r="O296" s="49"/>
      <c r="P296" s="40"/>
      <c r="Q296" s="41"/>
      <c r="R296" s="41"/>
      <c r="S296" s="49"/>
      <c r="T296" s="40"/>
      <c r="U296" s="41"/>
      <c r="V296" s="49"/>
      <c r="W296" s="40"/>
      <c r="X296" s="41"/>
      <c r="Y296" s="41"/>
      <c r="Z296" s="49"/>
      <c r="AA296" s="40"/>
      <c r="AB296" s="41"/>
      <c r="AC296" s="41"/>
      <c r="AD296" s="41"/>
      <c r="AI296" s="18"/>
      <c r="AJ296" s="18"/>
      <c r="AK296" s="18"/>
      <c r="AL296" s="18"/>
      <c r="AM296" s="18"/>
    </row>
    <row r="297" spans="5:62" s="7" customFormat="1" ht="15.75" customHeight="1">
      <c r="F297" s="59" t="s">
        <v>100</v>
      </c>
      <c r="G297" s="60"/>
      <c r="H297" s="60"/>
      <c r="I297" s="56">
        <f>入力!AL4</f>
        <v>13</v>
      </c>
      <c r="J297" s="57"/>
      <c r="K297" s="58"/>
      <c r="L297" s="67">
        <f>X142*AG177</f>
        <v>28589.747500332647</v>
      </c>
      <c r="M297" s="67"/>
      <c r="N297" s="67"/>
      <c r="O297" s="67"/>
      <c r="P297" s="67">
        <f>X142*AG178</f>
        <v>32573.248802392274</v>
      </c>
      <c r="Q297" s="67"/>
      <c r="R297" s="67"/>
      <c r="S297" s="67"/>
      <c r="T297" s="74">
        <f>R290</f>
        <v>1.3</v>
      </c>
      <c r="U297" s="74"/>
      <c r="V297" s="74"/>
      <c r="W297" s="67">
        <f>ROUND(L297*T297*I297,-1)</f>
        <v>483170</v>
      </c>
      <c r="X297" s="67"/>
      <c r="Y297" s="67"/>
      <c r="Z297" s="68"/>
      <c r="AA297" s="67">
        <f>ROUND(I297*P297*T297,-1)</f>
        <v>550490</v>
      </c>
      <c r="AB297" s="67"/>
      <c r="AC297" s="67"/>
      <c r="AD297" s="68"/>
      <c r="AE297" s="18"/>
      <c r="AF297" s="18"/>
      <c r="AG297" s="18"/>
      <c r="AH297" s="18"/>
      <c r="AI297" s="18"/>
      <c r="AJ297" s="18"/>
      <c r="AK297" s="18"/>
      <c r="AL297" s="18"/>
      <c r="AM297" s="18"/>
    </row>
    <row r="298" spans="5:62" s="7" customFormat="1" ht="15.75" customHeight="1">
      <c r="H298" s="6"/>
      <c r="J298" s="6"/>
      <c r="K298" s="6"/>
      <c r="L298" s="6"/>
      <c r="M298" s="6"/>
      <c r="N298" s="6"/>
      <c r="O298" s="6"/>
      <c r="P298" s="6"/>
      <c r="Q298" s="6"/>
      <c r="R298" s="6"/>
      <c r="S298" s="6"/>
      <c r="T298" s="18"/>
      <c r="Y298" s="18" t="s">
        <v>251</v>
      </c>
      <c r="Z298" s="18" t="s">
        <v>266</v>
      </c>
      <c r="AA298" s="6" t="s">
        <v>35</v>
      </c>
      <c r="AB298" s="75" t="s">
        <v>267</v>
      </c>
      <c r="AC298" s="75"/>
      <c r="AD298" s="18"/>
      <c r="AE298" s="18"/>
      <c r="AF298" s="18"/>
      <c r="AG298" s="18"/>
      <c r="AH298" s="18"/>
      <c r="AI298" s="18"/>
      <c r="AJ298" s="18"/>
      <c r="AK298" s="18"/>
      <c r="AL298" s="18"/>
      <c r="AM298" s="18"/>
      <c r="AY298" s="18"/>
      <c r="AZ298" s="18"/>
      <c r="BA298" s="18"/>
      <c r="BB298" s="18"/>
      <c r="BC298" s="18"/>
      <c r="BD298" s="18"/>
      <c r="BE298" s="18"/>
      <c r="BF298" s="18"/>
    </row>
    <row r="299" spans="5:62" s="7" customFormat="1" ht="15.75" customHeight="1">
      <c r="AM299" s="18"/>
      <c r="AY299" s="18"/>
      <c r="AZ299" s="18"/>
      <c r="BA299" s="18"/>
      <c r="BB299" s="18"/>
      <c r="BC299" s="18"/>
      <c r="BD299" s="18"/>
      <c r="BE299" s="18"/>
      <c r="BF299" s="18"/>
    </row>
    <row r="300" spans="5:62" s="7" customFormat="1" ht="15.75" customHeight="1">
      <c r="J300" s="75" t="s">
        <v>458</v>
      </c>
      <c r="K300" s="75"/>
      <c r="L300" s="75"/>
      <c r="M300" s="75"/>
      <c r="N300" s="75"/>
      <c r="O300" s="75"/>
      <c r="P300" s="75"/>
      <c r="Q300" s="75"/>
      <c r="R300" s="75"/>
      <c r="S300" s="75"/>
      <c r="T300" s="75"/>
      <c r="U300" s="75"/>
      <c r="V300" s="75"/>
      <c r="W300" s="75"/>
      <c r="X300" s="75"/>
      <c r="Y300" s="75"/>
      <c r="Z300" s="75"/>
      <c r="AA300" s="18"/>
      <c r="AB300" s="18"/>
      <c r="AC300" s="18"/>
      <c r="AD300" s="18"/>
      <c r="AE300" s="18"/>
      <c r="AF300" s="18"/>
      <c r="AG300" s="18"/>
      <c r="AH300" s="18"/>
      <c r="AI300" s="18"/>
      <c r="AJ300" s="18"/>
      <c r="AK300" s="18"/>
      <c r="AL300" s="18"/>
      <c r="AM300" s="18"/>
      <c r="AY300" s="18"/>
      <c r="AZ300" s="18"/>
      <c r="BA300" s="18"/>
      <c r="BB300" s="18"/>
      <c r="BC300" s="18"/>
      <c r="BD300" s="18"/>
      <c r="BE300" s="18"/>
      <c r="BF300" s="18"/>
    </row>
    <row r="301" spans="5:62" s="7" customFormat="1" ht="15.75" customHeight="1">
      <c r="E301" s="39" t="s">
        <v>99</v>
      </c>
      <c r="F301" s="39"/>
      <c r="G301" s="48"/>
      <c r="H301" s="50" t="s">
        <v>247</v>
      </c>
      <c r="I301" s="104"/>
      <c r="J301" s="105"/>
      <c r="K301" s="86" t="s">
        <v>463</v>
      </c>
      <c r="L301" s="60"/>
      <c r="M301" s="60"/>
      <c r="N301" s="60"/>
      <c r="O301" s="72" t="s">
        <v>465</v>
      </c>
      <c r="P301" s="60"/>
      <c r="Q301" s="60"/>
      <c r="R301" s="60"/>
      <c r="S301" s="38" t="s">
        <v>265</v>
      </c>
      <c r="T301" s="39"/>
      <c r="U301" s="48"/>
      <c r="V301" s="72" t="s">
        <v>467</v>
      </c>
      <c r="W301" s="72"/>
      <c r="X301" s="72"/>
      <c r="Y301" s="72"/>
      <c r="Z301" s="72"/>
      <c r="AA301" s="72" t="s">
        <v>469</v>
      </c>
      <c r="AB301" s="72"/>
      <c r="AC301" s="72"/>
      <c r="AD301" s="72"/>
      <c r="AE301" s="81"/>
      <c r="AJ301" s="18"/>
      <c r="AK301" s="18"/>
      <c r="AL301" s="18"/>
      <c r="AM301" s="18"/>
      <c r="AY301" s="18"/>
      <c r="AZ301" s="18"/>
      <c r="BA301" s="18"/>
      <c r="BB301" s="18"/>
      <c r="BC301" s="18"/>
      <c r="BD301" s="18"/>
      <c r="BE301" s="18"/>
      <c r="BF301" s="18"/>
      <c r="BG301" s="18"/>
      <c r="BH301" s="18"/>
      <c r="BI301" s="18"/>
      <c r="BJ301" s="18"/>
    </row>
    <row r="302" spans="5:62" s="7" customFormat="1" ht="15.75" customHeight="1">
      <c r="E302" s="70"/>
      <c r="F302" s="70"/>
      <c r="G302" s="71"/>
      <c r="H302" s="78"/>
      <c r="I302" s="106"/>
      <c r="J302" s="107"/>
      <c r="K302" s="86"/>
      <c r="L302" s="60"/>
      <c r="M302" s="60"/>
      <c r="N302" s="60"/>
      <c r="O302" s="72"/>
      <c r="P302" s="60"/>
      <c r="Q302" s="60"/>
      <c r="R302" s="60"/>
      <c r="S302" s="111"/>
      <c r="T302" s="70"/>
      <c r="U302" s="71"/>
      <c r="V302" s="72"/>
      <c r="W302" s="72"/>
      <c r="X302" s="72"/>
      <c r="Y302" s="72"/>
      <c r="Z302" s="72"/>
      <c r="AA302" s="72"/>
      <c r="AB302" s="72"/>
      <c r="AC302" s="72"/>
      <c r="AD302" s="72"/>
      <c r="AE302" s="81"/>
      <c r="AJ302" s="18"/>
      <c r="AK302" s="18"/>
      <c r="AL302" s="18"/>
      <c r="AM302" s="18"/>
      <c r="AY302" s="18"/>
      <c r="AZ302" s="18"/>
      <c r="BA302" s="18"/>
      <c r="BB302" s="18"/>
      <c r="BC302" s="18"/>
      <c r="BD302" s="18"/>
      <c r="BE302" s="18"/>
      <c r="BF302" s="18"/>
      <c r="BG302" s="18"/>
      <c r="BH302" s="18"/>
      <c r="BI302" s="18"/>
      <c r="BJ302" s="18"/>
    </row>
    <row r="303" spans="5:62" s="7" customFormat="1" ht="15.75" customHeight="1">
      <c r="E303" s="41"/>
      <c r="F303" s="41"/>
      <c r="G303" s="49"/>
      <c r="H303" s="108"/>
      <c r="I303" s="109"/>
      <c r="J303" s="110"/>
      <c r="K303" s="59"/>
      <c r="L303" s="60"/>
      <c r="M303" s="60"/>
      <c r="N303" s="60"/>
      <c r="O303" s="60"/>
      <c r="P303" s="60"/>
      <c r="Q303" s="60"/>
      <c r="R303" s="60"/>
      <c r="S303" s="40"/>
      <c r="T303" s="41"/>
      <c r="U303" s="49"/>
      <c r="V303" s="72"/>
      <c r="W303" s="72"/>
      <c r="X303" s="72"/>
      <c r="Y303" s="72"/>
      <c r="Z303" s="72"/>
      <c r="AA303" s="72"/>
      <c r="AB303" s="72"/>
      <c r="AC303" s="72"/>
      <c r="AD303" s="72"/>
      <c r="AE303" s="81"/>
      <c r="AJ303" s="18"/>
      <c r="AK303" s="18"/>
      <c r="AL303" s="18"/>
      <c r="AM303" s="18"/>
      <c r="AY303" s="18"/>
      <c r="AZ303" s="18"/>
      <c r="BA303" s="18"/>
      <c r="BB303" s="18"/>
      <c r="BC303" s="18"/>
      <c r="BD303" s="18"/>
      <c r="BE303" s="18"/>
      <c r="BF303" s="18"/>
      <c r="BG303" s="18"/>
      <c r="BH303" s="18"/>
      <c r="BI303" s="18"/>
      <c r="BJ303" s="18"/>
    </row>
    <row r="304" spans="5:62" s="7" customFormat="1" ht="15.75" customHeight="1">
      <c r="E304" s="59" t="s">
        <v>100</v>
      </c>
      <c r="F304" s="60"/>
      <c r="G304" s="60"/>
      <c r="H304" s="56">
        <f>入力!AL4</f>
        <v>13</v>
      </c>
      <c r="I304" s="57"/>
      <c r="J304" s="58"/>
      <c r="K304" s="76">
        <f>X148*AG177</f>
        <v>57179.997774784249</v>
      </c>
      <c r="L304" s="67"/>
      <c r="M304" s="67"/>
      <c r="N304" s="67"/>
      <c r="O304" s="67">
        <f>X148*AG178</f>
        <v>65147.070432035573</v>
      </c>
      <c r="P304" s="67"/>
      <c r="Q304" s="67"/>
      <c r="R304" s="67"/>
      <c r="S304" s="74">
        <f>R290</f>
        <v>1.3</v>
      </c>
      <c r="T304" s="74"/>
      <c r="U304" s="74"/>
      <c r="V304" s="68">
        <f>ROUND(K304*S304*H304,-1)</f>
        <v>966340</v>
      </c>
      <c r="W304" s="116"/>
      <c r="X304" s="116"/>
      <c r="Y304" s="116"/>
      <c r="Z304" s="76"/>
      <c r="AA304" s="67">
        <f>ROUND(O304*S304*H304,-1)</f>
        <v>1100990</v>
      </c>
      <c r="AB304" s="67"/>
      <c r="AC304" s="67"/>
      <c r="AD304" s="67"/>
      <c r="AE304" s="68"/>
      <c r="AJ304" s="18"/>
      <c r="AK304" s="18"/>
      <c r="AL304" s="18"/>
      <c r="AM304" s="18"/>
      <c r="BH304" s="18"/>
      <c r="BI304" s="18"/>
      <c r="BJ304" s="18"/>
    </row>
    <row r="305" spans="4:62" s="7" customFormat="1" ht="15.75" customHeight="1">
      <c r="E305" s="39" t="s">
        <v>99</v>
      </c>
      <c r="F305" s="39"/>
      <c r="G305" s="48"/>
      <c r="H305" s="50" t="s">
        <v>247</v>
      </c>
      <c r="I305" s="104"/>
      <c r="J305" s="105"/>
      <c r="K305" s="86" t="s">
        <v>464</v>
      </c>
      <c r="L305" s="60"/>
      <c r="M305" s="60"/>
      <c r="N305" s="60"/>
      <c r="O305" s="72" t="s">
        <v>466</v>
      </c>
      <c r="P305" s="60"/>
      <c r="Q305" s="60"/>
      <c r="R305" s="60"/>
      <c r="S305" s="38" t="s">
        <v>265</v>
      </c>
      <c r="T305" s="39"/>
      <c r="U305" s="48"/>
      <c r="V305" s="72" t="s">
        <v>468</v>
      </c>
      <c r="W305" s="72"/>
      <c r="X305" s="72"/>
      <c r="Y305" s="72"/>
      <c r="Z305" s="81"/>
      <c r="AA305" s="72" t="s">
        <v>470</v>
      </c>
      <c r="AB305" s="72"/>
      <c r="AC305" s="72"/>
      <c r="AD305" s="72"/>
      <c r="AE305" s="81"/>
      <c r="AF305" s="29"/>
      <c r="AG305" s="29"/>
      <c r="AH305" s="29"/>
      <c r="AI305" s="29"/>
      <c r="AJ305" s="18"/>
      <c r="AK305" s="18"/>
      <c r="AL305" s="18"/>
      <c r="AM305" s="18"/>
      <c r="BH305" s="18"/>
      <c r="BI305" s="18"/>
      <c r="BJ305" s="18"/>
    </row>
    <row r="306" spans="4:62" s="7" customFormat="1" ht="15.75" customHeight="1">
      <c r="E306" s="70"/>
      <c r="F306" s="70"/>
      <c r="G306" s="71"/>
      <c r="H306" s="78"/>
      <c r="I306" s="106"/>
      <c r="J306" s="107"/>
      <c r="K306" s="86"/>
      <c r="L306" s="60"/>
      <c r="M306" s="60"/>
      <c r="N306" s="60"/>
      <c r="O306" s="72"/>
      <c r="P306" s="60"/>
      <c r="Q306" s="60"/>
      <c r="R306" s="60"/>
      <c r="S306" s="111"/>
      <c r="T306" s="70"/>
      <c r="U306" s="71"/>
      <c r="V306" s="72"/>
      <c r="W306" s="72"/>
      <c r="X306" s="72"/>
      <c r="Y306" s="72"/>
      <c r="Z306" s="81"/>
      <c r="AA306" s="72"/>
      <c r="AB306" s="72"/>
      <c r="AC306" s="72"/>
      <c r="AD306" s="72"/>
      <c r="AE306" s="81"/>
      <c r="AF306" s="29"/>
      <c r="AG306" s="29"/>
      <c r="AH306" s="29"/>
      <c r="AI306" s="29"/>
      <c r="AJ306" s="18"/>
      <c r="AK306" s="18"/>
      <c r="AL306" s="18"/>
      <c r="AM306" s="18"/>
      <c r="BH306" s="18"/>
      <c r="BI306" s="18"/>
      <c r="BJ306" s="18"/>
    </row>
    <row r="307" spans="4:62" s="7" customFormat="1" ht="15.75" customHeight="1">
      <c r="E307" s="41"/>
      <c r="F307" s="41"/>
      <c r="G307" s="49"/>
      <c r="H307" s="108"/>
      <c r="I307" s="109"/>
      <c r="J307" s="110"/>
      <c r="K307" s="59"/>
      <c r="L307" s="60"/>
      <c r="M307" s="60"/>
      <c r="N307" s="60"/>
      <c r="O307" s="60"/>
      <c r="P307" s="60"/>
      <c r="Q307" s="60"/>
      <c r="R307" s="60"/>
      <c r="S307" s="40"/>
      <c r="T307" s="41"/>
      <c r="U307" s="49"/>
      <c r="V307" s="72"/>
      <c r="W307" s="72"/>
      <c r="X307" s="72"/>
      <c r="Y307" s="72"/>
      <c r="Z307" s="81"/>
      <c r="AA307" s="72"/>
      <c r="AB307" s="72"/>
      <c r="AC307" s="72"/>
      <c r="AD307" s="72"/>
      <c r="AE307" s="81"/>
      <c r="AF307" s="29"/>
      <c r="AG307" s="29"/>
      <c r="AH307" s="29"/>
      <c r="AI307" s="29"/>
      <c r="AJ307" s="18"/>
      <c r="AK307" s="18"/>
      <c r="AL307" s="18"/>
      <c r="AM307" s="18"/>
      <c r="BH307" s="18"/>
      <c r="BI307" s="18"/>
      <c r="BJ307" s="18"/>
    </row>
    <row r="308" spans="4:62" s="7" customFormat="1" ht="15.75" customHeight="1">
      <c r="E308" s="59" t="s">
        <v>100</v>
      </c>
      <c r="F308" s="60"/>
      <c r="G308" s="60"/>
      <c r="H308" s="56">
        <f>入力!AL4</f>
        <v>13</v>
      </c>
      <c r="I308" s="57"/>
      <c r="J308" s="58"/>
      <c r="K308" s="76">
        <f>AD148*AG177</f>
        <v>114359.9955495685</v>
      </c>
      <c r="L308" s="67"/>
      <c r="M308" s="67"/>
      <c r="N308" s="67"/>
      <c r="O308" s="67">
        <f>AD148*AG178</f>
        <v>130294.14086407115</v>
      </c>
      <c r="P308" s="67"/>
      <c r="Q308" s="67"/>
      <c r="R308" s="67"/>
      <c r="S308" s="74">
        <f>R290</f>
        <v>1.3</v>
      </c>
      <c r="T308" s="74"/>
      <c r="U308" s="74"/>
      <c r="V308" s="68">
        <f>ROUND(K308*S308*H308,-1)</f>
        <v>1932680</v>
      </c>
      <c r="W308" s="116"/>
      <c r="X308" s="116"/>
      <c r="Y308" s="116"/>
      <c r="Z308" s="76"/>
      <c r="AA308" s="67">
        <f>ROUND(O308*S308*H308,-1)</f>
        <v>2201970</v>
      </c>
      <c r="AB308" s="67"/>
      <c r="AC308" s="67"/>
      <c r="AD308" s="67"/>
      <c r="AE308" s="68"/>
      <c r="AF308" s="29"/>
      <c r="AG308" s="29"/>
      <c r="AH308" s="29"/>
      <c r="AI308" s="29"/>
      <c r="AJ308" s="18"/>
      <c r="AK308" s="18"/>
      <c r="AL308" s="18"/>
      <c r="AM308" s="18"/>
      <c r="BH308" s="18"/>
      <c r="BI308" s="18"/>
      <c r="BJ308" s="18"/>
    </row>
    <row r="309" spans="4:62" s="7" customFormat="1" ht="15.75" customHeight="1">
      <c r="H309" s="6"/>
      <c r="J309" s="6"/>
      <c r="K309" s="6"/>
      <c r="L309" s="6"/>
      <c r="M309" s="6"/>
      <c r="N309" s="6"/>
      <c r="O309" s="6"/>
      <c r="P309" s="6"/>
      <c r="Q309" s="6"/>
      <c r="R309" s="6"/>
      <c r="S309" s="6"/>
      <c r="T309" s="6"/>
      <c r="U309" s="6"/>
      <c r="V309" s="6"/>
      <c r="W309" s="6"/>
      <c r="X309" s="18"/>
      <c r="Y309" s="18" t="s">
        <v>251</v>
      </c>
      <c r="Z309" s="18" t="s">
        <v>266</v>
      </c>
      <c r="AA309" s="6" t="s">
        <v>35</v>
      </c>
      <c r="AB309" s="75" t="s">
        <v>267</v>
      </c>
      <c r="AC309" s="75"/>
      <c r="AD309" s="18"/>
      <c r="AE309" s="18"/>
      <c r="AF309" s="18"/>
      <c r="AG309" s="18"/>
      <c r="AH309" s="18"/>
      <c r="AI309" s="18"/>
      <c r="AJ309" s="18"/>
      <c r="AK309" s="18"/>
      <c r="AL309" s="18"/>
      <c r="AM309" s="18"/>
      <c r="BD309" s="18"/>
      <c r="BE309" s="18"/>
      <c r="BF309" s="18"/>
    </row>
    <row r="310" spans="4:62" s="7" customFormat="1" ht="15.75" customHeight="1">
      <c r="AM310" s="18"/>
      <c r="BD310" s="18"/>
      <c r="BE310" s="18"/>
      <c r="BF310" s="18"/>
    </row>
    <row r="311" spans="4:62" s="7" customFormat="1" ht="15.75" customHeight="1">
      <c r="AM311" s="18"/>
      <c r="BD311" s="18"/>
      <c r="BE311" s="18"/>
      <c r="BF311" s="18"/>
    </row>
    <row r="312" spans="4:62" s="7" customFormat="1" ht="15.75" customHeight="1">
      <c r="AM312" s="18"/>
      <c r="AY312" s="18"/>
      <c r="AZ312" s="18"/>
      <c r="BA312" s="18"/>
      <c r="BB312" s="18"/>
      <c r="BC312" s="18"/>
      <c r="BD312" s="18"/>
      <c r="BE312" s="18"/>
      <c r="BF312" s="18"/>
    </row>
    <row r="313" spans="4:62" s="7" customFormat="1" ht="15.75" customHeight="1">
      <c r="D313" s="7" t="s">
        <v>268</v>
      </c>
      <c r="AM313" s="18"/>
      <c r="AY313" s="18"/>
      <c r="AZ313" s="18"/>
      <c r="BA313" s="18"/>
      <c r="BB313" s="18"/>
      <c r="BC313" s="18"/>
      <c r="BD313" s="18"/>
      <c r="BE313" s="18"/>
      <c r="BF313" s="18"/>
    </row>
    <row r="314" spans="4:62" s="7" customFormat="1" ht="15.75" customHeight="1">
      <c r="AM314" s="18"/>
      <c r="AY314" s="18"/>
      <c r="AZ314" s="18"/>
      <c r="BA314" s="18"/>
      <c r="BB314" s="18"/>
      <c r="BC314" s="18"/>
      <c r="BD314" s="18"/>
      <c r="BE314" s="18"/>
      <c r="BF314" s="18"/>
    </row>
    <row r="315" spans="4:62" s="7" customFormat="1" ht="15.75" customHeight="1">
      <c r="F315" s="7" t="s">
        <v>269</v>
      </c>
      <c r="AM315" s="18"/>
      <c r="AY315" s="18"/>
      <c r="AZ315" s="18"/>
      <c r="BA315" s="18"/>
      <c r="BB315" s="18"/>
      <c r="BC315" s="18"/>
      <c r="BD315" s="18"/>
      <c r="BE315" s="18"/>
      <c r="BF315" s="18"/>
    </row>
    <row r="316" spans="4:62" s="7" customFormat="1" ht="15.75" customHeight="1">
      <c r="G316" s="7" t="s">
        <v>270</v>
      </c>
    </row>
    <row r="317" spans="4:62" s="7" customFormat="1" ht="15.75" customHeight="1"/>
    <row r="318" spans="4:62" s="7" customFormat="1" ht="15.75" customHeight="1">
      <c r="J318" s="75" t="s">
        <v>271</v>
      </c>
      <c r="K318" s="75"/>
      <c r="L318" s="75"/>
      <c r="M318" s="75"/>
      <c r="N318" s="75"/>
      <c r="O318" s="75"/>
      <c r="P318" s="75"/>
      <c r="Q318" s="75"/>
      <c r="R318" s="75"/>
      <c r="S318" s="75"/>
      <c r="T318" s="75"/>
      <c r="U318" s="75"/>
      <c r="V318" s="75"/>
      <c r="W318" s="75"/>
      <c r="X318" s="75"/>
      <c r="Y318" s="75"/>
      <c r="Z318" s="75"/>
    </row>
    <row r="319" spans="4:62" s="7" customFormat="1" ht="15.75" customHeight="1">
      <c r="M319" s="86" t="s">
        <v>272</v>
      </c>
      <c r="N319" s="60"/>
      <c r="O319" s="60"/>
      <c r="P319" s="60"/>
      <c r="Q319" s="60"/>
      <c r="R319" s="72" t="s">
        <v>273</v>
      </c>
      <c r="S319" s="60"/>
      <c r="T319" s="60"/>
      <c r="U319" s="60"/>
      <c r="V319" s="62"/>
    </row>
    <row r="320" spans="4:62" s="7" customFormat="1" ht="15.75" customHeight="1">
      <c r="M320" s="59"/>
      <c r="N320" s="60"/>
      <c r="O320" s="60"/>
      <c r="P320" s="60"/>
      <c r="Q320" s="60"/>
      <c r="R320" s="60"/>
      <c r="S320" s="60"/>
      <c r="T320" s="60"/>
      <c r="U320" s="60"/>
      <c r="V320" s="62"/>
    </row>
    <row r="321" spans="4:31" s="7" customFormat="1" ht="15.75" customHeight="1">
      <c r="M321" s="76">
        <f>J199*0.65^2*PI()</f>
        <v>58704.837050554561</v>
      </c>
      <c r="N321" s="67"/>
      <c r="O321" s="67"/>
      <c r="P321" s="67"/>
      <c r="Q321" s="67"/>
      <c r="R321" s="67">
        <f>J203*0.65^2*PI()</f>
        <v>117409.67410110912</v>
      </c>
      <c r="S321" s="67"/>
      <c r="T321" s="67"/>
      <c r="U321" s="67"/>
      <c r="V321" s="68"/>
    </row>
    <row r="322" spans="4:31" s="7" customFormat="1" ht="15.75" customHeight="1"/>
    <row r="323" spans="4:31" s="7" customFormat="1" ht="15.75" customHeight="1"/>
    <row r="324" spans="4:31" s="7" customFormat="1" ht="15.75" customHeight="1">
      <c r="F324" s="7" t="s">
        <v>274</v>
      </c>
    </row>
    <row r="325" spans="4:31" s="7" customFormat="1" ht="15.75" customHeight="1">
      <c r="G325" s="7" t="s">
        <v>275</v>
      </c>
    </row>
    <row r="326" spans="4:31" s="7" customFormat="1" ht="15.75" customHeight="1"/>
    <row r="327" spans="4:31" s="7" customFormat="1" ht="15.75" customHeight="1">
      <c r="J327" s="75" t="s">
        <v>276</v>
      </c>
      <c r="K327" s="75"/>
      <c r="L327" s="75"/>
      <c r="M327" s="75"/>
      <c r="N327" s="75"/>
      <c r="O327" s="75"/>
      <c r="P327" s="75"/>
      <c r="Q327" s="75"/>
      <c r="R327" s="75"/>
      <c r="S327" s="75"/>
      <c r="T327" s="75"/>
      <c r="U327" s="75"/>
      <c r="V327" s="75"/>
      <c r="W327" s="75"/>
      <c r="X327" s="75"/>
      <c r="Y327" s="75"/>
      <c r="Z327" s="75"/>
      <c r="AA327" s="18"/>
      <c r="AB327" s="18"/>
      <c r="AC327" s="18"/>
      <c r="AD327" s="18"/>
      <c r="AE327" s="18"/>
    </row>
    <row r="328" spans="4:31" s="7" customFormat="1" ht="15.75" customHeight="1">
      <c r="H328" s="39" t="s">
        <v>99</v>
      </c>
      <c r="I328" s="39"/>
      <c r="J328" s="48"/>
      <c r="K328" s="50" t="s">
        <v>247</v>
      </c>
      <c r="L328" s="51"/>
      <c r="M328" s="52"/>
      <c r="N328" s="72" t="s">
        <v>471</v>
      </c>
      <c r="O328" s="72"/>
      <c r="P328" s="72"/>
      <c r="Q328" s="81"/>
      <c r="R328" s="72" t="s">
        <v>472</v>
      </c>
      <c r="S328" s="60"/>
      <c r="T328" s="60"/>
      <c r="U328" s="60"/>
      <c r="V328" s="72" t="s">
        <v>474</v>
      </c>
      <c r="W328" s="60"/>
      <c r="X328" s="60"/>
      <c r="Y328" s="60"/>
      <c r="Z328" s="72" t="s">
        <v>473</v>
      </c>
      <c r="AA328" s="60"/>
      <c r="AB328" s="60"/>
      <c r="AC328" s="62"/>
    </row>
    <row r="329" spans="4:31" s="7" customFormat="1" ht="15.75" customHeight="1">
      <c r="H329" s="70"/>
      <c r="I329" s="70"/>
      <c r="J329" s="71"/>
      <c r="K329" s="78"/>
      <c r="L329" s="79"/>
      <c r="M329" s="80"/>
      <c r="N329" s="72"/>
      <c r="O329" s="72"/>
      <c r="P329" s="72"/>
      <c r="Q329" s="81"/>
      <c r="R329" s="72"/>
      <c r="S329" s="60"/>
      <c r="T329" s="60"/>
      <c r="U329" s="60"/>
      <c r="V329" s="72"/>
      <c r="W329" s="60"/>
      <c r="X329" s="60"/>
      <c r="Y329" s="60"/>
      <c r="Z329" s="72"/>
      <c r="AA329" s="60"/>
      <c r="AB329" s="60"/>
      <c r="AC329" s="62"/>
    </row>
    <row r="330" spans="4:31" s="7" customFormat="1" ht="15.75" customHeight="1">
      <c r="H330" s="41"/>
      <c r="I330" s="41"/>
      <c r="J330" s="49"/>
      <c r="K330" s="53"/>
      <c r="L330" s="54"/>
      <c r="M330" s="55"/>
      <c r="N330" s="72"/>
      <c r="O330" s="72"/>
      <c r="P330" s="72"/>
      <c r="Q330" s="81"/>
      <c r="R330" s="60"/>
      <c r="S330" s="60"/>
      <c r="T330" s="60"/>
      <c r="U330" s="60"/>
      <c r="V330" s="60"/>
      <c r="W330" s="60"/>
      <c r="X330" s="60"/>
      <c r="Y330" s="60"/>
      <c r="Z330" s="60"/>
      <c r="AA330" s="60"/>
      <c r="AB330" s="60"/>
      <c r="AC330" s="62"/>
    </row>
    <row r="331" spans="4:31" s="7" customFormat="1" ht="15.75" customHeight="1">
      <c r="H331" s="59" t="s">
        <v>100</v>
      </c>
      <c r="I331" s="60"/>
      <c r="J331" s="60"/>
      <c r="K331" s="56">
        <f>入力!AL4</f>
        <v>13</v>
      </c>
      <c r="L331" s="57"/>
      <c r="M331" s="58"/>
      <c r="N331" s="67">
        <f>R331*T270*K331</f>
        <v>408390.70868487447</v>
      </c>
      <c r="O331" s="69"/>
      <c r="P331" s="69"/>
      <c r="Q331" s="69"/>
      <c r="R331" s="67">
        <f>T112</f>
        <v>7692</v>
      </c>
      <c r="S331" s="69"/>
      <c r="T331" s="69"/>
      <c r="U331" s="69"/>
      <c r="V331" s="67">
        <f>Z331*T270*K331</f>
        <v>816834.5102855945</v>
      </c>
      <c r="W331" s="69"/>
      <c r="X331" s="69"/>
      <c r="Y331" s="69"/>
      <c r="Z331" s="67">
        <f>T117</f>
        <v>15385</v>
      </c>
      <c r="AA331" s="67"/>
      <c r="AB331" s="67"/>
      <c r="AC331" s="68"/>
    </row>
    <row r="332" spans="4:31" s="7" customFormat="1" ht="15.75" customHeight="1">
      <c r="H332" s="6"/>
      <c r="J332" s="6"/>
      <c r="K332" s="6"/>
      <c r="L332" s="6"/>
      <c r="M332" s="6"/>
      <c r="N332" s="6"/>
      <c r="O332" s="6"/>
      <c r="P332" s="6"/>
      <c r="Q332" s="6"/>
      <c r="R332" s="6"/>
      <c r="S332" s="6"/>
      <c r="T332" s="6"/>
      <c r="U332" s="6"/>
      <c r="V332" s="6"/>
      <c r="W332" s="6"/>
      <c r="X332" s="18"/>
      <c r="Y332" s="18"/>
      <c r="Z332" s="26"/>
      <c r="AA332" s="6"/>
      <c r="AB332" s="27"/>
      <c r="AC332" s="27"/>
      <c r="AD332" s="18"/>
      <c r="AE332" s="18"/>
    </row>
    <row r="333" spans="4:31" s="7" customFormat="1" ht="15.75" customHeight="1"/>
    <row r="334" spans="4:31" s="7" customFormat="1" ht="15.75" customHeight="1"/>
    <row r="335" spans="4:31" s="7" customFormat="1" ht="15.75" customHeight="1"/>
    <row r="336" spans="4:31" s="7" customFormat="1" ht="15.75" customHeight="1">
      <c r="D336" s="13" t="s">
        <v>277</v>
      </c>
    </row>
    <row r="337" spans="4:12" s="7" customFormat="1" ht="15.75" customHeight="1"/>
    <row r="338" spans="4:12" s="7" customFormat="1" ht="15.75" customHeight="1">
      <c r="D338" s="13" t="s">
        <v>278</v>
      </c>
    </row>
    <row r="339" spans="4:12" s="7" customFormat="1" ht="15.75" customHeight="1"/>
    <row r="340" spans="4:12" s="7" customFormat="1" ht="15.75" customHeight="1">
      <c r="E340" s="36" t="s">
        <v>279</v>
      </c>
      <c r="F340" s="36"/>
      <c r="G340" s="6" t="s">
        <v>35</v>
      </c>
      <c r="H340" s="36" t="s">
        <v>280</v>
      </c>
      <c r="I340" s="36"/>
      <c r="J340" s="6" t="s">
        <v>7</v>
      </c>
      <c r="K340" s="36" t="s">
        <v>281</v>
      </c>
      <c r="L340" s="36"/>
    </row>
    <row r="341" spans="4:12" s="7" customFormat="1" ht="15.75" customHeight="1"/>
    <row r="342" spans="4:12" s="7" customFormat="1" ht="15.75" customHeight="1">
      <c r="F342" s="7" t="s">
        <v>4</v>
      </c>
      <c r="I342" s="117" t="s">
        <v>279</v>
      </c>
      <c r="J342" s="117"/>
      <c r="K342" s="6" t="s">
        <v>3</v>
      </c>
      <c r="L342" s="7" t="s">
        <v>283</v>
      </c>
    </row>
    <row r="343" spans="4:12" s="7" customFormat="1" ht="15.75" customHeight="1">
      <c r="I343" s="117" t="s">
        <v>280</v>
      </c>
      <c r="J343" s="117"/>
      <c r="K343" s="6" t="s">
        <v>3</v>
      </c>
      <c r="L343" s="7" t="s">
        <v>284</v>
      </c>
    </row>
    <row r="344" spans="4:12" s="7" customFormat="1" ht="15.75" customHeight="1">
      <c r="I344" s="117" t="s">
        <v>282</v>
      </c>
      <c r="J344" s="117"/>
      <c r="K344" s="6" t="s">
        <v>3</v>
      </c>
      <c r="L344" s="7" t="s">
        <v>285</v>
      </c>
    </row>
    <row r="345" spans="4:12" s="7" customFormat="1" ht="15.75" customHeight="1"/>
    <row r="346" spans="4:12" s="7" customFormat="1" ht="15.75" customHeight="1">
      <c r="E346" s="7" t="s">
        <v>286</v>
      </c>
    </row>
    <row r="347" spans="4:12" s="7" customFormat="1" ht="15.75" customHeight="1">
      <c r="F347" s="7" t="s">
        <v>287</v>
      </c>
    </row>
    <row r="348" spans="4:12" ht="15.75" customHeight="1">
      <c r="E348" s="6"/>
    </row>
    <row r="349" spans="4:12" s="7" customFormat="1" ht="15.75" customHeight="1">
      <c r="E349" s="36" t="s">
        <v>280</v>
      </c>
      <c r="F349" s="36"/>
      <c r="G349" s="6" t="s">
        <v>35</v>
      </c>
      <c r="H349" s="36" t="s">
        <v>288</v>
      </c>
      <c r="I349" s="36"/>
      <c r="J349" s="6" t="s">
        <v>7</v>
      </c>
      <c r="K349" s="36" t="s">
        <v>289</v>
      </c>
      <c r="L349" s="36"/>
    </row>
    <row r="350" spans="4:12" s="7" customFormat="1" ht="15.75" customHeight="1"/>
    <row r="351" spans="4:12" s="7" customFormat="1" ht="15.75" customHeight="1">
      <c r="F351" s="7" t="s">
        <v>4</v>
      </c>
      <c r="I351" s="117" t="s">
        <v>280</v>
      </c>
      <c r="J351" s="117"/>
      <c r="K351" s="6" t="s">
        <v>3</v>
      </c>
      <c r="L351" s="7" t="s">
        <v>290</v>
      </c>
    </row>
    <row r="352" spans="4:12" s="7" customFormat="1" ht="15.75" customHeight="1">
      <c r="I352" s="117" t="s">
        <v>288</v>
      </c>
      <c r="J352" s="117"/>
      <c r="K352" s="6" t="s">
        <v>3</v>
      </c>
      <c r="L352" s="7" t="s">
        <v>493</v>
      </c>
    </row>
    <row r="353" spans="5:27" s="7" customFormat="1" ht="15.75" customHeight="1">
      <c r="I353" s="8"/>
      <c r="J353" s="8"/>
      <c r="K353" s="6"/>
      <c r="L353" s="7" t="s">
        <v>494</v>
      </c>
    </row>
    <row r="354" spans="5:27" s="7" customFormat="1" ht="15.75" customHeight="1">
      <c r="I354" s="8"/>
      <c r="J354" s="8"/>
      <c r="K354" s="6"/>
      <c r="M354" s="7" t="s">
        <v>291</v>
      </c>
      <c r="R354" s="6" t="s">
        <v>3</v>
      </c>
      <c r="S354" s="36" t="s">
        <v>288</v>
      </c>
      <c r="T354" s="36"/>
      <c r="U354" s="6" t="s">
        <v>35</v>
      </c>
      <c r="V354" s="36" t="s">
        <v>294</v>
      </c>
      <c r="W354" s="36"/>
      <c r="X354" s="7" t="s">
        <v>295</v>
      </c>
      <c r="Y354" s="36">
        <v>3500</v>
      </c>
      <c r="Z354" s="36"/>
      <c r="AA354" s="7" t="s">
        <v>296</v>
      </c>
    </row>
    <row r="355" spans="5:27" s="7" customFormat="1" ht="15.75" customHeight="1">
      <c r="I355" s="8"/>
      <c r="J355" s="8"/>
      <c r="K355" s="6"/>
      <c r="M355" s="7" t="s">
        <v>292</v>
      </c>
      <c r="R355" s="6" t="s">
        <v>3</v>
      </c>
      <c r="S355" s="36" t="s">
        <v>288</v>
      </c>
      <c r="T355" s="36"/>
      <c r="U355" s="6" t="s">
        <v>35</v>
      </c>
      <c r="V355" s="36" t="s">
        <v>294</v>
      </c>
      <c r="W355" s="36"/>
      <c r="X355" s="7" t="s">
        <v>295</v>
      </c>
      <c r="Y355" s="36">
        <v>7500</v>
      </c>
      <c r="Z355" s="36"/>
      <c r="AA355" s="7" t="s">
        <v>296</v>
      </c>
    </row>
    <row r="356" spans="5:27" s="7" customFormat="1" ht="15.75" customHeight="1">
      <c r="I356" s="8"/>
      <c r="J356" s="8"/>
      <c r="K356" s="6"/>
      <c r="M356" s="7" t="s">
        <v>293</v>
      </c>
      <c r="N356" s="6" t="s">
        <v>3</v>
      </c>
      <c r="O356" s="7" t="s">
        <v>297</v>
      </c>
    </row>
    <row r="357" spans="5:27" s="7" customFormat="1" ht="15.75" customHeight="1">
      <c r="I357" s="117" t="s">
        <v>289</v>
      </c>
      <c r="J357" s="117"/>
      <c r="K357" s="6" t="s">
        <v>3</v>
      </c>
      <c r="L357" s="7" t="s">
        <v>495</v>
      </c>
    </row>
    <row r="358" spans="5:27" ht="15.75" customHeight="1">
      <c r="E358" s="6"/>
      <c r="L358" s="9" t="s">
        <v>496</v>
      </c>
    </row>
    <row r="359" spans="5:27" ht="15.75" customHeight="1">
      <c r="E359" s="6"/>
    </row>
    <row r="360" spans="5:27" ht="15.75" customHeight="1">
      <c r="E360" s="7" t="s">
        <v>497</v>
      </c>
    </row>
    <row r="361" spans="5:27" ht="15.75" customHeight="1">
      <c r="E361" s="7" t="s">
        <v>498</v>
      </c>
    </row>
    <row r="363" spans="5:27" ht="15.75" customHeight="1">
      <c r="E363" s="36" t="s">
        <v>280</v>
      </c>
      <c r="F363" s="36"/>
      <c r="G363" s="6" t="s">
        <v>35</v>
      </c>
      <c r="H363" s="36" t="s">
        <v>288</v>
      </c>
      <c r="I363" s="36"/>
      <c r="J363" s="6" t="s">
        <v>7</v>
      </c>
      <c r="K363" s="36" t="s">
        <v>289</v>
      </c>
      <c r="L363" s="36"/>
    </row>
    <row r="364" spans="5:27" ht="15.75" customHeight="1">
      <c r="G364" s="6" t="s">
        <v>35</v>
      </c>
      <c r="H364" s="36">
        <v>60</v>
      </c>
      <c r="I364" s="36"/>
      <c r="J364" s="36" t="s">
        <v>298</v>
      </c>
      <c r="K364" s="36"/>
      <c r="L364" s="118">
        <v>0.25</v>
      </c>
      <c r="M364" s="118"/>
      <c r="N364" s="6" t="s">
        <v>299</v>
      </c>
      <c r="O364" s="6" t="s">
        <v>118</v>
      </c>
      <c r="P364" s="36" t="s">
        <v>300</v>
      </c>
      <c r="Q364" s="36"/>
    </row>
    <row r="365" spans="5:27" ht="15.75" customHeight="1">
      <c r="G365" s="6" t="s">
        <v>35</v>
      </c>
      <c r="H365" s="36">
        <v>60</v>
      </c>
      <c r="I365" s="36"/>
      <c r="J365" s="6" t="s">
        <v>2</v>
      </c>
      <c r="K365" s="36">
        <v>50</v>
      </c>
      <c r="L365" s="36"/>
      <c r="M365" s="6" t="s">
        <v>2</v>
      </c>
      <c r="N365" s="118">
        <v>0.25</v>
      </c>
      <c r="O365" s="118"/>
      <c r="P365" s="6" t="s">
        <v>2</v>
      </c>
      <c r="Q365" s="6" t="s">
        <v>299</v>
      </c>
      <c r="R365" s="6" t="s">
        <v>2</v>
      </c>
      <c r="S365" s="119">
        <f>入力!AL8</f>
        <v>1.3</v>
      </c>
      <c r="T365" s="119"/>
      <c r="U365" s="119"/>
      <c r="V365" s="28" t="s">
        <v>301</v>
      </c>
    </row>
    <row r="366" spans="5:27" ht="15.75" customHeight="1">
      <c r="G366" s="6" t="s">
        <v>35</v>
      </c>
      <c r="H366" s="36">
        <f>H365*K365*S365^2</f>
        <v>5070.0000000000009</v>
      </c>
      <c r="I366" s="36"/>
      <c r="J366" s="7" t="s">
        <v>296</v>
      </c>
      <c r="M366" s="6" t="s">
        <v>2</v>
      </c>
      <c r="N366" s="119">
        <f>N365*PI()</f>
        <v>0.78539816339744828</v>
      </c>
      <c r="O366" s="119"/>
      <c r="P366" s="7" t="s">
        <v>302</v>
      </c>
    </row>
    <row r="367" spans="5:27" ht="15.75" customHeight="1">
      <c r="G367" s="6" t="s">
        <v>35</v>
      </c>
      <c r="H367" s="120">
        <f>H366*N366</f>
        <v>3981.9686884250636</v>
      </c>
      <c r="I367" s="120"/>
      <c r="J367" s="120"/>
      <c r="K367" s="7" t="s">
        <v>303</v>
      </c>
    </row>
    <row r="369" spans="5:38" ht="15.75" customHeight="1">
      <c r="F369" s="9" t="s">
        <v>304</v>
      </c>
    </row>
    <row r="372" spans="5:38" ht="15.75" customHeight="1">
      <c r="E372" s="7" t="s">
        <v>305</v>
      </c>
      <c r="F372" s="7"/>
      <c r="G372" s="7"/>
      <c r="H372" s="7"/>
      <c r="I372" s="7"/>
      <c r="J372" s="7"/>
      <c r="K372" s="7"/>
      <c r="L372" s="7"/>
      <c r="M372" s="7"/>
      <c r="N372" s="7"/>
      <c r="O372" s="7"/>
      <c r="P372" s="7"/>
      <c r="Q372" s="7"/>
      <c r="R372" s="7"/>
      <c r="S372" s="7"/>
      <c r="T372" s="7"/>
      <c r="U372" s="7"/>
      <c r="V372" s="7"/>
      <c r="W372" s="7"/>
      <c r="X372" s="7"/>
      <c r="Y372" s="7"/>
      <c r="Z372" s="7"/>
      <c r="AA372" s="7"/>
      <c r="AB372" s="7"/>
      <c r="AC372" s="7"/>
      <c r="AD372" s="7"/>
      <c r="AE372" s="7"/>
      <c r="AF372" s="7"/>
      <c r="AG372" s="7"/>
      <c r="AH372" s="7"/>
    </row>
    <row r="373" spans="5:38" ht="15.75" customHeight="1">
      <c r="F373" s="7" t="s">
        <v>306</v>
      </c>
      <c r="G373" s="7"/>
      <c r="H373" s="7"/>
      <c r="I373" s="7"/>
      <c r="J373" s="7"/>
      <c r="K373" s="7"/>
      <c r="L373" s="7"/>
      <c r="M373" s="7"/>
      <c r="N373" s="7"/>
      <c r="O373" s="7"/>
      <c r="P373" s="7"/>
      <c r="Q373" s="7"/>
      <c r="R373" s="7"/>
      <c r="S373" s="7"/>
      <c r="T373" s="7"/>
      <c r="U373" s="7"/>
      <c r="V373" s="7"/>
      <c r="W373" s="7"/>
      <c r="X373" s="7"/>
      <c r="Y373" s="7"/>
      <c r="Z373" s="7"/>
      <c r="AA373" s="7"/>
      <c r="AB373" s="7"/>
      <c r="AC373" s="7"/>
      <c r="AD373" s="7"/>
      <c r="AE373" s="7"/>
      <c r="AF373" s="7"/>
      <c r="AG373" s="7"/>
      <c r="AH373" s="7"/>
    </row>
    <row r="374" spans="5:38" ht="15.75" customHeight="1">
      <c r="E374" s="6"/>
    </row>
    <row r="375" spans="5:38" ht="15.75" customHeight="1">
      <c r="E375" s="36" t="s">
        <v>282</v>
      </c>
      <c r="F375" s="36"/>
      <c r="G375" s="6" t="s">
        <v>35</v>
      </c>
      <c r="H375" s="36" t="s">
        <v>307</v>
      </c>
      <c r="I375" s="36"/>
      <c r="J375" s="6" t="s">
        <v>2</v>
      </c>
      <c r="K375" s="36" t="s">
        <v>308</v>
      </c>
      <c r="L375" s="36"/>
      <c r="M375" s="7" t="s">
        <v>2</v>
      </c>
      <c r="N375" s="9" t="s">
        <v>309</v>
      </c>
      <c r="O375" s="7"/>
      <c r="P375" s="7"/>
      <c r="Q375" s="7"/>
      <c r="R375" s="7"/>
      <c r="S375" s="7"/>
      <c r="T375" s="7"/>
      <c r="U375" s="7"/>
      <c r="V375" s="7"/>
      <c r="W375" s="7"/>
      <c r="X375" s="7"/>
      <c r="Y375" s="7"/>
      <c r="Z375" s="7"/>
      <c r="AA375" s="7"/>
      <c r="AB375" s="7"/>
      <c r="AC375" s="7"/>
      <c r="AD375" s="7"/>
      <c r="AE375" s="7"/>
      <c r="AF375" s="7"/>
      <c r="AG375" s="7"/>
      <c r="AH375" s="7"/>
    </row>
    <row r="376" spans="5:38" ht="15.75" customHeight="1">
      <c r="F376" s="7"/>
      <c r="G376" s="7"/>
      <c r="H376" s="7"/>
      <c r="I376" s="7"/>
      <c r="J376" s="7"/>
      <c r="K376" s="7"/>
      <c r="L376" s="7"/>
      <c r="M376" s="7"/>
      <c r="N376" s="7"/>
      <c r="O376" s="7"/>
      <c r="P376" s="7"/>
      <c r="Q376" s="7"/>
      <c r="R376" s="7"/>
      <c r="S376" s="7"/>
      <c r="T376" s="7"/>
      <c r="U376" s="7"/>
      <c r="V376" s="7"/>
      <c r="W376" s="7"/>
      <c r="X376" s="7"/>
      <c r="Y376" s="7"/>
      <c r="Z376" s="7"/>
      <c r="AA376" s="7"/>
      <c r="AB376" s="7"/>
      <c r="AC376" s="7"/>
      <c r="AD376" s="7"/>
      <c r="AE376" s="7"/>
      <c r="AF376" s="7"/>
      <c r="AG376" s="7"/>
      <c r="AH376" s="7"/>
    </row>
    <row r="377" spans="5:38" ht="15.75" customHeight="1">
      <c r="F377" s="7" t="s">
        <v>4</v>
      </c>
      <c r="G377" s="7"/>
      <c r="H377" s="7"/>
      <c r="I377" s="36" t="s">
        <v>308</v>
      </c>
      <c r="J377" s="36"/>
      <c r="K377" s="6" t="s">
        <v>3</v>
      </c>
      <c r="L377" s="7" t="s">
        <v>310</v>
      </c>
      <c r="M377" s="7"/>
      <c r="N377" s="7"/>
      <c r="O377" s="7"/>
      <c r="P377" s="7"/>
      <c r="Q377" s="7"/>
      <c r="R377" s="7"/>
      <c r="S377" s="7"/>
      <c r="T377" s="7"/>
      <c r="U377" s="7"/>
      <c r="V377" s="7"/>
      <c r="W377" s="7"/>
      <c r="X377" s="7"/>
      <c r="Y377" s="7"/>
      <c r="Z377" s="7"/>
      <c r="AA377" s="7"/>
      <c r="AB377" s="7"/>
      <c r="AC377" s="7"/>
      <c r="AD377" s="7"/>
      <c r="AE377" s="7"/>
      <c r="AF377" s="7"/>
      <c r="AG377" s="7"/>
      <c r="AH377" s="7"/>
    </row>
    <row r="378" spans="5:38" ht="15.75" customHeight="1">
      <c r="F378" s="7"/>
      <c r="G378" s="7"/>
      <c r="H378" s="7"/>
      <c r="I378" s="36" t="s">
        <v>307</v>
      </c>
      <c r="J378" s="36"/>
      <c r="K378" s="6" t="s">
        <v>3</v>
      </c>
      <c r="L378" s="7" t="s">
        <v>499</v>
      </c>
      <c r="M378" s="7"/>
      <c r="N378" s="7"/>
      <c r="O378" s="7"/>
      <c r="P378" s="7"/>
      <c r="Q378" s="7"/>
      <c r="R378" s="7"/>
      <c r="S378" s="7"/>
      <c r="T378" s="7"/>
      <c r="U378" s="7"/>
      <c r="V378" s="7"/>
      <c r="W378" s="7"/>
      <c r="X378" s="7"/>
      <c r="Y378" s="7"/>
      <c r="Z378" s="7"/>
      <c r="AA378" s="7"/>
      <c r="AB378" s="7"/>
      <c r="AC378" s="7"/>
      <c r="AD378" s="7"/>
      <c r="AE378" s="7"/>
      <c r="AF378" s="7"/>
      <c r="AG378" s="7"/>
      <c r="AH378" s="7"/>
    </row>
    <row r="379" spans="5:38" ht="15.75" customHeight="1">
      <c r="F379" s="7"/>
      <c r="G379" s="7"/>
      <c r="H379" s="7"/>
      <c r="L379" s="7" t="s">
        <v>500</v>
      </c>
      <c r="M379" s="7"/>
      <c r="N379" s="7"/>
      <c r="O379" s="7"/>
      <c r="P379" s="7"/>
      <c r="Q379" s="7"/>
      <c r="R379" s="7"/>
      <c r="S379" s="7"/>
      <c r="T379" s="7"/>
      <c r="U379" s="7"/>
      <c r="V379" s="7"/>
      <c r="W379" s="7"/>
      <c r="X379" s="7"/>
      <c r="Y379" s="7"/>
      <c r="Z379" s="7"/>
      <c r="AA379" s="7"/>
      <c r="AB379" s="7"/>
      <c r="AC379" s="7"/>
      <c r="AD379" s="7"/>
      <c r="AE379" s="7"/>
      <c r="AF379" s="7"/>
      <c r="AG379" s="7"/>
      <c r="AH379" s="7"/>
    </row>
    <row r="380" spans="5:38" ht="15.75" customHeight="1">
      <c r="F380" s="7"/>
      <c r="G380" s="7"/>
      <c r="H380" s="7"/>
      <c r="L380" s="7"/>
      <c r="M380" s="7" t="s">
        <v>311</v>
      </c>
      <c r="N380" s="7"/>
      <c r="O380" s="7"/>
      <c r="P380" s="7"/>
      <c r="Q380" s="7"/>
      <c r="R380" s="7"/>
      <c r="S380" s="7"/>
      <c r="T380" s="7"/>
      <c r="U380" s="6" t="s">
        <v>3</v>
      </c>
      <c r="V380" s="36" t="s">
        <v>307</v>
      </c>
      <c r="W380" s="36"/>
      <c r="X380" s="6" t="s">
        <v>35</v>
      </c>
      <c r="Y380" s="36" t="s">
        <v>312</v>
      </c>
      <c r="Z380" s="36"/>
      <c r="AA380" s="7" t="s">
        <v>295</v>
      </c>
      <c r="AB380" s="36">
        <v>150</v>
      </c>
      <c r="AC380" s="36"/>
      <c r="AD380" s="7" t="s">
        <v>296</v>
      </c>
      <c r="AE380" s="7"/>
      <c r="AF380" s="7"/>
      <c r="AG380" s="7"/>
      <c r="AH380" s="7"/>
      <c r="AI380" s="7"/>
      <c r="AJ380" s="7"/>
      <c r="AK380" s="7"/>
      <c r="AL380" s="7"/>
    </row>
    <row r="381" spans="5:38" ht="15.75" customHeight="1">
      <c r="F381" s="7"/>
      <c r="G381" s="7"/>
      <c r="H381" s="7"/>
      <c r="L381" s="123" t="s">
        <v>313</v>
      </c>
      <c r="M381" s="123"/>
      <c r="N381" s="123"/>
      <c r="O381" s="123"/>
      <c r="P381" s="123"/>
      <c r="Q381" s="6" t="s">
        <v>3</v>
      </c>
      <c r="R381" s="36" t="s">
        <v>307</v>
      </c>
      <c r="S381" s="36"/>
      <c r="T381" s="6" t="s">
        <v>35</v>
      </c>
      <c r="U381" s="36" t="s">
        <v>314</v>
      </c>
      <c r="V381" s="36"/>
      <c r="W381" s="7" t="s">
        <v>295</v>
      </c>
      <c r="X381" s="36">
        <v>150</v>
      </c>
      <c r="Y381" s="36"/>
      <c r="Z381" s="102" t="s">
        <v>315</v>
      </c>
      <c r="AA381" s="102"/>
      <c r="AB381" s="36" t="s">
        <v>316</v>
      </c>
      <c r="AC381" s="36"/>
      <c r="AD381" s="7" t="s">
        <v>295</v>
      </c>
      <c r="AE381" s="36">
        <v>150</v>
      </c>
      <c r="AF381" s="36"/>
      <c r="AG381" s="7" t="s">
        <v>296</v>
      </c>
      <c r="AH381" s="7"/>
      <c r="AI381" s="7"/>
    </row>
    <row r="382" spans="5:38" ht="15.75" customHeight="1">
      <c r="F382" s="7"/>
      <c r="G382" s="7"/>
      <c r="H382" s="7"/>
      <c r="L382" s="7"/>
      <c r="M382" s="8" t="s">
        <v>293</v>
      </c>
      <c r="N382" s="6" t="s">
        <v>3</v>
      </c>
      <c r="O382" s="7" t="s">
        <v>317</v>
      </c>
      <c r="P382" s="7"/>
      <c r="Q382" s="7"/>
      <c r="R382" s="7"/>
      <c r="S382" s="7"/>
      <c r="T382" s="7"/>
      <c r="U382" s="7"/>
      <c r="V382" s="7"/>
      <c r="W382" s="7"/>
      <c r="X382" s="7"/>
      <c r="Y382" s="7"/>
      <c r="Z382" s="7"/>
      <c r="AA382" s="7"/>
      <c r="AB382" s="7"/>
      <c r="AC382" s="7"/>
      <c r="AD382" s="7"/>
      <c r="AE382" s="7"/>
      <c r="AF382" s="7"/>
      <c r="AG382" s="7"/>
      <c r="AH382" s="7"/>
    </row>
    <row r="383" spans="5:38" ht="15.75" customHeight="1">
      <c r="E383" s="6"/>
      <c r="M383" s="8" t="s">
        <v>318</v>
      </c>
      <c r="N383" s="6" t="s">
        <v>3</v>
      </c>
      <c r="O383" s="9" t="s">
        <v>319</v>
      </c>
    </row>
    <row r="384" spans="5:38" ht="15.75" customHeight="1">
      <c r="M384" s="8" t="s">
        <v>309</v>
      </c>
      <c r="N384" s="6" t="s">
        <v>3</v>
      </c>
      <c r="O384" s="9" t="s">
        <v>320</v>
      </c>
    </row>
    <row r="386" spans="6:30" ht="15.75" customHeight="1">
      <c r="F386" s="9" t="s">
        <v>501</v>
      </c>
    </row>
    <row r="387" spans="6:30" s="9" customFormat="1" ht="15.75" customHeight="1">
      <c r="F387" s="9" t="s">
        <v>502</v>
      </c>
    </row>
    <row r="388" spans="6:30" s="9" customFormat="1" ht="15.75" customHeight="1"/>
    <row r="389" spans="6:30" s="9" customFormat="1" ht="15.75" customHeight="1">
      <c r="G389" s="7"/>
      <c r="H389" s="7"/>
      <c r="I389" s="7"/>
      <c r="J389" s="75" t="s">
        <v>321</v>
      </c>
      <c r="K389" s="75"/>
      <c r="L389" s="75"/>
      <c r="M389" s="75"/>
      <c r="N389" s="75"/>
      <c r="O389" s="75"/>
      <c r="P389" s="75"/>
      <c r="Q389" s="75"/>
      <c r="R389" s="75"/>
      <c r="S389" s="75"/>
      <c r="T389" s="75"/>
      <c r="U389" s="75"/>
      <c r="V389" s="75"/>
      <c r="W389" s="75"/>
      <c r="X389" s="75"/>
      <c r="Y389" s="75"/>
      <c r="Z389" s="75"/>
      <c r="AA389" s="18"/>
      <c r="AB389" s="18"/>
      <c r="AC389" s="18"/>
    </row>
    <row r="390" spans="6:30" s="9" customFormat="1" ht="15.75" customHeight="1">
      <c r="G390" s="39" t="s">
        <v>99</v>
      </c>
      <c r="H390" s="39"/>
      <c r="I390" s="48"/>
      <c r="J390" s="50" t="s">
        <v>247</v>
      </c>
      <c r="K390" s="51"/>
      <c r="L390" s="52"/>
      <c r="M390" s="72" t="s">
        <v>322</v>
      </c>
      <c r="N390" s="60"/>
      <c r="O390" s="60"/>
      <c r="P390" s="60"/>
      <c r="Q390" s="38" t="s">
        <v>325</v>
      </c>
      <c r="R390" s="39"/>
      <c r="S390" s="48"/>
      <c r="T390" s="38" t="s">
        <v>327</v>
      </c>
      <c r="U390" s="39"/>
      <c r="V390" s="39"/>
      <c r="W390" s="38" t="s">
        <v>326</v>
      </c>
      <c r="X390" s="39"/>
      <c r="Y390" s="39"/>
      <c r="Z390" s="72" t="s">
        <v>328</v>
      </c>
      <c r="AA390" s="72"/>
      <c r="AB390" s="72"/>
      <c r="AC390" s="81"/>
    </row>
    <row r="391" spans="6:30" s="9" customFormat="1" ht="15.75" customHeight="1">
      <c r="G391" s="41"/>
      <c r="H391" s="41"/>
      <c r="I391" s="49"/>
      <c r="J391" s="53"/>
      <c r="K391" s="54"/>
      <c r="L391" s="55"/>
      <c r="M391" s="60"/>
      <c r="N391" s="60"/>
      <c r="O391" s="60"/>
      <c r="P391" s="60"/>
      <c r="Q391" s="40"/>
      <c r="R391" s="41"/>
      <c r="S391" s="49"/>
      <c r="T391" s="40"/>
      <c r="U391" s="41"/>
      <c r="V391" s="41"/>
      <c r="W391" s="40"/>
      <c r="X391" s="41"/>
      <c r="Y391" s="41"/>
      <c r="Z391" s="72"/>
      <c r="AA391" s="72"/>
      <c r="AB391" s="72"/>
      <c r="AC391" s="81"/>
    </row>
    <row r="392" spans="6:30" s="9" customFormat="1" ht="15.75" customHeight="1">
      <c r="G392" s="59" t="s">
        <v>100</v>
      </c>
      <c r="H392" s="60"/>
      <c r="I392" s="60"/>
      <c r="J392" s="56">
        <f>入力!AL4</f>
        <v>13</v>
      </c>
      <c r="K392" s="57"/>
      <c r="L392" s="58"/>
      <c r="M392" s="69" t="s">
        <v>323</v>
      </c>
      <c r="N392" s="69"/>
      <c r="O392" s="69"/>
      <c r="P392" s="69"/>
      <c r="Q392" s="42">
        <f>入力!AN4</f>
        <v>50</v>
      </c>
      <c r="R392" s="43"/>
      <c r="S392" s="44"/>
      <c r="T392" s="122">
        <v>150</v>
      </c>
      <c r="U392" s="136"/>
      <c r="V392" s="136"/>
      <c r="W392" s="56">
        <f>T270</f>
        <v>4.0840704496667311</v>
      </c>
      <c r="X392" s="57"/>
      <c r="Y392" s="58"/>
      <c r="Z392" s="121">
        <f>J392*T392*$W$392</f>
        <v>7963.9373768501255</v>
      </c>
      <c r="AA392" s="121"/>
      <c r="AB392" s="121"/>
      <c r="AC392" s="122"/>
    </row>
    <row r="393" spans="6:30" s="9" customFormat="1" ht="15.75" customHeight="1">
      <c r="G393" s="7"/>
      <c r="H393" s="6"/>
      <c r="I393" s="7"/>
      <c r="J393" s="6"/>
      <c r="K393" s="6"/>
      <c r="L393" s="6"/>
      <c r="M393" s="6"/>
      <c r="N393" s="6"/>
      <c r="O393" s="6"/>
      <c r="P393" s="6"/>
      <c r="Q393" s="6"/>
      <c r="R393" s="6"/>
      <c r="S393" s="6"/>
      <c r="T393" s="6"/>
      <c r="U393" s="6"/>
      <c r="V393" s="6"/>
      <c r="W393" s="18"/>
      <c r="X393" s="26"/>
      <c r="Y393" s="6"/>
      <c r="Z393" s="18"/>
      <c r="AA393" s="18"/>
      <c r="AB393" s="18"/>
      <c r="AC393" s="18"/>
    </row>
    <row r="394" spans="6:30" s="9" customFormat="1" ht="15.75" customHeight="1"/>
    <row r="395" spans="6:30" s="9" customFormat="1" ht="15.75" customHeight="1">
      <c r="G395" s="7"/>
      <c r="H395" s="7"/>
      <c r="I395" s="7"/>
      <c r="J395" s="75" t="s">
        <v>329</v>
      </c>
      <c r="K395" s="75"/>
      <c r="L395" s="75"/>
      <c r="M395" s="75"/>
      <c r="N395" s="75"/>
      <c r="O395" s="75"/>
      <c r="P395" s="75"/>
      <c r="Q395" s="75"/>
      <c r="R395" s="75"/>
      <c r="S395" s="75"/>
      <c r="T395" s="75"/>
      <c r="U395" s="75"/>
      <c r="V395" s="75"/>
      <c r="W395" s="75"/>
      <c r="X395" s="75"/>
      <c r="Y395" s="75"/>
      <c r="Z395" s="75"/>
      <c r="AA395" s="18"/>
      <c r="AB395" s="18"/>
      <c r="AC395" s="18"/>
    </row>
    <row r="396" spans="6:30" s="9" customFormat="1" ht="15.75" customHeight="1">
      <c r="G396" s="39" t="s">
        <v>99</v>
      </c>
      <c r="H396" s="39"/>
      <c r="I396" s="48"/>
      <c r="J396" s="50" t="s">
        <v>247</v>
      </c>
      <c r="K396" s="51"/>
      <c r="L396" s="52"/>
      <c r="M396" s="72" t="s">
        <v>322</v>
      </c>
      <c r="N396" s="60"/>
      <c r="O396" s="60"/>
      <c r="P396" s="60"/>
      <c r="Q396" s="38" t="s">
        <v>327</v>
      </c>
      <c r="R396" s="39"/>
      <c r="S396" s="39"/>
      <c r="T396" s="38" t="s">
        <v>326</v>
      </c>
      <c r="U396" s="39"/>
      <c r="V396" s="39"/>
      <c r="W396" s="72" t="s">
        <v>476</v>
      </c>
      <c r="X396" s="72"/>
      <c r="Y396" s="72"/>
      <c r="Z396" s="81"/>
      <c r="AA396" s="72" t="s">
        <v>477</v>
      </c>
      <c r="AB396" s="72"/>
      <c r="AC396" s="72"/>
      <c r="AD396" s="81"/>
    </row>
    <row r="397" spans="6:30" s="9" customFormat="1" ht="15.75" customHeight="1">
      <c r="G397" s="41"/>
      <c r="H397" s="41"/>
      <c r="I397" s="49"/>
      <c r="J397" s="53"/>
      <c r="K397" s="54"/>
      <c r="L397" s="55"/>
      <c r="M397" s="60"/>
      <c r="N397" s="60"/>
      <c r="O397" s="60"/>
      <c r="P397" s="60"/>
      <c r="Q397" s="40"/>
      <c r="R397" s="41"/>
      <c r="S397" s="41"/>
      <c r="T397" s="40"/>
      <c r="U397" s="41"/>
      <c r="V397" s="41"/>
      <c r="W397" s="72"/>
      <c r="X397" s="72"/>
      <c r="Y397" s="72"/>
      <c r="Z397" s="81"/>
      <c r="AA397" s="72"/>
      <c r="AB397" s="72"/>
      <c r="AC397" s="72"/>
      <c r="AD397" s="81"/>
    </row>
    <row r="398" spans="6:30" s="9" customFormat="1" ht="15.75" customHeight="1">
      <c r="G398" s="59" t="s">
        <v>100</v>
      </c>
      <c r="H398" s="60"/>
      <c r="I398" s="60"/>
      <c r="J398" s="56">
        <f>入力!AL4</f>
        <v>13</v>
      </c>
      <c r="K398" s="57"/>
      <c r="L398" s="58"/>
      <c r="M398" s="69" t="s">
        <v>323</v>
      </c>
      <c r="N398" s="69"/>
      <c r="O398" s="69"/>
      <c r="P398" s="69"/>
      <c r="Q398" s="122">
        <v>150</v>
      </c>
      <c r="R398" s="136"/>
      <c r="S398" s="136"/>
      <c r="T398" s="56">
        <f>T270</f>
        <v>4.0840704496667311</v>
      </c>
      <c r="U398" s="57"/>
      <c r="V398" s="58"/>
      <c r="W398" s="121">
        <f>(J398-(1/((X148*AG177*入力!AL8)/AB248)^0.25))*Q398*T398</f>
        <v>5755.1616639500062</v>
      </c>
      <c r="X398" s="121"/>
      <c r="Y398" s="121"/>
      <c r="Z398" s="122"/>
      <c r="AA398" s="121">
        <f>(J398-(1/((X148*AG178*入力!AL8)/AB248)^0.25))*T398*Q398</f>
        <v>5826.029787030453</v>
      </c>
      <c r="AB398" s="121"/>
      <c r="AC398" s="121"/>
      <c r="AD398" s="122"/>
    </row>
    <row r="399" spans="6:30" s="9" customFormat="1" ht="15.75" customHeight="1">
      <c r="G399" s="7"/>
      <c r="H399" s="6"/>
      <c r="I399" s="7"/>
      <c r="J399" s="6"/>
      <c r="K399" s="6"/>
      <c r="L399" s="6"/>
      <c r="M399" s="6"/>
      <c r="N399" s="6"/>
      <c r="O399" s="6"/>
      <c r="P399" s="6"/>
      <c r="Q399" s="6"/>
      <c r="R399" s="6"/>
      <c r="S399" s="6"/>
      <c r="T399" s="6"/>
      <c r="U399" s="6"/>
      <c r="V399" s="6"/>
      <c r="W399" s="18"/>
      <c r="X399" s="26"/>
      <c r="Y399" s="6"/>
      <c r="Z399" s="18"/>
      <c r="AA399" s="18"/>
      <c r="AB399" s="26"/>
      <c r="AC399" s="6"/>
      <c r="AD399" s="18"/>
    </row>
    <row r="400" spans="6:30" s="9" customFormat="1" ht="15.75" customHeight="1"/>
    <row r="401" spans="4:12" s="9" customFormat="1" ht="15.75" customHeight="1"/>
    <row r="402" spans="4:12" s="9" customFormat="1" ht="15.75" customHeight="1">
      <c r="D402" s="13" t="s">
        <v>330</v>
      </c>
    </row>
    <row r="403" spans="4:12" s="9" customFormat="1" ht="15.75" customHeight="1"/>
    <row r="404" spans="4:12" s="9" customFormat="1" ht="15.75" customHeight="1">
      <c r="E404" s="7" t="s">
        <v>331</v>
      </c>
    </row>
    <row r="405" spans="4:12" s="9" customFormat="1" ht="15.75" customHeight="1">
      <c r="F405" s="9" t="s">
        <v>339</v>
      </c>
    </row>
    <row r="406" spans="4:12" s="9" customFormat="1" ht="15.75" customHeight="1">
      <c r="F406" s="9" t="s">
        <v>340</v>
      </c>
    </row>
    <row r="407" spans="4:12" s="9" customFormat="1" ht="15.75" customHeight="1"/>
    <row r="408" spans="4:12" s="9" customFormat="1" ht="15.75" customHeight="1">
      <c r="E408" s="36" t="s">
        <v>332</v>
      </c>
      <c r="F408" s="36"/>
      <c r="G408" s="6" t="s">
        <v>35</v>
      </c>
      <c r="H408" s="36" t="s">
        <v>333</v>
      </c>
      <c r="I408" s="36"/>
      <c r="J408" s="9" t="s">
        <v>2</v>
      </c>
      <c r="K408" s="36" t="s">
        <v>279</v>
      </c>
      <c r="L408" s="36"/>
    </row>
    <row r="409" spans="4:12" s="9" customFormat="1" ht="15.75" customHeight="1">
      <c r="G409" s="6" t="s">
        <v>35</v>
      </c>
      <c r="H409" s="36" t="s">
        <v>333</v>
      </c>
      <c r="I409" s="36"/>
      <c r="J409" s="9" t="s">
        <v>2</v>
      </c>
      <c r="K409" s="9" t="s">
        <v>334</v>
      </c>
    </row>
    <row r="410" spans="4:12" s="9" customFormat="1" ht="15.75" customHeight="1"/>
    <row r="411" spans="4:12" s="9" customFormat="1" ht="15.75" customHeight="1">
      <c r="F411" s="7" t="s">
        <v>4</v>
      </c>
      <c r="G411" s="7"/>
      <c r="H411" s="7"/>
      <c r="I411" s="36" t="s">
        <v>332</v>
      </c>
      <c r="J411" s="36"/>
      <c r="K411" s="6" t="s">
        <v>3</v>
      </c>
      <c r="L411" s="7" t="s">
        <v>335</v>
      </c>
    </row>
    <row r="412" spans="4:12" s="9" customFormat="1" ht="15.75" customHeight="1">
      <c r="F412" s="7"/>
      <c r="G412" s="7"/>
      <c r="H412" s="7"/>
      <c r="I412" s="36" t="s">
        <v>279</v>
      </c>
      <c r="J412" s="36"/>
      <c r="K412" s="6" t="s">
        <v>3</v>
      </c>
      <c r="L412" s="7" t="s">
        <v>336</v>
      </c>
    </row>
    <row r="413" spans="4:12" s="9" customFormat="1" ht="15.75" customHeight="1">
      <c r="I413" s="36" t="s">
        <v>280</v>
      </c>
      <c r="J413" s="36"/>
      <c r="K413" s="6" t="s">
        <v>3</v>
      </c>
      <c r="L413" s="7" t="s">
        <v>290</v>
      </c>
    </row>
    <row r="414" spans="4:12" s="9" customFormat="1" ht="15.75" customHeight="1">
      <c r="I414" s="36" t="s">
        <v>282</v>
      </c>
      <c r="J414" s="36"/>
      <c r="K414" s="6" t="s">
        <v>3</v>
      </c>
      <c r="L414" s="7" t="s">
        <v>337</v>
      </c>
    </row>
    <row r="415" spans="4:12" s="9" customFormat="1" ht="15.75" customHeight="1">
      <c r="I415" s="36" t="s">
        <v>333</v>
      </c>
      <c r="J415" s="36"/>
      <c r="K415" s="6" t="s">
        <v>3</v>
      </c>
      <c r="L415" s="9" t="s">
        <v>342</v>
      </c>
    </row>
    <row r="416" spans="4:12" s="9" customFormat="1" ht="15.75" customHeight="1">
      <c r="L416" s="9" t="s">
        <v>343</v>
      </c>
    </row>
    <row r="417" spans="5:31" s="9" customFormat="1" ht="15.75" customHeight="1">
      <c r="L417" s="9" t="s">
        <v>341</v>
      </c>
    </row>
    <row r="418" spans="5:31" s="9" customFormat="1" ht="15.75" customHeight="1">
      <c r="L418" s="9" t="s">
        <v>338</v>
      </c>
    </row>
    <row r="419" spans="5:31" s="9" customFormat="1" ht="15.75" customHeight="1"/>
    <row r="420" spans="5:31" ht="15.75" customHeight="1">
      <c r="E420" s="7" t="s">
        <v>503</v>
      </c>
    </row>
    <row r="421" spans="5:31" ht="15.75" customHeight="1">
      <c r="E421" s="7" t="s">
        <v>504</v>
      </c>
    </row>
    <row r="422" spans="5:31" s="9" customFormat="1" ht="15.75" customHeight="1"/>
    <row r="423" spans="5:31" s="9" customFormat="1" ht="15.75" customHeight="1">
      <c r="J423" s="75" t="s">
        <v>478</v>
      </c>
      <c r="K423" s="75"/>
      <c r="L423" s="75"/>
      <c r="M423" s="75"/>
      <c r="N423" s="75"/>
      <c r="O423" s="75"/>
      <c r="P423" s="75"/>
      <c r="Q423" s="75"/>
      <c r="R423" s="75"/>
      <c r="S423" s="75"/>
      <c r="T423" s="75"/>
      <c r="U423" s="75"/>
      <c r="V423" s="75"/>
      <c r="W423" s="75"/>
      <c r="X423" s="75"/>
      <c r="Y423" s="75"/>
      <c r="Z423" s="75"/>
    </row>
    <row r="424" spans="5:31" s="9" customFormat="1" ht="15.75" customHeight="1">
      <c r="E424" s="59" t="s">
        <v>344</v>
      </c>
      <c r="F424" s="60"/>
      <c r="G424" s="60"/>
      <c r="H424" s="60" t="s">
        <v>346</v>
      </c>
      <c r="I424" s="60"/>
      <c r="J424" s="60"/>
      <c r="K424" s="60"/>
      <c r="L424" s="60"/>
      <c r="M424" s="60"/>
      <c r="N424" s="72" t="s">
        <v>347</v>
      </c>
      <c r="O424" s="60"/>
      <c r="P424" s="60"/>
      <c r="Q424" s="72" t="s">
        <v>351</v>
      </c>
      <c r="R424" s="60"/>
      <c r="S424" s="60"/>
      <c r="T424" s="72" t="s">
        <v>352</v>
      </c>
      <c r="U424" s="60"/>
      <c r="V424" s="60"/>
      <c r="W424" s="72" t="s">
        <v>350</v>
      </c>
      <c r="X424" s="60"/>
      <c r="Y424" s="60"/>
      <c r="Z424" s="72" t="s">
        <v>348</v>
      </c>
      <c r="AA424" s="60"/>
      <c r="AB424" s="60"/>
      <c r="AC424" s="72" t="s">
        <v>349</v>
      </c>
      <c r="AD424" s="60"/>
      <c r="AE424" s="62"/>
    </row>
    <row r="425" spans="5:31" s="9" customFormat="1" ht="15.75" customHeight="1">
      <c r="E425" s="59"/>
      <c r="F425" s="60"/>
      <c r="G425" s="60"/>
      <c r="H425" s="60"/>
      <c r="I425" s="60"/>
      <c r="J425" s="60"/>
      <c r="K425" s="60"/>
      <c r="L425" s="60"/>
      <c r="M425" s="60"/>
      <c r="N425" s="60"/>
      <c r="O425" s="60"/>
      <c r="P425" s="60"/>
      <c r="Q425" s="60"/>
      <c r="R425" s="60"/>
      <c r="S425" s="60"/>
      <c r="T425" s="60"/>
      <c r="U425" s="60"/>
      <c r="V425" s="60"/>
      <c r="W425" s="60"/>
      <c r="X425" s="60"/>
      <c r="Y425" s="60"/>
      <c r="Z425" s="60"/>
      <c r="AA425" s="60"/>
      <c r="AB425" s="60"/>
      <c r="AC425" s="60"/>
      <c r="AD425" s="60"/>
      <c r="AE425" s="62"/>
    </row>
    <row r="426" spans="5:31" s="9" customFormat="1" ht="15.75" customHeight="1">
      <c r="E426" s="59" t="s">
        <v>355</v>
      </c>
      <c r="F426" s="60"/>
      <c r="G426" s="60"/>
      <c r="H426" s="69" t="s">
        <v>353</v>
      </c>
      <c r="I426" s="69"/>
      <c r="J426" s="69"/>
      <c r="K426" s="69"/>
      <c r="L426" s="69"/>
      <c r="M426" s="69"/>
      <c r="N426" s="112">
        <f>H367</f>
        <v>3981.9686884250636</v>
      </c>
      <c r="O426" s="113"/>
      <c r="P426" s="131"/>
      <c r="Q426" s="85">
        <f>11.7*T392*$W$392</f>
        <v>7167.5436391651128</v>
      </c>
      <c r="R426" s="85"/>
      <c r="S426" s="85"/>
      <c r="T426" s="85">
        <f>N426+Q426</f>
        <v>11149.512327590177</v>
      </c>
      <c r="U426" s="85"/>
      <c r="V426" s="85"/>
      <c r="W426" s="61">
        <f>N426/T426</f>
        <v>0.35714285714285721</v>
      </c>
      <c r="X426" s="61"/>
      <c r="Y426" s="61"/>
      <c r="Z426" s="215">
        <f>g地盤抵抗係数(1,W426)</f>
        <v>0.44</v>
      </c>
      <c r="AA426" s="215"/>
      <c r="AB426" s="215"/>
      <c r="AC426" s="121">
        <f>Z426*$T$426</f>
        <v>4905.7854241396781</v>
      </c>
      <c r="AD426" s="121"/>
      <c r="AE426" s="122"/>
    </row>
    <row r="427" spans="5:31" s="9" customFormat="1" ht="15.75" customHeight="1">
      <c r="E427" s="59"/>
      <c r="F427" s="60"/>
      <c r="G427" s="60"/>
      <c r="H427" s="69" t="s">
        <v>354</v>
      </c>
      <c r="I427" s="69"/>
      <c r="J427" s="69"/>
      <c r="K427" s="69"/>
      <c r="L427" s="69"/>
      <c r="M427" s="69"/>
      <c r="N427" s="132"/>
      <c r="O427" s="133"/>
      <c r="P427" s="134"/>
      <c r="Q427" s="85"/>
      <c r="R427" s="85"/>
      <c r="S427" s="85"/>
      <c r="T427" s="85"/>
      <c r="U427" s="85"/>
      <c r="V427" s="85"/>
      <c r="W427" s="61"/>
      <c r="X427" s="61"/>
      <c r="Y427" s="61"/>
      <c r="Z427" s="215">
        <f>g地盤抵抗係数(2,W426)</f>
        <v>0.55800000000000005</v>
      </c>
      <c r="AA427" s="216"/>
      <c r="AB427" s="217"/>
      <c r="AC427" s="121">
        <f>Z427*$T$426</f>
        <v>6221.427878795319</v>
      </c>
      <c r="AD427" s="121"/>
      <c r="AE427" s="122"/>
    </row>
    <row r="428" spans="5:31" s="9" customFormat="1" ht="15.75" customHeight="1">
      <c r="E428" s="44" t="s">
        <v>356</v>
      </c>
      <c r="F428" s="69"/>
      <c r="G428" s="69"/>
      <c r="H428" s="69" t="s">
        <v>475</v>
      </c>
      <c r="I428" s="69"/>
      <c r="J428" s="69"/>
      <c r="K428" s="69"/>
      <c r="L428" s="69"/>
      <c r="M428" s="69"/>
      <c r="N428" s="132"/>
      <c r="O428" s="133"/>
      <c r="P428" s="134"/>
      <c r="Q428" s="85"/>
      <c r="R428" s="85"/>
      <c r="S428" s="85"/>
      <c r="T428" s="85"/>
      <c r="U428" s="85"/>
      <c r="V428" s="85"/>
      <c r="W428" s="61"/>
      <c r="X428" s="61"/>
      <c r="Y428" s="61"/>
      <c r="Z428" s="215">
        <f>g地盤抵抗係数(3,W426)</f>
        <v>0.78300000000000003</v>
      </c>
      <c r="AA428" s="216"/>
      <c r="AB428" s="217"/>
      <c r="AC428" s="121">
        <f>Z428*$T$426</f>
        <v>8730.0681525031086</v>
      </c>
      <c r="AD428" s="121"/>
      <c r="AE428" s="122"/>
    </row>
    <row r="429" spans="5:31" s="9" customFormat="1" ht="15.75" customHeight="1">
      <c r="E429" s="95" t="s">
        <v>357</v>
      </c>
      <c r="F429" s="95"/>
      <c r="G429" s="96"/>
      <c r="H429" s="38" t="s">
        <v>358</v>
      </c>
      <c r="I429" s="95"/>
      <c r="J429" s="95"/>
      <c r="K429" s="95"/>
      <c r="L429" s="95"/>
      <c r="M429" s="96"/>
      <c r="N429" s="132"/>
      <c r="O429" s="133"/>
      <c r="P429" s="134"/>
      <c r="Q429" s="85">
        <f>(11.7-(1/((X148*AG177*入力!AL8)/AB248)^0.25))*Q398*T398</f>
        <v>4958.7679262649926</v>
      </c>
      <c r="R429" s="85"/>
      <c r="S429" s="85"/>
      <c r="T429" s="85">
        <f>N426+Q429</f>
        <v>8940.7366146900567</v>
      </c>
      <c r="U429" s="85"/>
      <c r="V429" s="85"/>
      <c r="W429" s="61">
        <f>N426/T429</f>
        <v>0.44537367110026471</v>
      </c>
      <c r="X429" s="61"/>
      <c r="Y429" s="61"/>
      <c r="Z429" s="218">
        <f>g地盤抵抗係数(4,W429)</f>
        <v>0.82</v>
      </c>
      <c r="AA429" s="219"/>
      <c r="AB429" s="220"/>
      <c r="AC429" s="112">
        <f>Z429*$T$429</f>
        <v>7331.4040240458462</v>
      </c>
      <c r="AD429" s="113"/>
      <c r="AE429" s="113"/>
    </row>
    <row r="430" spans="5:31" s="9" customFormat="1" ht="15.75" customHeight="1">
      <c r="E430" s="84"/>
      <c r="F430" s="84"/>
      <c r="G430" s="101"/>
      <c r="H430" s="97"/>
      <c r="I430" s="98"/>
      <c r="J430" s="98"/>
      <c r="K430" s="98"/>
      <c r="L430" s="98"/>
      <c r="M430" s="99"/>
      <c r="N430" s="132"/>
      <c r="O430" s="133"/>
      <c r="P430" s="134"/>
      <c r="Q430" s="85"/>
      <c r="R430" s="85"/>
      <c r="S430" s="85"/>
      <c r="T430" s="85"/>
      <c r="U430" s="85"/>
      <c r="V430" s="85"/>
      <c r="W430" s="61"/>
      <c r="X430" s="61"/>
      <c r="Y430" s="61"/>
      <c r="Z430" s="221"/>
      <c r="AA430" s="222"/>
      <c r="AB430" s="223"/>
      <c r="AC430" s="114"/>
      <c r="AD430" s="115"/>
      <c r="AE430" s="115"/>
    </row>
    <row r="431" spans="5:31" s="9" customFormat="1" ht="15.75" customHeight="1">
      <c r="E431" s="84"/>
      <c r="F431" s="84"/>
      <c r="G431" s="101"/>
      <c r="H431" s="38" t="s">
        <v>359</v>
      </c>
      <c r="I431" s="95"/>
      <c r="J431" s="95"/>
      <c r="K431" s="95"/>
      <c r="L431" s="95"/>
      <c r="M431" s="96"/>
      <c r="N431" s="132"/>
      <c r="O431" s="133"/>
      <c r="P431" s="134"/>
      <c r="Q431" s="85"/>
      <c r="R431" s="85"/>
      <c r="S431" s="85"/>
      <c r="T431" s="85"/>
      <c r="U431" s="85"/>
      <c r="V431" s="85"/>
      <c r="W431" s="61"/>
      <c r="X431" s="61"/>
      <c r="Y431" s="61"/>
      <c r="Z431" s="218">
        <f>g地盤抵抗係数(5,W429)</f>
        <v>1.1819999999999999</v>
      </c>
      <c r="AA431" s="219"/>
      <c r="AB431" s="220"/>
      <c r="AC431" s="112">
        <f>Z431*$T$429</f>
        <v>10567.950678563646</v>
      </c>
      <c r="AD431" s="113"/>
      <c r="AE431" s="113"/>
    </row>
    <row r="432" spans="5:31" s="9" customFormat="1" ht="15.75" customHeight="1">
      <c r="E432" s="98"/>
      <c r="F432" s="98"/>
      <c r="G432" s="99"/>
      <c r="H432" s="97"/>
      <c r="I432" s="98"/>
      <c r="J432" s="98"/>
      <c r="K432" s="98"/>
      <c r="L432" s="98"/>
      <c r="M432" s="99"/>
      <c r="N432" s="114"/>
      <c r="O432" s="115"/>
      <c r="P432" s="135"/>
      <c r="Q432" s="85"/>
      <c r="R432" s="85"/>
      <c r="S432" s="85"/>
      <c r="T432" s="85"/>
      <c r="U432" s="85"/>
      <c r="V432" s="85"/>
      <c r="W432" s="61"/>
      <c r="X432" s="61"/>
      <c r="Y432" s="61"/>
      <c r="Z432" s="221"/>
      <c r="AA432" s="222"/>
      <c r="AB432" s="223"/>
      <c r="AC432" s="114"/>
      <c r="AD432" s="115"/>
      <c r="AE432" s="115"/>
    </row>
    <row r="433" spans="5:31" s="9" customFormat="1" ht="15.75" customHeight="1"/>
    <row r="434" spans="5:31" s="9" customFormat="1" ht="15.75" customHeight="1">
      <c r="J434" s="75" t="s">
        <v>479</v>
      </c>
      <c r="K434" s="75"/>
      <c r="L434" s="75"/>
      <c r="M434" s="75"/>
      <c r="N434" s="75"/>
      <c r="O434" s="75"/>
      <c r="P434" s="75"/>
      <c r="Q434" s="75"/>
      <c r="R434" s="75"/>
      <c r="S434" s="75"/>
      <c r="T434" s="75"/>
      <c r="U434" s="75"/>
      <c r="V434" s="75"/>
      <c r="W434" s="75"/>
      <c r="X434" s="75"/>
      <c r="Y434" s="75"/>
      <c r="Z434" s="75"/>
    </row>
    <row r="435" spans="5:31" s="9" customFormat="1" ht="15.75" customHeight="1">
      <c r="E435" s="59" t="s">
        <v>344</v>
      </c>
      <c r="F435" s="60"/>
      <c r="G435" s="60"/>
      <c r="H435" s="60" t="s">
        <v>346</v>
      </c>
      <c r="I435" s="60"/>
      <c r="J435" s="60"/>
      <c r="K435" s="60"/>
      <c r="L435" s="60"/>
      <c r="M435" s="60"/>
      <c r="N435" s="72" t="s">
        <v>347</v>
      </c>
      <c r="O435" s="60"/>
      <c r="P435" s="60"/>
      <c r="Q435" s="72" t="s">
        <v>351</v>
      </c>
      <c r="R435" s="60"/>
      <c r="S435" s="60"/>
      <c r="T435" s="72" t="s">
        <v>352</v>
      </c>
      <c r="U435" s="60"/>
      <c r="V435" s="60"/>
      <c r="W435" s="72" t="s">
        <v>350</v>
      </c>
      <c r="X435" s="60"/>
      <c r="Y435" s="60"/>
      <c r="Z435" s="72" t="s">
        <v>348</v>
      </c>
      <c r="AA435" s="60"/>
      <c r="AB435" s="60"/>
      <c r="AC435" s="72" t="s">
        <v>349</v>
      </c>
      <c r="AD435" s="60"/>
      <c r="AE435" s="62"/>
    </row>
    <row r="436" spans="5:31" s="9" customFormat="1" ht="15.75" customHeight="1">
      <c r="E436" s="59"/>
      <c r="F436" s="60"/>
      <c r="G436" s="60"/>
      <c r="H436" s="60"/>
      <c r="I436" s="60"/>
      <c r="J436" s="60"/>
      <c r="K436" s="60"/>
      <c r="L436" s="60"/>
      <c r="M436" s="60"/>
      <c r="N436" s="60"/>
      <c r="O436" s="60"/>
      <c r="P436" s="60"/>
      <c r="Q436" s="60"/>
      <c r="R436" s="60"/>
      <c r="S436" s="60"/>
      <c r="T436" s="60"/>
      <c r="U436" s="60"/>
      <c r="V436" s="60"/>
      <c r="W436" s="60"/>
      <c r="X436" s="60"/>
      <c r="Y436" s="60"/>
      <c r="Z436" s="60"/>
      <c r="AA436" s="60"/>
      <c r="AB436" s="60"/>
      <c r="AC436" s="60"/>
      <c r="AD436" s="60"/>
      <c r="AE436" s="62"/>
    </row>
    <row r="437" spans="5:31" s="9" customFormat="1" ht="15.75" customHeight="1">
      <c r="E437" s="59" t="s">
        <v>355</v>
      </c>
      <c r="F437" s="60"/>
      <c r="G437" s="60"/>
      <c r="H437" s="69" t="s">
        <v>353</v>
      </c>
      <c r="I437" s="69"/>
      <c r="J437" s="69"/>
      <c r="K437" s="69"/>
      <c r="L437" s="69"/>
      <c r="M437" s="69"/>
      <c r="N437" s="112">
        <f>H367</f>
        <v>3981.9686884250636</v>
      </c>
      <c r="O437" s="113"/>
      <c r="P437" s="131"/>
      <c r="Q437" s="85">
        <f>11.7*T392*$W$392</f>
        <v>7167.5436391651128</v>
      </c>
      <c r="R437" s="85"/>
      <c r="S437" s="85"/>
      <c r="T437" s="85">
        <f>N437+Q437</f>
        <v>11149.512327590177</v>
      </c>
      <c r="U437" s="85"/>
      <c r="V437" s="85"/>
      <c r="W437" s="61">
        <f>N437/T437</f>
        <v>0.35714285714285721</v>
      </c>
      <c r="X437" s="61"/>
      <c r="Y437" s="61"/>
      <c r="Z437" s="215">
        <f>g地盤抵抗係数(1,W437)</f>
        <v>0.44</v>
      </c>
      <c r="AA437" s="215"/>
      <c r="AB437" s="215"/>
      <c r="AC437" s="121">
        <f>Z437*$T$437</f>
        <v>4905.7854241396781</v>
      </c>
      <c r="AD437" s="121"/>
      <c r="AE437" s="122"/>
    </row>
    <row r="438" spans="5:31" s="9" customFormat="1" ht="15.75" customHeight="1">
      <c r="E438" s="59"/>
      <c r="F438" s="60"/>
      <c r="G438" s="60"/>
      <c r="H438" s="69" t="s">
        <v>354</v>
      </c>
      <c r="I438" s="69"/>
      <c r="J438" s="69"/>
      <c r="K438" s="69"/>
      <c r="L438" s="69"/>
      <c r="M438" s="69"/>
      <c r="N438" s="132"/>
      <c r="O438" s="133"/>
      <c r="P438" s="134"/>
      <c r="Q438" s="85"/>
      <c r="R438" s="85"/>
      <c r="S438" s="85"/>
      <c r="T438" s="85"/>
      <c r="U438" s="85"/>
      <c r="V438" s="85"/>
      <c r="W438" s="61"/>
      <c r="X438" s="61"/>
      <c r="Y438" s="61"/>
      <c r="Z438" s="215">
        <f>g地盤抵抗係数(2,W437)</f>
        <v>0.55800000000000005</v>
      </c>
      <c r="AA438" s="216"/>
      <c r="AB438" s="217"/>
      <c r="AC438" s="121">
        <f>Z438*$T$437</f>
        <v>6221.427878795319</v>
      </c>
      <c r="AD438" s="121"/>
      <c r="AE438" s="122"/>
    </row>
    <row r="439" spans="5:31" s="9" customFormat="1" ht="15.75" customHeight="1">
      <c r="E439" s="44" t="s">
        <v>356</v>
      </c>
      <c r="F439" s="69"/>
      <c r="G439" s="69"/>
      <c r="H439" s="69" t="s">
        <v>475</v>
      </c>
      <c r="I439" s="69"/>
      <c r="J439" s="69"/>
      <c r="K439" s="69"/>
      <c r="L439" s="69"/>
      <c r="M439" s="69"/>
      <c r="N439" s="132"/>
      <c r="O439" s="133"/>
      <c r="P439" s="134"/>
      <c r="Q439" s="85"/>
      <c r="R439" s="85"/>
      <c r="S439" s="85"/>
      <c r="T439" s="85"/>
      <c r="U439" s="85"/>
      <c r="V439" s="85"/>
      <c r="W439" s="61"/>
      <c r="X439" s="61"/>
      <c r="Y439" s="61"/>
      <c r="Z439" s="215">
        <f>g地盤抵抗係数(3,W437)</f>
        <v>0.78300000000000003</v>
      </c>
      <c r="AA439" s="216"/>
      <c r="AB439" s="217"/>
      <c r="AC439" s="121">
        <f>Z439*$T$437</f>
        <v>8730.0681525031086</v>
      </c>
      <c r="AD439" s="121"/>
      <c r="AE439" s="122"/>
    </row>
    <row r="440" spans="5:31" s="9" customFormat="1" ht="15.75" customHeight="1">
      <c r="E440" s="95" t="s">
        <v>357</v>
      </c>
      <c r="F440" s="95"/>
      <c r="G440" s="96"/>
      <c r="H440" s="38" t="s">
        <v>358</v>
      </c>
      <c r="I440" s="95"/>
      <c r="J440" s="95"/>
      <c r="K440" s="95"/>
      <c r="L440" s="95"/>
      <c r="M440" s="96"/>
      <c r="N440" s="132"/>
      <c r="O440" s="133"/>
      <c r="P440" s="134"/>
      <c r="Q440" s="85">
        <f>(11.7-(1/((X148*AG178*入力!AL8)/AB248)^0.25))*Q398*T398</f>
        <v>5029.6360493454395</v>
      </c>
      <c r="R440" s="85"/>
      <c r="S440" s="85"/>
      <c r="T440" s="85">
        <f>N437+Q440</f>
        <v>9011.6047377705036</v>
      </c>
      <c r="U440" s="85"/>
      <c r="V440" s="85"/>
      <c r="W440" s="61">
        <f>N437/T440</f>
        <v>0.44187120987845435</v>
      </c>
      <c r="X440" s="61"/>
      <c r="Y440" s="61"/>
      <c r="Z440" s="218">
        <f>g地盤抵抗係数(4,W440)</f>
        <v>0.82099999999999995</v>
      </c>
      <c r="AA440" s="219"/>
      <c r="AB440" s="220"/>
      <c r="AC440" s="112">
        <f>Z440*$T$440</f>
        <v>7398.5274897095833</v>
      </c>
      <c r="AD440" s="113"/>
      <c r="AE440" s="113"/>
    </row>
    <row r="441" spans="5:31" s="9" customFormat="1" ht="15.75" customHeight="1">
      <c r="E441" s="84"/>
      <c r="F441" s="84"/>
      <c r="G441" s="101"/>
      <c r="H441" s="97"/>
      <c r="I441" s="98"/>
      <c r="J441" s="98"/>
      <c r="K441" s="98"/>
      <c r="L441" s="98"/>
      <c r="M441" s="99"/>
      <c r="N441" s="132"/>
      <c r="O441" s="133"/>
      <c r="P441" s="134"/>
      <c r="Q441" s="85"/>
      <c r="R441" s="85"/>
      <c r="S441" s="85"/>
      <c r="T441" s="85"/>
      <c r="U441" s="85"/>
      <c r="V441" s="85"/>
      <c r="W441" s="61"/>
      <c r="X441" s="61"/>
      <c r="Y441" s="61"/>
      <c r="Z441" s="221"/>
      <c r="AA441" s="222"/>
      <c r="AB441" s="223"/>
      <c r="AC441" s="114"/>
      <c r="AD441" s="115"/>
      <c r="AE441" s="115"/>
    </row>
    <row r="442" spans="5:31" s="9" customFormat="1" ht="15.75" customHeight="1">
      <c r="E442" s="84"/>
      <c r="F442" s="84"/>
      <c r="G442" s="101"/>
      <c r="H442" s="38" t="s">
        <v>359</v>
      </c>
      <c r="I442" s="95"/>
      <c r="J442" s="95"/>
      <c r="K442" s="95"/>
      <c r="L442" s="95"/>
      <c r="M442" s="96"/>
      <c r="N442" s="132"/>
      <c r="O442" s="133"/>
      <c r="P442" s="134"/>
      <c r="Q442" s="85"/>
      <c r="R442" s="85"/>
      <c r="S442" s="85"/>
      <c r="T442" s="85"/>
      <c r="U442" s="85"/>
      <c r="V442" s="85"/>
      <c r="W442" s="61"/>
      <c r="X442" s="61"/>
      <c r="Y442" s="61"/>
      <c r="Z442" s="218">
        <f>g地盤抵抗係数(5,W440)</f>
        <v>1.1819999999999999</v>
      </c>
      <c r="AA442" s="219"/>
      <c r="AB442" s="220"/>
      <c r="AC442" s="112">
        <f>Z442*$T$440</f>
        <v>10651.716800044735</v>
      </c>
      <c r="AD442" s="113"/>
      <c r="AE442" s="113"/>
    </row>
    <row r="443" spans="5:31" s="9" customFormat="1" ht="15.75" customHeight="1">
      <c r="E443" s="98"/>
      <c r="F443" s="98"/>
      <c r="G443" s="99"/>
      <c r="H443" s="97"/>
      <c r="I443" s="98"/>
      <c r="J443" s="98"/>
      <c r="K443" s="98"/>
      <c r="L443" s="98"/>
      <c r="M443" s="99"/>
      <c r="N443" s="114"/>
      <c r="O443" s="115"/>
      <c r="P443" s="135"/>
      <c r="Q443" s="85"/>
      <c r="R443" s="85"/>
      <c r="S443" s="85"/>
      <c r="T443" s="85"/>
      <c r="U443" s="85"/>
      <c r="V443" s="85"/>
      <c r="W443" s="61"/>
      <c r="X443" s="61"/>
      <c r="Y443" s="61"/>
      <c r="Z443" s="221"/>
      <c r="AA443" s="222"/>
      <c r="AB443" s="223"/>
      <c r="AC443" s="114"/>
      <c r="AD443" s="115"/>
      <c r="AE443" s="115"/>
    </row>
    <row r="444" spans="5:31" s="9" customFormat="1" ht="15.75" customHeight="1"/>
    <row r="445" spans="5:31" s="9" customFormat="1" ht="15.75" customHeight="1"/>
    <row r="446" spans="5:31" s="9" customFormat="1" ht="15.75" customHeight="1">
      <c r="E446" s="7" t="s">
        <v>360</v>
      </c>
    </row>
    <row r="447" spans="5:31" s="9" customFormat="1" ht="15.75" customHeight="1"/>
    <row r="448" spans="5:31" s="9" customFormat="1" ht="15.75" customHeight="1">
      <c r="E448" s="36" t="s">
        <v>332</v>
      </c>
      <c r="F448" s="36"/>
      <c r="G448" s="6" t="s">
        <v>35</v>
      </c>
      <c r="H448" s="36" t="s">
        <v>361</v>
      </c>
      <c r="I448" s="36"/>
      <c r="J448" s="9" t="s">
        <v>7</v>
      </c>
      <c r="K448" s="36" t="s">
        <v>362</v>
      </c>
      <c r="L448" s="36"/>
    </row>
    <row r="449" spans="5:27" s="9" customFormat="1" ht="15.75" customHeight="1"/>
    <row r="450" spans="5:27" s="9" customFormat="1" ht="15.75" customHeight="1">
      <c r="F450" s="7" t="s">
        <v>4</v>
      </c>
      <c r="G450" s="7"/>
      <c r="H450" s="7"/>
      <c r="I450" s="36" t="s">
        <v>280</v>
      </c>
      <c r="J450" s="36"/>
      <c r="K450" s="6" t="s">
        <v>3</v>
      </c>
      <c r="L450" s="7" t="s">
        <v>290</v>
      </c>
    </row>
    <row r="451" spans="5:27" s="9" customFormat="1" ht="15.75" customHeight="1">
      <c r="F451" s="7"/>
      <c r="G451" s="7"/>
      <c r="H451" s="7"/>
      <c r="I451" s="36" t="s">
        <v>282</v>
      </c>
      <c r="J451" s="36"/>
      <c r="K451" s="6" t="s">
        <v>3</v>
      </c>
      <c r="L451" s="7" t="s">
        <v>337</v>
      </c>
    </row>
    <row r="452" spans="5:27" s="9" customFormat="1" ht="15.75" customHeight="1">
      <c r="I452" s="36" t="s">
        <v>363</v>
      </c>
      <c r="J452" s="36"/>
      <c r="K452" s="6" t="s">
        <v>3</v>
      </c>
      <c r="L452" s="7" t="s">
        <v>365</v>
      </c>
    </row>
    <row r="453" spans="5:27" s="9" customFormat="1" ht="15.75" customHeight="1">
      <c r="I453" s="36" t="s">
        <v>364</v>
      </c>
      <c r="J453" s="36"/>
      <c r="K453" s="6" t="s">
        <v>3</v>
      </c>
      <c r="L453" s="7" t="s">
        <v>366</v>
      </c>
    </row>
    <row r="454" spans="5:27" s="9" customFormat="1" ht="15.75" customHeight="1">
      <c r="I454" s="7"/>
      <c r="J454" s="7"/>
      <c r="K454" s="6"/>
    </row>
    <row r="455" spans="5:27" s="9" customFormat="1" ht="15.75" customHeight="1">
      <c r="E455" s="36" t="s">
        <v>332</v>
      </c>
      <c r="F455" s="36"/>
      <c r="G455" s="6" t="s">
        <v>35</v>
      </c>
      <c r="H455" s="36">
        <v>1.4</v>
      </c>
      <c r="I455" s="36"/>
      <c r="J455" s="9" t="s">
        <v>2</v>
      </c>
      <c r="K455" s="120">
        <f>N426</f>
        <v>3981.9686884250636</v>
      </c>
      <c r="L455" s="120"/>
      <c r="M455" s="120"/>
      <c r="N455" s="9" t="s">
        <v>7</v>
      </c>
      <c r="O455" s="36">
        <v>1.4</v>
      </c>
      <c r="P455" s="36"/>
      <c r="Q455" s="9" t="s">
        <v>2</v>
      </c>
      <c r="R455" s="120">
        <f>Q429</f>
        <v>4958.7679262649926</v>
      </c>
      <c r="S455" s="120"/>
      <c r="T455" s="120"/>
      <c r="U455" s="6" t="s">
        <v>35</v>
      </c>
      <c r="V455" s="120">
        <f>H455*K455+O455*R455</f>
        <v>12517.031260566077</v>
      </c>
      <c r="W455" s="120"/>
      <c r="X455" s="120"/>
      <c r="Y455" s="9" t="s">
        <v>367</v>
      </c>
      <c r="AA455" s="9" t="s">
        <v>480</v>
      </c>
    </row>
    <row r="456" spans="5:27" s="9" customFormat="1" ht="15.75" customHeight="1">
      <c r="E456" s="36" t="s">
        <v>332</v>
      </c>
      <c r="F456" s="36"/>
      <c r="G456" s="6" t="s">
        <v>35</v>
      </c>
      <c r="H456" s="36">
        <v>1.4</v>
      </c>
      <c r="I456" s="36"/>
      <c r="J456" s="9" t="s">
        <v>2</v>
      </c>
      <c r="K456" s="120">
        <f>N437</f>
        <v>3981.9686884250636</v>
      </c>
      <c r="L456" s="120"/>
      <c r="M456" s="120"/>
      <c r="N456" s="9" t="s">
        <v>7</v>
      </c>
      <c r="O456" s="36">
        <v>1.4</v>
      </c>
      <c r="P456" s="36"/>
      <c r="Q456" s="9" t="s">
        <v>2</v>
      </c>
      <c r="R456" s="120">
        <f>Q440</f>
        <v>5029.6360493454395</v>
      </c>
      <c r="S456" s="120"/>
      <c r="T456" s="120"/>
      <c r="U456" s="6" t="s">
        <v>35</v>
      </c>
      <c r="V456" s="120">
        <f>H456*K456+O456*R456</f>
        <v>12616.246632878703</v>
      </c>
      <c r="W456" s="120"/>
      <c r="X456" s="120"/>
      <c r="Y456" s="9" t="s">
        <v>367</v>
      </c>
      <c r="AA456" s="9" t="s">
        <v>481</v>
      </c>
    </row>
    <row r="457" spans="5:27" s="9" customFormat="1" ht="15.75" customHeight="1"/>
    <row r="458" spans="5:27" s="9" customFormat="1" ht="15.75" customHeight="1"/>
    <row r="459" spans="5:27" s="9" customFormat="1" ht="15.75" customHeight="1"/>
    <row r="460" spans="5:27" s="9" customFormat="1" ht="15.75" customHeight="1">
      <c r="E460" s="7" t="s">
        <v>368</v>
      </c>
    </row>
    <row r="461" spans="5:27" s="9" customFormat="1" ht="15.75" customHeight="1">
      <c r="F461" s="9" t="s">
        <v>378</v>
      </c>
    </row>
    <row r="462" spans="5:27" s="9" customFormat="1" ht="15.75" customHeight="1">
      <c r="F462" s="9" t="s">
        <v>369</v>
      </c>
    </row>
    <row r="463" spans="5:27" s="9" customFormat="1" ht="15.75" customHeight="1"/>
    <row r="464" spans="5:27" s="9" customFormat="1" ht="15.75" customHeight="1">
      <c r="E464" s="36" t="s">
        <v>370</v>
      </c>
      <c r="F464" s="36"/>
      <c r="G464" s="6" t="s">
        <v>35</v>
      </c>
      <c r="H464" s="36" t="s">
        <v>371</v>
      </c>
      <c r="I464" s="36"/>
      <c r="J464" s="9" t="s">
        <v>7</v>
      </c>
      <c r="K464" s="36" t="s">
        <v>372</v>
      </c>
      <c r="L464" s="36"/>
    </row>
    <row r="465" spans="5:28" s="9" customFormat="1" ht="15.75" customHeight="1"/>
    <row r="466" spans="5:28" s="9" customFormat="1" ht="15.75" customHeight="1">
      <c r="F466" s="7" t="s">
        <v>4</v>
      </c>
      <c r="G466" s="7"/>
      <c r="H466" s="7"/>
      <c r="I466" s="36" t="s">
        <v>370</v>
      </c>
      <c r="J466" s="36"/>
      <c r="K466" s="6" t="s">
        <v>3</v>
      </c>
      <c r="L466" s="7" t="s">
        <v>373</v>
      </c>
    </row>
    <row r="467" spans="5:28" s="9" customFormat="1" ht="15.75" customHeight="1">
      <c r="F467" s="7"/>
      <c r="G467" s="7"/>
      <c r="H467" s="7"/>
      <c r="I467" s="36" t="s">
        <v>282</v>
      </c>
      <c r="J467" s="36"/>
      <c r="K467" s="6" t="s">
        <v>3</v>
      </c>
      <c r="L467" s="7" t="s">
        <v>337</v>
      </c>
    </row>
    <row r="468" spans="5:28" s="9" customFormat="1" ht="15.75" customHeight="1">
      <c r="I468" s="36" t="s">
        <v>333</v>
      </c>
      <c r="J468" s="36"/>
      <c r="K468" s="6" t="s">
        <v>3</v>
      </c>
      <c r="L468" s="7" t="s">
        <v>374</v>
      </c>
    </row>
    <row r="469" spans="5:28" s="9" customFormat="1" ht="15.75" customHeight="1">
      <c r="I469" s="36" t="s">
        <v>372</v>
      </c>
      <c r="J469" s="36"/>
      <c r="K469" s="6" t="s">
        <v>3</v>
      </c>
      <c r="L469" s="7" t="s">
        <v>375</v>
      </c>
    </row>
    <row r="470" spans="5:28" s="9" customFormat="1" ht="15.75" customHeight="1">
      <c r="F470" s="9" t="s">
        <v>376</v>
      </c>
    </row>
    <row r="471" spans="5:28" s="9" customFormat="1" ht="15.75" customHeight="1"/>
    <row r="472" spans="5:28" s="9" customFormat="1" ht="15.75" customHeight="1">
      <c r="E472" s="36" t="s">
        <v>370</v>
      </c>
      <c r="F472" s="36"/>
      <c r="G472" s="6" t="s">
        <v>35</v>
      </c>
      <c r="H472" s="36" t="s">
        <v>372</v>
      </c>
      <c r="I472" s="36"/>
    </row>
    <row r="473" spans="5:28" s="9" customFormat="1" ht="15.75" customHeight="1"/>
    <row r="474" spans="5:28" s="9" customFormat="1" ht="15.75" customHeight="1">
      <c r="F474" s="9" t="s">
        <v>505</v>
      </c>
    </row>
    <row r="475" spans="5:28" s="9" customFormat="1" ht="15.75" customHeight="1">
      <c r="F475" s="9" t="s">
        <v>506</v>
      </c>
    </row>
    <row r="476" spans="5:28" s="9" customFormat="1" ht="15.75" customHeight="1"/>
    <row r="477" spans="5:28" s="9" customFormat="1" ht="15.75" customHeight="1">
      <c r="J477" s="75" t="s">
        <v>482</v>
      </c>
      <c r="K477" s="75"/>
      <c r="L477" s="75"/>
      <c r="M477" s="75"/>
      <c r="N477" s="75"/>
      <c r="O477" s="75"/>
      <c r="P477" s="75"/>
      <c r="Q477" s="75"/>
      <c r="R477" s="75"/>
      <c r="S477" s="75"/>
      <c r="T477" s="75"/>
      <c r="U477" s="75"/>
      <c r="V477" s="75"/>
      <c r="W477" s="75"/>
      <c r="X477" s="75"/>
      <c r="Y477" s="75"/>
      <c r="Z477" s="75"/>
    </row>
    <row r="478" spans="5:28" s="9" customFormat="1" ht="15.75" customHeight="1">
      <c r="H478" s="59" t="s">
        <v>344</v>
      </c>
      <c r="I478" s="60"/>
      <c r="J478" s="60"/>
      <c r="K478" s="60" t="s">
        <v>346</v>
      </c>
      <c r="L478" s="60"/>
      <c r="M478" s="60"/>
      <c r="N478" s="60"/>
      <c r="O478" s="60"/>
      <c r="P478" s="60"/>
      <c r="Q478" s="72" t="s">
        <v>351</v>
      </c>
      <c r="R478" s="60"/>
      <c r="S478" s="60"/>
      <c r="T478" s="72" t="s">
        <v>348</v>
      </c>
      <c r="U478" s="60"/>
      <c r="V478" s="60"/>
      <c r="W478" s="72" t="s">
        <v>377</v>
      </c>
      <c r="X478" s="60"/>
      <c r="Y478" s="60"/>
      <c r="Z478" s="72" t="s">
        <v>349</v>
      </c>
      <c r="AA478" s="60"/>
      <c r="AB478" s="62"/>
    </row>
    <row r="479" spans="5:28" s="9" customFormat="1" ht="15.75" customHeight="1">
      <c r="H479" s="59"/>
      <c r="I479" s="60"/>
      <c r="J479" s="60"/>
      <c r="K479" s="60"/>
      <c r="L479" s="60"/>
      <c r="M479" s="60"/>
      <c r="N479" s="60"/>
      <c r="O479" s="60"/>
      <c r="P479" s="60"/>
      <c r="Q479" s="60"/>
      <c r="R479" s="60"/>
      <c r="S479" s="60"/>
      <c r="T479" s="60"/>
      <c r="U479" s="60"/>
      <c r="V479" s="60"/>
      <c r="W479" s="60"/>
      <c r="X479" s="60"/>
      <c r="Y479" s="60"/>
      <c r="Z479" s="60"/>
      <c r="AA479" s="60"/>
      <c r="AB479" s="62"/>
    </row>
    <row r="480" spans="5:28" s="9" customFormat="1" ht="15.75" customHeight="1">
      <c r="H480" s="59" t="s">
        <v>355</v>
      </c>
      <c r="I480" s="60"/>
      <c r="J480" s="60"/>
      <c r="K480" s="69" t="s">
        <v>353</v>
      </c>
      <c r="L480" s="69"/>
      <c r="M480" s="69"/>
      <c r="N480" s="69"/>
      <c r="O480" s="69"/>
      <c r="P480" s="69"/>
      <c r="Q480" s="85">
        <f>Z392</f>
        <v>7963.9373768501255</v>
      </c>
      <c r="R480" s="85"/>
      <c r="S480" s="85"/>
      <c r="T480" s="124" t="s">
        <v>234</v>
      </c>
      <c r="U480" s="124"/>
      <c r="V480" s="124"/>
      <c r="W480" s="112">
        <v>250.2</v>
      </c>
      <c r="X480" s="113"/>
      <c r="Y480" s="131"/>
      <c r="Z480" s="121">
        <f>W480</f>
        <v>250.2</v>
      </c>
      <c r="AA480" s="121"/>
      <c r="AB480" s="122"/>
    </row>
    <row r="481" spans="8:28" s="9" customFormat="1" ht="15.75" customHeight="1">
      <c r="H481" s="59"/>
      <c r="I481" s="60"/>
      <c r="J481" s="60"/>
      <c r="K481" s="69" t="s">
        <v>354</v>
      </c>
      <c r="L481" s="69"/>
      <c r="M481" s="69"/>
      <c r="N481" s="69"/>
      <c r="O481" s="69"/>
      <c r="P481" s="69"/>
      <c r="Q481" s="85"/>
      <c r="R481" s="85"/>
      <c r="S481" s="85"/>
      <c r="T481" s="215">
        <f>g地盤抵抗係数(2,0)</f>
        <v>0.58699999999999997</v>
      </c>
      <c r="U481" s="216"/>
      <c r="V481" s="217"/>
      <c r="W481" s="132"/>
      <c r="X481" s="133"/>
      <c r="Y481" s="134"/>
      <c r="Z481" s="121">
        <f>Q480*T481+$W$480</f>
        <v>4925.031240211023</v>
      </c>
      <c r="AA481" s="121"/>
      <c r="AB481" s="122"/>
    </row>
    <row r="482" spans="8:28" s="9" customFormat="1" ht="15.75" customHeight="1">
      <c r="H482" s="44" t="s">
        <v>356</v>
      </c>
      <c r="I482" s="69"/>
      <c r="J482" s="69"/>
      <c r="K482" s="137" t="s">
        <v>345</v>
      </c>
      <c r="L482" s="137"/>
      <c r="M482" s="137"/>
      <c r="N482" s="137"/>
      <c r="O482" s="137"/>
      <c r="P482" s="137"/>
      <c r="Q482" s="85"/>
      <c r="R482" s="85"/>
      <c r="S482" s="85"/>
      <c r="T482" s="215">
        <f>g地盤抵抗係数(3,0)</f>
        <v>0.78600000000000003</v>
      </c>
      <c r="U482" s="216"/>
      <c r="V482" s="217"/>
      <c r="W482" s="132"/>
      <c r="X482" s="133"/>
      <c r="Y482" s="134"/>
      <c r="Z482" s="121">
        <f>Q480*T482+$W$480</f>
        <v>6509.8547782041987</v>
      </c>
      <c r="AA482" s="121"/>
      <c r="AB482" s="122"/>
    </row>
    <row r="483" spans="8:28" s="9" customFormat="1" ht="15.75" customHeight="1">
      <c r="H483" s="95" t="s">
        <v>357</v>
      </c>
      <c r="I483" s="95"/>
      <c r="J483" s="96"/>
      <c r="K483" s="38" t="s">
        <v>358</v>
      </c>
      <c r="L483" s="95"/>
      <c r="M483" s="95"/>
      <c r="N483" s="95"/>
      <c r="O483" s="95"/>
      <c r="P483" s="96"/>
      <c r="Q483" s="85">
        <f>W398</f>
        <v>5755.1616639500062</v>
      </c>
      <c r="R483" s="85"/>
      <c r="S483" s="85"/>
      <c r="T483" s="218">
        <f>g地盤抵抗係数(4,0)</f>
        <v>0.86499999999999999</v>
      </c>
      <c r="U483" s="219"/>
      <c r="V483" s="220"/>
      <c r="W483" s="132"/>
      <c r="X483" s="133"/>
      <c r="Y483" s="134"/>
      <c r="Z483" s="112">
        <f>Q483*T483+W480</f>
        <v>5228.4148393167552</v>
      </c>
      <c r="AA483" s="113"/>
      <c r="AB483" s="113"/>
    </row>
    <row r="484" spans="8:28" s="9" customFormat="1" ht="15.75" customHeight="1">
      <c r="H484" s="84"/>
      <c r="I484" s="84"/>
      <c r="J484" s="101"/>
      <c r="K484" s="97"/>
      <c r="L484" s="98"/>
      <c r="M484" s="98"/>
      <c r="N484" s="98"/>
      <c r="O484" s="98"/>
      <c r="P484" s="99"/>
      <c r="Q484" s="85"/>
      <c r="R484" s="85"/>
      <c r="S484" s="85"/>
      <c r="T484" s="221"/>
      <c r="U484" s="222"/>
      <c r="V484" s="223"/>
      <c r="W484" s="132"/>
      <c r="X484" s="133"/>
      <c r="Y484" s="134"/>
      <c r="Z484" s="114"/>
      <c r="AA484" s="115"/>
      <c r="AB484" s="115"/>
    </row>
    <row r="485" spans="8:28" s="9" customFormat="1" ht="15.75" customHeight="1">
      <c r="H485" s="84"/>
      <c r="I485" s="84"/>
      <c r="J485" s="101"/>
      <c r="K485" s="38" t="s">
        <v>359</v>
      </c>
      <c r="L485" s="95"/>
      <c r="M485" s="95"/>
      <c r="N485" s="95"/>
      <c r="O485" s="95"/>
      <c r="P485" s="96"/>
      <c r="Q485" s="85"/>
      <c r="R485" s="85"/>
      <c r="S485" s="85"/>
      <c r="T485" s="218">
        <f>g地盤抵抗係数(5,0)</f>
        <v>1.1439999999999999</v>
      </c>
      <c r="U485" s="219"/>
      <c r="V485" s="220"/>
      <c r="W485" s="132"/>
      <c r="X485" s="133"/>
      <c r="Y485" s="134"/>
      <c r="Z485" s="112">
        <f>Q483*T485+W480</f>
        <v>6834.1049435588066</v>
      </c>
      <c r="AA485" s="113"/>
      <c r="AB485" s="113"/>
    </row>
    <row r="486" spans="8:28" s="9" customFormat="1" ht="15.75" customHeight="1">
      <c r="H486" s="98"/>
      <c r="I486" s="98"/>
      <c r="J486" s="99"/>
      <c r="K486" s="97"/>
      <c r="L486" s="98"/>
      <c r="M486" s="98"/>
      <c r="N486" s="98"/>
      <c r="O486" s="98"/>
      <c r="P486" s="99"/>
      <c r="Q486" s="85"/>
      <c r="R486" s="85"/>
      <c r="S486" s="85"/>
      <c r="T486" s="221"/>
      <c r="U486" s="222"/>
      <c r="V486" s="223"/>
      <c r="W486" s="114"/>
      <c r="X486" s="115"/>
      <c r="Y486" s="135"/>
      <c r="Z486" s="114"/>
      <c r="AA486" s="115"/>
      <c r="AB486" s="115"/>
    </row>
    <row r="487" spans="8:28" s="9" customFormat="1" ht="15.75" customHeight="1"/>
    <row r="488" spans="8:28" s="9" customFormat="1" ht="15.75" customHeight="1">
      <c r="J488" s="75" t="s">
        <v>482</v>
      </c>
      <c r="K488" s="75"/>
      <c r="L488" s="75"/>
      <c r="M488" s="75"/>
      <c r="N488" s="75"/>
      <c r="O488" s="75"/>
      <c r="P488" s="75"/>
      <c r="Q488" s="75"/>
      <c r="R488" s="75"/>
      <c r="S488" s="75"/>
      <c r="T488" s="75"/>
      <c r="U488" s="75"/>
      <c r="V488" s="75"/>
      <c r="W488" s="75"/>
      <c r="X488" s="75"/>
      <c r="Y488" s="75"/>
      <c r="Z488" s="75"/>
    </row>
    <row r="489" spans="8:28" s="9" customFormat="1" ht="15.75" customHeight="1">
      <c r="H489" s="59" t="s">
        <v>344</v>
      </c>
      <c r="I489" s="60"/>
      <c r="J489" s="60"/>
      <c r="K489" s="60" t="s">
        <v>346</v>
      </c>
      <c r="L489" s="60"/>
      <c r="M489" s="60"/>
      <c r="N489" s="60"/>
      <c r="O489" s="60"/>
      <c r="P489" s="60"/>
      <c r="Q489" s="72" t="s">
        <v>351</v>
      </c>
      <c r="R489" s="60"/>
      <c r="S489" s="60"/>
      <c r="T489" s="72" t="s">
        <v>348</v>
      </c>
      <c r="U489" s="60"/>
      <c r="V489" s="60"/>
      <c r="W489" s="72" t="s">
        <v>377</v>
      </c>
      <c r="X489" s="60"/>
      <c r="Y489" s="60"/>
      <c r="Z489" s="72" t="s">
        <v>349</v>
      </c>
      <c r="AA489" s="60"/>
      <c r="AB489" s="62"/>
    </row>
    <row r="490" spans="8:28" s="9" customFormat="1" ht="15.75" customHeight="1">
      <c r="H490" s="59"/>
      <c r="I490" s="60"/>
      <c r="J490" s="60"/>
      <c r="K490" s="60"/>
      <c r="L490" s="60"/>
      <c r="M490" s="60"/>
      <c r="N490" s="60"/>
      <c r="O490" s="60"/>
      <c r="P490" s="60"/>
      <c r="Q490" s="60"/>
      <c r="R490" s="60"/>
      <c r="S490" s="60"/>
      <c r="T490" s="60"/>
      <c r="U490" s="60"/>
      <c r="V490" s="60"/>
      <c r="W490" s="60"/>
      <c r="X490" s="60"/>
      <c r="Y490" s="60"/>
      <c r="Z490" s="60"/>
      <c r="AA490" s="60"/>
      <c r="AB490" s="62"/>
    </row>
    <row r="491" spans="8:28" s="9" customFormat="1" ht="15.75" customHeight="1">
      <c r="H491" s="59" t="s">
        <v>355</v>
      </c>
      <c r="I491" s="60"/>
      <c r="J491" s="60"/>
      <c r="K491" s="69" t="s">
        <v>353</v>
      </c>
      <c r="L491" s="69"/>
      <c r="M491" s="69"/>
      <c r="N491" s="69"/>
      <c r="O491" s="69"/>
      <c r="P491" s="69"/>
      <c r="Q491" s="85">
        <f>Z392</f>
        <v>7963.9373768501255</v>
      </c>
      <c r="R491" s="85"/>
      <c r="S491" s="85"/>
      <c r="T491" s="124" t="s">
        <v>234</v>
      </c>
      <c r="U491" s="124"/>
      <c r="V491" s="124"/>
      <c r="W491" s="112">
        <v>250.2</v>
      </c>
      <c r="X491" s="113"/>
      <c r="Y491" s="131"/>
      <c r="Z491" s="121">
        <f>W491</f>
        <v>250.2</v>
      </c>
      <c r="AA491" s="121"/>
      <c r="AB491" s="122"/>
    </row>
    <row r="492" spans="8:28" s="9" customFormat="1" ht="15.75" customHeight="1">
      <c r="H492" s="59"/>
      <c r="I492" s="60"/>
      <c r="J492" s="60"/>
      <c r="K492" s="69" t="s">
        <v>354</v>
      </c>
      <c r="L492" s="69"/>
      <c r="M492" s="69"/>
      <c r="N492" s="69"/>
      <c r="O492" s="69"/>
      <c r="P492" s="69"/>
      <c r="Q492" s="85"/>
      <c r="R492" s="85"/>
      <c r="S492" s="85"/>
      <c r="T492" s="215">
        <f>g地盤抵抗係数(2,0)</f>
        <v>0.58699999999999997</v>
      </c>
      <c r="U492" s="216"/>
      <c r="V492" s="217"/>
      <c r="W492" s="132"/>
      <c r="X492" s="133"/>
      <c r="Y492" s="134"/>
      <c r="Z492" s="121">
        <f>Q491*T492+$W$480</f>
        <v>4925.031240211023</v>
      </c>
      <c r="AA492" s="121"/>
      <c r="AB492" s="122"/>
    </row>
    <row r="493" spans="8:28" s="9" customFormat="1" ht="15.75" customHeight="1">
      <c r="H493" s="44" t="s">
        <v>356</v>
      </c>
      <c r="I493" s="69"/>
      <c r="J493" s="69"/>
      <c r="K493" s="137" t="s">
        <v>345</v>
      </c>
      <c r="L493" s="137"/>
      <c r="M493" s="137"/>
      <c r="N493" s="137"/>
      <c r="O493" s="137"/>
      <c r="P493" s="137"/>
      <c r="Q493" s="85"/>
      <c r="R493" s="85"/>
      <c r="S493" s="85"/>
      <c r="T493" s="215">
        <f>g地盤抵抗係数(3,0)</f>
        <v>0.78600000000000003</v>
      </c>
      <c r="U493" s="216"/>
      <c r="V493" s="217"/>
      <c r="W493" s="132"/>
      <c r="X493" s="133"/>
      <c r="Y493" s="134"/>
      <c r="Z493" s="121">
        <f>Q491*T493+$W$480</f>
        <v>6509.8547782041987</v>
      </c>
      <c r="AA493" s="121"/>
      <c r="AB493" s="122"/>
    </row>
    <row r="494" spans="8:28" s="9" customFormat="1" ht="15.75" customHeight="1">
      <c r="H494" s="95" t="s">
        <v>357</v>
      </c>
      <c r="I494" s="95"/>
      <c r="J494" s="96"/>
      <c r="K494" s="38" t="s">
        <v>358</v>
      </c>
      <c r="L494" s="95"/>
      <c r="M494" s="95"/>
      <c r="N494" s="95"/>
      <c r="O494" s="95"/>
      <c r="P494" s="96"/>
      <c r="Q494" s="85">
        <f>AA398</f>
        <v>5826.029787030453</v>
      </c>
      <c r="R494" s="85"/>
      <c r="S494" s="85"/>
      <c r="T494" s="218">
        <f>g地盤抵抗係数(4,0)</f>
        <v>0.86499999999999999</v>
      </c>
      <c r="U494" s="219"/>
      <c r="V494" s="220"/>
      <c r="W494" s="132"/>
      <c r="X494" s="133"/>
      <c r="Y494" s="134"/>
      <c r="Z494" s="112">
        <f>Q494*T494+W491</f>
        <v>5289.7157657813414</v>
      </c>
      <c r="AA494" s="113"/>
      <c r="AB494" s="113"/>
    </row>
    <row r="495" spans="8:28" s="9" customFormat="1" ht="15.75" customHeight="1">
      <c r="H495" s="84"/>
      <c r="I495" s="84"/>
      <c r="J495" s="101"/>
      <c r="K495" s="97"/>
      <c r="L495" s="98"/>
      <c r="M495" s="98"/>
      <c r="N495" s="98"/>
      <c r="O495" s="98"/>
      <c r="P495" s="99"/>
      <c r="Q495" s="85"/>
      <c r="R495" s="85"/>
      <c r="S495" s="85"/>
      <c r="T495" s="221"/>
      <c r="U495" s="222"/>
      <c r="V495" s="223"/>
      <c r="W495" s="132"/>
      <c r="X495" s="133"/>
      <c r="Y495" s="134"/>
      <c r="Z495" s="114"/>
      <c r="AA495" s="115"/>
      <c r="AB495" s="115"/>
    </row>
    <row r="496" spans="8:28" s="9" customFormat="1" ht="15.75" customHeight="1">
      <c r="H496" s="84"/>
      <c r="I496" s="84"/>
      <c r="J496" s="101"/>
      <c r="K496" s="38" t="s">
        <v>359</v>
      </c>
      <c r="L496" s="95"/>
      <c r="M496" s="95"/>
      <c r="N496" s="95"/>
      <c r="O496" s="95"/>
      <c r="P496" s="96"/>
      <c r="Q496" s="85"/>
      <c r="R496" s="85"/>
      <c r="S496" s="85"/>
      <c r="T496" s="218">
        <f>g地盤抵抗係数(5,0)</f>
        <v>1.1439999999999999</v>
      </c>
      <c r="U496" s="219"/>
      <c r="V496" s="220"/>
      <c r="W496" s="132"/>
      <c r="X496" s="133"/>
      <c r="Y496" s="134"/>
      <c r="Z496" s="112">
        <f>Q494*T496+W491</f>
        <v>6915.1780763628376</v>
      </c>
      <c r="AA496" s="113"/>
      <c r="AB496" s="113"/>
    </row>
    <row r="497" spans="4:28" s="9" customFormat="1" ht="15.75" customHeight="1">
      <c r="H497" s="98"/>
      <c r="I497" s="98"/>
      <c r="J497" s="99"/>
      <c r="K497" s="97"/>
      <c r="L497" s="98"/>
      <c r="M497" s="98"/>
      <c r="N497" s="98"/>
      <c r="O497" s="98"/>
      <c r="P497" s="99"/>
      <c r="Q497" s="85"/>
      <c r="R497" s="85"/>
      <c r="S497" s="85"/>
      <c r="T497" s="221"/>
      <c r="U497" s="222"/>
      <c r="V497" s="223"/>
      <c r="W497" s="114"/>
      <c r="X497" s="115"/>
      <c r="Y497" s="135"/>
      <c r="Z497" s="114"/>
      <c r="AA497" s="115"/>
      <c r="AB497" s="115"/>
    </row>
    <row r="498" spans="4:28" s="9" customFormat="1" ht="15.75" customHeight="1"/>
    <row r="499" spans="4:28" s="9" customFormat="1" ht="15.75" customHeight="1">
      <c r="E499" s="7" t="s">
        <v>507</v>
      </c>
    </row>
    <row r="500" spans="4:28" s="9" customFormat="1" ht="15.75" customHeight="1">
      <c r="E500" s="9" t="s">
        <v>508</v>
      </c>
    </row>
    <row r="501" spans="4:28" s="9" customFormat="1" ht="15.75" customHeight="1"/>
    <row r="502" spans="4:28" s="9" customFormat="1" ht="15.75" customHeight="1">
      <c r="D502" s="13" t="s">
        <v>379</v>
      </c>
    </row>
    <row r="503" spans="4:28" s="9" customFormat="1" ht="15.75" customHeight="1"/>
    <row r="504" spans="4:28" s="9" customFormat="1" ht="15.75" customHeight="1">
      <c r="E504" s="9" t="s">
        <v>509</v>
      </c>
    </row>
    <row r="505" spans="4:28" s="9" customFormat="1" ht="15.75" customHeight="1"/>
    <row r="506" spans="4:28" s="9" customFormat="1" ht="15.75" customHeight="1">
      <c r="E506" s="36" t="s">
        <v>384</v>
      </c>
      <c r="F506" s="36"/>
      <c r="G506" s="6" t="s">
        <v>35</v>
      </c>
      <c r="H506" s="36" t="s">
        <v>380</v>
      </c>
      <c r="I506" s="36"/>
      <c r="J506" s="9" t="s">
        <v>381</v>
      </c>
      <c r="K506" s="36" t="s">
        <v>382</v>
      </c>
      <c r="L506" s="36"/>
      <c r="M506" s="9" t="s">
        <v>381</v>
      </c>
      <c r="N506" s="36" t="s">
        <v>383</v>
      </c>
      <c r="O506" s="36"/>
      <c r="P506" s="9" t="s">
        <v>385</v>
      </c>
      <c r="Q506" s="36" t="s">
        <v>383</v>
      </c>
      <c r="R506" s="36"/>
    </row>
    <row r="507" spans="4:28" s="9" customFormat="1" ht="15.75" customHeight="1"/>
    <row r="508" spans="4:28" s="9" customFormat="1" ht="15.75" customHeight="1">
      <c r="F508" s="7" t="s">
        <v>4</v>
      </c>
      <c r="G508" s="7"/>
      <c r="H508" s="7"/>
      <c r="I508" s="36" t="s">
        <v>384</v>
      </c>
      <c r="J508" s="36"/>
      <c r="K508" s="6" t="s">
        <v>3</v>
      </c>
      <c r="L508" s="7" t="s">
        <v>386</v>
      </c>
    </row>
    <row r="509" spans="4:28" s="9" customFormat="1" ht="15.75" customHeight="1">
      <c r="F509" s="7"/>
      <c r="G509" s="7"/>
      <c r="H509" s="7"/>
      <c r="I509" s="36" t="s">
        <v>380</v>
      </c>
      <c r="J509" s="36"/>
      <c r="K509" s="6" t="s">
        <v>3</v>
      </c>
      <c r="L509" s="7" t="s">
        <v>387</v>
      </c>
    </row>
    <row r="510" spans="4:28" s="9" customFormat="1" ht="15.75" customHeight="1">
      <c r="L510" s="117" t="s">
        <v>324</v>
      </c>
      <c r="M510" s="117"/>
      <c r="N510" s="117"/>
      <c r="O510" s="6" t="s">
        <v>3</v>
      </c>
      <c r="P510" s="9" t="s">
        <v>388</v>
      </c>
    </row>
    <row r="511" spans="4:28" s="9" customFormat="1" ht="15.75" customHeight="1">
      <c r="L511" s="117" t="s">
        <v>323</v>
      </c>
      <c r="M511" s="117"/>
      <c r="N511" s="117"/>
      <c r="O511" s="6" t="s">
        <v>3</v>
      </c>
      <c r="P511" s="9" t="s">
        <v>389</v>
      </c>
    </row>
    <row r="512" spans="4:28" s="9" customFormat="1" ht="15.75" customHeight="1">
      <c r="I512" s="36" t="s">
        <v>382</v>
      </c>
      <c r="J512" s="36"/>
      <c r="K512" s="6" t="s">
        <v>3</v>
      </c>
      <c r="L512" s="7" t="s">
        <v>390</v>
      </c>
    </row>
    <row r="513" spans="5:30" s="9" customFormat="1" ht="15.75" customHeight="1">
      <c r="L513" s="117" t="s">
        <v>324</v>
      </c>
      <c r="M513" s="117"/>
      <c r="N513" s="117"/>
      <c r="O513" s="6" t="s">
        <v>3</v>
      </c>
      <c r="P513" s="9" t="s">
        <v>391</v>
      </c>
    </row>
    <row r="514" spans="5:30" s="9" customFormat="1" ht="15.75" customHeight="1">
      <c r="L514" s="117" t="s">
        <v>323</v>
      </c>
      <c r="M514" s="117"/>
      <c r="N514" s="117"/>
      <c r="O514" s="6" t="s">
        <v>3</v>
      </c>
      <c r="P514" s="9" t="s">
        <v>392</v>
      </c>
    </row>
    <row r="515" spans="5:30" s="9" customFormat="1" ht="15.75" customHeight="1">
      <c r="I515" s="36" t="s">
        <v>383</v>
      </c>
      <c r="J515" s="36"/>
      <c r="K515" s="6" t="s">
        <v>3</v>
      </c>
      <c r="L515" s="9" t="s">
        <v>386</v>
      </c>
    </row>
    <row r="516" spans="5:30" s="9" customFormat="1" ht="15.75" customHeight="1">
      <c r="M516" s="7" t="s">
        <v>291</v>
      </c>
      <c r="N516" s="7"/>
      <c r="O516" s="7"/>
      <c r="P516" s="7"/>
      <c r="Q516" s="7"/>
      <c r="R516" s="6" t="s">
        <v>3</v>
      </c>
      <c r="S516" s="36" t="s">
        <v>383</v>
      </c>
      <c r="T516" s="36"/>
      <c r="U516" s="6" t="s">
        <v>35</v>
      </c>
      <c r="V516" s="9" t="s">
        <v>394</v>
      </c>
    </row>
    <row r="517" spans="5:30" s="9" customFormat="1" ht="15.75" customHeight="1">
      <c r="M517" s="7" t="s">
        <v>313</v>
      </c>
      <c r="N517" s="7"/>
      <c r="O517" s="7"/>
      <c r="P517" s="7"/>
      <c r="Q517" s="7"/>
      <c r="R517" s="6" t="s">
        <v>3</v>
      </c>
      <c r="S517" s="36" t="s">
        <v>383</v>
      </c>
      <c r="T517" s="36"/>
      <c r="U517" s="6" t="s">
        <v>35</v>
      </c>
      <c r="V517" s="9" t="s">
        <v>395</v>
      </c>
      <c r="AC517" s="9" t="s">
        <v>385</v>
      </c>
      <c r="AD517" s="9" t="s">
        <v>393</v>
      </c>
    </row>
    <row r="518" spans="5:30" s="9" customFormat="1" ht="15.75" customHeight="1">
      <c r="J518" s="8" t="s">
        <v>396</v>
      </c>
      <c r="K518" s="6" t="s">
        <v>3</v>
      </c>
      <c r="L518" s="9" t="s">
        <v>397</v>
      </c>
    </row>
    <row r="519" spans="5:30" s="9" customFormat="1" ht="15.75" customHeight="1">
      <c r="J519" s="8" t="s">
        <v>398</v>
      </c>
      <c r="K519" s="6" t="s">
        <v>3</v>
      </c>
      <c r="L519" s="9" t="s">
        <v>399</v>
      </c>
    </row>
    <row r="520" spans="5:30" s="9" customFormat="1" ht="15.75" customHeight="1">
      <c r="J520" s="9" t="s">
        <v>400</v>
      </c>
      <c r="K520" s="6" t="s">
        <v>3</v>
      </c>
      <c r="L520" s="9" t="s">
        <v>401</v>
      </c>
    </row>
    <row r="521" spans="5:30" s="9" customFormat="1" ht="15.75" customHeight="1">
      <c r="J521" s="8" t="s">
        <v>402</v>
      </c>
      <c r="K521" s="6" t="s">
        <v>3</v>
      </c>
      <c r="L521" s="9" t="s">
        <v>403</v>
      </c>
    </row>
    <row r="522" spans="5:30" s="9" customFormat="1" ht="15.75" customHeight="1">
      <c r="J522" s="8" t="s">
        <v>5</v>
      </c>
      <c r="K522" s="6" t="s">
        <v>3</v>
      </c>
      <c r="L522" s="9" t="s">
        <v>404</v>
      </c>
    </row>
    <row r="523" spans="5:30" s="9" customFormat="1" ht="15.75" customHeight="1">
      <c r="J523" s="8" t="s">
        <v>318</v>
      </c>
      <c r="K523" s="6" t="s">
        <v>3</v>
      </c>
      <c r="L523" s="9" t="s">
        <v>405</v>
      </c>
    </row>
    <row r="524" spans="5:30" s="9" customFormat="1" ht="15.75" customHeight="1"/>
    <row r="525" spans="5:30" s="9" customFormat="1" ht="15.75" customHeight="1">
      <c r="E525" s="9" t="s">
        <v>406</v>
      </c>
    </row>
    <row r="526" spans="5:30" s="9" customFormat="1" ht="15.75" customHeight="1">
      <c r="E526" s="9" t="s">
        <v>407</v>
      </c>
    </row>
    <row r="527" spans="5:30" s="9" customFormat="1" ht="15.75" customHeight="1">
      <c r="E527" s="9" t="s">
        <v>408</v>
      </c>
    </row>
    <row r="528" spans="5:30" s="9" customFormat="1" ht="15.75" customHeight="1">
      <c r="E528" s="9" t="s">
        <v>409</v>
      </c>
    </row>
    <row r="529" spans="5:34" s="9" customFormat="1" ht="15.75" customHeight="1">
      <c r="E529" s="9" t="s">
        <v>410</v>
      </c>
    </row>
    <row r="530" spans="5:34" s="9" customFormat="1" ht="15.75" customHeight="1"/>
    <row r="531" spans="5:34" ht="15.75" customHeight="1">
      <c r="E531" s="36" t="s">
        <v>411</v>
      </c>
      <c r="F531" s="36"/>
      <c r="G531" s="6" t="s">
        <v>35</v>
      </c>
      <c r="H531" s="36" t="s">
        <v>412</v>
      </c>
      <c r="I531" s="36"/>
      <c r="J531" s="6" t="s">
        <v>2</v>
      </c>
      <c r="K531" s="36" t="s">
        <v>86</v>
      </c>
      <c r="L531" s="36"/>
      <c r="M531" s="7" t="s">
        <v>2</v>
      </c>
      <c r="N531" s="9" t="s">
        <v>309</v>
      </c>
      <c r="O531" s="7"/>
      <c r="P531" s="7"/>
      <c r="Q531" s="7"/>
      <c r="R531" s="7"/>
      <c r="S531" s="7"/>
      <c r="T531" s="7"/>
      <c r="U531" s="7"/>
      <c r="V531" s="7"/>
      <c r="W531" s="7"/>
      <c r="X531" s="7"/>
      <c r="Y531" s="7"/>
      <c r="Z531" s="7"/>
      <c r="AA531" s="7"/>
      <c r="AB531" s="7"/>
      <c r="AC531" s="7"/>
      <c r="AD531" s="7"/>
      <c r="AE531" s="7"/>
      <c r="AF531" s="7"/>
      <c r="AG531" s="7"/>
      <c r="AH531" s="7"/>
    </row>
    <row r="532" spans="5:34" ht="15.75" customHeight="1">
      <c r="F532" s="7"/>
      <c r="G532" s="7"/>
      <c r="H532" s="7"/>
      <c r="I532" s="7"/>
      <c r="J532" s="7"/>
      <c r="K532" s="7"/>
      <c r="L532" s="7"/>
      <c r="M532" s="7"/>
      <c r="N532" s="7"/>
      <c r="O532" s="7"/>
      <c r="P532" s="7"/>
      <c r="Q532" s="7"/>
      <c r="R532" s="7"/>
      <c r="S532" s="7"/>
      <c r="T532" s="7"/>
      <c r="U532" s="7"/>
      <c r="V532" s="7"/>
      <c r="W532" s="7"/>
      <c r="X532" s="7"/>
      <c r="Y532" s="7"/>
      <c r="Z532" s="7"/>
      <c r="AA532" s="7"/>
      <c r="AB532" s="7"/>
      <c r="AC532" s="7"/>
      <c r="AD532" s="7"/>
      <c r="AE532" s="7"/>
      <c r="AF532" s="7"/>
      <c r="AG532" s="7"/>
      <c r="AH532" s="7"/>
    </row>
    <row r="533" spans="5:34" ht="15.75" customHeight="1">
      <c r="F533" s="7" t="s">
        <v>4</v>
      </c>
      <c r="G533" s="7"/>
      <c r="H533" s="7"/>
      <c r="I533" s="36" t="s">
        <v>412</v>
      </c>
      <c r="J533" s="36"/>
      <c r="K533" s="6" t="s">
        <v>3</v>
      </c>
      <c r="L533" s="7" t="s">
        <v>413</v>
      </c>
      <c r="M533" s="7"/>
      <c r="N533" s="7"/>
      <c r="O533" s="7"/>
      <c r="P533" s="7"/>
      <c r="Q533" s="7"/>
      <c r="R533" s="7"/>
      <c r="S533" s="7"/>
      <c r="T533" s="7"/>
      <c r="U533" s="7"/>
      <c r="V533" s="7"/>
      <c r="W533" s="7"/>
      <c r="X533" s="7"/>
      <c r="Y533" s="7"/>
      <c r="Z533" s="7"/>
      <c r="AA533" s="7"/>
      <c r="AB533" s="7"/>
      <c r="AC533" s="7"/>
      <c r="AD533" s="7"/>
      <c r="AE533" s="7"/>
      <c r="AF533" s="7"/>
      <c r="AG533" s="7"/>
      <c r="AH533" s="7"/>
    </row>
    <row r="534" spans="5:34" s="9" customFormat="1" ht="15.75" customHeight="1">
      <c r="I534" s="36" t="s">
        <v>86</v>
      </c>
      <c r="J534" s="36"/>
      <c r="K534" s="6" t="s">
        <v>3</v>
      </c>
      <c r="L534" s="9" t="s">
        <v>414</v>
      </c>
    </row>
    <row r="535" spans="5:34" s="9" customFormat="1" ht="15.75" customHeight="1">
      <c r="I535" s="36" t="s">
        <v>309</v>
      </c>
      <c r="J535" s="36"/>
      <c r="K535" s="6" t="s">
        <v>3</v>
      </c>
      <c r="L535" s="9" t="s">
        <v>415</v>
      </c>
    </row>
    <row r="536" spans="5:34" s="9" customFormat="1" ht="15.75" customHeight="1"/>
    <row r="537" spans="5:34" s="9" customFormat="1" ht="15.75" customHeight="1">
      <c r="K537" s="75" t="s">
        <v>443</v>
      </c>
      <c r="L537" s="75"/>
      <c r="M537" s="75"/>
      <c r="N537" s="75"/>
      <c r="O537" s="75"/>
      <c r="P537" s="75"/>
      <c r="Q537" s="75"/>
      <c r="R537" s="75"/>
      <c r="S537" s="75"/>
      <c r="T537" s="75"/>
      <c r="U537" s="75"/>
      <c r="V537" s="75"/>
      <c r="W537" s="75"/>
      <c r="X537" s="75"/>
      <c r="Y537" s="75"/>
      <c r="Z537" s="75"/>
      <c r="AA537" s="75"/>
    </row>
    <row r="538" spans="5:34" s="9" customFormat="1" ht="15.75" customHeight="1">
      <c r="H538" s="39" t="s">
        <v>10</v>
      </c>
      <c r="I538" s="39"/>
      <c r="J538" s="38" t="s">
        <v>484</v>
      </c>
      <c r="K538" s="39"/>
      <c r="L538" s="48"/>
      <c r="M538" s="50" t="s">
        <v>247</v>
      </c>
      <c r="N538" s="104"/>
      <c r="O538" s="50" t="s">
        <v>417</v>
      </c>
      <c r="P538" s="104"/>
      <c r="Q538" s="72" t="s">
        <v>423</v>
      </c>
      <c r="R538" s="60"/>
      <c r="S538" s="60"/>
      <c r="T538" s="72" t="s">
        <v>422</v>
      </c>
      <c r="U538" s="60"/>
      <c r="V538" s="60"/>
      <c r="W538" s="72" t="s">
        <v>421</v>
      </c>
      <c r="X538" s="60"/>
      <c r="Y538" s="60"/>
      <c r="Z538" s="60" t="s">
        <v>402</v>
      </c>
      <c r="AA538" s="60"/>
      <c r="AB538" s="60"/>
      <c r="AC538" s="72" t="s">
        <v>424</v>
      </c>
      <c r="AD538" s="60"/>
      <c r="AE538" s="62"/>
    </row>
    <row r="539" spans="5:34" s="9" customFormat="1" ht="15.75" customHeight="1">
      <c r="H539" s="41"/>
      <c r="I539" s="41"/>
      <c r="J539" s="40"/>
      <c r="K539" s="41"/>
      <c r="L539" s="49"/>
      <c r="M539" s="108"/>
      <c r="N539" s="109"/>
      <c r="O539" s="108"/>
      <c r="P539" s="109"/>
      <c r="Q539" s="60"/>
      <c r="R539" s="60"/>
      <c r="S539" s="60"/>
      <c r="T539" s="60"/>
      <c r="U539" s="60"/>
      <c r="V539" s="60"/>
      <c r="W539" s="60"/>
      <c r="X539" s="60"/>
      <c r="Y539" s="60"/>
      <c r="Z539" s="60"/>
      <c r="AA539" s="60"/>
      <c r="AB539" s="60"/>
      <c r="AC539" s="60"/>
      <c r="AD539" s="60"/>
      <c r="AE539" s="62"/>
    </row>
    <row r="540" spans="5:34" s="9" customFormat="1" ht="15.75" customHeight="1">
      <c r="H540" s="95">
        <v>0</v>
      </c>
      <c r="I540" s="95"/>
      <c r="J540" s="94" t="s">
        <v>483</v>
      </c>
      <c r="K540" s="95"/>
      <c r="L540" s="96"/>
      <c r="M540" s="138">
        <v>1.3</v>
      </c>
      <c r="N540" s="139"/>
      <c r="O540" s="77">
        <v>0</v>
      </c>
      <c r="P540" s="42"/>
      <c r="Q540" s="112">
        <v>0</v>
      </c>
      <c r="R540" s="113"/>
      <c r="S540" s="131"/>
      <c r="T540" s="138" t="s">
        <v>234</v>
      </c>
      <c r="U540" s="139"/>
      <c r="V540" s="146"/>
      <c r="W540" s="142" t="s">
        <v>234</v>
      </c>
      <c r="X540" s="143"/>
      <c r="Y540" s="143"/>
      <c r="Z540" s="125" t="s">
        <v>234</v>
      </c>
      <c r="AA540" s="126"/>
      <c r="AB540" s="127"/>
      <c r="AC540" s="142" t="s">
        <v>234</v>
      </c>
      <c r="AD540" s="143"/>
      <c r="AE540" s="143"/>
    </row>
    <row r="541" spans="5:34" s="9" customFormat="1" ht="15.75" customHeight="1">
      <c r="H541" s="98"/>
      <c r="I541" s="98"/>
      <c r="J541" s="97"/>
      <c r="K541" s="98"/>
      <c r="L541" s="99"/>
      <c r="M541" s="140"/>
      <c r="N541" s="141"/>
      <c r="O541" s="74">
        <f>M540+O540</f>
        <v>1.3</v>
      </c>
      <c r="P541" s="56"/>
      <c r="Q541" s="114"/>
      <c r="R541" s="115"/>
      <c r="S541" s="135"/>
      <c r="T541" s="140"/>
      <c r="U541" s="141"/>
      <c r="V541" s="147"/>
      <c r="W541" s="142" t="s">
        <v>234</v>
      </c>
      <c r="X541" s="143"/>
      <c r="Y541" s="143"/>
      <c r="Z541" s="128"/>
      <c r="AA541" s="129"/>
      <c r="AB541" s="130"/>
      <c r="AC541" s="142" t="s">
        <v>234</v>
      </c>
      <c r="AD541" s="143"/>
      <c r="AE541" s="143"/>
    </row>
    <row r="542" spans="5:34" s="9" customFormat="1" ht="15.75" customHeight="1">
      <c r="H542" s="95">
        <v>1</v>
      </c>
      <c r="I542" s="95"/>
      <c r="J542" s="94" t="s">
        <v>324</v>
      </c>
      <c r="K542" s="95"/>
      <c r="L542" s="96"/>
      <c r="M542" s="138">
        <v>13</v>
      </c>
      <c r="N542" s="139"/>
      <c r="O542" s="77">
        <f>O541</f>
        <v>1.3</v>
      </c>
      <c r="P542" s="42"/>
      <c r="Q542" s="112">
        <v>0</v>
      </c>
      <c r="R542" s="113"/>
      <c r="S542" s="131"/>
      <c r="T542" s="138">
        <v>43</v>
      </c>
      <c r="U542" s="139"/>
      <c r="V542" s="146"/>
      <c r="W542" s="148">
        <v>6</v>
      </c>
      <c r="X542" s="149"/>
      <c r="Y542" s="149"/>
      <c r="Z542" s="125">
        <v>5.2889999999999997</v>
      </c>
      <c r="AA542" s="126"/>
      <c r="AB542" s="127"/>
      <c r="AC542" s="144">
        <f>3*W542*O542*Z542</f>
        <v>123.76260000000001</v>
      </c>
      <c r="AD542" s="145"/>
      <c r="AE542" s="145"/>
    </row>
    <row r="543" spans="5:34" s="9" customFormat="1" ht="15.75" customHeight="1">
      <c r="H543" s="98"/>
      <c r="I543" s="98"/>
      <c r="J543" s="97"/>
      <c r="K543" s="98"/>
      <c r="L543" s="99"/>
      <c r="M543" s="140"/>
      <c r="N543" s="141"/>
      <c r="O543" s="74">
        <f>M542+O542</f>
        <v>14.3</v>
      </c>
      <c r="P543" s="56"/>
      <c r="Q543" s="114"/>
      <c r="R543" s="115"/>
      <c r="S543" s="135"/>
      <c r="T543" s="140"/>
      <c r="U543" s="141"/>
      <c r="V543" s="147"/>
      <c r="W543" s="150">
        <v>9.6</v>
      </c>
      <c r="X543" s="151"/>
      <c r="Y543" s="151"/>
      <c r="Z543" s="128"/>
      <c r="AA543" s="129"/>
      <c r="AB543" s="130"/>
      <c r="AC543" s="122">
        <f>3*W543*O543*Z542</f>
        <v>2178.2217599999999</v>
      </c>
      <c r="AD543" s="136"/>
      <c r="AE543" s="136"/>
    </row>
    <row r="544" spans="5:34" s="9" customFormat="1" ht="15.75" customHeight="1">
      <c r="H544" s="32"/>
      <c r="I544" s="32"/>
      <c r="J544" s="32"/>
      <c r="K544" s="32"/>
      <c r="L544" s="32"/>
      <c r="M544" s="19"/>
      <c r="N544" s="19"/>
      <c r="O544" s="19"/>
      <c r="P544" s="19"/>
      <c r="Q544" s="33"/>
      <c r="R544" s="33"/>
      <c r="S544" s="33"/>
      <c r="T544" s="19"/>
      <c r="U544" s="19"/>
      <c r="V544" s="19"/>
      <c r="W544" s="34"/>
      <c r="X544" s="34"/>
      <c r="Y544" s="34"/>
      <c r="Z544" s="35"/>
      <c r="AA544" s="35"/>
      <c r="AB544" s="35"/>
      <c r="AC544" s="31"/>
      <c r="AD544" s="31"/>
      <c r="AE544" s="31"/>
    </row>
    <row r="545" spans="4:13" s="9" customFormat="1" ht="15.75" customHeight="1"/>
    <row r="546" spans="4:13" s="9" customFormat="1" ht="15.75" customHeight="1">
      <c r="D546" s="13" t="s">
        <v>425</v>
      </c>
    </row>
    <row r="547" spans="4:13" s="9" customFormat="1" ht="15.75" customHeight="1"/>
    <row r="548" spans="4:13" s="9" customFormat="1" ht="15.75" customHeight="1">
      <c r="E548" s="9" t="s">
        <v>426</v>
      </c>
    </row>
    <row r="549" spans="4:13" s="9" customFormat="1" ht="15.75" customHeight="1"/>
    <row r="550" spans="4:13" s="9" customFormat="1" ht="15.75" customHeight="1">
      <c r="E550" s="36" t="s">
        <v>427</v>
      </c>
      <c r="F550" s="36"/>
      <c r="G550" s="6" t="s">
        <v>35</v>
      </c>
      <c r="H550" s="36" t="s">
        <v>447</v>
      </c>
      <c r="I550" s="36"/>
      <c r="J550" s="9" t="s">
        <v>2</v>
      </c>
      <c r="K550" s="36" t="s">
        <v>280</v>
      </c>
      <c r="L550" s="36"/>
    </row>
    <row r="551" spans="4:13" s="9" customFormat="1" ht="15.75" customHeight="1">
      <c r="E551" s="36" t="s">
        <v>428</v>
      </c>
      <c r="F551" s="36"/>
      <c r="G551" s="6" t="s">
        <v>35</v>
      </c>
      <c r="H551" s="36" t="s">
        <v>39</v>
      </c>
      <c r="I551" s="36"/>
      <c r="J551" s="9" t="s">
        <v>2</v>
      </c>
      <c r="K551" s="36" t="s">
        <v>280</v>
      </c>
      <c r="L551" s="36"/>
    </row>
    <row r="552" spans="4:13" s="9" customFormat="1" ht="15.75" customHeight="1"/>
    <row r="553" spans="4:13" s="9" customFormat="1" ht="15.75" customHeight="1">
      <c r="F553" s="7" t="s">
        <v>4</v>
      </c>
      <c r="G553" s="7"/>
      <c r="H553" s="7"/>
      <c r="I553" s="36" t="s">
        <v>427</v>
      </c>
      <c r="J553" s="36"/>
      <c r="K553" s="6" t="s">
        <v>3</v>
      </c>
      <c r="L553" s="7" t="s">
        <v>429</v>
      </c>
    </row>
    <row r="554" spans="4:13" s="9" customFormat="1" ht="15.75" customHeight="1">
      <c r="F554" s="7"/>
      <c r="G554" s="7"/>
      <c r="H554" s="7"/>
      <c r="I554" s="36" t="s">
        <v>428</v>
      </c>
      <c r="J554" s="36"/>
      <c r="K554" s="6" t="s">
        <v>3</v>
      </c>
      <c r="L554" s="7" t="s">
        <v>430</v>
      </c>
    </row>
    <row r="555" spans="4:13" s="9" customFormat="1" ht="15.75" customHeight="1">
      <c r="I555" s="36" t="s">
        <v>447</v>
      </c>
      <c r="J555" s="36"/>
      <c r="K555" s="6" t="s">
        <v>3</v>
      </c>
      <c r="L555" s="7" t="s">
        <v>452</v>
      </c>
    </row>
    <row r="556" spans="4:13" s="9" customFormat="1" ht="15.75" customHeight="1">
      <c r="I556" s="36" t="s">
        <v>39</v>
      </c>
      <c r="J556" s="36"/>
      <c r="K556" s="6" t="s">
        <v>3</v>
      </c>
      <c r="L556" s="7" t="s">
        <v>453</v>
      </c>
    </row>
    <row r="557" spans="4:13" s="9" customFormat="1" ht="15.75" customHeight="1">
      <c r="I557" s="36" t="s">
        <v>280</v>
      </c>
      <c r="J557" s="36"/>
      <c r="K557" s="6" t="s">
        <v>3</v>
      </c>
      <c r="L557" s="7" t="s">
        <v>290</v>
      </c>
    </row>
    <row r="558" spans="4:13" s="9" customFormat="1" ht="15.75" customHeight="1"/>
    <row r="559" spans="4:13" s="9" customFormat="1" ht="15.75" customHeight="1">
      <c r="E559" s="36" t="s">
        <v>427</v>
      </c>
      <c r="F559" s="36"/>
      <c r="G559" s="6" t="s">
        <v>35</v>
      </c>
      <c r="H559" s="36" t="s">
        <v>447</v>
      </c>
      <c r="I559" s="36"/>
      <c r="J559" s="9" t="s">
        <v>2</v>
      </c>
      <c r="K559" s="36" t="s">
        <v>280</v>
      </c>
      <c r="L559" s="36"/>
    </row>
    <row r="560" spans="4:13" s="9" customFormat="1" ht="15.75" customHeight="1">
      <c r="G560" s="6" t="s">
        <v>35</v>
      </c>
      <c r="H560" s="36">
        <v>0.6</v>
      </c>
      <c r="I560" s="36"/>
      <c r="J560" s="9" t="s">
        <v>2</v>
      </c>
      <c r="K560" s="120">
        <f>N426</f>
        <v>3981.9686884250636</v>
      </c>
      <c r="L560" s="36"/>
      <c r="M560" s="36"/>
    </row>
    <row r="561" spans="4:13" s="9" customFormat="1" ht="15.75" customHeight="1">
      <c r="G561" s="6" t="s">
        <v>35</v>
      </c>
      <c r="H561" s="120">
        <f>H560*K560</f>
        <v>2389.1812130550379</v>
      </c>
      <c r="I561" s="36"/>
      <c r="J561" s="36"/>
      <c r="K561" s="9" t="s">
        <v>431</v>
      </c>
    </row>
    <row r="562" spans="4:13" s="9" customFormat="1" ht="15.75" customHeight="1"/>
    <row r="563" spans="4:13" s="9" customFormat="1" ht="15.75" customHeight="1">
      <c r="E563" s="36" t="s">
        <v>428</v>
      </c>
      <c r="F563" s="36"/>
      <c r="G563" s="6" t="s">
        <v>35</v>
      </c>
      <c r="H563" s="36" t="s">
        <v>39</v>
      </c>
      <c r="I563" s="36"/>
      <c r="J563" s="9" t="s">
        <v>2</v>
      </c>
      <c r="K563" s="36" t="s">
        <v>280</v>
      </c>
      <c r="L563" s="36"/>
    </row>
    <row r="564" spans="4:13" s="9" customFormat="1" ht="15.75" customHeight="1">
      <c r="G564" s="6" t="s">
        <v>35</v>
      </c>
      <c r="H564" s="36">
        <v>1.4</v>
      </c>
      <c r="I564" s="36"/>
      <c r="J564" s="9" t="s">
        <v>2</v>
      </c>
      <c r="K564" s="120">
        <f>N426</f>
        <v>3981.9686884250636</v>
      </c>
      <c r="L564" s="36"/>
      <c r="M564" s="36"/>
    </row>
    <row r="565" spans="4:13" s="9" customFormat="1" ht="15.75" customHeight="1">
      <c r="G565" s="6" t="s">
        <v>35</v>
      </c>
      <c r="H565" s="120">
        <f>H564*K564</f>
        <v>5574.7561637950885</v>
      </c>
      <c r="I565" s="36"/>
      <c r="J565" s="36"/>
      <c r="K565" s="9" t="s">
        <v>431</v>
      </c>
    </row>
    <row r="566" spans="4:13" s="9" customFormat="1" ht="15.75" customHeight="1"/>
    <row r="567" spans="4:13" s="9" customFormat="1" ht="15.75" customHeight="1"/>
    <row r="568" spans="4:13" s="9" customFormat="1" ht="15.75" customHeight="1">
      <c r="D568" s="13" t="s">
        <v>432</v>
      </c>
    </row>
    <row r="569" spans="4:13" s="9" customFormat="1" ht="15.75" customHeight="1"/>
    <row r="570" spans="4:13" s="9" customFormat="1" ht="15.75" customHeight="1">
      <c r="E570" s="9" t="s">
        <v>433</v>
      </c>
    </row>
    <row r="571" spans="4:13" s="9" customFormat="1" ht="15.75" customHeight="1">
      <c r="E571" s="9" t="s">
        <v>96</v>
      </c>
    </row>
    <row r="572" spans="4:13" s="9" customFormat="1" ht="15.75" customHeight="1"/>
    <row r="573" spans="4:13" s="9" customFormat="1" ht="15.75" customHeight="1">
      <c r="E573" s="36" t="s">
        <v>434</v>
      </c>
      <c r="F573" s="36"/>
      <c r="G573" s="6" t="s">
        <v>35</v>
      </c>
      <c r="H573" s="36" t="s">
        <v>47</v>
      </c>
      <c r="I573" s="36"/>
      <c r="J573" s="9" t="s">
        <v>2</v>
      </c>
      <c r="K573" s="36" t="s">
        <v>282</v>
      </c>
      <c r="L573" s="36"/>
    </row>
    <row r="574" spans="4:13" s="9" customFormat="1" ht="15.75" customHeight="1">
      <c r="E574" s="36" t="s">
        <v>435</v>
      </c>
      <c r="F574" s="36"/>
      <c r="G574" s="6" t="s">
        <v>35</v>
      </c>
      <c r="H574" s="36" t="s">
        <v>48</v>
      </c>
      <c r="I574" s="36"/>
      <c r="J574" s="9" t="s">
        <v>2</v>
      </c>
      <c r="K574" s="36" t="s">
        <v>282</v>
      </c>
      <c r="L574" s="36"/>
    </row>
    <row r="575" spans="4:13" s="9" customFormat="1" ht="15.75" customHeight="1"/>
    <row r="576" spans="4:13" s="9" customFormat="1" ht="15.75" customHeight="1">
      <c r="F576" s="7" t="s">
        <v>4</v>
      </c>
      <c r="G576" s="7"/>
      <c r="H576" s="7"/>
      <c r="I576" s="36" t="s">
        <v>427</v>
      </c>
      <c r="J576" s="36"/>
      <c r="K576" s="6" t="s">
        <v>3</v>
      </c>
      <c r="L576" s="7" t="s">
        <v>436</v>
      </c>
    </row>
    <row r="577" spans="4:39" s="9" customFormat="1" ht="15.75" customHeight="1">
      <c r="F577" s="7"/>
      <c r="G577" s="7"/>
      <c r="H577" s="7"/>
      <c r="I577" s="36" t="s">
        <v>428</v>
      </c>
      <c r="J577" s="36"/>
      <c r="K577" s="6" t="s">
        <v>3</v>
      </c>
      <c r="L577" s="7" t="s">
        <v>437</v>
      </c>
    </row>
    <row r="578" spans="4:39" s="9" customFormat="1" ht="15.75" customHeight="1">
      <c r="I578" s="36" t="s">
        <v>47</v>
      </c>
      <c r="J578" s="36"/>
      <c r="K578" s="6" t="s">
        <v>3</v>
      </c>
      <c r="L578" s="7" t="s">
        <v>450</v>
      </c>
    </row>
    <row r="579" spans="4:39" s="9" customFormat="1" ht="15.75" customHeight="1">
      <c r="I579" s="36" t="s">
        <v>48</v>
      </c>
      <c r="J579" s="36"/>
      <c r="K579" s="6" t="s">
        <v>3</v>
      </c>
      <c r="L579" s="7" t="s">
        <v>451</v>
      </c>
    </row>
    <row r="580" spans="4:39" s="9" customFormat="1" ht="15.75" customHeight="1">
      <c r="I580" s="36" t="s">
        <v>280</v>
      </c>
      <c r="J580" s="36"/>
      <c r="K580" s="6" t="s">
        <v>3</v>
      </c>
      <c r="L580" s="7" t="s">
        <v>285</v>
      </c>
    </row>
    <row r="581" spans="4:39" s="9" customFormat="1" ht="15.75" customHeight="1"/>
    <row r="582" spans="4:39" s="9" customFormat="1" ht="15.75" customHeight="1">
      <c r="I582" s="7"/>
      <c r="J582" s="7"/>
      <c r="K582" s="7"/>
      <c r="L582" s="75" t="s">
        <v>438</v>
      </c>
      <c r="M582" s="75"/>
      <c r="N582" s="75"/>
      <c r="O582" s="75"/>
      <c r="P582" s="75"/>
      <c r="Q582" s="75"/>
      <c r="R582" s="75"/>
      <c r="S582" s="75"/>
      <c r="T582" s="75"/>
      <c r="U582" s="75"/>
      <c r="V582" s="75"/>
      <c r="W582" s="75"/>
      <c r="X582" s="75"/>
      <c r="Y582" s="75"/>
      <c r="Z582" s="75"/>
      <c r="AA582" s="75"/>
      <c r="AB582" s="75"/>
      <c r="AC582" s="18"/>
      <c r="AD582" s="18"/>
      <c r="AE582" s="18"/>
    </row>
    <row r="583" spans="4:39" s="9" customFormat="1" ht="15.75" customHeight="1">
      <c r="I583" s="39" t="s">
        <v>99</v>
      </c>
      <c r="J583" s="39"/>
      <c r="K583" s="48"/>
      <c r="L583" s="50" t="s">
        <v>328</v>
      </c>
      <c r="M583" s="51"/>
      <c r="N583" s="52"/>
      <c r="O583" s="50" t="s">
        <v>448</v>
      </c>
      <c r="P583" s="51"/>
      <c r="Q583" s="52"/>
      <c r="R583" s="50" t="s">
        <v>449</v>
      </c>
      <c r="S583" s="51"/>
      <c r="T583" s="52"/>
      <c r="U583" s="72" t="s">
        <v>439</v>
      </c>
      <c r="V583" s="72"/>
      <c r="W583" s="72"/>
      <c r="X583" s="81"/>
      <c r="Y583" s="72" t="s">
        <v>440</v>
      </c>
      <c r="Z583" s="72"/>
      <c r="AA583" s="72"/>
      <c r="AB583" s="81"/>
    </row>
    <row r="584" spans="4:39" s="9" customFormat="1" ht="15.75" customHeight="1">
      <c r="I584" s="41"/>
      <c r="J584" s="41"/>
      <c r="K584" s="49"/>
      <c r="L584" s="53"/>
      <c r="M584" s="54"/>
      <c r="N584" s="55"/>
      <c r="O584" s="53"/>
      <c r="P584" s="54"/>
      <c r="Q584" s="55"/>
      <c r="R584" s="53"/>
      <c r="S584" s="54"/>
      <c r="T584" s="55"/>
      <c r="U584" s="72"/>
      <c r="V584" s="72"/>
      <c r="W584" s="72"/>
      <c r="X584" s="81"/>
      <c r="Y584" s="72"/>
      <c r="Z584" s="72"/>
      <c r="AA584" s="72"/>
      <c r="AB584" s="81"/>
    </row>
    <row r="585" spans="4:39" s="9" customFormat="1" ht="15.75" customHeight="1">
      <c r="I585" s="59" t="s">
        <v>100</v>
      </c>
      <c r="J585" s="60"/>
      <c r="K585" s="60"/>
      <c r="L585" s="91">
        <f>Q429</f>
        <v>4958.7679262649926</v>
      </c>
      <c r="M585" s="152"/>
      <c r="N585" s="88"/>
      <c r="O585" s="91">
        <v>1.2</v>
      </c>
      <c r="P585" s="152"/>
      <c r="Q585" s="88"/>
      <c r="R585" s="91">
        <v>1.4</v>
      </c>
      <c r="S585" s="152"/>
      <c r="T585" s="88"/>
      <c r="U585" s="121">
        <f>L585*$O$585</f>
        <v>5950.5215115179908</v>
      </c>
      <c r="V585" s="121"/>
      <c r="W585" s="121"/>
      <c r="X585" s="121"/>
      <c r="Y585" s="121">
        <f>L585*$R$585</f>
        <v>6942.275096770989</v>
      </c>
      <c r="Z585" s="121"/>
      <c r="AA585" s="121"/>
      <c r="AB585" s="122"/>
      <c r="AH585" s="7"/>
      <c r="AI585" s="7"/>
      <c r="AJ585" s="7"/>
      <c r="AK585" s="7"/>
      <c r="AL585" s="7"/>
      <c r="AM585" s="7"/>
    </row>
    <row r="586" spans="4:39" s="9" customFormat="1" ht="15.75" customHeight="1">
      <c r="I586" s="7"/>
      <c r="J586" s="6"/>
      <c r="K586" s="7"/>
      <c r="L586" s="6"/>
      <c r="M586" s="6"/>
      <c r="N586" s="6"/>
      <c r="O586" s="6"/>
      <c r="P586" s="6"/>
      <c r="Q586" s="6"/>
      <c r="R586" s="6"/>
      <c r="S586" s="6"/>
      <c r="T586" s="6"/>
      <c r="U586" s="6"/>
      <c r="V586" s="18"/>
      <c r="W586" s="26"/>
      <c r="X586" s="6"/>
      <c r="Y586" s="18"/>
      <c r="Z586" s="18"/>
      <c r="AA586" s="18"/>
      <c r="AB586" s="18"/>
      <c r="AL586" s="7"/>
      <c r="AM586" s="7"/>
    </row>
    <row r="587" spans="4:39" s="9" customFormat="1" ht="15.75" customHeight="1"/>
    <row r="588" spans="4:39" s="9" customFormat="1" ht="15.75" customHeight="1"/>
    <row r="589" spans="4:39" s="9" customFormat="1" ht="15.75" customHeight="1">
      <c r="D589" s="13" t="s">
        <v>441</v>
      </c>
    </row>
    <row r="590" spans="4:39" s="9" customFormat="1" ht="15.75" customHeight="1"/>
    <row r="591" spans="4:39" s="9" customFormat="1" ht="15.75" customHeight="1">
      <c r="E591" s="9" t="s">
        <v>442</v>
      </c>
    </row>
    <row r="592" spans="4:39" s="9" customFormat="1" ht="15.75" customHeight="1"/>
    <row r="593" spans="9:28" s="9" customFormat="1" ht="15.75" customHeight="1">
      <c r="J593" s="65" t="s">
        <v>444</v>
      </c>
      <c r="K593" s="65"/>
      <c r="L593" s="65"/>
      <c r="M593" s="65"/>
      <c r="N593" s="65"/>
      <c r="O593" s="65"/>
      <c r="P593" s="65"/>
      <c r="Q593" s="65"/>
      <c r="R593" s="65"/>
      <c r="S593" s="65"/>
      <c r="T593" s="65"/>
      <c r="U593" s="65"/>
      <c r="V593" s="65"/>
      <c r="W593" s="65"/>
      <c r="X593" s="65"/>
      <c r="Y593" s="65"/>
      <c r="Z593" s="65"/>
      <c r="AA593" s="65"/>
    </row>
    <row r="594" spans="9:28" s="9" customFormat="1" ht="15.75" customHeight="1">
      <c r="I594" s="39" t="s">
        <v>99</v>
      </c>
      <c r="J594" s="39"/>
      <c r="K594" s="38" t="s">
        <v>322</v>
      </c>
      <c r="L594" s="39"/>
      <c r="M594" s="48"/>
      <c r="N594" s="50" t="s">
        <v>247</v>
      </c>
      <c r="O594" s="104"/>
      <c r="P594" s="50" t="s">
        <v>417</v>
      </c>
      <c r="Q594" s="104"/>
      <c r="R594" s="60" t="s">
        <v>418</v>
      </c>
      <c r="S594" s="60"/>
      <c r="T594" s="72" t="s">
        <v>424</v>
      </c>
      <c r="U594" s="60"/>
      <c r="V594" s="62"/>
      <c r="W594" s="60" t="s">
        <v>445</v>
      </c>
      <c r="X594" s="60"/>
      <c r="Y594" s="72" t="s">
        <v>446</v>
      </c>
      <c r="Z594" s="72"/>
      <c r="AA594" s="72"/>
      <c r="AB594" s="81"/>
    </row>
    <row r="595" spans="9:28" s="9" customFormat="1" ht="15.75" customHeight="1">
      <c r="I595" s="41"/>
      <c r="J595" s="41"/>
      <c r="K595" s="40"/>
      <c r="L595" s="41"/>
      <c r="M595" s="49"/>
      <c r="N595" s="108"/>
      <c r="O595" s="109"/>
      <c r="P595" s="108"/>
      <c r="Q595" s="109"/>
      <c r="R595" s="60"/>
      <c r="S595" s="60"/>
      <c r="T595" s="60"/>
      <c r="U595" s="60"/>
      <c r="V595" s="62"/>
      <c r="W595" s="60"/>
      <c r="X595" s="60"/>
      <c r="Y595" s="72"/>
      <c r="Z595" s="72"/>
      <c r="AA595" s="72"/>
      <c r="AB595" s="81"/>
    </row>
    <row r="596" spans="9:28" s="9" customFormat="1" ht="15.75" customHeight="1">
      <c r="I596" s="153" t="s">
        <v>102</v>
      </c>
      <c r="J596" s="59"/>
      <c r="K596" s="42" t="s">
        <v>483</v>
      </c>
      <c r="L596" s="43"/>
      <c r="M596" s="44"/>
      <c r="N596" s="56">
        <v>1.3</v>
      </c>
      <c r="O596" s="57"/>
      <c r="P596" s="74">
        <v>1.3</v>
      </c>
      <c r="Q596" s="56"/>
      <c r="R596" s="69" t="s">
        <v>419</v>
      </c>
      <c r="S596" s="69"/>
      <c r="T596" s="144" t="s">
        <v>234</v>
      </c>
      <c r="U596" s="145"/>
      <c r="V596" s="145"/>
      <c r="W596" s="85">
        <f>入力!AL8</f>
        <v>1.3</v>
      </c>
      <c r="X596" s="85"/>
      <c r="Y596" s="121" t="s">
        <v>234</v>
      </c>
      <c r="Z596" s="121"/>
      <c r="AA596" s="121"/>
      <c r="AB596" s="122"/>
    </row>
    <row r="597" spans="9:28" s="9" customFormat="1" ht="15.75" customHeight="1">
      <c r="I597" s="95" t="s">
        <v>416</v>
      </c>
      <c r="J597" s="95"/>
      <c r="K597" s="94" t="s">
        <v>324</v>
      </c>
      <c r="L597" s="95"/>
      <c r="M597" s="96"/>
      <c r="N597" s="138">
        <f>入力!AL4</f>
        <v>13</v>
      </c>
      <c r="O597" s="139"/>
      <c r="P597" s="77">
        <f>P596</f>
        <v>1.3</v>
      </c>
      <c r="Q597" s="42"/>
      <c r="R597" s="69" t="s">
        <v>420</v>
      </c>
      <c r="S597" s="69"/>
      <c r="T597" s="144">
        <f>AC542</f>
        <v>123.76260000000001</v>
      </c>
      <c r="U597" s="145"/>
      <c r="V597" s="145"/>
      <c r="W597" s="85"/>
      <c r="X597" s="85"/>
      <c r="Y597" s="121">
        <f>T597*$W$596</f>
        <v>160.89138000000003</v>
      </c>
      <c r="Z597" s="121"/>
      <c r="AA597" s="121"/>
      <c r="AB597" s="122"/>
    </row>
    <row r="598" spans="9:28" s="9" customFormat="1" ht="15.75" customHeight="1">
      <c r="I598" s="98"/>
      <c r="J598" s="98"/>
      <c r="K598" s="97"/>
      <c r="L598" s="98"/>
      <c r="M598" s="99"/>
      <c r="N598" s="140"/>
      <c r="O598" s="141"/>
      <c r="P598" s="74">
        <f>N597+P597</f>
        <v>14.3</v>
      </c>
      <c r="Q598" s="56"/>
      <c r="R598" s="69" t="s">
        <v>419</v>
      </c>
      <c r="S598" s="69"/>
      <c r="T598" s="122">
        <f>AC543</f>
        <v>2178.2217599999999</v>
      </c>
      <c r="U598" s="136"/>
      <c r="V598" s="154"/>
      <c r="W598" s="85"/>
      <c r="X598" s="85"/>
      <c r="Y598" s="121">
        <f>T598*$W$596</f>
        <v>2831.6882879999998</v>
      </c>
      <c r="Z598" s="121"/>
      <c r="AA598" s="121"/>
      <c r="AB598" s="122"/>
    </row>
    <row r="599" spans="9:28" s="9" customFormat="1" ht="15.75" customHeight="1"/>
    <row r="600" spans="9:28" s="9" customFormat="1" ht="15.75" customHeight="1"/>
    <row r="601" spans="9:28" s="9" customFormat="1" ht="15.75" customHeight="1"/>
    <row r="602" spans="9:28" s="9" customFormat="1" ht="15.75" customHeight="1"/>
    <row r="603" spans="9:28" s="9" customFormat="1" ht="15.75" customHeight="1"/>
    <row r="604" spans="9:28" s="9" customFormat="1" ht="15.75" customHeight="1"/>
    <row r="605" spans="9:28" s="9" customFormat="1" ht="15.75" customHeight="1"/>
    <row r="606" spans="9:28" s="9" customFormat="1" ht="15.75" customHeight="1"/>
    <row r="607" spans="9:28" s="9" customFormat="1" ht="15.75" customHeight="1"/>
    <row r="608" spans="9:28" s="9" customFormat="1" ht="15.75" customHeight="1"/>
    <row r="609" s="9" customFormat="1" ht="15.75" customHeight="1"/>
    <row r="610" s="9" customFormat="1" ht="15.75" customHeight="1"/>
    <row r="611" s="9" customFormat="1" ht="15.75" customHeight="1"/>
    <row r="612" s="9" customFormat="1" ht="15.75" customHeight="1"/>
    <row r="613" s="9" customFormat="1" ht="15.75" customHeight="1"/>
    <row r="614" s="9" customFormat="1" ht="15.75" customHeight="1"/>
    <row r="615" s="9" customFormat="1" ht="15.75" customHeight="1"/>
    <row r="616" s="9" customFormat="1" ht="15.75" customHeight="1"/>
    <row r="617" s="9" customFormat="1" ht="15.75" customHeight="1"/>
    <row r="618" s="9" customFormat="1" ht="15.75" customHeight="1"/>
    <row r="619" s="9" customFormat="1" ht="15.75" customHeight="1"/>
    <row r="620" s="9" customFormat="1" ht="15.75" customHeight="1"/>
    <row r="621" s="9" customFormat="1" ht="15.75" customHeight="1"/>
    <row r="622" s="9" customFormat="1" ht="15.75" customHeight="1"/>
    <row r="623" s="9" customFormat="1" ht="15.75" customHeight="1"/>
    <row r="624" s="9" customFormat="1" ht="15.75" customHeight="1"/>
    <row r="625" s="9" customFormat="1" ht="15.75" customHeight="1"/>
    <row r="626" s="9" customFormat="1" ht="15.75" customHeight="1"/>
    <row r="627" s="9" customFormat="1" ht="15.75" customHeight="1"/>
    <row r="628" s="9" customFormat="1" ht="15.75" customHeight="1"/>
    <row r="629" s="9" customFormat="1" ht="15.75" customHeight="1"/>
    <row r="630" s="9" customFormat="1" ht="15.75" customHeight="1"/>
    <row r="631" s="9" customFormat="1" ht="15.75" customHeight="1"/>
    <row r="632" s="9" customFormat="1" ht="15.75" customHeight="1"/>
    <row r="633" s="9" customFormat="1" ht="15.75" customHeight="1"/>
    <row r="634" s="9" customFormat="1" ht="15.75" customHeight="1"/>
    <row r="635" s="9" customFormat="1" ht="15.75" customHeight="1"/>
    <row r="636" s="9" customFormat="1" ht="15.75" customHeight="1"/>
    <row r="637" s="9" customFormat="1" ht="15.75" customHeight="1"/>
    <row r="638" s="9" customFormat="1" ht="15.75" customHeight="1"/>
    <row r="639" s="9" customFormat="1" ht="15.75" customHeight="1"/>
    <row r="640" s="9" customFormat="1" ht="15.75" customHeight="1"/>
    <row r="641" s="9" customFormat="1" ht="15.75" customHeight="1"/>
    <row r="642" s="9" customFormat="1" ht="15.75" customHeight="1"/>
    <row r="643" s="9" customFormat="1" ht="15.75" customHeight="1"/>
    <row r="644" s="9" customFormat="1" ht="15.75" customHeight="1"/>
    <row r="645" s="9" customFormat="1" ht="15.75" customHeight="1"/>
    <row r="646" s="9" customFormat="1" ht="15.75" customHeight="1"/>
    <row r="647" s="9" customFormat="1" ht="15.75" customHeight="1"/>
    <row r="648" s="9" customFormat="1" ht="15.75" customHeight="1"/>
    <row r="649" s="9" customFormat="1" ht="15.75" customHeight="1"/>
    <row r="650" s="9" customFormat="1" ht="15.75" customHeight="1"/>
    <row r="651" s="9" customFormat="1" ht="15.75" customHeight="1"/>
    <row r="652" s="9" customFormat="1" ht="15.75" customHeight="1"/>
    <row r="653" s="9" customFormat="1" ht="15.75" customHeight="1"/>
    <row r="654" s="9" customFormat="1" ht="15.75" customHeight="1"/>
    <row r="655" s="9" customFormat="1" ht="15.75" customHeight="1"/>
    <row r="656" s="9" customFormat="1" ht="15.75" customHeight="1"/>
    <row r="657" s="9" customFormat="1" ht="15.75" customHeight="1"/>
    <row r="658" s="9" customFormat="1" ht="15.75" customHeight="1"/>
    <row r="659" s="9" customFormat="1" ht="15.75" customHeight="1"/>
    <row r="660" s="9" customFormat="1" ht="15.75" customHeight="1"/>
    <row r="661" s="9" customFormat="1" ht="15.75" customHeight="1"/>
    <row r="662" s="9" customFormat="1" ht="15.75" customHeight="1"/>
    <row r="663" s="9" customFormat="1" ht="15.75" customHeight="1"/>
    <row r="664" s="9" customFormat="1" ht="15.75" customHeight="1"/>
    <row r="665" s="9" customFormat="1" ht="15.75" customHeight="1"/>
    <row r="666" s="9" customFormat="1" ht="15.75" customHeight="1"/>
    <row r="667" s="9" customFormat="1" ht="15.75" customHeight="1"/>
    <row r="668" s="9" customFormat="1" ht="15.75" customHeight="1"/>
    <row r="669" s="9" customFormat="1" ht="15.75" customHeight="1"/>
    <row r="670" s="9" customFormat="1" ht="15.75" customHeight="1"/>
    <row r="671" s="9" customFormat="1" ht="15.75" customHeight="1"/>
    <row r="672" s="9" customFormat="1" ht="15.75" customHeight="1"/>
    <row r="673" s="9" customFormat="1" ht="15.75" customHeight="1"/>
    <row r="674" s="9" customFormat="1" ht="15.75" customHeight="1"/>
    <row r="675" s="9" customFormat="1" ht="15.75" customHeight="1"/>
    <row r="676" s="9" customFormat="1" ht="15.75" customHeight="1"/>
    <row r="677" s="9" customFormat="1" ht="15.75" customHeight="1"/>
    <row r="678" s="9" customFormat="1" ht="15.75" customHeight="1"/>
    <row r="679" s="9" customFormat="1" ht="15.75" customHeight="1"/>
    <row r="680" s="9" customFormat="1" ht="15.75" customHeight="1"/>
    <row r="681" s="9" customFormat="1" ht="15.75" customHeight="1"/>
    <row r="682" s="9" customFormat="1" ht="15.75" customHeight="1"/>
    <row r="683" s="9" customFormat="1" ht="15.75" customHeight="1"/>
    <row r="684" s="9" customFormat="1" ht="15.75" customHeight="1"/>
    <row r="685" s="9" customFormat="1" ht="15.75" customHeight="1"/>
    <row r="686" s="9" customFormat="1" ht="15.75" customHeight="1"/>
    <row r="687" s="9" customFormat="1" ht="15.75" customHeight="1"/>
    <row r="688" s="9" customFormat="1" ht="15.75" customHeight="1"/>
    <row r="689" s="9" customFormat="1" ht="15.75" customHeight="1"/>
    <row r="690" s="9" customFormat="1" ht="15.75" customHeight="1"/>
    <row r="691" s="9" customFormat="1" ht="15.75" customHeight="1"/>
    <row r="692" s="9" customFormat="1" ht="15.75" customHeight="1"/>
    <row r="693" s="9" customFormat="1" ht="15.75" customHeight="1"/>
    <row r="694" s="9" customFormat="1" ht="15.75" customHeight="1"/>
    <row r="695" s="9" customFormat="1" ht="15.75" customHeight="1"/>
    <row r="696" s="9" customFormat="1" ht="15.75" customHeight="1"/>
    <row r="697" s="9" customFormat="1" ht="15.75" customHeight="1"/>
    <row r="698" s="9" customFormat="1" ht="15.75" customHeight="1"/>
    <row r="699" s="9" customFormat="1" ht="15.75" customHeight="1"/>
    <row r="700" s="9" customFormat="1" ht="15.75" customHeight="1"/>
    <row r="701" s="9" customFormat="1" ht="15.75" customHeight="1"/>
    <row r="702" s="9" customFormat="1" ht="15.75" customHeight="1"/>
    <row r="703" s="9" customFormat="1" ht="15.75" customHeight="1"/>
    <row r="704" s="9" customFormat="1" ht="15.75" customHeight="1"/>
    <row r="705" s="9" customFormat="1" ht="15.75" customHeight="1"/>
    <row r="706" s="9" customFormat="1" ht="15.75" customHeight="1"/>
    <row r="707" s="9" customFormat="1" ht="15.75" customHeight="1"/>
    <row r="708" s="9" customFormat="1" ht="15.75" customHeight="1"/>
    <row r="709" s="9" customFormat="1" ht="15.75" customHeight="1"/>
    <row r="710" s="9" customFormat="1" ht="15.75" customHeight="1"/>
    <row r="711" s="9" customFormat="1" ht="15.75" customHeight="1"/>
    <row r="712" s="9" customFormat="1" ht="15.75" customHeight="1"/>
    <row r="713" s="9" customFormat="1" ht="15.75" customHeight="1"/>
    <row r="714" s="9" customFormat="1" ht="15.75" customHeight="1"/>
    <row r="715" s="9" customFormat="1" ht="15.75" customHeight="1"/>
    <row r="716" s="9" customFormat="1" ht="15.75" customHeight="1"/>
    <row r="717" s="9" customFormat="1" ht="15.75" customHeight="1"/>
    <row r="718" s="9" customFormat="1" ht="15.75" customHeight="1"/>
    <row r="719" s="9" customFormat="1" ht="15.75" customHeight="1"/>
    <row r="720" s="9" customFormat="1" ht="15.75" customHeight="1"/>
    <row r="721" s="9" customFormat="1" ht="15.75" customHeight="1"/>
    <row r="722" s="9" customFormat="1" ht="15.75" customHeight="1"/>
    <row r="723" s="9" customFormat="1" ht="15.75" customHeight="1"/>
    <row r="724" s="9" customFormat="1" ht="15.75" customHeight="1"/>
    <row r="725" s="9" customFormat="1" ht="15.75" customHeight="1"/>
    <row r="726" s="9" customFormat="1" ht="15.75" customHeight="1"/>
    <row r="727" s="9" customFormat="1" ht="15.75" customHeight="1"/>
    <row r="728" s="9" customFormat="1" ht="15.75" customHeight="1"/>
    <row r="729" s="9" customFormat="1" ht="15.75" customHeight="1"/>
    <row r="730" s="9" customFormat="1" ht="15.75" customHeight="1"/>
    <row r="731" s="9" customFormat="1" ht="15.75" customHeight="1"/>
    <row r="732" s="9" customFormat="1" ht="15.75" customHeight="1"/>
    <row r="733" s="9" customFormat="1" ht="15.75" customHeight="1"/>
    <row r="734" s="9" customFormat="1" ht="15.75" customHeight="1"/>
    <row r="735" s="9" customFormat="1" ht="15.75" customHeight="1"/>
    <row r="736" s="9" customFormat="1" ht="15.75" customHeight="1"/>
    <row r="737" s="9" customFormat="1" ht="15.75" customHeight="1"/>
    <row r="738" s="9" customFormat="1" ht="15.75" customHeight="1"/>
    <row r="739" s="9" customFormat="1" ht="15.75" customHeight="1"/>
    <row r="740" s="9" customFormat="1" ht="15.75" customHeight="1"/>
    <row r="741" s="9" customFormat="1" ht="15.75" customHeight="1"/>
    <row r="742" s="9" customFormat="1" ht="15.75" customHeight="1"/>
    <row r="743" s="9" customFormat="1" ht="15.75" customHeight="1"/>
    <row r="744" s="9" customFormat="1" ht="15.75" customHeight="1"/>
    <row r="745" s="9" customFormat="1" ht="15.75" customHeight="1"/>
    <row r="746" s="9" customFormat="1" ht="15.75" customHeight="1"/>
    <row r="747" s="9" customFormat="1" ht="15.75" customHeight="1"/>
    <row r="748" s="9" customFormat="1" ht="15.75" customHeight="1"/>
    <row r="749" s="9" customFormat="1" ht="15.75" customHeight="1"/>
    <row r="750" s="9" customFormat="1" ht="15.75" customHeight="1"/>
    <row r="751" s="9" customFormat="1" ht="15.75" customHeight="1"/>
    <row r="752" s="9" customFormat="1" ht="15.75" customHeight="1"/>
    <row r="753" s="9" customFormat="1" ht="15.75" customHeight="1"/>
    <row r="754" s="9" customFormat="1" ht="15.75" customHeight="1"/>
    <row r="755" s="9" customFormat="1" ht="15.75" customHeight="1"/>
    <row r="756" s="9" customFormat="1" ht="15.75" customHeight="1"/>
    <row r="757" s="9" customFormat="1" ht="15.75" customHeight="1"/>
    <row r="758" s="9" customFormat="1" ht="15.75" customHeight="1"/>
    <row r="759" s="9" customFormat="1" ht="15.75" customHeight="1"/>
    <row r="760" s="9" customFormat="1" ht="15.75" customHeight="1"/>
    <row r="761" s="9" customFormat="1" ht="15.75" customHeight="1"/>
    <row r="762" s="9" customFormat="1" ht="15.75" customHeight="1"/>
    <row r="763" s="9" customFormat="1" ht="15.75" customHeight="1"/>
    <row r="764" s="9" customFormat="1" ht="15.75" customHeight="1"/>
    <row r="765" s="9" customFormat="1" ht="15.75" customHeight="1"/>
    <row r="766" s="9" customFormat="1" ht="15.75" customHeight="1"/>
    <row r="767" s="9" customFormat="1" ht="15.75" customHeight="1"/>
    <row r="768" s="9" customFormat="1" ht="15.75" customHeight="1"/>
    <row r="769" s="9" customFormat="1" ht="15.75" customHeight="1"/>
    <row r="770" s="9" customFormat="1" ht="15.75" customHeight="1"/>
    <row r="771" s="9" customFormat="1" ht="15.75" customHeight="1"/>
    <row r="772" s="9" customFormat="1" ht="15.75" customHeight="1"/>
    <row r="773" s="9" customFormat="1" ht="15.75" customHeight="1"/>
    <row r="774" s="9" customFormat="1" ht="15.75" customHeight="1"/>
    <row r="775" s="9" customFormat="1" ht="15.75" customHeight="1"/>
    <row r="776" s="9" customFormat="1" ht="15.75" customHeight="1"/>
    <row r="777" s="9" customFormat="1" ht="15.75" customHeight="1"/>
    <row r="778" s="9" customFormat="1" ht="15.75" customHeight="1"/>
    <row r="779" s="9" customFormat="1" ht="15.75" customHeight="1"/>
    <row r="780" s="9" customFormat="1" ht="15.75" customHeight="1"/>
    <row r="781" s="9" customFormat="1" ht="15.75" customHeight="1"/>
    <row r="782" s="9" customFormat="1" ht="15.75" customHeight="1"/>
    <row r="783" s="9" customFormat="1" ht="15.75" customHeight="1"/>
    <row r="784" s="9" customFormat="1" ht="15.75" customHeight="1"/>
    <row r="785" s="9" customFormat="1" ht="15.75" customHeight="1"/>
    <row r="786" s="9" customFormat="1" ht="15.75" customHeight="1"/>
    <row r="787" s="9" customFormat="1" ht="15.75" customHeight="1"/>
    <row r="788" s="9" customFormat="1" ht="15.75" customHeight="1"/>
    <row r="789" s="9" customFormat="1" ht="15.75" customHeight="1"/>
    <row r="790" s="9" customFormat="1" ht="15.75" customHeight="1"/>
    <row r="791" s="9" customFormat="1" ht="15.75" customHeight="1"/>
    <row r="792" s="9" customFormat="1" ht="15.75" customHeight="1"/>
    <row r="793" s="9" customFormat="1" ht="15.75" customHeight="1"/>
    <row r="794" s="9" customFormat="1" ht="15.75" customHeight="1"/>
    <row r="795" s="9" customFormat="1" ht="15.75" customHeight="1"/>
    <row r="796" s="9" customFormat="1" ht="15.75" customHeight="1"/>
    <row r="797" s="9" customFormat="1" ht="15.75" customHeight="1"/>
    <row r="798" s="9" customFormat="1" ht="15.75" customHeight="1"/>
    <row r="799" s="9" customFormat="1" ht="15.75" customHeight="1"/>
    <row r="800" s="9" customFormat="1" ht="15.75" customHeight="1"/>
    <row r="801" s="9" customFormat="1" ht="15.75" customHeight="1"/>
    <row r="802" s="9" customFormat="1" ht="15.75" customHeight="1"/>
    <row r="803" s="9" customFormat="1" ht="15.75" customHeight="1"/>
    <row r="804" s="9" customFormat="1" ht="15.75" customHeight="1"/>
    <row r="805" s="9" customFormat="1" ht="15.75" customHeight="1"/>
    <row r="806" s="9" customFormat="1" ht="15.75" customHeight="1"/>
    <row r="807" s="9" customFormat="1" ht="15.75" customHeight="1"/>
    <row r="808" s="9" customFormat="1" ht="15.75" customHeight="1"/>
    <row r="809" s="9" customFormat="1" ht="15.75" customHeight="1"/>
    <row r="810" s="9" customFormat="1" ht="15.75" customHeight="1"/>
    <row r="811" s="9" customFormat="1" ht="15.75" customHeight="1"/>
    <row r="812" s="9" customFormat="1" ht="15.75" customHeight="1"/>
    <row r="813" s="9" customFormat="1" ht="15.75" customHeight="1"/>
    <row r="814" s="9" customFormat="1" ht="15.75" customHeight="1"/>
    <row r="815" s="9" customFormat="1" ht="15.75" customHeight="1"/>
    <row r="816" s="9" customFormat="1" ht="15.75" customHeight="1"/>
    <row r="817" s="9" customFormat="1" ht="15.75" customHeight="1"/>
    <row r="818" s="9" customFormat="1" ht="15.75" customHeight="1"/>
    <row r="819" s="9" customFormat="1" ht="15.75" customHeight="1"/>
    <row r="820" s="9" customFormat="1" ht="15.75" customHeight="1"/>
    <row r="821" s="9" customFormat="1" ht="15.75" customHeight="1"/>
    <row r="822" s="9" customFormat="1" ht="15.75" customHeight="1"/>
    <row r="823" s="9" customFormat="1" ht="15.75" customHeight="1"/>
    <row r="824" s="9" customFormat="1" ht="15.75" customHeight="1"/>
    <row r="825" s="9" customFormat="1" ht="15.75" customHeight="1"/>
    <row r="826" s="9" customFormat="1" ht="15.75" customHeight="1"/>
    <row r="827" s="9" customFormat="1" ht="15.75" customHeight="1"/>
    <row r="828" s="9" customFormat="1" ht="15.75" customHeight="1"/>
    <row r="829" s="9" customFormat="1" ht="15.75" customHeight="1"/>
    <row r="830" s="9" customFormat="1" ht="15.75" customHeight="1"/>
    <row r="831" s="9" customFormat="1" ht="15.75" customHeight="1"/>
    <row r="832" s="9" customFormat="1" ht="15.75" customHeight="1"/>
    <row r="833" s="9" customFormat="1" ht="15.75" customHeight="1"/>
    <row r="834" s="9" customFormat="1" ht="15.75" customHeight="1"/>
    <row r="835" s="9" customFormat="1" ht="15.75" customHeight="1"/>
    <row r="836" s="9" customFormat="1" ht="15.75" customHeight="1"/>
    <row r="837" s="9" customFormat="1" ht="15.75" customHeight="1"/>
    <row r="838" s="9" customFormat="1" ht="15.75" customHeight="1"/>
    <row r="839" s="9" customFormat="1" ht="15.75" customHeight="1"/>
    <row r="840" s="9" customFormat="1" ht="15.75" customHeight="1"/>
    <row r="841" s="9" customFormat="1" ht="15.75" customHeight="1"/>
    <row r="842" s="9" customFormat="1" ht="15.75" customHeight="1"/>
    <row r="843" s="9" customFormat="1" ht="15.75" customHeight="1"/>
    <row r="844" s="9" customFormat="1" ht="15.75" customHeight="1"/>
    <row r="845" s="9" customFormat="1" ht="15.75" customHeight="1"/>
    <row r="846" s="9" customFormat="1" ht="15.75" customHeight="1"/>
    <row r="847" s="9" customFormat="1" ht="15.75" customHeight="1"/>
    <row r="848" s="9" customFormat="1" ht="15.75" customHeight="1"/>
    <row r="849" s="9" customFormat="1" ht="15.75" customHeight="1"/>
    <row r="850" s="9" customFormat="1" ht="15.75" customHeight="1"/>
    <row r="851" s="9" customFormat="1" ht="15.75" customHeight="1"/>
    <row r="852" s="9" customFormat="1" ht="15.75" customHeight="1"/>
    <row r="853" s="9" customFormat="1" ht="15.75" customHeight="1"/>
    <row r="854" s="9" customFormat="1" ht="15.75" customHeight="1"/>
    <row r="855" s="9" customFormat="1" ht="15.75" customHeight="1"/>
    <row r="856" s="9" customFormat="1" ht="15.75" customHeight="1"/>
    <row r="857" s="9" customFormat="1" ht="15.75" customHeight="1"/>
    <row r="858" s="9" customFormat="1" ht="15.75" customHeight="1"/>
    <row r="859" s="9" customFormat="1" ht="15.75" customHeight="1"/>
    <row r="860" s="9" customFormat="1" ht="15.75" customHeight="1"/>
    <row r="861" s="9" customFormat="1" ht="15.75" customHeight="1"/>
    <row r="862" s="9" customFormat="1" ht="15.75" customHeight="1"/>
    <row r="863" s="9" customFormat="1" ht="15.75" customHeight="1"/>
    <row r="864" s="9" customFormat="1" ht="15.75" customHeight="1"/>
    <row r="865" s="9" customFormat="1" ht="15.75" customHeight="1"/>
    <row r="866" s="9" customFormat="1" ht="15.75" customHeight="1"/>
    <row r="867" s="9" customFormat="1" ht="15.75" customHeight="1"/>
    <row r="868" s="9" customFormat="1" ht="15.75" customHeight="1"/>
    <row r="869" s="9" customFormat="1" ht="15.75" customHeight="1"/>
    <row r="870" s="9" customFormat="1" ht="15.75" customHeight="1"/>
    <row r="871" s="9" customFormat="1" ht="15.75" customHeight="1"/>
    <row r="872" s="9" customFormat="1" ht="15.75" customHeight="1"/>
    <row r="873" s="9" customFormat="1" ht="15.75" customHeight="1"/>
    <row r="874" s="9" customFormat="1" ht="15.75" customHeight="1"/>
    <row r="875" s="9" customFormat="1" ht="15.75" customHeight="1"/>
    <row r="876" s="9" customFormat="1" ht="15.75" customHeight="1"/>
    <row r="877" s="9" customFormat="1" ht="15.75" customHeight="1"/>
    <row r="878" s="9" customFormat="1" ht="15.75" customHeight="1"/>
    <row r="879" s="9" customFormat="1" ht="15.75" customHeight="1"/>
    <row r="880" s="9" customFormat="1" ht="15.75" customHeight="1"/>
    <row r="881" s="9" customFormat="1" ht="15.75" customHeight="1"/>
    <row r="882" s="9" customFormat="1" ht="15.75" customHeight="1"/>
    <row r="883" s="9" customFormat="1" ht="15.75" customHeight="1"/>
    <row r="884" s="9" customFormat="1" ht="15.75" customHeight="1"/>
    <row r="885" s="9" customFormat="1" ht="15.75" customHeight="1"/>
    <row r="886" s="9" customFormat="1" ht="15.75" customHeight="1"/>
    <row r="887" s="9" customFormat="1" ht="15.75" customHeight="1"/>
    <row r="888" s="9" customFormat="1" ht="15.75" customHeight="1"/>
    <row r="889" s="9" customFormat="1" ht="15.75" customHeight="1"/>
    <row r="890" s="9" customFormat="1" ht="15.75" customHeight="1"/>
    <row r="891" s="9" customFormat="1" ht="15.75" customHeight="1"/>
    <row r="892" s="9" customFormat="1" ht="15.75" customHeight="1"/>
    <row r="893" s="9" customFormat="1" ht="15.75" customHeight="1"/>
    <row r="894" s="9" customFormat="1" ht="15.75" customHeight="1"/>
    <row r="895" s="9" customFormat="1" ht="15.75" customHeight="1"/>
    <row r="896" s="9" customFormat="1" ht="15.75" customHeight="1"/>
    <row r="897" s="9" customFormat="1" ht="15.75" customHeight="1"/>
    <row r="898" s="9" customFormat="1" ht="15.75" customHeight="1"/>
    <row r="899" s="9" customFormat="1" ht="15.75" customHeight="1"/>
    <row r="900" s="9" customFormat="1" ht="15.75" customHeight="1"/>
    <row r="901" s="9" customFormat="1" ht="15.75" customHeight="1"/>
    <row r="902" s="9" customFormat="1" ht="15.75" customHeight="1"/>
    <row r="903" s="9" customFormat="1" ht="15.75" customHeight="1"/>
    <row r="904" s="9" customFormat="1" ht="15.75" customHeight="1"/>
    <row r="905" s="9" customFormat="1" ht="15.75" customHeight="1"/>
    <row r="906" s="9" customFormat="1" ht="15.75" customHeight="1"/>
    <row r="907" s="9" customFormat="1" ht="15.75" customHeight="1"/>
    <row r="908" s="9" customFormat="1" ht="15.75" customHeight="1"/>
    <row r="909" s="9" customFormat="1" ht="15.75" customHeight="1"/>
    <row r="910" s="9" customFormat="1" ht="15.75" customHeight="1"/>
    <row r="911" s="9" customFormat="1" ht="15.75" customHeight="1"/>
    <row r="912" s="9" customFormat="1" ht="15.75" customHeight="1"/>
    <row r="913" s="9" customFormat="1" ht="15.75" customHeight="1"/>
    <row r="914" s="9" customFormat="1" ht="15.75" customHeight="1"/>
    <row r="915" s="9" customFormat="1" ht="15.75" customHeight="1"/>
    <row r="916" s="9" customFormat="1" ht="15.75" customHeight="1"/>
    <row r="917" s="9" customFormat="1" ht="15.75" customHeight="1"/>
    <row r="918" s="9" customFormat="1" ht="15.75" customHeight="1"/>
    <row r="919" s="9" customFormat="1" ht="15.75" customHeight="1"/>
    <row r="920" s="9" customFormat="1" ht="15.75" customHeight="1"/>
    <row r="921" s="9" customFormat="1" ht="15.75" customHeight="1"/>
    <row r="922" s="9" customFormat="1" ht="15.75" customHeight="1"/>
    <row r="923" s="9" customFormat="1" ht="15.75" customHeight="1"/>
    <row r="924" s="9" customFormat="1" ht="15.75" customHeight="1"/>
    <row r="925" s="9" customFormat="1" ht="15.75" customHeight="1"/>
    <row r="926" s="9" customFormat="1" ht="15.75" customHeight="1"/>
    <row r="927" s="9" customFormat="1" ht="15.75" customHeight="1"/>
    <row r="928" s="9" customFormat="1" ht="15.75" customHeight="1"/>
    <row r="929" s="9" customFormat="1" ht="15.75" customHeight="1"/>
    <row r="930" s="9" customFormat="1" ht="15.75" customHeight="1"/>
    <row r="931" s="9" customFormat="1" ht="15.75" customHeight="1"/>
    <row r="932" s="9" customFormat="1" ht="15.75" customHeight="1"/>
    <row r="933" s="9" customFormat="1" ht="15.75" customHeight="1"/>
    <row r="934" s="9" customFormat="1" ht="15.75" customHeight="1"/>
    <row r="935" s="9" customFormat="1" ht="15.75" customHeight="1"/>
    <row r="936" s="9" customFormat="1" ht="15.75" customHeight="1"/>
    <row r="937" s="9" customFormat="1" ht="15.75" customHeight="1"/>
    <row r="938" s="9" customFormat="1" ht="15.75" customHeight="1"/>
    <row r="939" s="9" customFormat="1" ht="15.75" customHeight="1"/>
    <row r="940" s="9" customFormat="1" ht="15.75" customHeight="1"/>
    <row r="941" s="9" customFormat="1" ht="15.75" customHeight="1"/>
    <row r="942" s="9" customFormat="1" ht="15.75" customHeight="1"/>
    <row r="943" s="9" customFormat="1" ht="15.75" customHeight="1"/>
    <row r="944" s="9" customFormat="1" ht="15.75" customHeight="1"/>
    <row r="945" s="9" customFormat="1" ht="15.75" customHeight="1"/>
    <row r="946" s="9" customFormat="1" ht="15.75" customHeight="1"/>
    <row r="947" s="9" customFormat="1" ht="15.75" customHeight="1"/>
    <row r="948" s="9" customFormat="1" ht="15.75" customHeight="1"/>
    <row r="949" s="9" customFormat="1" ht="15.75" customHeight="1"/>
    <row r="950" s="9" customFormat="1" ht="15.75" customHeight="1"/>
    <row r="951" s="9" customFormat="1" ht="15.75" customHeight="1"/>
    <row r="952" s="9" customFormat="1" ht="15.75" customHeight="1"/>
    <row r="953" s="9" customFormat="1" ht="15.75" customHeight="1"/>
    <row r="954" s="9" customFormat="1" ht="15.75" customHeight="1"/>
    <row r="955" s="9" customFormat="1" ht="15.75" customHeight="1"/>
    <row r="956" s="9" customFormat="1" ht="15.75" customHeight="1"/>
    <row r="957" s="9" customFormat="1" ht="15.75" customHeight="1"/>
    <row r="958" s="9" customFormat="1" ht="15.75" customHeight="1"/>
    <row r="959" s="9" customFormat="1" ht="15.75" customHeight="1"/>
    <row r="960" s="9" customFormat="1" ht="15.75" customHeight="1"/>
    <row r="961" s="9" customFormat="1" ht="15.75" customHeight="1"/>
    <row r="962" s="9" customFormat="1" ht="15.75" customHeight="1"/>
    <row r="963" s="9" customFormat="1" ht="15.75" customHeight="1"/>
    <row r="964" s="9" customFormat="1" ht="15.75" customHeight="1"/>
    <row r="965" s="9" customFormat="1" ht="15.75" customHeight="1"/>
    <row r="966" s="9" customFormat="1" ht="15.75" customHeight="1"/>
    <row r="967" s="9" customFormat="1" ht="15.75" customHeight="1"/>
    <row r="968" s="9" customFormat="1" ht="15.75" customHeight="1"/>
    <row r="969" s="9" customFormat="1" ht="15.75" customHeight="1"/>
    <row r="970" s="9" customFormat="1" ht="15.75" customHeight="1"/>
    <row r="971" s="9" customFormat="1" ht="15.75" customHeight="1"/>
    <row r="972" s="9" customFormat="1" ht="15.75" customHeight="1"/>
    <row r="973" s="9" customFormat="1" ht="15.75" customHeight="1"/>
    <row r="974" s="9" customFormat="1" ht="15.75" customHeight="1"/>
    <row r="975" s="9" customFormat="1" ht="15.75" customHeight="1"/>
    <row r="976" s="9" customFormat="1" ht="15.75" customHeight="1"/>
    <row r="977" s="9" customFormat="1" ht="15.75" customHeight="1"/>
    <row r="978" s="9" customFormat="1" ht="15.75" customHeight="1"/>
    <row r="979" s="9" customFormat="1" ht="15.75" customHeight="1"/>
    <row r="980" s="9" customFormat="1" ht="15.75" customHeight="1"/>
    <row r="981" s="9" customFormat="1" ht="15.75" customHeight="1"/>
    <row r="982" s="9" customFormat="1" ht="15.75" customHeight="1"/>
    <row r="983" s="9" customFormat="1" ht="15.75" customHeight="1"/>
    <row r="984" s="9" customFormat="1" ht="15.75" customHeight="1"/>
    <row r="985" s="9" customFormat="1" ht="15.75" customHeight="1"/>
    <row r="986" s="9" customFormat="1" ht="15.75" customHeight="1"/>
    <row r="987" s="9" customFormat="1" ht="15.75" customHeight="1"/>
    <row r="988" s="9" customFormat="1" ht="15.75" customHeight="1"/>
    <row r="989" s="9" customFormat="1" ht="15.75" customHeight="1"/>
    <row r="990" s="9" customFormat="1" ht="15.75" customHeight="1"/>
    <row r="991" s="9" customFormat="1" ht="15.75" customHeight="1"/>
    <row r="992" s="9" customFormat="1" ht="15.75" customHeight="1"/>
    <row r="993" s="9" customFormat="1" ht="15.75" customHeight="1"/>
    <row r="994" s="9" customFormat="1" ht="15.75" customHeight="1"/>
    <row r="995" s="9" customFormat="1" ht="15.75" customHeight="1"/>
    <row r="996" s="9" customFormat="1" ht="15.75" customHeight="1"/>
    <row r="997" s="9" customFormat="1" ht="15.75" customHeight="1"/>
    <row r="998" s="9" customFormat="1" ht="15.75" customHeight="1"/>
    <row r="999" s="9" customFormat="1" ht="15.75" customHeight="1"/>
    <row r="1000" s="9" customFormat="1" ht="15.75" customHeight="1"/>
    <row r="1001" s="9" customFormat="1" ht="15.75" customHeight="1"/>
    <row r="1002" s="9" customFormat="1" ht="15.75" customHeight="1"/>
    <row r="1003" s="9" customFormat="1" ht="15.75" customHeight="1"/>
    <row r="1004" s="9" customFormat="1" ht="15.75" customHeight="1"/>
    <row r="1005" s="9" customFormat="1" ht="15.75" customHeight="1"/>
    <row r="1006" s="9" customFormat="1" ht="15.75" customHeight="1"/>
    <row r="1007" s="9" customFormat="1" ht="15.75" customHeight="1"/>
    <row r="1008" s="9" customFormat="1" ht="15.75" customHeight="1"/>
    <row r="1009" s="9" customFormat="1" ht="15.75" customHeight="1"/>
    <row r="1010" s="9" customFormat="1" ht="15.75" customHeight="1"/>
    <row r="1011" s="9" customFormat="1" ht="15.75" customHeight="1"/>
    <row r="1012" s="9" customFormat="1" ht="15.75" customHeight="1"/>
    <row r="1013" s="9" customFormat="1" ht="15.75" customHeight="1"/>
    <row r="1014" s="9" customFormat="1" ht="15.75" customHeight="1"/>
    <row r="1015" s="9" customFormat="1" ht="15.75" customHeight="1"/>
    <row r="1016" s="9" customFormat="1" ht="15.75" customHeight="1"/>
    <row r="1017" s="9" customFormat="1" ht="15.75" customHeight="1"/>
    <row r="1018" s="9" customFormat="1" ht="15.75" customHeight="1"/>
    <row r="1019" s="9" customFormat="1" ht="15.75" customHeight="1"/>
    <row r="1020" s="9" customFormat="1" ht="15.75" customHeight="1"/>
    <row r="1021" s="9" customFormat="1" ht="15.75" customHeight="1"/>
    <row r="1022" s="9" customFormat="1" ht="15.75" customHeight="1"/>
    <row r="1023" s="9" customFormat="1" ht="15.75" customHeight="1"/>
    <row r="1024" s="9" customFormat="1" ht="15.75" customHeight="1"/>
    <row r="1025" s="9" customFormat="1" ht="15.75" customHeight="1"/>
    <row r="1026" s="9" customFormat="1" ht="15.75" customHeight="1"/>
    <row r="1027" s="9" customFormat="1" ht="15.75" customHeight="1"/>
    <row r="1028" s="9" customFormat="1" ht="15.75" customHeight="1"/>
    <row r="1029" s="9" customFormat="1" ht="15.75" customHeight="1"/>
    <row r="1030" s="9" customFormat="1" ht="15.75" customHeight="1"/>
    <row r="1031" s="9" customFormat="1" ht="15.75" customHeight="1"/>
    <row r="1032" s="9" customFormat="1" ht="15.75" customHeight="1"/>
    <row r="1033" s="9" customFormat="1" ht="15.75" customHeight="1"/>
    <row r="1034" s="9" customFormat="1" ht="15.75" customHeight="1"/>
    <row r="1035" s="9" customFormat="1" ht="15.75" customHeight="1"/>
    <row r="1036" s="9" customFormat="1" ht="15.75" customHeight="1"/>
    <row r="1037" s="9" customFormat="1" ht="15.75" customHeight="1"/>
    <row r="1038" s="9" customFormat="1" ht="15.75" customHeight="1"/>
    <row r="1039" s="9" customFormat="1" ht="15.75" customHeight="1"/>
    <row r="1040" s="9" customFormat="1" ht="15.75" customHeight="1"/>
    <row r="1041" s="9" customFormat="1" ht="15.75" customHeight="1"/>
    <row r="1042" s="9" customFormat="1" ht="15.75" customHeight="1"/>
    <row r="1043" s="9" customFormat="1" ht="15.75" customHeight="1"/>
    <row r="1044" s="9" customFormat="1" ht="15.75" customHeight="1"/>
    <row r="1045" s="9" customFormat="1" ht="15.75" customHeight="1"/>
    <row r="1046" s="9" customFormat="1" ht="15.75" customHeight="1"/>
    <row r="1047" s="9" customFormat="1" ht="15.75" customHeight="1"/>
    <row r="1048" s="9" customFormat="1" ht="15.75" customHeight="1"/>
    <row r="1049" s="9" customFormat="1" ht="15.75" customHeight="1"/>
    <row r="1050" s="9" customFormat="1" ht="15.75" customHeight="1"/>
    <row r="1051" s="9" customFormat="1" ht="15.75" customHeight="1"/>
    <row r="1052" s="9" customFormat="1" ht="15.75" customHeight="1"/>
    <row r="1053" s="9" customFormat="1" ht="15.75" customHeight="1"/>
    <row r="1054" s="9" customFormat="1" ht="15.75" customHeight="1"/>
    <row r="1055" s="9" customFormat="1" ht="15.75" customHeight="1"/>
    <row r="1056" s="9" customFormat="1" ht="15.75" customHeight="1"/>
    <row r="1057" s="9" customFormat="1" ht="15.75" customHeight="1"/>
    <row r="1058" s="9" customFormat="1" ht="15.75" customHeight="1"/>
    <row r="1059" s="9" customFormat="1" ht="15.75" customHeight="1"/>
    <row r="1060" s="9" customFormat="1" ht="15.75" customHeight="1"/>
    <row r="1061" s="9" customFormat="1" ht="15.75" customHeight="1"/>
    <row r="1062" s="9" customFormat="1" ht="15.75" customHeight="1"/>
    <row r="1063" s="9" customFormat="1" ht="15.75" customHeight="1"/>
    <row r="1064" s="9" customFormat="1" ht="15.75" customHeight="1"/>
    <row r="1065" s="9" customFormat="1" ht="15.75" customHeight="1"/>
    <row r="1066" s="9" customFormat="1" ht="15.75" customHeight="1"/>
    <row r="1067" s="9" customFormat="1" ht="15.75" customHeight="1"/>
    <row r="1068" s="9" customFormat="1" ht="15.75" customHeight="1"/>
    <row r="1069" s="9" customFormat="1" ht="15.75" customHeight="1"/>
    <row r="1070" s="9" customFormat="1" ht="15.75" customHeight="1"/>
    <row r="1071" s="9" customFormat="1" ht="15.75" customHeight="1"/>
    <row r="1072" s="9" customFormat="1" ht="15.75" customHeight="1"/>
    <row r="1073" s="9" customFormat="1" ht="15.75" customHeight="1"/>
    <row r="1074" s="9" customFormat="1" ht="15.75" customHeight="1"/>
    <row r="1075" s="9" customFormat="1" ht="15.75" customHeight="1"/>
    <row r="1076" s="9" customFormat="1" ht="15.75" customHeight="1"/>
    <row r="1077" s="9" customFormat="1" ht="15.75" customHeight="1"/>
    <row r="1078" s="9" customFormat="1" ht="15.75" customHeight="1"/>
    <row r="1079" s="9" customFormat="1" ht="15.75" customHeight="1"/>
    <row r="1080" s="9" customFormat="1" ht="15.75" customHeight="1"/>
    <row r="1081" s="9" customFormat="1" ht="15.75" customHeight="1"/>
    <row r="1082" s="9" customFormat="1" ht="15.75" customHeight="1"/>
    <row r="1083" s="9" customFormat="1" ht="15.75" customHeight="1"/>
    <row r="1084" s="9" customFormat="1" ht="15.75" customHeight="1"/>
    <row r="1085" s="9" customFormat="1" ht="15.75" customHeight="1"/>
    <row r="1086" s="9" customFormat="1" ht="15.75" customHeight="1"/>
    <row r="1087" s="9" customFormat="1" ht="15.75" customHeight="1"/>
    <row r="1088" s="9" customFormat="1" ht="15.75" customHeight="1"/>
    <row r="1089" s="9" customFormat="1" ht="15.75" customHeight="1"/>
    <row r="1090" s="9" customFormat="1" ht="15.75" customHeight="1"/>
    <row r="1091" s="9" customFormat="1" ht="15.75" customHeight="1"/>
    <row r="1092" s="9" customFormat="1" ht="15.75" customHeight="1"/>
    <row r="1093" s="9" customFormat="1" ht="15.75" customHeight="1"/>
    <row r="1094" s="9" customFormat="1" ht="15.75" customHeight="1"/>
    <row r="1095" s="9" customFormat="1" ht="15.75" customHeight="1"/>
    <row r="1096" s="9" customFormat="1" ht="15.75" customHeight="1"/>
    <row r="1097" s="9" customFormat="1" ht="15.75" customHeight="1"/>
    <row r="1098" s="9" customFormat="1" ht="15.75" customHeight="1"/>
    <row r="1099" s="9" customFormat="1" ht="15.75" customHeight="1"/>
    <row r="1100" s="9" customFormat="1" ht="15.75" customHeight="1"/>
    <row r="1101" s="9" customFormat="1" ht="15.75" customHeight="1"/>
    <row r="1102" s="9" customFormat="1" ht="15.75" customHeight="1"/>
    <row r="1103" s="9" customFormat="1" ht="15.75" customHeight="1"/>
    <row r="1104" s="9" customFormat="1" ht="15.75" customHeight="1"/>
    <row r="1105" s="9" customFormat="1" ht="15.75" customHeight="1"/>
    <row r="1106" s="9" customFormat="1" ht="15.75" customHeight="1"/>
    <row r="1107" s="9" customFormat="1" ht="15.75" customHeight="1"/>
    <row r="1108" s="9" customFormat="1" ht="15.75" customHeight="1"/>
    <row r="1109" s="9" customFormat="1" ht="15.75" customHeight="1"/>
    <row r="1110" s="9" customFormat="1" ht="15.75" customHeight="1"/>
    <row r="1111" s="9" customFormat="1" ht="15.75" customHeight="1"/>
    <row r="1112" s="9" customFormat="1" ht="15.75" customHeight="1"/>
    <row r="1113" s="9" customFormat="1" ht="15.75" customHeight="1"/>
    <row r="1114" s="9" customFormat="1" ht="15.75" customHeight="1"/>
    <row r="1115" s="9" customFormat="1" ht="15.75" customHeight="1"/>
    <row r="1116" s="9" customFormat="1" ht="15.75" customHeight="1"/>
    <row r="1117" s="9" customFormat="1" ht="15.75" customHeight="1"/>
    <row r="1118" s="9" customFormat="1" ht="15.75" customHeight="1"/>
    <row r="1119" s="9" customFormat="1" ht="15.75" customHeight="1"/>
    <row r="1120" s="9" customFormat="1" ht="15.75" customHeight="1"/>
    <row r="1121" s="9" customFormat="1" ht="15.75" customHeight="1"/>
    <row r="1122" s="9" customFormat="1" ht="15.75" customHeight="1"/>
  </sheetData>
  <mergeCells count="732">
    <mergeCell ref="Y596:AB596"/>
    <mergeCell ref="Y597:AB597"/>
    <mergeCell ref="Y598:AB598"/>
    <mergeCell ref="W594:X595"/>
    <mergeCell ref="W596:X598"/>
    <mergeCell ref="T597:V597"/>
    <mergeCell ref="P598:Q598"/>
    <mergeCell ref="R598:S598"/>
    <mergeCell ref="P268:S269"/>
    <mergeCell ref="P270:S270"/>
    <mergeCell ref="W268:Z269"/>
    <mergeCell ref="W270:Z270"/>
    <mergeCell ref="P274:S275"/>
    <mergeCell ref="W274:Z275"/>
    <mergeCell ref="J273:Z273"/>
    <mergeCell ref="J267:Z267"/>
    <mergeCell ref="M274:O275"/>
    <mergeCell ref="I596:J596"/>
    <mergeCell ref="K596:M596"/>
    <mergeCell ref="N596:O596"/>
    <mergeCell ref="P596:Q596"/>
    <mergeCell ref="R596:S596"/>
    <mergeCell ref="T596:V596"/>
    <mergeCell ref="I597:J598"/>
    <mergeCell ref="K597:M598"/>
    <mergeCell ref="N597:O598"/>
    <mergeCell ref="P597:Q597"/>
    <mergeCell ref="R597:S597"/>
    <mergeCell ref="T598:V598"/>
    <mergeCell ref="K537:AA537"/>
    <mergeCell ref="I594:J595"/>
    <mergeCell ref="K594:M595"/>
    <mergeCell ref="N594:O595"/>
    <mergeCell ref="P594:Q595"/>
    <mergeCell ref="R594:S595"/>
    <mergeCell ref="Y583:AB584"/>
    <mergeCell ref="Y585:AB585"/>
    <mergeCell ref="O585:Q585"/>
    <mergeCell ref="R585:T585"/>
    <mergeCell ref="T594:V595"/>
    <mergeCell ref="J593:AA593"/>
    <mergeCell ref="Y594:AB595"/>
    <mergeCell ref="I585:K585"/>
    <mergeCell ref="L585:N585"/>
    <mergeCell ref="U585:X585"/>
    <mergeCell ref="I578:J578"/>
    <mergeCell ref="I579:J579"/>
    <mergeCell ref="I580:J580"/>
    <mergeCell ref="L582:AB582"/>
    <mergeCell ref="I583:K584"/>
    <mergeCell ref="L583:N584"/>
    <mergeCell ref="O583:Q584"/>
    <mergeCell ref="R583:T584"/>
    <mergeCell ref="U583:X584"/>
    <mergeCell ref="I556:J556"/>
    <mergeCell ref="I557:J557"/>
    <mergeCell ref="E551:F551"/>
    <mergeCell ref="H551:I551"/>
    <mergeCell ref="K551:L551"/>
    <mergeCell ref="E559:F559"/>
    <mergeCell ref="H559:I559"/>
    <mergeCell ref="K559:L559"/>
    <mergeCell ref="AC542:AE542"/>
    <mergeCell ref="AC543:AE543"/>
    <mergeCell ref="T540:V541"/>
    <mergeCell ref="T542:V543"/>
    <mergeCell ref="W540:Y540"/>
    <mergeCell ref="W541:Y541"/>
    <mergeCell ref="W542:Y542"/>
    <mergeCell ref="W543:Y543"/>
    <mergeCell ref="E550:F550"/>
    <mergeCell ref="H550:I550"/>
    <mergeCell ref="K550:L550"/>
    <mergeCell ref="T538:V539"/>
    <mergeCell ref="Z538:AB539"/>
    <mergeCell ref="Q538:S539"/>
    <mergeCell ref="AC538:AE539"/>
    <mergeCell ref="Q540:S541"/>
    <mergeCell ref="Z540:AB541"/>
    <mergeCell ref="W538:Y539"/>
    <mergeCell ref="AC540:AE540"/>
    <mergeCell ref="AC541:AE541"/>
    <mergeCell ref="K563:L563"/>
    <mergeCell ref="H564:I564"/>
    <mergeCell ref="K564:M564"/>
    <mergeCell ref="O538:P539"/>
    <mergeCell ref="O540:P540"/>
    <mergeCell ref="O541:P541"/>
    <mergeCell ref="H560:I560"/>
    <mergeCell ref="K560:M560"/>
    <mergeCell ref="M538:N539"/>
    <mergeCell ref="M540:N541"/>
    <mergeCell ref="M542:N543"/>
    <mergeCell ref="O542:P542"/>
    <mergeCell ref="O543:P543"/>
    <mergeCell ref="I553:J553"/>
    <mergeCell ref="I554:J554"/>
    <mergeCell ref="I555:J555"/>
    <mergeCell ref="E531:F531"/>
    <mergeCell ref="H531:I531"/>
    <mergeCell ref="K531:L531"/>
    <mergeCell ref="I576:J576"/>
    <mergeCell ref="I577:J577"/>
    <mergeCell ref="H565:J565"/>
    <mergeCell ref="E573:F573"/>
    <mergeCell ref="H573:I573"/>
    <mergeCell ref="I533:J533"/>
    <mergeCell ref="I534:J534"/>
    <mergeCell ref="I535:J535"/>
    <mergeCell ref="H538:I539"/>
    <mergeCell ref="H540:I541"/>
    <mergeCell ref="K573:L573"/>
    <mergeCell ref="E574:F574"/>
    <mergeCell ref="H574:I574"/>
    <mergeCell ref="K574:L574"/>
    <mergeCell ref="J538:L539"/>
    <mergeCell ref="J540:L541"/>
    <mergeCell ref="J542:L543"/>
    <mergeCell ref="H542:I543"/>
    <mergeCell ref="H561:J561"/>
    <mergeCell ref="E563:F563"/>
    <mergeCell ref="H563:I563"/>
    <mergeCell ref="E506:F506"/>
    <mergeCell ref="H506:I506"/>
    <mergeCell ref="K506:L506"/>
    <mergeCell ref="I508:J508"/>
    <mergeCell ref="I509:J509"/>
    <mergeCell ref="N506:O506"/>
    <mergeCell ref="Q506:R506"/>
    <mergeCell ref="L510:N510"/>
    <mergeCell ref="L511:N511"/>
    <mergeCell ref="Q542:S543"/>
    <mergeCell ref="Z542:AB543"/>
    <mergeCell ref="H480:J481"/>
    <mergeCell ref="K480:P480"/>
    <mergeCell ref="Q480:S482"/>
    <mergeCell ref="T480:V480"/>
    <mergeCell ref="Z480:AB480"/>
    <mergeCell ref="K481:P481"/>
    <mergeCell ref="H483:J486"/>
    <mergeCell ref="K483:P484"/>
    <mergeCell ref="Q483:S486"/>
    <mergeCell ref="T483:V484"/>
    <mergeCell ref="Z483:AB484"/>
    <mergeCell ref="K485:P486"/>
    <mergeCell ref="T485:V486"/>
    <mergeCell ref="Z485:AB486"/>
    <mergeCell ref="W480:Y486"/>
    <mergeCell ref="K482:P482"/>
    <mergeCell ref="I512:J512"/>
    <mergeCell ref="L513:N513"/>
    <mergeCell ref="L514:N514"/>
    <mergeCell ref="I515:J515"/>
    <mergeCell ref="S516:T516"/>
    <mergeCell ref="S517:T517"/>
    <mergeCell ref="T481:V481"/>
    <mergeCell ref="Z481:AB481"/>
    <mergeCell ref="H482:J482"/>
    <mergeCell ref="I469:J469"/>
    <mergeCell ref="E472:F472"/>
    <mergeCell ref="H472:I472"/>
    <mergeCell ref="J477:Z477"/>
    <mergeCell ref="H478:J479"/>
    <mergeCell ref="K478:P479"/>
    <mergeCell ref="Q478:S479"/>
    <mergeCell ref="T482:V482"/>
    <mergeCell ref="Z482:AB482"/>
    <mergeCell ref="E455:F455"/>
    <mergeCell ref="H455:I455"/>
    <mergeCell ref="W478:Y479"/>
    <mergeCell ref="T478:V479"/>
    <mergeCell ref="Z478:AB479"/>
    <mergeCell ref="E464:F464"/>
    <mergeCell ref="H464:I464"/>
    <mergeCell ref="K464:L464"/>
    <mergeCell ref="I466:J466"/>
    <mergeCell ref="I467:J467"/>
    <mergeCell ref="I468:J468"/>
    <mergeCell ref="E429:G432"/>
    <mergeCell ref="E448:F448"/>
    <mergeCell ref="H448:I448"/>
    <mergeCell ref="K448:L448"/>
    <mergeCell ref="H429:M430"/>
    <mergeCell ref="H431:M432"/>
    <mergeCell ref="E437:G438"/>
    <mergeCell ref="H437:M437"/>
    <mergeCell ref="I450:J450"/>
    <mergeCell ref="K455:M455"/>
    <mergeCell ref="O455:P455"/>
    <mergeCell ref="R455:T455"/>
    <mergeCell ref="V455:X455"/>
    <mergeCell ref="Q429:S432"/>
    <mergeCell ref="T429:V432"/>
    <mergeCell ref="W429:Y432"/>
    <mergeCell ref="J434:Z434"/>
    <mergeCell ref="H435:M436"/>
    <mergeCell ref="N435:P436"/>
    <mergeCell ref="I451:J451"/>
    <mergeCell ref="I452:J452"/>
    <mergeCell ref="I453:J453"/>
    <mergeCell ref="E439:G439"/>
    <mergeCell ref="H439:M439"/>
    <mergeCell ref="E440:G443"/>
    <mergeCell ref="H440:M441"/>
    <mergeCell ref="Q440:S443"/>
    <mergeCell ref="AA398:AD398"/>
    <mergeCell ref="N426:P432"/>
    <mergeCell ref="W435:Y436"/>
    <mergeCell ref="Z435:AB436"/>
    <mergeCell ref="AC435:AE436"/>
    <mergeCell ref="W398:Z398"/>
    <mergeCell ref="AC429:AE430"/>
    <mergeCell ref="AC431:AE432"/>
    <mergeCell ref="Q424:S425"/>
    <mergeCell ref="T424:V425"/>
    <mergeCell ref="Z428:AB428"/>
    <mergeCell ref="E424:G425"/>
    <mergeCell ref="E428:G428"/>
    <mergeCell ref="E426:G427"/>
    <mergeCell ref="E435:G436"/>
    <mergeCell ref="Q435:S436"/>
    <mergeCell ref="T435:V436"/>
    <mergeCell ref="Z429:AB430"/>
    <mergeCell ref="Z431:AB432"/>
    <mergeCell ref="E408:F408"/>
    <mergeCell ref="H408:I408"/>
    <mergeCell ref="K408:L408"/>
    <mergeCell ref="AC440:AE441"/>
    <mergeCell ref="AC442:AE443"/>
    <mergeCell ref="E456:F456"/>
    <mergeCell ref="H456:I456"/>
    <mergeCell ref="K456:M456"/>
    <mergeCell ref="O456:P456"/>
    <mergeCell ref="R456:T456"/>
    <mergeCell ref="T440:V443"/>
    <mergeCell ref="W440:Y443"/>
    <mergeCell ref="Z440:AB441"/>
    <mergeCell ref="H442:M443"/>
    <mergeCell ref="Z442:AB443"/>
    <mergeCell ref="H409:I409"/>
    <mergeCell ref="Z437:AB437"/>
    <mergeCell ref="AC437:AE437"/>
    <mergeCell ref="Z438:AB438"/>
    <mergeCell ref="AC438:AE438"/>
    <mergeCell ref="Z439:AB439"/>
    <mergeCell ref="AC439:AE439"/>
    <mergeCell ref="N437:P443"/>
    <mergeCell ref="Q437:S439"/>
    <mergeCell ref="K493:P493"/>
    <mergeCell ref="Q392:S392"/>
    <mergeCell ref="V456:X456"/>
    <mergeCell ref="J488:Z488"/>
    <mergeCell ref="H489:J490"/>
    <mergeCell ref="K489:P490"/>
    <mergeCell ref="Q489:S490"/>
    <mergeCell ref="T489:V490"/>
    <mergeCell ref="W489:Y490"/>
    <mergeCell ref="Z489:AB490"/>
    <mergeCell ref="G398:I398"/>
    <mergeCell ref="J395:Z395"/>
    <mergeCell ref="G396:I397"/>
    <mergeCell ref="J396:L397"/>
    <mergeCell ref="M396:P397"/>
    <mergeCell ref="Q396:S397"/>
    <mergeCell ref="W396:Z397"/>
    <mergeCell ref="J398:L398"/>
    <mergeCell ref="M398:P398"/>
    <mergeCell ref="Q398:S398"/>
    <mergeCell ref="T398:V398"/>
    <mergeCell ref="T437:V439"/>
    <mergeCell ref="W437:Y439"/>
    <mergeCell ref="H438:M438"/>
    <mergeCell ref="Q494:S497"/>
    <mergeCell ref="T494:V495"/>
    <mergeCell ref="Z494:AB495"/>
    <mergeCell ref="K496:P497"/>
    <mergeCell ref="T496:V497"/>
    <mergeCell ref="H424:M425"/>
    <mergeCell ref="N424:P425"/>
    <mergeCell ref="I411:J411"/>
    <mergeCell ref="I412:J412"/>
    <mergeCell ref="W491:Y497"/>
    <mergeCell ref="Z491:AB491"/>
    <mergeCell ref="Z492:AB492"/>
    <mergeCell ref="T493:V493"/>
    <mergeCell ref="Z493:AB493"/>
    <mergeCell ref="H494:J497"/>
    <mergeCell ref="K494:P495"/>
    <mergeCell ref="I413:J413"/>
    <mergeCell ref="H491:J492"/>
    <mergeCell ref="K491:P491"/>
    <mergeCell ref="Q491:S493"/>
    <mergeCell ref="T491:V491"/>
    <mergeCell ref="K492:P492"/>
    <mergeCell ref="T492:V492"/>
    <mergeCell ref="H493:J493"/>
    <mergeCell ref="AC428:AE428"/>
    <mergeCell ref="W392:Y392"/>
    <mergeCell ref="AA396:AD397"/>
    <mergeCell ref="AE381:AF381"/>
    <mergeCell ref="Z381:AA381"/>
    <mergeCell ref="L381:P381"/>
    <mergeCell ref="H428:M428"/>
    <mergeCell ref="H426:M426"/>
    <mergeCell ref="H427:M427"/>
    <mergeCell ref="X381:Y381"/>
    <mergeCell ref="W424:Y425"/>
    <mergeCell ref="Q426:S428"/>
    <mergeCell ref="AC424:AE425"/>
    <mergeCell ref="Z392:AC392"/>
    <mergeCell ref="AC426:AE426"/>
    <mergeCell ref="AC427:AE427"/>
    <mergeCell ref="T426:V428"/>
    <mergeCell ref="W426:Y428"/>
    <mergeCell ref="Z426:AB426"/>
    <mergeCell ref="Z427:AB427"/>
    <mergeCell ref="I414:J414"/>
    <mergeCell ref="I415:J415"/>
    <mergeCell ref="J423:Z423"/>
    <mergeCell ref="T390:V391"/>
    <mergeCell ref="Z424:AB425"/>
    <mergeCell ref="Z390:AC391"/>
    <mergeCell ref="AB380:AC380"/>
    <mergeCell ref="R381:S381"/>
    <mergeCell ref="U381:V381"/>
    <mergeCell ref="AB381:AC381"/>
    <mergeCell ref="G392:I392"/>
    <mergeCell ref="J392:L392"/>
    <mergeCell ref="M392:P392"/>
    <mergeCell ref="V380:W380"/>
    <mergeCell ref="Y380:Z380"/>
    <mergeCell ref="J389:Z389"/>
    <mergeCell ref="W390:Y391"/>
    <mergeCell ref="T392:V392"/>
    <mergeCell ref="T396:V397"/>
    <mergeCell ref="H366:I366"/>
    <mergeCell ref="N366:O366"/>
    <mergeCell ref="G390:I391"/>
    <mergeCell ref="J390:L391"/>
    <mergeCell ref="M390:P391"/>
    <mergeCell ref="H365:I365"/>
    <mergeCell ref="Q390:S391"/>
    <mergeCell ref="H367:J367"/>
    <mergeCell ref="E375:F375"/>
    <mergeCell ref="H375:I375"/>
    <mergeCell ref="K375:L375"/>
    <mergeCell ref="I377:J377"/>
    <mergeCell ref="K365:L365"/>
    <mergeCell ref="I378:J378"/>
    <mergeCell ref="Y355:Z355"/>
    <mergeCell ref="E363:F363"/>
    <mergeCell ref="H363:I363"/>
    <mergeCell ref="K363:L363"/>
    <mergeCell ref="H364:I364"/>
    <mergeCell ref="J364:K364"/>
    <mergeCell ref="L364:M364"/>
    <mergeCell ref="P364:Q364"/>
    <mergeCell ref="N365:O365"/>
    <mergeCell ref="S365:U365"/>
    <mergeCell ref="E340:F340"/>
    <mergeCell ref="H340:I340"/>
    <mergeCell ref="K340:L340"/>
    <mergeCell ref="Z496:AB497"/>
    <mergeCell ref="T297:V297"/>
    <mergeCell ref="W297:Z297"/>
    <mergeCell ref="V301:Z303"/>
    <mergeCell ref="V305:Z307"/>
    <mergeCell ref="V308:Z308"/>
    <mergeCell ref="V304:Z304"/>
    <mergeCell ref="I342:J342"/>
    <mergeCell ref="I343:J343"/>
    <mergeCell ref="I344:J344"/>
    <mergeCell ref="E349:F349"/>
    <mergeCell ref="H349:I349"/>
    <mergeCell ref="K349:L349"/>
    <mergeCell ref="I351:J351"/>
    <mergeCell ref="I352:J352"/>
    <mergeCell ref="I357:J357"/>
    <mergeCell ref="S354:T354"/>
    <mergeCell ref="S355:T355"/>
    <mergeCell ref="V354:W354"/>
    <mergeCell ref="V355:W355"/>
    <mergeCell ref="Y354:Z354"/>
    <mergeCell ref="AB298:AC298"/>
    <mergeCell ref="L297:O297"/>
    <mergeCell ref="F294:H296"/>
    <mergeCell ref="I294:K296"/>
    <mergeCell ref="L294:O296"/>
    <mergeCell ref="P294:S296"/>
    <mergeCell ref="W294:Z296"/>
    <mergeCell ref="I297:K297"/>
    <mergeCell ref="AA294:AD296"/>
    <mergeCell ref="AA297:AD297"/>
    <mergeCell ref="AA308:AE308"/>
    <mergeCell ref="E301:G303"/>
    <mergeCell ref="H301:J303"/>
    <mergeCell ref="E304:G304"/>
    <mergeCell ref="H304:J304"/>
    <mergeCell ref="E308:G308"/>
    <mergeCell ref="H308:J308"/>
    <mergeCell ref="S301:U303"/>
    <mergeCell ref="S304:U304"/>
    <mergeCell ref="S305:U307"/>
    <mergeCell ref="AA305:AE307"/>
    <mergeCell ref="O301:R303"/>
    <mergeCell ref="O305:R307"/>
    <mergeCell ref="O304:R304"/>
    <mergeCell ref="AA301:AE303"/>
    <mergeCell ref="AA304:AE304"/>
    <mergeCell ref="K305:N307"/>
    <mergeCell ref="K304:N304"/>
    <mergeCell ref="H305:J307"/>
    <mergeCell ref="M268:O269"/>
    <mergeCell ref="T276:V276"/>
    <mergeCell ref="W276:Z276"/>
    <mergeCell ref="S308:U308"/>
    <mergeCell ref="O308:R308"/>
    <mergeCell ref="E305:G307"/>
    <mergeCell ref="K301:N303"/>
    <mergeCell ref="T274:V275"/>
    <mergeCell ref="J276:L276"/>
    <mergeCell ref="M276:O276"/>
    <mergeCell ref="F297:H297"/>
    <mergeCell ref="F286:G286"/>
    <mergeCell ref="I286:J286"/>
    <mergeCell ref="N286:O286"/>
    <mergeCell ref="P297:S297"/>
    <mergeCell ref="T294:V296"/>
    <mergeCell ref="J288:K288"/>
    <mergeCell ref="J289:K289"/>
    <mergeCell ref="J290:K290"/>
    <mergeCell ref="R290:S290"/>
    <mergeCell ref="J291:K291"/>
    <mergeCell ref="J293:Z293"/>
    <mergeCell ref="J300:Z300"/>
    <mergeCell ref="AD145:AI147"/>
    <mergeCell ref="N145:S147"/>
    <mergeCell ref="T145:W147"/>
    <mergeCell ref="T148:W148"/>
    <mergeCell ref="X148:AC148"/>
    <mergeCell ref="AD257:AE257"/>
    <mergeCell ref="AC256:AF256"/>
    <mergeCell ref="AD148:AI148"/>
    <mergeCell ref="H148:J148"/>
    <mergeCell ref="K148:M148"/>
    <mergeCell ref="N148:S148"/>
    <mergeCell ref="J159:K159"/>
    <mergeCell ref="U176:W176"/>
    <mergeCell ref="J170:K170"/>
    <mergeCell ref="O167:O168"/>
    <mergeCell ref="P257:R257"/>
    <mergeCell ref="U257:W257"/>
    <mergeCell ref="Y257:Z257"/>
    <mergeCell ref="E21:T21"/>
    <mergeCell ref="U24:AI24"/>
    <mergeCell ref="U13:AI13"/>
    <mergeCell ref="Y16:Z16"/>
    <mergeCell ref="Y17:Z17"/>
    <mergeCell ref="AB16:AC16"/>
    <mergeCell ref="AB17:AC17"/>
    <mergeCell ref="T140:W141"/>
    <mergeCell ref="AF14:AI14"/>
    <mergeCell ref="AF15:AI15"/>
    <mergeCell ref="H139:AC139"/>
    <mergeCell ref="AF26:AI26"/>
    <mergeCell ref="X140:AC141"/>
    <mergeCell ref="AE17:AF17"/>
    <mergeCell ref="AB14:AE14"/>
    <mergeCell ref="AB15:AE15"/>
    <mergeCell ref="Y27:Z27"/>
    <mergeCell ref="AB27:AC27"/>
    <mergeCell ref="AE27:AF27"/>
    <mergeCell ref="U25:AA25"/>
    <mergeCell ref="AB25:AE25"/>
    <mergeCell ref="AF25:AI25"/>
    <mergeCell ref="U14:AA14"/>
    <mergeCell ref="U26:AA26"/>
    <mergeCell ref="AB26:AE26"/>
    <mergeCell ref="U15:AA15"/>
    <mergeCell ref="W18:X18"/>
    <mergeCell ref="AE16:AF16"/>
    <mergeCell ref="Y28:Z28"/>
    <mergeCell ref="AB28:AC28"/>
    <mergeCell ref="AE28:AF28"/>
    <mergeCell ref="W29:X29"/>
    <mergeCell ref="E32:T32"/>
    <mergeCell ref="F83:G83"/>
    <mergeCell ref="I83:J83"/>
    <mergeCell ref="K83:L83"/>
    <mergeCell ref="M83:N83"/>
    <mergeCell ref="P83:Q83"/>
    <mergeCell ref="E43:T43"/>
    <mergeCell ref="D56:G57"/>
    <mergeCell ref="D54:G55"/>
    <mergeCell ref="H54:P55"/>
    <mergeCell ref="Q54:Y55"/>
    <mergeCell ref="H56:P57"/>
    <mergeCell ref="D53:AH53"/>
    <mergeCell ref="H94:AB94"/>
    <mergeCell ref="D58:G61"/>
    <mergeCell ref="H58:P59"/>
    <mergeCell ref="H60:P61"/>
    <mergeCell ref="Q58:Y59"/>
    <mergeCell ref="Q60:Y61"/>
    <mergeCell ref="Z58:AH59"/>
    <mergeCell ref="F72:K72"/>
    <mergeCell ref="F73:K73"/>
    <mergeCell ref="F74:K74"/>
    <mergeCell ref="Q56:Y57"/>
    <mergeCell ref="Z54:AH55"/>
    <mergeCell ref="J86:K86"/>
    <mergeCell ref="J88:K88"/>
    <mergeCell ref="J85:K85"/>
    <mergeCell ref="J87:K87"/>
    <mergeCell ref="F71:AG71"/>
    <mergeCell ref="L73:S73"/>
    <mergeCell ref="L74:S74"/>
    <mergeCell ref="Z60:AH61"/>
    <mergeCell ref="Z56:AH57"/>
    <mergeCell ref="T73:AG73"/>
    <mergeCell ref="T74:AG74"/>
    <mergeCell ref="L72:S72"/>
    <mergeCell ref="T72:AG72"/>
    <mergeCell ref="H91:J91"/>
    <mergeCell ref="K91:P91"/>
    <mergeCell ref="Q91:V91"/>
    <mergeCell ref="H92:J92"/>
    <mergeCell ref="W91:AB91"/>
    <mergeCell ref="H90:AB90"/>
    <mergeCell ref="K92:P92"/>
    <mergeCell ref="Q92:V92"/>
    <mergeCell ref="W92:AB92"/>
    <mergeCell ref="H95:J95"/>
    <mergeCell ref="K95:P95"/>
    <mergeCell ref="Q95:V95"/>
    <mergeCell ref="W95:AB95"/>
    <mergeCell ref="H96:J96"/>
    <mergeCell ref="K96:P96"/>
    <mergeCell ref="Q96:V96"/>
    <mergeCell ref="W96:AB96"/>
    <mergeCell ref="F103:G103"/>
    <mergeCell ref="I103:J103"/>
    <mergeCell ref="K103:L103"/>
    <mergeCell ref="M103:N103"/>
    <mergeCell ref="J105:K105"/>
    <mergeCell ref="H114:Y114"/>
    <mergeCell ref="J106:K106"/>
    <mergeCell ref="J107:K107"/>
    <mergeCell ref="N112:S112"/>
    <mergeCell ref="T112:Y112"/>
    <mergeCell ref="K117:M117"/>
    <mergeCell ref="H110:J111"/>
    <mergeCell ref="K110:M111"/>
    <mergeCell ref="N110:S111"/>
    <mergeCell ref="T110:Y111"/>
    <mergeCell ref="H117:J117"/>
    <mergeCell ref="H109:Y109"/>
    <mergeCell ref="H112:J112"/>
    <mergeCell ref="K112:M112"/>
    <mergeCell ref="H115:J116"/>
    <mergeCell ref="K115:M116"/>
    <mergeCell ref="N115:S116"/>
    <mergeCell ref="T115:Y116"/>
    <mergeCell ref="N117:S117"/>
    <mergeCell ref="T117:Y117"/>
    <mergeCell ref="F132:G132"/>
    <mergeCell ref="I132:J132"/>
    <mergeCell ref="K132:L132"/>
    <mergeCell ref="M132:N132"/>
    <mergeCell ref="P132:Q132"/>
    <mergeCell ref="J134:K134"/>
    <mergeCell ref="F129:G129"/>
    <mergeCell ref="I129:J129"/>
    <mergeCell ref="K129:L129"/>
    <mergeCell ref="M129:N129"/>
    <mergeCell ref="P129:Q129"/>
    <mergeCell ref="X142:AC142"/>
    <mergeCell ref="F157:G157"/>
    <mergeCell ref="I157:J157"/>
    <mergeCell ref="L157:M157"/>
    <mergeCell ref="X145:AC147"/>
    <mergeCell ref="T142:W142"/>
    <mergeCell ref="H144:AC144"/>
    <mergeCell ref="J135:K135"/>
    <mergeCell ref="J136:K136"/>
    <mergeCell ref="J137:K137"/>
    <mergeCell ref="H140:J141"/>
    <mergeCell ref="K140:M141"/>
    <mergeCell ref="N140:S141"/>
    <mergeCell ref="H145:J147"/>
    <mergeCell ref="K145:M147"/>
    <mergeCell ref="J160:K160"/>
    <mergeCell ref="J161:K161"/>
    <mergeCell ref="J171:K171"/>
    <mergeCell ref="M164:N164"/>
    <mergeCell ref="J165:K165"/>
    <mergeCell ref="J166:K166"/>
    <mergeCell ref="M167:N168"/>
    <mergeCell ref="J169:K169"/>
    <mergeCell ref="H142:J142"/>
    <mergeCell ref="K142:M142"/>
    <mergeCell ref="N142:S142"/>
    <mergeCell ref="G175:AI175"/>
    <mergeCell ref="O178:Q178"/>
    <mergeCell ref="AD178:AF178"/>
    <mergeCell ref="X176:Z176"/>
    <mergeCell ref="AA176:AC176"/>
    <mergeCell ref="P167:Q167"/>
    <mergeCell ref="S167:T167"/>
    <mergeCell ref="Q168:T168"/>
    <mergeCell ref="O176:Q176"/>
    <mergeCell ref="R176:T176"/>
    <mergeCell ref="J172:K172"/>
    <mergeCell ref="J173:K173"/>
    <mergeCell ref="AD176:AF176"/>
    <mergeCell ref="AG176:AI176"/>
    <mergeCell ref="O177:Q177"/>
    <mergeCell ref="AG177:AI177"/>
    <mergeCell ref="R177:T177"/>
    <mergeCell ref="U177:W177"/>
    <mergeCell ref="X177:Z177"/>
    <mergeCell ref="AD177:AF177"/>
    <mergeCell ref="G178:K178"/>
    <mergeCell ref="G177:K177"/>
    <mergeCell ref="G176:K176"/>
    <mergeCell ref="L176:N176"/>
    <mergeCell ref="L177:N178"/>
    <mergeCell ref="AG178:AI178"/>
    <mergeCell ref="AA177:AC178"/>
    <mergeCell ref="J327:Z327"/>
    <mergeCell ref="M321:Q321"/>
    <mergeCell ref="R321:V321"/>
    <mergeCell ref="J270:L270"/>
    <mergeCell ref="M270:O270"/>
    <mergeCell ref="T270:V270"/>
    <mergeCell ref="AD242:AG242"/>
    <mergeCell ref="R178:T178"/>
    <mergeCell ref="U178:W178"/>
    <mergeCell ref="X178:Z178"/>
    <mergeCell ref="J218:K218"/>
    <mergeCell ref="O235:P235"/>
    <mergeCell ref="J237:K237"/>
    <mergeCell ref="O261:P261"/>
    <mergeCell ref="R261:S261"/>
    <mergeCell ref="AB309:AC309"/>
    <mergeCell ref="K308:N308"/>
    <mergeCell ref="J318:Z318"/>
    <mergeCell ref="M319:Q320"/>
    <mergeCell ref="R319:V320"/>
    <mergeCell ref="P276:S276"/>
    <mergeCell ref="L261:M261"/>
    <mergeCell ref="F188:G188"/>
    <mergeCell ref="I188:J188"/>
    <mergeCell ref="L188:M188"/>
    <mergeCell ref="J190:K190"/>
    <mergeCell ref="J191:K191"/>
    <mergeCell ref="R217:S217"/>
    <mergeCell ref="J195:K195"/>
    <mergeCell ref="I212:J212"/>
    <mergeCell ref="J214:K214"/>
    <mergeCell ref="J192:K192"/>
    <mergeCell ref="M193:N193"/>
    <mergeCell ref="N212:O212"/>
    <mergeCell ref="J238:K238"/>
    <mergeCell ref="J239:K239"/>
    <mergeCell ref="P193:Q193"/>
    <mergeCell ref="P194:Q194"/>
    <mergeCell ref="U194:V194"/>
    <mergeCell ref="Z331:AC331"/>
    <mergeCell ref="H331:J331"/>
    <mergeCell ref="K331:M331"/>
    <mergeCell ref="N331:Q331"/>
    <mergeCell ref="R331:U331"/>
    <mergeCell ref="H328:J330"/>
    <mergeCell ref="V331:Y331"/>
    <mergeCell ref="Z328:AC330"/>
    <mergeCell ref="K328:M330"/>
    <mergeCell ref="N328:Q330"/>
    <mergeCell ref="R328:U330"/>
    <mergeCell ref="V328:Y330"/>
    <mergeCell ref="X271:Y271"/>
    <mergeCell ref="J274:L275"/>
    <mergeCell ref="T268:V269"/>
    <mergeCell ref="J268:L269"/>
    <mergeCell ref="J197:AA197"/>
    <mergeCell ref="J201:AA201"/>
    <mergeCell ref="J202:O202"/>
    <mergeCell ref="P202:U202"/>
    <mergeCell ref="V202:AA202"/>
    <mergeCell ref="Y194:AA194"/>
    <mergeCell ref="T195:U195"/>
    <mergeCell ref="J198:O198"/>
    <mergeCell ref="P198:U198"/>
    <mergeCell ref="V198:AA198"/>
    <mergeCell ref="J199:O199"/>
    <mergeCell ref="P199:U199"/>
    <mergeCell ref="V199:AA199"/>
    <mergeCell ref="J203:O203"/>
    <mergeCell ref="P203:U203"/>
    <mergeCell ref="V203:AA203"/>
    <mergeCell ref="F212:G212"/>
    <mergeCell ref="AG248:AH248"/>
    <mergeCell ref="E247:G247"/>
    <mergeCell ref="R239:S239"/>
    <mergeCell ref="J240:K240"/>
    <mergeCell ref="J241:K241"/>
    <mergeCell ref="J242:K242"/>
    <mergeCell ref="J216:K216"/>
    <mergeCell ref="F235:G235"/>
    <mergeCell ref="J235:K235"/>
    <mergeCell ref="J217:K217"/>
    <mergeCell ref="E244:AI244"/>
    <mergeCell ref="J215:K215"/>
    <mergeCell ref="AB241:AC241"/>
    <mergeCell ref="V241:W241"/>
    <mergeCell ref="AB245:AE246"/>
    <mergeCell ref="E245:G246"/>
    <mergeCell ref="H245:J246"/>
    <mergeCell ref="K245:N246"/>
    <mergeCell ref="H247:J247"/>
    <mergeCell ref="K247:N247"/>
    <mergeCell ref="O245:R246"/>
    <mergeCell ref="S245:W246"/>
    <mergeCell ref="Y248:Z248"/>
    <mergeCell ref="AB248:AF248"/>
    <mergeCell ref="AF245:AI246"/>
    <mergeCell ref="O247:R247"/>
    <mergeCell ref="S247:W247"/>
    <mergeCell ref="X247:AA247"/>
    <mergeCell ref="AB247:AE247"/>
    <mergeCell ref="AF247:AI247"/>
    <mergeCell ref="X245:AA246"/>
  </mergeCells>
  <phoneticPr fontId="1"/>
  <pageMargins left="0.74803149606299213" right="0.74803149606299213" top="0.98425196850393704" bottom="0.98425196850393704" header="0.51181102362204722" footer="0.51181102362204722"/>
  <pageSetup paperSize="9" scale="97" fitToHeight="0" orientation="portrait" r:id="rId1"/>
  <headerFooter alignWithMargins="0"/>
  <rowBreaks count="18" manualBreakCount="18">
    <brk id="46" max="16383" man="1"/>
    <brk id="96" max="16383" man="1"/>
    <brk id="119" max="16383" man="1"/>
    <brk id="150" max="16383" man="1"/>
    <brk id="179" max="16383" man="1"/>
    <brk id="206" max="16383" man="1"/>
    <brk id="252" max="16383" man="1"/>
    <brk id="278" min="1" max="34" man="1"/>
    <brk id="310" min="1" max="34" man="1"/>
    <brk id="333" min="1" max="34" man="1"/>
    <brk id="370" min="1" max="34" man="1"/>
    <brk id="400" min="1" max="34" man="1"/>
    <brk id="444" min="1" max="34" man="1"/>
    <brk id="458" min="1" max="34" man="1"/>
    <brk id="500" min="1" max="34" man="1"/>
    <brk id="544" min="1" max="34" man="1"/>
    <brk id="566" min="1" max="34" man="1"/>
    <brk id="587" min="1" max="34" man="1"/>
  </rowBreaks>
  <ignoredErrors>
    <ignoredError sqref="O541 O543:P543 O542:P542 P598:Q598" formula="1"/>
    <ignoredError sqref="W426 T426 AC426:AE428 T440:Y443" evalError="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13"/>
  <sheetViews>
    <sheetView topLeftCell="A85" zoomScaleNormal="100" workbookViewId="0">
      <selection activeCell="B30" sqref="B30"/>
    </sheetView>
  </sheetViews>
  <sheetFormatPr defaultRowHeight="13.5"/>
  <cols>
    <col min="1" max="1" width="27.25" style="225" bestFit="1" customWidth="1"/>
    <col min="2" max="2" width="28.125" style="225" bestFit="1" customWidth="1"/>
    <col min="3" max="3" width="23.875" style="225" bestFit="1" customWidth="1"/>
    <col min="4" max="4" width="20" style="225" bestFit="1" customWidth="1"/>
    <col min="5" max="5" width="24.375" style="225" bestFit="1" customWidth="1"/>
    <col min="6" max="6" width="25.625" style="225" bestFit="1" customWidth="1"/>
    <col min="7" max="8" width="25.625" style="225" customWidth="1"/>
    <col min="9" max="256" width="9" style="225"/>
    <col min="257" max="257" width="27.25" style="225" bestFit="1" customWidth="1"/>
    <col min="258" max="258" width="28.125" style="225" bestFit="1" customWidth="1"/>
    <col min="259" max="259" width="23.875" style="225" bestFit="1" customWidth="1"/>
    <col min="260" max="260" width="20" style="225" bestFit="1" customWidth="1"/>
    <col min="261" max="261" width="24.375" style="225" bestFit="1" customWidth="1"/>
    <col min="262" max="262" width="25.625" style="225" bestFit="1" customWidth="1"/>
    <col min="263" max="264" width="25.625" style="225" customWidth="1"/>
    <col min="265" max="512" width="9" style="225"/>
    <col min="513" max="513" width="27.25" style="225" bestFit="1" customWidth="1"/>
    <col min="514" max="514" width="28.125" style="225" bestFit="1" customWidth="1"/>
    <col min="515" max="515" width="23.875" style="225" bestFit="1" customWidth="1"/>
    <col min="516" max="516" width="20" style="225" bestFit="1" customWidth="1"/>
    <col min="517" max="517" width="24.375" style="225" bestFit="1" customWidth="1"/>
    <col min="518" max="518" width="25.625" style="225" bestFit="1" customWidth="1"/>
    <col min="519" max="520" width="25.625" style="225" customWidth="1"/>
    <col min="521" max="768" width="9" style="225"/>
    <col min="769" max="769" width="27.25" style="225" bestFit="1" customWidth="1"/>
    <col min="770" max="770" width="28.125" style="225" bestFit="1" customWidth="1"/>
    <col min="771" max="771" width="23.875" style="225" bestFit="1" customWidth="1"/>
    <col min="772" max="772" width="20" style="225" bestFit="1" customWidth="1"/>
    <col min="773" max="773" width="24.375" style="225" bestFit="1" customWidth="1"/>
    <col min="774" max="774" width="25.625" style="225" bestFit="1" customWidth="1"/>
    <col min="775" max="776" width="25.625" style="225" customWidth="1"/>
    <col min="777" max="1024" width="9" style="225"/>
    <col min="1025" max="1025" width="27.25" style="225" bestFit="1" customWidth="1"/>
    <col min="1026" max="1026" width="28.125" style="225" bestFit="1" customWidth="1"/>
    <col min="1027" max="1027" width="23.875" style="225" bestFit="1" customWidth="1"/>
    <col min="1028" max="1028" width="20" style="225" bestFit="1" customWidth="1"/>
    <col min="1029" max="1029" width="24.375" style="225" bestFit="1" customWidth="1"/>
    <col min="1030" max="1030" width="25.625" style="225" bestFit="1" customWidth="1"/>
    <col min="1031" max="1032" width="25.625" style="225" customWidth="1"/>
    <col min="1033" max="1280" width="9" style="225"/>
    <col min="1281" max="1281" width="27.25" style="225" bestFit="1" customWidth="1"/>
    <col min="1282" max="1282" width="28.125" style="225" bestFit="1" customWidth="1"/>
    <col min="1283" max="1283" width="23.875" style="225" bestFit="1" customWidth="1"/>
    <col min="1284" max="1284" width="20" style="225" bestFit="1" customWidth="1"/>
    <col min="1285" max="1285" width="24.375" style="225" bestFit="1" customWidth="1"/>
    <col min="1286" max="1286" width="25.625" style="225" bestFit="1" customWidth="1"/>
    <col min="1287" max="1288" width="25.625" style="225" customWidth="1"/>
    <col min="1289" max="1536" width="9" style="225"/>
    <col min="1537" max="1537" width="27.25" style="225" bestFit="1" customWidth="1"/>
    <col min="1538" max="1538" width="28.125" style="225" bestFit="1" customWidth="1"/>
    <col min="1539" max="1539" width="23.875" style="225" bestFit="1" customWidth="1"/>
    <col min="1540" max="1540" width="20" style="225" bestFit="1" customWidth="1"/>
    <col min="1541" max="1541" width="24.375" style="225" bestFit="1" customWidth="1"/>
    <col min="1542" max="1542" width="25.625" style="225" bestFit="1" customWidth="1"/>
    <col min="1543" max="1544" width="25.625" style="225" customWidth="1"/>
    <col min="1545" max="1792" width="9" style="225"/>
    <col min="1793" max="1793" width="27.25" style="225" bestFit="1" customWidth="1"/>
    <col min="1794" max="1794" width="28.125" style="225" bestFit="1" customWidth="1"/>
    <col min="1795" max="1795" width="23.875" style="225" bestFit="1" customWidth="1"/>
    <col min="1796" max="1796" width="20" style="225" bestFit="1" customWidth="1"/>
    <col min="1797" max="1797" width="24.375" style="225" bestFit="1" customWidth="1"/>
    <col min="1798" max="1798" width="25.625" style="225" bestFit="1" customWidth="1"/>
    <col min="1799" max="1800" width="25.625" style="225" customWidth="1"/>
    <col min="1801" max="2048" width="9" style="225"/>
    <col min="2049" max="2049" width="27.25" style="225" bestFit="1" customWidth="1"/>
    <col min="2050" max="2050" width="28.125" style="225" bestFit="1" customWidth="1"/>
    <col min="2051" max="2051" width="23.875" style="225" bestFit="1" customWidth="1"/>
    <col min="2052" max="2052" width="20" style="225" bestFit="1" customWidth="1"/>
    <col min="2053" max="2053" width="24.375" style="225" bestFit="1" customWidth="1"/>
    <col min="2054" max="2054" width="25.625" style="225" bestFit="1" customWidth="1"/>
    <col min="2055" max="2056" width="25.625" style="225" customWidth="1"/>
    <col min="2057" max="2304" width="9" style="225"/>
    <col min="2305" max="2305" width="27.25" style="225" bestFit="1" customWidth="1"/>
    <col min="2306" max="2306" width="28.125" style="225" bestFit="1" customWidth="1"/>
    <col min="2307" max="2307" width="23.875" style="225" bestFit="1" customWidth="1"/>
    <col min="2308" max="2308" width="20" style="225" bestFit="1" customWidth="1"/>
    <col min="2309" max="2309" width="24.375" style="225" bestFit="1" customWidth="1"/>
    <col min="2310" max="2310" width="25.625" style="225" bestFit="1" customWidth="1"/>
    <col min="2311" max="2312" width="25.625" style="225" customWidth="1"/>
    <col min="2313" max="2560" width="9" style="225"/>
    <col min="2561" max="2561" width="27.25" style="225" bestFit="1" customWidth="1"/>
    <col min="2562" max="2562" width="28.125" style="225" bestFit="1" customWidth="1"/>
    <col min="2563" max="2563" width="23.875" style="225" bestFit="1" customWidth="1"/>
    <col min="2564" max="2564" width="20" style="225" bestFit="1" customWidth="1"/>
    <col min="2565" max="2565" width="24.375" style="225" bestFit="1" customWidth="1"/>
    <col min="2566" max="2566" width="25.625" style="225" bestFit="1" customWidth="1"/>
    <col min="2567" max="2568" width="25.625" style="225" customWidth="1"/>
    <col min="2569" max="2816" width="9" style="225"/>
    <col min="2817" max="2817" width="27.25" style="225" bestFit="1" customWidth="1"/>
    <col min="2818" max="2818" width="28.125" style="225" bestFit="1" customWidth="1"/>
    <col min="2819" max="2819" width="23.875" style="225" bestFit="1" customWidth="1"/>
    <col min="2820" max="2820" width="20" style="225" bestFit="1" customWidth="1"/>
    <col min="2821" max="2821" width="24.375" style="225" bestFit="1" customWidth="1"/>
    <col min="2822" max="2822" width="25.625" style="225" bestFit="1" customWidth="1"/>
    <col min="2823" max="2824" width="25.625" style="225" customWidth="1"/>
    <col min="2825" max="3072" width="9" style="225"/>
    <col min="3073" max="3073" width="27.25" style="225" bestFit="1" customWidth="1"/>
    <col min="3074" max="3074" width="28.125" style="225" bestFit="1" customWidth="1"/>
    <col min="3075" max="3075" width="23.875" style="225" bestFit="1" customWidth="1"/>
    <col min="3076" max="3076" width="20" style="225" bestFit="1" customWidth="1"/>
    <col min="3077" max="3077" width="24.375" style="225" bestFit="1" customWidth="1"/>
    <col min="3078" max="3078" width="25.625" style="225" bestFit="1" customWidth="1"/>
    <col min="3079" max="3080" width="25.625" style="225" customWidth="1"/>
    <col min="3081" max="3328" width="9" style="225"/>
    <col min="3329" max="3329" width="27.25" style="225" bestFit="1" customWidth="1"/>
    <col min="3330" max="3330" width="28.125" style="225" bestFit="1" customWidth="1"/>
    <col min="3331" max="3331" width="23.875" style="225" bestFit="1" customWidth="1"/>
    <col min="3332" max="3332" width="20" style="225" bestFit="1" customWidth="1"/>
    <col min="3333" max="3333" width="24.375" style="225" bestFit="1" customWidth="1"/>
    <col min="3334" max="3334" width="25.625" style="225" bestFit="1" customWidth="1"/>
    <col min="3335" max="3336" width="25.625" style="225" customWidth="1"/>
    <col min="3337" max="3584" width="9" style="225"/>
    <col min="3585" max="3585" width="27.25" style="225" bestFit="1" customWidth="1"/>
    <col min="3586" max="3586" width="28.125" style="225" bestFit="1" customWidth="1"/>
    <col min="3587" max="3587" width="23.875" style="225" bestFit="1" customWidth="1"/>
    <col min="3588" max="3588" width="20" style="225" bestFit="1" customWidth="1"/>
    <col min="3589" max="3589" width="24.375" style="225" bestFit="1" customWidth="1"/>
    <col min="3590" max="3590" width="25.625" style="225" bestFit="1" customWidth="1"/>
    <col min="3591" max="3592" width="25.625" style="225" customWidth="1"/>
    <col min="3593" max="3840" width="9" style="225"/>
    <col min="3841" max="3841" width="27.25" style="225" bestFit="1" customWidth="1"/>
    <col min="3842" max="3842" width="28.125" style="225" bestFit="1" customWidth="1"/>
    <col min="3843" max="3843" width="23.875" style="225" bestFit="1" customWidth="1"/>
    <col min="3844" max="3844" width="20" style="225" bestFit="1" customWidth="1"/>
    <col min="3845" max="3845" width="24.375" style="225" bestFit="1" customWidth="1"/>
    <col min="3846" max="3846" width="25.625" style="225" bestFit="1" customWidth="1"/>
    <col min="3847" max="3848" width="25.625" style="225" customWidth="1"/>
    <col min="3849" max="4096" width="9" style="225"/>
    <col min="4097" max="4097" width="27.25" style="225" bestFit="1" customWidth="1"/>
    <col min="4098" max="4098" width="28.125" style="225" bestFit="1" customWidth="1"/>
    <col min="4099" max="4099" width="23.875" style="225" bestFit="1" customWidth="1"/>
    <col min="4100" max="4100" width="20" style="225" bestFit="1" customWidth="1"/>
    <col min="4101" max="4101" width="24.375" style="225" bestFit="1" customWidth="1"/>
    <col min="4102" max="4102" width="25.625" style="225" bestFit="1" customWidth="1"/>
    <col min="4103" max="4104" width="25.625" style="225" customWidth="1"/>
    <col min="4105" max="4352" width="9" style="225"/>
    <col min="4353" max="4353" width="27.25" style="225" bestFit="1" customWidth="1"/>
    <col min="4354" max="4354" width="28.125" style="225" bestFit="1" customWidth="1"/>
    <col min="4355" max="4355" width="23.875" style="225" bestFit="1" customWidth="1"/>
    <col min="4356" max="4356" width="20" style="225" bestFit="1" customWidth="1"/>
    <col min="4357" max="4357" width="24.375" style="225" bestFit="1" customWidth="1"/>
    <col min="4358" max="4358" width="25.625" style="225" bestFit="1" customWidth="1"/>
    <col min="4359" max="4360" width="25.625" style="225" customWidth="1"/>
    <col min="4361" max="4608" width="9" style="225"/>
    <col min="4609" max="4609" width="27.25" style="225" bestFit="1" customWidth="1"/>
    <col min="4610" max="4610" width="28.125" style="225" bestFit="1" customWidth="1"/>
    <col min="4611" max="4611" width="23.875" style="225" bestFit="1" customWidth="1"/>
    <col min="4612" max="4612" width="20" style="225" bestFit="1" customWidth="1"/>
    <col min="4613" max="4613" width="24.375" style="225" bestFit="1" customWidth="1"/>
    <col min="4614" max="4614" width="25.625" style="225" bestFit="1" customWidth="1"/>
    <col min="4615" max="4616" width="25.625" style="225" customWidth="1"/>
    <col min="4617" max="4864" width="9" style="225"/>
    <col min="4865" max="4865" width="27.25" style="225" bestFit="1" customWidth="1"/>
    <col min="4866" max="4866" width="28.125" style="225" bestFit="1" customWidth="1"/>
    <col min="4867" max="4867" width="23.875" style="225" bestFit="1" customWidth="1"/>
    <col min="4868" max="4868" width="20" style="225" bestFit="1" customWidth="1"/>
    <col min="4869" max="4869" width="24.375" style="225" bestFit="1" customWidth="1"/>
    <col min="4870" max="4870" width="25.625" style="225" bestFit="1" customWidth="1"/>
    <col min="4871" max="4872" width="25.625" style="225" customWidth="1"/>
    <col min="4873" max="5120" width="9" style="225"/>
    <col min="5121" max="5121" width="27.25" style="225" bestFit="1" customWidth="1"/>
    <col min="5122" max="5122" width="28.125" style="225" bestFit="1" customWidth="1"/>
    <col min="5123" max="5123" width="23.875" style="225" bestFit="1" customWidth="1"/>
    <col min="5124" max="5124" width="20" style="225" bestFit="1" customWidth="1"/>
    <col min="5125" max="5125" width="24.375" style="225" bestFit="1" customWidth="1"/>
    <col min="5126" max="5126" width="25.625" style="225" bestFit="1" customWidth="1"/>
    <col min="5127" max="5128" width="25.625" style="225" customWidth="1"/>
    <col min="5129" max="5376" width="9" style="225"/>
    <col min="5377" max="5377" width="27.25" style="225" bestFit="1" customWidth="1"/>
    <col min="5378" max="5378" width="28.125" style="225" bestFit="1" customWidth="1"/>
    <col min="5379" max="5379" width="23.875" style="225" bestFit="1" customWidth="1"/>
    <col min="5380" max="5380" width="20" style="225" bestFit="1" customWidth="1"/>
    <col min="5381" max="5381" width="24.375" style="225" bestFit="1" customWidth="1"/>
    <col min="5382" max="5382" width="25.625" style="225" bestFit="1" customWidth="1"/>
    <col min="5383" max="5384" width="25.625" style="225" customWidth="1"/>
    <col min="5385" max="5632" width="9" style="225"/>
    <col min="5633" max="5633" width="27.25" style="225" bestFit="1" customWidth="1"/>
    <col min="5634" max="5634" width="28.125" style="225" bestFit="1" customWidth="1"/>
    <col min="5635" max="5635" width="23.875" style="225" bestFit="1" customWidth="1"/>
    <col min="5636" max="5636" width="20" style="225" bestFit="1" customWidth="1"/>
    <col min="5637" max="5637" width="24.375" style="225" bestFit="1" customWidth="1"/>
    <col min="5638" max="5638" width="25.625" style="225" bestFit="1" customWidth="1"/>
    <col min="5639" max="5640" width="25.625" style="225" customWidth="1"/>
    <col min="5641" max="5888" width="9" style="225"/>
    <col min="5889" max="5889" width="27.25" style="225" bestFit="1" customWidth="1"/>
    <col min="5890" max="5890" width="28.125" style="225" bestFit="1" customWidth="1"/>
    <col min="5891" max="5891" width="23.875" style="225" bestFit="1" customWidth="1"/>
    <col min="5892" max="5892" width="20" style="225" bestFit="1" customWidth="1"/>
    <col min="5893" max="5893" width="24.375" style="225" bestFit="1" customWidth="1"/>
    <col min="5894" max="5894" width="25.625" style="225" bestFit="1" customWidth="1"/>
    <col min="5895" max="5896" width="25.625" style="225" customWidth="1"/>
    <col min="5897" max="6144" width="9" style="225"/>
    <col min="6145" max="6145" width="27.25" style="225" bestFit="1" customWidth="1"/>
    <col min="6146" max="6146" width="28.125" style="225" bestFit="1" customWidth="1"/>
    <col min="6147" max="6147" width="23.875" style="225" bestFit="1" customWidth="1"/>
    <col min="6148" max="6148" width="20" style="225" bestFit="1" customWidth="1"/>
    <col min="6149" max="6149" width="24.375" style="225" bestFit="1" customWidth="1"/>
    <col min="6150" max="6150" width="25.625" style="225" bestFit="1" customWidth="1"/>
    <col min="6151" max="6152" width="25.625" style="225" customWidth="1"/>
    <col min="6153" max="6400" width="9" style="225"/>
    <col min="6401" max="6401" width="27.25" style="225" bestFit="1" customWidth="1"/>
    <col min="6402" max="6402" width="28.125" style="225" bestFit="1" customWidth="1"/>
    <col min="6403" max="6403" width="23.875" style="225" bestFit="1" customWidth="1"/>
    <col min="6404" max="6404" width="20" style="225" bestFit="1" customWidth="1"/>
    <col min="6405" max="6405" width="24.375" style="225" bestFit="1" customWidth="1"/>
    <col min="6406" max="6406" width="25.625" style="225" bestFit="1" customWidth="1"/>
    <col min="6407" max="6408" width="25.625" style="225" customWidth="1"/>
    <col min="6409" max="6656" width="9" style="225"/>
    <col min="6657" max="6657" width="27.25" style="225" bestFit="1" customWidth="1"/>
    <col min="6658" max="6658" width="28.125" style="225" bestFit="1" customWidth="1"/>
    <col min="6659" max="6659" width="23.875" style="225" bestFit="1" customWidth="1"/>
    <col min="6660" max="6660" width="20" style="225" bestFit="1" customWidth="1"/>
    <col min="6661" max="6661" width="24.375" style="225" bestFit="1" customWidth="1"/>
    <col min="6662" max="6662" width="25.625" style="225" bestFit="1" customWidth="1"/>
    <col min="6663" max="6664" width="25.625" style="225" customWidth="1"/>
    <col min="6665" max="6912" width="9" style="225"/>
    <col min="6913" max="6913" width="27.25" style="225" bestFit="1" customWidth="1"/>
    <col min="6914" max="6914" width="28.125" style="225" bestFit="1" customWidth="1"/>
    <col min="6915" max="6915" width="23.875" style="225" bestFit="1" customWidth="1"/>
    <col min="6916" max="6916" width="20" style="225" bestFit="1" customWidth="1"/>
    <col min="6917" max="6917" width="24.375" style="225" bestFit="1" customWidth="1"/>
    <col min="6918" max="6918" width="25.625" style="225" bestFit="1" customWidth="1"/>
    <col min="6919" max="6920" width="25.625" style="225" customWidth="1"/>
    <col min="6921" max="7168" width="9" style="225"/>
    <col min="7169" max="7169" width="27.25" style="225" bestFit="1" customWidth="1"/>
    <col min="7170" max="7170" width="28.125" style="225" bestFit="1" customWidth="1"/>
    <col min="7171" max="7171" width="23.875" style="225" bestFit="1" customWidth="1"/>
    <col min="7172" max="7172" width="20" style="225" bestFit="1" customWidth="1"/>
    <col min="7173" max="7173" width="24.375" style="225" bestFit="1" customWidth="1"/>
    <col min="7174" max="7174" width="25.625" style="225" bestFit="1" customWidth="1"/>
    <col min="7175" max="7176" width="25.625" style="225" customWidth="1"/>
    <col min="7177" max="7424" width="9" style="225"/>
    <col min="7425" max="7425" width="27.25" style="225" bestFit="1" customWidth="1"/>
    <col min="7426" max="7426" width="28.125" style="225" bestFit="1" customWidth="1"/>
    <col min="7427" max="7427" width="23.875" style="225" bestFit="1" customWidth="1"/>
    <col min="7428" max="7428" width="20" style="225" bestFit="1" customWidth="1"/>
    <col min="7429" max="7429" width="24.375" style="225" bestFit="1" customWidth="1"/>
    <col min="7430" max="7430" width="25.625" style="225" bestFit="1" customWidth="1"/>
    <col min="7431" max="7432" width="25.625" style="225" customWidth="1"/>
    <col min="7433" max="7680" width="9" style="225"/>
    <col min="7681" max="7681" width="27.25" style="225" bestFit="1" customWidth="1"/>
    <col min="7682" max="7682" width="28.125" style="225" bestFit="1" customWidth="1"/>
    <col min="7683" max="7683" width="23.875" style="225" bestFit="1" customWidth="1"/>
    <col min="7684" max="7684" width="20" style="225" bestFit="1" customWidth="1"/>
    <col min="7685" max="7685" width="24.375" style="225" bestFit="1" customWidth="1"/>
    <col min="7686" max="7686" width="25.625" style="225" bestFit="1" customWidth="1"/>
    <col min="7687" max="7688" width="25.625" style="225" customWidth="1"/>
    <col min="7689" max="7936" width="9" style="225"/>
    <col min="7937" max="7937" width="27.25" style="225" bestFit="1" customWidth="1"/>
    <col min="7938" max="7938" width="28.125" style="225" bestFit="1" customWidth="1"/>
    <col min="7939" max="7939" width="23.875" style="225" bestFit="1" customWidth="1"/>
    <col min="7940" max="7940" width="20" style="225" bestFit="1" customWidth="1"/>
    <col min="7941" max="7941" width="24.375" style="225" bestFit="1" customWidth="1"/>
    <col min="7942" max="7942" width="25.625" style="225" bestFit="1" customWidth="1"/>
    <col min="7943" max="7944" width="25.625" style="225" customWidth="1"/>
    <col min="7945" max="8192" width="9" style="225"/>
    <col min="8193" max="8193" width="27.25" style="225" bestFit="1" customWidth="1"/>
    <col min="8194" max="8194" width="28.125" style="225" bestFit="1" customWidth="1"/>
    <col min="8195" max="8195" width="23.875" style="225" bestFit="1" customWidth="1"/>
    <col min="8196" max="8196" width="20" style="225" bestFit="1" customWidth="1"/>
    <col min="8197" max="8197" width="24.375" style="225" bestFit="1" customWidth="1"/>
    <col min="8198" max="8198" width="25.625" style="225" bestFit="1" customWidth="1"/>
    <col min="8199" max="8200" width="25.625" style="225" customWidth="1"/>
    <col min="8201" max="8448" width="9" style="225"/>
    <col min="8449" max="8449" width="27.25" style="225" bestFit="1" customWidth="1"/>
    <col min="8450" max="8450" width="28.125" style="225" bestFit="1" customWidth="1"/>
    <col min="8451" max="8451" width="23.875" style="225" bestFit="1" customWidth="1"/>
    <col min="8452" max="8452" width="20" style="225" bestFit="1" customWidth="1"/>
    <col min="8453" max="8453" width="24.375" style="225" bestFit="1" customWidth="1"/>
    <col min="8454" max="8454" width="25.625" style="225" bestFit="1" customWidth="1"/>
    <col min="8455" max="8456" width="25.625" style="225" customWidth="1"/>
    <col min="8457" max="8704" width="9" style="225"/>
    <col min="8705" max="8705" width="27.25" style="225" bestFit="1" customWidth="1"/>
    <col min="8706" max="8706" width="28.125" style="225" bestFit="1" customWidth="1"/>
    <col min="8707" max="8707" width="23.875" style="225" bestFit="1" customWidth="1"/>
    <col min="8708" max="8708" width="20" style="225" bestFit="1" customWidth="1"/>
    <col min="8709" max="8709" width="24.375" style="225" bestFit="1" customWidth="1"/>
    <col min="8710" max="8710" width="25.625" style="225" bestFit="1" customWidth="1"/>
    <col min="8711" max="8712" width="25.625" style="225" customWidth="1"/>
    <col min="8713" max="8960" width="9" style="225"/>
    <col min="8961" max="8961" width="27.25" style="225" bestFit="1" customWidth="1"/>
    <col min="8962" max="8962" width="28.125" style="225" bestFit="1" customWidth="1"/>
    <col min="8963" max="8963" width="23.875" style="225" bestFit="1" customWidth="1"/>
    <col min="8964" max="8964" width="20" style="225" bestFit="1" customWidth="1"/>
    <col min="8965" max="8965" width="24.375" style="225" bestFit="1" customWidth="1"/>
    <col min="8966" max="8966" width="25.625" style="225" bestFit="1" customWidth="1"/>
    <col min="8967" max="8968" width="25.625" style="225" customWidth="1"/>
    <col min="8969" max="9216" width="9" style="225"/>
    <col min="9217" max="9217" width="27.25" style="225" bestFit="1" customWidth="1"/>
    <col min="9218" max="9218" width="28.125" style="225" bestFit="1" customWidth="1"/>
    <col min="9219" max="9219" width="23.875" style="225" bestFit="1" customWidth="1"/>
    <col min="9220" max="9220" width="20" style="225" bestFit="1" customWidth="1"/>
    <col min="9221" max="9221" width="24.375" style="225" bestFit="1" customWidth="1"/>
    <col min="9222" max="9222" width="25.625" style="225" bestFit="1" customWidth="1"/>
    <col min="9223" max="9224" width="25.625" style="225" customWidth="1"/>
    <col min="9225" max="9472" width="9" style="225"/>
    <col min="9473" max="9473" width="27.25" style="225" bestFit="1" customWidth="1"/>
    <col min="9474" max="9474" width="28.125" style="225" bestFit="1" customWidth="1"/>
    <col min="9475" max="9475" width="23.875" style="225" bestFit="1" customWidth="1"/>
    <col min="9476" max="9476" width="20" style="225" bestFit="1" customWidth="1"/>
    <col min="9477" max="9477" width="24.375" style="225" bestFit="1" customWidth="1"/>
    <col min="9478" max="9478" width="25.625" style="225" bestFit="1" customWidth="1"/>
    <col min="9479" max="9480" width="25.625" style="225" customWidth="1"/>
    <col min="9481" max="9728" width="9" style="225"/>
    <col min="9729" max="9729" width="27.25" style="225" bestFit="1" customWidth="1"/>
    <col min="9730" max="9730" width="28.125" style="225" bestFit="1" customWidth="1"/>
    <col min="9731" max="9731" width="23.875" style="225" bestFit="1" customWidth="1"/>
    <col min="9732" max="9732" width="20" style="225" bestFit="1" customWidth="1"/>
    <col min="9733" max="9733" width="24.375" style="225" bestFit="1" customWidth="1"/>
    <col min="9734" max="9734" width="25.625" style="225" bestFit="1" customWidth="1"/>
    <col min="9735" max="9736" width="25.625" style="225" customWidth="1"/>
    <col min="9737" max="9984" width="9" style="225"/>
    <col min="9985" max="9985" width="27.25" style="225" bestFit="1" customWidth="1"/>
    <col min="9986" max="9986" width="28.125" style="225" bestFit="1" customWidth="1"/>
    <col min="9987" max="9987" width="23.875" style="225" bestFit="1" customWidth="1"/>
    <col min="9988" max="9988" width="20" style="225" bestFit="1" customWidth="1"/>
    <col min="9989" max="9989" width="24.375" style="225" bestFit="1" customWidth="1"/>
    <col min="9990" max="9990" width="25.625" style="225" bestFit="1" customWidth="1"/>
    <col min="9991" max="9992" width="25.625" style="225" customWidth="1"/>
    <col min="9993" max="10240" width="9" style="225"/>
    <col min="10241" max="10241" width="27.25" style="225" bestFit="1" customWidth="1"/>
    <col min="10242" max="10242" width="28.125" style="225" bestFit="1" customWidth="1"/>
    <col min="10243" max="10243" width="23.875" style="225" bestFit="1" customWidth="1"/>
    <col min="10244" max="10244" width="20" style="225" bestFit="1" customWidth="1"/>
    <col min="10245" max="10245" width="24.375" style="225" bestFit="1" customWidth="1"/>
    <col min="10246" max="10246" width="25.625" style="225" bestFit="1" customWidth="1"/>
    <col min="10247" max="10248" width="25.625" style="225" customWidth="1"/>
    <col min="10249" max="10496" width="9" style="225"/>
    <col min="10497" max="10497" width="27.25" style="225" bestFit="1" customWidth="1"/>
    <col min="10498" max="10498" width="28.125" style="225" bestFit="1" customWidth="1"/>
    <col min="10499" max="10499" width="23.875" style="225" bestFit="1" customWidth="1"/>
    <col min="10500" max="10500" width="20" style="225" bestFit="1" customWidth="1"/>
    <col min="10501" max="10501" width="24.375" style="225" bestFit="1" customWidth="1"/>
    <col min="10502" max="10502" width="25.625" style="225" bestFit="1" customWidth="1"/>
    <col min="10503" max="10504" width="25.625" style="225" customWidth="1"/>
    <col min="10505" max="10752" width="9" style="225"/>
    <col min="10753" max="10753" width="27.25" style="225" bestFit="1" customWidth="1"/>
    <col min="10754" max="10754" width="28.125" style="225" bestFit="1" customWidth="1"/>
    <col min="10755" max="10755" width="23.875" style="225" bestFit="1" customWidth="1"/>
    <col min="10756" max="10756" width="20" style="225" bestFit="1" customWidth="1"/>
    <col min="10757" max="10757" width="24.375" style="225" bestFit="1" customWidth="1"/>
    <col min="10758" max="10758" width="25.625" style="225" bestFit="1" customWidth="1"/>
    <col min="10759" max="10760" width="25.625" style="225" customWidth="1"/>
    <col min="10761" max="11008" width="9" style="225"/>
    <col min="11009" max="11009" width="27.25" style="225" bestFit="1" customWidth="1"/>
    <col min="11010" max="11010" width="28.125" style="225" bestFit="1" customWidth="1"/>
    <col min="11011" max="11011" width="23.875" style="225" bestFit="1" customWidth="1"/>
    <col min="11012" max="11012" width="20" style="225" bestFit="1" customWidth="1"/>
    <col min="11013" max="11013" width="24.375" style="225" bestFit="1" customWidth="1"/>
    <col min="11014" max="11014" width="25.625" style="225" bestFit="1" customWidth="1"/>
    <col min="11015" max="11016" width="25.625" style="225" customWidth="1"/>
    <col min="11017" max="11264" width="9" style="225"/>
    <col min="11265" max="11265" width="27.25" style="225" bestFit="1" customWidth="1"/>
    <col min="11266" max="11266" width="28.125" style="225" bestFit="1" customWidth="1"/>
    <col min="11267" max="11267" width="23.875" style="225" bestFit="1" customWidth="1"/>
    <col min="11268" max="11268" width="20" style="225" bestFit="1" customWidth="1"/>
    <col min="11269" max="11269" width="24.375" style="225" bestFit="1" customWidth="1"/>
    <col min="11270" max="11270" width="25.625" style="225" bestFit="1" customWidth="1"/>
    <col min="11271" max="11272" width="25.625" style="225" customWidth="1"/>
    <col min="11273" max="11520" width="9" style="225"/>
    <col min="11521" max="11521" width="27.25" style="225" bestFit="1" customWidth="1"/>
    <col min="11522" max="11522" width="28.125" style="225" bestFit="1" customWidth="1"/>
    <col min="11523" max="11523" width="23.875" style="225" bestFit="1" customWidth="1"/>
    <col min="11524" max="11524" width="20" style="225" bestFit="1" customWidth="1"/>
    <col min="11525" max="11525" width="24.375" style="225" bestFit="1" customWidth="1"/>
    <col min="11526" max="11526" width="25.625" style="225" bestFit="1" customWidth="1"/>
    <col min="11527" max="11528" width="25.625" style="225" customWidth="1"/>
    <col min="11529" max="11776" width="9" style="225"/>
    <col min="11777" max="11777" width="27.25" style="225" bestFit="1" customWidth="1"/>
    <col min="11778" max="11778" width="28.125" style="225" bestFit="1" customWidth="1"/>
    <col min="11779" max="11779" width="23.875" style="225" bestFit="1" customWidth="1"/>
    <col min="11780" max="11780" width="20" style="225" bestFit="1" customWidth="1"/>
    <col min="11781" max="11781" width="24.375" style="225" bestFit="1" customWidth="1"/>
    <col min="11782" max="11782" width="25.625" style="225" bestFit="1" customWidth="1"/>
    <col min="11783" max="11784" width="25.625" style="225" customWidth="1"/>
    <col min="11785" max="12032" width="9" style="225"/>
    <col min="12033" max="12033" width="27.25" style="225" bestFit="1" customWidth="1"/>
    <col min="12034" max="12034" width="28.125" style="225" bestFit="1" customWidth="1"/>
    <col min="12035" max="12035" width="23.875" style="225" bestFit="1" customWidth="1"/>
    <col min="12036" max="12036" width="20" style="225" bestFit="1" customWidth="1"/>
    <col min="12037" max="12037" width="24.375" style="225" bestFit="1" customWidth="1"/>
    <col min="12038" max="12038" width="25.625" style="225" bestFit="1" customWidth="1"/>
    <col min="12039" max="12040" width="25.625" style="225" customWidth="1"/>
    <col min="12041" max="12288" width="9" style="225"/>
    <col min="12289" max="12289" width="27.25" style="225" bestFit="1" customWidth="1"/>
    <col min="12290" max="12290" width="28.125" style="225" bestFit="1" customWidth="1"/>
    <col min="12291" max="12291" width="23.875" style="225" bestFit="1" customWidth="1"/>
    <col min="12292" max="12292" width="20" style="225" bestFit="1" customWidth="1"/>
    <col min="12293" max="12293" width="24.375" style="225" bestFit="1" customWidth="1"/>
    <col min="12294" max="12294" width="25.625" style="225" bestFit="1" customWidth="1"/>
    <col min="12295" max="12296" width="25.625" style="225" customWidth="1"/>
    <col min="12297" max="12544" width="9" style="225"/>
    <col min="12545" max="12545" width="27.25" style="225" bestFit="1" customWidth="1"/>
    <col min="12546" max="12546" width="28.125" style="225" bestFit="1" customWidth="1"/>
    <col min="12547" max="12547" width="23.875" style="225" bestFit="1" customWidth="1"/>
    <col min="12548" max="12548" width="20" style="225" bestFit="1" customWidth="1"/>
    <col min="12549" max="12549" width="24.375" style="225" bestFit="1" customWidth="1"/>
    <col min="12550" max="12550" width="25.625" style="225" bestFit="1" customWidth="1"/>
    <col min="12551" max="12552" width="25.625" style="225" customWidth="1"/>
    <col min="12553" max="12800" width="9" style="225"/>
    <col min="12801" max="12801" width="27.25" style="225" bestFit="1" customWidth="1"/>
    <col min="12802" max="12802" width="28.125" style="225" bestFit="1" customWidth="1"/>
    <col min="12803" max="12803" width="23.875" style="225" bestFit="1" customWidth="1"/>
    <col min="12804" max="12804" width="20" style="225" bestFit="1" customWidth="1"/>
    <col min="12805" max="12805" width="24.375" style="225" bestFit="1" customWidth="1"/>
    <col min="12806" max="12806" width="25.625" style="225" bestFit="1" customWidth="1"/>
    <col min="12807" max="12808" width="25.625" style="225" customWidth="1"/>
    <col min="12809" max="13056" width="9" style="225"/>
    <col min="13057" max="13057" width="27.25" style="225" bestFit="1" customWidth="1"/>
    <col min="13058" max="13058" width="28.125" style="225" bestFit="1" customWidth="1"/>
    <col min="13059" max="13059" width="23.875" style="225" bestFit="1" customWidth="1"/>
    <col min="13060" max="13060" width="20" style="225" bestFit="1" customWidth="1"/>
    <col min="13061" max="13061" width="24.375" style="225" bestFit="1" customWidth="1"/>
    <col min="13062" max="13062" width="25.625" style="225" bestFit="1" customWidth="1"/>
    <col min="13063" max="13064" width="25.625" style="225" customWidth="1"/>
    <col min="13065" max="13312" width="9" style="225"/>
    <col min="13313" max="13313" width="27.25" style="225" bestFit="1" customWidth="1"/>
    <col min="13314" max="13314" width="28.125" style="225" bestFit="1" customWidth="1"/>
    <col min="13315" max="13315" width="23.875" style="225" bestFit="1" customWidth="1"/>
    <col min="13316" max="13316" width="20" style="225" bestFit="1" customWidth="1"/>
    <col min="13317" max="13317" width="24.375" style="225" bestFit="1" customWidth="1"/>
    <col min="13318" max="13318" width="25.625" style="225" bestFit="1" customWidth="1"/>
    <col min="13319" max="13320" width="25.625" style="225" customWidth="1"/>
    <col min="13321" max="13568" width="9" style="225"/>
    <col min="13569" max="13569" width="27.25" style="225" bestFit="1" customWidth="1"/>
    <col min="13570" max="13570" width="28.125" style="225" bestFit="1" customWidth="1"/>
    <col min="13571" max="13571" width="23.875" style="225" bestFit="1" customWidth="1"/>
    <col min="13572" max="13572" width="20" style="225" bestFit="1" customWidth="1"/>
    <col min="13573" max="13573" width="24.375" style="225" bestFit="1" customWidth="1"/>
    <col min="13574" max="13574" width="25.625" style="225" bestFit="1" customWidth="1"/>
    <col min="13575" max="13576" width="25.625" style="225" customWidth="1"/>
    <col min="13577" max="13824" width="9" style="225"/>
    <col min="13825" max="13825" width="27.25" style="225" bestFit="1" customWidth="1"/>
    <col min="13826" max="13826" width="28.125" style="225" bestFit="1" customWidth="1"/>
    <col min="13827" max="13827" width="23.875" style="225" bestFit="1" customWidth="1"/>
    <col min="13828" max="13828" width="20" style="225" bestFit="1" customWidth="1"/>
    <col min="13829" max="13829" width="24.375" style="225" bestFit="1" customWidth="1"/>
    <col min="13830" max="13830" width="25.625" style="225" bestFit="1" customWidth="1"/>
    <col min="13831" max="13832" width="25.625" style="225" customWidth="1"/>
    <col min="13833" max="14080" width="9" style="225"/>
    <col min="14081" max="14081" width="27.25" style="225" bestFit="1" customWidth="1"/>
    <col min="14082" max="14082" width="28.125" style="225" bestFit="1" customWidth="1"/>
    <col min="14083" max="14083" width="23.875" style="225" bestFit="1" customWidth="1"/>
    <col min="14084" max="14084" width="20" style="225" bestFit="1" customWidth="1"/>
    <col min="14085" max="14085" width="24.375" style="225" bestFit="1" customWidth="1"/>
    <col min="14086" max="14086" width="25.625" style="225" bestFit="1" customWidth="1"/>
    <col min="14087" max="14088" width="25.625" style="225" customWidth="1"/>
    <col min="14089" max="14336" width="9" style="225"/>
    <col min="14337" max="14337" width="27.25" style="225" bestFit="1" customWidth="1"/>
    <col min="14338" max="14338" width="28.125" style="225" bestFit="1" customWidth="1"/>
    <col min="14339" max="14339" width="23.875" style="225" bestFit="1" customWidth="1"/>
    <col min="14340" max="14340" width="20" style="225" bestFit="1" customWidth="1"/>
    <col min="14341" max="14341" width="24.375" style="225" bestFit="1" customWidth="1"/>
    <col min="14342" max="14342" width="25.625" style="225" bestFit="1" customWidth="1"/>
    <col min="14343" max="14344" width="25.625" style="225" customWidth="1"/>
    <col min="14345" max="14592" width="9" style="225"/>
    <col min="14593" max="14593" width="27.25" style="225" bestFit="1" customWidth="1"/>
    <col min="14594" max="14594" width="28.125" style="225" bestFit="1" customWidth="1"/>
    <col min="14595" max="14595" width="23.875" style="225" bestFit="1" customWidth="1"/>
    <col min="14596" max="14596" width="20" style="225" bestFit="1" customWidth="1"/>
    <col min="14597" max="14597" width="24.375" style="225" bestFit="1" customWidth="1"/>
    <col min="14598" max="14598" width="25.625" style="225" bestFit="1" customWidth="1"/>
    <col min="14599" max="14600" width="25.625" style="225" customWidth="1"/>
    <col min="14601" max="14848" width="9" style="225"/>
    <col min="14849" max="14849" width="27.25" style="225" bestFit="1" customWidth="1"/>
    <col min="14850" max="14850" width="28.125" style="225" bestFit="1" customWidth="1"/>
    <col min="14851" max="14851" width="23.875" style="225" bestFit="1" customWidth="1"/>
    <col min="14852" max="14852" width="20" style="225" bestFit="1" customWidth="1"/>
    <col min="14853" max="14853" width="24.375" style="225" bestFit="1" customWidth="1"/>
    <col min="14854" max="14854" width="25.625" style="225" bestFit="1" customWidth="1"/>
    <col min="14855" max="14856" width="25.625" style="225" customWidth="1"/>
    <col min="14857" max="15104" width="9" style="225"/>
    <col min="15105" max="15105" width="27.25" style="225" bestFit="1" customWidth="1"/>
    <col min="15106" max="15106" width="28.125" style="225" bestFit="1" customWidth="1"/>
    <col min="15107" max="15107" width="23.875" style="225" bestFit="1" customWidth="1"/>
    <col min="15108" max="15108" width="20" style="225" bestFit="1" customWidth="1"/>
    <col min="15109" max="15109" width="24.375" style="225" bestFit="1" customWidth="1"/>
    <col min="15110" max="15110" width="25.625" style="225" bestFit="1" customWidth="1"/>
    <col min="15111" max="15112" width="25.625" style="225" customWidth="1"/>
    <col min="15113" max="15360" width="9" style="225"/>
    <col min="15361" max="15361" width="27.25" style="225" bestFit="1" customWidth="1"/>
    <col min="15362" max="15362" width="28.125" style="225" bestFit="1" customWidth="1"/>
    <col min="15363" max="15363" width="23.875" style="225" bestFit="1" customWidth="1"/>
    <col min="15364" max="15364" width="20" style="225" bestFit="1" customWidth="1"/>
    <col min="15365" max="15365" width="24.375" style="225" bestFit="1" customWidth="1"/>
    <col min="15366" max="15366" width="25.625" style="225" bestFit="1" customWidth="1"/>
    <col min="15367" max="15368" width="25.625" style="225" customWidth="1"/>
    <col min="15369" max="15616" width="9" style="225"/>
    <col min="15617" max="15617" width="27.25" style="225" bestFit="1" customWidth="1"/>
    <col min="15618" max="15618" width="28.125" style="225" bestFit="1" customWidth="1"/>
    <col min="15619" max="15619" width="23.875" style="225" bestFit="1" customWidth="1"/>
    <col min="15620" max="15620" width="20" style="225" bestFit="1" customWidth="1"/>
    <col min="15621" max="15621" width="24.375" style="225" bestFit="1" customWidth="1"/>
    <col min="15622" max="15622" width="25.625" style="225" bestFit="1" customWidth="1"/>
    <col min="15623" max="15624" width="25.625" style="225" customWidth="1"/>
    <col min="15625" max="15872" width="9" style="225"/>
    <col min="15873" max="15873" width="27.25" style="225" bestFit="1" customWidth="1"/>
    <col min="15874" max="15874" width="28.125" style="225" bestFit="1" customWidth="1"/>
    <col min="15875" max="15875" width="23.875" style="225" bestFit="1" customWidth="1"/>
    <col min="15876" max="15876" width="20" style="225" bestFit="1" customWidth="1"/>
    <col min="15877" max="15877" width="24.375" style="225" bestFit="1" customWidth="1"/>
    <col min="15878" max="15878" width="25.625" style="225" bestFit="1" customWidth="1"/>
    <col min="15879" max="15880" width="25.625" style="225" customWidth="1"/>
    <col min="15881" max="16128" width="9" style="225"/>
    <col min="16129" max="16129" width="27.25" style="225" bestFit="1" customWidth="1"/>
    <col min="16130" max="16130" width="28.125" style="225" bestFit="1" customWidth="1"/>
    <col min="16131" max="16131" width="23.875" style="225" bestFit="1" customWidth="1"/>
    <col min="16132" max="16132" width="20" style="225" bestFit="1" customWidth="1"/>
    <col min="16133" max="16133" width="24.375" style="225" bestFit="1" customWidth="1"/>
    <col min="16134" max="16134" width="25.625" style="225" bestFit="1" customWidth="1"/>
    <col min="16135" max="16136" width="25.625" style="225" customWidth="1"/>
    <col min="16137" max="16384" width="9" style="225"/>
  </cols>
  <sheetData>
    <row r="1" spans="1:8">
      <c r="A1" s="224" t="s">
        <v>539</v>
      </c>
    </row>
    <row r="2" spans="1:8">
      <c r="A2" s="226" t="s">
        <v>540</v>
      </c>
    </row>
    <row r="3" spans="1:8">
      <c r="A3" s="224" t="s">
        <v>541</v>
      </c>
      <c r="B3" s="224" t="s">
        <v>542</v>
      </c>
      <c r="C3" s="224" t="s">
        <v>543</v>
      </c>
      <c r="D3" s="224" t="s">
        <v>544</v>
      </c>
      <c r="E3" s="224" t="s">
        <v>545</v>
      </c>
      <c r="F3" s="224" t="s">
        <v>546</v>
      </c>
      <c r="G3" s="224" t="s">
        <v>547</v>
      </c>
      <c r="H3" s="224" t="s">
        <v>548</v>
      </c>
    </row>
    <row r="4" spans="1:8">
      <c r="A4" s="226">
        <v>2</v>
      </c>
      <c r="B4" s="226">
        <v>1</v>
      </c>
      <c r="C4" s="226">
        <v>21</v>
      </c>
      <c r="D4" s="226">
        <v>1</v>
      </c>
      <c r="E4" s="226">
        <v>6</v>
      </c>
      <c r="F4" s="226">
        <v>2</v>
      </c>
      <c r="G4" s="226">
        <v>9.5649999999999995</v>
      </c>
      <c r="H4" s="226">
        <v>5</v>
      </c>
    </row>
    <row r="5" spans="1:8">
      <c r="A5" s="224" t="s">
        <v>549</v>
      </c>
    </row>
    <row r="6" spans="1:8">
      <c r="A6" s="224" t="s">
        <v>550</v>
      </c>
      <c r="B6" s="227" t="s">
        <v>551</v>
      </c>
    </row>
    <row r="7" spans="1:8">
      <c r="A7" s="224" t="s">
        <v>552</v>
      </c>
      <c r="B7" s="224" t="s">
        <v>553</v>
      </c>
      <c r="C7" s="224" t="s">
        <v>554</v>
      </c>
      <c r="D7" s="227" t="s">
        <v>551</v>
      </c>
    </row>
    <row r="8" spans="1:8">
      <c r="A8" s="226">
        <v>1</v>
      </c>
      <c r="B8" s="226"/>
      <c r="C8" s="226"/>
      <c r="D8" s="227" t="s">
        <v>551</v>
      </c>
    </row>
    <row r="9" spans="1:8">
      <c r="A9" s="226">
        <v>2</v>
      </c>
      <c r="B9" s="226"/>
      <c r="C9" s="226"/>
      <c r="D9" s="227" t="s">
        <v>551</v>
      </c>
    </row>
    <row r="10" spans="1:8">
      <c r="A10" s="226">
        <v>3</v>
      </c>
      <c r="B10" s="226"/>
      <c r="C10" s="226"/>
      <c r="D10" s="227" t="s">
        <v>551</v>
      </c>
    </row>
    <row r="11" spans="1:8">
      <c r="A11" s="226">
        <v>4</v>
      </c>
      <c r="B11" s="226"/>
      <c r="C11" s="226"/>
      <c r="D11" s="227" t="s">
        <v>551</v>
      </c>
    </row>
    <row r="12" spans="1:8">
      <c r="A12" s="226">
        <v>5</v>
      </c>
      <c r="B12" s="226"/>
      <c r="C12" s="226"/>
      <c r="D12" s="227" t="s">
        <v>551</v>
      </c>
    </row>
    <row r="13" spans="1:8">
      <c r="A13" s="226">
        <v>6</v>
      </c>
      <c r="B13" s="226"/>
      <c r="C13" s="226"/>
      <c r="D13" s="227" t="s">
        <v>551</v>
      </c>
    </row>
    <row r="15" spans="1:8">
      <c r="A15" s="224" t="s">
        <v>555</v>
      </c>
    </row>
    <row r="16" spans="1:8">
      <c r="A16" s="224" t="s">
        <v>556</v>
      </c>
    </row>
    <row r="17" spans="1:7">
      <c r="A17" s="224" t="s">
        <v>557</v>
      </c>
      <c r="B17" s="224" t="s">
        <v>558</v>
      </c>
      <c r="C17" s="224" t="s">
        <v>559</v>
      </c>
      <c r="D17" s="224" t="s">
        <v>560</v>
      </c>
      <c r="E17" s="224" t="s">
        <v>561</v>
      </c>
      <c r="F17" s="224" t="s">
        <v>562</v>
      </c>
      <c r="G17" s="224" t="s">
        <v>563</v>
      </c>
    </row>
    <row r="18" spans="1:7">
      <c r="A18" s="224" t="s">
        <v>564</v>
      </c>
      <c r="B18" s="226"/>
      <c r="C18" s="226"/>
      <c r="D18" s="226"/>
      <c r="E18" s="226"/>
      <c r="F18" s="226"/>
      <c r="G18" s="226"/>
    </row>
    <row r="19" spans="1:7">
      <c r="A19" s="224" t="s">
        <v>565</v>
      </c>
      <c r="B19" s="226"/>
      <c r="C19" s="226"/>
      <c r="D19" s="226"/>
      <c r="E19" s="226"/>
      <c r="F19" s="226"/>
      <c r="G19" s="226"/>
    </row>
    <row r="20" spans="1:7">
      <c r="A20" s="224" t="s">
        <v>566</v>
      </c>
      <c r="B20" s="226"/>
      <c r="C20" s="226"/>
      <c r="D20" s="226"/>
      <c r="E20" s="226"/>
      <c r="F20" s="226"/>
      <c r="G20" s="226"/>
    </row>
    <row r="21" spans="1:7">
      <c r="A21" s="224" t="s">
        <v>567</v>
      </c>
      <c r="B21" s="226"/>
      <c r="C21" s="226"/>
      <c r="D21" s="226"/>
      <c r="E21" s="226"/>
      <c r="F21" s="226"/>
      <c r="G21" s="226"/>
    </row>
    <row r="22" spans="1:7">
      <c r="A22" s="224" t="s">
        <v>568</v>
      </c>
      <c r="B22" s="226"/>
      <c r="C22" s="226"/>
      <c r="D22" s="226"/>
      <c r="E22" s="226"/>
      <c r="F22" s="226"/>
      <c r="G22" s="226"/>
    </row>
    <row r="23" spans="1:7">
      <c r="A23" s="228"/>
    </row>
    <row r="24" spans="1:7">
      <c r="A24" s="224" t="s">
        <v>569</v>
      </c>
    </row>
    <row r="25" spans="1:7">
      <c r="A25" s="224" t="s">
        <v>557</v>
      </c>
      <c r="B25" s="224" t="s">
        <v>559</v>
      </c>
      <c r="C25" s="224" t="s">
        <v>570</v>
      </c>
      <c r="D25" s="224" t="s">
        <v>562</v>
      </c>
      <c r="E25" s="224" t="s">
        <v>571</v>
      </c>
    </row>
    <row r="26" spans="1:7">
      <c r="A26" s="224" t="s">
        <v>564</v>
      </c>
      <c r="B26" s="226"/>
      <c r="C26" s="226"/>
      <c r="D26" s="226"/>
      <c r="E26" s="226"/>
    </row>
    <row r="27" spans="1:7">
      <c r="A27" s="224" t="s">
        <v>565</v>
      </c>
      <c r="B27" s="226"/>
      <c r="C27" s="226"/>
      <c r="D27" s="226"/>
      <c r="E27" s="226"/>
    </row>
    <row r="28" spans="1:7">
      <c r="A28" s="224" t="s">
        <v>566</v>
      </c>
      <c r="B28" s="226"/>
      <c r="C28" s="226"/>
      <c r="D28" s="226"/>
      <c r="E28" s="226"/>
    </row>
    <row r="29" spans="1:7">
      <c r="A29" s="224" t="s">
        <v>567</v>
      </c>
      <c r="B29" s="226"/>
      <c r="C29" s="226"/>
      <c r="D29" s="226"/>
      <c r="E29" s="226"/>
    </row>
    <row r="30" spans="1:7">
      <c r="A30" s="224" t="s">
        <v>568</v>
      </c>
      <c r="B30" s="226"/>
      <c r="C30" s="226"/>
      <c r="D30" s="226"/>
      <c r="E30" s="226"/>
    </row>
    <row r="32" spans="1:7">
      <c r="A32" s="224" t="s">
        <v>572</v>
      </c>
    </row>
    <row r="33" spans="1:4">
      <c r="A33" s="224" t="s">
        <v>557</v>
      </c>
      <c r="B33" s="224" t="s">
        <v>573</v>
      </c>
      <c r="C33" s="224" t="s">
        <v>574</v>
      </c>
      <c r="D33" s="224" t="s">
        <v>575</v>
      </c>
    </row>
    <row r="34" spans="1:4">
      <c r="A34" s="224" t="s">
        <v>564</v>
      </c>
      <c r="B34" s="226"/>
      <c r="C34" s="226"/>
      <c r="D34" s="226"/>
    </row>
    <row r="35" spans="1:4">
      <c r="A35" s="224" t="s">
        <v>565</v>
      </c>
      <c r="B35" s="226"/>
      <c r="C35" s="226"/>
      <c r="D35" s="226"/>
    </row>
    <row r="36" spans="1:4">
      <c r="A36" s="224" t="s">
        <v>566</v>
      </c>
      <c r="B36" s="226"/>
      <c r="C36" s="226"/>
      <c r="D36" s="226"/>
    </row>
    <row r="37" spans="1:4">
      <c r="A37" s="224" t="s">
        <v>567</v>
      </c>
      <c r="B37" s="226"/>
      <c r="C37" s="226"/>
      <c r="D37" s="226"/>
    </row>
    <row r="38" spans="1:4">
      <c r="A38" s="224" t="s">
        <v>568</v>
      </c>
      <c r="B38" s="226"/>
      <c r="C38" s="226"/>
      <c r="D38" s="226"/>
    </row>
    <row r="39" spans="1:4">
      <c r="A39" s="228"/>
    </row>
    <row r="40" spans="1:4">
      <c r="A40" s="224" t="s">
        <v>576</v>
      </c>
    </row>
    <row r="41" spans="1:4">
      <c r="A41" s="224" t="s">
        <v>557</v>
      </c>
      <c r="B41" s="224" t="s">
        <v>577</v>
      </c>
    </row>
    <row r="42" spans="1:4">
      <c r="A42" s="224" t="s">
        <v>564</v>
      </c>
      <c r="B42" s="226"/>
    </row>
    <row r="43" spans="1:4">
      <c r="A43" s="224" t="s">
        <v>565</v>
      </c>
      <c r="B43" s="226"/>
    </row>
    <row r="44" spans="1:4">
      <c r="A44" s="224" t="s">
        <v>566</v>
      </c>
      <c r="B44" s="226"/>
    </row>
    <row r="45" spans="1:4">
      <c r="A45" s="224" t="s">
        <v>567</v>
      </c>
      <c r="B45" s="226"/>
    </row>
    <row r="46" spans="1:4">
      <c r="A46" s="224" t="s">
        <v>568</v>
      </c>
      <c r="B46" s="226"/>
    </row>
    <row r="48" spans="1:4">
      <c r="A48" s="224" t="s">
        <v>578</v>
      </c>
    </row>
    <row r="49" spans="1:7">
      <c r="A49" s="229" t="s">
        <v>556</v>
      </c>
    </row>
    <row r="50" spans="1:7">
      <c r="A50" s="224" t="s">
        <v>579</v>
      </c>
      <c r="B50" s="224"/>
      <c r="C50" s="224"/>
      <c r="D50" s="224" t="s">
        <v>580</v>
      </c>
      <c r="E50" s="224"/>
      <c r="F50" s="224"/>
      <c r="G50" s="224" t="s">
        <v>581</v>
      </c>
    </row>
    <row r="51" spans="1:7">
      <c r="A51" s="224" t="s">
        <v>582</v>
      </c>
      <c r="B51" s="224" t="s">
        <v>558</v>
      </c>
      <c r="C51" s="224" t="s">
        <v>583</v>
      </c>
      <c r="D51" s="224" t="s">
        <v>584</v>
      </c>
      <c r="E51" s="224" t="s">
        <v>585</v>
      </c>
      <c r="F51" s="224" t="s">
        <v>586</v>
      </c>
      <c r="G51" s="224"/>
    </row>
    <row r="52" spans="1:7">
      <c r="A52" s="226"/>
      <c r="B52" s="226"/>
      <c r="C52" s="226"/>
      <c r="D52" s="226"/>
      <c r="E52" s="226"/>
      <c r="F52" s="226"/>
      <c r="G52" s="226"/>
    </row>
    <row r="53" spans="1:7">
      <c r="A53" s="228"/>
    </row>
    <row r="54" spans="1:7">
      <c r="A54" s="224" t="s">
        <v>572</v>
      </c>
    </row>
    <row r="55" spans="1:7">
      <c r="A55" s="224" t="s">
        <v>573</v>
      </c>
      <c r="B55" s="224" t="s">
        <v>574</v>
      </c>
      <c r="C55" s="224" t="s">
        <v>575</v>
      </c>
    </row>
    <row r="56" spans="1:7">
      <c r="A56" s="226"/>
      <c r="B56" s="226"/>
      <c r="C56" s="226"/>
    </row>
    <row r="57" spans="1:7">
      <c r="A57" s="228"/>
    </row>
    <row r="58" spans="1:7">
      <c r="A58" s="224" t="s">
        <v>576</v>
      </c>
    </row>
    <row r="59" spans="1:7">
      <c r="A59" s="224" t="s">
        <v>577</v>
      </c>
    </row>
    <row r="60" spans="1:7">
      <c r="A60" s="226"/>
    </row>
    <row r="62" spans="1:7">
      <c r="A62" s="224" t="s">
        <v>587</v>
      </c>
    </row>
    <row r="63" spans="1:7">
      <c r="A63" s="224" t="s">
        <v>550</v>
      </c>
      <c r="B63" s="227" t="s">
        <v>551</v>
      </c>
    </row>
    <row r="64" spans="1:7">
      <c r="A64" s="224" t="s">
        <v>552</v>
      </c>
      <c r="B64" s="224" t="s">
        <v>553</v>
      </c>
      <c r="C64" s="224" t="s">
        <v>554</v>
      </c>
      <c r="D64" s="227" t="s">
        <v>551</v>
      </c>
    </row>
    <row r="65" spans="1:7">
      <c r="A65" s="226">
        <v>1</v>
      </c>
      <c r="B65" s="226">
        <v>0</v>
      </c>
      <c r="C65" s="226">
        <v>6</v>
      </c>
      <c r="D65" s="227" t="s">
        <v>551</v>
      </c>
    </row>
    <row r="66" spans="1:7">
      <c r="A66" s="226">
        <v>2</v>
      </c>
      <c r="B66" s="226">
        <v>5</v>
      </c>
      <c r="C66" s="226">
        <v>6</v>
      </c>
      <c r="D66" s="227" t="s">
        <v>551</v>
      </c>
    </row>
    <row r="68" spans="1:7">
      <c r="A68" s="224" t="s">
        <v>555</v>
      </c>
    </row>
    <row r="69" spans="1:7">
      <c r="A69" s="224" t="s">
        <v>556</v>
      </c>
    </row>
    <row r="70" spans="1:7">
      <c r="A70" s="224" t="s">
        <v>557</v>
      </c>
      <c r="B70" s="224" t="s">
        <v>558</v>
      </c>
      <c r="C70" s="224" t="s">
        <v>559</v>
      </c>
      <c r="D70" s="224" t="s">
        <v>560</v>
      </c>
      <c r="E70" s="224" t="s">
        <v>561</v>
      </c>
      <c r="F70" s="224" t="s">
        <v>562</v>
      </c>
      <c r="G70" s="224" t="s">
        <v>563</v>
      </c>
    </row>
    <row r="71" spans="1:7">
      <c r="A71" s="224" t="s">
        <v>564</v>
      </c>
      <c r="B71" s="226"/>
      <c r="C71" s="226"/>
      <c r="D71" s="226"/>
      <c r="E71" s="226"/>
      <c r="F71" s="226"/>
      <c r="G71" s="226"/>
    </row>
    <row r="72" spans="1:7">
      <c r="A72" s="224" t="s">
        <v>565</v>
      </c>
      <c r="B72" s="226"/>
      <c r="C72" s="226"/>
      <c r="D72" s="226"/>
      <c r="E72" s="226"/>
      <c r="F72" s="226"/>
      <c r="G72" s="226"/>
    </row>
    <row r="73" spans="1:7">
      <c r="A73" s="224" t="s">
        <v>566</v>
      </c>
      <c r="B73" s="226"/>
      <c r="C73" s="226"/>
      <c r="D73" s="226"/>
      <c r="E73" s="226"/>
      <c r="F73" s="226"/>
      <c r="G73" s="226"/>
    </row>
    <row r="74" spans="1:7">
      <c r="A74" s="224" t="s">
        <v>567</v>
      </c>
      <c r="B74" s="226"/>
      <c r="C74" s="226"/>
      <c r="D74" s="226"/>
      <c r="E74" s="226"/>
      <c r="F74" s="226"/>
      <c r="G74" s="226"/>
    </row>
    <row r="75" spans="1:7">
      <c r="A75" s="224" t="s">
        <v>568</v>
      </c>
      <c r="B75" s="226"/>
      <c r="C75" s="226"/>
      <c r="D75" s="226"/>
      <c r="E75" s="226"/>
      <c r="F75" s="226"/>
      <c r="G75" s="226"/>
    </row>
    <row r="77" spans="1:7">
      <c r="A77" s="224" t="s">
        <v>569</v>
      </c>
    </row>
    <row r="78" spans="1:7">
      <c r="A78" s="224" t="s">
        <v>557</v>
      </c>
      <c r="B78" s="224" t="s">
        <v>559</v>
      </c>
      <c r="C78" s="224" t="s">
        <v>570</v>
      </c>
      <c r="D78" s="224" t="s">
        <v>562</v>
      </c>
      <c r="E78" s="224" t="s">
        <v>571</v>
      </c>
    </row>
    <row r="79" spans="1:7">
      <c r="A79" s="224" t="s">
        <v>564</v>
      </c>
      <c r="B79" s="226"/>
      <c r="C79" s="226"/>
      <c r="D79" s="226"/>
      <c r="E79" s="226"/>
    </row>
    <row r="80" spans="1:7">
      <c r="A80" s="224" t="s">
        <v>565</v>
      </c>
      <c r="B80" s="226"/>
      <c r="C80" s="226"/>
      <c r="D80" s="226"/>
      <c r="E80" s="226"/>
    </row>
    <row r="81" spans="1:5">
      <c r="A81" s="224" t="s">
        <v>566</v>
      </c>
      <c r="B81" s="226"/>
      <c r="C81" s="226"/>
      <c r="D81" s="226"/>
      <c r="E81" s="226"/>
    </row>
    <row r="82" spans="1:5">
      <c r="A82" s="224" t="s">
        <v>567</v>
      </c>
      <c r="B82" s="226"/>
      <c r="C82" s="226"/>
      <c r="D82" s="226"/>
      <c r="E82" s="226"/>
    </row>
    <row r="83" spans="1:5">
      <c r="A83" s="224" t="s">
        <v>568</v>
      </c>
      <c r="B83" s="226"/>
      <c r="C83" s="226"/>
      <c r="D83" s="226"/>
      <c r="E83" s="226"/>
    </row>
    <row r="85" spans="1:5">
      <c r="A85" s="224" t="s">
        <v>572</v>
      </c>
    </row>
    <row r="86" spans="1:5">
      <c r="A86" s="224" t="s">
        <v>557</v>
      </c>
      <c r="B86" s="224" t="s">
        <v>573</v>
      </c>
      <c r="C86" s="224" t="s">
        <v>574</v>
      </c>
      <c r="D86" s="224" t="s">
        <v>575</v>
      </c>
    </row>
    <row r="87" spans="1:5">
      <c r="A87" s="224" t="s">
        <v>564</v>
      </c>
      <c r="B87" s="226"/>
      <c r="C87" s="226"/>
      <c r="D87" s="226"/>
    </row>
    <row r="88" spans="1:5">
      <c r="A88" s="224" t="s">
        <v>565</v>
      </c>
      <c r="B88" s="226"/>
      <c r="C88" s="226"/>
      <c r="D88" s="226"/>
    </row>
    <row r="89" spans="1:5">
      <c r="A89" s="224" t="s">
        <v>566</v>
      </c>
      <c r="B89" s="226"/>
      <c r="C89" s="226"/>
      <c r="D89" s="226"/>
    </row>
    <row r="90" spans="1:5">
      <c r="A90" s="224" t="s">
        <v>567</v>
      </c>
      <c r="B90" s="226"/>
      <c r="C90" s="226"/>
      <c r="D90" s="226"/>
    </row>
    <row r="91" spans="1:5">
      <c r="A91" s="224" t="s">
        <v>568</v>
      </c>
      <c r="B91" s="226"/>
      <c r="C91" s="226"/>
      <c r="D91" s="226"/>
    </row>
    <row r="93" spans="1:5">
      <c r="A93" s="224" t="s">
        <v>576</v>
      </c>
    </row>
    <row r="94" spans="1:5">
      <c r="A94" s="224" t="s">
        <v>557</v>
      </c>
      <c r="B94" s="224" t="s">
        <v>577</v>
      </c>
    </row>
    <row r="95" spans="1:5">
      <c r="A95" s="224" t="s">
        <v>564</v>
      </c>
      <c r="B95" s="226"/>
    </row>
    <row r="96" spans="1:5">
      <c r="A96" s="224" t="s">
        <v>565</v>
      </c>
      <c r="B96" s="226"/>
    </row>
    <row r="97" spans="1:7">
      <c r="A97" s="224" t="s">
        <v>566</v>
      </c>
      <c r="B97" s="226"/>
    </row>
    <row r="98" spans="1:7">
      <c r="A98" s="224" t="s">
        <v>567</v>
      </c>
      <c r="B98" s="226"/>
    </row>
    <row r="99" spans="1:7">
      <c r="A99" s="224" t="s">
        <v>568</v>
      </c>
      <c r="B99" s="226"/>
    </row>
    <row r="101" spans="1:7">
      <c r="A101" s="224" t="s">
        <v>578</v>
      </c>
    </row>
    <row r="102" spans="1:7">
      <c r="A102" s="229" t="s">
        <v>556</v>
      </c>
    </row>
    <row r="103" spans="1:7">
      <c r="A103" s="224" t="s">
        <v>579</v>
      </c>
      <c r="B103" s="224"/>
      <c r="C103" s="224"/>
      <c r="D103" s="224" t="s">
        <v>580</v>
      </c>
      <c r="E103" s="224"/>
      <c r="F103" s="224"/>
      <c r="G103" s="224" t="s">
        <v>581</v>
      </c>
    </row>
    <row r="104" spans="1:7">
      <c r="A104" s="224" t="s">
        <v>582</v>
      </c>
      <c r="B104" s="224" t="s">
        <v>558</v>
      </c>
      <c r="C104" s="224" t="s">
        <v>583</v>
      </c>
      <c r="D104" s="224" t="s">
        <v>584</v>
      </c>
      <c r="E104" s="224" t="s">
        <v>585</v>
      </c>
      <c r="F104" s="224" t="s">
        <v>586</v>
      </c>
      <c r="G104" s="224"/>
    </row>
    <row r="105" spans="1:7">
      <c r="A105" s="226"/>
      <c r="B105" s="226"/>
      <c r="C105" s="226"/>
      <c r="D105" s="226"/>
      <c r="E105" s="226"/>
      <c r="F105" s="226"/>
      <c r="G105" s="226"/>
    </row>
    <row r="106" spans="1:7">
      <c r="A106" s="228"/>
    </row>
    <row r="107" spans="1:7">
      <c r="A107" s="224" t="s">
        <v>572</v>
      </c>
    </row>
    <row r="108" spans="1:7">
      <c r="A108" s="224" t="s">
        <v>573</v>
      </c>
      <c r="B108" s="224" t="s">
        <v>574</v>
      </c>
      <c r="C108" s="224" t="s">
        <v>575</v>
      </c>
    </row>
    <row r="109" spans="1:7">
      <c r="A109" s="226"/>
      <c r="B109" s="226"/>
      <c r="C109" s="226"/>
    </row>
    <row r="110" spans="1:7">
      <c r="A110" s="228"/>
    </row>
    <row r="111" spans="1:7">
      <c r="A111" s="224" t="s">
        <v>576</v>
      </c>
    </row>
    <row r="112" spans="1:7">
      <c r="A112" s="224" t="s">
        <v>577</v>
      </c>
    </row>
    <row r="113" spans="1:1">
      <c r="A113" s="226"/>
    </row>
  </sheetData>
  <phoneticPr fontId="1"/>
  <pageMargins left="0.7" right="0.7" top="0.75" bottom="0.75" header="0.3" footer="0.3"/>
  <pageSetup paperSize="9" scale="4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23"/>
  <sheetViews>
    <sheetView topLeftCell="A19" zoomScaleNormal="100" workbookViewId="0">
      <selection activeCell="B30" sqref="B30"/>
    </sheetView>
  </sheetViews>
  <sheetFormatPr defaultRowHeight="13.5"/>
  <cols>
    <col min="1" max="1" width="27.25" style="225" bestFit="1" customWidth="1"/>
    <col min="2" max="2" width="28.125" style="225" bestFit="1" customWidth="1"/>
    <col min="3" max="3" width="23.875" style="225" bestFit="1" customWidth="1"/>
    <col min="4" max="4" width="20" style="225" bestFit="1" customWidth="1"/>
    <col min="5" max="5" width="24.375" style="225" bestFit="1" customWidth="1"/>
    <col min="6" max="6" width="25.625" style="225" bestFit="1" customWidth="1"/>
    <col min="7" max="8" width="25.625" style="225" customWidth="1"/>
    <col min="9" max="256" width="9" style="225"/>
    <col min="257" max="257" width="27.25" style="225" bestFit="1" customWidth="1"/>
    <col min="258" max="258" width="28.125" style="225" bestFit="1" customWidth="1"/>
    <col min="259" max="259" width="23.875" style="225" bestFit="1" customWidth="1"/>
    <col min="260" max="260" width="20" style="225" bestFit="1" customWidth="1"/>
    <col min="261" max="261" width="24.375" style="225" bestFit="1" customWidth="1"/>
    <col min="262" max="262" width="25.625" style="225" bestFit="1" customWidth="1"/>
    <col min="263" max="264" width="25.625" style="225" customWidth="1"/>
    <col min="265" max="512" width="9" style="225"/>
    <col min="513" max="513" width="27.25" style="225" bestFit="1" customWidth="1"/>
    <col min="514" max="514" width="28.125" style="225" bestFit="1" customWidth="1"/>
    <col min="515" max="515" width="23.875" style="225" bestFit="1" customWidth="1"/>
    <col min="516" max="516" width="20" style="225" bestFit="1" customWidth="1"/>
    <col min="517" max="517" width="24.375" style="225" bestFit="1" customWidth="1"/>
    <col min="518" max="518" width="25.625" style="225" bestFit="1" customWidth="1"/>
    <col min="519" max="520" width="25.625" style="225" customWidth="1"/>
    <col min="521" max="768" width="9" style="225"/>
    <col min="769" max="769" width="27.25" style="225" bestFit="1" customWidth="1"/>
    <col min="770" max="770" width="28.125" style="225" bestFit="1" customWidth="1"/>
    <col min="771" max="771" width="23.875" style="225" bestFit="1" customWidth="1"/>
    <col min="772" max="772" width="20" style="225" bestFit="1" customWidth="1"/>
    <col min="773" max="773" width="24.375" style="225" bestFit="1" customWidth="1"/>
    <col min="774" max="774" width="25.625" style="225" bestFit="1" customWidth="1"/>
    <col min="775" max="776" width="25.625" style="225" customWidth="1"/>
    <col min="777" max="1024" width="9" style="225"/>
    <col min="1025" max="1025" width="27.25" style="225" bestFit="1" customWidth="1"/>
    <col min="1026" max="1026" width="28.125" style="225" bestFit="1" customWidth="1"/>
    <col min="1027" max="1027" width="23.875" style="225" bestFit="1" customWidth="1"/>
    <col min="1028" max="1028" width="20" style="225" bestFit="1" customWidth="1"/>
    <col min="1029" max="1029" width="24.375" style="225" bestFit="1" customWidth="1"/>
    <col min="1030" max="1030" width="25.625" style="225" bestFit="1" customWidth="1"/>
    <col min="1031" max="1032" width="25.625" style="225" customWidth="1"/>
    <col min="1033" max="1280" width="9" style="225"/>
    <col min="1281" max="1281" width="27.25" style="225" bestFit="1" customWidth="1"/>
    <col min="1282" max="1282" width="28.125" style="225" bestFit="1" customWidth="1"/>
    <col min="1283" max="1283" width="23.875" style="225" bestFit="1" customWidth="1"/>
    <col min="1284" max="1284" width="20" style="225" bestFit="1" customWidth="1"/>
    <col min="1285" max="1285" width="24.375" style="225" bestFit="1" customWidth="1"/>
    <col min="1286" max="1286" width="25.625" style="225" bestFit="1" customWidth="1"/>
    <col min="1287" max="1288" width="25.625" style="225" customWidth="1"/>
    <col min="1289" max="1536" width="9" style="225"/>
    <col min="1537" max="1537" width="27.25" style="225" bestFit="1" customWidth="1"/>
    <col min="1538" max="1538" width="28.125" style="225" bestFit="1" customWidth="1"/>
    <col min="1539" max="1539" width="23.875" style="225" bestFit="1" customWidth="1"/>
    <col min="1540" max="1540" width="20" style="225" bestFit="1" customWidth="1"/>
    <col min="1541" max="1541" width="24.375" style="225" bestFit="1" customWidth="1"/>
    <col min="1542" max="1542" width="25.625" style="225" bestFit="1" customWidth="1"/>
    <col min="1543" max="1544" width="25.625" style="225" customWidth="1"/>
    <col min="1545" max="1792" width="9" style="225"/>
    <col min="1793" max="1793" width="27.25" style="225" bestFit="1" customWidth="1"/>
    <col min="1794" max="1794" width="28.125" style="225" bestFit="1" customWidth="1"/>
    <col min="1795" max="1795" width="23.875" style="225" bestFit="1" customWidth="1"/>
    <col min="1796" max="1796" width="20" style="225" bestFit="1" customWidth="1"/>
    <col min="1797" max="1797" width="24.375" style="225" bestFit="1" customWidth="1"/>
    <col min="1798" max="1798" width="25.625" style="225" bestFit="1" customWidth="1"/>
    <col min="1799" max="1800" width="25.625" style="225" customWidth="1"/>
    <col min="1801" max="2048" width="9" style="225"/>
    <col min="2049" max="2049" width="27.25" style="225" bestFit="1" customWidth="1"/>
    <col min="2050" max="2050" width="28.125" style="225" bestFit="1" customWidth="1"/>
    <col min="2051" max="2051" width="23.875" style="225" bestFit="1" customWidth="1"/>
    <col min="2052" max="2052" width="20" style="225" bestFit="1" customWidth="1"/>
    <col min="2053" max="2053" width="24.375" style="225" bestFit="1" customWidth="1"/>
    <col min="2054" max="2054" width="25.625" style="225" bestFit="1" customWidth="1"/>
    <col min="2055" max="2056" width="25.625" style="225" customWidth="1"/>
    <col min="2057" max="2304" width="9" style="225"/>
    <col min="2305" max="2305" width="27.25" style="225" bestFit="1" customWidth="1"/>
    <col min="2306" max="2306" width="28.125" style="225" bestFit="1" customWidth="1"/>
    <col min="2307" max="2307" width="23.875" style="225" bestFit="1" customWidth="1"/>
    <col min="2308" max="2308" width="20" style="225" bestFit="1" customWidth="1"/>
    <col min="2309" max="2309" width="24.375" style="225" bestFit="1" customWidth="1"/>
    <col min="2310" max="2310" width="25.625" style="225" bestFit="1" customWidth="1"/>
    <col min="2311" max="2312" width="25.625" style="225" customWidth="1"/>
    <col min="2313" max="2560" width="9" style="225"/>
    <col min="2561" max="2561" width="27.25" style="225" bestFit="1" customWidth="1"/>
    <col min="2562" max="2562" width="28.125" style="225" bestFit="1" customWidth="1"/>
    <col min="2563" max="2563" width="23.875" style="225" bestFit="1" customWidth="1"/>
    <col min="2564" max="2564" width="20" style="225" bestFit="1" customWidth="1"/>
    <col min="2565" max="2565" width="24.375" style="225" bestFit="1" customWidth="1"/>
    <col min="2566" max="2566" width="25.625" style="225" bestFit="1" customWidth="1"/>
    <col min="2567" max="2568" width="25.625" style="225" customWidth="1"/>
    <col min="2569" max="2816" width="9" style="225"/>
    <col min="2817" max="2817" width="27.25" style="225" bestFit="1" customWidth="1"/>
    <col min="2818" max="2818" width="28.125" style="225" bestFit="1" customWidth="1"/>
    <col min="2819" max="2819" width="23.875" style="225" bestFit="1" customWidth="1"/>
    <col min="2820" max="2820" width="20" style="225" bestFit="1" customWidth="1"/>
    <col min="2821" max="2821" width="24.375" style="225" bestFit="1" customWidth="1"/>
    <col min="2822" max="2822" width="25.625" style="225" bestFit="1" customWidth="1"/>
    <col min="2823" max="2824" width="25.625" style="225" customWidth="1"/>
    <col min="2825" max="3072" width="9" style="225"/>
    <col min="3073" max="3073" width="27.25" style="225" bestFit="1" customWidth="1"/>
    <col min="3074" max="3074" width="28.125" style="225" bestFit="1" customWidth="1"/>
    <col min="3075" max="3075" width="23.875" style="225" bestFit="1" customWidth="1"/>
    <col min="3076" max="3076" width="20" style="225" bestFit="1" customWidth="1"/>
    <col min="3077" max="3077" width="24.375" style="225" bestFit="1" customWidth="1"/>
    <col min="3078" max="3078" width="25.625" style="225" bestFit="1" customWidth="1"/>
    <col min="3079" max="3080" width="25.625" style="225" customWidth="1"/>
    <col min="3081" max="3328" width="9" style="225"/>
    <col min="3329" max="3329" width="27.25" style="225" bestFit="1" customWidth="1"/>
    <col min="3330" max="3330" width="28.125" style="225" bestFit="1" customWidth="1"/>
    <col min="3331" max="3331" width="23.875" style="225" bestFit="1" customWidth="1"/>
    <col min="3332" max="3332" width="20" style="225" bestFit="1" customWidth="1"/>
    <col min="3333" max="3333" width="24.375" style="225" bestFit="1" customWidth="1"/>
    <col min="3334" max="3334" width="25.625" style="225" bestFit="1" customWidth="1"/>
    <col min="3335" max="3336" width="25.625" style="225" customWidth="1"/>
    <col min="3337" max="3584" width="9" style="225"/>
    <col min="3585" max="3585" width="27.25" style="225" bestFit="1" customWidth="1"/>
    <col min="3586" max="3586" width="28.125" style="225" bestFit="1" customWidth="1"/>
    <col min="3587" max="3587" width="23.875" style="225" bestFit="1" customWidth="1"/>
    <col min="3588" max="3588" width="20" style="225" bestFit="1" customWidth="1"/>
    <col min="3589" max="3589" width="24.375" style="225" bestFit="1" customWidth="1"/>
    <col min="3590" max="3590" width="25.625" style="225" bestFit="1" customWidth="1"/>
    <col min="3591" max="3592" width="25.625" style="225" customWidth="1"/>
    <col min="3593" max="3840" width="9" style="225"/>
    <col min="3841" max="3841" width="27.25" style="225" bestFit="1" customWidth="1"/>
    <col min="3842" max="3842" width="28.125" style="225" bestFit="1" customWidth="1"/>
    <col min="3843" max="3843" width="23.875" style="225" bestFit="1" customWidth="1"/>
    <col min="3844" max="3844" width="20" style="225" bestFit="1" customWidth="1"/>
    <col min="3845" max="3845" width="24.375" style="225" bestFit="1" customWidth="1"/>
    <col min="3846" max="3846" width="25.625" style="225" bestFit="1" customWidth="1"/>
    <col min="3847" max="3848" width="25.625" style="225" customWidth="1"/>
    <col min="3849" max="4096" width="9" style="225"/>
    <col min="4097" max="4097" width="27.25" style="225" bestFit="1" customWidth="1"/>
    <col min="4098" max="4098" width="28.125" style="225" bestFit="1" customWidth="1"/>
    <col min="4099" max="4099" width="23.875" style="225" bestFit="1" customWidth="1"/>
    <col min="4100" max="4100" width="20" style="225" bestFit="1" customWidth="1"/>
    <col min="4101" max="4101" width="24.375" style="225" bestFit="1" customWidth="1"/>
    <col min="4102" max="4102" width="25.625" style="225" bestFit="1" customWidth="1"/>
    <col min="4103" max="4104" width="25.625" style="225" customWidth="1"/>
    <col min="4105" max="4352" width="9" style="225"/>
    <col min="4353" max="4353" width="27.25" style="225" bestFit="1" customWidth="1"/>
    <col min="4354" max="4354" width="28.125" style="225" bestFit="1" customWidth="1"/>
    <col min="4355" max="4355" width="23.875" style="225" bestFit="1" customWidth="1"/>
    <col min="4356" max="4356" width="20" style="225" bestFit="1" customWidth="1"/>
    <col min="4357" max="4357" width="24.375" style="225" bestFit="1" customWidth="1"/>
    <col min="4358" max="4358" width="25.625" style="225" bestFit="1" customWidth="1"/>
    <col min="4359" max="4360" width="25.625" style="225" customWidth="1"/>
    <col min="4361" max="4608" width="9" style="225"/>
    <col min="4609" max="4609" width="27.25" style="225" bestFit="1" customWidth="1"/>
    <col min="4610" max="4610" width="28.125" style="225" bestFit="1" customWidth="1"/>
    <col min="4611" max="4611" width="23.875" style="225" bestFit="1" customWidth="1"/>
    <col min="4612" max="4612" width="20" style="225" bestFit="1" customWidth="1"/>
    <col min="4613" max="4613" width="24.375" style="225" bestFit="1" customWidth="1"/>
    <col min="4614" max="4614" width="25.625" style="225" bestFit="1" customWidth="1"/>
    <col min="4615" max="4616" width="25.625" style="225" customWidth="1"/>
    <col min="4617" max="4864" width="9" style="225"/>
    <col min="4865" max="4865" width="27.25" style="225" bestFit="1" customWidth="1"/>
    <col min="4866" max="4866" width="28.125" style="225" bestFit="1" customWidth="1"/>
    <col min="4867" max="4867" width="23.875" style="225" bestFit="1" customWidth="1"/>
    <col min="4868" max="4868" width="20" style="225" bestFit="1" customWidth="1"/>
    <col min="4869" max="4869" width="24.375" style="225" bestFit="1" customWidth="1"/>
    <col min="4870" max="4870" width="25.625" style="225" bestFit="1" customWidth="1"/>
    <col min="4871" max="4872" width="25.625" style="225" customWidth="1"/>
    <col min="4873" max="5120" width="9" style="225"/>
    <col min="5121" max="5121" width="27.25" style="225" bestFit="1" customWidth="1"/>
    <col min="5122" max="5122" width="28.125" style="225" bestFit="1" customWidth="1"/>
    <col min="5123" max="5123" width="23.875" style="225" bestFit="1" customWidth="1"/>
    <col min="5124" max="5124" width="20" style="225" bestFit="1" customWidth="1"/>
    <col min="5125" max="5125" width="24.375" style="225" bestFit="1" customWidth="1"/>
    <col min="5126" max="5126" width="25.625" style="225" bestFit="1" customWidth="1"/>
    <col min="5127" max="5128" width="25.625" style="225" customWidth="1"/>
    <col min="5129" max="5376" width="9" style="225"/>
    <col min="5377" max="5377" width="27.25" style="225" bestFit="1" customWidth="1"/>
    <col min="5378" max="5378" width="28.125" style="225" bestFit="1" customWidth="1"/>
    <col min="5379" max="5379" width="23.875" style="225" bestFit="1" customWidth="1"/>
    <col min="5380" max="5380" width="20" style="225" bestFit="1" customWidth="1"/>
    <col min="5381" max="5381" width="24.375" style="225" bestFit="1" customWidth="1"/>
    <col min="5382" max="5382" width="25.625" style="225" bestFit="1" customWidth="1"/>
    <col min="5383" max="5384" width="25.625" style="225" customWidth="1"/>
    <col min="5385" max="5632" width="9" style="225"/>
    <col min="5633" max="5633" width="27.25" style="225" bestFit="1" customWidth="1"/>
    <col min="5634" max="5634" width="28.125" style="225" bestFit="1" customWidth="1"/>
    <col min="5635" max="5635" width="23.875" style="225" bestFit="1" customWidth="1"/>
    <col min="5636" max="5636" width="20" style="225" bestFit="1" customWidth="1"/>
    <col min="5637" max="5637" width="24.375" style="225" bestFit="1" customWidth="1"/>
    <col min="5638" max="5638" width="25.625" style="225" bestFit="1" customWidth="1"/>
    <col min="5639" max="5640" width="25.625" style="225" customWidth="1"/>
    <col min="5641" max="5888" width="9" style="225"/>
    <col min="5889" max="5889" width="27.25" style="225" bestFit="1" customWidth="1"/>
    <col min="5890" max="5890" width="28.125" style="225" bestFit="1" customWidth="1"/>
    <col min="5891" max="5891" width="23.875" style="225" bestFit="1" customWidth="1"/>
    <col min="5892" max="5892" width="20" style="225" bestFit="1" customWidth="1"/>
    <col min="5893" max="5893" width="24.375" style="225" bestFit="1" customWidth="1"/>
    <col min="5894" max="5894" width="25.625" style="225" bestFit="1" customWidth="1"/>
    <col min="5895" max="5896" width="25.625" style="225" customWidth="1"/>
    <col min="5897" max="6144" width="9" style="225"/>
    <col min="6145" max="6145" width="27.25" style="225" bestFit="1" customWidth="1"/>
    <col min="6146" max="6146" width="28.125" style="225" bestFit="1" customWidth="1"/>
    <col min="6147" max="6147" width="23.875" style="225" bestFit="1" customWidth="1"/>
    <col min="6148" max="6148" width="20" style="225" bestFit="1" customWidth="1"/>
    <col min="6149" max="6149" width="24.375" style="225" bestFit="1" customWidth="1"/>
    <col min="6150" max="6150" width="25.625" style="225" bestFit="1" customWidth="1"/>
    <col min="6151" max="6152" width="25.625" style="225" customWidth="1"/>
    <col min="6153" max="6400" width="9" style="225"/>
    <col min="6401" max="6401" width="27.25" style="225" bestFit="1" customWidth="1"/>
    <col min="6402" max="6402" width="28.125" style="225" bestFit="1" customWidth="1"/>
    <col min="6403" max="6403" width="23.875" style="225" bestFit="1" customWidth="1"/>
    <col min="6404" max="6404" width="20" style="225" bestFit="1" customWidth="1"/>
    <col min="6405" max="6405" width="24.375" style="225" bestFit="1" customWidth="1"/>
    <col min="6406" max="6406" width="25.625" style="225" bestFit="1" customWidth="1"/>
    <col min="6407" max="6408" width="25.625" style="225" customWidth="1"/>
    <col min="6409" max="6656" width="9" style="225"/>
    <col min="6657" max="6657" width="27.25" style="225" bestFit="1" customWidth="1"/>
    <col min="6658" max="6658" width="28.125" style="225" bestFit="1" customWidth="1"/>
    <col min="6659" max="6659" width="23.875" style="225" bestFit="1" customWidth="1"/>
    <col min="6660" max="6660" width="20" style="225" bestFit="1" customWidth="1"/>
    <col min="6661" max="6661" width="24.375" style="225" bestFit="1" customWidth="1"/>
    <col min="6662" max="6662" width="25.625" style="225" bestFit="1" customWidth="1"/>
    <col min="6663" max="6664" width="25.625" style="225" customWidth="1"/>
    <col min="6665" max="6912" width="9" style="225"/>
    <col min="6913" max="6913" width="27.25" style="225" bestFit="1" customWidth="1"/>
    <col min="6914" max="6914" width="28.125" style="225" bestFit="1" customWidth="1"/>
    <col min="6915" max="6915" width="23.875" style="225" bestFit="1" customWidth="1"/>
    <col min="6916" max="6916" width="20" style="225" bestFit="1" customWidth="1"/>
    <col min="6917" max="6917" width="24.375" style="225" bestFit="1" customWidth="1"/>
    <col min="6918" max="6918" width="25.625" style="225" bestFit="1" customWidth="1"/>
    <col min="6919" max="6920" width="25.625" style="225" customWidth="1"/>
    <col min="6921" max="7168" width="9" style="225"/>
    <col min="7169" max="7169" width="27.25" style="225" bestFit="1" customWidth="1"/>
    <col min="7170" max="7170" width="28.125" style="225" bestFit="1" customWidth="1"/>
    <col min="7171" max="7171" width="23.875" style="225" bestFit="1" customWidth="1"/>
    <col min="7172" max="7172" width="20" style="225" bestFit="1" customWidth="1"/>
    <col min="7173" max="7173" width="24.375" style="225" bestFit="1" customWidth="1"/>
    <col min="7174" max="7174" width="25.625" style="225" bestFit="1" customWidth="1"/>
    <col min="7175" max="7176" width="25.625" style="225" customWidth="1"/>
    <col min="7177" max="7424" width="9" style="225"/>
    <col min="7425" max="7425" width="27.25" style="225" bestFit="1" customWidth="1"/>
    <col min="7426" max="7426" width="28.125" style="225" bestFit="1" customWidth="1"/>
    <col min="7427" max="7427" width="23.875" style="225" bestFit="1" customWidth="1"/>
    <col min="7428" max="7428" width="20" style="225" bestFit="1" customWidth="1"/>
    <col min="7429" max="7429" width="24.375" style="225" bestFit="1" customWidth="1"/>
    <col min="7430" max="7430" width="25.625" style="225" bestFit="1" customWidth="1"/>
    <col min="7431" max="7432" width="25.625" style="225" customWidth="1"/>
    <col min="7433" max="7680" width="9" style="225"/>
    <col min="7681" max="7681" width="27.25" style="225" bestFit="1" customWidth="1"/>
    <col min="7682" max="7682" width="28.125" style="225" bestFit="1" customWidth="1"/>
    <col min="7683" max="7683" width="23.875" style="225" bestFit="1" customWidth="1"/>
    <col min="7684" max="7684" width="20" style="225" bestFit="1" customWidth="1"/>
    <col min="7685" max="7685" width="24.375" style="225" bestFit="1" customWidth="1"/>
    <col min="7686" max="7686" width="25.625" style="225" bestFit="1" customWidth="1"/>
    <col min="7687" max="7688" width="25.625" style="225" customWidth="1"/>
    <col min="7689" max="7936" width="9" style="225"/>
    <col min="7937" max="7937" width="27.25" style="225" bestFit="1" customWidth="1"/>
    <col min="7938" max="7938" width="28.125" style="225" bestFit="1" customWidth="1"/>
    <col min="7939" max="7939" width="23.875" style="225" bestFit="1" customWidth="1"/>
    <col min="7940" max="7940" width="20" style="225" bestFit="1" customWidth="1"/>
    <col min="7941" max="7941" width="24.375" style="225" bestFit="1" customWidth="1"/>
    <col min="7942" max="7942" width="25.625" style="225" bestFit="1" customWidth="1"/>
    <col min="7943" max="7944" width="25.625" style="225" customWidth="1"/>
    <col min="7945" max="8192" width="9" style="225"/>
    <col min="8193" max="8193" width="27.25" style="225" bestFit="1" customWidth="1"/>
    <col min="8194" max="8194" width="28.125" style="225" bestFit="1" customWidth="1"/>
    <col min="8195" max="8195" width="23.875" style="225" bestFit="1" customWidth="1"/>
    <col min="8196" max="8196" width="20" style="225" bestFit="1" customWidth="1"/>
    <col min="8197" max="8197" width="24.375" style="225" bestFit="1" customWidth="1"/>
    <col min="8198" max="8198" width="25.625" style="225" bestFit="1" customWidth="1"/>
    <col min="8199" max="8200" width="25.625" style="225" customWidth="1"/>
    <col min="8201" max="8448" width="9" style="225"/>
    <col min="8449" max="8449" width="27.25" style="225" bestFit="1" customWidth="1"/>
    <col min="8450" max="8450" width="28.125" style="225" bestFit="1" customWidth="1"/>
    <col min="8451" max="8451" width="23.875" style="225" bestFit="1" customWidth="1"/>
    <col min="8452" max="8452" width="20" style="225" bestFit="1" customWidth="1"/>
    <col min="8453" max="8453" width="24.375" style="225" bestFit="1" customWidth="1"/>
    <col min="8454" max="8454" width="25.625" style="225" bestFit="1" customWidth="1"/>
    <col min="8455" max="8456" width="25.625" style="225" customWidth="1"/>
    <col min="8457" max="8704" width="9" style="225"/>
    <col min="8705" max="8705" width="27.25" style="225" bestFit="1" customWidth="1"/>
    <col min="8706" max="8706" width="28.125" style="225" bestFit="1" customWidth="1"/>
    <col min="8707" max="8707" width="23.875" style="225" bestFit="1" customWidth="1"/>
    <col min="8708" max="8708" width="20" style="225" bestFit="1" customWidth="1"/>
    <col min="8709" max="8709" width="24.375" style="225" bestFit="1" customWidth="1"/>
    <col min="8710" max="8710" width="25.625" style="225" bestFit="1" customWidth="1"/>
    <col min="8711" max="8712" width="25.625" style="225" customWidth="1"/>
    <col min="8713" max="8960" width="9" style="225"/>
    <col min="8961" max="8961" width="27.25" style="225" bestFit="1" customWidth="1"/>
    <col min="8962" max="8962" width="28.125" style="225" bestFit="1" customWidth="1"/>
    <col min="8963" max="8963" width="23.875" style="225" bestFit="1" customWidth="1"/>
    <col min="8964" max="8964" width="20" style="225" bestFit="1" customWidth="1"/>
    <col min="8965" max="8965" width="24.375" style="225" bestFit="1" customWidth="1"/>
    <col min="8966" max="8966" width="25.625" style="225" bestFit="1" customWidth="1"/>
    <col min="8967" max="8968" width="25.625" style="225" customWidth="1"/>
    <col min="8969" max="9216" width="9" style="225"/>
    <col min="9217" max="9217" width="27.25" style="225" bestFit="1" customWidth="1"/>
    <col min="9218" max="9218" width="28.125" style="225" bestFit="1" customWidth="1"/>
    <col min="9219" max="9219" width="23.875" style="225" bestFit="1" customWidth="1"/>
    <col min="9220" max="9220" width="20" style="225" bestFit="1" customWidth="1"/>
    <col min="9221" max="9221" width="24.375" style="225" bestFit="1" customWidth="1"/>
    <col min="9222" max="9222" width="25.625" style="225" bestFit="1" customWidth="1"/>
    <col min="9223" max="9224" width="25.625" style="225" customWidth="1"/>
    <col min="9225" max="9472" width="9" style="225"/>
    <col min="9473" max="9473" width="27.25" style="225" bestFit="1" customWidth="1"/>
    <col min="9474" max="9474" width="28.125" style="225" bestFit="1" customWidth="1"/>
    <col min="9475" max="9475" width="23.875" style="225" bestFit="1" customWidth="1"/>
    <col min="9476" max="9476" width="20" style="225" bestFit="1" customWidth="1"/>
    <col min="9477" max="9477" width="24.375" style="225" bestFit="1" customWidth="1"/>
    <col min="9478" max="9478" width="25.625" style="225" bestFit="1" customWidth="1"/>
    <col min="9479" max="9480" width="25.625" style="225" customWidth="1"/>
    <col min="9481" max="9728" width="9" style="225"/>
    <col min="9729" max="9729" width="27.25" style="225" bestFit="1" customWidth="1"/>
    <col min="9730" max="9730" width="28.125" style="225" bestFit="1" customWidth="1"/>
    <col min="9731" max="9731" width="23.875" style="225" bestFit="1" customWidth="1"/>
    <col min="9732" max="9732" width="20" style="225" bestFit="1" customWidth="1"/>
    <col min="9733" max="9733" width="24.375" style="225" bestFit="1" customWidth="1"/>
    <col min="9734" max="9734" width="25.625" style="225" bestFit="1" customWidth="1"/>
    <col min="9735" max="9736" width="25.625" style="225" customWidth="1"/>
    <col min="9737" max="9984" width="9" style="225"/>
    <col min="9985" max="9985" width="27.25" style="225" bestFit="1" customWidth="1"/>
    <col min="9986" max="9986" width="28.125" style="225" bestFit="1" customWidth="1"/>
    <col min="9987" max="9987" width="23.875" style="225" bestFit="1" customWidth="1"/>
    <col min="9988" max="9988" width="20" style="225" bestFit="1" customWidth="1"/>
    <col min="9989" max="9989" width="24.375" style="225" bestFit="1" customWidth="1"/>
    <col min="9990" max="9990" width="25.625" style="225" bestFit="1" customWidth="1"/>
    <col min="9991" max="9992" width="25.625" style="225" customWidth="1"/>
    <col min="9993" max="10240" width="9" style="225"/>
    <col min="10241" max="10241" width="27.25" style="225" bestFit="1" customWidth="1"/>
    <col min="10242" max="10242" width="28.125" style="225" bestFit="1" customWidth="1"/>
    <col min="10243" max="10243" width="23.875" style="225" bestFit="1" customWidth="1"/>
    <col min="10244" max="10244" width="20" style="225" bestFit="1" customWidth="1"/>
    <col min="10245" max="10245" width="24.375" style="225" bestFit="1" customWidth="1"/>
    <col min="10246" max="10246" width="25.625" style="225" bestFit="1" customWidth="1"/>
    <col min="10247" max="10248" width="25.625" style="225" customWidth="1"/>
    <col min="10249" max="10496" width="9" style="225"/>
    <col min="10497" max="10497" width="27.25" style="225" bestFit="1" customWidth="1"/>
    <col min="10498" max="10498" width="28.125" style="225" bestFit="1" customWidth="1"/>
    <col min="10499" max="10499" width="23.875" style="225" bestFit="1" customWidth="1"/>
    <col min="10500" max="10500" width="20" style="225" bestFit="1" customWidth="1"/>
    <col min="10501" max="10501" width="24.375" style="225" bestFit="1" customWidth="1"/>
    <col min="10502" max="10502" width="25.625" style="225" bestFit="1" customWidth="1"/>
    <col min="10503" max="10504" width="25.625" style="225" customWidth="1"/>
    <col min="10505" max="10752" width="9" style="225"/>
    <col min="10753" max="10753" width="27.25" style="225" bestFit="1" customWidth="1"/>
    <col min="10754" max="10754" width="28.125" style="225" bestFit="1" customWidth="1"/>
    <col min="10755" max="10755" width="23.875" style="225" bestFit="1" customWidth="1"/>
    <col min="10756" max="10756" width="20" style="225" bestFit="1" customWidth="1"/>
    <col min="10757" max="10757" width="24.375" style="225" bestFit="1" customWidth="1"/>
    <col min="10758" max="10758" width="25.625" style="225" bestFit="1" customWidth="1"/>
    <col min="10759" max="10760" width="25.625" style="225" customWidth="1"/>
    <col min="10761" max="11008" width="9" style="225"/>
    <col min="11009" max="11009" width="27.25" style="225" bestFit="1" customWidth="1"/>
    <col min="11010" max="11010" width="28.125" style="225" bestFit="1" customWidth="1"/>
    <col min="11011" max="11011" width="23.875" style="225" bestFit="1" customWidth="1"/>
    <col min="11012" max="11012" width="20" style="225" bestFit="1" customWidth="1"/>
    <col min="11013" max="11013" width="24.375" style="225" bestFit="1" customWidth="1"/>
    <col min="11014" max="11014" width="25.625" style="225" bestFit="1" customWidth="1"/>
    <col min="11015" max="11016" width="25.625" style="225" customWidth="1"/>
    <col min="11017" max="11264" width="9" style="225"/>
    <col min="11265" max="11265" width="27.25" style="225" bestFit="1" customWidth="1"/>
    <col min="11266" max="11266" width="28.125" style="225" bestFit="1" customWidth="1"/>
    <col min="11267" max="11267" width="23.875" style="225" bestFit="1" customWidth="1"/>
    <col min="11268" max="11268" width="20" style="225" bestFit="1" customWidth="1"/>
    <col min="11269" max="11269" width="24.375" style="225" bestFit="1" customWidth="1"/>
    <col min="11270" max="11270" width="25.625" style="225" bestFit="1" customWidth="1"/>
    <col min="11271" max="11272" width="25.625" style="225" customWidth="1"/>
    <col min="11273" max="11520" width="9" style="225"/>
    <col min="11521" max="11521" width="27.25" style="225" bestFit="1" customWidth="1"/>
    <col min="11522" max="11522" width="28.125" style="225" bestFit="1" customWidth="1"/>
    <col min="11523" max="11523" width="23.875" style="225" bestFit="1" customWidth="1"/>
    <col min="11524" max="11524" width="20" style="225" bestFit="1" customWidth="1"/>
    <col min="11525" max="11525" width="24.375" style="225" bestFit="1" customWidth="1"/>
    <col min="11526" max="11526" width="25.625" style="225" bestFit="1" customWidth="1"/>
    <col min="11527" max="11528" width="25.625" style="225" customWidth="1"/>
    <col min="11529" max="11776" width="9" style="225"/>
    <col min="11777" max="11777" width="27.25" style="225" bestFit="1" customWidth="1"/>
    <col min="11778" max="11778" width="28.125" style="225" bestFit="1" customWidth="1"/>
    <col min="11779" max="11779" width="23.875" style="225" bestFit="1" customWidth="1"/>
    <col min="11780" max="11780" width="20" style="225" bestFit="1" customWidth="1"/>
    <col min="11781" max="11781" width="24.375" style="225" bestFit="1" customWidth="1"/>
    <col min="11782" max="11782" width="25.625" style="225" bestFit="1" customWidth="1"/>
    <col min="11783" max="11784" width="25.625" style="225" customWidth="1"/>
    <col min="11785" max="12032" width="9" style="225"/>
    <col min="12033" max="12033" width="27.25" style="225" bestFit="1" customWidth="1"/>
    <col min="12034" max="12034" width="28.125" style="225" bestFit="1" customWidth="1"/>
    <col min="12035" max="12035" width="23.875" style="225" bestFit="1" customWidth="1"/>
    <col min="12036" max="12036" width="20" style="225" bestFit="1" customWidth="1"/>
    <col min="12037" max="12037" width="24.375" style="225" bestFit="1" customWidth="1"/>
    <col min="12038" max="12038" width="25.625" style="225" bestFit="1" customWidth="1"/>
    <col min="12039" max="12040" width="25.625" style="225" customWidth="1"/>
    <col min="12041" max="12288" width="9" style="225"/>
    <col min="12289" max="12289" width="27.25" style="225" bestFit="1" customWidth="1"/>
    <col min="12290" max="12290" width="28.125" style="225" bestFit="1" customWidth="1"/>
    <col min="12291" max="12291" width="23.875" style="225" bestFit="1" customWidth="1"/>
    <col min="12292" max="12292" width="20" style="225" bestFit="1" customWidth="1"/>
    <col min="12293" max="12293" width="24.375" style="225" bestFit="1" customWidth="1"/>
    <col min="12294" max="12294" width="25.625" style="225" bestFit="1" customWidth="1"/>
    <col min="12295" max="12296" width="25.625" style="225" customWidth="1"/>
    <col min="12297" max="12544" width="9" style="225"/>
    <col min="12545" max="12545" width="27.25" style="225" bestFit="1" customWidth="1"/>
    <col min="12546" max="12546" width="28.125" style="225" bestFit="1" customWidth="1"/>
    <col min="12547" max="12547" width="23.875" style="225" bestFit="1" customWidth="1"/>
    <col min="12548" max="12548" width="20" style="225" bestFit="1" customWidth="1"/>
    <col min="12549" max="12549" width="24.375" style="225" bestFit="1" customWidth="1"/>
    <col min="12550" max="12550" width="25.625" style="225" bestFit="1" customWidth="1"/>
    <col min="12551" max="12552" width="25.625" style="225" customWidth="1"/>
    <col min="12553" max="12800" width="9" style="225"/>
    <col min="12801" max="12801" width="27.25" style="225" bestFit="1" customWidth="1"/>
    <col min="12802" max="12802" width="28.125" style="225" bestFit="1" customWidth="1"/>
    <col min="12803" max="12803" width="23.875" style="225" bestFit="1" customWidth="1"/>
    <col min="12804" max="12804" width="20" style="225" bestFit="1" customWidth="1"/>
    <col min="12805" max="12805" width="24.375" style="225" bestFit="1" customWidth="1"/>
    <col min="12806" max="12806" width="25.625" style="225" bestFit="1" customWidth="1"/>
    <col min="12807" max="12808" width="25.625" style="225" customWidth="1"/>
    <col min="12809" max="13056" width="9" style="225"/>
    <col min="13057" max="13057" width="27.25" style="225" bestFit="1" customWidth="1"/>
    <col min="13058" max="13058" width="28.125" style="225" bestFit="1" customWidth="1"/>
    <col min="13059" max="13059" width="23.875" style="225" bestFit="1" customWidth="1"/>
    <col min="13060" max="13060" width="20" style="225" bestFit="1" customWidth="1"/>
    <col min="13061" max="13061" width="24.375" style="225" bestFit="1" customWidth="1"/>
    <col min="13062" max="13062" width="25.625" style="225" bestFit="1" customWidth="1"/>
    <col min="13063" max="13064" width="25.625" style="225" customWidth="1"/>
    <col min="13065" max="13312" width="9" style="225"/>
    <col min="13313" max="13313" width="27.25" style="225" bestFit="1" customWidth="1"/>
    <col min="13314" max="13314" width="28.125" style="225" bestFit="1" customWidth="1"/>
    <col min="13315" max="13315" width="23.875" style="225" bestFit="1" customWidth="1"/>
    <col min="13316" max="13316" width="20" style="225" bestFit="1" customWidth="1"/>
    <col min="13317" max="13317" width="24.375" style="225" bestFit="1" customWidth="1"/>
    <col min="13318" max="13318" width="25.625" style="225" bestFit="1" customWidth="1"/>
    <col min="13319" max="13320" width="25.625" style="225" customWidth="1"/>
    <col min="13321" max="13568" width="9" style="225"/>
    <col min="13569" max="13569" width="27.25" style="225" bestFit="1" customWidth="1"/>
    <col min="13570" max="13570" width="28.125" style="225" bestFit="1" customWidth="1"/>
    <col min="13571" max="13571" width="23.875" style="225" bestFit="1" customWidth="1"/>
    <col min="13572" max="13572" width="20" style="225" bestFit="1" customWidth="1"/>
    <col min="13573" max="13573" width="24.375" style="225" bestFit="1" customWidth="1"/>
    <col min="13574" max="13574" width="25.625" style="225" bestFit="1" customWidth="1"/>
    <col min="13575" max="13576" width="25.625" style="225" customWidth="1"/>
    <col min="13577" max="13824" width="9" style="225"/>
    <col min="13825" max="13825" width="27.25" style="225" bestFit="1" customWidth="1"/>
    <col min="13826" max="13826" width="28.125" style="225" bestFit="1" customWidth="1"/>
    <col min="13827" max="13827" width="23.875" style="225" bestFit="1" customWidth="1"/>
    <col min="13828" max="13828" width="20" style="225" bestFit="1" customWidth="1"/>
    <col min="13829" max="13829" width="24.375" style="225" bestFit="1" customWidth="1"/>
    <col min="13830" max="13830" width="25.625" style="225" bestFit="1" customWidth="1"/>
    <col min="13831" max="13832" width="25.625" style="225" customWidth="1"/>
    <col min="13833" max="14080" width="9" style="225"/>
    <col min="14081" max="14081" width="27.25" style="225" bestFit="1" customWidth="1"/>
    <col min="14082" max="14082" width="28.125" style="225" bestFit="1" customWidth="1"/>
    <col min="14083" max="14083" width="23.875" style="225" bestFit="1" customWidth="1"/>
    <col min="14084" max="14084" width="20" style="225" bestFit="1" customWidth="1"/>
    <col min="14085" max="14085" width="24.375" style="225" bestFit="1" customWidth="1"/>
    <col min="14086" max="14086" width="25.625" style="225" bestFit="1" customWidth="1"/>
    <col min="14087" max="14088" width="25.625" style="225" customWidth="1"/>
    <col min="14089" max="14336" width="9" style="225"/>
    <col min="14337" max="14337" width="27.25" style="225" bestFit="1" customWidth="1"/>
    <col min="14338" max="14338" width="28.125" style="225" bestFit="1" customWidth="1"/>
    <col min="14339" max="14339" width="23.875" style="225" bestFit="1" customWidth="1"/>
    <col min="14340" max="14340" width="20" style="225" bestFit="1" customWidth="1"/>
    <col min="14341" max="14341" width="24.375" style="225" bestFit="1" customWidth="1"/>
    <col min="14342" max="14342" width="25.625" style="225" bestFit="1" customWidth="1"/>
    <col min="14343" max="14344" width="25.625" style="225" customWidth="1"/>
    <col min="14345" max="14592" width="9" style="225"/>
    <col min="14593" max="14593" width="27.25" style="225" bestFit="1" customWidth="1"/>
    <col min="14594" max="14594" width="28.125" style="225" bestFit="1" customWidth="1"/>
    <col min="14595" max="14595" width="23.875" style="225" bestFit="1" customWidth="1"/>
    <col min="14596" max="14596" width="20" style="225" bestFit="1" customWidth="1"/>
    <col min="14597" max="14597" width="24.375" style="225" bestFit="1" customWidth="1"/>
    <col min="14598" max="14598" width="25.625" style="225" bestFit="1" customWidth="1"/>
    <col min="14599" max="14600" width="25.625" style="225" customWidth="1"/>
    <col min="14601" max="14848" width="9" style="225"/>
    <col min="14849" max="14849" width="27.25" style="225" bestFit="1" customWidth="1"/>
    <col min="14850" max="14850" width="28.125" style="225" bestFit="1" customWidth="1"/>
    <col min="14851" max="14851" width="23.875" style="225" bestFit="1" customWidth="1"/>
    <col min="14852" max="14852" width="20" style="225" bestFit="1" customWidth="1"/>
    <col min="14853" max="14853" width="24.375" style="225" bestFit="1" customWidth="1"/>
    <col min="14854" max="14854" width="25.625" style="225" bestFit="1" customWidth="1"/>
    <col min="14855" max="14856" width="25.625" style="225" customWidth="1"/>
    <col min="14857" max="15104" width="9" style="225"/>
    <col min="15105" max="15105" width="27.25" style="225" bestFit="1" customWidth="1"/>
    <col min="15106" max="15106" width="28.125" style="225" bestFit="1" customWidth="1"/>
    <col min="15107" max="15107" width="23.875" style="225" bestFit="1" customWidth="1"/>
    <col min="15108" max="15108" width="20" style="225" bestFit="1" customWidth="1"/>
    <col min="15109" max="15109" width="24.375" style="225" bestFit="1" customWidth="1"/>
    <col min="15110" max="15110" width="25.625" style="225" bestFit="1" customWidth="1"/>
    <col min="15111" max="15112" width="25.625" style="225" customWidth="1"/>
    <col min="15113" max="15360" width="9" style="225"/>
    <col min="15361" max="15361" width="27.25" style="225" bestFit="1" customWidth="1"/>
    <col min="15362" max="15362" width="28.125" style="225" bestFit="1" customWidth="1"/>
    <col min="15363" max="15363" width="23.875" style="225" bestFit="1" customWidth="1"/>
    <col min="15364" max="15364" width="20" style="225" bestFit="1" customWidth="1"/>
    <col min="15365" max="15365" width="24.375" style="225" bestFit="1" customWidth="1"/>
    <col min="15366" max="15366" width="25.625" style="225" bestFit="1" customWidth="1"/>
    <col min="15367" max="15368" width="25.625" style="225" customWidth="1"/>
    <col min="15369" max="15616" width="9" style="225"/>
    <col min="15617" max="15617" width="27.25" style="225" bestFit="1" customWidth="1"/>
    <col min="15618" max="15618" width="28.125" style="225" bestFit="1" customWidth="1"/>
    <col min="15619" max="15619" width="23.875" style="225" bestFit="1" customWidth="1"/>
    <col min="15620" max="15620" width="20" style="225" bestFit="1" customWidth="1"/>
    <col min="15621" max="15621" width="24.375" style="225" bestFit="1" customWidth="1"/>
    <col min="15622" max="15622" width="25.625" style="225" bestFit="1" customWidth="1"/>
    <col min="15623" max="15624" width="25.625" style="225" customWidth="1"/>
    <col min="15625" max="15872" width="9" style="225"/>
    <col min="15873" max="15873" width="27.25" style="225" bestFit="1" customWidth="1"/>
    <col min="15874" max="15874" width="28.125" style="225" bestFit="1" customWidth="1"/>
    <col min="15875" max="15875" width="23.875" style="225" bestFit="1" customWidth="1"/>
    <col min="15876" max="15876" width="20" style="225" bestFit="1" customWidth="1"/>
    <col min="15877" max="15877" width="24.375" style="225" bestFit="1" customWidth="1"/>
    <col min="15878" max="15878" width="25.625" style="225" bestFit="1" customWidth="1"/>
    <col min="15879" max="15880" width="25.625" style="225" customWidth="1"/>
    <col min="15881" max="16128" width="9" style="225"/>
    <col min="16129" max="16129" width="27.25" style="225" bestFit="1" customWidth="1"/>
    <col min="16130" max="16130" width="28.125" style="225" bestFit="1" customWidth="1"/>
    <col min="16131" max="16131" width="23.875" style="225" bestFit="1" customWidth="1"/>
    <col min="16132" max="16132" width="20" style="225" bestFit="1" customWidth="1"/>
    <col min="16133" max="16133" width="24.375" style="225" bestFit="1" customWidth="1"/>
    <col min="16134" max="16134" width="25.625" style="225" bestFit="1" customWidth="1"/>
    <col min="16135" max="16136" width="25.625" style="225" customWidth="1"/>
    <col min="16137" max="16384" width="9" style="225"/>
  </cols>
  <sheetData>
    <row r="1" spans="1:8">
      <c r="A1" s="224" t="s">
        <v>539</v>
      </c>
    </row>
    <row r="2" spans="1:8">
      <c r="A2" s="226" t="s">
        <v>540</v>
      </c>
    </row>
    <row r="3" spans="1:8">
      <c r="A3" s="224" t="s">
        <v>541</v>
      </c>
      <c r="B3" s="224" t="s">
        <v>542</v>
      </c>
      <c r="C3" s="224" t="s">
        <v>543</v>
      </c>
      <c r="D3" s="224" t="s">
        <v>544</v>
      </c>
      <c r="E3" s="224" t="s">
        <v>545</v>
      </c>
      <c r="F3" s="224" t="s">
        <v>546</v>
      </c>
      <c r="G3" s="224" t="s">
        <v>547</v>
      </c>
      <c r="H3" s="224" t="s">
        <v>548</v>
      </c>
    </row>
    <row r="4" spans="1:8">
      <c r="A4" s="226">
        <v>2</v>
      </c>
      <c r="B4" s="226">
        <v>1</v>
      </c>
      <c r="C4" s="226">
        <v>21</v>
      </c>
      <c r="D4" s="226">
        <v>1</v>
      </c>
      <c r="E4" s="226">
        <v>6</v>
      </c>
      <c r="F4" s="226">
        <v>2</v>
      </c>
      <c r="G4" s="226">
        <v>9.5649999999999995</v>
      </c>
      <c r="H4" s="226">
        <v>5</v>
      </c>
    </row>
    <row r="5" spans="1:8">
      <c r="A5" s="224" t="s">
        <v>549</v>
      </c>
    </row>
    <row r="6" spans="1:8">
      <c r="A6" s="224" t="s">
        <v>550</v>
      </c>
      <c r="B6" s="227" t="s">
        <v>551</v>
      </c>
    </row>
    <row r="7" spans="1:8">
      <c r="A7" s="224" t="s">
        <v>552</v>
      </c>
      <c r="B7" s="224" t="s">
        <v>553</v>
      </c>
      <c r="C7" s="224" t="s">
        <v>554</v>
      </c>
      <c r="D7" s="227" t="s">
        <v>551</v>
      </c>
      <c r="E7" s="227"/>
    </row>
    <row r="8" spans="1:8">
      <c r="A8" s="226">
        <v>1</v>
      </c>
      <c r="B8" s="226"/>
      <c r="C8" s="226"/>
      <c r="D8" s="227" t="s">
        <v>551</v>
      </c>
    </row>
    <row r="9" spans="1:8">
      <c r="A9" s="226">
        <v>2</v>
      </c>
      <c r="B9" s="226"/>
      <c r="C9" s="226"/>
      <c r="D9" s="227" t="s">
        <v>551</v>
      </c>
    </row>
    <row r="10" spans="1:8">
      <c r="A10" s="226">
        <v>3</v>
      </c>
      <c r="B10" s="226"/>
      <c r="C10" s="226"/>
      <c r="D10" s="227" t="s">
        <v>551</v>
      </c>
    </row>
    <row r="11" spans="1:8">
      <c r="A11" s="226">
        <v>4</v>
      </c>
      <c r="B11" s="226"/>
      <c r="C11" s="226"/>
      <c r="D11" s="227" t="s">
        <v>551</v>
      </c>
    </row>
    <row r="12" spans="1:8">
      <c r="A12" s="226">
        <v>5</v>
      </c>
      <c r="B12" s="226"/>
      <c r="C12" s="226"/>
      <c r="D12" s="227" t="s">
        <v>551</v>
      </c>
    </row>
    <row r="13" spans="1:8">
      <c r="A13" s="226">
        <v>6</v>
      </c>
      <c r="B13" s="226"/>
      <c r="C13" s="226"/>
      <c r="D13" s="227" t="s">
        <v>551</v>
      </c>
    </row>
    <row r="15" spans="1:8">
      <c r="A15" s="224" t="s">
        <v>555</v>
      </c>
    </row>
    <row r="16" spans="1:8">
      <c r="A16" s="224" t="s">
        <v>556</v>
      </c>
    </row>
    <row r="17" spans="1:7">
      <c r="A17" s="224" t="s">
        <v>557</v>
      </c>
      <c r="B17" s="224" t="s">
        <v>558</v>
      </c>
      <c r="C17" s="224" t="s">
        <v>559</v>
      </c>
      <c r="D17" s="224" t="s">
        <v>560</v>
      </c>
      <c r="E17" s="224" t="s">
        <v>561</v>
      </c>
      <c r="F17" s="224" t="s">
        <v>562</v>
      </c>
      <c r="G17" s="224" t="s">
        <v>563</v>
      </c>
    </row>
    <row r="18" spans="1:7">
      <c r="A18" s="224" t="s">
        <v>564</v>
      </c>
      <c r="B18" s="226"/>
      <c r="C18" s="226"/>
      <c r="D18" s="226"/>
      <c r="E18" s="226"/>
      <c r="F18" s="226"/>
      <c r="G18" s="226"/>
    </row>
    <row r="19" spans="1:7">
      <c r="A19" s="224" t="s">
        <v>565</v>
      </c>
      <c r="B19" s="226"/>
      <c r="C19" s="226"/>
      <c r="D19" s="226"/>
      <c r="E19" s="226"/>
      <c r="F19" s="226"/>
      <c r="G19" s="226"/>
    </row>
    <row r="20" spans="1:7">
      <c r="A20" s="224" t="s">
        <v>566</v>
      </c>
      <c r="B20" s="226"/>
      <c r="C20" s="226"/>
      <c r="D20" s="226"/>
      <c r="E20" s="226"/>
      <c r="F20" s="226"/>
      <c r="G20" s="226"/>
    </row>
    <row r="21" spans="1:7">
      <c r="A21" s="224" t="s">
        <v>567</v>
      </c>
      <c r="B21" s="226"/>
      <c r="C21" s="226"/>
      <c r="D21" s="226"/>
      <c r="E21" s="226"/>
      <c r="F21" s="226"/>
      <c r="G21" s="226"/>
    </row>
    <row r="22" spans="1:7">
      <c r="A22" s="224" t="s">
        <v>568</v>
      </c>
      <c r="B22" s="226"/>
      <c r="C22" s="226"/>
      <c r="D22" s="226"/>
      <c r="E22" s="226"/>
      <c r="F22" s="226"/>
      <c r="G22" s="226"/>
    </row>
    <row r="23" spans="1:7">
      <c r="A23" s="228"/>
    </row>
    <row r="24" spans="1:7">
      <c r="A24" s="224" t="s">
        <v>569</v>
      </c>
    </row>
    <row r="25" spans="1:7">
      <c r="A25" s="224" t="s">
        <v>557</v>
      </c>
      <c r="B25" s="224" t="s">
        <v>588</v>
      </c>
      <c r="C25" s="224" t="s">
        <v>559</v>
      </c>
      <c r="D25" s="224" t="s">
        <v>570</v>
      </c>
      <c r="E25" s="224" t="s">
        <v>562</v>
      </c>
      <c r="F25" s="224" t="s">
        <v>589</v>
      </c>
      <c r="G25" s="230" t="s">
        <v>590</v>
      </c>
    </row>
    <row r="26" spans="1:7">
      <c r="A26" s="224" t="s">
        <v>564</v>
      </c>
      <c r="B26" s="226"/>
      <c r="C26" s="226"/>
      <c r="D26" s="226"/>
      <c r="E26" s="226"/>
      <c r="F26" s="226"/>
    </row>
    <row r="27" spans="1:7">
      <c r="A27" s="224" t="s">
        <v>565</v>
      </c>
      <c r="B27" s="226"/>
      <c r="C27" s="226"/>
      <c r="D27" s="226"/>
      <c r="E27" s="226"/>
      <c r="F27" s="226"/>
    </row>
    <row r="28" spans="1:7">
      <c r="A28" s="224" t="s">
        <v>566</v>
      </c>
      <c r="B28" s="226"/>
      <c r="C28" s="226"/>
      <c r="D28" s="226"/>
      <c r="E28" s="226"/>
      <c r="F28" s="226"/>
    </row>
    <row r="29" spans="1:7">
      <c r="A29" s="224" t="s">
        <v>567</v>
      </c>
      <c r="B29" s="226"/>
      <c r="C29" s="226"/>
      <c r="D29" s="226"/>
      <c r="E29" s="226"/>
      <c r="F29" s="226"/>
    </row>
    <row r="30" spans="1:7">
      <c r="A30" s="224" t="s">
        <v>568</v>
      </c>
      <c r="B30" s="226"/>
      <c r="C30" s="226"/>
      <c r="D30" s="226"/>
      <c r="E30" s="226"/>
      <c r="F30" s="226"/>
    </row>
    <row r="32" spans="1:7">
      <c r="A32" s="224" t="s">
        <v>572</v>
      </c>
    </row>
    <row r="33" spans="1:4">
      <c r="A33" s="224" t="s">
        <v>557</v>
      </c>
      <c r="B33" s="224" t="s">
        <v>573</v>
      </c>
      <c r="C33" s="224" t="s">
        <v>574</v>
      </c>
      <c r="D33" s="224" t="s">
        <v>575</v>
      </c>
    </row>
    <row r="34" spans="1:4">
      <c r="A34" s="224" t="s">
        <v>564</v>
      </c>
      <c r="B34" s="226"/>
      <c r="C34" s="226"/>
      <c r="D34" s="226"/>
    </row>
    <row r="35" spans="1:4">
      <c r="A35" s="224" t="s">
        <v>565</v>
      </c>
      <c r="B35" s="226"/>
      <c r="C35" s="226"/>
      <c r="D35" s="226"/>
    </row>
    <row r="36" spans="1:4">
      <c r="A36" s="224" t="s">
        <v>566</v>
      </c>
      <c r="B36" s="226"/>
      <c r="C36" s="226"/>
      <c r="D36" s="226"/>
    </row>
    <row r="37" spans="1:4">
      <c r="A37" s="224" t="s">
        <v>567</v>
      </c>
      <c r="B37" s="226"/>
      <c r="C37" s="226"/>
      <c r="D37" s="226"/>
    </row>
    <row r="38" spans="1:4">
      <c r="A38" s="224" t="s">
        <v>568</v>
      </c>
      <c r="B38" s="226"/>
      <c r="C38" s="226"/>
      <c r="D38" s="226"/>
    </row>
    <row r="39" spans="1:4">
      <c r="A39" s="228"/>
    </row>
    <row r="40" spans="1:4">
      <c r="A40" s="224" t="s">
        <v>576</v>
      </c>
    </row>
    <row r="41" spans="1:4">
      <c r="A41" s="224" t="s">
        <v>557</v>
      </c>
      <c r="B41" s="224" t="s">
        <v>577</v>
      </c>
    </row>
    <row r="42" spans="1:4">
      <c r="A42" s="224" t="s">
        <v>564</v>
      </c>
      <c r="B42" s="226"/>
    </row>
    <row r="43" spans="1:4">
      <c r="A43" s="224" t="s">
        <v>565</v>
      </c>
      <c r="B43" s="226"/>
    </row>
    <row r="44" spans="1:4">
      <c r="A44" s="224" t="s">
        <v>566</v>
      </c>
      <c r="B44" s="226"/>
    </row>
    <row r="45" spans="1:4">
      <c r="A45" s="224" t="s">
        <v>567</v>
      </c>
      <c r="B45" s="226"/>
    </row>
    <row r="46" spans="1:4">
      <c r="A46" s="224" t="s">
        <v>568</v>
      </c>
      <c r="B46" s="226"/>
    </row>
    <row r="48" spans="1:4">
      <c r="A48" s="224" t="s">
        <v>578</v>
      </c>
    </row>
    <row r="49" spans="1:7">
      <c r="A49" s="229" t="s">
        <v>556</v>
      </c>
    </row>
    <row r="50" spans="1:7">
      <c r="A50" s="229" t="s">
        <v>591</v>
      </c>
      <c r="B50" s="230" t="s">
        <v>592</v>
      </c>
    </row>
    <row r="51" spans="1:7">
      <c r="A51" s="224" t="s">
        <v>579</v>
      </c>
      <c r="B51" s="224"/>
      <c r="C51" s="224"/>
      <c r="D51" s="224" t="s">
        <v>580</v>
      </c>
      <c r="E51" s="224"/>
      <c r="F51" s="224"/>
      <c r="G51" s="224" t="s">
        <v>581</v>
      </c>
    </row>
    <row r="52" spans="1:7">
      <c r="A52" s="224" t="s">
        <v>582</v>
      </c>
      <c r="B52" s="224" t="s">
        <v>558</v>
      </c>
      <c r="C52" s="224" t="s">
        <v>583</v>
      </c>
      <c r="D52" s="224" t="s">
        <v>584</v>
      </c>
      <c r="E52" s="224" t="s">
        <v>585</v>
      </c>
      <c r="F52" s="224" t="s">
        <v>586</v>
      </c>
      <c r="G52" s="224"/>
    </row>
    <row r="53" spans="1:7">
      <c r="A53" s="226"/>
      <c r="B53" s="226"/>
      <c r="C53" s="226"/>
      <c r="D53" s="226"/>
      <c r="E53" s="226"/>
      <c r="F53" s="226"/>
      <c r="G53" s="226"/>
    </row>
    <row r="54" spans="1:7">
      <c r="A54" s="229" t="s">
        <v>593</v>
      </c>
      <c r="B54" s="230" t="s">
        <v>592</v>
      </c>
    </row>
    <row r="55" spans="1:7">
      <c r="A55" s="224" t="s">
        <v>579</v>
      </c>
      <c r="B55" s="224"/>
      <c r="C55" s="224"/>
      <c r="D55" s="224" t="s">
        <v>580</v>
      </c>
      <c r="E55" s="224"/>
      <c r="F55" s="224"/>
      <c r="G55" s="224" t="s">
        <v>581</v>
      </c>
    </row>
    <row r="56" spans="1:7">
      <c r="A56" s="224" t="s">
        <v>582</v>
      </c>
      <c r="B56" s="224" t="s">
        <v>594</v>
      </c>
      <c r="C56" s="224" t="s">
        <v>583</v>
      </c>
      <c r="D56" s="224" t="s">
        <v>584</v>
      </c>
      <c r="E56" s="224" t="s">
        <v>585</v>
      </c>
      <c r="F56" s="224" t="s">
        <v>586</v>
      </c>
      <c r="G56" s="224"/>
    </row>
    <row r="57" spans="1:7">
      <c r="A57" s="226"/>
      <c r="B57" s="226"/>
      <c r="C57" s="226"/>
      <c r="D57" s="226"/>
      <c r="E57" s="226"/>
      <c r="F57" s="226"/>
      <c r="G57" s="226"/>
    </row>
    <row r="58" spans="1:7">
      <c r="A58" s="231"/>
    </row>
    <row r="59" spans="1:7">
      <c r="A59" s="224" t="s">
        <v>572</v>
      </c>
    </row>
    <row r="60" spans="1:7">
      <c r="A60" s="224" t="s">
        <v>573</v>
      </c>
      <c r="B60" s="224" t="s">
        <v>574</v>
      </c>
      <c r="C60" s="224" t="s">
        <v>575</v>
      </c>
    </row>
    <row r="61" spans="1:7">
      <c r="A61" s="226"/>
      <c r="B61" s="226"/>
      <c r="C61" s="226"/>
    </row>
    <row r="62" spans="1:7">
      <c r="A62" s="228"/>
    </row>
    <row r="63" spans="1:7">
      <c r="A63" s="224" t="s">
        <v>576</v>
      </c>
    </row>
    <row r="64" spans="1:7">
      <c r="A64" s="224" t="s">
        <v>577</v>
      </c>
    </row>
    <row r="65" spans="1:7">
      <c r="A65" s="226"/>
    </row>
    <row r="67" spans="1:7">
      <c r="A67" s="224" t="s">
        <v>587</v>
      </c>
    </row>
    <row r="68" spans="1:7">
      <c r="A68" s="229" t="s">
        <v>550</v>
      </c>
      <c r="B68" s="227" t="s">
        <v>551</v>
      </c>
    </row>
    <row r="69" spans="1:7">
      <c r="A69" s="224" t="s">
        <v>552</v>
      </c>
      <c r="B69" s="224" t="s">
        <v>553</v>
      </c>
      <c r="C69" s="224" t="s">
        <v>554</v>
      </c>
      <c r="D69" s="227" t="s">
        <v>551</v>
      </c>
    </row>
    <row r="70" spans="1:7">
      <c r="A70" s="226">
        <v>1</v>
      </c>
      <c r="B70" s="226">
        <v>0</v>
      </c>
      <c r="C70" s="226">
        <v>6</v>
      </c>
      <c r="D70" s="227" t="s">
        <v>551</v>
      </c>
    </row>
    <row r="71" spans="1:7">
      <c r="A71" s="226">
        <v>2</v>
      </c>
      <c r="B71" s="226">
        <v>5</v>
      </c>
      <c r="C71" s="226">
        <v>6</v>
      </c>
      <c r="D71" s="227" t="s">
        <v>551</v>
      </c>
    </row>
    <row r="73" spans="1:7">
      <c r="A73" s="224" t="s">
        <v>555</v>
      </c>
    </row>
    <row r="74" spans="1:7">
      <c r="A74" s="224" t="s">
        <v>556</v>
      </c>
    </row>
    <row r="75" spans="1:7">
      <c r="A75" s="224" t="s">
        <v>557</v>
      </c>
      <c r="B75" s="224" t="s">
        <v>558</v>
      </c>
      <c r="C75" s="224" t="s">
        <v>559</v>
      </c>
      <c r="D75" s="224" t="s">
        <v>560</v>
      </c>
      <c r="E75" s="224" t="s">
        <v>561</v>
      </c>
      <c r="F75" s="224" t="s">
        <v>562</v>
      </c>
      <c r="G75" s="224" t="s">
        <v>563</v>
      </c>
    </row>
    <row r="76" spans="1:7">
      <c r="A76" s="224" t="s">
        <v>564</v>
      </c>
      <c r="B76" s="226"/>
      <c r="C76" s="226"/>
      <c r="D76" s="226"/>
      <c r="E76" s="226"/>
      <c r="F76" s="226"/>
      <c r="G76" s="226"/>
    </row>
    <row r="77" spans="1:7">
      <c r="A77" s="224" t="s">
        <v>565</v>
      </c>
      <c r="B77" s="226"/>
      <c r="C77" s="226"/>
      <c r="D77" s="226"/>
      <c r="E77" s="226"/>
      <c r="F77" s="226"/>
      <c r="G77" s="226"/>
    </row>
    <row r="78" spans="1:7">
      <c r="A78" s="224" t="s">
        <v>566</v>
      </c>
      <c r="B78" s="226"/>
      <c r="C78" s="226"/>
      <c r="D78" s="226"/>
      <c r="E78" s="226"/>
      <c r="F78" s="226"/>
      <c r="G78" s="226"/>
    </row>
    <row r="79" spans="1:7">
      <c r="A79" s="224" t="s">
        <v>567</v>
      </c>
      <c r="B79" s="226"/>
      <c r="C79" s="226"/>
      <c r="D79" s="226"/>
      <c r="E79" s="226"/>
      <c r="F79" s="226"/>
      <c r="G79" s="226"/>
    </row>
    <row r="80" spans="1:7">
      <c r="A80" s="224" t="s">
        <v>568</v>
      </c>
      <c r="B80" s="226"/>
      <c r="C80" s="226"/>
      <c r="D80" s="226"/>
      <c r="E80" s="226"/>
      <c r="F80" s="226"/>
      <c r="G80" s="226"/>
    </row>
    <row r="81" spans="1:7">
      <c r="A81" s="228"/>
    </row>
    <row r="82" spans="1:7">
      <c r="A82" s="224" t="s">
        <v>569</v>
      </c>
    </row>
    <row r="83" spans="1:7">
      <c r="A83" s="224" t="s">
        <v>557</v>
      </c>
      <c r="B83" s="224" t="s">
        <v>588</v>
      </c>
      <c r="C83" s="224" t="s">
        <v>559</v>
      </c>
      <c r="D83" s="224" t="s">
        <v>570</v>
      </c>
      <c r="E83" s="224" t="s">
        <v>562</v>
      </c>
      <c r="F83" s="224" t="s">
        <v>589</v>
      </c>
      <c r="G83" s="230" t="s">
        <v>590</v>
      </c>
    </row>
    <row r="84" spans="1:7">
      <c r="A84" s="224" t="s">
        <v>564</v>
      </c>
      <c r="B84" s="226"/>
      <c r="C84" s="226"/>
      <c r="D84" s="226"/>
      <c r="E84" s="226"/>
      <c r="F84" s="226"/>
    </row>
    <row r="85" spans="1:7">
      <c r="A85" s="224" t="s">
        <v>565</v>
      </c>
      <c r="B85" s="226"/>
      <c r="C85" s="226"/>
      <c r="D85" s="226"/>
      <c r="E85" s="226"/>
      <c r="F85" s="226"/>
    </row>
    <row r="86" spans="1:7">
      <c r="A86" s="224" t="s">
        <v>566</v>
      </c>
      <c r="B86" s="226"/>
      <c r="C86" s="226"/>
      <c r="D86" s="226"/>
      <c r="E86" s="226"/>
      <c r="F86" s="226"/>
    </row>
    <row r="87" spans="1:7">
      <c r="A87" s="224" t="s">
        <v>567</v>
      </c>
      <c r="B87" s="226"/>
      <c r="C87" s="226"/>
      <c r="D87" s="226"/>
      <c r="E87" s="226"/>
      <c r="F87" s="226"/>
    </row>
    <row r="88" spans="1:7">
      <c r="A88" s="224" t="s">
        <v>568</v>
      </c>
      <c r="B88" s="226"/>
      <c r="C88" s="226"/>
      <c r="D88" s="226"/>
      <c r="E88" s="226"/>
      <c r="F88" s="226"/>
    </row>
    <row r="90" spans="1:7">
      <c r="A90" s="224" t="s">
        <v>572</v>
      </c>
    </row>
    <row r="91" spans="1:7">
      <c r="A91" s="224" t="s">
        <v>557</v>
      </c>
      <c r="B91" s="224" t="s">
        <v>573</v>
      </c>
      <c r="C91" s="224" t="s">
        <v>574</v>
      </c>
      <c r="D91" s="224" t="s">
        <v>575</v>
      </c>
    </row>
    <row r="92" spans="1:7">
      <c r="A92" s="224" t="s">
        <v>564</v>
      </c>
      <c r="B92" s="226"/>
      <c r="C92" s="226"/>
      <c r="D92" s="226"/>
    </row>
    <row r="93" spans="1:7">
      <c r="A93" s="224" t="s">
        <v>565</v>
      </c>
      <c r="B93" s="226"/>
      <c r="C93" s="226"/>
      <c r="D93" s="226"/>
    </row>
    <row r="94" spans="1:7">
      <c r="A94" s="224" t="s">
        <v>566</v>
      </c>
      <c r="B94" s="226"/>
      <c r="C94" s="226"/>
      <c r="D94" s="226"/>
    </row>
    <row r="95" spans="1:7">
      <c r="A95" s="224" t="s">
        <v>567</v>
      </c>
      <c r="B95" s="226"/>
      <c r="C95" s="226"/>
      <c r="D95" s="226"/>
    </row>
    <row r="96" spans="1:7">
      <c r="A96" s="224" t="s">
        <v>568</v>
      </c>
      <c r="B96" s="226"/>
      <c r="C96" s="226"/>
      <c r="D96" s="226"/>
    </row>
    <row r="97" spans="1:7">
      <c r="A97" s="228"/>
    </row>
    <row r="98" spans="1:7">
      <c r="A98" s="224" t="s">
        <v>576</v>
      </c>
    </row>
    <row r="99" spans="1:7">
      <c r="A99" s="224" t="s">
        <v>557</v>
      </c>
      <c r="B99" s="224" t="s">
        <v>577</v>
      </c>
    </row>
    <row r="100" spans="1:7">
      <c r="A100" s="224" t="s">
        <v>564</v>
      </c>
      <c r="B100" s="226"/>
    </row>
    <row r="101" spans="1:7">
      <c r="A101" s="224" t="s">
        <v>565</v>
      </c>
      <c r="B101" s="226"/>
    </row>
    <row r="102" spans="1:7">
      <c r="A102" s="224" t="s">
        <v>566</v>
      </c>
      <c r="B102" s="226"/>
    </row>
    <row r="103" spans="1:7">
      <c r="A103" s="224" t="s">
        <v>567</v>
      </c>
      <c r="B103" s="226"/>
    </row>
    <row r="104" spans="1:7">
      <c r="A104" s="224" t="s">
        <v>568</v>
      </c>
      <c r="B104" s="226"/>
    </row>
    <row r="106" spans="1:7">
      <c r="A106" s="224" t="s">
        <v>578</v>
      </c>
    </row>
    <row r="107" spans="1:7">
      <c r="A107" s="229" t="s">
        <v>556</v>
      </c>
    </row>
    <row r="108" spans="1:7">
      <c r="A108" s="229" t="s">
        <v>591</v>
      </c>
      <c r="B108" s="230" t="s">
        <v>592</v>
      </c>
    </row>
    <row r="109" spans="1:7">
      <c r="A109" s="224" t="s">
        <v>579</v>
      </c>
      <c r="B109" s="224"/>
      <c r="C109" s="224"/>
      <c r="D109" s="224" t="s">
        <v>580</v>
      </c>
      <c r="E109" s="224"/>
      <c r="F109" s="224"/>
      <c r="G109" s="224" t="s">
        <v>581</v>
      </c>
    </row>
    <row r="110" spans="1:7">
      <c r="A110" s="224" t="s">
        <v>582</v>
      </c>
      <c r="B110" s="224" t="s">
        <v>558</v>
      </c>
      <c r="C110" s="224" t="s">
        <v>583</v>
      </c>
      <c r="D110" s="224" t="s">
        <v>584</v>
      </c>
      <c r="E110" s="224" t="s">
        <v>585</v>
      </c>
      <c r="F110" s="224" t="s">
        <v>586</v>
      </c>
      <c r="G110" s="224"/>
    </row>
    <row r="111" spans="1:7">
      <c r="A111" s="226"/>
      <c r="B111" s="226"/>
      <c r="C111" s="226"/>
      <c r="D111" s="226"/>
      <c r="E111" s="226"/>
      <c r="F111" s="226"/>
      <c r="G111" s="226"/>
    </row>
    <row r="112" spans="1:7">
      <c r="A112" s="229" t="s">
        <v>593</v>
      </c>
      <c r="B112" s="230" t="s">
        <v>592</v>
      </c>
    </row>
    <row r="113" spans="1:7">
      <c r="A113" s="224" t="s">
        <v>579</v>
      </c>
      <c r="B113" s="224"/>
      <c r="C113" s="224"/>
      <c r="D113" s="224" t="s">
        <v>580</v>
      </c>
      <c r="E113" s="224"/>
      <c r="F113" s="224"/>
      <c r="G113" s="224" t="s">
        <v>581</v>
      </c>
    </row>
    <row r="114" spans="1:7">
      <c r="A114" s="224" t="s">
        <v>582</v>
      </c>
      <c r="B114" s="224" t="s">
        <v>594</v>
      </c>
      <c r="C114" s="224" t="s">
        <v>583</v>
      </c>
      <c r="D114" s="224" t="s">
        <v>584</v>
      </c>
      <c r="E114" s="224" t="s">
        <v>585</v>
      </c>
      <c r="F114" s="224" t="s">
        <v>586</v>
      </c>
      <c r="G114" s="224"/>
    </row>
    <row r="115" spans="1:7">
      <c r="A115" s="226"/>
      <c r="B115" s="226"/>
      <c r="C115" s="226"/>
      <c r="D115" s="226"/>
      <c r="E115" s="226"/>
      <c r="F115" s="226"/>
      <c r="G115" s="226"/>
    </row>
    <row r="116" spans="1:7">
      <c r="A116" s="231"/>
    </row>
    <row r="117" spans="1:7">
      <c r="A117" s="224" t="s">
        <v>572</v>
      </c>
    </row>
    <row r="118" spans="1:7">
      <c r="A118" s="224" t="s">
        <v>573</v>
      </c>
      <c r="B118" s="224" t="s">
        <v>574</v>
      </c>
      <c r="C118" s="224" t="s">
        <v>575</v>
      </c>
    </row>
    <row r="119" spans="1:7">
      <c r="A119" s="226"/>
      <c r="B119" s="226"/>
      <c r="C119" s="226"/>
    </row>
    <row r="120" spans="1:7">
      <c r="A120" s="228"/>
    </row>
    <row r="121" spans="1:7">
      <c r="A121" s="224" t="s">
        <v>576</v>
      </c>
    </row>
    <row r="122" spans="1:7">
      <c r="A122" s="224" t="s">
        <v>577</v>
      </c>
    </row>
    <row r="123" spans="1:7">
      <c r="A123" s="226"/>
    </row>
  </sheetData>
  <phoneticPr fontId="1"/>
  <pageMargins left="0.7" right="0.7" top="0.75" bottom="0.75" header="0.3" footer="0.3"/>
  <pageSetup paperSize="9" scale="44" orientation="portrait" copies="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11C155C1-1291-47F7-A039-8880775231D0}">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C33D6702-8C08-407C-AC1B-6AD826B49447}">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4</vt:i4>
      </vt:variant>
    </vt:vector>
  </HeadingPairs>
  <TitlesOfParts>
    <vt:vector size="9" baseType="lpstr">
      <vt:lpstr>ご利用方法</vt:lpstr>
      <vt:lpstr>入力</vt:lpstr>
      <vt:lpstr>地盤のモデル化</vt:lpstr>
      <vt:lpstr>標準</vt:lpstr>
      <vt:lpstr>回転杭</vt:lpstr>
      <vt:lpstr>地盤のモデル化!Print_Area</vt:lpstr>
      <vt:lpstr>入力!Print_Area</vt:lpstr>
      <vt:lpstr>パスワード</vt:lpstr>
      <vt:lpstr>ユーザー名</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2017-07-04T11:26:58Z</cp:lastPrinted>
  <dcterms:created xsi:type="dcterms:W3CDTF">1997-12-09T00:45:52Z</dcterms:created>
  <dcterms:modified xsi:type="dcterms:W3CDTF">2017-07-11T08:45:04Z</dcterms:modified>
</cp:coreProperties>
</file>